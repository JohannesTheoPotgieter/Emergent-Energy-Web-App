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" documentId="13_ncr:1_{2288CE1F-3D56-4626-BA7E-A4D7457DBE3C}" xr6:coauthVersionLast="47" xr6:coauthVersionMax="47" xr10:uidLastSave="{A18660CA-C36C-4BC7-B568-F18863F58F7C}"/>
  <bookViews>
    <workbookView xWindow="-108" yWindow="-108" windowWidth="23256" windowHeight="12456" tabRatio="913" firstSheet="6" activeTab="6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Finance - COS" sheetId="14" r:id="rId9"/>
    <sheet name="Chart1" sheetId="11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Plan'!$R$1:$AN$111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/>
  <pivotCaches>
    <pivotCache cacheId="1145" r:id="rId17"/>
    <pivotCache cacheId="114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U14" i="13"/>
  <c r="M99" i="2"/>
  <c r="J77" i="4"/>
  <c r="Q92" i="4"/>
  <c r="Q93" i="4"/>
  <c r="Q91" i="4"/>
  <c r="T100" i="4"/>
  <c r="W147" i="4"/>
  <c r="I91" i="2"/>
  <c r="K91" i="2" s="1"/>
  <c r="W84" i="4"/>
  <c r="W145" i="4"/>
  <c r="W144" i="4"/>
  <c r="I93" i="2"/>
  <c r="K93" i="2" s="1"/>
  <c r="M86" i="2"/>
  <c r="K88" i="2"/>
  <c r="I89" i="2" s="1"/>
  <c r="I94" i="2"/>
  <c r="K94" i="2" s="1"/>
  <c r="Q82" i="4"/>
  <c r="X77" i="4" s="1"/>
  <c r="Q81" i="4"/>
  <c r="W20" i="4"/>
  <c r="W107" i="4"/>
  <c r="W43" i="4" s="1"/>
  <c r="T43" i="4"/>
  <c r="K45" i="2"/>
  <c r="K118" i="2" s="1"/>
  <c r="Q54" i="4"/>
  <c r="C23" i="14"/>
  <c r="C25" i="14"/>
  <c r="Q36" i="4"/>
  <c r="Q35" i="4"/>
  <c r="W62" i="4"/>
  <c r="D23" i="13"/>
  <c r="S6" i="5"/>
  <c r="R6" i="5"/>
  <c r="I56" i="2"/>
  <c r="K56" i="2"/>
  <c r="I54" i="2"/>
  <c r="K54" i="2" s="1"/>
  <c r="K52" i="2"/>
  <c r="I53" i="2"/>
  <c r="K53" i="2" s="1"/>
  <c r="I55" i="2"/>
  <c r="K55" i="2"/>
  <c r="I57" i="2" s="1"/>
  <c r="K57" i="2"/>
  <c r="K141" i="2" s="1"/>
  <c r="I48" i="2"/>
  <c r="K48" i="2"/>
  <c r="I49" i="2" s="1"/>
  <c r="K47" i="2"/>
  <c r="K44" i="2"/>
  <c r="K41" i="2"/>
  <c r="I42" i="2" s="1"/>
  <c r="K42" i="2"/>
  <c r="I43" i="2"/>
  <c r="K43" i="2" s="1"/>
  <c r="K25" i="2"/>
  <c r="J144" i="2"/>
  <c r="J137" i="2"/>
  <c r="J125" i="2"/>
  <c r="J124" i="2"/>
  <c r="J121" i="2"/>
  <c r="J120" i="2"/>
  <c r="J119" i="2"/>
  <c r="J118" i="2"/>
  <c r="I118" i="2"/>
  <c r="M78" i="2"/>
  <c r="M40" i="2"/>
  <c r="K37" i="2"/>
  <c r="K36" i="2"/>
  <c r="I38" i="2"/>
  <c r="K38" i="2"/>
  <c r="I35" i="2"/>
  <c r="J34" i="2"/>
  <c r="J33" i="2"/>
  <c r="K32" i="2"/>
  <c r="J32" i="2" s="1"/>
  <c r="K31" i="2"/>
  <c r="J31" i="2" s="1"/>
  <c r="K30" i="2"/>
  <c r="J30" i="2" s="1"/>
  <c r="I29" i="2"/>
  <c r="J28" i="2"/>
  <c r="M27" i="2"/>
  <c r="M24" i="2" s="1"/>
  <c r="K26" i="2"/>
  <c r="J22" i="2"/>
  <c r="J21" i="2"/>
  <c r="J20" i="2"/>
  <c r="J19" i="2"/>
  <c r="J18" i="2"/>
  <c r="J17" i="2"/>
  <c r="J16" i="2"/>
  <c r="J15" i="2"/>
  <c r="J14" i="2"/>
  <c r="J13" i="2"/>
  <c r="J12" i="2"/>
  <c r="M11" i="2"/>
  <c r="K11" i="2"/>
  <c r="I11" i="2"/>
  <c r="K59" i="2"/>
  <c r="K121" i="2"/>
  <c r="I141" i="2"/>
  <c r="I139" i="2" s="1"/>
  <c r="K61" i="2"/>
  <c r="I119" i="2"/>
  <c r="I121" i="2"/>
  <c r="K72" i="2"/>
  <c r="K73" i="2"/>
  <c r="K97" i="2"/>
  <c r="K76" i="2"/>
  <c r="I101" i="2"/>
  <c r="K101" i="2" s="1"/>
  <c r="K90" i="2"/>
  <c r="I92" i="2"/>
  <c r="K92" i="2" s="1"/>
  <c r="Q33" i="4"/>
  <c r="W51" i="4"/>
  <c r="Q125" i="4"/>
  <c r="Q126" i="4"/>
  <c r="Q84" i="4"/>
  <c r="Q83" i="4"/>
  <c r="Q80" i="4"/>
  <c r="Q79" i="4"/>
  <c r="W60" i="4"/>
  <c r="W101" i="4"/>
  <c r="W37" i="4" s="1"/>
  <c r="E123" i="2"/>
  <c r="E122" i="2"/>
  <c r="G122" i="2" s="1"/>
  <c r="E130" i="2" s="1"/>
  <c r="G130" i="2" s="1"/>
  <c r="F127" i="2"/>
  <c r="E126" i="2"/>
  <c r="G126" i="2"/>
  <c r="AC45" i="4"/>
  <c r="O101" i="4" s="1"/>
  <c r="H13" i="5"/>
  <c r="I125" i="4"/>
  <c r="T56" i="4"/>
  <c r="T58" i="4"/>
  <c r="Q55" i="4"/>
  <c r="AA10" i="4"/>
  <c r="D8" i="7"/>
  <c r="D17" i="3"/>
  <c r="G108" i="4"/>
  <c r="G107" i="4"/>
  <c r="G106" i="4"/>
  <c r="G105" i="4"/>
  <c r="G104" i="4"/>
  <c r="G103" i="4"/>
  <c r="G102" i="4"/>
  <c r="G101" i="4"/>
  <c r="B17" i="3"/>
  <c r="W38" i="4"/>
  <c r="T53" i="4"/>
  <c r="T46" i="4"/>
  <c r="T152" i="4"/>
  <c r="T151" i="4"/>
  <c r="T150" i="4"/>
  <c r="T148" i="4"/>
  <c r="T135" i="4"/>
  <c r="T134" i="4"/>
  <c r="T133" i="4"/>
  <c r="T127" i="4"/>
  <c r="T124" i="4"/>
  <c r="T115" i="4"/>
  <c r="T114" i="4"/>
  <c r="T113" i="4"/>
  <c r="T109" i="4"/>
  <c r="T99" i="4"/>
  <c r="T79" i="4"/>
  <c r="T76" i="4"/>
  <c r="T75" i="4"/>
  <c r="T74" i="4"/>
  <c r="T73" i="4"/>
  <c r="T72" i="4"/>
  <c r="T71" i="4"/>
  <c r="T70" i="4"/>
  <c r="T69" i="4"/>
  <c r="T68" i="4"/>
  <c r="T67" i="4"/>
  <c r="T52" i="4"/>
  <c r="T45" i="4"/>
  <c r="T31" i="4"/>
  <c r="T17" i="4"/>
  <c r="T16" i="4"/>
  <c r="T15" i="4"/>
  <c r="T14" i="4"/>
  <c r="T12" i="4"/>
  <c r="T11" i="4"/>
  <c r="T10" i="4"/>
  <c r="T9" i="4"/>
  <c r="T8" i="4"/>
  <c r="T7" i="4"/>
  <c r="T6" i="4"/>
  <c r="AD46" i="4"/>
  <c r="O59" i="4" s="1"/>
  <c r="Q61" i="4" s="1"/>
  <c r="AA11" i="4"/>
  <c r="D9" i="7"/>
  <c r="O23" i="7" s="1"/>
  <c r="H102" i="4"/>
  <c r="H110" i="4"/>
  <c r="H101" i="4"/>
  <c r="H53" i="4" s="1"/>
  <c r="H117" i="4"/>
  <c r="H121" i="4"/>
  <c r="G66" i="4"/>
  <c r="G65" i="4"/>
  <c r="G64" i="4"/>
  <c r="G63" i="4"/>
  <c r="G62" i="4"/>
  <c r="G61" i="4"/>
  <c r="G60" i="4"/>
  <c r="G53" i="4"/>
  <c r="H18" i="4"/>
  <c r="Q32" i="4"/>
  <c r="Q18" i="4"/>
  <c r="X18" i="4"/>
  <c r="H11" i="3"/>
  <c r="Q13" i="4"/>
  <c r="X13" i="4" s="1"/>
  <c r="H10" i="3" s="1"/>
  <c r="G77" i="4"/>
  <c r="D37" i="9" s="1"/>
  <c r="D36" i="9" s="1"/>
  <c r="G48" i="4"/>
  <c r="G46" i="4"/>
  <c r="G37" i="4"/>
  <c r="G33" i="4"/>
  <c r="Q63" i="4"/>
  <c r="AD47" i="4"/>
  <c r="O37" i="4" s="1"/>
  <c r="I117" i="2"/>
  <c r="K114" i="2"/>
  <c r="K113" i="2" s="1"/>
  <c r="I113" i="2"/>
  <c r="K107" i="2"/>
  <c r="I108" i="2" s="1"/>
  <c r="AA13" i="4"/>
  <c r="D11" i="7"/>
  <c r="AA12" i="4"/>
  <c r="D10" i="7" s="1"/>
  <c r="O10" i="7" s="1"/>
  <c r="J10" i="7"/>
  <c r="AA8" i="4"/>
  <c r="D6" i="7"/>
  <c r="J6" i="7" s="1"/>
  <c r="W55" i="4"/>
  <c r="G18" i="4"/>
  <c r="I18" i="4"/>
  <c r="F11" i="3" s="1"/>
  <c r="J11" i="3" s="1"/>
  <c r="G13" i="4"/>
  <c r="I13" i="4" s="1"/>
  <c r="W61" i="4"/>
  <c r="T61" i="4"/>
  <c r="G107" i="2"/>
  <c r="W39" i="4"/>
  <c r="T39" i="4" s="1"/>
  <c r="T103" i="4"/>
  <c r="G109" i="2"/>
  <c r="E111" i="2" s="1"/>
  <c r="G111" i="2" s="1"/>
  <c r="E110" i="2" s="1"/>
  <c r="G110" i="2" s="1"/>
  <c r="M106" i="2"/>
  <c r="W40" i="4"/>
  <c r="E118" i="2"/>
  <c r="G118" i="2" s="1"/>
  <c r="E120" i="2"/>
  <c r="E119" i="2"/>
  <c r="G119" i="2" s="1"/>
  <c r="E121" i="2" s="1"/>
  <c r="E125" i="2" s="1"/>
  <c r="G125" i="2" s="1"/>
  <c r="E134" i="2"/>
  <c r="G134" i="2"/>
  <c r="E117" i="2"/>
  <c r="G117" i="2" s="1"/>
  <c r="H13" i="4"/>
  <c r="H46" i="4" s="1"/>
  <c r="H47" i="4"/>
  <c r="G114" i="2"/>
  <c r="G113" i="2"/>
  <c r="E113" i="2"/>
  <c r="E133" i="2"/>
  <c r="G133" i="2" s="1"/>
  <c r="F20" i="3"/>
  <c r="D20" i="3"/>
  <c r="B20" i="3"/>
  <c r="D13" i="7"/>
  <c r="AA14" i="4"/>
  <c r="D12" i="7"/>
  <c r="O12" i="7" s="1"/>
  <c r="M150" i="2"/>
  <c r="M147" i="2"/>
  <c r="M143" i="2"/>
  <c r="O1" i="2"/>
  <c r="N1" i="2"/>
  <c r="B15" i="3"/>
  <c r="D15" i="3"/>
  <c r="D10" i="3"/>
  <c r="X68" i="4"/>
  <c r="H15" i="3"/>
  <c r="I68" i="4"/>
  <c r="F15" i="3" s="1"/>
  <c r="G25" i="3"/>
  <c r="J2" i="4"/>
  <c r="V18" i="4"/>
  <c r="H9" i="3"/>
  <c r="J9" i="3" s="1"/>
  <c r="V13" i="4"/>
  <c r="G44" i="4"/>
  <c r="F9" i="3"/>
  <c r="X116" i="4"/>
  <c r="U117" i="4" s="1"/>
  <c r="V116" i="4" s="1"/>
  <c r="X46" i="4"/>
  <c r="H13" i="3"/>
  <c r="I149" i="4"/>
  <c r="F23" i="3" s="1"/>
  <c r="I136" i="4"/>
  <c r="F22" i="3"/>
  <c r="I116" i="4"/>
  <c r="F19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49" i="4"/>
  <c r="H23" i="3"/>
  <c r="V68" i="4"/>
  <c r="V46" i="4"/>
  <c r="G43" i="4"/>
  <c r="D23" i="7"/>
  <c r="I110" i="4"/>
  <c r="F18" i="3"/>
  <c r="G1" i="6"/>
  <c r="H1" i="6"/>
  <c r="I1" i="6"/>
  <c r="J1" i="6" s="1"/>
  <c r="K1" i="6" s="1"/>
  <c r="L1" i="6" s="1"/>
  <c r="M1" i="6" s="1"/>
  <c r="X110" i="4"/>
  <c r="H18" i="3" s="1"/>
  <c r="N1" i="6"/>
  <c r="O1" i="6"/>
  <c r="P1" i="6" s="1"/>
  <c r="J29" i="9"/>
  <c r="J36" i="9"/>
  <c r="D31" i="9"/>
  <c r="D30" i="9"/>
  <c r="D29" i="9" s="1"/>
  <c r="L36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J21" i="7" s="1"/>
  <c r="D20" i="7"/>
  <c r="D29" i="7" s="1"/>
  <c r="J20" i="7"/>
  <c r="J29" i="7" s="1"/>
  <c r="F36" i="9"/>
  <c r="B31" i="9"/>
  <c r="B30" i="9"/>
  <c r="H7" i="7"/>
  <c r="H8" i="7"/>
  <c r="H9" i="7"/>
  <c r="M9" i="7"/>
  <c r="M7" i="7"/>
  <c r="M8" i="7"/>
  <c r="X136" i="4"/>
  <c r="H22" i="3" s="1"/>
  <c r="G32" i="4"/>
  <c r="Q1" i="6"/>
  <c r="R1" i="6" s="1"/>
  <c r="H22" i="7"/>
  <c r="M20" i="7"/>
  <c r="H20" i="7"/>
  <c r="M6" i="7"/>
  <c r="H6" i="7"/>
  <c r="L29" i="7"/>
  <c r="D38" i="7" s="1"/>
  <c r="G29" i="7"/>
  <c r="D37" i="7" s="1"/>
  <c r="V136" i="4"/>
  <c r="S1" i="6"/>
  <c r="T1" i="6" s="1"/>
  <c r="U1" i="6" s="1"/>
  <c r="V32" i="4"/>
  <c r="D15" i="10" a="1"/>
  <c r="D15" i="10" s="1"/>
  <c r="B1" i="10" s="1"/>
  <c r="L15" i="7"/>
  <c r="D36" i="7"/>
  <c r="G15" i="7"/>
  <c r="D35" i="7" s="1"/>
  <c r="AA46" i="4"/>
  <c r="V1" i="6"/>
  <c r="W1" i="6" s="1"/>
  <c r="X1" i="6" s="1"/>
  <c r="D4" i="5"/>
  <c r="F15" i="5"/>
  <c r="Q128" i="4"/>
  <c r="X128" i="4" s="1"/>
  <c r="H21" i="3" s="1"/>
  <c r="V128" i="4"/>
  <c r="E46" i="5"/>
  <c r="E47" i="5"/>
  <c r="E21" i="5"/>
  <c r="F21" i="3"/>
  <c r="L2" i="1"/>
  <c r="L32" i="1" s="1"/>
  <c r="L39" i="1"/>
  <c r="L35" i="1"/>
  <c r="L45" i="1"/>
  <c r="L44" i="1"/>
  <c r="L42" i="1"/>
  <c r="L33" i="1"/>
  <c r="L3" i="1"/>
  <c r="L13" i="1"/>
  <c r="L16" i="1"/>
  <c r="F29" i="9"/>
  <c r="H29" i="9" s="1"/>
  <c r="G123" i="2"/>
  <c r="T41" i="4"/>
  <c r="I148" i="2"/>
  <c r="K148" i="2"/>
  <c r="I151" i="2" s="1"/>
  <c r="K151" i="2" s="1"/>
  <c r="I147" i="2"/>
  <c r="K84" i="2"/>
  <c r="I96" i="2" s="1"/>
  <c r="K96" i="2" s="1"/>
  <c r="K87" i="2"/>
  <c r="T42" i="4"/>
  <c r="W66" i="4"/>
  <c r="W44" i="4"/>
  <c r="P11" i="6" s="1"/>
  <c r="J11" i="2"/>
  <c r="E129" i="2"/>
  <c r="G129" i="2"/>
  <c r="J113" i="2"/>
  <c r="K119" i="2"/>
  <c r="F17" i="5"/>
  <c r="I27" i="2"/>
  <c r="F16" i="5"/>
  <c r="F113" i="2"/>
  <c r="Q38" i="4"/>
  <c r="Q37" i="4"/>
  <c r="I101" i="4"/>
  <c r="F17" i="3"/>
  <c r="J17" i="3" s="1"/>
  <c r="I53" i="4"/>
  <c r="F14" i="3" s="1"/>
  <c r="J15" i="3"/>
  <c r="U113" i="4"/>
  <c r="V110" i="4" s="1"/>
  <c r="U114" i="4"/>
  <c r="I46" i="4"/>
  <c r="F13" i="3" s="1"/>
  <c r="J13" i="3" s="1"/>
  <c r="Q59" i="4"/>
  <c r="Q60" i="4"/>
  <c r="Q64" i="4"/>
  <c r="Q65" i="4"/>
  <c r="H19" i="3"/>
  <c r="J19" i="3" s="1"/>
  <c r="J22" i="3"/>
  <c r="X125" i="4"/>
  <c r="H20" i="3"/>
  <c r="J20" i="3" s="1"/>
  <c r="Q40" i="4"/>
  <c r="Q39" i="4"/>
  <c r="Q42" i="4"/>
  <c r="AA9" i="4"/>
  <c r="D7" i="7" s="1"/>
  <c r="AA17" i="4"/>
  <c r="AA18" i="4"/>
  <c r="AA19" i="4"/>
  <c r="Q44" i="4"/>
  <c r="Q41" i="4"/>
  <c r="D10" i="9"/>
  <c r="D9" i="9"/>
  <c r="H9" i="9"/>
  <c r="Q106" i="4"/>
  <c r="Q101" i="4"/>
  <c r="Q104" i="4"/>
  <c r="Q103" i="4"/>
  <c r="Q102" i="4"/>
  <c r="Q108" i="4"/>
  <c r="Q107" i="4"/>
  <c r="Q105" i="4"/>
  <c r="O11" i="7"/>
  <c r="E8" i="7"/>
  <c r="J8" i="7"/>
  <c r="O8" i="7"/>
  <c r="O15" i="7" s="1"/>
  <c r="O22" i="7"/>
  <c r="F10" i="3"/>
  <c r="J10" i="3" s="1"/>
  <c r="J18" i="3"/>
  <c r="O24" i="7"/>
  <c r="E21" i="7"/>
  <c r="Q43" i="4"/>
  <c r="I77" i="4"/>
  <c r="F16" i="3" s="1"/>
  <c r="D18" i="9"/>
  <c r="D17" i="9" s="1"/>
  <c r="L17" i="9" s="1"/>
  <c r="W65" i="4"/>
  <c r="D24" i="9"/>
  <c r="D23" i="9"/>
  <c r="L29" i="9"/>
  <c r="H36" i="9"/>
  <c r="E20" i="7"/>
  <c r="O6" i="7"/>
  <c r="O20" i="7"/>
  <c r="O26" i="7"/>
  <c r="J23" i="3"/>
  <c r="E9" i="7"/>
  <c r="J12" i="7"/>
  <c r="E6" i="7"/>
  <c r="J9" i="7"/>
  <c r="O9" i="7"/>
  <c r="H14" i="5"/>
  <c r="E135" i="2"/>
  <c r="G135" i="2"/>
  <c r="K147" i="2"/>
  <c r="J147" i="2" s="1"/>
  <c r="N147" i="2"/>
  <c r="I24" i="2"/>
  <c r="I50" i="2"/>
  <c r="K50" i="2"/>
  <c r="K49" i="2"/>
  <c r="K137" i="2" s="1"/>
  <c r="K132" i="2" s="1"/>
  <c r="J132" i="2" s="1"/>
  <c r="N132" i="2" s="1"/>
  <c r="I137" i="2"/>
  <c r="I132" i="2"/>
  <c r="M113" i="2"/>
  <c r="N113" i="2"/>
  <c r="G121" i="2"/>
  <c r="K139" i="2"/>
  <c r="J139" i="2"/>
  <c r="J141" i="2"/>
  <c r="M139" i="2" s="1"/>
  <c r="N139" i="2" s="1"/>
  <c r="K108" i="2"/>
  <c r="I63" i="2"/>
  <c r="W59" i="4"/>
  <c r="C3" i="6"/>
  <c r="J4" i="4"/>
  <c r="F13" i="5"/>
  <c r="H122" i="4"/>
  <c r="K117" i="2"/>
  <c r="F14" i="5"/>
  <c r="F21" i="5" s="1"/>
  <c r="F47" i="5" s="1"/>
  <c r="K35" i="2"/>
  <c r="I46" i="2"/>
  <c r="T37" i="4"/>
  <c r="J21" i="3"/>
  <c r="T101" i="4"/>
  <c r="H60" i="4"/>
  <c r="M9" i="2"/>
  <c r="H17" i="9"/>
  <c r="L9" i="9"/>
  <c r="E7" i="7"/>
  <c r="D15" i="7"/>
  <c r="D34" i="7"/>
  <c r="D40" i="7" s="1"/>
  <c r="B40" i="7" s="1"/>
  <c r="O21" i="7"/>
  <c r="J20" i="6"/>
  <c r="J7" i="7"/>
  <c r="F20" i="6"/>
  <c r="F21" i="6"/>
  <c r="O7" i="7"/>
  <c r="X101" i="4"/>
  <c r="H17" i="3" s="1"/>
  <c r="F4" i="5"/>
  <c r="K11" i="6"/>
  <c r="E140" i="2"/>
  <c r="E136" i="2"/>
  <c r="H32" i="4" s="1"/>
  <c r="O20" i="6"/>
  <c r="I109" i="2"/>
  <c r="K46" i="2"/>
  <c r="W20" i="6"/>
  <c r="T59" i="4"/>
  <c r="K17" i="6"/>
  <c r="Q17" i="6"/>
  <c r="R17" i="6"/>
  <c r="J17" i="6"/>
  <c r="H17" i="6"/>
  <c r="G140" i="2"/>
  <c r="E141" i="2"/>
  <c r="E137" i="2" s="1"/>
  <c r="G136" i="2"/>
  <c r="V17" i="6"/>
  <c r="P17" i="6"/>
  <c r="K109" i="2"/>
  <c r="U17" i="6"/>
  <c r="W17" i="6"/>
  <c r="F45" i="5"/>
  <c r="N9" i="6"/>
  <c r="I9" i="6"/>
  <c r="V9" i="6"/>
  <c r="P9" i="6"/>
  <c r="O9" i="6"/>
  <c r="T9" i="6"/>
  <c r="M9" i="6"/>
  <c r="K9" i="6"/>
  <c r="U9" i="6"/>
  <c r="R9" i="6"/>
  <c r="W9" i="6"/>
  <c r="J9" i="6"/>
  <c r="S9" i="6"/>
  <c r="G9" i="6"/>
  <c r="H9" i="6"/>
  <c r="F9" i="6"/>
  <c r="F10" i="6" s="1"/>
  <c r="Q9" i="6"/>
  <c r="L9" i="6"/>
  <c r="I110" i="2"/>
  <c r="K110" i="2" s="1"/>
  <c r="I111" i="2" s="1"/>
  <c r="K111" i="2" s="1"/>
  <c r="H43" i="4"/>
  <c r="R27" i="13"/>
  <c r="I60" i="2" l="1"/>
  <c r="I58" i="2"/>
  <c r="T4" i="5"/>
  <c r="C9" i="6"/>
  <c r="H33" i="4"/>
  <c r="E132" i="2"/>
  <c r="G137" i="2"/>
  <c r="G132" i="2" s="1"/>
  <c r="I152" i="2"/>
  <c r="G141" i="2"/>
  <c r="G139" i="2" s="1"/>
  <c r="F139" i="2" s="1"/>
  <c r="K106" i="2"/>
  <c r="F44" i="5"/>
  <c r="F41" i="5"/>
  <c r="F42" i="5"/>
  <c r="F43" i="5"/>
  <c r="V11" i="6"/>
  <c r="H11" i="6"/>
  <c r="G10" i="6"/>
  <c r="I106" i="2"/>
  <c r="H23" i="9"/>
  <c r="H43" i="9" s="1"/>
  <c r="L23" i="9"/>
  <c r="L43" i="9" s="1"/>
  <c r="D43" i="9"/>
  <c r="S11" i="6"/>
  <c r="P20" i="6"/>
  <c r="O11" i="6"/>
  <c r="H20" i="6"/>
  <c r="J11" i="6"/>
  <c r="K20" i="6"/>
  <c r="I11" i="6"/>
  <c r="G20" i="6"/>
  <c r="G21" i="6" s="1"/>
  <c r="W11" i="6"/>
  <c r="U20" i="6"/>
  <c r="T20" i="6"/>
  <c r="G11" i="6"/>
  <c r="M11" i="6"/>
  <c r="I20" i="6"/>
  <c r="Q11" i="6"/>
  <c r="Q20" i="6"/>
  <c r="L11" i="6"/>
  <c r="M20" i="6"/>
  <c r="S20" i="6"/>
  <c r="N20" i="6"/>
  <c r="F11" i="6"/>
  <c r="F12" i="6" s="1"/>
  <c r="F14" i="6" s="1"/>
  <c r="L20" i="6"/>
  <c r="T11" i="6"/>
  <c r="R20" i="6"/>
  <c r="E139" i="2"/>
  <c r="H37" i="4" s="1"/>
  <c r="R11" i="6"/>
  <c r="S17" i="6"/>
  <c r="I17" i="6"/>
  <c r="M17" i="6"/>
  <c r="T17" i="6"/>
  <c r="L17" i="6"/>
  <c r="N17" i="6"/>
  <c r="G17" i="6"/>
  <c r="O17" i="6"/>
  <c r="F17" i="6"/>
  <c r="U11" i="6"/>
  <c r="N11" i="6"/>
  <c r="X32" i="4"/>
  <c r="O25" i="7"/>
  <c r="O29" i="7" s="1"/>
  <c r="J11" i="7"/>
  <c r="J15" i="7" s="1"/>
  <c r="U77" i="4"/>
  <c r="H16" i="3"/>
  <c r="J16" i="3" s="1"/>
  <c r="U99" i="4"/>
  <c r="E108" i="2"/>
  <c r="K89" i="2"/>
  <c r="I95" i="2"/>
  <c r="Y1" i="6"/>
  <c r="X20" i="6"/>
  <c r="E23" i="7"/>
  <c r="J23" i="7"/>
  <c r="K63" i="2"/>
  <c r="I64" i="2"/>
  <c r="K64" i="2" s="1"/>
  <c r="L10" i="1"/>
  <c r="L7" i="1"/>
  <c r="L8" i="1"/>
  <c r="I32" i="4"/>
  <c r="L6" i="1"/>
  <c r="L26" i="1"/>
  <c r="J22" i="7"/>
  <c r="E22" i="7"/>
  <c r="L14" i="1"/>
  <c r="L5" i="1"/>
  <c r="L38" i="1"/>
  <c r="L22" i="1"/>
  <c r="L37" i="1"/>
  <c r="L25" i="1"/>
  <c r="L28" i="1"/>
  <c r="L24" i="1"/>
  <c r="L9" i="1"/>
  <c r="L29" i="1"/>
  <c r="L11" i="1"/>
  <c r="L27" i="1"/>
  <c r="M2" i="1"/>
  <c r="L43" i="1"/>
  <c r="L23" i="1"/>
  <c r="L31" i="1"/>
  <c r="L4" i="1"/>
  <c r="L20" i="1"/>
  <c r="L19" i="1"/>
  <c r="L36" i="1"/>
  <c r="Q66" i="4"/>
  <c r="Q62" i="4"/>
  <c r="V20" i="6" s="1"/>
  <c r="G120" i="2"/>
  <c r="E124" i="2"/>
  <c r="K29" i="2"/>
  <c r="C27" i="14"/>
  <c r="H10" i="6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G12" i="6" l="1"/>
  <c r="H104" i="4"/>
  <c r="H62" i="4" s="1"/>
  <c r="F132" i="2"/>
  <c r="M36" i="1"/>
  <c r="M22" i="1"/>
  <c r="M44" i="1"/>
  <c r="M28" i="1"/>
  <c r="M5" i="1"/>
  <c r="M39" i="1"/>
  <c r="M23" i="1"/>
  <c r="M8" i="1"/>
  <c r="M38" i="1"/>
  <c r="M20" i="1"/>
  <c r="M37" i="1"/>
  <c r="M14" i="1"/>
  <c r="M32" i="1"/>
  <c r="M7" i="1"/>
  <c r="M45" i="1"/>
  <c r="M35" i="1"/>
  <c r="M16" i="1"/>
  <c r="M31" i="1"/>
  <c r="M19" i="1"/>
  <c r="M3" i="1"/>
  <c r="M24" i="1"/>
  <c r="M11" i="1"/>
  <c r="M4" i="1"/>
  <c r="M9" i="1"/>
  <c r="M6" i="1"/>
  <c r="M13" i="1"/>
  <c r="M10" i="1"/>
  <c r="M43" i="1"/>
  <c r="N2" i="1"/>
  <c r="M42" i="1"/>
  <c r="M33" i="1"/>
  <c r="M29" i="1"/>
  <c r="M27" i="1"/>
  <c r="M26" i="1"/>
  <c r="M25" i="1"/>
  <c r="K95" i="2"/>
  <c r="I86" i="2"/>
  <c r="F46" i="5"/>
  <c r="G124" i="2"/>
  <c r="E127" i="2"/>
  <c r="G127" i="2" s="1"/>
  <c r="E128" i="2" s="1"/>
  <c r="G128" i="2" s="1"/>
  <c r="G116" i="2" s="1"/>
  <c r="K86" i="2"/>
  <c r="F18" i="6"/>
  <c r="I2" i="4"/>
  <c r="F12" i="3"/>
  <c r="X53" i="4"/>
  <c r="J106" i="2"/>
  <c r="N106" i="2" s="1"/>
  <c r="E106" i="2"/>
  <c r="G108" i="2"/>
  <c r="G106" i="2" s="1"/>
  <c r="F106" i="2" s="1"/>
  <c r="I65" i="2"/>
  <c r="K58" i="2"/>
  <c r="I120" i="2"/>
  <c r="K152" i="2"/>
  <c r="I62" i="2"/>
  <c r="K62" i="2" s="1"/>
  <c r="K60" i="2"/>
  <c r="K27" i="2"/>
  <c r="J29" i="2"/>
  <c r="H12" i="3"/>
  <c r="X2" i="4"/>
  <c r="Z1" i="6"/>
  <c r="Y11" i="6" s="1"/>
  <c r="Y20" i="6"/>
  <c r="X11" i="6"/>
  <c r="X17" i="6"/>
  <c r="Y17" i="6"/>
  <c r="Y9" i="6"/>
  <c r="X9" i="6"/>
  <c r="V77" i="4"/>
  <c r="H21" i="6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H12" i="6"/>
  <c r="G14" i="6"/>
  <c r="E144" i="2" l="1"/>
  <c r="H103" i="4"/>
  <c r="H61" i="4" s="1"/>
  <c r="J12" i="3"/>
  <c r="F5" i="3"/>
  <c r="D5" i="5" s="1"/>
  <c r="I66" i="2"/>
  <c r="K66" i="2" s="1"/>
  <c r="I67" i="2" s="1"/>
  <c r="K65" i="2"/>
  <c r="E116" i="2"/>
  <c r="F116" i="2" s="1"/>
  <c r="K120" i="2"/>
  <c r="I5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N36" i="1"/>
  <c r="N27" i="1"/>
  <c r="N9" i="1"/>
  <c r="N20" i="1"/>
  <c r="N6" i="1"/>
  <c r="N14" i="1"/>
  <c r="N43" i="1"/>
  <c r="N22" i="1"/>
  <c r="N45" i="1"/>
  <c r="N35" i="1"/>
  <c r="N5" i="1"/>
  <c r="N44" i="1"/>
  <c r="N39" i="1"/>
  <c r="N24" i="1"/>
  <c r="N33" i="1"/>
  <c r="N13" i="1"/>
  <c r="N4" i="1"/>
  <c r="N37" i="1"/>
  <c r="N7" i="1"/>
  <c r="O2" i="1"/>
  <c r="N29" i="1"/>
  <c r="N31" i="1"/>
  <c r="N16" i="1"/>
  <c r="N10" i="1"/>
  <c r="N8" i="1"/>
  <c r="N19" i="1"/>
  <c r="N3" i="1"/>
  <c r="N11" i="1"/>
  <c r="N42" i="1"/>
  <c r="N38" i="1"/>
  <c r="N32" i="1"/>
  <c r="N23" i="1"/>
  <c r="N25" i="1"/>
  <c r="N28" i="1"/>
  <c r="N26" i="1"/>
  <c r="J27" i="2"/>
  <c r="K24" i="2"/>
  <c r="J24" i="2" s="1"/>
  <c r="U61" i="4"/>
  <c r="H14" i="3"/>
  <c r="J14" i="3" s="1"/>
  <c r="I100" i="2"/>
  <c r="K100" i="2" s="1"/>
  <c r="J86" i="2"/>
  <c r="X10" i="6"/>
  <c r="Y10" i="6" s="1"/>
  <c r="Z10" i="6" s="1"/>
  <c r="Y21" i="6"/>
  <c r="H5" i="3"/>
  <c r="F5" i="5" s="1"/>
  <c r="I153" i="2"/>
  <c r="I154" i="2"/>
  <c r="K154" i="2" s="1"/>
  <c r="I155" i="2" s="1"/>
  <c r="K155" i="2" s="1"/>
  <c r="S114" i="2"/>
  <c r="S116" i="2" s="1"/>
  <c r="S118" i="2" s="1"/>
  <c r="AA1" i="6"/>
  <c r="Z9" i="6"/>
  <c r="Z17" i="6"/>
  <c r="Z11" i="6"/>
  <c r="I12" i="6"/>
  <c r="H14" i="6"/>
  <c r="I68" i="2" l="1"/>
  <c r="K67" i="2"/>
  <c r="K124" i="2" s="1"/>
  <c r="I124" i="2"/>
  <c r="AB1" i="6"/>
  <c r="AA9" i="6" s="1"/>
  <c r="V53" i="4"/>
  <c r="U154" i="4"/>
  <c r="C5" i="6"/>
  <c r="D6" i="5"/>
  <c r="D7" i="5" s="1"/>
  <c r="Z20" i="6"/>
  <c r="Z21" i="6" s="1"/>
  <c r="J5" i="3"/>
  <c r="Z18" i="6"/>
  <c r="K153" i="2"/>
  <c r="F25" i="3"/>
  <c r="T5" i="5"/>
  <c r="T6" i="5" s="1"/>
  <c r="C11" i="6"/>
  <c r="F6" i="5"/>
  <c r="F7" i="5" s="1"/>
  <c r="I71" i="2"/>
  <c r="K71" i="2" s="1"/>
  <c r="K51" i="2"/>
  <c r="O39" i="1"/>
  <c r="O25" i="1"/>
  <c r="O6" i="1"/>
  <c r="O32" i="1"/>
  <c r="O4" i="1"/>
  <c r="O7" i="1"/>
  <c r="O37" i="1"/>
  <c r="O20" i="1"/>
  <c r="O36" i="1"/>
  <c r="O19" i="1"/>
  <c r="O35" i="1"/>
  <c r="O3" i="1"/>
  <c r="O29" i="1"/>
  <c r="O10" i="1"/>
  <c r="O26" i="1"/>
  <c r="O23" i="1"/>
  <c r="O45" i="1"/>
  <c r="O13" i="1"/>
  <c r="O43" i="1"/>
  <c r="O9" i="1"/>
  <c r="O38" i="1"/>
  <c r="O11" i="1"/>
  <c r="O33" i="1"/>
  <c r="O14" i="1"/>
  <c r="O31" i="1"/>
  <c r="P2" i="1"/>
  <c r="O44" i="1"/>
  <c r="O42" i="1"/>
  <c r="O28" i="1"/>
  <c r="O27" i="1"/>
  <c r="O24" i="1"/>
  <c r="O22" i="1"/>
  <c r="O16" i="1"/>
  <c r="O8" i="1"/>
  <c r="O5" i="1"/>
  <c r="E145" i="2"/>
  <c r="G144" i="2"/>
  <c r="H25" i="3"/>
  <c r="J12" i="6"/>
  <c r="I14" i="6"/>
  <c r="AA10" i="6" l="1"/>
  <c r="AA20" i="6"/>
  <c r="AA21" i="6" s="1"/>
  <c r="H44" i="4"/>
  <c r="G145" i="2"/>
  <c r="P39" i="1"/>
  <c r="P25" i="1"/>
  <c r="P13" i="1"/>
  <c r="P32" i="1"/>
  <c r="P14" i="1"/>
  <c r="P3" i="1"/>
  <c r="P28" i="1"/>
  <c r="P16" i="1"/>
  <c r="P45" i="1"/>
  <c r="P27" i="1"/>
  <c r="P10" i="1"/>
  <c r="P44" i="1"/>
  <c r="P26" i="1"/>
  <c r="P8" i="1"/>
  <c r="P38" i="1"/>
  <c r="P22" i="1"/>
  <c r="P4" i="1"/>
  <c r="P43" i="1"/>
  <c r="P11" i="1"/>
  <c r="P37" i="1"/>
  <c r="P7" i="1"/>
  <c r="P29" i="1"/>
  <c r="P23" i="1"/>
  <c r="P19" i="1"/>
  <c r="P9" i="1"/>
  <c r="P5" i="1"/>
  <c r="P42" i="1"/>
  <c r="P36" i="1"/>
  <c r="P35" i="1"/>
  <c r="P33" i="1"/>
  <c r="P31" i="1"/>
  <c r="P24" i="1"/>
  <c r="P20" i="1"/>
  <c r="P6" i="1"/>
  <c r="Q2" i="1"/>
  <c r="AA17" i="6"/>
  <c r="K68" i="2"/>
  <c r="I125" i="2"/>
  <c r="AC1" i="6"/>
  <c r="G143" i="2"/>
  <c r="AA18" i="6"/>
  <c r="AA11" i="6"/>
  <c r="E143" i="2"/>
  <c r="K12" i="6"/>
  <c r="J14" i="6"/>
  <c r="I69" i="2" l="1"/>
  <c r="K125" i="2"/>
  <c r="F143" i="2"/>
  <c r="H105" i="4"/>
  <c r="AD1" i="6"/>
  <c r="AC20" i="6"/>
  <c r="AC11" i="6"/>
  <c r="AC17" i="6"/>
  <c r="AC9" i="6"/>
  <c r="F9" i="2"/>
  <c r="H15" i="5"/>
  <c r="E148" i="2"/>
  <c r="E156" i="2"/>
  <c r="Q39" i="1"/>
  <c r="Q24" i="1"/>
  <c r="Q11" i="1"/>
  <c r="Q32" i="1"/>
  <c r="Q29" i="1"/>
  <c r="Q5" i="1"/>
  <c r="Q37" i="1"/>
  <c r="Q8" i="1"/>
  <c r="Q36" i="1"/>
  <c r="Q6" i="1"/>
  <c r="Q35" i="1"/>
  <c r="Q27" i="1"/>
  <c r="Q16" i="1"/>
  <c r="Q25" i="1"/>
  <c r="Q33" i="1"/>
  <c r="Q4" i="1"/>
  <c r="Q31" i="1"/>
  <c r="Q20" i="1"/>
  <c r="Q43" i="1"/>
  <c r="Q23" i="1"/>
  <c r="Q38" i="1"/>
  <c r="Q7" i="1"/>
  <c r="Q28" i="1"/>
  <c r="Q26" i="1"/>
  <c r="Q22" i="1"/>
  <c r="Q42" i="1"/>
  <c r="Q19" i="1"/>
  <c r="Q13" i="1"/>
  <c r="Q10" i="1"/>
  <c r="R2" i="1"/>
  <c r="Q9" i="1"/>
  <c r="Q14" i="1"/>
  <c r="Q3" i="1"/>
  <c r="Q44" i="1"/>
  <c r="Q45" i="1"/>
  <c r="AB17" i="6"/>
  <c r="AB18" i="6" s="1"/>
  <c r="AB9" i="6"/>
  <c r="AB10" i="6" s="1"/>
  <c r="AC10" i="6" s="1"/>
  <c r="AB20" i="6"/>
  <c r="AB21" i="6" s="1"/>
  <c r="AB11" i="6"/>
  <c r="K14" i="6"/>
  <c r="L12" i="6"/>
  <c r="AC18" i="6" l="1"/>
  <c r="R39" i="1"/>
  <c r="R11" i="1"/>
  <c r="R27" i="1"/>
  <c r="R32" i="1"/>
  <c r="R5" i="1"/>
  <c r="R20" i="1"/>
  <c r="R16" i="1"/>
  <c r="R22" i="1"/>
  <c r="R45" i="1"/>
  <c r="R14" i="1"/>
  <c r="R25" i="1"/>
  <c r="R44" i="1"/>
  <c r="R13" i="1"/>
  <c r="S2" i="1"/>
  <c r="R38" i="1"/>
  <c r="R8" i="1"/>
  <c r="R3" i="1"/>
  <c r="R10" i="1"/>
  <c r="R7" i="1"/>
  <c r="R6" i="1"/>
  <c r="R28" i="1"/>
  <c r="R42" i="1"/>
  <c r="R24" i="1"/>
  <c r="R37" i="1"/>
  <c r="R4" i="1"/>
  <c r="R36" i="1"/>
  <c r="R23" i="1"/>
  <c r="R19" i="1"/>
  <c r="R9" i="1"/>
  <c r="R31" i="1"/>
  <c r="R26" i="1"/>
  <c r="R29" i="1"/>
  <c r="R43" i="1"/>
  <c r="R35" i="1"/>
  <c r="R33" i="1"/>
  <c r="AC21" i="6"/>
  <c r="AE1" i="6"/>
  <c r="AD17" i="6" s="1"/>
  <c r="AD9" i="6"/>
  <c r="AD10" i="6" s="1"/>
  <c r="AD20" i="6"/>
  <c r="AD21" i="6" s="1"/>
  <c r="AD11" i="6"/>
  <c r="G156" i="2"/>
  <c r="H48" i="4" s="1"/>
  <c r="H116" i="4"/>
  <c r="H111" i="4"/>
  <c r="H63" i="4"/>
  <c r="G148" i="2"/>
  <c r="E147" i="2"/>
  <c r="I129" i="2"/>
  <c r="I70" i="2"/>
  <c r="K69" i="2"/>
  <c r="I79" i="2"/>
  <c r="L14" i="6"/>
  <c r="M12" i="6"/>
  <c r="I74" i="2" l="1"/>
  <c r="I81" i="2"/>
  <c r="K81" i="2" s="1"/>
  <c r="G147" i="2"/>
  <c r="F147" i="2" s="1"/>
  <c r="E151" i="2"/>
  <c r="I130" i="2"/>
  <c r="K129" i="2"/>
  <c r="AD18" i="6"/>
  <c r="I83" i="2"/>
  <c r="K83" i="2" s="1"/>
  <c r="I82" i="2"/>
  <c r="K82" i="2" s="1"/>
  <c r="K79" i="2"/>
  <c r="I144" i="2"/>
  <c r="I80" i="2"/>
  <c r="K80" i="2" s="1"/>
  <c r="K70" i="2"/>
  <c r="I126" i="2"/>
  <c r="S42" i="1"/>
  <c r="S35" i="1"/>
  <c r="S7" i="1"/>
  <c r="S26" i="1"/>
  <c r="S4" i="1"/>
  <c r="S6" i="1"/>
  <c r="S36" i="1"/>
  <c r="T2" i="1"/>
  <c r="S33" i="1"/>
  <c r="S23" i="1"/>
  <c r="S31" i="1"/>
  <c r="S3" i="1"/>
  <c r="S22" i="1"/>
  <c r="S11" i="1"/>
  <c r="S32" i="1"/>
  <c r="S20" i="1"/>
  <c r="S44" i="1"/>
  <c r="S9" i="1"/>
  <c r="S24" i="1"/>
  <c r="S13" i="1"/>
  <c r="S39" i="1"/>
  <c r="S27" i="1"/>
  <c r="S25" i="1"/>
  <c r="S16" i="1"/>
  <c r="S5" i="1"/>
  <c r="S19" i="1"/>
  <c r="S8" i="1"/>
  <c r="S10" i="1"/>
  <c r="S45" i="1"/>
  <c r="S29" i="1"/>
  <c r="S38" i="1"/>
  <c r="S28" i="1"/>
  <c r="S43" i="1"/>
  <c r="S37" i="1"/>
  <c r="S14" i="1"/>
  <c r="AF1" i="6"/>
  <c r="AE20" i="6"/>
  <c r="AE21" i="6" s="1"/>
  <c r="AE9" i="6"/>
  <c r="AE10" i="6" s="1"/>
  <c r="AE17" i="6"/>
  <c r="AE11" i="6"/>
  <c r="N12" i="6"/>
  <c r="M14" i="6"/>
  <c r="K130" i="2" l="1"/>
  <c r="AE18" i="6"/>
  <c r="G151" i="2"/>
  <c r="AG1" i="6"/>
  <c r="AF9" i="6" s="1"/>
  <c r="AF10" i="6" s="1"/>
  <c r="K126" i="2"/>
  <c r="I127" i="2"/>
  <c r="K74" i="2"/>
  <c r="I75" i="2" s="1"/>
  <c r="K75" i="2" s="1"/>
  <c r="K40" i="2" s="1"/>
  <c r="J40" i="2" s="1"/>
  <c r="I40" i="2"/>
  <c r="I78" i="2"/>
  <c r="T33" i="1"/>
  <c r="T4" i="1"/>
  <c r="T22" i="1"/>
  <c r="T35" i="1"/>
  <c r="T7" i="1"/>
  <c r="T16" i="1"/>
  <c r="T25" i="1"/>
  <c r="T26" i="1"/>
  <c r="T44" i="1"/>
  <c r="T29" i="1"/>
  <c r="T10" i="1"/>
  <c r="T42" i="1"/>
  <c r="T23" i="1"/>
  <c r="U2" i="1"/>
  <c r="T45" i="1"/>
  <c r="T14" i="1"/>
  <c r="T6" i="1"/>
  <c r="T39" i="1"/>
  <c r="T13" i="1"/>
  <c r="T24" i="1"/>
  <c r="T32" i="1"/>
  <c r="T36" i="1"/>
  <c r="T19" i="1"/>
  <c r="T43" i="1"/>
  <c r="T37" i="1"/>
  <c r="T27" i="1"/>
  <c r="T8" i="1"/>
  <c r="T38" i="1"/>
  <c r="T31" i="1"/>
  <c r="T3" i="1"/>
  <c r="T20" i="1"/>
  <c r="T11" i="1"/>
  <c r="T9" i="1"/>
  <c r="T28" i="1"/>
  <c r="T5" i="1"/>
  <c r="I145" i="2"/>
  <c r="K145" i="2" s="1"/>
  <c r="K144" i="2"/>
  <c r="K143" i="2" s="1"/>
  <c r="K78" i="2"/>
  <c r="J78" i="2" s="1"/>
  <c r="O12" i="6"/>
  <c r="N14" i="6"/>
  <c r="E152" i="2" l="1"/>
  <c r="AF11" i="6"/>
  <c r="K127" i="2"/>
  <c r="I128" i="2"/>
  <c r="K128" i="2" s="1"/>
  <c r="I143" i="2"/>
  <c r="J143" i="2" s="1"/>
  <c r="N143" i="2" s="1"/>
  <c r="AF20" i="6"/>
  <c r="AF21" i="6" s="1"/>
  <c r="K116" i="2"/>
  <c r="U39" i="1"/>
  <c r="U25" i="1"/>
  <c r="U7" i="1"/>
  <c r="U32" i="1"/>
  <c r="U10" i="1"/>
  <c r="V2" i="1"/>
  <c r="U37" i="1"/>
  <c r="U20" i="1"/>
  <c r="U36" i="1"/>
  <c r="U13" i="1"/>
  <c r="U35" i="1"/>
  <c r="U8" i="1"/>
  <c r="U29" i="1"/>
  <c r="U11" i="1"/>
  <c r="U26" i="1"/>
  <c r="U23" i="1"/>
  <c r="U27" i="1"/>
  <c r="U22" i="1"/>
  <c r="U45" i="1"/>
  <c r="U14" i="1"/>
  <c r="U44" i="1"/>
  <c r="U9" i="1"/>
  <c r="U43" i="1"/>
  <c r="U5" i="1"/>
  <c r="U42" i="1"/>
  <c r="U38" i="1"/>
  <c r="U33" i="1"/>
  <c r="U31" i="1"/>
  <c r="U28" i="1"/>
  <c r="U24" i="1"/>
  <c r="U6" i="1"/>
  <c r="U3" i="1"/>
  <c r="U19" i="1"/>
  <c r="U4" i="1"/>
  <c r="U16" i="1"/>
  <c r="I156" i="2"/>
  <c r="J9" i="2"/>
  <c r="AH1" i="6"/>
  <c r="AG11" i="6" s="1"/>
  <c r="AG20" i="6"/>
  <c r="AG21" i="6" s="1"/>
  <c r="AF17" i="6"/>
  <c r="AF18" i="6" s="1"/>
  <c r="P12" i="6"/>
  <c r="O14" i="6"/>
  <c r="AG17" i="6" l="1"/>
  <c r="AG18" i="6" s="1"/>
  <c r="AH18" i="6" s="1"/>
  <c r="AG9" i="6"/>
  <c r="AG10" i="6" s="1"/>
  <c r="V36" i="1"/>
  <c r="V20" i="1"/>
  <c r="V10" i="1"/>
  <c r="V35" i="1"/>
  <c r="V9" i="1"/>
  <c r="V3" i="1"/>
  <c r="V27" i="1"/>
  <c r="V19" i="1"/>
  <c r="V45" i="1"/>
  <c r="V25" i="1"/>
  <c r="V28" i="1"/>
  <c r="V44" i="1"/>
  <c r="V23" i="1"/>
  <c r="V26" i="1"/>
  <c r="V33" i="1"/>
  <c r="W2" i="1"/>
  <c r="V6" i="1"/>
  <c r="V42" i="1"/>
  <c r="V7" i="1"/>
  <c r="V31" i="1"/>
  <c r="V13" i="1"/>
  <c r="V43" i="1"/>
  <c r="V4" i="1"/>
  <c r="V37" i="1"/>
  <c r="V29" i="1"/>
  <c r="V22" i="1"/>
  <c r="V16" i="1"/>
  <c r="V38" i="1"/>
  <c r="V39" i="1"/>
  <c r="V32" i="1"/>
  <c r="V14" i="1"/>
  <c r="V11" i="1"/>
  <c r="V5" i="1"/>
  <c r="V8" i="1"/>
  <c r="V24" i="1"/>
  <c r="G152" i="2"/>
  <c r="AI1" i="6"/>
  <c r="AH20" i="6"/>
  <c r="AH21" i="6" s="1"/>
  <c r="AH9" i="6"/>
  <c r="AH17" i="6"/>
  <c r="K156" i="2"/>
  <c r="I150" i="2"/>
  <c r="I116" i="2"/>
  <c r="J116" i="2" s="1"/>
  <c r="N116" i="2" s="1"/>
  <c r="P14" i="6"/>
  <c r="Q12" i="6"/>
  <c r="AJ1" i="6" l="1"/>
  <c r="AI20" i="6"/>
  <c r="AI21" i="6" s="1"/>
  <c r="AI17" i="6"/>
  <c r="AI18" i="6" s="1"/>
  <c r="AI11" i="6"/>
  <c r="AI9" i="6"/>
  <c r="W39" i="1"/>
  <c r="W25" i="1"/>
  <c r="W16" i="1"/>
  <c r="W32" i="1"/>
  <c r="W3" i="1"/>
  <c r="W9" i="1"/>
  <c r="W37" i="1"/>
  <c r="W20" i="1"/>
  <c r="W36" i="1"/>
  <c r="W4" i="1"/>
  <c r="W35" i="1"/>
  <c r="W19" i="1"/>
  <c r="W29" i="1"/>
  <c r="W8" i="1"/>
  <c r="W33" i="1"/>
  <c r="W7" i="1"/>
  <c r="W28" i="1"/>
  <c r="W14" i="1"/>
  <c r="W22" i="1"/>
  <c r="W45" i="1"/>
  <c r="W10" i="1"/>
  <c r="W43" i="1"/>
  <c r="W11" i="1"/>
  <c r="W42" i="1"/>
  <c r="W5" i="1"/>
  <c r="W38" i="1"/>
  <c r="X2" i="1"/>
  <c r="W26" i="1"/>
  <c r="W24" i="1"/>
  <c r="W23" i="1"/>
  <c r="W13" i="1"/>
  <c r="W6" i="1"/>
  <c r="W44" i="1"/>
  <c r="W31" i="1"/>
  <c r="W27" i="1"/>
  <c r="AH11" i="6"/>
  <c r="E153" i="2"/>
  <c r="H106" i="4"/>
  <c r="H64" i="4" s="1"/>
  <c r="E154" i="2"/>
  <c r="G154" i="2" s="1"/>
  <c r="H16" i="5"/>
  <c r="AH10" i="6"/>
  <c r="H136" i="4"/>
  <c r="K150" i="2"/>
  <c r="J150" i="2" s="1"/>
  <c r="N150" i="2" s="1"/>
  <c r="Q14" i="6"/>
  <c r="R12" i="6"/>
  <c r="E155" i="2" l="1"/>
  <c r="G155" i="2" s="1"/>
  <c r="H125" i="4" s="1"/>
  <c r="H107" i="4"/>
  <c r="X39" i="1"/>
  <c r="X25" i="1"/>
  <c r="X11" i="1"/>
  <c r="X32" i="1"/>
  <c r="X16" i="1"/>
  <c r="X5" i="1"/>
  <c r="X45" i="1"/>
  <c r="X27" i="1"/>
  <c r="X7" i="1"/>
  <c r="X44" i="1"/>
  <c r="X26" i="1"/>
  <c r="X4" i="1"/>
  <c r="X38" i="1"/>
  <c r="X22" i="1"/>
  <c r="X9" i="1"/>
  <c r="X28" i="1"/>
  <c r="X23" i="1"/>
  <c r="X33" i="1"/>
  <c r="X3" i="1"/>
  <c r="X29" i="1"/>
  <c r="X20" i="1"/>
  <c r="X19" i="1"/>
  <c r="X13" i="1"/>
  <c r="X10" i="1"/>
  <c r="X8" i="1"/>
  <c r="X6" i="1"/>
  <c r="Y2" i="1"/>
  <c r="X14" i="1"/>
  <c r="X43" i="1"/>
  <c r="X42" i="1"/>
  <c r="X37" i="1"/>
  <c r="X36" i="1"/>
  <c r="X35" i="1"/>
  <c r="X24" i="1"/>
  <c r="X31" i="1"/>
  <c r="H17" i="5"/>
  <c r="G3" i="6" s="1"/>
  <c r="AC3" i="6"/>
  <c r="T3" i="6"/>
  <c r="Z3" i="6"/>
  <c r="V3" i="6"/>
  <c r="P3" i="6"/>
  <c r="AD3" i="6"/>
  <c r="X3" i="6"/>
  <c r="AA3" i="6"/>
  <c r="I3" i="6"/>
  <c r="U3" i="6"/>
  <c r="J3" i="6"/>
  <c r="O3" i="6"/>
  <c r="M3" i="6"/>
  <c r="R3" i="6"/>
  <c r="Y3" i="6"/>
  <c r="W3" i="6"/>
  <c r="L3" i="6"/>
  <c r="H3" i="6"/>
  <c r="F3" i="6"/>
  <c r="S3" i="6"/>
  <c r="Q3" i="6"/>
  <c r="AE3" i="6"/>
  <c r="AF3" i="6"/>
  <c r="AG3" i="6"/>
  <c r="AH3" i="6"/>
  <c r="G153" i="2"/>
  <c r="G150" i="2" s="1"/>
  <c r="F150" i="2" s="1"/>
  <c r="E150" i="2"/>
  <c r="AI3" i="6"/>
  <c r="AI10" i="6"/>
  <c r="AK1" i="6"/>
  <c r="AJ11" i="6" s="1"/>
  <c r="AJ20" i="6"/>
  <c r="AJ21" i="6" s="1"/>
  <c r="AJ17" i="6"/>
  <c r="AJ18" i="6" s="1"/>
  <c r="AJ3" i="6"/>
  <c r="R14" i="6"/>
  <c r="S12" i="6"/>
  <c r="Y39" i="1" l="1"/>
  <c r="Y20" i="1"/>
  <c r="Y6" i="1"/>
  <c r="Y31" i="1"/>
  <c r="Y7" i="1"/>
  <c r="Y22" i="1"/>
  <c r="Y36" i="1"/>
  <c r="Y9" i="1"/>
  <c r="Y35" i="1"/>
  <c r="Y5" i="1"/>
  <c r="Y29" i="1"/>
  <c r="Y10" i="1"/>
  <c r="Y19" i="1"/>
  <c r="Y44" i="1"/>
  <c r="Y14" i="1"/>
  <c r="Y11" i="1"/>
  <c r="Y38" i="1"/>
  <c r="Y26" i="1"/>
  <c r="Y37" i="1"/>
  <c r="Z2" i="1"/>
  <c r="Y33" i="1"/>
  <c r="Y24" i="1"/>
  <c r="Y16" i="1"/>
  <c r="Y28" i="1"/>
  <c r="Y13" i="1"/>
  <c r="Y8" i="1"/>
  <c r="Y4" i="1"/>
  <c r="Y45" i="1"/>
  <c r="Y3" i="1"/>
  <c r="Y43" i="1"/>
  <c r="Y42" i="1"/>
  <c r="Y23" i="1"/>
  <c r="Y27" i="1"/>
  <c r="Y25" i="1"/>
  <c r="Y32" i="1"/>
  <c r="AJ9" i="6"/>
  <c r="N3" i="6"/>
  <c r="AB3" i="6"/>
  <c r="H108" i="4"/>
  <c r="H66" i="4" s="1"/>
  <c r="H77" i="4" s="1"/>
  <c r="H112" i="4"/>
  <c r="H113" i="4" s="1"/>
  <c r="H65" i="4"/>
  <c r="F4" i="6"/>
  <c r="AL1" i="6"/>
  <c r="AK11" i="6"/>
  <c r="AK9" i="6"/>
  <c r="AJ10" i="6"/>
  <c r="K3" i="6"/>
  <c r="T12" i="6"/>
  <c r="S14" i="6"/>
  <c r="G4" i="6" l="1"/>
  <c r="W5" i="6"/>
  <c r="O5" i="6"/>
  <c r="AH5" i="6"/>
  <c r="AC5" i="6"/>
  <c r="AA5" i="6"/>
  <c r="AI5" i="6"/>
  <c r="Y5" i="6"/>
  <c r="Z5" i="6"/>
  <c r="AG5" i="6"/>
  <c r="L5" i="6"/>
  <c r="AB5" i="6"/>
  <c r="AF5" i="6"/>
  <c r="AE5" i="6"/>
  <c r="U5" i="6"/>
  <c r="V5" i="6"/>
  <c r="S5" i="6"/>
  <c r="I5" i="6"/>
  <c r="F5" i="6"/>
  <c r="K5" i="6"/>
  <c r="G5" i="6"/>
  <c r="J5" i="6"/>
  <c r="N5" i="6"/>
  <c r="AD5" i="6"/>
  <c r="X5" i="6"/>
  <c r="R5" i="6"/>
  <c r="T5" i="6"/>
  <c r="M5" i="6"/>
  <c r="H5" i="6"/>
  <c r="P5" i="6"/>
  <c r="Q5" i="6"/>
  <c r="AM1" i="6"/>
  <c r="AL17" i="6"/>
  <c r="AK10" i="6"/>
  <c r="AK3" i="6"/>
  <c r="AK17" i="6"/>
  <c r="AK18" i="6" s="1"/>
  <c r="Z39" i="1"/>
  <c r="Z20" i="1"/>
  <c r="Z28" i="1"/>
  <c r="Z31" i="1"/>
  <c r="Z10" i="1"/>
  <c r="Z22" i="1"/>
  <c r="Z45" i="1"/>
  <c r="Z25" i="1"/>
  <c r="Z26" i="1"/>
  <c r="Z44" i="1"/>
  <c r="Z23" i="1"/>
  <c r="AA2" i="1"/>
  <c r="Z38" i="1"/>
  <c r="Z14" i="1"/>
  <c r="Z4" i="1"/>
  <c r="Z13" i="1"/>
  <c r="Z42" i="1"/>
  <c r="Z9" i="1"/>
  <c r="Z35" i="1"/>
  <c r="Z3" i="1"/>
  <c r="Z27" i="1"/>
  <c r="Z19" i="1"/>
  <c r="Z16" i="1"/>
  <c r="Z11" i="1"/>
  <c r="Z8" i="1"/>
  <c r="Z7" i="1"/>
  <c r="Z6" i="1"/>
  <c r="Z5" i="1"/>
  <c r="Z24" i="1"/>
  <c r="Z43" i="1"/>
  <c r="Z37" i="1"/>
  <c r="Z36" i="1"/>
  <c r="Z33" i="1"/>
  <c r="Z32" i="1"/>
  <c r="Z29" i="1"/>
  <c r="AK5" i="6"/>
  <c r="AK20" i="6"/>
  <c r="AK21" i="6" s="1"/>
  <c r="AJ5" i="6"/>
  <c r="U12" i="6"/>
  <c r="T14" i="6"/>
  <c r="AN1" i="6" l="1"/>
  <c r="AM20" i="6"/>
  <c r="AM17" i="6"/>
  <c r="AM3" i="6"/>
  <c r="AM9" i="6"/>
  <c r="AM5" i="6"/>
  <c r="AM11" i="6"/>
  <c r="AL11" i="6"/>
  <c r="AL10" i="6"/>
  <c r="AM10" i="6" s="1"/>
  <c r="F6" i="6"/>
  <c r="AL3" i="6"/>
  <c r="AL5" i="6"/>
  <c r="H4" i="6"/>
  <c r="AA35" i="1"/>
  <c r="AA10" i="1"/>
  <c r="AA14" i="1"/>
  <c r="AA36" i="1"/>
  <c r="AA24" i="1"/>
  <c r="AA7" i="1"/>
  <c r="AA44" i="1"/>
  <c r="AA33" i="1"/>
  <c r="AA31" i="1"/>
  <c r="AA4" i="1"/>
  <c r="AA42" i="1"/>
  <c r="AA38" i="1"/>
  <c r="AA39" i="1"/>
  <c r="AA9" i="1"/>
  <c r="AA32" i="1"/>
  <c r="AA22" i="1"/>
  <c r="AA8" i="1"/>
  <c r="AA43" i="1"/>
  <c r="AA16" i="1"/>
  <c r="AA37" i="1"/>
  <c r="AA11" i="1"/>
  <c r="AA29" i="1"/>
  <c r="AA25" i="1"/>
  <c r="AA13" i="1"/>
  <c r="AA6" i="1"/>
  <c r="AB2" i="1"/>
  <c r="AA3" i="1"/>
  <c r="AA5" i="1"/>
  <c r="AA19" i="1"/>
  <c r="AA23" i="1"/>
  <c r="AA45" i="1"/>
  <c r="AA27" i="1"/>
  <c r="AA28" i="1"/>
  <c r="AA20" i="1"/>
  <c r="AA26" i="1"/>
  <c r="AL20" i="6"/>
  <c r="AL21" i="6" s="1"/>
  <c r="AL18" i="6"/>
  <c r="AL9" i="6"/>
  <c r="V12" i="6"/>
  <c r="U14" i="6"/>
  <c r="AB35" i="1" l="1"/>
  <c r="AB22" i="1"/>
  <c r="AB6" i="1"/>
  <c r="AB36" i="1"/>
  <c r="AB11" i="1"/>
  <c r="AB8" i="1"/>
  <c r="AB45" i="1"/>
  <c r="AB26" i="1"/>
  <c r="AB23" i="1"/>
  <c r="AB43" i="1"/>
  <c r="AB24" i="1"/>
  <c r="AB10" i="1"/>
  <c r="AB32" i="1"/>
  <c r="AB3" i="1"/>
  <c r="AB19" i="1"/>
  <c r="AB29" i="1"/>
  <c r="AB7" i="1"/>
  <c r="AB42" i="1"/>
  <c r="AB27" i="1"/>
  <c r="AB37" i="1"/>
  <c r="AB13" i="1"/>
  <c r="AB31" i="1"/>
  <c r="AB28" i="1"/>
  <c r="AB25" i="1"/>
  <c r="AB4" i="1"/>
  <c r="AB16" i="1"/>
  <c r="AB14" i="1"/>
  <c r="AB9" i="1"/>
  <c r="AB5" i="1"/>
  <c r="AB20" i="1"/>
  <c r="AC2" i="1"/>
  <c r="AB33" i="1"/>
  <c r="AB39" i="1"/>
  <c r="AB44" i="1"/>
  <c r="AB38" i="1"/>
  <c r="AM18" i="6"/>
  <c r="I4" i="6"/>
  <c r="G6" i="6"/>
  <c r="F7" i="6"/>
  <c r="AM21" i="6"/>
  <c r="AO1" i="6"/>
  <c r="AN3" i="6"/>
  <c r="AN5" i="6"/>
  <c r="AN11" i="6"/>
  <c r="AN17" i="6"/>
  <c r="AN20" i="6"/>
  <c r="AN21" i="6" s="1"/>
  <c r="V14" i="6"/>
  <c r="W12" i="6"/>
  <c r="AC39" i="1" l="1"/>
  <c r="AC25" i="1"/>
  <c r="AC13" i="1"/>
  <c r="AC32" i="1"/>
  <c r="AC16" i="1"/>
  <c r="AC4" i="1"/>
  <c r="AC36" i="1"/>
  <c r="AC19" i="1"/>
  <c r="AC35" i="1"/>
  <c r="AC5" i="1"/>
  <c r="AC29" i="1"/>
  <c r="AC9" i="1"/>
  <c r="AC37" i="1"/>
  <c r="AC7" i="1"/>
  <c r="AC31" i="1"/>
  <c r="AD2" i="1"/>
  <c r="AC26" i="1"/>
  <c r="AC45" i="1"/>
  <c r="AC20" i="1"/>
  <c r="AC44" i="1"/>
  <c r="AC14" i="1"/>
  <c r="AC43" i="1"/>
  <c r="AC11" i="1"/>
  <c r="AC27" i="1"/>
  <c r="AC24" i="1"/>
  <c r="AC23" i="1"/>
  <c r="AC22" i="1"/>
  <c r="AC6" i="1"/>
  <c r="AC3" i="1"/>
  <c r="AC10" i="1"/>
  <c r="AC8" i="1"/>
  <c r="AC42" i="1"/>
  <c r="AC38" i="1"/>
  <c r="AC33" i="1"/>
  <c r="AC28" i="1"/>
  <c r="H6" i="6"/>
  <c r="G7" i="6"/>
  <c r="AP1" i="6"/>
  <c r="AO20" i="6" s="1"/>
  <c r="AO21" i="6" s="1"/>
  <c r="J4" i="6"/>
  <c r="AN9" i="6"/>
  <c r="AN10" i="6" s="1"/>
  <c r="AN18" i="6"/>
  <c r="X12" i="6"/>
  <c r="W14" i="6"/>
  <c r="K4" i="6" l="1"/>
  <c r="AO9" i="6"/>
  <c r="AO10" i="6" s="1"/>
  <c r="AP10" i="6" s="1"/>
  <c r="AO5" i="6"/>
  <c r="AO3" i="6"/>
  <c r="AO11" i="6"/>
  <c r="AO17" i="6"/>
  <c r="AD45" i="1"/>
  <c r="AD31" i="1"/>
  <c r="AD14" i="1"/>
  <c r="AD43" i="1"/>
  <c r="AD28" i="1"/>
  <c r="AD11" i="1"/>
  <c r="AD35" i="1"/>
  <c r="AD22" i="1"/>
  <c r="AD5" i="1"/>
  <c r="AD42" i="1"/>
  <c r="AD16" i="1"/>
  <c r="AD36" i="1"/>
  <c r="AD7" i="1"/>
  <c r="AD39" i="1"/>
  <c r="AD8" i="1"/>
  <c r="AD44" i="1"/>
  <c r="AD38" i="1"/>
  <c r="AD27" i="1"/>
  <c r="AD33" i="1"/>
  <c r="AD25" i="1"/>
  <c r="AD26" i="1"/>
  <c r="AD24" i="1"/>
  <c r="AD23" i="1"/>
  <c r="AD13" i="1"/>
  <c r="AD10" i="1"/>
  <c r="AD6" i="1"/>
  <c r="AE2" i="1"/>
  <c r="AD9" i="1"/>
  <c r="AD4" i="1"/>
  <c r="AD37" i="1"/>
  <c r="AD29" i="1"/>
  <c r="AD32" i="1"/>
  <c r="AD19" i="1"/>
  <c r="AD20" i="1"/>
  <c r="AD3" i="1"/>
  <c r="AQ1" i="6"/>
  <c r="AP11" i="6"/>
  <c r="AP20" i="6"/>
  <c r="AP21" i="6" s="1"/>
  <c r="AP17" i="6"/>
  <c r="AP9" i="6"/>
  <c r="AO18" i="6"/>
  <c r="I6" i="6"/>
  <c r="H7" i="6"/>
  <c r="X14" i="6"/>
  <c r="Y12" i="6"/>
  <c r="AE45" i="1" l="1"/>
  <c r="AE29" i="1"/>
  <c r="AE11" i="1"/>
  <c r="AE44" i="1"/>
  <c r="AE28" i="1"/>
  <c r="AE9" i="1"/>
  <c r="AE39" i="1"/>
  <c r="AE25" i="1"/>
  <c r="AE10" i="1"/>
  <c r="AE38" i="1"/>
  <c r="AE20" i="1"/>
  <c r="AE36" i="1"/>
  <c r="AE3" i="1"/>
  <c r="AE31" i="1"/>
  <c r="AE6" i="1"/>
  <c r="AE27" i="1"/>
  <c r="AE16" i="1"/>
  <c r="AE14" i="1"/>
  <c r="AE43" i="1"/>
  <c r="AE7" i="1"/>
  <c r="AE42" i="1"/>
  <c r="AE5" i="1"/>
  <c r="AE37" i="1"/>
  <c r="AE19" i="1"/>
  <c r="AE35" i="1"/>
  <c r="AE13" i="1"/>
  <c r="AE33" i="1"/>
  <c r="AF2" i="1"/>
  <c r="AE32" i="1"/>
  <c r="AE8" i="1"/>
  <c r="AE26" i="1"/>
  <c r="AE24" i="1"/>
  <c r="AE23" i="1"/>
  <c r="AE22" i="1"/>
  <c r="AE4" i="1"/>
  <c r="AP18" i="6"/>
  <c r="J6" i="6"/>
  <c r="I7" i="6"/>
  <c r="L4" i="6"/>
  <c r="AR1" i="6"/>
  <c r="AQ11" i="6"/>
  <c r="AQ20" i="6"/>
  <c r="AQ21" i="6" s="1"/>
  <c r="AQ9" i="6"/>
  <c r="AQ10" i="6" s="1"/>
  <c r="AQ3" i="6"/>
  <c r="AQ5" i="6"/>
  <c r="AP5" i="6"/>
  <c r="AP3" i="6"/>
  <c r="Y14" i="6"/>
  <c r="Z12" i="6"/>
  <c r="AS1" i="6" l="1"/>
  <c r="AR3" i="6" s="1"/>
  <c r="AR5" i="6"/>
  <c r="AR11" i="6"/>
  <c r="AR17" i="6"/>
  <c r="AR20" i="6"/>
  <c r="AR21" i="6" s="1"/>
  <c r="AR9" i="6"/>
  <c r="AR10" i="6" s="1"/>
  <c r="AQ17" i="6"/>
  <c r="AQ18" i="6" s="1"/>
  <c r="AR18" i="6" s="1"/>
  <c r="M4" i="6"/>
  <c r="AF45" i="1"/>
  <c r="AF29" i="1"/>
  <c r="AF10" i="1"/>
  <c r="AF44" i="1"/>
  <c r="AF28" i="1"/>
  <c r="AF8" i="1"/>
  <c r="AF39" i="1"/>
  <c r="AF25" i="1"/>
  <c r="AF14" i="1"/>
  <c r="AF24" i="1"/>
  <c r="AF9" i="1"/>
  <c r="AF42" i="1"/>
  <c r="AF22" i="1"/>
  <c r="AF11" i="1"/>
  <c r="AF27" i="1"/>
  <c r="AF4" i="1"/>
  <c r="AF26" i="1"/>
  <c r="AF33" i="1"/>
  <c r="AF7" i="1"/>
  <c r="AF32" i="1"/>
  <c r="AF31" i="1"/>
  <c r="AF23" i="1"/>
  <c r="AF20" i="1"/>
  <c r="AF19" i="1"/>
  <c r="AF16" i="1"/>
  <c r="AF43" i="1"/>
  <c r="AF13" i="1"/>
  <c r="AF5" i="1"/>
  <c r="AF38" i="1"/>
  <c r="AF37" i="1"/>
  <c r="AF35" i="1"/>
  <c r="AF36" i="1"/>
  <c r="AG2" i="1"/>
  <c r="AF6" i="1"/>
  <c r="AF3" i="1"/>
  <c r="K6" i="6"/>
  <c r="J7" i="6"/>
  <c r="AA12" i="6"/>
  <c r="Z14" i="6"/>
  <c r="L6" i="6" l="1"/>
  <c r="K7" i="6"/>
  <c r="N4" i="6"/>
  <c r="AG45" i="1"/>
  <c r="AG31" i="1"/>
  <c r="AG10" i="1"/>
  <c r="AG44" i="1"/>
  <c r="AG28" i="1"/>
  <c r="AG8" i="1"/>
  <c r="AG39" i="1"/>
  <c r="AG22" i="1"/>
  <c r="AG3" i="1"/>
  <c r="AG29" i="1"/>
  <c r="AG23" i="1"/>
  <c r="AG24" i="1"/>
  <c r="AG5" i="1"/>
  <c r="AG16" i="1"/>
  <c r="AG20" i="1"/>
  <c r="AH2" i="1"/>
  <c r="AG43" i="1"/>
  <c r="AG27" i="1"/>
  <c r="AG42" i="1"/>
  <c r="AG13" i="1"/>
  <c r="AG38" i="1"/>
  <c r="AG25" i="1"/>
  <c r="AG37" i="1"/>
  <c r="AG4" i="1"/>
  <c r="AG36" i="1"/>
  <c r="AG14" i="1"/>
  <c r="AG35" i="1"/>
  <c r="AG9" i="1"/>
  <c r="AG33" i="1"/>
  <c r="AG11" i="1"/>
  <c r="AG32" i="1"/>
  <c r="AG26" i="1"/>
  <c r="AG19" i="1"/>
  <c r="AG6" i="1"/>
  <c r="AG7" i="1"/>
  <c r="AT1" i="6"/>
  <c r="AA14" i="6"/>
  <c r="AB12" i="6"/>
  <c r="AU1" i="6" l="1"/>
  <c r="AT3" i="6" s="1"/>
  <c r="AT17" i="6"/>
  <c r="AT9" i="6"/>
  <c r="AT5" i="6"/>
  <c r="AT20" i="6"/>
  <c r="AH45" i="1"/>
  <c r="AH19" i="1"/>
  <c r="AH29" i="1"/>
  <c r="AH44" i="1"/>
  <c r="AH16" i="1"/>
  <c r="AH26" i="1"/>
  <c r="AH39" i="1"/>
  <c r="AH35" i="1"/>
  <c r="AH5" i="1"/>
  <c r="AH32" i="1"/>
  <c r="AH24" i="1"/>
  <c r="AH9" i="1"/>
  <c r="AH23" i="1"/>
  <c r="AH43" i="1"/>
  <c r="AH8" i="1"/>
  <c r="AH36" i="1"/>
  <c r="AH22" i="1"/>
  <c r="AH33" i="1"/>
  <c r="AI2" i="1"/>
  <c r="AH31" i="1"/>
  <c r="AH4" i="1"/>
  <c r="AH14" i="1"/>
  <c r="AH3" i="1"/>
  <c r="AH13" i="1"/>
  <c r="AH25" i="1"/>
  <c r="AH11" i="1"/>
  <c r="AH10" i="1"/>
  <c r="AH7" i="1"/>
  <c r="AH27" i="1"/>
  <c r="AH42" i="1"/>
  <c r="AH37" i="1"/>
  <c r="AH6" i="1"/>
  <c r="AH28" i="1"/>
  <c r="AH20" i="1"/>
  <c r="AH38" i="1"/>
  <c r="AS9" i="6"/>
  <c r="AS10" i="6" s="1"/>
  <c r="AT10" i="6" s="1"/>
  <c r="AS3" i="6"/>
  <c r="AS17" i="6"/>
  <c r="AS18" i="6" s="1"/>
  <c r="AT18" i="6" s="1"/>
  <c r="AS11" i="6"/>
  <c r="O4" i="6"/>
  <c r="AS5" i="6"/>
  <c r="AS20" i="6"/>
  <c r="AS21" i="6" s="1"/>
  <c r="M6" i="6"/>
  <c r="L7" i="6"/>
  <c r="AC12" i="6"/>
  <c r="AB14" i="6"/>
  <c r="P4" i="6" l="1"/>
  <c r="AT21" i="6"/>
  <c r="AI45" i="1"/>
  <c r="AI29" i="1"/>
  <c r="AI24" i="1"/>
  <c r="AI44" i="1"/>
  <c r="AI27" i="1"/>
  <c r="AI22" i="1"/>
  <c r="AI43" i="1"/>
  <c r="AI20" i="1"/>
  <c r="AI6" i="1"/>
  <c r="AI37" i="1"/>
  <c r="AI14" i="1"/>
  <c r="AI3" i="1"/>
  <c r="AI28" i="1"/>
  <c r="AI16" i="1"/>
  <c r="AI11" i="1"/>
  <c r="AI33" i="1"/>
  <c r="AI19" i="1"/>
  <c r="AI25" i="1"/>
  <c r="AI23" i="1"/>
  <c r="AI9" i="1"/>
  <c r="AI7" i="1"/>
  <c r="AI39" i="1"/>
  <c r="AI5" i="1"/>
  <c r="AI35" i="1"/>
  <c r="AI26" i="1"/>
  <c r="AI32" i="1"/>
  <c r="AJ2" i="1"/>
  <c r="AI31" i="1"/>
  <c r="AI42" i="1"/>
  <c r="AI38" i="1"/>
  <c r="AI36" i="1"/>
  <c r="AI13" i="1"/>
  <c r="AI10" i="1"/>
  <c r="AI4" i="1"/>
  <c r="AI8" i="1"/>
  <c r="AV1" i="6"/>
  <c r="AU11" i="6"/>
  <c r="AU9" i="6"/>
  <c r="AU10" i="6" s="1"/>
  <c r="AU20" i="6"/>
  <c r="AU21" i="6" s="1"/>
  <c r="AU17" i="6"/>
  <c r="AU18" i="6" s="1"/>
  <c r="AU5" i="6"/>
  <c r="AU3" i="6"/>
  <c r="N6" i="6"/>
  <c r="M7" i="6"/>
  <c r="AT11" i="6"/>
  <c r="AD12" i="6"/>
  <c r="AC14" i="6"/>
  <c r="O6" i="6" l="1"/>
  <c r="N7" i="6"/>
  <c r="AJ45" i="1"/>
  <c r="AJ26" i="1"/>
  <c r="AJ11" i="1"/>
  <c r="AJ31" i="1"/>
  <c r="AJ16" i="1"/>
  <c r="AJ32" i="1"/>
  <c r="AJ27" i="1"/>
  <c r="AJ39" i="1"/>
  <c r="AJ23" i="1"/>
  <c r="AJ28" i="1"/>
  <c r="AJ13" i="1"/>
  <c r="AK2" i="1"/>
  <c r="AJ10" i="1"/>
  <c r="AJ7" i="1"/>
  <c r="AJ6" i="1"/>
  <c r="AJ42" i="1"/>
  <c r="AJ4" i="1"/>
  <c r="AJ38" i="1"/>
  <c r="AJ3" i="1"/>
  <c r="AJ36" i="1"/>
  <c r="AJ19" i="1"/>
  <c r="AJ33" i="1"/>
  <c r="AJ14" i="1"/>
  <c r="AJ44" i="1"/>
  <c r="AJ37" i="1"/>
  <c r="AJ29" i="1"/>
  <c r="AJ9" i="1"/>
  <c r="AJ25" i="1"/>
  <c r="AJ24" i="1"/>
  <c r="AJ8" i="1"/>
  <c r="AJ5" i="1"/>
  <c r="AJ22" i="1"/>
  <c r="AJ20" i="1"/>
  <c r="AJ43" i="1"/>
  <c r="AJ35" i="1"/>
  <c r="AW1" i="6"/>
  <c r="AV11" i="6"/>
  <c r="AV9" i="6"/>
  <c r="AV10" i="6" s="1"/>
  <c r="AV3" i="6"/>
  <c r="AV17" i="6"/>
  <c r="AV18" i="6" s="1"/>
  <c r="AV20" i="6"/>
  <c r="AV21" i="6" s="1"/>
  <c r="AV5" i="6"/>
  <c r="Q4" i="6"/>
  <c r="AD14" i="6"/>
  <c r="AE12" i="6"/>
  <c r="R4" i="6" l="1"/>
  <c r="AX1" i="6"/>
  <c r="AW11" i="6"/>
  <c r="AW9" i="6"/>
  <c r="AW10" i="6" s="1"/>
  <c r="AW5" i="6"/>
  <c r="AW3" i="6"/>
  <c r="AW20" i="6"/>
  <c r="AW21" i="6" s="1"/>
  <c r="AW17" i="6"/>
  <c r="AW18" i="6" s="1"/>
  <c r="AK45" i="1"/>
  <c r="AK29" i="1"/>
  <c r="AK11" i="1"/>
  <c r="AK44" i="1"/>
  <c r="AK28" i="1"/>
  <c r="AK9" i="1"/>
  <c r="AK43" i="1"/>
  <c r="AK25" i="1"/>
  <c r="AK4" i="1"/>
  <c r="AK39" i="1"/>
  <c r="AK23" i="1"/>
  <c r="AK6" i="1"/>
  <c r="AK27" i="1"/>
  <c r="AK13" i="1"/>
  <c r="AK26" i="1"/>
  <c r="AK8" i="1"/>
  <c r="AK38" i="1"/>
  <c r="AK14" i="1"/>
  <c r="AK37" i="1"/>
  <c r="AK7" i="1"/>
  <c r="AK36" i="1"/>
  <c r="AK5" i="1"/>
  <c r="AK35" i="1"/>
  <c r="AK3" i="1"/>
  <c r="AK33" i="1"/>
  <c r="AL2" i="1"/>
  <c r="AK32" i="1"/>
  <c r="AK10" i="1"/>
  <c r="AK31" i="1"/>
  <c r="AK24" i="1"/>
  <c r="AK42" i="1"/>
  <c r="AK22" i="1"/>
  <c r="AK20" i="1"/>
  <c r="AK16" i="1"/>
  <c r="AK19" i="1"/>
  <c r="P6" i="6"/>
  <c r="O7" i="6"/>
  <c r="AF12" i="6"/>
  <c r="AE14" i="6"/>
  <c r="AX18" i="6" l="1"/>
  <c r="AX20" i="6"/>
  <c r="AX21" i="6" s="1"/>
  <c r="AY1" i="6"/>
  <c r="AX9" i="6" s="1"/>
  <c r="AX10" i="6" s="1"/>
  <c r="AX17" i="6"/>
  <c r="AX11" i="6"/>
  <c r="AX5" i="6"/>
  <c r="AX3" i="6"/>
  <c r="S4" i="6"/>
  <c r="Q6" i="6"/>
  <c r="P7" i="6"/>
  <c r="AL45" i="1"/>
  <c r="AL43" i="1"/>
  <c r="AL5" i="1"/>
  <c r="AL44" i="1"/>
  <c r="AL39" i="1"/>
  <c r="AL28" i="1"/>
  <c r="AL27" i="1"/>
  <c r="AL9" i="1"/>
  <c r="AL23" i="1"/>
  <c r="AL16" i="1"/>
  <c r="AL37" i="1"/>
  <c r="AL3" i="1"/>
  <c r="AL35" i="1"/>
  <c r="AL4" i="1"/>
  <c r="AL29" i="1"/>
  <c r="AL10" i="1"/>
  <c r="AL25" i="1"/>
  <c r="AL22" i="1"/>
  <c r="AL20" i="1"/>
  <c r="AL13" i="1"/>
  <c r="AL32" i="1"/>
  <c r="AL6" i="1"/>
  <c r="AL24" i="1"/>
  <c r="AM2" i="1"/>
  <c r="AL19" i="1"/>
  <c r="AL31" i="1"/>
  <c r="AL14" i="1"/>
  <c r="AL33" i="1"/>
  <c r="AL11" i="1"/>
  <c r="AL7" i="1"/>
  <c r="AL26" i="1"/>
  <c r="AL8" i="1"/>
  <c r="AL38" i="1"/>
  <c r="AL42" i="1"/>
  <c r="AL36" i="1"/>
  <c r="AG12" i="6"/>
  <c r="AF14" i="6"/>
  <c r="R6" i="6" l="1"/>
  <c r="Q7" i="6"/>
  <c r="T4" i="6"/>
  <c r="AM45" i="1"/>
  <c r="AM44" i="1"/>
  <c r="AM28" i="1"/>
  <c r="AM4" i="1"/>
  <c r="AM43" i="1"/>
  <c r="AM26" i="1"/>
  <c r="AM11" i="1"/>
  <c r="AM39" i="1"/>
  <c r="AM24" i="1"/>
  <c r="AM7" i="1"/>
  <c r="AM32" i="1"/>
  <c r="AM3" i="1"/>
  <c r="AM31" i="1"/>
  <c r="AM14" i="1"/>
  <c r="AM27" i="1"/>
  <c r="AN2" i="1"/>
  <c r="AM25" i="1"/>
  <c r="AM19" i="1"/>
  <c r="AM23" i="1"/>
  <c r="AM22" i="1"/>
  <c r="AM20" i="1"/>
  <c r="AM42" i="1"/>
  <c r="AM13" i="1"/>
  <c r="AM38" i="1"/>
  <c r="AM10" i="1"/>
  <c r="AM37" i="1"/>
  <c r="AM8" i="1"/>
  <c r="AM16" i="1"/>
  <c r="AM36" i="1"/>
  <c r="AM35" i="1"/>
  <c r="AM29" i="1"/>
  <c r="AM6" i="1"/>
  <c r="AM9" i="1"/>
  <c r="AM5" i="1"/>
  <c r="AM33" i="1"/>
  <c r="AZ1" i="6"/>
  <c r="AY20" i="6"/>
  <c r="AY21" i="6" s="1"/>
  <c r="AY3" i="6"/>
  <c r="AY9" i="6"/>
  <c r="AY10" i="6" s="1"/>
  <c r="AY17" i="6"/>
  <c r="AY18" i="6" s="1"/>
  <c r="AY5" i="6"/>
  <c r="AY11" i="6"/>
  <c r="AH12" i="6"/>
  <c r="AG14" i="6"/>
  <c r="AN44" i="1" l="1"/>
  <c r="AN28" i="1"/>
  <c r="AN38" i="1"/>
  <c r="AN23" i="1"/>
  <c r="AO2" i="1"/>
  <c r="AN36" i="1"/>
  <c r="AN20" i="1"/>
  <c r="AN4" i="1"/>
  <c r="AN37" i="1"/>
  <c r="AN16" i="1"/>
  <c r="AN35" i="1"/>
  <c r="AN14" i="1"/>
  <c r="AN26" i="1"/>
  <c r="AN3" i="1"/>
  <c r="AN25" i="1"/>
  <c r="AN6" i="1"/>
  <c r="AN24" i="1"/>
  <c r="AN45" i="1"/>
  <c r="AN22" i="1"/>
  <c r="AN43" i="1"/>
  <c r="AN19" i="1"/>
  <c r="AN42" i="1"/>
  <c r="AN11" i="1"/>
  <c r="AN39" i="1"/>
  <c r="AN9" i="1"/>
  <c r="AN33" i="1"/>
  <c r="AN7" i="1"/>
  <c r="AN32" i="1"/>
  <c r="AN31" i="1"/>
  <c r="AN29" i="1"/>
  <c r="AN27" i="1"/>
  <c r="AN5" i="1"/>
  <c r="AN13" i="1"/>
  <c r="AN10" i="1"/>
  <c r="AN8" i="1"/>
  <c r="AZ17" i="6"/>
  <c r="AZ18" i="6" s="1"/>
  <c r="AZ11" i="6"/>
  <c r="BA1" i="6"/>
  <c r="AZ20" i="6"/>
  <c r="AZ21" i="6" s="1"/>
  <c r="AZ3" i="6"/>
  <c r="AZ9" i="6"/>
  <c r="AZ10" i="6" s="1"/>
  <c r="U4" i="6"/>
  <c r="S6" i="6"/>
  <c r="R7" i="6"/>
  <c r="AI12" i="6"/>
  <c r="AH14" i="6"/>
  <c r="V4" i="6" l="1"/>
  <c r="AO37" i="1"/>
  <c r="AO28" i="1"/>
  <c r="AO9" i="1"/>
  <c r="AO35" i="1"/>
  <c r="AO26" i="1"/>
  <c r="AO19" i="1"/>
  <c r="AO45" i="1"/>
  <c r="AO27" i="1"/>
  <c r="AO24" i="1"/>
  <c r="AO44" i="1"/>
  <c r="AO25" i="1"/>
  <c r="AO5" i="1"/>
  <c r="AO22" i="1"/>
  <c r="AO11" i="1"/>
  <c r="AP2" i="1"/>
  <c r="AO14" i="1"/>
  <c r="AO31" i="1"/>
  <c r="AO43" i="1"/>
  <c r="AO23" i="1"/>
  <c r="AO42" i="1"/>
  <c r="AO20" i="1"/>
  <c r="AO39" i="1"/>
  <c r="AO13" i="1"/>
  <c r="AO38" i="1"/>
  <c r="AO10" i="1"/>
  <c r="AO36" i="1"/>
  <c r="AO8" i="1"/>
  <c r="AO16" i="1"/>
  <c r="AO6" i="1"/>
  <c r="AO4" i="1"/>
  <c r="AO3" i="1"/>
  <c r="AO7" i="1"/>
  <c r="AO33" i="1"/>
  <c r="AO32" i="1"/>
  <c r="AO29" i="1"/>
  <c r="BA9" i="6"/>
  <c r="BA10" i="6" s="1"/>
  <c r="BB1" i="6"/>
  <c r="BA3" i="6"/>
  <c r="BA20" i="6"/>
  <c r="BA21" i="6" s="1"/>
  <c r="BA17" i="6"/>
  <c r="BA18" i="6" s="1"/>
  <c r="BA5" i="6"/>
  <c r="BA11" i="6"/>
  <c r="T6" i="6"/>
  <c r="S7" i="6"/>
  <c r="AZ5" i="6"/>
  <c r="AJ12" i="6"/>
  <c r="AI14" i="6"/>
  <c r="BB10" i="6" l="1"/>
  <c r="AP37" i="1"/>
  <c r="AP8" i="1"/>
  <c r="AP25" i="1"/>
  <c r="AP35" i="1"/>
  <c r="AP6" i="1"/>
  <c r="AQ2" i="1"/>
  <c r="AP36" i="1"/>
  <c r="AP4" i="1"/>
  <c r="AP33" i="1"/>
  <c r="AP31" i="1"/>
  <c r="AP14" i="1"/>
  <c r="AP27" i="1"/>
  <c r="AP13" i="1"/>
  <c r="AP23" i="1"/>
  <c r="AP11" i="1"/>
  <c r="AP20" i="1"/>
  <c r="AP45" i="1"/>
  <c r="AP10" i="1"/>
  <c r="AP3" i="1"/>
  <c r="AP44" i="1"/>
  <c r="AP9" i="1"/>
  <c r="AP43" i="1"/>
  <c r="AP7" i="1"/>
  <c r="AP42" i="1"/>
  <c r="AP5" i="1"/>
  <c r="AP39" i="1"/>
  <c r="AP28" i="1"/>
  <c r="AP19" i="1"/>
  <c r="AP38" i="1"/>
  <c r="AP32" i="1"/>
  <c r="AP16" i="1"/>
  <c r="AP29" i="1"/>
  <c r="AP24" i="1"/>
  <c r="AP26" i="1"/>
  <c r="AP22" i="1"/>
  <c r="BB11" i="6"/>
  <c r="BC1" i="6"/>
  <c r="BB9" i="6"/>
  <c r="BB3" i="6"/>
  <c r="BB20" i="6"/>
  <c r="BB21" i="6" s="1"/>
  <c r="BB5" i="6"/>
  <c r="BB17" i="6"/>
  <c r="BB18" i="6" s="1"/>
  <c r="U6" i="6"/>
  <c r="T7" i="6"/>
  <c r="W4" i="6"/>
  <c r="AK12" i="6"/>
  <c r="AJ14" i="6"/>
  <c r="X4" i="6" l="1"/>
  <c r="AQ29" i="1"/>
  <c r="AQ27" i="1"/>
  <c r="AQ8" i="1"/>
  <c r="AQ39" i="1"/>
  <c r="AQ23" i="1"/>
  <c r="AQ4" i="1"/>
  <c r="AQ45" i="1"/>
  <c r="AQ26" i="1"/>
  <c r="AQ6" i="1"/>
  <c r="AQ44" i="1"/>
  <c r="AQ24" i="1"/>
  <c r="AQ9" i="1"/>
  <c r="AQ32" i="1"/>
  <c r="AQ11" i="1"/>
  <c r="AQ31" i="1"/>
  <c r="AQ14" i="1"/>
  <c r="AQ28" i="1"/>
  <c r="AQ5" i="1"/>
  <c r="AQ22" i="1"/>
  <c r="AQ19" i="1"/>
  <c r="AQ42" i="1"/>
  <c r="AQ25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36" i="1"/>
  <c r="AQ16" i="1"/>
  <c r="AQ7" i="1"/>
  <c r="AQ33" i="1"/>
  <c r="AQ43" i="1"/>
  <c r="AQ37" i="1"/>
  <c r="AQ35" i="1"/>
  <c r="AQ3" i="1"/>
  <c r="AQ13" i="1"/>
  <c r="AQ10" i="1"/>
  <c r="V6" i="6"/>
  <c r="U7" i="6"/>
  <c r="BD1" i="6"/>
  <c r="BC20" i="6"/>
  <c r="BC21" i="6" s="1"/>
  <c r="BC9" i="6"/>
  <c r="BC3" i="6"/>
  <c r="BC17" i="6"/>
  <c r="BC18" i="6" s="1"/>
  <c r="BC5" i="6"/>
  <c r="BC10" i="6"/>
  <c r="AK14" i="6"/>
  <c r="AL12" i="6"/>
  <c r="BE1" i="6" l="1"/>
  <c r="BD20" i="6"/>
  <c r="BD21" i="6" s="1"/>
  <c r="BD9" i="6"/>
  <c r="BD10" i="6" s="1"/>
  <c r="BD11" i="6"/>
  <c r="BD3" i="6"/>
  <c r="BD17" i="6"/>
  <c r="BD18" i="6" s="1"/>
  <c r="BD5" i="6"/>
  <c r="BC11" i="6"/>
  <c r="W6" i="6"/>
  <c r="V7" i="6"/>
  <c r="Y4" i="6"/>
  <c r="AM12" i="6"/>
  <c r="AL14" i="6"/>
  <c r="X6" i="6" l="1"/>
  <c r="W7" i="6"/>
  <c r="BF1" i="6"/>
  <c r="BE11" i="6" s="1"/>
  <c r="BE17" i="6"/>
  <c r="BE18" i="6" s="1"/>
  <c r="BE9" i="6"/>
  <c r="BE10" i="6" s="1"/>
  <c r="BE5" i="6"/>
  <c r="BE3" i="6"/>
  <c r="Z4" i="6"/>
  <c r="AN12" i="6"/>
  <c r="AM14" i="6"/>
  <c r="BE20" i="6" l="1"/>
  <c r="BE21" i="6" s="1"/>
  <c r="BF20" i="6"/>
  <c r="BF21" i="6" s="1"/>
  <c r="BG1" i="6"/>
  <c r="BF3" i="6"/>
  <c r="BF9" i="6"/>
  <c r="BF10" i="6" s="1"/>
  <c r="BF5" i="6"/>
  <c r="BF17" i="6"/>
  <c r="BF18" i="6" s="1"/>
  <c r="Y6" i="6"/>
  <c r="X7" i="6"/>
  <c r="AA4" i="6"/>
  <c r="AO12" i="6"/>
  <c r="AN14" i="6"/>
  <c r="Z6" i="6" l="1"/>
  <c r="Y7" i="6"/>
  <c r="BH1" i="6"/>
  <c r="BG11" i="6"/>
  <c r="BG5" i="6"/>
  <c r="BG20" i="6"/>
  <c r="BG21" i="6" s="1"/>
  <c r="BG17" i="6"/>
  <c r="BG18" i="6" s="1"/>
  <c r="BG9" i="6"/>
  <c r="BG10" i="6" s="1"/>
  <c r="BG3" i="6"/>
  <c r="BF11" i="6"/>
  <c r="AB4" i="6"/>
  <c r="AP12" i="6"/>
  <c r="AO14" i="6"/>
  <c r="BH10" i="6" l="1"/>
  <c r="BI1" i="6"/>
  <c r="BH9" i="6"/>
  <c r="BH20" i="6"/>
  <c r="BH21" i="6" s="1"/>
  <c r="BH17" i="6"/>
  <c r="BH18" i="6" s="1"/>
  <c r="BH5" i="6"/>
  <c r="BH3" i="6"/>
  <c r="AA6" i="6"/>
  <c r="Z7" i="6"/>
  <c r="AC4" i="6"/>
  <c r="AP14" i="6"/>
  <c r="AQ12" i="6"/>
  <c r="AD4" i="6" l="1"/>
  <c r="AB6" i="6"/>
  <c r="AA7" i="6"/>
  <c r="BJ1" i="6"/>
  <c r="BI3" i="6" s="1"/>
  <c r="BH11" i="6"/>
  <c r="AR12" i="6"/>
  <c r="AQ14" i="6"/>
  <c r="BI5" i="6" l="1"/>
  <c r="BI9" i="6"/>
  <c r="BI10" i="6" s="1"/>
  <c r="BJ10" i="6" s="1"/>
  <c r="BI17" i="6"/>
  <c r="BI18" i="6" s="1"/>
  <c r="AC6" i="6"/>
  <c r="AB7" i="6"/>
  <c r="BK1" i="6"/>
  <c r="BJ17" i="6"/>
  <c r="BJ11" i="6"/>
  <c r="BJ20" i="6"/>
  <c r="BJ9" i="6"/>
  <c r="BJ3" i="6"/>
  <c r="BJ5" i="6"/>
  <c r="BI11" i="6"/>
  <c r="BI20" i="6"/>
  <c r="BI21" i="6" s="1"/>
  <c r="AE4" i="6"/>
  <c r="AS12" i="6"/>
  <c r="AR14" i="6"/>
  <c r="BJ21" i="6" l="1"/>
  <c r="BL1" i="6"/>
  <c r="BK11" i="6"/>
  <c r="BK17" i="6"/>
  <c r="BK9" i="6"/>
  <c r="BK10" i="6" s="1"/>
  <c r="BK5" i="6"/>
  <c r="BK3" i="6"/>
  <c r="AD6" i="6"/>
  <c r="AC7" i="6"/>
  <c r="AF4" i="6"/>
  <c r="BJ18" i="6"/>
  <c r="BK18" i="6" s="1"/>
  <c r="AT12" i="6"/>
  <c r="AS14" i="6"/>
  <c r="AE6" i="6" l="1"/>
  <c r="AD7" i="6"/>
  <c r="AG4" i="6"/>
  <c r="BM1" i="6"/>
  <c r="BL11" i="6"/>
  <c r="BL20" i="6"/>
  <c r="BL21" i="6" s="1"/>
  <c r="BL17" i="6"/>
  <c r="BL18" i="6" s="1"/>
  <c r="BL5" i="6"/>
  <c r="BL3" i="6"/>
  <c r="BK20" i="6"/>
  <c r="BK21" i="6" s="1"/>
  <c r="AU12" i="6"/>
  <c r="AT14" i="6"/>
  <c r="BN1" i="6" l="1"/>
  <c r="BM11" i="6"/>
  <c r="BM9" i="6"/>
  <c r="BM3" i="6"/>
  <c r="BM5" i="6"/>
  <c r="AH4" i="6"/>
  <c r="AF6" i="6"/>
  <c r="AE7" i="6"/>
  <c r="BL9" i="6"/>
  <c r="BL10" i="6" s="1"/>
  <c r="AV12" i="6"/>
  <c r="AU14" i="6"/>
  <c r="AG6" i="6" l="1"/>
  <c r="AF7" i="6"/>
  <c r="AI4" i="6"/>
  <c r="BO1" i="6"/>
  <c r="BN11" i="6" s="1"/>
  <c r="BN20" i="6"/>
  <c r="BN17" i="6"/>
  <c r="BN9" i="6"/>
  <c r="BN5" i="6"/>
  <c r="BN3" i="6"/>
  <c r="BM20" i="6"/>
  <c r="BM21" i="6" s="1"/>
  <c r="BM17" i="6"/>
  <c r="BM18" i="6" s="1"/>
  <c r="BN18" i="6" s="1"/>
  <c r="BM10" i="6"/>
  <c r="AW12" i="6"/>
  <c r="AV14" i="6"/>
  <c r="BP1" i="6" l="1"/>
  <c r="BO11" i="6" s="1"/>
  <c r="BO5" i="6"/>
  <c r="BO3" i="6"/>
  <c r="AJ4" i="6"/>
  <c r="BN21" i="6"/>
  <c r="BN10" i="6"/>
  <c r="AH6" i="6"/>
  <c r="AG7" i="6"/>
  <c r="AW14" i="6"/>
  <c r="AX12" i="6"/>
  <c r="AK4" i="6" l="1"/>
  <c r="BO9" i="6"/>
  <c r="BO10" i="6" s="1"/>
  <c r="BO20" i="6"/>
  <c r="BO21" i="6" s="1"/>
  <c r="BO17" i="6"/>
  <c r="BO18" i="6" s="1"/>
  <c r="AI6" i="6"/>
  <c r="AH7" i="6"/>
  <c r="BQ1" i="6"/>
  <c r="BP3" i="6"/>
  <c r="BP20" i="6"/>
  <c r="BP21" i="6" s="1"/>
  <c r="BP11" i="6"/>
  <c r="AY12" i="6"/>
  <c r="AX14" i="6"/>
  <c r="BR1" i="6" l="1"/>
  <c r="BQ17" i="6" s="1"/>
  <c r="BQ20" i="6"/>
  <c r="BQ21" i="6" s="1"/>
  <c r="BQ9" i="6"/>
  <c r="BQ3" i="6"/>
  <c r="AJ6" i="6"/>
  <c r="AI7" i="6"/>
  <c r="BP17" i="6"/>
  <c r="BP18" i="6" s="1"/>
  <c r="AL4" i="6"/>
  <c r="BP5" i="6"/>
  <c r="BP9" i="6"/>
  <c r="BP10" i="6" s="1"/>
  <c r="BQ10" i="6" s="1"/>
  <c r="AZ12" i="6"/>
  <c r="AY14" i="6"/>
  <c r="BQ18" i="6" l="1"/>
  <c r="AK6" i="6"/>
  <c r="AJ7" i="6"/>
  <c r="AM4" i="6"/>
  <c r="BQ11" i="6"/>
  <c r="BQ5" i="6"/>
  <c r="BS1" i="6"/>
  <c r="BA12" i="6"/>
  <c r="AZ14" i="6"/>
  <c r="BT1" i="6" l="1"/>
  <c r="BS11" i="6" s="1"/>
  <c r="BS17" i="6"/>
  <c r="BS9" i="6"/>
  <c r="BS5" i="6"/>
  <c r="BR9" i="6"/>
  <c r="BR10" i="6" s="1"/>
  <c r="BS10" i="6" s="1"/>
  <c r="BR11" i="6"/>
  <c r="BR20" i="6"/>
  <c r="BR21" i="6" s="1"/>
  <c r="AL6" i="6"/>
  <c r="AK7" i="6"/>
  <c r="AN4" i="6"/>
  <c r="BR17" i="6"/>
  <c r="BR18" i="6" s="1"/>
  <c r="BS18" i="6" s="1"/>
  <c r="BR5" i="6"/>
  <c r="BR3" i="6"/>
  <c r="BB12" i="6"/>
  <c r="BA14" i="6"/>
  <c r="BS20" i="6" l="1"/>
  <c r="BS21" i="6" s="1"/>
  <c r="BS3" i="6"/>
  <c r="AO4" i="6"/>
  <c r="AM6" i="6"/>
  <c r="AL7" i="6"/>
  <c r="BU1" i="6"/>
  <c r="BT20" i="6"/>
  <c r="BT21" i="6" s="1"/>
  <c r="BT9" i="6"/>
  <c r="BT10" i="6" s="1"/>
  <c r="BT5" i="6"/>
  <c r="BB14" i="6"/>
  <c r="BC12" i="6"/>
  <c r="BV1" i="6" l="1"/>
  <c r="BU11" i="6" s="1"/>
  <c r="BU20" i="6"/>
  <c r="BU21" i="6" s="1"/>
  <c r="BU9" i="6"/>
  <c r="BU10" i="6" s="1"/>
  <c r="BU3" i="6"/>
  <c r="AN6" i="6"/>
  <c r="AM7" i="6"/>
  <c r="AP4" i="6"/>
  <c r="BT17" i="6"/>
  <c r="BT18" i="6" s="1"/>
  <c r="BT11" i="6"/>
  <c r="BT3" i="6"/>
  <c r="BD12" i="6"/>
  <c r="BC14" i="6"/>
  <c r="BU17" i="6" l="1"/>
  <c r="BU18" i="6" s="1"/>
  <c r="BV18" i="6" s="1"/>
  <c r="BU5" i="6"/>
  <c r="AQ4" i="6"/>
  <c r="AO6" i="6"/>
  <c r="AN7" i="6"/>
  <c r="BW1" i="6"/>
  <c r="BV20" i="6"/>
  <c r="BV21" i="6" s="1"/>
  <c r="BV17" i="6"/>
  <c r="BV3" i="6"/>
  <c r="BV11" i="6"/>
  <c r="BV5" i="6"/>
  <c r="BV9" i="6"/>
  <c r="BV10" i="6" s="1"/>
  <c r="BE12" i="6"/>
  <c r="BD14" i="6"/>
  <c r="BX1" i="6" l="1"/>
  <c r="BW20" i="6"/>
  <c r="BW21" i="6" s="1"/>
  <c r="BW3" i="6"/>
  <c r="BW11" i="6"/>
  <c r="BW17" i="6"/>
  <c r="BW18" i="6" s="1"/>
  <c r="BW9" i="6"/>
  <c r="BW10" i="6" s="1"/>
  <c r="BW5" i="6"/>
  <c r="AP6" i="6"/>
  <c r="AO7" i="6"/>
  <c r="AR4" i="6"/>
  <c r="BF12" i="6"/>
  <c r="BE14" i="6"/>
  <c r="AQ6" i="6" l="1"/>
  <c r="AP7" i="6"/>
  <c r="BY1" i="6"/>
  <c r="BX11" i="6"/>
  <c r="BX20" i="6"/>
  <c r="BX21" i="6" s="1"/>
  <c r="BX17" i="6"/>
  <c r="BX18" i="6" s="1"/>
  <c r="BX9" i="6"/>
  <c r="BX10" i="6" s="1"/>
  <c r="BX5" i="6"/>
  <c r="BX3" i="6"/>
  <c r="AS4" i="6"/>
  <c r="BG12" i="6"/>
  <c r="BF14" i="6"/>
  <c r="AR6" i="6" l="1"/>
  <c r="AQ7" i="6"/>
  <c r="BZ1" i="6"/>
  <c r="BY17" i="6"/>
  <c r="BY18" i="6" s="1"/>
  <c r="BY9" i="6"/>
  <c r="BY10" i="6" s="1"/>
  <c r="BY11" i="6"/>
  <c r="BY20" i="6"/>
  <c r="BY21" i="6" s="1"/>
  <c r="BY5" i="6"/>
  <c r="BY3" i="6"/>
  <c r="AT4" i="6"/>
  <c r="BH12" i="6"/>
  <c r="BG14" i="6"/>
  <c r="CA1" i="6" l="1"/>
  <c r="BZ11" i="6"/>
  <c r="BZ17" i="6"/>
  <c r="BZ18" i="6" s="1"/>
  <c r="BZ20" i="6"/>
  <c r="BZ21" i="6" s="1"/>
  <c r="BZ9" i="6"/>
  <c r="BZ10" i="6" s="1"/>
  <c r="BZ3" i="6"/>
  <c r="BZ5" i="6"/>
  <c r="AS6" i="6"/>
  <c r="AR7" i="6"/>
  <c r="AU4" i="6"/>
  <c r="BH14" i="6"/>
  <c r="BI12" i="6"/>
  <c r="AV4" i="6" l="1"/>
  <c r="AT6" i="6"/>
  <c r="AS7" i="6"/>
  <c r="CB1" i="6"/>
  <c r="CA11" i="6"/>
  <c r="CA9" i="6"/>
  <c r="CA10" i="6" s="1"/>
  <c r="CA5" i="6"/>
  <c r="CA3" i="6"/>
  <c r="CA17" i="6"/>
  <c r="CA18" i="6" s="1"/>
  <c r="BI14" i="6"/>
  <c r="BJ12" i="6"/>
  <c r="CC1" i="6" l="1"/>
  <c r="CB9" i="6"/>
  <c r="CB10" i="6" s="1"/>
  <c r="CB11" i="6"/>
  <c r="CB17" i="6"/>
  <c r="CB18" i="6" s="1"/>
  <c r="CB20" i="6"/>
  <c r="CB3" i="6"/>
  <c r="CB5" i="6"/>
  <c r="CA20" i="6"/>
  <c r="CA21" i="6" s="1"/>
  <c r="AU6" i="6"/>
  <c r="AT7" i="6"/>
  <c r="AW4" i="6"/>
  <c r="BK12" i="6"/>
  <c r="BJ14" i="6"/>
  <c r="AV6" i="6" l="1"/>
  <c r="AU7" i="6"/>
  <c r="CB21" i="6"/>
  <c r="CD1" i="6"/>
  <c r="CC17" i="6"/>
  <c r="CC18" i="6" s="1"/>
  <c r="CC20" i="6"/>
  <c r="CC21" i="6" s="1"/>
  <c r="CC11" i="6"/>
  <c r="CC5" i="6"/>
  <c r="CC9" i="6"/>
  <c r="CC10" i="6" s="1"/>
  <c r="CC3" i="6"/>
  <c r="AX4" i="6"/>
  <c r="BL12" i="6"/>
  <c r="BK14" i="6"/>
  <c r="CE1" i="6" l="1"/>
  <c r="CD3" i="6"/>
  <c r="CD17" i="6"/>
  <c r="CD18" i="6" s="1"/>
  <c r="AW6" i="6"/>
  <c r="AV7" i="6"/>
  <c r="AY4" i="6"/>
  <c r="BM12" i="6"/>
  <c r="BL14" i="6"/>
  <c r="AX6" i="6" l="1"/>
  <c r="AW7" i="6"/>
  <c r="CF1" i="6"/>
  <c r="CE9" i="6" s="1"/>
  <c r="CE3" i="6"/>
  <c r="CE5" i="6"/>
  <c r="CD5" i="6"/>
  <c r="CD9" i="6"/>
  <c r="CD10" i="6" s="1"/>
  <c r="CD20" i="6"/>
  <c r="CD21" i="6" s="1"/>
  <c r="CD11" i="6"/>
  <c r="AZ4" i="6"/>
  <c r="BN12" i="6"/>
  <c r="BM14" i="6"/>
  <c r="CE10" i="6" l="1"/>
  <c r="CE17" i="6"/>
  <c r="CE18" i="6" s="1"/>
  <c r="BA4" i="6"/>
  <c r="CG1" i="6"/>
  <c r="CF5" i="6"/>
  <c r="CE11" i="6"/>
  <c r="CE20" i="6"/>
  <c r="CE21" i="6" s="1"/>
  <c r="AY6" i="6"/>
  <c r="AX7" i="6"/>
  <c r="BN14" i="6"/>
  <c r="BO12" i="6"/>
  <c r="AZ6" i="6" l="1"/>
  <c r="AY7" i="6"/>
  <c r="CH1" i="6"/>
  <c r="CG17" i="6"/>
  <c r="CG20" i="6"/>
  <c r="CG11" i="6"/>
  <c r="CG3" i="6"/>
  <c r="CG5" i="6"/>
  <c r="CG9" i="6"/>
  <c r="CF3" i="6"/>
  <c r="CF11" i="6"/>
  <c r="CF20" i="6"/>
  <c r="CF21" i="6" s="1"/>
  <c r="BB4" i="6"/>
  <c r="CF9" i="6"/>
  <c r="CF17" i="6"/>
  <c r="CF18" i="6" s="1"/>
  <c r="CG18" i="6" s="1"/>
  <c r="CF10" i="6"/>
  <c r="BP12" i="6"/>
  <c r="BO14" i="6"/>
  <c r="CG10" i="6" l="1"/>
  <c r="BC4" i="6"/>
  <c r="CG21" i="6"/>
  <c r="CI1" i="6"/>
  <c r="CH3" i="6"/>
  <c r="CH5" i="6"/>
  <c r="CH20" i="6"/>
  <c r="CH21" i="6" s="1"/>
  <c r="BA6" i="6"/>
  <c r="AZ7" i="6"/>
  <c r="BQ12" i="6"/>
  <c r="BP14" i="6"/>
  <c r="BB6" i="6" l="1"/>
  <c r="BA7" i="6"/>
  <c r="CJ1" i="6"/>
  <c r="CI20" i="6"/>
  <c r="CI21" i="6" s="1"/>
  <c r="CI17" i="6"/>
  <c r="CI5" i="6"/>
  <c r="CI9" i="6"/>
  <c r="CI11" i="6"/>
  <c r="CI3" i="6"/>
  <c r="CH9" i="6"/>
  <c r="CH10" i="6" s="1"/>
  <c r="CI10" i="6" s="1"/>
  <c r="CH17" i="6"/>
  <c r="CH18" i="6" s="1"/>
  <c r="CI18" i="6" s="1"/>
  <c r="CH11" i="6"/>
  <c r="BD4" i="6"/>
  <c r="BR12" i="6"/>
  <c r="BQ14" i="6"/>
  <c r="CK1" i="6" l="1"/>
  <c r="CJ17" i="6"/>
  <c r="CJ18" i="6" s="1"/>
  <c r="CJ20" i="6"/>
  <c r="CJ21" i="6" s="1"/>
  <c r="CJ11" i="6"/>
  <c r="CJ9" i="6"/>
  <c r="CJ10" i="6" s="1"/>
  <c r="CJ5" i="6"/>
  <c r="CJ3" i="6"/>
  <c r="BE4" i="6"/>
  <c r="BC6" i="6"/>
  <c r="BB7" i="6"/>
  <c r="BS12" i="6"/>
  <c r="BR14" i="6"/>
  <c r="BD6" i="6" l="1"/>
  <c r="BC7" i="6"/>
  <c r="BF4" i="6"/>
  <c r="CL1" i="6"/>
  <c r="CK11" i="6"/>
  <c r="CK17" i="6"/>
  <c r="CK18" i="6" s="1"/>
  <c r="CK20" i="6"/>
  <c r="CK21" i="6" s="1"/>
  <c r="CK9" i="6"/>
  <c r="CK10" i="6" s="1"/>
  <c r="CK3" i="6"/>
  <c r="CK5" i="6"/>
  <c r="BT12" i="6"/>
  <c r="BS14" i="6"/>
  <c r="CM1" i="6" l="1"/>
  <c r="CL5" i="6"/>
  <c r="CL17" i="6"/>
  <c r="CL18" i="6" s="1"/>
  <c r="CL20" i="6"/>
  <c r="CL21" i="6" s="1"/>
  <c r="CL3" i="6"/>
  <c r="CL9" i="6"/>
  <c r="CL10" i="6" s="1"/>
  <c r="CL11" i="6"/>
  <c r="BG4" i="6"/>
  <c r="BE6" i="6"/>
  <c r="BD7" i="6"/>
  <c r="BU12" i="6"/>
  <c r="BT14" i="6"/>
  <c r="BF6" i="6" l="1"/>
  <c r="BE7" i="6"/>
  <c r="BH4" i="6"/>
  <c r="CN1" i="6"/>
  <c r="CM20" i="6"/>
  <c r="CM21" i="6" s="1"/>
  <c r="CM11" i="6"/>
  <c r="CM3" i="6"/>
  <c r="CM5" i="6"/>
  <c r="BU14" i="6"/>
  <c r="BV12" i="6"/>
  <c r="CO1" i="6" l="1"/>
  <c r="CN11" i="6"/>
  <c r="CN20" i="6"/>
  <c r="CN21" i="6" s="1"/>
  <c r="CN17" i="6"/>
  <c r="CN3" i="6"/>
  <c r="CN9" i="6"/>
  <c r="CN5" i="6"/>
  <c r="CM17" i="6"/>
  <c r="CM18" i="6" s="1"/>
  <c r="CN18" i="6" s="1"/>
  <c r="BI4" i="6"/>
  <c r="BG6" i="6"/>
  <c r="BF7" i="6"/>
  <c r="CM9" i="6"/>
  <c r="CM10" i="6" s="1"/>
  <c r="BW12" i="6"/>
  <c r="BV14" i="6"/>
  <c r="BH6" i="6" l="1"/>
  <c r="BG7" i="6"/>
  <c r="BJ4" i="6"/>
  <c r="CN10" i="6"/>
  <c r="CP1" i="6"/>
  <c r="CO11" i="6"/>
  <c r="CO9" i="6"/>
  <c r="CO17" i="6"/>
  <c r="CO18" i="6" s="1"/>
  <c r="CO20" i="6"/>
  <c r="CO21" i="6" s="1"/>
  <c r="CO3" i="6"/>
  <c r="CO5" i="6"/>
  <c r="BX12" i="6"/>
  <c r="BW14" i="6"/>
  <c r="CQ1" i="6" l="1"/>
  <c r="CP20" i="6" s="1"/>
  <c r="CP3" i="6"/>
  <c r="D3" i="6" s="1"/>
  <c r="CP9" i="6"/>
  <c r="D9" i="6" s="1"/>
  <c r="CP17" i="6"/>
  <c r="D17" i="6" s="1"/>
  <c r="CO10" i="6"/>
  <c r="CP10" i="6" s="1"/>
  <c r="BK4" i="6"/>
  <c r="BI6" i="6"/>
  <c r="BH7" i="6"/>
  <c r="BY12" i="6"/>
  <c r="BX14" i="6"/>
  <c r="D20" i="6" l="1"/>
  <c r="CP21" i="6"/>
  <c r="C17" i="6"/>
  <c r="BL4" i="6"/>
  <c r="CR1" i="6"/>
  <c r="CQ11" i="6" s="1"/>
  <c r="CQ3" i="6"/>
  <c r="CP11" i="6"/>
  <c r="D11" i="6" s="1"/>
  <c r="CP5" i="6"/>
  <c r="D5" i="6" s="1"/>
  <c r="BJ6" i="6"/>
  <c r="BI7" i="6"/>
  <c r="CP18" i="6"/>
  <c r="BZ12" i="6"/>
  <c r="BY14" i="6"/>
  <c r="BM4" i="6" l="1"/>
  <c r="CR20" i="6"/>
  <c r="CS1" i="6"/>
  <c r="CR17" i="6"/>
  <c r="CR3" i="6"/>
  <c r="CR9" i="6"/>
  <c r="CQ5" i="6"/>
  <c r="D18" i="6"/>
  <c r="C18" i="6" s="1"/>
  <c r="CQ20" i="6"/>
  <c r="BK6" i="6"/>
  <c r="BJ7" i="6"/>
  <c r="CQ17" i="6"/>
  <c r="CQ18" i="6" s="1"/>
  <c r="CR18" i="6" s="1"/>
  <c r="CQ21" i="6"/>
  <c r="CR21" i="6" s="1"/>
  <c r="CQ9" i="6"/>
  <c r="CQ10" i="6" s="1"/>
  <c r="BZ14" i="6"/>
  <c r="CA12" i="6"/>
  <c r="CR10" i="6" l="1"/>
  <c r="CT1" i="6"/>
  <c r="CS17" i="6"/>
  <c r="CS18" i="6" s="1"/>
  <c r="CS3" i="6"/>
  <c r="CS9" i="6"/>
  <c r="CR11" i="6"/>
  <c r="CR5" i="6"/>
  <c r="BL6" i="6"/>
  <c r="BK7" i="6"/>
  <c r="BN4" i="6"/>
  <c r="CB12" i="6"/>
  <c r="CA14" i="6"/>
  <c r="BM6" i="6" l="1"/>
  <c r="BL7" i="6"/>
  <c r="CU1" i="6"/>
  <c r="CT3" i="6"/>
  <c r="CT9" i="6"/>
  <c r="CT17" i="6"/>
  <c r="CT18" i="6" s="1"/>
  <c r="CS11" i="6"/>
  <c r="CS5" i="6"/>
  <c r="CS20" i="6"/>
  <c r="CS21" i="6" s="1"/>
  <c r="BO4" i="6"/>
  <c r="CS10" i="6"/>
  <c r="CC12" i="6"/>
  <c r="CB14" i="6"/>
  <c r="CV1" i="6" l="1"/>
  <c r="CU17" i="6"/>
  <c r="CU18" i="6" s="1"/>
  <c r="CU3" i="6"/>
  <c r="CU9" i="6"/>
  <c r="CT20" i="6"/>
  <c r="CT21" i="6" s="1"/>
  <c r="CT11" i="6"/>
  <c r="CT10" i="6"/>
  <c r="CT5" i="6"/>
  <c r="BP4" i="6"/>
  <c r="BN6" i="6"/>
  <c r="BM7" i="6"/>
  <c r="CD12" i="6"/>
  <c r="CC14" i="6"/>
  <c r="CU10" i="6" l="1"/>
  <c r="CW1" i="6"/>
  <c r="CU20" i="6"/>
  <c r="CU21" i="6" s="1"/>
  <c r="BO6" i="6"/>
  <c r="BN7" i="6"/>
  <c r="CU11" i="6"/>
  <c r="BQ4" i="6"/>
  <c r="CU5" i="6"/>
  <c r="CE12" i="6"/>
  <c r="CD14" i="6"/>
  <c r="CW9" i="6" l="1"/>
  <c r="CW17" i="6"/>
  <c r="CW5" i="6"/>
  <c r="CW11" i="6"/>
  <c r="CW20" i="6"/>
  <c r="CX1" i="6"/>
  <c r="CV20" i="6"/>
  <c r="CV21" i="6" s="1"/>
  <c r="CW21" i="6" s="1"/>
  <c r="CV11" i="6"/>
  <c r="CV5" i="6"/>
  <c r="CV17" i="6"/>
  <c r="CV18" i="6" s="1"/>
  <c r="CV9" i="6"/>
  <c r="CV3" i="6"/>
  <c r="CV10" i="6"/>
  <c r="BP6" i="6"/>
  <c r="BO7" i="6"/>
  <c r="BR4" i="6"/>
  <c r="CF12" i="6"/>
  <c r="CE14" i="6"/>
  <c r="CY1" i="6" l="1"/>
  <c r="CX9" i="6" s="1"/>
  <c r="CX20" i="6"/>
  <c r="CX21" i="6" s="1"/>
  <c r="BS4" i="6"/>
  <c r="CW18" i="6"/>
  <c r="CW3" i="6"/>
  <c r="BQ6" i="6"/>
  <c r="BP7" i="6"/>
  <c r="CW10" i="6"/>
  <c r="CF14" i="6"/>
  <c r="CG12" i="6"/>
  <c r="CX11" i="6" l="1"/>
  <c r="CX5" i="6"/>
  <c r="CX17" i="6"/>
  <c r="CX18" i="6" s="1"/>
  <c r="BT4" i="6"/>
  <c r="CZ1" i="6"/>
  <c r="CY5" i="6"/>
  <c r="CX10" i="6"/>
  <c r="CX3" i="6"/>
  <c r="BR6" i="6"/>
  <c r="BQ7" i="6"/>
  <c r="CG14" i="6"/>
  <c r="CH12" i="6"/>
  <c r="DA1" i="6" l="1"/>
  <c r="CZ3" i="6" s="1"/>
  <c r="CY17" i="6"/>
  <c r="CY18" i="6" s="1"/>
  <c r="CY9" i="6"/>
  <c r="CY10" i="6" s="1"/>
  <c r="CY3" i="6"/>
  <c r="BU4" i="6"/>
  <c r="BS6" i="6"/>
  <c r="BR7" i="6"/>
  <c r="CY20" i="6"/>
  <c r="CY21" i="6" s="1"/>
  <c r="CY11" i="6"/>
  <c r="CI12" i="6"/>
  <c r="CH14" i="6"/>
  <c r="CZ11" i="6" l="1"/>
  <c r="BV4" i="6"/>
  <c r="CZ9" i="6"/>
  <c r="CZ10" i="6" s="1"/>
  <c r="DA10" i="6" s="1"/>
  <c r="DB1" i="6"/>
  <c r="DA3" i="6"/>
  <c r="DA9" i="6"/>
  <c r="DA17" i="6"/>
  <c r="DA5" i="6"/>
  <c r="CZ20" i="6"/>
  <c r="CZ21" i="6" s="1"/>
  <c r="CZ5" i="6"/>
  <c r="CZ17" i="6"/>
  <c r="CZ18" i="6" s="1"/>
  <c r="DA18" i="6" s="1"/>
  <c r="BT6" i="6"/>
  <c r="BS7" i="6"/>
  <c r="CJ12" i="6"/>
  <c r="CI14" i="6"/>
  <c r="DC1" i="6" l="1"/>
  <c r="DB3" i="6"/>
  <c r="DB9" i="6"/>
  <c r="DB10" i="6" s="1"/>
  <c r="DB17" i="6"/>
  <c r="DB18" i="6" s="1"/>
  <c r="BU6" i="6"/>
  <c r="BT7" i="6"/>
  <c r="BW4" i="6"/>
  <c r="DA11" i="6"/>
  <c r="DA20" i="6"/>
  <c r="DA21" i="6" s="1"/>
  <c r="CK12" i="6"/>
  <c r="CJ14" i="6"/>
  <c r="DD1" i="6" l="1"/>
  <c r="DC3" i="6"/>
  <c r="DC9" i="6"/>
  <c r="DC10" i="6" s="1"/>
  <c r="DC17" i="6"/>
  <c r="DC18" i="6" s="1"/>
  <c r="DB20" i="6"/>
  <c r="DB21" i="6" s="1"/>
  <c r="DB5" i="6"/>
  <c r="DB11" i="6"/>
  <c r="BV6" i="6"/>
  <c r="BU7" i="6"/>
  <c r="BX4" i="6"/>
  <c r="CK14" i="6"/>
  <c r="CL12" i="6"/>
  <c r="DE1" i="6" l="1"/>
  <c r="DD5" i="6" s="1"/>
  <c r="DC20" i="6"/>
  <c r="DC21" i="6" s="1"/>
  <c r="BY4" i="6"/>
  <c r="DC11" i="6"/>
  <c r="DC5" i="6"/>
  <c r="BW6" i="6"/>
  <c r="BV7" i="6"/>
  <c r="CL14" i="6"/>
  <c r="CM12" i="6"/>
  <c r="DD3" i="6" l="1"/>
  <c r="DD17" i="6"/>
  <c r="DD18" i="6" s="1"/>
  <c r="DD9" i="6"/>
  <c r="DD10" i="6" s="1"/>
  <c r="DD20" i="6"/>
  <c r="DD21" i="6" s="1"/>
  <c r="DE21" i="6" s="1"/>
  <c r="DD11" i="6"/>
  <c r="BX6" i="6"/>
  <c r="BW7" i="6"/>
  <c r="DE20" i="6"/>
  <c r="DF1" i="6"/>
  <c r="DE17" i="6" s="1"/>
  <c r="BZ4" i="6"/>
  <c r="CM14" i="6"/>
  <c r="CN12" i="6"/>
  <c r="DE11" i="6" l="1"/>
  <c r="DE18" i="6"/>
  <c r="DG1" i="6"/>
  <c r="DF5" i="6" s="1"/>
  <c r="DF3" i="6"/>
  <c r="DF9" i="6"/>
  <c r="DF17" i="6"/>
  <c r="DE5" i="6"/>
  <c r="BY6" i="6"/>
  <c r="BX7" i="6"/>
  <c r="CA4" i="6"/>
  <c r="DE3" i="6"/>
  <c r="DE9" i="6"/>
  <c r="DE10" i="6" s="1"/>
  <c r="DF10" i="6" s="1"/>
  <c r="CO12" i="6"/>
  <c r="CP12" i="6" s="1"/>
  <c r="CN14" i="6"/>
  <c r="DF11" i="6" l="1"/>
  <c r="DF18" i="6"/>
  <c r="CB4" i="6"/>
  <c r="BZ6" i="6"/>
  <c r="BY7" i="6"/>
  <c r="DH1" i="6"/>
  <c r="DG3" i="6" s="1"/>
  <c r="DF20" i="6"/>
  <c r="DF21" i="6" s="1"/>
  <c r="CQ12" i="6"/>
  <c r="CP14" i="6"/>
  <c r="CO14" i="6"/>
  <c r="DG9" i="6" l="1"/>
  <c r="DG10" i="6" s="1"/>
  <c r="DG20" i="6"/>
  <c r="DG21" i="6" s="1"/>
  <c r="DG5" i="6"/>
  <c r="CA6" i="6"/>
  <c r="BZ7" i="6"/>
  <c r="DI1" i="6"/>
  <c r="DH9" i="6" s="1"/>
  <c r="DG11" i="6"/>
  <c r="CC4" i="6"/>
  <c r="DG17" i="6"/>
  <c r="DG18" i="6" s="1"/>
  <c r="CR12" i="6"/>
  <c r="CQ14" i="6"/>
  <c r="DH11" i="6" l="1"/>
  <c r="DH3" i="6"/>
  <c r="DH5" i="6"/>
  <c r="DH17" i="6"/>
  <c r="DH18" i="6" s="1"/>
  <c r="DI18" i="6" s="1"/>
  <c r="DI3" i="6"/>
  <c r="DI9" i="6"/>
  <c r="DI17" i="6"/>
  <c r="DI5" i="6"/>
  <c r="DI11" i="6"/>
  <c r="DI20" i="6"/>
  <c r="DJ1" i="6"/>
  <c r="CD4" i="6"/>
  <c r="CB6" i="6"/>
  <c r="CA7" i="6"/>
  <c r="DH20" i="6"/>
  <c r="DH21" i="6" s="1"/>
  <c r="DI21" i="6" s="1"/>
  <c r="DH10" i="6"/>
  <c r="CS12" i="6"/>
  <c r="CR14" i="6"/>
  <c r="DI10" i="6" l="1"/>
  <c r="CC6" i="6"/>
  <c r="CB7" i="6"/>
  <c r="CE4" i="6"/>
  <c r="DK1" i="6"/>
  <c r="CT12" i="6"/>
  <c r="CS14" i="6"/>
  <c r="DL1" i="6" l="1"/>
  <c r="DK20" i="6"/>
  <c r="DK5" i="6"/>
  <c r="DK11" i="6"/>
  <c r="DJ20" i="6"/>
  <c r="DJ21" i="6" s="1"/>
  <c r="DK21" i="6" s="1"/>
  <c r="DJ17" i="6"/>
  <c r="DJ18" i="6" s="1"/>
  <c r="DJ9" i="6"/>
  <c r="DJ10" i="6" s="1"/>
  <c r="DJ3" i="6"/>
  <c r="CF4" i="6"/>
  <c r="CD6" i="6"/>
  <c r="CC7" i="6"/>
  <c r="DJ11" i="6"/>
  <c r="DJ5" i="6"/>
  <c r="CU12" i="6"/>
  <c r="CT14" i="6"/>
  <c r="DK10" i="6" l="1"/>
  <c r="CG4" i="6"/>
  <c r="DL5" i="6"/>
  <c r="DM1" i="6"/>
  <c r="DL9" i="6" s="1"/>
  <c r="DK17" i="6"/>
  <c r="DK18" i="6" s="1"/>
  <c r="CE6" i="6"/>
  <c r="CD7" i="6"/>
  <c r="DK9" i="6"/>
  <c r="DK3" i="6"/>
  <c r="CV12" i="6"/>
  <c r="CU14" i="6"/>
  <c r="DN1" i="6" l="1"/>
  <c r="DM3" i="6" s="1"/>
  <c r="DM9" i="6"/>
  <c r="DM17" i="6"/>
  <c r="DM20" i="6"/>
  <c r="DM5" i="6"/>
  <c r="DM11" i="6"/>
  <c r="DL20" i="6"/>
  <c r="DL21" i="6" s="1"/>
  <c r="DM21" i="6" s="1"/>
  <c r="DL11" i="6"/>
  <c r="DL17" i="6"/>
  <c r="DL18" i="6" s="1"/>
  <c r="DM18" i="6" s="1"/>
  <c r="DL3" i="6"/>
  <c r="CH4" i="6"/>
  <c r="CF6" i="6"/>
  <c r="CE7" i="6"/>
  <c r="DL10" i="6"/>
  <c r="DM10" i="6" s="1"/>
  <c r="CW12" i="6"/>
  <c r="CV14" i="6"/>
  <c r="CG6" i="6" l="1"/>
  <c r="CF7" i="6"/>
  <c r="DO1" i="6"/>
  <c r="DN17" i="6"/>
  <c r="DN18" i="6" s="1"/>
  <c r="CI4" i="6"/>
  <c r="CX12" i="6"/>
  <c r="CW14" i="6"/>
  <c r="CJ4" i="6" l="1"/>
  <c r="DO5" i="6"/>
  <c r="DP1" i="6"/>
  <c r="DO3" i="6"/>
  <c r="DO9" i="6"/>
  <c r="DO17" i="6"/>
  <c r="DO18" i="6" s="1"/>
  <c r="DN11" i="6"/>
  <c r="DN5" i="6"/>
  <c r="DN9" i="6"/>
  <c r="DN10" i="6" s="1"/>
  <c r="DN3" i="6"/>
  <c r="DN20" i="6"/>
  <c r="DN21" i="6" s="1"/>
  <c r="CH6" i="6"/>
  <c r="CG7" i="6"/>
  <c r="CY12" i="6"/>
  <c r="CX14" i="6"/>
  <c r="DP18" i="6" l="1"/>
  <c r="DP5" i="6"/>
  <c r="DP11" i="6"/>
  <c r="DQ1" i="6"/>
  <c r="DP3" i="6"/>
  <c r="DP9" i="6"/>
  <c r="DP17" i="6"/>
  <c r="DO20" i="6"/>
  <c r="DO21" i="6" s="1"/>
  <c r="DO11" i="6"/>
  <c r="CI6" i="6"/>
  <c r="CH7" i="6"/>
  <c r="CK4" i="6"/>
  <c r="DO10" i="6"/>
  <c r="CZ12" i="6"/>
  <c r="CY14" i="6"/>
  <c r="CL4" i="6" l="1"/>
  <c r="CJ6" i="6"/>
  <c r="CI7" i="6"/>
  <c r="DR1" i="6"/>
  <c r="DQ3" i="6"/>
  <c r="DQ9" i="6"/>
  <c r="DQ17" i="6"/>
  <c r="DQ18" i="6" s="1"/>
  <c r="DP10" i="6"/>
  <c r="DP20" i="6"/>
  <c r="DP21" i="6" s="1"/>
  <c r="DA12" i="6"/>
  <c r="CZ14" i="6"/>
  <c r="DS1" i="6" l="1"/>
  <c r="DR9" i="6"/>
  <c r="DR17" i="6"/>
  <c r="DR18" i="6" s="1"/>
  <c r="DQ20" i="6"/>
  <c r="DQ21" i="6" s="1"/>
  <c r="DQ11" i="6"/>
  <c r="DQ5" i="6"/>
  <c r="CK6" i="6"/>
  <c r="CJ7" i="6"/>
  <c r="CM4" i="6"/>
  <c r="DQ10" i="6"/>
  <c r="DB12" i="6"/>
  <c r="DA14" i="6"/>
  <c r="DS5" i="6" l="1"/>
  <c r="DS11" i="6"/>
  <c r="DS20" i="6"/>
  <c r="DS3" i="6"/>
  <c r="DS9" i="6"/>
  <c r="DS17" i="6"/>
  <c r="DS18" i="6" s="1"/>
  <c r="DR20" i="6"/>
  <c r="DR21" i="6" s="1"/>
  <c r="DS21" i="6" s="1"/>
  <c r="DR3" i="6"/>
  <c r="DR10" i="6"/>
  <c r="DS10" i="6" s="1"/>
  <c r="DR11" i="6"/>
  <c r="CN4" i="6"/>
  <c r="DR5" i="6"/>
  <c r="CL6" i="6"/>
  <c r="CK7" i="6"/>
  <c r="DC12" i="6"/>
  <c r="DB14" i="6"/>
  <c r="CM6" i="6" l="1"/>
  <c r="CL7" i="6"/>
  <c r="CO4" i="6"/>
  <c r="DD12" i="6"/>
  <c r="DC14" i="6"/>
  <c r="CP4" i="6" l="1"/>
  <c r="CN6" i="6"/>
  <c r="CM7" i="6"/>
  <c r="DE12" i="6"/>
  <c r="DD14" i="6"/>
  <c r="CO6" i="6" l="1"/>
  <c r="CN7" i="6"/>
  <c r="CQ4" i="6"/>
  <c r="DF12" i="6"/>
  <c r="DE14" i="6"/>
  <c r="CR4" i="6" l="1"/>
  <c r="CP6" i="6"/>
  <c r="CO7" i="6"/>
  <c r="DG12" i="6"/>
  <c r="DF14" i="6"/>
  <c r="CQ6" i="6" l="1"/>
  <c r="CP7" i="6"/>
  <c r="CS4" i="6"/>
  <c r="DH12" i="6"/>
  <c r="DG14" i="6"/>
  <c r="CT4" i="6" l="1"/>
  <c r="CR6" i="6"/>
  <c r="CQ7" i="6"/>
  <c r="DI12" i="6"/>
  <c r="DH14" i="6"/>
  <c r="CS6" i="6" l="1"/>
  <c r="CR7" i="6"/>
  <c r="CU4" i="6"/>
  <c r="DJ12" i="6"/>
  <c r="DI14" i="6"/>
  <c r="CV4" i="6" l="1"/>
  <c r="CT6" i="6"/>
  <c r="CS7" i="6"/>
  <c r="DK12" i="6"/>
  <c r="DJ14" i="6"/>
  <c r="CU6" i="6" l="1"/>
  <c r="CT7" i="6"/>
  <c r="CW4" i="6"/>
  <c r="DL12" i="6"/>
  <c r="DK14" i="6"/>
  <c r="CX4" i="6" l="1"/>
  <c r="CV6" i="6"/>
  <c r="CU7" i="6"/>
  <c r="DM12" i="6"/>
  <c r="DL14" i="6"/>
  <c r="CW6" i="6" l="1"/>
  <c r="CV7" i="6"/>
  <c r="CY4" i="6"/>
  <c r="DN12" i="6"/>
  <c r="DM14" i="6"/>
  <c r="CZ4" i="6" l="1"/>
  <c r="CX6" i="6"/>
  <c r="CW7" i="6"/>
  <c r="DO12" i="6"/>
  <c r="DN14" i="6"/>
  <c r="CY6" i="6" l="1"/>
  <c r="CX7" i="6"/>
  <c r="DA4" i="6"/>
  <c r="DP12" i="6"/>
  <c r="DO14" i="6"/>
  <c r="DB4" i="6" l="1"/>
  <c r="CZ6" i="6"/>
  <c r="CY7" i="6"/>
  <c r="DQ12" i="6"/>
  <c r="DP14" i="6"/>
  <c r="DA6" i="6" l="1"/>
  <c r="CZ7" i="6"/>
  <c r="DC4" i="6"/>
  <c r="DR12" i="6"/>
  <c r="DQ14" i="6"/>
  <c r="DD4" i="6" l="1"/>
  <c r="DB6" i="6"/>
  <c r="DA7" i="6"/>
  <c r="DS12" i="6"/>
  <c r="DS14" i="6" s="1"/>
  <c r="DR14" i="6"/>
  <c r="DC6" i="6" l="1"/>
  <c r="DB7" i="6"/>
  <c r="DE4" i="6"/>
  <c r="DF4" i="6" l="1"/>
  <c r="DD6" i="6"/>
  <c r="DC7" i="6"/>
  <c r="DE6" i="6" l="1"/>
  <c r="DD7" i="6"/>
  <c r="DG4" i="6"/>
  <c r="DH4" i="6" l="1"/>
  <c r="DF6" i="6"/>
  <c r="DE7" i="6"/>
  <c r="DG6" i="6" l="1"/>
  <c r="DF7" i="6"/>
  <c r="DI4" i="6"/>
  <c r="DJ4" i="6" l="1"/>
  <c r="DH6" i="6"/>
  <c r="DG7" i="6"/>
  <c r="DI6" i="6" l="1"/>
  <c r="DH7" i="6"/>
  <c r="DK4" i="6"/>
  <c r="DL4" i="6" l="1"/>
  <c r="DJ6" i="6"/>
  <c r="DI7" i="6"/>
  <c r="DK6" i="6" l="1"/>
  <c r="DJ7" i="6"/>
  <c r="DM4" i="6"/>
  <c r="DN4" i="6" l="1"/>
  <c r="DL6" i="6"/>
  <c r="DK7" i="6"/>
  <c r="DM6" i="6" l="1"/>
  <c r="DL7" i="6"/>
  <c r="DO4" i="6"/>
  <c r="DP4" i="6" l="1"/>
  <c r="DN6" i="6"/>
  <c r="DM7" i="6"/>
  <c r="DQ4" i="6" l="1"/>
  <c r="DO6" i="6"/>
  <c r="DN7" i="6"/>
  <c r="DP6" i="6" l="1"/>
  <c r="DO7" i="6"/>
  <c r="DR4" i="6"/>
  <c r="DS4" i="6" l="1"/>
  <c r="DQ6" i="6"/>
  <c r="DP7" i="6"/>
  <c r="DR6" i="6" l="1"/>
  <c r="DQ7" i="6"/>
  <c r="DS6" i="6" l="1"/>
  <c r="DS7" i="6" s="1"/>
  <c r="DR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tc={C4C8D70B-2ACB-4469-9B93-8DD24B08CC01}</author>
    <author>tc={0440F05B-C8DB-48F1-B2C3-7A25FD457299}</author>
    <author>tc={EEEAD333-865C-44B9-8980-74A55D31A43F}</author>
    <author>tc={35830EB2-DB75-4C4D-A3E8-A7BE84E4FCEC}</author>
    <author>tc={FFC19150-D493-4272-A448-5C6502CD6256}</author>
    <author>tc={011596BB-1409-4A31-8162-B7CBDDF2A10C}</author>
  </authors>
  <commentList>
    <comment ref="Q47" authorId="0" shapeId="0" xr:uid="{C4C8D70B-2ACB-4469-9B93-8DD24B08CC0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have you ordered CTs yet?
Reply:
    i am in process of sending po for approval</t>
      </text>
    </comment>
    <comment ref="W93" authorId="1" shapeId="0" xr:uid="{0440F05B-C8DB-48F1-B2C3-7A25FD45729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please update the payment date</t>
      </text>
    </comment>
    <comment ref="W95" authorId="2" shapeId="0" xr:uid="{EEEAD333-865C-44B9-8980-74A55D31A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please advise if we can pay this, currently it is forecasted to be paid on Thursday.  Please load on ClickUp</t>
      </text>
    </comment>
    <comment ref="W116" authorId="3" shapeId="0" xr:uid="{35830EB2-DB75-4C4D-A3E8-A7BE84E4FC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120" authorId="4" shapeId="0" xr:uid="{FFC19150-D493-4272-A448-5C6502CD6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are we able to firm up this amount or remove if we not going to incur it
Reply:
    Will do, moving it to Feb for now. Because council is going to take some time.
Reply:
    Removed it
</t>
      </text>
    </comment>
    <comment ref="W149" authorId="5" shapeId="0" xr:uid="{011596BB-1409-4A31-8162-B7CBDDF2A1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<sst xmlns="http://schemas.openxmlformats.org/spreadsheetml/2006/main" count="1089" uniqueCount="714">
  <si>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</si>
  <si>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</si>
  <si>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</si>
  <si>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</si>
  <si>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</si>
  <si>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</si>
  <si>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</si>
  <si>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</si>
  <si>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</si>
  <si>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</si>
  <si>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</si>
  <si>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</si>
  <si>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</si>
  <si>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</si>
  <si>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</si>
  <si>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</si>
  <si>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</si>
  <si>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</si>
  <si>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</si>
  <si>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</si>
  <si>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</si>
  <si>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</si>
  <si>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</si>
  <si>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</si>
  <si>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</si>
  <si>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</si>
  <si>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</si>
  <si>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</si>
  <si>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</si>
  <si>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</si>
  <si>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</si>
  <si>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</si>
  <si>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</si>
  <si>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</si>
  <si>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</si>
  <si>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</si>
  <si>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</si>
  <si>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</si>
  <si>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</si>
  <si>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</si>
  <si>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</si>
  <si>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</si>
  <si>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</si>
  <si>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</si>
  <si>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</si>
  <si>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</si>
  <si>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</si>
  <si>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</si>
  <si>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</si>
  <si>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</si>
  <si>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</si>
  <si>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</si>
  <si>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</si>
  <si>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</si>
  <si>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</si>
  <si>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</si>
  <si>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</si>
  <si>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</si>
  <si>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</si>
  <si>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</si>
  <si>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</si>
  <si>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</si>
  <si>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</si>
  <si>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</si>
  <si>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</si>
  <si>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</si>
  <si>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</si>
  <si>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</si>
  <si>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</si>
  <si>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</si>
  <si>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</si>
  <si>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</si>
  <si>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</si>
  <si>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Cascades Lifestyle Center</t>
  </si>
  <si>
    <t>PROJECT SIZE (kWp)</t>
  </si>
  <si>
    <t>PROJECT DEVELOPER</t>
  </si>
  <si>
    <t>Dayne Sage</t>
  </si>
  <si>
    <t>PROJECT MANAGERS</t>
  </si>
  <si>
    <t>Lloyd Brown</t>
  </si>
  <si>
    <t>CONTRACT VALUE</t>
  </si>
  <si>
    <t>Phase:</t>
  </si>
  <si>
    <t>Hold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</si>
  <si>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</si>
  <si>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</si>
  <si>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</si>
  <si>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</si>
  <si>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</si>
  <si>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</si>
  <si>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</si>
  <si>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</si>
  <si>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M1: Mobilisation</t>
  </si>
  <si>
    <t>1.1</t>
  </si>
  <si>
    <t>Signed Project Task Order</t>
  </si>
  <si>
    <t>1.2</t>
  </si>
  <si>
    <t>Proof of Required Insurance Policies per Master Contract Details (Deferred to M2)</t>
  </si>
  <si>
    <t>M2</t>
  </si>
  <si>
    <t>1.3</t>
  </si>
  <si>
    <t>Pre-Installation Roof Condition Report</t>
  </si>
  <si>
    <t>1.4</t>
  </si>
  <si>
    <t>Structural Report</t>
  </si>
  <si>
    <t>1.5</t>
  </si>
  <si>
    <t>Lightning Risk Assessment (BOQ &amp; Quote)</t>
  </si>
  <si>
    <t>1.6</t>
  </si>
  <si>
    <t>Detailed Design Drawings Package</t>
  </si>
  <si>
    <t>1.7</t>
  </si>
  <si>
    <t>Bill of Materials</t>
  </si>
  <si>
    <t>1.8</t>
  </si>
  <si>
    <t>Project Timeline/Programme</t>
  </si>
  <si>
    <t>1.9</t>
  </si>
  <si>
    <t>H&amp;S Plan Approved by Candi</t>
  </si>
  <si>
    <t>1.10</t>
  </si>
  <si>
    <t>Signed Contractor Code of Conduct</t>
  </si>
  <si>
    <t>1.11</t>
  </si>
  <si>
    <t xml:space="preserve">Grid Connection Application submitted to Municipality </t>
  </si>
  <si>
    <t>M2: Delivery of Major Components</t>
  </si>
  <si>
    <t>2.1</t>
  </si>
  <si>
    <t>H&amp;S File Approved by CANDI</t>
  </si>
  <si>
    <t>2.2</t>
  </si>
  <si>
    <t>Construction Design Package Approved by Candi</t>
  </si>
  <si>
    <t xml:space="preserve">Final approval Tie in 1 / Approved in theory </t>
  </si>
  <si>
    <t>2.3</t>
  </si>
  <si>
    <t>Evidence demonstrating arrival to site of all Major Components</t>
  </si>
  <si>
    <t>2.3.1</t>
  </si>
  <si>
    <t>Delivery of Inverters</t>
  </si>
  <si>
    <t>2.3.2</t>
  </si>
  <si>
    <t>Delivery of Modules</t>
  </si>
  <si>
    <t>2.3.2.1</t>
  </si>
  <si>
    <t>Delivery of Batch 1</t>
  </si>
  <si>
    <t>2.3.2.2</t>
  </si>
  <si>
    <t>Delivery of Batch 2</t>
  </si>
  <si>
    <t>2.3.2.3</t>
  </si>
  <si>
    <t>Delivery of Batch 3</t>
  </si>
  <si>
    <t>2.3.3</t>
  </si>
  <si>
    <t>Delivery of Mounting Structure</t>
  </si>
  <si>
    <t>2.3.4</t>
  </si>
  <si>
    <t>Delivery of DC Cable</t>
  </si>
  <si>
    <t>2.3.5</t>
  </si>
  <si>
    <t>Delivery of DBs</t>
  </si>
  <si>
    <t>2.3.5.1</t>
  </si>
  <si>
    <t>PVDB 1&amp;2</t>
  </si>
  <si>
    <t>2.3.5.2</t>
  </si>
  <si>
    <t>Comms DB, Meters, Sensors, Etc (Supplied by Candi)</t>
  </si>
  <si>
    <t>2.4</t>
  </si>
  <si>
    <t>Photos of each of the aforementioned subsystem materials delivered to site</t>
  </si>
  <si>
    <t>Emergent Energy Construction</t>
  </si>
  <si>
    <t>3.1</t>
  </si>
  <si>
    <t>Fixed Anchor Point &amp; Lifeline Approvals</t>
  </si>
  <si>
    <t>3.2</t>
  </si>
  <si>
    <t>Fixed Anchor Point &amp; Lifeline Installation</t>
  </si>
  <si>
    <t>3.3</t>
  </si>
  <si>
    <t>Fixed Anchor Point &amp; Lifeline Sign Off</t>
  </si>
  <si>
    <t>3.4</t>
  </si>
  <si>
    <t>SteelWork Fabrication (Offsite)</t>
  </si>
  <si>
    <t>3.5</t>
  </si>
  <si>
    <t>SteelWork Installation (onsite) - CRITICAL PATH</t>
  </si>
  <si>
    <t>3.6</t>
  </si>
  <si>
    <t>SteelWork Sign Off</t>
  </si>
  <si>
    <t>3.7</t>
  </si>
  <si>
    <t>Mounting Structure Installation</t>
  </si>
  <si>
    <t>3.8</t>
  </si>
  <si>
    <t>DC Cable Tray Installation &amp; Earthing</t>
  </si>
  <si>
    <t>Dependant on the approval from Candi</t>
  </si>
  <si>
    <t>3.9</t>
  </si>
  <si>
    <t>DC Cable Stringing</t>
  </si>
  <si>
    <t>3.10</t>
  </si>
  <si>
    <t>DC Cable Termination</t>
  </si>
  <si>
    <t>3.11</t>
  </si>
  <si>
    <t>String Voltage Tests</t>
  </si>
  <si>
    <t>3.12</t>
  </si>
  <si>
    <t>Module Lifting - Batch 1</t>
  </si>
  <si>
    <t>3.13</t>
  </si>
  <si>
    <t>Module Mounting Batch 1</t>
  </si>
  <si>
    <t>3.14</t>
  </si>
  <si>
    <t>Module Lifting - Batch 2</t>
  </si>
  <si>
    <t>3.15</t>
  </si>
  <si>
    <t>Module Mounting Batch 2</t>
  </si>
  <si>
    <t>3.16</t>
  </si>
  <si>
    <t>Module Lifting - Batch 3</t>
  </si>
  <si>
    <t>3.17</t>
  </si>
  <si>
    <t>Module Mounting Batch 3</t>
  </si>
  <si>
    <t>3.18</t>
  </si>
  <si>
    <t>Inverter Installation - Tie In 1</t>
  </si>
  <si>
    <t>3.19</t>
  </si>
  <si>
    <t>Inverter Installation - Tie In 2</t>
  </si>
  <si>
    <t>3.20</t>
  </si>
  <si>
    <t>PVDB Installation - Tie In 1</t>
  </si>
  <si>
    <t>3.21</t>
  </si>
  <si>
    <t>PVDB Installation - Tie In 2</t>
  </si>
  <si>
    <t>3.22</t>
  </si>
  <si>
    <t>Candi Comms Board Installation</t>
  </si>
  <si>
    <t>3.23</t>
  </si>
  <si>
    <t>Cable Tray Installation - Tie In 1</t>
  </si>
  <si>
    <t>3.24</t>
  </si>
  <si>
    <t>Cable Tray Installation - Tie In 2</t>
  </si>
  <si>
    <t>3.25</t>
  </si>
  <si>
    <t>Inverter AC Cable Installation - Tie In 1</t>
  </si>
  <si>
    <t>3.26</t>
  </si>
  <si>
    <t>Inverter AC Cable Installation - Tie In 2</t>
  </si>
  <si>
    <t>3.27</t>
  </si>
  <si>
    <t>AC Supply Cable Installation - Tie In 1</t>
  </si>
  <si>
    <t>3.28</t>
  </si>
  <si>
    <t>AC Supply Cable Installation - Tie In 2</t>
  </si>
  <si>
    <t>3.29</t>
  </si>
  <si>
    <t>AC Soft Commissioning</t>
  </si>
  <si>
    <t>3.30</t>
  </si>
  <si>
    <t>Comms Soft Commissioning</t>
  </si>
  <si>
    <t>3.31</t>
  </si>
  <si>
    <t>DC Soft Commissioning</t>
  </si>
  <si>
    <t>3.32</t>
  </si>
  <si>
    <t>Shutdown Tie In 1</t>
  </si>
  <si>
    <t>3.33</t>
  </si>
  <si>
    <t>Shutdown Tie In 2</t>
  </si>
  <si>
    <t>3.34</t>
  </si>
  <si>
    <t>System Energising</t>
  </si>
  <si>
    <t>3.35</t>
  </si>
  <si>
    <t>Production Monitoring</t>
  </si>
  <si>
    <t>3.36</t>
  </si>
  <si>
    <t>PrEng Signoff</t>
  </si>
  <si>
    <t>M3: Practical Completion</t>
  </si>
  <si>
    <t>4.1</t>
  </si>
  <si>
    <t>Commissioning Form/Checklist</t>
  </si>
  <si>
    <t>4.2</t>
  </si>
  <si>
    <t>Evidence demonstrating achievement of all Capacity Tests</t>
  </si>
  <si>
    <t>Done by Candi</t>
  </si>
  <si>
    <t>4.3</t>
  </si>
  <si>
    <t>Electrical Certificate of Compliance</t>
  </si>
  <si>
    <t>4.4</t>
  </si>
  <si>
    <t>Completed Quantum PVForm</t>
  </si>
  <si>
    <t>4.5</t>
  </si>
  <si>
    <t>Site Rubble Removal</t>
  </si>
  <si>
    <t>4.6</t>
  </si>
  <si>
    <t>Creation of Snag List - M4</t>
  </si>
  <si>
    <t>M4: Provisional Acceptance</t>
  </si>
  <si>
    <t>5.1</t>
  </si>
  <si>
    <t>Close out of Snag List</t>
  </si>
  <si>
    <t>5.1.1</t>
  </si>
  <si>
    <t>Platform Installation at Tie-In 2</t>
  </si>
  <si>
    <t>5.2</t>
  </si>
  <si>
    <t>Successful audit of HSE file by Candi</t>
  </si>
  <si>
    <t>5.3</t>
  </si>
  <si>
    <t>Training of designated CANDI and/or Customer personnel</t>
  </si>
  <si>
    <t>5.4</t>
  </si>
  <si>
    <t>Completed asset register of all components on site including serial numbers</t>
  </si>
  <si>
    <t>5.5</t>
  </si>
  <si>
    <t>Successful reception of data on CANDI servers</t>
  </si>
  <si>
    <t>5.6</t>
  </si>
  <si>
    <t>As-built drawings package</t>
  </si>
  <si>
    <t>5.7</t>
  </si>
  <si>
    <t>Final as-built EYA</t>
  </si>
  <si>
    <t>5.8</t>
  </si>
  <si>
    <t>Handover of equipment warranty documents, Owners Manuals &amp; Datasheets</t>
  </si>
  <si>
    <t>5.9</t>
  </si>
  <si>
    <t>Signed Milestone 3 - Certificate of Practical Completion</t>
  </si>
  <si>
    <t>5.10</t>
  </si>
  <si>
    <t>Guaranteed PR achieved during Acceptance Test</t>
  </si>
  <si>
    <t>M5: Final Acceptance</t>
  </si>
  <si>
    <t>Request subdeliverables from Candi</t>
  </si>
  <si>
    <t>NERSA Application</t>
  </si>
  <si>
    <t>Project Initiation</t>
  </si>
  <si>
    <t>BD Handover</t>
  </si>
  <si>
    <t>Project Introduction</t>
  </si>
  <si>
    <t>Installer Kick Off</t>
  </si>
  <si>
    <t>Project Review</t>
  </si>
  <si>
    <t>Site Establishment</t>
  </si>
  <si>
    <t>Installer on site &amp; Roof Assessment</t>
  </si>
  <si>
    <t>AC Installation</t>
  </si>
  <si>
    <t>Inverters delivered</t>
  </si>
  <si>
    <t>Landing Area for Inverters Tie In 1</t>
  </si>
  <si>
    <t>DB Room Prep for Inverters Tie In 2</t>
  </si>
  <si>
    <t>changed to outside mount</t>
  </si>
  <si>
    <t>Inverters Mounted Tie In 1</t>
  </si>
  <si>
    <t>Inverters Mounted Tie In 2</t>
  </si>
  <si>
    <t>Solar DB lead time Tie In 1</t>
  </si>
  <si>
    <t>Solar DB lead time Tie In 2</t>
  </si>
  <si>
    <t>AC Works Tie In 1</t>
  </si>
  <si>
    <t>AC Works Tie In 2</t>
  </si>
  <si>
    <t>Monitoring Equipment Delivered</t>
  </si>
  <si>
    <t>Monitoring Equipment installed</t>
  </si>
  <si>
    <t>Monitoring Equipment Testing</t>
  </si>
  <si>
    <t>AC Tie - in - 1</t>
  </si>
  <si>
    <t>AC Tie - in - 2</t>
  </si>
  <si>
    <t>Lifeline Installation</t>
  </si>
  <si>
    <t>Mounting Structure delivered</t>
  </si>
  <si>
    <t>Mounting Structure installation</t>
  </si>
  <si>
    <t>DC Cable delivered</t>
  </si>
  <si>
    <t>DC Stringing</t>
  </si>
  <si>
    <t>Module installation</t>
  </si>
  <si>
    <t>Module delivery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</si>
  <si>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</si>
  <si>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</si>
  <si>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</si>
  <si>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</si>
  <si>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</si>
  <si>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</si>
  <si>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</si>
  <si>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</si>
  <si>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</si>
  <si>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</si>
  <si>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</si>
  <si>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</si>
  <si>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</si>
  <si>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</si>
  <si>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</si>
  <si>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</si>
  <si>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</si>
  <si>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</si>
  <si>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</si>
  <si>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</si>
  <si>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</si>
  <si>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</si>
  <si>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</si>
  <si>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</si>
  <si>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</si>
  <si>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</si>
  <si>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TBC</t>
  </si>
  <si>
    <t>COS</t>
  </si>
  <si>
    <t>Planned Profit</t>
  </si>
  <si>
    <t>End Date - PC</t>
  </si>
  <si>
    <t>GP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</si>
  <si>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</si>
  <si>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</si>
  <si>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</si>
  <si>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</si>
  <si>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</si>
  <si>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</si>
  <si>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</si>
  <si>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</si>
  <si>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</si>
  <si>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</si>
  <si>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M1 - Mobilisation</t>
  </si>
  <si>
    <t>004486</t>
  </si>
  <si>
    <t>M2 - Upon delivery to site of all Major Equipment</t>
  </si>
  <si>
    <t>004564</t>
  </si>
  <si>
    <t>M3 - Upon receipt of the Practical Completion Certificate</t>
  </si>
  <si>
    <t>004624</t>
  </si>
  <si>
    <t>M4 - Upon receipt of the Provisional Acceptance Certificate</t>
  </si>
  <si>
    <t>004816</t>
  </si>
  <si>
    <t>M5 - Upon receipt of the Final Acceptance Certificate</t>
  </si>
  <si>
    <t>VO - Anchor Point</t>
  </si>
  <si>
    <t>004780</t>
  </si>
  <si>
    <t>VO - Waterpoint Clamps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</si>
  <si>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</si>
  <si>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</si>
  <si>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</si>
  <si>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</si>
  <si>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</si>
  <si>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</si>
  <si>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</si>
  <si>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</si>
  <si>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</si>
  <si>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</si>
  <si>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</si>
  <si>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</si>
  <si>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</si>
  <si>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</si>
  <si>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</si>
  <si>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</si>
  <si>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</si>
  <si>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</si>
  <si>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</si>
  <si>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</si>
  <si>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</si>
  <si>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</si>
  <si>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</si>
  <si>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</si>
  <si>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</si>
  <si>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</si>
  <si>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</si>
  <si>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</si>
  <si>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</si>
  <si>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</si>
  <si>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</si>
  <si>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</si>
  <si>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</si>
  <si>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</si>
  <si>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</si>
  <si>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</si>
  <si>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</si>
  <si>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</si>
  <si>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</si>
  <si>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</si>
  <si>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</si>
  <si>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</si>
  <si>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</si>
  <si>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</si>
  <si>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</si>
  <si>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</si>
  <si>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</si>
  <si>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</si>
  <si>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</si>
  <si>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</si>
  <si>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</si>
  <si>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</si>
  <si>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</si>
  <si>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</si>
  <si>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</si>
  <si>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</si>
  <si>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</si>
  <si>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</si>
  <si>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</si>
  <si>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</si>
  <si>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</si>
  <si>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</si>
  <si>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Panels will be free-issued</t>
  </si>
  <si>
    <t>1. Panels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</si>
  <si>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</si>
  <si>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</si>
  <si>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</si>
  <si>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</si>
  <si>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</si>
  <si>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</si>
  <si>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</si>
  <si>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</si>
  <si>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</si>
  <si>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</si>
  <si>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 - Aarden Solar</t>
  </si>
  <si>
    <t>PO3260-CAS-20240725 - RV Approved</t>
  </si>
  <si>
    <t>Arden Inv: NV-05927</t>
  </si>
  <si>
    <t>Aarden Solar quote - 30 days from statement</t>
  </si>
  <si>
    <t>Roof Access/Scaffolding</t>
  </si>
  <si>
    <t>Price include deilvery</t>
  </si>
  <si>
    <t>Storage</t>
  </si>
  <si>
    <t>Telehandler</t>
  </si>
  <si>
    <t>Other</t>
  </si>
  <si>
    <t>Mounting Structures</t>
  </si>
  <si>
    <t>KlipLok Roof</t>
  </si>
  <si>
    <t>3. Mounting Structures</t>
  </si>
  <si>
    <t>KlipLok/Novatexi Roof - Lumax</t>
  </si>
  <si>
    <t>Lumax Inv: INV00045783</t>
  </si>
  <si>
    <t>Less 15%</t>
  </si>
  <si>
    <t>[SM: Target Installation Price]</t>
  </si>
  <si>
    <t xml:space="preserve">LUMAX additional Clamps </t>
  </si>
  <si>
    <t>PO3346-CAS-2024090 - RV Approved</t>
  </si>
  <si>
    <t>Lumax Inv: INV0046571</t>
  </si>
  <si>
    <t>R/Wp</t>
  </si>
  <si>
    <t>DC Cable Tray Clamps</t>
  </si>
  <si>
    <t>PO3379-CAS-20241002 - RV Approved</t>
  </si>
  <si>
    <t>Lumax Inv: INV0047410</t>
  </si>
  <si>
    <t>Test Clamps</t>
  </si>
  <si>
    <t>PO3797-CAS-20250410 - RV Approved</t>
  </si>
  <si>
    <t>Lumax - Inv 1001/70001421</t>
  </si>
  <si>
    <t>PO4021-CAS-20250623 - RV Approved</t>
  </si>
  <si>
    <t>Lumax - INV 1001/70002518</t>
  </si>
  <si>
    <t>TC: added cost PO4021-CAS-20250623</t>
  </si>
  <si>
    <t>Mid Clamps</t>
  </si>
  <si>
    <t>PO4015-CAS-20250620 - RV Approved</t>
  </si>
  <si>
    <t>Lumax - Inv 1001/70002494</t>
  </si>
  <si>
    <t>Lumax Replacement Clamps</t>
  </si>
  <si>
    <t>PO3961-CAS-20250527 - RV Approved</t>
  </si>
  <si>
    <t>Lumax INV1001/70002085</t>
  </si>
  <si>
    <t>Delivery</t>
  </si>
  <si>
    <t>Lumax INV1001/70002084</t>
  </si>
  <si>
    <t>Return of MS to Lumax</t>
  </si>
  <si>
    <t>DSV Inv: 180138260</t>
  </si>
  <si>
    <t>MS Scrapped</t>
  </si>
  <si>
    <t>Scrapped MS</t>
  </si>
  <si>
    <t>Waterpoints Clamps</t>
  </si>
  <si>
    <t>PO3652-CAS-20250212 - RV Approved</t>
  </si>
  <si>
    <t>Schletter - INV1422</t>
  </si>
  <si>
    <t>We are doing Candi a favour here, they have issued a PO to us for the procurement of this equipment.</t>
  </si>
  <si>
    <t>Installer Price</t>
  </si>
  <si>
    <t xml:space="preserve">DC Cable </t>
  </si>
  <si>
    <t>4. DC Equipment</t>
  </si>
  <si>
    <t>DC Cable - Menlo</t>
  </si>
  <si>
    <t>PO3313-CAS-20240822 - RV Approved</t>
  </si>
  <si>
    <t>Menlo Inv: 0001925</t>
  </si>
  <si>
    <t>DC Surge Arrestor</t>
  </si>
  <si>
    <t>Menlo Inv: 0001926</t>
  </si>
  <si>
    <t>Menlo Inv: 0002198</t>
  </si>
  <si>
    <t>DC Cable allocated from Stock</t>
  </si>
  <si>
    <t>Allocated from Stock</t>
  </si>
  <si>
    <t>DC Cable Tray</t>
  </si>
  <si>
    <t>Project Kick Off</t>
  </si>
  <si>
    <t>PO3211-CAS-20240703</t>
  </si>
  <si>
    <t>Luken Inv0556</t>
  </si>
  <si>
    <t>Luken Inv0559</t>
  </si>
  <si>
    <t>AC Installation Complete</t>
  </si>
  <si>
    <t>Luken Inv0593</t>
  </si>
  <si>
    <t>DC Installation Complete</t>
  </si>
  <si>
    <t>Luken Inv 0576</t>
  </si>
  <si>
    <t>Compliance</t>
  </si>
  <si>
    <t>Commissioning Complete</t>
  </si>
  <si>
    <t>Luken Inv 0594</t>
  </si>
  <si>
    <t>Travel</t>
  </si>
  <si>
    <t>Site De-establisment</t>
  </si>
  <si>
    <t>Luken Inv 0595</t>
  </si>
  <si>
    <t>Earth Cable</t>
  </si>
  <si>
    <t>Handover Document Complete</t>
  </si>
  <si>
    <t>Luken Inv 0598</t>
  </si>
  <si>
    <t>Earth clamp</t>
  </si>
  <si>
    <t>End of Defects Period</t>
  </si>
  <si>
    <t>Luken Inv 0599</t>
  </si>
  <si>
    <t>Labour</t>
  </si>
  <si>
    <t>Equipment</t>
  </si>
  <si>
    <t>Monitoring</t>
  </si>
  <si>
    <t>Smartlogger 3000</t>
  </si>
  <si>
    <t>5. Monitoring</t>
  </si>
  <si>
    <t>AC</t>
  </si>
  <si>
    <t>Comms DB</t>
  </si>
  <si>
    <t>CTs</t>
  </si>
  <si>
    <t>PO3317-CAS-20240826 - RV Approved</t>
  </si>
  <si>
    <t>AccuEnergy - IN ASAI-003703</t>
  </si>
  <si>
    <t>DC</t>
  </si>
  <si>
    <t>Revenue Grade Meter</t>
  </si>
  <si>
    <t>Replacement CTs</t>
  </si>
  <si>
    <t>PO3556-CAS-20250122 - RV Approved</t>
  </si>
  <si>
    <t>Acccuenergy - ASAI-004594</t>
  </si>
  <si>
    <t xml:space="preserve">Candi Monitoring Box Wiring </t>
  </si>
  <si>
    <t>Tester - EE Stock</t>
  </si>
  <si>
    <t>Removed</t>
  </si>
  <si>
    <t>6. AC Equipment</t>
  </si>
  <si>
    <t>AC Board Tie In 1 - SOLAR PVDB 1</t>
  </si>
  <si>
    <t>Switchboard - INV 2-SOI001204</t>
  </si>
  <si>
    <t>AC Board Tie In 2 - SOLAR PVDB 2</t>
  </si>
  <si>
    <t>AC Cable - Corrected Tie in</t>
  </si>
  <si>
    <t>PO3613-CAS-20250203 - RV Approved</t>
  </si>
  <si>
    <t>Luken Inv0618</t>
  </si>
  <si>
    <t>Battery Systems</t>
  </si>
  <si>
    <t xml:space="preserve">Product Add On </t>
  </si>
  <si>
    <t>Welcome Bonus</t>
  </si>
  <si>
    <t xml:space="preserve">8. Product Add On </t>
  </si>
  <si>
    <t>Platform Supports</t>
  </si>
  <si>
    <t>PO3467-CAS-20241119 - RV Approved</t>
  </si>
  <si>
    <t>Anthony's Steel Inv INA28450</t>
  </si>
  <si>
    <t>Steel Work For Both Tie Ins</t>
  </si>
  <si>
    <t>PO3210-CAS-20240703</t>
  </si>
  <si>
    <t>Anthony's Steel:  Inv INA28238</t>
  </si>
  <si>
    <t>Balance Payable</t>
  </si>
  <si>
    <t>aNThony's Steel:  Inv INA28243</t>
  </si>
  <si>
    <t>Platform Tie In 2</t>
  </si>
  <si>
    <t>PO3512-CAS-20241205 - RV Approved</t>
  </si>
  <si>
    <t>Anthony's Steel: INV INA28494</t>
  </si>
  <si>
    <t>Anthony's Steel INVINA28646</t>
  </si>
  <si>
    <t>Anchor Points - Active Rope ATS - Deposit</t>
  </si>
  <si>
    <t>PO3262-CAS-20240726 - RV Approved</t>
  </si>
  <si>
    <t>ATS Africa Inv: INV-0318</t>
  </si>
  <si>
    <t>Anchor Points - Active Rope ATS - Balance</t>
  </si>
  <si>
    <t>Temp Lifelines</t>
  </si>
  <si>
    <t>ATS Africa Inv: INV-0337</t>
  </si>
  <si>
    <t>Panel Clean</t>
  </si>
  <si>
    <t>PO704-CAS-20241107 - RV Approved</t>
  </si>
  <si>
    <t>Camperdown Solar Inv INA11114</t>
  </si>
  <si>
    <t>Luken Solar AC Cable VO</t>
  </si>
  <si>
    <t>PO3443-CAS-20241031 - RV Approved</t>
  </si>
  <si>
    <t>Luken Inv0591</t>
  </si>
  <si>
    <t>Luken Solar Tie In Breakers</t>
  </si>
  <si>
    <t>PO3455-CAS-20241106 - RV Approved</t>
  </si>
  <si>
    <t>Luken Inv0592</t>
  </si>
  <si>
    <t xml:space="preserve"> </t>
  </si>
  <si>
    <t>PO3962-CAS-20250527 - RV Approved</t>
  </si>
  <si>
    <t>Luken Inv-0648</t>
  </si>
  <si>
    <t>Luken Corrective Installation - On Completion</t>
  </si>
  <si>
    <t>Luken Inv-0651</t>
  </si>
  <si>
    <t>Luken Corrective Installation - Retention</t>
  </si>
  <si>
    <t>Luken Inv-0652</t>
  </si>
  <si>
    <t>Repair Damaged Downpipe</t>
  </si>
  <si>
    <t>PO4206-CAS-20250807 - RV Approved</t>
  </si>
  <si>
    <t>Anthony's Wedlding - INA28967</t>
  </si>
  <si>
    <t>Only services to be capture below, products above</t>
  </si>
  <si>
    <t>AC &amp; DC Installation</t>
  </si>
  <si>
    <t>9. AC &amp; DC installation</t>
  </si>
  <si>
    <t>Luken Inv 0559</t>
  </si>
  <si>
    <t>Site Logistics</t>
  </si>
  <si>
    <t>Scaffolding</t>
  </si>
  <si>
    <t>10. Site Logistics</t>
  </si>
  <si>
    <t>Security Budget</t>
  </si>
  <si>
    <t>Security Panel Delivery</t>
  </si>
  <si>
    <t>PO3293-CAS-20240814 - RV Approved</t>
  </si>
  <si>
    <t>BEST Inv: 0000020</t>
  </si>
  <si>
    <t>Site Storage</t>
  </si>
  <si>
    <t>Security additional days</t>
  </si>
  <si>
    <t>BEST Inv:O0000020</t>
  </si>
  <si>
    <t>Security</t>
  </si>
  <si>
    <t>Due Dilligence</t>
  </si>
  <si>
    <t>Electrical PrEng sign off</t>
  </si>
  <si>
    <t>11. Due Dilligence</t>
  </si>
  <si>
    <t>Electrical PrEng sign off - Matthews Group</t>
  </si>
  <si>
    <t>PO3269-CAS-20240731 - RV Approved</t>
  </si>
  <si>
    <t>MG Engineering Inv0002</t>
  </si>
  <si>
    <t>Structural sign off</t>
  </si>
  <si>
    <t>2x Site visits from L&amp;B and 1x from Candi</t>
  </si>
  <si>
    <t>Structural Assessment</t>
  </si>
  <si>
    <t>L&amp;B Invoice: 0996</t>
  </si>
  <si>
    <t>L&amp;B Invoice:1646</t>
  </si>
  <si>
    <t>SSEG Extras</t>
  </si>
  <si>
    <t>Grid Study - Outside of CoCT</t>
  </si>
  <si>
    <t>PO3926-CAS-20250516 - RV Approved</t>
  </si>
  <si>
    <t>Okhusa Electrical: EE016</t>
  </si>
  <si>
    <t>Lightning Risk Assessment</t>
  </si>
  <si>
    <t>PO3213-CAS-20240703</t>
  </si>
  <si>
    <t>LPS Invoice: IN305966</t>
  </si>
  <si>
    <t>SSEG Inspection</t>
  </si>
  <si>
    <t>PO3907-CAS-20250514 - RV Approved</t>
  </si>
  <si>
    <t>BDP Commission</t>
  </si>
  <si>
    <t>Mont Blanc Inv: 273</t>
  </si>
  <si>
    <t>Engineering</t>
  </si>
  <si>
    <t>Matriarch Defects Period</t>
  </si>
  <si>
    <t>13. Engineering</t>
  </si>
  <si>
    <t>MATRIARCH - INV-3414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</si>
  <si>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</si>
  <si>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</si>
  <si>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</si>
  <si>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</si>
  <si>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</si>
  <si>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</si>
  <si>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</si>
  <si>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</si>
  <si>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</si>
  <si>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</si>
  <si>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APEX Call Out Fee</t>
  </si>
  <si>
    <t>THULA MOYA - IN04542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</si>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</sst>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0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0" fontId="5" fillId="18" borderId="2" xfId="0" applyFont="1" applyFill="1" applyBorder="1"/>
    <xf numFmtId="14" fontId="29" fillId="6" borderId="18" xfId="0" applyNumberFormat="1" applyFont="1" applyFill="1" applyBorder="1" applyAlignment="1" applyProtection="1">
      <alignment horizontal="right"/>
      <protection locked="0"/>
    </xf>
    <xf numFmtId="14" fontId="29" fillId="6" borderId="14" xfId="0" applyNumberFormat="1" applyFont="1" applyFill="1" applyBorder="1" applyAlignment="1" applyProtection="1">
      <alignment horizontal="right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14" fontId="11" fillId="13" borderId="39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4" fontId="55" fillId="11" borderId="93" xfId="0" applyNumberFormat="1" applyFont="1" applyFill="1" applyBorder="1" applyAlignment="1" applyProtection="1">
      <alignment horizontal="center"/>
      <protection locked="0"/>
    </xf>
    <xf numFmtId="14" fontId="55" fillId="13" borderId="68" xfId="0" applyNumberFormat="1" applyFont="1" applyFill="1" applyBorder="1" applyAlignment="1" applyProtection="1">
      <alignment horizontal="center"/>
      <protection locked="0"/>
    </xf>
    <xf numFmtId="14" fontId="5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66" fontId="55" fillId="13" borderId="80" xfId="3" applyFont="1" applyFill="1" applyBorder="1" applyAlignment="1" applyProtection="1">
      <alignment horizontal="center"/>
      <protection locked="0"/>
    </xf>
    <xf numFmtId="166" fontId="55" fillId="13" borderId="77" xfId="3" applyFont="1" applyFill="1" applyBorder="1" applyAlignment="1" applyProtection="1">
      <alignment horizontal="center"/>
      <protection locked="0"/>
    </xf>
    <xf numFmtId="166" fontId="55" fillId="11" borderId="89" xfId="3" applyFont="1" applyFill="1" applyBorder="1" applyAlignment="1" applyProtection="1">
      <alignment horizontal="center"/>
      <protection locked="0"/>
    </xf>
    <xf numFmtId="166" fontId="55" fillId="11" borderId="83" xfId="3" applyFont="1" applyFill="1" applyBorder="1" applyAlignment="1" applyProtection="1">
      <alignment horizontal="center"/>
      <protection locked="0"/>
    </xf>
    <xf numFmtId="166" fontId="55" fillId="11" borderId="77" xfId="3" applyFont="1" applyFill="1" applyBorder="1" applyAlignment="1" applyProtection="1">
      <alignment horizontal="center"/>
      <protection locked="0"/>
    </xf>
    <xf numFmtId="166" fontId="55" fillId="10" borderId="80" xfId="3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5" fillId="13" borderId="73" xfId="0" applyNumberFormat="1" applyFont="1" applyFill="1" applyBorder="1" applyAlignment="1" applyProtection="1">
      <alignment horizontal="center"/>
      <protection locked="0"/>
    </xf>
    <xf numFmtId="2" fontId="55" fillId="13" borderId="59" xfId="0" applyNumberFormat="1" applyFont="1" applyFill="1" applyBorder="1" applyAlignment="1" applyProtection="1">
      <alignment horizontal="center"/>
      <protection locked="0"/>
    </xf>
    <xf numFmtId="0" fontId="3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0" fontId="6" fillId="7" borderId="2" xfId="0" applyFont="1" applyFill="1" applyBorder="1" applyAlignment="1">
      <alignment horizontal="center" vertical="center" wrapText="1"/>
    </xf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15" fontId="21" fillId="7" borderId="0" xfId="0" applyNumberFormat="1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9" fontId="27" fillId="7" borderId="0" xfId="2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5" fontId="21" fillId="18" borderId="2" xfId="0" applyNumberFormat="1" applyFont="1" applyFill="1" applyBorder="1" applyAlignment="1">
      <alignment horizontal="center" vertical="center" wrapText="1"/>
    </xf>
    <xf numFmtId="15" fontId="21" fillId="19" borderId="2" xfId="0" applyNumberFormat="1" applyFont="1" applyFill="1" applyBorder="1" applyAlignment="1">
      <alignment horizontal="center" vertical="center" wrapText="1"/>
    </xf>
    <xf numFmtId="15" fontId="25" fillId="7" borderId="2" xfId="0" applyNumberFormat="1" applyFont="1" applyFill="1" applyBorder="1" applyAlignment="1">
      <alignment horizontal="center" vertical="center" wrapText="1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66" fontId="55" fillId="13" borderId="78" xfId="3" applyFont="1" applyFill="1" applyBorder="1" applyAlignment="1" applyProtection="1">
      <alignment horizontal="center"/>
      <protection locked="0"/>
    </xf>
    <xf numFmtId="166" fontId="55" fillId="11" borderId="78" xfId="3" applyFont="1" applyFill="1" applyBorder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1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43" fontId="0" fillId="0" borderId="0" xfId="0" applyNumberFormat="1"/>
    <xf numFmtId="14" fontId="5" fillId="11" borderId="73" xfId="0" applyNumberFormat="1" applyFont="1" applyFill="1" applyBorder="1" applyAlignment="1" applyProtection="1">
      <alignment horizontal="center"/>
      <protection locked="0"/>
    </xf>
    <xf numFmtId="2" fontId="55" fillId="11" borderId="5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5" fillId="11" borderId="76" xfId="0" applyNumberFormat="1" applyFont="1" applyFill="1" applyBorder="1" applyAlignment="1" applyProtection="1">
      <alignment horizontal="center"/>
      <protection locked="0"/>
    </xf>
    <xf numFmtId="166" fontId="55" fillId="11" borderId="79" xfId="3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0" fontId="26" fillId="7" borderId="0" xfId="2" applyNumberFormat="1" applyFont="1" applyFill="1" applyProtection="1">
      <protection locked="0"/>
    </xf>
    <xf numFmtId="0" fontId="5" fillId="13" borderId="76" xfId="0" applyFont="1" applyFill="1" applyBorder="1" applyProtection="1"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166" fontId="55" fillId="13" borderId="79" xfId="3" applyFont="1" applyFill="1" applyBorder="1" applyAlignment="1" applyProtection="1">
      <alignment horizontal="center"/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166" fontId="55" fillId="11" borderId="90" xfId="3" applyFont="1" applyFill="1" applyBorder="1" applyAlignment="1" applyProtection="1">
      <alignment horizontal="center"/>
      <protection locked="0"/>
    </xf>
    <xf numFmtId="166" fontId="55" fillId="11" borderId="91" xfId="3" applyFont="1" applyFill="1" applyBorder="1" applyAlignment="1" applyProtection="1">
      <alignment horizontal="center"/>
      <protection locked="0"/>
    </xf>
    <xf numFmtId="166" fontId="55" fillId="11" borderId="92" xfId="3" applyFont="1" applyFill="1" applyBorder="1" applyAlignment="1" applyProtection="1">
      <alignment horizontal="center"/>
      <protection locked="0"/>
    </xf>
    <xf numFmtId="166" fontId="55" fillId="10" borderId="77" xfId="3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5" fillId="11" borderId="81" xfId="0" applyNumberFormat="1" applyFont="1" applyFill="1" applyBorder="1" applyAlignment="1" applyProtection="1">
      <alignment horizontal="center"/>
      <protection locked="0"/>
    </xf>
    <xf numFmtId="166" fontId="55" fillId="11" borderId="96" xfId="3" applyFont="1" applyFill="1" applyBorder="1" applyAlignment="1" applyProtection="1">
      <alignment horizontal="center"/>
      <protection locked="0"/>
    </xf>
    <xf numFmtId="14" fontId="55" fillId="10" borderId="76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5" fillId="10" borderId="20" xfId="0" applyNumberFormat="1" applyFont="1" applyFill="1" applyBorder="1" applyAlignment="1" applyProtection="1">
      <alignment horizontal="center"/>
      <protection locked="0"/>
    </xf>
    <xf numFmtId="166" fontId="55" fillId="10" borderId="107" xfId="3" applyFont="1" applyFill="1" applyBorder="1" applyAlignment="1" applyProtection="1">
      <alignment horizontal="center"/>
      <protection locked="0"/>
    </xf>
    <xf numFmtId="166" fontId="55" fillId="10" borderId="14" xfId="3" applyFont="1" applyFill="1" applyBorder="1" applyAlignment="1" applyProtection="1">
      <alignment horizontal="center"/>
      <protection locked="0"/>
    </xf>
    <xf numFmtId="166" fontId="55" fillId="13" borderId="96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6" fontId="52" fillId="0" borderId="0" xfId="0" applyNumberFormat="1" applyFont="1"/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vertical="center"/>
    </xf>
    <xf numFmtId="166" fontId="6" fillId="6" borderId="0" xfId="0" applyNumberFormat="1" applyFont="1" applyFill="1" applyAlignment="1" applyProtection="1">
      <alignment horizontal="center"/>
      <protection locked="0"/>
    </xf>
    <xf numFmtId="15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9" fontId="27" fillId="6" borderId="2" xfId="2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1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5" fillId="12" borderId="28" xfId="0" applyNumberFormat="1" applyFont="1" applyFill="1" applyBorder="1" applyAlignment="1" applyProtection="1">
      <alignment horizontal="center" vertical="center"/>
      <protection locked="0"/>
    </xf>
    <xf numFmtId="14" fontId="5" fillId="12" borderId="47" xfId="0" applyNumberFormat="1" applyFont="1" applyFill="1" applyBorder="1" applyAlignment="1" applyProtection="1">
      <alignment horizontal="center" vertical="center"/>
      <protection locked="0"/>
    </xf>
    <xf numFmtId="14" fontId="5" fillId="12" borderId="49" xfId="0" applyNumberFormat="1" applyFont="1" applyFill="1" applyBorder="1" applyAlignment="1" applyProtection="1">
      <alignment horizontal="center" vertical="center"/>
      <protection locked="0"/>
    </xf>
    <xf numFmtId="167" fontId="13" fillId="12" borderId="47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CASCADES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Plan'!$N$106,'Project Plan'!$N$113,'Project Plan'!$N$116,'Project Plan'!$N$132,'Project Plan'!$N$139,'Project Plan'!$N$143,'Project Plan'!$N$147,'Project Plan'!$N$150)</c:f>
                <c:numCache>
                  <c:formatCode>General</c:formatCode>
                  <c:ptCount val="8"/>
                  <c:pt idx="0">
                    <c:v>17</c:v>
                  </c:pt>
                  <c:pt idx="1">
                    <c:v>1</c:v>
                  </c:pt>
                  <c:pt idx="2">
                    <c:v>105</c:v>
                  </c:pt>
                  <c:pt idx="3">
                    <c:v>99</c:v>
                  </c:pt>
                  <c:pt idx="4">
                    <c:v>44</c:v>
                  </c:pt>
                  <c:pt idx="5">
                    <c:v>11</c:v>
                  </c:pt>
                  <c:pt idx="6">
                    <c:v>2</c:v>
                  </c:pt>
                  <c:pt idx="7">
                    <c:v>54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Plan'!$I$106,'Project Plan'!$I$113,'Project Plan'!$I$116,'Project Plan'!$I$132,'Project Plan'!$I$139,'Project Plan'!$I$143,'Project Plan'!$I$147,'Project Plan'!$I$150)</c:f>
              <c:numCache>
                <c:formatCode>d\-mmm\-yy</c:formatCode>
                <c:ptCount val="8"/>
                <c:pt idx="0">
                  <c:v>45467</c:v>
                </c:pt>
                <c:pt idx="1">
                  <c:v>45503</c:v>
                </c:pt>
                <c:pt idx="2">
                  <c:v>45503</c:v>
                </c:pt>
                <c:pt idx="3">
                  <c:v>45503</c:v>
                </c:pt>
                <c:pt idx="4">
                  <c:v>45523</c:v>
                </c:pt>
                <c:pt idx="5">
                  <c:v>45604</c:v>
                </c:pt>
                <c:pt idx="6">
                  <c:v>45635</c:v>
                </c:pt>
                <c:pt idx="7">
                  <c:v>45613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08ADB78-9C80-4E29-B4AD-26709D8109D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65ABEE-2474-446A-BB06-A19063EFE66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F5B79D-263B-40DE-A61B-9C9024F95C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3DCB10-4508-4864-BA8E-A005DD77D59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C9A6F7-BFD5-4247-853E-3059717F149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6C24BC-2B29-4BBC-8102-5A5E5C05B33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F0B09C-4F4F-4A47-AA8D-3E8AB28B8FA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E313BC-5B4F-474D-A076-E843D0C01CC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Plan'!$J$106,'Project Plan'!$J$113,'Project Plan'!$J$116,'Project Plan'!$J$132,'Project Plan'!$J$139,'Project Plan'!$J$143,'Project Plan'!$J$147,'Project Plan'!$J$150)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105</c:v>
                </c:pt>
                <c:pt idx="3">
                  <c:v>99</c:v>
                </c:pt>
                <c:pt idx="4">
                  <c:v>44</c:v>
                </c:pt>
                <c:pt idx="5">
                  <c:v>11</c:v>
                </c:pt>
                <c:pt idx="6">
                  <c:v>2</c:v>
                </c:pt>
                <c:pt idx="7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Plan'!$M$106,'Project Plan'!$M$113,'Project Plan'!$M$116,'Project Plan'!$M$132,'Project Plan'!$M$139,'Project Plan'!$M$143,'Project Plan'!$M$147,'Project Plan'!$M$150)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Plan'!$I$106,'Project Plan'!$K$150)</c:f>
              <c:numCache>
                <c:formatCode>d\-mmm\-yy</c:formatCode>
                <c:ptCount val="2"/>
                <c:pt idx="0">
                  <c:v>45467</c:v>
                </c:pt>
                <c:pt idx="1">
                  <c:v>45667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7237500</c:v>
                </c:pt>
                <c:pt idx="8">
                  <c:v>7237500</c:v>
                </c:pt>
                <c:pt idx="9">
                  <c:v>7237500</c:v>
                </c:pt>
                <c:pt idx="10">
                  <c:v>7237500</c:v>
                </c:pt>
                <c:pt idx="11">
                  <c:v>7237500</c:v>
                </c:pt>
                <c:pt idx="12">
                  <c:v>7237500</c:v>
                </c:pt>
                <c:pt idx="13">
                  <c:v>7237500</c:v>
                </c:pt>
                <c:pt idx="14">
                  <c:v>7237500</c:v>
                </c:pt>
                <c:pt idx="15">
                  <c:v>7237500</c:v>
                </c:pt>
                <c:pt idx="16">
                  <c:v>7237500</c:v>
                </c:pt>
                <c:pt idx="17">
                  <c:v>7237500</c:v>
                </c:pt>
                <c:pt idx="18">
                  <c:v>7237500</c:v>
                </c:pt>
                <c:pt idx="19">
                  <c:v>7237500</c:v>
                </c:pt>
                <c:pt idx="20">
                  <c:v>8202500</c:v>
                </c:pt>
                <c:pt idx="21">
                  <c:v>8202500</c:v>
                </c:pt>
                <c:pt idx="22">
                  <c:v>8202500</c:v>
                </c:pt>
                <c:pt idx="23">
                  <c:v>9242500</c:v>
                </c:pt>
                <c:pt idx="24">
                  <c:v>9242500</c:v>
                </c:pt>
                <c:pt idx="25">
                  <c:v>9242500</c:v>
                </c:pt>
                <c:pt idx="26">
                  <c:v>9242500</c:v>
                </c:pt>
                <c:pt idx="27">
                  <c:v>9242500</c:v>
                </c:pt>
                <c:pt idx="28">
                  <c:v>9242500</c:v>
                </c:pt>
                <c:pt idx="29">
                  <c:v>9242500</c:v>
                </c:pt>
                <c:pt idx="30">
                  <c:v>9242500</c:v>
                </c:pt>
                <c:pt idx="31">
                  <c:v>9242500</c:v>
                </c:pt>
                <c:pt idx="32">
                  <c:v>9242500</c:v>
                </c:pt>
                <c:pt idx="33">
                  <c:v>9242500</c:v>
                </c:pt>
                <c:pt idx="34">
                  <c:v>9242500</c:v>
                </c:pt>
                <c:pt idx="35">
                  <c:v>9242500</c:v>
                </c:pt>
                <c:pt idx="36">
                  <c:v>9251866</c:v>
                </c:pt>
                <c:pt idx="37">
                  <c:v>9251866</c:v>
                </c:pt>
                <c:pt idx="38">
                  <c:v>9251866</c:v>
                </c:pt>
                <c:pt idx="39">
                  <c:v>9251866</c:v>
                </c:pt>
                <c:pt idx="40">
                  <c:v>9251866</c:v>
                </c:pt>
                <c:pt idx="41">
                  <c:v>9251866</c:v>
                </c:pt>
                <c:pt idx="42">
                  <c:v>9251866</c:v>
                </c:pt>
                <c:pt idx="43">
                  <c:v>9251866</c:v>
                </c:pt>
                <c:pt idx="44">
                  <c:v>9251866</c:v>
                </c:pt>
                <c:pt idx="45">
                  <c:v>9251866</c:v>
                </c:pt>
                <c:pt idx="46">
                  <c:v>9251866</c:v>
                </c:pt>
                <c:pt idx="47">
                  <c:v>9251866</c:v>
                </c:pt>
                <c:pt idx="48">
                  <c:v>9251866</c:v>
                </c:pt>
                <c:pt idx="49">
                  <c:v>9251866</c:v>
                </c:pt>
                <c:pt idx="50">
                  <c:v>9251866</c:v>
                </c:pt>
                <c:pt idx="51">
                  <c:v>9251866</c:v>
                </c:pt>
                <c:pt idx="52">
                  <c:v>9251866</c:v>
                </c:pt>
                <c:pt idx="53">
                  <c:v>9251866</c:v>
                </c:pt>
                <c:pt idx="54">
                  <c:v>9251866</c:v>
                </c:pt>
                <c:pt idx="55">
                  <c:v>9251866</c:v>
                </c:pt>
                <c:pt idx="56">
                  <c:v>9251866</c:v>
                </c:pt>
                <c:pt idx="57">
                  <c:v>9251866</c:v>
                </c:pt>
                <c:pt idx="58">
                  <c:v>9251866</c:v>
                </c:pt>
                <c:pt idx="59">
                  <c:v>9251866</c:v>
                </c:pt>
                <c:pt idx="60">
                  <c:v>9251866</c:v>
                </c:pt>
                <c:pt idx="61">
                  <c:v>9251866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9734366</c:v>
                </c:pt>
                <c:pt idx="76">
                  <c:v>9734366</c:v>
                </c:pt>
                <c:pt idx="77">
                  <c:v>9734366</c:v>
                </c:pt>
                <c:pt idx="78">
                  <c:v>9734366</c:v>
                </c:pt>
                <c:pt idx="79">
                  <c:v>9734366</c:v>
                </c:pt>
                <c:pt idx="80">
                  <c:v>9734366</c:v>
                </c:pt>
                <c:pt idx="81">
                  <c:v>9734366</c:v>
                </c:pt>
                <c:pt idx="82">
                  <c:v>9734366</c:v>
                </c:pt>
                <c:pt idx="83">
                  <c:v>9734366</c:v>
                </c:pt>
                <c:pt idx="84">
                  <c:v>9734366</c:v>
                </c:pt>
                <c:pt idx="85">
                  <c:v>9734366</c:v>
                </c:pt>
                <c:pt idx="86">
                  <c:v>9734366</c:v>
                </c:pt>
                <c:pt idx="87">
                  <c:v>9734366</c:v>
                </c:pt>
                <c:pt idx="88">
                  <c:v>9734366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463019.62956521707</c:v>
                </c:pt>
                <c:pt idx="6">
                  <c:v>1355086.5739130424</c:v>
                </c:pt>
                <c:pt idx="7">
                  <c:v>1355086.5739130424</c:v>
                </c:pt>
                <c:pt idx="8">
                  <c:v>1355086.5739130424</c:v>
                </c:pt>
                <c:pt idx="9">
                  <c:v>1355086.5739130424</c:v>
                </c:pt>
                <c:pt idx="10">
                  <c:v>3012406.5739130424</c:v>
                </c:pt>
                <c:pt idx="11">
                  <c:v>3012406.5739130424</c:v>
                </c:pt>
                <c:pt idx="12">
                  <c:v>3012406.5739130424</c:v>
                </c:pt>
                <c:pt idx="13">
                  <c:v>4343351.5739130424</c:v>
                </c:pt>
                <c:pt idx="14">
                  <c:v>4343351.5739130424</c:v>
                </c:pt>
                <c:pt idx="15">
                  <c:v>4343351.5739130424</c:v>
                </c:pt>
                <c:pt idx="16">
                  <c:v>4365351.5739130424</c:v>
                </c:pt>
                <c:pt idx="17">
                  <c:v>4365351.5739130424</c:v>
                </c:pt>
                <c:pt idx="18">
                  <c:v>5291390.8330434766</c:v>
                </c:pt>
                <c:pt idx="19">
                  <c:v>6453291.906956519</c:v>
                </c:pt>
                <c:pt idx="20">
                  <c:v>6962551.5365217365</c:v>
                </c:pt>
                <c:pt idx="21">
                  <c:v>6977551.5365217365</c:v>
                </c:pt>
                <c:pt idx="22">
                  <c:v>7003801.5365217365</c:v>
                </c:pt>
                <c:pt idx="23">
                  <c:v>7466821.1660869531</c:v>
                </c:pt>
                <c:pt idx="24">
                  <c:v>8263417.3608695613</c:v>
                </c:pt>
                <c:pt idx="25">
                  <c:v>8263417.3608695613</c:v>
                </c:pt>
                <c:pt idx="26">
                  <c:v>8263417.3608695613</c:v>
                </c:pt>
                <c:pt idx="27">
                  <c:v>8263417.3608695613</c:v>
                </c:pt>
                <c:pt idx="28">
                  <c:v>8263417.3608695613</c:v>
                </c:pt>
                <c:pt idx="29">
                  <c:v>8263417.3608695613</c:v>
                </c:pt>
                <c:pt idx="30">
                  <c:v>8263417.3608695613</c:v>
                </c:pt>
                <c:pt idx="31">
                  <c:v>8263417.3608695613</c:v>
                </c:pt>
                <c:pt idx="32">
                  <c:v>8263417.3608695613</c:v>
                </c:pt>
                <c:pt idx="33">
                  <c:v>8263417.3608695613</c:v>
                </c:pt>
                <c:pt idx="34">
                  <c:v>8263417.3608695613</c:v>
                </c:pt>
                <c:pt idx="35">
                  <c:v>8263417.3608695613</c:v>
                </c:pt>
                <c:pt idx="36">
                  <c:v>8263417.3608695613</c:v>
                </c:pt>
                <c:pt idx="37">
                  <c:v>8749927.1756521706</c:v>
                </c:pt>
                <c:pt idx="38">
                  <c:v>8749927.1756521706</c:v>
                </c:pt>
                <c:pt idx="39">
                  <c:v>8749927.1756521706</c:v>
                </c:pt>
                <c:pt idx="40">
                  <c:v>8749927.1756521706</c:v>
                </c:pt>
                <c:pt idx="41">
                  <c:v>8749927.1756521706</c:v>
                </c:pt>
                <c:pt idx="42">
                  <c:v>8749927.1756521706</c:v>
                </c:pt>
                <c:pt idx="43">
                  <c:v>8749927.1756521706</c:v>
                </c:pt>
                <c:pt idx="44">
                  <c:v>8749927.1756521706</c:v>
                </c:pt>
                <c:pt idx="45">
                  <c:v>8749927.1756521706</c:v>
                </c:pt>
                <c:pt idx="46">
                  <c:v>8749927.1756521706</c:v>
                </c:pt>
                <c:pt idx="47">
                  <c:v>8749927.1756521706</c:v>
                </c:pt>
                <c:pt idx="48">
                  <c:v>8749927.1756521706</c:v>
                </c:pt>
                <c:pt idx="49">
                  <c:v>8749927.1756521706</c:v>
                </c:pt>
                <c:pt idx="50">
                  <c:v>8749927.1756521706</c:v>
                </c:pt>
                <c:pt idx="51">
                  <c:v>8749927.1756521706</c:v>
                </c:pt>
                <c:pt idx="52">
                  <c:v>8749927.1756521706</c:v>
                </c:pt>
                <c:pt idx="53">
                  <c:v>8749927.1756521706</c:v>
                </c:pt>
                <c:pt idx="54">
                  <c:v>8749927.1756521706</c:v>
                </c:pt>
                <c:pt idx="55">
                  <c:v>8749927.1756521706</c:v>
                </c:pt>
                <c:pt idx="56">
                  <c:v>8749927.1756521706</c:v>
                </c:pt>
                <c:pt idx="57">
                  <c:v>8749927.1756521706</c:v>
                </c:pt>
                <c:pt idx="58">
                  <c:v>8749927.1756521706</c:v>
                </c:pt>
                <c:pt idx="59">
                  <c:v>8749927.1756521706</c:v>
                </c:pt>
                <c:pt idx="60">
                  <c:v>8749927.1756521706</c:v>
                </c:pt>
                <c:pt idx="61">
                  <c:v>8749927.1756521706</c:v>
                </c:pt>
                <c:pt idx="62">
                  <c:v>8749927.1756521706</c:v>
                </c:pt>
                <c:pt idx="63">
                  <c:v>8749927.1756521706</c:v>
                </c:pt>
                <c:pt idx="64">
                  <c:v>8749927.1756521706</c:v>
                </c:pt>
                <c:pt idx="65">
                  <c:v>8749927.1756521706</c:v>
                </c:pt>
                <c:pt idx="66">
                  <c:v>8749927.1756521706</c:v>
                </c:pt>
                <c:pt idx="67">
                  <c:v>8749927.1756521706</c:v>
                </c:pt>
                <c:pt idx="68">
                  <c:v>8749927.1756521706</c:v>
                </c:pt>
                <c:pt idx="69">
                  <c:v>8749927.1756521706</c:v>
                </c:pt>
                <c:pt idx="70">
                  <c:v>8749927.1756521706</c:v>
                </c:pt>
                <c:pt idx="71">
                  <c:v>8749927.1756521706</c:v>
                </c:pt>
                <c:pt idx="72">
                  <c:v>8749927.1756521706</c:v>
                </c:pt>
                <c:pt idx="73">
                  <c:v>8749927.1756521706</c:v>
                </c:pt>
                <c:pt idx="74">
                  <c:v>8749927.1756521706</c:v>
                </c:pt>
                <c:pt idx="75">
                  <c:v>8749927.1756521706</c:v>
                </c:pt>
                <c:pt idx="76">
                  <c:v>8749927.1756521706</c:v>
                </c:pt>
                <c:pt idx="77">
                  <c:v>8749927.1756521706</c:v>
                </c:pt>
                <c:pt idx="78">
                  <c:v>8749927.1756521706</c:v>
                </c:pt>
                <c:pt idx="79">
                  <c:v>8749927.1756521706</c:v>
                </c:pt>
                <c:pt idx="80">
                  <c:v>8749927.1756521706</c:v>
                </c:pt>
                <c:pt idx="81">
                  <c:v>8749927.1756521706</c:v>
                </c:pt>
                <c:pt idx="82">
                  <c:v>8749927.1756521706</c:v>
                </c:pt>
                <c:pt idx="83">
                  <c:v>8749927.1756521706</c:v>
                </c:pt>
                <c:pt idx="84">
                  <c:v>8749927.1756521706</c:v>
                </c:pt>
                <c:pt idx="85">
                  <c:v>8749927.1756521706</c:v>
                </c:pt>
                <c:pt idx="86">
                  <c:v>8749927.1756521706</c:v>
                </c:pt>
                <c:pt idx="87">
                  <c:v>8749927.1756521706</c:v>
                </c:pt>
                <c:pt idx="88">
                  <c:v>8749927.1756521706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-463019.62956521707</c:v>
                </c:pt>
                <c:pt idx="6">
                  <c:v>-1355086.5739130424</c:v>
                </c:pt>
                <c:pt idx="7">
                  <c:v>5882413.4260869576</c:v>
                </c:pt>
                <c:pt idx="8">
                  <c:v>5882413.4260869576</c:v>
                </c:pt>
                <c:pt idx="9">
                  <c:v>5882413.4260869576</c:v>
                </c:pt>
                <c:pt idx="10">
                  <c:v>4225093.4260869576</c:v>
                </c:pt>
                <c:pt idx="11">
                  <c:v>4225093.4260869576</c:v>
                </c:pt>
                <c:pt idx="12">
                  <c:v>4225093.4260869576</c:v>
                </c:pt>
                <c:pt idx="13">
                  <c:v>2894148.4260869576</c:v>
                </c:pt>
                <c:pt idx="14">
                  <c:v>2894148.4260869576</c:v>
                </c:pt>
                <c:pt idx="15">
                  <c:v>2894148.4260869576</c:v>
                </c:pt>
                <c:pt idx="16">
                  <c:v>2872148.4260869576</c:v>
                </c:pt>
                <c:pt idx="17">
                  <c:v>2872148.4260869576</c:v>
                </c:pt>
                <c:pt idx="18">
                  <c:v>1946109.1669565234</c:v>
                </c:pt>
                <c:pt idx="19">
                  <c:v>784208.093043481</c:v>
                </c:pt>
                <c:pt idx="20">
                  <c:v>1239948.4634782635</c:v>
                </c:pt>
                <c:pt idx="21">
                  <c:v>1224948.4634782635</c:v>
                </c:pt>
                <c:pt idx="22">
                  <c:v>1198698.4634782635</c:v>
                </c:pt>
                <c:pt idx="23">
                  <c:v>1775678.8339130469</c:v>
                </c:pt>
                <c:pt idx="24">
                  <c:v>979082.63913043868</c:v>
                </c:pt>
                <c:pt idx="25">
                  <c:v>979082.63913043868</c:v>
                </c:pt>
                <c:pt idx="26">
                  <c:v>979082.63913043868</c:v>
                </c:pt>
                <c:pt idx="27">
                  <c:v>979082.63913043868</c:v>
                </c:pt>
                <c:pt idx="28">
                  <c:v>979082.63913043868</c:v>
                </c:pt>
                <c:pt idx="29">
                  <c:v>979082.63913043868</c:v>
                </c:pt>
                <c:pt idx="30">
                  <c:v>979082.63913043868</c:v>
                </c:pt>
                <c:pt idx="31">
                  <c:v>979082.63913043868</c:v>
                </c:pt>
                <c:pt idx="32">
                  <c:v>979082.63913043868</c:v>
                </c:pt>
                <c:pt idx="33">
                  <c:v>979082.63913043868</c:v>
                </c:pt>
                <c:pt idx="34">
                  <c:v>979082.63913043868</c:v>
                </c:pt>
                <c:pt idx="35">
                  <c:v>979082.63913043868</c:v>
                </c:pt>
                <c:pt idx="36">
                  <c:v>988448.63913043868</c:v>
                </c:pt>
                <c:pt idx="37">
                  <c:v>501938.82434782945</c:v>
                </c:pt>
                <c:pt idx="38">
                  <c:v>501938.82434782945</c:v>
                </c:pt>
                <c:pt idx="39">
                  <c:v>501938.82434782945</c:v>
                </c:pt>
                <c:pt idx="40">
                  <c:v>501938.82434782945</c:v>
                </c:pt>
                <c:pt idx="41">
                  <c:v>501938.82434782945</c:v>
                </c:pt>
                <c:pt idx="42">
                  <c:v>501938.82434782945</c:v>
                </c:pt>
                <c:pt idx="43">
                  <c:v>501938.82434782945</c:v>
                </c:pt>
                <c:pt idx="44">
                  <c:v>501938.82434782945</c:v>
                </c:pt>
                <c:pt idx="45">
                  <c:v>501938.82434782945</c:v>
                </c:pt>
                <c:pt idx="46">
                  <c:v>501938.82434782945</c:v>
                </c:pt>
                <c:pt idx="47">
                  <c:v>501938.82434782945</c:v>
                </c:pt>
                <c:pt idx="48">
                  <c:v>501938.82434782945</c:v>
                </c:pt>
                <c:pt idx="49">
                  <c:v>501938.82434782945</c:v>
                </c:pt>
                <c:pt idx="50">
                  <c:v>501938.82434782945</c:v>
                </c:pt>
                <c:pt idx="51">
                  <c:v>501938.82434782945</c:v>
                </c:pt>
                <c:pt idx="52">
                  <c:v>501938.82434782945</c:v>
                </c:pt>
                <c:pt idx="53">
                  <c:v>501938.82434782945</c:v>
                </c:pt>
                <c:pt idx="54">
                  <c:v>501938.82434782945</c:v>
                </c:pt>
                <c:pt idx="55">
                  <c:v>501938.82434782945</c:v>
                </c:pt>
                <c:pt idx="56">
                  <c:v>501938.82434782945</c:v>
                </c:pt>
                <c:pt idx="57">
                  <c:v>501938.82434782945</c:v>
                </c:pt>
                <c:pt idx="58">
                  <c:v>501938.82434782945</c:v>
                </c:pt>
                <c:pt idx="59">
                  <c:v>501938.82434782945</c:v>
                </c:pt>
                <c:pt idx="60">
                  <c:v>501938.82434782945</c:v>
                </c:pt>
                <c:pt idx="61">
                  <c:v>501938.82434782945</c:v>
                </c:pt>
                <c:pt idx="62">
                  <c:v>501938.82434782945</c:v>
                </c:pt>
                <c:pt idx="63">
                  <c:v>501938.82434782945</c:v>
                </c:pt>
                <c:pt idx="64">
                  <c:v>501938.82434782945</c:v>
                </c:pt>
                <c:pt idx="65">
                  <c:v>501938.82434782945</c:v>
                </c:pt>
                <c:pt idx="66">
                  <c:v>501938.82434782945</c:v>
                </c:pt>
                <c:pt idx="67">
                  <c:v>501938.82434782945</c:v>
                </c:pt>
                <c:pt idx="68">
                  <c:v>501938.82434782945</c:v>
                </c:pt>
                <c:pt idx="69">
                  <c:v>501938.82434782945</c:v>
                </c:pt>
                <c:pt idx="70">
                  <c:v>501938.82434782945</c:v>
                </c:pt>
                <c:pt idx="71">
                  <c:v>501938.82434782945</c:v>
                </c:pt>
                <c:pt idx="72">
                  <c:v>501938.82434782945</c:v>
                </c:pt>
                <c:pt idx="73">
                  <c:v>501938.82434782945</c:v>
                </c:pt>
                <c:pt idx="74">
                  <c:v>501938.82434782945</c:v>
                </c:pt>
                <c:pt idx="75">
                  <c:v>984438.82434782945</c:v>
                </c:pt>
                <c:pt idx="76">
                  <c:v>984438.82434782945</c:v>
                </c:pt>
                <c:pt idx="77">
                  <c:v>984438.82434782945</c:v>
                </c:pt>
                <c:pt idx="78">
                  <c:v>984438.82434782945</c:v>
                </c:pt>
                <c:pt idx="79">
                  <c:v>984438.82434782945</c:v>
                </c:pt>
                <c:pt idx="80">
                  <c:v>984438.82434782945</c:v>
                </c:pt>
                <c:pt idx="81">
                  <c:v>984438.82434782945</c:v>
                </c:pt>
                <c:pt idx="82">
                  <c:v>984438.82434782945</c:v>
                </c:pt>
                <c:pt idx="83">
                  <c:v>984438.82434782945</c:v>
                </c:pt>
                <c:pt idx="84">
                  <c:v>984438.82434782945</c:v>
                </c:pt>
                <c:pt idx="85">
                  <c:v>984438.82434782945</c:v>
                </c:pt>
                <c:pt idx="86">
                  <c:v>984438.82434782945</c:v>
                </c:pt>
                <c:pt idx="87">
                  <c:v>984438.82434782945</c:v>
                </c:pt>
                <c:pt idx="88">
                  <c:v>984438.82434782945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1930000</c:v>
                </c:pt>
                <c:pt idx="6">
                  <c:v>1930000</c:v>
                </c:pt>
                <c:pt idx="7">
                  <c:v>1930000</c:v>
                </c:pt>
                <c:pt idx="8">
                  <c:v>1930000</c:v>
                </c:pt>
                <c:pt idx="9">
                  <c:v>1930000</c:v>
                </c:pt>
                <c:pt idx="10">
                  <c:v>1930000</c:v>
                </c:pt>
                <c:pt idx="11">
                  <c:v>1930000</c:v>
                </c:pt>
                <c:pt idx="12">
                  <c:v>1930000</c:v>
                </c:pt>
                <c:pt idx="13">
                  <c:v>1930000</c:v>
                </c:pt>
                <c:pt idx="14">
                  <c:v>1930000</c:v>
                </c:pt>
                <c:pt idx="15">
                  <c:v>1930000</c:v>
                </c:pt>
                <c:pt idx="16">
                  <c:v>1930000</c:v>
                </c:pt>
                <c:pt idx="17">
                  <c:v>1930000</c:v>
                </c:pt>
                <c:pt idx="18">
                  <c:v>1930000</c:v>
                </c:pt>
                <c:pt idx="19">
                  <c:v>7237500</c:v>
                </c:pt>
                <c:pt idx="20">
                  <c:v>7237500</c:v>
                </c:pt>
                <c:pt idx="21">
                  <c:v>7237500</c:v>
                </c:pt>
                <c:pt idx="22">
                  <c:v>7237500</c:v>
                </c:pt>
                <c:pt idx="23">
                  <c:v>7237500</c:v>
                </c:pt>
                <c:pt idx="24">
                  <c:v>7237500</c:v>
                </c:pt>
                <c:pt idx="25">
                  <c:v>7237500</c:v>
                </c:pt>
                <c:pt idx="26">
                  <c:v>7237500</c:v>
                </c:pt>
                <c:pt idx="27">
                  <c:v>7237500</c:v>
                </c:pt>
                <c:pt idx="28">
                  <c:v>7237500</c:v>
                </c:pt>
                <c:pt idx="29">
                  <c:v>7237500</c:v>
                </c:pt>
                <c:pt idx="30">
                  <c:v>8202500</c:v>
                </c:pt>
                <c:pt idx="31">
                  <c:v>8202500</c:v>
                </c:pt>
                <c:pt idx="32">
                  <c:v>8202500</c:v>
                </c:pt>
                <c:pt idx="33">
                  <c:v>8202500</c:v>
                </c:pt>
                <c:pt idx="34">
                  <c:v>8202500</c:v>
                </c:pt>
                <c:pt idx="35">
                  <c:v>8202500</c:v>
                </c:pt>
                <c:pt idx="36">
                  <c:v>8202500</c:v>
                </c:pt>
                <c:pt idx="37">
                  <c:v>8202500</c:v>
                </c:pt>
                <c:pt idx="38">
                  <c:v>8202500</c:v>
                </c:pt>
                <c:pt idx="39">
                  <c:v>8202500</c:v>
                </c:pt>
                <c:pt idx="40">
                  <c:v>8202500</c:v>
                </c:pt>
                <c:pt idx="41">
                  <c:v>8202500</c:v>
                </c:pt>
                <c:pt idx="42">
                  <c:v>8202500</c:v>
                </c:pt>
                <c:pt idx="43">
                  <c:v>8202500</c:v>
                </c:pt>
                <c:pt idx="44">
                  <c:v>8202500</c:v>
                </c:pt>
                <c:pt idx="45">
                  <c:v>8202500</c:v>
                </c:pt>
                <c:pt idx="46">
                  <c:v>8202500</c:v>
                </c:pt>
                <c:pt idx="47">
                  <c:v>8202500</c:v>
                </c:pt>
                <c:pt idx="48">
                  <c:v>8202500</c:v>
                </c:pt>
                <c:pt idx="49">
                  <c:v>8202500</c:v>
                </c:pt>
                <c:pt idx="50">
                  <c:v>8202500</c:v>
                </c:pt>
                <c:pt idx="51">
                  <c:v>8202500</c:v>
                </c:pt>
                <c:pt idx="52">
                  <c:v>8202500</c:v>
                </c:pt>
                <c:pt idx="53">
                  <c:v>8202500</c:v>
                </c:pt>
                <c:pt idx="54">
                  <c:v>8202500</c:v>
                </c:pt>
                <c:pt idx="55">
                  <c:v>8202500</c:v>
                </c:pt>
                <c:pt idx="56">
                  <c:v>8202500</c:v>
                </c:pt>
                <c:pt idx="57">
                  <c:v>8202500</c:v>
                </c:pt>
                <c:pt idx="58">
                  <c:v>8202500</c:v>
                </c:pt>
                <c:pt idx="59">
                  <c:v>8202500</c:v>
                </c:pt>
                <c:pt idx="60">
                  <c:v>8202500</c:v>
                </c:pt>
                <c:pt idx="61">
                  <c:v>8286866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9251866</c:v>
                </c:pt>
                <c:pt idx="76">
                  <c:v>9251866</c:v>
                </c:pt>
                <c:pt idx="77">
                  <c:v>9251866</c:v>
                </c:pt>
                <c:pt idx="78">
                  <c:v>9251866</c:v>
                </c:pt>
                <c:pt idx="79">
                  <c:v>9251866</c:v>
                </c:pt>
                <c:pt idx="80">
                  <c:v>9251866</c:v>
                </c:pt>
                <c:pt idx="81">
                  <c:v>9251866</c:v>
                </c:pt>
                <c:pt idx="82">
                  <c:v>9251866</c:v>
                </c:pt>
                <c:pt idx="83">
                  <c:v>9251866</c:v>
                </c:pt>
                <c:pt idx="84">
                  <c:v>9251866</c:v>
                </c:pt>
                <c:pt idx="85">
                  <c:v>9251866</c:v>
                </c:pt>
                <c:pt idx="86">
                  <c:v>9251866</c:v>
                </c:pt>
                <c:pt idx="87">
                  <c:v>9251866</c:v>
                </c:pt>
                <c:pt idx="88">
                  <c:v>9251866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11927.09</c:v>
                </c:pt>
                <c:pt idx="3">
                  <c:v>11927.09</c:v>
                </c:pt>
                <c:pt idx="4">
                  <c:v>11927.09</c:v>
                </c:pt>
                <c:pt idx="5">
                  <c:v>251927.09</c:v>
                </c:pt>
                <c:pt idx="6">
                  <c:v>381957.37</c:v>
                </c:pt>
                <c:pt idx="7">
                  <c:v>885191.54</c:v>
                </c:pt>
                <c:pt idx="8">
                  <c:v>885191.54</c:v>
                </c:pt>
                <c:pt idx="9">
                  <c:v>885191.54</c:v>
                </c:pt>
                <c:pt idx="10">
                  <c:v>924536.54</c:v>
                </c:pt>
                <c:pt idx="11">
                  <c:v>945449.31</c:v>
                </c:pt>
                <c:pt idx="12">
                  <c:v>945449.31</c:v>
                </c:pt>
                <c:pt idx="13">
                  <c:v>967649.31</c:v>
                </c:pt>
                <c:pt idx="14">
                  <c:v>1356976.87</c:v>
                </c:pt>
                <c:pt idx="15">
                  <c:v>2126405.88</c:v>
                </c:pt>
                <c:pt idx="16">
                  <c:v>2728600.08</c:v>
                </c:pt>
                <c:pt idx="17">
                  <c:v>2728600.08</c:v>
                </c:pt>
                <c:pt idx="18">
                  <c:v>3114338.3600000003</c:v>
                </c:pt>
                <c:pt idx="19">
                  <c:v>3128815.6100000003</c:v>
                </c:pt>
                <c:pt idx="20">
                  <c:v>3747606.9400000004</c:v>
                </c:pt>
                <c:pt idx="21">
                  <c:v>4601525.9300000006</c:v>
                </c:pt>
                <c:pt idx="22">
                  <c:v>5213889.580000001</c:v>
                </c:pt>
                <c:pt idx="23">
                  <c:v>5538080.3600000013</c:v>
                </c:pt>
                <c:pt idx="24">
                  <c:v>5693312.080000001</c:v>
                </c:pt>
                <c:pt idx="25">
                  <c:v>5838869.580000001</c:v>
                </c:pt>
                <c:pt idx="26">
                  <c:v>5838869.580000001</c:v>
                </c:pt>
                <c:pt idx="27">
                  <c:v>5838869.580000001</c:v>
                </c:pt>
                <c:pt idx="28">
                  <c:v>5838869.580000001</c:v>
                </c:pt>
                <c:pt idx="29">
                  <c:v>5841086.540000001</c:v>
                </c:pt>
                <c:pt idx="30">
                  <c:v>5841086.540000001</c:v>
                </c:pt>
                <c:pt idx="31">
                  <c:v>5841086.540000001</c:v>
                </c:pt>
                <c:pt idx="32">
                  <c:v>5841086.540000001</c:v>
                </c:pt>
                <c:pt idx="33">
                  <c:v>5904757.6100000013</c:v>
                </c:pt>
                <c:pt idx="34">
                  <c:v>5904757.6100000013</c:v>
                </c:pt>
                <c:pt idx="35">
                  <c:v>5904757.6100000013</c:v>
                </c:pt>
                <c:pt idx="36">
                  <c:v>5946535.6100000013</c:v>
                </c:pt>
                <c:pt idx="37">
                  <c:v>5946535.6100000013</c:v>
                </c:pt>
                <c:pt idx="38">
                  <c:v>5946535.6100000013</c:v>
                </c:pt>
                <c:pt idx="39">
                  <c:v>5946535.6100000013</c:v>
                </c:pt>
                <c:pt idx="40">
                  <c:v>5955901.6100000013</c:v>
                </c:pt>
                <c:pt idx="41">
                  <c:v>6101459.1100000013</c:v>
                </c:pt>
                <c:pt idx="42">
                  <c:v>6101459.1100000013</c:v>
                </c:pt>
                <c:pt idx="43">
                  <c:v>6101459.1100000013</c:v>
                </c:pt>
                <c:pt idx="44">
                  <c:v>6128259.1100000013</c:v>
                </c:pt>
                <c:pt idx="45">
                  <c:v>6128259.1100000013</c:v>
                </c:pt>
                <c:pt idx="46">
                  <c:v>6137413.120000001</c:v>
                </c:pt>
                <c:pt idx="47">
                  <c:v>6137413.120000001</c:v>
                </c:pt>
                <c:pt idx="48">
                  <c:v>6137413.120000001</c:v>
                </c:pt>
                <c:pt idx="49">
                  <c:v>6270200.2830000008</c:v>
                </c:pt>
                <c:pt idx="50">
                  <c:v>6270200.2830000008</c:v>
                </c:pt>
                <c:pt idx="51">
                  <c:v>6270200.2830000008</c:v>
                </c:pt>
                <c:pt idx="52">
                  <c:v>6270200.2830000008</c:v>
                </c:pt>
                <c:pt idx="53">
                  <c:v>6477991.8830000004</c:v>
                </c:pt>
                <c:pt idx="54">
                  <c:v>6738861.449</c:v>
                </c:pt>
                <c:pt idx="55">
                  <c:v>6738861.449</c:v>
                </c:pt>
                <c:pt idx="56">
                  <c:v>6738861.449</c:v>
                </c:pt>
                <c:pt idx="57">
                  <c:v>6738861.449</c:v>
                </c:pt>
                <c:pt idx="58">
                  <c:v>6747515.7290000003</c:v>
                </c:pt>
                <c:pt idx="59">
                  <c:v>6747515.7290000003</c:v>
                </c:pt>
                <c:pt idx="60">
                  <c:v>6747515.7290000003</c:v>
                </c:pt>
                <c:pt idx="61">
                  <c:v>6867515.7290000003</c:v>
                </c:pt>
                <c:pt idx="62">
                  <c:v>6877810.9190000007</c:v>
                </c:pt>
                <c:pt idx="63">
                  <c:v>6877810.9190000007</c:v>
                </c:pt>
                <c:pt idx="64">
                  <c:v>6877810.9190000007</c:v>
                </c:pt>
                <c:pt idx="65">
                  <c:v>6877810.9190000007</c:v>
                </c:pt>
                <c:pt idx="66">
                  <c:v>6877810.9190000007</c:v>
                </c:pt>
                <c:pt idx="67">
                  <c:v>6877810.9190000007</c:v>
                </c:pt>
                <c:pt idx="68">
                  <c:v>6877810.9190000007</c:v>
                </c:pt>
                <c:pt idx="69">
                  <c:v>6877810.9190000007</c:v>
                </c:pt>
                <c:pt idx="70">
                  <c:v>6877810.9190000007</c:v>
                </c:pt>
                <c:pt idx="71">
                  <c:v>6877810.9190000007</c:v>
                </c:pt>
                <c:pt idx="72">
                  <c:v>6877810.9190000007</c:v>
                </c:pt>
                <c:pt idx="73">
                  <c:v>6877810.9190000007</c:v>
                </c:pt>
                <c:pt idx="74">
                  <c:v>6877810.9190000007</c:v>
                </c:pt>
                <c:pt idx="75">
                  <c:v>6874793.529000001</c:v>
                </c:pt>
                <c:pt idx="76">
                  <c:v>6874793.529000001</c:v>
                </c:pt>
                <c:pt idx="77">
                  <c:v>6874793.529000001</c:v>
                </c:pt>
                <c:pt idx="78">
                  <c:v>6874793.529000001</c:v>
                </c:pt>
                <c:pt idx="79">
                  <c:v>6874793.529000001</c:v>
                </c:pt>
                <c:pt idx="80">
                  <c:v>6874793.529000001</c:v>
                </c:pt>
                <c:pt idx="81">
                  <c:v>6937993.529000001</c:v>
                </c:pt>
                <c:pt idx="82">
                  <c:v>6937993.529000001</c:v>
                </c:pt>
                <c:pt idx="83">
                  <c:v>6937993.529000001</c:v>
                </c:pt>
                <c:pt idx="84">
                  <c:v>6981471.790000001</c:v>
                </c:pt>
                <c:pt idx="85">
                  <c:v>6983221.790000001</c:v>
                </c:pt>
                <c:pt idx="86">
                  <c:v>6983221.790000001</c:v>
                </c:pt>
                <c:pt idx="87">
                  <c:v>6983221.790000001</c:v>
                </c:pt>
                <c:pt idx="88">
                  <c:v>6983221.790000001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-11927.09</c:v>
                </c:pt>
                <c:pt idx="3">
                  <c:v>-11927.09</c:v>
                </c:pt>
                <c:pt idx="4">
                  <c:v>-11927.09</c:v>
                </c:pt>
                <c:pt idx="5">
                  <c:v>1678072.91</c:v>
                </c:pt>
                <c:pt idx="6">
                  <c:v>1548042.63</c:v>
                </c:pt>
                <c:pt idx="7">
                  <c:v>1044808.46</c:v>
                </c:pt>
                <c:pt idx="8">
                  <c:v>1044808.46</c:v>
                </c:pt>
                <c:pt idx="9">
                  <c:v>1044808.46</c:v>
                </c:pt>
                <c:pt idx="10">
                  <c:v>1005463.46</c:v>
                </c:pt>
                <c:pt idx="11">
                  <c:v>984550.69</c:v>
                </c:pt>
                <c:pt idx="12">
                  <c:v>984550.69</c:v>
                </c:pt>
                <c:pt idx="13">
                  <c:v>962350.69</c:v>
                </c:pt>
                <c:pt idx="14">
                  <c:v>573023.12999999989</c:v>
                </c:pt>
                <c:pt idx="15">
                  <c:v>-196405.87999999989</c:v>
                </c:pt>
                <c:pt idx="16">
                  <c:v>-798600.08000000007</c:v>
                </c:pt>
                <c:pt idx="17">
                  <c:v>-798600.08000000007</c:v>
                </c:pt>
                <c:pt idx="18">
                  <c:v>-1184338.3600000003</c:v>
                </c:pt>
                <c:pt idx="19">
                  <c:v>4108684.3899999997</c:v>
                </c:pt>
                <c:pt idx="20">
                  <c:v>3489893.0599999996</c:v>
                </c:pt>
                <c:pt idx="21">
                  <c:v>2635974.0699999994</c:v>
                </c:pt>
                <c:pt idx="22">
                  <c:v>2023610.419999999</c:v>
                </c:pt>
                <c:pt idx="23">
                  <c:v>1699419.6399999987</c:v>
                </c:pt>
                <c:pt idx="24">
                  <c:v>1544187.919999999</c:v>
                </c:pt>
                <c:pt idx="25">
                  <c:v>1398630.419999999</c:v>
                </c:pt>
                <c:pt idx="26">
                  <c:v>1398630.419999999</c:v>
                </c:pt>
                <c:pt idx="27">
                  <c:v>1398630.419999999</c:v>
                </c:pt>
                <c:pt idx="28">
                  <c:v>1398630.419999999</c:v>
                </c:pt>
                <c:pt idx="29">
                  <c:v>1396413.459999999</c:v>
                </c:pt>
                <c:pt idx="30">
                  <c:v>2361413.459999999</c:v>
                </c:pt>
                <c:pt idx="31">
                  <c:v>2361413.459999999</c:v>
                </c:pt>
                <c:pt idx="32">
                  <c:v>2361413.459999999</c:v>
                </c:pt>
                <c:pt idx="33">
                  <c:v>2297742.3899999987</c:v>
                </c:pt>
                <c:pt idx="34">
                  <c:v>2297742.3899999987</c:v>
                </c:pt>
                <c:pt idx="35">
                  <c:v>2297742.3899999987</c:v>
                </c:pt>
                <c:pt idx="36">
                  <c:v>2255964.3899999987</c:v>
                </c:pt>
                <c:pt idx="37">
                  <c:v>2255964.3899999987</c:v>
                </c:pt>
                <c:pt idx="38">
                  <c:v>2255964.3899999987</c:v>
                </c:pt>
                <c:pt idx="39">
                  <c:v>2255964.3899999987</c:v>
                </c:pt>
                <c:pt idx="40">
                  <c:v>2246598.3899999987</c:v>
                </c:pt>
                <c:pt idx="41">
                  <c:v>2101040.8899999987</c:v>
                </c:pt>
                <c:pt idx="42">
                  <c:v>2101040.8899999987</c:v>
                </c:pt>
                <c:pt idx="43">
                  <c:v>2101040.8899999987</c:v>
                </c:pt>
                <c:pt idx="44">
                  <c:v>2074240.8899999987</c:v>
                </c:pt>
                <c:pt idx="45">
                  <c:v>2074240.8899999987</c:v>
                </c:pt>
                <c:pt idx="46">
                  <c:v>2065086.879999999</c:v>
                </c:pt>
                <c:pt idx="47">
                  <c:v>2065086.879999999</c:v>
                </c:pt>
                <c:pt idx="48">
                  <c:v>2065086.879999999</c:v>
                </c:pt>
                <c:pt idx="49">
                  <c:v>1932299.7169999992</c:v>
                </c:pt>
                <c:pt idx="50">
                  <c:v>1932299.7169999992</c:v>
                </c:pt>
                <c:pt idx="51">
                  <c:v>1932299.7169999992</c:v>
                </c:pt>
                <c:pt idx="52">
                  <c:v>1932299.7169999992</c:v>
                </c:pt>
                <c:pt idx="53">
                  <c:v>1724508.1169999996</c:v>
                </c:pt>
                <c:pt idx="54">
                  <c:v>1463638.551</c:v>
                </c:pt>
                <c:pt idx="55">
                  <c:v>1463638.551</c:v>
                </c:pt>
                <c:pt idx="56">
                  <c:v>1463638.551</c:v>
                </c:pt>
                <c:pt idx="57">
                  <c:v>1463638.551</c:v>
                </c:pt>
                <c:pt idx="58">
                  <c:v>1454984.2709999997</c:v>
                </c:pt>
                <c:pt idx="59">
                  <c:v>1454984.2709999997</c:v>
                </c:pt>
                <c:pt idx="60">
                  <c:v>1454984.2709999997</c:v>
                </c:pt>
                <c:pt idx="61">
                  <c:v>1419350.2709999997</c:v>
                </c:pt>
                <c:pt idx="62">
                  <c:v>2374055.0809999993</c:v>
                </c:pt>
                <c:pt idx="63">
                  <c:v>2374055.0809999993</c:v>
                </c:pt>
                <c:pt idx="64">
                  <c:v>2374055.0809999993</c:v>
                </c:pt>
                <c:pt idx="65">
                  <c:v>2374055.0809999993</c:v>
                </c:pt>
                <c:pt idx="66">
                  <c:v>2374055.0809999993</c:v>
                </c:pt>
                <c:pt idx="67">
                  <c:v>2374055.0809999993</c:v>
                </c:pt>
                <c:pt idx="68">
                  <c:v>2374055.0809999993</c:v>
                </c:pt>
                <c:pt idx="69">
                  <c:v>2374055.0809999993</c:v>
                </c:pt>
                <c:pt idx="70">
                  <c:v>2374055.0809999993</c:v>
                </c:pt>
                <c:pt idx="71">
                  <c:v>2374055.0809999993</c:v>
                </c:pt>
                <c:pt idx="72">
                  <c:v>2374055.0809999993</c:v>
                </c:pt>
                <c:pt idx="73">
                  <c:v>2374055.0809999993</c:v>
                </c:pt>
                <c:pt idx="74">
                  <c:v>2374055.0809999993</c:v>
                </c:pt>
                <c:pt idx="75">
                  <c:v>2377072.470999999</c:v>
                </c:pt>
                <c:pt idx="76">
                  <c:v>2377072.470999999</c:v>
                </c:pt>
                <c:pt idx="77">
                  <c:v>2377072.470999999</c:v>
                </c:pt>
                <c:pt idx="78">
                  <c:v>2377072.470999999</c:v>
                </c:pt>
                <c:pt idx="79">
                  <c:v>2377072.470999999</c:v>
                </c:pt>
                <c:pt idx="80">
                  <c:v>2377072.470999999</c:v>
                </c:pt>
                <c:pt idx="81">
                  <c:v>2313872.470999999</c:v>
                </c:pt>
                <c:pt idx="82">
                  <c:v>2313872.470999999</c:v>
                </c:pt>
                <c:pt idx="83">
                  <c:v>2313872.470999999</c:v>
                </c:pt>
                <c:pt idx="84">
                  <c:v>2270394.209999999</c:v>
                </c:pt>
                <c:pt idx="85">
                  <c:v>2268644.209999999</c:v>
                </c:pt>
                <c:pt idx="86">
                  <c:v>2268644.209999999</c:v>
                </c:pt>
                <c:pt idx="87">
                  <c:v>2268644.209999999</c:v>
                </c:pt>
                <c:pt idx="88">
                  <c:v>2268644.209999999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16955.327154684779</c:v>
                </c:pt>
                <c:pt idx="2">
                  <c:v>16955.327154684779</c:v>
                </c:pt>
                <c:pt idx="3">
                  <c:v>16955.327154684779</c:v>
                </c:pt>
                <c:pt idx="4">
                  <c:v>16955.327154684779</c:v>
                </c:pt>
                <c:pt idx="5">
                  <c:v>16955.327154684779</c:v>
                </c:pt>
                <c:pt idx="6">
                  <c:v>1213430.4375732704</c:v>
                </c:pt>
                <c:pt idx="7">
                  <c:v>1213430.4375732704</c:v>
                </c:pt>
                <c:pt idx="8">
                  <c:v>1213430.4375732704</c:v>
                </c:pt>
                <c:pt idx="9">
                  <c:v>1213430.4375732704</c:v>
                </c:pt>
                <c:pt idx="10">
                  <c:v>5633108.3664886616</c:v>
                </c:pt>
                <c:pt idx="11">
                  <c:v>5633108.3664886616</c:v>
                </c:pt>
                <c:pt idx="12">
                  <c:v>5633108.3664886616</c:v>
                </c:pt>
                <c:pt idx="13">
                  <c:v>5633108.3664886616</c:v>
                </c:pt>
                <c:pt idx="14">
                  <c:v>5633108.3664886616</c:v>
                </c:pt>
                <c:pt idx="15">
                  <c:v>5652874.3054707963</c:v>
                </c:pt>
                <c:pt idx="16">
                  <c:v>5652874.3054707963</c:v>
                </c:pt>
                <c:pt idx="17">
                  <c:v>5652874.3054707963</c:v>
                </c:pt>
                <c:pt idx="18">
                  <c:v>5652874.3054707963</c:v>
                </c:pt>
                <c:pt idx="19">
                  <c:v>7186981.5567535227</c:v>
                </c:pt>
                <c:pt idx="20">
                  <c:v>7186981.5567535227</c:v>
                </c:pt>
                <c:pt idx="21">
                  <c:v>7186981.5567535227</c:v>
                </c:pt>
                <c:pt idx="22">
                  <c:v>7186981.5567535227</c:v>
                </c:pt>
                <c:pt idx="23">
                  <c:v>9358085.7647828534</c:v>
                </c:pt>
                <c:pt idx="24">
                  <c:v>9358085.7647828534</c:v>
                </c:pt>
                <c:pt idx="25">
                  <c:v>9358085.7647828534</c:v>
                </c:pt>
                <c:pt idx="26">
                  <c:v>9358085.7647828534</c:v>
                </c:pt>
                <c:pt idx="27">
                  <c:v>9358085.7647828534</c:v>
                </c:pt>
                <c:pt idx="28">
                  <c:v>9390314.794085484</c:v>
                </c:pt>
                <c:pt idx="29">
                  <c:v>9390314.794085484</c:v>
                </c:pt>
                <c:pt idx="30">
                  <c:v>9390314.794085484</c:v>
                </c:pt>
                <c:pt idx="31">
                  <c:v>9390314.794085484</c:v>
                </c:pt>
                <c:pt idx="32">
                  <c:v>9394271.0628439765</c:v>
                </c:pt>
                <c:pt idx="33">
                  <c:v>9394271.0628439765</c:v>
                </c:pt>
                <c:pt idx="34">
                  <c:v>9394271.0628439765</c:v>
                </c:pt>
                <c:pt idx="35">
                  <c:v>9394271.0628439765</c:v>
                </c:pt>
                <c:pt idx="36">
                  <c:v>9416341.8007975835</c:v>
                </c:pt>
                <c:pt idx="37">
                  <c:v>9416341.8007975835</c:v>
                </c:pt>
                <c:pt idx="38">
                  <c:v>9416341.8007975835</c:v>
                </c:pt>
                <c:pt idx="39">
                  <c:v>9416341.8007975835</c:v>
                </c:pt>
                <c:pt idx="40">
                  <c:v>9416341.8007975835</c:v>
                </c:pt>
                <c:pt idx="41">
                  <c:v>9416341.8007975835</c:v>
                </c:pt>
                <c:pt idx="42">
                  <c:v>9416341.8007975835</c:v>
                </c:pt>
                <c:pt idx="43">
                  <c:v>9416341.8007975835</c:v>
                </c:pt>
                <c:pt idx="44">
                  <c:v>9416341.8007975835</c:v>
                </c:pt>
                <c:pt idx="45">
                  <c:v>9417590.1511152443</c:v>
                </c:pt>
                <c:pt idx="46">
                  <c:v>9417590.1511152443</c:v>
                </c:pt>
                <c:pt idx="47">
                  <c:v>9417590.1511152443</c:v>
                </c:pt>
                <c:pt idx="48">
                  <c:v>9417590.1511152443</c:v>
                </c:pt>
                <c:pt idx="49">
                  <c:v>9527937.7322285511</c:v>
                </c:pt>
                <c:pt idx="50">
                  <c:v>9527937.7322285511</c:v>
                </c:pt>
                <c:pt idx="51">
                  <c:v>9527937.7322285511</c:v>
                </c:pt>
                <c:pt idx="52">
                  <c:v>9527937.7322285511</c:v>
                </c:pt>
                <c:pt idx="53">
                  <c:v>9527937.7322285511</c:v>
                </c:pt>
                <c:pt idx="54">
                  <c:v>9734366.0622285511</c:v>
                </c:pt>
                <c:pt idx="55">
                  <c:v>9734366.0622285511</c:v>
                </c:pt>
                <c:pt idx="56">
                  <c:v>9734366.0622285511</c:v>
                </c:pt>
                <c:pt idx="57">
                  <c:v>9734366.0622285511</c:v>
                </c:pt>
                <c:pt idx="58">
                  <c:v>9734366.0622285511</c:v>
                </c:pt>
                <c:pt idx="59">
                  <c:v>9734366.0622285511</c:v>
                </c:pt>
                <c:pt idx="60">
                  <c:v>9734366.0622285511</c:v>
                </c:pt>
                <c:pt idx="61">
                  <c:v>9734366.0622285511</c:v>
                </c:pt>
                <c:pt idx="62">
                  <c:v>9734366.0622285511</c:v>
                </c:pt>
                <c:pt idx="63">
                  <c:v>9734366.0622285511</c:v>
                </c:pt>
                <c:pt idx="64">
                  <c:v>9734366.0622285511</c:v>
                </c:pt>
                <c:pt idx="65">
                  <c:v>9734366.0622285511</c:v>
                </c:pt>
                <c:pt idx="66">
                  <c:v>9734366.0622285511</c:v>
                </c:pt>
                <c:pt idx="67">
                  <c:v>9734366.0622285511</c:v>
                </c:pt>
                <c:pt idx="68">
                  <c:v>9734366.0622285511</c:v>
                </c:pt>
                <c:pt idx="69">
                  <c:v>9734366.0622285511</c:v>
                </c:pt>
                <c:pt idx="70">
                  <c:v>9734366.0622285511</c:v>
                </c:pt>
                <c:pt idx="71">
                  <c:v>9734366.0622285511</c:v>
                </c:pt>
                <c:pt idx="72">
                  <c:v>9734366.0622285511</c:v>
                </c:pt>
                <c:pt idx="73">
                  <c:v>9734366.0622285511</c:v>
                </c:pt>
                <c:pt idx="74">
                  <c:v>9734366.0622285511</c:v>
                </c:pt>
                <c:pt idx="75">
                  <c:v>9734366.0622285511</c:v>
                </c:pt>
                <c:pt idx="76">
                  <c:v>9734366.0622285511</c:v>
                </c:pt>
                <c:pt idx="77">
                  <c:v>9734366.0622285511</c:v>
                </c:pt>
                <c:pt idx="78">
                  <c:v>9734366.0622285511</c:v>
                </c:pt>
                <c:pt idx="79">
                  <c:v>9734366.0622285511</c:v>
                </c:pt>
                <c:pt idx="80">
                  <c:v>9734366.0622285511</c:v>
                </c:pt>
                <c:pt idx="81">
                  <c:v>9734366.0622285511</c:v>
                </c:pt>
                <c:pt idx="82">
                  <c:v>9734366.0622285511</c:v>
                </c:pt>
                <c:pt idx="83">
                  <c:v>9734366.0622285511</c:v>
                </c:pt>
                <c:pt idx="84">
                  <c:v>9734366.0622285511</c:v>
                </c:pt>
                <c:pt idx="85">
                  <c:v>9734366.0622285511</c:v>
                </c:pt>
                <c:pt idx="86">
                  <c:v>9734366.0622285511</c:v>
                </c:pt>
                <c:pt idx="87">
                  <c:v>9734366.0622285511</c:v>
                </c:pt>
                <c:pt idx="88">
                  <c:v>9734366.0622285511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71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6046615265589"/>
          <c:y val="0.33520549060771465"/>
          <c:w val="0.2194472239406659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80A509-1571-41E8-A768-C560D346AAF6}">
    <Anchor>
      <Comment id="{011596BB-1409-4A31-8162-B7CBDDF2A10C}"/>
    </Anchor>
    <History>
      <Event time="2025-06-09T14:05:01.42" id="{F5A9D457-A524-4C23-9D58-25BD6E96D2C4}">
        <Attribution userId="S::tasneema@emergy.co.za::9a0cc615-e4de-4e2f-ae82-9f40753a7d8a" userName="Tasneema van Harte" userProvider="AD"/>
        <Anchor>
          <Comment id="{011596BB-1409-4A31-8162-B7CBDDF2A10C}"/>
        </Anchor>
        <Create/>
      </Event>
      <Event time="2025-06-09T14:05:01.42" id="{E5225CAE-48E2-4ACA-99F4-C341AC885526}">
        <Attribution userId="S::tasneema@emergy.co.za::9a0cc615-e4de-4e2f-ae82-9f40753a7d8a" userName="Tasneema van Harte" userProvider="AD"/>
        <Anchor>
          <Comment id="{011596BB-1409-4A31-8162-B7CBDDF2A10C}"/>
        </Anchor>
        <Assign userId="S::mizelda@emergentenergy.co.za::3a5c2ad2-993e-4fe1-a333-48e19c6adda8" userName="Mizelda Isaacs" userProvider="AD"/>
      </Event>
      <Event time="2025-06-09T14:05:01.42" id="{C475A49B-FD75-460B-B5FD-51908C5F7EFE}">
        <Attribution userId="S::tasneema@emergy.co.za::9a0cc615-e4de-4e2f-ae82-9f40753a7d8a" userName="Tasneema van Harte" userProvider="AD"/>
        <Anchor>
          <Comment id="{011596BB-1409-4A31-8162-B7CBDDF2A10C}"/>
        </Anchor>
        <SetTitle title="@Mizelda Isaacs please update the payment date"/>
      </Event>
      <Event time="2025-09-01T17:26:06.66" id="{C6093702-FDE4-42CC-8E39-3592E16C0C58}">
        <Attribution userId="S::mizelda@emergentenergy.co.za::3a5c2ad2-993e-4fe1-a333-48e19c6adda8" userName="Mizelda Isaacs" userProvider="AD"/>
        <Progress percentComplete="100"/>
      </Event>
    </History>
  </Task>
  <Task id="{E158C725-0BCB-4D1D-AF84-F112D508C314}">
    <Anchor>
      <Comment id="{FFC19150-D493-4272-A448-5C6502CD6256}"/>
    </Anchor>
    <History>
      <Event time="2025-01-09T12:42:18.26" id="{180A87DB-3BC6-4BBC-8134-342FEDD6C091}">
        <Attribution userId="S::tasneema@emergy.co.za::9a0cc615-e4de-4e2f-ae82-9f40753a7d8a" userName="Tasneema van Harte" userProvider="AD"/>
        <Anchor>
          <Comment id="{FFC19150-D493-4272-A448-5C6502CD6256}"/>
        </Anchor>
        <Create/>
      </Event>
      <Event time="2025-01-09T12:42:18.26" id="{AF9E6E9E-0283-430C-B5CD-0187D9513D21}">
        <Attribution userId="S::tasneema@emergy.co.za::9a0cc615-e4de-4e2f-ae82-9f40753a7d8a" userName="Tasneema van Harte" userProvider="AD"/>
        <Anchor>
          <Comment id="{FFC19150-D493-4272-A448-5C6502CD6256}"/>
        </Anchor>
        <Assign userId="S::roedolph@emergentenergy.co.za::9a21ce2b-45c7-4248-95e2-e26943ee2072" userName="Roedolph Venter" userProvider="AD"/>
      </Event>
      <Event time="2025-01-09T12:42:18.26" id="{FA34AF26-3B3D-46EF-89D7-8205BA7272D6}">
        <Attribution userId="S::tasneema@emergy.co.za::9a0cc615-e4de-4e2f-ae82-9f40753a7d8a" userName="Tasneema van Harte" userProvider="AD"/>
        <Anchor>
          <Comment id="{FFC19150-D493-4272-A448-5C6502CD6256}"/>
        </Anchor>
        <SetTitle title="@Roedolph Venter are we able to firm up this amount or remove if we not going to incur it"/>
      </Event>
    </History>
  </Task>
  <Task id="{7E3DF26F-78B1-4B2B-AB18-6E09E99B539B}">
    <Anchor>
      <Comment id="{EEEAD333-865C-44B9-8980-74A55D31A43F}"/>
    </Anchor>
    <History>
      <Event time="2026-02-02T08:17:08.44" id="{A17CFF0E-8206-4CBA-BCDD-DC7A19F6A8EE}">
        <Attribution userId="S::mizelda@emergentenergy.co.za::3a5c2ad2-993e-4fe1-a333-48e19c6adda8" userName="Mizelda Isaacs" userProvider="AD"/>
        <Anchor>
          <Comment id="{EEEAD333-865C-44B9-8980-74A55D31A43F}"/>
        </Anchor>
        <Create/>
      </Event>
      <Event time="2026-02-02T08:17:08.44" id="{EC6021AD-4AAC-4FD0-AB6F-09C58DE599CB}">
        <Attribution userId="S::mizelda@emergentenergy.co.za::3a5c2ad2-993e-4fe1-a333-48e19c6adda8" userName="Mizelda Isaacs" userProvider="AD"/>
        <Anchor>
          <Comment id="{EEEAD333-865C-44B9-8980-74A55D31A43F}"/>
        </Anchor>
        <Assign userId="S::lloyd@emergentenergy.co.za::3e596b3f-4431-4c2f-b5e7-2e09852114d5" userName="Lloyd Brown" userProvider="AD"/>
      </Event>
      <Event time="2026-02-02T08:17:08.44" id="{CC444DDD-3132-4FB8-B827-F731B6555EB5}">
        <Attribution userId="S::mizelda@emergentenergy.co.za::3a5c2ad2-993e-4fe1-a333-48e19c6adda8" userName="Mizelda Isaacs" userProvider="AD"/>
        <Anchor>
          <Comment id="{EEEAD333-865C-44B9-8980-74A55D31A43F}"/>
        </Anchor>
        <SetTitle title="@Lloyd Brown, please advise if we can pay this, currently it is forecasted to be paid on Thursday. Please load on ClickUp"/>
      </Event>
    </History>
  </Task>
  <Task id="{6332A17D-85B6-4608-B94B-C84BE6632FD5}">
    <Anchor>
      <Comment id="{35830EB2-DB75-4C4D-A3E8-A7BE84E4FCEC}"/>
    </Anchor>
    <History>
      <Event time="2025-04-15T11:56:31.95" id="{82DFDE7E-EBFD-4D68-9C11-639890AF1758}">
        <Attribution userId="S::tasneema@emergy.co.za::9a0cc615-e4de-4e2f-ae82-9f40753a7d8a" userName="Tasneema van Harte" userProvider="AD"/>
        <Anchor>
          <Comment id="{35830EB2-DB75-4C4D-A3E8-A7BE84E4FCEC}"/>
        </Anchor>
        <Create/>
      </Event>
      <Event time="2025-04-15T11:56:31.95" id="{BE23481D-81A5-4660-9DDA-C01AAD52AE89}">
        <Attribution userId="S::tasneema@emergy.co.za::9a0cc615-e4de-4e2f-ae82-9f40753a7d8a" userName="Tasneema van Harte" userProvider="AD"/>
        <Anchor>
          <Comment id="{35830EB2-DB75-4C4D-A3E8-A7BE84E4FCEC}"/>
        </Anchor>
        <Assign userId="S::mizelda@emergentenergy.co.za::3a5c2ad2-993e-4fe1-a333-48e19c6adda8" userName="Mizelda Isaacs" userProvider="AD"/>
      </Event>
      <Event time="2025-04-15T11:56:31.95" id="{5C65EAAE-A9DC-412D-BE5B-DADE916D826A}">
        <Attribution userId="S::tasneema@emergy.co.za::9a0cc615-e4de-4e2f-ae82-9f40753a7d8a" userName="Tasneema van Harte" userProvider="AD"/>
        <Anchor>
          <Comment id="{35830EB2-DB75-4C4D-A3E8-A7BE84E4FCEC}"/>
        </Anchor>
        <SetTitle title="@Mizelda Isaacs please update the payment date"/>
      </Event>
      <Event time="2025-04-19T16:52:02.05" id="{09251581-102C-4CC4-9710-FBAE7CFA2ABB}">
        <Attribution userId="S::mizelda@emergentenergy.co.za::3a5c2ad2-993e-4fe1-a333-48e19c6adda8" userName="Mizelda Isaacs" userProvider="AD"/>
        <Progress percentComplete="100"/>
      </Event>
    </History>
  </Task>
  <Task id="{E321BAD7-0F80-4FA8-9084-DDE708C674E4}">
    <Anchor>
      <Comment id="{0440F05B-C8DB-48F1-B2C3-7A25FD457299}"/>
    </Anchor>
    <History>
      <Event time="2026-01-12T08:37:07.96" id="{957D9475-8B24-48BF-B557-05E4898981FA}">
        <Attribution userId="S::tasneema@emergy.co.za::9a0cc615-e4de-4e2f-ae82-9f40753a7d8a" userName="Tasneema van Harte" userProvider="AD"/>
        <Anchor>
          <Comment id="{0440F05B-C8DB-48F1-B2C3-7A25FD457299}"/>
        </Anchor>
        <Create/>
      </Event>
      <Event time="2026-01-12T08:37:07.96" id="{68A841CB-6208-429F-8AC0-F302BF2A2A73}">
        <Attribution userId="S::tasneema@emergy.co.za::9a0cc615-e4de-4e2f-ae82-9f40753a7d8a" userName="Tasneema van Harte" userProvider="AD"/>
        <Anchor>
          <Comment id="{0440F05B-C8DB-48F1-B2C3-7A25FD457299}"/>
        </Anchor>
        <Assign userId="S::roedolph@emergentenergy.co.za::9a21ce2b-45c7-4248-95e2-e26943ee2072" userName="Roedolph Venter" userProvider="AD"/>
      </Event>
      <Event time="2026-01-12T08:37:07.96" id="{1023DF4B-11F4-4991-94C6-2448F641D9A4}">
        <Attribution userId="S::tasneema@emergy.co.za::9a0cc615-e4de-4e2f-ae82-9f40753a7d8a" userName="Tasneema van Harte" userProvider="AD"/>
        <Anchor>
          <Comment id="{0440F05B-C8DB-48F1-B2C3-7A25FD457299}"/>
        </Anchor>
        <SetTitle title="@Roedolph Venter please update the payment date"/>
      </Event>
      <Event time="2026-02-02T08:16:02.67" id="{8FFA73EC-CA8C-4976-A7A4-9889999FCE32}">
        <Attribution userId="S::mizelda@emergentenergy.co.za::3a5c2ad2-993e-4fe1-a333-48e19c6adda8" userName="Mizelda Isaacs" userProvider="AD"/>
        <Progress percentComplete="100"/>
      </Event>
    </History>
  </Task>
  <Task id="{545E1AF0-2A4E-48C3-86D1-9CFF0649D1D6}">
    <Anchor>
      <Comment id="{C4C8D70B-2ACB-4469-9B93-8DD24B08CC01}"/>
    </Anchor>
    <History>
      <Event time="2024-08-26T11:15:29.10" id="{006AA6DE-3EF4-4879-9C4D-975F024C5815}">
        <Attribution userId="S::mizelda@emergentenergy.co.za::3a5c2ad2-993e-4fe1-a333-48e19c6adda8" userName="Mizelda Isaacs" userProvider="AD"/>
        <Anchor>
          <Comment id="{C4C8D70B-2ACB-4469-9B93-8DD24B08CC01}"/>
        </Anchor>
        <Create/>
      </Event>
      <Event time="2024-08-26T11:15:29.10" id="{B00C57A8-17D2-4D2C-A404-02D5D27FF5BC}">
        <Attribution userId="S::mizelda@emergentenergy.co.za::3a5c2ad2-993e-4fe1-a333-48e19c6adda8" userName="Mizelda Isaacs" userProvider="AD"/>
        <Anchor>
          <Comment id="{C4C8D70B-2ACB-4469-9B93-8DD24B08CC01}"/>
        </Anchor>
        <Assign userId="S::lloyd@emergentenergy.co.za::3e596b3f-4431-4c2f-b5e7-2e09852114d5" userName="Lloyd Brown" userProvider="AD"/>
      </Event>
      <Event time="2024-08-26T11:15:29.10" id="{2BAFC334-2128-4ABB-9337-CF333BB1CF31}">
        <Attribution userId="S::mizelda@emergentenergy.co.za::3a5c2ad2-993e-4fe1-a333-48e19c6adda8" userName="Mizelda Isaacs" userProvider="AD"/>
        <Anchor>
          <Comment id="{C4C8D70B-2ACB-4469-9B93-8DD24B08CC01}"/>
        </Anchor>
        <SetTitle title="@Lloyd Brown have you ordered CTs yet?"/>
      </Event>
      <Event time="2024-08-26T12:14:10.22" id="{A05BC8C2-FBB9-456B-A5A0-6BACC5ECB985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706611</xdr:colOff>
      <xdr:row>7</xdr:row>
      <xdr:rowOff>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83297</xdr:rowOff>
    </xdr:from>
    <xdr:to>
      <xdr:col>39</xdr:col>
      <xdr:colOff>173935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5548255E-9A4B-4272-95C8-EFF886E2FB11}" userId="lloyd@emergentenergy.co.za" providerId="PeoplePicker"/>
  <person displayName="Mizelda Isaacs" id="{0E6C4544-D5DB-43C3-8BD9-2DF779650EDB}" userId="mizelda@emergentenergy.co.za" providerId="PeoplePicker"/>
  <person displayName="Roedolph Venter" id="{955FBF22-D5F0-41A7-BA59-AA50C8E755B3}" userId="roedolph@emergentenergy.co.za" providerId="PeoplePicker"/>
  <person displayName="Tasneema van Harte" id="{38114ABC-C72E-4039-B3D9-31DCFA75FD00}" userId="S::tasneema@emergy.co.za::9a0cc615-e4de-4e2f-ae82-9f40753a7d8a" providerId="AD"/>
  <person displayName="Lloyd Brown" id="{992D4F17-BABD-4B2E-B8A0-BBEAA280C44E}" userId="S::lloyd@emergentenergy.co.za::3e596b3f-4431-4c2f-b5e7-2e09852114d5" providerId="AD"/>
  <person displayName="Mizelda Isaacs" id="{62292DF8-8016-40C8-B4CE-5218D982A53E}" userId="S::mizelda@emergentenergy.co.za::3a5c2ad2-993e-4fe1-a333-48e19c6adda8" providerId="AD"/>
  <person displayName="Roedolph Venter" id="{DF67E6E4-9650-439E-BD39-9A27DC516C4E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430558" createdVersion="8" refreshedVersion="8" minRefreshableVersion="3" recordCount="148" xr:uid="{5501410B-D70C-4B2D-91F7-76BD0FC02E9D}">
  <cacheSource type="worksheet">
    <worksheetSource ref="M4:T152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01T00:00:00" count="4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662036" createdVersion="8" refreshedVersion="8" minRefreshableVersion="3" recordCount="148" xr:uid="{CFE685BB-DDF2-42BA-9528-D7F36DD72BD0}">
  <cacheSource type="worksheet">
    <worksheetSource ref="L4:X15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01T00:00:00" count="3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38404.396847931312" maxValue="2012791.3464120121" count="512">
        <m/>
        <n v="956194.33106683195"/>
        <n v="723092.46354609495"/>
        <n v="16828.078992819082"/>
        <n v="11887.248461481955"/>
        <n v="0"/>
        <n v="1160037.74764677"/>
        <n v="26361.354946517506"/>
        <n v="31531.576700048958"/>
        <n v="47297.365050073429"/>
        <n v="60154.159689057029"/>
        <n v="86641.006018816974"/>
        <n v="30035.354844528516"/>
        <n v="15017.677422264258"/>
        <n v="11215.185446544016"/>
        <n v="43013.43"/>
        <n v="611631.5138385467"/>
        <n v="660396.978504456"/>
        <n v="22070.737953607633"/>
        <n v="243366.31234761974"/>
        <n v="365049.46852142958"/>
        <n v="464661.88729012728"/>
        <n v="608415.78086904925"/>
        <n v="121683.15617380987"/>
        <n v="13306.013423302209"/>
        <n v="53875.090099128327"/>
        <n v="31427.366822641052"/>
        <n v="7886.3051355946363"/>
        <n v="84366"/>
        <n v="4508.7895184959252"/>
        <n v="38723.420498318148"/>
        <n v="15664.615116030976"/>
        <n v="13742.769310629139"/>
        <n v="41314.370000000003"/>
        <n v="150800"/>
        <n v="226200"/>
        <n v="301600"/>
        <n v="377000"/>
        <n v="75400"/>
        <n v="265082.88505747123"/>
        <n v="358220.11546597141"/>
        <n v="35385.75573727255"/>
        <n v="4635.2099337051541"/>
        <n v="9776.0791329054173"/>
        <n v="96604.811802678189"/>
        <n v="8403.127830178275"/>
        <n v="80747.960000000006"/>
        <n v="2544.0380880742096"/>
        <n v="304.46949978966188"/>
        <n v="5665.4688621582"/>
        <n v="2937.859989315622"/>
        <n v="10206.249969088462"/>
        <n v="3217.9856785988682"/>
        <n v="801.6624799898517"/>
        <n v="3956.2687584926548"/>
        <n v="1248.3503176612501"/>
        <n v="41314.368378336869" u="1"/>
        <n v="80029.311837985631" u="1"/>
        <n v="55057.132334462112" u="1"/>
        <n v="79221.841202848998" u="1"/>
        <n v="98130.931303086414" u="1"/>
        <n v="1248.3510672602201" u="1"/>
        <n v="479.78569245719461" u="1"/>
        <n v="768.56569245719459" u="1"/>
        <n v="168033.41795360763" u="1"/>
        <n v="486732.62469523947" u="1"/>
        <n v="5204.6217689023533" u="1"/>
        <n v="85823.66130308641" u="1"/>
        <n v="6006.2770034394898" u="1"/>
        <n v="60070.709689057032" u="1"/>
        <n v="5890.2495184959253" u="1"/>
        <n v="4856.8970034394897" u="1"/>
        <n v="60104.092815053584" u="1"/>
        <n v="30052.046407526792" u="1"/>
        <n v="15026.023203763396" u="1"/>
        <n v="56741.485797057605" u="1"/>
        <n v="13713.082023365363" u="1"/>
        <n v="32388.818897667501" u="1"/>
        <n v="6070.4489177628575" u="1"/>
        <n v="16115.487804879311" u="1"/>
        <n v="78124.857704595517" u="1"/>
        <n v="10850.41" u="1"/>
        <n v="8358.1342864277267" u="1"/>
        <n v="22630.519442887482" u="1"/>
        <n v="31360.252476549544" u="1"/>
        <n v="26796.633646006885" u="1"/>
        <n v="70209.520469887037" u="1"/>
        <n v="76060.313842377625" u="1"/>
        <n v="4612.1333485763171" u="1"/>
        <n v="38382.880983736039" u="1"/>
        <n v="81758.380498318147" u="1"/>
        <n v="56064.615465971416" u="1"/>
        <n v="3993.8499690884614" u="1"/>
        <n v="1765.0500000000002" u="1"/>
        <n v="3960.3443469929985" u="1"/>
        <n v="4617.8805036779477" u="1"/>
        <n v="3273.4071578635399" u="1"/>
        <n v="15847.052508237406" u="1"/>
        <n v="27166.375728406976" u="1"/>
        <n v="114934.19781137972" u="1"/>
        <n v="27977.859085617369" u="1"/>
        <n v="15775.282052542316" u="1"/>
        <n v="333076.78399924998" u="1"/>
        <n v="25143.332241305136" u="1"/>
        <n v="27292.774853131963" u="1"/>
        <n v="23321.065079728429" u="1"/>
        <n v="61103.227283131266" u="1"/>
        <n v="66195.162890058869" u="1"/>
        <n v="34826.29364156563" u="1"/>
        <n v="2054.1244321956988" u="1"/>
        <n v="13268.146820295911" u="1"/>
        <n v="27840.668992819083" u="1"/>
        <n v="75130.116018816974" u="1"/>
        <n v="343769.92399924999" u="1"/>
        <n v="3378.7499893156219" u="1"/>
        <n v="2740.3502047000729" u="1"/>
        <n v="2101.8037343359492" u="1"/>
        <n v="13535.150912281315" u="1"/>
        <n v="2146.1797409491905" u="1"/>
        <n v="13783.656549315465" u="1"/>
        <n v="28715.329255201028" u="1"/>
        <n v="63173.661262364432" u="1"/>
        <n v="78967.076577955551" u="1"/>
        <n v="31586.830631182216" u="1"/>
        <n v="15793.415315591108" u="1"/>
        <n v="358220.11494252871" u="1"/>
        <n v="6283.5588621582001" u="1"/>
        <n v="2478.1882637593926" u="1"/>
        <n v="15642.904277052599" u="1"/>
        <n v="751807.79280129599" u="1"/>
        <n v="1159899.6176467701" u="1"/>
        <n v="130574.94928296645" u="1"/>
        <n v="19458.2277362852" u="1"/>
        <n v="17922.051862367945" u="1"/>
        <n v="-38404.396847931312" u="1"/>
        <n v="25630.608296911989" u="1"/>
        <n v="21900.78097012256" u="1"/>
        <n v="57381.958873683558" u="1"/>
        <n v="76509.278498244748" u="1"/>
        <n v="29405.319436841779" u="1"/>
        <n v="13983.4942770526" u="1"/>
        <n v="1186813.5119046203" u="1"/>
        <n v="63063.153400097915" u="1"/>
        <n v="78828.941750122394" u="1"/>
        <n v="15765.788350024479" u="1"/>
        <n v="17430.625826739131" u="1"/>
        <n v="13557.1534207971" u="1"/>
        <n v="23240.83443565217" u="1"/>
        <n v="118726.60111972671" u="1"/>
        <n v="17692.591539410256" u="1"/>
        <n v="16295.807996825235" u="1"/>
        <n v="25607.69828072537" u="1"/>
        <n v="-34919.588564625505" u="1"/>
        <n v="653745.90678373561" u="1"/>
        <n v="98061.886017560348" u="1"/>
        <n v="8134.2920524782594" u="1"/>
        <n v="6778.5767103985499" u="1"/>
        <n v="9490.0073945579697" u="1"/>
        <n v="16268.584104956519" u="1"/>
        <n v="105653.45222111131" u="1"/>
        <n v="15744.436017263644" u="1"/>
        <n v="14501.454226427042" u="1"/>
        <n v="22787.999498671066" u="1"/>
        <n v="274683.18413793104" u="1"/>
        <n v="47714.919310344827" u="1"/>
        <n v="300904.89655172417" u="1"/>
        <n v="23705.665878818712" u="1"/>
        <n v="37946.756201541895" u="1"/>
        <n v="53072.386295862794" u="1"/>
        <n v="70763.181727817049" u="1"/>
        <n v="27250.533147931397" u="1"/>
        <n v="1586.8299195595307" u="1"/>
        <n v="20099.696986450082" u="1"/>
        <n v="26536.193147931397" u="1"/>
        <n v="19994.056986450083" u="1"/>
        <n v="105653.45377226418" u="1"/>
        <n v="53875.088818460004" u="1"/>
        <n v="15744.436248415841" u="1"/>
        <n v="7886.3052513775556" u="1"/>
        <n v="14501.45443933038" u="1"/>
        <n v="22787.999833233454" u="1"/>
        <n v="105964.59796955134" u="1"/>
        <n v="54033.748291157644" u="1"/>
        <n v="15790.802834678238" u="1"/>
        <n v="7493.9825873838772" u="1"/>
        <n v="14544.160505624692" u="1"/>
        <n v="22855.109365981662" u="1"/>
        <n v="1523.5653146829188" u="1"/>
        <n v="19196.922965004778" u="1"/>
        <n v="322398.10344827588" u="1"/>
        <n v="100219.38090094816" u="1"/>
        <n v="102208.26399121598" u="1"/>
        <n v="14934.652840141296" u="1"/>
        <n v="29476.288500278872" u="1"/>
        <n v="13755.60130013014" u="1"/>
        <n v="21615.944900204508" u="1"/>
        <n v="33710.617699673843" u="1"/>
        <n v="36154.637482900202" u="1"/>
        <n v="50565.926549510768" u="1"/>
        <n v="67421.235399347686" u="1"/>
        <n v="8006.2717036725389" u="1"/>
        <n v="25282.963274755384" u="1"/>
        <n v="11029.411764705894" u="1"/>
        <n v="19852.94117647060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260268596932292E-3" maxValue="4.3202403467148542E-3"/>
    </cacheField>
    <cacheField name="FINANCE PAYMENT DATE" numFmtId="0">
      <sharedItems containsNonDate="0" containsDate="1" containsString="0" containsBlank="1" minDate="2022-10-20T00:00:00" maxDate="2026-01-08T00:00:00"/>
    </cacheField>
    <cacheField name="Total COS" numFmtId="0">
      <sharedItems containsString="0" containsBlank="1" containsNumber="1" minValue="0" maxValue="1500000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m/>
    <m/>
    <m/>
    <m/>
    <m/>
    <m/>
    <x v="0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0"/>
    <m/>
    <m/>
    <m/>
    <m/>
    <m/>
    <m/>
    <x v="1"/>
  </r>
  <r>
    <x v="2"/>
    <s v="Huawei 100KTL - Aarden Solar"/>
    <n v="11"/>
    <n v="68880"/>
    <n v="757680"/>
    <s v="PO3260-CAS-20240725 - RV Approved"/>
    <s v="Arden Inv: NV-05927"/>
    <x v="2"/>
  </r>
  <r>
    <x v="2"/>
    <s v="Price include deilvery"/>
    <m/>
    <m/>
    <m/>
    <m/>
    <m/>
    <x v="1"/>
  </r>
  <r>
    <x v="2"/>
    <m/>
    <m/>
    <m/>
    <m/>
    <m/>
    <m/>
    <x v="1"/>
  </r>
  <r>
    <x v="2"/>
    <m/>
    <m/>
    <m/>
    <m/>
    <m/>
    <m/>
    <x v="1"/>
  </r>
  <r>
    <x v="0"/>
    <m/>
    <m/>
    <m/>
    <m/>
    <m/>
    <m/>
    <x v="1"/>
  </r>
  <r>
    <x v="3"/>
    <s v="KlipLok/Novatexi Roof - Lumax"/>
    <n v="1"/>
    <n v="364557.56"/>
    <n v="364557.56"/>
    <m/>
    <s v="Lumax Inv: INV00045783"/>
    <x v="2"/>
  </r>
  <r>
    <x v="3"/>
    <s v="LUMAX additional Clamps "/>
    <m/>
    <m/>
    <n v="14477.25"/>
    <s v="PO3346-CAS-2024090 - RV Approved"/>
    <s v="Lumax Inv: INV0046571"/>
    <x v="3"/>
  </r>
  <r>
    <x v="3"/>
    <s v="DC Cable Tray Clamps"/>
    <m/>
    <m/>
    <n v="11908"/>
    <s v="PO3379-CAS-20241002 - RV Approved"/>
    <s v="Lumax Inv: INV0047410"/>
    <x v="4"/>
  </r>
  <r>
    <x v="3"/>
    <s v="Test Clamps"/>
    <m/>
    <m/>
    <n v="2352.38"/>
    <s v="PO3797-CAS-20250410 - RV Approved"/>
    <s v="Lumax - Inv 1001/70001421"/>
    <x v="5"/>
  </r>
  <r>
    <x v="3"/>
    <m/>
    <m/>
    <m/>
    <m/>
    <m/>
    <m/>
    <x v="0"/>
  </r>
  <r>
    <x v="3"/>
    <m/>
    <m/>
    <m/>
    <n v="6831.28"/>
    <s v="PO4021-CAS-20250623 - RV Approved"/>
    <s v="Lumax - INV 1001/70002518"/>
    <x v="6"/>
  </r>
  <r>
    <x v="3"/>
    <m/>
    <m/>
    <m/>
    <m/>
    <m/>
    <m/>
    <x v="0"/>
  </r>
  <r>
    <x v="3"/>
    <s v="Mid Clamps"/>
    <m/>
    <m/>
    <n v="1823"/>
    <s v="PO4015-CAS-20250620 - RV Approved"/>
    <s v="Lumax - Inv 1001/70002494"/>
    <x v="6"/>
  </r>
  <r>
    <x v="3"/>
    <s v="Lumax Replacement Clamps"/>
    <m/>
    <m/>
    <n v="197641.60000000001"/>
    <s v="PO3961-CAS-20250527 - RV Approved"/>
    <s v="Lumax INV1001/70002085"/>
    <x v="7"/>
  </r>
  <r>
    <x v="3"/>
    <s v="Delivery"/>
    <m/>
    <m/>
    <n v="2950"/>
    <m/>
    <s v="Lumax INV1001/70002084"/>
    <x v="7"/>
  </r>
  <r>
    <x v="3"/>
    <s v="Return of MS to Lumax"/>
    <m/>
    <m/>
    <n v="10295.19"/>
    <m/>
    <s v="DSV Inv: 180138260"/>
    <x v="8"/>
  </r>
  <r>
    <x v="3"/>
    <s v="MS Scrapped"/>
    <m/>
    <m/>
    <n v="-3017.39"/>
    <m/>
    <s v="Scrapped MS"/>
    <x v="9"/>
  </r>
  <r>
    <x v="3"/>
    <s v="Waterpoints Clamps"/>
    <m/>
    <m/>
    <n v="9366"/>
    <s v="PO3652-CAS-20250212 - RV Approved"/>
    <s v="Schletter - INV1422"/>
    <x v="10"/>
  </r>
  <r>
    <x v="0"/>
    <m/>
    <m/>
    <m/>
    <m/>
    <m/>
    <m/>
    <x v="1"/>
  </r>
  <r>
    <x v="4"/>
    <s v="DC Cable - Menlo"/>
    <n v="44000"/>
    <n v="13.52"/>
    <n v="594880"/>
    <s v="PO3313-CAS-20240822 - RV Approved"/>
    <s v="Menlo Inv: 0001925"/>
    <x v="2"/>
  </r>
  <r>
    <x v="4"/>
    <s v="DC Cable - Menlo"/>
    <n v="1000"/>
    <n v="13.52"/>
    <n v="13520"/>
    <m/>
    <s v="Menlo Inv: 0001926"/>
    <x v="2"/>
  </r>
  <r>
    <x v="4"/>
    <s v="Delivery"/>
    <m/>
    <m/>
    <n v="450"/>
    <m/>
    <s v="Menlo Inv: 0002198"/>
    <x v="11"/>
  </r>
  <r>
    <x v="4"/>
    <s v="DC Cable allocated from Stock"/>
    <n v="1500"/>
    <n v="13.09"/>
    <n v="19635"/>
    <m/>
    <s v="Allocated from Stock"/>
    <x v="2"/>
  </r>
  <r>
    <x v="4"/>
    <s v="DC Cable allocated from Stock"/>
    <n v="1500"/>
    <n v="13.14"/>
    <n v="19710"/>
    <m/>
    <s v="Allocated from Stock"/>
    <x v="2"/>
  </r>
  <r>
    <x v="4"/>
    <s v="Project Kick Off"/>
    <n v="162000"/>
    <n v="0.1"/>
    <n v="16200"/>
    <s v="PO3211-CAS-20240703"/>
    <s v="Luken Inv0556"/>
    <x v="12"/>
  </r>
  <r>
    <x v="4"/>
    <s v="Site Establishment"/>
    <m/>
    <n v="0.15"/>
    <n v="24300"/>
    <m/>
    <s v="Luken Inv0559"/>
    <x v="12"/>
  </r>
  <r>
    <x v="4"/>
    <s v="AC Installation Complete"/>
    <m/>
    <n v="0.2"/>
    <n v="32400"/>
    <m/>
    <s v="Luken Inv0593"/>
    <x v="11"/>
  </r>
  <r>
    <x v="4"/>
    <s v="DC Installation Complete"/>
    <m/>
    <n v="0.25"/>
    <n v="40500"/>
    <m/>
    <s v="Luken Inv 0576"/>
    <x v="4"/>
  </r>
  <r>
    <x v="4"/>
    <s v="Commissioning Complete"/>
    <m/>
    <n v="0.1"/>
    <n v="16200"/>
    <m/>
    <s v="Luken Inv 0594"/>
    <x v="11"/>
  </r>
  <r>
    <x v="4"/>
    <s v="Site De-establisment"/>
    <m/>
    <n v="0.1"/>
    <n v="16200"/>
    <m/>
    <s v="Luken Inv 0595"/>
    <x v="11"/>
  </r>
  <r>
    <x v="4"/>
    <s v="Handover Document Complete"/>
    <m/>
    <n v="0.05"/>
    <n v="8100"/>
    <m/>
    <s v="Luken Inv 0598"/>
    <x v="11"/>
  </r>
  <r>
    <x v="4"/>
    <s v="End of Defects Period"/>
    <m/>
    <n v="0.05"/>
    <n v="8100"/>
    <m/>
    <s v="Luken Inv 0599"/>
    <x v="11"/>
  </r>
  <r>
    <x v="0"/>
    <m/>
    <m/>
    <m/>
    <m/>
    <m/>
    <m/>
    <x v="1"/>
  </r>
  <r>
    <x v="5"/>
    <m/>
    <m/>
    <m/>
    <m/>
    <m/>
    <m/>
    <x v="1"/>
  </r>
  <r>
    <x v="5"/>
    <s v="CTs"/>
    <m/>
    <m/>
    <n v="24770"/>
    <s v="PO3317-CAS-20240826 - RV Approved"/>
    <s v="AccuEnergy - IN ASAI-003703"/>
    <x v="2"/>
  </r>
  <r>
    <x v="5"/>
    <s v="Replacement CTs"/>
    <m/>
    <m/>
    <n v="3710"/>
    <s v="PO3556-CAS-20250122 - RV Approved"/>
    <s v="Acccuenergy - ASAI-004594"/>
    <x v="13"/>
  </r>
  <r>
    <x v="5"/>
    <m/>
    <m/>
    <m/>
    <m/>
    <m/>
    <m/>
    <x v="0"/>
  </r>
  <r>
    <x v="5"/>
    <s v="Candi Monitoring Box Wiring "/>
    <m/>
    <m/>
    <m/>
    <m/>
    <m/>
    <x v="0"/>
  </r>
  <r>
    <x v="5"/>
    <s v="Tester - EE Stock"/>
    <m/>
    <m/>
    <n v="0"/>
    <m/>
    <s v="Removed"/>
    <x v="4"/>
  </r>
  <r>
    <x v="0"/>
    <m/>
    <m/>
    <m/>
    <m/>
    <m/>
    <m/>
    <x v="1"/>
  </r>
  <r>
    <x v="6"/>
    <m/>
    <m/>
    <m/>
    <m/>
    <m/>
    <m/>
    <x v="1"/>
  </r>
  <r>
    <x v="6"/>
    <s v="AC Board Tie In 1 - SOLAR PVDB 1"/>
    <m/>
    <n v="185475.16"/>
    <n v="185475.16"/>
    <m/>
    <s v="Switchboard - INV 2-SOI001204"/>
    <x v="2"/>
  </r>
  <r>
    <x v="6"/>
    <s v="AC Board Tie In 2 - SOLAR PVDB 2"/>
    <m/>
    <n v="200263.12"/>
    <n v="200263.12"/>
    <m/>
    <s v="Switchboard - INV 2-SOI001204"/>
    <x v="2"/>
  </r>
  <r>
    <x v="6"/>
    <m/>
    <m/>
    <m/>
    <m/>
    <m/>
    <m/>
    <x v="1"/>
  </r>
  <r>
    <x v="6"/>
    <s v="AC Cable - Corrected Tie in"/>
    <m/>
    <m/>
    <n v="53375.87"/>
    <s v="PO3613-CAS-20250203 - RV Approved"/>
    <s v="Luken Inv0618"/>
    <x v="10"/>
  </r>
  <r>
    <x v="6"/>
    <m/>
    <m/>
    <m/>
    <m/>
    <m/>
    <m/>
    <x v="1"/>
  </r>
  <r>
    <x v="6"/>
    <s v="Project Kick Off"/>
    <n v="738000"/>
    <n v="0.1"/>
    <n v="73800"/>
    <s v="PO3211-CAS-20240703"/>
    <s v="Luken Inv0556"/>
    <x v="12"/>
  </r>
  <r>
    <x v="6"/>
    <s v="Site Establishment"/>
    <m/>
    <n v="0.15"/>
    <n v="110700"/>
    <m/>
    <s v="Luken Inv0559"/>
    <x v="12"/>
  </r>
  <r>
    <x v="6"/>
    <s v="AC Installation Complete"/>
    <m/>
    <n v="0.2"/>
    <n v="147600"/>
    <m/>
    <s v="Luken Inv0593"/>
    <x v="11"/>
  </r>
  <r>
    <x v="6"/>
    <s v="DC Installation Complete"/>
    <m/>
    <n v="0.25"/>
    <n v="184500"/>
    <m/>
    <s v="Luken Inv 0576"/>
    <x v="4"/>
  </r>
  <r>
    <x v="6"/>
    <s v="Commissioning Complete"/>
    <m/>
    <n v="0.1"/>
    <n v="73800"/>
    <m/>
    <s v="Luken Inv 0594"/>
    <x v="11"/>
  </r>
  <r>
    <x v="6"/>
    <s v="Site De-establisment"/>
    <m/>
    <n v="0.1"/>
    <n v="73800"/>
    <m/>
    <s v="Luken Inv 0595"/>
    <x v="11"/>
  </r>
  <r>
    <x v="6"/>
    <s v="Handover Document Complete"/>
    <m/>
    <n v="0.05"/>
    <n v="36900"/>
    <m/>
    <s v="Luken Inv 0598"/>
    <x v="11"/>
  </r>
  <r>
    <x v="6"/>
    <s v="End of Defects Period"/>
    <m/>
    <n v="0.05"/>
    <n v="36900"/>
    <m/>
    <s v="Luken Inv 0599"/>
    <x v="11"/>
  </r>
  <r>
    <x v="0"/>
    <m/>
    <m/>
    <m/>
    <m/>
    <m/>
    <m/>
    <x v="1"/>
  </r>
  <r>
    <x v="7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8"/>
    <m/>
    <m/>
    <m/>
    <m/>
    <m/>
    <m/>
    <x v="0"/>
  </r>
  <r>
    <x v="8"/>
    <s v="Platform Supports"/>
    <m/>
    <m/>
    <n v="61627.5"/>
    <s v="PO3467-CAS-20241119 - RV Approved"/>
    <s v="Anthony's Steel Inv INA28450"/>
    <x v="11"/>
  </r>
  <r>
    <x v="8"/>
    <s v="Steel Work For Both Tie Ins"/>
    <n v="0.5"/>
    <n v="260060.56"/>
    <n v="130030.28"/>
    <s v="PO3210-CAS-20240703"/>
    <s v="Anthony's Steel:  Inv INA28238"/>
    <x v="12"/>
  </r>
  <r>
    <x v="8"/>
    <s v="Balance Payable"/>
    <n v="0.5"/>
    <m/>
    <n v="130030.28"/>
    <m/>
    <s v="aNThony's Steel:  Inv INA28243"/>
    <x v="12"/>
  </r>
  <r>
    <x v="8"/>
    <s v="Platform Tie In 2"/>
    <n v="0.5"/>
    <n v="291115"/>
    <n v="145557.5"/>
    <s v="PO3512-CAS-20241205 - RV Approved"/>
    <s v="Anthony's Steel: INV INA28494"/>
    <x v="14"/>
  </r>
  <r>
    <x v="8"/>
    <s v="Platform Tie In 2"/>
    <n v="0.5"/>
    <m/>
    <n v="145557.5"/>
    <m/>
    <s v="Anthony's Steel INVINA28646"/>
    <x v="15"/>
  </r>
  <r>
    <x v="8"/>
    <s v="Anchor Points - Active Rope ATS - Deposit"/>
    <n v="0.5"/>
    <n v="38068"/>
    <n v="19034"/>
    <s v="PO3262-CAS-20240726 - RV Approved"/>
    <s v="ATS Africa Inv: INV-0318"/>
    <x v="12"/>
  </r>
  <r>
    <x v="8"/>
    <s v="Anchor Points - Active Rope ATS - Balance"/>
    <n v="0.5"/>
    <m/>
    <n v="19034"/>
    <m/>
    <s v="ATS Africa Inv: INV-0318"/>
    <x v="12"/>
  </r>
  <r>
    <x v="8"/>
    <s v="VO - Anchor Point"/>
    <m/>
    <m/>
    <m/>
    <m/>
    <m/>
    <x v="6"/>
  </r>
  <r>
    <x v="8"/>
    <s v="Temp Lifelines"/>
    <m/>
    <m/>
    <n v="38800"/>
    <m/>
    <s v="ATS Africa Inv: INV-0337"/>
    <x v="11"/>
  </r>
  <r>
    <x v="8"/>
    <s v="Panel Clean"/>
    <m/>
    <m/>
    <n v="27281"/>
    <s v="PO704-CAS-20241107 - RV Approved"/>
    <s v="Camperdown Solar Inv INA11114"/>
    <x v="11"/>
  </r>
  <r>
    <x v="8"/>
    <s v="Luken Solar AC Cable VO"/>
    <m/>
    <m/>
    <n v="266859.84000000003"/>
    <s v="PO3443-CAS-20241031 - RV Approved"/>
    <s v="Luken Inv0591"/>
    <x v="4"/>
  </r>
  <r>
    <x v="8"/>
    <s v="Luken Solar Tie In Breakers"/>
    <m/>
    <m/>
    <n v="68259.149999999994"/>
    <s v="PO3455-CAS-20241106 - RV Approved"/>
    <s v="Luken Inv0592"/>
    <x v="11"/>
  </r>
  <r>
    <x v="8"/>
    <m/>
    <m/>
    <m/>
    <m/>
    <m/>
    <m/>
    <x v="0"/>
  </r>
  <r>
    <x v="8"/>
    <s v=" "/>
    <n v="434782.61"/>
    <n v="0.3"/>
    <n v="130434.783"/>
    <s v="PO3962-CAS-20250527 - RV Approved"/>
    <s v="Luken Inv-0648"/>
    <x v="7"/>
  </r>
  <r>
    <x v="8"/>
    <s v="Luken Corrective Installation - On Completion"/>
    <m/>
    <n v="0.6"/>
    <n v="260869.56599999999"/>
    <m/>
    <s v="Luken Inv-0651"/>
    <x v="6"/>
  </r>
  <r>
    <x v="8"/>
    <s v="Luken Corrective Installation - Retention"/>
    <m/>
    <n v="0.1"/>
    <n v="43478.260999999999"/>
    <m/>
    <s v="Luken Inv-0652"/>
    <x v="6"/>
  </r>
  <r>
    <x v="8"/>
    <m/>
    <m/>
    <m/>
    <m/>
    <m/>
    <m/>
    <x v="0"/>
  </r>
  <r>
    <x v="8"/>
    <s v="Repair Damaged Downpipe"/>
    <m/>
    <m/>
    <n v="1750"/>
    <s v="PO4206-CAS-20250807 - RV Approved"/>
    <s v="Anthony's Wedlding - INA28967"/>
    <x v="16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1"/>
  </r>
  <r>
    <x v="0"/>
    <m/>
    <m/>
    <m/>
    <m/>
    <m/>
    <m/>
    <x v="1"/>
  </r>
  <r>
    <x v="9"/>
    <s v="Project Kick Off"/>
    <n v="1500000"/>
    <n v="0.1"/>
    <n v="150000"/>
    <s v="PO3211-CAS-20240703"/>
    <s v="Luken Inv0556"/>
    <x v="12"/>
  </r>
  <r>
    <x v="9"/>
    <s v="Site Establishment"/>
    <m/>
    <n v="0.15"/>
    <n v="225000"/>
    <m/>
    <s v="Luken Inv 0559"/>
    <x v="12"/>
  </r>
  <r>
    <x v="9"/>
    <s v="AC Installation Complete"/>
    <m/>
    <n v="0.2"/>
    <n v="300000"/>
    <m/>
    <s v="Luken Inv0593"/>
    <x v="11"/>
  </r>
  <r>
    <x v="9"/>
    <s v="DC Installation Complete"/>
    <m/>
    <n v="0.25"/>
    <n v="375000"/>
    <m/>
    <s v="Luken Inv 0576"/>
    <x v="4"/>
  </r>
  <r>
    <x v="9"/>
    <s v="Commissioning Complete"/>
    <m/>
    <n v="0.1"/>
    <n v="150000"/>
    <m/>
    <s v="Luken Inv 0594"/>
    <x v="11"/>
  </r>
  <r>
    <x v="9"/>
    <s v="Site De-establisment"/>
    <m/>
    <n v="0.1"/>
    <n v="150000"/>
    <m/>
    <s v="Luken Inv 0595"/>
    <x v="11"/>
  </r>
  <r>
    <x v="9"/>
    <s v="Handover Document Complete"/>
    <m/>
    <n v="0.05"/>
    <n v="75000"/>
    <m/>
    <s v="Luken Inv 0598"/>
    <x v="11"/>
  </r>
  <r>
    <x v="9"/>
    <s v="End of Defects Period"/>
    <m/>
    <n v="0.05"/>
    <n v="75000"/>
    <m/>
    <s v="Luken Inv 0599"/>
    <x v="11"/>
  </r>
  <r>
    <x v="0"/>
    <m/>
    <m/>
    <m/>
    <m/>
    <m/>
    <m/>
    <x v="1"/>
  </r>
  <r>
    <x v="10"/>
    <s v="Security Budget"/>
    <m/>
    <m/>
    <m/>
    <m/>
    <m/>
    <x v="0"/>
  </r>
  <r>
    <x v="10"/>
    <s v="Security Panel Delivery"/>
    <m/>
    <m/>
    <n v="22200"/>
    <s v="PO3293-CAS-20240814 - RV Approved"/>
    <s v="BEST Inv: 0000020"/>
    <x v="2"/>
  </r>
  <r>
    <x v="10"/>
    <s v="Security additional days"/>
    <m/>
    <m/>
    <n v="2194.1999999999998"/>
    <m/>
    <s v="BEST Inv:O0000020"/>
    <x v="4"/>
  </r>
  <r>
    <x v="10"/>
    <m/>
    <m/>
    <m/>
    <m/>
    <m/>
    <m/>
    <x v="1"/>
  </r>
  <r>
    <x v="10"/>
    <m/>
    <m/>
    <m/>
    <m/>
    <m/>
    <m/>
    <x v="1"/>
  </r>
  <r>
    <x v="0"/>
    <m/>
    <m/>
    <m/>
    <m/>
    <m/>
    <m/>
    <x v="1"/>
  </r>
  <r>
    <x v="11"/>
    <s v="Electrical PrEng sign off - Matthews Group"/>
    <m/>
    <m/>
    <n v="26800"/>
    <s v="PO3269-CAS-20240731 - RV Approved"/>
    <s v="MG Engineering Inv0002"/>
    <x v="11"/>
  </r>
  <r>
    <x v="11"/>
    <s v="2x Site visits from L&amp;B and 1x from Candi"/>
    <m/>
    <m/>
    <n v="0"/>
    <m/>
    <m/>
    <x v="0"/>
  </r>
  <r>
    <x v="11"/>
    <s v="Structural Assessment"/>
    <m/>
    <m/>
    <n v="5500"/>
    <m/>
    <s v="L&amp;B Invoice: 0996"/>
    <x v="17"/>
  </r>
  <r>
    <x v="11"/>
    <m/>
    <m/>
    <m/>
    <n v="11600"/>
    <m/>
    <s v="L&amp;B Invoice:1646"/>
    <x v="17"/>
  </r>
  <r>
    <x v="11"/>
    <s v="SSEG Extras"/>
    <m/>
    <m/>
    <n v="0"/>
    <m/>
    <m/>
    <x v="0"/>
  </r>
  <r>
    <x v="11"/>
    <s v="Grid Study - Outside of CoCT"/>
    <m/>
    <m/>
    <n v="63200"/>
    <s v="PO3926-CAS-20250516 - RV Approved"/>
    <s v="Okhusa Electrical: EE016"/>
    <x v="7"/>
  </r>
  <r>
    <x v="11"/>
    <s v="Lightning Risk Assessment"/>
    <m/>
    <m/>
    <n v="9500"/>
    <s v="PO3213-CAS-20240703"/>
    <s v="LPS Invoice: IN305966"/>
    <x v="12"/>
  </r>
  <r>
    <x v="11"/>
    <s v="SSEG Inspection"/>
    <m/>
    <m/>
    <n v="0"/>
    <s v="PO3907-CAS-20250514 - RV Approved"/>
    <m/>
    <x v="6"/>
  </r>
  <r>
    <x v="0"/>
    <m/>
    <m/>
    <m/>
    <m/>
    <m/>
    <m/>
    <x v="1"/>
  </r>
  <r>
    <x v="12"/>
    <s v="BDP Commission"/>
    <m/>
    <m/>
    <n v="132363.65"/>
    <m/>
    <s v="Mont Blanc Inv: 273"/>
    <x v="2"/>
  </r>
  <r>
    <x v="12"/>
    <m/>
    <m/>
    <m/>
    <n v="132363.65"/>
    <m/>
    <s v="Mont Blanc Inv: 273"/>
    <x v="2"/>
  </r>
  <r>
    <x v="0"/>
    <m/>
    <m/>
    <m/>
    <m/>
    <m/>
    <m/>
    <x v="1"/>
  </r>
  <r>
    <x v="13"/>
    <s v="Matriarch Defects Period"/>
    <m/>
    <n v="103873.00994565217"/>
    <n v="120625"/>
    <m/>
    <s v="MATRIARCH - INV-3414"/>
    <x v="11"/>
  </r>
  <r>
    <x v="13"/>
    <s v="Management"/>
    <m/>
    <n v="120000"/>
    <n v="0"/>
    <m/>
    <m/>
    <x v="11"/>
  </r>
  <r>
    <x v="13"/>
    <s v="Project manager "/>
    <m/>
    <n v="408000"/>
    <n v="0"/>
    <m/>
    <m/>
    <x v="11"/>
  </r>
  <r>
    <x v="13"/>
    <s v="Planner time"/>
    <m/>
    <n v="156000"/>
    <n v="0"/>
    <m/>
    <m/>
    <x v="11"/>
  </r>
  <r>
    <x v="13"/>
    <s v="De Snagging"/>
    <m/>
    <n v="116252.79999999997"/>
    <n v="0"/>
    <m/>
    <m/>
    <x v="11"/>
  </r>
  <r>
    <x v="13"/>
    <m/>
    <m/>
    <m/>
    <m/>
    <m/>
    <m/>
    <x v="1"/>
  </r>
  <r>
    <x v="13"/>
    <m/>
    <m/>
    <m/>
    <m/>
    <m/>
    <m/>
    <x v="1"/>
  </r>
  <r>
    <x v="0"/>
    <m/>
    <m/>
    <m/>
    <m/>
    <m/>
    <m/>
    <x v="1"/>
  </r>
  <r>
    <x v="14"/>
    <s v="Car travel to site"/>
    <m/>
    <m/>
    <n v="11927.09"/>
    <m/>
    <s v="Expense Claim"/>
    <x v="17"/>
  </r>
  <r>
    <x v="14"/>
    <s v="Car travel to site"/>
    <m/>
    <m/>
    <n v="1370.52"/>
    <m/>
    <s v="Expense Claim"/>
    <x v="12"/>
  </r>
  <r>
    <x v="14"/>
    <s v="Car travel to site"/>
    <m/>
    <m/>
    <n v="20912.77"/>
    <m/>
    <s v="Expense Claim"/>
    <x v="2"/>
  </r>
  <r>
    <x v="14"/>
    <s v="Car travel to site"/>
    <m/>
    <m/>
    <n v="11749.01"/>
    <m/>
    <s v="Expense Claim"/>
    <x v="3"/>
  </r>
  <r>
    <x v="14"/>
    <s v="Car travel to site"/>
    <m/>
    <m/>
    <n v="10391.33"/>
    <m/>
    <s v="Expense Claim"/>
    <x v="4"/>
  </r>
  <r>
    <x v="14"/>
    <s v="Car travel to site"/>
    <m/>
    <m/>
    <n v="7950.72"/>
    <m/>
    <s v="Expense Claim"/>
    <x v="11"/>
  </r>
  <r>
    <x v="14"/>
    <s v="Car travel to site"/>
    <m/>
    <m/>
    <n v="1766.96"/>
    <m/>
    <s v="Expense Claim"/>
    <x v="14"/>
  </r>
  <r>
    <x v="14"/>
    <s v="Car travel to site"/>
    <m/>
    <m/>
    <n v="10295.200000000001"/>
    <m/>
    <s v="Expense Claim"/>
    <x v="13"/>
  </r>
  <r>
    <x v="14"/>
    <s v="Car travel to site"/>
    <m/>
    <m/>
    <n v="0"/>
    <m/>
    <s v="Expense Claim"/>
    <x v="10"/>
  </r>
  <r>
    <x v="14"/>
    <s v="Car travel to site"/>
    <m/>
    <m/>
    <n v="0"/>
    <m/>
    <s v="Expense Claim"/>
    <x v="15"/>
  </r>
  <r>
    <x v="14"/>
    <s v="Car travel to site"/>
    <m/>
    <m/>
    <n v="9154.01"/>
    <m/>
    <s v="Expense Claim"/>
    <x v="5"/>
  </r>
  <r>
    <x v="14"/>
    <s v="Car travel to site"/>
    <m/>
    <m/>
    <n v="0"/>
    <m/>
    <s v="Expense Claim"/>
    <x v="16"/>
  </r>
  <r>
    <x v="0"/>
    <m/>
    <m/>
    <m/>
    <m/>
    <m/>
    <m/>
    <x v="1"/>
  </r>
  <r>
    <x v="15"/>
    <s v="APEX Call Out Fee"/>
    <m/>
    <m/>
    <n v="7200"/>
    <m/>
    <s v="THULA MOYA - IN04542"/>
    <x v="7"/>
  </r>
  <r>
    <x v="15"/>
    <m/>
    <m/>
    <m/>
    <m/>
    <m/>
    <m/>
    <x v="1"/>
  </r>
  <r>
    <x v="15"/>
    <m/>
    <m/>
    <m/>
    <m/>
    <m/>
    <m/>
    <x v="1"/>
  </r>
  <r>
    <x v="15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m/>
    <x v="0"/>
    <m/>
    <m/>
    <m/>
    <m/>
    <m/>
    <m/>
    <x v="0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2"/>
    <x v="2"/>
    <s v="Huawei 100KTL - Aarden Solar"/>
    <n v="11"/>
    <n v="68880"/>
    <n v="757680"/>
    <s v="PO3260-CAS-20240725 - RV Approved"/>
    <s v="Arden Inv: NV-05927"/>
    <x v="2"/>
    <x v="1"/>
    <n v="0"/>
    <d v="2024-10-04T00:00:00"/>
    <n v="757680"/>
  </r>
  <r>
    <n v="2"/>
    <x v="2"/>
    <s v="Price include deilvery"/>
    <m/>
    <m/>
    <m/>
    <m/>
    <m/>
    <x v="1"/>
    <x v="0"/>
    <m/>
    <m/>
    <m/>
  </r>
  <r>
    <n v="2"/>
    <x v="2"/>
    <m/>
    <m/>
    <m/>
    <m/>
    <m/>
    <m/>
    <x v="1"/>
    <x v="0"/>
    <m/>
    <m/>
    <m/>
  </r>
  <r>
    <n v="2"/>
    <x v="2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3"/>
    <x v="3"/>
    <s v="KlipLok/Novatexi Roof - Lumax"/>
    <n v="1"/>
    <n v="364557.56"/>
    <n v="364557.56"/>
    <m/>
    <s v="Lumax Inv: INV00045783"/>
    <x v="2"/>
    <x v="2"/>
    <n v="1.8008999759331346E-3"/>
    <d v="2024-09-27T00:00:00"/>
    <n v="619184.87"/>
  </r>
  <r>
    <n v="3"/>
    <x v="3"/>
    <s v="LUMAX additional Clamps "/>
    <m/>
    <m/>
    <n v="14477.25"/>
    <s v="PO3346-CAS-2024090 - RV Approved"/>
    <s v="Lumax Inv: INV0046571"/>
    <x v="3"/>
    <x v="3"/>
    <m/>
    <d v="2024-10-30T00:00:00"/>
    <m/>
  </r>
  <r>
    <n v="3"/>
    <x v="3"/>
    <s v="DC Cable Tray Clamps"/>
    <m/>
    <m/>
    <n v="11908"/>
    <s v="PO3379-CAS-20241002 - RV Approved"/>
    <s v="Lumax Inv: INV0047410"/>
    <x v="4"/>
    <x v="4"/>
    <m/>
    <d v="2024-11-29T00:00:00"/>
    <m/>
  </r>
  <r>
    <n v="3"/>
    <x v="3"/>
    <s v="Test Clamps"/>
    <m/>
    <m/>
    <n v="2352.38"/>
    <s v="PO3797-CAS-20250410 - RV Approved"/>
    <s v="Lumax - Inv 1001/70001421"/>
    <x v="5"/>
    <x v="5"/>
    <m/>
    <d v="2025-05-29T00:00:00"/>
    <m/>
  </r>
  <r>
    <n v="3"/>
    <x v="3"/>
    <m/>
    <m/>
    <m/>
    <m/>
    <m/>
    <m/>
    <x v="0"/>
    <x v="0"/>
    <m/>
    <m/>
    <m/>
  </r>
  <r>
    <n v="3"/>
    <x v="3"/>
    <m/>
    <m/>
    <m/>
    <n v="6831.28"/>
    <s v="PO4021-CAS-20250623 - RV Approved"/>
    <s v="Lumax - INV 1001/70002518"/>
    <x v="6"/>
    <x v="0"/>
    <m/>
    <d v="2025-07-29T00:00:00"/>
    <m/>
  </r>
  <r>
    <n v="3"/>
    <x v="3"/>
    <m/>
    <m/>
    <m/>
    <m/>
    <m/>
    <m/>
    <x v="0"/>
    <x v="0"/>
    <m/>
    <m/>
    <m/>
  </r>
  <r>
    <n v="3"/>
    <x v="3"/>
    <s v="Mid Clamps"/>
    <m/>
    <m/>
    <n v="1823"/>
    <s v="PO4015-CAS-20250620 - RV Approved"/>
    <s v="Lumax - Inv 1001/70002494"/>
    <x v="6"/>
    <x v="0"/>
    <m/>
    <d v="2025-07-29T00:00:00"/>
    <m/>
  </r>
  <r>
    <n v="3"/>
    <x v="3"/>
    <s v="Lumax Replacement Clamps"/>
    <m/>
    <m/>
    <n v="197641.60000000001"/>
    <s v="PO3961-CAS-20250527 - RV Approved"/>
    <s v="Lumax INV1001/70002085"/>
    <x v="7"/>
    <x v="0"/>
    <m/>
    <d v="2025-06-27T00:00:00"/>
    <m/>
  </r>
  <r>
    <n v="3"/>
    <x v="3"/>
    <s v="Delivery"/>
    <m/>
    <m/>
    <n v="2950"/>
    <m/>
    <s v="Lumax INV1001/70002084"/>
    <x v="7"/>
    <x v="0"/>
    <m/>
    <d v="2025-06-27T00:00:00"/>
    <m/>
  </r>
  <r>
    <n v="3"/>
    <x v="3"/>
    <s v="Return of MS to Lumax"/>
    <m/>
    <m/>
    <n v="10295.19"/>
    <m/>
    <s v="DSV Inv: 180138260"/>
    <x v="8"/>
    <x v="0"/>
    <m/>
    <d v="2025-08-29T00:00:00"/>
    <m/>
  </r>
  <r>
    <n v="3"/>
    <x v="3"/>
    <s v="MS Scrapped"/>
    <m/>
    <m/>
    <n v="-3017.39"/>
    <m/>
    <s v="Scrapped MS"/>
    <x v="9"/>
    <x v="0"/>
    <m/>
    <d v="2025-11-24T00:00:00"/>
    <m/>
  </r>
  <r>
    <n v="3"/>
    <x v="3"/>
    <s v="Waterpoints Clamps"/>
    <m/>
    <m/>
    <n v="9366"/>
    <s v="PO3652-CAS-20250212 - RV Approved"/>
    <s v="Schletter - INV1422"/>
    <x v="10"/>
    <x v="5"/>
    <m/>
    <d v="2025-03-28T00:00:00"/>
    <m/>
  </r>
  <r>
    <m/>
    <x v="0"/>
    <m/>
    <m/>
    <m/>
    <m/>
    <m/>
    <m/>
    <x v="1"/>
    <x v="0"/>
    <m/>
    <m/>
    <m/>
  </r>
  <r>
    <n v="4"/>
    <x v="4"/>
    <s v="DC Cable - Menlo"/>
    <n v="44000"/>
    <n v="13.52"/>
    <n v="594880"/>
    <s v="PO3313-CAS-20240822 - RV Approved"/>
    <s v="Menlo Inv: 0001925"/>
    <x v="2"/>
    <x v="6"/>
    <n v="4.3202403467148542E-3"/>
    <d v="2024-11-04T00:00:00"/>
    <n v="810195"/>
  </r>
  <r>
    <n v="4"/>
    <x v="4"/>
    <s v="DC Cable - Menlo"/>
    <n v="1000"/>
    <n v="13.52"/>
    <n v="13520"/>
    <m/>
    <s v="Menlo Inv: 0001926"/>
    <x v="2"/>
    <x v="7"/>
    <m/>
    <d v="2024-11-04T00:00:00"/>
    <m/>
  </r>
  <r>
    <n v="4"/>
    <x v="4"/>
    <s v="Delivery"/>
    <m/>
    <m/>
    <n v="450"/>
    <m/>
    <s v="Menlo Inv: 0002198"/>
    <x v="11"/>
    <x v="5"/>
    <m/>
    <d v="2025-01-06T00:00:00"/>
    <m/>
  </r>
  <r>
    <n v="4"/>
    <x v="4"/>
    <s v="DC Cable allocated from Stock"/>
    <n v="1500"/>
    <n v="13.09"/>
    <n v="19635"/>
    <m/>
    <s v="Allocated from Stock"/>
    <x v="2"/>
    <x v="5"/>
    <m/>
    <d v="2024-08-31T00:00:00"/>
    <m/>
  </r>
  <r>
    <n v="4"/>
    <x v="4"/>
    <s v="DC Cable allocated from Stock"/>
    <n v="1500"/>
    <n v="13.14"/>
    <n v="19710"/>
    <m/>
    <s v="Allocated from Stock"/>
    <x v="2"/>
    <x v="5"/>
    <m/>
    <d v="2024-08-31T00:00:00"/>
    <m/>
  </r>
  <r>
    <n v="4"/>
    <x v="4"/>
    <s v="Project Kick Off"/>
    <n v="162000"/>
    <n v="0.1"/>
    <n v="16200"/>
    <s v="PO3211-CAS-20240703"/>
    <s v="Luken Inv0556"/>
    <x v="12"/>
    <x v="8"/>
    <m/>
    <d v="2024-07-25T00:00:00"/>
    <m/>
  </r>
  <r>
    <n v="4"/>
    <x v="4"/>
    <s v="Site Establishment"/>
    <m/>
    <n v="0.15"/>
    <n v="24300"/>
    <m/>
    <s v="Luken Inv0559"/>
    <x v="12"/>
    <x v="9"/>
    <m/>
    <d v="2024-08-08T00:00:00"/>
    <m/>
  </r>
  <r>
    <n v="4"/>
    <x v="4"/>
    <s v="AC Installation Complete"/>
    <m/>
    <n v="0.2"/>
    <n v="32400"/>
    <m/>
    <s v="Luken Inv0593"/>
    <x v="11"/>
    <x v="10"/>
    <m/>
    <d v="2024-11-14T00:00:00"/>
    <m/>
  </r>
  <r>
    <n v="4"/>
    <x v="4"/>
    <s v="DC Installation Complete"/>
    <m/>
    <n v="0.25"/>
    <n v="40500"/>
    <m/>
    <s v="Luken Inv 0576"/>
    <x v="4"/>
    <x v="11"/>
    <m/>
    <d v="2024-10-10T00:00:00"/>
    <m/>
  </r>
  <r>
    <n v="4"/>
    <x v="4"/>
    <s v="Commissioning Complete"/>
    <m/>
    <n v="0.1"/>
    <n v="16200"/>
    <m/>
    <s v="Luken Inv 0594"/>
    <x v="11"/>
    <x v="12"/>
    <m/>
    <d v="2024-11-21T00:00:00"/>
    <m/>
  </r>
  <r>
    <n v="4"/>
    <x v="4"/>
    <s v="Site De-establisment"/>
    <m/>
    <n v="0.1"/>
    <n v="16200"/>
    <m/>
    <s v="Luken Inv 0595"/>
    <x v="11"/>
    <x v="12"/>
    <m/>
    <d v="2024-11-21T00:00:00"/>
    <m/>
  </r>
  <r>
    <n v="4"/>
    <x v="4"/>
    <s v="Handover Document Complete"/>
    <m/>
    <n v="0.05"/>
    <n v="8100"/>
    <m/>
    <s v="Luken Inv 0598"/>
    <x v="11"/>
    <x v="13"/>
    <m/>
    <d v="2024-12-05T00:00:00"/>
    <m/>
  </r>
  <r>
    <n v="4"/>
    <x v="4"/>
    <s v="End of Defects Period"/>
    <m/>
    <n v="0.05"/>
    <n v="8100"/>
    <m/>
    <s v="Luken Inv 0599"/>
    <x v="11"/>
    <x v="13"/>
    <m/>
    <d v="2025-08-21T00:00:00"/>
    <m/>
  </r>
  <r>
    <m/>
    <x v="0"/>
    <m/>
    <m/>
    <m/>
    <m/>
    <m/>
    <m/>
    <x v="1"/>
    <x v="0"/>
    <m/>
    <m/>
    <m/>
  </r>
  <r>
    <n v="5"/>
    <x v="5"/>
    <m/>
    <m/>
    <m/>
    <m/>
    <m/>
    <m/>
    <x v="1"/>
    <x v="5"/>
    <n v="-1.7633556199143641E-3"/>
    <m/>
    <n v="28480"/>
  </r>
  <r>
    <n v="5"/>
    <x v="5"/>
    <s v="CTs"/>
    <m/>
    <m/>
    <n v="24770"/>
    <s v="PO3317-CAS-20240826 - RV Approved"/>
    <s v="AccuEnergy - IN ASAI-003703"/>
    <x v="2"/>
    <x v="14"/>
    <m/>
    <d v="2024-09-27T00:00:00"/>
    <m/>
  </r>
  <r>
    <n v="5"/>
    <x v="5"/>
    <s v="Replacement CTs"/>
    <m/>
    <m/>
    <n v="3710"/>
    <s v="PO3556-CAS-20250122 - RV Approved"/>
    <s v="Acccuenergy - ASAI-004594"/>
    <x v="13"/>
    <x v="5"/>
    <m/>
    <d v="2025-02-27T00:00:00"/>
    <m/>
  </r>
  <r>
    <n v="5"/>
    <x v="5"/>
    <m/>
    <m/>
    <m/>
    <m/>
    <m/>
    <m/>
    <x v="0"/>
    <x v="5"/>
    <m/>
    <m/>
    <m/>
  </r>
  <r>
    <n v="5"/>
    <x v="5"/>
    <s v="Candi Monitoring Box Wiring "/>
    <m/>
    <m/>
    <m/>
    <m/>
    <m/>
    <x v="0"/>
    <x v="5"/>
    <m/>
    <m/>
    <m/>
  </r>
  <r>
    <n v="5"/>
    <x v="5"/>
    <s v="Tester - EE Stock"/>
    <m/>
    <m/>
    <n v="0"/>
    <m/>
    <s v="Removed"/>
    <x v="4"/>
    <x v="15"/>
    <m/>
    <d v="2024-11-30T00:00:00"/>
    <m/>
  </r>
  <r>
    <m/>
    <x v="0"/>
    <m/>
    <m/>
    <m/>
    <m/>
    <m/>
    <m/>
    <x v="1"/>
    <x v="0"/>
    <m/>
    <m/>
    <m/>
  </r>
  <r>
    <n v="6"/>
    <x v="6"/>
    <m/>
    <m/>
    <m/>
    <m/>
    <m/>
    <m/>
    <x v="1"/>
    <x v="5"/>
    <n v="-5.4849591106176376E-4"/>
    <m/>
    <n v="1177114.1499999999"/>
  </r>
  <r>
    <n v="6"/>
    <x v="6"/>
    <s v="AC Board Tie In 1 - SOLAR PVDB 1"/>
    <m/>
    <n v="185475.16"/>
    <n v="185475.16"/>
    <m/>
    <s v="Switchboard - INV 2-SOI001204"/>
    <x v="2"/>
    <x v="16"/>
    <m/>
    <d v="2024-10-24T00:00:00"/>
    <m/>
  </r>
  <r>
    <n v="6"/>
    <x v="6"/>
    <s v="AC Board Tie In 2 - SOLAR PVDB 2"/>
    <m/>
    <n v="200263.12"/>
    <n v="200263.12"/>
    <m/>
    <s v="Switchboard - INV 2-SOI001204"/>
    <x v="2"/>
    <x v="17"/>
    <m/>
    <d v="2024-10-24T00:00:00"/>
    <m/>
  </r>
  <r>
    <n v="6"/>
    <x v="6"/>
    <m/>
    <m/>
    <m/>
    <m/>
    <m/>
    <m/>
    <x v="1"/>
    <x v="5"/>
    <m/>
    <m/>
    <m/>
  </r>
  <r>
    <n v="6"/>
    <x v="6"/>
    <s v="AC Cable - Corrected Tie in"/>
    <m/>
    <m/>
    <n v="53375.87"/>
    <s v="PO3613-CAS-20250203 - RV Approved"/>
    <s v="Luken Inv0618"/>
    <x v="10"/>
    <x v="18"/>
    <m/>
    <d v="2025-02-07T00:00:00"/>
    <m/>
  </r>
  <r>
    <n v="6"/>
    <x v="6"/>
    <m/>
    <m/>
    <m/>
    <m/>
    <m/>
    <m/>
    <x v="1"/>
    <x v="5"/>
    <m/>
    <m/>
    <m/>
  </r>
  <r>
    <n v="6"/>
    <x v="6"/>
    <s v="Project Kick Off"/>
    <n v="738000"/>
    <n v="0.1"/>
    <n v="73800"/>
    <s v="PO3211-CAS-20240703"/>
    <s v="Luken Inv0556"/>
    <x v="12"/>
    <x v="19"/>
    <m/>
    <d v="2024-07-25T00:00:00"/>
    <m/>
  </r>
  <r>
    <n v="6"/>
    <x v="6"/>
    <s v="Site Establishment"/>
    <m/>
    <n v="0.15"/>
    <n v="110700"/>
    <m/>
    <s v="Luken Inv0559"/>
    <x v="12"/>
    <x v="20"/>
    <m/>
    <d v="2024-08-08T00:00:00"/>
    <m/>
  </r>
  <r>
    <n v="6"/>
    <x v="6"/>
    <s v="AC Installation Complete"/>
    <m/>
    <n v="0.2"/>
    <n v="147600"/>
    <m/>
    <s v="Luken Inv0593"/>
    <x v="11"/>
    <x v="21"/>
    <m/>
    <d v="2024-11-14T00:00:00"/>
    <m/>
  </r>
  <r>
    <n v="6"/>
    <x v="6"/>
    <s v="DC Installation Complete"/>
    <m/>
    <n v="0.25"/>
    <n v="184500"/>
    <m/>
    <s v="Luken Inv 0576"/>
    <x v="4"/>
    <x v="22"/>
    <m/>
    <d v="2024-10-10T00:00:00"/>
    <m/>
  </r>
  <r>
    <n v="6"/>
    <x v="6"/>
    <s v="Commissioning Complete"/>
    <m/>
    <n v="0.1"/>
    <n v="73800"/>
    <m/>
    <s v="Luken Inv 0594"/>
    <x v="11"/>
    <x v="19"/>
    <m/>
    <d v="2024-11-21T00:00:00"/>
    <m/>
  </r>
  <r>
    <n v="6"/>
    <x v="6"/>
    <s v="Site De-establisment"/>
    <m/>
    <n v="0.1"/>
    <n v="73800"/>
    <m/>
    <s v="Luken Inv 0595"/>
    <x v="11"/>
    <x v="19"/>
    <m/>
    <d v="2024-11-21T00:00:00"/>
    <m/>
  </r>
  <r>
    <n v="6"/>
    <x v="6"/>
    <s v="Handover Document Complete"/>
    <m/>
    <n v="0.05"/>
    <n v="36900"/>
    <m/>
    <s v="Luken Inv 0598"/>
    <x v="11"/>
    <x v="23"/>
    <m/>
    <d v="2024-12-05T00:00:00"/>
    <m/>
  </r>
  <r>
    <n v="6"/>
    <x v="6"/>
    <s v="End of Defects Period"/>
    <m/>
    <n v="0.05"/>
    <n v="36900"/>
    <m/>
    <s v="Luken Inv 0599"/>
    <x v="11"/>
    <x v="23"/>
    <m/>
    <d v="2025-08-21T00:00:00"/>
    <m/>
  </r>
  <r>
    <m/>
    <x v="0"/>
    <m/>
    <m/>
    <m/>
    <m/>
    <m/>
    <m/>
    <x v="1"/>
    <x v="0"/>
    <m/>
    <m/>
    <m/>
  </r>
  <r>
    <n v="7"/>
    <x v="7"/>
    <m/>
    <m/>
    <m/>
    <m/>
    <m/>
    <m/>
    <x v="1"/>
    <x v="0"/>
    <n v="0"/>
    <m/>
    <n v="0"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8"/>
    <x v="8"/>
    <m/>
    <m/>
    <m/>
    <m/>
    <m/>
    <m/>
    <x v="0"/>
    <x v="5"/>
    <n v="-2.7259443304501474E-3"/>
    <m/>
    <n v="1488603.6600000001"/>
  </r>
  <r>
    <n v="8"/>
    <x v="8"/>
    <s v="Platform Supports"/>
    <m/>
    <m/>
    <n v="61627.5"/>
    <s v="PO3467-CAS-20241119 - RV Approved"/>
    <s v="Anthony's Steel Inv INA28450"/>
    <x v="11"/>
    <x v="24"/>
    <m/>
    <d v="2024-11-28T00:00:00"/>
    <m/>
  </r>
  <r>
    <n v="8"/>
    <x v="8"/>
    <s v="Steel Work For Both Tie Ins"/>
    <n v="0.5"/>
    <n v="260060.56"/>
    <n v="130030.28"/>
    <s v="PO3210-CAS-20240703"/>
    <s v="Anthony's Steel:  Inv INA28238"/>
    <x v="12"/>
    <x v="25"/>
    <m/>
    <d v="2024-07-31T00:00:00"/>
    <m/>
  </r>
  <r>
    <n v="8"/>
    <x v="8"/>
    <s v="Balance Payable"/>
    <n v="0.5"/>
    <m/>
    <n v="130030.28"/>
    <m/>
    <s v="aNThony's Steel:  Inv INA28243"/>
    <x v="12"/>
    <x v="25"/>
    <m/>
    <d v="2024-11-28T00:00:00"/>
    <m/>
  </r>
  <r>
    <n v="8"/>
    <x v="8"/>
    <s v="Platform Tie In 2"/>
    <n v="0.5"/>
    <n v="291115"/>
    <n v="145557.5"/>
    <s v="PO3512-CAS-20241205 - RV Approved"/>
    <s v="Anthony's Steel: INV INA28494"/>
    <x v="14"/>
    <x v="26"/>
    <m/>
    <d v="2024-12-12T00:00:00"/>
    <m/>
  </r>
  <r>
    <n v="8"/>
    <x v="8"/>
    <s v="Platform Tie In 2"/>
    <n v="0.5"/>
    <m/>
    <n v="145557.5"/>
    <m/>
    <s v="Anthony's Steel INVINA28646"/>
    <x v="15"/>
    <x v="5"/>
    <m/>
    <d v="2025-04-03T00:00:00"/>
    <m/>
  </r>
  <r>
    <n v="8"/>
    <x v="8"/>
    <s v="Anchor Points - Active Rope ATS - Deposit"/>
    <n v="0.5"/>
    <n v="38068"/>
    <n v="19034"/>
    <s v="PO3262-CAS-20240726 - RV Approved"/>
    <s v="ATS Africa Inv: INV-0318"/>
    <x v="12"/>
    <x v="27"/>
    <m/>
    <d v="2025-02-27T00:00:00"/>
    <m/>
  </r>
  <r>
    <n v="8"/>
    <x v="8"/>
    <s v="Anchor Points - Active Rope ATS - Balance"/>
    <n v="0.5"/>
    <m/>
    <n v="19034"/>
    <m/>
    <s v="ATS Africa Inv: INV-0318"/>
    <x v="12"/>
    <x v="27"/>
    <m/>
    <d v="2025-02-27T00:00:00"/>
    <m/>
  </r>
  <r>
    <n v="8"/>
    <x v="8"/>
    <s v="VO - Anchor Point"/>
    <m/>
    <m/>
    <m/>
    <m/>
    <m/>
    <x v="6"/>
    <x v="28"/>
    <m/>
    <m/>
    <m/>
  </r>
  <r>
    <n v="8"/>
    <x v="8"/>
    <s v="Temp Lifelines"/>
    <m/>
    <m/>
    <n v="38800"/>
    <m/>
    <s v="ATS Africa Inv: INV-0337"/>
    <x v="11"/>
    <x v="5"/>
    <m/>
    <d v="2024-11-14T00:00:00"/>
    <m/>
  </r>
  <r>
    <n v="8"/>
    <x v="8"/>
    <s v="Panel Clean"/>
    <m/>
    <m/>
    <n v="27281"/>
    <s v="PO704-CAS-20241107 - RV Approved"/>
    <s v="Camperdown Solar Inv INA11114"/>
    <x v="11"/>
    <x v="29"/>
    <m/>
    <d v="2024-12-05T00:00:00"/>
    <m/>
  </r>
  <r>
    <n v="8"/>
    <x v="8"/>
    <s v="Luken Solar AC Cable VO"/>
    <m/>
    <m/>
    <n v="266859.84000000003"/>
    <s v="PO3443-CAS-20241031 - RV Approved"/>
    <s v="Luken Inv0591"/>
    <x v="4"/>
    <x v="30"/>
    <m/>
    <d v="2024-11-14T00:00:00"/>
    <m/>
  </r>
  <r>
    <n v="8"/>
    <x v="8"/>
    <s v="Luken Solar Tie In Breakers"/>
    <m/>
    <m/>
    <n v="68259.149999999994"/>
    <s v="PO3455-CAS-20241106 - RV Approved"/>
    <s v="Luken Inv0592"/>
    <x v="11"/>
    <x v="31"/>
    <m/>
    <d v="2024-11-14T00:00:00"/>
    <m/>
  </r>
  <r>
    <n v="8"/>
    <x v="8"/>
    <m/>
    <m/>
    <m/>
    <m/>
    <m/>
    <m/>
    <x v="0"/>
    <x v="0"/>
    <m/>
    <m/>
    <m/>
  </r>
  <r>
    <n v="8"/>
    <x v="8"/>
    <s v=" "/>
    <n v="434782.61"/>
    <n v="0.3"/>
    <n v="130434.783"/>
    <s v="PO3962-CAS-20250527 - RV Approved"/>
    <s v="Luken Inv-0648"/>
    <x v="7"/>
    <x v="32"/>
    <m/>
    <d v="2025-05-29T00:00:00"/>
    <m/>
  </r>
  <r>
    <n v="8"/>
    <x v="8"/>
    <s v="Luken Corrective Installation - On Completion"/>
    <m/>
    <n v="0.6"/>
    <n v="260869.56599999999"/>
    <m/>
    <s v="Luken Inv-0651"/>
    <x v="6"/>
    <x v="33"/>
    <m/>
    <d v="2025-07-03T00:00:00"/>
    <m/>
  </r>
  <r>
    <n v="8"/>
    <x v="8"/>
    <s v="Luken Corrective Installation - Retention"/>
    <m/>
    <n v="0.1"/>
    <n v="43478.260999999999"/>
    <m/>
    <s v="Luken Inv-0652"/>
    <x v="6"/>
    <x v="5"/>
    <m/>
    <d v="2025-12-31T00:00:00"/>
    <m/>
  </r>
  <r>
    <n v="8"/>
    <x v="8"/>
    <m/>
    <m/>
    <m/>
    <m/>
    <m/>
    <m/>
    <x v="0"/>
    <x v="0"/>
    <m/>
    <m/>
    <m/>
  </r>
  <r>
    <n v="8"/>
    <x v="8"/>
    <s v="Repair Damaged Downpipe"/>
    <m/>
    <m/>
    <n v="1750"/>
    <s v="PO4206-CAS-20250807 - RV Approved"/>
    <s v="Anthony's Wedlding - INA28967"/>
    <x v="16"/>
    <x v="0"/>
    <m/>
    <d v="2025-12-31T00:00:00"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9"/>
    <x v="9"/>
    <s v="Project Kick Off"/>
    <n v="1500000"/>
    <n v="0.1"/>
    <n v="150000"/>
    <s v="PO3211-CAS-20240703"/>
    <s v="Luken Inv0556"/>
    <x v="12"/>
    <x v="34"/>
    <n v="0"/>
    <d v="2024-07-25T00:00:00"/>
    <n v="1500000"/>
  </r>
  <r>
    <n v="9"/>
    <x v="9"/>
    <s v="Site Establishment"/>
    <m/>
    <n v="0.15"/>
    <n v="225000"/>
    <m/>
    <s v="Luken Inv 0559"/>
    <x v="12"/>
    <x v="35"/>
    <m/>
    <d v="2024-08-08T00:00:00"/>
    <m/>
  </r>
  <r>
    <n v="9"/>
    <x v="9"/>
    <s v="AC Installation Complete"/>
    <m/>
    <n v="0.2"/>
    <n v="300000"/>
    <m/>
    <s v="Luken Inv0593"/>
    <x v="11"/>
    <x v="36"/>
    <m/>
    <d v="2024-11-14T00:00:00"/>
    <m/>
  </r>
  <r>
    <n v="9"/>
    <x v="9"/>
    <s v="DC Installation Complete"/>
    <m/>
    <n v="0.25"/>
    <n v="375000"/>
    <m/>
    <s v="Luken Inv 0576"/>
    <x v="4"/>
    <x v="37"/>
    <m/>
    <d v="2024-10-10T00:00:00"/>
    <m/>
  </r>
  <r>
    <n v="9"/>
    <x v="9"/>
    <s v="Commissioning Complete"/>
    <m/>
    <n v="0.1"/>
    <n v="150000"/>
    <m/>
    <s v="Luken Inv 0594"/>
    <x v="11"/>
    <x v="34"/>
    <m/>
    <d v="2024-11-21T00:00:00"/>
    <m/>
  </r>
  <r>
    <n v="9"/>
    <x v="9"/>
    <s v="Site De-establisment"/>
    <m/>
    <n v="0.1"/>
    <n v="150000"/>
    <m/>
    <s v="Luken Inv 0595"/>
    <x v="11"/>
    <x v="34"/>
    <m/>
    <d v="2024-11-21T00:00:00"/>
    <m/>
  </r>
  <r>
    <n v="9"/>
    <x v="9"/>
    <s v="Handover Document Complete"/>
    <m/>
    <n v="0.05"/>
    <n v="75000"/>
    <m/>
    <s v="Luken Inv 0598"/>
    <x v="11"/>
    <x v="38"/>
    <m/>
    <d v="2024-12-05T00:00:00"/>
    <m/>
  </r>
  <r>
    <n v="9"/>
    <x v="9"/>
    <s v="End of Defects Period"/>
    <m/>
    <n v="0.05"/>
    <n v="75000"/>
    <m/>
    <s v="Luken Inv 0599"/>
    <x v="11"/>
    <x v="38"/>
    <m/>
    <d v="2025-08-21T00:00:00"/>
    <m/>
  </r>
  <r>
    <m/>
    <x v="0"/>
    <m/>
    <m/>
    <m/>
    <m/>
    <m/>
    <m/>
    <x v="1"/>
    <x v="0"/>
    <m/>
    <m/>
    <m/>
  </r>
  <r>
    <n v="10"/>
    <x v="10"/>
    <s v="Security Budget"/>
    <m/>
    <m/>
    <m/>
    <m/>
    <m/>
    <x v="0"/>
    <x v="5"/>
    <n v="-5.2344263531267643E-4"/>
    <m/>
    <n v="24394.2"/>
  </r>
  <r>
    <n v="10"/>
    <x v="10"/>
    <s v="Security Panel Delivery"/>
    <m/>
    <m/>
    <n v="22200"/>
    <s v="PO3293-CAS-20240814 - RV Approved"/>
    <s v="BEST Inv: 0000020"/>
    <x v="2"/>
    <x v="39"/>
    <m/>
    <d v="2024-09-19T00:00:00"/>
    <m/>
  </r>
  <r>
    <n v="10"/>
    <x v="10"/>
    <s v="Security additional days"/>
    <m/>
    <m/>
    <n v="2194.1999999999998"/>
    <m/>
    <s v="BEST Inv:O0000020"/>
    <x v="4"/>
    <x v="40"/>
    <m/>
    <d v="2024-10-10T00:00:00"/>
    <m/>
  </r>
  <r>
    <n v="10"/>
    <x v="10"/>
    <m/>
    <m/>
    <m/>
    <m/>
    <m/>
    <m/>
    <x v="1"/>
    <x v="5"/>
    <m/>
    <m/>
    <m/>
  </r>
  <r>
    <n v="10"/>
    <x v="10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11"/>
    <x v="11"/>
    <s v="Electrical PrEng sign off - Matthews Group"/>
    <m/>
    <m/>
    <n v="26800"/>
    <s v="PO3269-CAS-20240731 - RV Approved"/>
    <s v="MG Engineering Inv0002"/>
    <x v="11"/>
    <x v="41"/>
    <n v="-3.260268596932292E-3"/>
    <d v="2025-04-24T00:00:00"/>
    <n v="116600"/>
  </r>
  <r>
    <n v="11"/>
    <x v="11"/>
    <s v="2x Site visits from L&amp;B and 1x from Candi"/>
    <m/>
    <m/>
    <n v="0"/>
    <m/>
    <m/>
    <x v="0"/>
    <x v="5"/>
    <m/>
    <m/>
    <m/>
  </r>
  <r>
    <n v="11"/>
    <x v="11"/>
    <s v="Structural Assessment"/>
    <m/>
    <m/>
    <n v="5500"/>
    <m/>
    <s v="L&amp;B Invoice: 0996"/>
    <x v="17"/>
    <x v="42"/>
    <m/>
    <d v="2022-10-20T00:00:00"/>
    <m/>
  </r>
  <r>
    <n v="11"/>
    <x v="11"/>
    <m/>
    <m/>
    <m/>
    <n v="11600"/>
    <m/>
    <s v="L&amp;B Invoice:1646"/>
    <x v="17"/>
    <x v="43"/>
    <m/>
    <d v="2024-05-23T00:00:00"/>
    <m/>
  </r>
  <r>
    <n v="11"/>
    <x v="11"/>
    <s v="SSEG Extras"/>
    <m/>
    <m/>
    <n v="0"/>
    <m/>
    <m/>
    <x v="0"/>
    <x v="0"/>
    <m/>
    <m/>
    <m/>
  </r>
  <r>
    <n v="11"/>
    <x v="11"/>
    <s v="Grid Study - Outside of CoCT"/>
    <m/>
    <m/>
    <n v="63200"/>
    <s v="PO3926-CAS-20250516 - RV Approved"/>
    <s v="Okhusa Electrical: EE016"/>
    <x v="7"/>
    <x v="44"/>
    <m/>
    <d v="2026-01-07T00:00:00"/>
    <m/>
  </r>
  <r>
    <n v="11"/>
    <x v="11"/>
    <s v="Lightning Risk Assessment"/>
    <m/>
    <m/>
    <n v="9500"/>
    <s v="PO3213-CAS-20240703"/>
    <s v="LPS Invoice: IN305966"/>
    <x v="12"/>
    <x v="45"/>
    <m/>
    <d v="2024-08-08T00:00:00"/>
    <m/>
  </r>
  <r>
    <n v="11"/>
    <x v="11"/>
    <s v="SSEG Inspection"/>
    <m/>
    <m/>
    <n v="0"/>
    <s v="PO3907-CAS-20250514 - RV Approved"/>
    <m/>
    <x v="6"/>
    <x v="46"/>
    <m/>
    <d v="2025-06-05T00:00:00"/>
    <m/>
  </r>
  <r>
    <m/>
    <x v="0"/>
    <m/>
    <m/>
    <m/>
    <m/>
    <m/>
    <m/>
    <x v="1"/>
    <x v="0"/>
    <m/>
    <m/>
    <m/>
  </r>
  <r>
    <n v="12"/>
    <x v="12"/>
    <s v="BDP Commission"/>
    <m/>
    <m/>
    <n v="132363.65"/>
    <m/>
    <s v="Mont Blanc Inv: 273"/>
    <x v="2"/>
    <x v="0"/>
    <m/>
    <d v="2024-08-08T00:00:00"/>
    <n v="264727.3"/>
  </r>
  <r>
    <n v="12"/>
    <x v="12"/>
    <m/>
    <m/>
    <m/>
    <n v="132363.65"/>
    <m/>
    <s v="Mont Blanc Inv: 273"/>
    <x v="2"/>
    <x v="0"/>
    <m/>
    <d v="2024-11-22T00:00:00"/>
    <m/>
  </r>
  <r>
    <m/>
    <x v="0"/>
    <m/>
    <m/>
    <m/>
    <m/>
    <m/>
    <m/>
    <x v="1"/>
    <x v="0"/>
    <m/>
    <m/>
    <m/>
  </r>
  <r>
    <n v="13"/>
    <x v="13"/>
    <s v="Matriarch Defects Period"/>
    <m/>
    <n v="103873.00994565217"/>
    <n v="120625"/>
    <m/>
    <s v="MATRIARCH - INV-3414"/>
    <x v="11"/>
    <x v="0"/>
    <n v="0"/>
    <d v="2024-11-30T00:00:00"/>
    <n v="120625"/>
  </r>
  <r>
    <n v="13"/>
    <x v="13"/>
    <s v="Management"/>
    <m/>
    <n v="120000"/>
    <n v="0"/>
    <m/>
    <m/>
    <x v="11"/>
    <x v="0"/>
    <m/>
    <d v="2025-08-31T00:00:00"/>
    <m/>
  </r>
  <r>
    <n v="13"/>
    <x v="13"/>
    <s v="Project manager "/>
    <m/>
    <n v="408000"/>
    <n v="0"/>
    <m/>
    <m/>
    <x v="11"/>
    <x v="0"/>
    <m/>
    <d v="2025-08-31T00:00:00"/>
    <m/>
  </r>
  <r>
    <n v="13"/>
    <x v="13"/>
    <s v="Planner time"/>
    <m/>
    <n v="156000"/>
    <n v="0"/>
    <m/>
    <m/>
    <x v="11"/>
    <x v="0"/>
    <m/>
    <d v="2025-08-31T00:00:00"/>
    <m/>
  </r>
  <r>
    <n v="13"/>
    <x v="13"/>
    <s v="De Snagging"/>
    <m/>
    <n v="116252.79999999997"/>
    <n v="0"/>
    <m/>
    <m/>
    <x v="11"/>
    <x v="0"/>
    <m/>
    <d v="2025-08-31T00:00:00"/>
    <m/>
  </r>
  <r>
    <n v="13"/>
    <x v="13"/>
    <m/>
    <m/>
    <m/>
    <m/>
    <m/>
    <m/>
    <x v="1"/>
    <x v="0"/>
    <m/>
    <m/>
    <m/>
  </r>
  <r>
    <n v="13"/>
    <x v="13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14"/>
    <x v="14"/>
    <s v="Car travel to site"/>
    <m/>
    <m/>
    <n v="11927.09"/>
    <m/>
    <s v="Expense Claim"/>
    <x v="17"/>
    <x v="47"/>
    <n v="-7.0199227775447071E-4"/>
    <d v="2024-07-05T00:00:00"/>
    <n v="85517.61"/>
  </r>
  <r>
    <n v="14"/>
    <x v="14"/>
    <s v="Car travel to site"/>
    <m/>
    <m/>
    <n v="1370.52"/>
    <m/>
    <s v="Expense Claim"/>
    <x v="12"/>
    <x v="48"/>
    <m/>
    <d v="2024-08-06T00:00:00"/>
    <m/>
  </r>
  <r>
    <n v="14"/>
    <x v="14"/>
    <s v="Car travel to site"/>
    <m/>
    <m/>
    <n v="20912.77"/>
    <m/>
    <s v="Expense Claim"/>
    <x v="2"/>
    <x v="49"/>
    <m/>
    <d v="2024-09-05T00:00:00"/>
    <m/>
  </r>
  <r>
    <n v="14"/>
    <x v="14"/>
    <s v="Car travel to site"/>
    <m/>
    <m/>
    <n v="11749.01"/>
    <m/>
    <s v="Expense Claim"/>
    <x v="3"/>
    <x v="50"/>
    <m/>
    <d v="2024-10-04T00:00:00"/>
    <m/>
  </r>
  <r>
    <n v="14"/>
    <x v="14"/>
    <s v="Car travel to site"/>
    <m/>
    <m/>
    <n v="10391.33"/>
    <m/>
    <s v="Expense Claim"/>
    <x v="4"/>
    <x v="51"/>
    <m/>
    <d v="2024-11-08T00:00:00"/>
    <m/>
  </r>
  <r>
    <n v="14"/>
    <x v="14"/>
    <s v="Car travel to site"/>
    <m/>
    <m/>
    <n v="7950.72"/>
    <m/>
    <s v="Expense Claim"/>
    <x v="11"/>
    <x v="52"/>
    <m/>
    <d v="2024-12-06T00:00:00"/>
    <m/>
  </r>
  <r>
    <n v="14"/>
    <x v="14"/>
    <s v="Car travel to site"/>
    <m/>
    <m/>
    <n v="1766.96"/>
    <m/>
    <s v="Expense Claim"/>
    <x v="14"/>
    <x v="53"/>
    <m/>
    <d v="2025-01-09T00:00:00"/>
    <m/>
  </r>
  <r>
    <n v="14"/>
    <x v="14"/>
    <s v="Car travel to site"/>
    <m/>
    <m/>
    <n v="10295.200000000001"/>
    <m/>
    <s v="Expense Claim"/>
    <x v="13"/>
    <x v="54"/>
    <m/>
    <d v="2025-02-07T00:00:00"/>
    <m/>
  </r>
  <r>
    <n v="14"/>
    <x v="14"/>
    <s v="Car travel to site"/>
    <m/>
    <m/>
    <n v="0"/>
    <m/>
    <s v="Expense Claim"/>
    <x v="10"/>
    <x v="5"/>
    <m/>
    <d v="2025-03-07T00:00:00"/>
    <m/>
  </r>
  <r>
    <n v="14"/>
    <x v="14"/>
    <s v="Car travel to site"/>
    <m/>
    <m/>
    <n v="0"/>
    <m/>
    <s v="Expense Claim"/>
    <x v="15"/>
    <x v="5"/>
    <m/>
    <d v="2025-04-07T00:00:00"/>
    <m/>
  </r>
  <r>
    <n v="14"/>
    <x v="14"/>
    <s v="Car travel to site"/>
    <m/>
    <m/>
    <n v="9154.01"/>
    <m/>
    <s v="Expense Claim"/>
    <x v="5"/>
    <x v="55"/>
    <m/>
    <d v="2025-05-08T00:00:00"/>
    <m/>
  </r>
  <r>
    <n v="14"/>
    <x v="14"/>
    <s v="Car travel to site"/>
    <m/>
    <m/>
    <n v="0"/>
    <m/>
    <s v="Expense Claim"/>
    <x v="16"/>
    <x v="5"/>
    <m/>
    <d v="2025-09-07T00:00:00"/>
    <m/>
  </r>
  <r>
    <m/>
    <x v="0"/>
    <m/>
    <m/>
    <m/>
    <m/>
    <m/>
    <m/>
    <x v="1"/>
    <x v="0"/>
    <m/>
    <m/>
    <m/>
  </r>
  <r>
    <n v="15"/>
    <x v="15"/>
    <s v="APEX Call Out Fee"/>
    <m/>
    <m/>
    <n v="7200"/>
    <m/>
    <s v="THULA MOYA - IN04542"/>
    <x v="7"/>
    <x v="0"/>
    <n v="0"/>
    <d v="2025-06-26T00:00:00"/>
    <n v="0"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8">
        <item m="1" x="39"/>
        <item m="1" x="45"/>
        <item m="1" x="40"/>
        <item m="1" x="43"/>
        <item m="1" x="41"/>
        <item x="0"/>
        <item m="1" x="46"/>
        <item m="1" x="42"/>
        <item m="1" x="44"/>
        <item m="1" x="37"/>
        <item m="1" x="38"/>
        <item m="1" x="36"/>
        <item m="1" x="35"/>
        <item m="1" x="34"/>
        <item m="1" x="33"/>
        <item x="17"/>
        <item m="1" x="19"/>
        <item x="1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2"/>
        <item x="3"/>
        <item m="1" x="18"/>
        <item x="4"/>
        <item x="11"/>
        <item x="14"/>
        <item x="13"/>
        <item x="10"/>
        <item x="1"/>
        <item x="15"/>
        <item x="5"/>
        <item x="7"/>
        <item x="6"/>
        <item x="8"/>
        <item x="16"/>
        <item x="9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9">
    <i>
      <x v="5"/>
    </i>
    <i>
      <x v="15"/>
    </i>
    <i>
      <x v="17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colItems>
  <dataFields count="1">
    <dataField name="Sum of Actual Total " fld="4" baseField="0" baseItem="0" numFmtId="167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8">
        <item x="1"/>
        <item m="1" x="36"/>
        <item m="1" x="35"/>
        <item m="1" x="34"/>
        <item x="0"/>
        <item x="17"/>
        <item x="12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8"/>
        <item m="1" x="30"/>
        <item m="1" x="31"/>
        <item m="1" x="32"/>
        <item m="1" x="33"/>
        <item x="4"/>
        <item x="11"/>
        <item x="14"/>
        <item x="13"/>
        <item x="10"/>
        <item m="1" x="19"/>
        <item x="15"/>
        <item x="5"/>
        <item x="7"/>
        <item x="6"/>
        <item x="8"/>
        <item x="16"/>
        <item x="9"/>
        <item t="default"/>
      </items>
    </pivotField>
    <pivotField axis="axisPage" dataField="1" multipleItemSelectionAllowed="1" showAll="0">
      <items count="513">
        <item x="5"/>
        <item m="1" x="486"/>
        <item m="1" x="491"/>
        <item m="1" x="511"/>
        <item m="1" x="496"/>
        <item m="1" x="500"/>
        <item m="1" x="498"/>
        <item m="1" x="493"/>
        <item m="1" x="488"/>
        <item m="1" x="497"/>
        <item m="1" x="506"/>
        <item m="1" x="495"/>
        <item m="1" x="508"/>
        <item m="1" x="505"/>
        <item m="1" x="499"/>
        <item m="1" x="509"/>
        <item m="1" x="484"/>
        <item m="1" x="503"/>
        <item m="1" x="494"/>
        <item m="1" x="510"/>
        <item m="1" x="504"/>
        <item m="1" x="490"/>
        <item m="1" x="489"/>
        <item m="1" x="502"/>
        <item m="1" x="487"/>
        <item m="1" x="507"/>
        <item m="1" x="485"/>
        <item m="1" x="501"/>
        <item m="1" x="492"/>
        <item m="1" x="483"/>
        <item x="0"/>
        <item m="1" x="412"/>
        <item m="1" x="413"/>
        <item m="1" x="446"/>
        <item m="1" x="453"/>
        <item m="1" x="454"/>
        <item m="1" x="455"/>
        <item m="1" x="456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31"/>
        <item m="1" x="432"/>
        <item m="1" x="433"/>
        <item m="1" x="476"/>
        <item m="1" x="477"/>
        <item m="1" x="478"/>
        <item m="1" x="479"/>
        <item m="1" x="437"/>
        <item m="1" x="438"/>
        <item m="1" x="480"/>
        <item m="1" x="481"/>
        <item m="1" x="482"/>
        <item m="1" x="441"/>
        <item m="1" x="462"/>
        <item m="1" x="463"/>
        <item m="1" x="464"/>
        <item m="1" x="457"/>
        <item m="1" x="458"/>
        <item m="1" x="459"/>
        <item m="1" x="460"/>
        <item m="1" x="461"/>
        <item m="1" x="424"/>
        <item m="1" x="425"/>
        <item m="1" x="426"/>
        <item m="1" x="427"/>
        <item m="1" x="449"/>
        <item m="1" x="450"/>
        <item m="1" x="451"/>
        <item m="1" x="434"/>
        <item m="1" x="435"/>
        <item m="1" x="436"/>
        <item m="1" x="447"/>
        <item m="1" x="442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43"/>
        <item m="1" x="448"/>
        <item m="1" x="428"/>
        <item m="1" x="429"/>
        <item m="1" x="430"/>
        <item m="1" x="414"/>
        <item m="1" x="415"/>
        <item m="1" x="439"/>
        <item m="1" x="440"/>
        <item m="1" x="444"/>
        <item m="1" x="44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72"/>
        <item m="1" x="400"/>
        <item m="1" x="401"/>
        <item m="1" x="402"/>
        <item m="1" x="375"/>
        <item m="1" x="376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88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3"/>
        <item m="1" x="374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252"/>
        <item m="1" x="253"/>
        <item m="1" x="254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68"/>
        <item m="1" x="269"/>
        <item m="1" x="292"/>
        <item m="1" x="293"/>
        <item m="1" x="294"/>
        <item m="1" x="295"/>
        <item m="1" x="296"/>
        <item m="1" x="297"/>
        <item m="1" x="298"/>
        <item m="1" x="277"/>
        <item m="1" x="280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70"/>
        <item m="1" x="271"/>
        <item m="1" x="272"/>
        <item m="1" x="273"/>
        <item m="1" x="274"/>
        <item m="1" x="275"/>
        <item m="1" x="276"/>
        <item m="1" x="278"/>
        <item m="1" x="255"/>
        <item m="1" x="256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"/>
        <item m="1" x="129"/>
        <item m="1" x="228"/>
        <item m="1" x="229"/>
        <item m="1" x="230"/>
        <item m="1" x="231"/>
        <item m="1" x="232"/>
        <item x="34"/>
        <item x="35"/>
        <item x="36"/>
        <item x="37"/>
        <item x="38"/>
        <item m="1" x="233"/>
        <item m="1" x="234"/>
        <item m="1" x="235"/>
        <item m="1" x="22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53"/>
        <item m="1" x="154"/>
        <item m="1" x="141"/>
        <item x="8"/>
        <item x="9"/>
        <item m="1" x="142"/>
        <item m="1" x="143"/>
        <item m="1" x="144"/>
        <item m="1" x="146"/>
        <item m="1" x="155"/>
        <item m="1" x="156"/>
        <item m="1" x="157"/>
        <item m="1" x="158"/>
        <item x="16"/>
        <item x="17"/>
        <item x="19"/>
        <item x="20"/>
        <item m="1" x="65"/>
        <item x="22"/>
        <item x="23"/>
        <item m="1" x="190"/>
        <item m="1" x="191"/>
        <item m="1" x="192"/>
        <item m="1" x="193"/>
        <item m="1" x="194"/>
        <item m="1" x="195"/>
        <item m="1" x="189"/>
        <item m="1" x="165"/>
        <item m="1" x="196"/>
        <item m="1" x="198"/>
        <item m="1" x="199"/>
        <item m="1" x="200"/>
        <item m="1" x="201"/>
        <item m="1" x="202"/>
        <item m="1" x="203"/>
        <item m="1" x="197"/>
        <item x="42"/>
        <item x="43"/>
        <item x="47"/>
        <item m="1" x="187"/>
        <item m="1" x="188"/>
        <item m="1" x="181"/>
        <item m="1" x="182"/>
        <item m="1" x="183"/>
        <item m="1" x="184"/>
        <item m="1" x="185"/>
        <item m="1" x="186"/>
        <item m="1" x="166"/>
        <item m="1" x="167"/>
        <item m="1" x="168"/>
        <item m="1" x="169"/>
        <item x="45"/>
        <item m="1" x="173"/>
        <item m="1" x="163"/>
        <item m="1" x="164"/>
        <item x="48"/>
        <item m="1" x="171"/>
        <item m="1" x="174"/>
        <item m="1" x="175"/>
        <item m="1" x="176"/>
        <item m="1" x="177"/>
        <item m="1" x="178"/>
        <item m="1" x="179"/>
        <item m="1" x="180"/>
        <item m="1" x="159"/>
        <item x="25"/>
        <item m="1" x="160"/>
        <item x="27"/>
        <item m="1" x="161"/>
        <item m="1" x="162"/>
        <item m="1" x="170"/>
        <item m="1" x="172"/>
        <item m="1" x="145"/>
        <item m="1" x="147"/>
        <item m="1" x="148"/>
        <item m="1" x="149"/>
        <item m="1" x="150"/>
        <item m="1" x="151"/>
        <item m="1" x="152"/>
        <item m="1" x="125"/>
        <item x="39"/>
        <item m="1" x="135"/>
        <item m="1" x="136"/>
        <item m="1" x="137"/>
        <item m="1" x="138"/>
        <item m="1" x="139"/>
        <item m="1" x="127"/>
        <item m="1" x="140"/>
        <item m="1" x="130"/>
        <item x="7"/>
        <item m="1" x="121"/>
        <item m="1" x="122"/>
        <item m="1" x="123"/>
        <item m="1" x="124"/>
        <item x="14"/>
        <item m="1" x="97"/>
        <item m="1" x="98"/>
        <item m="1" x="131"/>
        <item m="1" x="132"/>
        <item m="1" x="133"/>
        <item m="1" x="134"/>
        <item x="2"/>
        <item m="1" x="120"/>
        <item x="6"/>
        <item m="1" x="99"/>
        <item m="1" x="100"/>
        <item m="1" x="101"/>
        <item m="1" x="104"/>
        <item m="1" x="105"/>
        <item m="1" x="106"/>
        <item m="1" x="107"/>
        <item m="1" x="108"/>
        <item m="1" x="128"/>
        <item m="1" x="126"/>
        <item m="1" x="118"/>
        <item m="1" x="119"/>
        <item x="49"/>
        <item m="1" x="111"/>
        <item m="1" x="72"/>
        <item m="1" x="112"/>
        <item m="1" x="73"/>
        <item m="1" x="74"/>
        <item m="1" x="113"/>
        <item m="1" x="103"/>
        <item m="1" x="115"/>
        <item m="1" x="116"/>
        <item m="1" x="117"/>
        <item m="1" x="114"/>
        <item m="1" x="109"/>
        <item m="1" x="110"/>
        <item x="3"/>
        <item x="4"/>
        <item x="11"/>
        <item m="1" x="102"/>
        <item x="50"/>
        <item m="1" x="89"/>
        <item m="1" x="80"/>
        <item m="1" x="81"/>
        <item m="1" x="82"/>
        <item m="1" x="90"/>
        <item m="1" x="83"/>
        <item m="1" x="91"/>
        <item m="1" x="84"/>
        <item m="1" x="85"/>
        <item m="1" x="86"/>
        <item m="1" x="87"/>
        <item m="1" x="96"/>
        <item m="1" x="93"/>
        <item m="1" x="94"/>
        <item m="1" x="95"/>
        <item m="1" x="92"/>
        <item m="1" x="88"/>
        <item x="15"/>
        <item x="30"/>
        <item x="40"/>
        <item x="51"/>
        <item m="1" x="75"/>
        <item m="1" x="76"/>
        <item m="1" x="77"/>
        <item m="1" x="78"/>
        <item m="1" x="79"/>
        <item x="41"/>
        <item m="1" x="59"/>
        <item m="1" x="67"/>
        <item x="52"/>
        <item m="1" x="71"/>
        <item m="1" x="58"/>
        <item x="24"/>
        <item x="26"/>
        <item m="1" x="70"/>
        <item x="31"/>
        <item m="1" x="69"/>
        <item x="12"/>
        <item x="13"/>
        <item x="10"/>
        <item x="29"/>
        <item m="1" x="68"/>
        <item x="53"/>
        <item m="1" x="66"/>
        <item m="1" x="60"/>
        <item m="1" x="64"/>
        <item x="21"/>
        <item x="54"/>
        <item m="1" x="63"/>
        <item m="1" x="62"/>
        <item x="18"/>
        <item m="1" x="61"/>
        <item x="55"/>
        <item m="1" x="56"/>
        <item m="1" x="57"/>
        <item x="44"/>
        <item x="32"/>
        <item x="33"/>
        <item x="46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9">
    <i>
      <x/>
    </i>
    <i>
      <x v="4"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7" dT="2024-08-26T11:15:29.11" personId="{62292DF8-8016-40C8-B4CE-5218D982A53E}" id="{C4C8D70B-2ACB-4469-9B93-8DD24B08CC01}" done="1">
    <text>@Lloyd Brown have you ordered CTs yet?</text>
    <mentions>
      <mention mentionpersonId="{5548255E-9A4B-4272-95C8-EFF886E2FB11}" mentionId="{9FE78FD5-3A54-4B20-91C8-A60DCDDD692C}" startIndex="0" length="12"/>
    </mentions>
  </threadedComment>
  <threadedComment ref="Q47" dT="2024-08-26T11:50:04.34" personId="{992D4F17-BABD-4B2E-B8A0-BBEAA280C44E}" id="{3AB29EF7-61DA-4383-B354-51DF250894A3}" parentId="{C4C8D70B-2ACB-4469-9B93-8DD24B08CC01}">
    <text>i am in process of sending po for approval</text>
  </threadedComment>
  <threadedComment ref="W93" dT="2026-01-12T08:37:07.99" personId="{38114ABC-C72E-4039-B3D9-31DCFA75FD00}" id="{0440F05B-C8DB-48F1-B2C3-7A25FD457299}" done="1">
    <text>@Roedolph Venter  please update the payment date</text>
    <mentions>
      <mention mentionpersonId="{955FBF22-D5F0-41A7-BA59-AA50C8E755B3}" mentionId="{DDDF69A1-1D4D-4C6C-841C-6D1E87F26E11}" startIndex="0" length="16"/>
    </mentions>
  </threadedComment>
  <threadedComment ref="W95" dT="2026-02-02T08:17:08.44" personId="{62292DF8-8016-40C8-B4CE-5218D982A53E}" id="{EEEAD333-865C-44B9-8980-74A55D31A43F}">
    <text>@Lloyd Brown, please advise if we can pay this, currently it is forecasted to be paid on Thursday.  Please load on ClickUp</text>
    <mentions>
      <mention mentionpersonId="{5548255E-9A4B-4272-95C8-EFF886E2FB11}" mentionId="{6A24DB33-4771-4BC6-8078-7CAFE9D009AD}" startIndex="0" length="12"/>
    </mentions>
  </threadedComment>
  <threadedComment ref="W116" dT="2025-04-15T11:56:32.47" personId="{38114ABC-C72E-4039-B3D9-31DCFA75FD00}" id="{35830EB2-DB75-4C4D-A3E8-A7BE84E4FCEC}" done="1">
    <text>@Mizelda Isaacs please update the payment date</text>
    <mentions>
      <mention mentionpersonId="{0E6C4544-D5DB-43C3-8BD9-2DF779650EDB}" mentionId="{6C38A095-A9FC-4D4E-BF27-C7C762C1FD0A}" startIndex="0" length="15"/>
    </mentions>
  </threadedComment>
  <threadedComment ref="Q120" dT="2025-01-09T12:42:18.26" personId="{38114ABC-C72E-4039-B3D9-31DCFA75FD00}" id="{FFC19150-D493-4272-A448-5C6502CD6256}">
    <text>@Roedolph Venter are we able to firm up this amount or remove if we not going to incur it</text>
    <mentions>
      <mention mentionpersonId="{955FBF22-D5F0-41A7-BA59-AA50C8E755B3}" mentionId="{27D9E57A-88AE-4C2C-99BF-25D43F635844}" startIndex="0" length="16"/>
    </mentions>
  </threadedComment>
  <threadedComment ref="Q120" dT="2025-01-10T06:04:58.12" personId="{DF67E6E4-9650-439E-BD39-9A27DC516C4E}" id="{73E2F5DB-BEBB-4234-BC31-03A21C17BB98}" parentId="{FFC19150-D493-4272-A448-5C6502CD6256}">
    <text>Will do, moving it to Feb for now. Because council is going to take some time.</text>
  </threadedComment>
  <threadedComment ref="Q120" dT="2025-06-28T13:33:40.48" personId="{DF67E6E4-9650-439E-BD39-9A27DC516C4E}" id="{C0AD5074-C33A-47E5-9F77-4DEE4F5AB9CA}" parentId="{FFC19150-D493-4272-A448-5C6502CD6256}">
    <text xml:space="preserve">Removed it
</text>
  </threadedComment>
  <threadedComment ref="W149" dT="2025-06-09T14:05:01.42" personId="{38114ABC-C72E-4039-B3D9-31DCFA75FD00}" id="{011596BB-1409-4A31-8162-B7CBDDF2A10C}" done="1">
    <text>@Mizelda Isaacs please update the payment date</text>
    <mentions>
      <mention mentionpersonId="{0E6C4544-D5DB-43C3-8BD9-2DF779650EDB}" mentionId="{250546CA-DAE6-4502-841E-2DB281834DA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8" t="s">
        <v>57</v>
      </c>
      <c r="E47" s="878"/>
      <c r="F47" s="879"/>
      <c r="G47" s="67"/>
      <c r="I47" s="68"/>
      <c r="J47" s="68"/>
    </row>
    <row r="48" spans="1:49" ht="14.45" thickBot="1">
      <c r="C48" s="69">
        <v>44014</v>
      </c>
      <c r="D48" s="880"/>
      <c r="E48" s="880"/>
      <c r="F48" s="88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A28-6131-4629-91EB-29775799389C}">
  <sheetPr codeName="Sheet8"/>
  <dimension ref="B1:J28"/>
  <sheetViews>
    <sheetView showGridLines="0" zoomScaleNormal="100" workbookViewId="0">
      <selection activeCell="B35" sqref="B35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82" t="s">
        <v>58</v>
      </c>
      <c r="C2" s="883"/>
      <c r="D2" s="883"/>
      <c r="E2" s="883"/>
      <c r="F2" s="88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82" t="s">
        <v>69</v>
      </c>
      <c r="C16" s="883"/>
      <c r="D16" s="883"/>
      <c r="E16" s="883"/>
      <c r="F16" s="88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325"/>
  <sheetViews>
    <sheetView topLeftCell="A98" zoomScale="85" zoomScaleNormal="85" workbookViewId="0">
      <selection activeCell="E13" sqref="E13"/>
    </sheetView>
  </sheetViews>
  <sheetFormatPr defaultColWidth="8.42578125" defaultRowHeight="13.9"/>
  <cols>
    <col min="1" max="1" width="1.42578125" style="114" customWidth="1"/>
    <col min="2" max="2" width="6.42578125" style="190" bestFit="1" customWidth="1"/>
    <col min="3" max="3" width="74.42578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0.570312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2.5703125" style="114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7">
        <f ca="1">TODAY()</f>
        <v>46055</v>
      </c>
      <c r="O1" s="607">
        <f ca="1">TODAY()</f>
        <v>46055</v>
      </c>
      <c r="Q1" s="3"/>
    </row>
    <row r="2" spans="2:28">
      <c r="B2" s="225"/>
      <c r="C2" s="226" t="s">
        <v>0</v>
      </c>
      <c r="D2" s="227"/>
      <c r="E2" s="890" t="s">
        <v>73</v>
      </c>
      <c r="F2" s="891"/>
      <c r="G2" s="891"/>
      <c r="H2" s="892"/>
      <c r="N2" s="608">
        <v>0</v>
      </c>
      <c r="O2" s="608">
        <v>1</v>
      </c>
    </row>
    <row r="3" spans="2:28" s="114" customFormat="1">
      <c r="B3" s="228"/>
      <c r="C3" s="229" t="s">
        <v>74</v>
      </c>
      <c r="D3" s="227"/>
      <c r="E3" s="649">
        <v>1510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93" t="s">
        <v>76</v>
      </c>
      <c r="F4" s="894"/>
      <c r="G4" s="894"/>
      <c r="H4" s="895"/>
      <c r="J4" s="115"/>
      <c r="Q4" s="3"/>
    </row>
    <row r="5" spans="2:28" s="114" customFormat="1">
      <c r="B5" s="228"/>
      <c r="C5" s="229" t="s">
        <v>77</v>
      </c>
      <c r="D5" s="227"/>
      <c r="E5" s="893" t="s">
        <v>78</v>
      </c>
      <c r="F5" s="894"/>
      <c r="G5" s="894"/>
      <c r="H5" s="895"/>
      <c r="J5" s="115"/>
      <c r="Q5" s="3"/>
    </row>
    <row r="6" spans="2:28">
      <c r="B6" s="233"/>
      <c r="C6" s="234" t="s">
        <v>79</v>
      </c>
      <c r="D6" s="227"/>
      <c r="E6" s="896">
        <v>9650000</v>
      </c>
      <c r="F6" s="897"/>
      <c r="G6" s="897"/>
      <c r="H6" s="898"/>
    </row>
    <row r="7" spans="2:28" s="114" customFormat="1">
      <c r="B7" s="186"/>
      <c r="C7" s="617" t="s">
        <v>80</v>
      </c>
      <c r="D7" s="178"/>
      <c r="E7" s="617" t="s">
        <v>81</v>
      </c>
      <c r="F7" s="187"/>
      <c r="G7" s="235"/>
      <c r="J7" s="115"/>
      <c r="Q7" s="3"/>
    </row>
    <row r="8" spans="2:28" ht="30" customHeight="1">
      <c r="B8" s="885" t="s">
        <v>82</v>
      </c>
      <c r="C8" s="886" t="s">
        <v>83</v>
      </c>
      <c r="D8" s="264"/>
      <c r="E8" s="888" t="s">
        <v>84</v>
      </c>
      <c r="F8" s="286" t="s">
        <v>85</v>
      </c>
      <c r="G8" s="888" t="s">
        <v>86</v>
      </c>
      <c r="H8" s="287"/>
      <c r="I8" s="888" t="s">
        <v>87</v>
      </c>
      <c r="J8" s="286" t="s">
        <v>85</v>
      </c>
      <c r="K8" s="888" t="s">
        <v>88</v>
      </c>
      <c r="M8" s="648" t="s">
        <v>60</v>
      </c>
      <c r="O8" s="899" t="s">
        <v>89</v>
      </c>
      <c r="Z8" s="114"/>
      <c r="AA8" s="114"/>
      <c r="AB8" s="114"/>
    </row>
    <row r="9" spans="2:28">
      <c r="B9" s="886"/>
      <c r="C9" s="887"/>
      <c r="D9" s="264"/>
      <c r="E9" s="889"/>
      <c r="F9" s="128">
        <f>G145-E114</f>
        <v>97</v>
      </c>
      <c r="G9" s="889"/>
      <c r="H9" s="287"/>
      <c r="I9" s="889"/>
      <c r="J9" s="129">
        <f>K145-I114</f>
        <v>108</v>
      </c>
      <c r="K9" s="889"/>
      <c r="M9" s="485">
        <f>AVERAGE(M11,M24,M40,M78,M86,M99)</f>
        <v>0.89583333333333337</v>
      </c>
      <c r="N9" s="529"/>
      <c r="O9" s="900"/>
      <c r="Z9" s="114"/>
      <c r="AA9" s="114"/>
      <c r="AB9" s="114"/>
    </row>
    <row r="10" spans="2:28">
      <c r="B10" s="186"/>
      <c r="C10" s="114"/>
      <c r="E10" s="114"/>
      <c r="G10" s="115"/>
    </row>
    <row r="11" spans="2:28">
      <c r="B11" s="758">
        <v>1</v>
      </c>
      <c r="C11" s="759" t="s">
        <v>90</v>
      </c>
      <c r="E11" s="114"/>
      <c r="G11" s="115"/>
      <c r="I11" s="766">
        <f>MIN(I12:I22)</f>
        <v>45422</v>
      </c>
      <c r="J11" s="767">
        <f>K11-I11</f>
        <v>113</v>
      </c>
      <c r="K11" s="766">
        <f>MAX(K12:K22)</f>
        <v>45535</v>
      </c>
      <c r="L11" s="116"/>
      <c r="M11" s="768">
        <f>AVERAGE(M12:M22)</f>
        <v>1</v>
      </c>
      <c r="N11" s="530"/>
      <c r="O11" s="121"/>
    </row>
    <row r="12" spans="2:28">
      <c r="B12" s="760" t="s">
        <v>91</v>
      </c>
      <c r="C12" s="761" t="s">
        <v>92</v>
      </c>
      <c r="E12" s="114"/>
      <c r="G12" s="115"/>
      <c r="I12" s="769">
        <v>45454</v>
      </c>
      <c r="J12" s="770">
        <f>K12-I12</f>
        <v>36</v>
      </c>
      <c r="K12" s="769">
        <v>45490</v>
      </c>
      <c r="M12" s="771">
        <v>1</v>
      </c>
      <c r="N12" s="532"/>
      <c r="O12" s="124"/>
    </row>
    <row r="13" spans="2:28">
      <c r="B13" s="760" t="s">
        <v>93</v>
      </c>
      <c r="C13" s="761" t="s">
        <v>94</v>
      </c>
      <c r="E13" s="114"/>
      <c r="G13" s="115"/>
      <c r="I13" s="769">
        <v>45478</v>
      </c>
      <c r="J13" s="770">
        <f t="shared" ref="J13:J22" si="0">K13-I13</f>
        <v>57</v>
      </c>
      <c r="K13" s="769">
        <v>45535</v>
      </c>
      <c r="M13" s="771">
        <v>1</v>
      </c>
      <c r="N13" s="532"/>
      <c r="O13" s="124" t="s">
        <v>95</v>
      </c>
    </row>
    <row r="14" spans="2:28">
      <c r="B14" s="760" t="s">
        <v>96</v>
      </c>
      <c r="C14" s="761" t="s">
        <v>97</v>
      </c>
      <c r="E14" s="114"/>
      <c r="G14" s="115"/>
      <c r="I14" s="769">
        <v>45463</v>
      </c>
      <c r="J14" s="770">
        <f t="shared" si="0"/>
        <v>20</v>
      </c>
      <c r="K14" s="769">
        <v>45483</v>
      </c>
      <c r="M14" s="771">
        <v>1</v>
      </c>
      <c r="N14" s="532"/>
      <c r="O14" s="124"/>
    </row>
    <row r="15" spans="2:28">
      <c r="B15" s="760" t="s">
        <v>98</v>
      </c>
      <c r="C15" s="761" t="s">
        <v>99</v>
      </c>
      <c r="E15" s="114"/>
      <c r="G15" s="115"/>
      <c r="I15" s="769">
        <v>45490</v>
      </c>
      <c r="J15" s="770">
        <f t="shared" si="0"/>
        <v>0</v>
      </c>
      <c r="K15" s="769">
        <v>45490</v>
      </c>
      <c r="M15" s="771">
        <v>1</v>
      </c>
      <c r="N15" s="532"/>
      <c r="O15" s="124"/>
    </row>
    <row r="16" spans="2:28">
      <c r="B16" s="760" t="s">
        <v>100</v>
      </c>
      <c r="C16" s="761" t="s">
        <v>101</v>
      </c>
      <c r="E16" s="114"/>
      <c r="G16" s="115"/>
      <c r="I16" s="769">
        <v>45422</v>
      </c>
      <c r="J16" s="770">
        <f t="shared" si="0"/>
        <v>105</v>
      </c>
      <c r="K16" s="769">
        <v>45527</v>
      </c>
      <c r="M16" s="771">
        <v>1</v>
      </c>
      <c r="N16" s="532"/>
      <c r="O16" s="124"/>
    </row>
    <row r="17" spans="2:15">
      <c r="B17" s="760" t="s">
        <v>102</v>
      </c>
      <c r="C17" s="761" t="s">
        <v>103</v>
      </c>
      <c r="E17" s="114"/>
      <c r="G17" s="115"/>
      <c r="I17" s="769">
        <v>45467</v>
      </c>
      <c r="J17" s="770">
        <f t="shared" si="0"/>
        <v>53</v>
      </c>
      <c r="K17" s="769">
        <v>45520</v>
      </c>
      <c r="M17" s="771">
        <v>1</v>
      </c>
      <c r="N17" s="532"/>
      <c r="O17" s="124"/>
    </row>
    <row r="18" spans="2:15">
      <c r="B18" s="760" t="s">
        <v>104</v>
      </c>
      <c r="C18" s="761" t="s">
        <v>105</v>
      </c>
      <c r="E18" s="114"/>
      <c r="G18" s="115"/>
      <c r="I18" s="769">
        <v>45478</v>
      </c>
      <c r="J18" s="770">
        <f t="shared" si="0"/>
        <v>13</v>
      </c>
      <c r="K18" s="769">
        <v>45491</v>
      </c>
      <c r="M18" s="771">
        <v>1</v>
      </c>
      <c r="N18" s="532"/>
      <c r="O18" s="124"/>
    </row>
    <row r="19" spans="2:15">
      <c r="B19" s="760" t="s">
        <v>106</v>
      </c>
      <c r="C19" s="761" t="s">
        <v>107</v>
      </c>
      <c r="E19" s="114"/>
      <c r="G19" s="115"/>
      <c r="I19" s="769">
        <v>45478</v>
      </c>
      <c r="J19" s="770">
        <f t="shared" si="0"/>
        <v>42</v>
      </c>
      <c r="K19" s="769">
        <v>45520</v>
      </c>
      <c r="M19" s="771">
        <v>1</v>
      </c>
      <c r="N19" s="531"/>
      <c r="O19" s="124"/>
    </row>
    <row r="20" spans="2:15">
      <c r="B20" s="760" t="s">
        <v>108</v>
      </c>
      <c r="C20" s="761" t="s">
        <v>109</v>
      </c>
      <c r="E20" s="114"/>
      <c r="G20" s="115"/>
      <c r="I20" s="769">
        <v>45489</v>
      </c>
      <c r="J20" s="770">
        <f t="shared" si="0"/>
        <v>31</v>
      </c>
      <c r="K20" s="769">
        <v>45520</v>
      </c>
      <c r="M20" s="771">
        <v>1</v>
      </c>
      <c r="N20" s="531"/>
      <c r="O20" s="772"/>
    </row>
    <row r="21" spans="2:15">
      <c r="B21" s="760" t="s">
        <v>110</v>
      </c>
      <c r="C21" s="761" t="s">
        <v>111</v>
      </c>
      <c r="E21" s="114"/>
      <c r="G21" s="115"/>
      <c r="I21" s="769">
        <v>45478</v>
      </c>
      <c r="J21" s="770">
        <f t="shared" si="0"/>
        <v>5</v>
      </c>
      <c r="K21" s="769">
        <v>45483</v>
      </c>
      <c r="M21" s="771">
        <v>1</v>
      </c>
      <c r="N21" s="531"/>
      <c r="O21" s="124"/>
    </row>
    <row r="22" spans="2:15">
      <c r="B22" s="760" t="s">
        <v>112</v>
      </c>
      <c r="C22" s="761" t="s">
        <v>113</v>
      </c>
      <c r="E22" s="114"/>
      <c r="G22" s="115"/>
      <c r="I22" s="769">
        <v>45440</v>
      </c>
      <c r="J22" s="770">
        <f t="shared" si="0"/>
        <v>43</v>
      </c>
      <c r="K22" s="769">
        <v>45483</v>
      </c>
      <c r="M22" s="771">
        <v>1</v>
      </c>
      <c r="N22" s="531"/>
      <c r="O22" s="124"/>
    </row>
    <row r="23" spans="2:15">
      <c r="B23" s="762"/>
      <c r="C23" s="763"/>
      <c r="E23" s="114"/>
      <c r="G23" s="115"/>
      <c r="I23" s="773"/>
      <c r="J23" s="773"/>
      <c r="K23" s="773"/>
      <c r="M23" s="306"/>
      <c r="N23" s="227"/>
    </row>
    <row r="24" spans="2:15">
      <c r="B24" s="758">
        <v>2</v>
      </c>
      <c r="C24" s="759" t="s">
        <v>114</v>
      </c>
      <c r="E24" s="114"/>
      <c r="G24" s="115"/>
      <c r="I24" s="766">
        <f>MIN(I25:I38)</f>
        <v>45478</v>
      </c>
      <c r="J24" s="767">
        <f>K24-I24</f>
        <v>84</v>
      </c>
      <c r="K24" s="766">
        <f>MAX(K25:K38)</f>
        <v>45562</v>
      </c>
      <c r="L24" s="116"/>
      <c r="M24" s="768">
        <f>AVERAGE(M25:M38)</f>
        <v>1</v>
      </c>
      <c r="N24" s="530"/>
      <c r="O24" s="121"/>
    </row>
    <row r="25" spans="2:15">
      <c r="B25" s="760" t="s">
        <v>115</v>
      </c>
      <c r="C25" s="761" t="s">
        <v>116</v>
      </c>
      <c r="E25" s="114"/>
      <c r="G25" s="115"/>
      <c r="I25" s="769">
        <v>45478</v>
      </c>
      <c r="J25" s="770">
        <v>35</v>
      </c>
      <c r="K25" s="769">
        <f>WORKDAY.INTL(I25,J25,1,Data!$C$3:$C$14)</f>
        <v>45530</v>
      </c>
      <c r="M25" s="771">
        <v>1</v>
      </c>
      <c r="N25" s="532"/>
      <c r="O25" s="772"/>
    </row>
    <row r="26" spans="2:15">
      <c r="B26" s="760" t="s">
        <v>117</v>
      </c>
      <c r="C26" s="761" t="s">
        <v>118</v>
      </c>
      <c r="E26" s="114"/>
      <c r="G26" s="115"/>
      <c r="I26" s="769">
        <v>45503</v>
      </c>
      <c r="J26" s="770">
        <v>59</v>
      </c>
      <c r="K26" s="769">
        <f>I26+J26</f>
        <v>45562</v>
      </c>
      <c r="M26" s="771">
        <v>1</v>
      </c>
      <c r="N26" s="532"/>
      <c r="O26" s="772" t="s">
        <v>119</v>
      </c>
    </row>
    <row r="27" spans="2:15">
      <c r="B27" s="760" t="s">
        <v>120</v>
      </c>
      <c r="C27" s="761" t="s">
        <v>121</v>
      </c>
      <c r="E27" s="114"/>
      <c r="G27" s="115"/>
      <c r="I27" s="769">
        <f>MIN(I28:I37)</f>
        <v>45510</v>
      </c>
      <c r="J27" s="770">
        <f t="shared" ref="J27:J34" si="1">K27-I27</f>
        <v>43</v>
      </c>
      <c r="K27" s="769">
        <f>MAX(K28:K37)</f>
        <v>45553</v>
      </c>
      <c r="M27" s="771">
        <f>AVERAGE(M28:M37)</f>
        <v>1</v>
      </c>
      <c r="N27" s="532"/>
      <c r="O27" s="124"/>
    </row>
    <row r="28" spans="2:15">
      <c r="B28" s="760" t="s">
        <v>122</v>
      </c>
      <c r="C28" s="761" t="s">
        <v>123</v>
      </c>
      <c r="E28" s="114"/>
      <c r="G28" s="115"/>
      <c r="I28" s="769">
        <v>45510</v>
      </c>
      <c r="J28" s="770">
        <f t="shared" si="1"/>
        <v>0</v>
      </c>
      <c r="K28" s="769">
        <v>45510</v>
      </c>
      <c r="M28" s="771">
        <v>1</v>
      </c>
      <c r="N28" s="532"/>
      <c r="O28" s="124"/>
    </row>
    <row r="29" spans="2:15">
      <c r="B29" s="760" t="s">
        <v>124</v>
      </c>
      <c r="C29" s="761" t="s">
        <v>125</v>
      </c>
      <c r="E29" s="114"/>
      <c r="G29" s="115"/>
      <c r="I29" s="769">
        <f>MIN(I30:I32)</f>
        <v>45526</v>
      </c>
      <c r="J29" s="770">
        <f t="shared" si="1"/>
        <v>21</v>
      </c>
      <c r="K29" s="769">
        <f>MAX(K30:K32)</f>
        <v>45547</v>
      </c>
      <c r="M29" s="771">
        <v>1</v>
      </c>
      <c r="N29" s="532"/>
      <c r="O29" s="124"/>
    </row>
    <row r="30" spans="2:15">
      <c r="B30" s="760" t="s">
        <v>126</v>
      </c>
      <c r="C30" s="761" t="s">
        <v>127</v>
      </c>
      <c r="E30" s="114"/>
      <c r="G30" s="115"/>
      <c r="I30" s="769">
        <v>45526</v>
      </c>
      <c r="J30" s="770">
        <f t="shared" si="1"/>
        <v>0</v>
      </c>
      <c r="K30" s="769">
        <f>I30</f>
        <v>45526</v>
      </c>
      <c r="M30" s="771">
        <v>1</v>
      </c>
      <c r="N30" s="532"/>
      <c r="O30" s="124"/>
    </row>
    <row r="31" spans="2:15">
      <c r="B31" s="760" t="s">
        <v>128</v>
      </c>
      <c r="C31" s="761" t="s">
        <v>129</v>
      </c>
      <c r="E31" s="114"/>
      <c r="G31" s="115"/>
      <c r="I31" s="774">
        <v>45540</v>
      </c>
      <c r="J31" s="775">
        <f t="shared" si="1"/>
        <v>0</v>
      </c>
      <c r="K31" s="774">
        <f>I31</f>
        <v>45540</v>
      </c>
      <c r="M31" s="771">
        <v>1</v>
      </c>
      <c r="N31" s="532"/>
      <c r="O31" s="124"/>
    </row>
    <row r="32" spans="2:15">
      <c r="B32" s="760" t="s">
        <v>130</v>
      </c>
      <c r="C32" s="761" t="s">
        <v>131</v>
      </c>
      <c r="E32" s="114"/>
      <c r="G32" s="115"/>
      <c r="I32" s="774">
        <v>45547</v>
      </c>
      <c r="J32" s="775">
        <f t="shared" si="1"/>
        <v>0</v>
      </c>
      <c r="K32" s="774">
        <f>I32</f>
        <v>45547</v>
      </c>
      <c r="M32" s="771">
        <v>1</v>
      </c>
      <c r="N32" s="532"/>
      <c r="O32" s="124"/>
    </row>
    <row r="33" spans="2:15">
      <c r="B33" s="760" t="s">
        <v>132</v>
      </c>
      <c r="C33" s="761" t="s">
        <v>133</v>
      </c>
      <c r="E33" s="114"/>
      <c r="G33" s="115"/>
      <c r="I33" s="769">
        <v>45510</v>
      </c>
      <c r="J33" s="770">
        <f t="shared" si="1"/>
        <v>0</v>
      </c>
      <c r="K33" s="769">
        <v>45510</v>
      </c>
      <c r="M33" s="771">
        <v>1</v>
      </c>
      <c r="N33" s="532"/>
      <c r="O33" s="124"/>
    </row>
    <row r="34" spans="2:15">
      <c r="B34" s="760" t="s">
        <v>134</v>
      </c>
      <c r="C34" s="761" t="s">
        <v>135</v>
      </c>
      <c r="E34" s="114"/>
      <c r="G34" s="115"/>
      <c r="I34" s="769">
        <v>45530</v>
      </c>
      <c r="J34" s="770">
        <f t="shared" si="1"/>
        <v>0</v>
      </c>
      <c r="K34" s="769">
        <v>45530</v>
      </c>
      <c r="M34" s="771">
        <v>1</v>
      </c>
      <c r="N34" s="532"/>
      <c r="O34" s="124"/>
    </row>
    <row r="35" spans="2:15">
      <c r="B35" s="760" t="s">
        <v>136</v>
      </c>
      <c r="C35" s="761" t="s">
        <v>137</v>
      </c>
      <c r="E35" s="114"/>
      <c r="G35" s="115"/>
      <c r="I35" s="769">
        <f>MIN(I36:I37)</f>
        <v>45525</v>
      </c>
      <c r="J35" s="770">
        <v>1</v>
      </c>
      <c r="K35" s="769">
        <f>MAX(K36:K37)</f>
        <v>45553</v>
      </c>
      <c r="M35" s="771">
        <v>1</v>
      </c>
      <c r="N35" s="531"/>
      <c r="O35" s="124"/>
    </row>
    <row r="36" spans="2:15">
      <c r="B36" s="760" t="s">
        <v>138</v>
      </c>
      <c r="C36" s="761" t="s">
        <v>139</v>
      </c>
      <c r="E36" s="114"/>
      <c r="G36" s="115"/>
      <c r="I36" s="769">
        <v>45552</v>
      </c>
      <c r="J36" s="770">
        <v>1</v>
      </c>
      <c r="K36" s="769">
        <f>I36+J36</f>
        <v>45553</v>
      </c>
      <c r="M36" s="771">
        <v>1</v>
      </c>
      <c r="N36" s="531"/>
      <c r="O36" s="124"/>
    </row>
    <row r="37" spans="2:15">
      <c r="B37" s="764" t="s">
        <v>140</v>
      </c>
      <c r="C37" s="765" t="s">
        <v>141</v>
      </c>
      <c r="E37" s="114"/>
      <c r="G37" s="115"/>
      <c r="I37" s="774">
        <v>45525</v>
      </c>
      <c r="J37" s="775">
        <v>1</v>
      </c>
      <c r="K37" s="774">
        <f>I37+J37</f>
        <v>45526</v>
      </c>
      <c r="M37" s="771">
        <v>1</v>
      </c>
      <c r="N37" s="531"/>
      <c r="O37" s="124"/>
    </row>
    <row r="38" spans="2:15">
      <c r="B38" s="760" t="s">
        <v>142</v>
      </c>
      <c r="C38" s="761" t="s">
        <v>143</v>
      </c>
      <c r="E38" s="114"/>
      <c r="G38" s="115"/>
      <c r="I38" s="769">
        <f>K36</f>
        <v>45553</v>
      </c>
      <c r="J38" s="770">
        <v>9</v>
      </c>
      <c r="K38" s="769">
        <f>I38+J38</f>
        <v>45562</v>
      </c>
      <c r="M38" s="771">
        <v>1</v>
      </c>
      <c r="N38" s="531"/>
      <c r="O38" s="124"/>
    </row>
    <row r="39" spans="2:15">
      <c r="B39" s="776"/>
      <c r="C39" s="777"/>
      <c r="E39" s="114"/>
      <c r="G39" s="115"/>
      <c r="I39" s="778"/>
      <c r="J39" s="779"/>
      <c r="K39" s="778"/>
      <c r="M39" s="780"/>
      <c r="N39" s="531"/>
      <c r="O39" s="121"/>
    </row>
    <row r="40" spans="2:15">
      <c r="B40" s="758">
        <v>3</v>
      </c>
      <c r="C40" s="759" t="s">
        <v>144</v>
      </c>
      <c r="E40" s="114"/>
      <c r="G40" s="115"/>
      <c r="I40" s="766">
        <f>MIN(I41:I76)</f>
        <v>45510</v>
      </c>
      <c r="J40" s="767">
        <f>K40-I40</f>
        <v>115</v>
      </c>
      <c r="K40" s="766">
        <f>MAX(K41:K76)</f>
        <v>45625</v>
      </c>
      <c r="L40" s="116"/>
      <c r="M40" s="768">
        <f>AVERAGE(M41:M76)</f>
        <v>1</v>
      </c>
      <c r="N40" s="531"/>
      <c r="O40" s="121"/>
    </row>
    <row r="41" spans="2:15">
      <c r="B41" s="760" t="s">
        <v>145</v>
      </c>
      <c r="C41" s="761" t="s">
        <v>146</v>
      </c>
      <c r="E41" s="114"/>
      <c r="G41" s="115"/>
      <c r="I41" s="769">
        <v>45518</v>
      </c>
      <c r="J41" s="770">
        <v>2</v>
      </c>
      <c r="K41" s="769">
        <f>WORKDAY.INTL(I41,J41,1,Data!$C$3:$C$14)</f>
        <v>45520</v>
      </c>
      <c r="M41" s="771">
        <v>1</v>
      </c>
      <c r="N41" s="531"/>
      <c r="O41" s="121"/>
    </row>
    <row r="42" spans="2:15">
      <c r="B42" s="760" t="s">
        <v>147</v>
      </c>
      <c r="C42" s="761" t="s">
        <v>148</v>
      </c>
      <c r="E42" s="114"/>
      <c r="G42" s="115"/>
      <c r="I42" s="769">
        <f>WORKDAY.INTL(K41,0,1,Data!$C$3:$C$14)</f>
        <v>45520</v>
      </c>
      <c r="J42" s="770">
        <v>5</v>
      </c>
      <c r="K42" s="769">
        <f>WORKDAY.INTL(I42,J42,1,Data!$C$3:$C$14)</f>
        <v>45527</v>
      </c>
      <c r="M42" s="771">
        <v>1</v>
      </c>
      <c r="N42" s="531"/>
      <c r="O42" s="121"/>
    </row>
    <row r="43" spans="2:15">
      <c r="B43" s="760" t="s">
        <v>149</v>
      </c>
      <c r="C43" s="761" t="s">
        <v>150</v>
      </c>
      <c r="E43" s="114"/>
      <c r="G43" s="115"/>
      <c r="I43" s="769">
        <f>WORKDAY.INTL(K42,0,1,Data!$C$3:$C$14)</f>
        <v>45527</v>
      </c>
      <c r="J43" s="770">
        <v>4</v>
      </c>
      <c r="K43" s="769">
        <f>WORKDAY.INTL(I43,J43,1,Data!$C$3:$C$14)</f>
        <v>45533</v>
      </c>
      <c r="M43" s="771">
        <v>1</v>
      </c>
      <c r="N43" s="531"/>
      <c r="O43" s="121"/>
    </row>
    <row r="44" spans="2:15">
      <c r="B44" s="760" t="s">
        <v>151</v>
      </c>
      <c r="C44" s="761" t="s">
        <v>152</v>
      </c>
      <c r="E44" s="114"/>
      <c r="G44" s="115"/>
      <c r="I44" s="769">
        <v>45510</v>
      </c>
      <c r="J44" s="770">
        <v>15</v>
      </c>
      <c r="K44" s="769">
        <f>WORKDAY.INTL(I44,J44,1,Data!$C$3:$C$14)</f>
        <v>45532</v>
      </c>
      <c r="M44" s="771">
        <v>1</v>
      </c>
      <c r="N44" s="531"/>
      <c r="O44" s="121"/>
    </row>
    <row r="45" spans="2:15">
      <c r="B45" s="760" t="s">
        <v>153</v>
      </c>
      <c r="C45" s="781" t="s">
        <v>154</v>
      </c>
      <c r="E45" s="114"/>
      <c r="G45" s="115"/>
      <c r="I45" s="783">
        <v>45574</v>
      </c>
      <c r="J45" s="770">
        <v>16</v>
      </c>
      <c r="K45" s="769">
        <f>WORKDAY.INTL(I45,J45,1,Data!$C$3:$C$14)</f>
        <v>45596</v>
      </c>
      <c r="M45" s="771">
        <v>1</v>
      </c>
      <c r="N45" s="531"/>
      <c r="O45" s="121"/>
    </row>
    <row r="46" spans="2:15">
      <c r="B46" s="760" t="s">
        <v>155</v>
      </c>
      <c r="C46" s="761" t="s">
        <v>156</v>
      </c>
      <c r="E46" s="114"/>
      <c r="G46" s="115"/>
      <c r="I46" s="769">
        <f>WORKDAY.INTL(K45,0,1,Data!$C$3:$C$14)</f>
        <v>45596</v>
      </c>
      <c r="J46" s="770">
        <v>1</v>
      </c>
      <c r="K46" s="769">
        <f>WORKDAY.INTL(I46,J46,1,Data!$C$3:$C$14)</f>
        <v>45597</v>
      </c>
      <c r="M46" s="771">
        <v>1</v>
      </c>
      <c r="N46" s="531"/>
      <c r="O46" s="121"/>
    </row>
    <row r="47" spans="2:15">
      <c r="B47" s="760" t="s">
        <v>157</v>
      </c>
      <c r="C47" s="761" t="s">
        <v>158</v>
      </c>
      <c r="E47" s="114"/>
      <c r="G47" s="115"/>
      <c r="I47" s="769">
        <v>45532</v>
      </c>
      <c r="J47" s="770">
        <v>12</v>
      </c>
      <c r="K47" s="769">
        <f>WORKDAY.INTL(I47,J47,1,Data!$C$3:$C$14)</f>
        <v>45548</v>
      </c>
      <c r="M47" s="771">
        <v>1</v>
      </c>
      <c r="N47" s="531"/>
      <c r="O47" s="121"/>
    </row>
    <row r="48" spans="2:15">
      <c r="B48" s="760" t="s">
        <v>159</v>
      </c>
      <c r="C48" s="761" t="s">
        <v>160</v>
      </c>
      <c r="E48" s="114"/>
      <c r="G48" s="115"/>
      <c r="I48" s="769">
        <f>WORKDAY.INTL(I47,0,1,Data!$C$3:$C$14)+3</f>
        <v>45535</v>
      </c>
      <c r="J48" s="770">
        <v>43</v>
      </c>
      <c r="K48" s="769">
        <f>WORKDAY.INTL(I48,J48,1,Data!$C$3:$C$14)</f>
        <v>45596</v>
      </c>
      <c r="M48" s="771">
        <v>1</v>
      </c>
      <c r="N48" s="531"/>
      <c r="O48" s="121" t="s">
        <v>161</v>
      </c>
    </row>
    <row r="49" spans="2:15">
      <c r="B49" s="760" t="s">
        <v>162</v>
      </c>
      <c r="C49" s="761" t="s">
        <v>163</v>
      </c>
      <c r="E49" s="114"/>
      <c r="G49" s="115"/>
      <c r="I49" s="769">
        <f>WORKDAY.INTL(K48,0,1,Data!$C$3:$C$14)</f>
        <v>45596</v>
      </c>
      <c r="J49" s="770">
        <v>4</v>
      </c>
      <c r="K49" s="769">
        <f>WORKDAY.INTL(I49,J49,1,Data!$C$3:$C$14)</f>
        <v>45602</v>
      </c>
      <c r="M49" s="771">
        <v>1</v>
      </c>
      <c r="N49" s="531"/>
      <c r="O49" s="121" t="s">
        <v>161</v>
      </c>
    </row>
    <row r="50" spans="2:15">
      <c r="B50" s="760" t="s">
        <v>164</v>
      </c>
      <c r="C50" s="761" t="s">
        <v>165</v>
      </c>
      <c r="E50" s="114"/>
      <c r="G50" s="115"/>
      <c r="I50" s="769">
        <f>WORKDAY.INTL(I49,0,1,Data!$C$3:$C$14)</f>
        <v>45596</v>
      </c>
      <c r="J50" s="770">
        <v>5</v>
      </c>
      <c r="K50" s="769">
        <f>WORKDAY.INTL(I50,J50,1,Data!$C$3:$C$14)</f>
        <v>45603</v>
      </c>
      <c r="M50" s="771">
        <v>1</v>
      </c>
      <c r="N50" s="531"/>
      <c r="O50" s="121"/>
    </row>
    <row r="51" spans="2:15">
      <c r="B51" s="760" t="s">
        <v>166</v>
      </c>
      <c r="C51" s="761" t="s">
        <v>167</v>
      </c>
      <c r="E51" s="114"/>
      <c r="G51" s="115"/>
      <c r="I51" s="769">
        <f>K58</f>
        <v>45603</v>
      </c>
      <c r="J51" s="770">
        <v>3</v>
      </c>
      <c r="K51" s="769">
        <f>WORKDAY.INTL(I51,J51,1,Data!$C$3:$C$14)</f>
        <v>45608</v>
      </c>
      <c r="M51" s="771">
        <v>1</v>
      </c>
      <c r="N51" s="531"/>
      <c r="O51" s="121"/>
    </row>
    <row r="52" spans="2:15">
      <c r="B52" s="760" t="s">
        <v>168</v>
      </c>
      <c r="C52" s="761" t="s">
        <v>169</v>
      </c>
      <c r="E52" s="114"/>
      <c r="G52" s="115"/>
      <c r="I52" s="774">
        <v>45540</v>
      </c>
      <c r="J52" s="775">
        <v>5</v>
      </c>
      <c r="K52" s="774">
        <f>WORKDAY.INTL(I52,J52,1,Data!$C$3:$C$14)</f>
        <v>45547</v>
      </c>
      <c r="M52" s="771">
        <v>1</v>
      </c>
      <c r="N52" s="531"/>
      <c r="O52" s="121"/>
    </row>
    <row r="53" spans="2:15">
      <c r="B53" s="760" t="s">
        <v>170</v>
      </c>
      <c r="C53" s="761" t="s">
        <v>171</v>
      </c>
      <c r="E53" s="114"/>
      <c r="G53" s="115"/>
      <c r="I53" s="774">
        <f>WORKDAY.INTL(K52,0,1,Data!$C$3:$C$14)</f>
        <v>45547</v>
      </c>
      <c r="J53" s="775">
        <v>4</v>
      </c>
      <c r="K53" s="774">
        <f>WORKDAY.INTL(I53,J53,1,Data!$C$3:$C$14)</f>
        <v>45553</v>
      </c>
      <c r="M53" s="771">
        <v>1</v>
      </c>
      <c r="N53" s="531"/>
      <c r="O53" s="121"/>
    </row>
    <row r="54" spans="2:15">
      <c r="B54" s="760" t="s">
        <v>172</v>
      </c>
      <c r="C54" s="761" t="s">
        <v>173</v>
      </c>
      <c r="E54" s="114"/>
      <c r="G54" s="115"/>
      <c r="I54" s="774">
        <f>WORKDAY.INTL(I31,0,1,Data!$C$3:$C$14)</f>
        <v>45540</v>
      </c>
      <c r="J54" s="775">
        <v>5</v>
      </c>
      <c r="K54" s="774">
        <f>WORKDAY.INTL(I54,J54,1,Data!$C$3:$C$14)</f>
        <v>45547</v>
      </c>
      <c r="M54" s="771">
        <v>1</v>
      </c>
      <c r="N54" s="531"/>
      <c r="O54" s="121"/>
    </row>
    <row r="55" spans="2:15">
      <c r="B55" s="760" t="s">
        <v>174</v>
      </c>
      <c r="C55" s="761" t="s">
        <v>175</v>
      </c>
      <c r="E55" s="114"/>
      <c r="G55" s="115"/>
      <c r="I55" s="774">
        <f>WORKDAY.INTL(K53,0,1,Data!$C$3:$C$14)</f>
        <v>45553</v>
      </c>
      <c r="J55" s="775">
        <v>4</v>
      </c>
      <c r="K55" s="774">
        <f>WORKDAY.INTL(I55,J55,1,Data!$C$3:$C$14)</f>
        <v>45560</v>
      </c>
      <c r="M55" s="771">
        <v>1</v>
      </c>
      <c r="N55" s="531"/>
      <c r="O55" s="121"/>
    </row>
    <row r="56" spans="2:15">
      <c r="B56" s="760" t="s">
        <v>176</v>
      </c>
      <c r="C56" s="761" t="s">
        <v>177</v>
      </c>
      <c r="E56" s="114"/>
      <c r="G56" s="115"/>
      <c r="I56" s="774">
        <f>WORKDAY.INTL(I32,0,1,Data!$C$3:$C$14)-4</f>
        <v>45543</v>
      </c>
      <c r="J56" s="775">
        <v>5</v>
      </c>
      <c r="K56" s="774">
        <f>WORKDAY.INTL(I56,J56,1,Data!$C$3:$C$14)</f>
        <v>45548</v>
      </c>
      <c r="M56" s="771">
        <v>1</v>
      </c>
      <c r="N56" s="531"/>
      <c r="O56" s="121"/>
    </row>
    <row r="57" spans="2:15">
      <c r="B57" s="760" t="s">
        <v>178</v>
      </c>
      <c r="C57" s="761" t="s">
        <v>179</v>
      </c>
      <c r="E57" s="114"/>
      <c r="G57" s="115"/>
      <c r="I57" s="769">
        <f>WORKDAY.INTL(K55,0,1,Data!$C$3:$C$14)</f>
        <v>45560</v>
      </c>
      <c r="J57" s="770">
        <v>5</v>
      </c>
      <c r="K57" s="769">
        <f>WORKDAY.INTL(I57,J57,1,Data!$C$3:$C$14)</f>
        <v>45567</v>
      </c>
      <c r="M57" s="771">
        <v>1</v>
      </c>
      <c r="N57" s="531"/>
      <c r="O57" s="121"/>
    </row>
    <row r="58" spans="2:15">
      <c r="B58" s="760" t="s">
        <v>180</v>
      </c>
      <c r="C58" s="761" t="s">
        <v>181</v>
      </c>
      <c r="E58" s="114"/>
      <c r="G58" s="115"/>
      <c r="I58" s="769">
        <f>WORKDAY.INTL(K46,0,1,Data!$C$3:$C$14)</f>
        <v>45597</v>
      </c>
      <c r="J58" s="770">
        <v>4</v>
      </c>
      <c r="K58" s="769">
        <f>WORKDAY.INTL(I58,J58,1,Data!$C$3:$C$14)</f>
        <v>45603</v>
      </c>
      <c r="M58" s="771">
        <v>1</v>
      </c>
      <c r="N58" s="531"/>
      <c r="O58" s="121"/>
    </row>
    <row r="59" spans="2:15">
      <c r="B59" s="760" t="s">
        <v>182</v>
      </c>
      <c r="C59" s="761" t="s">
        <v>183</v>
      </c>
      <c r="E59" s="114"/>
      <c r="G59" s="115"/>
      <c r="I59" s="769">
        <v>45579</v>
      </c>
      <c r="J59" s="770">
        <v>5</v>
      </c>
      <c r="K59" s="769">
        <f>WORKDAY.INTL(I59,J59,1,Data!$C$3:$C$14)</f>
        <v>45586</v>
      </c>
      <c r="M59" s="771">
        <v>1</v>
      </c>
      <c r="N59" s="531"/>
      <c r="O59" s="121"/>
    </row>
    <row r="60" spans="2:15">
      <c r="B60" s="760" t="s">
        <v>184</v>
      </c>
      <c r="C60" s="761" t="s">
        <v>185</v>
      </c>
      <c r="E60" s="114"/>
      <c r="G60" s="115"/>
      <c r="I60" s="769">
        <f>WORKDAY.INTL(K46,0,1,Data!$C$3:$C$14)</f>
        <v>45597</v>
      </c>
      <c r="J60" s="770">
        <v>4</v>
      </c>
      <c r="K60" s="769">
        <f>WORKDAY.INTL(I60,J60,1,Data!$C$3:$C$14)</f>
        <v>45603</v>
      </c>
      <c r="M60" s="771">
        <v>1</v>
      </c>
      <c r="N60" s="531"/>
      <c r="O60" s="121"/>
    </row>
    <row r="61" spans="2:15">
      <c r="B61" s="760" t="s">
        <v>186</v>
      </c>
      <c r="C61" s="761" t="s">
        <v>187</v>
      </c>
      <c r="E61" s="114"/>
      <c r="G61" s="115"/>
      <c r="I61" s="769">
        <v>45586</v>
      </c>
      <c r="J61" s="770">
        <v>9</v>
      </c>
      <c r="K61" s="769">
        <f>WORKDAY.INTL(I61,J61,1,Data!$C$3:$C$14)</f>
        <v>45597</v>
      </c>
      <c r="M61" s="771">
        <v>1</v>
      </c>
      <c r="N61" s="531"/>
      <c r="O61" s="121"/>
    </row>
    <row r="62" spans="2:15">
      <c r="B62" s="760" t="s">
        <v>188</v>
      </c>
      <c r="C62" s="761" t="s">
        <v>189</v>
      </c>
      <c r="E62" s="114"/>
      <c r="G62" s="115"/>
      <c r="I62" s="769">
        <f>WORKDAY.INTL(I60,0,1,Data!$C$3:$C$14)</f>
        <v>45597</v>
      </c>
      <c r="J62" s="770">
        <v>8</v>
      </c>
      <c r="K62" s="769">
        <f>WORKDAY.INTL(I62,J62,1,Data!$C$3:$C$14)</f>
        <v>45609</v>
      </c>
      <c r="M62" s="771">
        <v>1</v>
      </c>
      <c r="N62" s="531"/>
      <c r="O62" s="121"/>
    </row>
    <row r="63" spans="2:15">
      <c r="B63" s="760" t="s">
        <v>190</v>
      </c>
      <c r="C63" s="761" t="s">
        <v>191</v>
      </c>
      <c r="E63" s="114"/>
      <c r="G63" s="115"/>
      <c r="I63" s="769">
        <f>WORKDAY.INTL(I48,0,1,Data!$C$3:$C$14)</f>
        <v>45535</v>
      </c>
      <c r="J63" s="770">
        <v>43</v>
      </c>
      <c r="K63" s="769">
        <f>WORKDAY.INTL(I63,J63,1,Data!$C$3:$C$14)</f>
        <v>45596</v>
      </c>
      <c r="M63" s="771">
        <v>1</v>
      </c>
      <c r="N63" s="531"/>
      <c r="O63" s="121"/>
    </row>
    <row r="64" spans="2:15">
      <c r="B64" s="760" t="s">
        <v>192</v>
      </c>
      <c r="C64" s="761" t="s">
        <v>193</v>
      </c>
      <c r="E64" s="114"/>
      <c r="G64" s="115"/>
      <c r="I64" s="769">
        <f>WORKDAY.INTL(I63,0,1,Data!$C$3:$C$14)</f>
        <v>45535</v>
      </c>
      <c r="J64" s="770">
        <v>40</v>
      </c>
      <c r="K64" s="769">
        <f>WORKDAY.INTL(I64,J64,1,Data!$C$3:$C$14)</f>
        <v>45593</v>
      </c>
      <c r="M64" s="771">
        <v>1</v>
      </c>
      <c r="N64" s="531"/>
      <c r="O64" s="121"/>
    </row>
    <row r="65" spans="2:15">
      <c r="B65" s="760" t="s">
        <v>194</v>
      </c>
      <c r="C65" s="761" t="s">
        <v>195</v>
      </c>
      <c r="E65" s="114"/>
      <c r="G65" s="115"/>
      <c r="I65" s="769">
        <f>WORKDAY.INTL(I58,0,1,Data!$C$3:$C$14)</f>
        <v>45597</v>
      </c>
      <c r="J65" s="770">
        <v>3</v>
      </c>
      <c r="K65" s="769">
        <f>WORKDAY.INTL(I65,J65,1,Data!$C$3:$C$14)</f>
        <v>45602</v>
      </c>
      <c r="M65" s="771">
        <v>1</v>
      </c>
      <c r="N65" s="531"/>
      <c r="O65" s="121"/>
    </row>
    <row r="66" spans="2:15">
      <c r="B66" s="760" t="s">
        <v>196</v>
      </c>
      <c r="C66" s="761" t="s">
        <v>197</v>
      </c>
      <c r="E66" s="114"/>
      <c r="G66" s="115"/>
      <c r="I66" s="769">
        <f>WORKDAY.INTL(I65,0,1,Data!$C$3:$C$14)</f>
        <v>45597</v>
      </c>
      <c r="J66" s="770">
        <v>3</v>
      </c>
      <c r="K66" s="769">
        <f>WORKDAY.INTL(I66,J66,1,Data!$C$3:$C$14)</f>
        <v>45602</v>
      </c>
      <c r="M66" s="771">
        <v>1</v>
      </c>
      <c r="N66" s="531"/>
      <c r="O66" s="121"/>
    </row>
    <row r="67" spans="2:15">
      <c r="B67" s="760" t="s">
        <v>198</v>
      </c>
      <c r="C67" s="761" t="s">
        <v>199</v>
      </c>
      <c r="E67" s="114"/>
      <c r="G67" s="115"/>
      <c r="I67" s="769">
        <f>WORKDAY.INTL(K66,0,1,Data!$C$3:$C$14)</f>
        <v>45602</v>
      </c>
      <c r="J67" s="770">
        <v>2</v>
      </c>
      <c r="K67" s="769">
        <f>WORKDAY.INTL(I67,J67,1,Data!$C$3:$C$14)</f>
        <v>45604</v>
      </c>
      <c r="M67" s="771">
        <v>1</v>
      </c>
      <c r="N67" s="531"/>
      <c r="O67" s="121"/>
    </row>
    <row r="68" spans="2:15">
      <c r="B68" s="760" t="s">
        <v>200</v>
      </c>
      <c r="C68" s="761" t="s">
        <v>201</v>
      </c>
      <c r="E68" s="114"/>
      <c r="G68" s="115"/>
      <c r="I68" s="769">
        <f>WORKDAY.INTL(I67,0,1,Data!$C$3:$C$14)</f>
        <v>45602</v>
      </c>
      <c r="J68" s="770">
        <v>2</v>
      </c>
      <c r="K68" s="769">
        <f>WORKDAY.INTL(I68,J68,1,Data!$C$3:$C$14)</f>
        <v>45604</v>
      </c>
      <c r="M68" s="771">
        <v>1</v>
      </c>
      <c r="N68" s="531"/>
      <c r="O68" s="121"/>
    </row>
    <row r="69" spans="2:15">
      <c r="B69" s="760" t="s">
        <v>202</v>
      </c>
      <c r="C69" s="761" t="s">
        <v>203</v>
      </c>
      <c r="E69" s="114"/>
      <c r="G69" s="115"/>
      <c r="I69" s="769">
        <f>WORKDAY.INTL(K68,0,1,Data!$C$3:$C$14)</f>
        <v>45604</v>
      </c>
      <c r="J69" s="770">
        <v>2</v>
      </c>
      <c r="K69" s="769">
        <f>WORKDAY.INTL(I69,J69,1,Data!$C$3:$C$14)</f>
        <v>45608</v>
      </c>
      <c r="M69" s="771">
        <v>1</v>
      </c>
      <c r="N69" s="531"/>
      <c r="O69" s="121"/>
    </row>
    <row r="70" spans="2:15">
      <c r="B70" s="760" t="s">
        <v>204</v>
      </c>
      <c r="C70" s="761" t="s">
        <v>205</v>
      </c>
      <c r="E70" s="114"/>
      <c r="G70" s="115"/>
      <c r="I70" s="769">
        <f>WORKDAY.INTL(I69,0,1,Data!$C$3:$C$14)</f>
        <v>45604</v>
      </c>
      <c r="J70" s="770">
        <v>3</v>
      </c>
      <c r="K70" s="769">
        <f>WORKDAY.INTL(I70,J70,1,Data!$C$3:$C$14)</f>
        <v>45609</v>
      </c>
      <c r="M70" s="771">
        <v>1</v>
      </c>
      <c r="N70" s="531"/>
      <c r="O70" s="121"/>
    </row>
    <row r="71" spans="2:15">
      <c r="B71" s="760" t="s">
        <v>206</v>
      </c>
      <c r="C71" s="761" t="s">
        <v>207</v>
      </c>
      <c r="E71" s="114"/>
      <c r="G71" s="115"/>
      <c r="I71" s="769">
        <f>WORKDAY.INTL(I51,0,1,Data!$C$3:$C$14)</f>
        <v>45603</v>
      </c>
      <c r="J71" s="770">
        <v>4</v>
      </c>
      <c r="K71" s="769">
        <f>WORKDAY.INTL(I71,J71,1,Data!$C$3:$C$14)</f>
        <v>45609</v>
      </c>
      <c r="M71" s="771">
        <v>1</v>
      </c>
      <c r="N71" s="531"/>
      <c r="O71" s="121"/>
    </row>
    <row r="72" spans="2:15">
      <c r="B72" s="764" t="s">
        <v>208</v>
      </c>
      <c r="C72" s="765" t="s">
        <v>209</v>
      </c>
      <c r="D72" s="24"/>
      <c r="F72" s="820"/>
      <c r="H72" s="24"/>
      <c r="I72" s="769">
        <v>45606</v>
      </c>
      <c r="J72" s="775">
        <v>1</v>
      </c>
      <c r="K72" s="769">
        <f>WORKDAY.INTL(I72,J72,1,Data!$C$3:$C$14)</f>
        <v>45607</v>
      </c>
      <c r="M72" s="771">
        <v>1</v>
      </c>
      <c r="N72" s="531"/>
      <c r="O72" s="121"/>
    </row>
    <row r="73" spans="2:15">
      <c r="B73" s="764" t="s">
        <v>210</v>
      </c>
      <c r="C73" s="765" t="s">
        <v>211</v>
      </c>
      <c r="D73" s="24"/>
      <c r="F73" s="820"/>
      <c r="H73" s="24"/>
      <c r="I73" s="769">
        <v>45606</v>
      </c>
      <c r="J73" s="775">
        <v>1</v>
      </c>
      <c r="K73" s="769">
        <f>WORKDAY.INTL(I73,J73,1,Data!$C$3:$C$14)</f>
        <v>45607</v>
      </c>
      <c r="M73" s="771">
        <v>1</v>
      </c>
      <c r="N73" s="531"/>
      <c r="O73" s="121"/>
    </row>
    <row r="74" spans="2:15">
      <c r="B74" s="760" t="s">
        <v>212</v>
      </c>
      <c r="C74" s="761" t="s">
        <v>213</v>
      </c>
      <c r="E74" s="114"/>
      <c r="G74" s="115"/>
      <c r="I74" s="769">
        <f>WORKDAY.INTL(K69,0,1,Data!$C$3:$C$14)</f>
        <v>45608</v>
      </c>
      <c r="J74" s="770">
        <v>2</v>
      </c>
      <c r="K74" s="769">
        <f>WORKDAY.INTL(I74,J74,1,Data!$C$3:$C$14)</f>
        <v>45610</v>
      </c>
      <c r="M74" s="771">
        <v>1</v>
      </c>
      <c r="N74" s="531"/>
      <c r="O74" s="121"/>
    </row>
    <row r="75" spans="2:15">
      <c r="B75" s="760" t="s">
        <v>214</v>
      </c>
      <c r="C75" s="761" t="s">
        <v>215</v>
      </c>
      <c r="E75" s="114"/>
      <c r="G75" s="115"/>
      <c r="I75" s="769">
        <f>WORKDAY.INTL(K74,0,1,Data!$C$3:$C$14)</f>
        <v>45610</v>
      </c>
      <c r="J75" s="770">
        <v>5</v>
      </c>
      <c r="K75" s="769">
        <f>WORKDAY.INTL(I75,J75,1,Data!$C$3:$C$14)</f>
        <v>45617</v>
      </c>
      <c r="M75" s="771">
        <v>1</v>
      </c>
      <c r="N75" s="531"/>
      <c r="O75" s="121"/>
    </row>
    <row r="76" spans="2:15">
      <c r="B76" s="760" t="s">
        <v>216</v>
      </c>
      <c r="C76" s="761" t="s">
        <v>217</v>
      </c>
      <c r="E76" s="114"/>
      <c r="G76" s="115"/>
      <c r="I76" s="769">
        <v>45624</v>
      </c>
      <c r="J76" s="770">
        <v>1</v>
      </c>
      <c r="K76" s="769">
        <f>WORKDAY.INTL(I76,J76,1,Data!$C$3:$C$14)</f>
        <v>45625</v>
      </c>
      <c r="M76" s="771">
        <v>1</v>
      </c>
      <c r="N76" s="531"/>
      <c r="O76" s="121"/>
    </row>
    <row r="77" spans="2:15">
      <c r="B77" s="762"/>
      <c r="C77" s="763"/>
      <c r="E77" s="114"/>
      <c r="G77" s="115"/>
      <c r="I77" s="773"/>
      <c r="J77" s="773"/>
      <c r="K77" s="773"/>
      <c r="M77" s="306"/>
      <c r="N77" s="531"/>
      <c r="O77" s="121"/>
    </row>
    <row r="78" spans="2:15">
      <c r="B78" s="758">
        <v>4</v>
      </c>
      <c r="C78" s="759" t="s">
        <v>218</v>
      </c>
      <c r="E78" s="114"/>
      <c r="G78" s="115"/>
      <c r="I78" s="766">
        <f>MIN(I79:I84)</f>
        <v>45604</v>
      </c>
      <c r="J78" s="767">
        <f>K78-I78</f>
        <v>11</v>
      </c>
      <c r="K78" s="766">
        <f>MAX(K79:K83)</f>
        <v>45615</v>
      </c>
      <c r="L78" s="116"/>
      <c r="M78" s="768">
        <f>AVERAGE(M79:M84)</f>
        <v>1</v>
      </c>
      <c r="N78" s="531"/>
      <c r="O78" s="121"/>
    </row>
    <row r="79" spans="2:15">
      <c r="B79" s="760" t="s">
        <v>219</v>
      </c>
      <c r="C79" s="761" t="s">
        <v>220</v>
      </c>
      <c r="E79" s="114"/>
      <c r="G79" s="115"/>
      <c r="I79" s="769">
        <f>WORKDAY.INTL(I69,0,1,Data!$C$3:$C$14)</f>
        <v>45604</v>
      </c>
      <c r="J79" s="770">
        <v>7</v>
      </c>
      <c r="K79" s="784">
        <f>WORKDAY.INTL(I79,J79,1,Data!$C$3:$C$14)</f>
        <v>45615</v>
      </c>
      <c r="M79" s="771">
        <v>1</v>
      </c>
      <c r="N79" s="531"/>
      <c r="O79" s="121"/>
    </row>
    <row r="80" spans="2:15">
      <c r="B80" s="760" t="s">
        <v>221</v>
      </c>
      <c r="C80" s="761" t="s">
        <v>222</v>
      </c>
      <c r="E80" s="114"/>
      <c r="G80" s="115"/>
      <c r="I80" s="774">
        <f>WORKDAY.INTL(I79,0,1,Data!$C$3:$C$14)</f>
        <v>45604</v>
      </c>
      <c r="J80" s="775">
        <v>7</v>
      </c>
      <c r="K80" s="774">
        <f>WORKDAY.INTL(I80,J80,1,Data!$C$3:$C$14)</f>
        <v>45615</v>
      </c>
      <c r="M80" s="771">
        <v>1</v>
      </c>
      <c r="N80" s="531"/>
      <c r="O80" s="121" t="s">
        <v>223</v>
      </c>
    </row>
    <row r="81" spans="2:15">
      <c r="B81" s="760" t="s">
        <v>224</v>
      </c>
      <c r="C81" s="761" t="s">
        <v>225</v>
      </c>
      <c r="E81" s="114"/>
      <c r="G81" s="115"/>
      <c r="I81" s="769">
        <f>WORKDAY.INTL(K69,0,1,Data!$C$3:$C$14)</f>
        <v>45608</v>
      </c>
      <c r="J81" s="770">
        <v>1</v>
      </c>
      <c r="K81" s="769">
        <f>WORKDAY.INTL(I81,J81,1,Data!$C$3:$C$14)</f>
        <v>45609</v>
      </c>
      <c r="M81" s="771">
        <v>1</v>
      </c>
      <c r="N81" s="531"/>
      <c r="O81" s="121"/>
    </row>
    <row r="82" spans="2:15">
      <c r="B82" s="760" t="s">
        <v>226</v>
      </c>
      <c r="C82" s="761" t="s">
        <v>227</v>
      </c>
      <c r="E82" s="114"/>
      <c r="G82" s="115"/>
      <c r="I82" s="769">
        <f>WORKDAY.INTL(I79,0,1,Data!$C$3:$C$14)</f>
        <v>45604</v>
      </c>
      <c r="J82" s="770">
        <v>7</v>
      </c>
      <c r="K82" s="769">
        <f>WORKDAY.INTL(I82,J82,1,Data!$C$3:$C$14)</f>
        <v>45615</v>
      </c>
      <c r="M82" s="771">
        <v>1</v>
      </c>
      <c r="N82" s="531"/>
      <c r="O82" s="121"/>
    </row>
    <row r="83" spans="2:15">
      <c r="B83" s="764" t="s">
        <v>228</v>
      </c>
      <c r="C83" s="765" t="s">
        <v>229</v>
      </c>
      <c r="D83" s="24"/>
      <c r="F83" s="820"/>
      <c r="H83" s="24"/>
      <c r="I83" s="774">
        <f>WORKDAY.INTL(I79,0,1,Data!$C$3:$C$14)</f>
        <v>45604</v>
      </c>
      <c r="J83" s="775">
        <v>3</v>
      </c>
      <c r="K83" s="774">
        <f>WORKDAY.INTL(I83,J83,1,Data!$C$3:$C$14)</f>
        <v>45609</v>
      </c>
      <c r="M83" s="771">
        <v>1</v>
      </c>
      <c r="N83" s="531"/>
      <c r="O83" s="121"/>
    </row>
    <row r="84" spans="2:15">
      <c r="B84" s="760" t="s">
        <v>230</v>
      </c>
      <c r="C84" s="761" t="s">
        <v>231</v>
      </c>
      <c r="E84" s="114"/>
      <c r="G84" s="115"/>
      <c r="I84" s="769">
        <v>45635</v>
      </c>
      <c r="J84" s="770">
        <v>1</v>
      </c>
      <c r="K84" s="769">
        <f>WORKDAY.INTL(I84,J84,1,Data!$C$3:$C$14)</f>
        <v>45636</v>
      </c>
      <c r="M84" s="771">
        <v>1</v>
      </c>
      <c r="N84" s="531"/>
      <c r="O84" s="121"/>
    </row>
    <row r="85" spans="2:15">
      <c r="B85" s="762"/>
      <c r="C85" s="763"/>
      <c r="E85" s="114"/>
      <c r="G85" s="115"/>
      <c r="I85" s="773"/>
      <c r="J85" s="773"/>
      <c r="K85" s="773"/>
      <c r="M85" s="306"/>
      <c r="N85" s="531"/>
      <c r="O85" s="121"/>
    </row>
    <row r="86" spans="2:15">
      <c r="B86" s="758">
        <v>5</v>
      </c>
      <c r="C86" s="759" t="s">
        <v>232</v>
      </c>
      <c r="E86" s="114"/>
      <c r="G86" s="115"/>
      <c r="I86" s="766">
        <f>MIN(I87:I97)</f>
        <v>45635</v>
      </c>
      <c r="J86" s="767">
        <f>K86-I86</f>
        <v>102</v>
      </c>
      <c r="K86" s="766">
        <f>MAX(K87:K97)</f>
        <v>45737</v>
      </c>
      <c r="L86" s="116"/>
      <c r="M86" s="768">
        <f>AVERAGE(M87:M97)</f>
        <v>1</v>
      </c>
      <c r="N86" s="531"/>
      <c r="O86" s="121"/>
    </row>
    <row r="87" spans="2:15">
      <c r="B87" s="760" t="s">
        <v>233</v>
      </c>
      <c r="C87" s="761" t="s">
        <v>234</v>
      </c>
      <c r="E87" s="114"/>
      <c r="G87" s="115"/>
      <c r="I87" s="769">
        <v>45677</v>
      </c>
      <c r="J87" s="770">
        <v>5</v>
      </c>
      <c r="K87" s="769">
        <f>WORKDAY.INTL(I87,J87,1,Data!$C$3:$C$14)</f>
        <v>45684</v>
      </c>
      <c r="M87" s="771">
        <v>1</v>
      </c>
      <c r="N87" s="531"/>
      <c r="O87" s="121"/>
    </row>
    <row r="88" spans="2:15">
      <c r="B88" s="760" t="s">
        <v>235</v>
      </c>
      <c r="C88" s="761" t="s">
        <v>236</v>
      </c>
      <c r="E88" s="114"/>
      <c r="G88" s="115"/>
      <c r="I88" s="769">
        <v>45698</v>
      </c>
      <c r="J88" s="770">
        <v>24</v>
      </c>
      <c r="K88" s="769">
        <f>WORKDAY.INTL(I88,J88,1,Data!$C$3:$C$14)</f>
        <v>45730</v>
      </c>
      <c r="M88" s="771">
        <v>1</v>
      </c>
      <c r="N88" s="531"/>
      <c r="O88" s="121"/>
    </row>
    <row r="89" spans="2:15">
      <c r="B89" s="760" t="s">
        <v>237</v>
      </c>
      <c r="C89" s="761" t="s">
        <v>238</v>
      </c>
      <c r="E89" s="114"/>
      <c r="G89" s="115"/>
      <c r="I89" s="769">
        <f>K88</f>
        <v>45730</v>
      </c>
      <c r="J89" s="770">
        <v>3</v>
      </c>
      <c r="K89" s="769">
        <f>WORKDAY.INTL(I89,J89,1,Data!$C$3:$C$14)</f>
        <v>45735</v>
      </c>
      <c r="M89" s="771">
        <v>1</v>
      </c>
      <c r="N89" s="531"/>
      <c r="O89" s="121"/>
    </row>
    <row r="90" spans="2:15">
      <c r="B90" s="760" t="s">
        <v>239</v>
      </c>
      <c r="C90" s="761" t="s">
        <v>240</v>
      </c>
      <c r="E90" s="114"/>
      <c r="G90" s="115"/>
      <c r="I90" s="769">
        <v>45635</v>
      </c>
      <c r="J90" s="770">
        <v>1</v>
      </c>
      <c r="K90" s="769">
        <f>WORKDAY.INTL(I90,J90,1,Data!$C$3:$C$14)</f>
        <v>45636</v>
      </c>
      <c r="M90" s="771">
        <v>1</v>
      </c>
      <c r="N90" s="531"/>
      <c r="O90" s="121"/>
    </row>
    <row r="91" spans="2:15">
      <c r="B91" s="760" t="s">
        <v>241</v>
      </c>
      <c r="C91" s="761" t="s">
        <v>242</v>
      </c>
      <c r="E91" s="114"/>
      <c r="G91" s="115"/>
      <c r="I91" s="769">
        <f>WORKDAY.INTL(I88,0,1,Data!$C$3:$C$14)</f>
        <v>45698</v>
      </c>
      <c r="J91" s="770">
        <v>5</v>
      </c>
      <c r="K91" s="769">
        <f>WORKDAY.INTL(I91,J91,1,Data!$C$3:$C$14)</f>
        <v>45705</v>
      </c>
      <c r="M91" s="771">
        <v>1</v>
      </c>
      <c r="N91" s="531"/>
      <c r="O91" s="121"/>
    </row>
    <row r="92" spans="2:15">
      <c r="B92" s="760" t="s">
        <v>243</v>
      </c>
      <c r="C92" s="761" t="s">
        <v>244</v>
      </c>
      <c r="E92" s="114"/>
      <c r="G92" s="115"/>
      <c r="I92" s="769">
        <f>WORKDAY.INTL(K91,0,1,Data!$C$3:$C$14)</f>
        <v>45705</v>
      </c>
      <c r="J92" s="770">
        <v>1</v>
      </c>
      <c r="K92" s="769">
        <f>WORKDAY.INTL(I92,J92,1,Data!$C$3:$C$14)</f>
        <v>45706</v>
      </c>
      <c r="M92" s="771">
        <v>1</v>
      </c>
      <c r="N92" s="531"/>
      <c r="O92" s="121"/>
    </row>
    <row r="93" spans="2:15">
      <c r="B93" s="760" t="s">
        <v>245</v>
      </c>
      <c r="C93" s="761" t="s">
        <v>246</v>
      </c>
      <c r="E93" s="114"/>
      <c r="G93" s="115"/>
      <c r="I93" s="769">
        <f>WORKDAY.INTL(I90,0,1,Data!$C$3:$C$14)</f>
        <v>45635</v>
      </c>
      <c r="J93" s="770">
        <v>5</v>
      </c>
      <c r="K93" s="769">
        <f>WORKDAY.INTL(I93,J93,1,Data!$C$3:$C$14)</f>
        <v>45643</v>
      </c>
      <c r="M93" s="771">
        <v>1</v>
      </c>
      <c r="N93" s="531"/>
      <c r="O93" s="121"/>
    </row>
    <row r="94" spans="2:15">
      <c r="B94" s="760" t="s">
        <v>247</v>
      </c>
      <c r="C94" s="761" t="s">
        <v>248</v>
      </c>
      <c r="E94" s="114"/>
      <c r="G94" s="115"/>
      <c r="I94" s="769">
        <f>WORKDAY.INTL(I89,0,1,Data!$C$3:$C$14)</f>
        <v>45730</v>
      </c>
      <c r="J94" s="770">
        <v>5</v>
      </c>
      <c r="K94" s="769">
        <f>WORKDAY.INTL(I94,J94,1,Data!$C$3:$C$14)</f>
        <v>45737</v>
      </c>
      <c r="M94" s="771">
        <v>1</v>
      </c>
      <c r="N94" s="531"/>
      <c r="O94" s="121"/>
    </row>
    <row r="95" spans="2:15">
      <c r="B95" s="760" t="s">
        <v>249</v>
      </c>
      <c r="C95" s="782" t="s">
        <v>250</v>
      </c>
      <c r="E95" s="114"/>
      <c r="G95" s="115"/>
      <c r="I95" s="769">
        <f>WORKDAY.INTL(I89,0,1,Data!$C$3:$C$14)</f>
        <v>45730</v>
      </c>
      <c r="J95" s="770">
        <v>5</v>
      </c>
      <c r="K95" s="769">
        <f>WORKDAY.INTL(I95,J95,1,Data!$C$3:$C$14)</f>
        <v>45737</v>
      </c>
      <c r="M95" s="771">
        <v>1</v>
      </c>
      <c r="N95" s="531"/>
      <c r="O95" s="121"/>
    </row>
    <row r="96" spans="2:15">
      <c r="B96" s="760" t="s">
        <v>251</v>
      </c>
      <c r="C96" s="782" t="s">
        <v>252</v>
      </c>
      <c r="E96" s="114"/>
      <c r="G96" s="115"/>
      <c r="I96" s="769">
        <f>WORKDAY.INTL(K84,0,1,Data!$C$3:$C$14)</f>
        <v>45636</v>
      </c>
      <c r="J96" s="770">
        <v>0</v>
      </c>
      <c r="K96" s="769">
        <f>WORKDAY.INTL(I96,J96,1,Data!$C$3:$C$14)</f>
        <v>45636</v>
      </c>
      <c r="M96" s="771">
        <v>1</v>
      </c>
    </row>
    <row r="97" spans="2:17">
      <c r="B97" s="760" t="s">
        <v>253</v>
      </c>
      <c r="C97" s="782" t="s">
        <v>254</v>
      </c>
      <c r="E97" s="114"/>
      <c r="G97" s="115"/>
      <c r="I97" s="769">
        <v>45639</v>
      </c>
      <c r="J97" s="770">
        <v>3</v>
      </c>
      <c r="K97" s="769">
        <f>WORKDAY.INTL(I97,J97,1,Data!$C$3:$C$14)</f>
        <v>45645</v>
      </c>
      <c r="M97" s="771">
        <v>1</v>
      </c>
    </row>
    <row r="98" spans="2:17">
      <c r="B98" s="186"/>
      <c r="C98" s="114"/>
      <c r="E98" s="114"/>
      <c r="G98" s="115"/>
    </row>
    <row r="99" spans="2:17">
      <c r="B99" s="758">
        <v>6</v>
      </c>
      <c r="C99" s="759" t="s">
        <v>255</v>
      </c>
      <c r="E99" s="114"/>
      <c r="G99" s="115"/>
      <c r="I99" s="766"/>
      <c r="J99" s="767"/>
      <c r="K99" s="766"/>
      <c r="L99" s="116"/>
      <c r="M99" s="768">
        <f>AVERAGE(M100:M103)</f>
        <v>0.375</v>
      </c>
    </row>
    <row r="100" spans="2:17">
      <c r="B100" s="760"/>
      <c r="C100" s="782" t="s">
        <v>256</v>
      </c>
      <c r="E100" s="114"/>
      <c r="G100" s="115"/>
      <c r="I100" s="785">
        <f>K86+1</f>
        <v>45738</v>
      </c>
      <c r="J100" s="770">
        <v>5</v>
      </c>
      <c r="K100" s="785">
        <f>I100+J100</f>
        <v>45743</v>
      </c>
      <c r="M100" s="771">
        <v>0</v>
      </c>
    </row>
    <row r="101" spans="2:17">
      <c r="B101" s="760"/>
      <c r="C101" s="873" t="s">
        <v>257</v>
      </c>
      <c r="D101" s="178"/>
      <c r="E101" s="178"/>
      <c r="F101" s="874"/>
      <c r="G101" s="618"/>
      <c r="H101" s="178"/>
      <c r="I101" s="875">
        <f>WORKDAY.INTL(K76,0,1,Data!$C$3:$C$14)</f>
        <v>45625</v>
      </c>
      <c r="J101" s="876">
        <v>190</v>
      </c>
      <c r="K101" s="875">
        <f>WORKDAY.INTL(I101,J101,1,Data!$C$3:$C$14)</f>
        <v>45896</v>
      </c>
      <c r="L101" s="178"/>
      <c r="M101" s="877">
        <v>0.75</v>
      </c>
      <c r="N101" s="178"/>
      <c r="O101" s="178"/>
    </row>
    <row r="102" spans="2:17">
      <c r="B102" s="760"/>
      <c r="C102" s="782"/>
      <c r="E102" s="114"/>
      <c r="G102" s="115"/>
      <c r="I102" s="785"/>
      <c r="J102" s="770"/>
      <c r="K102" s="785"/>
      <c r="M102" s="771"/>
    </row>
    <row r="103" spans="2:17">
      <c r="B103" s="760"/>
      <c r="C103" s="782"/>
      <c r="E103" s="114"/>
      <c r="G103" s="115"/>
      <c r="I103" s="785"/>
      <c r="J103" s="770"/>
      <c r="K103" s="785"/>
      <c r="M103" s="771"/>
    </row>
    <row r="104" spans="2:17" s="3" customFormat="1">
      <c r="B104" s="188"/>
      <c r="E104" s="189"/>
      <c r="F104" s="109"/>
      <c r="J104" s="109"/>
    </row>
    <row r="105" spans="2:17" s="114" customFormat="1" ht="4.5" customHeight="1">
      <c r="B105" s="288"/>
      <c r="C105" s="264"/>
      <c r="D105" s="264"/>
      <c r="E105" s="289"/>
      <c r="F105" s="289"/>
      <c r="G105" s="290"/>
      <c r="H105" s="287"/>
      <c r="I105" s="291"/>
      <c r="J105" s="291"/>
      <c r="K105" s="292"/>
      <c r="N105" s="227"/>
      <c r="Q105" s="3"/>
    </row>
    <row r="106" spans="2:17" s="116" customFormat="1">
      <c r="B106" s="293">
        <v>1</v>
      </c>
      <c r="C106" s="294" t="s">
        <v>258</v>
      </c>
      <c r="D106" s="268"/>
      <c r="E106" s="295">
        <f>MIN(E107:E111)</f>
        <v>45454</v>
      </c>
      <c r="F106" s="296">
        <f>G106-E106</f>
        <v>16</v>
      </c>
      <c r="G106" s="295">
        <f>MAX(G107:G111)</f>
        <v>45470</v>
      </c>
      <c r="H106" s="269"/>
      <c r="I106" s="295">
        <f>MIN(I107:I111)</f>
        <v>45467</v>
      </c>
      <c r="J106" s="296">
        <f>K106-I106</f>
        <v>17</v>
      </c>
      <c r="K106" s="295">
        <f>MAX(K107:K111)</f>
        <v>45484</v>
      </c>
      <c r="M106" s="484">
        <f>(J107*M107+J108*M108+J109*M109+J110*M110+J111*M111)/SUM(J107:J111)</f>
        <v>1</v>
      </c>
      <c r="N106" s="530">
        <f>M106*J106</f>
        <v>17</v>
      </c>
      <c r="O106" s="121"/>
      <c r="P106" s="114"/>
      <c r="Q106" s="122"/>
    </row>
    <row r="107" spans="2:17" s="114" customFormat="1">
      <c r="B107" s="297" t="s">
        <v>91</v>
      </c>
      <c r="C107" s="298" t="s">
        <v>259</v>
      </c>
      <c r="D107" s="264"/>
      <c r="E107" s="299">
        <v>45461</v>
      </c>
      <c r="F107" s="300">
        <v>1</v>
      </c>
      <c r="G107" s="299">
        <f>WORKDAY.INTL(E107,F107,1,Data!$C$3:$C$14)</f>
        <v>45462</v>
      </c>
      <c r="H107" s="287"/>
      <c r="I107" s="299">
        <v>45467</v>
      </c>
      <c r="J107" s="300">
        <v>1</v>
      </c>
      <c r="K107" s="299">
        <f>WORKDAY.INTL(I107,J107,1,Data!$C$3:$C$14)</f>
        <v>45468</v>
      </c>
      <c r="M107" s="304">
        <v>1</v>
      </c>
      <c r="N107" s="532"/>
      <c r="O107" s="124"/>
      <c r="Q107" s="3"/>
    </row>
    <row r="108" spans="2:17" s="114" customFormat="1">
      <c r="B108" s="297" t="s">
        <v>93</v>
      </c>
      <c r="C108" s="298" t="s">
        <v>260</v>
      </c>
      <c r="D108" s="264"/>
      <c r="E108" s="299">
        <f>G107</f>
        <v>45462</v>
      </c>
      <c r="F108" s="300">
        <v>1</v>
      </c>
      <c r="G108" s="299">
        <f>WORKDAY.INTL(E108,F108,1,Data!$C$3:$C$14)</f>
        <v>45463</v>
      </c>
      <c r="H108" s="287"/>
      <c r="I108" s="299">
        <f>K107</f>
        <v>45468</v>
      </c>
      <c r="J108" s="300">
        <v>1</v>
      </c>
      <c r="K108" s="299">
        <f>WORKDAY.INTL(I108,J108,1,Data!$C$3:$C$14)</f>
        <v>45469</v>
      </c>
      <c r="M108" s="304">
        <v>1</v>
      </c>
      <c r="N108" s="531"/>
      <c r="O108" s="124"/>
      <c r="Q108" s="3"/>
    </row>
    <row r="109" spans="2:17" s="114" customFormat="1">
      <c r="B109" s="297" t="s">
        <v>96</v>
      </c>
      <c r="C109" s="298" t="s">
        <v>58</v>
      </c>
      <c r="D109" s="264"/>
      <c r="E109" s="299">
        <v>45454</v>
      </c>
      <c r="F109" s="300">
        <v>10</v>
      </c>
      <c r="G109" s="299">
        <f>E109+F109</f>
        <v>45464</v>
      </c>
      <c r="H109" s="287"/>
      <c r="I109" s="299">
        <f>K108</f>
        <v>45469</v>
      </c>
      <c r="J109" s="300">
        <v>10</v>
      </c>
      <c r="K109" s="299">
        <f>I109+J109</f>
        <v>45479</v>
      </c>
      <c r="M109" s="304">
        <v>1</v>
      </c>
      <c r="N109" s="531"/>
      <c r="O109" s="124"/>
      <c r="Q109" s="3"/>
    </row>
    <row r="110" spans="2:17" s="114" customFormat="1">
      <c r="B110" s="297" t="s">
        <v>98</v>
      </c>
      <c r="C110" s="298" t="s">
        <v>261</v>
      </c>
      <c r="D110" s="264"/>
      <c r="E110" s="299">
        <f>G111</f>
        <v>45469</v>
      </c>
      <c r="F110" s="300">
        <v>1</v>
      </c>
      <c r="G110" s="299">
        <f>WORKDAY.INTL(E110,F110,1,Data!$C$3:$C$14)</f>
        <v>45470</v>
      </c>
      <c r="H110" s="287"/>
      <c r="I110" s="299">
        <f>K109</f>
        <v>45479</v>
      </c>
      <c r="J110" s="300">
        <v>1</v>
      </c>
      <c r="K110" s="299">
        <f>WORKDAY.INTL(I110,J110,1,Data!$C$3:$C$14)</f>
        <v>45481</v>
      </c>
      <c r="M110" s="304">
        <v>1</v>
      </c>
      <c r="N110" s="531"/>
      <c r="O110" s="124"/>
      <c r="Q110" s="3"/>
    </row>
    <row r="111" spans="2:17" s="114" customFormat="1">
      <c r="B111" s="297" t="s">
        <v>100</v>
      </c>
      <c r="C111" s="298" t="s">
        <v>262</v>
      </c>
      <c r="D111" s="264"/>
      <c r="E111" s="299">
        <f>G109</f>
        <v>45464</v>
      </c>
      <c r="F111" s="300">
        <v>3</v>
      </c>
      <c r="G111" s="299">
        <f>WORKDAY.INTL(E111,F111,1,Data!$C$3:$C$14)</f>
        <v>45469</v>
      </c>
      <c r="H111" s="287"/>
      <c r="I111" s="299">
        <f>K110</f>
        <v>45481</v>
      </c>
      <c r="J111" s="300">
        <v>3</v>
      </c>
      <c r="K111" s="299">
        <f>WORKDAY.INTL(I111,J111,1,Data!$C$3:$C$14)</f>
        <v>45484</v>
      </c>
      <c r="M111" s="304">
        <v>1</v>
      </c>
      <c r="N111" s="531"/>
      <c r="O111" s="124"/>
      <c r="Q111" s="3"/>
    </row>
    <row r="112" spans="2:17" s="114" customFormat="1" ht="7.5" customHeight="1">
      <c r="B112" s="288"/>
      <c r="C112" s="264"/>
      <c r="D112" s="264"/>
      <c r="E112" s="289"/>
      <c r="F112" s="289"/>
      <c r="G112" s="289"/>
      <c r="H112" s="287"/>
      <c r="I112" s="289"/>
      <c r="J112" s="289"/>
      <c r="K112" s="289"/>
      <c r="N112" s="227"/>
      <c r="Q112" s="3"/>
    </row>
    <row r="113" spans="2:28" s="116" customFormat="1">
      <c r="B113" s="293">
        <v>2</v>
      </c>
      <c r="C113" s="294" t="s">
        <v>263</v>
      </c>
      <c r="D113" s="268"/>
      <c r="E113" s="295">
        <f>MIN(E114:E115)</f>
        <v>45503</v>
      </c>
      <c r="F113" s="296">
        <f>G113-E113</f>
        <v>1</v>
      </c>
      <c r="G113" s="295">
        <f>MAX(G114)</f>
        <v>45504</v>
      </c>
      <c r="H113" s="269"/>
      <c r="I113" s="295">
        <f>MIN(I114:I115)</f>
        <v>45503</v>
      </c>
      <c r="J113" s="296">
        <f>K113-I113</f>
        <v>1</v>
      </c>
      <c r="K113" s="295">
        <f>MAX(K114)</f>
        <v>45504</v>
      </c>
      <c r="M113" s="484">
        <f>(J114*M114)/J113</f>
        <v>1</v>
      </c>
      <c r="N113" s="530">
        <f>J113*M113</f>
        <v>1</v>
      </c>
      <c r="O113" s="121"/>
      <c r="P113" s="114"/>
      <c r="Q113" s="125"/>
      <c r="R113" s="120"/>
      <c r="S113" s="120"/>
      <c r="T113" s="120"/>
      <c r="U113" s="120"/>
      <c r="V113" s="120"/>
      <c r="W113" s="120"/>
      <c r="X113" s="120"/>
      <c r="Y113" s="123"/>
      <c r="Z113" s="120"/>
      <c r="AA113" s="120"/>
      <c r="AB113" s="120"/>
    </row>
    <row r="114" spans="2:28" s="114" customFormat="1">
      <c r="B114" s="297" t="s">
        <v>115</v>
      </c>
      <c r="C114" s="298" t="s">
        <v>264</v>
      </c>
      <c r="D114" s="264"/>
      <c r="E114" s="654">
        <v>45503</v>
      </c>
      <c r="F114" s="300">
        <v>1</v>
      </c>
      <c r="G114" s="299">
        <f>E114+F114</f>
        <v>45504</v>
      </c>
      <c r="H114" s="287"/>
      <c r="I114" s="654">
        <v>45503</v>
      </c>
      <c r="J114" s="300">
        <v>1</v>
      </c>
      <c r="K114" s="299">
        <f>I114+J114</f>
        <v>45504</v>
      </c>
      <c r="M114" s="304">
        <v>1</v>
      </c>
      <c r="N114" s="532"/>
      <c r="O114" s="124"/>
      <c r="Q114" s="126"/>
      <c r="R114" s="123"/>
      <c r="S114" s="123">
        <f>NETWORKDAYS(I114,K152)</f>
        <v>112</v>
      </c>
      <c r="T114" s="123"/>
      <c r="U114" s="123"/>
      <c r="V114" s="123"/>
      <c r="W114" s="123"/>
      <c r="X114" s="123"/>
      <c r="Z114" s="123"/>
      <c r="AA114" s="123"/>
      <c r="AB114" s="123"/>
    </row>
    <row r="115" spans="2:28" s="114" customFormat="1" ht="6.75" customHeight="1">
      <c r="B115" s="301"/>
      <c r="C115" s="266"/>
      <c r="D115" s="264"/>
      <c r="E115" s="299"/>
      <c r="F115" s="300"/>
      <c r="G115" s="299"/>
      <c r="H115" s="287"/>
      <c r="I115" s="299"/>
      <c r="J115" s="300"/>
      <c r="K115" s="299"/>
      <c r="M115" s="127"/>
      <c r="N115" s="531"/>
      <c r="O115" s="121"/>
      <c r="Q115" s="126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spans="2:28" s="116" customFormat="1">
      <c r="B116" s="293">
        <v>3</v>
      </c>
      <c r="C116" s="294" t="s">
        <v>265</v>
      </c>
      <c r="D116" s="268"/>
      <c r="E116" s="295">
        <f>MIN(E117:E130)</f>
        <v>45503</v>
      </c>
      <c r="F116" s="296">
        <f>G116-E116</f>
        <v>86</v>
      </c>
      <c r="G116" s="295">
        <f>MAX(G117:G130)</f>
        <v>45589</v>
      </c>
      <c r="H116" s="302"/>
      <c r="I116" s="295">
        <f>MIN(I117:I130)</f>
        <v>45503</v>
      </c>
      <c r="J116" s="296">
        <f>K116-I116</f>
        <v>105</v>
      </c>
      <c r="K116" s="295">
        <f>MAX(K117:K130)</f>
        <v>45608</v>
      </c>
      <c r="M116" s="484">
        <v>1</v>
      </c>
      <c r="N116" s="530">
        <f>J116*M116</f>
        <v>105</v>
      </c>
      <c r="O116" s="121"/>
      <c r="P116" s="114"/>
      <c r="Q116" s="125"/>
      <c r="R116" s="120"/>
      <c r="S116" s="120">
        <f>S114/5</f>
        <v>22.4</v>
      </c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 spans="2:28" s="114" customFormat="1">
      <c r="B117" s="297" t="s">
        <v>145</v>
      </c>
      <c r="C117" s="298" t="s">
        <v>266</v>
      </c>
      <c r="D117" s="264"/>
      <c r="E117" s="299">
        <f>WORKDAY.INTL(E114,0,1,Data!$C$3:$C$14)</f>
        <v>45503</v>
      </c>
      <c r="F117" s="300">
        <v>2</v>
      </c>
      <c r="G117" s="299">
        <f>WORKDAY.INTL(E117,F117,1,Data!$C$3:$C$14)</f>
        <v>45505</v>
      </c>
      <c r="H117" s="287"/>
      <c r="I117" s="299">
        <f>WORKDAY.INTL(I114,0,1,Data!$C$3:$C$14)</f>
        <v>45503</v>
      </c>
      <c r="J117" s="300">
        <v>2</v>
      </c>
      <c r="K117" s="299">
        <f>WORKDAY.INTL(I117,J117,1,Data!$C$3:$C$14)</f>
        <v>45505</v>
      </c>
      <c r="M117" s="304">
        <v>1</v>
      </c>
      <c r="N117" s="533"/>
      <c r="O117" s="124"/>
      <c r="Q117" s="126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spans="2:28" s="114" customFormat="1">
      <c r="B118" s="297" t="s">
        <v>147</v>
      </c>
      <c r="C118" s="298" t="s">
        <v>267</v>
      </c>
      <c r="D118" s="264"/>
      <c r="E118" s="299">
        <f>WORKDAY.INTL(E114,0,1,Data!$C$3:$C$14)</f>
        <v>45503</v>
      </c>
      <c r="F118" s="300">
        <v>10</v>
      </c>
      <c r="G118" s="299">
        <f>WORKDAY.INTL(E118,F118,1,Data!$C$3:$C$14)</f>
        <v>45518</v>
      </c>
      <c r="H118" s="287"/>
      <c r="I118" s="299">
        <f>I45</f>
        <v>45574</v>
      </c>
      <c r="J118" s="300">
        <f>J45</f>
        <v>16</v>
      </c>
      <c r="K118" s="299">
        <f>K45</f>
        <v>45596</v>
      </c>
      <c r="M118" s="304">
        <v>1</v>
      </c>
      <c r="N118" s="533"/>
      <c r="O118" s="124"/>
      <c r="Q118" s="126"/>
      <c r="R118" s="123"/>
      <c r="S118" s="123">
        <f>1510/S116</f>
        <v>67.410714285714292</v>
      </c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spans="2:28" s="114" customFormat="1">
      <c r="B119" s="297" t="s">
        <v>149</v>
      </c>
      <c r="C119" s="298" t="s">
        <v>268</v>
      </c>
      <c r="D119" s="264"/>
      <c r="E119" s="299">
        <f>WORKDAY.INTL(E114,0,1,Data!$C$3:$C$14)</f>
        <v>45503</v>
      </c>
      <c r="F119" s="300">
        <v>5</v>
      </c>
      <c r="G119" s="299">
        <f>WORKDAY.INTL(E119,F119,1,Data!$C$3:$C$14)</f>
        <v>45510</v>
      </c>
      <c r="H119" s="287"/>
      <c r="I119" s="299">
        <f>I59</f>
        <v>45579</v>
      </c>
      <c r="J119" s="300">
        <f t="shared" ref="J119:K119" si="2">J59</f>
        <v>5</v>
      </c>
      <c r="K119" s="299">
        <f t="shared" si="2"/>
        <v>45586</v>
      </c>
      <c r="M119" s="304">
        <v>1</v>
      </c>
      <c r="N119" s="533"/>
      <c r="O119" s="124" t="s">
        <v>269</v>
      </c>
      <c r="Q119" s="126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spans="2:28" s="114" customFormat="1">
      <c r="B120" s="297" t="s">
        <v>151</v>
      </c>
      <c r="C120" s="298" t="s">
        <v>270</v>
      </c>
      <c r="D120" s="264"/>
      <c r="E120" s="299">
        <f>WORKDAY.INTL(G118,0,1,Data!$C$3:$C$14)</f>
        <v>45518</v>
      </c>
      <c r="F120" s="300">
        <v>2</v>
      </c>
      <c r="G120" s="299">
        <f>WORKDAY.INTL(E120,F120,1,Data!$C$3:$C$14)</f>
        <v>45520</v>
      </c>
      <c r="H120" s="287"/>
      <c r="I120" s="299">
        <f t="shared" ref="I120:K121" si="3">I58</f>
        <v>45597</v>
      </c>
      <c r="J120" s="300">
        <f t="shared" si="3"/>
        <v>4</v>
      </c>
      <c r="K120" s="299">
        <f t="shared" si="3"/>
        <v>45603</v>
      </c>
      <c r="M120" s="304">
        <v>1</v>
      </c>
      <c r="N120" s="531"/>
      <c r="O120" s="124"/>
      <c r="Q120" s="126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spans="2:28" s="114" customFormat="1">
      <c r="B121" s="297" t="s">
        <v>153</v>
      </c>
      <c r="C121" s="298" t="s">
        <v>271</v>
      </c>
      <c r="D121" s="264"/>
      <c r="E121" s="299">
        <f>WORKDAY.INTL(G119,0,1,Data!$C$3:$C$14)</f>
        <v>45510</v>
      </c>
      <c r="F121" s="300">
        <v>2</v>
      </c>
      <c r="G121" s="299">
        <f>WORKDAY.INTL(E121,F121,1,Data!$C$3:$C$14)</f>
        <v>45512</v>
      </c>
      <c r="H121" s="287"/>
      <c r="I121" s="299">
        <f t="shared" si="3"/>
        <v>45579</v>
      </c>
      <c r="J121" s="300">
        <f t="shared" si="3"/>
        <v>5</v>
      </c>
      <c r="K121" s="299">
        <f t="shared" si="3"/>
        <v>45586</v>
      </c>
      <c r="M121" s="304">
        <v>1</v>
      </c>
      <c r="N121" s="531"/>
      <c r="O121" s="124"/>
      <c r="Q121" s="126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spans="2:28" s="114" customFormat="1">
      <c r="B122" s="297" t="s">
        <v>155</v>
      </c>
      <c r="C122" s="298" t="s">
        <v>272</v>
      </c>
      <c r="D122" s="264"/>
      <c r="E122" s="654">
        <f>E114</f>
        <v>45503</v>
      </c>
      <c r="F122" s="300">
        <v>30</v>
      </c>
      <c r="G122" s="299">
        <f>WORKDAY.INTL(E122,F122,1,Data!$C$3:$C$14)</f>
        <v>45546</v>
      </c>
      <c r="H122" s="287"/>
      <c r="I122" s="654">
        <v>45503</v>
      </c>
      <c r="J122" s="300">
        <v>30</v>
      </c>
      <c r="K122" s="299">
        <v>45546</v>
      </c>
      <c r="M122" s="304">
        <v>1</v>
      </c>
      <c r="N122" s="531"/>
      <c r="O122" s="124"/>
      <c r="Q122" s="126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spans="2:28" s="114" customFormat="1">
      <c r="B123" s="297" t="s">
        <v>157</v>
      </c>
      <c r="C123" s="298" t="s">
        <v>273</v>
      </c>
      <c r="D123" s="264"/>
      <c r="E123" s="654">
        <f>E114</f>
        <v>45503</v>
      </c>
      <c r="F123" s="300">
        <v>30</v>
      </c>
      <c r="G123" s="299">
        <f>WORKDAY.INTL(E123,F123,1,Data!$C$3:$C$14)</f>
        <v>45546</v>
      </c>
      <c r="H123" s="287"/>
      <c r="I123" s="654">
        <v>45503</v>
      </c>
      <c r="J123" s="300">
        <v>30</v>
      </c>
      <c r="K123" s="299">
        <v>45546</v>
      </c>
      <c r="M123" s="304">
        <v>1</v>
      </c>
      <c r="N123" s="531"/>
      <c r="O123" s="124"/>
      <c r="Q123" s="126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spans="2:28" s="114" customFormat="1">
      <c r="B124" s="297" t="s">
        <v>159</v>
      </c>
      <c r="C124" s="298" t="s">
        <v>274</v>
      </c>
      <c r="D124" s="264"/>
      <c r="E124" s="299">
        <f>WORKDAY.INTL(E120,0,1,Data!$C$3:$C$14)</f>
        <v>45518</v>
      </c>
      <c r="F124" s="300">
        <v>40</v>
      </c>
      <c r="G124" s="299">
        <f>WORKDAY.INTL(E124,F124,1,Data!$C$3:$C$14)</f>
        <v>45575</v>
      </c>
      <c r="H124" s="287"/>
      <c r="I124" s="299">
        <f t="shared" ref="I124:K125" si="4">I67</f>
        <v>45602</v>
      </c>
      <c r="J124" s="300">
        <f t="shared" si="4"/>
        <v>2</v>
      </c>
      <c r="K124" s="299">
        <f t="shared" si="4"/>
        <v>45604</v>
      </c>
      <c r="M124" s="304">
        <v>1</v>
      </c>
      <c r="N124" s="531"/>
      <c r="O124" s="124"/>
      <c r="Q124" s="126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spans="2:28" s="114" customFormat="1">
      <c r="B125" s="297" t="s">
        <v>162</v>
      </c>
      <c r="C125" s="298" t="s">
        <v>275</v>
      </c>
      <c r="D125" s="264"/>
      <c r="E125" s="299">
        <f>WORKDAY.INTL(E121,0,1,Data!$C$3:$C$14)</f>
        <v>45510</v>
      </c>
      <c r="F125" s="300">
        <v>40</v>
      </c>
      <c r="G125" s="299">
        <f>WORKDAY.INTL(E125,F125,1,Data!$C$3:$C$14)</f>
        <v>45568</v>
      </c>
      <c r="H125" s="287"/>
      <c r="I125" s="299">
        <f t="shared" si="4"/>
        <v>45602</v>
      </c>
      <c r="J125" s="300">
        <f t="shared" si="4"/>
        <v>2</v>
      </c>
      <c r="K125" s="299">
        <f t="shared" si="4"/>
        <v>45604</v>
      </c>
      <c r="M125" s="304">
        <v>1</v>
      </c>
      <c r="N125" s="531"/>
      <c r="O125" s="124"/>
      <c r="Q125" s="126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spans="2:28" s="114" customFormat="1">
      <c r="B126" s="297" t="s">
        <v>164</v>
      </c>
      <c r="C126" s="722" t="s">
        <v>276</v>
      </c>
      <c r="D126" s="264"/>
      <c r="E126" s="299">
        <f>WORKDAY.INTL(E114,0,1,Data!$C$3:$C$14)</f>
        <v>45503</v>
      </c>
      <c r="F126" s="300">
        <v>1</v>
      </c>
      <c r="G126" s="299">
        <f>WORKDAY.INTL(E126,F126,1,Data!$C$3:$C$14)</f>
        <v>45504</v>
      </c>
      <c r="H126" s="287"/>
      <c r="I126" s="299">
        <f>I70</f>
        <v>45604</v>
      </c>
      <c r="J126" s="300">
        <v>1</v>
      </c>
      <c r="K126" s="299">
        <f>WORKDAY.INTL(I126,J126,1,Data!$C$3:$C$14)</f>
        <v>45607</v>
      </c>
      <c r="M126" s="304">
        <v>1</v>
      </c>
      <c r="N126" s="531"/>
      <c r="O126" s="124"/>
      <c r="Q126" s="126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spans="2:28" s="114" customFormat="1">
      <c r="B127" s="297" t="s">
        <v>166</v>
      </c>
      <c r="C127" s="722" t="s">
        <v>277</v>
      </c>
      <c r="D127" s="264"/>
      <c r="E127" s="299">
        <f>WORKDAY.INTL(E124,0,1,Data!$C$3:$C$14)</f>
        <v>45518</v>
      </c>
      <c r="F127" s="300">
        <f>F124</f>
        <v>40</v>
      </c>
      <c r="G127" s="299">
        <f>WORKDAY.INTL(E127,F127,1,Data!$C$3:$C$14)</f>
        <v>45575</v>
      </c>
      <c r="H127" s="287"/>
      <c r="I127" s="299">
        <f>I126</f>
        <v>45604</v>
      </c>
      <c r="J127" s="300">
        <v>1</v>
      </c>
      <c r="K127" s="299">
        <f>WORKDAY.INTL(I127,J127,1,Data!$C$3:$C$14)</f>
        <v>45607</v>
      </c>
      <c r="M127" s="304">
        <v>1</v>
      </c>
      <c r="N127" s="531"/>
      <c r="O127" s="124"/>
      <c r="Q127" s="126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spans="2:28" s="114" customFormat="1">
      <c r="B128" s="297" t="s">
        <v>168</v>
      </c>
      <c r="C128" s="722" t="s">
        <v>278</v>
      </c>
      <c r="D128" s="264"/>
      <c r="E128" s="299">
        <f>WORKDAY.INTL(G127,0,1,Data!$C$3:$C$14)</f>
        <v>45575</v>
      </c>
      <c r="F128" s="300">
        <v>10</v>
      </c>
      <c r="G128" s="299">
        <f>WORKDAY.INTL(E128,F128,1,Data!$C$3:$C$14)</f>
        <v>45589</v>
      </c>
      <c r="H128" s="287"/>
      <c r="I128" s="299">
        <f>I127</f>
        <v>45604</v>
      </c>
      <c r="J128" s="300">
        <v>1</v>
      </c>
      <c r="K128" s="299">
        <f>WORKDAY.INTL(I128,J128,1,Data!$C$3:$C$14)</f>
        <v>45607</v>
      </c>
      <c r="M128" s="304">
        <v>1</v>
      </c>
      <c r="N128" s="531"/>
      <c r="O128" s="124"/>
      <c r="Q128" s="126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spans="2:28" s="114" customFormat="1">
      <c r="B129" s="297" t="s">
        <v>170</v>
      </c>
      <c r="C129" s="298" t="s">
        <v>279</v>
      </c>
      <c r="D129" s="264"/>
      <c r="E129" s="299">
        <f>WORKDAY.INTL(G122,0,1,Data!$C$3:$C$14)</f>
        <v>45546</v>
      </c>
      <c r="F129" s="300">
        <v>2</v>
      </c>
      <c r="G129" s="299">
        <f>WORKDAY.INTL(E129,F129,1,Data!$C$3:$C$14)</f>
        <v>45548</v>
      </c>
      <c r="H129" s="287"/>
      <c r="I129" s="299">
        <f>K125</f>
        <v>45604</v>
      </c>
      <c r="J129" s="300">
        <v>2</v>
      </c>
      <c r="K129" s="299">
        <f>WORKDAY.INTL(I129,J129,1,Data!$C$3:$C$14)</f>
        <v>45608</v>
      </c>
      <c r="M129" s="304">
        <v>1</v>
      </c>
      <c r="N129" s="531"/>
      <c r="O129" s="124"/>
      <c r="Q129" s="126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spans="2:28" s="114" customFormat="1">
      <c r="B130" s="297" t="s">
        <v>172</v>
      </c>
      <c r="C130" s="298" t="s">
        <v>280</v>
      </c>
      <c r="D130" s="264"/>
      <c r="E130" s="299">
        <f>G122+5</f>
        <v>45551</v>
      </c>
      <c r="F130" s="300">
        <v>2</v>
      </c>
      <c r="G130" s="299">
        <f>WORKDAY.INTL(E130,F130,1,Data!$C$3:$C$14)</f>
        <v>45553</v>
      </c>
      <c r="H130" s="287"/>
      <c r="I130" s="299">
        <f>I129+2</f>
        <v>45606</v>
      </c>
      <c r="J130" s="300">
        <v>2</v>
      </c>
      <c r="K130" s="299">
        <f>WORKDAY.INTL(I130,J130,1,Data!$C$3:$C$14)</f>
        <v>45608</v>
      </c>
      <c r="M130" s="304">
        <v>1</v>
      </c>
      <c r="N130" s="531"/>
      <c r="O130" s="124"/>
      <c r="Q130" s="126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spans="2:28" s="114" customFormat="1" ht="4.5" customHeight="1">
      <c r="B131" s="301"/>
      <c r="C131" s="266"/>
      <c r="D131" s="264"/>
      <c r="E131" s="299"/>
      <c r="F131" s="300"/>
      <c r="G131" s="299"/>
      <c r="H131" s="287"/>
      <c r="I131" s="299"/>
      <c r="J131" s="300"/>
      <c r="K131" s="299"/>
      <c r="M131" s="127"/>
      <c r="N131" s="531"/>
      <c r="O131" s="121"/>
      <c r="Q131" s="126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spans="2:28" s="116" customFormat="1">
      <c r="B132" s="293">
        <v>4</v>
      </c>
      <c r="C132" s="294" t="s">
        <v>34</v>
      </c>
      <c r="D132" s="268"/>
      <c r="E132" s="295">
        <f>MIN(E134:E137)</f>
        <v>45503</v>
      </c>
      <c r="F132" s="296">
        <f>G132-E132</f>
        <v>90</v>
      </c>
      <c r="G132" s="295">
        <f>MAX(G134:G137)</f>
        <v>45593</v>
      </c>
      <c r="H132" s="302"/>
      <c r="I132" s="295">
        <f>MIN(I134:I137)</f>
        <v>45503</v>
      </c>
      <c r="J132" s="296">
        <f>K132-I132</f>
        <v>99</v>
      </c>
      <c r="K132" s="295">
        <f>MAX(K134:K137)</f>
        <v>45602</v>
      </c>
      <c r="M132" s="484">
        <v>1</v>
      </c>
      <c r="N132" s="530">
        <f>J132*M132</f>
        <v>99</v>
      </c>
      <c r="O132" s="121"/>
      <c r="P132" s="114"/>
      <c r="Q132" s="125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 spans="2:28" s="114" customFormat="1">
      <c r="B133" s="297" t="s">
        <v>219</v>
      </c>
      <c r="C133" s="298" t="s">
        <v>281</v>
      </c>
      <c r="D133" s="264"/>
      <c r="E133" s="299">
        <f>E113</f>
        <v>45503</v>
      </c>
      <c r="F133" s="300">
        <v>5</v>
      </c>
      <c r="G133" s="299">
        <f>WORKDAY.INTL(E133,F133,1,Data!$C$3:$C$14)</f>
        <v>45510</v>
      </c>
      <c r="H133" s="287"/>
      <c r="I133" s="299">
        <v>45503</v>
      </c>
      <c r="J133" s="300">
        <v>5</v>
      </c>
      <c r="K133" s="299">
        <v>45510</v>
      </c>
      <c r="M133" s="304">
        <v>1</v>
      </c>
      <c r="N133" s="532"/>
      <c r="O133" s="124"/>
      <c r="Q133" s="126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spans="2:28" s="114" customFormat="1">
      <c r="B134" s="297" t="s">
        <v>219</v>
      </c>
      <c r="C134" s="298" t="s">
        <v>282</v>
      </c>
      <c r="D134" s="264"/>
      <c r="E134" s="299">
        <f>E114</f>
        <v>45503</v>
      </c>
      <c r="F134" s="300">
        <v>1</v>
      </c>
      <c r="G134" s="299">
        <f>WORKDAY.INTL(E134,F134,1,Data!$C$3:$C$14)</f>
        <v>45504</v>
      </c>
      <c r="H134" s="287"/>
      <c r="I134" s="299">
        <v>45503</v>
      </c>
      <c r="J134" s="300">
        <v>1</v>
      </c>
      <c r="K134" s="299">
        <v>45504</v>
      </c>
      <c r="M134" s="304">
        <v>1</v>
      </c>
      <c r="N134" s="532"/>
      <c r="O134" s="124"/>
      <c r="Q134" s="126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spans="2:28" s="114" customFormat="1">
      <c r="B135" s="297" t="s">
        <v>221</v>
      </c>
      <c r="C135" s="298" t="s">
        <v>283</v>
      </c>
      <c r="D135" s="264"/>
      <c r="E135" s="299">
        <f>WORKDAY.INTL(G134,0,1,Data!$C$3:$C$14)</f>
        <v>45504</v>
      </c>
      <c r="F135" s="300">
        <v>20</v>
      </c>
      <c r="G135" s="299">
        <f>WORKDAY.INTL(E135,F135,1,Data!$C$3:$C$14)</f>
        <v>45533</v>
      </c>
      <c r="H135" s="287"/>
      <c r="I135" s="299">
        <v>45504</v>
      </c>
      <c r="J135" s="300">
        <v>20</v>
      </c>
      <c r="K135" s="299">
        <v>45533</v>
      </c>
      <c r="M135" s="304">
        <v>1</v>
      </c>
      <c r="N135" s="531"/>
      <c r="O135" s="124"/>
      <c r="Q135" s="126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spans="2:28" s="114" customFormat="1">
      <c r="B136" s="297" t="s">
        <v>224</v>
      </c>
      <c r="C136" s="298" t="s">
        <v>284</v>
      </c>
      <c r="D136" s="264"/>
      <c r="E136" s="299">
        <f>G135-10</f>
        <v>45523</v>
      </c>
      <c r="F136" s="300">
        <v>1</v>
      </c>
      <c r="G136" s="299">
        <f>WORKDAY.INTL(E136,F136,1,Data!$C$3:$C$14)</f>
        <v>45524</v>
      </c>
      <c r="H136" s="287"/>
      <c r="I136" s="299">
        <v>45523</v>
      </c>
      <c r="J136" s="300">
        <v>1</v>
      </c>
      <c r="K136" s="299">
        <v>45524</v>
      </c>
      <c r="M136" s="304">
        <v>1</v>
      </c>
      <c r="N136" s="531"/>
      <c r="O136" s="124"/>
      <c r="Q136" s="126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spans="2:28" s="114" customFormat="1">
      <c r="B137" s="297" t="s">
        <v>224</v>
      </c>
      <c r="C137" s="298" t="s">
        <v>285</v>
      </c>
      <c r="D137" s="264"/>
      <c r="E137" s="299">
        <f>E141+20</f>
        <v>45543</v>
      </c>
      <c r="F137" s="300">
        <v>35</v>
      </c>
      <c r="G137" s="299">
        <f>WORKDAY.INTL(E137,F137,1,Data!$C$3:$C$14)</f>
        <v>45593</v>
      </c>
      <c r="H137" s="287"/>
      <c r="I137" s="299">
        <f>I49</f>
        <v>45596</v>
      </c>
      <c r="J137" s="300">
        <f>J49</f>
        <v>4</v>
      </c>
      <c r="K137" s="299">
        <f>K49</f>
        <v>45602</v>
      </c>
      <c r="M137" s="304">
        <v>1</v>
      </c>
      <c r="N137" s="531"/>
      <c r="O137" s="124"/>
      <c r="Q137" s="126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spans="2:28" s="114" customFormat="1" ht="4.5" customHeight="1">
      <c r="B138" s="301"/>
      <c r="C138" s="266"/>
      <c r="D138" s="264"/>
      <c r="E138" s="299"/>
      <c r="F138" s="300"/>
      <c r="G138" s="299"/>
      <c r="H138" s="287"/>
      <c r="I138" s="299"/>
      <c r="J138" s="300"/>
      <c r="K138" s="299"/>
      <c r="M138" s="127"/>
      <c r="N138" s="531"/>
      <c r="O138" s="121"/>
      <c r="Q138" s="126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spans="2:28" s="116" customFormat="1">
      <c r="B139" s="293">
        <v>5</v>
      </c>
      <c r="C139" s="294" t="s">
        <v>286</v>
      </c>
      <c r="D139" s="268"/>
      <c r="E139" s="295">
        <f>MIN(E140:E141)</f>
        <v>45523</v>
      </c>
      <c r="F139" s="296">
        <f>G139-E139</f>
        <v>57</v>
      </c>
      <c r="G139" s="295">
        <f>MAX(G140:G141)</f>
        <v>45580</v>
      </c>
      <c r="H139" s="269"/>
      <c r="I139" s="295">
        <f>MIN(I140:I141)</f>
        <v>45523</v>
      </c>
      <c r="J139" s="296">
        <f>K139-I139</f>
        <v>44</v>
      </c>
      <c r="K139" s="295">
        <f>MAX(K140:K141)</f>
        <v>45567</v>
      </c>
      <c r="M139" s="484">
        <f>(J140*M140+J141*M141)/SUM(J140:J141)</f>
        <v>1</v>
      </c>
      <c r="N139" s="530">
        <f>J139*M139</f>
        <v>44</v>
      </c>
      <c r="O139" s="121"/>
      <c r="P139" s="114"/>
      <c r="Q139" s="125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 spans="2:28" s="114" customFormat="1">
      <c r="B140" s="297" t="s">
        <v>233</v>
      </c>
      <c r="C140" s="298" t="s">
        <v>287</v>
      </c>
      <c r="D140" s="264"/>
      <c r="E140" s="303">
        <f>G135-10</f>
        <v>45523</v>
      </c>
      <c r="F140" s="300">
        <v>1</v>
      </c>
      <c r="G140" s="299">
        <f>WORKDAY.INTL(E140,F140,1,Data!$C$3:$C$14)</f>
        <v>45524</v>
      </c>
      <c r="H140" s="287"/>
      <c r="I140" s="303">
        <v>45523</v>
      </c>
      <c r="J140" s="300">
        <v>1</v>
      </c>
      <c r="K140" s="299">
        <v>45524</v>
      </c>
      <c r="M140" s="304">
        <v>1</v>
      </c>
      <c r="N140" s="532"/>
      <c r="O140" s="124"/>
      <c r="Q140" s="126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spans="2:28" s="114" customFormat="1">
      <c r="B141" s="297" t="s">
        <v>237</v>
      </c>
      <c r="C141" s="298" t="s">
        <v>288</v>
      </c>
      <c r="D141" s="264"/>
      <c r="E141" s="303">
        <f>E140</f>
        <v>45523</v>
      </c>
      <c r="F141" s="300">
        <v>40</v>
      </c>
      <c r="G141" s="299">
        <f>WORKDAY.INTL(E141,F141,1,Data!$C$3:$C$14)</f>
        <v>45580</v>
      </c>
      <c r="H141" s="287"/>
      <c r="I141" s="303">
        <f>I53</f>
        <v>45547</v>
      </c>
      <c r="J141" s="300">
        <f>K141-I141</f>
        <v>20</v>
      </c>
      <c r="K141" s="299">
        <f>K57</f>
        <v>45567</v>
      </c>
      <c r="M141" s="304">
        <v>1</v>
      </c>
      <c r="N141" s="531"/>
      <c r="O141" s="124"/>
      <c r="Q141" s="126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spans="2:28" s="114" customFormat="1" ht="4.5" customHeight="1">
      <c r="B142" s="288"/>
      <c r="C142" s="264"/>
      <c r="D142" s="264"/>
      <c r="E142" s="300"/>
      <c r="F142" s="289"/>
      <c r="G142" s="300"/>
      <c r="H142" s="287"/>
      <c r="I142" s="300"/>
      <c r="J142" s="289"/>
      <c r="K142" s="300"/>
      <c r="L142" s="123"/>
      <c r="M142" s="123"/>
      <c r="N142" s="531"/>
      <c r="O142" s="123"/>
      <c r="Q142" s="126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spans="2:28" s="116" customFormat="1">
      <c r="B143" s="293">
        <v>6</v>
      </c>
      <c r="C143" s="294" t="s">
        <v>289</v>
      </c>
      <c r="D143" s="268"/>
      <c r="E143" s="295">
        <f>MIN(E144:E145)</f>
        <v>45593</v>
      </c>
      <c r="F143" s="296">
        <f>G143-E143</f>
        <v>7</v>
      </c>
      <c r="G143" s="295">
        <f>MAX(G144:G145)</f>
        <v>45600</v>
      </c>
      <c r="H143" s="269"/>
      <c r="I143" s="295">
        <f>MIN(I144:I145)</f>
        <v>45604</v>
      </c>
      <c r="J143" s="296">
        <f>K143-I143</f>
        <v>11</v>
      </c>
      <c r="K143" s="295">
        <f>MAX(K144:K145)</f>
        <v>45615</v>
      </c>
      <c r="M143" s="484">
        <f>(J144*M144+J145*M145)/SUM(J144:J145)</f>
        <v>1</v>
      </c>
      <c r="N143" s="530">
        <f>J143*M143</f>
        <v>11</v>
      </c>
      <c r="O143" s="121"/>
      <c r="P143" s="114"/>
      <c r="Q143" s="125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 spans="2:28" s="114" customFormat="1">
      <c r="B144" s="297" t="s">
        <v>290</v>
      </c>
      <c r="C144" s="292" t="s">
        <v>289</v>
      </c>
      <c r="D144" s="264"/>
      <c r="E144" s="303">
        <f>WORKDAY.INTL(MAX(G116,G132,G139),0,1,Data!$C$3:$C$14)</f>
        <v>45593</v>
      </c>
      <c r="F144" s="300">
        <v>3</v>
      </c>
      <c r="G144" s="299">
        <f>WORKDAY.INTL(E144,F144,1,Data!$C$3:$C$14)</f>
        <v>45596</v>
      </c>
      <c r="H144" s="265"/>
      <c r="I144" s="303">
        <f>I79</f>
        <v>45604</v>
      </c>
      <c r="J144" s="300">
        <f>J79</f>
        <v>7</v>
      </c>
      <c r="K144" s="299">
        <f>WORKDAY.INTL(I144,J144,1,Data!$C$3:$C$14)</f>
        <v>45615</v>
      </c>
      <c r="M144" s="304">
        <v>1</v>
      </c>
      <c r="N144" s="532"/>
      <c r="O144" s="124"/>
      <c r="Q144" s="126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spans="2:28" s="114" customFormat="1">
      <c r="B145" s="297" t="s">
        <v>291</v>
      </c>
      <c r="C145" s="292" t="s">
        <v>292</v>
      </c>
      <c r="D145" s="264"/>
      <c r="E145" s="303">
        <f>WORKDAY.INTL(E144,0,1,Data!$C$3:$C$14)</f>
        <v>45593</v>
      </c>
      <c r="F145" s="300">
        <v>5</v>
      </c>
      <c r="G145" s="299">
        <f>WORKDAY.INTL(E145,F145,1,Data!$C$3:$C$14)</f>
        <v>45600</v>
      </c>
      <c r="H145" s="287"/>
      <c r="I145" s="303">
        <f>WORKDAY.INTL(I144,0,1,Data!$C$3:$C$14)</f>
        <v>45604</v>
      </c>
      <c r="J145" s="300">
        <v>5</v>
      </c>
      <c r="K145" s="299">
        <f>WORKDAY.INTL(I145,J145,1,Data!$C$3:$C$14)</f>
        <v>45611</v>
      </c>
      <c r="M145" s="304">
        <v>1</v>
      </c>
      <c r="N145" s="531"/>
      <c r="O145" s="124"/>
      <c r="Q145" s="126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spans="2:28" s="114" customFormat="1" ht="4.5" customHeight="1">
      <c r="B146" s="288"/>
      <c r="C146" s="264"/>
      <c r="D146" s="264"/>
      <c r="E146" s="300"/>
      <c r="F146" s="289"/>
      <c r="G146" s="300"/>
      <c r="H146" s="287"/>
      <c r="I146" s="300"/>
      <c r="J146" s="289"/>
      <c r="K146" s="300"/>
      <c r="L146" s="123"/>
      <c r="M146" s="123"/>
      <c r="N146" s="531"/>
      <c r="O146" s="123"/>
      <c r="Q146" s="126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spans="2:28" s="116" customFormat="1">
      <c r="B147" s="293">
        <v>7</v>
      </c>
      <c r="C147" s="294" t="s">
        <v>293</v>
      </c>
      <c r="D147" s="268"/>
      <c r="E147" s="295">
        <f>MIN(E148)</f>
        <v>45600</v>
      </c>
      <c r="F147" s="296">
        <f>G147-E147</f>
        <v>7</v>
      </c>
      <c r="G147" s="295">
        <f>MAX(G148)</f>
        <v>45607</v>
      </c>
      <c r="H147" s="269"/>
      <c r="I147" s="295">
        <f>MIN(I148)</f>
        <v>45635</v>
      </c>
      <c r="J147" s="296">
        <f>K147-I147</f>
        <v>2</v>
      </c>
      <c r="K147" s="295">
        <f>MAX(K148)</f>
        <v>45637</v>
      </c>
      <c r="M147" s="484">
        <f>(J148*M148)/SUM(J148)</f>
        <v>1</v>
      </c>
      <c r="N147" s="530">
        <f>J147*M147</f>
        <v>2</v>
      </c>
      <c r="O147" s="121"/>
      <c r="P147" s="114"/>
      <c r="Q147" s="125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 spans="2:28">
      <c r="B148" s="297">
        <v>7.1</v>
      </c>
      <c r="C148" s="292" t="s">
        <v>294</v>
      </c>
      <c r="D148" s="264"/>
      <c r="E148" s="303">
        <f>WORKDAY.INTL(G145,0,1,Data!$C$3:$C$14)</f>
        <v>45600</v>
      </c>
      <c r="F148" s="300">
        <v>5</v>
      </c>
      <c r="G148" s="303">
        <f>WORKDAY.INTL(E148,F148,1,Data!$C$3:$C$14)</f>
        <v>45607</v>
      </c>
      <c r="H148" s="287"/>
      <c r="I148" s="303">
        <f>I84</f>
        <v>45635</v>
      </c>
      <c r="J148" s="300">
        <v>2</v>
      </c>
      <c r="K148" s="303">
        <f>WORKDAY.INTL(I148,J148,1,Data!$C$3:$C$14)</f>
        <v>45637</v>
      </c>
      <c r="M148" s="304">
        <v>1</v>
      </c>
      <c r="N148" s="532"/>
      <c r="O148" s="124"/>
      <c r="Y148" s="24"/>
    </row>
    <row r="149" spans="2:28" s="114" customFormat="1" ht="4.5" customHeight="1">
      <c r="B149" s="288"/>
      <c r="C149" s="264"/>
      <c r="D149" s="264"/>
      <c r="E149" s="300"/>
      <c r="F149" s="289"/>
      <c r="G149" s="300"/>
      <c r="H149" s="287"/>
      <c r="I149" s="300"/>
      <c r="J149" s="289"/>
      <c r="K149" s="300"/>
      <c r="L149" s="123"/>
      <c r="M149" s="123"/>
      <c r="N149" s="531"/>
      <c r="O149" s="123"/>
      <c r="Q149" s="126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spans="2:28" s="116" customFormat="1">
      <c r="B150" s="293">
        <v>8</v>
      </c>
      <c r="C150" s="294" t="s">
        <v>295</v>
      </c>
      <c r="D150" s="268"/>
      <c r="E150" s="295">
        <f>MIN(E151:E156)</f>
        <v>45602</v>
      </c>
      <c r="F150" s="296">
        <f>G150-E150</f>
        <v>30</v>
      </c>
      <c r="G150" s="295">
        <f>MAX(G151:G156)</f>
        <v>45632</v>
      </c>
      <c r="H150" s="269"/>
      <c r="I150" s="295">
        <f>MIN(I151:I156)</f>
        <v>45613</v>
      </c>
      <c r="J150" s="296">
        <f>K150-I150</f>
        <v>54</v>
      </c>
      <c r="K150" s="295">
        <f>MAX(K151:K156)</f>
        <v>45667</v>
      </c>
      <c r="M150" s="484">
        <f>(J151*M151+J152*M152+J153*M153+J154*M154+J155*M155+J156*M156)/SUM(J151:J156)</f>
        <v>1</v>
      </c>
      <c r="N150" s="530">
        <f>J150*M150</f>
        <v>54</v>
      </c>
      <c r="O150" s="121"/>
      <c r="P150" s="114"/>
      <c r="Q150" s="125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 spans="2:28" s="114" customFormat="1">
      <c r="B151" s="297">
        <v>8.1</v>
      </c>
      <c r="C151" s="292" t="s">
        <v>296</v>
      </c>
      <c r="D151" s="264"/>
      <c r="E151" s="303">
        <f>G148</f>
        <v>45607</v>
      </c>
      <c r="F151" s="300">
        <v>2</v>
      </c>
      <c r="G151" s="303">
        <f>WORKDAY.INTL(E151,F151,1,Data!$C$3:$C$14)</f>
        <v>45609</v>
      </c>
      <c r="H151" s="287"/>
      <c r="I151" s="303">
        <f>K148</f>
        <v>45637</v>
      </c>
      <c r="J151" s="300">
        <v>2</v>
      </c>
      <c r="K151" s="303">
        <f>WORKDAY.INTL(I151,J151,1,Data!$C$3:$C$14)</f>
        <v>45639</v>
      </c>
      <c r="M151" s="304">
        <v>1</v>
      </c>
      <c r="N151" s="532"/>
      <c r="O151" s="124"/>
      <c r="Q151" s="126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spans="2:28" s="114" customFormat="1">
      <c r="B152" s="297">
        <v>8.1999999999999993</v>
      </c>
      <c r="C152" s="292" t="s">
        <v>297</v>
      </c>
      <c r="D152" s="264"/>
      <c r="E152" s="303">
        <f>G151</f>
        <v>45609</v>
      </c>
      <c r="F152" s="300">
        <v>10</v>
      </c>
      <c r="G152" s="303">
        <f>WORKDAY.INTL(E152,F152,1,Data!$C$3:$C$14)</f>
        <v>45623</v>
      </c>
      <c r="H152" s="287"/>
      <c r="I152" s="303">
        <f>K151</f>
        <v>45639</v>
      </c>
      <c r="J152" s="300">
        <v>10</v>
      </c>
      <c r="K152" s="303">
        <f>WORKDAY.INTL(I152,J152,1,Data!$C$3:$C$14)</f>
        <v>45658</v>
      </c>
      <c r="M152" s="304">
        <v>1</v>
      </c>
      <c r="N152" s="531"/>
      <c r="O152" s="124"/>
      <c r="Q152" s="126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spans="2:28" s="114" customFormat="1">
      <c r="B153" s="297">
        <v>8.3000000000000007</v>
      </c>
      <c r="C153" s="292" t="s">
        <v>298</v>
      </c>
      <c r="D153" s="264"/>
      <c r="E153" s="303">
        <f>WORKDAY.INTL(G152,0,1,Data!$C$3:$C$14)</f>
        <v>45623</v>
      </c>
      <c r="F153" s="300">
        <v>5</v>
      </c>
      <c r="G153" s="303">
        <f>WORKDAY.INTL(E153,F153,1,Data!$C$3:$C$14)</f>
        <v>45630</v>
      </c>
      <c r="H153" s="287"/>
      <c r="I153" s="303">
        <f>WORKDAY.INTL(K152,0,1,Data!$C$3:$C$14)</f>
        <v>45658</v>
      </c>
      <c r="J153" s="300">
        <v>5</v>
      </c>
      <c r="K153" s="303">
        <f>WORKDAY.INTL(I153,J153,1,Data!$C$3:$C$14)</f>
        <v>45665</v>
      </c>
      <c r="M153" s="304">
        <v>1</v>
      </c>
      <c r="N153" s="531"/>
      <c r="O153" s="124"/>
      <c r="Q153" s="126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spans="2:28" s="114" customFormat="1">
      <c r="B154" s="297">
        <v>8.4</v>
      </c>
      <c r="C154" s="292" t="s">
        <v>299</v>
      </c>
      <c r="D154" s="264"/>
      <c r="E154" s="303">
        <f>WORKDAY.INTL(G152,0,1,Data!$C$3:$C$14)</f>
        <v>45623</v>
      </c>
      <c r="F154" s="300">
        <v>4</v>
      </c>
      <c r="G154" s="303">
        <f>WORKDAY.INTL(E154,F154,1,Data!$C$3:$C$14)</f>
        <v>45629</v>
      </c>
      <c r="H154" s="287"/>
      <c r="I154" s="303">
        <f>WORKDAY.INTL(K152,0,1,Data!$C$3:$C$14)</f>
        <v>45658</v>
      </c>
      <c r="J154" s="300">
        <v>4</v>
      </c>
      <c r="K154" s="303">
        <f>WORKDAY.INTL(I154,J154,1,Data!$C$3:$C$14)</f>
        <v>45664</v>
      </c>
      <c r="M154" s="304">
        <v>1</v>
      </c>
      <c r="N154" s="531"/>
      <c r="O154" s="124"/>
      <c r="Q154" s="126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spans="2:28" s="114" customFormat="1">
      <c r="B155" s="297">
        <v>8.5</v>
      </c>
      <c r="C155" s="292" t="s">
        <v>300</v>
      </c>
      <c r="D155" s="264"/>
      <c r="E155" s="303">
        <f>WORKDAY.INTL(G154,0,1,Data!$C$3:$C$14)</f>
        <v>45629</v>
      </c>
      <c r="F155" s="300">
        <v>3</v>
      </c>
      <c r="G155" s="303">
        <f>WORKDAY.INTL(E155,F155,1,Data!$C$3:$C$14)</f>
        <v>45632</v>
      </c>
      <c r="H155" s="287"/>
      <c r="I155" s="303">
        <f>WORKDAY.INTL(K154,0,1,Data!$C$3:$C$14)</f>
        <v>45664</v>
      </c>
      <c r="J155" s="300">
        <v>3</v>
      </c>
      <c r="K155" s="303">
        <f>WORKDAY.INTL(I155,J155,1,Data!$C$3:$C$14)</f>
        <v>45667</v>
      </c>
      <c r="M155" s="304">
        <v>1</v>
      </c>
      <c r="N155" s="531"/>
      <c r="O155" s="124"/>
      <c r="Q155" s="126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spans="2:28" s="114" customFormat="1">
      <c r="B156" s="297">
        <v>8.6</v>
      </c>
      <c r="C156" s="292" t="s">
        <v>301</v>
      </c>
      <c r="D156" s="264"/>
      <c r="E156" s="303">
        <f>WORKDAY.INTL(G145,0,1,Data!$C$3:$C$14)+2</f>
        <v>45602</v>
      </c>
      <c r="F156" s="300">
        <v>5</v>
      </c>
      <c r="G156" s="303">
        <f>WORKDAY.INTL(E156,F156,1,Data!$C$3:$C$14)</f>
        <v>45609</v>
      </c>
      <c r="H156" s="287"/>
      <c r="I156" s="303">
        <f>WORKDAY.INTL(K145,0,1,Data!$C$3:$C$14)+2</f>
        <v>45613</v>
      </c>
      <c r="J156" s="300">
        <v>5</v>
      </c>
      <c r="K156" s="303">
        <f>WORKDAY.INTL(I156,J156,1,Data!$C$3:$C$14)</f>
        <v>45618</v>
      </c>
      <c r="M156" s="304">
        <v>1</v>
      </c>
      <c r="N156" s="531"/>
      <c r="O156" s="124"/>
      <c r="Q156" s="126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spans="2:28" s="114" customFormat="1" ht="4.5" customHeight="1">
      <c r="B157" s="288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Q157" s="126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spans="2:28" s="3" customFormat="1">
      <c r="B158" s="188"/>
      <c r="E158" s="189"/>
      <c r="F158" s="109"/>
      <c r="J158" s="109"/>
    </row>
    <row r="159" spans="2:28">
      <c r="B159" s="186"/>
      <c r="C159" s="114"/>
      <c r="E159" s="114"/>
      <c r="G159" s="115"/>
    </row>
    <row r="160" spans="2:28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  <row r="223" spans="2:7">
      <c r="B223" s="186"/>
      <c r="C223" s="114"/>
      <c r="E223" s="114"/>
      <c r="G223" s="115"/>
    </row>
    <row r="224" spans="2:7">
      <c r="B224" s="186"/>
      <c r="C224" s="114"/>
      <c r="E224" s="114"/>
      <c r="G224" s="115"/>
    </row>
    <row r="225" spans="2:7">
      <c r="B225" s="186"/>
      <c r="C225" s="114"/>
      <c r="E225" s="114"/>
      <c r="G225" s="115"/>
    </row>
    <row r="226" spans="2:7">
      <c r="B226" s="186"/>
      <c r="C226" s="114"/>
      <c r="E226" s="114"/>
      <c r="G226" s="115"/>
    </row>
    <row r="227" spans="2:7">
      <c r="B227" s="186"/>
      <c r="C227" s="114"/>
      <c r="E227" s="114"/>
      <c r="G227" s="115"/>
    </row>
    <row r="228" spans="2:7">
      <c r="B228" s="186"/>
      <c r="C228" s="114"/>
      <c r="E228" s="114"/>
      <c r="G228" s="115"/>
    </row>
    <row r="229" spans="2:7">
      <c r="B229" s="186"/>
      <c r="C229" s="114"/>
      <c r="E229" s="114"/>
      <c r="G229" s="115"/>
    </row>
    <row r="230" spans="2:7">
      <c r="B230" s="186"/>
      <c r="C230" s="114"/>
      <c r="E230" s="114"/>
      <c r="G230" s="115"/>
    </row>
    <row r="231" spans="2:7">
      <c r="B231" s="186"/>
      <c r="C231" s="114"/>
      <c r="E231" s="114"/>
      <c r="G231" s="115"/>
    </row>
    <row r="232" spans="2:7">
      <c r="B232" s="186"/>
      <c r="C232" s="114"/>
      <c r="E232" s="114"/>
      <c r="G232" s="115"/>
    </row>
    <row r="233" spans="2:7">
      <c r="B233" s="186"/>
      <c r="C233" s="114"/>
      <c r="E233" s="114"/>
      <c r="G233" s="115"/>
    </row>
    <row r="234" spans="2:7">
      <c r="B234" s="186"/>
      <c r="C234" s="114"/>
      <c r="E234" s="114"/>
      <c r="G234" s="115"/>
    </row>
    <row r="235" spans="2:7">
      <c r="B235" s="186"/>
      <c r="C235" s="114"/>
      <c r="E235" s="114"/>
      <c r="G235" s="115"/>
    </row>
    <row r="236" spans="2:7">
      <c r="B236" s="186"/>
      <c r="C236" s="114"/>
      <c r="E236" s="114"/>
      <c r="G236" s="115"/>
    </row>
    <row r="237" spans="2:7">
      <c r="B237" s="186"/>
      <c r="C237" s="114"/>
      <c r="E237" s="114"/>
      <c r="G237" s="115"/>
    </row>
    <row r="238" spans="2:7">
      <c r="B238" s="186"/>
      <c r="C238" s="114"/>
      <c r="E238" s="114"/>
      <c r="G238" s="115"/>
    </row>
    <row r="239" spans="2:7">
      <c r="B239" s="186"/>
      <c r="C239" s="114"/>
      <c r="E239" s="114"/>
      <c r="G239" s="115"/>
    </row>
    <row r="240" spans="2:7">
      <c r="B240" s="186"/>
      <c r="C240" s="114"/>
      <c r="E240" s="114"/>
      <c r="G240" s="115"/>
    </row>
    <row r="241" spans="2:7">
      <c r="B241" s="186"/>
      <c r="C241" s="114"/>
      <c r="E241" s="114"/>
      <c r="G241" s="115"/>
    </row>
    <row r="242" spans="2:7">
      <c r="B242" s="186"/>
      <c r="C242" s="114"/>
      <c r="E242" s="114"/>
      <c r="G242" s="115"/>
    </row>
    <row r="243" spans="2:7">
      <c r="B243" s="186"/>
      <c r="C243" s="114"/>
      <c r="E243" s="114"/>
      <c r="G243" s="115"/>
    </row>
    <row r="244" spans="2:7">
      <c r="B244" s="186"/>
      <c r="C244" s="114"/>
      <c r="E244" s="114"/>
      <c r="G244" s="115"/>
    </row>
    <row r="245" spans="2:7">
      <c r="B245" s="186"/>
      <c r="C245" s="114"/>
      <c r="E245" s="114"/>
      <c r="G245" s="115"/>
    </row>
    <row r="246" spans="2:7">
      <c r="B246" s="186"/>
      <c r="C246" s="114"/>
      <c r="E246" s="114"/>
      <c r="G246" s="115"/>
    </row>
    <row r="247" spans="2:7">
      <c r="B247" s="186"/>
      <c r="C247" s="114"/>
      <c r="E247" s="114"/>
      <c r="G247" s="115"/>
    </row>
    <row r="248" spans="2:7">
      <c r="B248" s="186"/>
      <c r="C248" s="114"/>
      <c r="E248" s="114"/>
      <c r="G248" s="115"/>
    </row>
    <row r="249" spans="2:7">
      <c r="B249" s="186"/>
      <c r="C249" s="114"/>
      <c r="E249" s="114"/>
      <c r="G249" s="115"/>
    </row>
    <row r="250" spans="2:7">
      <c r="B250" s="186"/>
      <c r="C250" s="114"/>
      <c r="E250" s="114"/>
      <c r="G250" s="115"/>
    </row>
    <row r="251" spans="2:7">
      <c r="B251" s="186"/>
      <c r="C251" s="114"/>
      <c r="E251" s="114"/>
      <c r="G251" s="115"/>
    </row>
    <row r="252" spans="2:7">
      <c r="B252" s="186"/>
      <c r="C252" s="114"/>
      <c r="E252" s="114"/>
      <c r="G252" s="115"/>
    </row>
    <row r="253" spans="2:7">
      <c r="B253" s="186"/>
      <c r="C253" s="114"/>
      <c r="E253" s="114"/>
      <c r="G253" s="115"/>
    </row>
    <row r="254" spans="2:7">
      <c r="B254" s="186"/>
      <c r="C254" s="114"/>
      <c r="E254" s="114"/>
      <c r="G254" s="115"/>
    </row>
    <row r="255" spans="2:7">
      <c r="B255" s="186"/>
      <c r="C255" s="114"/>
      <c r="E255" s="114"/>
      <c r="G255" s="115"/>
    </row>
    <row r="256" spans="2:7">
      <c r="B256" s="186"/>
      <c r="C256" s="114"/>
      <c r="E256" s="114"/>
      <c r="G256" s="115"/>
    </row>
    <row r="257" spans="2:7">
      <c r="B257" s="186"/>
      <c r="C257" s="114"/>
      <c r="E257" s="114"/>
      <c r="G257" s="115"/>
    </row>
    <row r="258" spans="2:7">
      <c r="B258" s="186"/>
      <c r="C258" s="114"/>
      <c r="E258" s="114"/>
      <c r="G258" s="115"/>
    </row>
    <row r="259" spans="2:7">
      <c r="B259" s="186"/>
      <c r="C259" s="114"/>
      <c r="E259" s="114"/>
      <c r="G259" s="115"/>
    </row>
    <row r="260" spans="2:7">
      <c r="B260" s="186"/>
      <c r="C260" s="114"/>
      <c r="E260" s="114"/>
      <c r="G260" s="115"/>
    </row>
    <row r="261" spans="2:7">
      <c r="B261" s="186"/>
      <c r="C261" s="114"/>
      <c r="E261" s="114"/>
      <c r="G261" s="115"/>
    </row>
    <row r="262" spans="2:7">
      <c r="B262" s="186"/>
      <c r="C262" s="114"/>
      <c r="E262" s="114"/>
      <c r="G262" s="115"/>
    </row>
    <row r="263" spans="2:7">
      <c r="B263" s="186"/>
      <c r="C263" s="114"/>
      <c r="E263" s="114"/>
      <c r="G263" s="115"/>
    </row>
    <row r="264" spans="2:7">
      <c r="B264" s="186"/>
      <c r="C264" s="114"/>
      <c r="E264" s="114"/>
      <c r="G264" s="115"/>
    </row>
    <row r="265" spans="2:7">
      <c r="B265" s="186"/>
      <c r="C265" s="114"/>
      <c r="E265" s="114"/>
      <c r="G265" s="115"/>
    </row>
    <row r="266" spans="2:7">
      <c r="B266" s="186"/>
      <c r="C266" s="114"/>
      <c r="E266" s="114"/>
      <c r="G266" s="115"/>
    </row>
    <row r="267" spans="2:7">
      <c r="B267" s="186"/>
      <c r="C267" s="114"/>
      <c r="E267" s="114"/>
      <c r="G267" s="115"/>
    </row>
    <row r="268" spans="2:7">
      <c r="B268" s="186"/>
      <c r="C268" s="114"/>
      <c r="E268" s="114"/>
      <c r="G268" s="115"/>
    </row>
    <row r="269" spans="2:7">
      <c r="B269" s="186"/>
      <c r="C269" s="114"/>
      <c r="E269" s="114"/>
      <c r="G269" s="115"/>
    </row>
    <row r="270" spans="2:7">
      <c r="B270" s="186"/>
      <c r="C270" s="114"/>
      <c r="E270" s="114"/>
      <c r="G270" s="115"/>
    </row>
    <row r="271" spans="2:7">
      <c r="B271" s="186"/>
      <c r="C271" s="114"/>
      <c r="E271" s="114"/>
      <c r="G271" s="115"/>
    </row>
    <row r="272" spans="2:7">
      <c r="B272" s="186"/>
      <c r="C272" s="114"/>
      <c r="E272" s="114"/>
      <c r="G272" s="115"/>
    </row>
    <row r="273" spans="2:7">
      <c r="B273" s="186"/>
      <c r="C273" s="114"/>
      <c r="E273" s="114"/>
      <c r="G273" s="115"/>
    </row>
    <row r="274" spans="2:7">
      <c r="B274" s="186"/>
      <c r="C274" s="114"/>
      <c r="E274" s="114"/>
      <c r="G274" s="115"/>
    </row>
    <row r="275" spans="2:7">
      <c r="B275" s="186"/>
      <c r="C275" s="114"/>
      <c r="E275" s="114"/>
      <c r="G275" s="115"/>
    </row>
    <row r="276" spans="2:7">
      <c r="B276" s="186"/>
      <c r="C276" s="114"/>
      <c r="E276" s="114"/>
      <c r="G276" s="115"/>
    </row>
    <row r="277" spans="2:7">
      <c r="B277" s="186"/>
      <c r="C277" s="114"/>
      <c r="E277" s="114"/>
      <c r="G277" s="115"/>
    </row>
    <row r="278" spans="2:7">
      <c r="B278" s="186"/>
      <c r="C278" s="114"/>
      <c r="E278" s="114"/>
      <c r="G278" s="115"/>
    </row>
    <row r="279" spans="2:7">
      <c r="B279" s="186"/>
      <c r="C279" s="114"/>
      <c r="E279" s="114"/>
      <c r="G279" s="115"/>
    </row>
    <row r="280" spans="2:7">
      <c r="B280" s="186"/>
      <c r="C280" s="114"/>
      <c r="E280" s="114"/>
      <c r="G280" s="115"/>
    </row>
    <row r="281" spans="2:7">
      <c r="B281" s="186"/>
      <c r="C281" s="114"/>
      <c r="E281" s="114"/>
      <c r="G281" s="115"/>
    </row>
    <row r="282" spans="2:7">
      <c r="B282" s="186"/>
      <c r="C282" s="114"/>
      <c r="E282" s="114"/>
      <c r="G282" s="115"/>
    </row>
    <row r="283" spans="2:7">
      <c r="B283" s="186"/>
      <c r="C283" s="114"/>
      <c r="E283" s="114"/>
      <c r="G283" s="115"/>
    </row>
    <row r="284" spans="2:7">
      <c r="B284" s="186"/>
      <c r="C284" s="114"/>
      <c r="E284" s="114"/>
      <c r="G284" s="115"/>
    </row>
    <row r="285" spans="2:7">
      <c r="B285" s="186"/>
      <c r="C285" s="114"/>
      <c r="E285" s="114"/>
      <c r="G285" s="115"/>
    </row>
    <row r="286" spans="2:7">
      <c r="B286" s="186"/>
      <c r="C286" s="114"/>
      <c r="E286" s="114"/>
      <c r="G286" s="115"/>
    </row>
    <row r="287" spans="2:7">
      <c r="B287" s="186"/>
      <c r="C287" s="114"/>
      <c r="E287" s="114"/>
      <c r="G287" s="115"/>
    </row>
    <row r="288" spans="2:7">
      <c r="B288" s="186"/>
      <c r="C288" s="114"/>
      <c r="E288" s="114"/>
      <c r="G288" s="115"/>
    </row>
    <row r="289" spans="2:7">
      <c r="B289" s="186"/>
      <c r="C289" s="114"/>
      <c r="E289" s="114"/>
      <c r="G289" s="115"/>
    </row>
    <row r="290" spans="2:7">
      <c r="B290" s="186"/>
      <c r="C290" s="114"/>
      <c r="E290" s="114"/>
      <c r="G290" s="115"/>
    </row>
    <row r="291" spans="2:7">
      <c r="B291" s="186"/>
      <c r="C291" s="114"/>
      <c r="E291" s="114"/>
      <c r="G291" s="115"/>
    </row>
    <row r="292" spans="2:7">
      <c r="B292" s="186"/>
      <c r="C292" s="114"/>
      <c r="E292" s="114"/>
      <c r="G292" s="115"/>
    </row>
    <row r="293" spans="2:7">
      <c r="B293" s="186"/>
      <c r="C293" s="114"/>
      <c r="E293" s="114"/>
      <c r="G293" s="115"/>
    </row>
    <row r="294" spans="2:7">
      <c r="B294" s="186"/>
      <c r="C294" s="114"/>
      <c r="E294" s="114"/>
      <c r="G294" s="115"/>
    </row>
    <row r="295" spans="2:7">
      <c r="B295" s="186"/>
      <c r="C295" s="114"/>
      <c r="E295" s="114"/>
      <c r="G295" s="115"/>
    </row>
    <row r="296" spans="2:7">
      <c r="B296" s="186"/>
      <c r="C296" s="114"/>
      <c r="E296" s="114"/>
      <c r="G296" s="115"/>
    </row>
    <row r="297" spans="2:7">
      <c r="B297" s="186"/>
      <c r="C297" s="114"/>
      <c r="E297" s="114"/>
      <c r="G297" s="115"/>
    </row>
    <row r="298" spans="2:7">
      <c r="B298" s="186"/>
      <c r="C298" s="114"/>
      <c r="E298" s="114"/>
      <c r="G298" s="115"/>
    </row>
    <row r="299" spans="2:7">
      <c r="B299" s="186"/>
      <c r="C299" s="114"/>
      <c r="E299" s="114"/>
      <c r="G299" s="115"/>
    </row>
    <row r="300" spans="2:7">
      <c r="B300" s="186"/>
      <c r="C300" s="114"/>
      <c r="E300" s="114"/>
      <c r="G300" s="115"/>
    </row>
    <row r="301" spans="2:7">
      <c r="B301" s="186"/>
      <c r="C301" s="114"/>
      <c r="E301" s="114"/>
      <c r="G301" s="115"/>
    </row>
    <row r="302" spans="2:7">
      <c r="B302" s="186"/>
      <c r="C302" s="114"/>
      <c r="E302" s="114"/>
      <c r="G302" s="115"/>
    </row>
    <row r="303" spans="2:7">
      <c r="B303" s="186"/>
      <c r="C303" s="114"/>
      <c r="E303" s="114"/>
      <c r="G303" s="115"/>
    </row>
    <row r="304" spans="2:7">
      <c r="B304" s="186"/>
      <c r="C304" s="114"/>
      <c r="E304" s="114"/>
      <c r="G304" s="115"/>
    </row>
    <row r="305" spans="2:7">
      <c r="B305" s="186"/>
      <c r="C305" s="114"/>
      <c r="E305" s="114"/>
      <c r="G305" s="115"/>
    </row>
    <row r="306" spans="2:7">
      <c r="B306" s="186"/>
      <c r="C306" s="114"/>
      <c r="E306" s="114"/>
      <c r="G306" s="115"/>
    </row>
    <row r="307" spans="2:7">
      <c r="B307" s="186"/>
      <c r="C307" s="114"/>
      <c r="E307" s="114"/>
      <c r="G307" s="115"/>
    </row>
    <row r="308" spans="2:7">
      <c r="B308" s="186"/>
      <c r="C308" s="114"/>
      <c r="E308" s="114"/>
      <c r="G308" s="115"/>
    </row>
    <row r="309" spans="2:7">
      <c r="B309" s="186"/>
      <c r="C309" s="114"/>
      <c r="E309" s="114"/>
      <c r="G309" s="115"/>
    </row>
    <row r="310" spans="2:7">
      <c r="B310" s="186"/>
      <c r="C310" s="114"/>
      <c r="E310" s="114"/>
      <c r="G310" s="115"/>
    </row>
    <row r="311" spans="2:7">
      <c r="B311" s="186"/>
      <c r="C311" s="114"/>
      <c r="E311" s="114"/>
      <c r="G311" s="115"/>
    </row>
    <row r="312" spans="2:7">
      <c r="B312" s="186"/>
      <c r="C312" s="114"/>
      <c r="E312" s="114"/>
      <c r="G312" s="115"/>
    </row>
    <row r="313" spans="2:7">
      <c r="B313" s="186"/>
      <c r="C313" s="114"/>
      <c r="E313" s="114"/>
      <c r="G313" s="115"/>
    </row>
    <row r="314" spans="2:7">
      <c r="B314" s="186"/>
      <c r="C314" s="114"/>
      <c r="E314" s="114"/>
      <c r="G314" s="115"/>
    </row>
    <row r="315" spans="2:7">
      <c r="B315" s="186"/>
      <c r="C315" s="114"/>
      <c r="E315" s="114"/>
      <c r="G315" s="115"/>
    </row>
    <row r="316" spans="2:7">
      <c r="B316" s="186"/>
      <c r="C316" s="114"/>
      <c r="E316" s="114"/>
      <c r="G316" s="115"/>
    </row>
    <row r="317" spans="2:7">
      <c r="B317" s="186"/>
      <c r="C317" s="114"/>
      <c r="E317" s="114"/>
      <c r="G317" s="115"/>
    </row>
    <row r="318" spans="2:7">
      <c r="B318" s="186"/>
      <c r="C318" s="114"/>
      <c r="E318" s="114"/>
      <c r="G318" s="115"/>
    </row>
    <row r="319" spans="2:7">
      <c r="B319" s="186"/>
      <c r="C319" s="114"/>
      <c r="E319" s="114"/>
      <c r="G319" s="115"/>
    </row>
    <row r="320" spans="2:7">
      <c r="B320" s="186"/>
      <c r="C320" s="114"/>
      <c r="E320" s="114"/>
      <c r="G320" s="115"/>
    </row>
    <row r="321" spans="2:7">
      <c r="B321" s="186"/>
      <c r="C321" s="114"/>
      <c r="E321" s="114"/>
      <c r="G321" s="115"/>
    </row>
    <row r="322" spans="2:7">
      <c r="B322" s="186"/>
      <c r="C322" s="114"/>
      <c r="E322" s="114"/>
      <c r="G322" s="115"/>
    </row>
    <row r="323" spans="2:7">
      <c r="B323" s="186"/>
      <c r="C323" s="114"/>
      <c r="E323" s="114"/>
      <c r="G323" s="115"/>
    </row>
    <row r="324" spans="2:7">
      <c r="B324" s="186"/>
      <c r="C324" s="114"/>
      <c r="E324" s="114"/>
      <c r="G324" s="115"/>
    </row>
    <row r="325" spans="2:7">
      <c r="B325" s="186"/>
      <c r="C325" s="114"/>
      <c r="E325" s="114"/>
      <c r="G325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57 M158:P1048576 M6:P10 M98:P98 P11:P95 N99:P103 N96:P97 M104:P156 M1:P5" name="Range1"/>
    <protectedRange algorithmName="SHA-512" hashValue="0fHuZEaiYGK5sqlV/38Hfc0T7yH0tOTbdy5iYtX6c3lYp4VF2ar7IMEIVGfLLUnhvJzWsmOZSDZnUiLySCBxdg==" saltValue="oeJbzSFL5Q9rgT2MjiMjew==" spinCount="100000" sqref="N40:O95 M11:O39" name="Range1_1"/>
    <protectedRange algorithmName="SHA-512" hashValue="0fHuZEaiYGK5sqlV/38Hfc0T7yH0tOTbdy5iYtX6c3lYp4VF2ar7IMEIVGfLLUnhvJzWsmOZSDZnUiLySCBxdg==" saltValue="oeJbzSFL5Q9rgT2MjiMjew==" spinCount="100000" sqref="M101 M40:M97" name="Range1_2"/>
    <protectedRange algorithmName="SHA-512" hashValue="0fHuZEaiYGK5sqlV/38Hfc0T7yH0tOTbdy5iYtX6c3lYp4VF2ar7IMEIVGfLLUnhvJzWsmOZSDZnUiLySCBxdg==" saltValue="oeJbzSFL5Q9rgT2MjiMjew==" spinCount="100000" sqref="M99:M100 M102:M103" name="Range1_3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3 M25:M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:M77 M79:M85 M87:M97 M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2:M103 M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4:M115 M140:M142 M107:M112 M117:M131 M144:M146 M148:M149 M151:M156 M133:M1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opLeftCell="B1" zoomScale="85" zoomScaleNormal="85" workbookViewId="0">
      <selection activeCell="N12" sqref="N12"/>
    </sheetView>
  </sheetViews>
  <sheetFormatPr defaultColWidth="8.42578125" defaultRowHeight="14.45"/>
  <cols>
    <col min="1" max="1" width="5.5703125" style="93" customWidth="1"/>
    <col min="2" max="2" width="5.5703125" style="132" customWidth="1"/>
    <col min="3" max="3" width="23.42578125" style="131" customWidth="1"/>
    <col min="4" max="4" width="30.140625" style="131" customWidth="1"/>
    <col min="5" max="5" width="6.5703125" style="131" customWidth="1"/>
    <col min="6" max="6" width="17.140625" style="131" bestFit="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64.140625" style="131" bestFit="1" customWidth="1"/>
    <col min="19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36"/>
      <c r="B1" s="119"/>
      <c r="J1" s="143"/>
      <c r="U1" s="143"/>
    </row>
    <row r="2" spans="1:23" s="93" customFormat="1" ht="14.25" customHeight="1" thickBot="1">
      <c r="A2" s="536"/>
      <c r="B2" s="130" t="s">
        <v>302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.15">
      <c r="B3" s="119"/>
      <c r="D3" s="127" t="s">
        <v>303</v>
      </c>
      <c r="F3" s="127" t="s">
        <v>304</v>
      </c>
      <c r="J3" s="143"/>
      <c r="L3" s="629" t="s">
        <v>305</v>
      </c>
      <c r="N3" s="629" t="s">
        <v>306</v>
      </c>
      <c r="P3" s="794"/>
      <c r="Q3" s="795"/>
      <c r="R3" s="796" t="s">
        <v>307</v>
      </c>
      <c r="S3" s="797" t="s">
        <v>308</v>
      </c>
      <c r="T3" s="798" t="s">
        <v>309</v>
      </c>
      <c r="U3" s="143"/>
    </row>
    <row r="4" spans="1:23" s="93" customFormat="1" ht="13.15">
      <c r="B4" s="475">
        <v>1</v>
      </c>
      <c r="C4" s="476" t="s">
        <v>310</v>
      </c>
      <c r="D4" s="477">
        <f>'Project Plan'!E6</f>
        <v>9650000</v>
      </c>
      <c r="E4" s="478"/>
      <c r="F4" s="477">
        <f>F21</f>
        <v>9734366</v>
      </c>
      <c r="H4" s="118"/>
      <c r="J4" s="143"/>
      <c r="L4" s="534">
        <v>9650000</v>
      </c>
      <c r="N4" s="534" t="s">
        <v>311</v>
      </c>
      <c r="P4" s="799" t="s">
        <v>312</v>
      </c>
      <c r="Q4" s="800"/>
      <c r="R4" s="800">
        <v>5633108.3664886598</v>
      </c>
      <c r="S4" s="801">
        <v>4091891.6335113402</v>
      </c>
      <c r="T4" s="802">
        <f>F4-R4</f>
        <v>4101257.6335113402</v>
      </c>
      <c r="U4" s="143"/>
    </row>
    <row r="5" spans="1:23" s="93" customFormat="1" ht="15" customHeight="1">
      <c r="B5" s="475">
        <v>2</v>
      </c>
      <c r="C5" s="476" t="s">
        <v>313</v>
      </c>
      <c r="D5" s="477">
        <f>+'Expenditure Tracking'!F5</f>
        <v>8749927.1756521706</v>
      </c>
      <c r="E5" s="478"/>
      <c r="F5" s="477">
        <f>+'Expenditure Tracking'!H5</f>
        <v>6993121.79</v>
      </c>
      <c r="J5" s="143"/>
      <c r="L5" s="534">
        <v>7262932.2139456524</v>
      </c>
      <c r="N5" s="723" t="s">
        <v>314</v>
      </c>
      <c r="P5" s="799" t="s">
        <v>315</v>
      </c>
      <c r="R5" s="801">
        <v>3426357.08</v>
      </c>
      <c r="S5" s="801">
        <v>3444874.4885170814</v>
      </c>
      <c r="T5" s="802">
        <f>F5-R5</f>
        <v>3566764.71</v>
      </c>
      <c r="U5" s="143"/>
    </row>
    <row r="6" spans="1:23" s="93" customFormat="1" ht="15" customHeight="1" thickBot="1">
      <c r="B6" s="475">
        <v>3</v>
      </c>
      <c r="C6" s="476" t="s">
        <v>316</v>
      </c>
      <c r="D6" s="477">
        <f>+D4-D5</f>
        <v>900072.82434782945</v>
      </c>
      <c r="E6" s="478"/>
      <c r="F6" s="477">
        <f>+F4-F5</f>
        <v>2741244.21</v>
      </c>
      <c r="H6" s="118"/>
      <c r="J6" s="143"/>
      <c r="L6" s="534">
        <v>2387067.7860543476</v>
      </c>
      <c r="N6" s="534" t="s">
        <v>317</v>
      </c>
      <c r="P6" s="803" t="s">
        <v>318</v>
      </c>
      <c r="Q6" s="804"/>
      <c r="R6" s="805">
        <f>R4-R5</f>
        <v>2206751.2864886597</v>
      </c>
      <c r="S6" s="805">
        <f>S4-S5</f>
        <v>647017.14499425888</v>
      </c>
      <c r="T6" s="806">
        <f>T4-T5</f>
        <v>534492.92351134028</v>
      </c>
      <c r="U6" s="143"/>
    </row>
    <row r="7" spans="1:23" s="93" customFormat="1" ht="15" customHeight="1" thickBot="1">
      <c r="B7" s="475">
        <v>4</v>
      </c>
      <c r="C7" s="476" t="s">
        <v>319</v>
      </c>
      <c r="D7" s="479">
        <f>+D6/D4</f>
        <v>9.3271795269205121E-2</v>
      </c>
      <c r="E7" s="478"/>
      <c r="F7" s="479">
        <f>+F6/F4</f>
        <v>0.28160480199737714</v>
      </c>
      <c r="H7" s="833"/>
      <c r="J7" s="143"/>
      <c r="L7" s="535">
        <v>0.24736453741495831</v>
      </c>
      <c r="N7" s="724" t="s">
        <v>314</v>
      </c>
      <c r="P7" s="807"/>
      <c r="Q7" s="808"/>
      <c r="R7" s="808"/>
      <c r="S7" s="808"/>
      <c r="T7" s="809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.15">
      <c r="B10" s="130" t="s">
        <v>320</v>
      </c>
      <c r="F10" s="118"/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45">
      <c r="B12" s="133" t="s">
        <v>82</v>
      </c>
      <c r="C12" s="134" t="s">
        <v>321</v>
      </c>
      <c r="D12" s="135"/>
      <c r="E12" s="133" t="s">
        <v>322</v>
      </c>
      <c r="F12" s="133" t="s">
        <v>323</v>
      </c>
      <c r="H12" s="480" t="s">
        <v>324</v>
      </c>
      <c r="J12" s="143"/>
      <c r="L12" s="185" t="s">
        <v>325</v>
      </c>
      <c r="M12" s="136"/>
      <c r="N12" s="185" t="s">
        <v>326</v>
      </c>
      <c r="O12" s="131"/>
      <c r="P12" s="185" t="s">
        <v>327</v>
      </c>
      <c r="R12" s="552" t="s">
        <v>328</v>
      </c>
      <c r="S12" s="791"/>
      <c r="T12" s="791"/>
      <c r="U12" s="143"/>
    </row>
    <row r="13" spans="1:23" s="93" customFormat="1" ht="13.15">
      <c r="B13" s="475">
        <v>1</v>
      </c>
      <c r="C13" s="901" t="s">
        <v>329</v>
      </c>
      <c r="D13" s="902"/>
      <c r="E13" s="137">
        <v>0.2</v>
      </c>
      <c r="F13" s="138">
        <f>$D$4*E13</f>
        <v>1930000</v>
      </c>
      <c r="G13" s="139"/>
      <c r="H13" s="140">
        <f>'Project Plan'!I114+7</f>
        <v>45510</v>
      </c>
      <c r="J13" s="143"/>
      <c r="L13" s="495" t="s">
        <v>330</v>
      </c>
      <c r="M13" s="494"/>
      <c r="N13" s="140">
        <v>45492</v>
      </c>
      <c r="O13" s="131"/>
      <c r="P13" s="140">
        <v>45499</v>
      </c>
      <c r="R13" s="194"/>
      <c r="S13" s="792"/>
      <c r="T13" s="792"/>
      <c r="U13" s="143"/>
    </row>
    <row r="14" spans="1:23" s="93" customFormat="1" ht="13.15">
      <c r="B14" s="156">
        <v>2</v>
      </c>
      <c r="C14" s="903" t="s">
        <v>331</v>
      </c>
      <c r="D14" s="904"/>
      <c r="E14" s="137">
        <v>0.55000000000000004</v>
      </c>
      <c r="F14" s="138">
        <f t="shared" ref="F14:F17" si="0">$D$4*E14</f>
        <v>5307500</v>
      </c>
      <c r="G14" s="478"/>
      <c r="H14" s="140">
        <f>'Project Plan'!G117+7</f>
        <v>45512</v>
      </c>
      <c r="J14" s="143"/>
      <c r="L14" s="495" t="s">
        <v>332</v>
      </c>
      <c r="N14" s="140">
        <v>45579</v>
      </c>
      <c r="O14" s="131"/>
      <c r="P14" s="140">
        <v>45595</v>
      </c>
      <c r="R14" s="553"/>
      <c r="S14" s="793"/>
      <c r="T14" s="793"/>
      <c r="U14" s="143"/>
    </row>
    <row r="15" spans="1:23" s="93" customFormat="1" ht="13.15">
      <c r="B15" s="475">
        <v>3</v>
      </c>
      <c r="C15" s="901" t="s">
        <v>333</v>
      </c>
      <c r="D15" s="902"/>
      <c r="E15" s="137">
        <v>0.1</v>
      </c>
      <c r="F15" s="138">
        <f t="shared" si="0"/>
        <v>965000</v>
      </c>
      <c r="G15" s="478"/>
      <c r="H15" s="140">
        <f>'Project Plan'!G145</f>
        <v>45600</v>
      </c>
      <c r="J15" s="143"/>
      <c r="L15" s="495" t="s">
        <v>334</v>
      </c>
      <c r="N15" s="140">
        <v>45630</v>
      </c>
      <c r="O15" s="131"/>
      <c r="P15" s="140">
        <v>45673</v>
      </c>
      <c r="R15" s="553"/>
      <c r="S15" s="793"/>
      <c r="T15" s="793"/>
      <c r="U15" s="143"/>
    </row>
    <row r="16" spans="1:23" s="93" customFormat="1" ht="13.15">
      <c r="B16" s="475">
        <v>4</v>
      </c>
      <c r="C16" s="901" t="s">
        <v>335</v>
      </c>
      <c r="D16" s="902"/>
      <c r="E16" s="137">
        <v>0.1</v>
      </c>
      <c r="F16" s="138">
        <f t="shared" si="0"/>
        <v>965000</v>
      </c>
      <c r="G16" s="478"/>
      <c r="H16" s="140">
        <f>'Project Plan'!G152</f>
        <v>45623</v>
      </c>
      <c r="J16" s="143"/>
      <c r="L16" s="495" t="s">
        <v>336</v>
      </c>
      <c r="M16" s="139"/>
      <c r="N16" s="140">
        <v>45887</v>
      </c>
      <c r="O16" s="131"/>
      <c r="P16" s="140">
        <v>45898</v>
      </c>
      <c r="R16" s="553"/>
      <c r="S16" s="793"/>
      <c r="T16" s="793"/>
      <c r="U16" s="143"/>
    </row>
    <row r="17" spans="2:21" s="93" customFormat="1" ht="13.15">
      <c r="B17" s="475">
        <v>5</v>
      </c>
      <c r="C17" s="903" t="s">
        <v>337</v>
      </c>
      <c r="D17" s="904"/>
      <c r="E17" s="137">
        <v>0.05</v>
      </c>
      <c r="F17" s="138">
        <f t="shared" si="0"/>
        <v>482500</v>
      </c>
      <c r="G17" s="478"/>
      <c r="H17" s="140">
        <f>H16+365</f>
        <v>45988</v>
      </c>
      <c r="J17" s="143"/>
      <c r="L17" s="141"/>
      <c r="N17" s="141"/>
      <c r="O17" s="131"/>
      <c r="P17" s="141">
        <v>46112</v>
      </c>
      <c r="R17" s="553"/>
      <c r="S17" s="793"/>
      <c r="T17" s="793"/>
      <c r="U17" s="143"/>
    </row>
    <row r="18" spans="2:21" s="93" customFormat="1" ht="13.15">
      <c r="B18" s="475">
        <v>6</v>
      </c>
      <c r="C18" s="901" t="s">
        <v>338</v>
      </c>
      <c r="D18" s="902"/>
      <c r="E18" s="137">
        <v>0</v>
      </c>
      <c r="F18" s="138">
        <v>75000</v>
      </c>
      <c r="G18" s="478"/>
      <c r="H18" s="140">
        <v>45623</v>
      </c>
      <c r="J18" s="143"/>
      <c r="L18" s="495" t="s">
        <v>339</v>
      </c>
      <c r="M18" s="139"/>
      <c r="N18" s="140">
        <v>45841</v>
      </c>
      <c r="O18" s="131"/>
      <c r="P18" s="140">
        <v>45887</v>
      </c>
      <c r="R18" s="553"/>
      <c r="S18" s="793"/>
      <c r="T18" s="793"/>
      <c r="U18" s="143"/>
    </row>
    <row r="19" spans="2:21" s="93" customFormat="1" ht="13.15">
      <c r="B19" s="475">
        <v>7</v>
      </c>
      <c r="C19" s="901" t="s">
        <v>340</v>
      </c>
      <c r="D19" s="902"/>
      <c r="E19" s="137">
        <v>0</v>
      </c>
      <c r="F19" s="138">
        <v>9366</v>
      </c>
      <c r="G19" s="478"/>
      <c r="H19" s="140">
        <v>45716</v>
      </c>
      <c r="J19" s="143"/>
      <c r="L19" s="495" t="s">
        <v>339</v>
      </c>
      <c r="M19" s="478"/>
      <c r="N19" s="140">
        <v>45841</v>
      </c>
      <c r="O19" s="131"/>
      <c r="P19" s="140">
        <v>45887</v>
      </c>
      <c r="R19" s="553"/>
      <c r="S19" s="793"/>
      <c r="T19" s="793"/>
      <c r="U19" s="143"/>
    </row>
    <row r="20" spans="2:21" s="93" customFormat="1" ht="9" customHeight="1">
      <c r="B20" s="119"/>
      <c r="E20" s="142"/>
      <c r="F20" s="118"/>
      <c r="H20" s="481"/>
      <c r="J20" s="143"/>
      <c r="U20" s="143"/>
    </row>
    <row r="21" spans="2:21" s="93" customFormat="1" ht="13.15">
      <c r="B21" s="119"/>
      <c r="E21" s="482">
        <f>SUM(E13:E19)</f>
        <v>1</v>
      </c>
      <c r="F21" s="483">
        <f>SUM(F13:F19)</f>
        <v>9734366</v>
      </c>
      <c r="J21" s="143"/>
      <c r="U21" s="143"/>
    </row>
    <row r="22" spans="2:21" s="143" customFormat="1" ht="25.5" customHeight="1">
      <c r="B22" s="144"/>
      <c r="F22" s="145"/>
    </row>
    <row r="23" spans="2:21" s="93" customFormat="1" ht="24.75" customHeight="1">
      <c r="B23" s="146" t="s">
        <v>341</v>
      </c>
      <c r="C23" s="147" t="s">
        <v>342</v>
      </c>
      <c r="D23" s="147"/>
      <c r="F23" s="148"/>
    </row>
    <row r="24" spans="2:21" s="93" customFormat="1" ht="13.15">
      <c r="C24" s="149" t="s">
        <v>343</v>
      </c>
      <c r="D24" s="150"/>
      <c r="F24" s="151"/>
    </row>
    <row r="25" spans="2:21" s="93" customFormat="1" ht="13.15">
      <c r="C25" s="149" t="s">
        <v>344</v>
      </c>
      <c r="D25" s="150"/>
    </row>
    <row r="26" spans="2:21" s="93" customFormat="1" ht="13.15">
      <c r="C26" s="152" t="s">
        <v>345</v>
      </c>
      <c r="D26" s="153"/>
    </row>
    <row r="27" spans="2:21" s="93" customFormat="1" ht="13.15">
      <c r="C27" s="154" t="s">
        <v>346</v>
      </c>
      <c r="D27" s="150"/>
    </row>
    <row r="28" spans="2:21" s="93" customFormat="1" ht="13.15">
      <c r="B28" s="119"/>
      <c r="C28" s="154" t="s">
        <v>347</v>
      </c>
      <c r="D28" s="150"/>
    </row>
    <row r="29" spans="2:21" s="93" customFormat="1" ht="13.15">
      <c r="B29" s="119"/>
      <c r="C29" s="93" t="s">
        <v>348</v>
      </c>
    </row>
    <row r="30" spans="2:21" s="93" customFormat="1" ht="27.75" customHeight="1">
      <c r="B30" s="119"/>
      <c r="C30" s="155" t="s">
        <v>349</v>
      </c>
      <c r="D30" s="155"/>
      <c r="F30" s="151"/>
    </row>
    <row r="31" spans="2:21" s="93" customFormat="1" ht="13.15">
      <c r="B31" s="119"/>
      <c r="F31" s="148"/>
    </row>
    <row r="32" spans="2:21" s="93" customFormat="1" ht="13.15">
      <c r="B32" s="119"/>
      <c r="F32" s="148"/>
    </row>
    <row r="33" spans="2:6" s="93" customFormat="1" ht="13.15">
      <c r="B33" s="119"/>
      <c r="F33" s="148"/>
    </row>
    <row r="34" spans="2:6" s="93" customFormat="1" ht="13.15">
      <c r="B34" s="119"/>
      <c r="F34" s="148"/>
    </row>
    <row r="35" spans="2:6" s="93" customFormat="1" ht="13.15">
      <c r="B35" s="119"/>
    </row>
    <row r="36" spans="2:6" s="93" customFormat="1" ht="13.15">
      <c r="B36" s="119"/>
    </row>
    <row r="37" spans="2:6" s="93" customFormat="1" ht="13.1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82</v>
      </c>
      <c r="C40" s="134" t="s">
        <v>321</v>
      </c>
      <c r="D40" s="135"/>
      <c r="E40" s="133" t="s">
        <v>322</v>
      </c>
      <c r="F40" s="133" t="s">
        <v>323</v>
      </c>
    </row>
    <row r="41" spans="2:6" s="93" customFormat="1" ht="12.75" hidden="1" customHeight="1">
      <c r="B41" s="156">
        <v>1</v>
      </c>
      <c r="C41" s="157" t="s">
        <v>350</v>
      </c>
      <c r="D41" s="157"/>
      <c r="E41" s="137">
        <v>0.35</v>
      </c>
      <c r="F41" s="138">
        <f>$F$47*E41</f>
        <v>3407028.0999999996</v>
      </c>
    </row>
    <row r="42" spans="2:6" s="93" customFormat="1" ht="12.75" hidden="1" customHeight="1">
      <c r="B42" s="156">
        <v>2</v>
      </c>
      <c r="C42" s="157" t="s">
        <v>351</v>
      </c>
      <c r="D42" s="157"/>
      <c r="E42" s="137">
        <v>0.3</v>
      </c>
      <c r="F42" s="138">
        <f t="shared" ref="F42:F45" si="1">$F$47*E42</f>
        <v>2920309.8</v>
      </c>
    </row>
    <row r="43" spans="2:6" s="93" customFormat="1" ht="12.75" hidden="1" customHeight="1">
      <c r="B43" s="156">
        <v>3</v>
      </c>
      <c r="C43" s="157" t="s">
        <v>123</v>
      </c>
      <c r="D43" s="157"/>
      <c r="E43" s="137">
        <v>0.2</v>
      </c>
      <c r="F43" s="138">
        <f t="shared" si="1"/>
        <v>1946873.2000000002</v>
      </c>
    </row>
    <row r="44" spans="2:6" s="93" customFormat="1" ht="12.75" hidden="1" customHeight="1">
      <c r="B44" s="156">
        <v>4</v>
      </c>
      <c r="C44" s="157" t="s">
        <v>352</v>
      </c>
      <c r="D44" s="157"/>
      <c r="E44" s="137">
        <v>0.1</v>
      </c>
      <c r="F44" s="138">
        <f t="shared" si="1"/>
        <v>973436.60000000009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486718.30000000005</v>
      </c>
    </row>
    <row r="46" spans="2:6" s="93" customFormat="1" ht="13.5" hidden="1" customHeight="1" thickBot="1">
      <c r="B46" s="162"/>
      <c r="C46" s="163" t="s">
        <v>353</v>
      </c>
      <c r="D46" s="163"/>
      <c r="E46" s="164">
        <f>SUM(E41:E45)</f>
        <v>0.99999999999999989</v>
      </c>
      <c r="F46" s="165">
        <f>SUM(F41:F45)</f>
        <v>9734366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9734366</v>
      </c>
    </row>
    <row r="48" spans="2:6" s="93" customFormat="1" ht="12.75" hidden="1" customHeight="1">
      <c r="B48" s="119"/>
    </row>
    <row r="49" spans="2:2" s="93" customFormat="1" ht="13.15">
      <c r="B49" s="119"/>
    </row>
    <row r="50" spans="2:2" s="93" customFormat="1" ht="13.15">
      <c r="B50" s="119"/>
    </row>
    <row r="51" spans="2:2" s="93" customFormat="1" ht="13.15">
      <c r="B51" s="119"/>
    </row>
    <row r="52" spans="2:2" s="93" customFormat="1" ht="13.15">
      <c r="B52" s="119"/>
    </row>
    <row r="53" spans="2:2" s="93" customFormat="1" ht="13.15">
      <c r="B53" s="119"/>
    </row>
    <row r="54" spans="2:2" s="93" customFormat="1" ht="13.15">
      <c r="B54" s="119"/>
    </row>
    <row r="55" spans="2:2" s="93" customFormat="1" ht="13.15">
      <c r="B55" s="119"/>
    </row>
    <row r="56" spans="2:2" s="93" customFormat="1" ht="13.15">
      <c r="B56" s="119"/>
    </row>
    <row r="57" spans="2:2" s="93" customFormat="1" ht="13.15">
      <c r="B57" s="119"/>
    </row>
    <row r="58" spans="2:2" s="93" customFormat="1" ht="13.15">
      <c r="B58" s="119"/>
    </row>
    <row r="59" spans="2:2" s="93" customFormat="1" ht="13.15">
      <c r="B59" s="119"/>
    </row>
    <row r="60" spans="2:2" s="93" customFormat="1" ht="13.15">
      <c r="B60" s="119"/>
    </row>
    <row r="61" spans="2:2" s="93" customFormat="1" ht="13.15">
      <c r="B61" s="119"/>
    </row>
    <row r="62" spans="2:2" s="93" customFormat="1" ht="13.15">
      <c r="B62" s="119"/>
    </row>
    <row r="63" spans="2:2" s="93" customFormat="1" ht="13.15">
      <c r="B63" s="119"/>
    </row>
    <row r="64" spans="2:2" s="93" customFormat="1" ht="13.15">
      <c r="B64" s="119"/>
    </row>
    <row r="65" spans="2:2" s="93" customFormat="1" ht="13.15">
      <c r="B65" s="119"/>
    </row>
    <row r="66" spans="2:2" s="93" customFormat="1" ht="13.15">
      <c r="B66" s="119"/>
    </row>
    <row r="67" spans="2:2" s="93" customFormat="1" ht="13.15">
      <c r="B67" s="119"/>
    </row>
    <row r="68" spans="2:2" s="93" customFormat="1" ht="13.15">
      <c r="B68" s="119"/>
    </row>
    <row r="69" spans="2:2" s="93" customFormat="1" ht="13.15">
      <c r="B69" s="119"/>
    </row>
    <row r="70" spans="2:2" s="93" customFormat="1" ht="13.15">
      <c r="B70" s="119"/>
    </row>
    <row r="71" spans="2:2" s="93" customFormat="1" ht="13.15">
      <c r="B71" s="119"/>
    </row>
    <row r="72" spans="2:2" s="93" customFormat="1" ht="13.15">
      <c r="B72" s="119"/>
    </row>
    <row r="73" spans="2:2" s="93" customFormat="1" ht="13.15">
      <c r="B73" s="119"/>
    </row>
    <row r="74" spans="2:2" s="93" customFormat="1" ht="13.15">
      <c r="B74" s="119"/>
    </row>
    <row r="75" spans="2:2" s="93" customFormat="1" ht="13.15">
      <c r="B75" s="119"/>
    </row>
    <row r="76" spans="2:2" s="93" customFormat="1" ht="13.15">
      <c r="B76" s="119"/>
    </row>
    <row r="77" spans="2:2" s="93" customFormat="1" ht="13.15">
      <c r="B77" s="119"/>
    </row>
    <row r="78" spans="2:2" s="93" customFormat="1" ht="13.15">
      <c r="B78" s="119"/>
    </row>
    <row r="79" spans="2:2" s="93" customFormat="1" ht="13.15">
      <c r="B79" s="119"/>
    </row>
    <row r="80" spans="2:2" s="93" customFormat="1" ht="13.15">
      <c r="B80" s="119"/>
    </row>
    <row r="81" spans="2:2" s="93" customFormat="1" ht="13.15">
      <c r="B81" s="119"/>
    </row>
    <row r="82" spans="2:2" s="93" customFormat="1" ht="13.15">
      <c r="B82" s="119"/>
    </row>
    <row r="83" spans="2:2" s="93" customFormat="1" ht="13.15">
      <c r="B83" s="119"/>
    </row>
    <row r="84" spans="2:2" s="93" customFormat="1" ht="13.15">
      <c r="B84" s="119"/>
    </row>
    <row r="85" spans="2:2" s="93" customFormat="1" ht="13.15">
      <c r="B85" s="119"/>
    </row>
    <row r="86" spans="2:2" s="93" customFormat="1" ht="13.15">
      <c r="B86" s="119"/>
    </row>
    <row r="87" spans="2:2" s="93" customFormat="1" ht="13.15">
      <c r="B87" s="119"/>
    </row>
    <row r="88" spans="2:2" s="93" customFormat="1" ht="13.15">
      <c r="B88" s="119"/>
    </row>
    <row r="89" spans="2:2" s="93" customFormat="1" ht="13.15">
      <c r="B89" s="119"/>
    </row>
    <row r="90" spans="2:2" s="93" customFormat="1" ht="13.15">
      <c r="B90" s="119"/>
    </row>
    <row r="91" spans="2:2" s="93" customFormat="1" ht="13.15">
      <c r="B91" s="119"/>
    </row>
    <row r="92" spans="2:2" s="93" customFormat="1" ht="13.15">
      <c r="B92" s="119"/>
    </row>
    <row r="93" spans="2:2" s="93" customFormat="1" ht="13.15">
      <c r="B93" s="119"/>
    </row>
    <row r="94" spans="2:2" s="93" customFormat="1" ht="13.15">
      <c r="B94" s="119"/>
    </row>
    <row r="95" spans="2:2" s="93" customFormat="1" ht="13.15">
      <c r="B95" s="119"/>
    </row>
    <row r="96" spans="2:2" s="93" customFormat="1" ht="13.15">
      <c r="B96" s="119"/>
    </row>
    <row r="97" spans="2:2" s="93" customFormat="1" ht="13.15">
      <c r="B97" s="119"/>
    </row>
    <row r="98" spans="2:2" s="93" customFormat="1" ht="13.15">
      <c r="B98" s="119"/>
    </row>
    <row r="99" spans="2:2" s="93" customFormat="1" ht="13.15">
      <c r="B99" s="119"/>
    </row>
    <row r="100" spans="2:2" s="93" customFormat="1" ht="13.15">
      <c r="B100" s="119"/>
    </row>
    <row r="101" spans="2:2" s="93" customFormat="1" ht="13.15">
      <c r="B101" s="119"/>
    </row>
    <row r="102" spans="2:2" s="93" customFormat="1" ht="13.15">
      <c r="B102" s="119"/>
    </row>
    <row r="103" spans="2:2" s="93" customFormat="1" ht="13.15">
      <c r="B103" s="119"/>
    </row>
    <row r="104" spans="2:2" s="93" customFormat="1" ht="13.15">
      <c r="B104" s="119"/>
    </row>
    <row r="105" spans="2:2" s="93" customFormat="1" ht="13.15">
      <c r="B105" s="119"/>
    </row>
    <row r="106" spans="2:2" s="93" customFormat="1" ht="13.15">
      <c r="B106" s="119"/>
    </row>
    <row r="107" spans="2:2" s="93" customFormat="1" ht="13.15">
      <c r="B107" s="119"/>
    </row>
    <row r="108" spans="2:2" s="93" customFormat="1" ht="13.15">
      <c r="B108" s="119"/>
    </row>
    <row r="109" spans="2:2" s="93" customFormat="1" ht="13.15">
      <c r="B109" s="119"/>
    </row>
    <row r="110" spans="2:2" s="93" customFormat="1" ht="13.15">
      <c r="B110" s="119"/>
    </row>
    <row r="111" spans="2:2" s="93" customFormat="1" ht="13.15">
      <c r="B111" s="119"/>
    </row>
    <row r="112" spans="2:2" s="93" customFormat="1" ht="13.15">
      <c r="B112" s="119"/>
    </row>
    <row r="113" spans="2:2" s="93" customFormat="1" ht="13.15">
      <c r="B113" s="119"/>
    </row>
    <row r="114" spans="2:2" s="93" customFormat="1" ht="13.15">
      <c r="B114" s="119"/>
    </row>
    <row r="115" spans="2:2" s="93" customFormat="1" ht="13.15">
      <c r="B115" s="119"/>
    </row>
    <row r="116" spans="2:2" s="93" customFormat="1" ht="13.15">
      <c r="B116" s="119"/>
    </row>
    <row r="117" spans="2:2" s="93" customFormat="1" ht="13.15">
      <c r="B117" s="119"/>
    </row>
    <row r="118" spans="2:2" s="93" customFormat="1" ht="13.15">
      <c r="B118" s="119"/>
    </row>
    <row r="119" spans="2:2" s="93" customFormat="1" ht="13.15">
      <c r="B119" s="119"/>
    </row>
    <row r="120" spans="2:2" s="93" customFormat="1" ht="13.15">
      <c r="B120" s="119"/>
    </row>
    <row r="121" spans="2:2" s="93" customFormat="1" ht="13.15">
      <c r="B121" s="119"/>
    </row>
    <row r="122" spans="2:2" s="93" customFormat="1" ht="13.15">
      <c r="B122" s="119"/>
    </row>
    <row r="123" spans="2:2" s="93" customFormat="1" ht="13.15">
      <c r="B123" s="119"/>
    </row>
    <row r="124" spans="2:2" s="93" customFormat="1" ht="13.15">
      <c r="B124" s="119"/>
    </row>
    <row r="125" spans="2:2" s="93" customFormat="1" ht="13.15">
      <c r="B125" s="119"/>
    </row>
    <row r="126" spans="2:2" s="93" customFormat="1" ht="13.15">
      <c r="B126" s="119"/>
    </row>
    <row r="127" spans="2:2" s="93" customFormat="1" ht="13.15">
      <c r="B127" s="119"/>
    </row>
    <row r="128" spans="2:2" s="93" customFormat="1" ht="13.15">
      <c r="B128" s="119"/>
    </row>
    <row r="129" spans="2:2" s="93" customFormat="1" ht="13.15">
      <c r="B129" s="119"/>
    </row>
    <row r="130" spans="2:2" s="93" customFormat="1" ht="13.15">
      <c r="B130" s="119"/>
    </row>
    <row r="131" spans="2:2" s="93" customFormat="1" ht="13.15">
      <c r="B131" s="119"/>
    </row>
    <row r="132" spans="2:2" s="93" customFormat="1" ht="13.15">
      <c r="B132" s="119"/>
    </row>
    <row r="133" spans="2:2" s="93" customFormat="1" ht="13.15">
      <c r="B133" s="119"/>
    </row>
    <row r="134" spans="2:2" s="93" customFormat="1" ht="13.15">
      <c r="B134" s="119"/>
    </row>
    <row r="135" spans="2:2" s="93" customFormat="1" ht="13.15">
      <c r="B135" s="119"/>
    </row>
    <row r="136" spans="2:2" s="93" customFormat="1" ht="13.15">
      <c r="B136" s="119"/>
    </row>
    <row r="137" spans="2:2" s="93" customFormat="1" ht="13.15">
      <c r="B137" s="119"/>
    </row>
    <row r="138" spans="2:2" s="93" customFormat="1" ht="13.15">
      <c r="B138" s="119"/>
    </row>
    <row r="139" spans="2:2" s="93" customFormat="1" ht="13.15">
      <c r="B139" s="119"/>
    </row>
    <row r="140" spans="2:2" s="93" customFormat="1" ht="13.15">
      <c r="B140" s="119"/>
    </row>
    <row r="141" spans="2:2" s="93" customFormat="1" ht="13.15">
      <c r="B141" s="119"/>
    </row>
    <row r="142" spans="2:2" s="93" customFormat="1" ht="13.15">
      <c r="B142" s="119"/>
    </row>
    <row r="143" spans="2:2" s="93" customFormat="1" ht="13.15">
      <c r="B143" s="119"/>
    </row>
    <row r="144" spans="2:2" s="93" customFormat="1" ht="13.15">
      <c r="B144" s="119"/>
    </row>
    <row r="145" spans="2:2" s="93" customFormat="1" ht="13.15">
      <c r="B145" s="119"/>
    </row>
    <row r="146" spans="2:2" s="93" customFormat="1" ht="13.15">
      <c r="B146" s="119"/>
    </row>
    <row r="147" spans="2:2" s="93" customFormat="1" ht="13.15">
      <c r="B147" s="119"/>
    </row>
    <row r="148" spans="2:2" s="93" customFormat="1" ht="13.15">
      <c r="B148" s="119"/>
    </row>
    <row r="149" spans="2:2" s="93" customFormat="1" ht="13.15">
      <c r="B149" s="119"/>
    </row>
    <row r="150" spans="2:2" s="93" customFormat="1" ht="13.15">
      <c r="B150" s="119"/>
    </row>
    <row r="151" spans="2:2" s="93" customFormat="1" ht="13.15">
      <c r="B151" s="119"/>
    </row>
    <row r="152" spans="2:2" s="93" customFormat="1" ht="13.15">
      <c r="B152" s="119"/>
    </row>
    <row r="153" spans="2:2" s="93" customFormat="1" ht="13.15">
      <c r="B153" s="119"/>
    </row>
    <row r="154" spans="2:2" s="93" customFormat="1" ht="13.15">
      <c r="B154" s="119"/>
    </row>
    <row r="155" spans="2:2" s="93" customFormat="1" ht="13.15">
      <c r="B155" s="119"/>
    </row>
    <row r="156" spans="2:2" s="93" customFormat="1" ht="13.15">
      <c r="B156" s="119"/>
    </row>
    <row r="157" spans="2:2" s="93" customFormat="1" ht="13.15">
      <c r="B157" s="119"/>
    </row>
    <row r="158" spans="2:2" s="93" customFormat="1" ht="13.15">
      <c r="B158" s="119"/>
    </row>
    <row r="159" spans="2:2" s="93" customFormat="1" ht="13.15">
      <c r="B159" s="119"/>
    </row>
    <row r="160" spans="2:2" s="93" customFormat="1" ht="13.15">
      <c r="B160" s="119"/>
    </row>
    <row r="161" spans="2:2" s="93" customFormat="1" ht="13.15">
      <c r="B161" s="119"/>
    </row>
    <row r="162" spans="2:2" s="93" customFormat="1" ht="13.15">
      <c r="B162" s="119"/>
    </row>
    <row r="163" spans="2:2" s="93" customFormat="1" ht="13.15">
      <c r="B163" s="119"/>
    </row>
    <row r="164" spans="2:2" s="93" customFormat="1" ht="13.15">
      <c r="B164" s="119"/>
    </row>
    <row r="165" spans="2:2" s="93" customFormat="1" ht="13.15">
      <c r="B165" s="119"/>
    </row>
    <row r="166" spans="2:2" s="93" customFormat="1" ht="13.15">
      <c r="B166" s="119"/>
    </row>
    <row r="167" spans="2:2" s="93" customFormat="1" ht="13.15">
      <c r="B167" s="119"/>
    </row>
    <row r="168" spans="2:2" s="93" customFormat="1" ht="13.15">
      <c r="B168" s="119"/>
    </row>
    <row r="169" spans="2:2" s="93" customFormat="1" ht="13.15">
      <c r="B169" s="119"/>
    </row>
    <row r="170" spans="2:2" s="93" customFormat="1" ht="13.15">
      <c r="B170" s="119"/>
    </row>
    <row r="171" spans="2:2" s="93" customFormat="1" ht="13.15">
      <c r="B171" s="119"/>
    </row>
    <row r="172" spans="2:2" s="93" customFormat="1" ht="13.15">
      <c r="B172" s="119"/>
    </row>
    <row r="173" spans="2:2" s="93" customFormat="1" ht="13.15">
      <c r="B173" s="119"/>
    </row>
    <row r="174" spans="2:2" s="93" customFormat="1" ht="13.15">
      <c r="B174" s="119"/>
    </row>
    <row r="175" spans="2:2" s="93" customFormat="1" ht="13.15">
      <c r="B175" s="119"/>
    </row>
    <row r="176" spans="2:2" s="93" customFormat="1" ht="13.15">
      <c r="B176" s="119"/>
    </row>
    <row r="177" spans="2:2" s="93" customFormat="1" ht="13.15">
      <c r="B177" s="119"/>
    </row>
    <row r="178" spans="2:2" s="93" customFormat="1" ht="13.15">
      <c r="B178" s="119"/>
    </row>
    <row r="179" spans="2:2" s="93" customFormat="1" ht="13.15">
      <c r="B179" s="119"/>
    </row>
    <row r="180" spans="2:2" s="93" customFormat="1" ht="13.15">
      <c r="B180" s="119"/>
    </row>
    <row r="181" spans="2:2" s="93" customFormat="1" ht="13.15">
      <c r="B181" s="119"/>
    </row>
    <row r="182" spans="2:2" s="93" customFormat="1" ht="13.15">
      <c r="B182" s="119"/>
    </row>
    <row r="183" spans="2:2" s="93" customFormat="1" ht="13.15">
      <c r="B183" s="119"/>
    </row>
    <row r="184" spans="2:2" s="93" customFormat="1" ht="13.15">
      <c r="B184" s="119"/>
    </row>
    <row r="185" spans="2:2" s="93" customFormat="1" ht="13.15">
      <c r="B185" s="119"/>
    </row>
    <row r="186" spans="2:2" s="93" customFormat="1" ht="13.15">
      <c r="B186" s="119"/>
    </row>
    <row r="187" spans="2:2" s="93" customFormat="1" ht="13.15">
      <c r="B187" s="119"/>
    </row>
    <row r="188" spans="2:2" s="93" customFormat="1" ht="13.15">
      <c r="B188" s="119"/>
    </row>
    <row r="189" spans="2:2" s="93" customFormat="1" ht="13.15">
      <c r="B189" s="119"/>
    </row>
    <row r="190" spans="2:2" s="93" customFormat="1" ht="13.15">
      <c r="B190" s="119"/>
    </row>
    <row r="191" spans="2:2" s="93" customFormat="1" ht="13.15">
      <c r="B191" s="119"/>
    </row>
    <row r="192" spans="2:2" s="93" customFormat="1" ht="13.15">
      <c r="B192" s="119"/>
    </row>
    <row r="193" spans="2:2" s="93" customFormat="1" ht="13.15">
      <c r="B193" s="119"/>
    </row>
    <row r="194" spans="2:2" s="93" customFormat="1" ht="13.15">
      <c r="B194" s="119"/>
    </row>
    <row r="195" spans="2:2" s="93" customFormat="1" ht="13.15">
      <c r="B195" s="119"/>
    </row>
    <row r="196" spans="2:2" s="93" customFormat="1" ht="13.15">
      <c r="B196" s="119"/>
    </row>
    <row r="197" spans="2:2" s="93" customFormat="1" ht="13.15">
      <c r="B197" s="119"/>
    </row>
    <row r="198" spans="2:2" s="93" customFormat="1" ht="13.15">
      <c r="B198" s="119"/>
    </row>
    <row r="199" spans="2:2" s="93" customFormat="1" ht="13.15">
      <c r="B199" s="119"/>
    </row>
    <row r="200" spans="2:2" s="93" customFormat="1" ht="13.15">
      <c r="B200" s="119"/>
    </row>
    <row r="201" spans="2:2" s="93" customFormat="1" ht="13.15">
      <c r="B201" s="119"/>
    </row>
    <row r="202" spans="2:2" s="93" customFormat="1" ht="13.15">
      <c r="B202" s="119"/>
    </row>
    <row r="203" spans="2:2" s="93" customFormat="1" ht="13.15">
      <c r="B203" s="119"/>
    </row>
    <row r="204" spans="2:2" s="93" customFormat="1" ht="13.15">
      <c r="B204" s="119"/>
    </row>
    <row r="205" spans="2:2" s="93" customFormat="1" ht="13.15">
      <c r="B205" s="119"/>
    </row>
    <row r="206" spans="2:2" s="93" customFormat="1" ht="13.15">
      <c r="B206" s="119"/>
    </row>
    <row r="207" spans="2:2" s="93" customFormat="1" ht="13.15">
      <c r="B207" s="119"/>
    </row>
    <row r="208" spans="2:2" s="93" customFormat="1" ht="13.15">
      <c r="B208" s="119"/>
    </row>
    <row r="209" spans="2:2" s="93" customFormat="1" ht="13.15">
      <c r="B209" s="119"/>
    </row>
    <row r="210" spans="2:2" s="93" customFormat="1" ht="13.15">
      <c r="B210" s="119"/>
    </row>
    <row r="211" spans="2:2" s="93" customFormat="1" ht="13.15">
      <c r="B211" s="119"/>
    </row>
    <row r="212" spans="2:2" s="93" customFormat="1" ht="13.15">
      <c r="B212" s="119"/>
    </row>
    <row r="213" spans="2:2" s="93" customFormat="1" ht="13.15">
      <c r="B213" s="119"/>
    </row>
    <row r="214" spans="2:2" s="93" customFormat="1" ht="13.15">
      <c r="B214" s="119"/>
    </row>
    <row r="215" spans="2:2" s="93" customFormat="1" ht="13.15">
      <c r="B215" s="119"/>
    </row>
    <row r="216" spans="2:2" s="93" customFormat="1" ht="13.15">
      <c r="B216" s="119"/>
    </row>
    <row r="217" spans="2:2" s="93" customFormat="1" ht="13.15">
      <c r="B217" s="119"/>
    </row>
    <row r="218" spans="2:2" s="93" customFormat="1" ht="13.1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C2" sqref="C2:D13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354</v>
      </c>
      <c r="F2" s="83" t="s">
        <v>355</v>
      </c>
    </row>
    <row r="3" spans="3:8">
      <c r="C3" s="79">
        <v>45292</v>
      </c>
      <c r="D3" s="73" t="s">
        <v>356</v>
      </c>
      <c r="F3" s="81" t="s">
        <v>357</v>
      </c>
    </row>
    <row r="4" spans="3:8">
      <c r="C4" s="79">
        <v>45372</v>
      </c>
      <c r="D4" s="73" t="s">
        <v>358</v>
      </c>
      <c r="F4" s="81" t="s">
        <v>359</v>
      </c>
    </row>
    <row r="5" spans="3:8">
      <c r="C5" s="79">
        <v>45380</v>
      </c>
      <c r="D5" s="73" t="s">
        <v>360</v>
      </c>
      <c r="F5" s="81" t="s">
        <v>361</v>
      </c>
    </row>
    <row r="6" spans="3:8" ht="13.9" thickBot="1">
      <c r="C6" s="79">
        <v>45383</v>
      </c>
      <c r="D6" s="73" t="s">
        <v>362</v>
      </c>
      <c r="F6" s="82" t="s">
        <v>363</v>
      </c>
    </row>
    <row r="7" spans="3:8">
      <c r="C7" s="79">
        <v>45413</v>
      </c>
      <c r="D7" s="73" t="s">
        <v>364</v>
      </c>
    </row>
    <row r="8" spans="3:8">
      <c r="C8" s="79">
        <v>45460</v>
      </c>
      <c r="D8" s="73" t="s">
        <v>365</v>
      </c>
    </row>
    <row r="9" spans="3:8">
      <c r="C9" s="79">
        <v>45513</v>
      </c>
      <c r="D9" s="73" t="s">
        <v>366</v>
      </c>
    </row>
    <row r="10" spans="3:8">
      <c r="C10" s="79">
        <v>45559</v>
      </c>
      <c r="D10" s="73" t="s">
        <v>367</v>
      </c>
    </row>
    <row r="11" spans="3:8">
      <c r="C11" s="79">
        <v>45642</v>
      </c>
      <c r="D11" s="73" t="s">
        <v>368</v>
      </c>
    </row>
    <row r="12" spans="3:8">
      <c r="C12" s="79">
        <v>45651</v>
      </c>
      <c r="D12" s="73" t="s">
        <v>369</v>
      </c>
    </row>
    <row r="13" spans="3:8">
      <c r="C13" s="79">
        <v>45652</v>
      </c>
      <c r="D13" s="73" t="s">
        <v>370</v>
      </c>
      <c r="F13" s="85"/>
      <c r="H13" s="73" t="s">
        <v>371</v>
      </c>
    </row>
    <row r="14" spans="3:8" ht="13.9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pane="bottomLeft" activeCell="J10" sqref="J10"/>
      <selection activeCell="G7" sqref="G7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114"/>
      <c r="L1" s="114"/>
    </row>
    <row r="2" spans="1:12">
      <c r="A2" s="264"/>
      <c r="B2" s="268" t="s">
        <v>372</v>
      </c>
      <c r="C2" s="268"/>
      <c r="D2" s="268"/>
      <c r="E2" s="268"/>
      <c r="F2" s="268"/>
      <c r="G2" s="268"/>
      <c r="H2" s="268"/>
      <c r="I2" s="268"/>
      <c r="J2" s="268"/>
      <c r="K2" s="116"/>
      <c r="L2" s="116"/>
    </row>
    <row r="3" spans="1:12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114"/>
      <c r="L3" s="114"/>
    </row>
    <row r="4" spans="1:12" ht="14.45" thickBot="1">
      <c r="A4" s="264"/>
      <c r="B4" s="905"/>
      <c r="C4" s="905"/>
      <c r="D4" s="905"/>
      <c r="E4" s="650"/>
      <c r="F4" s="269" t="s">
        <v>373</v>
      </c>
      <c r="G4" s="264"/>
      <c r="H4" s="269" t="s">
        <v>304</v>
      </c>
      <c r="I4" s="264"/>
      <c r="J4" s="270" t="s">
        <v>374</v>
      </c>
      <c r="K4" s="114"/>
      <c r="L4" s="114"/>
    </row>
    <row r="5" spans="1:12" ht="14.45" thickBot="1">
      <c r="A5" s="264"/>
      <c r="B5" s="906" t="s">
        <v>375</v>
      </c>
      <c r="C5" s="906"/>
      <c r="D5" s="906"/>
      <c r="E5" s="650"/>
      <c r="F5" s="271">
        <f>SUM(F9:F23)</f>
        <v>8749927.1756521706</v>
      </c>
      <c r="G5" s="266"/>
      <c r="H5" s="271">
        <f>SUM(H9:H23)</f>
        <v>6993121.79</v>
      </c>
      <c r="I5" s="264"/>
      <c r="J5" s="272">
        <f>SUM(J9:J23)</f>
        <v>1756805.3856521696</v>
      </c>
      <c r="K5" s="114"/>
      <c r="L5" s="114"/>
    </row>
    <row r="6" spans="1:12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114"/>
      <c r="L6" s="114"/>
    </row>
    <row r="7" spans="1:12" ht="27" thickBot="1">
      <c r="A7" s="264"/>
      <c r="B7" s="274" t="s">
        <v>82</v>
      </c>
      <c r="C7" s="275"/>
      <c r="D7" s="274" t="s">
        <v>376</v>
      </c>
      <c r="E7" s="275"/>
      <c r="F7" s="276" t="s">
        <v>377</v>
      </c>
      <c r="G7" s="277"/>
      <c r="H7" s="276" t="s">
        <v>378</v>
      </c>
      <c r="I7" s="277"/>
      <c r="J7" s="276" t="s">
        <v>379</v>
      </c>
      <c r="K7" s="191"/>
      <c r="L7" s="117" t="s">
        <v>380</v>
      </c>
    </row>
    <row r="8" spans="1:12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114"/>
      <c r="L8" s="114"/>
    </row>
    <row r="9" spans="1:12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0</v>
      </c>
      <c r="G9" s="86"/>
      <c r="H9" s="280">
        <f>'Expenditure Breakdown'!X6</f>
        <v>0</v>
      </c>
      <c r="I9" s="89"/>
      <c r="J9" s="281">
        <f t="shared" ref="J9:J23" si="0">F9-H9</f>
        <v>0</v>
      </c>
      <c r="K9" s="192"/>
      <c r="L9" s="305"/>
    </row>
    <row r="10" spans="1:12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864000</v>
      </c>
      <c r="G10" s="86"/>
      <c r="H10" s="280">
        <f>+'Expenditure Breakdown'!X13</f>
        <v>757680</v>
      </c>
      <c r="I10" s="89"/>
      <c r="J10" s="281">
        <f t="shared" si="0"/>
        <v>106320</v>
      </c>
      <c r="K10" s="192"/>
      <c r="L10" s="305"/>
    </row>
    <row r="11" spans="1:12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Breakdown'!I18</f>
        <v>679320</v>
      </c>
      <c r="G11" s="86"/>
      <c r="H11" s="280">
        <f>+'Expenditure Breakdown'!X18</f>
        <v>619184.87</v>
      </c>
      <c r="I11" s="89"/>
      <c r="J11" s="281">
        <f t="shared" si="0"/>
        <v>60135.130000000005</v>
      </c>
      <c r="K11" s="192"/>
      <c r="L11" s="305"/>
    </row>
    <row r="12" spans="1:12">
      <c r="A12" s="264"/>
      <c r="B12" s="278">
        <f>'Expenditure Breakdown'!B32</f>
        <v>4</v>
      </c>
      <c r="C12" s="267"/>
      <c r="D12" s="279" t="str">
        <f>'Expenditure Breakdown'!C32</f>
        <v>DC Equipment</v>
      </c>
      <c r="E12" s="282"/>
      <c r="F12" s="280">
        <f>+'Expenditure Breakdown'!I32</f>
        <v>1357297</v>
      </c>
      <c r="G12" s="86"/>
      <c r="H12" s="280">
        <f>+'Expenditure Breakdown'!X32</f>
        <v>810195</v>
      </c>
      <c r="I12" s="89"/>
      <c r="J12" s="281">
        <f t="shared" si="0"/>
        <v>547102</v>
      </c>
      <c r="K12" s="192"/>
      <c r="L12" s="305"/>
    </row>
    <row r="13" spans="1:12">
      <c r="A13" s="264"/>
      <c r="B13" s="278">
        <f>'Expenditure Breakdown'!B46</f>
        <v>5</v>
      </c>
      <c r="C13" s="267"/>
      <c r="D13" s="279" t="str">
        <f>'Expenditure Breakdown'!C46</f>
        <v>Monitoring</v>
      </c>
      <c r="E13" s="282"/>
      <c r="F13" s="280">
        <f>+'Expenditure Breakdown'!I46</f>
        <v>49000</v>
      </c>
      <c r="G13" s="86"/>
      <c r="H13" s="280">
        <f>+'Expenditure Breakdown'!X46</f>
        <v>28480</v>
      </c>
      <c r="I13" s="89"/>
      <c r="J13" s="281">
        <f t="shared" si="0"/>
        <v>20520</v>
      </c>
      <c r="K13" s="192"/>
      <c r="L13" s="305"/>
    </row>
    <row r="14" spans="1:12">
      <c r="A14" s="264"/>
      <c r="B14" s="278">
        <f>'Expenditure Breakdown'!B53</f>
        <v>6</v>
      </c>
      <c r="C14" s="267"/>
      <c r="D14" s="279" t="str">
        <f>'Expenditure Breakdown'!C53</f>
        <v>AC Equipment</v>
      </c>
      <c r="E14" s="282"/>
      <c r="F14" s="280">
        <f>+'Expenditure Breakdown'!I53</f>
        <v>3348396.2956521697</v>
      </c>
      <c r="G14" s="86"/>
      <c r="H14" s="280">
        <f>+'Expenditure Breakdown'!X53</f>
        <v>1177114.1499999999</v>
      </c>
      <c r="I14" s="89"/>
      <c r="J14" s="281">
        <f t="shared" si="0"/>
        <v>2171282.1456521698</v>
      </c>
      <c r="K14" s="192"/>
      <c r="L14" s="305"/>
    </row>
    <row r="15" spans="1:12">
      <c r="A15" s="264"/>
      <c r="B15" s="278">
        <f>'Expenditure Breakdown'!B68</f>
        <v>7</v>
      </c>
      <c r="C15" s="267"/>
      <c r="D15" s="279" t="str">
        <f>'Expenditure Breakdown'!C68</f>
        <v>Battery Systems</v>
      </c>
      <c r="E15" s="282"/>
      <c r="F15" s="280">
        <f>+'Expenditure Breakdown'!I68</f>
        <v>0</v>
      </c>
      <c r="G15" s="86"/>
      <c r="H15" s="280">
        <f>'Expenditure Breakdown'!X68</f>
        <v>0</v>
      </c>
      <c r="I15" s="89"/>
      <c r="J15" s="281">
        <f t="shared" si="0"/>
        <v>0</v>
      </c>
      <c r="K15" s="192"/>
      <c r="L15" s="305"/>
    </row>
    <row r="16" spans="1:12">
      <c r="A16" s="264"/>
      <c r="B16" s="278">
        <f>'Expenditure Breakdown'!B77</f>
        <v>8</v>
      </c>
      <c r="C16" s="267"/>
      <c r="D16" s="279" t="str">
        <f>'Expenditure Breakdown'!C77</f>
        <v xml:space="preserve">Product Add On </v>
      </c>
      <c r="E16" s="282"/>
      <c r="F16" s="280">
        <f>'Expenditure Breakdown'!I77</f>
        <v>255000</v>
      </c>
      <c r="G16" s="86"/>
      <c r="H16" s="280">
        <f>'Expenditure Breakdown'!X77</f>
        <v>1488603.6600000001</v>
      </c>
      <c r="I16" s="89"/>
      <c r="J16" s="281">
        <f t="shared" si="0"/>
        <v>-1233603.6600000001</v>
      </c>
      <c r="K16" s="192"/>
      <c r="L16" s="305"/>
    </row>
    <row r="17" spans="1:12">
      <c r="A17" s="264"/>
      <c r="B17" s="278">
        <f>'Expenditure Breakdown'!L101</f>
        <v>9</v>
      </c>
      <c r="C17" s="267"/>
      <c r="D17" s="279" t="str">
        <f>'Expenditure Breakdown'!C101</f>
        <v>AC &amp; DC Installation</v>
      </c>
      <c r="E17" s="282"/>
      <c r="F17" s="280">
        <f>+'Expenditure Breakdown'!I101</f>
        <v>1281800</v>
      </c>
      <c r="G17" s="86"/>
      <c r="H17" s="280">
        <f>+'Expenditure Breakdown'!X101</f>
        <v>1500000</v>
      </c>
      <c r="I17" s="89"/>
      <c r="J17" s="281">
        <f t="shared" si="0"/>
        <v>-218200</v>
      </c>
      <c r="K17" s="192"/>
      <c r="L17" s="305"/>
    </row>
    <row r="18" spans="1:12">
      <c r="A18" s="264"/>
      <c r="B18" s="278">
        <f>'Expenditure Breakdown'!B110</f>
        <v>10</v>
      </c>
      <c r="C18" s="267"/>
      <c r="D18" s="279" t="str">
        <f>'Expenditure Breakdown'!C110</f>
        <v>Site Logistics</v>
      </c>
      <c r="E18" s="86"/>
      <c r="F18" s="280">
        <f>+'Expenditure Breakdown'!I110</f>
        <v>529807.5</v>
      </c>
      <c r="G18" s="86"/>
      <c r="H18" s="280">
        <f>+'Expenditure Breakdown'!X110</f>
        <v>24394.2</v>
      </c>
      <c r="I18" s="89"/>
      <c r="J18" s="281">
        <f t="shared" si="0"/>
        <v>505413.3</v>
      </c>
      <c r="K18" s="192"/>
      <c r="L18" s="305"/>
    </row>
    <row r="19" spans="1:12">
      <c r="A19" s="264"/>
      <c r="B19" s="278">
        <f>'Expenditure Breakdown'!B116</f>
        <v>11</v>
      </c>
      <c r="C19" s="267"/>
      <c r="D19" s="279" t="str">
        <f>'Expenditure Breakdown'!C116</f>
        <v>Due Dilligence</v>
      </c>
      <c r="E19" s="86"/>
      <c r="F19" s="280">
        <f>'Expenditure Breakdown'!I116</f>
        <v>200220</v>
      </c>
      <c r="G19" s="86"/>
      <c r="H19" s="280">
        <f>'Expenditure Breakdown'!X116</f>
        <v>116600</v>
      </c>
      <c r="I19" s="89"/>
      <c r="J19" s="281">
        <f t="shared" si="0"/>
        <v>83620</v>
      </c>
      <c r="K19" s="192"/>
      <c r="L19" s="305"/>
    </row>
    <row r="20" spans="1:12">
      <c r="A20" s="264"/>
      <c r="B20" s="278">
        <f>'Expenditure Breakdown'!B126</f>
        <v>12</v>
      </c>
      <c r="C20" s="267"/>
      <c r="D20" s="279" t="str">
        <f>'Expenditure Breakdown'!C126</f>
        <v>BDP Commission</v>
      </c>
      <c r="E20" s="86"/>
      <c r="F20" s="280">
        <f>'Expenditure Breakdown'!G125</f>
        <v>158836.38</v>
      </c>
      <c r="G20" s="86"/>
      <c r="H20" s="280">
        <f>'Expenditure Breakdown'!X125</f>
        <v>264727.3</v>
      </c>
      <c r="I20" s="89"/>
      <c r="J20" s="281">
        <f t="shared" si="0"/>
        <v>-105890.91999999998</v>
      </c>
      <c r="K20" s="192"/>
      <c r="L20" s="305"/>
    </row>
    <row r="21" spans="1:12">
      <c r="A21" s="264"/>
      <c r="B21" s="278">
        <f>'Expenditure Breakdown'!B128</f>
        <v>13</v>
      </c>
      <c r="C21" s="267"/>
      <c r="D21" s="279" t="str">
        <f>'Expenditure Breakdown'!C128</f>
        <v>Engineering</v>
      </c>
      <c r="E21" s="86"/>
      <c r="F21" s="280">
        <f>+'Expenditure Breakdown'!I128</f>
        <v>0</v>
      </c>
      <c r="G21" s="86"/>
      <c r="H21" s="280">
        <f>+'Expenditure Breakdown'!X128</f>
        <v>120625</v>
      </c>
      <c r="I21" s="89"/>
      <c r="J21" s="281">
        <f t="shared" si="0"/>
        <v>-120625</v>
      </c>
      <c r="K21" s="192"/>
      <c r="L21" s="305" t="s">
        <v>381</v>
      </c>
    </row>
    <row r="22" spans="1:12">
      <c r="A22" s="264"/>
      <c r="B22" s="278">
        <f>'Expenditure Breakdown'!B136</f>
        <v>14</v>
      </c>
      <c r="C22" s="267"/>
      <c r="D22" s="279" t="str">
        <f>'Expenditure Breakdown'!C136</f>
        <v>General Expenses</v>
      </c>
      <c r="E22" s="86"/>
      <c r="F22" s="280">
        <f>+'Expenditure Breakdown'!I136</f>
        <v>26250</v>
      </c>
      <c r="G22" s="86"/>
      <c r="H22" s="280">
        <f>+'Expenditure Breakdown'!X136</f>
        <v>85517.61</v>
      </c>
      <c r="I22" s="89"/>
      <c r="J22" s="281">
        <f t="shared" si="0"/>
        <v>-59267.61</v>
      </c>
      <c r="K22" s="192"/>
      <c r="L22" s="305"/>
    </row>
    <row r="23" spans="1:12">
      <c r="A23" s="264"/>
      <c r="B23" s="278">
        <f>'Expenditure Breakdown'!B149</f>
        <v>15</v>
      </c>
      <c r="C23" s="267"/>
      <c r="D23" s="279" t="str">
        <f>'Expenditure Breakdown'!C149</f>
        <v>Service Add On</v>
      </c>
      <c r="E23" s="86"/>
      <c r="F23" s="280">
        <f>+'Expenditure Breakdown'!I149</f>
        <v>0</v>
      </c>
      <c r="G23" s="86"/>
      <c r="H23" s="280">
        <f>+'Expenditure Breakdown'!X149</f>
        <v>0</v>
      </c>
      <c r="I23" s="89"/>
      <c r="J23" s="281">
        <f t="shared" si="0"/>
        <v>0</v>
      </c>
      <c r="K23" s="192"/>
      <c r="L23" s="305"/>
    </row>
    <row r="24" spans="1:12" ht="6.75" customHeight="1">
      <c r="A24" s="264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4"/>
      <c r="B25" s="87"/>
      <c r="C25" s="87"/>
      <c r="D25" s="283" t="s">
        <v>382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Breakdown'!X2-H5</f>
        <v>0</v>
      </c>
      <c r="I25" s="89"/>
      <c r="J25" s="285"/>
      <c r="K25" s="192"/>
      <c r="L25" s="114"/>
    </row>
    <row r="26" spans="1:12" s="3" customFormat="1">
      <c r="B26" s="109"/>
      <c r="C26" s="109"/>
    </row>
    <row r="27" spans="1:12">
      <c r="A27" s="617" t="s">
        <v>383</v>
      </c>
      <c r="B27" s="618"/>
      <c r="C27" s="618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15"/>
  <sheetViews>
    <sheetView tabSelected="1" topLeftCell="P1" zoomScale="85" zoomScaleNormal="85" workbookViewId="0">
      <pane ySplit="4" topLeftCell="A155" activePane="bottomLeft" state="frozen"/>
      <selection pane="bottomLeft" activeCell="W95" sqref="W95"/>
      <selection activeCell="Q24" sqref="Q24"/>
    </sheetView>
  </sheetViews>
  <sheetFormatPr defaultColWidth="9" defaultRowHeight="13.9"/>
  <cols>
    <col min="1" max="1" width="2.42578125" style="114" customWidth="1"/>
    <col min="2" max="2" width="6.42578125" style="24" customWidth="1"/>
    <col min="3" max="3" width="20.42578125" style="24" customWidth="1"/>
    <col min="4" max="4" width="29.42578125" style="24" customWidth="1"/>
    <col min="5" max="5" width="8.42578125" style="70" customWidth="1"/>
    <col min="6" max="6" width="14.42578125" style="64" customWidth="1"/>
    <col min="7" max="7" width="16.42578125" style="24" customWidth="1"/>
    <col min="8" max="8" width="14" style="24" customWidth="1"/>
    <col min="9" max="9" width="20" style="448" customWidth="1"/>
    <col min="10" max="10" width="20" style="448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61.42578125" style="24" customWidth="1"/>
    <col min="15" max="15" width="16.140625" style="70" bestFit="1" customWidth="1"/>
    <col min="16" max="16" width="17.42578125" style="64" customWidth="1"/>
    <col min="17" max="17" width="16.5703125" style="449" customWidth="1"/>
    <col min="18" max="18" width="38.42578125" style="65" bestFit="1" customWidth="1"/>
    <col min="19" max="19" width="31.42578125" style="455" customWidth="1"/>
    <col min="20" max="20" width="13" style="65" customWidth="1"/>
    <col min="21" max="22" width="16.42578125" style="65" customWidth="1"/>
    <col min="23" max="23" width="13.42578125" style="466" customWidth="1"/>
    <col min="24" max="24" width="19.5703125" style="24" bestFit="1" customWidth="1"/>
    <col min="25" max="25" width="57" style="114" customWidth="1"/>
    <col min="26" max="26" width="29.42578125" style="114" bestFit="1" customWidth="1"/>
    <col min="27" max="27" width="19.5703125" style="114" customWidth="1"/>
    <col min="28" max="28" width="2.42578125" style="114" customWidth="1"/>
    <col min="29" max="29" width="31.42578125" style="114" bestFit="1" customWidth="1"/>
    <col min="30" max="30" width="17.42578125" style="114" customWidth="1"/>
    <col min="31" max="31" width="12.5703125" style="114" bestFit="1" customWidth="1"/>
    <col min="32" max="42" width="9" style="114"/>
    <col min="43" max="16384" width="9" style="24"/>
  </cols>
  <sheetData>
    <row r="1" spans="1:42" s="114" customFormat="1" ht="4.5" customHeight="1" thickBot="1">
      <c r="E1" s="167"/>
      <c r="F1" s="115"/>
      <c r="I1" s="306"/>
      <c r="J1" s="306"/>
      <c r="O1" s="167"/>
      <c r="P1" s="115"/>
      <c r="Q1" s="486"/>
      <c r="R1" s="168"/>
      <c r="S1" s="451"/>
      <c r="T1" s="168"/>
      <c r="U1" s="168"/>
      <c r="V1" s="168"/>
      <c r="W1" s="456"/>
    </row>
    <row r="2" spans="1:42" ht="21.75" customHeight="1" thickBot="1">
      <c r="B2" s="976" t="s">
        <v>384</v>
      </c>
      <c r="C2" s="977"/>
      <c r="D2" s="977"/>
      <c r="E2" s="977"/>
      <c r="F2" s="977"/>
      <c r="G2" s="977"/>
      <c r="H2" s="978"/>
      <c r="I2" s="308">
        <f>SUM(I6:I153)</f>
        <v>8749927.1756521706</v>
      </c>
      <c r="J2" s="308">
        <f>SUM(J6:J153)</f>
        <v>9734366.0588261914</v>
      </c>
      <c r="L2" s="963" t="s">
        <v>385</v>
      </c>
      <c r="M2" s="964"/>
      <c r="N2" s="964"/>
      <c r="O2" s="964"/>
      <c r="P2" s="964"/>
      <c r="Q2" s="964"/>
      <c r="R2" s="965"/>
      <c r="S2" s="950" t="s">
        <v>386</v>
      </c>
      <c r="T2" s="951"/>
      <c r="U2" s="951"/>
      <c r="V2" s="951"/>
      <c r="W2" s="952"/>
      <c r="X2" s="467">
        <f>SUM(X6:X153)</f>
        <v>6993121.79</v>
      </c>
    </row>
    <row r="3" spans="1:42" s="114" customFormat="1" ht="13.5" customHeight="1" thickBot="1">
      <c r="E3" s="167"/>
      <c r="F3" s="115"/>
      <c r="I3" s="306"/>
      <c r="J3" s="498"/>
      <c r="O3" s="167"/>
      <c r="P3" s="115"/>
      <c r="Q3" s="307"/>
      <c r="R3" s="168"/>
    </row>
    <row r="4" spans="1:42" s="70" customFormat="1" ht="42" thickBot="1">
      <c r="A4" s="167"/>
      <c r="B4" s="309" t="s">
        <v>387</v>
      </c>
      <c r="C4" s="310" t="s">
        <v>388</v>
      </c>
      <c r="D4" s="310" t="s">
        <v>389</v>
      </c>
      <c r="E4" s="310" t="s">
        <v>390</v>
      </c>
      <c r="F4" s="310" t="s">
        <v>391</v>
      </c>
      <c r="G4" s="311" t="s">
        <v>392</v>
      </c>
      <c r="H4" s="312" t="s">
        <v>393</v>
      </c>
      <c r="I4" s="313" t="s">
        <v>394</v>
      </c>
      <c r="J4" s="313" t="str">
        <f>IF(J2-'Revenue Tracking'!D4&gt;=0, "Total Revenue", "ERROR on REV" )</f>
        <v>Total Revenue</v>
      </c>
      <c r="K4" s="167"/>
      <c r="L4" s="309" t="s">
        <v>387</v>
      </c>
      <c r="M4" s="310" t="s">
        <v>395</v>
      </c>
      <c r="N4" s="310" t="s">
        <v>389</v>
      </c>
      <c r="O4" s="310" t="s">
        <v>390</v>
      </c>
      <c r="P4" s="310" t="s">
        <v>391</v>
      </c>
      <c r="Q4" s="554" t="s">
        <v>396</v>
      </c>
      <c r="R4" s="113" t="s">
        <v>397</v>
      </c>
      <c r="S4" s="113" t="s">
        <v>325</v>
      </c>
      <c r="T4" s="519" t="s">
        <v>326</v>
      </c>
      <c r="U4" s="520" t="s">
        <v>398</v>
      </c>
      <c r="V4" s="521" t="s">
        <v>399</v>
      </c>
      <c r="W4" s="519" t="s">
        <v>400</v>
      </c>
      <c r="X4" s="468" t="s">
        <v>394</v>
      </c>
      <c r="Y4" s="113" t="s">
        <v>401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0"/>
      <c r="K5" s="321"/>
      <c r="L5" s="314"/>
      <c r="M5" s="315"/>
      <c r="N5" s="315"/>
      <c r="O5" s="316"/>
      <c r="P5" s="317"/>
      <c r="Q5" s="322"/>
      <c r="R5" s="110"/>
      <c r="S5" s="452"/>
      <c r="T5" s="110"/>
      <c r="U5" s="499"/>
      <c r="V5" s="450"/>
      <c r="W5" s="457"/>
      <c r="X5" s="469"/>
      <c r="Y5" s="110"/>
    </row>
    <row r="6" spans="1:42" ht="14.25" customHeight="1">
      <c r="B6" s="343">
        <v>1</v>
      </c>
      <c r="C6" s="474" t="s">
        <v>402</v>
      </c>
      <c r="D6" s="344" t="s">
        <v>403</v>
      </c>
      <c r="E6" s="345">
        <v>2720</v>
      </c>
      <c r="F6" s="577">
        <v>1484.97</v>
      </c>
      <c r="G6" s="393"/>
      <c r="H6" s="347"/>
      <c r="I6" s="926"/>
      <c r="J6" s="926"/>
      <c r="K6" s="578"/>
      <c r="L6" s="343">
        <v>1</v>
      </c>
      <c r="M6" s="666" t="s">
        <v>404</v>
      </c>
      <c r="N6" s="344"/>
      <c r="O6" s="719"/>
      <c r="P6" s="577"/>
      <c r="Q6" s="393"/>
      <c r="R6" s="215"/>
      <c r="S6" s="544"/>
      <c r="T6" s="633" t="str">
        <f>IF(W6&gt;1,EOMONTH(W6,0),"")</f>
        <v/>
      </c>
      <c r="U6" s="510"/>
      <c r="V6" s="916"/>
      <c r="W6" s="633"/>
      <c r="X6" s="913"/>
      <c r="Y6" s="200"/>
      <c r="Z6" s="169">
        <v>19</v>
      </c>
      <c r="AA6" s="169"/>
      <c r="AE6" s="170"/>
    </row>
    <row r="7" spans="1:42" ht="15" customHeight="1">
      <c r="B7" s="389">
        <v>1</v>
      </c>
      <c r="C7" s="667"/>
      <c r="D7" s="580"/>
      <c r="E7" s="581"/>
      <c r="F7" s="537"/>
      <c r="G7" s="393"/>
      <c r="H7" s="351"/>
      <c r="I7" s="927"/>
      <c r="J7" s="927"/>
      <c r="K7" s="352"/>
      <c r="L7" s="389">
        <v>1</v>
      </c>
      <c r="M7" s="391" t="s">
        <v>404</v>
      </c>
      <c r="N7" s="580"/>
      <c r="O7" s="581"/>
      <c r="P7" s="537"/>
      <c r="Q7" s="393"/>
      <c r="R7" s="210"/>
      <c r="S7" s="539"/>
      <c r="T7" s="502" t="str">
        <f t="shared" ref="T7:T103" si="0">IF(W7&gt;1,EOMONTH(W7,0),"")</f>
        <v/>
      </c>
      <c r="U7" s="511"/>
      <c r="V7" s="917"/>
      <c r="W7" s="462"/>
      <c r="X7" s="914"/>
      <c r="Y7" s="201"/>
      <c r="Z7" s="171" t="s">
        <v>405</v>
      </c>
      <c r="AA7" s="172" t="s">
        <v>406</v>
      </c>
      <c r="AB7" s="24"/>
      <c r="AC7" s="24"/>
    </row>
    <row r="8" spans="1:42" ht="15" customHeight="1">
      <c r="B8" s="389">
        <v>1</v>
      </c>
      <c r="C8" s="580"/>
      <c r="D8" s="391"/>
      <c r="E8" s="651"/>
      <c r="F8" s="537"/>
      <c r="G8" s="583"/>
      <c r="H8" s="351"/>
      <c r="I8" s="927"/>
      <c r="J8" s="927"/>
      <c r="K8" s="352"/>
      <c r="L8" s="389">
        <v>1</v>
      </c>
      <c r="M8" s="391" t="s">
        <v>404</v>
      </c>
      <c r="N8" s="391"/>
      <c r="O8" s="651"/>
      <c r="P8" s="537"/>
      <c r="Q8" s="583"/>
      <c r="R8" s="210"/>
      <c r="S8" s="453"/>
      <c r="T8" s="502" t="str">
        <f t="shared" si="0"/>
        <v/>
      </c>
      <c r="U8" s="511"/>
      <c r="V8" s="917"/>
      <c r="W8" s="462"/>
      <c r="X8" s="914"/>
      <c r="Y8" s="201"/>
      <c r="Z8" s="173" t="s">
        <v>407</v>
      </c>
      <c r="AA8" s="174">
        <f>C60</f>
        <v>3348396.2956521702</v>
      </c>
      <c r="AC8" s="647"/>
    </row>
    <row r="9" spans="1:42" ht="15" customHeight="1">
      <c r="B9" s="389">
        <v>1</v>
      </c>
      <c r="C9" s="580"/>
      <c r="D9" s="582"/>
      <c r="E9" s="581"/>
      <c r="F9" s="537"/>
      <c r="G9" s="393"/>
      <c r="H9" s="351"/>
      <c r="I9" s="927"/>
      <c r="J9" s="927"/>
      <c r="K9" s="352"/>
      <c r="L9" s="389">
        <v>1</v>
      </c>
      <c r="M9" s="391" t="s">
        <v>404</v>
      </c>
      <c r="N9" s="582"/>
      <c r="O9" s="581"/>
      <c r="P9" s="537"/>
      <c r="Q9" s="393"/>
      <c r="R9" s="210"/>
      <c r="S9" s="539"/>
      <c r="T9" s="502" t="str">
        <f t="shared" si="0"/>
        <v/>
      </c>
      <c r="U9" s="511"/>
      <c r="V9" s="917"/>
      <c r="W9" s="462"/>
      <c r="X9" s="914"/>
      <c r="Y9" s="201"/>
      <c r="Z9" s="173" t="s">
        <v>408</v>
      </c>
      <c r="AA9" s="639">
        <f>SUM(G33:G44)</f>
        <v>757137</v>
      </c>
    </row>
    <row r="10" spans="1:42" ht="15" customHeight="1">
      <c r="B10" s="389">
        <v>1</v>
      </c>
      <c r="C10" s="580"/>
      <c r="D10" s="582"/>
      <c r="E10" s="581"/>
      <c r="F10" s="537"/>
      <c r="G10" s="393"/>
      <c r="H10" s="351"/>
      <c r="I10" s="927"/>
      <c r="J10" s="927"/>
      <c r="K10" s="352"/>
      <c r="L10" s="389">
        <v>1</v>
      </c>
      <c r="M10" s="391" t="s">
        <v>404</v>
      </c>
      <c r="N10" s="582"/>
      <c r="O10" s="581"/>
      <c r="P10" s="537"/>
      <c r="Q10" s="393"/>
      <c r="R10" s="210"/>
      <c r="S10" s="453"/>
      <c r="T10" s="502" t="str">
        <f t="shared" si="0"/>
        <v/>
      </c>
      <c r="U10" s="511"/>
      <c r="V10" s="917"/>
      <c r="W10" s="462"/>
      <c r="X10" s="914"/>
      <c r="Y10" s="201"/>
      <c r="Z10" s="173" t="s">
        <v>409</v>
      </c>
      <c r="AA10" s="174">
        <f>C103</f>
        <v>377400</v>
      </c>
    </row>
    <row r="11" spans="1:42" ht="15" customHeight="1" thickBot="1">
      <c r="B11" s="395">
        <v>1</v>
      </c>
      <c r="C11" s="668"/>
      <c r="D11" s="584"/>
      <c r="E11" s="585"/>
      <c r="F11" s="490"/>
      <c r="G11" s="416"/>
      <c r="H11" s="353"/>
      <c r="I11" s="928"/>
      <c r="J11" s="928"/>
      <c r="K11" s="354"/>
      <c r="L11" s="395">
        <v>1</v>
      </c>
      <c r="M11" s="668" t="s">
        <v>404</v>
      </c>
      <c r="N11" s="584"/>
      <c r="O11" s="585"/>
      <c r="P11" s="490"/>
      <c r="Q11" s="416"/>
      <c r="R11" s="216"/>
      <c r="S11" s="526"/>
      <c r="T11" s="507" t="str">
        <f t="shared" si="0"/>
        <v/>
      </c>
      <c r="U11" s="512"/>
      <c r="V11" s="918"/>
      <c r="W11" s="463"/>
      <c r="X11" s="915"/>
      <c r="Y11" s="202"/>
      <c r="Z11" s="173" t="s">
        <v>410</v>
      </c>
      <c r="AA11" s="174">
        <f>C102</f>
        <v>904400</v>
      </c>
    </row>
    <row r="12" spans="1:42" ht="14.45" thickBot="1">
      <c r="A12" s="24"/>
      <c r="B12" s="336"/>
      <c r="C12" s="337"/>
      <c r="D12" s="338"/>
      <c r="E12" s="339"/>
      <c r="F12" s="340"/>
      <c r="G12" s="340"/>
      <c r="H12" s="341"/>
      <c r="I12" s="342"/>
      <c r="J12" s="342"/>
      <c r="K12" s="24"/>
      <c r="L12" s="336"/>
      <c r="M12" s="603"/>
      <c r="N12" s="604"/>
      <c r="O12" s="605"/>
      <c r="P12" s="606"/>
      <c r="Q12" s="606"/>
      <c r="R12" s="214"/>
      <c r="S12" s="538"/>
      <c r="T12" s="523" t="str">
        <f t="shared" si="0"/>
        <v/>
      </c>
      <c r="U12" s="500"/>
      <c r="V12" s="642"/>
      <c r="W12" s="460"/>
      <c r="X12" s="470"/>
      <c r="Y12" s="199"/>
      <c r="Z12" s="173" t="s">
        <v>411</v>
      </c>
      <c r="AA12" s="174">
        <f>G111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9">
        <v>2</v>
      </c>
      <c r="C13" s="399" t="s">
        <v>412</v>
      </c>
      <c r="D13" s="399" t="s">
        <v>413</v>
      </c>
      <c r="E13" s="491">
        <v>12</v>
      </c>
      <c r="F13" s="586">
        <v>72000</v>
      </c>
      <c r="G13" s="363">
        <f>E13*F13</f>
        <v>864000</v>
      </c>
      <c r="H13" s="364">
        <f>'Project Plan'!E117+30</f>
        <v>45533</v>
      </c>
      <c r="I13" s="966">
        <f>SUM(G13:G16)</f>
        <v>864000</v>
      </c>
      <c r="J13" s="966">
        <v>956194.33106683195</v>
      </c>
      <c r="K13" s="365"/>
      <c r="L13" s="359">
        <v>2</v>
      </c>
      <c r="M13" s="669" t="s">
        <v>414</v>
      </c>
      <c r="N13" s="399" t="s">
        <v>415</v>
      </c>
      <c r="O13" s="491">
        <v>11</v>
      </c>
      <c r="P13" s="586">
        <v>68880</v>
      </c>
      <c r="Q13" s="363">
        <f>O13*P13</f>
        <v>757680</v>
      </c>
      <c r="R13" s="217" t="s">
        <v>416</v>
      </c>
      <c r="S13" s="587" t="s">
        <v>417</v>
      </c>
      <c r="T13" s="734">
        <v>45535</v>
      </c>
      <c r="U13" s="789">
        <v>956194.33106683195</v>
      </c>
      <c r="V13" s="953">
        <f>J13-SUM(U13:U16)</f>
        <v>0</v>
      </c>
      <c r="W13" s="810">
        <v>45569</v>
      </c>
      <c r="X13" s="960">
        <f>SUM(Q13:Q16)</f>
        <v>757680</v>
      </c>
      <c r="Y13" s="736" t="s">
        <v>418</v>
      </c>
      <c r="Z13" s="173" t="s">
        <v>419</v>
      </c>
      <c r="AA13" s="174">
        <f>G110</f>
        <v>115057.5</v>
      </c>
    </row>
    <row r="14" spans="1:42" ht="15" customHeight="1">
      <c r="B14" s="400">
        <v>2</v>
      </c>
      <c r="C14" s="401"/>
      <c r="D14" s="401"/>
      <c r="E14" s="588"/>
      <c r="F14" s="589"/>
      <c r="G14" s="402"/>
      <c r="H14" s="372"/>
      <c r="I14" s="967"/>
      <c r="J14" s="967"/>
      <c r="K14" s="373"/>
      <c r="L14" s="400">
        <v>2</v>
      </c>
      <c r="M14" s="670" t="s">
        <v>414</v>
      </c>
      <c r="N14" s="401" t="s">
        <v>420</v>
      </c>
      <c r="O14" s="588"/>
      <c r="P14" s="589"/>
      <c r="Q14" s="402"/>
      <c r="R14" s="211"/>
      <c r="S14" s="541"/>
      <c r="T14" s="501" t="str">
        <f t="shared" si="0"/>
        <v/>
      </c>
      <c r="U14" s="514"/>
      <c r="V14" s="954"/>
      <c r="W14" s="458"/>
      <c r="X14" s="961"/>
      <c r="Y14" s="196"/>
      <c r="Z14" s="173" t="s">
        <v>421</v>
      </c>
      <c r="AA14" s="174">
        <f>G112</f>
        <v>46250</v>
      </c>
    </row>
    <row r="15" spans="1:42" ht="15" customHeight="1">
      <c r="B15" s="400">
        <v>2</v>
      </c>
      <c r="C15" s="401"/>
      <c r="D15" s="401"/>
      <c r="E15" s="588"/>
      <c r="F15" s="589"/>
      <c r="G15" s="402"/>
      <c r="H15" s="372"/>
      <c r="I15" s="967"/>
      <c r="J15" s="967"/>
      <c r="K15" s="373"/>
      <c r="L15" s="400">
        <v>2</v>
      </c>
      <c r="M15" s="670" t="s">
        <v>414</v>
      </c>
      <c r="N15" s="401"/>
      <c r="O15" s="588"/>
      <c r="P15" s="589"/>
      <c r="Q15" s="402"/>
      <c r="R15" s="211"/>
      <c r="S15" s="541"/>
      <c r="T15" s="501" t="str">
        <f t="shared" si="0"/>
        <v/>
      </c>
      <c r="U15" s="514"/>
      <c r="V15" s="954"/>
      <c r="W15" s="458"/>
      <c r="X15" s="961"/>
      <c r="Y15" s="196"/>
      <c r="Z15" s="173" t="s">
        <v>422</v>
      </c>
      <c r="AA15" s="174">
        <v>0</v>
      </c>
    </row>
    <row r="16" spans="1:42" ht="15" customHeight="1" thickBot="1">
      <c r="B16" s="590">
        <v>2</v>
      </c>
      <c r="C16" s="591"/>
      <c r="D16" s="591"/>
      <c r="E16" s="592"/>
      <c r="F16" s="593"/>
      <c r="G16" s="594"/>
      <c r="H16" s="380"/>
      <c r="I16" s="968"/>
      <c r="J16" s="968"/>
      <c r="K16" s="381"/>
      <c r="L16" s="590">
        <v>2</v>
      </c>
      <c r="M16" s="671" t="s">
        <v>414</v>
      </c>
      <c r="N16" s="591"/>
      <c r="O16" s="592"/>
      <c r="P16" s="593"/>
      <c r="Q16" s="594"/>
      <c r="R16" s="218"/>
      <c r="S16" s="540"/>
      <c r="T16" s="505" t="str">
        <f t="shared" si="0"/>
        <v/>
      </c>
      <c r="U16" s="515"/>
      <c r="V16" s="955"/>
      <c r="W16" s="464"/>
      <c r="X16" s="962"/>
      <c r="Y16" s="204"/>
      <c r="Z16" s="173" t="s">
        <v>423</v>
      </c>
      <c r="AA16" s="175">
        <v>0</v>
      </c>
    </row>
    <row r="17" spans="1:42" ht="14.45" thickBot="1">
      <c r="A17" s="24"/>
      <c r="B17" s="355"/>
      <c r="C17" s="337"/>
      <c r="D17" s="337"/>
      <c r="E17" s="356"/>
      <c r="F17" s="357"/>
      <c r="G17" s="358"/>
      <c r="H17" s="341"/>
      <c r="I17" s="342"/>
      <c r="J17" s="342"/>
      <c r="K17" s="24"/>
      <c r="L17" s="355"/>
      <c r="M17" s="337"/>
      <c r="N17" s="337"/>
      <c r="O17" s="356"/>
      <c r="P17" s="357"/>
      <c r="Q17" s="358"/>
      <c r="R17" s="214"/>
      <c r="S17" s="538"/>
      <c r="T17" s="523" t="str">
        <f t="shared" si="0"/>
        <v/>
      </c>
      <c r="U17" s="500"/>
      <c r="V17" s="642"/>
      <c r="W17" s="460"/>
      <c r="X17" s="470"/>
      <c r="Y17" s="199"/>
      <c r="Z17" s="173" t="s">
        <v>353</v>
      </c>
      <c r="AA17" s="174">
        <f>SUM(AA8:AA16)</f>
        <v>5557140.7956521697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3">
        <v>3</v>
      </c>
      <c r="C18" s="386" t="s">
        <v>424</v>
      </c>
      <c r="D18" s="410" t="s">
        <v>425</v>
      </c>
      <c r="E18" s="345">
        <v>1509600</v>
      </c>
      <c r="F18" s="441">
        <v>0.45</v>
      </c>
      <c r="G18" s="346">
        <f>E18*F18</f>
        <v>679320</v>
      </c>
      <c r="H18" s="347">
        <f>'Project Plan'!E114+30</f>
        <v>45533</v>
      </c>
      <c r="I18" s="926">
        <f>SUM(G18:G30)</f>
        <v>679320</v>
      </c>
      <c r="J18" s="926">
        <v>751807.79280129599</v>
      </c>
      <c r="K18" s="348"/>
      <c r="L18" s="343">
        <v>3</v>
      </c>
      <c r="M18" s="672" t="s">
        <v>426</v>
      </c>
      <c r="N18" s="410" t="s">
        <v>427</v>
      </c>
      <c r="O18" s="345">
        <v>1</v>
      </c>
      <c r="P18" s="689">
        <v>364557.56</v>
      </c>
      <c r="Q18" s="346">
        <f>O18*P18</f>
        <v>364557.56</v>
      </c>
      <c r="R18" s="215"/>
      <c r="S18" s="525" t="s">
        <v>428</v>
      </c>
      <c r="T18" s="725">
        <v>45535</v>
      </c>
      <c r="U18" s="790">
        <v>723092.46354609495</v>
      </c>
      <c r="V18" s="916">
        <f>J18-SUM(U18:U30)</f>
        <v>1.8008999759331346E-3</v>
      </c>
      <c r="W18" s="787">
        <v>45562</v>
      </c>
      <c r="X18" s="913">
        <f>SUM(Q18:Q30)</f>
        <v>619184.87</v>
      </c>
      <c r="Y18" s="200"/>
      <c r="Z18" s="173" t="s">
        <v>429</v>
      </c>
      <c r="AA18" s="176">
        <f>+AA17*0.85</f>
        <v>4723569.6763043441</v>
      </c>
      <c r="AC18" s="177" t="s">
        <v>430</v>
      </c>
    </row>
    <row r="19" spans="1:42" ht="14.25" customHeight="1">
      <c r="B19" s="389">
        <v>3</v>
      </c>
      <c r="C19" s="390"/>
      <c r="D19" s="412"/>
      <c r="E19" s="394"/>
      <c r="F19" s="413"/>
      <c r="G19" s="393"/>
      <c r="H19" s="351"/>
      <c r="I19" s="927"/>
      <c r="J19" s="927"/>
      <c r="K19" s="352"/>
      <c r="L19" s="389">
        <v>3</v>
      </c>
      <c r="M19" s="673" t="s">
        <v>426</v>
      </c>
      <c r="N19" s="412" t="s">
        <v>431</v>
      </c>
      <c r="O19" s="394"/>
      <c r="P19" s="413"/>
      <c r="Q19" s="393">
        <v>14477.25</v>
      </c>
      <c r="R19" s="210" t="s">
        <v>432</v>
      </c>
      <c r="S19" s="818" t="s">
        <v>433</v>
      </c>
      <c r="T19" s="819">
        <v>45565</v>
      </c>
      <c r="U19" s="751">
        <v>16828.078992819082</v>
      </c>
      <c r="V19" s="917"/>
      <c r="W19" s="726">
        <v>45595</v>
      </c>
      <c r="X19" s="914"/>
      <c r="Y19" s="201"/>
      <c r="Z19" s="179" t="s">
        <v>434</v>
      </c>
      <c r="AA19" s="175">
        <f>+AA18/'Project Plan'!$E$3/1000</f>
        <v>3.1281918386121483</v>
      </c>
    </row>
    <row r="20" spans="1:42" ht="14.25" customHeight="1">
      <c r="B20" s="389">
        <v>3</v>
      </c>
      <c r="C20" s="390"/>
      <c r="D20" s="412"/>
      <c r="E20" s="394"/>
      <c r="F20" s="413"/>
      <c r="G20" s="393"/>
      <c r="H20" s="351"/>
      <c r="I20" s="927"/>
      <c r="J20" s="927"/>
      <c r="K20" s="352"/>
      <c r="L20" s="389">
        <v>3</v>
      </c>
      <c r="M20" s="673" t="s">
        <v>426</v>
      </c>
      <c r="N20" s="412" t="s">
        <v>435</v>
      </c>
      <c r="O20" s="394"/>
      <c r="P20" s="413"/>
      <c r="Q20" s="393">
        <v>11908</v>
      </c>
      <c r="R20" s="210" t="s">
        <v>436</v>
      </c>
      <c r="S20" s="818" t="s">
        <v>437</v>
      </c>
      <c r="T20" s="817">
        <v>45596</v>
      </c>
      <c r="U20" s="751">
        <v>11887.248461481955</v>
      </c>
      <c r="V20" s="917"/>
      <c r="W20" s="726">
        <f>T20+29</f>
        <v>45625</v>
      </c>
      <c r="X20" s="914"/>
      <c r="Y20" s="201"/>
    </row>
    <row r="21" spans="1:42" ht="14.25" customHeight="1">
      <c r="B21" s="565"/>
      <c r="C21" s="566"/>
      <c r="D21" s="567"/>
      <c r="E21" s="568"/>
      <c r="F21" s="569"/>
      <c r="G21" s="570"/>
      <c r="H21" s="571"/>
      <c r="I21" s="927"/>
      <c r="J21" s="927"/>
      <c r="K21" s="352"/>
      <c r="L21" s="389">
        <v>3</v>
      </c>
      <c r="M21" s="673" t="s">
        <v>426</v>
      </c>
      <c r="N21" s="567" t="s">
        <v>438</v>
      </c>
      <c r="O21" s="568"/>
      <c r="P21" s="569"/>
      <c r="Q21" s="570">
        <v>2352.38</v>
      </c>
      <c r="R21" s="487" t="s">
        <v>439</v>
      </c>
      <c r="S21" s="848" t="s">
        <v>440</v>
      </c>
      <c r="T21" s="846">
        <v>45777</v>
      </c>
      <c r="U21" s="849">
        <v>0</v>
      </c>
      <c r="V21" s="917"/>
      <c r="W21" s="860">
        <v>45806</v>
      </c>
      <c r="X21" s="914"/>
      <c r="Y21" s="488"/>
    </row>
    <row r="22" spans="1:42" ht="14.25" customHeight="1">
      <c r="B22" s="565"/>
      <c r="C22" s="566"/>
      <c r="D22" s="567"/>
      <c r="E22" s="568"/>
      <c r="F22" s="569"/>
      <c r="G22" s="570"/>
      <c r="H22" s="571"/>
      <c r="I22" s="927"/>
      <c r="J22" s="927"/>
      <c r="K22" s="352"/>
      <c r="L22" s="389">
        <v>3</v>
      </c>
      <c r="M22" s="673" t="s">
        <v>426</v>
      </c>
      <c r="N22" s="567"/>
      <c r="O22" s="568"/>
      <c r="P22" s="569"/>
      <c r="Q22" s="570"/>
      <c r="R22" s="487"/>
      <c r="S22" s="848"/>
      <c r="T22" s="507"/>
      <c r="U22" s="849"/>
      <c r="V22" s="917"/>
      <c r="W22" s="572"/>
      <c r="X22" s="914"/>
      <c r="Y22" s="488"/>
    </row>
    <row r="23" spans="1:42" ht="14.25" customHeight="1">
      <c r="B23" s="565"/>
      <c r="C23" s="566"/>
      <c r="D23" s="567"/>
      <c r="E23" s="568"/>
      <c r="F23" s="569"/>
      <c r="G23" s="570"/>
      <c r="H23" s="571"/>
      <c r="I23" s="927"/>
      <c r="J23" s="927"/>
      <c r="K23" s="352"/>
      <c r="L23" s="389">
        <v>3</v>
      </c>
      <c r="M23" s="673" t="s">
        <v>426</v>
      </c>
      <c r="N23" s="567"/>
      <c r="O23" s="568"/>
      <c r="P23" s="569"/>
      <c r="Q23" s="570">
        <v>6831.28</v>
      </c>
      <c r="R23" s="487" t="s">
        <v>441</v>
      </c>
      <c r="S23" s="848" t="s">
        <v>442</v>
      </c>
      <c r="T23" s="846">
        <v>45838</v>
      </c>
      <c r="U23" s="849"/>
      <c r="V23" s="917"/>
      <c r="W23" s="860">
        <v>45867</v>
      </c>
      <c r="X23" s="914"/>
      <c r="Y23" s="488" t="s">
        <v>443</v>
      </c>
    </row>
    <row r="24" spans="1:42" ht="14.25" customHeight="1">
      <c r="B24" s="565"/>
      <c r="C24" s="566"/>
      <c r="D24" s="567"/>
      <c r="E24" s="568"/>
      <c r="F24" s="569"/>
      <c r="G24" s="570"/>
      <c r="H24" s="571"/>
      <c r="I24" s="927"/>
      <c r="J24" s="927"/>
      <c r="K24" s="352"/>
      <c r="L24" s="389">
        <v>3</v>
      </c>
      <c r="M24" s="673" t="s">
        <v>426</v>
      </c>
      <c r="N24" s="567"/>
      <c r="O24" s="568"/>
      <c r="P24" s="569"/>
      <c r="Q24" s="570"/>
      <c r="R24" s="487"/>
      <c r="S24" s="848"/>
      <c r="T24" s="507"/>
      <c r="U24" s="849"/>
      <c r="V24" s="917"/>
      <c r="W24" s="572"/>
      <c r="X24" s="914"/>
      <c r="Y24" s="488"/>
    </row>
    <row r="25" spans="1:42" ht="14.25" customHeight="1">
      <c r="B25" s="565"/>
      <c r="C25" s="566"/>
      <c r="D25" s="567"/>
      <c r="E25" s="568"/>
      <c r="F25" s="569"/>
      <c r="G25" s="570"/>
      <c r="H25" s="571"/>
      <c r="I25" s="927"/>
      <c r="J25" s="927"/>
      <c r="K25" s="352"/>
      <c r="L25" s="389">
        <v>3</v>
      </c>
      <c r="M25" s="673" t="s">
        <v>426</v>
      </c>
      <c r="N25" s="567" t="s">
        <v>444</v>
      </c>
      <c r="O25" s="568"/>
      <c r="P25" s="569"/>
      <c r="Q25" s="570">
        <v>1823</v>
      </c>
      <c r="R25" s="487" t="s">
        <v>445</v>
      </c>
      <c r="S25" s="848" t="s">
        <v>446</v>
      </c>
      <c r="T25" s="846">
        <v>45838</v>
      </c>
      <c r="U25" s="849"/>
      <c r="V25" s="917"/>
      <c r="W25" s="860">
        <v>45867</v>
      </c>
      <c r="X25" s="914"/>
      <c r="Y25" s="488"/>
    </row>
    <row r="26" spans="1:42" ht="14.25" customHeight="1">
      <c r="B26" s="565"/>
      <c r="C26" s="566"/>
      <c r="D26" s="567"/>
      <c r="E26" s="568"/>
      <c r="F26" s="569"/>
      <c r="G26" s="570"/>
      <c r="H26" s="571"/>
      <c r="I26" s="927"/>
      <c r="J26" s="927"/>
      <c r="K26" s="352"/>
      <c r="L26" s="389">
        <v>3</v>
      </c>
      <c r="M26" s="673" t="s">
        <v>426</v>
      </c>
      <c r="N26" s="567" t="s">
        <v>447</v>
      </c>
      <c r="O26" s="568"/>
      <c r="P26" s="569"/>
      <c r="Q26" s="570">
        <v>197641.60000000001</v>
      </c>
      <c r="R26" s="487" t="s">
        <v>448</v>
      </c>
      <c r="S26" s="848" t="s">
        <v>449</v>
      </c>
      <c r="T26" s="846">
        <v>45808</v>
      </c>
      <c r="U26" s="849"/>
      <c r="V26" s="917"/>
      <c r="W26" s="860">
        <v>45835</v>
      </c>
      <c r="X26" s="914"/>
      <c r="Y26" s="488"/>
    </row>
    <row r="27" spans="1:42" ht="14.25" customHeight="1">
      <c r="B27" s="565"/>
      <c r="C27" s="566"/>
      <c r="D27" s="567"/>
      <c r="E27" s="568"/>
      <c r="F27" s="569"/>
      <c r="G27" s="570"/>
      <c r="H27" s="571"/>
      <c r="I27" s="927"/>
      <c r="J27" s="927"/>
      <c r="K27" s="352"/>
      <c r="L27" s="389">
        <v>3</v>
      </c>
      <c r="M27" s="673" t="s">
        <v>426</v>
      </c>
      <c r="N27" s="567" t="s">
        <v>450</v>
      </c>
      <c r="O27" s="568"/>
      <c r="P27" s="569"/>
      <c r="Q27" s="570">
        <v>2950</v>
      </c>
      <c r="R27" s="487"/>
      <c r="S27" s="848" t="s">
        <v>451</v>
      </c>
      <c r="T27" s="846">
        <v>45808</v>
      </c>
      <c r="U27" s="849"/>
      <c r="V27" s="917"/>
      <c r="W27" s="860">
        <v>45835</v>
      </c>
      <c r="X27" s="914"/>
      <c r="Y27" s="488"/>
    </row>
    <row r="28" spans="1:42" ht="14.25" customHeight="1">
      <c r="B28" s="565"/>
      <c r="C28" s="566"/>
      <c r="D28" s="567"/>
      <c r="E28" s="568"/>
      <c r="F28" s="569"/>
      <c r="G28" s="570"/>
      <c r="H28" s="571"/>
      <c r="I28" s="927"/>
      <c r="J28" s="927"/>
      <c r="K28" s="352"/>
      <c r="L28" s="389">
        <v>3</v>
      </c>
      <c r="M28" s="673" t="s">
        <v>426</v>
      </c>
      <c r="N28" s="567" t="s">
        <v>452</v>
      </c>
      <c r="O28" s="568"/>
      <c r="P28" s="569"/>
      <c r="Q28" s="570">
        <v>10295.19</v>
      </c>
      <c r="R28" s="487"/>
      <c r="S28" s="848" t="s">
        <v>453</v>
      </c>
      <c r="T28" s="846">
        <v>45869</v>
      </c>
      <c r="U28" s="849"/>
      <c r="V28" s="917"/>
      <c r="W28" s="860">
        <v>45898</v>
      </c>
      <c r="X28" s="914"/>
      <c r="Y28" s="488"/>
    </row>
    <row r="29" spans="1:42" ht="14.25" customHeight="1">
      <c r="B29" s="565"/>
      <c r="C29" s="566"/>
      <c r="D29" s="567"/>
      <c r="E29" s="568"/>
      <c r="F29" s="569"/>
      <c r="G29" s="570"/>
      <c r="H29" s="571"/>
      <c r="I29" s="927"/>
      <c r="J29" s="927"/>
      <c r="K29" s="352"/>
      <c r="L29" s="389">
        <v>3</v>
      </c>
      <c r="M29" s="673" t="s">
        <v>426</v>
      </c>
      <c r="N29" s="567" t="s">
        <v>454</v>
      </c>
      <c r="O29" s="568"/>
      <c r="P29" s="569"/>
      <c r="Q29" s="570">
        <v>-3017.39</v>
      </c>
      <c r="R29" s="487"/>
      <c r="S29" s="848" t="s">
        <v>455</v>
      </c>
      <c r="T29" s="822">
        <v>45991</v>
      </c>
      <c r="U29" s="849"/>
      <c r="V29" s="917"/>
      <c r="W29" s="872">
        <v>45985</v>
      </c>
      <c r="X29" s="914"/>
      <c r="Y29" s="488"/>
    </row>
    <row r="30" spans="1:42" ht="15" customHeight="1" thickBot="1">
      <c r="B30" s="395">
        <v>3</v>
      </c>
      <c r="C30" s="427"/>
      <c r="D30" s="414"/>
      <c r="E30" s="398"/>
      <c r="F30" s="415"/>
      <c r="G30" s="416"/>
      <c r="H30" s="353"/>
      <c r="I30" s="928"/>
      <c r="J30" s="928"/>
      <c r="K30" s="354"/>
      <c r="L30" s="395">
        <v>3</v>
      </c>
      <c r="M30" s="674" t="s">
        <v>426</v>
      </c>
      <c r="N30" s="414" t="s">
        <v>456</v>
      </c>
      <c r="O30" s="398"/>
      <c r="P30" s="415"/>
      <c r="Q30" s="416">
        <v>9366</v>
      </c>
      <c r="R30" s="216" t="s">
        <v>457</v>
      </c>
      <c r="S30" s="824" t="s">
        <v>458</v>
      </c>
      <c r="T30" s="846">
        <v>45716</v>
      </c>
      <c r="U30" s="823">
        <v>0</v>
      </c>
      <c r="V30" s="918"/>
      <c r="W30" s="847">
        <v>45744</v>
      </c>
      <c r="X30" s="915"/>
      <c r="Y30" s="202" t="s">
        <v>459</v>
      </c>
      <c r="Z30" s="180" t="s">
        <v>304</v>
      </c>
      <c r="AA30" s="181" t="s">
        <v>460</v>
      </c>
      <c r="AO30" s="24"/>
      <c r="AP30" s="24"/>
    </row>
    <row r="31" spans="1:42" ht="14.45" thickBot="1">
      <c r="A31" s="24"/>
      <c r="B31" s="355"/>
      <c r="C31" s="382"/>
      <c r="D31" s="383"/>
      <c r="E31" s="384"/>
      <c r="F31" s="385"/>
      <c r="G31" s="358"/>
      <c r="H31" s="341"/>
      <c r="I31" s="342"/>
      <c r="J31" s="342"/>
      <c r="K31" s="24"/>
      <c r="L31" s="355"/>
      <c r="M31" s="382"/>
      <c r="N31" s="383"/>
      <c r="O31" s="384"/>
      <c r="P31" s="385"/>
      <c r="Q31" s="358"/>
      <c r="R31" s="214"/>
      <c r="S31" s="538"/>
      <c r="T31" s="523" t="str">
        <f t="shared" si="0"/>
        <v/>
      </c>
      <c r="U31" s="500"/>
      <c r="V31" s="642"/>
      <c r="W31" s="460"/>
      <c r="X31" s="470"/>
      <c r="Y31" s="199"/>
      <c r="Z31" s="182" t="s">
        <v>407</v>
      </c>
      <c r="AA31" s="183">
        <v>0</v>
      </c>
      <c r="AC31" s="647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9">
        <v>4</v>
      </c>
      <c r="C32" s="360" t="s">
        <v>408</v>
      </c>
      <c r="D32" s="360" t="s">
        <v>461</v>
      </c>
      <c r="E32" s="491">
        <v>37510</v>
      </c>
      <c r="F32" s="586">
        <v>16</v>
      </c>
      <c r="G32" s="363">
        <f>E32*F32</f>
        <v>600160</v>
      </c>
      <c r="H32" s="364">
        <f>'Project Plan'!E136+30</f>
        <v>45553</v>
      </c>
      <c r="I32" s="966">
        <f>SUM(G32:G44)</f>
        <v>1357297</v>
      </c>
      <c r="J32" s="966">
        <v>1502129.27890511</v>
      </c>
      <c r="K32" s="365"/>
      <c r="L32" s="359">
        <v>4</v>
      </c>
      <c r="M32" s="675" t="s">
        <v>462</v>
      </c>
      <c r="N32" s="360" t="s">
        <v>463</v>
      </c>
      <c r="O32" s="491">
        <v>44000</v>
      </c>
      <c r="P32" s="586">
        <v>13.52</v>
      </c>
      <c r="Q32" s="363">
        <f>O32*P32</f>
        <v>594880</v>
      </c>
      <c r="R32" s="217" t="s">
        <v>464</v>
      </c>
      <c r="S32" s="757" t="s">
        <v>465</v>
      </c>
      <c r="T32" s="734">
        <v>45535</v>
      </c>
      <c r="U32" s="789">
        <v>1160037.74764677</v>
      </c>
      <c r="V32" s="956">
        <f>J32-SUM(U32:U44)</f>
        <v>4.3202403467148542E-3</v>
      </c>
      <c r="W32" s="830">
        <v>45600</v>
      </c>
      <c r="X32" s="960">
        <f>SUM(Q32:Q44)</f>
        <v>810195</v>
      </c>
      <c r="Y32" s="203"/>
      <c r="Z32" s="182" t="s">
        <v>408</v>
      </c>
      <c r="AA32" s="183">
        <v>0</v>
      </c>
      <c r="AC32" s="647"/>
      <c r="AO32" s="24"/>
      <c r="AP32" s="24"/>
    </row>
    <row r="33" spans="1:42" ht="14.25" customHeight="1">
      <c r="B33" s="400">
        <v>4</v>
      </c>
      <c r="C33" s="625"/>
      <c r="D33" s="625" t="s">
        <v>466</v>
      </c>
      <c r="E33" s="588">
        <v>4</v>
      </c>
      <c r="F33" s="589">
        <v>5500</v>
      </c>
      <c r="G33" s="371">
        <f>E33*F33</f>
        <v>22000</v>
      </c>
      <c r="H33" s="372">
        <f>'Project Plan'!E137+30</f>
        <v>45573</v>
      </c>
      <c r="I33" s="967"/>
      <c r="J33" s="967"/>
      <c r="K33" s="373"/>
      <c r="L33" s="366">
        <v>4</v>
      </c>
      <c r="M33" s="676" t="s">
        <v>462</v>
      </c>
      <c r="N33" s="625" t="s">
        <v>463</v>
      </c>
      <c r="O33" s="588">
        <v>1000</v>
      </c>
      <c r="P33" s="589">
        <v>13.52</v>
      </c>
      <c r="Q33" s="371">
        <f>O33*P33</f>
        <v>13520</v>
      </c>
      <c r="R33" s="626"/>
      <c r="S33" s="541" t="s">
        <v>467</v>
      </c>
      <c r="T33" s="734">
        <v>45535</v>
      </c>
      <c r="U33" s="747">
        <v>26361.354946517506</v>
      </c>
      <c r="V33" s="957"/>
      <c r="W33" s="744">
        <v>45600</v>
      </c>
      <c r="X33" s="961"/>
      <c r="Y33" s="627"/>
      <c r="Z33" s="182" t="s">
        <v>409</v>
      </c>
      <c r="AA33" s="183">
        <v>0</v>
      </c>
      <c r="AC33" s="647"/>
      <c r="AO33" s="24"/>
      <c r="AP33" s="24"/>
    </row>
    <row r="34" spans="1:42" ht="14.25" customHeight="1">
      <c r="B34" s="400"/>
      <c r="C34" s="625"/>
      <c r="D34" s="625"/>
      <c r="E34" s="588"/>
      <c r="F34" s="589"/>
      <c r="G34" s="371"/>
      <c r="H34" s="372"/>
      <c r="I34" s="967"/>
      <c r="J34" s="967"/>
      <c r="K34" s="373"/>
      <c r="L34" s="366">
        <v>4</v>
      </c>
      <c r="M34" s="676" t="s">
        <v>462</v>
      </c>
      <c r="N34" s="625" t="s">
        <v>450</v>
      </c>
      <c r="O34" s="588"/>
      <c r="P34" s="589"/>
      <c r="Q34" s="371">
        <v>450</v>
      </c>
      <c r="R34" s="815"/>
      <c r="S34" s="541" t="s">
        <v>468</v>
      </c>
      <c r="T34" s="734">
        <v>45626</v>
      </c>
      <c r="U34" s="747">
        <v>0</v>
      </c>
      <c r="V34" s="957"/>
      <c r="W34" s="744">
        <v>45663</v>
      </c>
      <c r="X34" s="961"/>
      <c r="Y34" s="627"/>
      <c r="Z34" s="182"/>
      <c r="AA34" s="183"/>
      <c r="AC34" s="647"/>
      <c r="AO34" s="24"/>
      <c r="AP34" s="24"/>
    </row>
    <row r="35" spans="1:42" ht="14.25" customHeight="1">
      <c r="B35" s="400"/>
      <c r="C35" s="625"/>
      <c r="D35" s="625"/>
      <c r="E35" s="588"/>
      <c r="F35" s="589"/>
      <c r="G35" s="371"/>
      <c r="H35" s="372"/>
      <c r="I35" s="967"/>
      <c r="J35" s="967"/>
      <c r="K35" s="373"/>
      <c r="L35" s="366">
        <v>4</v>
      </c>
      <c r="M35" s="676" t="s">
        <v>462</v>
      </c>
      <c r="N35" s="625" t="s">
        <v>469</v>
      </c>
      <c r="O35" s="588">
        <v>1500</v>
      </c>
      <c r="P35" s="589">
        <v>13.09</v>
      </c>
      <c r="Q35" s="371">
        <f>O35*P35</f>
        <v>19635</v>
      </c>
      <c r="R35" s="815"/>
      <c r="S35" s="541" t="s">
        <v>470</v>
      </c>
      <c r="T35" s="734">
        <v>45535</v>
      </c>
      <c r="U35" s="747">
        <v>0</v>
      </c>
      <c r="V35" s="957"/>
      <c r="W35" s="741">
        <v>45535</v>
      </c>
      <c r="X35" s="961"/>
      <c r="Y35" s="627"/>
      <c r="Z35" s="182"/>
      <c r="AA35" s="183"/>
      <c r="AC35" s="647"/>
      <c r="AO35" s="24"/>
      <c r="AP35" s="24"/>
    </row>
    <row r="36" spans="1:42" ht="14.25" customHeight="1">
      <c r="B36" s="400"/>
      <c r="C36" s="625"/>
      <c r="D36" s="625"/>
      <c r="E36" s="588"/>
      <c r="F36" s="589"/>
      <c r="G36" s="371"/>
      <c r="H36" s="372"/>
      <c r="I36" s="967"/>
      <c r="J36" s="967"/>
      <c r="K36" s="373"/>
      <c r="L36" s="366">
        <v>4</v>
      </c>
      <c r="M36" s="676" t="s">
        <v>462</v>
      </c>
      <c r="N36" s="625" t="s">
        <v>469</v>
      </c>
      <c r="O36" s="588">
        <v>1500</v>
      </c>
      <c r="P36" s="589">
        <v>13.14</v>
      </c>
      <c r="Q36" s="371">
        <f>O36*P36</f>
        <v>19710</v>
      </c>
      <c r="R36" s="815"/>
      <c r="S36" s="541" t="s">
        <v>470</v>
      </c>
      <c r="T36" s="734">
        <v>45535</v>
      </c>
      <c r="U36" s="747">
        <v>0</v>
      </c>
      <c r="V36" s="957"/>
      <c r="W36" s="741">
        <v>45535</v>
      </c>
      <c r="X36" s="961"/>
      <c r="Y36" s="627"/>
      <c r="Z36" s="182"/>
      <c r="AA36" s="183"/>
      <c r="AC36" s="647"/>
      <c r="AO36" s="24"/>
      <c r="AP36" s="24"/>
    </row>
    <row r="37" spans="1:42" ht="14.25" customHeight="1">
      <c r="B37" s="400">
        <v>4</v>
      </c>
      <c r="C37" s="625"/>
      <c r="D37" s="625" t="s">
        <v>471</v>
      </c>
      <c r="E37" s="588">
        <v>220</v>
      </c>
      <c r="F37" s="589">
        <v>1020</v>
      </c>
      <c r="G37" s="371">
        <f>E37*F37</f>
        <v>224400</v>
      </c>
      <c r="H37" s="372">
        <f>'Project Plan'!E139+30</f>
        <v>45553</v>
      </c>
      <c r="I37" s="967"/>
      <c r="J37" s="967"/>
      <c r="K37" s="373"/>
      <c r="L37" s="366">
        <v>4</v>
      </c>
      <c r="M37" s="676" t="s">
        <v>462</v>
      </c>
      <c r="N37" s="625" t="s">
        <v>472</v>
      </c>
      <c r="O37" s="706">
        <f>AD47</f>
        <v>162000</v>
      </c>
      <c r="P37" s="690">
        <v>0.1</v>
      </c>
      <c r="Q37" s="371">
        <f>$O$37*P37</f>
        <v>16200</v>
      </c>
      <c r="R37" s="907" t="s">
        <v>473</v>
      </c>
      <c r="S37" s="541" t="s">
        <v>474</v>
      </c>
      <c r="T37" s="734">
        <f t="shared" si="0"/>
        <v>45504</v>
      </c>
      <c r="U37" s="747">
        <v>31531.576700048958</v>
      </c>
      <c r="V37" s="957"/>
      <c r="W37" s="741">
        <f t="shared" ref="W37:W44" si="1">W101</f>
        <v>45498</v>
      </c>
      <c r="X37" s="961"/>
      <c r="Y37" s="627"/>
      <c r="Z37" s="182" t="s">
        <v>410</v>
      </c>
      <c r="AA37" s="183">
        <v>0</v>
      </c>
      <c r="AC37" s="647"/>
      <c r="AO37" s="24"/>
      <c r="AP37" s="24"/>
    </row>
    <row r="38" spans="1:42" ht="14.25" customHeight="1">
      <c r="B38" s="400">
        <v>4</v>
      </c>
      <c r="C38" s="625"/>
      <c r="D38" s="625"/>
      <c r="E38" s="657"/>
      <c r="F38" s="589"/>
      <c r="G38" s="371"/>
      <c r="H38" s="372"/>
      <c r="I38" s="967"/>
      <c r="J38" s="967"/>
      <c r="K38" s="373"/>
      <c r="L38" s="366">
        <v>4</v>
      </c>
      <c r="M38" s="676" t="s">
        <v>462</v>
      </c>
      <c r="N38" s="625" t="s">
        <v>263</v>
      </c>
      <c r="O38" s="657"/>
      <c r="P38" s="690">
        <v>0.15</v>
      </c>
      <c r="Q38" s="371">
        <f t="shared" ref="Q38:Q44" si="2">$O$37*P38</f>
        <v>24300</v>
      </c>
      <c r="R38" s="908"/>
      <c r="S38" s="541" t="s">
        <v>475</v>
      </c>
      <c r="T38" s="734">
        <v>45504</v>
      </c>
      <c r="U38" s="747">
        <v>47297.365050073429</v>
      </c>
      <c r="V38" s="957"/>
      <c r="W38" s="744">
        <f t="shared" si="1"/>
        <v>45512</v>
      </c>
      <c r="X38" s="961"/>
      <c r="Y38" s="627"/>
      <c r="Z38" s="182" t="s">
        <v>411</v>
      </c>
      <c r="AA38" s="183">
        <v>0</v>
      </c>
      <c r="AC38" s="647"/>
      <c r="AO38" s="24"/>
      <c r="AP38" s="24"/>
    </row>
    <row r="39" spans="1:42" ht="14.25" customHeight="1">
      <c r="B39" s="400">
        <v>4</v>
      </c>
      <c r="C39" s="625"/>
      <c r="D39" s="625"/>
      <c r="E39" s="657"/>
      <c r="F39" s="589"/>
      <c r="G39" s="371"/>
      <c r="H39" s="372"/>
      <c r="I39" s="967"/>
      <c r="J39" s="967"/>
      <c r="K39" s="373"/>
      <c r="L39" s="366">
        <v>4</v>
      </c>
      <c r="M39" s="676" t="s">
        <v>462</v>
      </c>
      <c r="N39" s="625" t="s">
        <v>476</v>
      </c>
      <c r="O39" s="657"/>
      <c r="P39" s="690">
        <v>0.2</v>
      </c>
      <c r="Q39" s="371">
        <f t="shared" si="2"/>
        <v>32400</v>
      </c>
      <c r="R39" s="908"/>
      <c r="S39" s="541" t="s">
        <v>477</v>
      </c>
      <c r="T39" s="734">
        <f t="shared" si="0"/>
        <v>45626</v>
      </c>
      <c r="U39" s="747">
        <v>60154.159689057029</v>
      </c>
      <c r="V39" s="957"/>
      <c r="W39" s="744">
        <f t="shared" si="1"/>
        <v>45610</v>
      </c>
      <c r="X39" s="961"/>
      <c r="Y39" s="627"/>
      <c r="Z39" s="182" t="s">
        <v>419</v>
      </c>
      <c r="AA39" s="183">
        <v>0</v>
      </c>
      <c r="AC39" s="647"/>
      <c r="AO39" s="24"/>
      <c r="AP39" s="24"/>
    </row>
    <row r="40" spans="1:42" ht="14.25" customHeight="1">
      <c r="B40" s="400">
        <v>4</v>
      </c>
      <c r="C40" s="625"/>
      <c r="D40" s="625"/>
      <c r="E40" s="657"/>
      <c r="F40" s="589"/>
      <c r="G40" s="371"/>
      <c r="H40" s="372"/>
      <c r="I40" s="967"/>
      <c r="J40" s="967"/>
      <c r="K40" s="373"/>
      <c r="L40" s="366">
        <v>4</v>
      </c>
      <c r="M40" s="676" t="s">
        <v>462</v>
      </c>
      <c r="N40" s="625" t="s">
        <v>478</v>
      </c>
      <c r="O40" s="657"/>
      <c r="P40" s="690">
        <v>0.25</v>
      </c>
      <c r="Q40" s="371">
        <f t="shared" si="2"/>
        <v>40500</v>
      </c>
      <c r="R40" s="908"/>
      <c r="S40" s="541" t="s">
        <v>479</v>
      </c>
      <c r="T40" s="813">
        <v>45596</v>
      </c>
      <c r="U40" s="747">
        <v>86641.006018816974</v>
      </c>
      <c r="V40" s="957"/>
      <c r="W40" s="744">
        <f t="shared" si="1"/>
        <v>45575</v>
      </c>
      <c r="X40" s="961"/>
      <c r="Y40" s="627"/>
      <c r="Z40" s="182" t="s">
        <v>480</v>
      </c>
      <c r="AA40" s="183">
        <v>0</v>
      </c>
      <c r="AC40" s="647"/>
      <c r="AO40" s="24"/>
      <c r="AP40" s="24"/>
    </row>
    <row r="41" spans="1:42" ht="14.25" customHeight="1">
      <c r="B41" s="400">
        <v>4</v>
      </c>
      <c r="C41" s="625"/>
      <c r="D41" s="625"/>
      <c r="E41" s="657"/>
      <c r="F41" s="589"/>
      <c r="G41" s="371"/>
      <c r="H41" s="372"/>
      <c r="I41" s="967"/>
      <c r="J41" s="967"/>
      <c r="K41" s="373"/>
      <c r="L41" s="366">
        <v>4</v>
      </c>
      <c r="M41" s="676" t="s">
        <v>462</v>
      </c>
      <c r="N41" s="625" t="s">
        <v>481</v>
      </c>
      <c r="O41" s="657"/>
      <c r="P41" s="690">
        <v>0.1</v>
      </c>
      <c r="Q41" s="371">
        <f t="shared" si="2"/>
        <v>16200</v>
      </c>
      <c r="R41" s="908"/>
      <c r="S41" s="541" t="s">
        <v>482</v>
      </c>
      <c r="T41" s="734">
        <f>IF(W41&gt;1,EOMONTH(W41,0),"")</f>
        <v>45626</v>
      </c>
      <c r="U41" s="747">
        <v>30035.354844528516</v>
      </c>
      <c r="V41" s="957"/>
      <c r="W41" s="744">
        <v>45617</v>
      </c>
      <c r="X41" s="961"/>
      <c r="Y41" s="627"/>
      <c r="Z41" s="182" t="s">
        <v>483</v>
      </c>
      <c r="AA41" s="183">
        <v>0</v>
      </c>
      <c r="AC41" s="647"/>
      <c r="AO41" s="24"/>
      <c r="AP41" s="24"/>
    </row>
    <row r="42" spans="1:42" ht="15" customHeight="1">
      <c r="B42" s="366">
        <v>4</v>
      </c>
      <c r="C42" s="367"/>
      <c r="D42" s="403"/>
      <c r="E42" s="657"/>
      <c r="F42" s="589"/>
      <c r="G42" s="371"/>
      <c r="H42" s="372"/>
      <c r="I42" s="967"/>
      <c r="J42" s="967"/>
      <c r="K42" s="373"/>
      <c r="L42" s="366">
        <v>4</v>
      </c>
      <c r="M42" s="676" t="s">
        <v>462</v>
      </c>
      <c r="N42" s="403" t="s">
        <v>484</v>
      </c>
      <c r="O42" s="657"/>
      <c r="P42" s="690">
        <v>0.1</v>
      </c>
      <c r="Q42" s="371">
        <f t="shared" si="2"/>
        <v>16200</v>
      </c>
      <c r="R42" s="908"/>
      <c r="S42" s="541" t="s">
        <v>485</v>
      </c>
      <c r="T42" s="734">
        <f t="shared" si="0"/>
        <v>45626</v>
      </c>
      <c r="U42" s="747">
        <v>30035.354844528516</v>
      </c>
      <c r="V42" s="958"/>
      <c r="W42" s="744">
        <v>45617</v>
      </c>
      <c r="X42" s="961"/>
      <c r="Y42" s="196"/>
      <c r="Z42" s="182" t="s">
        <v>423</v>
      </c>
      <c r="AA42" s="183">
        <v>0</v>
      </c>
      <c r="AC42" s="647"/>
      <c r="AO42" s="24"/>
      <c r="AP42" s="24"/>
    </row>
    <row r="43" spans="1:42" ht="15" customHeight="1">
      <c r="B43" s="366">
        <v>4</v>
      </c>
      <c r="C43" s="403"/>
      <c r="D43" s="655" t="s">
        <v>486</v>
      </c>
      <c r="E43" s="595">
        <v>37510</v>
      </c>
      <c r="F43" s="656">
        <v>13.5</v>
      </c>
      <c r="G43" s="371">
        <f t="shared" ref="G43" si="3">E43*F43</f>
        <v>506385</v>
      </c>
      <c r="H43" s="372">
        <f>H32</f>
        <v>45553</v>
      </c>
      <c r="I43" s="967"/>
      <c r="J43" s="967"/>
      <c r="K43" s="373"/>
      <c r="L43" s="366">
        <v>4</v>
      </c>
      <c r="M43" s="676" t="s">
        <v>462</v>
      </c>
      <c r="N43" s="655" t="s">
        <v>487</v>
      </c>
      <c r="O43" s="595"/>
      <c r="P43" s="691">
        <v>0.05</v>
      </c>
      <c r="Q43" s="371">
        <f t="shared" si="2"/>
        <v>8100</v>
      </c>
      <c r="R43" s="908"/>
      <c r="S43" s="541" t="s">
        <v>488</v>
      </c>
      <c r="T43" s="734">
        <f>T107</f>
        <v>45626</v>
      </c>
      <c r="U43" s="748">
        <v>15017.677422264258</v>
      </c>
      <c r="V43" s="958"/>
      <c r="W43" s="744">
        <f t="shared" si="1"/>
        <v>45631</v>
      </c>
      <c r="X43" s="961"/>
      <c r="Y43" s="196"/>
      <c r="Z43" s="182" t="s">
        <v>423</v>
      </c>
      <c r="AA43" s="183">
        <v>0</v>
      </c>
      <c r="AC43" s="647"/>
      <c r="AO43" s="24"/>
      <c r="AP43" s="24"/>
    </row>
    <row r="44" spans="1:42" ht="15" customHeight="1" thickBot="1">
      <c r="B44" s="374">
        <v>4</v>
      </c>
      <c r="C44" s="408"/>
      <c r="D44" s="408" t="s">
        <v>489</v>
      </c>
      <c r="E44" s="592">
        <v>272</v>
      </c>
      <c r="F44" s="596">
        <v>16</v>
      </c>
      <c r="G44" s="379">
        <f>E44*F44</f>
        <v>4352</v>
      </c>
      <c r="H44" s="380">
        <f>'Project Plan'!E145</f>
        <v>45593</v>
      </c>
      <c r="I44" s="968"/>
      <c r="J44" s="968"/>
      <c r="K44" s="381"/>
      <c r="L44" s="374">
        <v>4</v>
      </c>
      <c r="M44" s="677" t="s">
        <v>462</v>
      </c>
      <c r="N44" s="408" t="s">
        <v>490</v>
      </c>
      <c r="O44" s="592"/>
      <c r="P44" s="692">
        <v>0.05</v>
      </c>
      <c r="Q44" s="596">
        <f t="shared" si="2"/>
        <v>8100</v>
      </c>
      <c r="R44" s="909"/>
      <c r="S44" s="632" t="s">
        <v>491</v>
      </c>
      <c r="T44" s="737">
        <v>45626</v>
      </c>
      <c r="U44" s="839">
        <v>15017.677422264258</v>
      </c>
      <c r="V44" s="959"/>
      <c r="W44" s="862">
        <f t="shared" si="1"/>
        <v>45890</v>
      </c>
      <c r="X44" s="962"/>
      <c r="Y44" s="204"/>
      <c r="Z44" s="182" t="s">
        <v>423</v>
      </c>
      <c r="AA44" s="184">
        <v>0</v>
      </c>
      <c r="AC44" s="114" t="s">
        <v>492</v>
      </c>
      <c r="AD44" s="114" t="s">
        <v>493</v>
      </c>
      <c r="AO44" s="24"/>
      <c r="AP44" s="24"/>
    </row>
    <row r="45" spans="1:42" ht="14.45" thickBot="1">
      <c r="A45" s="24"/>
      <c r="B45" s="336"/>
      <c r="C45" s="337"/>
      <c r="D45" s="337"/>
      <c r="E45" s="356"/>
      <c r="F45" s="340"/>
      <c r="G45" s="357"/>
      <c r="H45" s="341"/>
      <c r="I45" s="342"/>
      <c r="J45" s="342"/>
      <c r="K45" s="24"/>
      <c r="L45" s="336"/>
      <c r="M45" s="337"/>
      <c r="N45" s="337"/>
      <c r="O45" s="356"/>
      <c r="P45" s="340"/>
      <c r="Q45" s="357"/>
      <c r="R45" s="214"/>
      <c r="S45" s="538"/>
      <c r="T45" s="523" t="str">
        <f t="shared" si="0"/>
        <v/>
      </c>
      <c r="U45" s="500"/>
      <c r="V45" s="642"/>
      <c r="W45" s="460"/>
      <c r="X45" s="470"/>
      <c r="Y45" s="199"/>
      <c r="Z45" s="182" t="s">
        <v>353</v>
      </c>
      <c r="AA45" s="183">
        <v>2400000</v>
      </c>
      <c r="AC45" s="704">
        <f>AA45-AD45</f>
        <v>1500000</v>
      </c>
      <c r="AD45" s="705">
        <v>900000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ht="14.25" customHeight="1">
      <c r="B46" s="343">
        <v>5</v>
      </c>
      <c r="C46" s="386" t="s">
        <v>494</v>
      </c>
      <c r="D46" s="410" t="s">
        <v>495</v>
      </c>
      <c r="E46" s="345">
        <v>1</v>
      </c>
      <c r="F46" s="441">
        <v>26000</v>
      </c>
      <c r="G46" s="346">
        <f>F46*E46</f>
        <v>26000</v>
      </c>
      <c r="H46" s="347">
        <f t="shared" ref="H46" si="4">H13</f>
        <v>45533</v>
      </c>
      <c r="I46" s="926">
        <f>SUM(G46:G51)</f>
        <v>49000</v>
      </c>
      <c r="J46" s="926">
        <v>54228.6136831884</v>
      </c>
      <c r="K46" s="348"/>
      <c r="L46" s="343">
        <v>5</v>
      </c>
      <c r="M46" s="672" t="s">
        <v>496</v>
      </c>
      <c r="N46" s="344"/>
      <c r="O46" s="658"/>
      <c r="P46" s="660"/>
      <c r="Q46" s="346"/>
      <c r="R46" s="215"/>
      <c r="S46" s="525"/>
      <c r="T46" s="504" t="str">
        <f t="shared" si="0"/>
        <v/>
      </c>
      <c r="U46" s="790">
        <v>0</v>
      </c>
      <c r="V46" s="916">
        <f>J46-SUM(U46:U51)</f>
        <v>-1.7633556199143641E-3</v>
      </c>
      <c r="W46" s="461"/>
      <c r="X46" s="913">
        <f>SUM(Q46:Q51)</f>
        <v>28480</v>
      </c>
      <c r="Y46" s="200"/>
      <c r="Z46" s="624" t="s">
        <v>434</v>
      </c>
      <c r="AA46" s="184">
        <f>+AA45/'Project Plan'!$E$3/1000</f>
        <v>1.5894039735099339</v>
      </c>
      <c r="AB46" s="24"/>
      <c r="AD46" s="647">
        <f>AD45*0.82</f>
        <v>738000</v>
      </c>
      <c r="AE46" s="114" t="s">
        <v>497</v>
      </c>
      <c r="AO46" s="24"/>
      <c r="AP46" s="24"/>
    </row>
    <row r="47" spans="1:42" ht="14.25" customHeight="1">
      <c r="B47" s="349">
        <v>5</v>
      </c>
      <c r="C47" s="387"/>
      <c r="D47" s="412" t="s">
        <v>498</v>
      </c>
      <c r="E47" s="394"/>
      <c r="F47" s="665"/>
      <c r="G47" s="393">
        <v>8000</v>
      </c>
      <c r="H47" s="351">
        <f>H46</f>
        <v>45533</v>
      </c>
      <c r="I47" s="927"/>
      <c r="J47" s="927"/>
      <c r="K47" s="352"/>
      <c r="L47" s="349">
        <v>5</v>
      </c>
      <c r="M47" s="678" t="s">
        <v>496</v>
      </c>
      <c r="N47" s="350" t="s">
        <v>499</v>
      </c>
      <c r="O47" s="659"/>
      <c r="P47" s="661"/>
      <c r="Q47" s="393">
        <v>24770</v>
      </c>
      <c r="R47" s="219" t="s">
        <v>500</v>
      </c>
      <c r="S47" s="525" t="s">
        <v>501</v>
      </c>
      <c r="T47" s="725">
        <v>45535</v>
      </c>
      <c r="U47" s="751">
        <v>11215.185446544016</v>
      </c>
      <c r="V47" s="921"/>
      <c r="W47" s="786">
        <v>45562</v>
      </c>
      <c r="X47" s="914"/>
      <c r="Y47" s="205"/>
      <c r="AB47" s="24"/>
      <c r="AD47" s="647">
        <f>AD45*0.18</f>
        <v>162000</v>
      </c>
      <c r="AE47" s="114" t="s">
        <v>502</v>
      </c>
      <c r="AO47" s="24"/>
      <c r="AP47" s="24"/>
    </row>
    <row r="48" spans="1:42" ht="14.25" customHeight="1">
      <c r="B48" s="349">
        <v>5</v>
      </c>
      <c r="C48" s="387"/>
      <c r="D48" s="350" t="s">
        <v>503</v>
      </c>
      <c r="E48" s="659">
        <v>1</v>
      </c>
      <c r="F48" s="661">
        <v>15000</v>
      </c>
      <c r="G48" s="393">
        <f t="shared" ref="G48" si="5">F48*E48</f>
        <v>15000</v>
      </c>
      <c r="H48" s="388">
        <f>'Project Plan'!G156</f>
        <v>45609</v>
      </c>
      <c r="I48" s="927"/>
      <c r="J48" s="927"/>
      <c r="K48" s="352"/>
      <c r="L48" s="349">
        <v>5</v>
      </c>
      <c r="M48" s="678" t="s">
        <v>496</v>
      </c>
      <c r="N48" s="350" t="s">
        <v>504</v>
      </c>
      <c r="O48" s="659"/>
      <c r="P48" s="661"/>
      <c r="Q48" s="393">
        <v>3710</v>
      </c>
      <c r="R48" s="219" t="s">
        <v>505</v>
      </c>
      <c r="S48" s="525" t="s">
        <v>506</v>
      </c>
      <c r="T48" s="725">
        <v>45688</v>
      </c>
      <c r="U48" s="751">
        <v>0</v>
      </c>
      <c r="V48" s="917"/>
      <c r="W48" s="726">
        <v>45715</v>
      </c>
      <c r="X48" s="914"/>
      <c r="Y48" s="205"/>
      <c r="AO48" s="24"/>
      <c r="AP48" s="24"/>
    </row>
    <row r="49" spans="1:42" ht="14.25" customHeight="1">
      <c r="B49" s="389">
        <v>5</v>
      </c>
      <c r="C49" s="390"/>
      <c r="D49" s="391"/>
      <c r="E49" s="573"/>
      <c r="F49" s="442"/>
      <c r="G49" s="393"/>
      <c r="H49" s="351"/>
      <c r="I49" s="927"/>
      <c r="J49" s="927"/>
      <c r="K49" s="352"/>
      <c r="L49" s="389">
        <v>5</v>
      </c>
      <c r="M49" s="678" t="s">
        <v>496</v>
      </c>
      <c r="N49" s="391"/>
      <c r="O49" s="573"/>
      <c r="P49" s="442"/>
      <c r="Q49" s="393"/>
      <c r="R49" s="210"/>
      <c r="S49" s="539"/>
      <c r="T49" s="504"/>
      <c r="U49" s="751">
        <v>0</v>
      </c>
      <c r="V49" s="917"/>
      <c r="W49" s="462"/>
      <c r="X49" s="914"/>
      <c r="Y49" s="201"/>
      <c r="AO49" s="24"/>
      <c r="AP49" s="24"/>
    </row>
    <row r="50" spans="1:42" ht="14.25" customHeight="1">
      <c r="B50" s="389">
        <v>5</v>
      </c>
      <c r="C50" s="390"/>
      <c r="D50" s="391"/>
      <c r="E50" s="573"/>
      <c r="F50" s="442"/>
      <c r="G50" s="393"/>
      <c r="H50" s="351"/>
      <c r="I50" s="927"/>
      <c r="J50" s="927"/>
      <c r="K50" s="352"/>
      <c r="L50" s="389">
        <v>5</v>
      </c>
      <c r="M50" s="678" t="s">
        <v>496</v>
      </c>
      <c r="N50" s="391" t="s">
        <v>507</v>
      </c>
      <c r="O50" s="573"/>
      <c r="P50" s="442"/>
      <c r="Q50" s="393"/>
      <c r="R50" s="210"/>
      <c r="S50" s="539"/>
      <c r="T50" s="504"/>
      <c r="U50" s="751">
        <v>0</v>
      </c>
      <c r="V50" s="917"/>
      <c r="W50" s="462"/>
      <c r="X50" s="914"/>
      <c r="Y50" s="201"/>
      <c r="AO50" s="24"/>
      <c r="AP50" s="24"/>
    </row>
    <row r="51" spans="1:42" ht="15" customHeight="1" thickBot="1">
      <c r="B51" s="395">
        <v>5</v>
      </c>
      <c r="C51" s="427"/>
      <c r="D51" s="396"/>
      <c r="E51" s="576"/>
      <c r="F51" s="443"/>
      <c r="G51" s="416"/>
      <c r="H51" s="353"/>
      <c r="I51" s="928"/>
      <c r="J51" s="928"/>
      <c r="K51" s="354"/>
      <c r="L51" s="395">
        <v>5</v>
      </c>
      <c r="M51" s="674" t="s">
        <v>496</v>
      </c>
      <c r="N51" s="396" t="s">
        <v>508</v>
      </c>
      <c r="O51" s="576"/>
      <c r="P51" s="443"/>
      <c r="Q51" s="416">
        <v>0</v>
      </c>
      <c r="R51" s="216"/>
      <c r="S51" s="824" t="s">
        <v>509</v>
      </c>
      <c r="T51" s="822">
        <v>45596</v>
      </c>
      <c r="U51" s="823">
        <v>43013.43</v>
      </c>
      <c r="V51" s="918"/>
      <c r="W51" s="840">
        <f>T51+30</f>
        <v>45626</v>
      </c>
      <c r="X51" s="915"/>
      <c r="Y51" s="202"/>
    </row>
    <row r="52" spans="1:42" ht="14.45" thickBot="1">
      <c r="A52" s="24"/>
      <c r="B52" s="355"/>
      <c r="C52" s="382"/>
      <c r="D52" s="338"/>
      <c r="E52" s="339"/>
      <c r="F52" s="340"/>
      <c r="G52" s="358"/>
      <c r="H52" s="341"/>
      <c r="I52" s="409"/>
      <c r="J52" s="409"/>
      <c r="K52" s="24"/>
      <c r="L52" s="355"/>
      <c r="M52" s="382"/>
      <c r="N52" s="338"/>
      <c r="O52" s="339"/>
      <c r="P52" s="340"/>
      <c r="Q52" s="358"/>
      <c r="R52" s="214"/>
      <c r="S52" s="538"/>
      <c r="T52" s="523" t="str">
        <f t="shared" si="0"/>
        <v/>
      </c>
      <c r="U52" s="500"/>
      <c r="V52" s="642"/>
      <c r="W52" s="460"/>
      <c r="X52" s="471"/>
      <c r="Y52" s="199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ht="14.25" customHeight="1">
      <c r="B53" s="359">
        <v>6</v>
      </c>
      <c r="C53" s="360" t="s">
        <v>407</v>
      </c>
      <c r="D53" s="361" t="s">
        <v>472</v>
      </c>
      <c r="E53" s="362"/>
      <c r="F53" s="597">
        <v>0.1</v>
      </c>
      <c r="G53" s="363">
        <f>$C$60*F53</f>
        <v>334839.62956521707</v>
      </c>
      <c r="H53" s="364">
        <f>H101</f>
        <v>45496</v>
      </c>
      <c r="I53" s="966">
        <f>SUM(G53:G66)</f>
        <v>3348396.2956521697</v>
      </c>
      <c r="J53" s="966">
        <v>3705691.6158191999</v>
      </c>
      <c r="K53" s="365"/>
      <c r="L53" s="359">
        <v>6</v>
      </c>
      <c r="M53" s="681" t="s">
        <v>510</v>
      </c>
      <c r="N53" s="683"/>
      <c r="O53" s="707"/>
      <c r="P53" s="693"/>
      <c r="Q53" s="684"/>
      <c r="R53" s="217"/>
      <c r="S53" s="541"/>
      <c r="T53" s="501" t="str">
        <f t="shared" si="0"/>
        <v/>
      </c>
      <c r="U53" s="789">
        <v>0</v>
      </c>
      <c r="V53" s="934">
        <f>J53-SUM(U53:U66)</f>
        <v>-5.4849591106176376E-4</v>
      </c>
      <c r="W53" s="652"/>
      <c r="X53" s="960">
        <f>SUM(Q53:Q66)</f>
        <v>1177114.1499999999</v>
      </c>
      <c r="Y53" s="203"/>
    </row>
    <row r="54" spans="1:42" ht="14.25" customHeight="1">
      <c r="B54" s="366">
        <v>6</v>
      </c>
      <c r="C54" s="625"/>
      <c r="D54" s="709"/>
      <c r="E54" s="710"/>
      <c r="F54" s="711"/>
      <c r="G54" s="402"/>
      <c r="H54" s="712"/>
      <c r="I54" s="967"/>
      <c r="J54" s="967"/>
      <c r="K54" s="373"/>
      <c r="L54" s="366">
        <v>6</v>
      </c>
      <c r="M54" s="679" t="s">
        <v>510</v>
      </c>
      <c r="N54" s="713" t="s">
        <v>511</v>
      </c>
      <c r="O54" s="714"/>
      <c r="P54" s="716">
        <v>185475.16</v>
      </c>
      <c r="Q54" s="716">
        <f>P54</f>
        <v>185475.16</v>
      </c>
      <c r="R54" s="626"/>
      <c r="S54" s="541" t="s">
        <v>512</v>
      </c>
      <c r="T54" s="756">
        <v>45535</v>
      </c>
      <c r="U54" s="748">
        <v>611631.5138385467</v>
      </c>
      <c r="V54" s="935"/>
      <c r="W54" s="821">
        <v>45589</v>
      </c>
      <c r="X54" s="961"/>
      <c r="Y54" s="627"/>
    </row>
    <row r="55" spans="1:42" ht="14.25" customHeight="1">
      <c r="B55" s="366">
        <v>6</v>
      </c>
      <c r="C55" s="625"/>
      <c r="D55" s="709"/>
      <c r="E55" s="710"/>
      <c r="F55" s="711"/>
      <c r="G55" s="402"/>
      <c r="H55" s="712"/>
      <c r="I55" s="967"/>
      <c r="J55" s="967"/>
      <c r="K55" s="373"/>
      <c r="L55" s="366">
        <v>6</v>
      </c>
      <c r="M55" s="679" t="s">
        <v>510</v>
      </c>
      <c r="N55" s="713" t="s">
        <v>513</v>
      </c>
      <c r="O55" s="714"/>
      <c r="P55" s="716">
        <v>200263.12</v>
      </c>
      <c r="Q55" s="716">
        <f>P55</f>
        <v>200263.12</v>
      </c>
      <c r="R55" s="626"/>
      <c r="S55" s="541" t="s">
        <v>512</v>
      </c>
      <c r="T55" s="756">
        <v>45535</v>
      </c>
      <c r="U55" s="748">
        <v>660396.978504456</v>
      </c>
      <c r="V55" s="935"/>
      <c r="W55" s="821">
        <f>W54</f>
        <v>45589</v>
      </c>
      <c r="X55" s="961"/>
      <c r="Y55" s="627"/>
    </row>
    <row r="56" spans="1:42" ht="14.25" customHeight="1">
      <c r="B56" s="366">
        <v>6</v>
      </c>
      <c r="C56" s="625"/>
      <c r="D56" s="709"/>
      <c r="E56" s="710"/>
      <c r="F56" s="711"/>
      <c r="G56" s="402"/>
      <c r="H56" s="712"/>
      <c r="I56" s="967"/>
      <c r="J56" s="967"/>
      <c r="K56" s="373"/>
      <c r="L56" s="366">
        <v>6</v>
      </c>
      <c r="M56" s="679" t="s">
        <v>510</v>
      </c>
      <c r="N56" s="713"/>
      <c r="O56" s="714"/>
      <c r="P56" s="715"/>
      <c r="Q56" s="716"/>
      <c r="R56" s="626"/>
      <c r="S56" s="541"/>
      <c r="T56" s="501" t="str">
        <f t="shared" si="0"/>
        <v/>
      </c>
      <c r="U56" s="748">
        <v>0</v>
      </c>
      <c r="V56" s="935"/>
      <c r="W56" s="717"/>
      <c r="X56" s="961"/>
      <c r="Y56" s="627"/>
    </row>
    <row r="57" spans="1:42" ht="14.25" customHeight="1">
      <c r="B57" s="366">
        <v>6</v>
      </c>
      <c r="C57" s="625"/>
      <c r="D57" s="709"/>
      <c r="E57" s="710"/>
      <c r="F57" s="711"/>
      <c r="G57" s="402"/>
      <c r="H57" s="712"/>
      <c r="I57" s="967"/>
      <c r="J57" s="967"/>
      <c r="K57" s="373"/>
      <c r="L57" s="366">
        <v>6</v>
      </c>
      <c r="M57" s="679" t="s">
        <v>510</v>
      </c>
      <c r="N57" s="713" t="s">
        <v>514</v>
      </c>
      <c r="O57" s="714"/>
      <c r="P57" s="715"/>
      <c r="Q57" s="716">
        <v>53375.87</v>
      </c>
      <c r="R57" s="626" t="s">
        <v>515</v>
      </c>
      <c r="S57" s="541" t="s">
        <v>516</v>
      </c>
      <c r="T57" s="733">
        <v>45716</v>
      </c>
      <c r="U57" s="748">
        <v>22070.737953607633</v>
      </c>
      <c r="V57" s="935"/>
      <c r="W57" s="821">
        <v>45695</v>
      </c>
      <c r="X57" s="961"/>
      <c r="Y57" s="627"/>
    </row>
    <row r="58" spans="1:42" ht="14.25" customHeight="1">
      <c r="B58" s="366">
        <v>6</v>
      </c>
      <c r="C58" s="625"/>
      <c r="D58" s="709"/>
      <c r="E58" s="710"/>
      <c r="F58" s="711"/>
      <c r="G58" s="402"/>
      <c r="H58" s="712"/>
      <c r="I58" s="967"/>
      <c r="J58" s="967"/>
      <c r="K58" s="373"/>
      <c r="L58" s="366">
        <v>6</v>
      </c>
      <c r="M58" s="679" t="s">
        <v>510</v>
      </c>
      <c r="N58" s="713"/>
      <c r="O58" s="714"/>
      <c r="P58" s="715"/>
      <c r="Q58" s="716"/>
      <c r="R58" s="626"/>
      <c r="S58" s="541"/>
      <c r="T58" s="501" t="str">
        <f t="shared" si="0"/>
        <v/>
      </c>
      <c r="U58" s="748">
        <v>0</v>
      </c>
      <c r="V58" s="935"/>
      <c r="W58" s="717"/>
      <c r="X58" s="961"/>
      <c r="Y58" s="627"/>
    </row>
    <row r="59" spans="1:42" ht="14.25" customHeight="1">
      <c r="B59" s="366">
        <v>6</v>
      </c>
      <c r="C59" s="625"/>
      <c r="D59" s="709"/>
      <c r="E59" s="710"/>
      <c r="F59" s="711"/>
      <c r="G59" s="402"/>
      <c r="H59" s="712"/>
      <c r="I59" s="967"/>
      <c r="J59" s="967"/>
      <c r="K59" s="373"/>
      <c r="L59" s="366">
        <v>6</v>
      </c>
      <c r="M59" s="679" t="s">
        <v>510</v>
      </c>
      <c r="N59" s="713" t="s">
        <v>472</v>
      </c>
      <c r="O59" s="714">
        <f>AD46</f>
        <v>738000</v>
      </c>
      <c r="P59" s="715">
        <v>0.1</v>
      </c>
      <c r="Q59" s="371">
        <f>$O$59*P59</f>
        <v>73800</v>
      </c>
      <c r="R59" s="907" t="s">
        <v>473</v>
      </c>
      <c r="S59" s="541" t="s">
        <v>474</v>
      </c>
      <c r="T59" s="733">
        <f t="shared" si="0"/>
        <v>45504</v>
      </c>
      <c r="U59" s="748">
        <v>243366.31234761974</v>
      </c>
      <c r="V59" s="935"/>
      <c r="W59" s="740">
        <f>W101</f>
        <v>45498</v>
      </c>
      <c r="X59" s="961"/>
      <c r="Y59" s="627"/>
    </row>
    <row r="60" spans="1:42" ht="14.25" customHeight="1">
      <c r="B60" s="366">
        <v>6</v>
      </c>
      <c r="C60" s="598">
        <v>3348396.2956521702</v>
      </c>
      <c r="D60" s="368" t="s">
        <v>263</v>
      </c>
      <c r="E60" s="369"/>
      <c r="F60" s="370">
        <v>0.15</v>
      </c>
      <c r="G60" s="371">
        <f t="shared" ref="G60:G66" si="6">$C$60*F60</f>
        <v>502259.44434782548</v>
      </c>
      <c r="H60" s="372">
        <f>H102</f>
        <v>45503</v>
      </c>
      <c r="I60" s="967"/>
      <c r="J60" s="967"/>
      <c r="K60" s="373"/>
      <c r="L60" s="366">
        <v>6</v>
      </c>
      <c r="M60" s="679" t="s">
        <v>510</v>
      </c>
      <c r="N60" s="368" t="s">
        <v>263</v>
      </c>
      <c r="O60" s="369"/>
      <c r="P60" s="370">
        <v>0.15</v>
      </c>
      <c r="Q60" s="371">
        <f t="shared" ref="Q60:Q66" si="7">$O$59*P60</f>
        <v>110700</v>
      </c>
      <c r="R60" s="908"/>
      <c r="S60" s="541" t="s">
        <v>475</v>
      </c>
      <c r="T60" s="733">
        <v>45504</v>
      </c>
      <c r="U60" s="748">
        <v>365049.46852142958</v>
      </c>
      <c r="V60" s="935"/>
      <c r="W60" s="744">
        <f>W102</f>
        <v>45512</v>
      </c>
      <c r="X60" s="961"/>
      <c r="Y60" s="196"/>
    </row>
    <row r="61" spans="1:42" ht="14.25" customHeight="1">
      <c r="B61" s="366">
        <v>6</v>
      </c>
      <c r="C61" s="598"/>
      <c r="D61" s="368" t="s">
        <v>476</v>
      </c>
      <c r="E61" s="369"/>
      <c r="F61" s="370">
        <v>0.2</v>
      </c>
      <c r="G61" s="371">
        <f t="shared" si="6"/>
        <v>669679.25913043413</v>
      </c>
      <c r="H61" s="372">
        <f t="shared" ref="H61:H65" si="8">H103</f>
        <v>45589</v>
      </c>
      <c r="I61" s="967"/>
      <c r="J61" s="967"/>
      <c r="K61" s="373"/>
      <c r="L61" s="366">
        <v>6</v>
      </c>
      <c r="M61" s="680" t="s">
        <v>510</v>
      </c>
      <c r="N61" s="368" t="s">
        <v>476</v>
      </c>
      <c r="O61" s="369"/>
      <c r="P61" s="370">
        <v>0.2</v>
      </c>
      <c r="Q61" s="371">
        <f t="shared" si="7"/>
        <v>147600</v>
      </c>
      <c r="R61" s="908"/>
      <c r="S61" s="541" t="s">
        <v>477</v>
      </c>
      <c r="T61" s="733">
        <f t="shared" si="0"/>
        <v>45626</v>
      </c>
      <c r="U61" s="836">
        <f t="shared" ref="U61" si="9">(Q61/$X$53*$J$53)</f>
        <v>464661.88729012728</v>
      </c>
      <c r="V61" s="935"/>
      <c r="W61" s="744">
        <f t="shared" ref="W61:W65" si="10">W103</f>
        <v>45610</v>
      </c>
      <c r="X61" s="961"/>
      <c r="Y61" s="196"/>
    </row>
    <row r="62" spans="1:42" ht="14.25" customHeight="1">
      <c r="B62" s="366">
        <v>6</v>
      </c>
      <c r="C62" s="598"/>
      <c r="D62" s="368" t="s">
        <v>478</v>
      </c>
      <c r="E62" s="369"/>
      <c r="F62" s="370">
        <v>0.25</v>
      </c>
      <c r="G62" s="371">
        <f t="shared" si="6"/>
        <v>837099.07391304255</v>
      </c>
      <c r="H62" s="372">
        <f t="shared" si="8"/>
        <v>45593</v>
      </c>
      <c r="I62" s="967"/>
      <c r="J62" s="967"/>
      <c r="K62" s="373"/>
      <c r="L62" s="366">
        <v>6</v>
      </c>
      <c r="M62" s="679" t="s">
        <v>510</v>
      </c>
      <c r="N62" s="368" t="s">
        <v>478</v>
      </c>
      <c r="O62" s="369"/>
      <c r="P62" s="370">
        <v>0.25</v>
      </c>
      <c r="Q62" s="371">
        <f t="shared" si="7"/>
        <v>184500</v>
      </c>
      <c r="R62" s="908"/>
      <c r="S62" s="541" t="s">
        <v>479</v>
      </c>
      <c r="T62" s="812">
        <v>45596</v>
      </c>
      <c r="U62" s="748">
        <v>608415.78086904925</v>
      </c>
      <c r="V62" s="935"/>
      <c r="W62" s="744">
        <f t="shared" si="10"/>
        <v>45575</v>
      </c>
      <c r="X62" s="961"/>
      <c r="Y62" s="196"/>
    </row>
    <row r="63" spans="1:42" ht="14.25" customHeight="1">
      <c r="B63" s="366">
        <v>6</v>
      </c>
      <c r="C63" s="598"/>
      <c r="D63" s="368" t="s">
        <v>481</v>
      </c>
      <c r="E63" s="369"/>
      <c r="F63" s="370">
        <v>0.1</v>
      </c>
      <c r="G63" s="371">
        <f t="shared" si="6"/>
        <v>334839.62956521707</v>
      </c>
      <c r="H63" s="372">
        <f t="shared" si="8"/>
        <v>45600</v>
      </c>
      <c r="I63" s="967"/>
      <c r="J63" s="967"/>
      <c r="K63" s="373"/>
      <c r="L63" s="366">
        <v>6</v>
      </c>
      <c r="M63" s="680" t="s">
        <v>510</v>
      </c>
      <c r="N63" s="368" t="s">
        <v>481</v>
      </c>
      <c r="O63" s="369"/>
      <c r="P63" s="370">
        <v>0.1</v>
      </c>
      <c r="Q63" s="371">
        <f t="shared" si="7"/>
        <v>73800</v>
      </c>
      <c r="R63" s="908"/>
      <c r="S63" s="541" t="s">
        <v>482</v>
      </c>
      <c r="T63" s="733">
        <v>45626</v>
      </c>
      <c r="U63" s="748">
        <v>243366.31234761974</v>
      </c>
      <c r="V63" s="935"/>
      <c r="W63" s="744">
        <v>45617</v>
      </c>
      <c r="X63" s="961"/>
      <c r="Y63" s="196"/>
    </row>
    <row r="64" spans="1:42" ht="14.25" customHeight="1">
      <c r="B64" s="366">
        <v>6</v>
      </c>
      <c r="C64" s="598"/>
      <c r="D64" s="368" t="s">
        <v>484</v>
      </c>
      <c r="E64" s="369"/>
      <c r="F64" s="370">
        <v>0.1</v>
      </c>
      <c r="G64" s="371">
        <f t="shared" si="6"/>
        <v>334839.62956521707</v>
      </c>
      <c r="H64" s="372">
        <f t="shared" si="8"/>
        <v>45623</v>
      </c>
      <c r="I64" s="967"/>
      <c r="J64" s="967"/>
      <c r="K64" s="373"/>
      <c r="L64" s="366">
        <v>6</v>
      </c>
      <c r="M64" s="679" t="s">
        <v>510</v>
      </c>
      <c r="N64" s="368" t="s">
        <v>484</v>
      </c>
      <c r="O64" s="369"/>
      <c r="P64" s="370">
        <v>0.1</v>
      </c>
      <c r="Q64" s="371">
        <f t="shared" si="7"/>
        <v>73800</v>
      </c>
      <c r="R64" s="908"/>
      <c r="S64" s="541" t="s">
        <v>485</v>
      </c>
      <c r="T64" s="733">
        <v>45626</v>
      </c>
      <c r="U64" s="748">
        <v>243366.31234761974</v>
      </c>
      <c r="V64" s="935"/>
      <c r="W64" s="744">
        <v>45617</v>
      </c>
      <c r="X64" s="961"/>
      <c r="Y64" s="196"/>
    </row>
    <row r="65" spans="1:42" ht="14.25" customHeight="1">
      <c r="B65" s="366">
        <v>6</v>
      </c>
      <c r="C65" s="367"/>
      <c r="D65" s="368" t="s">
        <v>487</v>
      </c>
      <c r="E65" s="369"/>
      <c r="F65" s="370">
        <v>0.05</v>
      </c>
      <c r="G65" s="371">
        <f t="shared" si="6"/>
        <v>167419.81478260853</v>
      </c>
      <c r="H65" s="372">
        <f t="shared" si="8"/>
        <v>45629</v>
      </c>
      <c r="I65" s="967"/>
      <c r="J65" s="967"/>
      <c r="K65" s="373"/>
      <c r="L65" s="366">
        <v>6</v>
      </c>
      <c r="M65" s="680" t="s">
        <v>510</v>
      </c>
      <c r="N65" s="368" t="s">
        <v>487</v>
      </c>
      <c r="O65" s="369"/>
      <c r="P65" s="370">
        <v>0.05</v>
      </c>
      <c r="Q65" s="371">
        <f t="shared" si="7"/>
        <v>36900</v>
      </c>
      <c r="R65" s="908"/>
      <c r="S65" s="541" t="s">
        <v>488</v>
      </c>
      <c r="T65" s="733">
        <v>45626</v>
      </c>
      <c r="U65" s="748">
        <v>121683.15617380987</v>
      </c>
      <c r="V65" s="935"/>
      <c r="W65" s="744">
        <f t="shared" si="10"/>
        <v>45631</v>
      </c>
      <c r="X65" s="961"/>
      <c r="Y65" s="196"/>
    </row>
    <row r="66" spans="1:42" ht="15" customHeight="1" thickBot="1">
      <c r="B66" s="374">
        <v>6</v>
      </c>
      <c r="C66" s="599"/>
      <c r="D66" s="376" t="s">
        <v>490</v>
      </c>
      <c r="E66" s="377"/>
      <c r="F66" s="378">
        <v>0.05</v>
      </c>
      <c r="G66" s="379">
        <f t="shared" si="6"/>
        <v>167419.81478260853</v>
      </c>
      <c r="H66" s="380">
        <f>H108</f>
        <v>45719</v>
      </c>
      <c r="I66" s="968"/>
      <c r="J66" s="968"/>
      <c r="K66" s="381"/>
      <c r="L66" s="374">
        <v>6</v>
      </c>
      <c r="M66" s="682" t="s">
        <v>510</v>
      </c>
      <c r="N66" s="376" t="s">
        <v>490</v>
      </c>
      <c r="O66" s="377"/>
      <c r="P66" s="378">
        <v>0.05</v>
      </c>
      <c r="Q66" s="379">
        <f t="shared" si="7"/>
        <v>36900</v>
      </c>
      <c r="R66" s="909"/>
      <c r="S66" s="828" t="s">
        <v>491</v>
      </c>
      <c r="T66" s="829">
        <v>45626</v>
      </c>
      <c r="U66" s="839">
        <v>121683.15617380987</v>
      </c>
      <c r="V66" s="936"/>
      <c r="W66" s="862">
        <f>W108</f>
        <v>45890</v>
      </c>
      <c r="X66" s="962"/>
      <c r="Y66" s="204"/>
    </row>
    <row r="67" spans="1:42" hidden="1">
      <c r="A67" s="24"/>
      <c r="B67" s="355"/>
      <c r="C67" s="417"/>
      <c r="D67" s="383"/>
      <c r="E67" s="384"/>
      <c r="F67" s="385"/>
      <c r="G67" s="358"/>
      <c r="H67" s="341"/>
      <c r="I67" s="342"/>
      <c r="J67" s="342"/>
      <c r="K67" s="24"/>
      <c r="L67" s="355"/>
      <c r="M67" s="417"/>
      <c r="N67" s="383"/>
      <c r="O67" s="384"/>
      <c r="P67" s="385"/>
      <c r="Q67" s="358"/>
      <c r="R67" s="214"/>
      <c r="S67" s="500"/>
      <c r="T67" s="555" t="str">
        <f t="shared" si="0"/>
        <v/>
      </c>
      <c r="U67" s="500"/>
      <c r="V67" s="643"/>
      <c r="W67" s="460"/>
      <c r="X67" s="470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hidden="1" customHeight="1">
      <c r="B68" s="556">
        <v>7</v>
      </c>
      <c r="C68" s="386" t="s">
        <v>517</v>
      </c>
      <c r="D68" s="557"/>
      <c r="E68" s="558"/>
      <c r="F68" s="559"/>
      <c r="G68" s="560"/>
      <c r="H68" s="561"/>
      <c r="I68" s="926">
        <f>SUM(G68:G75)</f>
        <v>0</v>
      </c>
      <c r="J68" s="926">
        <v>0</v>
      </c>
      <c r="K68" s="348"/>
      <c r="L68" s="556">
        <v>7</v>
      </c>
      <c r="M68" s="386" t="s">
        <v>517</v>
      </c>
      <c r="N68" s="557"/>
      <c r="O68" s="558"/>
      <c r="P68" s="559"/>
      <c r="Q68" s="560"/>
      <c r="R68" s="563"/>
      <c r="S68" s="579"/>
      <c r="T68" s="546" t="str">
        <f t="shared" si="0"/>
        <v/>
      </c>
      <c r="U68" s="510"/>
      <c r="V68" s="916">
        <f>J68-SUM(U68:U75)</f>
        <v>0</v>
      </c>
      <c r="W68" s="562"/>
      <c r="X68" s="913">
        <f>SUM(Q68:Q75)</f>
        <v>0</v>
      </c>
      <c r="Y68" s="564"/>
    </row>
    <row r="69" spans="1:42" ht="14.25" hidden="1" customHeight="1" thickBot="1">
      <c r="B69" s="565">
        <v>7</v>
      </c>
      <c r="C69" s="566"/>
      <c r="D69" s="567"/>
      <c r="E69" s="568"/>
      <c r="F69" s="569"/>
      <c r="G69" s="570"/>
      <c r="H69" s="571"/>
      <c r="I69" s="927"/>
      <c r="J69" s="927"/>
      <c r="K69" s="352"/>
      <c r="L69" s="565">
        <v>7</v>
      </c>
      <c r="M69" s="566"/>
      <c r="N69" s="567"/>
      <c r="O69" s="568"/>
      <c r="P69" s="569"/>
      <c r="Q69" s="570"/>
      <c r="R69" s="601"/>
      <c r="S69" s="526"/>
      <c r="T69" s="507" t="str">
        <f t="shared" si="0"/>
        <v/>
      </c>
      <c r="U69" s="511"/>
      <c r="V69" s="921"/>
      <c r="W69" s="572"/>
      <c r="X69" s="914"/>
      <c r="Y69" s="602"/>
    </row>
    <row r="70" spans="1:42" ht="14.25" hidden="1" customHeight="1" thickBot="1">
      <c r="B70" s="565">
        <v>7</v>
      </c>
      <c r="C70" s="566"/>
      <c r="D70" s="567"/>
      <c r="E70" s="568"/>
      <c r="F70" s="569"/>
      <c r="G70" s="570"/>
      <c r="H70" s="571"/>
      <c r="I70" s="927"/>
      <c r="J70" s="927"/>
      <c r="K70" s="352"/>
      <c r="L70" s="565">
        <v>7</v>
      </c>
      <c r="M70" s="566"/>
      <c r="N70" s="567"/>
      <c r="O70" s="568"/>
      <c r="P70" s="569"/>
      <c r="Q70" s="570"/>
      <c r="R70" s="601"/>
      <c r="S70" s="526"/>
      <c r="T70" s="507" t="str">
        <f t="shared" si="0"/>
        <v/>
      </c>
      <c r="U70" s="511"/>
      <c r="V70" s="921"/>
      <c r="W70" s="572"/>
      <c r="X70" s="914"/>
      <c r="Y70" s="602"/>
    </row>
    <row r="71" spans="1:42" ht="14.25" hidden="1" customHeight="1" thickBot="1">
      <c r="B71" s="565">
        <v>7</v>
      </c>
      <c r="C71" s="566"/>
      <c r="D71" s="567"/>
      <c r="E71" s="568"/>
      <c r="F71" s="569"/>
      <c r="G71" s="570"/>
      <c r="H71" s="571"/>
      <c r="I71" s="927"/>
      <c r="J71" s="927"/>
      <c r="K71" s="352"/>
      <c r="L71" s="565">
        <v>7</v>
      </c>
      <c r="M71" s="566"/>
      <c r="N71" s="567"/>
      <c r="O71" s="568"/>
      <c r="P71" s="569"/>
      <c r="Q71" s="570"/>
      <c r="R71" s="487"/>
      <c r="S71" s="526"/>
      <c r="T71" s="507" t="str">
        <f t="shared" si="0"/>
        <v/>
      </c>
      <c r="U71" s="511"/>
      <c r="V71" s="917"/>
      <c r="W71" s="572"/>
      <c r="X71" s="914"/>
      <c r="Y71" s="488"/>
    </row>
    <row r="72" spans="1:42" ht="14.25" hidden="1" customHeight="1" thickBot="1">
      <c r="B72" s="565">
        <v>7</v>
      </c>
      <c r="C72" s="566"/>
      <c r="D72" s="567"/>
      <c r="E72" s="568"/>
      <c r="F72" s="569"/>
      <c r="G72" s="570"/>
      <c r="H72" s="571"/>
      <c r="I72" s="927"/>
      <c r="J72" s="927"/>
      <c r="K72" s="352"/>
      <c r="L72" s="565">
        <v>7</v>
      </c>
      <c r="M72" s="566"/>
      <c r="N72" s="567"/>
      <c r="O72" s="568"/>
      <c r="P72" s="569"/>
      <c r="Q72" s="570"/>
      <c r="R72" s="487"/>
      <c r="S72" s="526"/>
      <c r="T72" s="507" t="str">
        <f t="shared" si="0"/>
        <v/>
      </c>
      <c r="U72" s="511"/>
      <c r="V72" s="917"/>
      <c r="W72" s="572"/>
      <c r="X72" s="914"/>
      <c r="Y72" s="488"/>
    </row>
    <row r="73" spans="1:42" ht="14.25" hidden="1" customHeight="1" thickBot="1">
      <c r="B73" s="565">
        <v>7</v>
      </c>
      <c r="C73" s="566"/>
      <c r="D73" s="567"/>
      <c r="E73" s="568"/>
      <c r="F73" s="569"/>
      <c r="G73" s="570"/>
      <c r="H73" s="571"/>
      <c r="I73" s="927"/>
      <c r="J73" s="927"/>
      <c r="K73" s="352"/>
      <c r="L73" s="565">
        <v>7</v>
      </c>
      <c r="M73" s="566"/>
      <c r="N73" s="567"/>
      <c r="O73" s="568"/>
      <c r="P73" s="569"/>
      <c r="Q73" s="570"/>
      <c r="R73" s="487"/>
      <c r="S73" s="526"/>
      <c r="T73" s="507" t="str">
        <f t="shared" si="0"/>
        <v/>
      </c>
      <c r="U73" s="511"/>
      <c r="V73" s="917"/>
      <c r="W73" s="572"/>
      <c r="X73" s="914"/>
      <c r="Y73" s="488"/>
    </row>
    <row r="74" spans="1:42" ht="14.25" hidden="1" customHeight="1" thickBot="1">
      <c r="B74" s="565">
        <v>7</v>
      </c>
      <c r="C74" s="566"/>
      <c r="D74" s="567"/>
      <c r="E74" s="568"/>
      <c r="F74" s="569"/>
      <c r="G74" s="570"/>
      <c r="H74" s="571"/>
      <c r="I74" s="927"/>
      <c r="J74" s="927"/>
      <c r="K74" s="352"/>
      <c r="L74" s="565">
        <v>7</v>
      </c>
      <c r="M74" s="566"/>
      <c r="N74" s="567"/>
      <c r="O74" s="568"/>
      <c r="P74" s="569"/>
      <c r="Q74" s="570"/>
      <c r="R74" s="487"/>
      <c r="S74" s="526"/>
      <c r="T74" s="507" t="str">
        <f t="shared" si="0"/>
        <v/>
      </c>
      <c r="U74" s="511"/>
      <c r="V74" s="917"/>
      <c r="W74" s="572"/>
      <c r="X74" s="914"/>
      <c r="Y74" s="488"/>
    </row>
    <row r="75" spans="1:42" ht="15" hidden="1" customHeight="1" thickBot="1">
      <c r="B75" s="395">
        <v>7</v>
      </c>
      <c r="C75" s="427"/>
      <c r="D75" s="414"/>
      <c r="E75" s="398"/>
      <c r="F75" s="415"/>
      <c r="G75" s="416"/>
      <c r="H75" s="353"/>
      <c r="I75" s="928"/>
      <c r="J75" s="928"/>
      <c r="K75" s="354"/>
      <c r="L75" s="395">
        <v>7</v>
      </c>
      <c r="M75" s="427"/>
      <c r="N75" s="414"/>
      <c r="O75" s="398"/>
      <c r="P75" s="415"/>
      <c r="Q75" s="416"/>
      <c r="R75" s="216"/>
      <c r="S75" s="545"/>
      <c r="T75" s="503" t="str">
        <f t="shared" si="0"/>
        <v/>
      </c>
      <c r="U75" s="512"/>
      <c r="V75" s="918"/>
      <c r="W75" s="463"/>
      <c r="X75" s="915"/>
      <c r="Y75" s="202"/>
    </row>
    <row r="76" spans="1:42" ht="14.45" thickBot="1">
      <c r="A76" s="24"/>
      <c r="B76" s="355"/>
      <c r="C76" s="417"/>
      <c r="D76" s="383"/>
      <c r="E76" s="384"/>
      <c r="F76" s="385"/>
      <c r="G76" s="358"/>
      <c r="H76" s="341"/>
      <c r="I76" s="342"/>
      <c r="J76" s="342"/>
      <c r="K76" s="24"/>
      <c r="L76" s="355"/>
      <c r="M76" s="417"/>
      <c r="N76" s="383"/>
      <c r="O76" s="384"/>
      <c r="P76" s="385"/>
      <c r="Q76" s="358"/>
      <c r="R76" s="214"/>
      <c r="S76" s="500"/>
      <c r="T76" s="555" t="str">
        <f t="shared" si="0"/>
        <v/>
      </c>
      <c r="U76" s="500"/>
      <c r="V76" s="643"/>
      <c r="W76" s="460"/>
      <c r="X76" s="470"/>
      <c r="Y76" s="199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4.25" customHeight="1">
      <c r="B77" s="418">
        <v>8</v>
      </c>
      <c r="C77" s="360" t="s">
        <v>518</v>
      </c>
      <c r="D77" s="419" t="s">
        <v>519</v>
      </c>
      <c r="E77" s="662">
        <v>1</v>
      </c>
      <c r="F77" s="663">
        <v>255000</v>
      </c>
      <c r="G77" s="420">
        <f>E77*F77</f>
        <v>255000</v>
      </c>
      <c r="H77" s="421">
        <f>H66</f>
        <v>45719</v>
      </c>
      <c r="I77" s="966">
        <f>SUM(G77:G99)</f>
        <v>255000</v>
      </c>
      <c r="J77" s="966">
        <f>282210.132432919+84366</f>
        <v>366576.132432919</v>
      </c>
      <c r="K77" s="365"/>
      <c r="L77" s="418">
        <v>8</v>
      </c>
      <c r="M77" s="675" t="s">
        <v>520</v>
      </c>
      <c r="N77" s="419"/>
      <c r="O77" s="662"/>
      <c r="P77" s="663"/>
      <c r="Q77" s="420"/>
      <c r="R77" s="221"/>
      <c r="S77" s="636"/>
      <c r="T77" s="640"/>
      <c r="U77" s="513">
        <f>(Q77/$X$77*$J$77)</f>
        <v>0</v>
      </c>
      <c r="V77" s="937">
        <f>J77-SUM(U77:U99)</f>
        <v>-2.7259443304501474E-3</v>
      </c>
      <c r="W77" s="653"/>
      <c r="X77" s="960">
        <f>SUM(Q77:Q99)</f>
        <v>1488603.6600000001</v>
      </c>
      <c r="Y77" s="207"/>
    </row>
    <row r="78" spans="1:42" ht="14.25" customHeight="1">
      <c r="B78" s="404">
        <v>8</v>
      </c>
      <c r="C78" s="405"/>
      <c r="D78" s="422"/>
      <c r="E78" s="423"/>
      <c r="F78" s="424"/>
      <c r="G78" s="406"/>
      <c r="H78" s="407"/>
      <c r="I78" s="967"/>
      <c r="J78" s="967"/>
      <c r="K78" s="373"/>
      <c r="L78" s="404">
        <v>8</v>
      </c>
      <c r="M78" s="685" t="s">
        <v>520</v>
      </c>
      <c r="N78" s="422" t="s">
        <v>521</v>
      </c>
      <c r="O78" s="423"/>
      <c r="P78" s="424"/>
      <c r="Q78" s="406">
        <v>61627.5</v>
      </c>
      <c r="R78" s="220" t="s">
        <v>522</v>
      </c>
      <c r="S78" s="632" t="s">
        <v>523</v>
      </c>
      <c r="T78" s="737">
        <v>45626</v>
      </c>
      <c r="U78" s="748">
        <v>13306.013423302209</v>
      </c>
      <c r="V78" s="938"/>
      <c r="W78" s="742">
        <v>45624</v>
      </c>
      <c r="X78" s="961"/>
      <c r="Y78" s="206"/>
    </row>
    <row r="79" spans="1:42" ht="14.25" customHeight="1">
      <c r="B79" s="404">
        <v>8</v>
      </c>
      <c r="C79" s="405"/>
      <c r="D79" s="422"/>
      <c r="E79" s="423"/>
      <c r="F79" s="424"/>
      <c r="G79" s="406"/>
      <c r="H79" s="407"/>
      <c r="I79" s="967"/>
      <c r="J79" s="967"/>
      <c r="K79" s="373"/>
      <c r="L79" s="404">
        <v>8</v>
      </c>
      <c r="M79" s="685" t="s">
        <v>520</v>
      </c>
      <c r="N79" s="422" t="s">
        <v>524</v>
      </c>
      <c r="O79" s="423">
        <v>0.5</v>
      </c>
      <c r="P79" s="735">
        <v>260060.56</v>
      </c>
      <c r="Q79" s="406">
        <f>O79*P79</f>
        <v>130030.28</v>
      </c>
      <c r="R79" s="220" t="s">
        <v>525</v>
      </c>
      <c r="S79" s="632" t="s">
        <v>526</v>
      </c>
      <c r="T79" s="737">
        <f t="shared" si="0"/>
        <v>45504</v>
      </c>
      <c r="U79" s="748">
        <v>53875.090099128327</v>
      </c>
      <c r="V79" s="938"/>
      <c r="W79" s="742">
        <v>45504</v>
      </c>
      <c r="X79" s="961"/>
      <c r="Y79" s="206"/>
    </row>
    <row r="80" spans="1:42" ht="14.25" customHeight="1">
      <c r="B80" s="404"/>
      <c r="C80" s="405"/>
      <c r="D80" s="422"/>
      <c r="E80" s="423"/>
      <c r="F80" s="424"/>
      <c r="G80" s="406"/>
      <c r="H80" s="407"/>
      <c r="I80" s="967"/>
      <c r="J80" s="967"/>
      <c r="K80" s="373"/>
      <c r="L80" s="404">
        <v>8</v>
      </c>
      <c r="M80" s="685" t="s">
        <v>520</v>
      </c>
      <c r="N80" s="422" t="s">
        <v>527</v>
      </c>
      <c r="O80" s="423">
        <v>0.5</v>
      </c>
      <c r="P80" s="424"/>
      <c r="Q80" s="406">
        <f>O80*P79</f>
        <v>130030.28</v>
      </c>
      <c r="R80" s="220"/>
      <c r="S80" s="632" t="s">
        <v>528</v>
      </c>
      <c r="T80" s="737">
        <v>45504</v>
      </c>
      <c r="U80" s="748">
        <v>53875.090099128327</v>
      </c>
      <c r="V80" s="938"/>
      <c r="W80" s="742">
        <v>45624</v>
      </c>
      <c r="X80" s="961"/>
      <c r="Y80" s="206"/>
    </row>
    <row r="81" spans="2:25" ht="14.25" customHeight="1">
      <c r="B81" s="404"/>
      <c r="C81" s="405"/>
      <c r="D81" s="422"/>
      <c r="E81" s="423"/>
      <c r="F81" s="424"/>
      <c r="G81" s="406"/>
      <c r="H81" s="407"/>
      <c r="I81" s="967"/>
      <c r="J81" s="967"/>
      <c r="K81" s="373"/>
      <c r="L81" s="404">
        <v>8</v>
      </c>
      <c r="M81" s="685" t="s">
        <v>520</v>
      </c>
      <c r="N81" s="422" t="s">
        <v>529</v>
      </c>
      <c r="O81" s="423">
        <v>0.5</v>
      </c>
      <c r="P81" s="735">
        <v>291115</v>
      </c>
      <c r="Q81" s="406">
        <f>O81*P81</f>
        <v>145557.5</v>
      </c>
      <c r="R81" s="220" t="s">
        <v>530</v>
      </c>
      <c r="S81" s="632" t="s">
        <v>531</v>
      </c>
      <c r="T81" s="737">
        <v>45657</v>
      </c>
      <c r="U81" s="748">
        <v>31427.366822641052</v>
      </c>
      <c r="V81" s="938"/>
      <c r="W81" s="742">
        <v>45638</v>
      </c>
      <c r="X81" s="961"/>
      <c r="Y81" s="206"/>
    </row>
    <row r="82" spans="2:25" ht="14.25" customHeight="1">
      <c r="B82" s="404"/>
      <c r="C82" s="405"/>
      <c r="D82" s="422"/>
      <c r="E82" s="423"/>
      <c r="F82" s="424"/>
      <c r="G82" s="406"/>
      <c r="H82" s="407"/>
      <c r="I82" s="967"/>
      <c r="J82" s="967"/>
      <c r="K82" s="373"/>
      <c r="L82" s="404">
        <v>8</v>
      </c>
      <c r="M82" s="685" t="s">
        <v>520</v>
      </c>
      <c r="N82" s="422" t="s">
        <v>529</v>
      </c>
      <c r="O82" s="423">
        <v>0.5</v>
      </c>
      <c r="P82" s="735"/>
      <c r="Q82" s="406">
        <f>O82*P81</f>
        <v>145557.5</v>
      </c>
      <c r="R82" s="834"/>
      <c r="S82" s="632" t="s">
        <v>532</v>
      </c>
      <c r="T82" s="737">
        <v>45747</v>
      </c>
      <c r="U82" s="748">
        <v>0</v>
      </c>
      <c r="V82" s="938"/>
      <c r="W82" s="742">
        <v>45750</v>
      </c>
      <c r="X82" s="961"/>
      <c r="Y82" s="206"/>
    </row>
    <row r="83" spans="2:25" ht="14.25" customHeight="1">
      <c r="B83" s="404"/>
      <c r="C83" s="405"/>
      <c r="D83" s="422"/>
      <c r="E83" s="423"/>
      <c r="F83" s="424"/>
      <c r="G83" s="406"/>
      <c r="H83" s="407"/>
      <c r="I83" s="967"/>
      <c r="J83" s="967"/>
      <c r="K83" s="373"/>
      <c r="L83" s="404">
        <v>8</v>
      </c>
      <c r="M83" s="685" t="s">
        <v>520</v>
      </c>
      <c r="N83" s="422" t="s">
        <v>533</v>
      </c>
      <c r="O83" s="423">
        <v>0.5</v>
      </c>
      <c r="P83" s="738">
        <v>38068</v>
      </c>
      <c r="Q83" s="406">
        <f>O83*P83</f>
        <v>19034</v>
      </c>
      <c r="R83" s="907" t="s">
        <v>534</v>
      </c>
      <c r="S83" s="632" t="s">
        <v>535</v>
      </c>
      <c r="T83" s="737">
        <v>45504</v>
      </c>
      <c r="U83" s="748">
        <v>7886.3051355946363</v>
      </c>
      <c r="V83" s="938"/>
      <c r="W83" s="742">
        <v>45715</v>
      </c>
      <c r="X83" s="961"/>
      <c r="Y83" s="206"/>
    </row>
    <row r="84" spans="2:25" ht="14.25" customHeight="1">
      <c r="B84" s="404"/>
      <c r="C84" s="405"/>
      <c r="D84" s="422"/>
      <c r="E84" s="423"/>
      <c r="F84" s="424"/>
      <c r="G84" s="406"/>
      <c r="H84" s="407"/>
      <c r="I84" s="967"/>
      <c r="J84" s="967"/>
      <c r="K84" s="373"/>
      <c r="L84" s="404">
        <v>8</v>
      </c>
      <c r="M84" s="685" t="s">
        <v>520</v>
      </c>
      <c r="N84" s="422" t="s">
        <v>536</v>
      </c>
      <c r="O84" s="423">
        <v>0.5</v>
      </c>
      <c r="P84" s="424"/>
      <c r="Q84" s="406">
        <f>P83*O84</f>
        <v>19034</v>
      </c>
      <c r="R84" s="922"/>
      <c r="S84" s="632" t="s">
        <v>535</v>
      </c>
      <c r="T84" s="737">
        <v>45504</v>
      </c>
      <c r="U84" s="748">
        <v>7886.3051355946363</v>
      </c>
      <c r="V84" s="938"/>
      <c r="W84" s="742">
        <f>W83</f>
        <v>45715</v>
      </c>
      <c r="X84" s="961"/>
      <c r="Y84" s="206"/>
    </row>
    <row r="85" spans="2:25" ht="14.25" customHeight="1">
      <c r="B85" s="404"/>
      <c r="C85" s="405"/>
      <c r="D85" s="422"/>
      <c r="E85" s="423"/>
      <c r="F85" s="424"/>
      <c r="G85" s="406"/>
      <c r="H85" s="407"/>
      <c r="I85" s="967"/>
      <c r="J85" s="967"/>
      <c r="K85" s="373"/>
      <c r="L85" s="404">
        <v>8</v>
      </c>
      <c r="M85" s="685" t="s">
        <v>520</v>
      </c>
      <c r="N85" s="422" t="s">
        <v>338</v>
      </c>
      <c r="O85" s="423"/>
      <c r="P85" s="424"/>
      <c r="Q85" s="406"/>
      <c r="R85" s="837"/>
      <c r="S85" s="632"/>
      <c r="T85" s="737">
        <v>45838</v>
      </c>
      <c r="U85" s="748">
        <v>84366</v>
      </c>
      <c r="V85" s="938"/>
      <c r="W85" s="742"/>
      <c r="X85" s="961"/>
      <c r="Y85" s="206"/>
    </row>
    <row r="86" spans="2:25" ht="14.25" customHeight="1">
      <c r="B86" s="404"/>
      <c r="C86" s="405"/>
      <c r="D86" s="422"/>
      <c r="E86" s="423"/>
      <c r="F86" s="424"/>
      <c r="G86" s="406"/>
      <c r="H86" s="407"/>
      <c r="I86" s="967"/>
      <c r="J86" s="967"/>
      <c r="K86" s="373"/>
      <c r="L86" s="404">
        <v>8</v>
      </c>
      <c r="M86" s="685" t="s">
        <v>520</v>
      </c>
      <c r="N86" s="422" t="s">
        <v>537</v>
      </c>
      <c r="O86" s="423"/>
      <c r="P86" s="424"/>
      <c r="Q86" s="406">
        <v>38800</v>
      </c>
      <c r="R86" s="837"/>
      <c r="S86" s="632" t="s">
        <v>538</v>
      </c>
      <c r="T86" s="737">
        <v>45626</v>
      </c>
      <c r="U86" s="748">
        <v>0</v>
      </c>
      <c r="V86" s="938"/>
      <c r="W86" s="838">
        <v>45610</v>
      </c>
      <c r="X86" s="961"/>
      <c r="Y86" s="206"/>
    </row>
    <row r="87" spans="2:25" ht="14.25" customHeight="1">
      <c r="B87" s="404"/>
      <c r="C87" s="405"/>
      <c r="D87" s="422"/>
      <c r="E87" s="423"/>
      <c r="F87" s="424"/>
      <c r="G87" s="406"/>
      <c r="H87" s="407"/>
      <c r="I87" s="967"/>
      <c r="J87" s="967"/>
      <c r="K87" s="373"/>
      <c r="L87" s="404">
        <v>8</v>
      </c>
      <c r="M87" s="685" t="s">
        <v>520</v>
      </c>
      <c r="N87" s="422" t="s">
        <v>539</v>
      </c>
      <c r="O87" s="423"/>
      <c r="P87" s="424"/>
      <c r="Q87" s="406">
        <v>27281</v>
      </c>
      <c r="R87" s="220" t="s">
        <v>540</v>
      </c>
      <c r="S87" s="632" t="s">
        <v>541</v>
      </c>
      <c r="T87" s="737">
        <v>45626</v>
      </c>
      <c r="U87" s="748">
        <v>4508.7895184959252</v>
      </c>
      <c r="V87" s="938"/>
      <c r="W87" s="742">
        <v>45631</v>
      </c>
      <c r="X87" s="961"/>
      <c r="Y87" s="206"/>
    </row>
    <row r="88" spans="2:25" ht="14.25" customHeight="1">
      <c r="B88" s="404"/>
      <c r="C88" s="405"/>
      <c r="D88" s="422"/>
      <c r="E88" s="423"/>
      <c r="F88" s="424"/>
      <c r="G88" s="406"/>
      <c r="H88" s="407"/>
      <c r="I88" s="967"/>
      <c r="J88" s="967"/>
      <c r="K88" s="373"/>
      <c r="L88" s="404">
        <v>8</v>
      </c>
      <c r="M88" s="685" t="s">
        <v>520</v>
      </c>
      <c r="N88" s="422" t="s">
        <v>542</v>
      </c>
      <c r="O88" s="423"/>
      <c r="P88" s="424"/>
      <c r="Q88" s="406">
        <v>266859.84000000003</v>
      </c>
      <c r="R88" s="220" t="s">
        <v>543</v>
      </c>
      <c r="S88" s="632" t="s">
        <v>544</v>
      </c>
      <c r="T88" s="737">
        <v>45596</v>
      </c>
      <c r="U88" s="748">
        <v>38723.420498318148</v>
      </c>
      <c r="V88" s="938"/>
      <c r="W88" s="742">
        <v>45610</v>
      </c>
      <c r="X88" s="961"/>
      <c r="Y88" s="206"/>
    </row>
    <row r="89" spans="2:25" ht="14.25" customHeight="1">
      <c r="B89" s="404">
        <v>8</v>
      </c>
      <c r="C89" s="405"/>
      <c r="D89" s="422"/>
      <c r="E89" s="423"/>
      <c r="F89" s="424"/>
      <c r="G89" s="406"/>
      <c r="H89" s="407"/>
      <c r="I89" s="967"/>
      <c r="J89" s="967"/>
      <c r="K89" s="373"/>
      <c r="L89" s="404">
        <v>8</v>
      </c>
      <c r="M89" s="685" t="s">
        <v>520</v>
      </c>
      <c r="N89" s="422" t="s">
        <v>545</v>
      </c>
      <c r="O89" s="423"/>
      <c r="P89" s="738"/>
      <c r="Q89" s="406">
        <v>68259.149999999994</v>
      </c>
      <c r="R89" s="220" t="s">
        <v>546</v>
      </c>
      <c r="S89" s="632" t="s">
        <v>547</v>
      </c>
      <c r="T89" s="737">
        <v>45626</v>
      </c>
      <c r="U89" s="748">
        <v>15664.615116030976</v>
      </c>
      <c r="V89" s="938"/>
      <c r="W89" s="742">
        <v>45610</v>
      </c>
      <c r="X89" s="961"/>
      <c r="Y89" s="206"/>
    </row>
    <row r="90" spans="2:25" ht="14.25" customHeight="1">
      <c r="B90" s="404"/>
      <c r="C90" s="405"/>
      <c r="D90" s="422"/>
      <c r="E90" s="423"/>
      <c r="F90" s="424"/>
      <c r="G90" s="406"/>
      <c r="H90" s="407"/>
      <c r="I90" s="967"/>
      <c r="J90" s="967"/>
      <c r="K90" s="373"/>
      <c r="L90" s="404">
        <v>8</v>
      </c>
      <c r="M90" s="685" t="s">
        <v>520</v>
      </c>
      <c r="N90" s="422"/>
      <c r="O90" s="423"/>
      <c r="P90" s="738"/>
      <c r="Q90" s="406"/>
      <c r="R90" s="220"/>
      <c r="S90" s="632"/>
      <c r="T90" s="737"/>
      <c r="U90" s="856"/>
      <c r="V90" s="938"/>
      <c r="W90" s="742"/>
      <c r="X90" s="961"/>
      <c r="Y90" s="206"/>
    </row>
    <row r="91" spans="2:25" ht="14.25" customHeight="1">
      <c r="B91" s="404"/>
      <c r="C91" s="405"/>
      <c r="D91" s="422"/>
      <c r="E91" s="423"/>
      <c r="F91" s="424"/>
      <c r="G91" s="406"/>
      <c r="H91" s="407"/>
      <c r="I91" s="967"/>
      <c r="J91" s="967"/>
      <c r="K91" s="373"/>
      <c r="L91" s="404">
        <v>8</v>
      </c>
      <c r="M91" s="685" t="s">
        <v>520</v>
      </c>
      <c r="N91" s="422" t="s">
        <v>548</v>
      </c>
      <c r="O91" s="857">
        <v>434782.61</v>
      </c>
      <c r="P91" s="858">
        <v>0.3</v>
      </c>
      <c r="Q91" s="406">
        <f>$O$91*P91</f>
        <v>130434.783</v>
      </c>
      <c r="R91" s="923" t="s">
        <v>549</v>
      </c>
      <c r="S91" s="632" t="s">
        <v>550</v>
      </c>
      <c r="T91" s="737">
        <v>45808</v>
      </c>
      <c r="U91" s="856">
        <v>13742.769310629139</v>
      </c>
      <c r="V91" s="938"/>
      <c r="W91" s="742">
        <v>45806</v>
      </c>
      <c r="X91" s="961"/>
      <c r="Y91" s="206"/>
    </row>
    <row r="92" spans="2:25" ht="14.25" customHeight="1">
      <c r="B92" s="404"/>
      <c r="C92" s="405"/>
      <c r="D92" s="422"/>
      <c r="E92" s="423"/>
      <c r="F92" s="424"/>
      <c r="G92" s="406"/>
      <c r="H92" s="407"/>
      <c r="I92" s="967"/>
      <c r="J92" s="967"/>
      <c r="K92" s="373"/>
      <c r="L92" s="404">
        <v>8</v>
      </c>
      <c r="M92" s="685" t="s">
        <v>520</v>
      </c>
      <c r="N92" s="422" t="s">
        <v>551</v>
      </c>
      <c r="O92" s="423"/>
      <c r="P92" s="858">
        <v>0.6</v>
      </c>
      <c r="Q92" s="406">
        <f t="shared" ref="Q92:Q93" si="11">$O$91*P92</f>
        <v>260869.56599999999</v>
      </c>
      <c r="R92" s="924"/>
      <c r="S92" s="632" t="s">
        <v>552</v>
      </c>
      <c r="T92" s="737">
        <v>45838</v>
      </c>
      <c r="U92" s="856">
        <v>41314.370000000003</v>
      </c>
      <c r="V92" s="938"/>
      <c r="W92" s="742">
        <v>45841</v>
      </c>
      <c r="X92" s="961"/>
      <c r="Y92" s="206"/>
    </row>
    <row r="93" spans="2:25" ht="14.25" customHeight="1">
      <c r="B93" s="404"/>
      <c r="C93" s="405"/>
      <c r="D93" s="422"/>
      <c r="E93" s="423"/>
      <c r="F93" s="424"/>
      <c r="G93" s="406"/>
      <c r="H93" s="407"/>
      <c r="I93" s="967"/>
      <c r="J93" s="967"/>
      <c r="K93" s="373"/>
      <c r="L93" s="404">
        <v>8</v>
      </c>
      <c r="M93" s="685" t="s">
        <v>520</v>
      </c>
      <c r="N93" s="422" t="s">
        <v>553</v>
      </c>
      <c r="O93" s="423"/>
      <c r="P93" s="858">
        <v>0.1</v>
      </c>
      <c r="Q93" s="406">
        <f t="shared" si="11"/>
        <v>43478.260999999999</v>
      </c>
      <c r="R93" s="925"/>
      <c r="S93" s="632" t="s">
        <v>554</v>
      </c>
      <c r="T93" s="737">
        <v>45838</v>
      </c>
      <c r="U93" s="856">
        <v>0</v>
      </c>
      <c r="V93" s="938"/>
      <c r="W93" s="742">
        <v>46052</v>
      </c>
      <c r="X93" s="961"/>
      <c r="Y93" s="206"/>
    </row>
    <row r="94" spans="2:25" ht="14.25" customHeight="1">
      <c r="B94" s="404"/>
      <c r="C94" s="405"/>
      <c r="D94" s="422"/>
      <c r="E94" s="423"/>
      <c r="F94" s="424"/>
      <c r="G94" s="406"/>
      <c r="H94" s="407"/>
      <c r="I94" s="967"/>
      <c r="J94" s="967"/>
      <c r="K94" s="373"/>
      <c r="L94" s="404">
        <v>8</v>
      </c>
      <c r="M94" s="685" t="s">
        <v>520</v>
      </c>
      <c r="N94" s="422"/>
      <c r="O94" s="423"/>
      <c r="P94" s="738"/>
      <c r="Q94" s="406"/>
      <c r="R94" s="220"/>
      <c r="S94" s="632"/>
      <c r="T94" s="737"/>
      <c r="U94" s="856"/>
      <c r="V94" s="938"/>
      <c r="W94" s="742"/>
      <c r="X94" s="961"/>
      <c r="Y94" s="206"/>
    </row>
    <row r="95" spans="2:25" ht="14.25" customHeight="1">
      <c r="B95" s="404"/>
      <c r="C95" s="405"/>
      <c r="D95" s="422"/>
      <c r="E95" s="423"/>
      <c r="F95" s="424"/>
      <c r="G95" s="406"/>
      <c r="H95" s="407"/>
      <c r="I95" s="967"/>
      <c r="J95" s="967"/>
      <c r="K95" s="373"/>
      <c r="L95" s="404">
        <v>8</v>
      </c>
      <c r="M95" s="685" t="s">
        <v>520</v>
      </c>
      <c r="N95" s="422" t="s">
        <v>555</v>
      </c>
      <c r="O95" s="423"/>
      <c r="P95" s="738"/>
      <c r="Q95" s="406">
        <v>1750</v>
      </c>
      <c r="R95" s="220" t="s">
        <v>556</v>
      </c>
      <c r="S95" s="632" t="s">
        <v>557</v>
      </c>
      <c r="T95" s="737">
        <v>45900</v>
      </c>
      <c r="U95" s="856"/>
      <c r="V95" s="938"/>
      <c r="W95" s="859">
        <v>46058</v>
      </c>
      <c r="X95" s="961"/>
      <c r="Y95" s="206"/>
    </row>
    <row r="96" spans="2:25" ht="14.25" customHeight="1">
      <c r="B96" s="404"/>
      <c r="C96" s="405"/>
      <c r="D96" s="422"/>
      <c r="E96" s="423"/>
      <c r="F96" s="424"/>
      <c r="G96" s="406"/>
      <c r="H96" s="407"/>
      <c r="I96" s="967"/>
      <c r="J96" s="967"/>
      <c r="K96" s="373"/>
      <c r="L96" s="404">
        <v>8</v>
      </c>
      <c r="M96" s="685" t="s">
        <v>520</v>
      </c>
      <c r="N96" s="422"/>
      <c r="O96" s="423"/>
      <c r="P96" s="738"/>
      <c r="Q96" s="406"/>
      <c r="R96" s="220"/>
      <c r="S96" s="632"/>
      <c r="T96" s="737"/>
      <c r="U96" s="856"/>
      <c r="V96" s="938"/>
      <c r="W96" s="742"/>
      <c r="X96" s="961"/>
      <c r="Y96" s="206"/>
    </row>
    <row r="97" spans="1:42" ht="14.25" customHeight="1">
      <c r="B97" s="404"/>
      <c r="C97" s="405"/>
      <c r="D97" s="422"/>
      <c r="E97" s="423"/>
      <c r="F97" s="424"/>
      <c r="G97" s="406"/>
      <c r="H97" s="407"/>
      <c r="I97" s="967"/>
      <c r="J97" s="967"/>
      <c r="K97" s="373"/>
      <c r="L97" s="404">
        <v>8</v>
      </c>
      <c r="M97" s="685" t="s">
        <v>520</v>
      </c>
      <c r="N97" s="422"/>
      <c r="O97" s="423"/>
      <c r="P97" s="738"/>
      <c r="Q97" s="406"/>
      <c r="R97" s="220"/>
      <c r="S97" s="632"/>
      <c r="T97" s="737"/>
      <c r="U97" s="856"/>
      <c r="V97" s="938"/>
      <c r="W97" s="742"/>
      <c r="X97" s="961"/>
      <c r="Y97" s="206"/>
    </row>
    <row r="98" spans="1:42" ht="14.25" customHeight="1">
      <c r="B98" s="404"/>
      <c r="C98" s="405"/>
      <c r="D98" s="422"/>
      <c r="E98" s="423"/>
      <c r="F98" s="424"/>
      <c r="G98" s="406"/>
      <c r="H98" s="407"/>
      <c r="I98" s="967"/>
      <c r="J98" s="967"/>
      <c r="K98" s="373"/>
      <c r="L98" s="404">
        <v>8</v>
      </c>
      <c r="M98" s="685" t="s">
        <v>520</v>
      </c>
      <c r="N98" s="422"/>
      <c r="O98" s="423"/>
      <c r="P98" s="738"/>
      <c r="Q98" s="406"/>
      <c r="R98" s="220"/>
      <c r="S98" s="632"/>
      <c r="T98" s="737"/>
      <c r="U98" s="856"/>
      <c r="V98" s="938"/>
      <c r="W98" s="742"/>
      <c r="X98" s="961"/>
      <c r="Y98" s="206"/>
    </row>
    <row r="99" spans="1:42" ht="15" customHeight="1" thickBot="1">
      <c r="B99" s="374">
        <v>8</v>
      </c>
      <c r="C99" s="375"/>
      <c r="D99" s="376"/>
      <c r="E99" s="377"/>
      <c r="F99" s="378"/>
      <c r="G99" s="379"/>
      <c r="H99" s="380"/>
      <c r="I99" s="968"/>
      <c r="J99" s="968"/>
      <c r="K99" s="381"/>
      <c r="L99" s="374">
        <v>8</v>
      </c>
      <c r="M99" s="682" t="s">
        <v>520</v>
      </c>
      <c r="N99" s="376"/>
      <c r="O99" s="377"/>
      <c r="P99" s="378"/>
      <c r="Q99" s="379"/>
      <c r="R99" s="218"/>
      <c r="S99" s="542"/>
      <c r="T99" s="506" t="str">
        <f t="shared" si="0"/>
        <v/>
      </c>
      <c r="U99" s="515">
        <f>(Q99/$X$77*$J$77)</f>
        <v>0</v>
      </c>
      <c r="V99" s="939"/>
      <c r="W99" s="464"/>
      <c r="X99" s="962"/>
      <c r="Y99" s="204"/>
    </row>
    <row r="100" spans="1:42" ht="22.5" customHeight="1" thickBot="1">
      <c r="A100" s="24"/>
      <c r="B100" s="425"/>
      <c r="C100" s="166"/>
      <c r="D100" s="166"/>
      <c r="E100" s="166"/>
      <c r="F100" s="166"/>
      <c r="G100" s="166"/>
      <c r="H100" s="166"/>
      <c r="I100" s="696"/>
      <c r="J100" s="697"/>
      <c r="K100" s="166" t="s">
        <v>558</v>
      </c>
      <c r="L100" s="425"/>
      <c r="M100" s="166"/>
      <c r="N100" s="166"/>
      <c r="O100" s="166"/>
      <c r="P100" s="166"/>
      <c r="Q100" s="166"/>
      <c r="R100" s="222"/>
      <c r="S100" s="543"/>
      <c r="T100" s="193" t="str">
        <f t="shared" si="0"/>
        <v/>
      </c>
      <c r="U100" s="508"/>
      <c r="V100" s="701"/>
      <c r="W100" s="473"/>
      <c r="X100" s="702"/>
      <c r="Y100" s="16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5" customHeight="1">
      <c r="B101" s="389">
        <v>9</v>
      </c>
      <c r="C101" s="703" t="s">
        <v>559</v>
      </c>
      <c r="D101" s="410" t="s">
        <v>472</v>
      </c>
      <c r="E101" s="394"/>
      <c r="F101" s="411">
        <v>0.1</v>
      </c>
      <c r="G101" s="393">
        <f>SUM($C$102:$C$103)*F101</f>
        <v>128180</v>
      </c>
      <c r="H101" s="351">
        <f>'Project Plan'!E114-7</f>
        <v>45496</v>
      </c>
      <c r="I101" s="969">
        <f>SUM(G101:G108)</f>
        <v>1281800</v>
      </c>
      <c r="J101" s="926">
        <v>1508000</v>
      </c>
      <c r="K101" s="352"/>
      <c r="L101" s="389">
        <v>9</v>
      </c>
      <c r="M101" s="673" t="s">
        <v>560</v>
      </c>
      <c r="N101" s="410" t="s">
        <v>472</v>
      </c>
      <c r="O101" s="708">
        <f>AC45</f>
        <v>1500000</v>
      </c>
      <c r="P101" s="411">
        <v>0.1</v>
      </c>
      <c r="Q101" s="346">
        <f>$O$101*P101</f>
        <v>150000</v>
      </c>
      <c r="R101" s="910" t="s">
        <v>473</v>
      </c>
      <c r="S101" s="539" t="s">
        <v>474</v>
      </c>
      <c r="T101" s="732">
        <f t="shared" si="0"/>
        <v>45504</v>
      </c>
      <c r="U101" s="749">
        <v>150800</v>
      </c>
      <c r="V101" s="940">
        <v>0</v>
      </c>
      <c r="W101" s="739">
        <f>'Project Plan'!I114-5</f>
        <v>45498</v>
      </c>
      <c r="X101" s="973">
        <f>SUM(Q101:Q108)</f>
        <v>1500000</v>
      </c>
      <c r="Y101" s="201"/>
    </row>
    <row r="102" spans="1:42" ht="15" customHeight="1">
      <c r="B102" s="389">
        <v>9</v>
      </c>
      <c r="C102" s="703">
        <v>904400</v>
      </c>
      <c r="D102" s="412" t="s">
        <v>263</v>
      </c>
      <c r="E102" s="394"/>
      <c r="F102" s="413">
        <v>0.15</v>
      </c>
      <c r="G102" s="393">
        <f t="shared" ref="G102:G108" si="12">SUM($C$102:$C$103)*F102</f>
        <v>192270</v>
      </c>
      <c r="H102" s="351">
        <f>'Project Plan'!I114</f>
        <v>45503</v>
      </c>
      <c r="I102" s="970"/>
      <c r="J102" s="927"/>
      <c r="K102" s="352"/>
      <c r="L102" s="389">
        <v>9</v>
      </c>
      <c r="M102" s="673" t="s">
        <v>560</v>
      </c>
      <c r="N102" s="412" t="s">
        <v>263</v>
      </c>
      <c r="O102" s="394"/>
      <c r="P102" s="413">
        <v>0.15</v>
      </c>
      <c r="Q102" s="393">
        <f t="shared" ref="Q102:Q108" si="13">$O$101*P102</f>
        <v>225000</v>
      </c>
      <c r="R102" s="911"/>
      <c r="S102" s="525" t="s">
        <v>561</v>
      </c>
      <c r="T102" s="725">
        <v>45504</v>
      </c>
      <c r="U102" s="750">
        <v>226200</v>
      </c>
      <c r="V102" s="941"/>
      <c r="W102" s="745">
        <v>45512</v>
      </c>
      <c r="X102" s="974"/>
      <c r="Y102" s="201"/>
    </row>
    <row r="103" spans="1:42" ht="15" customHeight="1">
      <c r="B103" s="389">
        <v>9</v>
      </c>
      <c r="C103" s="703">
        <v>377400</v>
      </c>
      <c r="D103" s="412" t="s">
        <v>476</v>
      </c>
      <c r="E103" s="394"/>
      <c r="F103" s="413">
        <v>0.2</v>
      </c>
      <c r="G103" s="393">
        <f t="shared" si="12"/>
        <v>256360</v>
      </c>
      <c r="H103" s="351">
        <f>'Project Plan'!G116</f>
        <v>45589</v>
      </c>
      <c r="I103" s="970"/>
      <c r="J103" s="927"/>
      <c r="K103" s="352"/>
      <c r="L103" s="389">
        <v>9</v>
      </c>
      <c r="M103" s="673" t="s">
        <v>560</v>
      </c>
      <c r="N103" s="412" t="s">
        <v>476</v>
      </c>
      <c r="O103" s="394"/>
      <c r="P103" s="413">
        <v>0.2</v>
      </c>
      <c r="Q103" s="393">
        <f t="shared" si="13"/>
        <v>300000</v>
      </c>
      <c r="R103" s="911"/>
      <c r="S103" s="525" t="s">
        <v>477</v>
      </c>
      <c r="T103" s="725">
        <f t="shared" si="0"/>
        <v>45626</v>
      </c>
      <c r="U103" s="750">
        <v>301600</v>
      </c>
      <c r="V103" s="941"/>
      <c r="W103" s="745">
        <v>45610</v>
      </c>
      <c r="X103" s="974"/>
      <c r="Y103" s="201"/>
    </row>
    <row r="104" spans="1:42" ht="15" customHeight="1">
      <c r="B104" s="389">
        <v>9</v>
      </c>
      <c r="C104" s="426"/>
      <c r="D104" s="412" t="s">
        <v>478</v>
      </c>
      <c r="E104" s="394"/>
      <c r="F104" s="413">
        <v>0.25</v>
      </c>
      <c r="G104" s="393">
        <f t="shared" si="12"/>
        <v>320450</v>
      </c>
      <c r="H104" s="351">
        <f>'Project Plan'!G132</f>
        <v>45593</v>
      </c>
      <c r="I104" s="970"/>
      <c r="J104" s="927"/>
      <c r="K104" s="352"/>
      <c r="L104" s="389">
        <v>9</v>
      </c>
      <c r="M104" s="673" t="s">
        <v>560</v>
      </c>
      <c r="N104" s="412" t="s">
        <v>478</v>
      </c>
      <c r="O104" s="394"/>
      <c r="P104" s="413">
        <v>0.25</v>
      </c>
      <c r="Q104" s="393">
        <f t="shared" si="13"/>
        <v>375000</v>
      </c>
      <c r="R104" s="911"/>
      <c r="S104" s="525" t="s">
        <v>479</v>
      </c>
      <c r="T104" s="811">
        <v>45596</v>
      </c>
      <c r="U104" s="750">
        <v>377000</v>
      </c>
      <c r="V104" s="941"/>
      <c r="W104" s="745">
        <v>45575</v>
      </c>
      <c r="X104" s="974"/>
      <c r="Y104" s="201"/>
    </row>
    <row r="105" spans="1:42" ht="15" customHeight="1">
      <c r="B105" s="389">
        <v>9</v>
      </c>
      <c r="C105" s="426"/>
      <c r="D105" s="412" t="s">
        <v>481</v>
      </c>
      <c r="E105" s="394"/>
      <c r="F105" s="413">
        <v>0.1</v>
      </c>
      <c r="G105" s="393">
        <f t="shared" si="12"/>
        <v>128180</v>
      </c>
      <c r="H105" s="351">
        <f>'Project Plan'!G143</f>
        <v>45600</v>
      </c>
      <c r="I105" s="970"/>
      <c r="J105" s="927"/>
      <c r="K105" s="352"/>
      <c r="L105" s="389">
        <v>9</v>
      </c>
      <c r="M105" s="673" t="s">
        <v>560</v>
      </c>
      <c r="N105" s="412" t="s">
        <v>481</v>
      </c>
      <c r="O105" s="394"/>
      <c r="P105" s="413">
        <v>0.1</v>
      </c>
      <c r="Q105" s="393">
        <f t="shared" si="13"/>
        <v>150000</v>
      </c>
      <c r="R105" s="911"/>
      <c r="S105" s="539" t="s">
        <v>482</v>
      </c>
      <c r="T105" s="817">
        <v>45626</v>
      </c>
      <c r="U105" s="841">
        <v>150800</v>
      </c>
      <c r="V105" s="941"/>
      <c r="W105" s="831">
        <v>45617</v>
      </c>
      <c r="X105" s="974"/>
      <c r="Y105" s="201"/>
    </row>
    <row r="106" spans="1:42" ht="15" customHeight="1">
      <c r="B106" s="389">
        <v>9</v>
      </c>
      <c r="C106" s="426"/>
      <c r="D106" s="412" t="s">
        <v>484</v>
      </c>
      <c r="E106" s="394"/>
      <c r="F106" s="413">
        <v>0.1</v>
      </c>
      <c r="G106" s="393">
        <f t="shared" si="12"/>
        <v>128180</v>
      </c>
      <c r="H106" s="351">
        <f>'Project Plan'!G152</f>
        <v>45623</v>
      </c>
      <c r="I106" s="970"/>
      <c r="J106" s="927"/>
      <c r="K106" s="352"/>
      <c r="L106" s="389">
        <v>9</v>
      </c>
      <c r="M106" s="673" t="s">
        <v>560</v>
      </c>
      <c r="N106" s="412" t="s">
        <v>484</v>
      </c>
      <c r="O106" s="394"/>
      <c r="P106" s="413">
        <v>0.1</v>
      </c>
      <c r="Q106" s="393">
        <f t="shared" si="13"/>
        <v>150000</v>
      </c>
      <c r="R106" s="911"/>
      <c r="S106" s="539" t="s">
        <v>485</v>
      </c>
      <c r="T106" s="817">
        <v>45626</v>
      </c>
      <c r="U106" s="841">
        <v>150800</v>
      </c>
      <c r="V106" s="941"/>
      <c r="W106" s="831">
        <v>45617</v>
      </c>
      <c r="X106" s="974"/>
      <c r="Y106" s="201"/>
    </row>
    <row r="107" spans="1:42" ht="15" customHeight="1">
      <c r="B107" s="565">
        <v>9</v>
      </c>
      <c r="C107" s="664"/>
      <c r="D107" s="567" t="s">
        <v>487</v>
      </c>
      <c r="E107" s="568"/>
      <c r="F107" s="569">
        <v>0.05</v>
      </c>
      <c r="G107" s="570">
        <f t="shared" si="12"/>
        <v>64090</v>
      </c>
      <c r="H107" s="571">
        <f>'Project Plan'!G154</f>
        <v>45629</v>
      </c>
      <c r="I107" s="970"/>
      <c r="J107" s="927"/>
      <c r="K107" s="352"/>
      <c r="L107" s="389">
        <v>9</v>
      </c>
      <c r="M107" s="673" t="s">
        <v>560</v>
      </c>
      <c r="N107" s="567" t="s">
        <v>487</v>
      </c>
      <c r="O107" s="568"/>
      <c r="P107" s="569">
        <v>0.05</v>
      </c>
      <c r="Q107" s="570">
        <f t="shared" si="13"/>
        <v>75000</v>
      </c>
      <c r="R107" s="911"/>
      <c r="S107" s="539" t="s">
        <v>488</v>
      </c>
      <c r="T107" s="817">
        <v>45626</v>
      </c>
      <c r="U107" s="842">
        <v>75400</v>
      </c>
      <c r="V107" s="941"/>
      <c r="W107" s="835">
        <f>W106+14</f>
        <v>45631</v>
      </c>
      <c r="X107" s="974"/>
      <c r="Y107" s="488"/>
    </row>
    <row r="108" spans="1:42" ht="15" customHeight="1" thickBot="1">
      <c r="B108" s="395">
        <v>9</v>
      </c>
      <c r="C108" s="694"/>
      <c r="D108" s="414" t="s">
        <v>490</v>
      </c>
      <c r="E108" s="398"/>
      <c r="F108" s="415">
        <v>0.05</v>
      </c>
      <c r="G108" s="416">
        <f t="shared" si="12"/>
        <v>64090</v>
      </c>
      <c r="H108" s="695">
        <f>H107+90</f>
        <v>45719</v>
      </c>
      <c r="I108" s="971"/>
      <c r="J108" s="971"/>
      <c r="K108" s="489"/>
      <c r="L108" s="698">
        <v>9</v>
      </c>
      <c r="M108" s="699" t="s">
        <v>560</v>
      </c>
      <c r="N108" s="414" t="s">
        <v>490</v>
      </c>
      <c r="O108" s="398"/>
      <c r="P108" s="415">
        <v>0.05</v>
      </c>
      <c r="Q108" s="700">
        <f t="shared" si="13"/>
        <v>75000</v>
      </c>
      <c r="R108" s="912"/>
      <c r="S108" s="826" t="s">
        <v>491</v>
      </c>
      <c r="T108" s="827">
        <v>45626</v>
      </c>
      <c r="U108" s="843">
        <v>75400</v>
      </c>
      <c r="V108" s="942"/>
      <c r="W108" s="695">
        <v>45890</v>
      </c>
      <c r="X108" s="975"/>
      <c r="Y108" s="202"/>
    </row>
    <row r="109" spans="1:42" ht="14.45" thickBot="1">
      <c r="A109" s="24"/>
      <c r="B109" s="355"/>
      <c r="C109" s="382"/>
      <c r="D109" s="383"/>
      <c r="E109" s="384"/>
      <c r="F109" s="385"/>
      <c r="G109" s="358"/>
      <c r="H109" s="341"/>
      <c r="I109" s="342"/>
      <c r="J109" s="600"/>
      <c r="K109" s="24"/>
      <c r="L109" s="355"/>
      <c r="M109" s="382"/>
      <c r="N109" s="383"/>
      <c r="O109" s="384"/>
      <c r="P109" s="385"/>
      <c r="Q109" s="358"/>
      <c r="R109" s="214"/>
      <c r="S109" s="641"/>
      <c r="T109" s="547" t="str">
        <f t="shared" ref="T109:T152" si="14">IF(W109&gt;1,EOMONTH(W109,0),"")</f>
        <v/>
      </c>
      <c r="U109" s="500"/>
      <c r="V109" s="642"/>
      <c r="W109" s="460"/>
      <c r="X109" s="470"/>
      <c r="Y109" s="19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ht="14.25" customHeight="1">
      <c r="B110" s="323">
        <v>10</v>
      </c>
      <c r="C110" s="324" t="s">
        <v>562</v>
      </c>
      <c r="D110" s="324" t="s">
        <v>563</v>
      </c>
      <c r="E110" s="325"/>
      <c r="F110" s="428"/>
      <c r="G110" s="429">
        <v>115057.5</v>
      </c>
      <c r="H110" s="327">
        <f>H102</f>
        <v>45503</v>
      </c>
      <c r="I110" s="930">
        <f>SUM(G110:G114)</f>
        <v>529807.5</v>
      </c>
      <c r="J110" s="930">
        <v>623303</v>
      </c>
      <c r="K110" s="430"/>
      <c r="L110" s="323">
        <v>10</v>
      </c>
      <c r="M110" s="686" t="s">
        <v>564</v>
      </c>
      <c r="N110" s="324" t="s">
        <v>565</v>
      </c>
      <c r="O110" s="325"/>
      <c r="P110" s="428"/>
      <c r="Q110" s="429"/>
      <c r="R110" s="209"/>
      <c r="S110" s="620"/>
      <c r="T110" s="634"/>
      <c r="U110" s="509">
        <v>0</v>
      </c>
      <c r="V110" s="937">
        <f>J110-SUM(U110:U114)</f>
        <v>-5.2344263531267643E-4</v>
      </c>
      <c r="W110" s="635"/>
      <c r="X110" s="947">
        <f>SUM(Q110:Q114)</f>
        <v>24394.2</v>
      </c>
      <c r="Y110" s="195"/>
    </row>
    <row r="111" spans="1:42" ht="14.25" customHeight="1">
      <c r="B111" s="431">
        <v>10</v>
      </c>
      <c r="C111" s="331"/>
      <c r="D111" s="331" t="s">
        <v>411</v>
      </c>
      <c r="E111" s="436"/>
      <c r="F111" s="437"/>
      <c r="G111" s="326">
        <v>8500</v>
      </c>
      <c r="H111" s="329">
        <f>H105</f>
        <v>45600</v>
      </c>
      <c r="I111" s="972"/>
      <c r="J111" s="972"/>
      <c r="K111" s="330"/>
      <c r="L111" s="431">
        <v>10</v>
      </c>
      <c r="M111" s="687" t="s">
        <v>564</v>
      </c>
      <c r="N111" s="331" t="s">
        <v>566</v>
      </c>
      <c r="O111" s="436"/>
      <c r="P111" s="437"/>
      <c r="Q111" s="326">
        <v>22200</v>
      </c>
      <c r="R111" s="212" t="s">
        <v>567</v>
      </c>
      <c r="S111" s="755" t="s">
        <v>568</v>
      </c>
      <c r="T111" s="754">
        <v>45535</v>
      </c>
      <c r="U111" s="752">
        <v>265082.88505747123</v>
      </c>
      <c r="V111" s="938"/>
      <c r="W111" s="788">
        <v>45554</v>
      </c>
      <c r="X111" s="948"/>
      <c r="Y111" s="197"/>
      <c r="Z111" s="24"/>
      <c r="AA111" s="24"/>
    </row>
    <row r="112" spans="1:42" ht="14.25" customHeight="1">
      <c r="B112" s="431">
        <v>10</v>
      </c>
      <c r="C112" s="331"/>
      <c r="D112" s="331" t="s">
        <v>569</v>
      </c>
      <c r="E112" s="436"/>
      <c r="F112" s="437"/>
      <c r="G112" s="326">
        <v>46250</v>
      </c>
      <c r="H112" s="329">
        <f>H107</f>
        <v>45629</v>
      </c>
      <c r="I112" s="972"/>
      <c r="J112" s="972"/>
      <c r="K112" s="330"/>
      <c r="L112" s="431">
        <v>10</v>
      </c>
      <c r="M112" s="687" t="s">
        <v>564</v>
      </c>
      <c r="N112" s="331" t="s">
        <v>570</v>
      </c>
      <c r="O112" s="436"/>
      <c r="P112" s="437"/>
      <c r="Q112" s="326">
        <v>2194.1999999999998</v>
      </c>
      <c r="R112" s="212"/>
      <c r="S112" s="755" t="s">
        <v>571</v>
      </c>
      <c r="T112" s="754">
        <v>45596</v>
      </c>
      <c r="U112" s="752">
        <v>358220.11546597141</v>
      </c>
      <c r="V112" s="938"/>
      <c r="W112" s="814">
        <v>45575</v>
      </c>
      <c r="X112" s="948"/>
      <c r="Y112" s="197"/>
    </row>
    <row r="113" spans="1:42" ht="15" customHeight="1">
      <c r="B113" s="431">
        <v>10</v>
      </c>
      <c r="C113" s="432"/>
      <c r="D113" s="432" t="s">
        <v>572</v>
      </c>
      <c r="E113" s="433"/>
      <c r="F113" s="434"/>
      <c r="G113" s="435">
        <v>360000</v>
      </c>
      <c r="H113" s="329">
        <f>H112</f>
        <v>45629</v>
      </c>
      <c r="I113" s="972"/>
      <c r="J113" s="972"/>
      <c r="K113" s="330"/>
      <c r="L113" s="431">
        <v>10</v>
      </c>
      <c r="M113" s="687" t="s">
        <v>564</v>
      </c>
      <c r="N113" s="432"/>
      <c r="O113" s="433"/>
      <c r="P113" s="434"/>
      <c r="Q113" s="435"/>
      <c r="R113" s="223"/>
      <c r="S113" s="454"/>
      <c r="T113" s="527" t="str">
        <f t="shared" si="14"/>
        <v/>
      </c>
      <c r="U113" s="548">
        <f t="shared" ref="U113:U114" si="15">(Q113/$X$110*$J$110)</f>
        <v>0</v>
      </c>
      <c r="V113" s="938"/>
      <c r="W113" s="465"/>
      <c r="X113" s="948"/>
      <c r="Y113" s="208"/>
    </row>
    <row r="114" spans="1:42" ht="15" customHeight="1" thickBot="1">
      <c r="B114" s="332">
        <v>10</v>
      </c>
      <c r="C114" s="438"/>
      <c r="D114" s="438"/>
      <c r="E114" s="439"/>
      <c r="F114" s="440"/>
      <c r="G114" s="333"/>
      <c r="H114" s="334"/>
      <c r="I114" s="931"/>
      <c r="J114" s="931"/>
      <c r="K114" s="335"/>
      <c r="L114" s="332">
        <v>10</v>
      </c>
      <c r="M114" s="688" t="s">
        <v>564</v>
      </c>
      <c r="N114" s="438"/>
      <c r="O114" s="439"/>
      <c r="P114" s="440"/>
      <c r="Q114" s="333"/>
      <c r="R114" s="213"/>
      <c r="S114" s="524"/>
      <c r="T114" s="522" t="str">
        <f t="shared" si="14"/>
        <v/>
      </c>
      <c r="U114" s="549">
        <f t="shared" si="15"/>
        <v>0</v>
      </c>
      <c r="V114" s="939"/>
      <c r="W114" s="459"/>
      <c r="X114" s="949"/>
      <c r="Y114" s="198"/>
    </row>
    <row r="115" spans="1:42" ht="14.45" thickBot="1">
      <c r="A115" s="24"/>
      <c r="B115" s="336"/>
      <c r="C115" s="337"/>
      <c r="D115" s="337"/>
      <c r="E115" s="356"/>
      <c r="F115" s="340"/>
      <c r="G115" s="340"/>
      <c r="H115" s="341"/>
      <c r="I115" s="342"/>
      <c r="J115" s="600"/>
      <c r="K115" s="24"/>
      <c r="L115" s="336"/>
      <c r="M115" s="337"/>
      <c r="N115" s="337"/>
      <c r="O115" s="356"/>
      <c r="P115" s="340"/>
      <c r="Q115" s="340"/>
      <c r="R115" s="214"/>
      <c r="S115" s="538"/>
      <c r="T115" s="523" t="str">
        <f t="shared" si="14"/>
        <v/>
      </c>
      <c r="U115" s="500"/>
      <c r="V115" s="642"/>
      <c r="W115" s="460"/>
      <c r="X115" s="470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4.25" customHeight="1">
      <c r="B116" s="343">
        <v>11</v>
      </c>
      <c r="C116" s="344" t="s">
        <v>573</v>
      </c>
      <c r="D116" s="474" t="s">
        <v>574</v>
      </c>
      <c r="E116" s="345"/>
      <c r="F116" s="441"/>
      <c r="G116" s="346">
        <v>37740</v>
      </c>
      <c r="H116" s="347">
        <f>'Project Plan'!E156</f>
        <v>45602</v>
      </c>
      <c r="I116" s="926">
        <f>SUM(G116:G123)</f>
        <v>200220</v>
      </c>
      <c r="J116" s="926">
        <v>235552.94117647101</v>
      </c>
      <c r="K116" s="348"/>
      <c r="L116" s="343">
        <v>11</v>
      </c>
      <c r="M116" s="474" t="s">
        <v>575</v>
      </c>
      <c r="N116" s="344" t="s">
        <v>576</v>
      </c>
      <c r="O116" s="345"/>
      <c r="P116" s="441"/>
      <c r="Q116" s="346">
        <v>26800</v>
      </c>
      <c r="R116" s="215" t="s">
        <v>577</v>
      </c>
      <c r="S116" s="525" t="s">
        <v>578</v>
      </c>
      <c r="T116" s="725">
        <v>45626</v>
      </c>
      <c r="U116" s="790">
        <v>35385.75573727255</v>
      </c>
      <c r="V116" s="943">
        <f>J116-SUM(U116:U123)</f>
        <v>-3.260268596932292E-3</v>
      </c>
      <c r="W116" s="787">
        <v>45771</v>
      </c>
      <c r="X116" s="913">
        <f>SUM(Q116:Q123)</f>
        <v>116600</v>
      </c>
      <c r="Y116" s="200"/>
      <c r="Z116" s="24"/>
      <c r="AA116" s="24"/>
    </row>
    <row r="117" spans="1:42" ht="15" customHeight="1">
      <c r="B117" s="389">
        <v>11</v>
      </c>
      <c r="C117" s="391"/>
      <c r="D117" s="391" t="s">
        <v>579</v>
      </c>
      <c r="E117" s="392"/>
      <c r="F117" s="442"/>
      <c r="G117" s="393">
        <v>75480</v>
      </c>
      <c r="H117" s="351">
        <f>'Project Plan'!E114</f>
        <v>45503</v>
      </c>
      <c r="I117" s="927"/>
      <c r="J117" s="927"/>
      <c r="K117" s="352"/>
      <c r="L117" s="389">
        <v>11</v>
      </c>
      <c r="M117" s="580" t="s">
        <v>575</v>
      </c>
      <c r="N117" s="391" t="s">
        <v>580</v>
      </c>
      <c r="O117" s="392"/>
      <c r="P117" s="442"/>
      <c r="Q117" s="393">
        <v>0</v>
      </c>
      <c r="R117" s="210"/>
      <c r="S117" s="539"/>
      <c r="T117" s="504"/>
      <c r="U117" s="511">
        <f t="shared" ref="U117" si="16">Q117/$X$116*$J$116</f>
        <v>0</v>
      </c>
      <c r="V117" s="944"/>
      <c r="W117" s="462"/>
      <c r="X117" s="914"/>
      <c r="Y117" s="201"/>
    </row>
    <row r="118" spans="1:42" ht="15" customHeight="1">
      <c r="B118" s="389"/>
      <c r="C118" s="391"/>
      <c r="D118" s="391"/>
      <c r="E118" s="392"/>
      <c r="F118" s="442"/>
      <c r="G118" s="393"/>
      <c r="H118" s="351"/>
      <c r="I118" s="927"/>
      <c r="J118" s="927"/>
      <c r="K118" s="352"/>
      <c r="L118" s="389">
        <v>11</v>
      </c>
      <c r="M118" s="580" t="s">
        <v>575</v>
      </c>
      <c r="N118" s="391" t="s">
        <v>581</v>
      </c>
      <c r="O118" s="392"/>
      <c r="P118" s="442"/>
      <c r="Q118" s="393">
        <v>5500</v>
      </c>
      <c r="R118" s="210"/>
      <c r="S118" s="539" t="s">
        <v>582</v>
      </c>
      <c r="T118" s="725">
        <v>45473</v>
      </c>
      <c r="U118" s="730">
        <v>4635.2099337051541</v>
      </c>
      <c r="V118" s="944"/>
      <c r="W118" s="726">
        <v>44854</v>
      </c>
      <c r="X118" s="914"/>
      <c r="Y118" s="201"/>
    </row>
    <row r="119" spans="1:42" ht="15" customHeight="1">
      <c r="B119" s="389"/>
      <c r="C119" s="391"/>
      <c r="D119" s="391"/>
      <c r="E119" s="392"/>
      <c r="F119" s="442"/>
      <c r="G119" s="393"/>
      <c r="H119" s="351"/>
      <c r="I119" s="927"/>
      <c r="J119" s="927"/>
      <c r="K119" s="352"/>
      <c r="L119" s="389">
        <v>11</v>
      </c>
      <c r="M119" s="580" t="s">
        <v>575</v>
      </c>
      <c r="N119" s="391"/>
      <c r="O119" s="392"/>
      <c r="P119" s="442"/>
      <c r="Q119" s="393">
        <v>11600</v>
      </c>
      <c r="R119" s="210"/>
      <c r="S119" s="539" t="s">
        <v>583</v>
      </c>
      <c r="T119" s="725">
        <v>45473</v>
      </c>
      <c r="U119" s="730">
        <v>9776.0791329054173</v>
      </c>
      <c r="V119" s="944"/>
      <c r="W119" s="726">
        <v>45435</v>
      </c>
      <c r="X119" s="914"/>
      <c r="Y119" s="201"/>
    </row>
    <row r="120" spans="1:42" ht="15" customHeight="1">
      <c r="B120" s="389"/>
      <c r="C120" s="391"/>
      <c r="D120" s="391"/>
      <c r="E120" s="392"/>
      <c r="F120" s="442"/>
      <c r="G120" s="393"/>
      <c r="H120" s="351"/>
      <c r="I120" s="927"/>
      <c r="J120" s="927"/>
      <c r="K120" s="352"/>
      <c r="L120" s="389">
        <v>11</v>
      </c>
      <c r="M120" s="580" t="s">
        <v>575</v>
      </c>
      <c r="N120" s="391" t="s">
        <v>584</v>
      </c>
      <c r="O120" s="392"/>
      <c r="P120" s="442"/>
      <c r="Q120" s="393">
        <v>0</v>
      </c>
      <c r="R120" s="210"/>
      <c r="S120" s="539"/>
      <c r="T120" s="504"/>
      <c r="U120" s="511"/>
      <c r="V120" s="944"/>
      <c r="W120" s="462"/>
      <c r="X120" s="914"/>
      <c r="Y120" s="201"/>
    </row>
    <row r="121" spans="1:42" ht="15" customHeight="1">
      <c r="B121" s="389">
        <v>11</v>
      </c>
      <c r="C121" s="391"/>
      <c r="D121" s="391" t="s">
        <v>585</v>
      </c>
      <c r="E121" s="392"/>
      <c r="F121" s="442"/>
      <c r="G121" s="393">
        <v>80000</v>
      </c>
      <c r="H121" s="351">
        <f>H117+30</f>
        <v>45533</v>
      </c>
      <c r="I121" s="927"/>
      <c r="J121" s="927"/>
      <c r="K121" s="352"/>
      <c r="L121" s="389">
        <v>11</v>
      </c>
      <c r="M121" s="580" t="s">
        <v>575</v>
      </c>
      <c r="N121" s="391" t="s">
        <v>585</v>
      </c>
      <c r="O121" s="392"/>
      <c r="P121" s="442"/>
      <c r="Q121" s="393">
        <v>63200</v>
      </c>
      <c r="R121" s="210" t="s">
        <v>586</v>
      </c>
      <c r="S121" s="539" t="s">
        <v>587</v>
      </c>
      <c r="T121" s="725">
        <v>45808</v>
      </c>
      <c r="U121" s="730">
        <v>96604.811802678189</v>
      </c>
      <c r="V121" s="944"/>
      <c r="W121" s="726">
        <v>46029</v>
      </c>
      <c r="X121" s="914"/>
      <c r="Y121" s="201"/>
    </row>
    <row r="122" spans="1:42" ht="14.25" customHeight="1">
      <c r="B122" s="389">
        <v>11</v>
      </c>
      <c r="C122" s="391"/>
      <c r="D122" s="391" t="s">
        <v>588</v>
      </c>
      <c r="E122" s="392"/>
      <c r="F122" s="442"/>
      <c r="G122" s="393">
        <v>7000</v>
      </c>
      <c r="H122" s="351">
        <f>H117</f>
        <v>45503</v>
      </c>
      <c r="I122" s="927"/>
      <c r="J122" s="927"/>
      <c r="K122" s="352"/>
      <c r="L122" s="389">
        <v>11</v>
      </c>
      <c r="M122" s="580" t="s">
        <v>575</v>
      </c>
      <c r="N122" s="391" t="s">
        <v>588</v>
      </c>
      <c r="O122" s="392"/>
      <c r="P122" s="442"/>
      <c r="Q122" s="393">
        <v>9500</v>
      </c>
      <c r="R122" s="210" t="s">
        <v>589</v>
      </c>
      <c r="S122" s="539" t="s">
        <v>590</v>
      </c>
      <c r="T122" s="725">
        <v>45504</v>
      </c>
      <c r="U122" s="751">
        <v>8403.127830178275</v>
      </c>
      <c r="V122" s="944"/>
      <c r="W122" s="726">
        <v>45512</v>
      </c>
      <c r="X122" s="914"/>
      <c r="Y122" s="201"/>
      <c r="Z122" s="24"/>
      <c r="AA122" s="24"/>
    </row>
    <row r="123" spans="1:42" ht="15" customHeight="1" thickBot="1">
      <c r="B123" s="395">
        <v>11</v>
      </c>
      <c r="C123" s="396"/>
      <c r="D123" s="396"/>
      <c r="E123" s="397"/>
      <c r="F123" s="443"/>
      <c r="G123" s="416"/>
      <c r="H123" s="353"/>
      <c r="I123" s="928"/>
      <c r="J123" s="928"/>
      <c r="K123" s="354"/>
      <c r="L123" s="395">
        <v>11</v>
      </c>
      <c r="M123" s="668" t="s">
        <v>575</v>
      </c>
      <c r="N123" s="396" t="s">
        <v>591</v>
      </c>
      <c r="O123" s="397"/>
      <c r="P123" s="720"/>
      <c r="Q123" s="416">
        <v>0</v>
      </c>
      <c r="R123" s="216" t="s">
        <v>592</v>
      </c>
      <c r="S123" s="526"/>
      <c r="T123" s="846">
        <v>45838</v>
      </c>
      <c r="U123" s="861">
        <v>80747.960000000006</v>
      </c>
      <c r="V123" s="945"/>
      <c r="W123" s="847">
        <v>45813</v>
      </c>
      <c r="X123" s="915"/>
      <c r="Y123" s="202"/>
    </row>
    <row r="124" spans="1:42" ht="15" customHeight="1" thickBot="1">
      <c r="A124" s="24"/>
      <c r="B124" s="355"/>
      <c r="C124" s="337"/>
      <c r="D124" s="337"/>
      <c r="E124" s="356"/>
      <c r="F124" s="340"/>
      <c r="G124" s="358"/>
      <c r="H124" s="341"/>
      <c r="I124" s="342"/>
      <c r="J124" s="342"/>
      <c r="K124" s="24"/>
      <c r="L124" s="355"/>
      <c r="M124" s="337"/>
      <c r="N124" s="337"/>
      <c r="O124" s="356"/>
      <c r="P124" s="340"/>
      <c r="Q124" s="358"/>
      <c r="R124" s="214"/>
      <c r="S124" s="538"/>
      <c r="T124" s="523" t="str">
        <f t="shared" si="14"/>
        <v/>
      </c>
      <c r="U124" s="500"/>
      <c r="V124" s="642"/>
      <c r="W124" s="460"/>
      <c r="X124" s="470"/>
      <c r="Y124" s="199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:42">
      <c r="B125" s="323">
        <v>12</v>
      </c>
      <c r="C125" s="324" t="s">
        <v>593</v>
      </c>
      <c r="D125" s="324" t="s">
        <v>593</v>
      </c>
      <c r="E125" s="325"/>
      <c r="F125" s="622"/>
      <c r="G125" s="429">
        <v>158836.38</v>
      </c>
      <c r="H125" s="327">
        <f>'Project Plan'!G155</f>
        <v>45632</v>
      </c>
      <c r="I125" s="930">
        <f>SUM(G125:G125)</f>
        <v>158836.38</v>
      </c>
      <c r="J125" s="930">
        <v>0</v>
      </c>
      <c r="K125" s="932"/>
      <c r="L125" s="323">
        <v>12</v>
      </c>
      <c r="M125" s="324" t="s">
        <v>593</v>
      </c>
      <c r="N125" s="324" t="s">
        <v>593</v>
      </c>
      <c r="O125" s="325"/>
      <c r="P125" s="622"/>
      <c r="Q125" s="429">
        <f>264727.3/2</f>
        <v>132363.65</v>
      </c>
      <c r="R125" s="209"/>
      <c r="S125" s="620" t="s">
        <v>594</v>
      </c>
      <c r="T125" s="743">
        <v>45535</v>
      </c>
      <c r="U125" s="623"/>
      <c r="V125" s="644"/>
      <c r="W125" s="753">
        <v>45512</v>
      </c>
      <c r="X125" s="919">
        <f>SUM(Q125:Q126)</f>
        <v>264727.3</v>
      </c>
      <c r="Y125" s="195"/>
    </row>
    <row r="126" spans="1:42" ht="15" customHeight="1" thickBot="1">
      <c r="B126" s="332">
        <v>12</v>
      </c>
      <c r="C126" s="438" t="s">
        <v>593</v>
      </c>
      <c r="D126" s="438"/>
      <c r="E126" s="439"/>
      <c r="F126" s="628"/>
      <c r="G126" s="333"/>
      <c r="H126" s="334"/>
      <c r="I126" s="931"/>
      <c r="J126" s="931"/>
      <c r="K126" s="933"/>
      <c r="L126" s="332">
        <v>12</v>
      </c>
      <c r="M126" s="438" t="s">
        <v>593</v>
      </c>
      <c r="N126" s="438"/>
      <c r="O126" s="439"/>
      <c r="P126" s="628"/>
      <c r="Q126" s="333">
        <f>Q125</f>
        <v>132363.65</v>
      </c>
      <c r="R126" s="638"/>
      <c r="S126" s="497" t="s">
        <v>594</v>
      </c>
      <c r="T126" s="729">
        <v>45535</v>
      </c>
      <c r="U126" s="637"/>
      <c r="V126" s="645"/>
      <c r="W126" s="832">
        <v>45618</v>
      </c>
      <c r="X126" s="920"/>
      <c r="Y126" s="198"/>
    </row>
    <row r="127" spans="1:42" ht="14.45" thickBot="1">
      <c r="A127" s="24"/>
      <c r="B127" s="355"/>
      <c r="C127" s="337"/>
      <c r="D127" s="337"/>
      <c r="E127" s="356"/>
      <c r="F127" s="385"/>
      <c r="G127" s="358"/>
      <c r="H127" s="341"/>
      <c r="I127" s="409"/>
      <c r="J127" s="409"/>
      <c r="K127" s="24"/>
      <c r="L127" s="355"/>
      <c r="M127" s="337"/>
      <c r="N127" s="337"/>
      <c r="O127" s="356"/>
      <c r="P127" s="385"/>
      <c r="Q127" s="358"/>
      <c r="R127" s="214"/>
      <c r="S127" s="538"/>
      <c r="T127" s="523" t="str">
        <f t="shared" si="14"/>
        <v/>
      </c>
      <c r="U127" s="500"/>
      <c r="V127" s="642"/>
      <c r="W127" s="460"/>
      <c r="X127" s="471"/>
      <c r="Y127" s="199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:42" ht="15.75" customHeight="1">
      <c r="B128" s="343">
        <v>13</v>
      </c>
      <c r="C128" s="344" t="s">
        <v>595</v>
      </c>
      <c r="D128" s="474" t="s">
        <v>596</v>
      </c>
      <c r="E128" s="345"/>
      <c r="F128" s="689">
        <v>103873.00994565217</v>
      </c>
      <c r="G128" s="346"/>
      <c r="H128" s="347"/>
      <c r="I128" s="926">
        <v>0</v>
      </c>
      <c r="J128" s="926">
        <v>0</v>
      </c>
      <c r="K128" s="348"/>
      <c r="L128" s="343">
        <v>13</v>
      </c>
      <c r="M128" s="474" t="s">
        <v>597</v>
      </c>
      <c r="N128" s="474" t="s">
        <v>596</v>
      </c>
      <c r="O128" s="345"/>
      <c r="P128" s="346">
        <v>103873.00994565217</v>
      </c>
      <c r="Q128" s="346">
        <f>'Revenue Tracking'!D4*1.25%</f>
        <v>120625</v>
      </c>
      <c r="R128" s="215"/>
      <c r="S128" s="525" t="s">
        <v>598</v>
      </c>
      <c r="T128" s="725">
        <v>45626</v>
      </c>
      <c r="U128" s="510"/>
      <c r="V128" s="916">
        <f>J128-SUM(U128:U134)</f>
        <v>0</v>
      </c>
      <c r="W128" s="347">
        <v>45626</v>
      </c>
      <c r="X128" s="913">
        <f>SUM(Q128:Q134)</f>
        <v>120625</v>
      </c>
      <c r="Y128" s="200"/>
    </row>
    <row r="129" spans="1:42" ht="15.75" customHeight="1">
      <c r="B129" s="389">
        <v>13</v>
      </c>
      <c r="C129" s="391"/>
      <c r="D129" s="391" t="s">
        <v>599</v>
      </c>
      <c r="E129" s="392"/>
      <c r="F129" s="721">
        <v>120000</v>
      </c>
      <c r="G129" s="393"/>
      <c r="H129" s="351"/>
      <c r="I129" s="927"/>
      <c r="J129" s="927"/>
      <c r="K129" s="352"/>
      <c r="L129" s="389">
        <v>13</v>
      </c>
      <c r="M129" s="580" t="s">
        <v>597</v>
      </c>
      <c r="N129" s="391" t="s">
        <v>599</v>
      </c>
      <c r="O129" s="392"/>
      <c r="P129" s="393">
        <v>120000</v>
      </c>
      <c r="Q129" s="393">
        <v>0</v>
      </c>
      <c r="R129" s="210"/>
      <c r="S129" s="453"/>
      <c r="T129" s="851">
        <v>45626</v>
      </c>
      <c r="U129" s="511"/>
      <c r="V129" s="917"/>
      <c r="W129" s="819">
        <v>45900</v>
      </c>
      <c r="X129" s="914"/>
      <c r="Y129" s="201"/>
    </row>
    <row r="130" spans="1:42" ht="15.75" customHeight="1">
      <c r="B130" s="389">
        <v>13</v>
      </c>
      <c r="C130" s="391"/>
      <c r="D130" s="391" t="s">
        <v>600</v>
      </c>
      <c r="E130" s="392"/>
      <c r="F130" s="721">
        <v>408000</v>
      </c>
      <c r="G130" s="393"/>
      <c r="H130" s="351"/>
      <c r="I130" s="927"/>
      <c r="J130" s="927"/>
      <c r="K130" s="352"/>
      <c r="L130" s="389">
        <v>13</v>
      </c>
      <c r="M130" s="580" t="s">
        <v>597</v>
      </c>
      <c r="N130" s="391" t="s">
        <v>600</v>
      </c>
      <c r="O130" s="392"/>
      <c r="P130" s="393">
        <v>408000</v>
      </c>
      <c r="Q130" s="393">
        <v>0</v>
      </c>
      <c r="R130" s="210"/>
      <c r="S130" s="453"/>
      <c r="T130" s="851">
        <v>45626</v>
      </c>
      <c r="U130" s="511"/>
      <c r="V130" s="917"/>
      <c r="W130" s="819">
        <v>45900</v>
      </c>
      <c r="X130" s="914"/>
      <c r="Y130" s="201"/>
      <c r="Z130" s="24"/>
      <c r="AA130" s="24"/>
    </row>
    <row r="131" spans="1:42" ht="15.75" customHeight="1">
      <c r="B131" s="389">
        <v>13</v>
      </c>
      <c r="C131" s="391"/>
      <c r="D131" s="391" t="s">
        <v>601</v>
      </c>
      <c r="E131" s="392"/>
      <c r="F131" s="721">
        <v>156000</v>
      </c>
      <c r="G131" s="393"/>
      <c r="H131" s="351"/>
      <c r="I131" s="927"/>
      <c r="J131" s="927"/>
      <c r="K131" s="352"/>
      <c r="L131" s="389">
        <v>13</v>
      </c>
      <c r="M131" s="580" t="s">
        <v>597</v>
      </c>
      <c r="N131" s="391" t="s">
        <v>601</v>
      </c>
      <c r="O131" s="392"/>
      <c r="P131" s="393">
        <v>156000</v>
      </c>
      <c r="Q131" s="393">
        <v>0</v>
      </c>
      <c r="R131" s="487"/>
      <c r="S131" s="526"/>
      <c r="T131" s="851">
        <v>45626</v>
      </c>
      <c r="U131" s="511"/>
      <c r="V131" s="917"/>
      <c r="W131" s="819">
        <v>45900</v>
      </c>
      <c r="X131" s="914"/>
      <c r="Y131" s="488"/>
    </row>
    <row r="132" spans="1:42" ht="15.75" customHeight="1">
      <c r="B132" s="389">
        <v>13</v>
      </c>
      <c r="C132" s="391"/>
      <c r="D132" s="391" t="s">
        <v>602</v>
      </c>
      <c r="E132" s="392"/>
      <c r="F132" s="721">
        <v>116252.79999999997</v>
      </c>
      <c r="G132" s="393"/>
      <c r="H132" s="351"/>
      <c r="I132" s="927"/>
      <c r="J132" s="927"/>
      <c r="K132" s="352"/>
      <c r="L132" s="389">
        <v>13</v>
      </c>
      <c r="M132" s="580" t="s">
        <v>597</v>
      </c>
      <c r="N132" s="391" t="s">
        <v>602</v>
      </c>
      <c r="O132" s="392"/>
      <c r="P132" s="393">
        <v>116252.79999999997</v>
      </c>
      <c r="Q132" s="393">
        <v>0</v>
      </c>
      <c r="R132" s="487"/>
      <c r="S132" s="526"/>
      <c r="T132" s="851">
        <v>45626</v>
      </c>
      <c r="U132" s="511"/>
      <c r="V132" s="917"/>
      <c r="W132" s="819">
        <v>45900</v>
      </c>
      <c r="X132" s="914"/>
      <c r="Y132" s="488"/>
    </row>
    <row r="133" spans="1:42" ht="15.75" customHeight="1">
      <c r="B133" s="389">
        <v>13</v>
      </c>
      <c r="C133" s="574"/>
      <c r="D133" s="574"/>
      <c r="E133" s="609"/>
      <c r="F133" s="575"/>
      <c r="G133" s="570"/>
      <c r="H133" s="571"/>
      <c r="I133" s="927"/>
      <c r="J133" s="927"/>
      <c r="K133" s="352"/>
      <c r="L133" s="389">
        <v>13</v>
      </c>
      <c r="M133" s="580" t="s">
        <v>597</v>
      </c>
      <c r="N133" s="574"/>
      <c r="O133" s="609"/>
      <c r="P133" s="718"/>
      <c r="Q133" s="570"/>
      <c r="R133" s="487"/>
      <c r="S133" s="526"/>
      <c r="T133" s="502" t="str">
        <f t="shared" si="14"/>
        <v/>
      </c>
      <c r="U133" s="511"/>
      <c r="V133" s="917"/>
      <c r="W133" s="502"/>
      <c r="X133" s="914"/>
      <c r="Y133" s="488"/>
    </row>
    <row r="134" spans="1:42" ht="15.75" customHeight="1" thickBot="1">
      <c r="B134" s="395">
        <v>13</v>
      </c>
      <c r="C134" s="396"/>
      <c r="D134" s="396"/>
      <c r="E134" s="397"/>
      <c r="F134" s="443"/>
      <c r="G134" s="416"/>
      <c r="H134" s="353"/>
      <c r="I134" s="928"/>
      <c r="J134" s="928"/>
      <c r="K134" s="489"/>
      <c r="L134" s="395">
        <v>13</v>
      </c>
      <c r="M134" s="668" t="s">
        <v>597</v>
      </c>
      <c r="N134" s="396"/>
      <c r="O134" s="397"/>
      <c r="P134" s="443"/>
      <c r="Q134" s="416"/>
      <c r="R134" s="216"/>
      <c r="S134" s="526"/>
      <c r="T134" s="507" t="str">
        <f t="shared" si="14"/>
        <v/>
      </c>
      <c r="U134" s="512"/>
      <c r="V134" s="918"/>
      <c r="W134" s="463"/>
      <c r="X134" s="929"/>
      <c r="Y134" s="202"/>
    </row>
    <row r="135" spans="1:42" ht="14.45" thickBot="1">
      <c r="A135" s="24"/>
      <c r="B135" s="355"/>
      <c r="C135" s="337"/>
      <c r="D135" s="337"/>
      <c r="E135" s="356"/>
      <c r="F135" s="340"/>
      <c r="G135" s="358"/>
      <c r="H135" s="341"/>
      <c r="I135" s="342"/>
      <c r="J135" s="342"/>
      <c r="K135" s="24"/>
      <c r="L135" s="355"/>
      <c r="M135" s="337"/>
      <c r="N135" s="337"/>
      <c r="O135" s="356"/>
      <c r="P135" s="340"/>
      <c r="Q135" s="358"/>
      <c r="R135" s="214"/>
      <c r="S135" s="538"/>
      <c r="T135" s="523" t="str">
        <f t="shared" si="14"/>
        <v/>
      </c>
      <c r="U135" s="500"/>
      <c r="V135" s="642"/>
      <c r="W135" s="460"/>
      <c r="X135" s="471"/>
      <c r="Y135" s="199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:42" ht="14.25" customHeight="1">
      <c r="B136" s="323">
        <v>14</v>
      </c>
      <c r="C136" s="324" t="s">
        <v>603</v>
      </c>
      <c r="D136" s="324" t="s">
        <v>604</v>
      </c>
      <c r="E136" s="325"/>
      <c r="F136" s="428"/>
      <c r="G136" s="429">
        <v>26250</v>
      </c>
      <c r="H136" s="327">
        <f>'Project Plan'!K156</f>
        <v>45618</v>
      </c>
      <c r="I136" s="930">
        <f>SUM(G136:G147)</f>
        <v>26250</v>
      </c>
      <c r="J136" s="930">
        <v>30882.352941176501</v>
      </c>
      <c r="K136" s="430"/>
      <c r="L136" s="323">
        <v>14</v>
      </c>
      <c r="M136" s="686" t="s">
        <v>605</v>
      </c>
      <c r="N136" s="324" t="s">
        <v>604</v>
      </c>
      <c r="O136" s="325"/>
      <c r="P136" s="428"/>
      <c r="Q136" s="429">
        <v>11927.09</v>
      </c>
      <c r="R136" s="209"/>
      <c r="S136" s="825" t="s">
        <v>606</v>
      </c>
      <c r="T136" s="729">
        <v>45473</v>
      </c>
      <c r="U136" s="731">
        <v>2544.0380880742096</v>
      </c>
      <c r="V136" s="937">
        <f>J136-SUM(U136:U147)</f>
        <v>-7.0199227775447071E-4</v>
      </c>
      <c r="W136" s="327">
        <v>45478</v>
      </c>
      <c r="X136" s="947">
        <f>SUM(Q136:Q147)</f>
        <v>85517.61</v>
      </c>
      <c r="Y136" s="195"/>
    </row>
    <row r="137" spans="1:42" ht="14.25" customHeight="1">
      <c r="B137" s="431"/>
      <c r="C137" s="432"/>
      <c r="D137" s="432"/>
      <c r="E137" s="433"/>
      <c r="F137" s="434"/>
      <c r="G137" s="435"/>
      <c r="H137" s="727"/>
      <c r="I137" s="972"/>
      <c r="J137" s="972"/>
      <c r="K137" s="330"/>
      <c r="L137" s="431">
        <v>14</v>
      </c>
      <c r="M137" s="728" t="s">
        <v>605</v>
      </c>
      <c r="N137" s="432" t="s">
        <v>604</v>
      </c>
      <c r="O137" s="433"/>
      <c r="P137" s="434"/>
      <c r="Q137" s="435">
        <v>1370.52</v>
      </c>
      <c r="R137" s="223"/>
      <c r="S137" s="825" t="s">
        <v>606</v>
      </c>
      <c r="T137" s="746">
        <v>45504</v>
      </c>
      <c r="U137" s="752">
        <v>304.46949978966188</v>
      </c>
      <c r="V137" s="946"/>
      <c r="W137" s="746">
        <v>45510</v>
      </c>
      <c r="X137" s="948"/>
      <c r="Y137" s="208"/>
    </row>
    <row r="138" spans="1:42" ht="14.25" customHeight="1">
      <c r="B138" s="431"/>
      <c r="C138" s="432"/>
      <c r="D138" s="432"/>
      <c r="E138" s="433"/>
      <c r="F138" s="434"/>
      <c r="G138" s="435"/>
      <c r="H138" s="727"/>
      <c r="I138" s="972"/>
      <c r="J138" s="972"/>
      <c r="K138" s="330"/>
      <c r="L138" s="431">
        <v>14</v>
      </c>
      <c r="M138" s="728" t="s">
        <v>605</v>
      </c>
      <c r="N138" s="432" t="s">
        <v>604</v>
      </c>
      <c r="O138" s="433"/>
      <c r="P138" s="434"/>
      <c r="Q138" s="435">
        <v>20912.77</v>
      </c>
      <c r="R138" s="223"/>
      <c r="S138" s="825" t="s">
        <v>606</v>
      </c>
      <c r="T138" s="746">
        <v>45535</v>
      </c>
      <c r="U138" s="752">
        <v>5665.4688621582</v>
      </c>
      <c r="V138" s="946"/>
      <c r="W138" s="746">
        <v>45540</v>
      </c>
      <c r="X138" s="948"/>
      <c r="Y138" s="208"/>
    </row>
    <row r="139" spans="1:42" ht="14.25" customHeight="1">
      <c r="B139" s="431"/>
      <c r="C139" s="432"/>
      <c r="D139" s="432"/>
      <c r="E139" s="433"/>
      <c r="F139" s="434"/>
      <c r="G139" s="435"/>
      <c r="H139" s="727"/>
      <c r="I139" s="972"/>
      <c r="J139" s="972"/>
      <c r="K139" s="330"/>
      <c r="L139" s="431">
        <v>14</v>
      </c>
      <c r="M139" s="728" t="s">
        <v>605</v>
      </c>
      <c r="N139" s="432" t="s">
        <v>604</v>
      </c>
      <c r="O139" s="433"/>
      <c r="P139" s="434"/>
      <c r="Q139" s="435">
        <v>11749.01</v>
      </c>
      <c r="R139" s="223"/>
      <c r="S139" s="825" t="s">
        <v>606</v>
      </c>
      <c r="T139" s="746">
        <v>45565</v>
      </c>
      <c r="U139" s="752">
        <v>2937.859989315622</v>
      </c>
      <c r="V139" s="946"/>
      <c r="W139" s="746">
        <v>45569</v>
      </c>
      <c r="X139" s="948"/>
      <c r="Y139" s="208"/>
    </row>
    <row r="140" spans="1:42" ht="14.25" customHeight="1">
      <c r="B140" s="431"/>
      <c r="C140" s="432"/>
      <c r="D140" s="432"/>
      <c r="E140" s="433"/>
      <c r="F140" s="434"/>
      <c r="G140" s="435"/>
      <c r="H140" s="727"/>
      <c r="I140" s="972"/>
      <c r="J140" s="972"/>
      <c r="K140" s="330"/>
      <c r="L140" s="431">
        <v>14</v>
      </c>
      <c r="M140" s="728" t="s">
        <v>605</v>
      </c>
      <c r="N140" s="432" t="s">
        <v>604</v>
      </c>
      <c r="O140" s="433"/>
      <c r="P140" s="434"/>
      <c r="Q140" s="435">
        <v>10391.33</v>
      </c>
      <c r="R140" s="223"/>
      <c r="S140" s="825" t="s">
        <v>606</v>
      </c>
      <c r="T140" s="746">
        <v>45596</v>
      </c>
      <c r="U140" s="752">
        <v>10206.249969088462</v>
      </c>
      <c r="V140" s="946"/>
      <c r="W140" s="746">
        <v>45604</v>
      </c>
      <c r="X140" s="948"/>
      <c r="Y140" s="208"/>
    </row>
    <row r="141" spans="1:42" ht="14.25" customHeight="1">
      <c r="B141" s="431"/>
      <c r="C141" s="432"/>
      <c r="D141" s="432"/>
      <c r="E141" s="433"/>
      <c r="F141" s="434"/>
      <c r="G141" s="435"/>
      <c r="H141" s="727"/>
      <c r="I141" s="972"/>
      <c r="J141" s="972"/>
      <c r="K141" s="330"/>
      <c r="L141" s="431">
        <v>14</v>
      </c>
      <c r="M141" s="728" t="s">
        <v>605</v>
      </c>
      <c r="N141" s="432" t="s">
        <v>604</v>
      </c>
      <c r="O141" s="433"/>
      <c r="P141" s="434"/>
      <c r="Q141" s="435">
        <v>7950.72</v>
      </c>
      <c r="R141" s="223"/>
      <c r="S141" s="825" t="s">
        <v>606</v>
      </c>
      <c r="T141" s="746">
        <v>45626</v>
      </c>
      <c r="U141" s="752">
        <v>3217.9856785988682</v>
      </c>
      <c r="V141" s="946"/>
      <c r="W141" s="729">
        <v>45632</v>
      </c>
      <c r="X141" s="948"/>
      <c r="Y141" s="208"/>
    </row>
    <row r="142" spans="1:42" ht="15" customHeight="1">
      <c r="B142" s="328">
        <v>14</v>
      </c>
      <c r="C142" s="331"/>
      <c r="D142" s="331"/>
      <c r="E142" s="436"/>
      <c r="F142" s="437"/>
      <c r="G142" s="326"/>
      <c r="H142" s="329"/>
      <c r="I142" s="972"/>
      <c r="J142" s="972"/>
      <c r="K142" s="330"/>
      <c r="L142" s="328">
        <v>14</v>
      </c>
      <c r="M142" s="687" t="s">
        <v>605</v>
      </c>
      <c r="N142" s="432" t="s">
        <v>604</v>
      </c>
      <c r="O142" s="436"/>
      <c r="P142" s="437"/>
      <c r="Q142" s="435">
        <v>1766.96</v>
      </c>
      <c r="R142" s="212"/>
      <c r="S142" s="825" t="s">
        <v>606</v>
      </c>
      <c r="T142" s="746">
        <v>45657</v>
      </c>
      <c r="U142" s="844">
        <v>801.6624799898517</v>
      </c>
      <c r="V142" s="938"/>
      <c r="W142" s="845">
        <v>45666</v>
      </c>
      <c r="X142" s="948"/>
      <c r="Y142" s="197"/>
      <c r="Z142" s="24"/>
      <c r="AA142" s="24"/>
    </row>
    <row r="143" spans="1:42" ht="15" customHeight="1">
      <c r="B143" s="328">
        <v>14</v>
      </c>
      <c r="C143" s="331"/>
      <c r="D143" s="331"/>
      <c r="E143" s="436"/>
      <c r="F143" s="437"/>
      <c r="G143" s="326"/>
      <c r="H143" s="329"/>
      <c r="I143" s="972"/>
      <c r="J143" s="972"/>
      <c r="K143" s="330"/>
      <c r="L143" s="328">
        <v>14</v>
      </c>
      <c r="M143" s="687" t="s">
        <v>605</v>
      </c>
      <c r="N143" s="432" t="s">
        <v>604</v>
      </c>
      <c r="O143" s="436"/>
      <c r="P143" s="437"/>
      <c r="Q143" s="326">
        <v>10295.200000000001</v>
      </c>
      <c r="R143" s="212"/>
      <c r="S143" s="825" t="s">
        <v>606</v>
      </c>
      <c r="T143" s="746">
        <v>45688</v>
      </c>
      <c r="U143" s="844">
        <v>3956.2687584926548</v>
      </c>
      <c r="V143" s="938"/>
      <c r="W143" s="746">
        <v>45695</v>
      </c>
      <c r="X143" s="948"/>
      <c r="Y143" s="197"/>
    </row>
    <row r="144" spans="1:42" ht="15" customHeight="1">
      <c r="B144" s="328">
        <v>14</v>
      </c>
      <c r="C144" s="331"/>
      <c r="D144" s="331"/>
      <c r="E144" s="436"/>
      <c r="F144" s="437"/>
      <c r="G144" s="326"/>
      <c r="H144" s="329"/>
      <c r="I144" s="972"/>
      <c r="J144" s="972"/>
      <c r="K144" s="330"/>
      <c r="L144" s="328">
        <v>14</v>
      </c>
      <c r="M144" s="687" t="s">
        <v>605</v>
      </c>
      <c r="N144" s="432" t="s">
        <v>604</v>
      </c>
      <c r="O144" s="436"/>
      <c r="P144" s="437"/>
      <c r="Q144" s="326">
        <v>0</v>
      </c>
      <c r="R144" s="212"/>
      <c r="S144" s="825" t="s">
        <v>606</v>
      </c>
      <c r="T144" s="845">
        <v>45716</v>
      </c>
      <c r="U144" s="844">
        <v>0</v>
      </c>
      <c r="V144" s="938"/>
      <c r="W144" s="845">
        <f>T144+7</f>
        <v>45723</v>
      </c>
      <c r="X144" s="948"/>
      <c r="Y144" s="197"/>
    </row>
    <row r="145" spans="1:42" ht="15" customHeight="1">
      <c r="B145" s="328">
        <v>14</v>
      </c>
      <c r="C145" s="610"/>
      <c r="D145" s="610"/>
      <c r="E145" s="611"/>
      <c r="F145" s="612"/>
      <c r="G145" s="613"/>
      <c r="H145" s="614"/>
      <c r="I145" s="972"/>
      <c r="J145" s="972"/>
      <c r="K145" s="330"/>
      <c r="L145" s="328">
        <v>14</v>
      </c>
      <c r="M145" s="687" t="s">
        <v>605</v>
      </c>
      <c r="N145" s="432" t="s">
        <v>604</v>
      </c>
      <c r="O145" s="611"/>
      <c r="P145" s="612"/>
      <c r="Q145" s="326">
        <v>0</v>
      </c>
      <c r="R145" s="615"/>
      <c r="S145" s="825" t="s">
        <v>606</v>
      </c>
      <c r="T145" s="845">
        <v>45747</v>
      </c>
      <c r="U145" s="844">
        <v>0</v>
      </c>
      <c r="V145" s="938"/>
      <c r="W145" s="850">
        <f>T145+7</f>
        <v>45754</v>
      </c>
      <c r="X145" s="948"/>
      <c r="Y145" s="616"/>
    </row>
    <row r="146" spans="1:42" ht="15" customHeight="1">
      <c r="B146" s="852"/>
      <c r="C146" s="610"/>
      <c r="D146" s="610"/>
      <c r="E146" s="611"/>
      <c r="F146" s="612"/>
      <c r="G146" s="613"/>
      <c r="H146" s="614"/>
      <c r="I146" s="972"/>
      <c r="J146" s="972"/>
      <c r="K146" s="330"/>
      <c r="L146" s="328">
        <v>14</v>
      </c>
      <c r="M146" s="687" t="s">
        <v>605</v>
      </c>
      <c r="N146" s="432" t="s">
        <v>604</v>
      </c>
      <c r="O146" s="611"/>
      <c r="P146" s="612"/>
      <c r="Q146" s="613">
        <v>9154.01</v>
      </c>
      <c r="R146" s="615"/>
      <c r="S146" s="825" t="s">
        <v>606</v>
      </c>
      <c r="T146" s="850">
        <v>45777</v>
      </c>
      <c r="U146" s="854">
        <v>1248.3503176612501</v>
      </c>
      <c r="V146" s="938"/>
      <c r="W146" s="853">
        <v>45785</v>
      </c>
      <c r="X146" s="948"/>
      <c r="Y146" s="616"/>
    </row>
    <row r="147" spans="1:42" ht="15" customHeight="1" thickBot="1">
      <c r="B147" s="332">
        <v>14</v>
      </c>
      <c r="C147" s="438"/>
      <c r="D147" s="438"/>
      <c r="E147" s="439"/>
      <c r="F147" s="440"/>
      <c r="G147" s="333"/>
      <c r="H147" s="334"/>
      <c r="I147" s="931"/>
      <c r="J147" s="931"/>
      <c r="K147" s="335"/>
      <c r="L147" s="332">
        <v>14</v>
      </c>
      <c r="M147" s="688" t="s">
        <v>605</v>
      </c>
      <c r="N147" s="438" t="s">
        <v>604</v>
      </c>
      <c r="O147" s="439"/>
      <c r="P147" s="440"/>
      <c r="Q147" s="333">
        <v>0</v>
      </c>
      <c r="R147" s="213"/>
      <c r="S147" s="863" t="s">
        <v>606</v>
      </c>
      <c r="T147" s="864">
        <v>45900</v>
      </c>
      <c r="U147" s="855">
        <v>0</v>
      </c>
      <c r="V147" s="939"/>
      <c r="W147" s="832">
        <f>T147+7</f>
        <v>45907</v>
      </c>
      <c r="X147" s="949"/>
      <c r="Y147" s="198"/>
    </row>
    <row r="148" spans="1:42" ht="14.45" thickBot="1">
      <c r="A148" s="24"/>
      <c r="B148" s="355"/>
      <c r="C148" s="337"/>
      <c r="D148" s="337"/>
      <c r="E148" s="356"/>
      <c r="F148" s="340"/>
      <c r="G148" s="358"/>
      <c r="H148" s="341"/>
      <c r="I148" s="444"/>
      <c r="J148" s="444"/>
      <c r="K148" s="24"/>
      <c r="L148" s="355"/>
      <c r="M148" s="337"/>
      <c r="N148" s="337"/>
      <c r="O148" s="356"/>
      <c r="P148" s="340"/>
      <c r="Q148" s="358"/>
      <c r="R148" s="214"/>
      <c r="S148" s="538"/>
      <c r="T148" s="523" t="str">
        <f t="shared" si="14"/>
        <v/>
      </c>
      <c r="U148" s="500"/>
      <c r="V148" s="642"/>
      <c r="W148" s="460"/>
      <c r="X148" s="472"/>
      <c r="Y148" s="199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>
      <c r="B149" s="343">
        <v>15</v>
      </c>
      <c r="C149" s="344" t="s">
        <v>607</v>
      </c>
      <c r="D149" s="344"/>
      <c r="E149" s="345"/>
      <c r="F149" s="441"/>
      <c r="G149" s="346"/>
      <c r="H149" s="347"/>
      <c r="I149" s="926">
        <f>SUM(G149:G152)</f>
        <v>0</v>
      </c>
      <c r="J149" s="926">
        <v>0</v>
      </c>
      <c r="K149" s="348"/>
      <c r="L149" s="343">
        <v>15</v>
      </c>
      <c r="M149" s="474" t="s">
        <v>608</v>
      </c>
      <c r="N149" s="344" t="s">
        <v>609</v>
      </c>
      <c r="O149" s="345"/>
      <c r="P149" s="441"/>
      <c r="Q149" s="346">
        <v>7200</v>
      </c>
      <c r="R149" s="215"/>
      <c r="S149" s="525" t="s">
        <v>610</v>
      </c>
      <c r="T149" s="725">
        <v>45808</v>
      </c>
      <c r="U149" s="510"/>
      <c r="V149" s="916">
        <f>J149-SUM(U149:U152)</f>
        <v>0</v>
      </c>
      <c r="W149" s="787">
        <v>45834</v>
      </c>
      <c r="X149" s="913">
        <v>0</v>
      </c>
      <c r="Y149" s="200"/>
    </row>
    <row r="150" spans="1:42">
      <c r="B150" s="389">
        <v>15</v>
      </c>
      <c r="C150" s="391"/>
      <c r="D150" s="391"/>
      <c r="E150" s="392"/>
      <c r="F150" s="442"/>
      <c r="G150" s="393"/>
      <c r="H150" s="351"/>
      <c r="I150" s="927"/>
      <c r="J150" s="927"/>
      <c r="K150" s="352"/>
      <c r="L150" s="389">
        <v>15</v>
      </c>
      <c r="M150" s="580" t="s">
        <v>608</v>
      </c>
      <c r="N150" s="391"/>
      <c r="O150" s="392"/>
      <c r="P150" s="442"/>
      <c r="Q150" s="393"/>
      <c r="R150" s="210"/>
      <c r="S150" s="453"/>
      <c r="T150" s="502" t="str">
        <f t="shared" si="14"/>
        <v/>
      </c>
      <c r="U150" s="550"/>
      <c r="V150" s="917"/>
      <c r="W150" s="462"/>
      <c r="X150" s="914"/>
      <c r="Y150" s="201"/>
    </row>
    <row r="151" spans="1:42">
      <c r="B151" s="389">
        <v>15</v>
      </c>
      <c r="C151" s="391"/>
      <c r="D151" s="391"/>
      <c r="E151" s="392"/>
      <c r="F151" s="442"/>
      <c r="G151" s="393"/>
      <c r="H151" s="351"/>
      <c r="I151" s="927"/>
      <c r="J151" s="927"/>
      <c r="K151" s="352"/>
      <c r="L151" s="389">
        <v>15</v>
      </c>
      <c r="M151" s="580" t="s">
        <v>608</v>
      </c>
      <c r="N151" s="391"/>
      <c r="O151" s="392"/>
      <c r="P151" s="442"/>
      <c r="Q151" s="393"/>
      <c r="R151" s="210"/>
      <c r="S151" s="453"/>
      <c r="T151" s="502" t="str">
        <f t="shared" si="14"/>
        <v/>
      </c>
      <c r="U151" s="550"/>
      <c r="V151" s="917"/>
      <c r="W151" s="462"/>
      <c r="X151" s="914"/>
      <c r="Y151" s="201"/>
    </row>
    <row r="152" spans="1:42" ht="14.45" thickBot="1">
      <c r="B152" s="395">
        <v>15</v>
      </c>
      <c r="C152" s="396"/>
      <c r="D152" s="396"/>
      <c r="E152" s="397"/>
      <c r="F152" s="443"/>
      <c r="G152" s="416"/>
      <c r="H152" s="353"/>
      <c r="I152" s="928"/>
      <c r="J152" s="928"/>
      <c r="K152" s="354"/>
      <c r="L152" s="395">
        <v>15</v>
      </c>
      <c r="M152" s="668" t="s">
        <v>608</v>
      </c>
      <c r="N152" s="396"/>
      <c r="O152" s="397"/>
      <c r="P152" s="443"/>
      <c r="Q152" s="416"/>
      <c r="R152" s="216"/>
      <c r="S152" s="545"/>
      <c r="T152" s="503" t="str">
        <f t="shared" si="14"/>
        <v/>
      </c>
      <c r="U152" s="551"/>
      <c r="V152" s="918"/>
      <c r="W152" s="463"/>
      <c r="X152" s="915"/>
      <c r="Y152" s="202"/>
    </row>
    <row r="153" spans="1:42" s="3" customFormat="1">
      <c r="B153" s="109"/>
      <c r="E153" s="4"/>
      <c r="F153" s="109"/>
      <c r="G153" s="5"/>
      <c r="H153" s="5"/>
      <c r="I153" s="445"/>
      <c r="J153" s="445"/>
      <c r="L153" s="109"/>
      <c r="O153" s="4"/>
      <c r="P153" s="109"/>
      <c r="Q153" s="446"/>
      <c r="R153" s="446"/>
      <c r="S153" s="446"/>
      <c r="T153" s="446"/>
      <c r="U153" s="446"/>
      <c r="V153" s="446"/>
      <c r="W153" s="446"/>
      <c r="X153" s="446"/>
    </row>
    <row r="154" spans="1:42">
      <c r="B154" s="114"/>
      <c r="C154" s="114"/>
      <c r="D154" s="114"/>
      <c r="E154" s="167"/>
      <c r="F154" s="115"/>
      <c r="G154" s="114"/>
      <c r="H154" s="114"/>
      <c r="I154" s="114"/>
      <c r="J154" s="114"/>
      <c r="L154" s="114"/>
      <c r="M154" s="114"/>
      <c r="N154" s="114"/>
      <c r="O154" s="114"/>
      <c r="P154" s="114"/>
      <c r="Q154" s="307"/>
      <c r="R154" s="114"/>
      <c r="S154" s="307"/>
      <c r="T154" s="307"/>
      <c r="U154" s="496">
        <f>SUM(U6:U147)</f>
        <v>9734366.0622285455</v>
      </c>
      <c r="V154" s="307"/>
      <c r="W154" s="307"/>
      <c r="X154" s="307"/>
    </row>
    <row r="155" spans="1:42">
      <c r="B155" s="114"/>
      <c r="C155" s="114"/>
      <c r="D155" s="114"/>
      <c r="E155" s="167"/>
      <c r="F155" s="115"/>
      <c r="G155" s="114"/>
      <c r="H155" s="114"/>
      <c r="I155" s="306"/>
      <c r="J155" s="306"/>
      <c r="L155" s="114"/>
      <c r="M155" s="114"/>
      <c r="N155" s="114"/>
      <c r="O155" s="167"/>
      <c r="P155" s="115"/>
      <c r="Q155" s="307"/>
      <c r="R155" s="168"/>
      <c r="S155" s="307"/>
      <c r="T155" s="307"/>
      <c r="U155" s="307"/>
      <c r="V155" s="307"/>
      <c r="W155" s="307"/>
      <c r="X155" s="307"/>
    </row>
    <row r="156" spans="1:42">
      <c r="B156" s="114"/>
      <c r="C156" s="114"/>
      <c r="D156" s="114"/>
      <c r="E156" s="167"/>
      <c r="F156" s="115"/>
      <c r="G156" s="114"/>
      <c r="H156" s="114"/>
      <c r="I156" s="447"/>
      <c r="J156" s="447"/>
      <c r="L156" s="114"/>
      <c r="M156" s="114"/>
      <c r="N156" s="114"/>
      <c r="O156" s="167"/>
      <c r="P156" s="115"/>
      <c r="Q156" s="307"/>
      <c r="R156" s="168"/>
      <c r="S156" s="307"/>
      <c r="T156" s="307"/>
      <c r="U156" s="307"/>
      <c r="V156" s="307"/>
      <c r="W156" s="307"/>
      <c r="X156" s="307"/>
    </row>
    <row r="157" spans="1:42">
      <c r="B157" s="114"/>
      <c r="C157" s="114"/>
      <c r="D157" s="114"/>
      <c r="E157" s="167"/>
      <c r="F157" s="115"/>
      <c r="G157" s="114"/>
      <c r="H157" s="114"/>
      <c r="I157" s="306"/>
      <c r="J157" s="306"/>
      <c r="L157" s="114"/>
      <c r="M157" s="114"/>
      <c r="N157" s="114"/>
      <c r="O157" s="167"/>
      <c r="P157" s="115"/>
      <c r="Q157" s="307"/>
      <c r="R157" s="168"/>
      <c r="S157" s="307"/>
      <c r="T157" s="307"/>
      <c r="U157" s="307"/>
      <c r="V157" s="307"/>
      <c r="W157" s="307"/>
      <c r="X157" s="307"/>
    </row>
    <row r="158" spans="1:42">
      <c r="B158" s="114"/>
      <c r="C158" s="114"/>
      <c r="D158" s="114"/>
      <c r="E158" s="167"/>
      <c r="F158" s="115"/>
      <c r="G158" s="114"/>
      <c r="H158" s="114"/>
      <c r="I158" s="447"/>
      <c r="J158" s="447"/>
      <c r="L158" s="114"/>
      <c r="M158" s="114"/>
      <c r="N158" s="114"/>
      <c r="O158" s="167"/>
      <c r="P158" s="115"/>
      <c r="Q158" s="307"/>
      <c r="R158" s="168"/>
      <c r="S158" s="307"/>
      <c r="T158" s="307"/>
      <c r="U158" s="307"/>
      <c r="V158" s="307"/>
      <c r="W158" s="307"/>
      <c r="X158" s="307"/>
    </row>
    <row r="159" spans="1:42">
      <c r="B159" s="114"/>
      <c r="C159" s="114"/>
      <c r="D159" s="114"/>
      <c r="E159" s="167"/>
      <c r="F159" s="115"/>
      <c r="G159" s="114"/>
      <c r="H159" s="114"/>
      <c r="I159" s="306"/>
      <c r="J159" s="306"/>
      <c r="L159" s="114"/>
      <c r="M159" s="114"/>
      <c r="N159" s="114"/>
      <c r="O159" s="167"/>
      <c r="P159" s="115"/>
      <c r="Q159" s="307"/>
      <c r="R159" s="168"/>
      <c r="S159" s="307"/>
      <c r="T159" s="307"/>
      <c r="U159" s="307"/>
      <c r="V159" s="307"/>
      <c r="W159" s="307"/>
      <c r="X159" s="307"/>
    </row>
    <row r="160" spans="1:42">
      <c r="B160" s="114"/>
      <c r="C160" s="114"/>
      <c r="D160" s="114"/>
      <c r="E160" s="167"/>
      <c r="F160" s="115"/>
      <c r="G160" s="114"/>
      <c r="H160" s="114"/>
      <c r="I160" s="306"/>
      <c r="J160" s="306"/>
      <c r="L160" s="114"/>
      <c r="M160" s="114"/>
      <c r="N160" s="114"/>
      <c r="O160" s="167"/>
      <c r="P160" s="115"/>
      <c r="Q160" s="496"/>
      <c r="R160" s="168"/>
      <c r="S160" s="307"/>
      <c r="T160" s="307"/>
      <c r="U160" s="307"/>
      <c r="V160" s="307"/>
      <c r="W160" s="307"/>
      <c r="X160" s="307"/>
    </row>
    <row r="161" spans="2:24">
      <c r="B161" s="114"/>
      <c r="C161" s="114"/>
      <c r="D161" s="114"/>
      <c r="E161" s="167"/>
      <c r="F161" s="115"/>
      <c r="G161" s="114"/>
      <c r="H161" s="114"/>
      <c r="I161" s="306"/>
      <c r="J161" s="306"/>
      <c r="L161" s="114"/>
      <c r="M161" s="114"/>
      <c r="N161" s="114"/>
      <c r="O161" s="167"/>
      <c r="P161" s="115"/>
      <c r="Q161" s="307"/>
      <c r="R161" s="168"/>
      <c r="S161" s="307"/>
      <c r="T161" s="307"/>
      <c r="U161" s="307"/>
      <c r="V161" s="307"/>
      <c r="W161" s="307"/>
      <c r="X161" s="307"/>
    </row>
    <row r="162" spans="2:24">
      <c r="B162" s="114"/>
      <c r="C162" s="114"/>
      <c r="D162" s="114"/>
      <c r="E162" s="167"/>
      <c r="F162" s="115"/>
      <c r="G162" s="114"/>
      <c r="H162" s="114"/>
      <c r="I162" s="306"/>
      <c r="J162" s="306"/>
      <c r="L162" s="114"/>
      <c r="M162" s="114"/>
      <c r="N162" s="114"/>
      <c r="O162" s="167"/>
      <c r="P162" s="115"/>
      <c r="Q162" s="307"/>
      <c r="R162" s="168"/>
      <c r="S162" s="307"/>
      <c r="T162" s="307"/>
      <c r="U162" s="307"/>
      <c r="V162" s="307"/>
      <c r="W162" s="307"/>
      <c r="X162" s="307"/>
    </row>
    <row r="163" spans="2:24">
      <c r="B163" s="114"/>
      <c r="C163" s="114"/>
      <c r="D163" s="114"/>
      <c r="E163" s="167"/>
      <c r="F163" s="115"/>
      <c r="G163" s="114"/>
      <c r="H163" s="114"/>
      <c r="I163" s="306"/>
      <c r="J163" s="306"/>
      <c r="L163" s="114"/>
      <c r="M163" s="114"/>
      <c r="N163" s="114"/>
      <c r="O163" s="167"/>
      <c r="P163" s="115"/>
      <c r="Q163" s="307"/>
      <c r="R163" s="168"/>
      <c r="S163" s="307"/>
      <c r="T163" s="307"/>
      <c r="U163" s="307"/>
      <c r="V163" s="307"/>
      <c r="W163" s="307"/>
      <c r="X163" s="307"/>
    </row>
    <row r="164" spans="2:24">
      <c r="B164" s="114"/>
      <c r="C164" s="114"/>
      <c r="D164" s="114"/>
      <c r="E164" s="167"/>
      <c r="F164" s="115"/>
      <c r="G164" s="114"/>
      <c r="H164" s="114"/>
      <c r="I164" s="306"/>
      <c r="J164" s="306"/>
      <c r="L164" s="114"/>
      <c r="M164" s="114"/>
      <c r="N164" s="114"/>
      <c r="O164" s="167"/>
      <c r="P164" s="115"/>
      <c r="Q164" s="307"/>
      <c r="R164" s="168"/>
      <c r="S164" s="307"/>
      <c r="T164" s="307"/>
      <c r="U164" s="307"/>
      <c r="V164" s="307"/>
      <c r="W164" s="307"/>
      <c r="X164" s="307"/>
    </row>
    <row r="165" spans="2:24">
      <c r="B165" s="114"/>
      <c r="C165" s="114"/>
      <c r="D165" s="114"/>
      <c r="E165" s="167"/>
      <c r="F165" s="115"/>
      <c r="G165" s="114"/>
      <c r="H165" s="114"/>
      <c r="I165" s="306"/>
      <c r="J165" s="306"/>
      <c r="L165" s="114"/>
      <c r="M165" s="114"/>
      <c r="N165" s="114"/>
      <c r="O165" s="167"/>
      <c r="P165" s="115"/>
      <c r="Q165" s="307"/>
      <c r="R165" s="168"/>
      <c r="S165" s="307"/>
      <c r="T165" s="307"/>
      <c r="U165" s="307"/>
      <c r="V165" s="307"/>
      <c r="W165" s="307"/>
      <c r="X165" s="307"/>
    </row>
    <row r="166" spans="2:24">
      <c r="B166" s="114"/>
      <c r="C166" s="114"/>
      <c r="D166" s="114"/>
      <c r="E166" s="167"/>
      <c r="F166" s="115"/>
      <c r="G166" s="114"/>
      <c r="H166" s="114"/>
      <c r="I166" s="306"/>
      <c r="J166" s="306"/>
      <c r="L166" s="114"/>
      <c r="M166" s="114"/>
      <c r="N166" s="114"/>
      <c r="O166" s="167"/>
      <c r="P166" s="115"/>
      <c r="Q166" s="307"/>
      <c r="R166" s="168"/>
      <c r="S166" s="307"/>
      <c r="T166" s="307"/>
      <c r="U166" s="307"/>
      <c r="V166" s="307"/>
      <c r="W166" s="307"/>
      <c r="X166" s="307"/>
    </row>
    <row r="167" spans="2:24" s="114" customFormat="1">
      <c r="E167" s="167"/>
      <c r="F167" s="115"/>
      <c r="I167" s="306"/>
      <c r="J167" s="306"/>
      <c r="O167" s="167"/>
      <c r="P167" s="115"/>
      <c r="Q167" s="307"/>
      <c r="R167" s="168"/>
      <c r="S167" s="307"/>
      <c r="T167" s="307"/>
      <c r="U167" s="307"/>
      <c r="V167" s="307"/>
      <c r="W167" s="307"/>
      <c r="X167" s="307"/>
    </row>
    <row r="168" spans="2:24" s="114" customFormat="1">
      <c r="E168" s="167"/>
      <c r="F168" s="115"/>
      <c r="I168" s="306"/>
      <c r="J168" s="306"/>
      <c r="O168" s="167"/>
      <c r="P168" s="115"/>
      <c r="Q168" s="307"/>
      <c r="R168" s="168"/>
      <c r="S168" s="307"/>
      <c r="T168" s="307"/>
      <c r="U168" s="307"/>
      <c r="V168" s="307"/>
      <c r="W168" s="307"/>
      <c r="X168" s="307"/>
    </row>
    <row r="169" spans="2:24" s="114" customFormat="1">
      <c r="E169" s="167"/>
      <c r="F169" s="115"/>
      <c r="I169" s="306"/>
      <c r="J169" s="306"/>
      <c r="O169" s="167"/>
      <c r="P169" s="115"/>
      <c r="Q169" s="307"/>
      <c r="R169" s="168"/>
      <c r="S169" s="307"/>
      <c r="T169" s="307"/>
      <c r="U169" s="307"/>
      <c r="V169" s="307"/>
      <c r="W169" s="307"/>
      <c r="X169" s="307"/>
    </row>
    <row r="170" spans="2:24" s="114" customFormat="1">
      <c r="E170" s="167"/>
      <c r="F170" s="115"/>
      <c r="I170" s="306"/>
      <c r="J170" s="306"/>
      <c r="O170" s="167"/>
      <c r="P170" s="115"/>
      <c r="Q170" s="307"/>
      <c r="R170" s="168"/>
      <c r="S170" s="307"/>
      <c r="T170" s="307"/>
      <c r="U170" s="307"/>
      <c r="V170" s="307"/>
      <c r="W170" s="307"/>
      <c r="X170" s="307"/>
    </row>
    <row r="171" spans="2:24" s="114" customFormat="1">
      <c r="E171" s="167"/>
      <c r="F171" s="115"/>
      <c r="I171" s="306"/>
      <c r="J171" s="306"/>
      <c r="O171" s="167"/>
      <c r="P171" s="115"/>
      <c r="Q171" s="307"/>
      <c r="R171" s="168"/>
      <c r="S171" s="307"/>
      <c r="T171" s="307"/>
      <c r="U171" s="307"/>
      <c r="V171" s="307"/>
      <c r="W171" s="307"/>
      <c r="X171" s="307"/>
    </row>
    <row r="172" spans="2:24" s="114" customFormat="1">
      <c r="E172" s="167"/>
      <c r="F172" s="115"/>
      <c r="I172" s="306"/>
      <c r="J172" s="306"/>
      <c r="O172" s="167"/>
      <c r="P172" s="115"/>
      <c r="Q172" s="307"/>
      <c r="R172" s="168"/>
      <c r="S172" s="307"/>
      <c r="T172" s="307"/>
      <c r="U172" s="307"/>
      <c r="V172" s="307"/>
      <c r="W172" s="307"/>
      <c r="X172" s="307"/>
    </row>
    <row r="173" spans="2:24" s="114" customFormat="1">
      <c r="E173" s="167"/>
      <c r="F173" s="115"/>
      <c r="I173" s="306"/>
      <c r="J173" s="306"/>
      <c r="O173" s="167"/>
      <c r="P173" s="115"/>
      <c r="Q173" s="307"/>
      <c r="R173" s="168"/>
      <c r="S173" s="307"/>
      <c r="T173" s="307"/>
      <c r="U173" s="307"/>
      <c r="V173" s="307"/>
      <c r="W173" s="307"/>
      <c r="X173" s="307"/>
    </row>
    <row r="174" spans="2:24" s="114" customFormat="1">
      <c r="E174" s="167"/>
      <c r="F174" s="115"/>
      <c r="I174" s="306"/>
      <c r="J174" s="306"/>
      <c r="O174" s="167"/>
      <c r="P174" s="115"/>
      <c r="Q174" s="307"/>
      <c r="R174" s="168"/>
      <c r="S174" s="307"/>
      <c r="T174" s="307"/>
      <c r="U174" s="307"/>
      <c r="V174" s="307"/>
      <c r="W174" s="307"/>
      <c r="X174" s="307"/>
    </row>
    <row r="175" spans="2:24" s="114" customFormat="1">
      <c r="E175" s="167"/>
      <c r="F175" s="115"/>
      <c r="I175" s="306"/>
      <c r="J175" s="306"/>
      <c r="O175" s="167"/>
      <c r="P175" s="115"/>
      <c r="Q175" s="307"/>
      <c r="R175" s="168"/>
      <c r="S175" s="307"/>
      <c r="T175" s="307"/>
      <c r="U175" s="307"/>
      <c r="V175" s="307"/>
      <c r="W175" s="307"/>
      <c r="X175" s="307"/>
    </row>
    <row r="176" spans="2:24" s="114" customFormat="1">
      <c r="E176" s="167"/>
      <c r="F176" s="115"/>
      <c r="I176" s="306"/>
      <c r="J176" s="306"/>
      <c r="O176" s="167"/>
      <c r="P176" s="115"/>
      <c r="Q176" s="307"/>
      <c r="R176" s="168"/>
      <c r="S176" s="307"/>
      <c r="T176" s="307"/>
      <c r="U176" s="307"/>
      <c r="V176" s="307"/>
      <c r="W176" s="307"/>
      <c r="X176" s="307"/>
    </row>
    <row r="177" spans="5:24" s="114" customFormat="1">
      <c r="E177" s="167"/>
      <c r="F177" s="115"/>
      <c r="I177" s="306"/>
      <c r="J177" s="306"/>
      <c r="O177" s="167"/>
      <c r="P177" s="115"/>
      <c r="Q177" s="307"/>
      <c r="R177" s="168"/>
      <c r="S177" s="307"/>
      <c r="T177" s="307"/>
      <c r="U177" s="307"/>
      <c r="V177" s="307"/>
      <c r="W177" s="307"/>
      <c r="X177" s="307"/>
    </row>
    <row r="178" spans="5:24" s="114" customFormat="1">
      <c r="E178" s="167"/>
      <c r="F178" s="115"/>
      <c r="I178" s="306"/>
      <c r="J178" s="306"/>
      <c r="O178" s="167"/>
      <c r="P178" s="115"/>
      <c r="Q178" s="307"/>
      <c r="R178" s="168"/>
      <c r="S178" s="307"/>
      <c r="T178" s="307"/>
      <c r="U178" s="307"/>
      <c r="V178" s="307"/>
      <c r="W178" s="307"/>
      <c r="X178" s="307"/>
    </row>
    <row r="179" spans="5:24" s="114" customFormat="1">
      <c r="E179" s="167"/>
      <c r="F179" s="115"/>
      <c r="I179" s="306"/>
      <c r="J179" s="306"/>
      <c r="O179" s="167"/>
      <c r="P179" s="115"/>
      <c r="Q179" s="307"/>
      <c r="R179" s="168"/>
      <c r="S179" s="307"/>
      <c r="T179" s="307"/>
      <c r="U179" s="307"/>
      <c r="V179" s="307"/>
      <c r="W179" s="307"/>
      <c r="X179" s="307"/>
    </row>
    <row r="180" spans="5:24" s="114" customFormat="1">
      <c r="E180" s="167"/>
      <c r="F180" s="115"/>
      <c r="I180" s="306"/>
      <c r="J180" s="306"/>
      <c r="O180" s="167"/>
      <c r="P180" s="115"/>
      <c r="Q180" s="307"/>
      <c r="R180" s="168"/>
      <c r="S180" s="307"/>
      <c r="T180" s="307"/>
      <c r="U180" s="307"/>
      <c r="V180" s="307"/>
      <c r="W180" s="307"/>
      <c r="X180" s="307"/>
    </row>
    <row r="181" spans="5:24" s="114" customFormat="1">
      <c r="E181" s="167"/>
      <c r="F181" s="115"/>
      <c r="I181" s="306"/>
      <c r="J181" s="306"/>
      <c r="O181" s="167"/>
      <c r="P181" s="115"/>
      <c r="Q181" s="307"/>
      <c r="R181" s="168"/>
      <c r="S181" s="307"/>
      <c r="T181" s="307"/>
      <c r="U181" s="307"/>
      <c r="V181" s="307"/>
      <c r="W181" s="307"/>
      <c r="X181" s="307"/>
    </row>
    <row r="182" spans="5:24" s="114" customFormat="1">
      <c r="E182" s="167"/>
      <c r="F182" s="115"/>
      <c r="I182" s="306"/>
      <c r="J182" s="306"/>
      <c r="O182" s="167"/>
      <c r="P182" s="115"/>
      <c r="Q182" s="307"/>
      <c r="R182" s="168"/>
      <c r="S182" s="307"/>
      <c r="T182" s="307"/>
      <c r="U182" s="307"/>
      <c r="V182" s="307"/>
      <c r="W182" s="307"/>
      <c r="X182" s="307"/>
    </row>
    <row r="183" spans="5:24" s="114" customFormat="1">
      <c r="E183" s="167"/>
      <c r="F183" s="115"/>
      <c r="I183" s="306"/>
      <c r="J183" s="306"/>
      <c r="O183" s="167"/>
      <c r="P183" s="115"/>
      <c r="Q183" s="307"/>
      <c r="R183" s="168"/>
      <c r="S183" s="307"/>
      <c r="T183" s="307"/>
      <c r="U183" s="307"/>
      <c r="V183" s="307"/>
      <c r="W183" s="307"/>
      <c r="X183" s="307"/>
    </row>
    <row r="184" spans="5:24" s="114" customFormat="1">
      <c r="E184" s="167"/>
      <c r="F184" s="115"/>
      <c r="I184" s="306"/>
      <c r="J184" s="306"/>
      <c r="O184" s="167"/>
      <c r="P184" s="115"/>
      <c r="Q184" s="307"/>
      <c r="R184" s="168"/>
      <c r="S184" s="307"/>
      <c r="T184" s="307"/>
      <c r="U184" s="307"/>
      <c r="V184" s="307"/>
      <c r="W184" s="307"/>
      <c r="X184" s="307"/>
    </row>
    <row r="185" spans="5:24" s="114" customFormat="1">
      <c r="E185" s="167"/>
      <c r="F185" s="115"/>
      <c r="I185" s="306"/>
      <c r="J185" s="306"/>
      <c r="O185" s="167"/>
      <c r="P185" s="115"/>
      <c r="Q185" s="307"/>
      <c r="R185" s="168"/>
      <c r="S185" s="307"/>
      <c r="T185" s="307"/>
      <c r="U185" s="307"/>
      <c r="V185" s="307"/>
      <c r="W185" s="307"/>
      <c r="X185" s="307"/>
    </row>
    <row r="186" spans="5:24" s="114" customFormat="1">
      <c r="E186" s="167"/>
      <c r="F186" s="115"/>
      <c r="I186" s="306"/>
      <c r="J186" s="306"/>
      <c r="O186" s="167"/>
      <c r="P186" s="115"/>
      <c r="Q186" s="307"/>
      <c r="R186" s="168"/>
      <c r="S186" s="307"/>
      <c r="T186" s="307"/>
      <c r="U186" s="307"/>
      <c r="V186" s="307"/>
      <c r="W186" s="307"/>
      <c r="X186" s="307"/>
    </row>
    <row r="187" spans="5:24" s="114" customFormat="1">
      <c r="E187" s="167"/>
      <c r="F187" s="115"/>
      <c r="I187" s="306"/>
      <c r="J187" s="306"/>
      <c r="O187" s="167"/>
      <c r="P187" s="115"/>
      <c r="Q187" s="307"/>
      <c r="R187" s="168"/>
      <c r="S187" s="307"/>
      <c r="T187" s="307"/>
      <c r="U187" s="307"/>
      <c r="V187" s="307"/>
      <c r="W187" s="307"/>
      <c r="X187" s="307"/>
    </row>
    <row r="188" spans="5:24" s="114" customFormat="1">
      <c r="E188" s="167"/>
      <c r="F188" s="115"/>
      <c r="I188" s="306"/>
      <c r="J188" s="306"/>
      <c r="O188" s="167"/>
      <c r="P188" s="115"/>
      <c r="Q188" s="307"/>
      <c r="R188" s="168"/>
      <c r="S188" s="307"/>
      <c r="T188" s="307"/>
      <c r="U188" s="307"/>
      <c r="V188" s="307"/>
      <c r="W188" s="307"/>
      <c r="X188" s="307"/>
    </row>
    <row r="189" spans="5:24" s="114" customFormat="1">
      <c r="E189" s="167"/>
      <c r="F189" s="115"/>
      <c r="I189" s="306"/>
      <c r="J189" s="306"/>
      <c r="O189" s="167"/>
      <c r="P189" s="115"/>
      <c r="Q189" s="307"/>
      <c r="R189" s="168"/>
      <c r="S189" s="307"/>
      <c r="T189" s="307"/>
      <c r="U189" s="307"/>
      <c r="V189" s="307"/>
      <c r="W189" s="307"/>
      <c r="X189" s="307"/>
    </row>
    <row r="190" spans="5:24" s="114" customFormat="1">
      <c r="E190" s="167"/>
      <c r="F190" s="115"/>
      <c r="I190" s="306"/>
      <c r="J190" s="306"/>
      <c r="O190" s="167"/>
      <c r="P190" s="115"/>
      <c r="Q190" s="307"/>
      <c r="R190" s="168"/>
      <c r="S190" s="307"/>
      <c r="T190" s="307"/>
      <c r="U190" s="307"/>
      <c r="V190" s="307"/>
      <c r="W190" s="307"/>
      <c r="X190" s="307"/>
    </row>
    <row r="191" spans="5:24" s="114" customFormat="1">
      <c r="E191" s="167"/>
      <c r="F191" s="115"/>
      <c r="I191" s="306"/>
      <c r="J191" s="306"/>
      <c r="O191" s="167"/>
      <c r="P191" s="115"/>
      <c r="Q191" s="307"/>
      <c r="R191" s="168"/>
      <c r="S191" s="307"/>
      <c r="T191" s="307"/>
      <c r="U191" s="307"/>
      <c r="V191" s="307"/>
      <c r="W191" s="307"/>
      <c r="X191" s="307"/>
    </row>
    <row r="192" spans="5:24" s="114" customFormat="1">
      <c r="E192" s="167"/>
      <c r="F192" s="115"/>
      <c r="I192" s="306"/>
      <c r="J192" s="306"/>
      <c r="O192" s="167"/>
      <c r="P192" s="115"/>
      <c r="Q192" s="307"/>
      <c r="R192" s="168"/>
      <c r="S192" s="307"/>
      <c r="T192" s="307"/>
      <c r="U192" s="307"/>
      <c r="V192" s="307"/>
      <c r="W192" s="307"/>
      <c r="X192" s="307"/>
    </row>
    <row r="193" spans="5:24" s="114" customFormat="1">
      <c r="E193" s="167"/>
      <c r="F193" s="115"/>
      <c r="I193" s="306"/>
      <c r="J193" s="306"/>
      <c r="O193" s="167"/>
      <c r="P193" s="115"/>
      <c r="Q193" s="307"/>
      <c r="R193" s="168"/>
      <c r="S193" s="307"/>
      <c r="T193" s="307"/>
      <c r="U193" s="307"/>
      <c r="V193" s="307"/>
      <c r="W193" s="307"/>
      <c r="X193" s="307"/>
    </row>
    <row r="194" spans="5:24" s="114" customFormat="1">
      <c r="E194" s="167"/>
      <c r="F194" s="115"/>
      <c r="I194" s="306"/>
      <c r="J194" s="306"/>
      <c r="O194" s="167"/>
      <c r="P194" s="115"/>
      <c r="Q194" s="307"/>
      <c r="R194" s="168"/>
      <c r="S194" s="307"/>
      <c r="T194" s="307"/>
      <c r="U194" s="307"/>
      <c r="V194" s="307"/>
      <c r="W194" s="307"/>
      <c r="X194" s="307"/>
    </row>
    <row r="195" spans="5:24" s="114" customFormat="1">
      <c r="E195" s="167"/>
      <c r="F195" s="115"/>
      <c r="I195" s="306"/>
      <c r="J195" s="306"/>
      <c r="O195" s="167"/>
      <c r="P195" s="115"/>
      <c r="Q195" s="307"/>
      <c r="R195" s="168"/>
      <c r="S195" s="307"/>
      <c r="T195" s="307"/>
      <c r="U195" s="307"/>
      <c r="V195" s="307"/>
      <c r="W195" s="307"/>
      <c r="X195" s="307"/>
    </row>
    <row r="196" spans="5:24" s="114" customFormat="1">
      <c r="E196" s="167"/>
      <c r="F196" s="115"/>
      <c r="I196" s="306"/>
      <c r="J196" s="306"/>
      <c r="O196" s="167"/>
      <c r="P196" s="115"/>
      <c r="Q196" s="307"/>
      <c r="R196" s="168"/>
      <c r="S196" s="307"/>
      <c r="T196" s="307"/>
      <c r="U196" s="307"/>
      <c r="V196" s="307"/>
      <c r="W196" s="307"/>
      <c r="X196" s="307"/>
    </row>
    <row r="197" spans="5:24" s="114" customFormat="1">
      <c r="E197" s="167"/>
      <c r="F197" s="115"/>
      <c r="I197" s="306"/>
      <c r="J197" s="306"/>
      <c r="O197" s="167"/>
      <c r="P197" s="115"/>
      <c r="Q197" s="307"/>
      <c r="R197" s="168"/>
      <c r="S197" s="307"/>
      <c r="T197" s="307"/>
      <c r="U197" s="307"/>
      <c r="V197" s="307"/>
      <c r="W197" s="307"/>
      <c r="X197" s="307"/>
    </row>
    <row r="198" spans="5:24" s="114" customFormat="1">
      <c r="E198" s="167"/>
      <c r="F198" s="115"/>
      <c r="I198" s="306"/>
      <c r="J198" s="306"/>
      <c r="O198" s="167"/>
      <c r="P198" s="115"/>
      <c r="Q198" s="307"/>
      <c r="R198" s="168"/>
      <c r="S198" s="307"/>
      <c r="T198" s="307"/>
      <c r="U198" s="307"/>
      <c r="V198" s="307"/>
      <c r="W198" s="307"/>
      <c r="X198" s="307"/>
    </row>
    <row r="199" spans="5:24" s="114" customFormat="1">
      <c r="E199" s="167"/>
      <c r="F199" s="115"/>
      <c r="I199" s="306"/>
      <c r="J199" s="306"/>
      <c r="O199" s="167"/>
      <c r="P199" s="115"/>
      <c r="Q199" s="307"/>
      <c r="R199" s="168"/>
      <c r="S199" s="307"/>
      <c r="T199" s="307"/>
      <c r="U199" s="307"/>
      <c r="V199" s="307"/>
      <c r="W199" s="307"/>
      <c r="X199" s="307"/>
    </row>
    <row r="200" spans="5:24" s="114" customFormat="1">
      <c r="E200" s="167"/>
      <c r="F200" s="115"/>
      <c r="I200" s="306"/>
      <c r="J200" s="306"/>
      <c r="O200" s="167"/>
      <c r="P200" s="115"/>
      <c r="Q200" s="307"/>
      <c r="R200" s="168"/>
      <c r="S200" s="307"/>
      <c r="T200" s="307"/>
      <c r="U200" s="307"/>
      <c r="V200" s="307"/>
      <c r="W200" s="307"/>
      <c r="X200" s="307"/>
    </row>
    <row r="201" spans="5:24" s="114" customFormat="1">
      <c r="E201" s="167"/>
      <c r="F201" s="115"/>
      <c r="I201" s="306"/>
      <c r="J201" s="306"/>
      <c r="O201" s="167"/>
      <c r="P201" s="115"/>
      <c r="Q201" s="307"/>
      <c r="R201" s="168"/>
      <c r="S201" s="307"/>
      <c r="T201" s="307"/>
      <c r="U201" s="307"/>
      <c r="V201" s="307"/>
      <c r="W201" s="307"/>
      <c r="X201" s="307"/>
    </row>
    <row r="202" spans="5:24" s="114" customFormat="1">
      <c r="E202" s="167"/>
      <c r="F202" s="115"/>
      <c r="I202" s="306"/>
      <c r="J202" s="306"/>
      <c r="O202" s="167"/>
      <c r="P202" s="115"/>
      <c r="Q202" s="307"/>
      <c r="R202" s="168"/>
      <c r="S202" s="307"/>
      <c r="T202" s="307"/>
      <c r="U202" s="307"/>
      <c r="V202" s="307"/>
      <c r="W202" s="307"/>
      <c r="X202" s="307"/>
    </row>
    <row r="203" spans="5:24" s="114" customFormat="1">
      <c r="E203" s="167"/>
      <c r="F203" s="115"/>
      <c r="I203" s="306"/>
      <c r="J203" s="306"/>
      <c r="O203" s="167"/>
      <c r="P203" s="115"/>
      <c r="Q203" s="307"/>
      <c r="R203" s="168"/>
      <c r="S203" s="307"/>
      <c r="T203" s="307"/>
      <c r="U203" s="307"/>
      <c r="V203" s="307"/>
      <c r="W203" s="307"/>
      <c r="X203" s="307"/>
    </row>
    <row r="204" spans="5:24" s="114" customFormat="1">
      <c r="E204" s="167"/>
      <c r="F204" s="115"/>
      <c r="I204" s="306"/>
      <c r="J204" s="306"/>
      <c r="O204" s="167"/>
      <c r="P204" s="115"/>
      <c r="Q204" s="307"/>
      <c r="R204" s="168"/>
      <c r="S204" s="307"/>
      <c r="T204" s="307"/>
      <c r="U204" s="307"/>
      <c r="V204" s="307"/>
      <c r="W204" s="307"/>
      <c r="X204" s="307"/>
    </row>
    <row r="205" spans="5:24" s="114" customFormat="1">
      <c r="E205" s="167"/>
      <c r="F205" s="115"/>
      <c r="I205" s="306"/>
      <c r="J205" s="306"/>
      <c r="O205" s="167"/>
      <c r="P205" s="115"/>
      <c r="Q205" s="307"/>
      <c r="R205" s="168"/>
      <c r="S205" s="307"/>
      <c r="T205" s="307"/>
      <c r="U205" s="307"/>
      <c r="V205" s="307"/>
      <c r="W205" s="307"/>
      <c r="X205" s="307"/>
    </row>
    <row r="206" spans="5:24" s="114" customFormat="1">
      <c r="E206" s="167"/>
      <c r="F206" s="115"/>
      <c r="I206" s="306"/>
      <c r="J206" s="306"/>
      <c r="O206" s="167"/>
      <c r="P206" s="115"/>
      <c r="Q206" s="307"/>
      <c r="R206" s="168"/>
      <c r="S206" s="307"/>
      <c r="T206" s="307"/>
      <c r="U206" s="307"/>
      <c r="V206" s="307"/>
      <c r="W206" s="307"/>
      <c r="X206" s="307"/>
    </row>
    <row r="207" spans="5:24" s="114" customFormat="1">
      <c r="E207" s="167"/>
      <c r="F207" s="115"/>
      <c r="I207" s="306"/>
      <c r="J207" s="306"/>
      <c r="O207" s="167"/>
      <c r="P207" s="115"/>
      <c r="Q207" s="307"/>
      <c r="R207" s="168"/>
      <c r="S207" s="307"/>
      <c r="T207" s="307"/>
      <c r="U207" s="307"/>
      <c r="V207" s="307"/>
      <c r="W207" s="307"/>
      <c r="X207" s="307"/>
    </row>
    <row r="208" spans="5:24" s="114" customFormat="1">
      <c r="E208" s="167"/>
      <c r="F208" s="115"/>
      <c r="I208" s="306"/>
      <c r="J208" s="306"/>
      <c r="O208" s="167"/>
      <c r="P208" s="115"/>
      <c r="Q208" s="307"/>
      <c r="R208" s="168"/>
      <c r="S208" s="307"/>
      <c r="T208" s="307"/>
      <c r="U208" s="307"/>
      <c r="V208" s="307"/>
      <c r="W208" s="307"/>
      <c r="X208" s="307"/>
    </row>
    <row r="209" spans="5:24" s="114" customFormat="1">
      <c r="E209" s="167"/>
      <c r="F209" s="115"/>
      <c r="I209" s="306"/>
      <c r="J209" s="306"/>
      <c r="O209" s="167"/>
      <c r="P209" s="115"/>
      <c r="Q209" s="307"/>
      <c r="R209" s="168"/>
      <c r="S209" s="307"/>
      <c r="T209" s="307"/>
      <c r="U209" s="307"/>
      <c r="V209" s="307"/>
      <c r="W209" s="307"/>
      <c r="X209" s="307"/>
    </row>
    <row r="210" spans="5:24" s="114" customFormat="1">
      <c r="E210" s="167"/>
      <c r="F210" s="115"/>
      <c r="I210" s="306"/>
      <c r="J210" s="306"/>
      <c r="O210" s="167"/>
      <c r="P210" s="115"/>
      <c r="Q210" s="307"/>
      <c r="R210" s="168"/>
      <c r="S210" s="307"/>
      <c r="T210" s="307"/>
      <c r="U210" s="307"/>
      <c r="V210" s="307"/>
      <c r="W210" s="307"/>
      <c r="X210" s="307"/>
    </row>
    <row r="211" spans="5:24" s="114" customFormat="1">
      <c r="E211" s="167"/>
      <c r="F211" s="115"/>
      <c r="I211" s="306"/>
      <c r="J211" s="306"/>
      <c r="O211" s="167"/>
      <c r="P211" s="115"/>
      <c r="Q211" s="307"/>
      <c r="R211" s="168"/>
      <c r="S211" s="307"/>
      <c r="T211" s="307"/>
      <c r="U211" s="307"/>
      <c r="V211" s="307"/>
      <c r="W211" s="307"/>
      <c r="X211" s="307"/>
    </row>
    <row r="212" spans="5:24" s="114" customFormat="1">
      <c r="E212" s="167"/>
      <c r="F212" s="115"/>
      <c r="I212" s="306"/>
      <c r="J212" s="306"/>
      <c r="O212" s="167"/>
      <c r="P212" s="115"/>
      <c r="Q212" s="307"/>
      <c r="R212" s="168"/>
      <c r="S212" s="307"/>
      <c r="T212" s="307"/>
      <c r="U212" s="307"/>
      <c r="V212" s="307"/>
      <c r="W212" s="307"/>
      <c r="X212" s="307"/>
    </row>
    <row r="213" spans="5:24" s="114" customFormat="1">
      <c r="E213" s="167"/>
      <c r="F213" s="115"/>
      <c r="I213" s="306"/>
      <c r="J213" s="306"/>
      <c r="O213" s="167"/>
      <c r="P213" s="115"/>
      <c r="Q213" s="307"/>
      <c r="R213" s="168"/>
      <c r="S213" s="307"/>
      <c r="T213" s="307"/>
      <c r="U213" s="307"/>
      <c r="V213" s="307"/>
      <c r="W213" s="307"/>
      <c r="X213" s="307"/>
    </row>
    <row r="214" spans="5:24" s="114" customFormat="1">
      <c r="E214" s="167"/>
      <c r="F214" s="115"/>
      <c r="I214" s="306"/>
      <c r="J214" s="306"/>
      <c r="O214" s="167"/>
      <c r="P214" s="115"/>
      <c r="Q214" s="307"/>
      <c r="R214" s="168"/>
      <c r="S214" s="307"/>
      <c r="T214" s="307"/>
      <c r="U214" s="307"/>
      <c r="V214" s="307"/>
      <c r="W214" s="307"/>
      <c r="X214" s="307"/>
    </row>
    <row r="215" spans="5:24" s="114" customFormat="1">
      <c r="E215" s="167"/>
      <c r="F215" s="115"/>
      <c r="I215" s="306"/>
      <c r="J215" s="306"/>
      <c r="O215" s="167"/>
      <c r="P215" s="115"/>
      <c r="Q215" s="307"/>
      <c r="R215" s="168"/>
      <c r="S215" s="307"/>
      <c r="T215" s="307"/>
      <c r="U215" s="307"/>
      <c r="V215" s="307"/>
      <c r="W215" s="307"/>
      <c r="X215" s="307"/>
    </row>
    <row r="216" spans="5:24" s="114" customFormat="1">
      <c r="E216" s="167"/>
      <c r="F216" s="115"/>
      <c r="I216" s="306"/>
      <c r="J216" s="306"/>
      <c r="O216" s="167"/>
      <c r="P216" s="115"/>
      <c r="Q216" s="307"/>
      <c r="R216" s="168"/>
      <c r="S216" s="307"/>
      <c r="T216" s="307"/>
      <c r="U216" s="307"/>
      <c r="V216" s="307"/>
      <c r="W216" s="307"/>
      <c r="X216" s="307"/>
    </row>
    <row r="217" spans="5:24" s="114" customFormat="1">
      <c r="E217" s="167"/>
      <c r="F217" s="115"/>
      <c r="I217" s="306"/>
      <c r="J217" s="306"/>
      <c r="O217" s="167"/>
      <c r="P217" s="115"/>
      <c r="Q217" s="307"/>
      <c r="R217" s="168"/>
      <c r="S217" s="307"/>
      <c r="T217" s="307"/>
      <c r="U217" s="307"/>
      <c r="V217" s="307"/>
      <c r="W217" s="307"/>
      <c r="X217" s="307"/>
    </row>
    <row r="218" spans="5:24" s="114" customFormat="1">
      <c r="E218" s="167"/>
      <c r="F218" s="115"/>
      <c r="I218" s="306"/>
      <c r="J218" s="306"/>
      <c r="O218" s="167"/>
      <c r="P218" s="115"/>
      <c r="Q218" s="307"/>
      <c r="R218" s="168"/>
      <c r="S218" s="307"/>
      <c r="T218" s="307"/>
      <c r="U218" s="307"/>
      <c r="V218" s="307"/>
      <c r="W218" s="307"/>
      <c r="X218" s="307"/>
    </row>
    <row r="219" spans="5:24" s="114" customFormat="1">
      <c r="E219" s="167"/>
      <c r="F219" s="115"/>
      <c r="I219" s="306"/>
      <c r="J219" s="306"/>
      <c r="O219" s="167"/>
      <c r="P219" s="115"/>
      <c r="Q219" s="307"/>
      <c r="R219" s="168"/>
      <c r="S219" s="307"/>
      <c r="T219" s="307"/>
      <c r="U219" s="307"/>
      <c r="V219" s="307"/>
      <c r="W219" s="307"/>
      <c r="X219" s="307"/>
    </row>
    <row r="220" spans="5:24" s="114" customFormat="1">
      <c r="E220" s="167"/>
      <c r="F220" s="115"/>
      <c r="I220" s="306"/>
      <c r="J220" s="306"/>
      <c r="O220" s="167"/>
      <c r="P220" s="115"/>
      <c r="Q220" s="307"/>
      <c r="R220" s="168"/>
      <c r="S220" s="307"/>
      <c r="T220" s="307"/>
      <c r="U220" s="307"/>
      <c r="V220" s="307"/>
      <c r="W220" s="307"/>
      <c r="X220" s="307"/>
    </row>
    <row r="221" spans="5:24" s="114" customFormat="1">
      <c r="E221" s="167"/>
      <c r="F221" s="115"/>
      <c r="I221" s="306"/>
      <c r="J221" s="306"/>
      <c r="O221" s="167"/>
      <c r="P221" s="115"/>
      <c r="Q221" s="307"/>
      <c r="R221" s="168"/>
      <c r="S221" s="307"/>
      <c r="T221" s="307"/>
      <c r="U221" s="307"/>
      <c r="V221" s="307"/>
      <c r="W221" s="307"/>
      <c r="X221" s="307"/>
    </row>
    <row r="222" spans="5:24" s="114" customFormat="1">
      <c r="E222" s="167"/>
      <c r="F222" s="115"/>
      <c r="I222" s="306"/>
      <c r="J222" s="306"/>
      <c r="O222" s="167"/>
      <c r="P222" s="115"/>
      <c r="Q222" s="307"/>
      <c r="R222" s="168"/>
      <c r="S222" s="307"/>
      <c r="T222" s="307"/>
      <c r="U222" s="307"/>
      <c r="V222" s="307"/>
      <c r="W222" s="307"/>
      <c r="X222" s="307"/>
    </row>
    <row r="223" spans="5:24" s="114" customFormat="1">
      <c r="E223" s="167"/>
      <c r="F223" s="115"/>
      <c r="I223" s="306"/>
      <c r="J223" s="306"/>
      <c r="O223" s="167"/>
      <c r="P223" s="115"/>
      <c r="Q223" s="307"/>
      <c r="R223" s="168"/>
      <c r="S223" s="307"/>
      <c r="T223" s="307"/>
      <c r="U223" s="307"/>
      <c r="V223" s="307"/>
      <c r="W223" s="307"/>
      <c r="X223" s="307"/>
    </row>
    <row r="224" spans="5:24" s="114" customFormat="1">
      <c r="E224" s="167"/>
      <c r="F224" s="115"/>
      <c r="I224" s="306"/>
      <c r="J224" s="306"/>
      <c r="O224" s="167"/>
      <c r="P224" s="115"/>
      <c r="Q224" s="307"/>
      <c r="R224" s="168"/>
      <c r="S224" s="307"/>
      <c r="T224" s="307"/>
      <c r="U224" s="307"/>
      <c r="V224" s="307"/>
      <c r="W224" s="307"/>
      <c r="X224" s="307"/>
    </row>
    <row r="225" spans="5:24" s="114" customFormat="1">
      <c r="E225" s="167"/>
      <c r="F225" s="115"/>
      <c r="I225" s="306"/>
      <c r="J225" s="306"/>
      <c r="O225" s="167"/>
      <c r="P225" s="115"/>
      <c r="Q225" s="307"/>
      <c r="R225" s="168"/>
      <c r="S225" s="307"/>
      <c r="T225" s="307"/>
      <c r="U225" s="307"/>
      <c r="V225" s="307"/>
      <c r="W225" s="307"/>
      <c r="X225" s="307"/>
    </row>
    <row r="226" spans="5:24" s="114" customFormat="1">
      <c r="E226" s="167"/>
      <c r="F226" s="115"/>
      <c r="I226" s="306"/>
      <c r="J226" s="306"/>
      <c r="O226" s="167"/>
      <c r="P226" s="115"/>
      <c r="Q226" s="307"/>
      <c r="R226" s="168"/>
      <c r="S226" s="307"/>
      <c r="T226" s="307"/>
      <c r="U226" s="307"/>
      <c r="V226" s="307"/>
      <c r="W226" s="307"/>
      <c r="X226" s="307"/>
    </row>
    <row r="227" spans="5:24" s="114" customFormat="1">
      <c r="E227" s="167"/>
      <c r="F227" s="115"/>
      <c r="I227" s="306"/>
      <c r="J227" s="306"/>
      <c r="O227" s="167"/>
      <c r="P227" s="115"/>
      <c r="Q227" s="307"/>
      <c r="R227" s="168"/>
      <c r="S227" s="307"/>
      <c r="T227" s="307"/>
      <c r="U227" s="307"/>
      <c r="V227" s="307"/>
      <c r="W227" s="307"/>
      <c r="X227" s="307"/>
    </row>
    <row r="228" spans="5:24" s="114" customFormat="1">
      <c r="E228" s="167"/>
      <c r="F228" s="115"/>
      <c r="I228" s="306"/>
      <c r="J228" s="306"/>
      <c r="O228" s="167"/>
      <c r="P228" s="115"/>
      <c r="Q228" s="307"/>
      <c r="R228" s="168"/>
      <c r="S228" s="307"/>
      <c r="T228" s="307"/>
      <c r="U228" s="307"/>
      <c r="V228" s="307"/>
      <c r="W228" s="307"/>
      <c r="X228" s="307"/>
    </row>
    <row r="229" spans="5:24" s="114" customFormat="1">
      <c r="E229" s="167"/>
      <c r="F229" s="115"/>
      <c r="I229" s="306"/>
      <c r="J229" s="306"/>
      <c r="O229" s="167"/>
      <c r="P229" s="115"/>
      <c r="Q229" s="307"/>
      <c r="R229" s="168"/>
      <c r="S229" s="307"/>
      <c r="T229" s="307"/>
      <c r="U229" s="307"/>
      <c r="V229" s="307"/>
      <c r="W229" s="307"/>
      <c r="X229" s="307"/>
    </row>
    <row r="230" spans="5:24" s="114" customFormat="1">
      <c r="E230" s="167"/>
      <c r="F230" s="115"/>
      <c r="I230" s="306"/>
      <c r="J230" s="306"/>
      <c r="O230" s="167"/>
      <c r="P230" s="115"/>
      <c r="Q230" s="307"/>
      <c r="R230" s="168"/>
      <c r="S230" s="307"/>
      <c r="T230" s="307"/>
      <c r="U230" s="307"/>
      <c r="V230" s="307"/>
      <c r="W230" s="307"/>
      <c r="X230" s="307"/>
    </row>
    <row r="231" spans="5:24" s="114" customFormat="1">
      <c r="E231" s="167"/>
      <c r="F231" s="115"/>
      <c r="I231" s="306"/>
      <c r="J231" s="306"/>
      <c r="O231" s="167"/>
      <c r="P231" s="115"/>
      <c r="Q231" s="307"/>
      <c r="R231" s="168"/>
      <c r="S231" s="307"/>
      <c r="T231" s="307"/>
      <c r="U231" s="307"/>
      <c r="V231" s="307"/>
      <c r="W231" s="307"/>
      <c r="X231" s="307"/>
    </row>
    <row r="232" spans="5:24" s="114" customFormat="1">
      <c r="E232" s="167"/>
      <c r="F232" s="115"/>
      <c r="I232" s="306"/>
      <c r="J232" s="306"/>
      <c r="O232" s="167"/>
      <c r="P232" s="115"/>
      <c r="Q232" s="307"/>
      <c r="R232" s="168"/>
      <c r="S232" s="307"/>
      <c r="T232" s="307"/>
      <c r="U232" s="307"/>
      <c r="V232" s="307"/>
      <c r="W232" s="307"/>
      <c r="X232" s="307"/>
    </row>
    <row r="233" spans="5:24" s="114" customFormat="1">
      <c r="E233" s="167"/>
      <c r="F233" s="115"/>
      <c r="I233" s="306"/>
      <c r="J233" s="306"/>
      <c r="O233" s="167"/>
      <c r="P233" s="115"/>
      <c r="Q233" s="307"/>
      <c r="R233" s="168"/>
      <c r="S233" s="307"/>
      <c r="T233" s="307"/>
      <c r="U233" s="307"/>
      <c r="V233" s="307"/>
      <c r="W233" s="307"/>
      <c r="X233" s="307"/>
    </row>
    <row r="234" spans="5:24" s="114" customFormat="1">
      <c r="E234" s="167"/>
      <c r="F234" s="115"/>
      <c r="I234" s="306"/>
      <c r="J234" s="306"/>
      <c r="O234" s="167"/>
      <c r="P234" s="115"/>
      <c r="Q234" s="307"/>
      <c r="R234" s="168"/>
      <c r="S234" s="307"/>
      <c r="T234" s="307"/>
      <c r="U234" s="307"/>
      <c r="V234" s="307"/>
      <c r="W234" s="307"/>
      <c r="X234" s="307"/>
    </row>
    <row r="235" spans="5:24" s="114" customFormat="1">
      <c r="E235" s="167"/>
      <c r="F235" s="115"/>
      <c r="I235" s="306"/>
      <c r="J235" s="306"/>
      <c r="O235" s="167"/>
      <c r="P235" s="115"/>
      <c r="Q235" s="307"/>
      <c r="R235" s="168"/>
      <c r="S235" s="307"/>
      <c r="T235" s="307"/>
      <c r="U235" s="307"/>
      <c r="V235" s="307"/>
      <c r="W235" s="307"/>
      <c r="X235" s="307"/>
    </row>
    <row r="236" spans="5:24" s="114" customFormat="1">
      <c r="E236" s="167"/>
      <c r="F236" s="115"/>
      <c r="I236" s="306"/>
      <c r="J236" s="306"/>
      <c r="O236" s="167"/>
      <c r="P236" s="115"/>
      <c r="Q236" s="307"/>
      <c r="R236" s="168"/>
      <c r="S236" s="307"/>
      <c r="T236" s="307"/>
      <c r="U236" s="307"/>
      <c r="V236" s="307"/>
      <c r="W236" s="307"/>
      <c r="X236" s="307"/>
    </row>
    <row r="237" spans="5:24" s="114" customFormat="1">
      <c r="E237" s="167"/>
      <c r="F237" s="115"/>
      <c r="I237" s="306"/>
      <c r="J237" s="306"/>
      <c r="O237" s="167"/>
      <c r="P237" s="115"/>
      <c r="Q237" s="307"/>
      <c r="R237" s="168"/>
      <c r="S237" s="307"/>
      <c r="T237" s="307"/>
      <c r="U237" s="307"/>
      <c r="V237" s="307"/>
      <c r="W237" s="307"/>
      <c r="X237" s="307"/>
    </row>
    <row r="238" spans="5:24" s="114" customFormat="1">
      <c r="E238" s="167"/>
      <c r="F238" s="115"/>
      <c r="I238" s="306"/>
      <c r="J238" s="306"/>
      <c r="O238" s="167"/>
      <c r="P238" s="115"/>
      <c r="Q238" s="307"/>
      <c r="R238" s="168"/>
      <c r="S238" s="307"/>
      <c r="T238" s="307"/>
      <c r="U238" s="307"/>
      <c r="V238" s="307"/>
      <c r="W238" s="307"/>
      <c r="X238" s="307"/>
    </row>
    <row r="239" spans="5:24" s="114" customFormat="1">
      <c r="E239" s="167"/>
      <c r="F239" s="115"/>
      <c r="I239" s="306"/>
      <c r="J239" s="306"/>
      <c r="O239" s="167"/>
      <c r="P239" s="115"/>
      <c r="Q239" s="307"/>
      <c r="R239" s="168"/>
      <c r="S239" s="307"/>
      <c r="T239" s="307"/>
      <c r="U239" s="307"/>
      <c r="V239" s="307"/>
      <c r="W239" s="307"/>
      <c r="X239" s="307"/>
    </row>
    <row r="240" spans="5:24" s="114" customFormat="1">
      <c r="E240" s="167"/>
      <c r="F240" s="115"/>
      <c r="I240" s="306"/>
      <c r="J240" s="306"/>
      <c r="O240" s="167"/>
      <c r="P240" s="115"/>
      <c r="Q240" s="307"/>
      <c r="R240" s="168"/>
      <c r="S240" s="307"/>
      <c r="T240" s="307"/>
      <c r="U240" s="307"/>
      <c r="V240" s="307"/>
      <c r="W240" s="307"/>
      <c r="X240" s="307"/>
    </row>
    <row r="241" spans="5:24" s="114" customFormat="1">
      <c r="E241" s="167"/>
      <c r="F241" s="115"/>
      <c r="I241" s="306"/>
      <c r="J241" s="306"/>
      <c r="O241" s="167"/>
      <c r="P241" s="115"/>
      <c r="Q241" s="307"/>
      <c r="R241" s="168"/>
      <c r="S241" s="307"/>
      <c r="T241" s="307"/>
      <c r="U241" s="307"/>
      <c r="V241" s="307"/>
      <c r="W241" s="307"/>
      <c r="X241" s="307"/>
    </row>
    <row r="242" spans="5:24" s="114" customFormat="1">
      <c r="E242" s="167"/>
      <c r="F242" s="115"/>
      <c r="I242" s="306"/>
      <c r="J242" s="306"/>
      <c r="O242" s="167"/>
      <c r="P242" s="115"/>
      <c r="Q242" s="307"/>
      <c r="R242" s="168"/>
      <c r="S242" s="307"/>
      <c r="T242" s="307"/>
      <c r="U242" s="307"/>
      <c r="V242" s="307"/>
      <c r="W242" s="307"/>
      <c r="X242" s="307"/>
    </row>
    <row r="243" spans="5:24" s="114" customFormat="1">
      <c r="E243" s="167"/>
      <c r="F243" s="115"/>
      <c r="I243" s="306"/>
      <c r="J243" s="306"/>
      <c r="O243" s="167"/>
      <c r="P243" s="115"/>
      <c r="Q243" s="307"/>
      <c r="R243" s="168"/>
      <c r="S243" s="307"/>
      <c r="T243" s="307"/>
      <c r="U243" s="307"/>
      <c r="V243" s="307"/>
      <c r="W243" s="307"/>
      <c r="X243" s="307"/>
    </row>
    <row r="244" spans="5:24" s="114" customFormat="1">
      <c r="E244" s="167"/>
      <c r="F244" s="115"/>
      <c r="I244" s="306"/>
      <c r="J244" s="306"/>
      <c r="O244" s="167"/>
      <c r="P244" s="115"/>
      <c r="Q244" s="307"/>
      <c r="R244" s="168"/>
      <c r="S244" s="307"/>
      <c r="T244" s="307"/>
      <c r="U244" s="307"/>
      <c r="V244" s="307"/>
      <c r="W244" s="307"/>
      <c r="X244" s="307"/>
    </row>
    <row r="245" spans="5:24" s="114" customFormat="1">
      <c r="E245" s="167"/>
      <c r="F245" s="115"/>
      <c r="I245" s="306"/>
      <c r="J245" s="306"/>
      <c r="O245" s="167"/>
      <c r="P245" s="115"/>
      <c r="Q245" s="307"/>
      <c r="R245" s="168"/>
      <c r="S245" s="307"/>
      <c r="T245" s="307"/>
      <c r="U245" s="307"/>
      <c r="V245" s="307"/>
      <c r="W245" s="307"/>
      <c r="X245" s="307"/>
    </row>
    <row r="246" spans="5:24" s="114" customFormat="1">
      <c r="E246" s="167"/>
      <c r="F246" s="115"/>
      <c r="I246" s="306"/>
      <c r="J246" s="306"/>
      <c r="O246" s="167"/>
      <c r="P246" s="115"/>
      <c r="Q246" s="307"/>
      <c r="R246" s="168"/>
      <c r="S246" s="307"/>
      <c r="T246" s="307"/>
      <c r="U246" s="307"/>
      <c r="V246" s="307"/>
      <c r="W246" s="307"/>
      <c r="X246" s="307"/>
    </row>
    <row r="247" spans="5:24" s="114" customFormat="1">
      <c r="E247" s="167"/>
      <c r="F247" s="115"/>
      <c r="I247" s="306"/>
      <c r="J247" s="306"/>
      <c r="O247" s="167"/>
      <c r="P247" s="115"/>
      <c r="Q247" s="307"/>
      <c r="R247" s="168"/>
      <c r="S247" s="307"/>
      <c r="T247" s="307"/>
      <c r="U247" s="307"/>
      <c r="V247" s="307"/>
      <c r="W247" s="307"/>
      <c r="X247" s="307"/>
    </row>
    <row r="248" spans="5:24" s="114" customFormat="1">
      <c r="E248" s="167"/>
      <c r="F248" s="115"/>
      <c r="I248" s="306"/>
      <c r="J248" s="306"/>
      <c r="O248" s="167"/>
      <c r="P248" s="115"/>
      <c r="Q248" s="307"/>
      <c r="R248" s="168"/>
      <c r="S248" s="307"/>
      <c r="T248" s="307"/>
      <c r="U248" s="307"/>
      <c r="V248" s="307"/>
      <c r="W248" s="307"/>
      <c r="X248" s="307"/>
    </row>
    <row r="249" spans="5:24" s="114" customFormat="1">
      <c r="E249" s="167"/>
      <c r="F249" s="115"/>
      <c r="I249" s="306"/>
      <c r="J249" s="306"/>
      <c r="O249" s="167"/>
      <c r="P249" s="115"/>
      <c r="Q249" s="307"/>
      <c r="R249" s="168"/>
      <c r="S249" s="307"/>
      <c r="T249" s="307"/>
      <c r="U249" s="307"/>
      <c r="V249" s="307"/>
      <c r="W249" s="307"/>
      <c r="X249" s="307"/>
    </row>
    <row r="250" spans="5:24" s="114" customFormat="1">
      <c r="E250" s="167"/>
      <c r="F250" s="115"/>
      <c r="I250" s="306"/>
      <c r="J250" s="306"/>
      <c r="O250" s="167"/>
      <c r="P250" s="115"/>
      <c r="Q250" s="307"/>
      <c r="R250" s="168"/>
      <c r="S250" s="307"/>
      <c r="T250" s="307"/>
      <c r="U250" s="307"/>
      <c r="V250" s="307"/>
      <c r="W250" s="307"/>
      <c r="X250" s="307"/>
    </row>
    <row r="251" spans="5:24" s="114" customFormat="1">
      <c r="E251" s="167"/>
      <c r="F251" s="115"/>
      <c r="I251" s="306"/>
      <c r="J251" s="306"/>
      <c r="O251" s="167"/>
      <c r="P251" s="115"/>
      <c r="Q251" s="307"/>
      <c r="R251" s="168"/>
      <c r="S251" s="307"/>
      <c r="T251" s="307"/>
      <c r="U251" s="307"/>
      <c r="V251" s="307"/>
      <c r="W251" s="307"/>
      <c r="X251" s="307"/>
    </row>
    <row r="252" spans="5:24" s="114" customFormat="1">
      <c r="E252" s="167"/>
      <c r="F252" s="115"/>
      <c r="I252" s="306"/>
      <c r="J252" s="306"/>
      <c r="O252" s="167"/>
      <c r="P252" s="115"/>
      <c r="Q252" s="307"/>
      <c r="R252" s="168"/>
      <c r="S252" s="307"/>
      <c r="T252" s="307"/>
      <c r="U252" s="307"/>
      <c r="V252" s="307"/>
      <c r="W252" s="307"/>
      <c r="X252" s="307"/>
    </row>
    <row r="253" spans="5:24" s="114" customFormat="1">
      <c r="E253" s="167"/>
      <c r="F253" s="115"/>
      <c r="I253" s="306"/>
      <c r="J253" s="306"/>
      <c r="O253" s="167"/>
      <c r="P253" s="115"/>
      <c r="Q253" s="307"/>
      <c r="R253" s="168"/>
      <c r="S253" s="307"/>
      <c r="T253" s="307"/>
      <c r="U253" s="307"/>
      <c r="V253" s="307"/>
      <c r="W253" s="307"/>
      <c r="X253" s="307"/>
    </row>
    <row r="254" spans="5:24" s="114" customFormat="1">
      <c r="E254" s="167"/>
      <c r="F254" s="115"/>
      <c r="I254" s="306"/>
      <c r="J254" s="306"/>
      <c r="O254" s="167"/>
      <c r="P254" s="115"/>
      <c r="Q254" s="307"/>
      <c r="R254" s="168"/>
      <c r="S254" s="307"/>
      <c r="T254" s="307"/>
      <c r="U254" s="307"/>
      <c r="V254" s="307"/>
      <c r="W254" s="307"/>
      <c r="X254" s="307"/>
    </row>
    <row r="255" spans="5:24" s="114" customFormat="1">
      <c r="E255" s="167"/>
      <c r="F255" s="115"/>
      <c r="I255" s="306"/>
      <c r="J255" s="306"/>
      <c r="O255" s="167"/>
      <c r="P255" s="115"/>
      <c r="Q255" s="307"/>
      <c r="R255" s="168"/>
      <c r="S255" s="307"/>
      <c r="T255" s="307"/>
      <c r="U255" s="307"/>
      <c r="V255" s="307"/>
      <c r="W255" s="307"/>
      <c r="X255" s="307"/>
    </row>
    <row r="256" spans="5:24" s="114" customFormat="1">
      <c r="E256" s="167"/>
      <c r="F256" s="115"/>
      <c r="I256" s="306"/>
      <c r="J256" s="306"/>
      <c r="O256" s="167"/>
      <c r="P256" s="115"/>
      <c r="Q256" s="307"/>
      <c r="R256" s="168"/>
      <c r="S256" s="307"/>
      <c r="T256" s="307"/>
      <c r="U256" s="307"/>
      <c r="V256" s="307"/>
      <c r="W256" s="307"/>
      <c r="X256" s="307"/>
    </row>
    <row r="257" spans="5:24" s="114" customFormat="1">
      <c r="E257" s="167"/>
      <c r="F257" s="115"/>
      <c r="I257" s="306"/>
      <c r="J257" s="306"/>
      <c r="O257" s="167"/>
      <c r="P257" s="115"/>
      <c r="Q257" s="307"/>
      <c r="R257" s="168"/>
      <c r="S257" s="307"/>
      <c r="T257" s="307"/>
      <c r="U257" s="307"/>
      <c r="V257" s="307"/>
      <c r="W257" s="307"/>
      <c r="X257" s="307"/>
    </row>
    <row r="258" spans="5:24" s="114" customFormat="1">
      <c r="E258" s="167"/>
      <c r="F258" s="115"/>
      <c r="I258" s="306"/>
      <c r="J258" s="306"/>
      <c r="O258" s="167"/>
      <c r="P258" s="115"/>
      <c r="Q258" s="307"/>
      <c r="R258" s="168"/>
      <c r="S258" s="307"/>
      <c r="T258" s="307"/>
      <c r="U258" s="307"/>
      <c r="V258" s="307"/>
      <c r="W258" s="307"/>
      <c r="X258" s="307"/>
    </row>
    <row r="259" spans="5:24" s="114" customFormat="1">
      <c r="E259" s="167"/>
      <c r="F259" s="115"/>
      <c r="I259" s="306"/>
      <c r="J259" s="306"/>
      <c r="O259" s="167"/>
      <c r="P259" s="115"/>
      <c r="Q259" s="307"/>
      <c r="R259" s="168"/>
      <c r="S259" s="307"/>
      <c r="T259" s="307"/>
      <c r="U259" s="307"/>
      <c r="V259" s="307"/>
      <c r="W259" s="307"/>
      <c r="X259" s="307"/>
    </row>
    <row r="260" spans="5:24" s="114" customFormat="1">
      <c r="E260" s="167"/>
      <c r="F260" s="115"/>
      <c r="I260" s="306"/>
      <c r="J260" s="306"/>
      <c r="O260" s="167"/>
      <c r="P260" s="115"/>
      <c r="Q260" s="307"/>
      <c r="R260" s="168"/>
      <c r="S260" s="307"/>
      <c r="T260" s="307"/>
      <c r="U260" s="307"/>
      <c r="V260" s="307"/>
      <c r="W260" s="307"/>
      <c r="X260" s="307"/>
    </row>
    <row r="261" spans="5:24" s="114" customFormat="1">
      <c r="E261" s="167"/>
      <c r="F261" s="115"/>
      <c r="I261" s="306"/>
      <c r="J261" s="306"/>
      <c r="O261" s="167"/>
      <c r="P261" s="115"/>
      <c r="Q261" s="307"/>
      <c r="R261" s="168"/>
      <c r="S261" s="307"/>
      <c r="T261" s="307"/>
      <c r="U261" s="307"/>
      <c r="V261" s="307"/>
      <c r="W261" s="307"/>
      <c r="X261" s="307"/>
    </row>
    <row r="262" spans="5:24" s="114" customFormat="1">
      <c r="E262" s="167"/>
      <c r="F262" s="115"/>
      <c r="I262" s="306"/>
      <c r="J262" s="306"/>
      <c r="O262" s="167"/>
      <c r="P262" s="115"/>
      <c r="Q262" s="307"/>
      <c r="R262" s="168"/>
      <c r="S262" s="307"/>
      <c r="T262" s="307"/>
      <c r="U262" s="307"/>
      <c r="V262" s="307"/>
      <c r="W262" s="307"/>
      <c r="X262" s="307"/>
    </row>
    <row r="263" spans="5:24" s="114" customFormat="1">
      <c r="E263" s="167"/>
      <c r="F263" s="115"/>
      <c r="I263" s="306"/>
      <c r="J263" s="306"/>
      <c r="O263" s="167"/>
      <c r="P263" s="115"/>
      <c r="Q263" s="307"/>
      <c r="R263" s="168"/>
      <c r="S263" s="307"/>
      <c r="T263" s="307"/>
      <c r="U263" s="307"/>
      <c r="V263" s="307"/>
      <c r="W263" s="307"/>
      <c r="X263" s="307"/>
    </row>
    <row r="264" spans="5:24" s="114" customFormat="1">
      <c r="E264" s="167"/>
      <c r="F264" s="115"/>
      <c r="I264" s="306"/>
      <c r="J264" s="306"/>
      <c r="O264" s="167"/>
      <c r="P264" s="115"/>
      <c r="Q264" s="307"/>
      <c r="R264" s="168"/>
      <c r="S264" s="307"/>
      <c r="T264" s="307"/>
      <c r="U264" s="307"/>
      <c r="V264" s="307"/>
      <c r="W264" s="307"/>
      <c r="X264" s="307"/>
    </row>
    <row r="265" spans="5:24" s="114" customFormat="1">
      <c r="E265" s="167"/>
      <c r="F265" s="115"/>
      <c r="I265" s="306"/>
      <c r="J265" s="306"/>
      <c r="O265" s="167"/>
      <c r="P265" s="115"/>
      <c r="Q265" s="307"/>
      <c r="R265" s="168"/>
      <c r="S265" s="307"/>
      <c r="T265" s="307"/>
      <c r="U265" s="307"/>
      <c r="V265" s="307"/>
      <c r="W265" s="307"/>
      <c r="X265" s="307"/>
    </row>
    <row r="266" spans="5:24" s="114" customFormat="1">
      <c r="E266" s="167"/>
      <c r="F266" s="115"/>
      <c r="I266" s="306"/>
      <c r="J266" s="306"/>
      <c r="O266" s="167"/>
      <c r="P266" s="115"/>
      <c r="Q266" s="307"/>
      <c r="R266" s="168"/>
      <c r="S266" s="307"/>
      <c r="T266" s="307"/>
      <c r="U266" s="307"/>
      <c r="V266" s="307"/>
      <c r="W266" s="307"/>
      <c r="X266" s="307"/>
    </row>
    <row r="267" spans="5:24" s="114" customFormat="1">
      <c r="E267" s="167"/>
      <c r="F267" s="115"/>
      <c r="I267" s="306"/>
      <c r="J267" s="306"/>
      <c r="O267" s="167"/>
      <c r="P267" s="115"/>
      <c r="Q267" s="307"/>
      <c r="R267" s="168"/>
      <c r="S267" s="307"/>
      <c r="T267" s="307"/>
      <c r="U267" s="307"/>
      <c r="V267" s="307"/>
      <c r="W267" s="307"/>
      <c r="X267" s="307"/>
    </row>
    <row r="268" spans="5:24" s="114" customFormat="1">
      <c r="E268" s="167"/>
      <c r="F268" s="115"/>
      <c r="I268" s="306"/>
      <c r="J268" s="306"/>
      <c r="O268" s="167"/>
      <c r="P268" s="115"/>
      <c r="Q268" s="307"/>
      <c r="R268" s="168"/>
      <c r="S268" s="307"/>
      <c r="T268" s="307"/>
      <c r="U268" s="307"/>
      <c r="V268" s="307"/>
      <c r="W268" s="307"/>
      <c r="X268" s="307"/>
    </row>
    <row r="269" spans="5:24" s="114" customFormat="1">
      <c r="E269" s="167"/>
      <c r="F269" s="115"/>
      <c r="I269" s="306"/>
      <c r="J269" s="306"/>
      <c r="O269" s="167"/>
      <c r="P269" s="115"/>
      <c r="Q269" s="307"/>
      <c r="R269" s="168"/>
      <c r="S269" s="307"/>
      <c r="T269" s="307"/>
      <c r="U269" s="307"/>
      <c r="V269" s="307"/>
      <c r="W269" s="307"/>
      <c r="X269" s="307"/>
    </row>
    <row r="270" spans="5:24" s="114" customFormat="1">
      <c r="E270" s="167"/>
      <c r="F270" s="115"/>
      <c r="I270" s="306"/>
      <c r="J270" s="306"/>
      <c r="O270" s="167"/>
      <c r="P270" s="115"/>
      <c r="Q270" s="307"/>
      <c r="R270" s="168"/>
      <c r="S270" s="307"/>
      <c r="T270" s="307"/>
      <c r="U270" s="307"/>
      <c r="V270" s="307"/>
      <c r="W270" s="307"/>
      <c r="X270" s="307"/>
    </row>
    <row r="271" spans="5:24" s="114" customFormat="1">
      <c r="E271" s="167"/>
      <c r="F271" s="115"/>
      <c r="I271" s="306"/>
      <c r="J271" s="306"/>
      <c r="O271" s="167"/>
      <c r="P271" s="115"/>
      <c r="Q271" s="307"/>
      <c r="R271" s="168"/>
      <c r="S271" s="307"/>
      <c r="T271" s="307"/>
      <c r="U271" s="307"/>
      <c r="V271" s="307"/>
      <c r="W271" s="307"/>
      <c r="X271" s="307"/>
    </row>
    <row r="272" spans="5:24" s="114" customFormat="1">
      <c r="E272" s="167"/>
      <c r="F272" s="115"/>
      <c r="I272" s="306"/>
      <c r="J272" s="306"/>
      <c r="O272" s="167"/>
      <c r="P272" s="115"/>
      <c r="Q272" s="307"/>
      <c r="R272" s="168"/>
      <c r="S272" s="307"/>
      <c r="T272" s="307"/>
      <c r="U272" s="307"/>
      <c r="V272" s="307"/>
      <c r="W272" s="307"/>
      <c r="X272" s="307"/>
    </row>
    <row r="273" spans="5:24" s="114" customFormat="1">
      <c r="E273" s="167"/>
      <c r="F273" s="115"/>
      <c r="I273" s="306"/>
      <c r="J273" s="306"/>
      <c r="O273" s="167"/>
      <c r="P273" s="115"/>
      <c r="Q273" s="307"/>
      <c r="R273" s="168"/>
      <c r="S273" s="307"/>
      <c r="T273" s="307"/>
      <c r="U273" s="307"/>
      <c r="V273" s="307"/>
      <c r="W273" s="307"/>
      <c r="X273" s="307"/>
    </row>
    <row r="274" spans="5:24" s="114" customFormat="1">
      <c r="E274" s="167"/>
      <c r="F274" s="115"/>
      <c r="I274" s="306"/>
      <c r="J274" s="306"/>
      <c r="O274" s="167"/>
      <c r="P274" s="115"/>
      <c r="Q274" s="307"/>
      <c r="R274" s="168"/>
      <c r="S274" s="307"/>
      <c r="T274" s="307"/>
      <c r="U274" s="307"/>
      <c r="V274" s="307"/>
      <c r="W274" s="307"/>
      <c r="X274" s="307"/>
    </row>
    <row r="275" spans="5:24" s="114" customFormat="1">
      <c r="E275" s="167"/>
      <c r="F275" s="115"/>
      <c r="I275" s="306"/>
      <c r="J275" s="306"/>
      <c r="O275" s="167"/>
      <c r="P275" s="115"/>
      <c r="Q275" s="307"/>
      <c r="R275" s="168"/>
      <c r="S275" s="307"/>
      <c r="T275" s="307"/>
      <c r="U275" s="307"/>
      <c r="V275" s="307"/>
      <c r="W275" s="307"/>
      <c r="X275" s="307"/>
    </row>
    <row r="276" spans="5:24" s="114" customFormat="1">
      <c r="E276" s="167"/>
      <c r="F276" s="115"/>
      <c r="I276" s="306"/>
      <c r="J276" s="306"/>
      <c r="O276" s="167"/>
      <c r="P276" s="115"/>
      <c r="Q276" s="307"/>
      <c r="R276" s="168"/>
      <c r="S276" s="307"/>
      <c r="T276" s="307"/>
      <c r="U276" s="307"/>
      <c r="V276" s="307"/>
      <c r="W276" s="307"/>
      <c r="X276" s="307"/>
    </row>
    <row r="277" spans="5:24" s="114" customFormat="1">
      <c r="E277" s="167"/>
      <c r="F277" s="115"/>
      <c r="I277" s="306"/>
      <c r="J277" s="306"/>
      <c r="O277" s="167"/>
      <c r="P277" s="115"/>
      <c r="Q277" s="307"/>
      <c r="R277" s="168"/>
      <c r="S277" s="307"/>
      <c r="T277" s="307"/>
      <c r="U277" s="307"/>
      <c r="V277" s="307"/>
      <c r="W277" s="307"/>
      <c r="X277" s="307"/>
    </row>
    <row r="278" spans="5:24" s="114" customFormat="1">
      <c r="E278" s="167"/>
      <c r="F278" s="115"/>
      <c r="I278" s="306"/>
      <c r="J278" s="306"/>
      <c r="O278" s="167"/>
      <c r="P278" s="115"/>
      <c r="Q278" s="307"/>
      <c r="R278" s="168"/>
      <c r="S278" s="307"/>
      <c r="T278" s="307"/>
      <c r="U278" s="307"/>
      <c r="V278" s="307"/>
      <c r="W278" s="307"/>
      <c r="X278" s="307"/>
    </row>
    <row r="279" spans="5:24" s="114" customFormat="1">
      <c r="E279" s="167"/>
      <c r="F279" s="115"/>
      <c r="I279" s="306"/>
      <c r="J279" s="306"/>
      <c r="O279" s="167"/>
      <c r="P279" s="115"/>
      <c r="Q279" s="307"/>
      <c r="R279" s="168"/>
      <c r="S279" s="307"/>
      <c r="T279" s="307"/>
      <c r="U279" s="307"/>
      <c r="V279" s="307"/>
      <c r="W279" s="307"/>
      <c r="X279" s="307"/>
    </row>
    <row r="280" spans="5:24" s="114" customFormat="1">
      <c r="E280" s="167"/>
      <c r="F280" s="115"/>
      <c r="I280" s="306"/>
      <c r="J280" s="306"/>
      <c r="O280" s="167"/>
      <c r="P280" s="115"/>
      <c r="Q280" s="307"/>
      <c r="R280" s="168"/>
      <c r="S280" s="307"/>
      <c r="T280" s="307"/>
      <c r="U280" s="307"/>
      <c r="V280" s="307"/>
      <c r="W280" s="307"/>
      <c r="X280" s="307"/>
    </row>
    <row r="281" spans="5:24" s="114" customFormat="1">
      <c r="E281" s="167"/>
      <c r="F281" s="115"/>
      <c r="I281" s="306"/>
      <c r="J281" s="306"/>
      <c r="O281" s="167"/>
      <c r="P281" s="115"/>
      <c r="Q281" s="307"/>
      <c r="R281" s="168"/>
      <c r="S281" s="307"/>
      <c r="T281" s="307"/>
      <c r="U281" s="307"/>
      <c r="V281" s="307"/>
      <c r="W281" s="307"/>
      <c r="X281" s="307"/>
    </row>
    <row r="282" spans="5:24" s="114" customFormat="1">
      <c r="E282" s="167"/>
      <c r="F282" s="115"/>
      <c r="I282" s="306"/>
      <c r="J282" s="306"/>
      <c r="O282" s="167"/>
      <c r="P282" s="115"/>
      <c r="Q282" s="307"/>
      <c r="R282" s="168"/>
      <c r="S282" s="307"/>
      <c r="T282" s="307"/>
      <c r="U282" s="307"/>
      <c r="V282" s="307"/>
      <c r="W282" s="307"/>
      <c r="X282" s="307"/>
    </row>
    <row r="283" spans="5:24" s="114" customFormat="1">
      <c r="E283" s="167"/>
      <c r="F283" s="115"/>
      <c r="I283" s="306"/>
      <c r="J283" s="306"/>
      <c r="O283" s="167"/>
      <c r="P283" s="115"/>
      <c r="Q283" s="307"/>
      <c r="R283" s="168"/>
      <c r="S283" s="307"/>
      <c r="T283" s="307"/>
      <c r="U283" s="307"/>
      <c r="V283" s="307"/>
      <c r="W283" s="307"/>
      <c r="X283" s="307"/>
    </row>
    <row r="284" spans="5:24" s="114" customFormat="1">
      <c r="E284" s="167"/>
      <c r="F284" s="115"/>
      <c r="I284" s="306"/>
      <c r="J284" s="306"/>
      <c r="O284" s="167"/>
      <c r="P284" s="115"/>
      <c r="Q284" s="307"/>
      <c r="R284" s="168"/>
      <c r="S284" s="307"/>
      <c r="T284" s="307"/>
      <c r="U284" s="307"/>
      <c r="V284" s="307"/>
      <c r="W284" s="307"/>
      <c r="X284" s="307"/>
    </row>
    <row r="285" spans="5:24" s="114" customFormat="1">
      <c r="E285" s="167"/>
      <c r="F285" s="115"/>
      <c r="I285" s="306"/>
      <c r="J285" s="306"/>
      <c r="O285" s="167"/>
      <c r="P285" s="115"/>
      <c r="Q285" s="307"/>
      <c r="R285" s="168"/>
      <c r="S285" s="307"/>
      <c r="T285" s="307"/>
      <c r="U285" s="307"/>
      <c r="V285" s="307"/>
      <c r="W285" s="307"/>
      <c r="X285" s="307"/>
    </row>
    <row r="286" spans="5:24" s="114" customFormat="1">
      <c r="E286" s="167"/>
      <c r="F286" s="115"/>
      <c r="I286" s="306"/>
      <c r="J286" s="306"/>
      <c r="O286" s="167"/>
      <c r="P286" s="115"/>
      <c r="Q286" s="307"/>
      <c r="R286" s="168"/>
      <c r="S286" s="307"/>
      <c r="T286" s="307"/>
      <c r="U286" s="307"/>
      <c r="V286" s="307"/>
      <c r="W286" s="307"/>
      <c r="X286" s="307"/>
    </row>
    <row r="287" spans="5:24" s="114" customFormat="1">
      <c r="E287" s="167"/>
      <c r="F287" s="115"/>
      <c r="I287" s="306"/>
      <c r="J287" s="306"/>
      <c r="O287" s="167"/>
      <c r="P287" s="115"/>
      <c r="Q287" s="307"/>
      <c r="R287" s="168"/>
      <c r="S287" s="307"/>
      <c r="T287" s="307"/>
      <c r="U287" s="307"/>
      <c r="V287" s="307"/>
      <c r="W287" s="307"/>
      <c r="X287" s="307"/>
    </row>
    <row r="288" spans="5:24" s="114" customFormat="1">
      <c r="E288" s="167"/>
      <c r="F288" s="115"/>
      <c r="I288" s="306"/>
      <c r="J288" s="306"/>
      <c r="O288" s="167"/>
      <c r="P288" s="115"/>
      <c r="Q288" s="307"/>
      <c r="R288" s="168"/>
      <c r="S288" s="307"/>
      <c r="T288" s="307"/>
      <c r="U288" s="307"/>
      <c r="V288" s="307"/>
      <c r="W288" s="307"/>
      <c r="X288" s="307"/>
    </row>
    <row r="289" spans="5:24" s="114" customFormat="1">
      <c r="E289" s="167"/>
      <c r="F289" s="115"/>
      <c r="I289" s="306"/>
      <c r="J289" s="306"/>
      <c r="O289" s="167"/>
      <c r="P289" s="115"/>
      <c r="Q289" s="307"/>
      <c r="R289" s="168"/>
      <c r="S289" s="307"/>
      <c r="T289" s="307"/>
      <c r="U289" s="307"/>
      <c r="V289" s="307"/>
      <c r="W289" s="307"/>
      <c r="X289" s="307"/>
    </row>
    <row r="290" spans="5:24" s="114" customFormat="1">
      <c r="E290" s="167"/>
      <c r="F290" s="115"/>
      <c r="I290" s="306"/>
      <c r="J290" s="306"/>
      <c r="O290" s="167"/>
      <c r="P290" s="115"/>
      <c r="Q290" s="307"/>
      <c r="R290" s="168"/>
      <c r="S290" s="307"/>
      <c r="T290" s="307"/>
      <c r="U290" s="307"/>
      <c r="V290" s="307"/>
      <c r="W290" s="307"/>
      <c r="X290" s="307"/>
    </row>
    <row r="291" spans="5:24" s="114" customFormat="1">
      <c r="E291" s="167"/>
      <c r="F291" s="115"/>
      <c r="I291" s="306"/>
      <c r="J291" s="306"/>
      <c r="O291" s="167"/>
      <c r="P291" s="115"/>
      <c r="Q291" s="307"/>
      <c r="R291" s="168"/>
      <c r="S291" s="307"/>
      <c r="T291" s="307"/>
      <c r="U291" s="307"/>
      <c r="V291" s="307"/>
      <c r="W291" s="307"/>
      <c r="X291" s="307"/>
    </row>
    <row r="292" spans="5:24" s="114" customFormat="1">
      <c r="E292" s="167"/>
      <c r="F292" s="115"/>
      <c r="I292" s="306"/>
      <c r="J292" s="306"/>
      <c r="O292" s="167"/>
      <c r="P292" s="115"/>
      <c r="Q292" s="307"/>
      <c r="R292" s="168"/>
      <c r="S292" s="307"/>
      <c r="T292" s="307"/>
      <c r="U292" s="307"/>
      <c r="V292" s="307"/>
      <c r="W292" s="307"/>
      <c r="X292" s="307"/>
    </row>
    <row r="293" spans="5:24" s="114" customFormat="1">
      <c r="E293" s="167"/>
      <c r="F293" s="115"/>
      <c r="I293" s="306"/>
      <c r="J293" s="306"/>
      <c r="O293" s="167"/>
      <c r="P293" s="115"/>
      <c r="Q293" s="307"/>
      <c r="R293" s="168"/>
      <c r="S293" s="307"/>
      <c r="T293" s="307"/>
      <c r="U293" s="307"/>
      <c r="V293" s="307"/>
      <c r="W293" s="307"/>
      <c r="X293" s="307"/>
    </row>
    <row r="294" spans="5:24" s="114" customFormat="1">
      <c r="E294" s="167"/>
      <c r="F294" s="115"/>
      <c r="I294" s="306"/>
      <c r="J294" s="306"/>
      <c r="O294" s="167"/>
      <c r="P294" s="115"/>
      <c r="Q294" s="307"/>
      <c r="R294" s="168"/>
      <c r="S294" s="307"/>
      <c r="T294" s="307"/>
      <c r="U294" s="307"/>
      <c r="V294" s="307"/>
      <c r="W294" s="307"/>
      <c r="X294" s="307"/>
    </row>
    <row r="295" spans="5:24" s="114" customFormat="1">
      <c r="E295" s="167"/>
      <c r="F295" s="115"/>
      <c r="I295" s="306"/>
      <c r="J295" s="306"/>
      <c r="O295" s="167"/>
      <c r="P295" s="115"/>
      <c r="Q295" s="307"/>
      <c r="R295" s="168"/>
      <c r="S295" s="307"/>
      <c r="T295" s="307"/>
      <c r="U295" s="307"/>
      <c r="V295" s="307"/>
      <c r="W295" s="307"/>
      <c r="X295" s="307"/>
    </row>
    <row r="296" spans="5:24" s="114" customFormat="1">
      <c r="E296" s="167"/>
      <c r="F296" s="115"/>
      <c r="I296" s="306"/>
      <c r="J296" s="306"/>
      <c r="O296" s="167"/>
      <c r="P296" s="115"/>
      <c r="Q296" s="307"/>
      <c r="R296" s="168"/>
      <c r="S296" s="307"/>
      <c r="T296" s="307"/>
      <c r="U296" s="307"/>
      <c r="V296" s="307"/>
      <c r="W296" s="307"/>
      <c r="X296" s="307"/>
    </row>
    <row r="297" spans="5:24" s="114" customFormat="1">
      <c r="E297" s="167"/>
      <c r="F297" s="115"/>
      <c r="I297" s="306"/>
      <c r="J297" s="306"/>
      <c r="O297" s="167"/>
      <c r="P297" s="115"/>
      <c r="Q297" s="307"/>
      <c r="R297" s="168"/>
      <c r="S297" s="307"/>
      <c r="T297" s="307"/>
      <c r="U297" s="307"/>
      <c r="V297" s="307"/>
      <c r="W297" s="307"/>
      <c r="X297" s="307"/>
    </row>
    <row r="298" spans="5:24" s="114" customFormat="1">
      <c r="E298" s="167"/>
      <c r="F298" s="115"/>
      <c r="I298" s="306"/>
      <c r="J298" s="306"/>
      <c r="O298" s="167"/>
      <c r="P298" s="115"/>
      <c r="Q298" s="307"/>
      <c r="R298" s="168"/>
      <c r="S298" s="307"/>
      <c r="T298" s="307"/>
      <c r="U298" s="307"/>
      <c r="V298" s="307"/>
      <c r="W298" s="307"/>
      <c r="X298" s="307"/>
    </row>
    <row r="299" spans="5:24" s="114" customFormat="1">
      <c r="E299" s="167"/>
      <c r="F299" s="115"/>
      <c r="I299" s="306"/>
      <c r="J299" s="306"/>
      <c r="O299" s="167"/>
      <c r="P299" s="115"/>
      <c r="Q299" s="307"/>
      <c r="R299" s="168"/>
      <c r="S299" s="307"/>
      <c r="T299" s="307"/>
      <c r="U299" s="307"/>
      <c r="V299" s="307"/>
      <c r="W299" s="307"/>
      <c r="X299" s="307"/>
    </row>
    <row r="300" spans="5:24" s="114" customFormat="1">
      <c r="E300" s="167"/>
      <c r="F300" s="115"/>
      <c r="I300" s="306"/>
      <c r="J300" s="306"/>
      <c r="O300" s="167"/>
      <c r="P300" s="115"/>
      <c r="Q300" s="307"/>
      <c r="R300" s="168"/>
      <c r="S300" s="307"/>
      <c r="T300" s="307"/>
      <c r="U300" s="307"/>
      <c r="V300" s="307"/>
      <c r="W300" s="307"/>
      <c r="X300" s="307"/>
    </row>
    <row r="301" spans="5:24" s="114" customFormat="1">
      <c r="E301" s="167"/>
      <c r="F301" s="115"/>
      <c r="I301" s="306"/>
      <c r="J301" s="306"/>
      <c r="O301" s="167"/>
      <c r="P301" s="115"/>
      <c r="Q301" s="307"/>
      <c r="R301" s="168"/>
      <c r="S301" s="307"/>
      <c r="T301" s="307"/>
      <c r="U301" s="307"/>
      <c r="V301" s="307"/>
      <c r="W301" s="307"/>
      <c r="X301" s="307"/>
    </row>
    <row r="302" spans="5:24" s="114" customFormat="1">
      <c r="E302" s="167"/>
      <c r="F302" s="115"/>
      <c r="I302" s="306"/>
      <c r="J302" s="306"/>
      <c r="O302" s="167"/>
      <c r="P302" s="115"/>
      <c r="Q302" s="307"/>
      <c r="R302" s="168"/>
      <c r="S302" s="307"/>
      <c r="T302" s="307"/>
      <c r="U302" s="307"/>
      <c r="V302" s="307"/>
      <c r="W302" s="307"/>
      <c r="X302" s="307"/>
    </row>
    <row r="303" spans="5:24" s="114" customFormat="1">
      <c r="E303" s="167"/>
      <c r="F303" s="115"/>
      <c r="I303" s="306"/>
      <c r="J303" s="306"/>
      <c r="O303" s="167"/>
      <c r="P303" s="115"/>
      <c r="Q303" s="307"/>
      <c r="R303" s="168"/>
      <c r="S303" s="307"/>
      <c r="T303" s="307"/>
      <c r="U303" s="307"/>
      <c r="V303" s="307"/>
      <c r="W303" s="307"/>
      <c r="X303" s="307"/>
    </row>
    <row r="304" spans="5:24" s="114" customFormat="1">
      <c r="E304" s="167"/>
      <c r="F304" s="115"/>
      <c r="I304" s="306"/>
      <c r="J304" s="306"/>
      <c r="O304" s="167"/>
      <c r="P304" s="115"/>
      <c r="Q304" s="307"/>
      <c r="R304" s="168"/>
      <c r="S304" s="307"/>
      <c r="T304" s="307"/>
      <c r="U304" s="307"/>
      <c r="V304" s="307"/>
      <c r="W304" s="307"/>
      <c r="X304" s="307"/>
    </row>
    <row r="305" spans="5:24" s="114" customFormat="1">
      <c r="E305" s="167"/>
      <c r="F305" s="115"/>
      <c r="I305" s="306"/>
      <c r="J305" s="306"/>
      <c r="O305" s="167"/>
      <c r="P305" s="115"/>
      <c r="Q305" s="307"/>
      <c r="R305" s="168"/>
      <c r="S305" s="307"/>
      <c r="T305" s="307"/>
      <c r="U305" s="307"/>
      <c r="V305" s="307"/>
      <c r="W305" s="307"/>
      <c r="X305" s="307"/>
    </row>
    <row r="306" spans="5:24" s="114" customFormat="1">
      <c r="E306" s="167"/>
      <c r="F306" s="115"/>
      <c r="I306" s="306"/>
      <c r="J306" s="306"/>
      <c r="O306" s="167"/>
      <c r="P306" s="115"/>
      <c r="Q306" s="307"/>
      <c r="R306" s="168"/>
      <c r="S306" s="307"/>
      <c r="T306" s="307"/>
      <c r="U306" s="307"/>
      <c r="V306" s="307"/>
      <c r="W306" s="307"/>
      <c r="X306" s="307"/>
    </row>
    <row r="307" spans="5:24" s="114" customFormat="1">
      <c r="E307" s="167"/>
      <c r="F307" s="115"/>
      <c r="I307" s="306"/>
      <c r="J307" s="306"/>
      <c r="O307" s="167"/>
      <c r="P307" s="115"/>
      <c r="Q307" s="307"/>
      <c r="R307" s="168"/>
      <c r="S307" s="307"/>
      <c r="T307" s="307"/>
      <c r="U307" s="307"/>
      <c r="V307" s="307"/>
      <c r="W307" s="307"/>
      <c r="X307" s="307"/>
    </row>
    <row r="308" spans="5:24" s="114" customFormat="1">
      <c r="E308" s="167"/>
      <c r="F308" s="115"/>
      <c r="I308" s="306"/>
      <c r="J308" s="306"/>
      <c r="O308" s="167"/>
      <c r="P308" s="115"/>
      <c r="Q308" s="307"/>
      <c r="R308" s="168"/>
      <c r="S308" s="307"/>
      <c r="T308" s="307"/>
      <c r="U308" s="307"/>
      <c r="V308" s="307"/>
      <c r="W308" s="307"/>
      <c r="X308" s="307"/>
    </row>
    <row r="309" spans="5:24" s="114" customFormat="1">
      <c r="E309" s="167"/>
      <c r="F309" s="115"/>
      <c r="I309" s="306"/>
      <c r="J309" s="306"/>
      <c r="O309" s="167"/>
      <c r="P309" s="115"/>
      <c r="Q309" s="307"/>
      <c r="R309" s="168"/>
      <c r="S309" s="307"/>
      <c r="T309" s="307"/>
      <c r="U309" s="307"/>
      <c r="V309" s="307"/>
      <c r="W309" s="307"/>
      <c r="X309" s="307"/>
    </row>
    <row r="310" spans="5:24" s="114" customFormat="1">
      <c r="E310" s="167"/>
      <c r="F310" s="115"/>
      <c r="I310" s="306"/>
      <c r="J310" s="306"/>
      <c r="O310" s="167"/>
      <c r="P310" s="115"/>
      <c r="Q310" s="307"/>
      <c r="R310" s="168"/>
      <c r="S310" s="307"/>
      <c r="T310" s="307"/>
      <c r="U310" s="307"/>
      <c r="V310" s="307"/>
      <c r="W310" s="307"/>
      <c r="X310" s="307"/>
    </row>
    <row r="311" spans="5:24" s="114" customFormat="1">
      <c r="E311" s="167"/>
      <c r="F311" s="115"/>
      <c r="I311" s="306"/>
      <c r="J311" s="306"/>
      <c r="O311" s="167"/>
      <c r="P311" s="115"/>
      <c r="Q311" s="307"/>
      <c r="R311" s="168"/>
      <c r="S311" s="307"/>
      <c r="T311" s="307"/>
      <c r="U311" s="307"/>
      <c r="V311" s="307"/>
      <c r="W311" s="307"/>
      <c r="X311" s="307"/>
    </row>
    <row r="312" spans="5:24" s="114" customFormat="1">
      <c r="E312" s="167"/>
      <c r="F312" s="115"/>
      <c r="I312" s="306"/>
      <c r="J312" s="306"/>
      <c r="O312" s="167"/>
      <c r="P312" s="115"/>
      <c r="Q312" s="307"/>
      <c r="R312" s="168"/>
      <c r="S312" s="307"/>
      <c r="T312" s="307"/>
      <c r="U312" s="307"/>
      <c r="V312" s="307"/>
      <c r="W312" s="307"/>
      <c r="X312" s="307"/>
    </row>
    <row r="313" spans="5:24" s="114" customFormat="1">
      <c r="E313" s="167"/>
      <c r="F313" s="115"/>
      <c r="I313" s="306"/>
      <c r="J313" s="306"/>
      <c r="O313" s="167"/>
      <c r="P313" s="115"/>
      <c r="Q313" s="307"/>
      <c r="R313" s="168"/>
      <c r="S313" s="307"/>
      <c r="T313" s="307"/>
      <c r="U313" s="307"/>
      <c r="V313" s="307"/>
      <c r="W313" s="307"/>
      <c r="X313" s="307"/>
    </row>
    <row r="314" spans="5:24" s="114" customFormat="1">
      <c r="E314" s="167"/>
      <c r="F314" s="115"/>
      <c r="I314" s="306"/>
      <c r="J314" s="306"/>
      <c r="O314" s="167"/>
      <c r="P314" s="115"/>
      <c r="Q314" s="307"/>
      <c r="R314" s="168"/>
      <c r="S314" s="307"/>
      <c r="T314" s="307"/>
      <c r="U314" s="307"/>
      <c r="V314" s="307"/>
      <c r="W314" s="307"/>
      <c r="X314" s="307"/>
    </row>
    <row r="315" spans="5:24" s="114" customFormat="1">
      <c r="E315" s="167"/>
      <c r="F315" s="115"/>
      <c r="I315" s="306"/>
      <c r="J315" s="306"/>
      <c r="O315" s="167"/>
      <c r="P315" s="115"/>
      <c r="Q315" s="307"/>
      <c r="R315" s="168"/>
      <c r="S315" s="307"/>
      <c r="T315" s="307"/>
      <c r="U315" s="307"/>
      <c r="V315" s="307"/>
      <c r="W315" s="307"/>
      <c r="X315" s="307"/>
    </row>
    <row r="316" spans="5:24" s="114" customFormat="1">
      <c r="E316" s="167"/>
      <c r="F316" s="115"/>
      <c r="I316" s="306"/>
      <c r="J316" s="306"/>
      <c r="O316" s="167"/>
      <c r="P316" s="115"/>
      <c r="Q316" s="307"/>
      <c r="R316" s="168"/>
      <c r="S316" s="307"/>
      <c r="T316" s="307"/>
      <c r="U316" s="307"/>
      <c r="V316" s="307"/>
      <c r="W316" s="307"/>
      <c r="X316" s="307"/>
    </row>
    <row r="317" spans="5:24" s="114" customFormat="1">
      <c r="E317" s="167"/>
      <c r="F317" s="115"/>
      <c r="I317" s="306"/>
      <c r="J317" s="306"/>
      <c r="O317" s="167"/>
      <c r="P317" s="115"/>
      <c r="Q317" s="307"/>
      <c r="R317" s="168"/>
      <c r="S317" s="307"/>
      <c r="T317" s="307"/>
      <c r="U317" s="307"/>
      <c r="V317" s="307"/>
      <c r="W317" s="307"/>
      <c r="X317" s="307"/>
    </row>
    <row r="318" spans="5:24" s="114" customFormat="1">
      <c r="E318" s="167"/>
      <c r="F318" s="115"/>
      <c r="I318" s="306"/>
      <c r="J318" s="306"/>
      <c r="O318" s="167"/>
      <c r="P318" s="115"/>
      <c r="Q318" s="307"/>
      <c r="R318" s="168"/>
      <c r="S318" s="307"/>
      <c r="T318" s="307"/>
      <c r="U318" s="307"/>
      <c r="V318" s="307"/>
      <c r="W318" s="307"/>
      <c r="X318" s="307"/>
    </row>
    <row r="319" spans="5:24" s="114" customFormat="1">
      <c r="E319" s="167"/>
      <c r="F319" s="115"/>
      <c r="I319" s="306"/>
      <c r="J319" s="306"/>
      <c r="O319" s="167"/>
      <c r="P319" s="115"/>
      <c r="Q319" s="307"/>
      <c r="R319" s="168"/>
      <c r="S319" s="307"/>
      <c r="T319" s="307"/>
      <c r="U319" s="307"/>
      <c r="V319" s="307"/>
      <c r="W319" s="307"/>
      <c r="X319" s="307"/>
    </row>
    <row r="320" spans="5:24" s="114" customFormat="1">
      <c r="E320" s="167"/>
      <c r="F320" s="115"/>
      <c r="I320" s="306"/>
      <c r="J320" s="306"/>
      <c r="O320" s="167"/>
      <c r="P320" s="115"/>
      <c r="Q320" s="307"/>
      <c r="R320" s="168"/>
      <c r="S320" s="307"/>
      <c r="T320" s="307"/>
      <c r="U320" s="307"/>
      <c r="V320" s="307"/>
      <c r="W320" s="307"/>
      <c r="X320" s="307"/>
    </row>
    <row r="321" spans="5:24" s="114" customFormat="1">
      <c r="E321" s="167"/>
      <c r="F321" s="115"/>
      <c r="I321" s="306"/>
      <c r="J321" s="306"/>
      <c r="O321" s="167"/>
      <c r="P321" s="115"/>
      <c r="Q321" s="307"/>
      <c r="R321" s="168"/>
      <c r="S321" s="307"/>
      <c r="T321" s="307"/>
      <c r="U321" s="307"/>
      <c r="V321" s="307"/>
      <c r="W321" s="307"/>
      <c r="X321" s="307"/>
    </row>
    <row r="322" spans="5:24" s="114" customFormat="1">
      <c r="E322" s="167"/>
      <c r="F322" s="115"/>
      <c r="I322" s="306"/>
      <c r="J322" s="306"/>
      <c r="O322" s="167"/>
      <c r="P322" s="115"/>
      <c r="Q322" s="307"/>
      <c r="R322" s="168"/>
      <c r="S322" s="307"/>
      <c r="T322" s="307"/>
      <c r="U322" s="307"/>
      <c r="V322" s="307"/>
      <c r="W322" s="307"/>
      <c r="X322" s="307"/>
    </row>
    <row r="323" spans="5:24" s="114" customFormat="1">
      <c r="E323" s="167"/>
      <c r="F323" s="115"/>
      <c r="I323" s="306"/>
      <c r="J323" s="306"/>
      <c r="O323" s="167"/>
      <c r="P323" s="115"/>
      <c r="Q323" s="307"/>
      <c r="R323" s="168"/>
      <c r="S323" s="307"/>
      <c r="T323" s="307"/>
      <c r="U323" s="307"/>
      <c r="V323" s="307"/>
      <c r="W323" s="307"/>
      <c r="X323" s="307"/>
    </row>
    <row r="324" spans="5:24" s="114" customFormat="1">
      <c r="E324" s="167"/>
      <c r="F324" s="115"/>
      <c r="I324" s="306"/>
      <c r="J324" s="306"/>
      <c r="O324" s="167"/>
      <c r="P324" s="115"/>
      <c r="Q324" s="307"/>
      <c r="R324" s="168"/>
      <c r="S324" s="307"/>
      <c r="T324" s="307"/>
      <c r="U324" s="307"/>
      <c r="V324" s="307"/>
      <c r="W324" s="307"/>
      <c r="X324" s="307"/>
    </row>
    <row r="325" spans="5:24" s="114" customFormat="1">
      <c r="E325" s="167"/>
      <c r="F325" s="115"/>
      <c r="I325" s="306"/>
      <c r="J325" s="306"/>
      <c r="O325" s="167"/>
      <c r="P325" s="115"/>
      <c r="Q325" s="307"/>
      <c r="R325" s="168"/>
      <c r="S325" s="307"/>
      <c r="T325" s="307"/>
      <c r="U325" s="307"/>
      <c r="V325" s="307"/>
      <c r="W325" s="307"/>
      <c r="X325" s="307"/>
    </row>
    <row r="326" spans="5:24" s="114" customFormat="1">
      <c r="E326" s="167"/>
      <c r="F326" s="115"/>
      <c r="I326" s="306"/>
      <c r="J326" s="306"/>
      <c r="O326" s="167"/>
      <c r="P326" s="115"/>
      <c r="Q326" s="307"/>
      <c r="R326" s="168"/>
      <c r="S326" s="307"/>
      <c r="T326" s="307"/>
      <c r="U326" s="307"/>
      <c r="V326" s="307"/>
      <c r="W326" s="307"/>
      <c r="X326" s="307"/>
    </row>
    <row r="327" spans="5:24" s="114" customFormat="1">
      <c r="E327" s="167"/>
      <c r="F327" s="115"/>
      <c r="I327" s="306"/>
      <c r="J327" s="306"/>
      <c r="O327" s="167"/>
      <c r="P327" s="115"/>
      <c r="Q327" s="307"/>
      <c r="R327" s="168"/>
      <c r="S327" s="307"/>
      <c r="T327" s="307"/>
      <c r="U327" s="307"/>
      <c r="V327" s="307"/>
      <c r="W327" s="307"/>
      <c r="X327" s="307"/>
    </row>
    <row r="328" spans="5:24" s="114" customFormat="1">
      <c r="E328" s="167"/>
      <c r="F328" s="115"/>
      <c r="I328" s="306"/>
      <c r="J328" s="306"/>
      <c r="O328" s="167"/>
      <c r="P328" s="115"/>
      <c r="Q328" s="307"/>
      <c r="R328" s="168"/>
      <c r="S328" s="307"/>
      <c r="T328" s="307"/>
      <c r="U328" s="307"/>
      <c r="V328" s="307"/>
      <c r="W328" s="307"/>
      <c r="X328" s="307"/>
    </row>
    <row r="329" spans="5:24" s="114" customFormat="1">
      <c r="E329" s="167"/>
      <c r="F329" s="115"/>
      <c r="I329" s="306"/>
      <c r="J329" s="306"/>
      <c r="O329" s="167"/>
      <c r="P329" s="115"/>
      <c r="Q329" s="307"/>
      <c r="R329" s="168"/>
      <c r="S329" s="307"/>
      <c r="T329" s="307"/>
      <c r="U329" s="307"/>
      <c r="V329" s="307"/>
      <c r="W329" s="307"/>
      <c r="X329" s="307"/>
    </row>
    <row r="330" spans="5:24" s="114" customFormat="1">
      <c r="E330" s="167"/>
      <c r="F330" s="115"/>
      <c r="I330" s="306"/>
      <c r="J330" s="306"/>
      <c r="O330" s="167"/>
      <c r="P330" s="115"/>
      <c r="Q330" s="307"/>
      <c r="R330" s="168"/>
      <c r="S330" s="307"/>
      <c r="T330" s="307"/>
      <c r="U330" s="307"/>
      <c r="V330" s="307"/>
      <c r="W330" s="307"/>
      <c r="X330" s="307"/>
    </row>
    <row r="331" spans="5:24" s="114" customFormat="1">
      <c r="E331" s="167"/>
      <c r="F331" s="115"/>
      <c r="I331" s="306"/>
      <c r="J331" s="306"/>
      <c r="O331" s="167"/>
      <c r="P331" s="115"/>
      <c r="Q331" s="307"/>
      <c r="R331" s="168"/>
      <c r="S331" s="307"/>
      <c r="T331" s="307"/>
      <c r="U331" s="307"/>
      <c r="V331" s="307"/>
      <c r="W331" s="307"/>
      <c r="X331" s="307"/>
    </row>
    <row r="332" spans="5:24" s="114" customFormat="1">
      <c r="E332" s="167"/>
      <c r="F332" s="115"/>
      <c r="I332" s="306"/>
      <c r="J332" s="306"/>
      <c r="O332" s="167"/>
      <c r="P332" s="115"/>
      <c r="Q332" s="307"/>
      <c r="R332" s="168"/>
      <c r="S332" s="307"/>
      <c r="T332" s="307"/>
      <c r="U332" s="307"/>
      <c r="V332" s="307"/>
      <c r="W332" s="307"/>
      <c r="X332" s="307"/>
    </row>
    <row r="333" spans="5:24" s="114" customFormat="1">
      <c r="E333" s="167"/>
      <c r="F333" s="115"/>
      <c r="I333" s="306"/>
      <c r="J333" s="306"/>
      <c r="O333" s="167"/>
      <c r="P333" s="115"/>
      <c r="Q333" s="307"/>
      <c r="R333" s="168"/>
      <c r="S333" s="307"/>
      <c r="T333" s="307"/>
      <c r="U333" s="307"/>
      <c r="V333" s="307"/>
      <c r="W333" s="307"/>
      <c r="X333" s="307"/>
    </row>
    <row r="334" spans="5:24" s="114" customFormat="1">
      <c r="E334" s="167"/>
      <c r="F334" s="115"/>
      <c r="I334" s="306"/>
      <c r="J334" s="306"/>
      <c r="O334" s="167"/>
      <c r="P334" s="115"/>
      <c r="Q334" s="307"/>
      <c r="R334" s="168"/>
      <c r="S334" s="307"/>
      <c r="T334" s="307"/>
      <c r="U334" s="307"/>
      <c r="V334" s="307"/>
      <c r="W334" s="307"/>
      <c r="X334" s="307"/>
    </row>
    <row r="335" spans="5:24" s="114" customFormat="1">
      <c r="E335" s="167"/>
      <c r="F335" s="115"/>
      <c r="I335" s="306"/>
      <c r="J335" s="306"/>
      <c r="O335" s="167"/>
      <c r="P335" s="115"/>
      <c r="Q335" s="307"/>
      <c r="R335" s="168"/>
      <c r="S335" s="307"/>
      <c r="T335" s="307"/>
      <c r="U335" s="307"/>
      <c r="V335" s="307"/>
      <c r="W335" s="307"/>
      <c r="X335" s="307"/>
    </row>
    <row r="336" spans="5:24" s="114" customFormat="1">
      <c r="E336" s="167"/>
      <c r="F336" s="115"/>
      <c r="I336" s="306"/>
      <c r="J336" s="306"/>
      <c r="O336" s="167"/>
      <c r="P336" s="115"/>
      <c r="Q336" s="307"/>
      <c r="R336" s="168"/>
      <c r="S336" s="307"/>
      <c r="T336" s="307"/>
      <c r="U336" s="307"/>
      <c r="V336" s="307"/>
      <c r="W336" s="307"/>
      <c r="X336" s="307"/>
    </row>
    <row r="337" spans="5:24" s="114" customFormat="1">
      <c r="E337" s="167"/>
      <c r="F337" s="115"/>
      <c r="I337" s="306"/>
      <c r="J337" s="306"/>
      <c r="O337" s="167"/>
      <c r="P337" s="115"/>
      <c r="Q337" s="307"/>
      <c r="R337" s="168"/>
      <c r="S337" s="307"/>
      <c r="T337" s="307"/>
      <c r="U337" s="307"/>
      <c r="V337" s="307"/>
      <c r="W337" s="307"/>
      <c r="X337" s="307"/>
    </row>
    <row r="338" spans="5:24" s="114" customFormat="1">
      <c r="E338" s="167"/>
      <c r="F338" s="115"/>
      <c r="I338" s="306"/>
      <c r="J338" s="306"/>
      <c r="O338" s="167"/>
      <c r="P338" s="115"/>
      <c r="Q338" s="307"/>
      <c r="R338" s="168"/>
      <c r="S338" s="307"/>
      <c r="T338" s="307"/>
      <c r="U338" s="307"/>
      <c r="V338" s="307"/>
      <c r="W338" s="307"/>
      <c r="X338" s="307"/>
    </row>
    <row r="339" spans="5:24" s="114" customFormat="1">
      <c r="E339" s="167"/>
      <c r="F339" s="115"/>
      <c r="I339" s="306"/>
      <c r="J339" s="306"/>
      <c r="O339" s="167"/>
      <c r="P339" s="115"/>
      <c r="Q339" s="307"/>
      <c r="R339" s="168"/>
      <c r="S339" s="307"/>
      <c r="T339" s="307"/>
      <c r="U339" s="307"/>
      <c r="V339" s="307"/>
      <c r="W339" s="307"/>
      <c r="X339" s="307"/>
    </row>
    <row r="340" spans="5:24" s="114" customFormat="1">
      <c r="E340" s="167"/>
      <c r="F340" s="115"/>
      <c r="I340" s="306"/>
      <c r="J340" s="306"/>
      <c r="O340" s="167"/>
      <c r="P340" s="115"/>
      <c r="Q340" s="307"/>
      <c r="R340" s="168"/>
      <c r="S340" s="307"/>
      <c r="T340" s="307"/>
      <c r="U340" s="307"/>
      <c r="V340" s="307"/>
      <c r="W340" s="307"/>
      <c r="X340" s="307"/>
    </row>
    <row r="341" spans="5:24" s="114" customFormat="1">
      <c r="E341" s="167"/>
      <c r="F341" s="115"/>
      <c r="I341" s="306"/>
      <c r="J341" s="306"/>
      <c r="O341" s="167"/>
      <c r="P341" s="115"/>
      <c r="Q341" s="307"/>
      <c r="R341" s="168"/>
      <c r="S341" s="307"/>
      <c r="T341" s="307"/>
      <c r="U341" s="307"/>
      <c r="V341" s="307"/>
      <c r="W341" s="307"/>
      <c r="X341" s="307"/>
    </row>
    <row r="342" spans="5:24" s="114" customFormat="1">
      <c r="E342" s="167"/>
      <c r="F342" s="115"/>
      <c r="I342" s="306"/>
      <c r="J342" s="306"/>
      <c r="O342" s="167"/>
      <c r="P342" s="115"/>
      <c r="Q342" s="307"/>
      <c r="R342" s="168"/>
      <c r="S342" s="307"/>
      <c r="T342" s="307"/>
      <c r="U342" s="307"/>
      <c r="V342" s="307"/>
      <c r="W342" s="307"/>
      <c r="X342" s="307"/>
    </row>
    <row r="343" spans="5:24" s="114" customFormat="1">
      <c r="E343" s="167"/>
      <c r="F343" s="115"/>
      <c r="I343" s="306"/>
      <c r="J343" s="306"/>
      <c r="O343" s="167"/>
      <c r="P343" s="115"/>
      <c r="Q343" s="307"/>
      <c r="R343" s="168"/>
      <c r="S343" s="307"/>
      <c r="T343" s="307"/>
      <c r="U343" s="307"/>
      <c r="V343" s="307"/>
      <c r="W343" s="307"/>
      <c r="X343" s="307"/>
    </row>
    <row r="344" spans="5:24" s="114" customFormat="1">
      <c r="E344" s="167"/>
      <c r="F344" s="115"/>
      <c r="I344" s="306"/>
      <c r="J344" s="306"/>
      <c r="O344" s="167"/>
      <c r="P344" s="115"/>
      <c r="Q344" s="307"/>
      <c r="R344" s="168"/>
      <c r="S344" s="307"/>
      <c r="T344" s="307"/>
      <c r="U344" s="307"/>
      <c r="V344" s="307"/>
      <c r="W344" s="307"/>
      <c r="X344" s="307"/>
    </row>
    <row r="345" spans="5:24" s="114" customFormat="1">
      <c r="E345" s="167"/>
      <c r="F345" s="115"/>
      <c r="I345" s="306"/>
      <c r="J345" s="306"/>
      <c r="O345" s="167"/>
      <c r="P345" s="115"/>
      <c r="Q345" s="307"/>
      <c r="R345" s="168"/>
      <c r="S345" s="307"/>
      <c r="T345" s="307"/>
      <c r="U345" s="307"/>
      <c r="V345" s="307"/>
      <c r="W345" s="307"/>
      <c r="X345" s="307"/>
    </row>
    <row r="346" spans="5:24" s="114" customFormat="1">
      <c r="E346" s="167"/>
      <c r="F346" s="115"/>
      <c r="I346" s="306"/>
      <c r="J346" s="306"/>
      <c r="O346" s="167"/>
      <c r="P346" s="115"/>
      <c r="Q346" s="307"/>
      <c r="R346" s="168"/>
      <c r="S346" s="307"/>
      <c r="T346" s="307"/>
      <c r="U346" s="307"/>
      <c r="V346" s="307"/>
      <c r="W346" s="307"/>
      <c r="X346" s="307"/>
    </row>
    <row r="347" spans="5:24" s="114" customFormat="1">
      <c r="E347" s="167"/>
      <c r="F347" s="115"/>
      <c r="I347" s="306"/>
      <c r="J347" s="306"/>
      <c r="O347" s="167"/>
      <c r="P347" s="115"/>
      <c r="Q347" s="307"/>
      <c r="R347" s="168"/>
      <c r="S347" s="307"/>
      <c r="T347" s="307"/>
      <c r="U347" s="307"/>
      <c r="V347" s="307"/>
      <c r="W347" s="307"/>
      <c r="X347" s="307"/>
    </row>
    <row r="348" spans="5:24" s="114" customFormat="1">
      <c r="E348" s="167"/>
      <c r="F348" s="115"/>
      <c r="I348" s="306"/>
      <c r="J348" s="306"/>
      <c r="O348" s="167"/>
      <c r="P348" s="115"/>
      <c r="Q348" s="307"/>
      <c r="R348" s="168"/>
      <c r="S348" s="307"/>
      <c r="T348" s="307"/>
      <c r="U348" s="307"/>
      <c r="V348" s="307"/>
      <c r="W348" s="307"/>
      <c r="X348" s="307"/>
    </row>
    <row r="349" spans="5:24" s="114" customFormat="1">
      <c r="E349" s="167"/>
      <c r="F349" s="115"/>
      <c r="I349" s="306"/>
      <c r="J349" s="306"/>
      <c r="O349" s="167"/>
      <c r="P349" s="115"/>
      <c r="Q349" s="307"/>
      <c r="R349" s="168"/>
      <c r="S349" s="307"/>
      <c r="T349" s="307"/>
      <c r="U349" s="307"/>
      <c r="V349" s="307"/>
      <c r="W349" s="307"/>
      <c r="X349" s="307"/>
    </row>
    <row r="350" spans="5:24" s="114" customFormat="1">
      <c r="E350" s="167"/>
      <c r="F350" s="115"/>
      <c r="I350" s="306"/>
      <c r="J350" s="306"/>
      <c r="O350" s="167"/>
      <c r="P350" s="115"/>
      <c r="Q350" s="307"/>
      <c r="R350" s="168"/>
      <c r="S350" s="307"/>
      <c r="T350" s="307"/>
      <c r="U350" s="307"/>
      <c r="V350" s="307"/>
      <c r="W350" s="307"/>
      <c r="X350" s="307"/>
    </row>
    <row r="351" spans="5:24" s="114" customFormat="1">
      <c r="E351" s="167"/>
      <c r="F351" s="115"/>
      <c r="I351" s="306"/>
      <c r="J351" s="306"/>
      <c r="O351" s="167"/>
      <c r="P351" s="115"/>
      <c r="Q351" s="307"/>
      <c r="R351" s="168"/>
      <c r="S351" s="307"/>
      <c r="T351" s="307"/>
      <c r="U351" s="307"/>
      <c r="V351" s="307"/>
      <c r="W351" s="307"/>
      <c r="X351" s="307"/>
    </row>
    <row r="352" spans="5:24" s="114" customFormat="1">
      <c r="E352" s="167"/>
      <c r="F352" s="115"/>
      <c r="I352" s="306"/>
      <c r="J352" s="306"/>
      <c r="O352" s="167"/>
      <c r="P352" s="115"/>
      <c r="Q352" s="307"/>
      <c r="R352" s="168"/>
      <c r="S352" s="307"/>
      <c r="T352" s="307"/>
      <c r="U352" s="307"/>
      <c r="V352" s="307"/>
      <c r="W352" s="307"/>
      <c r="X352" s="307"/>
    </row>
    <row r="353" spans="5:24" s="114" customFormat="1">
      <c r="E353" s="167"/>
      <c r="F353" s="115"/>
      <c r="I353" s="306"/>
      <c r="J353" s="306"/>
      <c r="O353" s="167"/>
      <c r="P353" s="115"/>
      <c r="Q353" s="307"/>
      <c r="R353" s="168"/>
      <c r="S353" s="307"/>
      <c r="T353" s="307"/>
      <c r="U353" s="307"/>
      <c r="V353" s="307"/>
      <c r="W353" s="307"/>
      <c r="X353" s="307"/>
    </row>
    <row r="354" spans="5:24" s="114" customFormat="1">
      <c r="E354" s="167"/>
      <c r="F354" s="115"/>
      <c r="I354" s="306"/>
      <c r="J354" s="306"/>
      <c r="O354" s="167"/>
      <c r="P354" s="115"/>
      <c r="Q354" s="307"/>
      <c r="R354" s="168"/>
      <c r="S354" s="307"/>
      <c r="T354" s="307"/>
      <c r="U354" s="307"/>
      <c r="V354" s="307"/>
      <c r="W354" s="307"/>
      <c r="X354" s="307"/>
    </row>
    <row r="355" spans="5:24" s="114" customFormat="1">
      <c r="E355" s="167"/>
      <c r="F355" s="115"/>
      <c r="I355" s="306"/>
      <c r="J355" s="306"/>
      <c r="O355" s="167"/>
      <c r="P355" s="115"/>
      <c r="Q355" s="307"/>
      <c r="R355" s="168"/>
      <c r="S355" s="307"/>
      <c r="T355" s="307"/>
      <c r="U355" s="307"/>
      <c r="V355" s="307"/>
      <c r="W355" s="307"/>
      <c r="X355" s="307"/>
    </row>
    <row r="356" spans="5:24" s="114" customFormat="1">
      <c r="E356" s="167"/>
      <c r="F356" s="115"/>
      <c r="I356" s="306"/>
      <c r="J356" s="306"/>
      <c r="O356" s="167"/>
      <c r="P356" s="115"/>
      <c r="Q356" s="307"/>
      <c r="R356" s="168"/>
      <c r="S356" s="307"/>
      <c r="T356" s="307"/>
      <c r="U356" s="307"/>
      <c r="V356" s="307"/>
      <c r="W356" s="307"/>
      <c r="X356" s="307"/>
    </row>
    <row r="357" spans="5:24" s="114" customFormat="1">
      <c r="E357" s="167"/>
      <c r="F357" s="115"/>
      <c r="I357" s="306"/>
      <c r="J357" s="306"/>
      <c r="O357" s="167"/>
      <c r="P357" s="115"/>
      <c r="Q357" s="307"/>
      <c r="R357" s="168"/>
      <c r="S357" s="307"/>
      <c r="T357" s="307"/>
      <c r="U357" s="307"/>
      <c r="V357" s="307"/>
      <c r="W357" s="307"/>
      <c r="X357" s="307"/>
    </row>
    <row r="358" spans="5:24" s="114" customFormat="1">
      <c r="E358" s="167"/>
      <c r="F358" s="115"/>
      <c r="I358" s="306"/>
      <c r="J358" s="306"/>
      <c r="O358" s="167"/>
      <c r="P358" s="115"/>
      <c r="Q358" s="307"/>
      <c r="R358" s="168"/>
      <c r="S358" s="307"/>
      <c r="T358" s="307"/>
      <c r="U358" s="307"/>
      <c r="V358" s="307"/>
      <c r="W358" s="307"/>
      <c r="X358" s="307"/>
    </row>
    <row r="359" spans="5:24" s="114" customFormat="1">
      <c r="E359" s="167"/>
      <c r="F359" s="115"/>
      <c r="I359" s="306"/>
      <c r="J359" s="306"/>
      <c r="O359" s="167"/>
      <c r="P359" s="115"/>
      <c r="Q359" s="307"/>
      <c r="R359" s="168"/>
      <c r="S359" s="307"/>
      <c r="T359" s="307"/>
      <c r="U359" s="307"/>
      <c r="V359" s="307"/>
      <c r="W359" s="307"/>
      <c r="X359" s="307"/>
    </row>
    <row r="360" spans="5:24" s="114" customFormat="1">
      <c r="E360" s="167"/>
      <c r="F360" s="115"/>
      <c r="I360" s="306"/>
      <c r="J360" s="306"/>
      <c r="O360" s="167"/>
      <c r="P360" s="115"/>
      <c r="Q360" s="307"/>
      <c r="R360" s="168"/>
      <c r="S360" s="307"/>
      <c r="T360" s="307"/>
      <c r="U360" s="307"/>
      <c r="V360" s="307"/>
      <c r="W360" s="307"/>
      <c r="X360" s="307"/>
    </row>
    <row r="361" spans="5:24" s="114" customFormat="1">
      <c r="E361" s="167"/>
      <c r="F361" s="115"/>
      <c r="I361" s="306"/>
      <c r="J361" s="306"/>
      <c r="O361" s="167"/>
      <c r="P361" s="115"/>
      <c r="Q361" s="307"/>
      <c r="R361" s="168"/>
      <c r="S361" s="307"/>
      <c r="T361" s="307"/>
      <c r="U361" s="307"/>
      <c r="V361" s="307"/>
      <c r="W361" s="307"/>
      <c r="X361" s="307"/>
    </row>
    <row r="362" spans="5:24" s="114" customFormat="1">
      <c r="E362" s="167"/>
      <c r="F362" s="115"/>
      <c r="I362" s="306"/>
      <c r="J362" s="306"/>
      <c r="O362" s="167"/>
      <c r="P362" s="115"/>
      <c r="Q362" s="307"/>
      <c r="R362" s="168"/>
      <c r="S362" s="307"/>
      <c r="T362" s="307"/>
      <c r="U362" s="307"/>
      <c r="V362" s="307"/>
      <c r="W362" s="307"/>
      <c r="X362" s="307"/>
    </row>
    <row r="363" spans="5:24" s="114" customFormat="1">
      <c r="E363" s="167"/>
      <c r="F363" s="115"/>
      <c r="I363" s="306"/>
      <c r="J363" s="306"/>
      <c r="O363" s="167"/>
      <c r="P363" s="115"/>
      <c r="Q363" s="307"/>
      <c r="R363" s="168"/>
      <c r="S363" s="307"/>
      <c r="T363" s="307"/>
      <c r="U363" s="307"/>
      <c r="V363" s="307"/>
      <c r="W363" s="307"/>
      <c r="X363" s="307"/>
    </row>
    <row r="364" spans="5:24" s="114" customFormat="1">
      <c r="E364" s="167"/>
      <c r="F364" s="115"/>
      <c r="I364" s="306"/>
      <c r="J364" s="306"/>
      <c r="O364" s="167"/>
      <c r="P364" s="115"/>
      <c r="Q364" s="307"/>
      <c r="R364" s="168"/>
      <c r="S364" s="307"/>
      <c r="T364" s="307"/>
      <c r="U364" s="307"/>
      <c r="V364" s="307"/>
      <c r="W364" s="307"/>
      <c r="X364" s="307"/>
    </row>
    <row r="365" spans="5:24" s="114" customFormat="1">
      <c r="E365" s="167"/>
      <c r="F365" s="115"/>
      <c r="I365" s="306"/>
      <c r="J365" s="306"/>
      <c r="O365" s="167"/>
      <c r="P365" s="115"/>
      <c r="Q365" s="307"/>
      <c r="R365" s="168"/>
      <c r="S365" s="307"/>
      <c r="T365" s="307"/>
      <c r="U365" s="307"/>
      <c r="V365" s="307"/>
      <c r="W365" s="307"/>
      <c r="X365" s="307"/>
    </row>
    <row r="366" spans="5:24" s="114" customFormat="1">
      <c r="E366" s="167"/>
      <c r="F366" s="115"/>
      <c r="I366" s="306"/>
      <c r="J366" s="306"/>
      <c r="O366" s="167"/>
      <c r="P366" s="115"/>
      <c r="Q366" s="307"/>
      <c r="R366" s="168"/>
      <c r="S366" s="307"/>
      <c r="T366" s="307"/>
      <c r="U366" s="307"/>
      <c r="V366" s="307"/>
      <c r="W366" s="307"/>
      <c r="X366" s="307"/>
    </row>
    <row r="367" spans="5:24" s="114" customFormat="1">
      <c r="E367" s="167"/>
      <c r="F367" s="115"/>
      <c r="I367" s="306"/>
      <c r="J367" s="306"/>
      <c r="O367" s="167"/>
      <c r="P367" s="115"/>
      <c r="Q367" s="307"/>
      <c r="R367" s="168"/>
      <c r="S367" s="307"/>
      <c r="T367" s="307"/>
      <c r="U367" s="307"/>
      <c r="V367" s="307"/>
      <c r="W367" s="307"/>
      <c r="X367" s="307"/>
    </row>
    <row r="368" spans="5:24" s="114" customFormat="1">
      <c r="E368" s="167"/>
      <c r="F368" s="115"/>
      <c r="I368" s="306"/>
      <c r="J368" s="306"/>
      <c r="O368" s="167"/>
      <c r="P368" s="115"/>
      <c r="Q368" s="307"/>
      <c r="R368" s="168"/>
      <c r="S368" s="307"/>
      <c r="T368" s="307"/>
      <c r="U368" s="307"/>
      <c r="V368" s="307"/>
      <c r="W368" s="307"/>
      <c r="X368" s="307"/>
    </row>
    <row r="369" spans="5:24" s="114" customFormat="1">
      <c r="E369" s="167"/>
      <c r="F369" s="115"/>
      <c r="I369" s="306"/>
      <c r="J369" s="306"/>
      <c r="O369" s="167"/>
      <c r="P369" s="115"/>
      <c r="Q369" s="307"/>
      <c r="R369" s="168"/>
      <c r="S369" s="307"/>
      <c r="T369" s="307"/>
      <c r="U369" s="307"/>
      <c r="V369" s="307"/>
      <c r="W369" s="307"/>
      <c r="X369" s="307"/>
    </row>
    <row r="370" spans="5:24" s="114" customFormat="1">
      <c r="E370" s="167"/>
      <c r="F370" s="115"/>
      <c r="I370" s="306"/>
      <c r="J370" s="306"/>
      <c r="O370" s="167"/>
      <c r="P370" s="115"/>
      <c r="Q370" s="307"/>
      <c r="R370" s="168"/>
      <c r="S370" s="307"/>
      <c r="T370" s="307"/>
      <c r="U370" s="307"/>
      <c r="V370" s="307"/>
      <c r="W370" s="307"/>
      <c r="X370" s="307"/>
    </row>
    <row r="371" spans="5:24" s="114" customFormat="1">
      <c r="E371" s="167"/>
      <c r="F371" s="115"/>
      <c r="I371" s="306"/>
      <c r="J371" s="306"/>
      <c r="O371" s="167"/>
      <c r="P371" s="115"/>
      <c r="Q371" s="307"/>
      <c r="R371" s="168"/>
      <c r="S371" s="307"/>
      <c r="T371" s="307"/>
      <c r="U371" s="307"/>
      <c r="V371" s="307"/>
      <c r="W371" s="307"/>
      <c r="X371" s="307"/>
    </row>
    <row r="372" spans="5:24" s="114" customFormat="1">
      <c r="E372" s="167"/>
      <c r="F372" s="115"/>
      <c r="I372" s="306"/>
      <c r="J372" s="306"/>
      <c r="O372" s="167"/>
      <c r="P372" s="115"/>
      <c r="Q372" s="307"/>
      <c r="R372" s="168"/>
      <c r="S372" s="307"/>
      <c r="T372" s="307"/>
      <c r="U372" s="307"/>
      <c r="V372" s="307"/>
      <c r="W372" s="307"/>
      <c r="X372" s="307"/>
    </row>
    <row r="373" spans="5:24" s="114" customFormat="1">
      <c r="E373" s="167"/>
      <c r="F373" s="115"/>
      <c r="I373" s="306"/>
      <c r="J373" s="306"/>
      <c r="O373" s="167"/>
      <c r="P373" s="115"/>
      <c r="Q373" s="307"/>
      <c r="R373" s="168"/>
      <c r="S373" s="307"/>
      <c r="T373" s="307"/>
      <c r="U373" s="307"/>
      <c r="V373" s="307"/>
      <c r="W373" s="307"/>
      <c r="X373" s="307"/>
    </row>
    <row r="374" spans="5:24" s="114" customFormat="1">
      <c r="E374" s="167"/>
      <c r="F374" s="115"/>
      <c r="I374" s="306"/>
      <c r="J374" s="306"/>
      <c r="O374" s="167"/>
      <c r="P374" s="115"/>
      <c r="Q374" s="307"/>
      <c r="R374" s="168"/>
      <c r="S374" s="307"/>
      <c r="T374" s="307"/>
      <c r="U374" s="307"/>
      <c r="V374" s="307"/>
      <c r="W374" s="307"/>
      <c r="X374" s="307"/>
    </row>
    <row r="375" spans="5:24" s="114" customFormat="1">
      <c r="E375" s="167"/>
      <c r="F375" s="115"/>
      <c r="I375" s="306"/>
      <c r="J375" s="306"/>
      <c r="O375" s="167"/>
      <c r="P375" s="115"/>
      <c r="Q375" s="307"/>
      <c r="R375" s="168"/>
      <c r="S375" s="307"/>
      <c r="T375" s="307"/>
      <c r="U375" s="307"/>
      <c r="V375" s="307"/>
      <c r="W375" s="307"/>
      <c r="X375" s="307"/>
    </row>
    <row r="376" spans="5:24" s="114" customFormat="1">
      <c r="E376" s="167"/>
      <c r="F376" s="115"/>
      <c r="I376" s="306"/>
      <c r="J376" s="306"/>
      <c r="O376" s="167"/>
      <c r="P376" s="115"/>
      <c r="Q376" s="307"/>
      <c r="R376" s="168"/>
      <c r="S376" s="307"/>
      <c r="T376" s="307"/>
      <c r="U376" s="307"/>
      <c r="V376" s="307"/>
      <c r="W376" s="307"/>
      <c r="X376" s="307"/>
    </row>
    <row r="377" spans="5:24" s="114" customFormat="1">
      <c r="E377" s="167"/>
      <c r="F377" s="115"/>
      <c r="I377" s="306"/>
      <c r="J377" s="306"/>
      <c r="O377" s="167"/>
      <c r="P377" s="115"/>
      <c r="Q377" s="307"/>
      <c r="R377" s="168"/>
      <c r="S377" s="307"/>
      <c r="T377" s="307"/>
      <c r="U377" s="307"/>
      <c r="V377" s="307"/>
      <c r="W377" s="307"/>
      <c r="X377" s="307"/>
    </row>
    <row r="378" spans="5:24" s="114" customFormat="1">
      <c r="E378" s="167"/>
      <c r="F378" s="115"/>
      <c r="I378" s="306"/>
      <c r="J378" s="306"/>
      <c r="O378" s="167"/>
      <c r="P378" s="115"/>
      <c r="Q378" s="307"/>
      <c r="R378" s="168"/>
      <c r="S378" s="307"/>
      <c r="T378" s="307"/>
      <c r="U378" s="307"/>
      <c r="V378" s="307"/>
      <c r="W378" s="307"/>
      <c r="X378" s="307"/>
    </row>
    <row r="379" spans="5:24" s="114" customFormat="1">
      <c r="E379" s="167"/>
      <c r="F379" s="115"/>
      <c r="I379" s="306"/>
      <c r="J379" s="306"/>
      <c r="O379" s="167"/>
      <c r="P379" s="115"/>
      <c r="Q379" s="307"/>
      <c r="R379" s="168"/>
      <c r="S379" s="307"/>
      <c r="T379" s="307"/>
      <c r="U379" s="307"/>
      <c r="V379" s="307"/>
      <c r="W379" s="307"/>
      <c r="X379" s="307"/>
    </row>
    <row r="380" spans="5:24" s="114" customFormat="1">
      <c r="E380" s="167"/>
      <c r="F380" s="115"/>
      <c r="I380" s="306"/>
      <c r="J380" s="306"/>
      <c r="O380" s="167"/>
      <c r="P380" s="115"/>
      <c r="Q380" s="307"/>
      <c r="R380" s="168"/>
      <c r="S380" s="307"/>
      <c r="T380" s="307"/>
      <c r="U380" s="307"/>
      <c r="V380" s="307"/>
      <c r="W380" s="307"/>
      <c r="X380" s="307"/>
    </row>
    <row r="381" spans="5:24" s="114" customFormat="1">
      <c r="E381" s="167"/>
      <c r="F381" s="115"/>
      <c r="I381" s="306"/>
      <c r="J381" s="306"/>
      <c r="O381" s="167"/>
      <c r="P381" s="115"/>
      <c r="Q381" s="307"/>
      <c r="R381" s="168"/>
      <c r="S381" s="307"/>
      <c r="T381" s="307"/>
      <c r="U381" s="307"/>
      <c r="V381" s="307"/>
      <c r="W381" s="307"/>
      <c r="X381" s="307"/>
    </row>
    <row r="382" spans="5:24" s="114" customFormat="1">
      <c r="E382" s="167"/>
      <c r="F382" s="115"/>
      <c r="I382" s="306"/>
      <c r="J382" s="306"/>
      <c r="O382" s="167"/>
      <c r="P382" s="115"/>
      <c r="Q382" s="307"/>
      <c r="R382" s="168"/>
      <c r="S382" s="307"/>
      <c r="T382" s="307"/>
      <c r="U382" s="307"/>
      <c r="V382" s="307"/>
      <c r="W382" s="307"/>
      <c r="X382" s="307"/>
    </row>
    <row r="383" spans="5:24" s="114" customFormat="1">
      <c r="E383" s="167"/>
      <c r="F383" s="115"/>
      <c r="I383" s="306"/>
      <c r="J383" s="306"/>
      <c r="O383" s="167"/>
      <c r="P383" s="115"/>
      <c r="Q383" s="307"/>
      <c r="R383" s="168"/>
      <c r="S383" s="307"/>
      <c r="T383" s="307"/>
      <c r="U383" s="307"/>
      <c r="V383" s="307"/>
      <c r="W383" s="307"/>
      <c r="X383" s="307"/>
    </row>
    <row r="384" spans="5:24" s="114" customFormat="1">
      <c r="E384" s="167"/>
      <c r="F384" s="115"/>
      <c r="I384" s="306"/>
      <c r="J384" s="306"/>
      <c r="O384" s="167"/>
      <c r="P384" s="115"/>
      <c r="Q384" s="307"/>
      <c r="R384" s="168"/>
      <c r="S384" s="307"/>
      <c r="T384" s="307"/>
      <c r="U384" s="307"/>
      <c r="V384" s="307"/>
      <c r="W384" s="307"/>
      <c r="X384" s="307"/>
    </row>
    <row r="385" spans="5:24" s="114" customFormat="1">
      <c r="E385" s="167"/>
      <c r="F385" s="115"/>
      <c r="I385" s="306"/>
      <c r="J385" s="306"/>
      <c r="O385" s="167"/>
      <c r="P385" s="115"/>
      <c r="Q385" s="307"/>
      <c r="R385" s="168"/>
      <c r="S385" s="307"/>
      <c r="T385" s="307"/>
      <c r="U385" s="307"/>
      <c r="V385" s="307"/>
      <c r="W385" s="307"/>
      <c r="X385" s="307"/>
    </row>
    <row r="386" spans="5:24" s="114" customFormat="1">
      <c r="E386" s="167"/>
      <c r="F386" s="115"/>
      <c r="I386" s="306"/>
      <c r="J386" s="306"/>
      <c r="O386" s="167"/>
      <c r="P386" s="115"/>
      <c r="Q386" s="307"/>
      <c r="R386" s="168"/>
      <c r="S386" s="307"/>
      <c r="T386" s="307"/>
      <c r="U386" s="307"/>
      <c r="V386" s="307"/>
      <c r="W386" s="307"/>
      <c r="X386" s="307"/>
    </row>
    <row r="387" spans="5:24" s="114" customFormat="1">
      <c r="E387" s="167"/>
      <c r="F387" s="115"/>
      <c r="I387" s="306"/>
      <c r="J387" s="306"/>
      <c r="O387" s="167"/>
      <c r="P387" s="115"/>
      <c r="Q387" s="307"/>
      <c r="R387" s="168"/>
      <c r="S387" s="307"/>
      <c r="T387" s="307"/>
      <c r="U387" s="307"/>
      <c r="V387" s="307"/>
      <c r="W387" s="307"/>
      <c r="X387" s="307"/>
    </row>
    <row r="388" spans="5:24" s="114" customFormat="1">
      <c r="E388" s="167"/>
      <c r="F388" s="115"/>
      <c r="I388" s="306"/>
      <c r="J388" s="306"/>
      <c r="O388" s="167"/>
      <c r="P388" s="115"/>
      <c r="Q388" s="307"/>
      <c r="R388" s="168"/>
      <c r="S388" s="307"/>
      <c r="T388" s="307"/>
      <c r="U388" s="307"/>
      <c r="V388" s="307"/>
      <c r="W388" s="307"/>
      <c r="X388" s="307"/>
    </row>
    <row r="389" spans="5:24" s="114" customFormat="1">
      <c r="E389" s="167"/>
      <c r="F389" s="115"/>
      <c r="I389" s="306"/>
      <c r="J389" s="306"/>
      <c r="O389" s="167"/>
      <c r="P389" s="115"/>
      <c r="Q389" s="307"/>
      <c r="R389" s="168"/>
      <c r="S389" s="307"/>
      <c r="T389" s="307"/>
      <c r="U389" s="307"/>
      <c r="V389" s="307"/>
      <c r="W389" s="307"/>
      <c r="X389" s="307"/>
    </row>
    <row r="390" spans="5:24" s="114" customFormat="1">
      <c r="E390" s="167"/>
      <c r="F390" s="115"/>
      <c r="I390" s="306"/>
      <c r="J390" s="306"/>
      <c r="O390" s="167"/>
      <c r="P390" s="115"/>
      <c r="Q390" s="307"/>
      <c r="R390" s="168"/>
      <c r="S390" s="307"/>
      <c r="T390" s="307"/>
      <c r="U390" s="307"/>
      <c r="V390" s="307"/>
      <c r="W390" s="307"/>
      <c r="X390" s="307"/>
    </row>
    <row r="391" spans="5:24" s="114" customFormat="1">
      <c r="E391" s="167"/>
      <c r="F391" s="115"/>
      <c r="I391" s="306"/>
      <c r="J391" s="306"/>
      <c r="O391" s="167"/>
      <c r="P391" s="115"/>
      <c r="Q391" s="307"/>
      <c r="R391" s="168"/>
      <c r="S391" s="307"/>
      <c r="T391" s="307"/>
      <c r="U391" s="307"/>
      <c r="V391" s="307"/>
      <c r="W391" s="307"/>
      <c r="X391" s="307"/>
    </row>
    <row r="392" spans="5:24" s="114" customFormat="1">
      <c r="E392" s="167"/>
      <c r="F392" s="115"/>
      <c r="I392" s="306"/>
      <c r="J392" s="306"/>
      <c r="O392" s="167"/>
      <c r="P392" s="115"/>
      <c r="Q392" s="307"/>
      <c r="R392" s="168"/>
      <c r="S392" s="307"/>
      <c r="T392" s="307"/>
      <c r="U392" s="307"/>
      <c r="V392" s="307"/>
      <c r="W392" s="307"/>
      <c r="X392" s="307"/>
    </row>
    <row r="393" spans="5:24" s="114" customFormat="1">
      <c r="E393" s="167"/>
      <c r="F393" s="115"/>
      <c r="I393" s="306"/>
      <c r="J393" s="306"/>
      <c r="O393" s="167"/>
      <c r="P393" s="115"/>
      <c r="Q393" s="307"/>
      <c r="R393" s="168"/>
      <c r="S393" s="307"/>
      <c r="T393" s="307"/>
      <c r="U393" s="307"/>
      <c r="V393" s="307"/>
      <c r="W393" s="307"/>
      <c r="X393" s="307"/>
    </row>
    <row r="394" spans="5:24" s="114" customFormat="1">
      <c r="E394" s="167"/>
      <c r="F394" s="115"/>
      <c r="I394" s="306"/>
      <c r="J394" s="306"/>
      <c r="O394" s="167"/>
      <c r="P394" s="115"/>
      <c r="Q394" s="307"/>
      <c r="R394" s="168"/>
      <c r="S394" s="307"/>
      <c r="T394" s="307"/>
      <c r="U394" s="307"/>
      <c r="V394" s="307"/>
      <c r="W394" s="307"/>
      <c r="X394" s="307"/>
    </row>
    <row r="395" spans="5:24" s="114" customFormat="1">
      <c r="E395" s="167"/>
      <c r="F395" s="115"/>
      <c r="I395" s="306"/>
      <c r="J395" s="306"/>
      <c r="O395" s="167"/>
      <c r="P395" s="115"/>
      <c r="Q395" s="307"/>
      <c r="R395" s="168"/>
      <c r="S395" s="307"/>
      <c r="T395" s="307"/>
      <c r="U395" s="307"/>
      <c r="V395" s="307"/>
      <c r="W395" s="307"/>
      <c r="X395" s="307"/>
    </row>
    <row r="396" spans="5:24" s="114" customFormat="1">
      <c r="E396" s="167"/>
      <c r="F396" s="115"/>
      <c r="I396" s="306"/>
      <c r="J396" s="306"/>
      <c r="O396" s="167"/>
      <c r="P396" s="115"/>
      <c r="Q396" s="307"/>
      <c r="R396" s="168"/>
      <c r="S396" s="307"/>
      <c r="T396" s="307"/>
      <c r="U396" s="307"/>
      <c r="V396" s="307"/>
      <c r="W396" s="307"/>
      <c r="X396" s="307"/>
    </row>
    <row r="397" spans="5:24" s="114" customFormat="1">
      <c r="E397" s="167"/>
      <c r="F397" s="115"/>
      <c r="I397" s="306"/>
      <c r="J397" s="306"/>
      <c r="O397" s="167"/>
      <c r="P397" s="115"/>
      <c r="Q397" s="307"/>
      <c r="R397" s="168"/>
      <c r="S397" s="307"/>
      <c r="T397" s="307"/>
      <c r="U397" s="307"/>
      <c r="V397" s="307"/>
      <c r="W397" s="307"/>
      <c r="X397" s="307"/>
    </row>
    <row r="398" spans="5:24" s="114" customFormat="1">
      <c r="E398" s="167"/>
      <c r="F398" s="115"/>
      <c r="I398" s="306"/>
      <c r="J398" s="306"/>
      <c r="O398" s="167"/>
      <c r="P398" s="115"/>
      <c r="Q398" s="307"/>
      <c r="R398" s="168"/>
      <c r="S398" s="307"/>
      <c r="T398" s="307"/>
      <c r="U398" s="307"/>
      <c r="V398" s="307"/>
      <c r="W398" s="307"/>
      <c r="X398" s="307"/>
    </row>
    <row r="399" spans="5:24" s="114" customFormat="1">
      <c r="E399" s="167"/>
      <c r="F399" s="115"/>
      <c r="I399" s="306"/>
      <c r="J399" s="306"/>
      <c r="O399" s="167"/>
      <c r="P399" s="115"/>
      <c r="Q399" s="307"/>
      <c r="R399" s="168"/>
      <c r="S399" s="307"/>
      <c r="T399" s="307"/>
      <c r="U399" s="307"/>
      <c r="V399" s="307"/>
      <c r="W399" s="307"/>
      <c r="X399" s="307"/>
    </row>
    <row r="400" spans="5:24" s="114" customFormat="1">
      <c r="E400" s="167"/>
      <c r="F400" s="115"/>
      <c r="I400" s="306"/>
      <c r="J400" s="306"/>
      <c r="O400" s="167"/>
      <c r="P400" s="115"/>
      <c r="Q400" s="307"/>
      <c r="R400" s="168"/>
      <c r="S400" s="307"/>
      <c r="T400" s="307"/>
      <c r="U400" s="307"/>
      <c r="V400" s="307"/>
      <c r="W400" s="307"/>
      <c r="X400" s="307"/>
    </row>
    <row r="401" spans="5:24" s="114" customFormat="1">
      <c r="E401" s="167"/>
      <c r="F401" s="115"/>
      <c r="I401" s="306"/>
      <c r="J401" s="306"/>
      <c r="O401" s="167"/>
      <c r="P401" s="115"/>
      <c r="Q401" s="307"/>
      <c r="R401" s="168"/>
      <c r="S401" s="307"/>
      <c r="T401" s="307"/>
      <c r="U401" s="307"/>
      <c r="V401" s="307"/>
      <c r="W401" s="307"/>
      <c r="X401" s="307"/>
    </row>
    <row r="402" spans="5:24" s="114" customFormat="1">
      <c r="E402" s="167"/>
      <c r="F402" s="115"/>
      <c r="I402" s="306"/>
      <c r="J402" s="306"/>
      <c r="O402" s="167"/>
      <c r="P402" s="115"/>
      <c r="Q402" s="307"/>
      <c r="R402" s="168"/>
      <c r="S402" s="307"/>
      <c r="T402" s="307"/>
      <c r="U402" s="307"/>
      <c r="V402" s="307"/>
      <c r="W402" s="307"/>
      <c r="X402" s="307"/>
    </row>
    <row r="403" spans="5:24" s="114" customFormat="1">
      <c r="E403" s="167"/>
      <c r="F403" s="115"/>
      <c r="I403" s="306"/>
      <c r="J403" s="306"/>
      <c r="O403" s="167"/>
      <c r="P403" s="115"/>
      <c r="Q403" s="307"/>
      <c r="R403" s="168"/>
      <c r="S403" s="307"/>
      <c r="T403" s="307"/>
      <c r="U403" s="307"/>
      <c r="V403" s="307"/>
      <c r="W403" s="307"/>
      <c r="X403" s="307"/>
    </row>
    <row r="404" spans="5:24" s="114" customFormat="1">
      <c r="E404" s="167"/>
      <c r="F404" s="115"/>
      <c r="I404" s="306"/>
      <c r="J404" s="306"/>
      <c r="O404" s="167"/>
      <c r="P404" s="115"/>
      <c r="Q404" s="307"/>
      <c r="R404" s="168"/>
      <c r="S404" s="307"/>
      <c r="T404" s="307"/>
      <c r="U404" s="307"/>
      <c r="V404" s="307"/>
      <c r="W404" s="307"/>
      <c r="X404" s="307"/>
    </row>
    <row r="405" spans="5:24" s="114" customFormat="1">
      <c r="E405" s="167"/>
      <c r="F405" s="115"/>
      <c r="I405" s="306"/>
      <c r="J405" s="306"/>
      <c r="O405" s="167"/>
      <c r="P405" s="115"/>
      <c r="Q405" s="307"/>
      <c r="R405" s="168"/>
      <c r="S405" s="307"/>
      <c r="T405" s="307"/>
      <c r="U405" s="307"/>
      <c r="V405" s="307"/>
      <c r="W405" s="307"/>
      <c r="X405" s="307"/>
    </row>
    <row r="406" spans="5:24" s="114" customFormat="1">
      <c r="E406" s="167"/>
      <c r="F406" s="115"/>
      <c r="I406" s="306"/>
      <c r="J406" s="306"/>
      <c r="O406" s="167"/>
      <c r="P406" s="115"/>
      <c r="Q406" s="307"/>
      <c r="R406" s="168"/>
      <c r="S406" s="307"/>
      <c r="T406" s="307"/>
      <c r="U406" s="307"/>
      <c r="V406" s="307"/>
      <c r="W406" s="307"/>
      <c r="X406" s="307"/>
    </row>
    <row r="407" spans="5:24" s="114" customFormat="1">
      <c r="E407" s="167"/>
      <c r="F407" s="115"/>
      <c r="I407" s="306"/>
      <c r="J407" s="306"/>
      <c r="O407" s="167"/>
      <c r="P407" s="115"/>
      <c r="Q407" s="307"/>
      <c r="R407" s="168"/>
      <c r="S407" s="307"/>
      <c r="T407" s="307"/>
      <c r="U407" s="307"/>
      <c r="V407" s="307"/>
      <c r="W407" s="307"/>
      <c r="X407" s="307"/>
    </row>
    <row r="408" spans="5:24" s="114" customFormat="1">
      <c r="E408" s="167"/>
      <c r="F408" s="115"/>
      <c r="I408" s="306"/>
      <c r="J408" s="306"/>
      <c r="O408" s="167"/>
      <c r="P408" s="115"/>
      <c r="Q408" s="307"/>
      <c r="R408" s="168"/>
      <c r="S408" s="307"/>
      <c r="T408" s="307"/>
      <c r="U408" s="307"/>
      <c r="V408" s="307"/>
      <c r="W408" s="307"/>
      <c r="X408" s="307"/>
    </row>
    <row r="409" spans="5:24" s="114" customFormat="1">
      <c r="E409" s="167"/>
      <c r="F409" s="115"/>
      <c r="I409" s="306"/>
      <c r="J409" s="306"/>
      <c r="O409" s="167"/>
      <c r="P409" s="115"/>
      <c r="Q409" s="307"/>
      <c r="R409" s="168"/>
      <c r="S409" s="307"/>
      <c r="T409" s="307"/>
      <c r="U409" s="307"/>
      <c r="V409" s="307"/>
      <c r="W409" s="307"/>
      <c r="X409" s="307"/>
    </row>
    <row r="410" spans="5:24" s="114" customFormat="1">
      <c r="E410" s="167"/>
      <c r="F410" s="115"/>
      <c r="I410" s="306"/>
      <c r="J410" s="306"/>
      <c r="O410" s="167"/>
      <c r="P410" s="115"/>
      <c r="Q410" s="307"/>
      <c r="R410" s="168"/>
      <c r="S410" s="307"/>
      <c r="T410" s="307"/>
      <c r="U410" s="307"/>
      <c r="V410" s="307"/>
      <c r="W410" s="307"/>
      <c r="X410" s="307"/>
    </row>
    <row r="411" spans="5:24" s="114" customFormat="1">
      <c r="E411" s="167"/>
      <c r="F411" s="115"/>
      <c r="I411" s="306"/>
      <c r="J411" s="306"/>
      <c r="O411" s="167"/>
      <c r="P411" s="115"/>
      <c r="Q411" s="307"/>
      <c r="R411" s="168"/>
      <c r="S411" s="307"/>
      <c r="T411" s="307"/>
      <c r="U411" s="307"/>
      <c r="V411" s="307"/>
      <c r="W411" s="307"/>
      <c r="X411" s="307"/>
    </row>
    <row r="412" spans="5:24" s="114" customFormat="1">
      <c r="E412" s="167"/>
      <c r="F412" s="115"/>
      <c r="I412" s="306"/>
      <c r="J412" s="306"/>
      <c r="O412" s="167"/>
      <c r="P412" s="115"/>
      <c r="Q412" s="307"/>
      <c r="R412" s="168"/>
      <c r="S412" s="307"/>
      <c r="T412" s="307"/>
      <c r="U412" s="307"/>
      <c r="V412" s="307"/>
      <c r="W412" s="307"/>
      <c r="X412" s="307"/>
    </row>
    <row r="413" spans="5:24" s="114" customFormat="1">
      <c r="E413" s="167"/>
      <c r="F413" s="115"/>
      <c r="I413" s="306"/>
      <c r="J413" s="306"/>
      <c r="O413" s="167"/>
      <c r="P413" s="115"/>
      <c r="Q413" s="307"/>
      <c r="R413" s="168"/>
      <c r="S413" s="307"/>
      <c r="T413" s="307"/>
      <c r="U413" s="307"/>
      <c r="V413" s="307"/>
      <c r="W413" s="307"/>
      <c r="X413" s="307"/>
    </row>
    <row r="414" spans="5:24" s="114" customFormat="1">
      <c r="E414" s="167"/>
      <c r="F414" s="115"/>
      <c r="I414" s="306"/>
      <c r="J414" s="306"/>
      <c r="O414" s="167"/>
      <c r="P414" s="115"/>
      <c r="Q414" s="307"/>
      <c r="R414" s="168"/>
      <c r="S414" s="307"/>
      <c r="T414" s="307"/>
      <c r="U414" s="307"/>
      <c r="V414" s="307"/>
      <c r="W414" s="307"/>
      <c r="X414" s="307"/>
    </row>
    <row r="415" spans="5:24" s="114" customFormat="1">
      <c r="E415" s="167"/>
      <c r="F415" s="115"/>
      <c r="I415" s="306"/>
      <c r="J415" s="306"/>
      <c r="O415" s="167"/>
      <c r="P415" s="115"/>
      <c r="Q415" s="307"/>
      <c r="R415" s="168"/>
      <c r="S415" s="307"/>
      <c r="T415" s="307"/>
      <c r="U415" s="307"/>
      <c r="V415" s="307"/>
      <c r="W415" s="307"/>
      <c r="X415" s="307"/>
    </row>
    <row r="416" spans="5:24" s="114" customFormat="1">
      <c r="E416" s="167"/>
      <c r="F416" s="115"/>
      <c r="I416" s="306"/>
      <c r="J416" s="306"/>
      <c r="O416" s="167"/>
      <c r="P416" s="115"/>
      <c r="Q416" s="307"/>
      <c r="R416" s="168"/>
      <c r="S416" s="307"/>
      <c r="T416" s="307"/>
      <c r="U416" s="307"/>
      <c r="V416" s="307"/>
      <c r="W416" s="307"/>
      <c r="X416" s="307"/>
    </row>
    <row r="417" spans="5:24" s="114" customFormat="1">
      <c r="E417" s="167"/>
      <c r="F417" s="115"/>
      <c r="I417" s="306"/>
      <c r="J417" s="306"/>
      <c r="O417" s="167"/>
      <c r="P417" s="115"/>
      <c r="Q417" s="307"/>
      <c r="R417" s="168"/>
      <c r="S417" s="307"/>
      <c r="T417" s="307"/>
      <c r="U417" s="307"/>
      <c r="V417" s="307"/>
      <c r="W417" s="307"/>
      <c r="X417" s="307"/>
    </row>
    <row r="418" spans="5:24" s="114" customFormat="1">
      <c r="E418" s="167"/>
      <c r="F418" s="115"/>
      <c r="I418" s="306"/>
      <c r="J418" s="306"/>
      <c r="O418" s="167"/>
      <c r="P418" s="115"/>
      <c r="Q418" s="307"/>
      <c r="R418" s="168"/>
      <c r="S418" s="307"/>
      <c r="T418" s="307"/>
      <c r="U418" s="307"/>
      <c r="V418" s="307"/>
      <c r="W418" s="307"/>
      <c r="X418" s="307"/>
    </row>
    <row r="419" spans="5:24" s="114" customFormat="1">
      <c r="E419" s="167"/>
      <c r="F419" s="115"/>
      <c r="I419" s="306"/>
      <c r="J419" s="306"/>
      <c r="O419" s="167"/>
      <c r="P419" s="115"/>
      <c r="Q419" s="307"/>
      <c r="R419" s="168"/>
      <c r="S419" s="307"/>
      <c r="T419" s="307"/>
      <c r="U419" s="307"/>
      <c r="V419" s="307"/>
      <c r="W419" s="307"/>
      <c r="X419" s="307"/>
    </row>
    <row r="420" spans="5:24" s="114" customFormat="1">
      <c r="E420" s="167"/>
      <c r="F420" s="115"/>
      <c r="I420" s="306"/>
      <c r="J420" s="306"/>
      <c r="O420" s="167"/>
      <c r="P420" s="115"/>
      <c r="Q420" s="307"/>
      <c r="R420" s="168"/>
      <c r="S420" s="307"/>
      <c r="T420" s="307"/>
      <c r="U420" s="307"/>
      <c r="V420" s="307"/>
      <c r="W420" s="307"/>
      <c r="X420" s="307"/>
    </row>
    <row r="421" spans="5:24" s="114" customFormat="1">
      <c r="E421" s="167"/>
      <c r="F421" s="115"/>
      <c r="I421" s="306"/>
      <c r="J421" s="306"/>
      <c r="O421" s="167"/>
      <c r="P421" s="115"/>
      <c r="Q421" s="307"/>
      <c r="R421" s="168"/>
      <c r="S421" s="307"/>
      <c r="T421" s="307"/>
      <c r="U421" s="307"/>
      <c r="V421" s="307"/>
      <c r="W421" s="307"/>
      <c r="X421" s="307"/>
    </row>
    <row r="422" spans="5:24" s="114" customFormat="1">
      <c r="E422" s="167"/>
      <c r="F422" s="115"/>
      <c r="I422" s="306"/>
      <c r="J422" s="306"/>
      <c r="O422" s="167"/>
      <c r="P422" s="115"/>
      <c r="Q422" s="307"/>
      <c r="R422" s="168"/>
      <c r="S422" s="307"/>
      <c r="T422" s="307"/>
      <c r="U422" s="307"/>
      <c r="V422" s="307"/>
      <c r="W422" s="307"/>
      <c r="X422" s="307"/>
    </row>
    <row r="423" spans="5:24" s="114" customFormat="1">
      <c r="E423" s="167"/>
      <c r="F423" s="115"/>
      <c r="I423" s="306"/>
      <c r="J423" s="306"/>
      <c r="O423" s="167"/>
      <c r="P423" s="115"/>
      <c r="Q423" s="307"/>
      <c r="R423" s="168"/>
      <c r="S423" s="307"/>
      <c r="T423" s="307"/>
      <c r="U423" s="307"/>
      <c r="V423" s="307"/>
      <c r="W423" s="307"/>
      <c r="X423" s="307"/>
    </row>
    <row r="424" spans="5:24" s="114" customFormat="1">
      <c r="E424" s="167"/>
      <c r="F424" s="115"/>
      <c r="I424" s="306"/>
      <c r="J424" s="306"/>
      <c r="O424" s="167"/>
      <c r="P424" s="115"/>
      <c r="Q424" s="307"/>
      <c r="R424" s="168"/>
      <c r="S424" s="307"/>
      <c r="T424" s="307"/>
      <c r="U424" s="307"/>
      <c r="V424" s="307"/>
      <c r="W424" s="307"/>
      <c r="X424" s="307"/>
    </row>
    <row r="425" spans="5:24" s="114" customFormat="1">
      <c r="E425" s="167"/>
      <c r="F425" s="115"/>
      <c r="I425" s="306"/>
      <c r="J425" s="306"/>
      <c r="O425" s="167"/>
      <c r="P425" s="115"/>
      <c r="Q425" s="307"/>
      <c r="R425" s="168"/>
      <c r="S425" s="307"/>
      <c r="T425" s="307"/>
      <c r="U425" s="307"/>
      <c r="V425" s="307"/>
      <c r="W425" s="307"/>
      <c r="X425" s="307"/>
    </row>
    <row r="426" spans="5:24" s="114" customFormat="1">
      <c r="E426" s="167"/>
      <c r="F426" s="115"/>
      <c r="I426" s="306"/>
      <c r="J426" s="306"/>
      <c r="O426" s="167"/>
      <c r="P426" s="115"/>
      <c r="Q426" s="307"/>
      <c r="R426" s="168"/>
      <c r="S426" s="307"/>
      <c r="T426" s="307"/>
      <c r="U426" s="307"/>
      <c r="V426" s="307"/>
      <c r="W426" s="307"/>
      <c r="X426" s="307"/>
    </row>
    <row r="427" spans="5:24" s="114" customFormat="1">
      <c r="E427" s="167"/>
      <c r="F427" s="115"/>
      <c r="I427" s="306"/>
      <c r="J427" s="306"/>
      <c r="O427" s="167"/>
      <c r="P427" s="115"/>
      <c r="Q427" s="307"/>
      <c r="R427" s="168"/>
      <c r="S427" s="307"/>
      <c r="T427" s="307"/>
      <c r="U427" s="307"/>
      <c r="V427" s="307"/>
      <c r="W427" s="307"/>
      <c r="X427" s="307"/>
    </row>
    <row r="428" spans="5:24" s="114" customFormat="1">
      <c r="E428" s="167"/>
      <c r="F428" s="115"/>
      <c r="I428" s="306"/>
      <c r="J428" s="306"/>
      <c r="O428" s="167"/>
      <c r="P428" s="115"/>
      <c r="Q428" s="307"/>
      <c r="R428" s="168"/>
      <c r="S428" s="307"/>
      <c r="T428" s="307"/>
      <c r="U428" s="307"/>
      <c r="V428" s="307"/>
      <c r="W428" s="307"/>
      <c r="X428" s="307"/>
    </row>
    <row r="429" spans="5:24" s="114" customFormat="1">
      <c r="E429" s="167"/>
      <c r="F429" s="115"/>
      <c r="I429" s="306"/>
      <c r="J429" s="306"/>
      <c r="O429" s="167"/>
      <c r="P429" s="115"/>
      <c r="Q429" s="307"/>
      <c r="R429" s="168"/>
      <c r="S429" s="307"/>
      <c r="T429" s="307"/>
      <c r="U429" s="307"/>
      <c r="V429" s="307"/>
      <c r="W429" s="307"/>
      <c r="X429" s="307"/>
    </row>
    <row r="430" spans="5:24" s="114" customFormat="1">
      <c r="E430" s="167"/>
      <c r="F430" s="115"/>
      <c r="I430" s="306"/>
      <c r="J430" s="306"/>
      <c r="O430" s="167"/>
      <c r="P430" s="115"/>
      <c r="Q430" s="307"/>
      <c r="R430" s="168"/>
      <c r="S430" s="307"/>
      <c r="T430" s="307"/>
      <c r="U430" s="307"/>
      <c r="V430" s="307"/>
      <c r="W430" s="307"/>
      <c r="X430" s="307"/>
    </row>
    <row r="431" spans="5:24" s="114" customFormat="1">
      <c r="E431" s="167"/>
      <c r="F431" s="115"/>
      <c r="I431" s="306"/>
      <c r="J431" s="306"/>
      <c r="O431" s="167"/>
      <c r="P431" s="115"/>
      <c r="Q431" s="307"/>
      <c r="R431" s="168"/>
      <c r="S431" s="307"/>
      <c r="T431" s="307"/>
      <c r="U431" s="307"/>
      <c r="V431" s="307"/>
      <c r="W431" s="307"/>
      <c r="X431" s="307"/>
    </row>
    <row r="432" spans="5:24" s="114" customFormat="1">
      <c r="E432" s="167"/>
      <c r="F432" s="115"/>
      <c r="I432" s="306"/>
      <c r="J432" s="306"/>
      <c r="O432" s="167"/>
      <c r="P432" s="115"/>
      <c r="Q432" s="307"/>
      <c r="R432" s="168"/>
      <c r="S432" s="307"/>
      <c r="T432" s="307"/>
      <c r="U432" s="307"/>
      <c r="V432" s="307"/>
      <c r="W432" s="307"/>
      <c r="X432" s="307"/>
    </row>
    <row r="433" spans="5:24" s="114" customFormat="1">
      <c r="E433" s="167"/>
      <c r="F433" s="115"/>
      <c r="I433" s="306"/>
      <c r="J433" s="306"/>
      <c r="O433" s="167"/>
      <c r="P433" s="115"/>
      <c r="Q433" s="307"/>
      <c r="R433" s="168"/>
      <c r="S433" s="307"/>
      <c r="T433" s="307"/>
      <c r="U433" s="307"/>
      <c r="V433" s="307"/>
      <c r="W433" s="307"/>
      <c r="X433" s="307"/>
    </row>
    <row r="434" spans="5:24" s="114" customFormat="1">
      <c r="E434" s="167"/>
      <c r="F434" s="115"/>
      <c r="I434" s="306"/>
      <c r="J434" s="306"/>
      <c r="O434" s="167"/>
      <c r="P434" s="115"/>
      <c r="Q434" s="307"/>
      <c r="R434" s="168"/>
      <c r="S434" s="307"/>
      <c r="T434" s="307"/>
      <c r="U434" s="307"/>
      <c r="V434" s="307"/>
      <c r="W434" s="307"/>
      <c r="X434" s="307"/>
    </row>
    <row r="435" spans="5:24" s="114" customFormat="1">
      <c r="E435" s="167"/>
      <c r="F435" s="115"/>
      <c r="I435" s="306"/>
      <c r="J435" s="306"/>
      <c r="O435" s="167"/>
      <c r="P435" s="115"/>
      <c r="Q435" s="307"/>
      <c r="R435" s="168"/>
      <c r="S435" s="307"/>
      <c r="T435" s="307"/>
      <c r="U435" s="307"/>
      <c r="V435" s="307"/>
      <c r="W435" s="307"/>
      <c r="X435" s="307"/>
    </row>
    <row r="436" spans="5:24" s="114" customFormat="1">
      <c r="E436" s="167"/>
      <c r="F436" s="115"/>
      <c r="I436" s="306"/>
      <c r="J436" s="306"/>
      <c r="O436" s="167"/>
      <c r="P436" s="115"/>
      <c r="Q436" s="307"/>
      <c r="R436" s="168"/>
      <c r="S436" s="307"/>
      <c r="T436" s="307"/>
      <c r="U436" s="307"/>
      <c r="V436" s="307"/>
      <c r="W436" s="307"/>
      <c r="X436" s="307"/>
    </row>
    <row r="437" spans="5:24" s="114" customFormat="1">
      <c r="E437" s="167"/>
      <c r="F437" s="115"/>
      <c r="I437" s="306"/>
      <c r="J437" s="306"/>
      <c r="O437" s="167"/>
      <c r="P437" s="115"/>
      <c r="Q437" s="307"/>
      <c r="R437" s="168"/>
      <c r="S437" s="307"/>
      <c r="T437" s="307"/>
      <c r="U437" s="307"/>
      <c r="V437" s="307"/>
      <c r="W437" s="307"/>
      <c r="X437" s="307"/>
    </row>
    <row r="438" spans="5:24" s="114" customFormat="1">
      <c r="E438" s="167"/>
      <c r="F438" s="115"/>
      <c r="I438" s="306"/>
      <c r="J438" s="306"/>
      <c r="O438" s="167"/>
      <c r="P438" s="115"/>
      <c r="Q438" s="307"/>
      <c r="R438" s="168"/>
      <c r="S438" s="307"/>
      <c r="T438" s="307"/>
      <c r="U438" s="307"/>
      <c r="V438" s="307"/>
      <c r="W438" s="307"/>
      <c r="X438" s="307"/>
    </row>
    <row r="439" spans="5:24" s="114" customFormat="1">
      <c r="E439" s="167"/>
      <c r="F439" s="115"/>
      <c r="I439" s="306"/>
      <c r="J439" s="306"/>
      <c r="O439" s="167"/>
      <c r="P439" s="115"/>
      <c r="Q439" s="307"/>
      <c r="R439" s="168"/>
      <c r="S439" s="307"/>
      <c r="T439" s="307"/>
      <c r="U439" s="307"/>
      <c r="V439" s="307"/>
      <c r="W439" s="307"/>
      <c r="X439" s="307"/>
    </row>
    <row r="440" spans="5:24" s="114" customFormat="1">
      <c r="E440" s="167"/>
      <c r="F440" s="115"/>
      <c r="I440" s="306"/>
      <c r="J440" s="306"/>
      <c r="O440" s="167"/>
      <c r="P440" s="115"/>
      <c r="Q440" s="307"/>
      <c r="R440" s="168"/>
      <c r="S440" s="307"/>
      <c r="T440" s="307"/>
      <c r="U440" s="307"/>
      <c r="V440" s="307"/>
      <c r="W440" s="307"/>
      <c r="X440" s="307"/>
    </row>
    <row r="441" spans="5:24" s="114" customFormat="1">
      <c r="E441" s="167"/>
      <c r="F441" s="115"/>
      <c r="I441" s="306"/>
      <c r="J441" s="306"/>
      <c r="O441" s="167"/>
      <c r="P441" s="115"/>
      <c r="Q441" s="307"/>
      <c r="R441" s="168"/>
      <c r="S441" s="307"/>
      <c r="T441" s="307"/>
      <c r="U441" s="307"/>
      <c r="V441" s="307"/>
      <c r="W441" s="307"/>
      <c r="X441" s="307"/>
    </row>
    <row r="442" spans="5:24" s="114" customFormat="1">
      <c r="E442" s="167"/>
      <c r="F442" s="115"/>
      <c r="I442" s="306"/>
      <c r="J442" s="306"/>
      <c r="O442" s="167"/>
      <c r="P442" s="115"/>
      <c r="Q442" s="307"/>
      <c r="R442" s="168"/>
      <c r="S442" s="307"/>
      <c r="T442" s="307"/>
      <c r="U442" s="307"/>
      <c r="V442" s="307"/>
      <c r="W442" s="307"/>
      <c r="X442" s="307"/>
    </row>
    <row r="443" spans="5:24" s="114" customFormat="1">
      <c r="E443" s="167"/>
      <c r="F443" s="115"/>
      <c r="I443" s="306"/>
      <c r="J443" s="306"/>
      <c r="O443" s="167"/>
      <c r="P443" s="115"/>
      <c r="Q443" s="307"/>
      <c r="R443" s="168"/>
      <c r="S443" s="307"/>
      <c r="T443" s="307"/>
      <c r="U443" s="307"/>
      <c r="V443" s="307"/>
      <c r="W443" s="307"/>
      <c r="X443" s="307"/>
    </row>
    <row r="444" spans="5:24" s="114" customFormat="1">
      <c r="E444" s="167"/>
      <c r="F444" s="115"/>
      <c r="I444" s="306"/>
      <c r="J444" s="306"/>
      <c r="O444" s="167"/>
      <c r="P444" s="115"/>
      <c r="Q444" s="307"/>
      <c r="R444" s="168"/>
      <c r="S444" s="307"/>
      <c r="T444" s="307"/>
      <c r="U444" s="307"/>
      <c r="V444" s="307"/>
      <c r="W444" s="307"/>
      <c r="X444" s="307"/>
    </row>
    <row r="445" spans="5:24" s="114" customFormat="1">
      <c r="E445" s="167"/>
      <c r="F445" s="115"/>
      <c r="I445" s="306"/>
      <c r="J445" s="306"/>
      <c r="O445" s="167"/>
      <c r="P445" s="115"/>
      <c r="Q445" s="307"/>
      <c r="R445" s="168"/>
      <c r="S445" s="307"/>
      <c r="T445" s="307"/>
      <c r="U445" s="307"/>
      <c r="V445" s="307"/>
      <c r="W445" s="307"/>
      <c r="X445" s="307"/>
    </row>
    <row r="446" spans="5:24" s="114" customFormat="1">
      <c r="E446" s="167"/>
      <c r="F446" s="115"/>
      <c r="I446" s="306"/>
      <c r="J446" s="306"/>
      <c r="O446" s="167"/>
      <c r="P446" s="115"/>
      <c r="Q446" s="307"/>
      <c r="R446" s="168"/>
      <c r="S446" s="307"/>
      <c r="T446" s="307"/>
      <c r="U446" s="307"/>
      <c r="V446" s="307"/>
      <c r="W446" s="307"/>
      <c r="X446" s="307"/>
    </row>
    <row r="447" spans="5:24" s="114" customFormat="1">
      <c r="E447" s="167"/>
      <c r="F447" s="115"/>
      <c r="I447" s="306"/>
      <c r="J447" s="306"/>
      <c r="O447" s="167"/>
      <c r="P447" s="115"/>
      <c r="Q447" s="307"/>
      <c r="R447" s="168"/>
      <c r="S447" s="307"/>
      <c r="T447" s="307"/>
      <c r="U447" s="307"/>
      <c r="V447" s="307"/>
      <c r="W447" s="307"/>
      <c r="X447" s="307"/>
    </row>
    <row r="448" spans="5:24" s="114" customFormat="1">
      <c r="E448" s="167"/>
      <c r="F448" s="115"/>
      <c r="I448" s="306"/>
      <c r="J448" s="306"/>
      <c r="O448" s="167"/>
      <c r="P448" s="115"/>
      <c r="Q448" s="307"/>
      <c r="R448" s="168"/>
      <c r="S448" s="307"/>
      <c r="T448" s="307"/>
      <c r="U448" s="307"/>
      <c r="V448" s="307"/>
      <c r="W448" s="307"/>
      <c r="X448" s="307"/>
    </row>
    <row r="449" spans="5:24" s="114" customFormat="1">
      <c r="E449" s="167"/>
      <c r="F449" s="115"/>
      <c r="I449" s="306"/>
      <c r="J449" s="306"/>
      <c r="O449" s="167"/>
      <c r="P449" s="115"/>
      <c r="Q449" s="307"/>
      <c r="R449" s="168"/>
      <c r="S449" s="307"/>
      <c r="T449" s="307"/>
      <c r="U449" s="307"/>
      <c r="V449" s="307"/>
      <c r="W449" s="307"/>
      <c r="X449" s="307"/>
    </row>
    <row r="450" spans="5:24" s="114" customFormat="1">
      <c r="E450" s="167"/>
      <c r="F450" s="115"/>
      <c r="I450" s="306"/>
      <c r="J450" s="306"/>
      <c r="O450" s="167"/>
      <c r="P450" s="115"/>
      <c r="Q450" s="307"/>
      <c r="R450" s="168"/>
      <c r="S450" s="307"/>
      <c r="T450" s="307"/>
      <c r="U450" s="307"/>
      <c r="V450" s="307"/>
      <c r="W450" s="307"/>
      <c r="X450" s="307"/>
    </row>
    <row r="451" spans="5:24" s="114" customFormat="1">
      <c r="E451" s="167"/>
      <c r="F451" s="115"/>
      <c r="I451" s="306"/>
      <c r="J451" s="306"/>
      <c r="O451" s="167"/>
      <c r="P451" s="115"/>
      <c r="Q451" s="307"/>
      <c r="R451" s="168"/>
      <c r="S451" s="307"/>
      <c r="T451" s="307"/>
      <c r="U451" s="307"/>
      <c r="V451" s="307"/>
      <c r="W451" s="307"/>
      <c r="X451" s="307"/>
    </row>
    <row r="452" spans="5:24" s="114" customFormat="1">
      <c r="E452" s="167"/>
      <c r="F452" s="115"/>
      <c r="I452" s="306"/>
      <c r="J452" s="306"/>
      <c r="O452" s="167"/>
      <c r="P452" s="115"/>
      <c r="Q452" s="307"/>
      <c r="R452" s="168"/>
      <c r="S452" s="307"/>
      <c r="T452" s="307"/>
      <c r="U452" s="307"/>
      <c r="V452" s="307"/>
      <c r="W452" s="307"/>
      <c r="X452" s="307"/>
    </row>
    <row r="453" spans="5:24" s="114" customFormat="1">
      <c r="E453" s="167"/>
      <c r="F453" s="115"/>
      <c r="I453" s="306"/>
      <c r="J453" s="306"/>
      <c r="O453" s="167"/>
      <c r="P453" s="115"/>
      <c r="Q453" s="307"/>
      <c r="R453" s="168"/>
      <c r="S453" s="307"/>
      <c r="T453" s="307"/>
      <c r="U453" s="307"/>
      <c r="V453" s="307"/>
      <c r="W453" s="307"/>
      <c r="X453" s="307"/>
    </row>
    <row r="454" spans="5:24" s="114" customFormat="1">
      <c r="E454" s="167"/>
      <c r="F454" s="115"/>
      <c r="I454" s="306"/>
      <c r="J454" s="306"/>
      <c r="O454" s="167"/>
      <c r="P454" s="115"/>
      <c r="Q454" s="307"/>
      <c r="R454" s="168"/>
      <c r="S454" s="307"/>
      <c r="T454" s="307"/>
      <c r="U454" s="307"/>
      <c r="V454" s="307"/>
      <c r="W454" s="307"/>
      <c r="X454" s="307"/>
    </row>
    <row r="455" spans="5:24" s="114" customFormat="1">
      <c r="E455" s="167"/>
      <c r="F455" s="115"/>
      <c r="I455" s="306"/>
      <c r="J455" s="306"/>
      <c r="O455" s="167"/>
      <c r="P455" s="115"/>
      <c r="Q455" s="307"/>
      <c r="R455" s="168"/>
      <c r="S455" s="307"/>
      <c r="T455" s="307"/>
      <c r="U455" s="307"/>
      <c r="V455" s="307"/>
      <c r="W455" s="307"/>
      <c r="X455" s="307"/>
    </row>
    <row r="456" spans="5:24" s="114" customFormat="1">
      <c r="E456" s="167"/>
      <c r="F456" s="115"/>
      <c r="I456" s="306"/>
      <c r="J456" s="306"/>
      <c r="O456" s="167"/>
      <c r="P456" s="115"/>
      <c r="Q456" s="307"/>
      <c r="R456" s="168"/>
      <c r="S456" s="307"/>
      <c r="T456" s="307"/>
      <c r="U456" s="307"/>
      <c r="V456" s="307"/>
      <c r="W456" s="307"/>
      <c r="X456" s="307"/>
    </row>
    <row r="457" spans="5:24" s="114" customFormat="1">
      <c r="E457" s="167"/>
      <c r="F457" s="115"/>
      <c r="I457" s="306"/>
      <c r="J457" s="306"/>
      <c r="O457" s="167"/>
      <c r="P457" s="115"/>
      <c r="Q457" s="307"/>
      <c r="R457" s="168"/>
      <c r="S457" s="307"/>
      <c r="T457" s="307"/>
      <c r="U457" s="307"/>
      <c r="V457" s="307"/>
      <c r="W457" s="307"/>
      <c r="X457" s="307"/>
    </row>
    <row r="458" spans="5:24" s="114" customFormat="1">
      <c r="E458" s="167"/>
      <c r="F458" s="115"/>
      <c r="I458" s="306"/>
      <c r="J458" s="306"/>
      <c r="O458" s="167"/>
      <c r="P458" s="115"/>
      <c r="Q458" s="307"/>
      <c r="R458" s="168"/>
      <c r="S458" s="307"/>
      <c r="T458" s="307"/>
      <c r="U458" s="307"/>
      <c r="V458" s="307"/>
      <c r="W458" s="307"/>
      <c r="X458" s="307"/>
    </row>
    <row r="459" spans="5:24" s="114" customFormat="1">
      <c r="E459" s="167"/>
      <c r="F459" s="115"/>
      <c r="I459" s="306"/>
      <c r="J459" s="306"/>
      <c r="O459" s="167"/>
      <c r="P459" s="115"/>
      <c r="Q459" s="307"/>
      <c r="R459" s="168"/>
      <c r="S459" s="307"/>
      <c r="T459" s="307"/>
      <c r="U459" s="307"/>
      <c r="V459" s="307"/>
      <c r="W459" s="307"/>
      <c r="X459" s="307"/>
    </row>
    <row r="460" spans="5:24" s="114" customFormat="1">
      <c r="E460" s="167"/>
      <c r="F460" s="115"/>
      <c r="I460" s="306"/>
      <c r="J460" s="306"/>
      <c r="O460" s="167"/>
      <c r="P460" s="115"/>
      <c r="Q460" s="307"/>
      <c r="R460" s="168"/>
      <c r="S460" s="307"/>
      <c r="T460" s="307"/>
      <c r="U460" s="307"/>
      <c r="V460" s="307"/>
      <c r="W460" s="307"/>
      <c r="X460" s="307"/>
    </row>
    <row r="461" spans="5:24" s="114" customFormat="1">
      <c r="E461" s="167"/>
      <c r="F461" s="115"/>
      <c r="I461" s="306"/>
      <c r="J461" s="306"/>
      <c r="O461" s="167"/>
      <c r="P461" s="115"/>
      <c r="Q461" s="307"/>
      <c r="R461" s="168"/>
      <c r="S461" s="307"/>
      <c r="T461" s="307"/>
      <c r="U461" s="307"/>
      <c r="V461" s="307"/>
      <c r="W461" s="307"/>
      <c r="X461" s="307"/>
    </row>
    <row r="462" spans="5:24" s="114" customFormat="1">
      <c r="E462" s="167"/>
      <c r="F462" s="115"/>
      <c r="I462" s="306"/>
      <c r="J462" s="306"/>
      <c r="O462" s="167"/>
      <c r="P462" s="115"/>
      <c r="Q462" s="307"/>
      <c r="R462" s="168"/>
      <c r="S462" s="307"/>
      <c r="T462" s="307"/>
      <c r="U462" s="307"/>
      <c r="V462" s="307"/>
      <c r="W462" s="307"/>
      <c r="X462" s="307"/>
    </row>
    <row r="463" spans="5:24" s="114" customFormat="1">
      <c r="E463" s="167"/>
      <c r="F463" s="115"/>
      <c r="I463" s="306"/>
      <c r="J463" s="306"/>
      <c r="O463" s="167"/>
      <c r="P463" s="115"/>
      <c r="Q463" s="307"/>
      <c r="R463" s="168"/>
      <c r="S463" s="307"/>
      <c r="T463" s="307"/>
      <c r="U463" s="307"/>
      <c r="V463" s="307"/>
      <c r="W463" s="307"/>
      <c r="X463" s="307"/>
    </row>
    <row r="464" spans="5:24" s="114" customFormat="1">
      <c r="E464" s="167"/>
      <c r="F464" s="115"/>
      <c r="I464" s="306"/>
      <c r="J464" s="306"/>
      <c r="O464" s="167"/>
      <c r="P464" s="115"/>
      <c r="Q464" s="307"/>
      <c r="R464" s="168"/>
      <c r="S464" s="307"/>
      <c r="T464" s="307"/>
      <c r="U464" s="307"/>
      <c r="V464" s="307"/>
      <c r="W464" s="307"/>
      <c r="X464" s="307"/>
    </row>
    <row r="465" spans="5:24" s="114" customFormat="1">
      <c r="E465" s="167"/>
      <c r="F465" s="115"/>
      <c r="I465" s="306"/>
      <c r="J465" s="306"/>
      <c r="O465" s="167"/>
      <c r="P465" s="115"/>
      <c r="Q465" s="307"/>
      <c r="R465" s="168"/>
      <c r="S465" s="307"/>
      <c r="T465" s="307"/>
      <c r="U465" s="307"/>
      <c r="V465" s="307"/>
      <c r="W465" s="307"/>
      <c r="X465" s="307"/>
    </row>
    <row r="466" spans="5:24" s="114" customFormat="1">
      <c r="E466" s="167"/>
      <c r="F466" s="115"/>
      <c r="I466" s="306"/>
      <c r="J466" s="306"/>
      <c r="O466" s="167"/>
      <c r="P466" s="115"/>
      <c r="Q466" s="307"/>
      <c r="R466" s="168"/>
      <c r="S466" s="307"/>
      <c r="T466" s="307"/>
      <c r="U466" s="307"/>
      <c r="V466" s="307"/>
      <c r="W466" s="307"/>
      <c r="X466" s="307"/>
    </row>
    <row r="467" spans="5:24" s="114" customFormat="1">
      <c r="E467" s="167"/>
      <c r="F467" s="115"/>
      <c r="I467" s="306"/>
      <c r="J467" s="306"/>
      <c r="O467" s="167"/>
      <c r="P467" s="115"/>
      <c r="Q467" s="307"/>
      <c r="R467" s="168"/>
      <c r="S467" s="307"/>
      <c r="T467" s="307"/>
      <c r="U467" s="307"/>
      <c r="V467" s="307"/>
      <c r="W467" s="307"/>
      <c r="X467" s="307"/>
    </row>
    <row r="468" spans="5:24" s="114" customFormat="1">
      <c r="E468" s="167"/>
      <c r="F468" s="115"/>
      <c r="I468" s="306"/>
      <c r="J468" s="306"/>
      <c r="O468" s="167"/>
      <c r="P468" s="115"/>
      <c r="Q468" s="307"/>
      <c r="R468" s="168"/>
      <c r="S468" s="307"/>
      <c r="T468" s="307"/>
      <c r="U468" s="307"/>
      <c r="V468" s="307"/>
      <c r="W468" s="307"/>
      <c r="X468" s="307"/>
    </row>
    <row r="469" spans="5:24" s="114" customFormat="1">
      <c r="E469" s="167"/>
      <c r="F469" s="115"/>
      <c r="I469" s="306"/>
      <c r="J469" s="306"/>
      <c r="O469" s="167"/>
      <c r="P469" s="115"/>
      <c r="Q469" s="307"/>
      <c r="R469" s="168"/>
      <c r="S469" s="307"/>
      <c r="T469" s="307"/>
      <c r="U469" s="307"/>
      <c r="V469" s="307"/>
      <c r="W469" s="307"/>
      <c r="X469" s="307"/>
    </row>
    <row r="470" spans="5:24" s="114" customFormat="1">
      <c r="E470" s="167"/>
      <c r="F470" s="115"/>
      <c r="I470" s="306"/>
      <c r="J470" s="306"/>
      <c r="O470" s="167"/>
      <c r="P470" s="115"/>
      <c r="Q470" s="307"/>
      <c r="R470" s="168"/>
      <c r="S470" s="307"/>
      <c r="T470" s="307"/>
      <c r="U470" s="307"/>
      <c r="V470" s="307"/>
      <c r="W470" s="307"/>
      <c r="X470" s="307"/>
    </row>
    <row r="471" spans="5:24" s="114" customFormat="1">
      <c r="E471" s="167"/>
      <c r="F471" s="115"/>
      <c r="I471" s="306"/>
      <c r="J471" s="306"/>
      <c r="O471" s="167"/>
      <c r="P471" s="115"/>
      <c r="Q471" s="307"/>
      <c r="R471" s="168"/>
      <c r="S471" s="307"/>
      <c r="T471" s="307"/>
      <c r="U471" s="307"/>
      <c r="V471" s="307"/>
      <c r="W471" s="307"/>
      <c r="X471" s="307"/>
    </row>
    <row r="472" spans="5:24" s="114" customFormat="1">
      <c r="E472" s="167"/>
      <c r="F472" s="115"/>
      <c r="I472" s="306"/>
      <c r="J472" s="306"/>
      <c r="O472" s="167"/>
      <c r="P472" s="115"/>
      <c r="Q472" s="307"/>
      <c r="R472" s="168"/>
      <c r="S472" s="307"/>
      <c r="T472" s="307"/>
      <c r="U472" s="307"/>
      <c r="V472" s="307"/>
      <c r="W472" s="307"/>
      <c r="X472" s="307"/>
    </row>
    <row r="473" spans="5:24" s="114" customFormat="1">
      <c r="E473" s="167"/>
      <c r="F473" s="115"/>
      <c r="I473" s="306"/>
      <c r="J473" s="306"/>
      <c r="O473" s="167"/>
      <c r="P473" s="115"/>
      <c r="Q473" s="307"/>
      <c r="R473" s="168"/>
      <c r="S473" s="307"/>
      <c r="T473" s="307"/>
      <c r="U473" s="307"/>
      <c r="V473" s="307"/>
      <c r="W473" s="307"/>
      <c r="X473" s="307"/>
    </row>
    <row r="474" spans="5:24" s="114" customFormat="1">
      <c r="E474" s="167"/>
      <c r="F474" s="115"/>
      <c r="I474" s="306"/>
      <c r="J474" s="306"/>
      <c r="O474" s="167"/>
      <c r="P474" s="115"/>
      <c r="Q474" s="307"/>
      <c r="R474" s="168"/>
      <c r="S474" s="307"/>
      <c r="T474" s="307"/>
      <c r="U474" s="307"/>
      <c r="V474" s="307"/>
      <c r="W474" s="307"/>
      <c r="X474" s="307"/>
    </row>
    <row r="475" spans="5:24" s="114" customFormat="1">
      <c r="E475" s="167"/>
      <c r="F475" s="115"/>
      <c r="I475" s="306"/>
      <c r="J475" s="306"/>
      <c r="O475" s="167"/>
      <c r="P475" s="115"/>
      <c r="Q475" s="307"/>
      <c r="R475" s="168"/>
      <c r="S475" s="307"/>
      <c r="T475" s="307"/>
      <c r="U475" s="307"/>
      <c r="V475" s="307"/>
      <c r="W475" s="307"/>
      <c r="X475" s="307"/>
    </row>
    <row r="476" spans="5:24" s="114" customFormat="1">
      <c r="E476" s="167"/>
      <c r="F476" s="115"/>
      <c r="I476" s="306"/>
      <c r="J476" s="306"/>
      <c r="O476" s="167"/>
      <c r="P476" s="115"/>
      <c r="Q476" s="307"/>
      <c r="R476" s="168"/>
      <c r="S476" s="307"/>
      <c r="T476" s="307"/>
      <c r="U476" s="307"/>
      <c r="V476" s="307"/>
      <c r="W476" s="307"/>
      <c r="X476" s="307"/>
    </row>
    <row r="477" spans="5:24" s="114" customFormat="1">
      <c r="E477" s="167"/>
      <c r="F477" s="115"/>
      <c r="I477" s="306"/>
      <c r="J477" s="306"/>
      <c r="O477" s="167"/>
      <c r="P477" s="115"/>
      <c r="Q477" s="307"/>
      <c r="R477" s="168"/>
      <c r="S477" s="307"/>
      <c r="T477" s="307"/>
      <c r="U477" s="307"/>
      <c r="V477" s="307"/>
      <c r="W477" s="307"/>
      <c r="X477" s="307"/>
    </row>
    <row r="478" spans="5:24" s="114" customFormat="1">
      <c r="E478" s="167"/>
      <c r="F478" s="115"/>
      <c r="I478" s="306"/>
      <c r="J478" s="306"/>
      <c r="O478" s="167"/>
      <c r="P478" s="115"/>
      <c r="Q478" s="307"/>
      <c r="R478" s="168"/>
      <c r="S478" s="307"/>
      <c r="T478" s="307"/>
      <c r="U478" s="307"/>
      <c r="V478" s="307"/>
      <c r="W478" s="307"/>
      <c r="X478" s="307"/>
    </row>
    <row r="479" spans="5:24" s="114" customFormat="1">
      <c r="E479" s="167"/>
      <c r="F479" s="115"/>
      <c r="I479" s="306"/>
      <c r="J479" s="306"/>
      <c r="O479" s="167"/>
      <c r="P479" s="115"/>
      <c r="Q479" s="307"/>
      <c r="R479" s="168"/>
      <c r="S479" s="307"/>
      <c r="T479" s="307"/>
      <c r="U479" s="307"/>
      <c r="V479" s="307"/>
      <c r="W479" s="307"/>
      <c r="X479" s="307"/>
    </row>
    <row r="480" spans="5:24" s="114" customFormat="1">
      <c r="E480" s="167"/>
      <c r="F480" s="115"/>
      <c r="I480" s="306"/>
      <c r="J480" s="306"/>
      <c r="O480" s="167"/>
      <c r="P480" s="115"/>
      <c r="Q480" s="307"/>
      <c r="R480" s="168"/>
      <c r="S480" s="307"/>
      <c r="T480" s="307"/>
      <c r="U480" s="307"/>
      <c r="V480" s="307"/>
      <c r="W480" s="307"/>
      <c r="X480" s="307"/>
    </row>
    <row r="481" spans="5:24" s="114" customFormat="1">
      <c r="E481" s="167"/>
      <c r="F481" s="115"/>
      <c r="I481" s="306"/>
      <c r="J481" s="306"/>
      <c r="O481" s="167"/>
      <c r="P481" s="115"/>
      <c r="Q481" s="307"/>
      <c r="R481" s="168"/>
      <c r="S481" s="307"/>
      <c r="T481" s="307"/>
      <c r="U481" s="307"/>
      <c r="V481" s="307"/>
      <c r="W481" s="307"/>
      <c r="X481" s="307"/>
    </row>
    <row r="482" spans="5:24" s="114" customFormat="1">
      <c r="E482" s="167"/>
      <c r="F482" s="115"/>
      <c r="I482" s="306"/>
      <c r="J482" s="306"/>
      <c r="O482" s="167"/>
      <c r="P482" s="115"/>
      <c r="Q482" s="307"/>
      <c r="R482" s="168"/>
      <c r="S482" s="307"/>
      <c r="T482" s="307"/>
      <c r="U482" s="307"/>
      <c r="V482" s="307"/>
      <c r="W482" s="307"/>
      <c r="X482" s="307"/>
    </row>
    <row r="483" spans="5:24" s="114" customFormat="1">
      <c r="E483" s="167"/>
      <c r="F483" s="115"/>
      <c r="I483" s="306"/>
      <c r="J483" s="306"/>
      <c r="O483" s="167"/>
      <c r="P483" s="115"/>
      <c r="Q483" s="307"/>
      <c r="R483" s="168"/>
      <c r="S483" s="307"/>
      <c r="T483" s="307"/>
      <c r="U483" s="307"/>
      <c r="V483" s="307"/>
      <c r="W483" s="307"/>
      <c r="X483" s="307"/>
    </row>
    <row r="484" spans="5:24" s="114" customFormat="1">
      <c r="E484" s="167"/>
      <c r="F484" s="115"/>
      <c r="I484" s="306"/>
      <c r="J484" s="306"/>
      <c r="O484" s="167"/>
      <c r="P484" s="115"/>
      <c r="Q484" s="307"/>
      <c r="R484" s="168"/>
      <c r="S484" s="307"/>
      <c r="T484" s="307"/>
      <c r="U484" s="307"/>
      <c r="V484" s="307"/>
      <c r="W484" s="307"/>
      <c r="X484" s="307"/>
    </row>
    <row r="485" spans="5:24" s="114" customFormat="1">
      <c r="E485" s="167"/>
      <c r="F485" s="115"/>
      <c r="I485" s="306"/>
      <c r="J485" s="306"/>
      <c r="O485" s="167"/>
      <c r="P485" s="115"/>
      <c r="Q485" s="307"/>
      <c r="R485" s="168"/>
      <c r="S485" s="307"/>
      <c r="T485" s="307"/>
      <c r="U485" s="307"/>
      <c r="V485" s="307"/>
      <c r="W485" s="307"/>
      <c r="X485" s="307"/>
    </row>
    <row r="486" spans="5:24" s="114" customFormat="1">
      <c r="E486" s="167"/>
      <c r="F486" s="115"/>
      <c r="I486" s="306"/>
      <c r="J486" s="306"/>
      <c r="O486" s="167"/>
      <c r="P486" s="115"/>
      <c r="Q486" s="307"/>
      <c r="R486" s="168"/>
      <c r="S486" s="307"/>
      <c r="T486" s="307"/>
      <c r="U486" s="307"/>
      <c r="V486" s="307"/>
      <c r="W486" s="307"/>
      <c r="X486" s="307"/>
    </row>
    <row r="487" spans="5:24" s="114" customFormat="1">
      <c r="E487" s="167"/>
      <c r="F487" s="115"/>
      <c r="I487" s="306"/>
      <c r="J487" s="306"/>
      <c r="O487" s="167"/>
      <c r="P487" s="115"/>
      <c r="Q487" s="307"/>
      <c r="R487" s="168"/>
      <c r="S487" s="307"/>
      <c r="T487" s="307"/>
      <c r="U487" s="307"/>
      <c r="V487" s="307"/>
      <c r="W487" s="307"/>
      <c r="X487" s="307"/>
    </row>
    <row r="488" spans="5:24" s="114" customFormat="1">
      <c r="E488" s="167"/>
      <c r="F488" s="115"/>
      <c r="I488" s="306"/>
      <c r="J488" s="306"/>
      <c r="O488" s="167"/>
      <c r="P488" s="115"/>
      <c r="Q488" s="307"/>
      <c r="R488" s="168"/>
      <c r="S488" s="307"/>
      <c r="T488" s="307"/>
      <c r="U488" s="307"/>
      <c r="V488" s="307"/>
      <c r="W488" s="307"/>
      <c r="X488" s="307"/>
    </row>
    <row r="489" spans="5:24" s="114" customFormat="1">
      <c r="E489" s="167"/>
      <c r="F489" s="115"/>
      <c r="I489" s="306"/>
      <c r="J489" s="306"/>
      <c r="O489" s="167"/>
      <c r="P489" s="115"/>
      <c r="Q489" s="307"/>
      <c r="R489" s="168"/>
      <c r="S489" s="307"/>
      <c r="T489" s="307"/>
      <c r="U489" s="307"/>
      <c r="V489" s="307"/>
      <c r="W489" s="307"/>
      <c r="X489" s="307"/>
    </row>
    <row r="490" spans="5:24" s="114" customFormat="1">
      <c r="E490" s="167"/>
      <c r="F490" s="115"/>
      <c r="I490" s="306"/>
      <c r="J490" s="306"/>
      <c r="O490" s="167"/>
      <c r="P490" s="115"/>
      <c r="Q490" s="307"/>
      <c r="R490" s="168"/>
      <c r="S490" s="307"/>
      <c r="T490" s="307"/>
      <c r="U490" s="307"/>
      <c r="V490" s="307"/>
      <c r="W490" s="307"/>
      <c r="X490" s="307"/>
    </row>
    <row r="491" spans="5:24" s="114" customFormat="1">
      <c r="E491" s="167"/>
      <c r="F491" s="115"/>
      <c r="I491" s="306"/>
      <c r="J491" s="306"/>
      <c r="O491" s="167"/>
      <c r="P491" s="115"/>
      <c r="Q491" s="307"/>
      <c r="R491" s="168"/>
      <c r="S491" s="307"/>
      <c r="T491" s="307"/>
      <c r="U491" s="307"/>
      <c r="V491" s="307"/>
      <c r="W491" s="307"/>
      <c r="X491" s="307"/>
    </row>
    <row r="492" spans="5:24" s="114" customFormat="1">
      <c r="E492" s="167"/>
      <c r="F492" s="115"/>
      <c r="I492" s="306"/>
      <c r="J492" s="306"/>
      <c r="O492" s="167"/>
      <c r="P492" s="115"/>
      <c r="Q492" s="307"/>
      <c r="R492" s="168"/>
      <c r="S492" s="307"/>
      <c r="T492" s="307"/>
      <c r="U492" s="307"/>
      <c r="V492" s="307"/>
      <c r="W492" s="307"/>
      <c r="X492" s="307"/>
    </row>
    <row r="493" spans="5:24" s="114" customFormat="1">
      <c r="E493" s="167"/>
      <c r="F493" s="115"/>
      <c r="I493" s="306"/>
      <c r="J493" s="306"/>
      <c r="O493" s="167"/>
      <c r="P493" s="115"/>
      <c r="Q493" s="307"/>
      <c r="R493" s="168"/>
      <c r="S493" s="307"/>
      <c r="T493" s="307"/>
      <c r="U493" s="307"/>
      <c r="V493" s="307"/>
      <c r="W493" s="307"/>
      <c r="X493" s="307"/>
    </row>
    <row r="494" spans="5:24" s="114" customFormat="1">
      <c r="E494" s="167"/>
      <c r="F494" s="115"/>
      <c r="I494" s="306"/>
      <c r="J494" s="306"/>
      <c r="O494" s="167"/>
      <c r="P494" s="115"/>
      <c r="Q494" s="307"/>
      <c r="R494" s="168"/>
      <c r="S494" s="307"/>
      <c r="T494" s="307"/>
      <c r="U494" s="307"/>
      <c r="V494" s="307"/>
      <c r="W494" s="307"/>
      <c r="X494" s="307"/>
    </row>
    <row r="495" spans="5:24" s="114" customFormat="1">
      <c r="E495" s="167"/>
      <c r="F495" s="115"/>
      <c r="I495" s="306"/>
      <c r="J495" s="306"/>
      <c r="O495" s="167"/>
      <c r="P495" s="115"/>
      <c r="Q495" s="307"/>
      <c r="R495" s="168"/>
      <c r="S495" s="307"/>
      <c r="T495" s="307"/>
      <c r="U495" s="307"/>
      <c r="V495" s="307"/>
      <c r="W495" s="307"/>
      <c r="X495" s="307"/>
    </row>
    <row r="496" spans="5:24" s="114" customFormat="1">
      <c r="E496" s="167"/>
      <c r="F496" s="115"/>
      <c r="I496" s="306"/>
      <c r="J496" s="306"/>
      <c r="O496" s="167"/>
      <c r="P496" s="115"/>
      <c r="Q496" s="307"/>
      <c r="R496" s="168"/>
      <c r="S496" s="307"/>
      <c r="T496" s="307"/>
      <c r="U496" s="307"/>
      <c r="V496" s="307"/>
      <c r="W496" s="307"/>
      <c r="X496" s="307"/>
    </row>
    <row r="497" spans="5:24" s="114" customFormat="1">
      <c r="E497" s="167"/>
      <c r="F497" s="115"/>
      <c r="I497" s="306"/>
      <c r="J497" s="306"/>
      <c r="O497" s="167"/>
      <c r="P497" s="115"/>
      <c r="Q497" s="307"/>
      <c r="R497" s="168"/>
      <c r="S497" s="307"/>
      <c r="T497" s="307"/>
      <c r="U497" s="307"/>
      <c r="V497" s="307"/>
      <c r="W497" s="307"/>
      <c r="X497" s="307"/>
    </row>
    <row r="498" spans="5:24" s="114" customFormat="1">
      <c r="E498" s="167"/>
      <c r="F498" s="115"/>
      <c r="I498" s="306"/>
      <c r="J498" s="306"/>
      <c r="O498" s="167"/>
      <c r="P498" s="115"/>
      <c r="Q498" s="307"/>
      <c r="R498" s="168"/>
      <c r="S498" s="307"/>
      <c r="T498" s="307"/>
      <c r="U498" s="307"/>
      <c r="V498" s="307"/>
      <c r="W498" s="307"/>
      <c r="X498" s="307"/>
    </row>
    <row r="499" spans="5:24" s="114" customFormat="1">
      <c r="E499" s="167"/>
      <c r="F499" s="115"/>
      <c r="I499" s="306"/>
      <c r="J499" s="306"/>
      <c r="O499" s="167"/>
      <c r="P499" s="115"/>
      <c r="Q499" s="307"/>
      <c r="R499" s="168"/>
      <c r="S499" s="307"/>
      <c r="T499" s="307"/>
      <c r="U499" s="307"/>
      <c r="V499" s="307"/>
      <c r="W499" s="307"/>
      <c r="X499" s="307"/>
    </row>
    <row r="500" spans="5:24" s="114" customFormat="1">
      <c r="E500" s="167"/>
      <c r="F500" s="115"/>
      <c r="I500" s="306"/>
      <c r="J500" s="306"/>
      <c r="O500" s="167"/>
      <c r="P500" s="115"/>
      <c r="Q500" s="307"/>
      <c r="R500" s="168"/>
      <c r="S500" s="307"/>
      <c r="T500" s="307"/>
      <c r="U500" s="307"/>
      <c r="V500" s="307"/>
      <c r="W500" s="307"/>
      <c r="X500" s="307"/>
    </row>
    <row r="501" spans="5:24" s="114" customFormat="1">
      <c r="E501" s="167"/>
      <c r="F501" s="115"/>
      <c r="I501" s="306"/>
      <c r="J501" s="306"/>
      <c r="O501" s="167"/>
      <c r="P501" s="115"/>
      <c r="Q501" s="307"/>
      <c r="R501" s="168"/>
      <c r="S501" s="307"/>
      <c r="T501" s="307"/>
      <c r="U501" s="307"/>
      <c r="V501" s="307"/>
      <c r="W501" s="307"/>
      <c r="X501" s="307"/>
    </row>
    <row r="502" spans="5:24" s="114" customFormat="1">
      <c r="E502" s="167"/>
      <c r="F502" s="115"/>
      <c r="I502" s="306"/>
      <c r="J502" s="306"/>
      <c r="O502" s="167"/>
      <c r="P502" s="115"/>
      <c r="Q502" s="307"/>
      <c r="R502" s="168"/>
      <c r="S502" s="307"/>
      <c r="T502" s="307"/>
      <c r="U502" s="307"/>
      <c r="V502" s="307"/>
      <c r="W502" s="307"/>
      <c r="X502" s="307"/>
    </row>
    <row r="503" spans="5:24" s="114" customFormat="1">
      <c r="E503" s="167"/>
      <c r="F503" s="115"/>
      <c r="I503" s="306"/>
      <c r="J503" s="306"/>
      <c r="O503" s="167"/>
      <c r="P503" s="115"/>
      <c r="Q503" s="307"/>
      <c r="R503" s="168"/>
      <c r="S503" s="307"/>
      <c r="T503" s="307"/>
      <c r="U503" s="307"/>
      <c r="V503" s="307"/>
      <c r="W503" s="307"/>
      <c r="X503" s="307"/>
    </row>
    <row r="504" spans="5:24" s="114" customFormat="1">
      <c r="E504" s="167"/>
      <c r="F504" s="115"/>
      <c r="I504" s="306"/>
      <c r="J504" s="306"/>
      <c r="O504" s="167"/>
      <c r="P504" s="115"/>
      <c r="Q504" s="307"/>
      <c r="R504" s="168"/>
      <c r="S504" s="307"/>
      <c r="T504" s="307"/>
      <c r="U504" s="307"/>
      <c r="V504" s="307"/>
      <c r="W504" s="307"/>
      <c r="X504" s="307"/>
    </row>
    <row r="505" spans="5:24" s="114" customFormat="1">
      <c r="E505" s="167"/>
      <c r="F505" s="115"/>
      <c r="I505" s="306"/>
      <c r="J505" s="306"/>
      <c r="O505" s="167"/>
      <c r="P505" s="115"/>
      <c r="Q505" s="307"/>
      <c r="R505" s="168"/>
      <c r="S505" s="307"/>
      <c r="T505" s="307"/>
      <c r="U505" s="307"/>
      <c r="V505" s="307"/>
      <c r="W505" s="307"/>
      <c r="X505" s="307"/>
    </row>
    <row r="506" spans="5:24" s="114" customFormat="1">
      <c r="E506" s="167"/>
      <c r="F506" s="115"/>
      <c r="I506" s="306"/>
      <c r="J506" s="306"/>
      <c r="O506" s="167"/>
      <c r="P506" s="115"/>
      <c r="Q506" s="307"/>
      <c r="R506" s="168"/>
      <c r="S506" s="307"/>
      <c r="T506" s="307"/>
      <c r="U506" s="307"/>
      <c r="V506" s="307"/>
      <c r="W506" s="307"/>
      <c r="X506" s="307"/>
    </row>
    <row r="507" spans="5:24" s="114" customFormat="1">
      <c r="E507" s="167"/>
      <c r="F507" s="115"/>
      <c r="I507" s="306"/>
      <c r="J507" s="306"/>
      <c r="O507" s="167"/>
      <c r="P507" s="115"/>
      <c r="Q507" s="307"/>
      <c r="R507" s="168"/>
      <c r="S507" s="307"/>
      <c r="T507" s="307"/>
      <c r="U507" s="307"/>
      <c r="V507" s="307"/>
      <c r="W507" s="307"/>
      <c r="X507" s="307"/>
    </row>
    <row r="508" spans="5:24" s="114" customFormat="1">
      <c r="E508" s="167"/>
      <c r="F508" s="115"/>
      <c r="I508" s="306"/>
      <c r="J508" s="306"/>
      <c r="O508" s="167"/>
      <c r="P508" s="115"/>
      <c r="Q508" s="307"/>
      <c r="R508" s="168"/>
      <c r="S508" s="307"/>
      <c r="T508" s="307"/>
      <c r="U508" s="307"/>
      <c r="V508" s="307"/>
      <c r="W508" s="307"/>
      <c r="X508" s="307"/>
    </row>
    <row r="509" spans="5:24" s="114" customFormat="1">
      <c r="E509" s="167"/>
      <c r="F509" s="115"/>
      <c r="I509" s="306"/>
      <c r="J509" s="306"/>
      <c r="O509" s="167"/>
      <c r="P509" s="115"/>
      <c r="Q509" s="307"/>
      <c r="R509" s="168"/>
      <c r="S509" s="307"/>
      <c r="T509" s="307"/>
      <c r="U509" s="307"/>
      <c r="V509" s="307"/>
      <c r="W509" s="307"/>
      <c r="X509" s="307"/>
    </row>
    <row r="510" spans="5:24" s="114" customFormat="1">
      <c r="E510" s="167"/>
      <c r="F510" s="115"/>
      <c r="I510" s="306"/>
      <c r="J510" s="306"/>
      <c r="O510" s="167"/>
      <c r="P510" s="115"/>
      <c r="Q510" s="307"/>
      <c r="R510" s="168"/>
      <c r="S510" s="307"/>
      <c r="T510" s="307"/>
      <c r="U510" s="307"/>
      <c r="V510" s="307"/>
      <c r="W510" s="307"/>
      <c r="X510" s="307"/>
    </row>
    <row r="511" spans="5:24" s="114" customFormat="1">
      <c r="E511" s="167"/>
      <c r="F511" s="115"/>
      <c r="I511" s="306"/>
      <c r="J511" s="306"/>
      <c r="O511" s="167"/>
      <c r="P511" s="115"/>
      <c r="Q511" s="307"/>
      <c r="R511" s="168"/>
      <c r="S511" s="307"/>
      <c r="T511" s="307"/>
      <c r="U511" s="307"/>
      <c r="V511" s="307"/>
      <c r="W511" s="307"/>
      <c r="X511" s="307"/>
    </row>
    <row r="512" spans="5:24" s="114" customFormat="1">
      <c r="E512" s="167"/>
      <c r="F512" s="115"/>
      <c r="I512" s="306"/>
      <c r="J512" s="306"/>
      <c r="O512" s="167"/>
      <c r="P512" s="115"/>
      <c r="Q512" s="307"/>
      <c r="R512" s="168"/>
      <c r="S512" s="307"/>
      <c r="T512" s="307"/>
      <c r="U512" s="307"/>
      <c r="V512" s="307"/>
      <c r="W512" s="307"/>
      <c r="X512" s="307"/>
    </row>
    <row r="513" spans="17:24">
      <c r="Q513" s="307"/>
      <c r="S513" s="307"/>
      <c r="T513" s="307"/>
      <c r="U513" s="307"/>
      <c r="V513" s="307"/>
      <c r="W513" s="307"/>
      <c r="X513" s="307"/>
    </row>
    <row r="514" spans="17:24">
      <c r="Q514" s="307"/>
      <c r="S514" s="307"/>
      <c r="T514" s="307"/>
      <c r="U514" s="307"/>
      <c r="V514" s="307"/>
      <c r="W514" s="307"/>
      <c r="X514" s="307"/>
    </row>
    <row r="515" spans="17:24">
      <c r="W515" s="307"/>
      <c r="X515" s="307"/>
    </row>
  </sheetData>
  <sheetProtection formatCells="0" formatColumns="0" formatRows="0" insertColumns="0" insertRows="0" insertHyperlinks="0" deleteColumns="0" deleteRows="0" sort="0" autoFilter="0" pivotTables="0"/>
  <mergeCells count="68">
    <mergeCell ref="J32:J44"/>
    <mergeCell ref="J46:J51"/>
    <mergeCell ref="J53:J66"/>
    <mergeCell ref="J77:J99"/>
    <mergeCell ref="J149:J152"/>
    <mergeCell ref="J101:J108"/>
    <mergeCell ref="J110:J114"/>
    <mergeCell ref="J116:J123"/>
    <mergeCell ref="J128:J134"/>
    <mergeCell ref="J136:J147"/>
    <mergeCell ref="B2:H2"/>
    <mergeCell ref="I6:I11"/>
    <mergeCell ref="I13:I16"/>
    <mergeCell ref="I18:I30"/>
    <mergeCell ref="J6:J11"/>
    <mergeCell ref="J13:J16"/>
    <mergeCell ref="J18:J30"/>
    <mergeCell ref="L2:R2"/>
    <mergeCell ref="X149:X152"/>
    <mergeCell ref="I32:I44"/>
    <mergeCell ref="I46:I51"/>
    <mergeCell ref="I53:I66"/>
    <mergeCell ref="I77:I99"/>
    <mergeCell ref="I101:I108"/>
    <mergeCell ref="I110:I114"/>
    <mergeCell ref="I116:I123"/>
    <mergeCell ref="I136:I147"/>
    <mergeCell ref="I149:I152"/>
    <mergeCell ref="X53:X66"/>
    <mergeCell ref="X77:X99"/>
    <mergeCell ref="X101:X108"/>
    <mergeCell ref="X110:X114"/>
    <mergeCell ref="X116:X123"/>
    <mergeCell ref="X136:X147"/>
    <mergeCell ref="S2:W2"/>
    <mergeCell ref="V6:V11"/>
    <mergeCell ref="V13:V16"/>
    <mergeCell ref="V18:V30"/>
    <mergeCell ref="V32:V44"/>
    <mergeCell ref="X6:X11"/>
    <mergeCell ref="X13:X16"/>
    <mergeCell ref="X18:X30"/>
    <mergeCell ref="X32:X44"/>
    <mergeCell ref="X46:X51"/>
    <mergeCell ref="V149:V152"/>
    <mergeCell ref="V53:V66"/>
    <mergeCell ref="V77:V99"/>
    <mergeCell ref="V101:V108"/>
    <mergeCell ref="V110:V114"/>
    <mergeCell ref="V116:V123"/>
    <mergeCell ref="V68:V75"/>
    <mergeCell ref="V136:V147"/>
    <mergeCell ref="I68:I75"/>
    <mergeCell ref="J68:J75"/>
    <mergeCell ref="I128:I134"/>
    <mergeCell ref="X128:X134"/>
    <mergeCell ref="I125:I126"/>
    <mergeCell ref="J125:J126"/>
    <mergeCell ref="K125:K126"/>
    <mergeCell ref="R37:R44"/>
    <mergeCell ref="R59:R66"/>
    <mergeCell ref="R101:R108"/>
    <mergeCell ref="X68:X75"/>
    <mergeCell ref="V128:V134"/>
    <mergeCell ref="X125:X126"/>
    <mergeCell ref="V46:V51"/>
    <mergeCell ref="R83:R84"/>
    <mergeCell ref="R91:R93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6:V51">
    <cfRule type="cellIs" dxfId="21" priority="1" operator="notEqual">
      <formula>0</formula>
    </cfRule>
  </conditionalFormatting>
  <conditionalFormatting sqref="W7:W39 W43:W46 W48:W56 W58:W61 W65:W77 W79 W81 W83:W103 W107:W111 W113:W120 W122:W127 W134:W135 W147:W15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C25"/>
  <sheetViews>
    <sheetView zoomScale="85" zoomScaleNormal="85" workbookViewId="0">
      <pane xSplit="5" ySplit="15" topLeftCell="CM16" activePane="bottomRight" state="frozen"/>
      <selection pane="bottomRight" activeCell="CK26" sqref="CK26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123" width="15.42578125" customWidth="1"/>
    <col min="124" max="124" width="9.42578125" style="240"/>
  </cols>
  <sheetData>
    <row r="1" spans="1:601">
      <c r="D1" s="236" t="s">
        <v>611</v>
      </c>
      <c r="E1" s="237"/>
      <c r="F1" s="238">
        <v>45460</v>
      </c>
      <c r="G1" s="239">
        <f>F1+7</f>
        <v>45467</v>
      </c>
      <c r="H1" s="239">
        <f>G1+7</f>
        <v>45474</v>
      </c>
      <c r="I1" s="239">
        <f t="shared" ref="I1:BT1" si="0">H1+7</f>
        <v>45481</v>
      </c>
      <c r="J1" s="239">
        <f t="shared" si="0"/>
        <v>45488</v>
      </c>
      <c r="K1" s="239">
        <f t="shared" si="0"/>
        <v>45495</v>
      </c>
      <c r="L1" s="239">
        <f t="shared" si="0"/>
        <v>45502</v>
      </c>
      <c r="M1" s="239">
        <f t="shared" si="0"/>
        <v>45509</v>
      </c>
      <c r="N1" s="239">
        <f t="shared" si="0"/>
        <v>45516</v>
      </c>
      <c r="O1" s="239">
        <f t="shared" si="0"/>
        <v>45523</v>
      </c>
      <c r="P1" s="239">
        <f t="shared" si="0"/>
        <v>45530</v>
      </c>
      <c r="Q1" s="239">
        <f t="shared" si="0"/>
        <v>45537</v>
      </c>
      <c r="R1" s="239">
        <f t="shared" si="0"/>
        <v>45544</v>
      </c>
      <c r="S1" s="239">
        <f t="shared" si="0"/>
        <v>45551</v>
      </c>
      <c r="T1" s="239">
        <f t="shared" si="0"/>
        <v>45558</v>
      </c>
      <c r="U1" s="239">
        <f t="shared" si="0"/>
        <v>45565</v>
      </c>
      <c r="V1" s="239">
        <f t="shared" si="0"/>
        <v>45572</v>
      </c>
      <c r="W1" s="239">
        <f t="shared" si="0"/>
        <v>45579</v>
      </c>
      <c r="X1" s="239">
        <f t="shared" si="0"/>
        <v>45586</v>
      </c>
      <c r="Y1" s="239">
        <f t="shared" si="0"/>
        <v>45593</v>
      </c>
      <c r="Z1" s="239">
        <f t="shared" si="0"/>
        <v>45600</v>
      </c>
      <c r="AA1" s="239">
        <f t="shared" si="0"/>
        <v>45607</v>
      </c>
      <c r="AB1" s="239">
        <f t="shared" si="0"/>
        <v>45614</v>
      </c>
      <c r="AC1" s="239">
        <f t="shared" si="0"/>
        <v>45621</v>
      </c>
      <c r="AD1" s="239">
        <f t="shared" si="0"/>
        <v>45628</v>
      </c>
      <c r="AE1" s="239">
        <f t="shared" si="0"/>
        <v>45635</v>
      </c>
      <c r="AF1" s="239">
        <f t="shared" si="0"/>
        <v>45642</v>
      </c>
      <c r="AG1" s="239">
        <f t="shared" si="0"/>
        <v>45649</v>
      </c>
      <c r="AH1" s="239">
        <f t="shared" si="0"/>
        <v>45656</v>
      </c>
      <c r="AI1" s="239">
        <f t="shared" si="0"/>
        <v>45663</v>
      </c>
      <c r="AJ1" s="239">
        <f t="shared" si="0"/>
        <v>45670</v>
      </c>
      <c r="AK1" s="239">
        <f t="shared" si="0"/>
        <v>45677</v>
      </c>
      <c r="AL1" s="239">
        <f t="shared" si="0"/>
        <v>45684</v>
      </c>
      <c r="AM1" s="239">
        <f t="shared" si="0"/>
        <v>45691</v>
      </c>
      <c r="AN1" s="239">
        <f t="shared" si="0"/>
        <v>45698</v>
      </c>
      <c r="AO1" s="239">
        <f t="shared" si="0"/>
        <v>45705</v>
      </c>
      <c r="AP1" s="239">
        <f t="shared" si="0"/>
        <v>45712</v>
      </c>
      <c r="AQ1" s="239">
        <f t="shared" si="0"/>
        <v>45719</v>
      </c>
      <c r="AR1" s="239">
        <f t="shared" si="0"/>
        <v>45726</v>
      </c>
      <c r="AS1" s="239">
        <f t="shared" si="0"/>
        <v>45733</v>
      </c>
      <c r="AT1" s="239">
        <f t="shared" si="0"/>
        <v>45740</v>
      </c>
      <c r="AU1" s="239">
        <f t="shared" si="0"/>
        <v>45747</v>
      </c>
      <c r="AV1" s="239">
        <f t="shared" si="0"/>
        <v>45754</v>
      </c>
      <c r="AW1" s="239">
        <f t="shared" si="0"/>
        <v>45761</v>
      </c>
      <c r="AX1" s="239">
        <f t="shared" si="0"/>
        <v>45768</v>
      </c>
      <c r="AY1" s="239">
        <f t="shared" si="0"/>
        <v>45775</v>
      </c>
      <c r="AZ1" s="239">
        <f t="shared" si="0"/>
        <v>45782</v>
      </c>
      <c r="BA1" s="239">
        <f t="shared" si="0"/>
        <v>45789</v>
      </c>
      <c r="BB1" s="239">
        <f t="shared" si="0"/>
        <v>45796</v>
      </c>
      <c r="BC1" s="239">
        <f t="shared" si="0"/>
        <v>45803</v>
      </c>
      <c r="BD1" s="239">
        <f t="shared" si="0"/>
        <v>45810</v>
      </c>
      <c r="BE1" s="239">
        <f t="shared" si="0"/>
        <v>45817</v>
      </c>
      <c r="BF1" s="239">
        <f t="shared" si="0"/>
        <v>45824</v>
      </c>
      <c r="BG1" s="239">
        <f t="shared" si="0"/>
        <v>45831</v>
      </c>
      <c r="BH1" s="239">
        <f t="shared" si="0"/>
        <v>45838</v>
      </c>
      <c r="BI1" s="239">
        <f t="shared" si="0"/>
        <v>45845</v>
      </c>
      <c r="BJ1" s="239">
        <f t="shared" si="0"/>
        <v>45852</v>
      </c>
      <c r="BK1" s="239">
        <f t="shared" si="0"/>
        <v>45859</v>
      </c>
      <c r="BL1" s="239">
        <f t="shared" si="0"/>
        <v>45866</v>
      </c>
      <c r="BM1" s="239">
        <f t="shared" si="0"/>
        <v>45873</v>
      </c>
      <c r="BN1" s="239">
        <f t="shared" si="0"/>
        <v>45880</v>
      </c>
      <c r="BO1" s="239">
        <f t="shared" si="0"/>
        <v>45887</v>
      </c>
      <c r="BP1" s="239">
        <f t="shared" si="0"/>
        <v>45894</v>
      </c>
      <c r="BQ1" s="239">
        <f t="shared" si="0"/>
        <v>45901</v>
      </c>
      <c r="BR1" s="239">
        <f t="shared" si="0"/>
        <v>45908</v>
      </c>
      <c r="BS1" s="239">
        <f t="shared" si="0"/>
        <v>45915</v>
      </c>
      <c r="BT1" s="239">
        <f t="shared" si="0"/>
        <v>45922</v>
      </c>
      <c r="BU1" s="239">
        <f t="shared" ref="BU1:CJ1" si="1">BT1+7</f>
        <v>45929</v>
      </c>
      <c r="BV1" s="239">
        <f t="shared" si="1"/>
        <v>45936</v>
      </c>
      <c r="BW1" s="239">
        <f t="shared" si="1"/>
        <v>45943</v>
      </c>
      <c r="BX1" s="239">
        <f t="shared" si="1"/>
        <v>45950</v>
      </c>
      <c r="BY1" s="239">
        <f t="shared" si="1"/>
        <v>45957</v>
      </c>
      <c r="BZ1" s="239">
        <f t="shared" si="1"/>
        <v>45964</v>
      </c>
      <c r="CA1" s="239">
        <f t="shared" si="1"/>
        <v>45971</v>
      </c>
      <c r="CB1" s="239">
        <f t="shared" si="1"/>
        <v>45978</v>
      </c>
      <c r="CC1" s="239">
        <f t="shared" si="1"/>
        <v>45985</v>
      </c>
      <c r="CD1" s="239">
        <f t="shared" si="1"/>
        <v>45992</v>
      </c>
      <c r="CE1" s="239">
        <f t="shared" si="1"/>
        <v>45999</v>
      </c>
      <c r="CF1" s="239">
        <f t="shared" si="1"/>
        <v>46006</v>
      </c>
      <c r="CG1" s="239">
        <f t="shared" si="1"/>
        <v>46013</v>
      </c>
      <c r="CH1" s="239">
        <f t="shared" si="1"/>
        <v>46020</v>
      </c>
      <c r="CI1" s="239">
        <f t="shared" si="1"/>
        <v>46027</v>
      </c>
      <c r="CJ1" s="239">
        <f t="shared" si="1"/>
        <v>46034</v>
      </c>
      <c r="CK1" s="239">
        <f t="shared" ref="CK1:CO1" si="2">CJ1+7</f>
        <v>46041</v>
      </c>
      <c r="CL1" s="239">
        <f t="shared" si="2"/>
        <v>46048</v>
      </c>
      <c r="CM1" s="239">
        <f t="shared" si="2"/>
        <v>46055</v>
      </c>
      <c r="CN1" s="239">
        <f t="shared" si="2"/>
        <v>46062</v>
      </c>
      <c r="CO1" s="239">
        <f t="shared" si="2"/>
        <v>46069</v>
      </c>
      <c r="CP1" s="239">
        <f t="shared" ref="CP1" si="3">CO1+7</f>
        <v>46076</v>
      </c>
      <c r="CQ1" s="239">
        <f t="shared" ref="CQ1" si="4">CP1+7</f>
        <v>46083</v>
      </c>
      <c r="CR1" s="239">
        <f t="shared" ref="CR1" si="5">CQ1+7</f>
        <v>46090</v>
      </c>
      <c r="CS1" s="239">
        <f t="shared" ref="CS1" si="6">CR1+7</f>
        <v>46097</v>
      </c>
      <c r="CT1" s="239">
        <f t="shared" ref="CT1" si="7">CS1+7</f>
        <v>46104</v>
      </c>
      <c r="CU1" s="239">
        <f t="shared" ref="CU1" si="8">CT1+7</f>
        <v>46111</v>
      </c>
      <c r="CV1" s="239">
        <f t="shared" ref="CV1" si="9">CU1+7</f>
        <v>46118</v>
      </c>
      <c r="CW1" s="239">
        <f t="shared" ref="CW1" si="10">CV1+7</f>
        <v>46125</v>
      </c>
      <c r="CX1" s="239">
        <f t="shared" ref="CX1" si="11">CW1+7</f>
        <v>46132</v>
      </c>
      <c r="CY1" s="239">
        <f t="shared" ref="CY1" si="12">CX1+7</f>
        <v>46139</v>
      </c>
      <c r="CZ1" s="239">
        <f t="shared" ref="CZ1" si="13">CY1+7</f>
        <v>46146</v>
      </c>
      <c r="DA1" s="239">
        <f t="shared" ref="DA1" si="14">CZ1+7</f>
        <v>46153</v>
      </c>
      <c r="DB1" s="239">
        <f t="shared" ref="DB1" si="15">DA1+7</f>
        <v>46160</v>
      </c>
      <c r="DC1" s="239">
        <f t="shared" ref="DC1" si="16">DB1+7</f>
        <v>46167</v>
      </c>
      <c r="DD1" s="239">
        <f t="shared" ref="DD1" si="17">DC1+7</f>
        <v>46174</v>
      </c>
      <c r="DE1" s="239">
        <f t="shared" ref="DE1" si="18">DD1+7</f>
        <v>46181</v>
      </c>
      <c r="DF1" s="239">
        <f t="shared" ref="DF1" si="19">DE1+7</f>
        <v>46188</v>
      </c>
      <c r="DG1" s="239">
        <f t="shared" ref="DG1" si="20">DF1+7</f>
        <v>46195</v>
      </c>
      <c r="DH1" s="239">
        <f t="shared" ref="DH1" si="21">DG1+7</f>
        <v>46202</v>
      </c>
      <c r="DI1" s="239">
        <f t="shared" ref="DI1" si="22">DH1+7</f>
        <v>46209</v>
      </c>
      <c r="DJ1" s="239">
        <f t="shared" ref="DJ1" si="23">DI1+7</f>
        <v>46216</v>
      </c>
      <c r="DK1" s="239">
        <f t="shared" ref="DK1" si="24">DJ1+7</f>
        <v>46223</v>
      </c>
      <c r="DL1" s="239">
        <f t="shared" ref="DL1" si="25">DK1+7</f>
        <v>46230</v>
      </c>
      <c r="DM1" s="239">
        <f t="shared" ref="DM1" si="26">DL1+7</f>
        <v>46237</v>
      </c>
      <c r="DN1" s="239">
        <f t="shared" ref="DN1" si="27">DM1+7</f>
        <v>46244</v>
      </c>
      <c r="DO1" s="239">
        <f t="shared" ref="DO1" si="28">DN1+7</f>
        <v>46251</v>
      </c>
      <c r="DP1" s="239">
        <f t="shared" ref="DP1" si="29">DO1+7</f>
        <v>46258</v>
      </c>
      <c r="DQ1" s="239">
        <f t="shared" ref="DQ1" si="30">DP1+7</f>
        <v>46265</v>
      </c>
      <c r="DR1" s="239">
        <f t="shared" ref="DR1" si="31">DQ1+7</f>
        <v>46272</v>
      </c>
      <c r="DS1" s="239">
        <f t="shared" ref="DS1" si="32">DR1+7</f>
        <v>46279</v>
      </c>
    </row>
    <row r="2" spans="1:601" s="240" customFormat="1">
      <c r="A2" s="979" t="s">
        <v>303</v>
      </c>
      <c r="B2" s="241"/>
      <c r="C2" s="242" t="s">
        <v>399</v>
      </c>
      <c r="D2" s="242" t="s">
        <v>399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</row>
    <row r="3" spans="1:601">
      <c r="A3" s="980"/>
      <c r="B3" s="244" t="s">
        <v>310</v>
      </c>
      <c r="C3" s="245">
        <f>'Revenue Tracking'!D4</f>
        <v>9650000</v>
      </c>
      <c r="D3" s="245">
        <f>SUM(F3:CP3)</f>
        <v>9734366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7237500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0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965000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1040000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9366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482500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  <c r="DG3" s="247">
        <f>SUMIFS('Revenue Tracking'!$F$13:$F$19, 'Revenue Tracking'!$H$13:$H$19, "&gt;="&amp;DG1,'Revenue Tracking'!$H$13:$H$19, "&lt;"&amp;DH1)</f>
        <v>0</v>
      </c>
      <c r="DH3" s="247">
        <f>SUMIFS('Revenue Tracking'!$F$13:$F$19, 'Revenue Tracking'!$H$13:$H$19, "&gt;="&amp;DH1,'Revenue Tracking'!$H$13:$H$19, "&lt;"&amp;DI1)</f>
        <v>0</v>
      </c>
      <c r="DI3" s="247">
        <f>SUMIFS('Revenue Tracking'!$F$13:$F$19, 'Revenue Tracking'!$H$13:$H$19, "&gt;="&amp;DI1,'Revenue Tracking'!$H$13:$H$19, "&lt;"&amp;DJ1)</f>
        <v>0</v>
      </c>
      <c r="DJ3" s="247">
        <f>SUMIFS('Revenue Tracking'!$F$13:$F$19, 'Revenue Tracking'!$H$13:$H$19, "&gt;="&amp;DJ1,'Revenue Tracking'!$H$13:$H$19, "&lt;"&amp;DK1)</f>
        <v>0</v>
      </c>
      <c r="DK3" s="247">
        <f>SUMIFS('Revenue Tracking'!$F$13:$F$19, 'Revenue Tracking'!$H$13:$H$19, "&gt;="&amp;DK1,'Revenue Tracking'!$H$13:$H$19, "&lt;"&amp;DL1)</f>
        <v>0</v>
      </c>
      <c r="DL3" s="247">
        <f>SUMIFS('Revenue Tracking'!$F$13:$F$19, 'Revenue Tracking'!$H$13:$H$19, "&gt;="&amp;DL1,'Revenue Tracking'!$H$13:$H$19, "&lt;"&amp;DM1)</f>
        <v>0</v>
      </c>
      <c r="DM3" s="247">
        <f>SUMIFS('Revenue Tracking'!$F$13:$F$19, 'Revenue Tracking'!$H$13:$H$19, "&gt;="&amp;DM1,'Revenue Tracking'!$H$13:$H$19, "&lt;"&amp;DN1)</f>
        <v>0</v>
      </c>
      <c r="DN3" s="247">
        <f>SUMIFS('Revenue Tracking'!$F$13:$F$19, 'Revenue Tracking'!$H$13:$H$19, "&gt;="&amp;DN1,'Revenue Tracking'!$H$13:$H$19, "&lt;"&amp;DO1)</f>
        <v>0</v>
      </c>
      <c r="DO3" s="247">
        <f>SUMIFS('Revenue Tracking'!$F$13:$F$19, 'Revenue Tracking'!$H$13:$H$19, "&gt;="&amp;DO1,'Revenue Tracking'!$H$13:$H$19, "&lt;"&amp;DP1)</f>
        <v>0</v>
      </c>
      <c r="DP3" s="247">
        <f>SUMIFS('Revenue Tracking'!$F$13:$F$19, 'Revenue Tracking'!$H$13:$H$19, "&gt;="&amp;DP1,'Revenue Tracking'!$H$13:$H$19, "&lt;"&amp;DQ1)</f>
        <v>0</v>
      </c>
      <c r="DQ3" s="247">
        <f>SUMIFS('Revenue Tracking'!$F$13:$F$19, 'Revenue Tracking'!$H$13:$H$19, "&gt;="&amp;DQ1,'Revenue Tracking'!$H$13:$H$19, "&lt;"&amp;DR1)</f>
        <v>0</v>
      </c>
      <c r="DR3" s="247">
        <f>SUMIFS('Revenue Tracking'!$F$13:$F$19, 'Revenue Tracking'!$H$13:$H$19, "&gt;="&amp;DR1,'Revenue Tracking'!$H$13:$H$19, "&lt;"&amp;DS1)</f>
        <v>0</v>
      </c>
      <c r="DS3" s="247">
        <f>SUMIFS('Revenue Tracking'!$F$13:$F$19, 'Revenue Tracking'!$H$13:$H$19, "&gt;="&amp;DS1,'Revenue Tracking'!$H$13:$H$19, "&lt;"&amp;DT1)</f>
        <v>0</v>
      </c>
    </row>
    <row r="4" spans="1:601">
      <c r="A4" s="980"/>
      <c r="B4" s="244" t="s">
        <v>612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3">H4+I3</f>
        <v>0</v>
      </c>
      <c r="J4" s="247">
        <f t="shared" si="33"/>
        <v>0</v>
      </c>
      <c r="K4" s="247">
        <f t="shared" si="33"/>
        <v>0</v>
      </c>
      <c r="L4" s="247">
        <f t="shared" si="33"/>
        <v>0</v>
      </c>
      <c r="M4" s="247">
        <f t="shared" si="33"/>
        <v>7237500</v>
      </c>
      <c r="N4" s="247">
        <f t="shared" si="33"/>
        <v>7237500</v>
      </c>
      <c r="O4" s="247">
        <f t="shared" si="33"/>
        <v>7237500</v>
      </c>
      <c r="P4" s="247">
        <f t="shared" si="33"/>
        <v>7237500</v>
      </c>
      <c r="Q4" s="247">
        <f t="shared" si="33"/>
        <v>7237500</v>
      </c>
      <c r="R4" s="247">
        <f t="shared" si="33"/>
        <v>7237500</v>
      </c>
      <c r="S4" s="247">
        <f t="shared" si="33"/>
        <v>7237500</v>
      </c>
      <c r="T4" s="247">
        <f t="shared" si="33"/>
        <v>7237500</v>
      </c>
      <c r="U4" s="247">
        <f t="shared" si="33"/>
        <v>7237500</v>
      </c>
      <c r="V4" s="247">
        <f t="shared" si="33"/>
        <v>7237500</v>
      </c>
      <c r="W4" s="247">
        <f t="shared" si="33"/>
        <v>7237500</v>
      </c>
      <c r="X4" s="247">
        <f t="shared" si="33"/>
        <v>7237500</v>
      </c>
      <c r="Y4" s="247">
        <f t="shared" si="33"/>
        <v>7237500</v>
      </c>
      <c r="Z4" s="247">
        <f t="shared" si="33"/>
        <v>8202500</v>
      </c>
      <c r="AA4" s="247">
        <f t="shared" si="33"/>
        <v>8202500</v>
      </c>
      <c r="AB4" s="247">
        <f t="shared" si="33"/>
        <v>8202500</v>
      </c>
      <c r="AC4" s="247">
        <f t="shared" si="33"/>
        <v>9242500</v>
      </c>
      <c r="AD4" s="247">
        <f t="shared" si="33"/>
        <v>9242500</v>
      </c>
      <c r="AE4" s="247">
        <f t="shared" si="33"/>
        <v>9242500</v>
      </c>
      <c r="AF4" s="247">
        <f t="shared" si="33"/>
        <v>9242500</v>
      </c>
      <c r="AG4" s="247">
        <f t="shared" si="33"/>
        <v>9242500</v>
      </c>
      <c r="AH4" s="247">
        <f t="shared" si="33"/>
        <v>9242500</v>
      </c>
      <c r="AI4" s="247">
        <f t="shared" si="33"/>
        <v>9242500</v>
      </c>
      <c r="AJ4" s="247">
        <f t="shared" si="33"/>
        <v>9242500</v>
      </c>
      <c r="AK4" s="247">
        <f t="shared" si="33"/>
        <v>9242500</v>
      </c>
      <c r="AL4" s="247">
        <f t="shared" si="33"/>
        <v>9242500</v>
      </c>
      <c r="AM4" s="247">
        <f t="shared" si="33"/>
        <v>9242500</v>
      </c>
      <c r="AN4" s="247">
        <f t="shared" si="33"/>
        <v>9242500</v>
      </c>
      <c r="AO4" s="247">
        <f t="shared" si="33"/>
        <v>9242500</v>
      </c>
      <c r="AP4" s="247">
        <f t="shared" si="33"/>
        <v>9251866</v>
      </c>
      <c r="AQ4" s="247">
        <f t="shared" si="33"/>
        <v>9251866</v>
      </c>
      <c r="AR4" s="247">
        <f t="shared" si="33"/>
        <v>9251866</v>
      </c>
      <c r="AS4" s="247">
        <f t="shared" si="33"/>
        <v>9251866</v>
      </c>
      <c r="AT4" s="247">
        <f t="shared" si="33"/>
        <v>9251866</v>
      </c>
      <c r="AU4" s="247">
        <f t="shared" si="33"/>
        <v>9251866</v>
      </c>
      <c r="AV4" s="247">
        <f t="shared" si="33"/>
        <v>9251866</v>
      </c>
      <c r="AW4" s="247">
        <f t="shared" si="33"/>
        <v>9251866</v>
      </c>
      <c r="AX4" s="247">
        <f t="shared" si="33"/>
        <v>9251866</v>
      </c>
      <c r="AY4" s="247">
        <f t="shared" si="33"/>
        <v>9251866</v>
      </c>
      <c r="AZ4" s="247">
        <f t="shared" si="33"/>
        <v>9251866</v>
      </c>
      <c r="BA4" s="247">
        <f t="shared" si="33"/>
        <v>9251866</v>
      </c>
      <c r="BB4" s="247">
        <f t="shared" si="33"/>
        <v>9251866</v>
      </c>
      <c r="BC4" s="247">
        <f t="shared" si="33"/>
        <v>9251866</v>
      </c>
      <c r="BD4" s="247">
        <f t="shared" si="33"/>
        <v>9251866</v>
      </c>
      <c r="BE4" s="247">
        <f t="shared" si="33"/>
        <v>9251866</v>
      </c>
      <c r="BF4" s="247">
        <f t="shared" si="33"/>
        <v>9251866</v>
      </c>
      <c r="BG4" s="247">
        <f t="shared" si="33"/>
        <v>9251866</v>
      </c>
      <c r="BH4" s="247">
        <f t="shared" si="33"/>
        <v>9251866</v>
      </c>
      <c r="BI4" s="247">
        <f t="shared" si="33"/>
        <v>9251866</v>
      </c>
      <c r="BJ4" s="247">
        <f t="shared" si="33"/>
        <v>9251866</v>
      </c>
      <c r="BK4" s="247">
        <f t="shared" si="33"/>
        <v>9251866</v>
      </c>
      <c r="BL4" s="247">
        <f t="shared" si="33"/>
        <v>9251866</v>
      </c>
      <c r="BM4" s="247">
        <f t="shared" si="33"/>
        <v>9251866</v>
      </c>
      <c r="BN4" s="247">
        <f t="shared" si="33"/>
        <v>9251866</v>
      </c>
      <c r="BO4" s="247">
        <f t="shared" si="33"/>
        <v>9251866</v>
      </c>
      <c r="BP4" s="247">
        <f t="shared" si="33"/>
        <v>9251866</v>
      </c>
      <c r="BQ4" s="247">
        <f t="shared" si="33"/>
        <v>9251866</v>
      </c>
      <c r="BR4" s="247">
        <f t="shared" si="33"/>
        <v>9251866</v>
      </c>
      <c r="BS4" s="247">
        <f t="shared" si="33"/>
        <v>9251866</v>
      </c>
      <c r="BT4" s="247">
        <f t="shared" si="33"/>
        <v>9251866</v>
      </c>
      <c r="BU4" s="247">
        <f t="shared" ref="BU4:CJ4" si="34">BT4+BU3</f>
        <v>9251866</v>
      </c>
      <c r="BV4" s="247">
        <f t="shared" si="34"/>
        <v>9251866</v>
      </c>
      <c r="BW4" s="247">
        <f t="shared" si="34"/>
        <v>9251866</v>
      </c>
      <c r="BX4" s="247">
        <f t="shared" si="34"/>
        <v>9251866</v>
      </c>
      <c r="BY4" s="247">
        <f t="shared" si="34"/>
        <v>9251866</v>
      </c>
      <c r="BZ4" s="247">
        <f t="shared" si="34"/>
        <v>9251866</v>
      </c>
      <c r="CA4" s="247">
        <f t="shared" si="34"/>
        <v>9251866</v>
      </c>
      <c r="CB4" s="247">
        <f t="shared" si="34"/>
        <v>9251866</v>
      </c>
      <c r="CC4" s="247">
        <f t="shared" si="34"/>
        <v>9734366</v>
      </c>
      <c r="CD4" s="247">
        <f t="shared" si="34"/>
        <v>9734366</v>
      </c>
      <c r="CE4" s="247">
        <f t="shared" si="34"/>
        <v>9734366</v>
      </c>
      <c r="CF4" s="247">
        <f t="shared" si="34"/>
        <v>9734366</v>
      </c>
      <c r="CG4" s="247">
        <f t="shared" si="34"/>
        <v>9734366</v>
      </c>
      <c r="CH4" s="247">
        <f t="shared" si="34"/>
        <v>9734366</v>
      </c>
      <c r="CI4" s="247">
        <f t="shared" si="34"/>
        <v>9734366</v>
      </c>
      <c r="CJ4" s="247">
        <f t="shared" si="34"/>
        <v>9734366</v>
      </c>
      <c r="CK4" s="247">
        <f t="shared" ref="CK4" si="35">CJ4+CK3</f>
        <v>9734366</v>
      </c>
      <c r="CL4" s="247">
        <f t="shared" ref="CL4" si="36">CK4+CL3</f>
        <v>9734366</v>
      </c>
      <c r="CM4" s="247">
        <f t="shared" ref="CM4" si="37">CL4+CM3</f>
        <v>9734366</v>
      </c>
      <c r="CN4" s="247">
        <f t="shared" ref="CN4" si="38">CM4+CN3</f>
        <v>9734366</v>
      </c>
      <c r="CO4" s="247">
        <f t="shared" ref="CO4" si="39">CN4+CO3</f>
        <v>9734366</v>
      </c>
      <c r="CP4" s="247">
        <f t="shared" ref="CP4" si="40">CO4+CP3</f>
        <v>9734366</v>
      </c>
      <c r="CQ4" s="247">
        <f t="shared" ref="CQ4" si="41">CP4+CQ3</f>
        <v>9734366</v>
      </c>
      <c r="CR4" s="247">
        <f t="shared" ref="CR4" si="42">CQ4+CR3</f>
        <v>9734366</v>
      </c>
      <c r="CS4" s="247">
        <f t="shared" ref="CS4" si="43">CR4+CS3</f>
        <v>9734366</v>
      </c>
      <c r="CT4" s="247">
        <f t="shared" ref="CT4" si="44">CS4+CT3</f>
        <v>9734366</v>
      </c>
      <c r="CU4" s="247">
        <f t="shared" ref="CU4" si="45">CT4+CU3</f>
        <v>9734366</v>
      </c>
      <c r="CV4" s="247">
        <f t="shared" ref="CV4" si="46">CU4+CV3</f>
        <v>9734366</v>
      </c>
      <c r="CW4" s="247">
        <f t="shared" ref="CW4" si="47">CV4+CW3</f>
        <v>9734366</v>
      </c>
      <c r="CX4" s="247">
        <f t="shared" ref="CX4" si="48">CW4+CX3</f>
        <v>9734366</v>
      </c>
      <c r="CY4" s="247">
        <f t="shared" ref="CY4" si="49">CX4+CY3</f>
        <v>9734366</v>
      </c>
      <c r="CZ4" s="247">
        <f t="shared" ref="CZ4" si="50">CY4+CZ3</f>
        <v>9734366</v>
      </c>
      <c r="DA4" s="247">
        <f t="shared" ref="DA4" si="51">CZ4+DA3</f>
        <v>9734366</v>
      </c>
      <c r="DB4" s="247">
        <f t="shared" ref="DB4" si="52">DA4+DB3</f>
        <v>9734366</v>
      </c>
      <c r="DC4" s="247">
        <f t="shared" ref="DC4" si="53">DB4+DC3</f>
        <v>9734366</v>
      </c>
      <c r="DD4" s="247">
        <f t="shared" ref="DD4" si="54">DC4+DD3</f>
        <v>9734366</v>
      </c>
      <c r="DE4" s="247">
        <f t="shared" ref="DE4" si="55">DD4+DE3</f>
        <v>9734366</v>
      </c>
      <c r="DF4" s="247">
        <f t="shared" ref="DF4" si="56">DE4+DF3</f>
        <v>9734366</v>
      </c>
      <c r="DG4" s="247">
        <f t="shared" ref="DG4" si="57">DF4+DG3</f>
        <v>9734366</v>
      </c>
      <c r="DH4" s="247">
        <f t="shared" ref="DH4" si="58">DG4+DH3</f>
        <v>9734366</v>
      </c>
      <c r="DI4" s="247">
        <f t="shared" ref="DI4" si="59">DH4+DI3</f>
        <v>9734366</v>
      </c>
      <c r="DJ4" s="247">
        <f t="shared" ref="DJ4" si="60">DI4+DJ3</f>
        <v>9734366</v>
      </c>
      <c r="DK4" s="247">
        <f t="shared" ref="DK4" si="61">DJ4+DK3</f>
        <v>9734366</v>
      </c>
      <c r="DL4" s="247">
        <f t="shared" ref="DL4" si="62">DK4+DL3</f>
        <v>9734366</v>
      </c>
      <c r="DM4" s="247">
        <f t="shared" ref="DM4" si="63">DL4+DM3</f>
        <v>9734366</v>
      </c>
      <c r="DN4" s="247">
        <f t="shared" ref="DN4" si="64">DM4+DN3</f>
        <v>9734366</v>
      </c>
      <c r="DO4" s="247">
        <f t="shared" ref="DO4" si="65">DN4+DO3</f>
        <v>9734366</v>
      </c>
      <c r="DP4" s="247">
        <f t="shared" ref="DP4" si="66">DO4+DP3</f>
        <v>9734366</v>
      </c>
      <c r="DQ4" s="247">
        <f t="shared" ref="DQ4" si="67">DP4+DQ3</f>
        <v>9734366</v>
      </c>
      <c r="DR4" s="247">
        <f t="shared" ref="DR4" si="68">DQ4+DR3</f>
        <v>9734366</v>
      </c>
      <c r="DS4" s="247">
        <f t="shared" ref="DS4" si="69">DR4+DS3</f>
        <v>9734366</v>
      </c>
    </row>
    <row r="5" spans="1:601" s="252" customFormat="1">
      <c r="A5" s="980"/>
      <c r="B5" s="248" t="s">
        <v>313</v>
      </c>
      <c r="C5" s="249">
        <f>'Revenue Tracking'!D5</f>
        <v>8749927.1756521706</v>
      </c>
      <c r="D5" s="249">
        <f>SUM(F5:CP5)</f>
        <v>8749927.1756521706</v>
      </c>
      <c r="E5" s="246"/>
      <c r="F5" s="250">
        <f>SUMIFS('Expenditure Breakdown'!$G$6:$G$152, 'Expenditure Breakdown'!$H$6:$H$152, "&gt;="&amp;F1,'Expenditure Breakdown'!$H$6:$H$152, "&lt;"&amp;G1)</f>
        <v>0</v>
      </c>
      <c r="G5" s="250">
        <f>SUMIFS('Expenditure Breakdown'!$G$6:$G$152, 'Expenditure Breakdown'!$H$6:$H$152, "&gt;="&amp;G1,'Expenditure Breakdown'!$H$6:$H$152, "&lt;"&amp;H1)</f>
        <v>0</v>
      </c>
      <c r="H5" s="250">
        <f>SUMIFS('Expenditure Breakdown'!$G$6:$G$152, 'Expenditure Breakdown'!$H$6:$H$152, "&gt;="&amp;H1,'Expenditure Breakdown'!$H$6:$H$152, "&lt;"&amp;I1)</f>
        <v>0</v>
      </c>
      <c r="I5" s="250">
        <f>SUMIFS('Expenditure Breakdown'!$G$6:$G$152, 'Expenditure Breakdown'!$H$6:$H$152, "&gt;="&amp;I1,'Expenditure Breakdown'!$H$6:$H$152, "&lt;"&amp;J1)</f>
        <v>0</v>
      </c>
      <c r="J5" s="250">
        <f>SUMIFS('Expenditure Breakdown'!$G$6:$G$152, 'Expenditure Breakdown'!$H$6:$H$152, "&gt;="&amp;J1,'Expenditure Breakdown'!$H$6:$H$152, "&lt;"&amp;K1)</f>
        <v>0</v>
      </c>
      <c r="K5" s="250">
        <f>SUMIFS('Expenditure Breakdown'!$G$6:$G$152, 'Expenditure Breakdown'!$H$6:$H$152, "&gt;="&amp;K1,'Expenditure Breakdown'!$H$6:$H$152, "&lt;"&amp;L1)</f>
        <v>463019.62956521707</v>
      </c>
      <c r="L5" s="250">
        <f>SUMIFS('Expenditure Breakdown'!$G$6:$G$152, 'Expenditure Breakdown'!$H$6:$H$152, "&gt;="&amp;L1,'Expenditure Breakdown'!$H$6:$H$152, "&lt;"&amp;M1)</f>
        <v>892066.94434782548</v>
      </c>
      <c r="M5" s="250">
        <f>SUMIFS('Expenditure Breakdown'!$G$6:$G$152, 'Expenditure Breakdown'!$H$6:$H$152, "&gt;="&amp;M1,'Expenditure Breakdown'!$H$6:$H$152, "&lt;"&amp;N1)</f>
        <v>0</v>
      </c>
      <c r="N5" s="250">
        <f>SUMIFS('Expenditure Breakdown'!$G$6:$G$152, 'Expenditure Breakdown'!$H$6:$H$152, "&gt;="&amp;N1,'Expenditure Breakdown'!$H$6:$H$152, "&lt;"&amp;O1)</f>
        <v>0</v>
      </c>
      <c r="O5" s="250">
        <f>SUMIFS('Expenditure Breakdown'!$G$6:$G$152, 'Expenditure Breakdown'!$H$6:$H$152, "&gt;="&amp;O1,'Expenditure Breakdown'!$H$6:$H$152, "&lt;"&amp;P1)</f>
        <v>0</v>
      </c>
      <c r="P5" s="250">
        <f>SUMIFS('Expenditure Breakdown'!$G$6:$G$152, 'Expenditure Breakdown'!$H$6:$H$152, "&gt;="&amp;P1,'Expenditure Breakdown'!$H$6:$H$152, "&lt;"&amp;Q1)</f>
        <v>1657320</v>
      </c>
      <c r="Q5" s="250">
        <f>SUMIFS('Expenditure Breakdown'!$G$6:$G$152, 'Expenditure Breakdown'!$H$6:$H$152, "&gt;="&amp;Q1,'Expenditure Breakdown'!$H$6:$H$152, "&lt;"&amp;R1)</f>
        <v>0</v>
      </c>
      <c r="R5" s="250">
        <f>SUMIFS('Expenditure Breakdown'!$G$6:$G$152, 'Expenditure Breakdown'!$H$6:$H$152, "&gt;="&amp;R1,'Expenditure Breakdown'!$H$6:$H$152, "&lt;"&amp;S1)</f>
        <v>0</v>
      </c>
      <c r="S5" s="250">
        <f>SUMIFS('Expenditure Breakdown'!$G$6:$G$152, 'Expenditure Breakdown'!$H$6:$H$152, "&gt;="&amp;S1,'Expenditure Breakdown'!$H$6:$H$152, "&lt;"&amp;T1)</f>
        <v>1330945</v>
      </c>
      <c r="T5" s="250">
        <f>SUMIFS('Expenditure Breakdown'!$G$6:$G$152, 'Expenditure Breakdown'!$H$6:$H$152, "&gt;="&amp;T1,'Expenditure Breakdown'!$H$6:$H$152, "&lt;"&amp;U1)</f>
        <v>0</v>
      </c>
      <c r="U5" s="250">
        <f>SUMIFS('Expenditure Breakdown'!$G$6:$G$152, 'Expenditure Breakdown'!$H$6:$H$152, "&gt;="&amp;U1,'Expenditure Breakdown'!$H$6:$H$152, "&lt;"&amp;V1)</f>
        <v>0</v>
      </c>
      <c r="V5" s="250">
        <f>SUMIFS('Expenditure Breakdown'!$G$6:$G$152, 'Expenditure Breakdown'!$H$6:$H$152, "&gt;="&amp;V1,'Expenditure Breakdown'!$H$6:$H$152, "&lt;"&amp;W1)</f>
        <v>22000</v>
      </c>
      <c r="W5" s="250">
        <f>SUMIFS('Expenditure Breakdown'!$G$6:$G$152, 'Expenditure Breakdown'!$H$6:$H$152, "&gt;="&amp;W1,'Expenditure Breakdown'!$H$6:$H$152, "&lt;"&amp;X1)</f>
        <v>0</v>
      </c>
      <c r="X5" s="250">
        <f>SUMIFS('Expenditure Breakdown'!$G$6:$G$152, 'Expenditure Breakdown'!$H$6:$H$152, "&gt;="&amp;X1,'Expenditure Breakdown'!$H$6:$H$152, "&lt;"&amp;Y1)</f>
        <v>926039.25913043413</v>
      </c>
      <c r="Y5" s="250">
        <f>SUMIFS('Expenditure Breakdown'!$G$6:$G$152, 'Expenditure Breakdown'!$H$6:$H$152, "&gt;="&amp;Y1,'Expenditure Breakdown'!$H$6:$H$152, "&lt;"&amp;Z1)</f>
        <v>1161901.0739130424</v>
      </c>
      <c r="Z5" s="250">
        <f>SUMIFS('Expenditure Breakdown'!$G$6:$G$152, 'Expenditure Breakdown'!$H$6:$H$152, "&gt;="&amp;Z1,'Expenditure Breakdown'!$H$6:$H$152, "&lt;"&amp;AA1)</f>
        <v>509259.62956521707</v>
      </c>
      <c r="AA5" s="250">
        <f>SUMIFS('Expenditure Breakdown'!$G$6:$G$152, 'Expenditure Breakdown'!$H$6:$H$152, "&gt;="&amp;AA1,'Expenditure Breakdown'!$H$6:$H$152, "&lt;"&amp;AB1)</f>
        <v>15000</v>
      </c>
      <c r="AB5" s="250">
        <f>SUMIFS('Expenditure Breakdown'!$G$6:$G$152, 'Expenditure Breakdown'!$H$6:$H$152, "&gt;="&amp;AB1,'Expenditure Breakdown'!$H$6:$H$152, "&lt;"&amp;AC1)</f>
        <v>26250</v>
      </c>
      <c r="AC5" s="250">
        <f>SUMIFS('Expenditure Breakdown'!$G$6:$G$152, 'Expenditure Breakdown'!$H$6:$H$152, "&gt;="&amp;AC1,'Expenditure Breakdown'!$H$6:$H$152, "&lt;"&amp;AD1)</f>
        <v>463019.62956521707</v>
      </c>
      <c r="AD5" s="250">
        <f>SUMIFS('Expenditure Breakdown'!$G$6:$G$152, 'Expenditure Breakdown'!$H$6:$H$152, "&gt;="&amp;AD1,'Expenditure Breakdown'!$H$6:$H$152, "&lt;"&amp;AE1)</f>
        <v>796596.19478260854</v>
      </c>
      <c r="AE5" s="250">
        <f>SUMIFS('Expenditure Breakdown'!$G$6:$G$152, 'Expenditure Breakdown'!$H$6:$H$152, "&gt;="&amp;AE1,'Expenditure Breakdown'!$H$6:$H$152, "&lt;"&amp;AF1)</f>
        <v>0</v>
      </c>
      <c r="AF5" s="250">
        <f>SUMIFS('Expenditure Breakdown'!$G$6:$G$152, 'Expenditure Breakdown'!$H$6:$H$152, "&gt;="&amp;AF1,'Expenditure Breakdown'!$H$6:$H$152, "&lt;"&amp;AG1)</f>
        <v>0</v>
      </c>
      <c r="AG5" s="250">
        <f>SUMIFS('Expenditure Breakdown'!$G$6:$G$152, 'Expenditure Breakdown'!$H$6:$H$152, "&gt;="&amp;AG1,'Expenditure Breakdown'!$H$6:$H$152, "&lt;"&amp;AH1)</f>
        <v>0</v>
      </c>
      <c r="AH5" s="250">
        <f>SUMIFS('Expenditure Breakdown'!$G$6:$G$152, 'Expenditure Breakdown'!$H$6:$H$152, "&gt;="&amp;AH1,'Expenditure Breakdown'!$H$6:$H$152, "&lt;"&amp;AI1)</f>
        <v>0</v>
      </c>
      <c r="AI5" s="250">
        <f>SUMIFS('Expenditure Breakdown'!$G$6:$G$152, 'Expenditure Breakdown'!$H$6:$H$152, "&gt;="&amp;AI1,'Expenditure Breakdown'!$H$6:$H$152, "&lt;"&amp;AJ1)</f>
        <v>0</v>
      </c>
      <c r="AJ5" s="250">
        <f>SUMIFS('Expenditure Breakdown'!$G$6:$G$152, 'Expenditure Breakdown'!$H$6:$H$152, "&gt;="&amp;AJ1,'Expenditure Breakdown'!$H$6:$H$152, "&lt;"&amp;AK1)</f>
        <v>0</v>
      </c>
      <c r="AK5" s="250">
        <f>SUMIFS('Expenditure Breakdown'!$G$6:$G$152, 'Expenditure Breakdown'!$H$6:$H$152, "&gt;="&amp;AK1,'Expenditure Breakdown'!$H$6:$H$152, "&lt;"&amp;AL1)</f>
        <v>0</v>
      </c>
      <c r="AL5" s="250">
        <f>SUMIFS('Expenditure Breakdown'!$G$6:$G$152, 'Expenditure Breakdown'!$H$6:$H$152, "&gt;="&amp;AL1,'Expenditure Breakdown'!$H$6:$H$152, "&lt;"&amp;AM1)</f>
        <v>0</v>
      </c>
      <c r="AM5" s="250">
        <f>SUMIFS('Expenditure Breakdown'!$G$6:$G$152, 'Expenditure Breakdown'!$H$6:$H$152, "&gt;="&amp;AM1,'Expenditure Breakdown'!$H$6:$H$152, "&lt;"&amp;AN1)</f>
        <v>0</v>
      </c>
      <c r="AN5" s="250">
        <f>SUMIFS('Expenditure Breakdown'!$G$6:$G$152, 'Expenditure Breakdown'!$H$6:$H$152, "&gt;="&amp;AN1,'Expenditure Breakdown'!$H$6:$H$152, "&lt;"&amp;AO1)</f>
        <v>0</v>
      </c>
      <c r="AO5" s="250">
        <f>SUMIFS('Expenditure Breakdown'!$G$6:$G$152, 'Expenditure Breakdown'!$H$6:$H$152, "&gt;="&amp;AO1,'Expenditure Breakdown'!$H$6:$H$152, "&lt;"&amp;AP1)</f>
        <v>0</v>
      </c>
      <c r="AP5" s="250">
        <f>SUMIFS('Expenditure Breakdown'!$G$6:$G$152, 'Expenditure Breakdown'!$H$6:$H$152, "&gt;="&amp;AP1,'Expenditure Breakdown'!$H$6:$H$152, "&lt;"&amp;AQ1)</f>
        <v>0</v>
      </c>
      <c r="AQ5" s="250">
        <f>SUMIFS('Expenditure Breakdown'!$G$6:$G$152, 'Expenditure Breakdown'!$H$6:$H$152, "&gt;="&amp;AQ1,'Expenditure Breakdown'!$H$6:$H$152, "&lt;"&amp;AR1)</f>
        <v>486509.81478260853</v>
      </c>
      <c r="AR5" s="250">
        <f>SUMIFS('Expenditure Breakdown'!$G$6:$G$152, 'Expenditure Breakdown'!$H$6:$H$152, "&gt;="&amp;AR1,'Expenditure Breakdown'!$H$6:$H$152, "&lt;"&amp;AS1)</f>
        <v>0</v>
      </c>
      <c r="AS5" s="250">
        <f>SUMIFS('Expenditure Breakdown'!$G$6:$G$152, 'Expenditure Breakdown'!$H$6:$H$152, "&gt;="&amp;AS1,'Expenditure Breakdown'!$H$6:$H$152, "&lt;"&amp;AT1)</f>
        <v>0</v>
      </c>
      <c r="AT5" s="250">
        <f>SUMIFS('Expenditure Breakdown'!$G$6:$G$152, 'Expenditure Breakdown'!$H$6:$H$152, "&gt;="&amp;AT1,'Expenditure Breakdown'!$H$6:$H$152, "&lt;"&amp;AU1)</f>
        <v>0</v>
      </c>
      <c r="AU5" s="250">
        <f>SUMIFS('Expenditure Breakdown'!$G$6:$G$152, 'Expenditure Breakdown'!$H$6:$H$152, "&gt;="&amp;AU1,'Expenditure Breakdown'!$H$6:$H$152, "&lt;"&amp;AV1)</f>
        <v>0</v>
      </c>
      <c r="AV5" s="250">
        <f>SUMIFS('Expenditure Breakdown'!$G$6:$G$152, 'Expenditure Breakdown'!$H$6:$H$152, "&gt;="&amp;AV1,'Expenditure Breakdown'!$H$6:$H$152, "&lt;"&amp;AW1)</f>
        <v>0</v>
      </c>
      <c r="AW5" s="250">
        <f>SUMIFS('Expenditure Breakdown'!$G$6:$G$152, 'Expenditure Breakdown'!$H$6:$H$152, "&gt;="&amp;AW1,'Expenditure Breakdown'!$H$6:$H$152, "&lt;"&amp;AX1)</f>
        <v>0</v>
      </c>
      <c r="AX5" s="250">
        <f>SUMIFS('Expenditure Breakdown'!$G$6:$G$152, 'Expenditure Breakdown'!$H$6:$H$152, "&gt;="&amp;AX1,'Expenditure Breakdown'!$H$6:$H$152, "&lt;"&amp;AY1)</f>
        <v>0</v>
      </c>
      <c r="AY5" s="250">
        <f>SUMIFS('Expenditure Breakdown'!$G$6:$G$152, 'Expenditure Breakdown'!$H$6:$H$152, "&gt;="&amp;AY1,'Expenditure Breakdown'!$H$6:$H$152, "&lt;"&amp;AZ1)</f>
        <v>0</v>
      </c>
      <c r="AZ5" s="250">
        <f>SUMIFS('Expenditure Breakdown'!$G$6:$G$152, 'Expenditure Breakdown'!$H$6:$H$152, "&gt;="&amp;AZ1,'Expenditure Breakdown'!$H$6:$H$152, "&lt;"&amp;BA1)</f>
        <v>0</v>
      </c>
      <c r="BA5" s="250">
        <f>SUMIFS('Expenditure Breakdown'!$G$6:$G$152, 'Expenditure Breakdown'!$H$6:$H$152, "&gt;="&amp;BA1,'Expenditure Breakdown'!$H$6:$H$152, "&lt;"&amp;BB1)</f>
        <v>0</v>
      </c>
      <c r="BB5" s="250">
        <f>SUMIFS('Expenditure Breakdown'!$G$6:$G$152, 'Expenditure Breakdown'!$H$6:$H$152, "&gt;="&amp;BB1,'Expenditure Breakdown'!$H$6:$H$152, "&lt;"&amp;BC1)</f>
        <v>0</v>
      </c>
      <c r="BC5" s="250">
        <f>SUMIFS('Expenditure Breakdown'!$G$6:$G$152, 'Expenditure Breakdown'!$H$6:$H$152, "&gt;="&amp;BC1,'Expenditure Breakdown'!$H$6:$H$152, "&lt;"&amp;BD1)</f>
        <v>0</v>
      </c>
      <c r="BD5" s="250">
        <f>SUMIFS('Expenditure Breakdown'!$G$6:$G$152, 'Expenditure Breakdown'!$H$6:$H$152, "&gt;="&amp;BD1,'Expenditure Breakdown'!$H$6:$H$152, "&lt;"&amp;BE1)</f>
        <v>0</v>
      </c>
      <c r="BE5" s="250">
        <f>SUMIFS('Expenditure Breakdown'!$G$6:$G$152, 'Expenditure Breakdown'!$H$6:$H$152, "&gt;="&amp;BE1,'Expenditure Breakdown'!$H$6:$H$152, "&lt;"&amp;BF1)</f>
        <v>0</v>
      </c>
      <c r="BF5" s="250">
        <f>SUMIFS('Expenditure Breakdown'!$G$6:$G$152, 'Expenditure Breakdown'!$H$6:$H$152, "&gt;="&amp;BF1,'Expenditure Breakdown'!$H$6:$H$152, "&lt;"&amp;BG1)</f>
        <v>0</v>
      </c>
      <c r="BG5" s="250">
        <f>SUMIFS('Expenditure Breakdown'!$G$6:$G$152, 'Expenditure Breakdown'!$H$6:$H$152, "&gt;="&amp;BG1,'Expenditure Breakdown'!$H$6:$H$152, "&lt;"&amp;BH1)</f>
        <v>0</v>
      </c>
      <c r="BH5" s="250">
        <f>SUMIFS('Expenditure Breakdown'!$G$6:$G$152, 'Expenditure Breakdown'!$H$6:$H$152, "&gt;="&amp;BH1,'Expenditure Breakdown'!$H$6:$H$152, "&lt;"&amp;BI1)</f>
        <v>0</v>
      </c>
      <c r="BI5" s="250">
        <f>SUMIFS('Expenditure Breakdown'!$G$6:$G$152, 'Expenditure Breakdown'!$H$6:$H$152, "&gt;="&amp;BI1,'Expenditure Breakdown'!$H$6:$H$152, "&lt;"&amp;BJ1)</f>
        <v>0</v>
      </c>
      <c r="BJ5" s="250">
        <f>SUMIFS('Expenditure Breakdown'!$G$6:$G$152, 'Expenditure Breakdown'!$H$6:$H$152, "&gt;="&amp;BJ1,'Expenditure Breakdown'!$H$6:$H$152, "&lt;"&amp;BK1)</f>
        <v>0</v>
      </c>
      <c r="BK5" s="250">
        <f>SUMIFS('Expenditure Breakdown'!$G$6:$G$152, 'Expenditure Breakdown'!$H$6:$H$152, "&gt;="&amp;BK1,'Expenditure Breakdown'!$H$6:$H$152, "&lt;"&amp;BL1)</f>
        <v>0</v>
      </c>
      <c r="BL5" s="250">
        <f>SUMIFS('Expenditure Breakdown'!$G$6:$G$152, 'Expenditure Breakdown'!$H$6:$H$152, "&gt;="&amp;BL1,'Expenditure Breakdown'!$H$6:$H$152, "&lt;"&amp;BM1)</f>
        <v>0</v>
      </c>
      <c r="BM5" s="250">
        <f>SUMIFS('Expenditure Breakdown'!$G$6:$G$152, 'Expenditure Breakdown'!$H$6:$H$152, "&gt;="&amp;BM1,'Expenditure Breakdown'!$H$6:$H$152, "&lt;"&amp;BN1)</f>
        <v>0</v>
      </c>
      <c r="BN5" s="250">
        <f>SUMIFS('Expenditure Breakdown'!$G$6:$G$152, 'Expenditure Breakdown'!$H$6:$H$152, "&gt;="&amp;BN1,'Expenditure Breakdown'!$H$6:$H$152, "&lt;"&amp;BO1)</f>
        <v>0</v>
      </c>
      <c r="BO5" s="250">
        <f>SUMIFS('Expenditure Breakdown'!$G$6:$G$152, 'Expenditure Breakdown'!$H$6:$H$152, "&gt;="&amp;BO1,'Expenditure Breakdown'!$H$6:$H$152, "&lt;"&amp;BP1)</f>
        <v>0</v>
      </c>
      <c r="BP5" s="250">
        <f>SUMIFS('Expenditure Breakdown'!$G$6:$G$152, 'Expenditure Breakdown'!$H$6:$H$152, "&gt;="&amp;BP1,'Expenditure Breakdown'!$H$6:$H$152, "&lt;"&amp;BQ1)</f>
        <v>0</v>
      </c>
      <c r="BQ5" s="250">
        <f>SUMIFS('Expenditure Breakdown'!$G$6:$G$152, 'Expenditure Breakdown'!$H$6:$H$152, "&gt;="&amp;BQ1,'Expenditure Breakdown'!$H$6:$H$152, "&lt;"&amp;BR1)</f>
        <v>0</v>
      </c>
      <c r="BR5" s="250">
        <f>SUMIFS('Expenditure Breakdown'!$G$6:$G$152, 'Expenditure Breakdown'!$H$6:$H$152, "&gt;="&amp;BR1,'Expenditure Breakdown'!$H$6:$H$152, "&lt;"&amp;BS1)</f>
        <v>0</v>
      </c>
      <c r="BS5" s="250">
        <f>SUMIFS('Expenditure Breakdown'!$G$6:$G$152, 'Expenditure Breakdown'!$H$6:$H$152, "&gt;="&amp;BS1,'Expenditure Breakdown'!$H$6:$H$152, "&lt;"&amp;BT1)</f>
        <v>0</v>
      </c>
      <c r="BT5" s="250">
        <f>SUMIFS('Expenditure Breakdown'!$G$6:$G$152, 'Expenditure Breakdown'!$H$6:$H$152, "&gt;="&amp;BT1,'Expenditure Breakdown'!$H$6:$H$152, "&lt;"&amp;BU1)</f>
        <v>0</v>
      </c>
      <c r="BU5" s="250">
        <f>SUMIFS('Expenditure Breakdown'!$G$6:$G$152, 'Expenditure Breakdown'!$H$6:$H$152, "&gt;="&amp;BU1,'Expenditure Breakdown'!$H$6:$H$152, "&lt;"&amp;BV1)</f>
        <v>0</v>
      </c>
      <c r="BV5" s="250">
        <f>SUMIFS('Expenditure Breakdown'!$G$6:$G$152, 'Expenditure Breakdown'!$H$6:$H$152, "&gt;="&amp;BV1,'Expenditure Breakdown'!$H$6:$H$152, "&lt;"&amp;BW1)</f>
        <v>0</v>
      </c>
      <c r="BW5" s="250">
        <f>SUMIFS('Expenditure Breakdown'!$G$6:$G$152, 'Expenditure Breakdown'!$H$6:$H$152, "&gt;="&amp;BW1,'Expenditure Breakdown'!$H$6:$H$152, "&lt;"&amp;BX1)</f>
        <v>0</v>
      </c>
      <c r="BX5" s="250">
        <f>SUMIFS('Expenditure Breakdown'!$G$6:$G$152, 'Expenditure Breakdown'!$H$6:$H$152, "&gt;="&amp;BX1,'Expenditure Breakdown'!$H$6:$H$152, "&lt;"&amp;BY1)</f>
        <v>0</v>
      </c>
      <c r="BY5" s="250">
        <f>SUMIFS('Expenditure Breakdown'!$G$6:$G$152, 'Expenditure Breakdown'!$H$6:$H$152, "&gt;="&amp;BY1,'Expenditure Breakdown'!$H$6:$H$152, "&lt;"&amp;BZ1)</f>
        <v>0</v>
      </c>
      <c r="BZ5" s="250">
        <f>SUMIFS('Expenditure Breakdown'!$G$6:$G$152, 'Expenditure Breakdown'!$H$6:$H$152, "&gt;="&amp;BZ1,'Expenditure Breakdown'!$H$6:$H$152, "&lt;"&amp;CA1)</f>
        <v>0</v>
      </c>
      <c r="CA5" s="250">
        <f>SUMIFS('Expenditure Breakdown'!$G$6:$G$152, 'Expenditure Breakdown'!$H$6:$H$152, "&gt;="&amp;CA1,'Expenditure Breakdown'!$H$6:$H$152, "&lt;"&amp;CB1)</f>
        <v>0</v>
      </c>
      <c r="CB5" s="250">
        <f>SUMIFS('Expenditure Breakdown'!$G$6:$G$152, 'Expenditure Breakdown'!$H$6:$H$152, "&gt;="&amp;CB1,'Expenditure Breakdown'!$H$6:$H$152, "&lt;"&amp;CC1)</f>
        <v>0</v>
      </c>
      <c r="CC5" s="250">
        <f>SUMIFS('Expenditure Breakdown'!$G$6:$G$152, 'Expenditure Breakdown'!$H$6:$H$152, "&gt;="&amp;CC1,'Expenditure Breakdown'!$H$6:$H$152, "&lt;"&amp;CD1)</f>
        <v>0</v>
      </c>
      <c r="CD5" s="250">
        <f>SUMIFS('Expenditure Breakdown'!$G$6:$G$152, 'Expenditure Breakdown'!$H$6:$H$152, "&gt;="&amp;CD1,'Expenditure Breakdown'!$H$6:$H$152, "&lt;"&amp;CE1)</f>
        <v>0</v>
      </c>
      <c r="CE5" s="250">
        <f>SUMIFS('Expenditure Breakdown'!$G$6:$G$152, 'Expenditure Breakdown'!$H$6:$H$152, "&gt;="&amp;CE1,'Expenditure Breakdown'!$H$6:$H$152, "&lt;"&amp;CF1)</f>
        <v>0</v>
      </c>
      <c r="CF5" s="250">
        <f>SUMIFS('Expenditure Breakdown'!$G$6:$G$152, 'Expenditure Breakdown'!$H$6:$H$152, "&gt;="&amp;CF1,'Expenditure Breakdown'!$H$6:$H$152, "&lt;"&amp;CG1)</f>
        <v>0</v>
      </c>
      <c r="CG5" s="250">
        <f>SUMIFS('Expenditure Breakdown'!$G$6:$G$152, 'Expenditure Breakdown'!$H$6:$H$152, "&gt;="&amp;CG1,'Expenditure Breakdown'!$H$6:$H$152, "&lt;"&amp;CH1)</f>
        <v>0</v>
      </c>
      <c r="CH5" s="250">
        <f>SUMIFS('Expenditure Breakdown'!$G$6:$G$152, 'Expenditure Breakdown'!$H$6:$H$152, "&gt;="&amp;CH1,'Expenditure Breakdown'!$H$6:$H$152, "&lt;"&amp;CI1)</f>
        <v>0</v>
      </c>
      <c r="CI5" s="250">
        <f>SUMIFS('Expenditure Breakdown'!$G$6:$G$152, 'Expenditure Breakdown'!$H$6:$H$152, "&gt;="&amp;CI1,'Expenditure Breakdown'!$H$6:$H$152, "&lt;"&amp;CJ1)</f>
        <v>0</v>
      </c>
      <c r="CJ5" s="250">
        <f>SUMIFS('Expenditure Breakdown'!$G$6:$G$152, 'Expenditure Breakdown'!$H$6:$H$152, "&gt;="&amp;CJ1,'Expenditure Breakdown'!$H$6:$H$152, "&lt;"&amp;CK1)</f>
        <v>0</v>
      </c>
      <c r="CK5" s="250">
        <f>SUMIFS('Expenditure Breakdown'!$G$6:$G$152, 'Expenditure Breakdown'!$H$6:$H$152, "&gt;="&amp;CK1,'Expenditure Breakdown'!$H$6:$H$152, "&lt;"&amp;CL1)</f>
        <v>0</v>
      </c>
      <c r="CL5" s="250">
        <f>SUMIFS('Expenditure Breakdown'!$G$6:$G$152, 'Expenditure Breakdown'!$H$6:$H$152, "&gt;="&amp;CL1,'Expenditure Breakdown'!$H$6:$H$152, "&lt;"&amp;CM1)</f>
        <v>0</v>
      </c>
      <c r="CM5" s="250">
        <f>SUMIFS('Expenditure Breakdown'!$G$6:$G$152, 'Expenditure Breakdown'!$H$6:$H$152, "&gt;="&amp;CM1,'Expenditure Breakdown'!$H$6:$H$152, "&lt;"&amp;CN1)</f>
        <v>0</v>
      </c>
      <c r="CN5" s="250">
        <f>SUMIFS('Expenditure Breakdown'!$G$6:$G$152, 'Expenditure Breakdown'!$H$6:$H$152, "&gt;="&amp;CN1,'Expenditure Breakdown'!$H$6:$H$152, "&lt;"&amp;CO1)</f>
        <v>0</v>
      </c>
      <c r="CO5" s="250">
        <f>SUMIFS('Expenditure Breakdown'!$G$6:$G$152, 'Expenditure Breakdown'!$H$6:$H$152, "&gt;="&amp;CO1,'Expenditure Breakdown'!$H$6:$H$152, "&lt;"&amp;CP1)</f>
        <v>0</v>
      </c>
      <c r="CP5" s="250">
        <f>SUMIFS('Expenditure Breakdown'!$G$6:$G$152, 'Expenditure Breakdown'!$H$6:$H$152, "&gt;="&amp;CP1,'Expenditure Breakdown'!$H$6:$H$152, "&lt;"&amp;CQ1)</f>
        <v>0</v>
      </c>
      <c r="CQ5" s="250">
        <f>SUMIFS('Expenditure Breakdown'!$G$6:$G$152, 'Expenditure Breakdown'!$H$6:$H$152, "&gt;="&amp;CQ1,'Expenditure Breakdown'!$H$6:$H$152, "&lt;"&amp;CR1)</f>
        <v>0</v>
      </c>
      <c r="CR5" s="250">
        <f>SUMIFS('Expenditure Breakdown'!$G$6:$G$152, 'Expenditure Breakdown'!$H$6:$H$152, "&gt;="&amp;CR1,'Expenditure Breakdown'!$H$6:$H$152, "&lt;"&amp;CS1)</f>
        <v>0</v>
      </c>
      <c r="CS5" s="250">
        <f>SUMIFS('Expenditure Breakdown'!$G$6:$G$152, 'Expenditure Breakdown'!$H$6:$H$152, "&gt;="&amp;CS1,'Expenditure Breakdown'!$H$6:$H$152, "&lt;"&amp;CT1)</f>
        <v>0</v>
      </c>
      <c r="CT5" s="250">
        <f>SUMIFS('Expenditure Breakdown'!$G$6:$G$152, 'Expenditure Breakdown'!$H$6:$H$152, "&gt;="&amp;CT1,'Expenditure Breakdown'!$H$6:$H$152, "&lt;"&amp;CU1)</f>
        <v>0</v>
      </c>
      <c r="CU5" s="250">
        <f>SUMIFS('Expenditure Breakdown'!$G$6:$G$152, 'Expenditure Breakdown'!$H$6:$H$152, "&gt;="&amp;CU1,'Expenditure Breakdown'!$H$6:$H$152, "&lt;"&amp;CV1)</f>
        <v>0</v>
      </c>
      <c r="CV5" s="250">
        <f>SUMIFS('Expenditure Breakdown'!$G$6:$G$152, 'Expenditure Breakdown'!$H$6:$H$152, "&gt;="&amp;CV1,'Expenditure Breakdown'!$H$6:$H$152, "&lt;"&amp;CW1)</f>
        <v>0</v>
      </c>
      <c r="CW5" s="250">
        <f>SUMIFS('Expenditure Breakdown'!$G$6:$G$152, 'Expenditure Breakdown'!$H$6:$H$152, "&gt;="&amp;CW1,'Expenditure Breakdown'!$H$6:$H$152, "&lt;"&amp;CX1)</f>
        <v>0</v>
      </c>
      <c r="CX5" s="250">
        <f>SUMIFS('Expenditure Breakdown'!$G$6:$G$152, 'Expenditure Breakdown'!$H$6:$H$152, "&gt;="&amp;CX1,'Expenditure Breakdown'!$H$6:$H$152, "&lt;"&amp;CY1)</f>
        <v>0</v>
      </c>
      <c r="CY5" s="250">
        <f>SUMIFS('Expenditure Breakdown'!$G$6:$G$152, 'Expenditure Breakdown'!$H$6:$H$152, "&gt;="&amp;CY1,'Expenditure Breakdown'!$H$6:$H$152, "&lt;"&amp;CZ1)</f>
        <v>0</v>
      </c>
      <c r="CZ5" s="250">
        <f>SUMIFS('Expenditure Breakdown'!$G$6:$G$152, 'Expenditure Breakdown'!$H$6:$H$152, "&gt;="&amp;CZ1,'Expenditure Breakdown'!$H$6:$H$152, "&lt;"&amp;DA1)</f>
        <v>0</v>
      </c>
      <c r="DA5" s="250">
        <f>SUMIFS('Expenditure Breakdown'!$G$6:$G$152, 'Expenditure Breakdown'!$H$6:$H$152, "&gt;="&amp;DA1,'Expenditure Breakdown'!$H$6:$H$152, "&lt;"&amp;DB1)</f>
        <v>0</v>
      </c>
      <c r="DB5" s="250">
        <f>SUMIFS('Expenditure Breakdown'!$G$6:$G$152, 'Expenditure Breakdown'!$H$6:$H$152, "&gt;="&amp;DB1,'Expenditure Breakdown'!$H$6:$H$152, "&lt;"&amp;DC1)</f>
        <v>0</v>
      </c>
      <c r="DC5" s="250">
        <f>SUMIFS('Expenditure Breakdown'!$G$6:$G$152, 'Expenditure Breakdown'!$H$6:$H$152, "&gt;="&amp;DC1,'Expenditure Breakdown'!$H$6:$H$152, "&lt;"&amp;DD1)</f>
        <v>0</v>
      </c>
      <c r="DD5" s="250">
        <f>SUMIFS('Expenditure Breakdown'!$G$6:$G$152, 'Expenditure Breakdown'!$H$6:$H$152, "&gt;="&amp;DD1,'Expenditure Breakdown'!$H$6:$H$152, "&lt;"&amp;DE1)</f>
        <v>0</v>
      </c>
      <c r="DE5" s="250">
        <f>SUMIFS('Expenditure Breakdown'!$G$6:$G$152, 'Expenditure Breakdown'!$H$6:$H$152, "&gt;="&amp;DE1,'Expenditure Breakdown'!$H$6:$H$152, "&lt;"&amp;DF1)</f>
        <v>0</v>
      </c>
      <c r="DF5" s="250">
        <f>SUMIFS('Expenditure Breakdown'!$G$6:$G$152, 'Expenditure Breakdown'!$H$6:$H$152, "&gt;="&amp;DF1,'Expenditure Breakdown'!$H$6:$H$152, "&lt;"&amp;DG1)</f>
        <v>0</v>
      </c>
      <c r="DG5" s="250">
        <f>SUMIFS('Expenditure Breakdown'!$G$6:$G$152, 'Expenditure Breakdown'!$H$6:$H$152, "&gt;="&amp;DG1,'Expenditure Breakdown'!$H$6:$H$152, "&lt;"&amp;DH1)</f>
        <v>0</v>
      </c>
      <c r="DH5" s="250">
        <f>SUMIFS('Expenditure Breakdown'!$G$6:$G$152, 'Expenditure Breakdown'!$H$6:$H$152, "&gt;="&amp;DH1,'Expenditure Breakdown'!$H$6:$H$152, "&lt;"&amp;DI1)</f>
        <v>0</v>
      </c>
      <c r="DI5" s="250">
        <f>SUMIFS('Expenditure Breakdown'!$G$6:$G$152, 'Expenditure Breakdown'!$H$6:$H$152, "&gt;="&amp;DI1,'Expenditure Breakdown'!$H$6:$H$152, "&lt;"&amp;DJ1)</f>
        <v>0</v>
      </c>
      <c r="DJ5" s="250">
        <f>SUMIFS('Expenditure Breakdown'!$G$6:$G$152, 'Expenditure Breakdown'!$H$6:$H$152, "&gt;="&amp;DJ1,'Expenditure Breakdown'!$H$6:$H$152, "&lt;"&amp;DK1)</f>
        <v>0</v>
      </c>
      <c r="DK5" s="250">
        <f>SUMIFS('Expenditure Breakdown'!$G$6:$G$152, 'Expenditure Breakdown'!$H$6:$H$152, "&gt;="&amp;DK1,'Expenditure Breakdown'!$H$6:$H$152, "&lt;"&amp;DL1)</f>
        <v>0</v>
      </c>
      <c r="DL5" s="250">
        <f>SUMIFS('Expenditure Breakdown'!$G$6:$G$152, 'Expenditure Breakdown'!$H$6:$H$152, "&gt;="&amp;DL1,'Expenditure Breakdown'!$H$6:$H$152, "&lt;"&amp;DM1)</f>
        <v>0</v>
      </c>
      <c r="DM5" s="250">
        <f>SUMIFS('Expenditure Breakdown'!$G$6:$G$152, 'Expenditure Breakdown'!$H$6:$H$152, "&gt;="&amp;DM1,'Expenditure Breakdown'!$H$6:$H$152, "&lt;"&amp;DN1)</f>
        <v>0</v>
      </c>
      <c r="DN5" s="250">
        <f>SUMIFS('Expenditure Breakdown'!$G$6:$G$152, 'Expenditure Breakdown'!$H$6:$H$152, "&gt;="&amp;DN1,'Expenditure Breakdown'!$H$6:$H$152, "&lt;"&amp;DO1)</f>
        <v>0</v>
      </c>
      <c r="DO5" s="250">
        <f>SUMIFS('Expenditure Breakdown'!$G$6:$G$152, 'Expenditure Breakdown'!$H$6:$H$152, "&gt;="&amp;DO1,'Expenditure Breakdown'!$H$6:$H$152, "&lt;"&amp;DP1)</f>
        <v>0</v>
      </c>
      <c r="DP5" s="250">
        <f>SUMIFS('Expenditure Breakdown'!$G$6:$G$152, 'Expenditure Breakdown'!$H$6:$H$152, "&gt;="&amp;DP1,'Expenditure Breakdown'!$H$6:$H$152, "&lt;"&amp;DQ1)</f>
        <v>0</v>
      </c>
      <c r="DQ5" s="250">
        <f>SUMIFS('Expenditure Breakdown'!$G$6:$G$152, 'Expenditure Breakdown'!$H$6:$H$152, "&gt;="&amp;DQ1,'Expenditure Breakdown'!$H$6:$H$152, "&lt;"&amp;DR1)</f>
        <v>0</v>
      </c>
      <c r="DR5" s="250">
        <f>SUMIFS('Expenditure Breakdown'!$G$6:$G$152, 'Expenditure Breakdown'!$H$6:$H$152, "&gt;="&amp;DR1,'Expenditure Breakdown'!$H$6:$H$152, "&lt;"&amp;DS1)</f>
        <v>0</v>
      </c>
      <c r="DS5" s="250">
        <f>SUMIFS('Expenditure Breakdown'!$G$6:$G$152, 'Expenditure Breakdown'!$H$6:$H$152, "&gt;="&amp;DS1,'Expenditure Breakdown'!$H$6:$H$152, "&lt;"&amp;DT1)</f>
        <v>0</v>
      </c>
      <c r="DT5" s="240"/>
      <c r="DU5" s="251"/>
      <c r="DV5" s="251"/>
    </row>
    <row r="6" spans="1:601" s="252" customFormat="1">
      <c r="A6" s="980"/>
      <c r="B6" s="248" t="s">
        <v>613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70">H6+I5</f>
        <v>0</v>
      </c>
      <c r="J6" s="250">
        <f t="shared" si="70"/>
        <v>0</v>
      </c>
      <c r="K6" s="250">
        <f t="shared" si="70"/>
        <v>463019.62956521707</v>
      </c>
      <c r="L6" s="250">
        <f t="shared" si="70"/>
        <v>1355086.5739130424</v>
      </c>
      <c r="M6" s="250">
        <f t="shared" si="70"/>
        <v>1355086.5739130424</v>
      </c>
      <c r="N6" s="250">
        <f t="shared" si="70"/>
        <v>1355086.5739130424</v>
      </c>
      <c r="O6" s="250">
        <f t="shared" si="70"/>
        <v>1355086.5739130424</v>
      </c>
      <c r="P6" s="250">
        <f t="shared" si="70"/>
        <v>3012406.5739130424</v>
      </c>
      <c r="Q6" s="250">
        <f t="shared" si="70"/>
        <v>3012406.5739130424</v>
      </c>
      <c r="R6" s="250">
        <f t="shared" si="70"/>
        <v>3012406.5739130424</v>
      </c>
      <c r="S6" s="250">
        <f t="shared" si="70"/>
        <v>4343351.5739130424</v>
      </c>
      <c r="T6" s="250">
        <f t="shared" si="70"/>
        <v>4343351.5739130424</v>
      </c>
      <c r="U6" s="250">
        <f t="shared" si="70"/>
        <v>4343351.5739130424</v>
      </c>
      <c r="V6" s="250">
        <f t="shared" si="70"/>
        <v>4365351.5739130424</v>
      </c>
      <c r="W6" s="250">
        <f t="shared" si="70"/>
        <v>4365351.5739130424</v>
      </c>
      <c r="X6" s="250">
        <f t="shared" si="70"/>
        <v>5291390.8330434766</v>
      </c>
      <c r="Y6" s="250">
        <f t="shared" si="70"/>
        <v>6453291.906956519</v>
      </c>
      <c r="Z6" s="250">
        <f t="shared" si="70"/>
        <v>6962551.5365217365</v>
      </c>
      <c r="AA6" s="250">
        <f t="shared" si="70"/>
        <v>6977551.5365217365</v>
      </c>
      <c r="AB6" s="250">
        <f t="shared" si="70"/>
        <v>7003801.5365217365</v>
      </c>
      <c r="AC6" s="250">
        <f t="shared" si="70"/>
        <v>7466821.1660869531</v>
      </c>
      <c r="AD6" s="250">
        <f t="shared" si="70"/>
        <v>8263417.3608695613</v>
      </c>
      <c r="AE6" s="250">
        <f t="shared" si="70"/>
        <v>8263417.3608695613</v>
      </c>
      <c r="AF6" s="250">
        <f t="shared" si="70"/>
        <v>8263417.3608695613</v>
      </c>
      <c r="AG6" s="250">
        <f t="shared" si="70"/>
        <v>8263417.3608695613</v>
      </c>
      <c r="AH6" s="250">
        <f t="shared" si="70"/>
        <v>8263417.3608695613</v>
      </c>
      <c r="AI6" s="250">
        <f t="shared" si="70"/>
        <v>8263417.3608695613</v>
      </c>
      <c r="AJ6" s="250">
        <f t="shared" si="70"/>
        <v>8263417.3608695613</v>
      </c>
      <c r="AK6" s="250">
        <f t="shared" si="70"/>
        <v>8263417.3608695613</v>
      </c>
      <c r="AL6" s="250">
        <f t="shared" si="70"/>
        <v>8263417.3608695613</v>
      </c>
      <c r="AM6" s="250">
        <f t="shared" si="70"/>
        <v>8263417.3608695613</v>
      </c>
      <c r="AN6" s="250">
        <f t="shared" si="70"/>
        <v>8263417.3608695613</v>
      </c>
      <c r="AO6" s="250">
        <f t="shared" si="70"/>
        <v>8263417.3608695613</v>
      </c>
      <c r="AP6" s="250">
        <f t="shared" si="70"/>
        <v>8263417.3608695613</v>
      </c>
      <c r="AQ6" s="250">
        <f t="shared" si="70"/>
        <v>8749927.1756521706</v>
      </c>
      <c r="AR6" s="250">
        <f t="shared" si="70"/>
        <v>8749927.1756521706</v>
      </c>
      <c r="AS6" s="250">
        <f t="shared" si="70"/>
        <v>8749927.1756521706</v>
      </c>
      <c r="AT6" s="250">
        <f t="shared" si="70"/>
        <v>8749927.1756521706</v>
      </c>
      <c r="AU6" s="250">
        <f t="shared" si="70"/>
        <v>8749927.1756521706</v>
      </c>
      <c r="AV6" s="250">
        <f t="shared" si="70"/>
        <v>8749927.1756521706</v>
      </c>
      <c r="AW6" s="250">
        <f t="shared" si="70"/>
        <v>8749927.1756521706</v>
      </c>
      <c r="AX6" s="250">
        <f t="shared" si="70"/>
        <v>8749927.1756521706</v>
      </c>
      <c r="AY6" s="250">
        <f t="shared" si="70"/>
        <v>8749927.1756521706</v>
      </c>
      <c r="AZ6" s="250">
        <f t="shared" si="70"/>
        <v>8749927.1756521706</v>
      </c>
      <c r="BA6" s="250">
        <f t="shared" si="70"/>
        <v>8749927.1756521706</v>
      </c>
      <c r="BB6" s="250">
        <f t="shared" si="70"/>
        <v>8749927.1756521706</v>
      </c>
      <c r="BC6" s="250">
        <f t="shared" si="70"/>
        <v>8749927.1756521706</v>
      </c>
      <c r="BD6" s="250">
        <f t="shared" si="70"/>
        <v>8749927.1756521706</v>
      </c>
      <c r="BE6" s="250">
        <f t="shared" si="70"/>
        <v>8749927.1756521706</v>
      </c>
      <c r="BF6" s="250">
        <f t="shared" si="70"/>
        <v>8749927.1756521706</v>
      </c>
      <c r="BG6" s="250">
        <f t="shared" si="70"/>
        <v>8749927.1756521706</v>
      </c>
      <c r="BH6" s="250">
        <f t="shared" si="70"/>
        <v>8749927.1756521706</v>
      </c>
      <c r="BI6" s="250">
        <f t="shared" si="70"/>
        <v>8749927.1756521706</v>
      </c>
      <c r="BJ6" s="250">
        <f t="shared" si="70"/>
        <v>8749927.1756521706</v>
      </c>
      <c r="BK6" s="250">
        <f t="shared" si="70"/>
        <v>8749927.1756521706</v>
      </c>
      <c r="BL6" s="250">
        <f t="shared" si="70"/>
        <v>8749927.1756521706</v>
      </c>
      <c r="BM6" s="250">
        <f t="shared" si="70"/>
        <v>8749927.1756521706</v>
      </c>
      <c r="BN6" s="250">
        <f t="shared" si="70"/>
        <v>8749927.1756521706</v>
      </c>
      <c r="BO6" s="250">
        <f t="shared" si="70"/>
        <v>8749927.1756521706</v>
      </c>
      <c r="BP6" s="250">
        <f t="shared" si="70"/>
        <v>8749927.1756521706</v>
      </c>
      <c r="BQ6" s="250">
        <f t="shared" si="70"/>
        <v>8749927.1756521706</v>
      </c>
      <c r="BR6" s="250">
        <f t="shared" si="70"/>
        <v>8749927.1756521706</v>
      </c>
      <c r="BS6" s="250">
        <f t="shared" si="70"/>
        <v>8749927.1756521706</v>
      </c>
      <c r="BT6" s="250">
        <f t="shared" si="70"/>
        <v>8749927.1756521706</v>
      </c>
      <c r="BU6" s="250">
        <f t="shared" ref="BU6:CJ6" si="71">BT6+BU5</f>
        <v>8749927.1756521706</v>
      </c>
      <c r="BV6" s="250">
        <f t="shared" si="71"/>
        <v>8749927.1756521706</v>
      </c>
      <c r="BW6" s="250">
        <f t="shared" si="71"/>
        <v>8749927.1756521706</v>
      </c>
      <c r="BX6" s="250">
        <f t="shared" si="71"/>
        <v>8749927.1756521706</v>
      </c>
      <c r="BY6" s="250">
        <f t="shared" si="71"/>
        <v>8749927.1756521706</v>
      </c>
      <c r="BZ6" s="250">
        <f t="shared" si="71"/>
        <v>8749927.1756521706</v>
      </c>
      <c r="CA6" s="250">
        <f t="shared" si="71"/>
        <v>8749927.1756521706</v>
      </c>
      <c r="CB6" s="250">
        <f t="shared" si="71"/>
        <v>8749927.1756521706</v>
      </c>
      <c r="CC6" s="250">
        <f t="shared" si="71"/>
        <v>8749927.1756521706</v>
      </c>
      <c r="CD6" s="250">
        <f t="shared" si="71"/>
        <v>8749927.1756521706</v>
      </c>
      <c r="CE6" s="250">
        <f t="shared" si="71"/>
        <v>8749927.1756521706</v>
      </c>
      <c r="CF6" s="250">
        <f t="shared" si="71"/>
        <v>8749927.1756521706</v>
      </c>
      <c r="CG6" s="250">
        <f t="shared" si="71"/>
        <v>8749927.1756521706</v>
      </c>
      <c r="CH6" s="250">
        <f t="shared" si="71"/>
        <v>8749927.1756521706</v>
      </c>
      <c r="CI6" s="250">
        <f t="shared" si="71"/>
        <v>8749927.1756521706</v>
      </c>
      <c r="CJ6" s="250">
        <f t="shared" si="71"/>
        <v>8749927.1756521706</v>
      </c>
      <c r="CK6" s="250">
        <f t="shared" ref="CK6" si="72">CJ6+CK5</f>
        <v>8749927.1756521706</v>
      </c>
      <c r="CL6" s="250">
        <f t="shared" ref="CL6" si="73">CK6+CL5</f>
        <v>8749927.1756521706</v>
      </c>
      <c r="CM6" s="250">
        <f t="shared" ref="CM6" si="74">CL6+CM5</f>
        <v>8749927.1756521706</v>
      </c>
      <c r="CN6" s="250">
        <f t="shared" ref="CN6" si="75">CM6+CN5</f>
        <v>8749927.1756521706</v>
      </c>
      <c r="CO6" s="250">
        <f t="shared" ref="CO6" si="76">CN6+CO5</f>
        <v>8749927.1756521706</v>
      </c>
      <c r="CP6" s="250">
        <f t="shared" ref="CP6" si="77">CO6+CP5</f>
        <v>8749927.1756521706</v>
      </c>
      <c r="CQ6" s="250">
        <f t="shared" ref="CQ6" si="78">CP6+CQ5</f>
        <v>8749927.1756521706</v>
      </c>
      <c r="CR6" s="250">
        <f t="shared" ref="CR6" si="79">CQ6+CR5</f>
        <v>8749927.1756521706</v>
      </c>
      <c r="CS6" s="250">
        <f t="shared" ref="CS6" si="80">CR6+CS5</f>
        <v>8749927.1756521706</v>
      </c>
      <c r="CT6" s="250">
        <f t="shared" ref="CT6" si="81">CS6+CT5</f>
        <v>8749927.1756521706</v>
      </c>
      <c r="CU6" s="250">
        <f t="shared" ref="CU6" si="82">CT6+CU5</f>
        <v>8749927.1756521706</v>
      </c>
      <c r="CV6" s="250">
        <f t="shared" ref="CV6" si="83">CU6+CV5</f>
        <v>8749927.1756521706</v>
      </c>
      <c r="CW6" s="250">
        <f t="shared" ref="CW6" si="84">CV6+CW5</f>
        <v>8749927.1756521706</v>
      </c>
      <c r="CX6" s="250">
        <f t="shared" ref="CX6" si="85">CW6+CX5</f>
        <v>8749927.1756521706</v>
      </c>
      <c r="CY6" s="250">
        <f t="shared" ref="CY6" si="86">CX6+CY5</f>
        <v>8749927.1756521706</v>
      </c>
      <c r="CZ6" s="250">
        <f t="shared" ref="CZ6" si="87">CY6+CZ5</f>
        <v>8749927.1756521706</v>
      </c>
      <c r="DA6" s="250">
        <f t="shared" ref="DA6" si="88">CZ6+DA5</f>
        <v>8749927.1756521706</v>
      </c>
      <c r="DB6" s="250">
        <f t="shared" ref="DB6" si="89">DA6+DB5</f>
        <v>8749927.1756521706</v>
      </c>
      <c r="DC6" s="250">
        <f t="shared" ref="DC6" si="90">DB6+DC5</f>
        <v>8749927.1756521706</v>
      </c>
      <c r="DD6" s="250">
        <f t="shared" ref="DD6" si="91">DC6+DD5</f>
        <v>8749927.1756521706</v>
      </c>
      <c r="DE6" s="250">
        <f t="shared" ref="DE6" si="92">DD6+DE5</f>
        <v>8749927.1756521706</v>
      </c>
      <c r="DF6" s="250">
        <f t="shared" ref="DF6" si="93">DE6+DF5</f>
        <v>8749927.1756521706</v>
      </c>
      <c r="DG6" s="250">
        <f t="shared" ref="DG6" si="94">DF6+DG5</f>
        <v>8749927.1756521706</v>
      </c>
      <c r="DH6" s="250">
        <f t="shared" ref="DH6" si="95">DG6+DH5</f>
        <v>8749927.1756521706</v>
      </c>
      <c r="DI6" s="250">
        <f t="shared" ref="DI6" si="96">DH6+DI5</f>
        <v>8749927.1756521706</v>
      </c>
      <c r="DJ6" s="250">
        <f t="shared" ref="DJ6" si="97">DI6+DJ5</f>
        <v>8749927.1756521706</v>
      </c>
      <c r="DK6" s="250">
        <f t="shared" ref="DK6" si="98">DJ6+DK5</f>
        <v>8749927.1756521706</v>
      </c>
      <c r="DL6" s="250">
        <f t="shared" ref="DL6" si="99">DK6+DL5</f>
        <v>8749927.1756521706</v>
      </c>
      <c r="DM6" s="250">
        <f t="shared" ref="DM6" si="100">DL6+DM5</f>
        <v>8749927.1756521706</v>
      </c>
      <c r="DN6" s="250">
        <f t="shared" ref="DN6" si="101">DM6+DN5</f>
        <v>8749927.1756521706</v>
      </c>
      <c r="DO6" s="250">
        <f t="shared" ref="DO6" si="102">DN6+DO5</f>
        <v>8749927.1756521706</v>
      </c>
      <c r="DP6" s="250">
        <f t="shared" ref="DP6" si="103">DO6+DP5</f>
        <v>8749927.1756521706</v>
      </c>
      <c r="DQ6" s="250">
        <f t="shared" ref="DQ6" si="104">DP6+DQ5</f>
        <v>8749927.1756521706</v>
      </c>
      <c r="DR6" s="250">
        <f t="shared" ref="DR6" si="105">DQ6+DR5</f>
        <v>8749927.1756521706</v>
      </c>
      <c r="DS6" s="250">
        <f t="shared" ref="DS6" si="106">DR6+DS5</f>
        <v>8749927.1756521706</v>
      </c>
      <c r="DT6" s="240"/>
      <c r="DU6" s="251"/>
    </row>
    <row r="7" spans="1:601">
      <c r="A7" s="980"/>
      <c r="B7" s="253" t="s">
        <v>614</v>
      </c>
      <c r="C7" s="254"/>
      <c r="D7" s="254"/>
      <c r="E7" s="255"/>
      <c r="F7" s="256">
        <f t="shared" ref="F7:H7" si="107">F4-F6</f>
        <v>0</v>
      </c>
      <c r="G7" s="256">
        <f t="shared" si="107"/>
        <v>0</v>
      </c>
      <c r="H7" s="256">
        <f t="shared" si="107"/>
        <v>0</v>
      </c>
      <c r="I7" s="256">
        <f t="shared" ref="I7:BT7" si="108">I4-I6</f>
        <v>0</v>
      </c>
      <c r="J7" s="256">
        <f t="shared" si="108"/>
        <v>0</v>
      </c>
      <c r="K7" s="256">
        <f t="shared" si="108"/>
        <v>-463019.62956521707</v>
      </c>
      <c r="L7" s="256">
        <f t="shared" si="108"/>
        <v>-1355086.5739130424</v>
      </c>
      <c r="M7" s="256">
        <f t="shared" si="108"/>
        <v>5882413.4260869576</v>
      </c>
      <c r="N7" s="256">
        <f t="shared" si="108"/>
        <v>5882413.4260869576</v>
      </c>
      <c r="O7" s="256">
        <f t="shared" si="108"/>
        <v>5882413.4260869576</v>
      </c>
      <c r="P7" s="256">
        <f t="shared" si="108"/>
        <v>4225093.4260869576</v>
      </c>
      <c r="Q7" s="256">
        <f t="shared" si="108"/>
        <v>4225093.4260869576</v>
      </c>
      <c r="R7" s="256">
        <f t="shared" si="108"/>
        <v>4225093.4260869576</v>
      </c>
      <c r="S7" s="256">
        <f t="shared" si="108"/>
        <v>2894148.4260869576</v>
      </c>
      <c r="T7" s="256">
        <f t="shared" si="108"/>
        <v>2894148.4260869576</v>
      </c>
      <c r="U7" s="256">
        <f t="shared" si="108"/>
        <v>2894148.4260869576</v>
      </c>
      <c r="V7" s="256">
        <f t="shared" si="108"/>
        <v>2872148.4260869576</v>
      </c>
      <c r="W7" s="256">
        <f t="shared" si="108"/>
        <v>2872148.4260869576</v>
      </c>
      <c r="X7" s="256">
        <f t="shared" si="108"/>
        <v>1946109.1669565234</v>
      </c>
      <c r="Y7" s="256">
        <f t="shared" si="108"/>
        <v>784208.093043481</v>
      </c>
      <c r="Z7" s="256">
        <f t="shared" si="108"/>
        <v>1239948.4634782635</v>
      </c>
      <c r="AA7" s="256">
        <f t="shared" si="108"/>
        <v>1224948.4634782635</v>
      </c>
      <c r="AB7" s="256">
        <f t="shared" si="108"/>
        <v>1198698.4634782635</v>
      </c>
      <c r="AC7" s="256">
        <f t="shared" si="108"/>
        <v>1775678.8339130469</v>
      </c>
      <c r="AD7" s="256">
        <f t="shared" si="108"/>
        <v>979082.63913043868</v>
      </c>
      <c r="AE7" s="256">
        <f t="shared" si="108"/>
        <v>979082.63913043868</v>
      </c>
      <c r="AF7" s="256">
        <f t="shared" si="108"/>
        <v>979082.63913043868</v>
      </c>
      <c r="AG7" s="256">
        <f t="shared" si="108"/>
        <v>979082.63913043868</v>
      </c>
      <c r="AH7" s="256">
        <f t="shared" si="108"/>
        <v>979082.63913043868</v>
      </c>
      <c r="AI7" s="256">
        <f t="shared" si="108"/>
        <v>979082.63913043868</v>
      </c>
      <c r="AJ7" s="256">
        <f t="shared" si="108"/>
        <v>979082.63913043868</v>
      </c>
      <c r="AK7" s="256">
        <f t="shared" si="108"/>
        <v>979082.63913043868</v>
      </c>
      <c r="AL7" s="256">
        <f t="shared" si="108"/>
        <v>979082.63913043868</v>
      </c>
      <c r="AM7" s="256">
        <f t="shared" si="108"/>
        <v>979082.63913043868</v>
      </c>
      <c r="AN7" s="256">
        <f t="shared" si="108"/>
        <v>979082.63913043868</v>
      </c>
      <c r="AO7" s="256">
        <f t="shared" si="108"/>
        <v>979082.63913043868</v>
      </c>
      <c r="AP7" s="256">
        <f t="shared" si="108"/>
        <v>988448.63913043868</v>
      </c>
      <c r="AQ7" s="256">
        <f t="shared" si="108"/>
        <v>501938.82434782945</v>
      </c>
      <c r="AR7" s="256">
        <f t="shared" si="108"/>
        <v>501938.82434782945</v>
      </c>
      <c r="AS7" s="256">
        <f t="shared" si="108"/>
        <v>501938.82434782945</v>
      </c>
      <c r="AT7" s="256">
        <f t="shared" si="108"/>
        <v>501938.82434782945</v>
      </c>
      <c r="AU7" s="256">
        <f t="shared" si="108"/>
        <v>501938.82434782945</v>
      </c>
      <c r="AV7" s="256">
        <f t="shared" si="108"/>
        <v>501938.82434782945</v>
      </c>
      <c r="AW7" s="256">
        <f t="shared" si="108"/>
        <v>501938.82434782945</v>
      </c>
      <c r="AX7" s="256">
        <f t="shared" si="108"/>
        <v>501938.82434782945</v>
      </c>
      <c r="AY7" s="256">
        <f t="shared" si="108"/>
        <v>501938.82434782945</v>
      </c>
      <c r="AZ7" s="256">
        <f t="shared" si="108"/>
        <v>501938.82434782945</v>
      </c>
      <c r="BA7" s="256">
        <f t="shared" si="108"/>
        <v>501938.82434782945</v>
      </c>
      <c r="BB7" s="256">
        <f t="shared" si="108"/>
        <v>501938.82434782945</v>
      </c>
      <c r="BC7" s="256">
        <f t="shared" si="108"/>
        <v>501938.82434782945</v>
      </c>
      <c r="BD7" s="256">
        <f t="shared" si="108"/>
        <v>501938.82434782945</v>
      </c>
      <c r="BE7" s="256">
        <f t="shared" si="108"/>
        <v>501938.82434782945</v>
      </c>
      <c r="BF7" s="256">
        <f t="shared" si="108"/>
        <v>501938.82434782945</v>
      </c>
      <c r="BG7" s="256">
        <f t="shared" si="108"/>
        <v>501938.82434782945</v>
      </c>
      <c r="BH7" s="256">
        <f t="shared" si="108"/>
        <v>501938.82434782945</v>
      </c>
      <c r="BI7" s="256">
        <f t="shared" si="108"/>
        <v>501938.82434782945</v>
      </c>
      <c r="BJ7" s="256">
        <f t="shared" si="108"/>
        <v>501938.82434782945</v>
      </c>
      <c r="BK7" s="256">
        <f t="shared" si="108"/>
        <v>501938.82434782945</v>
      </c>
      <c r="BL7" s="256">
        <f t="shared" si="108"/>
        <v>501938.82434782945</v>
      </c>
      <c r="BM7" s="256">
        <f t="shared" si="108"/>
        <v>501938.82434782945</v>
      </c>
      <c r="BN7" s="256">
        <f t="shared" si="108"/>
        <v>501938.82434782945</v>
      </c>
      <c r="BO7" s="256">
        <f t="shared" si="108"/>
        <v>501938.82434782945</v>
      </c>
      <c r="BP7" s="256">
        <f t="shared" si="108"/>
        <v>501938.82434782945</v>
      </c>
      <c r="BQ7" s="256">
        <f t="shared" si="108"/>
        <v>501938.82434782945</v>
      </c>
      <c r="BR7" s="256">
        <f t="shared" si="108"/>
        <v>501938.82434782945</v>
      </c>
      <c r="BS7" s="256">
        <f t="shared" si="108"/>
        <v>501938.82434782945</v>
      </c>
      <c r="BT7" s="256">
        <f t="shared" si="108"/>
        <v>501938.82434782945</v>
      </c>
      <c r="BU7" s="256">
        <f t="shared" ref="BU7:CJ7" si="109">BU4-BU6</f>
        <v>501938.82434782945</v>
      </c>
      <c r="BV7" s="256">
        <f t="shared" si="109"/>
        <v>501938.82434782945</v>
      </c>
      <c r="BW7" s="256">
        <f t="shared" si="109"/>
        <v>501938.82434782945</v>
      </c>
      <c r="BX7" s="256">
        <f t="shared" si="109"/>
        <v>501938.82434782945</v>
      </c>
      <c r="BY7" s="256">
        <f t="shared" si="109"/>
        <v>501938.82434782945</v>
      </c>
      <c r="BZ7" s="256">
        <f t="shared" si="109"/>
        <v>501938.82434782945</v>
      </c>
      <c r="CA7" s="256">
        <f t="shared" si="109"/>
        <v>501938.82434782945</v>
      </c>
      <c r="CB7" s="256">
        <f t="shared" si="109"/>
        <v>501938.82434782945</v>
      </c>
      <c r="CC7" s="256">
        <f t="shared" si="109"/>
        <v>984438.82434782945</v>
      </c>
      <c r="CD7" s="256">
        <f t="shared" si="109"/>
        <v>984438.82434782945</v>
      </c>
      <c r="CE7" s="256">
        <f t="shared" si="109"/>
        <v>984438.82434782945</v>
      </c>
      <c r="CF7" s="256">
        <f t="shared" si="109"/>
        <v>984438.82434782945</v>
      </c>
      <c r="CG7" s="256">
        <f t="shared" si="109"/>
        <v>984438.82434782945</v>
      </c>
      <c r="CH7" s="256">
        <f t="shared" si="109"/>
        <v>984438.82434782945</v>
      </c>
      <c r="CI7" s="256">
        <f t="shared" si="109"/>
        <v>984438.82434782945</v>
      </c>
      <c r="CJ7" s="256">
        <f t="shared" si="109"/>
        <v>984438.82434782945</v>
      </c>
      <c r="CK7" s="256">
        <f t="shared" ref="CK7:CO7" si="110">CK4-CK6</f>
        <v>984438.82434782945</v>
      </c>
      <c r="CL7" s="256">
        <f t="shared" si="110"/>
        <v>984438.82434782945</v>
      </c>
      <c r="CM7" s="256">
        <f t="shared" si="110"/>
        <v>984438.82434782945</v>
      </c>
      <c r="CN7" s="256">
        <f t="shared" si="110"/>
        <v>984438.82434782945</v>
      </c>
      <c r="CO7" s="256">
        <f t="shared" si="110"/>
        <v>984438.82434782945</v>
      </c>
      <c r="CP7" s="256">
        <f t="shared" ref="CP7:DS7" si="111">CP4-CP6</f>
        <v>984438.82434782945</v>
      </c>
      <c r="CQ7" s="256">
        <f t="shared" si="111"/>
        <v>984438.82434782945</v>
      </c>
      <c r="CR7" s="256">
        <f t="shared" si="111"/>
        <v>984438.82434782945</v>
      </c>
      <c r="CS7" s="256">
        <f t="shared" si="111"/>
        <v>984438.82434782945</v>
      </c>
      <c r="CT7" s="256">
        <f t="shared" si="111"/>
        <v>984438.82434782945</v>
      </c>
      <c r="CU7" s="256">
        <f t="shared" si="111"/>
        <v>984438.82434782945</v>
      </c>
      <c r="CV7" s="256">
        <f t="shared" si="111"/>
        <v>984438.82434782945</v>
      </c>
      <c r="CW7" s="256">
        <f t="shared" si="111"/>
        <v>984438.82434782945</v>
      </c>
      <c r="CX7" s="256">
        <f t="shared" si="111"/>
        <v>984438.82434782945</v>
      </c>
      <c r="CY7" s="256">
        <f t="shared" si="111"/>
        <v>984438.82434782945</v>
      </c>
      <c r="CZ7" s="256">
        <f t="shared" si="111"/>
        <v>984438.82434782945</v>
      </c>
      <c r="DA7" s="256">
        <f t="shared" si="111"/>
        <v>984438.82434782945</v>
      </c>
      <c r="DB7" s="256">
        <f t="shared" si="111"/>
        <v>984438.82434782945</v>
      </c>
      <c r="DC7" s="256">
        <f t="shared" si="111"/>
        <v>984438.82434782945</v>
      </c>
      <c r="DD7" s="256">
        <f t="shared" si="111"/>
        <v>984438.82434782945</v>
      </c>
      <c r="DE7" s="256">
        <f t="shared" si="111"/>
        <v>984438.82434782945</v>
      </c>
      <c r="DF7" s="256">
        <f t="shared" si="111"/>
        <v>984438.82434782945</v>
      </c>
      <c r="DG7" s="256">
        <f t="shared" si="111"/>
        <v>984438.82434782945</v>
      </c>
      <c r="DH7" s="256">
        <f t="shared" si="111"/>
        <v>984438.82434782945</v>
      </c>
      <c r="DI7" s="256">
        <f t="shared" si="111"/>
        <v>984438.82434782945</v>
      </c>
      <c r="DJ7" s="256">
        <f t="shared" si="111"/>
        <v>984438.82434782945</v>
      </c>
      <c r="DK7" s="256">
        <f t="shared" si="111"/>
        <v>984438.82434782945</v>
      </c>
      <c r="DL7" s="256">
        <f t="shared" si="111"/>
        <v>984438.82434782945</v>
      </c>
      <c r="DM7" s="256">
        <f t="shared" si="111"/>
        <v>984438.82434782945</v>
      </c>
      <c r="DN7" s="256">
        <f t="shared" si="111"/>
        <v>984438.82434782945</v>
      </c>
      <c r="DO7" s="256">
        <f t="shared" si="111"/>
        <v>984438.82434782945</v>
      </c>
      <c r="DP7" s="256">
        <f t="shared" si="111"/>
        <v>984438.82434782945</v>
      </c>
      <c r="DQ7" s="256">
        <f t="shared" si="111"/>
        <v>984438.82434782945</v>
      </c>
      <c r="DR7" s="256">
        <f t="shared" si="111"/>
        <v>984438.82434782945</v>
      </c>
      <c r="DS7" s="256">
        <f t="shared" si="111"/>
        <v>984438.82434782945</v>
      </c>
    </row>
    <row r="8" spans="1:601" s="240" customFormat="1">
      <c r="A8" s="979" t="s">
        <v>304</v>
      </c>
      <c r="B8" s="241"/>
      <c r="C8" s="242" t="s">
        <v>399</v>
      </c>
      <c r="D8" s="242" t="s">
        <v>399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S8" s="257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</row>
    <row r="9" spans="1:601">
      <c r="A9" s="980"/>
      <c r="B9" s="258" t="s">
        <v>615</v>
      </c>
      <c r="C9" s="259">
        <f>'Revenue Tracking'!F4</f>
        <v>9734366</v>
      </c>
      <c r="D9" s="259">
        <f>SUM(F9:CP9)</f>
        <v>9251866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1930000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0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5307500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965000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84366</v>
      </c>
      <c r="BP9" s="260">
        <f>SUMIFS('Revenue Tracking'!$F$13:$F$19, 'Revenue Tracking'!$P$13:$P$19, "&gt;="&amp;BP1,'Revenue Tracking'!$P$13:$P$19, "&lt;"&amp;BQ1)</f>
        <v>965000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482500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0</v>
      </c>
      <c r="DR9" s="260">
        <f>SUMIFS('Revenue Tracking'!$F$13:$F$19, 'Revenue Tracking'!$P$13:$P$19, "&gt;="&amp;DR1,'Revenue Tracking'!$P$13:$P$19, "&lt;"&amp;DS1)</f>
        <v>0</v>
      </c>
      <c r="DS9" s="260">
        <f>SUMIFS('Revenue Tracking'!$F$13:$F$19, 'Revenue Tracking'!$P$13:$P$19, "&gt;="&amp;DS1,'Revenue Tracking'!$P$13:$P$19, "&lt;"&amp;DT1)</f>
        <v>0</v>
      </c>
    </row>
    <row r="10" spans="1:601">
      <c r="A10" s="980"/>
      <c r="B10" s="258" t="s">
        <v>616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112">H10+I9</f>
        <v>0</v>
      </c>
      <c r="J10" s="260">
        <f t="shared" si="112"/>
        <v>0</v>
      </c>
      <c r="K10" s="260">
        <f t="shared" si="112"/>
        <v>1930000</v>
      </c>
      <c r="L10" s="260">
        <f t="shared" si="112"/>
        <v>1930000</v>
      </c>
      <c r="M10" s="260">
        <f t="shared" si="112"/>
        <v>1930000</v>
      </c>
      <c r="N10" s="260">
        <f t="shared" si="112"/>
        <v>1930000</v>
      </c>
      <c r="O10" s="260">
        <f t="shared" si="112"/>
        <v>1930000</v>
      </c>
      <c r="P10" s="260">
        <f t="shared" si="112"/>
        <v>1930000</v>
      </c>
      <c r="Q10" s="260">
        <f t="shared" si="112"/>
        <v>1930000</v>
      </c>
      <c r="R10" s="260">
        <f t="shared" si="112"/>
        <v>1930000</v>
      </c>
      <c r="S10" s="260">
        <f t="shared" si="112"/>
        <v>1930000</v>
      </c>
      <c r="T10" s="260">
        <f t="shared" si="112"/>
        <v>1930000</v>
      </c>
      <c r="U10" s="260">
        <f t="shared" si="112"/>
        <v>1930000</v>
      </c>
      <c r="V10" s="260">
        <f t="shared" si="112"/>
        <v>1930000</v>
      </c>
      <c r="W10" s="260">
        <f t="shared" si="112"/>
        <v>1930000</v>
      </c>
      <c r="X10" s="260">
        <f t="shared" si="112"/>
        <v>1930000</v>
      </c>
      <c r="Y10" s="260">
        <f t="shared" si="112"/>
        <v>7237500</v>
      </c>
      <c r="Z10" s="260">
        <f t="shared" si="112"/>
        <v>7237500</v>
      </c>
      <c r="AA10" s="260">
        <f t="shared" si="112"/>
        <v>7237500</v>
      </c>
      <c r="AB10" s="260">
        <f t="shared" si="112"/>
        <v>7237500</v>
      </c>
      <c r="AC10" s="260">
        <f t="shared" si="112"/>
        <v>7237500</v>
      </c>
      <c r="AD10" s="260">
        <f t="shared" si="112"/>
        <v>7237500</v>
      </c>
      <c r="AE10" s="260">
        <f t="shared" si="112"/>
        <v>7237500</v>
      </c>
      <c r="AF10" s="260">
        <f t="shared" si="112"/>
        <v>7237500</v>
      </c>
      <c r="AG10" s="260">
        <f t="shared" si="112"/>
        <v>7237500</v>
      </c>
      <c r="AH10" s="260">
        <f t="shared" si="112"/>
        <v>7237500</v>
      </c>
      <c r="AI10" s="260">
        <f t="shared" si="112"/>
        <v>7237500</v>
      </c>
      <c r="AJ10" s="260">
        <f t="shared" si="112"/>
        <v>8202500</v>
      </c>
      <c r="AK10" s="260">
        <f t="shared" si="112"/>
        <v>8202500</v>
      </c>
      <c r="AL10" s="260">
        <f t="shared" si="112"/>
        <v>8202500</v>
      </c>
      <c r="AM10" s="260">
        <f t="shared" si="112"/>
        <v>8202500</v>
      </c>
      <c r="AN10" s="260">
        <f t="shared" si="112"/>
        <v>8202500</v>
      </c>
      <c r="AO10" s="260">
        <f t="shared" si="112"/>
        <v>8202500</v>
      </c>
      <c r="AP10" s="260">
        <f t="shared" si="112"/>
        <v>8202500</v>
      </c>
      <c r="AQ10" s="260">
        <f t="shared" si="112"/>
        <v>8202500</v>
      </c>
      <c r="AR10" s="260">
        <f t="shared" si="112"/>
        <v>8202500</v>
      </c>
      <c r="AS10" s="260">
        <f t="shared" si="112"/>
        <v>8202500</v>
      </c>
      <c r="AT10" s="260">
        <f t="shared" si="112"/>
        <v>8202500</v>
      </c>
      <c r="AU10" s="260">
        <f t="shared" si="112"/>
        <v>8202500</v>
      </c>
      <c r="AV10" s="260">
        <f t="shared" si="112"/>
        <v>8202500</v>
      </c>
      <c r="AW10" s="260">
        <f t="shared" si="112"/>
        <v>8202500</v>
      </c>
      <c r="AX10" s="260">
        <f t="shared" si="112"/>
        <v>8202500</v>
      </c>
      <c r="AY10" s="260">
        <f t="shared" si="112"/>
        <v>8202500</v>
      </c>
      <c r="AZ10" s="260">
        <f t="shared" si="112"/>
        <v>8202500</v>
      </c>
      <c r="BA10" s="260">
        <f t="shared" si="112"/>
        <v>8202500</v>
      </c>
      <c r="BB10" s="260">
        <f t="shared" si="112"/>
        <v>8202500</v>
      </c>
      <c r="BC10" s="260">
        <f t="shared" si="112"/>
        <v>8202500</v>
      </c>
      <c r="BD10" s="260">
        <f t="shared" si="112"/>
        <v>8202500</v>
      </c>
      <c r="BE10" s="260">
        <f t="shared" si="112"/>
        <v>8202500</v>
      </c>
      <c r="BF10" s="260">
        <f t="shared" si="112"/>
        <v>8202500</v>
      </c>
      <c r="BG10" s="260">
        <f t="shared" si="112"/>
        <v>8202500</v>
      </c>
      <c r="BH10" s="260">
        <f t="shared" si="112"/>
        <v>8202500</v>
      </c>
      <c r="BI10" s="260">
        <f t="shared" si="112"/>
        <v>8202500</v>
      </c>
      <c r="BJ10" s="260">
        <f t="shared" si="112"/>
        <v>8202500</v>
      </c>
      <c r="BK10" s="260">
        <f t="shared" si="112"/>
        <v>8202500</v>
      </c>
      <c r="BL10" s="260">
        <f t="shared" si="112"/>
        <v>8202500</v>
      </c>
      <c r="BM10" s="260">
        <f t="shared" si="112"/>
        <v>8202500</v>
      </c>
      <c r="BN10" s="260">
        <f t="shared" si="112"/>
        <v>8202500</v>
      </c>
      <c r="BO10" s="260">
        <f t="shared" si="112"/>
        <v>8286866</v>
      </c>
      <c r="BP10" s="260">
        <f t="shared" si="112"/>
        <v>9251866</v>
      </c>
      <c r="BQ10" s="260">
        <f t="shared" si="112"/>
        <v>9251866</v>
      </c>
      <c r="BR10" s="260">
        <f t="shared" si="112"/>
        <v>9251866</v>
      </c>
      <c r="BS10" s="260">
        <f t="shared" si="112"/>
        <v>9251866</v>
      </c>
      <c r="BT10" s="260">
        <f t="shared" si="112"/>
        <v>9251866</v>
      </c>
      <c r="BU10" s="260">
        <f t="shared" ref="BU10:CJ10" si="113">BT10+BU9</f>
        <v>9251866</v>
      </c>
      <c r="BV10" s="260">
        <f t="shared" si="113"/>
        <v>9251866</v>
      </c>
      <c r="BW10" s="260">
        <f t="shared" si="113"/>
        <v>9251866</v>
      </c>
      <c r="BX10" s="260">
        <f t="shared" si="113"/>
        <v>9251866</v>
      </c>
      <c r="BY10" s="260">
        <f t="shared" si="113"/>
        <v>9251866</v>
      </c>
      <c r="BZ10" s="260">
        <f t="shared" si="113"/>
        <v>9251866</v>
      </c>
      <c r="CA10" s="260">
        <f t="shared" si="113"/>
        <v>9251866</v>
      </c>
      <c r="CB10" s="260">
        <f t="shared" si="113"/>
        <v>9251866</v>
      </c>
      <c r="CC10" s="260">
        <f t="shared" si="113"/>
        <v>9251866</v>
      </c>
      <c r="CD10" s="260">
        <f t="shared" si="113"/>
        <v>9251866</v>
      </c>
      <c r="CE10" s="260">
        <f t="shared" si="113"/>
        <v>9251866</v>
      </c>
      <c r="CF10" s="260">
        <f t="shared" si="113"/>
        <v>9251866</v>
      </c>
      <c r="CG10" s="260">
        <f t="shared" si="113"/>
        <v>9251866</v>
      </c>
      <c r="CH10" s="260">
        <f t="shared" si="113"/>
        <v>9251866</v>
      </c>
      <c r="CI10" s="260">
        <f t="shared" si="113"/>
        <v>9251866</v>
      </c>
      <c r="CJ10" s="260">
        <f t="shared" si="113"/>
        <v>9251866</v>
      </c>
      <c r="CK10" s="260">
        <f t="shared" ref="CK10" si="114">CJ10+CK9</f>
        <v>9251866</v>
      </c>
      <c r="CL10" s="260">
        <f t="shared" ref="CL10" si="115">CK10+CL9</f>
        <v>9251866</v>
      </c>
      <c r="CM10" s="260">
        <f t="shared" ref="CM10" si="116">CL10+CM9</f>
        <v>9251866</v>
      </c>
      <c r="CN10" s="260">
        <f t="shared" ref="CN10" si="117">CM10+CN9</f>
        <v>9251866</v>
      </c>
      <c r="CO10" s="260">
        <f t="shared" ref="CO10" si="118">CN10+CO9</f>
        <v>9251866</v>
      </c>
      <c r="CP10" s="260">
        <f t="shared" ref="CP10" si="119">CO10+CP9</f>
        <v>9251866</v>
      </c>
      <c r="CQ10" s="260">
        <f t="shared" ref="CQ10" si="120">CP10+CQ9</f>
        <v>9251866</v>
      </c>
      <c r="CR10" s="260">
        <f t="shared" ref="CR10" si="121">CQ10+CR9</f>
        <v>9251866</v>
      </c>
      <c r="CS10" s="260">
        <f t="shared" ref="CS10" si="122">CR10+CS9</f>
        <v>9251866</v>
      </c>
      <c r="CT10" s="260">
        <f t="shared" ref="CT10" si="123">CS10+CT9</f>
        <v>9251866</v>
      </c>
      <c r="CU10" s="260">
        <f t="shared" ref="CU10" si="124">CT10+CU9</f>
        <v>9734366</v>
      </c>
      <c r="CV10" s="260">
        <f t="shared" ref="CV10" si="125">CU10+CV9</f>
        <v>9734366</v>
      </c>
      <c r="CW10" s="260">
        <f t="shared" ref="CW10" si="126">CV10+CW9</f>
        <v>9734366</v>
      </c>
      <c r="CX10" s="260">
        <f t="shared" ref="CX10" si="127">CW10+CX9</f>
        <v>9734366</v>
      </c>
      <c r="CY10" s="260">
        <f t="shared" ref="CY10" si="128">CX10+CY9</f>
        <v>9734366</v>
      </c>
      <c r="CZ10" s="260">
        <f t="shared" ref="CZ10" si="129">CY10+CZ9</f>
        <v>9734366</v>
      </c>
      <c r="DA10" s="260">
        <f t="shared" ref="DA10" si="130">CZ10+DA9</f>
        <v>9734366</v>
      </c>
      <c r="DB10" s="260">
        <f t="shared" ref="DB10" si="131">DA10+DB9</f>
        <v>9734366</v>
      </c>
      <c r="DC10" s="260">
        <f t="shared" ref="DC10" si="132">DB10+DC9</f>
        <v>9734366</v>
      </c>
      <c r="DD10" s="260">
        <f t="shared" ref="DD10" si="133">DC10+DD9</f>
        <v>9734366</v>
      </c>
      <c r="DE10" s="260">
        <f t="shared" ref="DE10" si="134">DD10+DE9</f>
        <v>9734366</v>
      </c>
      <c r="DF10" s="260">
        <f t="shared" ref="DF10" si="135">DE10+DF9</f>
        <v>9734366</v>
      </c>
      <c r="DG10" s="260">
        <f t="shared" ref="DG10" si="136">DF10+DG9</f>
        <v>9734366</v>
      </c>
      <c r="DH10" s="260">
        <f t="shared" ref="DH10" si="137">DG10+DH9</f>
        <v>9734366</v>
      </c>
      <c r="DI10" s="260">
        <f t="shared" ref="DI10" si="138">DH10+DI9</f>
        <v>9734366</v>
      </c>
      <c r="DJ10" s="260">
        <f t="shared" ref="DJ10" si="139">DI10+DJ9</f>
        <v>9734366</v>
      </c>
      <c r="DK10" s="260">
        <f t="shared" ref="DK10" si="140">DJ10+DK9</f>
        <v>9734366</v>
      </c>
      <c r="DL10" s="260">
        <f t="shared" ref="DL10" si="141">DK10+DL9</f>
        <v>9734366</v>
      </c>
      <c r="DM10" s="260">
        <f t="shared" ref="DM10" si="142">DL10+DM9</f>
        <v>9734366</v>
      </c>
      <c r="DN10" s="260">
        <f t="shared" ref="DN10" si="143">DM10+DN9</f>
        <v>9734366</v>
      </c>
      <c r="DO10" s="260">
        <f t="shared" ref="DO10" si="144">DN10+DO9</f>
        <v>9734366</v>
      </c>
      <c r="DP10" s="260">
        <f t="shared" ref="DP10" si="145">DO10+DP9</f>
        <v>9734366</v>
      </c>
      <c r="DQ10" s="260">
        <f t="shared" ref="DQ10" si="146">DP10+DQ9</f>
        <v>9734366</v>
      </c>
      <c r="DR10" s="260">
        <f t="shared" ref="DR10" si="147">DQ10+DR9</f>
        <v>9734366</v>
      </c>
      <c r="DS10" s="260">
        <f t="shared" ref="DS10" si="148">DR10+DS9</f>
        <v>9734366</v>
      </c>
    </row>
    <row r="11" spans="1:601" s="252" customFormat="1">
      <c r="A11" s="980"/>
      <c r="B11" s="261" t="s">
        <v>617</v>
      </c>
      <c r="C11" s="262">
        <f>'Revenue Tracking'!F5</f>
        <v>6993121.79</v>
      </c>
      <c r="D11" s="262">
        <f>SUM(F11:CP11)</f>
        <v>6983221.790000001</v>
      </c>
      <c r="E11" s="246"/>
      <c r="F11" s="263">
        <f>SUMIFS('Expenditure Breakdown'!$Q$6:$Q$152, 'Expenditure Breakdown'!$W$6:$W$152, "&gt;="&amp;F1,'Expenditure Breakdown'!$W$6:$W$152, "&lt;"&amp;G1)</f>
        <v>0</v>
      </c>
      <c r="G11" s="263">
        <f>SUMIFS('Expenditure Breakdown'!$Q$6:$Q$152, 'Expenditure Breakdown'!$W$6:$W$152, "&gt;="&amp;G1,'Expenditure Breakdown'!$W$6:$W$152, "&lt;"&amp;H1)</f>
        <v>0</v>
      </c>
      <c r="H11" s="263">
        <f>SUMIFS('Expenditure Breakdown'!$Q$6:$Q$152, 'Expenditure Breakdown'!$W$6:$W$152, "&gt;="&amp;H1,'Expenditure Breakdown'!$W$6:$W$152, "&lt;"&amp;I1)</f>
        <v>11927.09</v>
      </c>
      <c r="I11" s="263">
        <f>SUMIFS('Expenditure Breakdown'!$Q$6:$Q$152, 'Expenditure Breakdown'!$W$6:$W$152, "&gt;="&amp;I1,'Expenditure Breakdown'!$W$6:$W$152, "&lt;"&amp;J1)</f>
        <v>0</v>
      </c>
      <c r="J11" s="263">
        <f>SUMIFS('Expenditure Breakdown'!$Q$6:$Q$152, 'Expenditure Breakdown'!$W$6:$W$152, "&gt;="&amp;J1,'Expenditure Breakdown'!$W$6:$W$152, "&lt;"&amp;K1)</f>
        <v>0</v>
      </c>
      <c r="K11" s="263">
        <f>SUMIFS('Expenditure Breakdown'!$Q$6:$Q$152, 'Expenditure Breakdown'!$W$6:$W$152, "&gt;="&amp;K1,'Expenditure Breakdown'!$W$6:$W$152, "&lt;"&amp;L1)</f>
        <v>240000</v>
      </c>
      <c r="L11" s="263">
        <f>SUMIFS('Expenditure Breakdown'!$Q$6:$Q$152, 'Expenditure Breakdown'!$W$6:$W$152, "&gt;="&amp;L1,'Expenditure Breakdown'!$W$6:$W$152, "&lt;"&amp;M1)</f>
        <v>130030.28</v>
      </c>
      <c r="M11" s="263">
        <f>SUMIFS('Expenditure Breakdown'!$Q$6:$Q$152, 'Expenditure Breakdown'!$W$6:$W$152, "&gt;="&amp;M1,'Expenditure Breakdown'!$W$6:$W$152, "&lt;"&amp;N1)</f>
        <v>503234.17000000004</v>
      </c>
      <c r="N11" s="263">
        <f>SUMIFS('Expenditure Breakdown'!$Q$6:$Q$152, 'Expenditure Breakdown'!$W$6:$W$152, "&gt;="&amp;N1,'Expenditure Breakdown'!$W$6:$W$152, "&lt;"&amp;O1)</f>
        <v>0</v>
      </c>
      <c r="O11" s="263">
        <f>SUMIFS('Expenditure Breakdown'!$Q$6:$Q$152, 'Expenditure Breakdown'!$W$6:$W$152, "&gt;="&amp;O1,'Expenditure Breakdown'!$W$6:$W$152, "&lt;"&amp;P1)</f>
        <v>0</v>
      </c>
      <c r="P11" s="263">
        <f>SUMIFS('Expenditure Breakdown'!$Q$6:$Q$152, 'Expenditure Breakdown'!$W$6:$W$152, "&gt;="&amp;P1,'Expenditure Breakdown'!$W$6:$W$152, "&lt;"&amp;Q1)</f>
        <v>39345</v>
      </c>
      <c r="Q11" s="263">
        <f>SUMIFS('Expenditure Breakdown'!$Q$6:$Q$152, 'Expenditure Breakdown'!$W$6:$W$152, "&gt;="&amp;Q1,'Expenditure Breakdown'!$W$6:$W$152, "&lt;"&amp;R1)</f>
        <v>20912.77</v>
      </c>
      <c r="R11" s="263">
        <f>SUMIFS('Expenditure Breakdown'!$Q$6:$Q$152, 'Expenditure Breakdown'!$W$6:$W$152, "&gt;="&amp;R1,'Expenditure Breakdown'!$W$6:$W$152, "&lt;"&amp;S1)</f>
        <v>0</v>
      </c>
      <c r="S11" s="263">
        <f>SUMIFS('Expenditure Breakdown'!$Q$6:$Q$152, 'Expenditure Breakdown'!$W$6:$W$152, "&gt;="&amp;S1,'Expenditure Breakdown'!$W$6:$W$152, "&lt;"&amp;T1)</f>
        <v>22200</v>
      </c>
      <c r="T11" s="263">
        <f>SUMIFS('Expenditure Breakdown'!$Q$6:$Q$152, 'Expenditure Breakdown'!$W$6:$W$152, "&gt;="&amp;T1,'Expenditure Breakdown'!$W$6:$W$152, "&lt;"&amp;U1)</f>
        <v>389327.56</v>
      </c>
      <c r="U11" s="263">
        <f>SUMIFS('Expenditure Breakdown'!$Q$6:$Q$152, 'Expenditure Breakdown'!$W$6:$W$152, "&gt;="&amp;U1,'Expenditure Breakdown'!$W$6:$W$152, "&lt;"&amp;V1)</f>
        <v>769429.01</v>
      </c>
      <c r="V11" s="263">
        <f>SUMIFS('Expenditure Breakdown'!$Q$6:$Q$152, 'Expenditure Breakdown'!$W$6:$W$152, "&gt;="&amp;V1,'Expenditure Breakdown'!$W$6:$W$152, "&lt;"&amp;W1)</f>
        <v>602194.19999999995</v>
      </c>
      <c r="W11" s="263">
        <f>SUMIFS('Expenditure Breakdown'!$Q$6:$Q$152, 'Expenditure Breakdown'!$W$6:$W$152, "&gt;="&amp;W1,'Expenditure Breakdown'!$W$6:$W$152, "&lt;"&amp;X1)</f>
        <v>0</v>
      </c>
      <c r="X11" s="263">
        <f>SUMIFS('Expenditure Breakdown'!$Q$6:$Q$152, 'Expenditure Breakdown'!$W$6:$W$152, "&gt;="&amp;X1,'Expenditure Breakdown'!$W$6:$W$152, "&lt;"&amp;Y1)</f>
        <v>385738.28</v>
      </c>
      <c r="Y11" s="263">
        <f>SUMIFS('Expenditure Breakdown'!$Q$6:$Q$152, 'Expenditure Breakdown'!$W$6:$W$152, "&gt;="&amp;Y1,'Expenditure Breakdown'!$W$6:$W$152, "&lt;"&amp;Z1)</f>
        <v>14477.25</v>
      </c>
      <c r="Z11" s="263">
        <f>SUMIFS('Expenditure Breakdown'!$Q$6:$Q$152, 'Expenditure Breakdown'!$W$6:$W$152, "&gt;="&amp;Z1,'Expenditure Breakdown'!$W$6:$W$152, "&lt;"&amp;AA1)</f>
        <v>618791.32999999996</v>
      </c>
      <c r="AA11" s="263">
        <f>SUMIFS('Expenditure Breakdown'!$Q$6:$Q$152, 'Expenditure Breakdown'!$W$6:$W$152, "&gt;="&amp;AA1,'Expenditure Breakdown'!$W$6:$W$152, "&lt;"&amp;AB1)</f>
        <v>853918.99</v>
      </c>
      <c r="AB11" s="263">
        <f>SUMIFS('Expenditure Breakdown'!$Q$6:$Q$152, 'Expenditure Breakdown'!$W$6:$W$152, "&gt;="&amp;AB1,'Expenditure Breakdown'!$W$6:$W$152, "&lt;"&amp;AC1)</f>
        <v>612363.65</v>
      </c>
      <c r="AC11" s="263">
        <f>SUMIFS('Expenditure Breakdown'!$Q$6:$Q$152, 'Expenditure Breakdown'!$W$6:$W$152, "&gt;="&amp;AC1,'Expenditure Breakdown'!$W$6:$W$152, "&lt;"&amp;AD1)</f>
        <v>324190.78000000003</v>
      </c>
      <c r="AD11" s="263">
        <f>SUMIFS('Expenditure Breakdown'!$Q$6:$Q$152, 'Expenditure Breakdown'!$W$6:$W$152, "&gt;="&amp;AD1,'Expenditure Breakdown'!$W$6:$W$152, "&lt;"&amp;AE1)</f>
        <v>155231.72</v>
      </c>
      <c r="AE11" s="263">
        <f>SUMIFS('Expenditure Breakdown'!$Q$6:$Q$152, 'Expenditure Breakdown'!$W$6:$W$152, "&gt;="&amp;AE1,'Expenditure Breakdown'!$W$6:$W$152, "&lt;"&amp;AF1)</f>
        <v>145557.5</v>
      </c>
      <c r="AF11" s="263">
        <f>SUMIFS('Expenditure Breakdown'!$Q$6:$Q$152, 'Expenditure Breakdown'!$W$6:$W$152, "&gt;="&amp;AF1,'Expenditure Breakdown'!$W$6:$W$152, "&lt;"&amp;AG1)</f>
        <v>0</v>
      </c>
      <c r="AG11" s="263">
        <f>SUMIFS('Expenditure Breakdown'!$Q$6:$Q$152, 'Expenditure Breakdown'!$W$6:$W$152, "&gt;="&amp;AG1,'Expenditure Breakdown'!$W$6:$W$152, "&lt;"&amp;AH1)</f>
        <v>0</v>
      </c>
      <c r="AH11" s="263">
        <f>SUMIFS('Expenditure Breakdown'!$Q$6:$Q$152, 'Expenditure Breakdown'!$W$6:$W$152, "&gt;="&amp;AH1,'Expenditure Breakdown'!$W$6:$W$152, "&lt;"&amp;AI1)</f>
        <v>0</v>
      </c>
      <c r="AI11" s="263">
        <f>SUMIFS('Expenditure Breakdown'!$Q$6:$Q$152, 'Expenditure Breakdown'!$W$6:$W$152, "&gt;="&amp;AI1,'Expenditure Breakdown'!$W$6:$W$152, "&lt;"&amp;AJ1)</f>
        <v>2216.96</v>
      </c>
      <c r="AJ11" s="263">
        <f>SUMIFS('Expenditure Breakdown'!$Q$6:$Q$152, 'Expenditure Breakdown'!$W$6:$W$152, "&gt;="&amp;AJ1,'Expenditure Breakdown'!$W$6:$W$152, "&lt;"&amp;AK1)</f>
        <v>0</v>
      </c>
      <c r="AK11" s="263">
        <f>SUMIFS('Expenditure Breakdown'!$Q$6:$Q$152, 'Expenditure Breakdown'!$W$6:$W$152, "&gt;="&amp;AK1,'Expenditure Breakdown'!$W$6:$W$152, "&lt;"&amp;AL1)</f>
        <v>0</v>
      </c>
      <c r="AL11" s="263">
        <f>SUMIFS('Expenditure Breakdown'!$Q$6:$Q$152, 'Expenditure Breakdown'!$W$6:$W$152, "&gt;="&amp;AL1,'Expenditure Breakdown'!$W$6:$W$152, "&lt;"&amp;AM1)</f>
        <v>0</v>
      </c>
      <c r="AM11" s="263">
        <f>SUMIFS('Expenditure Breakdown'!$Q$6:$Q$152, 'Expenditure Breakdown'!$W$6:$W$152, "&gt;="&amp;AM1,'Expenditure Breakdown'!$W$6:$W$152, "&lt;"&amp;AN1)</f>
        <v>63671.070000000007</v>
      </c>
      <c r="AN11" s="263">
        <f>SUMIFS('Expenditure Breakdown'!$Q$6:$Q$152, 'Expenditure Breakdown'!$W$6:$W$152, "&gt;="&amp;AN1,'Expenditure Breakdown'!$W$6:$W$152, "&lt;"&amp;AO1)</f>
        <v>0</v>
      </c>
      <c r="AO11" s="263">
        <f>SUMIFS('Expenditure Breakdown'!$Q$6:$Q$152, 'Expenditure Breakdown'!$W$6:$W$152, "&gt;="&amp;AO1,'Expenditure Breakdown'!$W$6:$W$152, "&lt;"&amp;AP1)</f>
        <v>0</v>
      </c>
      <c r="AP11" s="263">
        <f>SUMIFS('Expenditure Breakdown'!$Q$6:$Q$152, 'Expenditure Breakdown'!$W$6:$W$152, "&gt;="&amp;AP1,'Expenditure Breakdown'!$W$6:$W$152, "&lt;"&amp;AQ1)</f>
        <v>41778</v>
      </c>
      <c r="AQ11" s="263">
        <f>SUMIFS('Expenditure Breakdown'!$Q$6:$Q$152, 'Expenditure Breakdown'!$W$6:$W$152, "&gt;="&amp;AQ1,'Expenditure Breakdown'!$W$6:$W$152, "&lt;"&amp;AR1)</f>
        <v>0</v>
      </c>
      <c r="AR11" s="263">
        <f>SUMIFS('Expenditure Breakdown'!$Q$6:$Q$152, 'Expenditure Breakdown'!$W$6:$W$152, "&gt;="&amp;AR1,'Expenditure Breakdown'!$W$6:$W$152, "&lt;"&amp;AS1)</f>
        <v>0</v>
      </c>
      <c r="AS11" s="263">
        <f>SUMIFS('Expenditure Breakdown'!$Q$6:$Q$152, 'Expenditure Breakdown'!$W$6:$W$152, "&gt;="&amp;AS1,'Expenditure Breakdown'!$W$6:$W$152, "&lt;"&amp;AT1)</f>
        <v>0</v>
      </c>
      <c r="AT11" s="263">
        <f>SUMIFS('Expenditure Breakdown'!$Q$6:$Q$152, 'Expenditure Breakdown'!$W$6:$W$152, "&gt;="&amp;AT1,'Expenditure Breakdown'!$W$6:$W$152, "&lt;"&amp;AU1)</f>
        <v>9366</v>
      </c>
      <c r="AU11" s="263">
        <f>SUMIFS('Expenditure Breakdown'!$Q$6:$Q$152, 'Expenditure Breakdown'!$W$6:$W$152, "&gt;="&amp;AU1,'Expenditure Breakdown'!$W$6:$W$152, "&lt;"&amp;AV1)</f>
        <v>145557.5</v>
      </c>
      <c r="AV11" s="263">
        <f>SUMIFS('Expenditure Breakdown'!$Q$6:$Q$152, 'Expenditure Breakdown'!$W$6:$W$152, "&gt;="&amp;AV1,'Expenditure Breakdown'!$W$6:$W$152, "&lt;"&amp;AW1)</f>
        <v>0</v>
      </c>
      <c r="AW11" s="263">
        <f>SUMIFS('Expenditure Breakdown'!$Q$6:$Q$152, 'Expenditure Breakdown'!$W$6:$W$152, "&gt;="&amp;AW1,'Expenditure Breakdown'!$W$6:$W$152, "&lt;"&amp;AX1)</f>
        <v>0</v>
      </c>
      <c r="AX11" s="263">
        <f>SUMIFS('Expenditure Breakdown'!$Q$6:$Q$152, 'Expenditure Breakdown'!$W$6:$W$152, "&gt;="&amp;AX1,'Expenditure Breakdown'!$W$6:$W$152, "&lt;"&amp;AY1)</f>
        <v>26800</v>
      </c>
      <c r="AY11" s="263">
        <f>SUMIFS('Expenditure Breakdown'!$Q$6:$Q$152, 'Expenditure Breakdown'!$W$6:$W$152, "&gt;="&amp;AY1,'Expenditure Breakdown'!$W$6:$W$152, "&lt;"&amp;AZ1)</f>
        <v>0</v>
      </c>
      <c r="AZ11" s="263">
        <f>SUMIFS('Expenditure Breakdown'!$Q$6:$Q$152, 'Expenditure Breakdown'!$W$6:$W$152, "&gt;="&amp;AZ1,'Expenditure Breakdown'!$W$6:$W$152, "&lt;"&amp;BA1)</f>
        <v>9154.01</v>
      </c>
      <c r="BA11" s="263">
        <f>SUMIFS('Expenditure Breakdown'!$Q$6:$Q$152, 'Expenditure Breakdown'!$W$6:$W$152, "&gt;="&amp;BA1,'Expenditure Breakdown'!$W$6:$W$152, "&lt;"&amp;BB1)</f>
        <v>0</v>
      </c>
      <c r="BB11" s="263">
        <f>SUMIFS('Expenditure Breakdown'!$Q$6:$Q$152, 'Expenditure Breakdown'!$W$6:$W$152, "&gt;="&amp;BB1,'Expenditure Breakdown'!$W$6:$W$152, "&lt;"&amp;BC1)</f>
        <v>0</v>
      </c>
      <c r="BC11" s="263">
        <f>SUMIFS('Expenditure Breakdown'!$Q$6:$Q$152, 'Expenditure Breakdown'!$W$6:$W$152, "&gt;="&amp;BC1,'Expenditure Breakdown'!$W$6:$W$152, "&lt;"&amp;BD1)</f>
        <v>132787.163</v>
      </c>
      <c r="BD11" s="263">
        <f>SUMIFS('Expenditure Breakdown'!$Q$6:$Q$152, 'Expenditure Breakdown'!$W$6:$W$152, "&gt;="&amp;BD1,'Expenditure Breakdown'!$W$6:$W$152, "&lt;"&amp;BE1)</f>
        <v>0</v>
      </c>
      <c r="BE11" s="263">
        <f>SUMIFS('Expenditure Breakdown'!$Q$6:$Q$152, 'Expenditure Breakdown'!$W$6:$W$152, "&gt;="&amp;BE1,'Expenditure Breakdown'!$W$6:$W$152, "&lt;"&amp;BF1)</f>
        <v>0</v>
      </c>
      <c r="BF11" s="263">
        <f>SUMIFS('Expenditure Breakdown'!$Q$6:$Q$152, 'Expenditure Breakdown'!$W$6:$W$152, "&gt;="&amp;BF1,'Expenditure Breakdown'!$W$6:$W$152, "&lt;"&amp;BG1)</f>
        <v>0</v>
      </c>
      <c r="BG11" s="263">
        <f>SUMIFS('Expenditure Breakdown'!$Q$6:$Q$152, 'Expenditure Breakdown'!$W$6:$W$152, "&gt;="&amp;BG1,'Expenditure Breakdown'!$W$6:$W$152, "&lt;"&amp;BH1)</f>
        <v>207791.6</v>
      </c>
      <c r="BH11" s="263">
        <f>SUMIFS('Expenditure Breakdown'!$Q$6:$Q$152, 'Expenditure Breakdown'!$W$6:$W$152, "&gt;="&amp;BH1,'Expenditure Breakdown'!$W$6:$W$152, "&lt;"&amp;BI1)</f>
        <v>260869.56599999999</v>
      </c>
      <c r="BI11" s="263">
        <f>SUMIFS('Expenditure Breakdown'!$Q$6:$Q$152, 'Expenditure Breakdown'!$W$6:$W$152, "&gt;="&amp;BI1,'Expenditure Breakdown'!$W$6:$W$152, "&lt;"&amp;BJ1)</f>
        <v>0</v>
      </c>
      <c r="BJ11" s="263">
        <f>SUMIFS('Expenditure Breakdown'!$Q$6:$Q$152, 'Expenditure Breakdown'!$W$6:$W$152, "&gt;="&amp;BJ1,'Expenditure Breakdown'!$W$6:$W$152, "&lt;"&amp;BK1)</f>
        <v>0</v>
      </c>
      <c r="BK11" s="263">
        <f>SUMIFS('Expenditure Breakdown'!$Q$6:$Q$152, 'Expenditure Breakdown'!$W$6:$W$152, "&gt;="&amp;BK1,'Expenditure Breakdown'!$W$6:$W$152, "&lt;"&amp;BL1)</f>
        <v>0</v>
      </c>
      <c r="BL11" s="263">
        <f>SUMIFS('Expenditure Breakdown'!$Q$6:$Q$152, 'Expenditure Breakdown'!$W$6:$W$152, "&gt;="&amp;BL1,'Expenditure Breakdown'!$W$6:$W$152, "&lt;"&amp;BM1)</f>
        <v>8654.2799999999988</v>
      </c>
      <c r="BM11" s="263">
        <f>SUMIFS('Expenditure Breakdown'!$Q$6:$Q$152, 'Expenditure Breakdown'!$W$6:$W$152, "&gt;="&amp;BM1,'Expenditure Breakdown'!$W$6:$W$152, "&lt;"&amp;BN1)</f>
        <v>0</v>
      </c>
      <c r="BN11" s="263">
        <f>SUMIFS('Expenditure Breakdown'!$Q$6:$Q$152, 'Expenditure Breakdown'!$W$6:$W$152, "&gt;="&amp;BN1,'Expenditure Breakdown'!$W$6:$W$152, "&lt;"&amp;BO1)</f>
        <v>0</v>
      </c>
      <c r="BO11" s="263">
        <f>SUMIFS('Expenditure Breakdown'!$Q$6:$Q$152, 'Expenditure Breakdown'!$W$6:$W$152, "&gt;="&amp;BO1,'Expenditure Breakdown'!$W$6:$W$152, "&lt;"&amp;BP1)</f>
        <v>120000</v>
      </c>
      <c r="BP11" s="263">
        <f>SUMIFS('Expenditure Breakdown'!$Q$6:$Q$152, 'Expenditure Breakdown'!$W$6:$W$152, "&gt;="&amp;BP1,'Expenditure Breakdown'!$W$6:$W$152, "&lt;"&amp;BQ1)</f>
        <v>10295.19</v>
      </c>
      <c r="BQ11" s="263">
        <f>SUMIFS('Expenditure Breakdown'!$Q$6:$Q$152, 'Expenditure Breakdown'!$W$6:$W$152, "&gt;="&amp;BQ1,'Expenditure Breakdown'!$W$6:$W$152, "&lt;"&amp;BR1)</f>
        <v>0</v>
      </c>
      <c r="BR11" s="263">
        <f>SUMIFS('Expenditure Breakdown'!$Q$6:$Q$152, 'Expenditure Breakdown'!$W$6:$W$152, "&gt;="&amp;BR1,'Expenditure Breakdown'!$W$6:$W$152, "&lt;"&amp;BS1)</f>
        <v>0</v>
      </c>
      <c r="BS11" s="263">
        <f>SUMIFS('Expenditure Breakdown'!$Q$6:$Q$152, 'Expenditure Breakdown'!$W$6:$W$152, "&gt;="&amp;BS1,'Expenditure Breakdown'!$W$6:$W$152, "&lt;"&amp;BT1)</f>
        <v>0</v>
      </c>
      <c r="BT11" s="263">
        <f>SUMIFS('Expenditure Breakdown'!$Q$6:$Q$152, 'Expenditure Breakdown'!$W$6:$W$152, "&gt;="&amp;BT1,'Expenditure Breakdown'!$W$6:$W$152, "&lt;"&amp;BU1)</f>
        <v>0</v>
      </c>
      <c r="BU11" s="263">
        <f>SUMIFS('Expenditure Breakdown'!$Q$6:$Q$152, 'Expenditure Breakdown'!$W$6:$W$152, "&gt;="&amp;BU1,'Expenditure Breakdown'!$W$6:$W$152, "&lt;"&amp;BV1)</f>
        <v>0</v>
      </c>
      <c r="BV11" s="263">
        <f>SUMIFS('Expenditure Breakdown'!$Q$6:$Q$152, 'Expenditure Breakdown'!$W$6:$W$152, "&gt;="&amp;BV1,'Expenditure Breakdown'!$W$6:$W$152, "&lt;"&amp;BW1)</f>
        <v>0</v>
      </c>
      <c r="BW11" s="263">
        <f>SUMIFS('Expenditure Breakdown'!$Q$6:$Q$152, 'Expenditure Breakdown'!$W$6:$W$152, "&gt;="&amp;BW1,'Expenditure Breakdown'!$W$6:$W$152, "&lt;"&amp;BX1)</f>
        <v>0</v>
      </c>
      <c r="BX11" s="263">
        <f>SUMIFS('Expenditure Breakdown'!$Q$6:$Q$152, 'Expenditure Breakdown'!$W$6:$W$152, "&gt;="&amp;BX1,'Expenditure Breakdown'!$W$6:$W$152, "&lt;"&amp;BY1)</f>
        <v>0</v>
      </c>
      <c r="BY11" s="263">
        <f>SUMIFS('Expenditure Breakdown'!$Q$6:$Q$152, 'Expenditure Breakdown'!$W$6:$W$152, "&gt;="&amp;BY1,'Expenditure Breakdown'!$W$6:$W$152, "&lt;"&amp;BZ1)</f>
        <v>0</v>
      </c>
      <c r="BZ11" s="263">
        <f>SUMIFS('Expenditure Breakdown'!$Q$6:$Q$152, 'Expenditure Breakdown'!$W$6:$W$152, "&gt;="&amp;BZ1,'Expenditure Breakdown'!$W$6:$W$152, "&lt;"&amp;CA1)</f>
        <v>0</v>
      </c>
      <c r="CA11" s="263">
        <f>SUMIFS('Expenditure Breakdown'!$Q$6:$Q$152, 'Expenditure Breakdown'!$W$6:$W$152, "&gt;="&amp;CA1,'Expenditure Breakdown'!$W$6:$W$152, "&lt;"&amp;CB1)</f>
        <v>0</v>
      </c>
      <c r="CB11" s="263">
        <f>SUMIFS('Expenditure Breakdown'!$Q$6:$Q$152, 'Expenditure Breakdown'!$W$6:$W$152, "&gt;="&amp;CB1,'Expenditure Breakdown'!$W$6:$W$152, "&lt;"&amp;CC1)</f>
        <v>0</v>
      </c>
      <c r="CC11" s="263">
        <f>SUMIFS('Expenditure Breakdown'!$Q$6:$Q$152, 'Expenditure Breakdown'!$W$6:$W$152, "&gt;="&amp;CC1,'Expenditure Breakdown'!$W$6:$W$152, "&lt;"&amp;CD1)</f>
        <v>-3017.39</v>
      </c>
      <c r="CD11" s="263">
        <f>SUMIFS('Expenditure Breakdown'!$Q$6:$Q$152, 'Expenditure Breakdown'!$W$6:$W$152, "&gt;="&amp;CD1,'Expenditure Breakdown'!$W$6:$W$152, "&lt;"&amp;CE1)</f>
        <v>0</v>
      </c>
      <c r="CE11" s="263">
        <f>SUMIFS('Expenditure Breakdown'!$Q$6:$Q$152, 'Expenditure Breakdown'!$W$6:$W$152, "&gt;="&amp;CE1,'Expenditure Breakdown'!$W$6:$W$152, "&lt;"&amp;CF1)</f>
        <v>0</v>
      </c>
      <c r="CF11" s="263">
        <f>SUMIFS('Expenditure Breakdown'!$Q$6:$Q$152, 'Expenditure Breakdown'!$W$6:$W$152, "&gt;="&amp;CF1,'Expenditure Breakdown'!$W$6:$W$152, "&lt;"&amp;CG1)</f>
        <v>0</v>
      </c>
      <c r="CG11" s="263">
        <f>SUMIFS('Expenditure Breakdown'!$Q$6:$Q$152, 'Expenditure Breakdown'!$W$6:$W$152, "&gt;="&amp;CG1,'Expenditure Breakdown'!$W$6:$W$152, "&lt;"&amp;CH1)</f>
        <v>0</v>
      </c>
      <c r="CH11" s="263">
        <f>SUMIFS('Expenditure Breakdown'!$Q$6:$Q$152, 'Expenditure Breakdown'!$W$6:$W$152, "&gt;="&amp;CH1,'Expenditure Breakdown'!$W$6:$W$152, "&lt;"&amp;CI1)</f>
        <v>0</v>
      </c>
      <c r="CI11" s="263">
        <f>SUMIFS('Expenditure Breakdown'!$Q$6:$Q$152, 'Expenditure Breakdown'!$W$6:$W$152, "&gt;="&amp;CI1,'Expenditure Breakdown'!$W$6:$W$152, "&lt;"&amp;CJ1)</f>
        <v>63200</v>
      </c>
      <c r="CJ11" s="263">
        <f>SUMIFS('Expenditure Breakdown'!$Q$6:$Q$152, 'Expenditure Breakdown'!$W$6:$W$152, "&gt;="&amp;CJ1,'Expenditure Breakdown'!$W$6:$W$152, "&lt;"&amp;CK1)</f>
        <v>0</v>
      </c>
      <c r="CK11" s="263">
        <f>SUMIFS('Expenditure Breakdown'!$Q$6:$Q$152, 'Expenditure Breakdown'!$W$6:$W$152, "&gt;="&amp;CK1,'Expenditure Breakdown'!$W$6:$W$152, "&lt;"&amp;CL1)</f>
        <v>0</v>
      </c>
      <c r="CL11" s="263">
        <f>SUMIFS('Expenditure Breakdown'!$Q$6:$Q$152, 'Expenditure Breakdown'!$W$6:$W$152, "&gt;="&amp;CL1,'Expenditure Breakdown'!$W$6:$W$152, "&lt;"&amp;CM1)</f>
        <v>43478.260999999999</v>
      </c>
      <c r="CM11" s="263">
        <f>SUMIFS('Expenditure Breakdown'!$Q$6:$Q$152, 'Expenditure Breakdown'!$W$6:$W$152, "&gt;="&amp;CM1,'Expenditure Breakdown'!$W$6:$W$152, "&lt;"&amp;CN1)</f>
        <v>1750</v>
      </c>
      <c r="CN11" s="263">
        <f>SUMIFS('Expenditure Breakdown'!$Q$6:$Q$152, 'Expenditure Breakdown'!$W$6:$W$152, "&gt;="&amp;CN1,'Expenditure Breakdown'!$W$6:$W$152, "&lt;"&amp;CO1)</f>
        <v>0</v>
      </c>
      <c r="CO11" s="263">
        <f>SUMIFS('Expenditure Breakdown'!$Q$6:$Q$152, 'Expenditure Breakdown'!$W$6:$W$152, "&gt;="&amp;CO1,'Expenditure Breakdown'!$W$6:$W$152, "&lt;"&amp;CP1)</f>
        <v>0</v>
      </c>
      <c r="CP11" s="263">
        <f>SUMIFS('Expenditure Breakdown'!$Q$6:$Q$152, 'Expenditure Breakdown'!$W$6:$W$152, "&gt;="&amp;CP1,'Expenditure Breakdown'!$W$6:$W$152, "&lt;"&amp;CQ1)</f>
        <v>0</v>
      </c>
      <c r="CQ11" s="263">
        <f>SUMIFS('Expenditure Breakdown'!$Q$6:$Q$152, 'Expenditure Breakdown'!$W$6:$W$152, "&gt;="&amp;CQ1,'Expenditure Breakdown'!$W$6:$W$152, "&lt;"&amp;CR1)</f>
        <v>0</v>
      </c>
      <c r="CR11" s="263">
        <f>SUMIFS('Expenditure Breakdown'!$Q$6:$Q$152, 'Expenditure Breakdown'!$W$6:$W$152, "&gt;="&amp;CR1,'Expenditure Breakdown'!$W$6:$W$152, "&lt;"&amp;CS1)</f>
        <v>0</v>
      </c>
      <c r="CS11" s="263">
        <f>SUMIFS('Expenditure Breakdown'!$Q$6:$Q$152, 'Expenditure Breakdown'!$W$6:$W$152, "&gt;="&amp;CS1,'Expenditure Breakdown'!$W$6:$W$152, "&lt;"&amp;CT1)</f>
        <v>0</v>
      </c>
      <c r="CT11" s="263">
        <f>SUMIFS('Expenditure Breakdown'!$Q$6:$Q$152, 'Expenditure Breakdown'!$W$6:$W$152, "&gt;="&amp;CT1,'Expenditure Breakdown'!$W$6:$W$152, "&lt;"&amp;CU1)</f>
        <v>0</v>
      </c>
      <c r="CU11" s="263">
        <f>SUMIFS('Expenditure Breakdown'!$Q$6:$Q$152, 'Expenditure Breakdown'!$W$6:$W$152, "&gt;="&amp;CU1,'Expenditure Breakdown'!$W$6:$W$152, "&lt;"&amp;CV1)</f>
        <v>0</v>
      </c>
      <c r="CV11" s="263">
        <f>SUMIFS('Expenditure Breakdown'!$Q$6:$Q$152, 'Expenditure Breakdown'!$W$6:$W$152, "&gt;="&amp;CV1,'Expenditure Breakdown'!$W$6:$W$152, "&lt;"&amp;CW1)</f>
        <v>0</v>
      </c>
      <c r="CW11" s="263">
        <f>SUMIFS('Expenditure Breakdown'!$Q$6:$Q$152, 'Expenditure Breakdown'!$W$6:$W$152, "&gt;="&amp;CW1,'Expenditure Breakdown'!$W$6:$W$152, "&lt;"&amp;CX1)</f>
        <v>0</v>
      </c>
      <c r="CX11" s="263">
        <f>SUMIFS('Expenditure Breakdown'!$Q$6:$Q$152, 'Expenditure Breakdown'!$W$6:$W$152, "&gt;="&amp;CX1,'Expenditure Breakdown'!$W$6:$W$152, "&lt;"&amp;CY1)</f>
        <v>0</v>
      </c>
      <c r="CY11" s="263">
        <f>SUMIFS('Expenditure Breakdown'!$Q$6:$Q$152, 'Expenditure Breakdown'!$W$6:$W$152, "&gt;="&amp;CY1,'Expenditure Breakdown'!$W$6:$W$152, "&lt;"&amp;CZ1)</f>
        <v>0</v>
      </c>
      <c r="CZ11" s="263">
        <f>SUMIFS('Expenditure Breakdown'!$Q$6:$Q$152, 'Expenditure Breakdown'!$W$6:$W$152, "&gt;="&amp;CZ1,'Expenditure Breakdown'!$W$6:$W$152, "&lt;"&amp;DA1)</f>
        <v>0</v>
      </c>
      <c r="DA11" s="263">
        <f>SUMIFS('Expenditure Breakdown'!$Q$6:$Q$152, 'Expenditure Breakdown'!$W$6:$W$152, "&gt;="&amp;DA1,'Expenditure Breakdown'!$W$6:$W$152, "&lt;"&amp;DB1)</f>
        <v>0</v>
      </c>
      <c r="DB11" s="263">
        <f>SUMIFS('Expenditure Breakdown'!$Q$6:$Q$152, 'Expenditure Breakdown'!$W$6:$W$152, "&gt;="&amp;DB1,'Expenditure Breakdown'!$W$6:$W$152, "&lt;"&amp;DC1)</f>
        <v>0</v>
      </c>
      <c r="DC11" s="263">
        <f>SUMIFS('Expenditure Breakdown'!$Q$6:$Q$152, 'Expenditure Breakdown'!$W$6:$W$152, "&gt;="&amp;DC1,'Expenditure Breakdown'!$W$6:$W$152, "&lt;"&amp;DD1)</f>
        <v>0</v>
      </c>
      <c r="DD11" s="263">
        <f>SUMIFS('Expenditure Breakdown'!$Q$6:$Q$152, 'Expenditure Breakdown'!$W$6:$W$152, "&gt;="&amp;DD1,'Expenditure Breakdown'!$W$6:$W$152, "&lt;"&amp;DE1)</f>
        <v>0</v>
      </c>
      <c r="DE11" s="263">
        <f>SUMIFS('Expenditure Breakdown'!$Q$6:$Q$152, 'Expenditure Breakdown'!$W$6:$W$152, "&gt;="&amp;DE1,'Expenditure Breakdown'!$W$6:$W$152, "&lt;"&amp;DF1)</f>
        <v>0</v>
      </c>
      <c r="DF11" s="263">
        <f>SUMIFS('Expenditure Breakdown'!$Q$6:$Q$152, 'Expenditure Breakdown'!$W$6:$W$152, "&gt;="&amp;DF1,'Expenditure Breakdown'!$W$6:$W$152, "&lt;"&amp;DG1)</f>
        <v>0</v>
      </c>
      <c r="DG11" s="263">
        <f>SUMIFS('Expenditure Breakdown'!$Q$6:$Q$152, 'Expenditure Breakdown'!$W$6:$W$152, "&gt;="&amp;DG1,'Expenditure Breakdown'!$W$6:$W$152, "&lt;"&amp;DH1)</f>
        <v>0</v>
      </c>
      <c r="DH11" s="263">
        <f>SUMIFS('Expenditure Breakdown'!$Q$6:$Q$152, 'Expenditure Breakdown'!$W$6:$W$152, "&gt;="&amp;DH1,'Expenditure Breakdown'!$W$6:$W$152, "&lt;"&amp;DI1)</f>
        <v>0</v>
      </c>
      <c r="DI11" s="263">
        <f>SUMIFS('Expenditure Breakdown'!$Q$6:$Q$152, 'Expenditure Breakdown'!$W$6:$W$152, "&gt;="&amp;DI1,'Expenditure Breakdown'!$W$6:$W$152, "&lt;"&amp;DJ1)</f>
        <v>0</v>
      </c>
      <c r="DJ11" s="263">
        <f>SUMIFS('Expenditure Breakdown'!$Q$6:$Q$152, 'Expenditure Breakdown'!$W$6:$W$152, "&gt;="&amp;DJ1,'Expenditure Breakdown'!$W$6:$W$152, "&lt;"&amp;DK1)</f>
        <v>0</v>
      </c>
      <c r="DK11" s="263">
        <f>SUMIFS('Expenditure Breakdown'!$Q$6:$Q$152, 'Expenditure Breakdown'!$W$6:$W$152, "&gt;="&amp;DK1,'Expenditure Breakdown'!$W$6:$W$152, "&lt;"&amp;DL1)</f>
        <v>0</v>
      </c>
      <c r="DL11" s="263">
        <f>SUMIFS('Expenditure Breakdown'!$Q$6:$Q$152, 'Expenditure Breakdown'!$W$6:$W$152, "&gt;="&amp;DL1,'Expenditure Breakdown'!$W$6:$W$152, "&lt;"&amp;DM1)</f>
        <v>0</v>
      </c>
      <c r="DM11" s="263">
        <f>SUMIFS('Expenditure Breakdown'!$Q$6:$Q$152, 'Expenditure Breakdown'!$W$6:$W$152, "&gt;="&amp;DM1,'Expenditure Breakdown'!$W$6:$W$152, "&lt;"&amp;DN1)</f>
        <v>0</v>
      </c>
      <c r="DN11" s="263">
        <f>SUMIFS('Expenditure Breakdown'!$Q$6:$Q$152, 'Expenditure Breakdown'!$W$6:$W$152, "&gt;="&amp;DN1,'Expenditure Breakdown'!$W$6:$W$152, "&lt;"&amp;DO1)</f>
        <v>0</v>
      </c>
      <c r="DO11" s="263">
        <f>SUMIFS('Expenditure Breakdown'!$Q$6:$Q$152, 'Expenditure Breakdown'!$W$6:$W$152, "&gt;="&amp;DO1,'Expenditure Breakdown'!$W$6:$W$152, "&lt;"&amp;DP1)</f>
        <v>0</v>
      </c>
      <c r="DP11" s="263">
        <f>SUMIFS('Expenditure Breakdown'!$Q$6:$Q$152, 'Expenditure Breakdown'!$W$6:$W$152, "&gt;="&amp;DP1,'Expenditure Breakdown'!$W$6:$W$152, "&lt;"&amp;DQ1)</f>
        <v>0</v>
      </c>
      <c r="DQ11" s="263">
        <f>SUMIFS('Expenditure Breakdown'!$Q$6:$Q$152, 'Expenditure Breakdown'!$W$6:$W$152, "&gt;="&amp;DQ1,'Expenditure Breakdown'!$W$6:$W$152, "&lt;"&amp;DR1)</f>
        <v>0</v>
      </c>
      <c r="DR11" s="263">
        <f>SUMIFS('Expenditure Breakdown'!$Q$6:$Q$152, 'Expenditure Breakdown'!$W$6:$W$152, "&gt;="&amp;DR1,'Expenditure Breakdown'!$W$6:$W$152, "&lt;"&amp;DS1)</f>
        <v>0</v>
      </c>
      <c r="DS11" s="263">
        <f>SUMIFS('Expenditure Breakdown'!$Q$6:$Q$152, 'Expenditure Breakdown'!$W$6:$W$152, "&gt;="&amp;DS1,'Expenditure Breakdown'!$W$6:$W$152, "&lt;"&amp;DT1)</f>
        <v>0</v>
      </c>
      <c r="DT11" s="240"/>
      <c r="DU11" s="251"/>
      <c r="DV11" s="251"/>
    </row>
    <row r="12" spans="1:601" s="252" customFormat="1">
      <c r="A12" s="980"/>
      <c r="B12" s="261" t="s">
        <v>618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11927.09</v>
      </c>
      <c r="I12" s="263">
        <f t="shared" ref="I12:BT12" si="149">H12+I11</f>
        <v>11927.09</v>
      </c>
      <c r="J12" s="263">
        <f t="shared" si="149"/>
        <v>11927.09</v>
      </c>
      <c r="K12" s="263">
        <f t="shared" si="149"/>
        <v>251927.09</v>
      </c>
      <c r="L12" s="263">
        <f t="shared" si="149"/>
        <v>381957.37</v>
      </c>
      <c r="M12" s="263">
        <f t="shared" si="149"/>
        <v>885191.54</v>
      </c>
      <c r="N12" s="263">
        <f t="shared" si="149"/>
        <v>885191.54</v>
      </c>
      <c r="O12" s="263">
        <f t="shared" si="149"/>
        <v>885191.54</v>
      </c>
      <c r="P12" s="263">
        <f t="shared" si="149"/>
        <v>924536.54</v>
      </c>
      <c r="Q12" s="263">
        <f t="shared" si="149"/>
        <v>945449.31</v>
      </c>
      <c r="R12" s="263">
        <f t="shared" si="149"/>
        <v>945449.31</v>
      </c>
      <c r="S12" s="263">
        <f t="shared" si="149"/>
        <v>967649.31</v>
      </c>
      <c r="T12" s="263">
        <f t="shared" si="149"/>
        <v>1356976.87</v>
      </c>
      <c r="U12" s="263">
        <f t="shared" si="149"/>
        <v>2126405.88</v>
      </c>
      <c r="V12" s="263">
        <f t="shared" si="149"/>
        <v>2728600.08</v>
      </c>
      <c r="W12" s="263">
        <f t="shared" si="149"/>
        <v>2728600.08</v>
      </c>
      <c r="X12" s="263">
        <f t="shared" si="149"/>
        <v>3114338.3600000003</v>
      </c>
      <c r="Y12" s="263">
        <f t="shared" si="149"/>
        <v>3128815.6100000003</v>
      </c>
      <c r="Z12" s="263">
        <f t="shared" si="149"/>
        <v>3747606.9400000004</v>
      </c>
      <c r="AA12" s="263">
        <f t="shared" si="149"/>
        <v>4601525.9300000006</v>
      </c>
      <c r="AB12" s="263">
        <f t="shared" si="149"/>
        <v>5213889.580000001</v>
      </c>
      <c r="AC12" s="263">
        <f t="shared" si="149"/>
        <v>5538080.3600000013</v>
      </c>
      <c r="AD12" s="263">
        <f t="shared" si="149"/>
        <v>5693312.080000001</v>
      </c>
      <c r="AE12" s="263">
        <f t="shared" si="149"/>
        <v>5838869.580000001</v>
      </c>
      <c r="AF12" s="263">
        <f t="shared" si="149"/>
        <v>5838869.580000001</v>
      </c>
      <c r="AG12" s="263">
        <f t="shared" si="149"/>
        <v>5838869.580000001</v>
      </c>
      <c r="AH12" s="263">
        <f t="shared" si="149"/>
        <v>5838869.580000001</v>
      </c>
      <c r="AI12" s="263">
        <f t="shared" si="149"/>
        <v>5841086.540000001</v>
      </c>
      <c r="AJ12" s="263">
        <f t="shared" si="149"/>
        <v>5841086.540000001</v>
      </c>
      <c r="AK12" s="263">
        <f t="shared" si="149"/>
        <v>5841086.540000001</v>
      </c>
      <c r="AL12" s="263">
        <f t="shared" si="149"/>
        <v>5841086.540000001</v>
      </c>
      <c r="AM12" s="263">
        <f t="shared" si="149"/>
        <v>5904757.6100000013</v>
      </c>
      <c r="AN12" s="263">
        <f t="shared" si="149"/>
        <v>5904757.6100000013</v>
      </c>
      <c r="AO12" s="263">
        <f t="shared" si="149"/>
        <v>5904757.6100000013</v>
      </c>
      <c r="AP12" s="263">
        <f t="shared" si="149"/>
        <v>5946535.6100000013</v>
      </c>
      <c r="AQ12" s="263">
        <f t="shared" si="149"/>
        <v>5946535.6100000013</v>
      </c>
      <c r="AR12" s="263">
        <f t="shared" si="149"/>
        <v>5946535.6100000013</v>
      </c>
      <c r="AS12" s="263">
        <f t="shared" si="149"/>
        <v>5946535.6100000013</v>
      </c>
      <c r="AT12" s="263">
        <f t="shared" si="149"/>
        <v>5955901.6100000013</v>
      </c>
      <c r="AU12" s="263">
        <f t="shared" si="149"/>
        <v>6101459.1100000013</v>
      </c>
      <c r="AV12" s="263">
        <f t="shared" si="149"/>
        <v>6101459.1100000013</v>
      </c>
      <c r="AW12" s="263">
        <f t="shared" si="149"/>
        <v>6101459.1100000013</v>
      </c>
      <c r="AX12" s="263">
        <f t="shared" si="149"/>
        <v>6128259.1100000013</v>
      </c>
      <c r="AY12" s="263">
        <f t="shared" si="149"/>
        <v>6128259.1100000013</v>
      </c>
      <c r="AZ12" s="263">
        <f t="shared" si="149"/>
        <v>6137413.120000001</v>
      </c>
      <c r="BA12" s="263">
        <f t="shared" si="149"/>
        <v>6137413.120000001</v>
      </c>
      <c r="BB12" s="263">
        <f t="shared" si="149"/>
        <v>6137413.120000001</v>
      </c>
      <c r="BC12" s="263">
        <f t="shared" si="149"/>
        <v>6270200.2830000008</v>
      </c>
      <c r="BD12" s="263">
        <f t="shared" si="149"/>
        <v>6270200.2830000008</v>
      </c>
      <c r="BE12" s="263">
        <f t="shared" si="149"/>
        <v>6270200.2830000008</v>
      </c>
      <c r="BF12" s="263">
        <f t="shared" si="149"/>
        <v>6270200.2830000008</v>
      </c>
      <c r="BG12" s="263">
        <f t="shared" si="149"/>
        <v>6477991.8830000004</v>
      </c>
      <c r="BH12" s="263">
        <f t="shared" si="149"/>
        <v>6738861.449</v>
      </c>
      <c r="BI12" s="263">
        <f t="shared" si="149"/>
        <v>6738861.449</v>
      </c>
      <c r="BJ12" s="263">
        <f t="shared" si="149"/>
        <v>6738861.449</v>
      </c>
      <c r="BK12" s="263">
        <f t="shared" si="149"/>
        <v>6738861.449</v>
      </c>
      <c r="BL12" s="263">
        <f t="shared" si="149"/>
        <v>6747515.7290000003</v>
      </c>
      <c r="BM12" s="263">
        <f t="shared" si="149"/>
        <v>6747515.7290000003</v>
      </c>
      <c r="BN12" s="263">
        <f t="shared" si="149"/>
        <v>6747515.7290000003</v>
      </c>
      <c r="BO12" s="263">
        <f t="shared" si="149"/>
        <v>6867515.7290000003</v>
      </c>
      <c r="BP12" s="263">
        <f t="shared" si="149"/>
        <v>6877810.9190000007</v>
      </c>
      <c r="BQ12" s="263">
        <f t="shared" si="149"/>
        <v>6877810.9190000007</v>
      </c>
      <c r="BR12" s="263">
        <f t="shared" si="149"/>
        <v>6877810.9190000007</v>
      </c>
      <c r="BS12" s="263">
        <f t="shared" si="149"/>
        <v>6877810.9190000007</v>
      </c>
      <c r="BT12" s="263">
        <f t="shared" si="149"/>
        <v>6877810.9190000007</v>
      </c>
      <c r="BU12" s="263">
        <f t="shared" ref="BU12:CJ12" si="150">BT12+BU11</f>
        <v>6877810.9190000007</v>
      </c>
      <c r="BV12" s="263">
        <f t="shared" si="150"/>
        <v>6877810.9190000007</v>
      </c>
      <c r="BW12" s="263">
        <f t="shared" si="150"/>
        <v>6877810.9190000007</v>
      </c>
      <c r="BX12" s="263">
        <f t="shared" si="150"/>
        <v>6877810.9190000007</v>
      </c>
      <c r="BY12" s="263">
        <f t="shared" si="150"/>
        <v>6877810.9190000007</v>
      </c>
      <c r="BZ12" s="263">
        <f t="shared" si="150"/>
        <v>6877810.9190000007</v>
      </c>
      <c r="CA12" s="263">
        <f t="shared" si="150"/>
        <v>6877810.9190000007</v>
      </c>
      <c r="CB12" s="263">
        <f t="shared" si="150"/>
        <v>6877810.9190000007</v>
      </c>
      <c r="CC12" s="263">
        <f t="shared" si="150"/>
        <v>6874793.529000001</v>
      </c>
      <c r="CD12" s="263">
        <f t="shared" si="150"/>
        <v>6874793.529000001</v>
      </c>
      <c r="CE12" s="263">
        <f t="shared" si="150"/>
        <v>6874793.529000001</v>
      </c>
      <c r="CF12" s="263">
        <f t="shared" si="150"/>
        <v>6874793.529000001</v>
      </c>
      <c r="CG12" s="263">
        <f t="shared" si="150"/>
        <v>6874793.529000001</v>
      </c>
      <c r="CH12" s="263">
        <f t="shared" si="150"/>
        <v>6874793.529000001</v>
      </c>
      <c r="CI12" s="263">
        <f t="shared" si="150"/>
        <v>6937993.529000001</v>
      </c>
      <c r="CJ12" s="263">
        <f t="shared" si="150"/>
        <v>6937993.529000001</v>
      </c>
      <c r="CK12" s="263">
        <f t="shared" ref="CK12" si="151">CJ12+CK11</f>
        <v>6937993.529000001</v>
      </c>
      <c r="CL12" s="263">
        <f t="shared" ref="CL12" si="152">CK12+CL11</f>
        <v>6981471.790000001</v>
      </c>
      <c r="CM12" s="263">
        <f t="shared" ref="CM12" si="153">CL12+CM11</f>
        <v>6983221.790000001</v>
      </c>
      <c r="CN12" s="263">
        <f t="shared" ref="CN12" si="154">CM12+CN11</f>
        <v>6983221.790000001</v>
      </c>
      <c r="CO12" s="263">
        <f t="shared" ref="CO12" si="155">CN12+CO11</f>
        <v>6983221.790000001</v>
      </c>
      <c r="CP12" s="263">
        <f t="shared" ref="CP12" si="156">CO12+CP11</f>
        <v>6983221.790000001</v>
      </c>
      <c r="CQ12" s="263">
        <f t="shared" ref="CQ12" si="157">CP12+CQ11</f>
        <v>6983221.790000001</v>
      </c>
      <c r="CR12" s="263">
        <f t="shared" ref="CR12" si="158">CQ12+CR11</f>
        <v>6983221.790000001</v>
      </c>
      <c r="CS12" s="263">
        <f t="shared" ref="CS12" si="159">CR12+CS11</f>
        <v>6983221.790000001</v>
      </c>
      <c r="CT12" s="263">
        <f t="shared" ref="CT12" si="160">CS12+CT11</f>
        <v>6983221.790000001</v>
      </c>
      <c r="CU12" s="263">
        <f t="shared" ref="CU12" si="161">CT12+CU11</f>
        <v>6983221.790000001</v>
      </c>
      <c r="CV12" s="263">
        <f t="shared" ref="CV12" si="162">CU12+CV11</f>
        <v>6983221.790000001</v>
      </c>
      <c r="CW12" s="263">
        <f t="shared" ref="CW12" si="163">CV12+CW11</f>
        <v>6983221.790000001</v>
      </c>
      <c r="CX12" s="263">
        <f t="shared" ref="CX12" si="164">CW12+CX11</f>
        <v>6983221.790000001</v>
      </c>
      <c r="CY12" s="263">
        <f t="shared" ref="CY12" si="165">CX12+CY11</f>
        <v>6983221.790000001</v>
      </c>
      <c r="CZ12" s="263">
        <f t="shared" ref="CZ12" si="166">CY12+CZ11</f>
        <v>6983221.790000001</v>
      </c>
      <c r="DA12" s="263">
        <f t="shared" ref="DA12" si="167">CZ12+DA11</f>
        <v>6983221.790000001</v>
      </c>
      <c r="DB12" s="263">
        <f t="shared" ref="DB12" si="168">DA12+DB11</f>
        <v>6983221.790000001</v>
      </c>
      <c r="DC12" s="263">
        <f t="shared" ref="DC12" si="169">DB12+DC11</f>
        <v>6983221.790000001</v>
      </c>
      <c r="DD12" s="263">
        <f t="shared" ref="DD12" si="170">DC12+DD11</f>
        <v>6983221.790000001</v>
      </c>
      <c r="DE12" s="263">
        <f t="shared" ref="DE12" si="171">DD12+DE11</f>
        <v>6983221.790000001</v>
      </c>
      <c r="DF12" s="263">
        <f t="shared" ref="DF12" si="172">DE12+DF11</f>
        <v>6983221.790000001</v>
      </c>
      <c r="DG12" s="263">
        <f t="shared" ref="DG12" si="173">DF12+DG11</f>
        <v>6983221.790000001</v>
      </c>
      <c r="DH12" s="263">
        <f t="shared" ref="DH12" si="174">DG12+DH11</f>
        <v>6983221.790000001</v>
      </c>
      <c r="DI12" s="263">
        <f t="shared" ref="DI12" si="175">DH12+DI11</f>
        <v>6983221.790000001</v>
      </c>
      <c r="DJ12" s="263">
        <f t="shared" ref="DJ12" si="176">DI12+DJ11</f>
        <v>6983221.790000001</v>
      </c>
      <c r="DK12" s="263">
        <f t="shared" ref="DK12" si="177">DJ12+DK11</f>
        <v>6983221.790000001</v>
      </c>
      <c r="DL12" s="263">
        <f t="shared" ref="DL12" si="178">DK12+DL11</f>
        <v>6983221.790000001</v>
      </c>
      <c r="DM12" s="263">
        <f t="shared" ref="DM12" si="179">DL12+DM11</f>
        <v>6983221.790000001</v>
      </c>
      <c r="DN12" s="263">
        <f t="shared" ref="DN12" si="180">DM12+DN11</f>
        <v>6983221.790000001</v>
      </c>
      <c r="DO12" s="263">
        <f t="shared" ref="DO12" si="181">DN12+DO11</f>
        <v>6983221.790000001</v>
      </c>
      <c r="DP12" s="263">
        <f t="shared" ref="DP12" si="182">DO12+DP11</f>
        <v>6983221.790000001</v>
      </c>
      <c r="DQ12" s="263">
        <f t="shared" ref="DQ12" si="183">DP12+DQ11</f>
        <v>6983221.790000001</v>
      </c>
      <c r="DR12" s="263">
        <f t="shared" ref="DR12" si="184">DQ12+DR11</f>
        <v>6983221.790000001</v>
      </c>
      <c r="DS12" s="263">
        <f t="shared" ref="DS12" si="185">DR12+DS11</f>
        <v>6983221.790000001</v>
      </c>
      <c r="DT12" s="240"/>
      <c r="DU12" s="251"/>
    </row>
    <row r="13" spans="1:601" s="240" customFormat="1">
      <c r="A13" s="980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S13" s="257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</row>
    <row r="14" spans="1:601">
      <c r="A14" s="980"/>
      <c r="B14" s="253" t="s">
        <v>619</v>
      </c>
      <c r="C14" s="254"/>
      <c r="D14" s="254"/>
      <c r="E14" s="255"/>
      <c r="F14" s="256">
        <f t="shared" ref="F14:H14" si="186">F10-F12</f>
        <v>0</v>
      </c>
      <c r="G14" s="256">
        <f t="shared" si="186"/>
        <v>0</v>
      </c>
      <c r="H14" s="256">
        <f t="shared" si="186"/>
        <v>-11927.09</v>
      </c>
      <c r="I14" s="256">
        <f t="shared" ref="I14:BT14" si="187">I10-I12</f>
        <v>-11927.09</v>
      </c>
      <c r="J14" s="256">
        <f t="shared" si="187"/>
        <v>-11927.09</v>
      </c>
      <c r="K14" s="256">
        <f t="shared" si="187"/>
        <v>1678072.91</v>
      </c>
      <c r="L14" s="256">
        <f t="shared" si="187"/>
        <v>1548042.63</v>
      </c>
      <c r="M14" s="256">
        <f t="shared" si="187"/>
        <v>1044808.46</v>
      </c>
      <c r="N14" s="256">
        <f t="shared" si="187"/>
        <v>1044808.46</v>
      </c>
      <c r="O14" s="256">
        <f t="shared" si="187"/>
        <v>1044808.46</v>
      </c>
      <c r="P14" s="256">
        <f t="shared" si="187"/>
        <v>1005463.46</v>
      </c>
      <c r="Q14" s="256">
        <f t="shared" si="187"/>
        <v>984550.69</v>
      </c>
      <c r="R14" s="256">
        <f t="shared" si="187"/>
        <v>984550.69</v>
      </c>
      <c r="S14" s="256">
        <f t="shared" si="187"/>
        <v>962350.69</v>
      </c>
      <c r="T14" s="256">
        <f t="shared" si="187"/>
        <v>573023.12999999989</v>
      </c>
      <c r="U14" s="256">
        <f t="shared" si="187"/>
        <v>-196405.87999999989</v>
      </c>
      <c r="V14" s="256">
        <f t="shared" si="187"/>
        <v>-798600.08000000007</v>
      </c>
      <c r="W14" s="256">
        <f t="shared" si="187"/>
        <v>-798600.08000000007</v>
      </c>
      <c r="X14" s="256">
        <f t="shared" si="187"/>
        <v>-1184338.3600000003</v>
      </c>
      <c r="Y14" s="256">
        <f t="shared" si="187"/>
        <v>4108684.3899999997</v>
      </c>
      <c r="Z14" s="256">
        <f t="shared" si="187"/>
        <v>3489893.0599999996</v>
      </c>
      <c r="AA14" s="256">
        <f t="shared" si="187"/>
        <v>2635974.0699999994</v>
      </c>
      <c r="AB14" s="256">
        <f t="shared" si="187"/>
        <v>2023610.419999999</v>
      </c>
      <c r="AC14" s="256">
        <f t="shared" si="187"/>
        <v>1699419.6399999987</v>
      </c>
      <c r="AD14" s="256">
        <f t="shared" si="187"/>
        <v>1544187.919999999</v>
      </c>
      <c r="AE14" s="256">
        <f t="shared" si="187"/>
        <v>1398630.419999999</v>
      </c>
      <c r="AF14" s="256">
        <f t="shared" si="187"/>
        <v>1398630.419999999</v>
      </c>
      <c r="AG14" s="256">
        <f t="shared" si="187"/>
        <v>1398630.419999999</v>
      </c>
      <c r="AH14" s="256">
        <f t="shared" si="187"/>
        <v>1398630.419999999</v>
      </c>
      <c r="AI14" s="256">
        <f t="shared" si="187"/>
        <v>1396413.459999999</v>
      </c>
      <c r="AJ14" s="256">
        <f t="shared" si="187"/>
        <v>2361413.459999999</v>
      </c>
      <c r="AK14" s="256">
        <f t="shared" si="187"/>
        <v>2361413.459999999</v>
      </c>
      <c r="AL14" s="256">
        <f t="shared" si="187"/>
        <v>2361413.459999999</v>
      </c>
      <c r="AM14" s="256">
        <f t="shared" si="187"/>
        <v>2297742.3899999987</v>
      </c>
      <c r="AN14" s="256">
        <f t="shared" si="187"/>
        <v>2297742.3899999987</v>
      </c>
      <c r="AO14" s="256">
        <f t="shared" si="187"/>
        <v>2297742.3899999987</v>
      </c>
      <c r="AP14" s="256">
        <f t="shared" si="187"/>
        <v>2255964.3899999987</v>
      </c>
      <c r="AQ14" s="256">
        <f t="shared" si="187"/>
        <v>2255964.3899999987</v>
      </c>
      <c r="AR14" s="256">
        <f t="shared" si="187"/>
        <v>2255964.3899999987</v>
      </c>
      <c r="AS14" s="256">
        <f t="shared" si="187"/>
        <v>2255964.3899999987</v>
      </c>
      <c r="AT14" s="256">
        <f t="shared" si="187"/>
        <v>2246598.3899999987</v>
      </c>
      <c r="AU14" s="256">
        <f t="shared" si="187"/>
        <v>2101040.8899999987</v>
      </c>
      <c r="AV14" s="256">
        <f t="shared" si="187"/>
        <v>2101040.8899999987</v>
      </c>
      <c r="AW14" s="256">
        <f t="shared" si="187"/>
        <v>2101040.8899999987</v>
      </c>
      <c r="AX14" s="256">
        <f t="shared" si="187"/>
        <v>2074240.8899999987</v>
      </c>
      <c r="AY14" s="256">
        <f t="shared" si="187"/>
        <v>2074240.8899999987</v>
      </c>
      <c r="AZ14" s="256">
        <f t="shared" si="187"/>
        <v>2065086.879999999</v>
      </c>
      <c r="BA14" s="256">
        <f t="shared" si="187"/>
        <v>2065086.879999999</v>
      </c>
      <c r="BB14" s="256">
        <f t="shared" si="187"/>
        <v>2065086.879999999</v>
      </c>
      <c r="BC14" s="256">
        <f t="shared" si="187"/>
        <v>1932299.7169999992</v>
      </c>
      <c r="BD14" s="256">
        <f t="shared" si="187"/>
        <v>1932299.7169999992</v>
      </c>
      <c r="BE14" s="256">
        <f t="shared" si="187"/>
        <v>1932299.7169999992</v>
      </c>
      <c r="BF14" s="256">
        <f t="shared" si="187"/>
        <v>1932299.7169999992</v>
      </c>
      <c r="BG14" s="256">
        <f t="shared" si="187"/>
        <v>1724508.1169999996</v>
      </c>
      <c r="BH14" s="256">
        <f t="shared" si="187"/>
        <v>1463638.551</v>
      </c>
      <c r="BI14" s="256">
        <f t="shared" si="187"/>
        <v>1463638.551</v>
      </c>
      <c r="BJ14" s="256">
        <f t="shared" si="187"/>
        <v>1463638.551</v>
      </c>
      <c r="BK14" s="256">
        <f t="shared" si="187"/>
        <v>1463638.551</v>
      </c>
      <c r="BL14" s="256">
        <f t="shared" si="187"/>
        <v>1454984.2709999997</v>
      </c>
      <c r="BM14" s="256">
        <f t="shared" si="187"/>
        <v>1454984.2709999997</v>
      </c>
      <c r="BN14" s="256">
        <f t="shared" si="187"/>
        <v>1454984.2709999997</v>
      </c>
      <c r="BO14" s="256">
        <f t="shared" si="187"/>
        <v>1419350.2709999997</v>
      </c>
      <c r="BP14" s="256">
        <f t="shared" si="187"/>
        <v>2374055.0809999993</v>
      </c>
      <c r="BQ14" s="256">
        <f t="shared" si="187"/>
        <v>2374055.0809999993</v>
      </c>
      <c r="BR14" s="256">
        <f t="shared" si="187"/>
        <v>2374055.0809999993</v>
      </c>
      <c r="BS14" s="256">
        <f t="shared" si="187"/>
        <v>2374055.0809999993</v>
      </c>
      <c r="BT14" s="256">
        <f t="shared" si="187"/>
        <v>2374055.0809999993</v>
      </c>
      <c r="BU14" s="256">
        <f t="shared" ref="BU14:CJ14" si="188">BU10-BU12</f>
        <v>2374055.0809999993</v>
      </c>
      <c r="BV14" s="256">
        <f t="shared" si="188"/>
        <v>2374055.0809999993</v>
      </c>
      <c r="BW14" s="256">
        <f t="shared" si="188"/>
        <v>2374055.0809999993</v>
      </c>
      <c r="BX14" s="256">
        <f t="shared" si="188"/>
        <v>2374055.0809999993</v>
      </c>
      <c r="BY14" s="256">
        <f t="shared" si="188"/>
        <v>2374055.0809999993</v>
      </c>
      <c r="BZ14" s="256">
        <f t="shared" si="188"/>
        <v>2374055.0809999993</v>
      </c>
      <c r="CA14" s="256">
        <f t="shared" si="188"/>
        <v>2374055.0809999993</v>
      </c>
      <c r="CB14" s="256">
        <f t="shared" si="188"/>
        <v>2374055.0809999993</v>
      </c>
      <c r="CC14" s="256">
        <f t="shared" si="188"/>
        <v>2377072.470999999</v>
      </c>
      <c r="CD14" s="256">
        <f t="shared" si="188"/>
        <v>2377072.470999999</v>
      </c>
      <c r="CE14" s="256">
        <f t="shared" si="188"/>
        <v>2377072.470999999</v>
      </c>
      <c r="CF14" s="256">
        <f t="shared" si="188"/>
        <v>2377072.470999999</v>
      </c>
      <c r="CG14" s="256">
        <f t="shared" si="188"/>
        <v>2377072.470999999</v>
      </c>
      <c r="CH14" s="256">
        <f t="shared" si="188"/>
        <v>2377072.470999999</v>
      </c>
      <c r="CI14" s="256">
        <f t="shared" si="188"/>
        <v>2313872.470999999</v>
      </c>
      <c r="CJ14" s="256">
        <f t="shared" si="188"/>
        <v>2313872.470999999</v>
      </c>
      <c r="CK14" s="256">
        <f t="shared" ref="CK14:CO14" si="189">CK10-CK12</f>
        <v>2313872.470999999</v>
      </c>
      <c r="CL14" s="256">
        <f t="shared" si="189"/>
        <v>2270394.209999999</v>
      </c>
      <c r="CM14" s="256">
        <f t="shared" si="189"/>
        <v>2268644.209999999</v>
      </c>
      <c r="CN14" s="256">
        <f t="shared" si="189"/>
        <v>2268644.209999999</v>
      </c>
      <c r="CO14" s="256">
        <f t="shared" si="189"/>
        <v>2268644.209999999</v>
      </c>
      <c r="CP14" s="256">
        <f t="shared" ref="CP14:DS14" si="190">CP10-CP12</f>
        <v>2268644.209999999</v>
      </c>
      <c r="CQ14" s="256">
        <f t="shared" si="190"/>
        <v>2268644.209999999</v>
      </c>
      <c r="CR14" s="256">
        <f t="shared" si="190"/>
        <v>2268644.209999999</v>
      </c>
      <c r="CS14" s="256">
        <f t="shared" si="190"/>
        <v>2268644.209999999</v>
      </c>
      <c r="CT14" s="256">
        <f t="shared" si="190"/>
        <v>2268644.209999999</v>
      </c>
      <c r="CU14" s="256">
        <f t="shared" si="190"/>
        <v>2751144.209999999</v>
      </c>
      <c r="CV14" s="256">
        <f t="shared" si="190"/>
        <v>2751144.209999999</v>
      </c>
      <c r="CW14" s="256">
        <f t="shared" si="190"/>
        <v>2751144.209999999</v>
      </c>
      <c r="CX14" s="256">
        <f t="shared" si="190"/>
        <v>2751144.209999999</v>
      </c>
      <c r="CY14" s="256">
        <f t="shared" si="190"/>
        <v>2751144.209999999</v>
      </c>
      <c r="CZ14" s="256">
        <f t="shared" si="190"/>
        <v>2751144.209999999</v>
      </c>
      <c r="DA14" s="256">
        <f t="shared" si="190"/>
        <v>2751144.209999999</v>
      </c>
      <c r="DB14" s="256">
        <f t="shared" si="190"/>
        <v>2751144.209999999</v>
      </c>
      <c r="DC14" s="256">
        <f t="shared" si="190"/>
        <v>2751144.209999999</v>
      </c>
      <c r="DD14" s="256">
        <f t="shared" si="190"/>
        <v>2751144.209999999</v>
      </c>
      <c r="DE14" s="256">
        <f t="shared" si="190"/>
        <v>2751144.209999999</v>
      </c>
      <c r="DF14" s="256">
        <f t="shared" si="190"/>
        <v>2751144.209999999</v>
      </c>
      <c r="DG14" s="256">
        <f t="shared" si="190"/>
        <v>2751144.209999999</v>
      </c>
      <c r="DH14" s="256">
        <f t="shared" si="190"/>
        <v>2751144.209999999</v>
      </c>
      <c r="DI14" s="256">
        <f t="shared" si="190"/>
        <v>2751144.209999999</v>
      </c>
      <c r="DJ14" s="256">
        <f t="shared" si="190"/>
        <v>2751144.209999999</v>
      </c>
      <c r="DK14" s="256">
        <f t="shared" si="190"/>
        <v>2751144.209999999</v>
      </c>
      <c r="DL14" s="256">
        <f t="shared" si="190"/>
        <v>2751144.209999999</v>
      </c>
      <c r="DM14" s="256">
        <f t="shared" si="190"/>
        <v>2751144.209999999</v>
      </c>
      <c r="DN14" s="256">
        <f t="shared" si="190"/>
        <v>2751144.209999999</v>
      </c>
      <c r="DO14" s="256">
        <f t="shared" si="190"/>
        <v>2751144.209999999</v>
      </c>
      <c r="DP14" s="256">
        <f t="shared" si="190"/>
        <v>2751144.209999999</v>
      </c>
      <c r="DQ14" s="256">
        <f t="shared" si="190"/>
        <v>2751144.209999999</v>
      </c>
      <c r="DR14" s="256">
        <f t="shared" si="190"/>
        <v>2751144.209999999</v>
      </c>
      <c r="DS14" s="256">
        <f t="shared" si="190"/>
        <v>2751144.209999999</v>
      </c>
    </row>
    <row r="15" spans="1:601" s="240" customFormat="1"/>
    <row r="16" spans="1:601" s="240" customFormat="1">
      <c r="C16" s="242" t="s">
        <v>399</v>
      </c>
      <c r="D16" s="242" t="s">
        <v>399</v>
      </c>
    </row>
    <row r="17" spans="1:123">
      <c r="A17" s="981"/>
      <c r="B17" s="244" t="s">
        <v>620</v>
      </c>
      <c r="C17" s="528">
        <f>C3-D17</f>
        <v>-84366.062228551134</v>
      </c>
      <c r="D17" s="245">
        <f>SUM(F17:CP17)</f>
        <v>9734366.0622285511</v>
      </c>
      <c r="E17" s="255"/>
      <c r="F17" s="263">
        <f>SUMIFS('Expenditure Breakdown'!$U$6:$U$152, 'Expenditure Breakdown'!$T$6:$T$152, "&gt;="&amp;F1,'Expenditure Breakdown'!$T$6:$T$152, "&lt;"&amp;G1)</f>
        <v>0</v>
      </c>
      <c r="G17" s="263">
        <f>SUMIFS('Expenditure Breakdown'!$U$6:$U$152, 'Expenditure Breakdown'!$T$6:$T$152, "&gt;="&amp;G1,'Expenditure Breakdown'!$T$6:$T$152, "&lt;"&amp;H1)</f>
        <v>16955.327154684779</v>
      </c>
      <c r="H17" s="263">
        <f>SUMIFS('Expenditure Breakdown'!$U$6:$U$152, 'Expenditure Breakdown'!$T$6:$T$152, "&gt;="&amp;H1,'Expenditure Breakdown'!$T$6:$T$152, "&lt;"&amp;I1)</f>
        <v>0</v>
      </c>
      <c r="I17" s="263">
        <f>SUMIFS('Expenditure Breakdown'!$U$6:$U$152, 'Expenditure Breakdown'!$T$6:$T$152, "&gt;="&amp;I1,'Expenditure Breakdown'!$T$6:$T$152, "&lt;"&amp;J1)</f>
        <v>0</v>
      </c>
      <c r="J17" s="263">
        <f>SUMIFS('Expenditure Breakdown'!$U$6:$U$152, 'Expenditure Breakdown'!$T$6:$T$152, "&gt;="&amp;J1,'Expenditure Breakdown'!$T$6:$T$152, "&lt;"&amp;K1)</f>
        <v>0</v>
      </c>
      <c r="K17" s="263">
        <f>SUMIFS('Expenditure Breakdown'!$U$6:$U$152, 'Expenditure Breakdown'!$T$6:$T$152, "&gt;="&amp;K1,'Expenditure Breakdown'!$T$6:$T$152, "&lt;"&amp;L1)</f>
        <v>0</v>
      </c>
      <c r="L17" s="263">
        <f>SUMIFS('Expenditure Breakdown'!$U$6:$U$152, 'Expenditure Breakdown'!$T$6:$T$152, "&gt;="&amp;L1,'Expenditure Breakdown'!$T$6:$T$152, "&lt;"&amp;M1)</f>
        <v>1196475.1104185856</v>
      </c>
      <c r="M17" s="263">
        <f>SUMIFS('Expenditure Breakdown'!$U$6:$U$152, 'Expenditure Breakdown'!$T$6:$T$152, "&gt;="&amp;M1,'Expenditure Breakdown'!$T$6:$T$152, "&lt;"&amp;N1)</f>
        <v>0</v>
      </c>
      <c r="N17" s="263">
        <f>SUMIFS('Expenditure Breakdown'!$U$6:$U$152, 'Expenditure Breakdown'!$T$6:$T$152, "&gt;="&amp;N1,'Expenditure Breakdown'!$T$6:$T$152, "&lt;"&amp;O1)</f>
        <v>0</v>
      </c>
      <c r="O17" s="263">
        <f>SUMIFS('Expenditure Breakdown'!$U$6:$U$152, 'Expenditure Breakdown'!$T$6:$T$152, "&gt;="&amp;O1,'Expenditure Breakdown'!$T$6:$T$152, "&lt;"&amp;P1)</f>
        <v>0</v>
      </c>
      <c r="P17" s="263">
        <f>SUMIFS('Expenditure Breakdown'!$U$6:$U$152, 'Expenditure Breakdown'!$T$6:$T$152, "&gt;="&amp;P1,'Expenditure Breakdown'!$T$6:$T$152, "&lt;"&amp;Q1)</f>
        <v>4419677.9289153907</v>
      </c>
      <c r="Q17" s="263">
        <f>SUMIFS('Expenditure Breakdown'!$U$6:$U$152, 'Expenditure Breakdown'!$T$6:$T$152, "&gt;="&amp;Q1,'Expenditure Breakdown'!$T$6:$T$152, "&lt;"&amp;R1)</f>
        <v>0</v>
      </c>
      <c r="R17" s="263">
        <f>SUMIFS('Expenditure Breakdown'!$U$6:$U$152, 'Expenditure Breakdown'!$T$6:$T$152, "&gt;="&amp;R1,'Expenditure Breakdown'!$T$6:$T$152, "&lt;"&amp;S1)</f>
        <v>0</v>
      </c>
      <c r="S17" s="263">
        <f>SUMIFS('Expenditure Breakdown'!$U$6:$U$152, 'Expenditure Breakdown'!$T$6:$T$152, "&gt;="&amp;S1,'Expenditure Breakdown'!$T$6:$T$152, "&lt;"&amp;T1)</f>
        <v>0</v>
      </c>
      <c r="T17" s="263">
        <f>SUMIFS('Expenditure Breakdown'!$U$6:$U$152, 'Expenditure Breakdown'!$T$6:$T$152, "&gt;="&amp;T1,'Expenditure Breakdown'!$T$6:$T$152, "&lt;"&amp;U1)</f>
        <v>0</v>
      </c>
      <c r="U17" s="263">
        <f>SUMIFS('Expenditure Breakdown'!$U$6:$U$152, 'Expenditure Breakdown'!$T$6:$T$152, "&gt;="&amp;U1,'Expenditure Breakdown'!$T$6:$T$152, "&lt;"&amp;V1)</f>
        <v>19765.938982134703</v>
      </c>
      <c r="V17" s="263">
        <f>SUMIFS('Expenditure Breakdown'!$U$6:$U$152, 'Expenditure Breakdown'!$T$6:$T$152, "&gt;="&amp;V1,'Expenditure Breakdown'!$T$6:$T$152, "&lt;"&amp;W1)</f>
        <v>0</v>
      </c>
      <c r="W17" s="263">
        <f>SUMIFS('Expenditure Breakdown'!$U$6:$U$152, 'Expenditure Breakdown'!$T$6:$T$152, "&gt;="&amp;W1,'Expenditure Breakdown'!$T$6:$T$152, "&lt;"&amp;X1)</f>
        <v>0</v>
      </c>
      <c r="X17" s="263">
        <f>SUMIFS('Expenditure Breakdown'!$U$6:$U$152, 'Expenditure Breakdown'!$T$6:$T$152, "&gt;="&amp;X1,'Expenditure Breakdown'!$T$6:$T$152, "&lt;"&amp;Y1)</f>
        <v>0</v>
      </c>
      <c r="Y17" s="263">
        <f>SUMIFS('Expenditure Breakdown'!$U$6:$U$152, 'Expenditure Breakdown'!$T$6:$T$152, "&gt;="&amp;Y1,'Expenditure Breakdown'!$T$6:$T$152, "&lt;"&amp;Z1)</f>
        <v>1534107.2512827262</v>
      </c>
      <c r="Z17" s="263">
        <f>SUMIFS('Expenditure Breakdown'!$U$6:$U$152, 'Expenditure Breakdown'!$T$6:$T$152, "&gt;="&amp;Z1,'Expenditure Breakdown'!$T$6:$T$152, "&lt;"&amp;AA1)</f>
        <v>0</v>
      </c>
      <c r="AA17" s="263">
        <f>SUMIFS('Expenditure Breakdown'!$U$6:$U$152, 'Expenditure Breakdown'!$T$6:$T$152, "&gt;="&amp;AA1,'Expenditure Breakdown'!$T$6:$T$152, "&lt;"&amp;AB1)</f>
        <v>0</v>
      </c>
      <c r="AB17" s="263">
        <f>SUMIFS('Expenditure Breakdown'!$U$6:$U$152, 'Expenditure Breakdown'!$T$6:$T$152, "&gt;="&amp;AB1,'Expenditure Breakdown'!$T$6:$T$152, "&lt;"&amp;AC1)</f>
        <v>0</v>
      </c>
      <c r="AC17" s="263">
        <f>SUMIFS('Expenditure Breakdown'!$U$6:$U$152, 'Expenditure Breakdown'!$T$6:$T$152, "&gt;="&amp;AC1,'Expenditure Breakdown'!$T$6:$T$152, "&lt;"&amp;AD1)</f>
        <v>2171104.2080293298</v>
      </c>
      <c r="AD17" s="263">
        <f>SUMIFS('Expenditure Breakdown'!$U$6:$U$152, 'Expenditure Breakdown'!$T$6:$T$152, "&gt;="&amp;AD1,'Expenditure Breakdown'!$T$6:$T$152, "&lt;"&amp;AE1)</f>
        <v>0</v>
      </c>
      <c r="AE17" s="263">
        <f>SUMIFS('Expenditure Breakdown'!$U$6:$U$152, 'Expenditure Breakdown'!$T$6:$T$152, "&gt;="&amp;AE1,'Expenditure Breakdown'!$T$6:$T$152, "&lt;"&amp;AF1)</f>
        <v>0</v>
      </c>
      <c r="AF17" s="263">
        <f>SUMIFS('Expenditure Breakdown'!$U$6:$U$152, 'Expenditure Breakdown'!$T$6:$T$152, "&gt;="&amp;AF1,'Expenditure Breakdown'!$T$6:$T$152, "&lt;"&amp;AG1)</f>
        <v>0</v>
      </c>
      <c r="AG17" s="263">
        <f>SUMIFS('Expenditure Breakdown'!$U$6:$U$152, 'Expenditure Breakdown'!$T$6:$T$152, "&gt;="&amp;AG1,'Expenditure Breakdown'!$T$6:$T$152, "&lt;"&amp;AH1)</f>
        <v>0</v>
      </c>
      <c r="AH17" s="263">
        <f>SUMIFS('Expenditure Breakdown'!$U$6:$U$152, 'Expenditure Breakdown'!$T$6:$T$152, "&gt;="&amp;AH1,'Expenditure Breakdown'!$T$6:$T$152, "&lt;"&amp;AI1)</f>
        <v>32229.029302630905</v>
      </c>
      <c r="AI17" s="263">
        <f>SUMIFS('Expenditure Breakdown'!$U$6:$U$152, 'Expenditure Breakdown'!$T$6:$T$152, "&gt;="&amp;AI1,'Expenditure Breakdown'!$T$6:$T$152, "&lt;"&amp;AJ1)</f>
        <v>0</v>
      </c>
      <c r="AJ17" s="263">
        <f>SUMIFS('Expenditure Breakdown'!$U$6:$U$152, 'Expenditure Breakdown'!$T$6:$T$152, "&gt;="&amp;AJ1,'Expenditure Breakdown'!$T$6:$T$152, "&lt;"&amp;AK1)</f>
        <v>0</v>
      </c>
      <c r="AK17" s="263">
        <f>SUMIFS('Expenditure Breakdown'!$U$6:$U$152, 'Expenditure Breakdown'!$T$6:$T$152, "&gt;="&amp;AK1,'Expenditure Breakdown'!$T$6:$T$152, "&lt;"&amp;AL1)</f>
        <v>0</v>
      </c>
      <c r="AL17" s="263">
        <f>SUMIFS('Expenditure Breakdown'!$U$6:$U$152, 'Expenditure Breakdown'!$T$6:$T$152, "&gt;="&amp;AL1,'Expenditure Breakdown'!$T$6:$T$152, "&lt;"&amp;AM1)</f>
        <v>3956.2687584926548</v>
      </c>
      <c r="AM17" s="263">
        <f>SUMIFS('Expenditure Breakdown'!$U$6:$U$152, 'Expenditure Breakdown'!$T$6:$T$152, "&gt;="&amp;AM1,'Expenditure Breakdown'!$T$6:$T$152, "&lt;"&amp;AN1)</f>
        <v>0</v>
      </c>
      <c r="AN17" s="263">
        <f>SUMIFS('Expenditure Breakdown'!$U$6:$U$152, 'Expenditure Breakdown'!$T$6:$T$152, "&gt;="&amp;AN1,'Expenditure Breakdown'!$T$6:$T$152, "&lt;"&amp;AO1)</f>
        <v>0</v>
      </c>
      <c r="AO17" s="263">
        <f>SUMIFS('Expenditure Breakdown'!$U$6:$U$152, 'Expenditure Breakdown'!$T$6:$T$152, "&gt;="&amp;AO1,'Expenditure Breakdown'!$T$6:$T$152, "&lt;"&amp;AP1)</f>
        <v>0</v>
      </c>
      <c r="AP17" s="263">
        <f>SUMIFS('Expenditure Breakdown'!$U$6:$U$152, 'Expenditure Breakdown'!$T$6:$T$152, "&gt;="&amp;AP1,'Expenditure Breakdown'!$T$6:$T$152, "&lt;"&amp;AQ1)</f>
        <v>22070.737953607633</v>
      </c>
      <c r="AQ17" s="263">
        <f>SUMIFS('Expenditure Breakdown'!$U$6:$U$152, 'Expenditure Breakdown'!$T$6:$T$152, "&gt;="&amp;AQ1,'Expenditure Breakdown'!$T$6:$T$152, "&lt;"&amp;AR1)</f>
        <v>0</v>
      </c>
      <c r="AR17" s="263">
        <f>SUMIFS('Expenditure Breakdown'!$U$6:$U$152, 'Expenditure Breakdown'!$T$6:$T$152, "&gt;="&amp;AR1,'Expenditure Breakdown'!$T$6:$T$152, "&lt;"&amp;AS1)</f>
        <v>0</v>
      </c>
      <c r="AS17" s="263">
        <f>SUMIFS('Expenditure Breakdown'!$U$6:$U$152, 'Expenditure Breakdown'!$T$6:$T$152, "&gt;="&amp;AS1,'Expenditure Breakdown'!$T$6:$T$152, "&lt;"&amp;AT1)</f>
        <v>0</v>
      </c>
      <c r="AT17" s="263">
        <f>SUMIFS('Expenditure Breakdown'!$U$6:$U$152, 'Expenditure Breakdown'!$T$6:$T$152, "&gt;="&amp;AT1,'Expenditure Breakdown'!$T$6:$T$152, "&lt;"&amp;AU1)</f>
        <v>0</v>
      </c>
      <c r="AU17" s="263">
        <f>SUMIFS('Expenditure Breakdown'!$U$6:$U$152, 'Expenditure Breakdown'!$T$6:$T$152, "&gt;="&amp;AU1,'Expenditure Breakdown'!$T$6:$T$152, "&lt;"&amp;AV1)</f>
        <v>0</v>
      </c>
      <c r="AV17" s="263">
        <f>SUMIFS('Expenditure Breakdown'!$U$6:$U$152, 'Expenditure Breakdown'!$T$6:$T$152, "&gt;="&amp;AV1,'Expenditure Breakdown'!$T$6:$T$152, "&lt;"&amp;AW1)</f>
        <v>0</v>
      </c>
      <c r="AW17" s="263">
        <f>SUMIFS('Expenditure Breakdown'!$U$6:$U$152, 'Expenditure Breakdown'!$T$6:$T$152, "&gt;="&amp;AW1,'Expenditure Breakdown'!$T$6:$T$152, "&lt;"&amp;AX1)</f>
        <v>0</v>
      </c>
      <c r="AX17" s="263">
        <f>SUMIFS('Expenditure Breakdown'!$U$6:$U$152, 'Expenditure Breakdown'!$T$6:$T$152, "&gt;="&amp;AX1,'Expenditure Breakdown'!$T$6:$T$152, "&lt;"&amp;AY1)</f>
        <v>0</v>
      </c>
      <c r="AY17" s="263">
        <f>SUMIFS('Expenditure Breakdown'!$U$6:$U$152, 'Expenditure Breakdown'!$T$6:$T$152, "&gt;="&amp;AY1,'Expenditure Breakdown'!$T$6:$T$152, "&lt;"&amp;AZ1)</f>
        <v>1248.3503176612501</v>
      </c>
      <c r="AZ17" s="263">
        <f>SUMIFS('Expenditure Breakdown'!$U$6:$U$152, 'Expenditure Breakdown'!$T$6:$T$152, "&gt;="&amp;AZ1,'Expenditure Breakdown'!$T$6:$T$152, "&lt;"&amp;BA1)</f>
        <v>0</v>
      </c>
      <c r="BA17" s="263">
        <f>SUMIFS('Expenditure Breakdown'!$U$6:$U$152, 'Expenditure Breakdown'!$T$6:$T$152, "&gt;="&amp;BA1,'Expenditure Breakdown'!$T$6:$T$152, "&lt;"&amp;BB1)</f>
        <v>0</v>
      </c>
      <c r="BB17" s="263">
        <f>SUMIFS('Expenditure Breakdown'!$U$6:$U$152, 'Expenditure Breakdown'!$T$6:$T$152, "&gt;="&amp;BB1,'Expenditure Breakdown'!$T$6:$T$152, "&lt;"&amp;BC1)</f>
        <v>0</v>
      </c>
      <c r="BC17" s="263">
        <f>SUMIFS('Expenditure Breakdown'!$U$6:$U$152, 'Expenditure Breakdown'!$T$6:$T$152, "&gt;="&amp;BC1,'Expenditure Breakdown'!$T$6:$T$152, "&lt;"&amp;BD1)</f>
        <v>110347.58111330733</v>
      </c>
      <c r="BD17" s="263">
        <f>SUMIFS('Expenditure Breakdown'!$U$6:$U$152, 'Expenditure Breakdown'!$T$6:$T$152, "&gt;="&amp;BD1,'Expenditure Breakdown'!$T$6:$T$152, "&lt;"&amp;BE1)</f>
        <v>0</v>
      </c>
      <c r="BE17" s="263">
        <f>SUMIFS('Expenditure Breakdown'!$U$6:$U$152, 'Expenditure Breakdown'!$T$6:$T$152, "&gt;="&amp;BE1,'Expenditure Breakdown'!$T$6:$T$152, "&lt;"&amp;BF1)</f>
        <v>0</v>
      </c>
      <c r="BF17" s="263">
        <f>SUMIFS('Expenditure Breakdown'!$U$6:$U$152, 'Expenditure Breakdown'!$T$6:$T$152, "&gt;="&amp;BF1,'Expenditure Breakdown'!$T$6:$T$152, "&lt;"&amp;BG1)</f>
        <v>0</v>
      </c>
      <c r="BG17" s="263">
        <f>SUMIFS('Expenditure Breakdown'!$U$6:$U$152, 'Expenditure Breakdown'!$T$6:$T$152, "&gt;="&amp;BG1,'Expenditure Breakdown'!$T$6:$T$152, "&lt;"&amp;BH1)</f>
        <v>0</v>
      </c>
      <c r="BH17" s="263">
        <f>SUMIFS('Expenditure Breakdown'!$U$6:$U$152, 'Expenditure Breakdown'!$T$6:$T$152, "&gt;="&amp;BH1,'Expenditure Breakdown'!$T$6:$T$152, "&lt;"&amp;BI1)</f>
        <v>206428.33000000002</v>
      </c>
      <c r="BI17" s="263">
        <f>SUMIFS('Expenditure Breakdown'!$U$6:$U$152, 'Expenditure Breakdown'!$T$6:$T$152, "&gt;="&amp;BI1,'Expenditure Breakdown'!$T$6:$T$152, "&lt;"&amp;BJ1)</f>
        <v>0</v>
      </c>
      <c r="BJ17" s="263">
        <f>SUMIFS('Expenditure Breakdown'!$U$6:$U$152, 'Expenditure Breakdown'!$T$6:$T$152, "&gt;="&amp;BJ1,'Expenditure Breakdown'!$T$6:$T$152, "&lt;"&amp;BK1)</f>
        <v>0</v>
      </c>
      <c r="BK17" s="263">
        <f>SUMIFS('Expenditure Breakdown'!$U$6:$U$152, 'Expenditure Breakdown'!$T$6:$T$152, "&gt;="&amp;BK1,'Expenditure Breakdown'!$T$6:$T$152, "&lt;"&amp;BL1)</f>
        <v>0</v>
      </c>
      <c r="BL17" s="263">
        <f>SUMIFS('Expenditure Breakdown'!$U$6:$U$152, 'Expenditure Breakdown'!$T$6:$T$152, "&gt;="&amp;BL1,'Expenditure Breakdown'!$T$6:$T$152, "&lt;"&amp;BM1)</f>
        <v>0</v>
      </c>
      <c r="BM17" s="263">
        <f>SUMIFS('Expenditure Breakdown'!$U$6:$U$152, 'Expenditure Breakdown'!$T$6:$T$152, "&gt;="&amp;BM1,'Expenditure Breakdown'!$T$6:$T$152, "&lt;"&amp;BN1)</f>
        <v>0</v>
      </c>
      <c r="BN17" s="263">
        <f>SUMIFS('Expenditure Breakdown'!$U$6:$U$152, 'Expenditure Breakdown'!$T$6:$T$152, "&gt;="&amp;BN1,'Expenditure Breakdown'!$T$6:$T$152, "&lt;"&amp;BO1)</f>
        <v>0</v>
      </c>
      <c r="BO17" s="263">
        <f>SUMIFS('Expenditure Breakdown'!$U$6:$U$152, 'Expenditure Breakdown'!$T$6:$T$152, "&gt;="&amp;BO1,'Expenditure Breakdown'!$T$6:$T$152, "&lt;"&amp;BP1)</f>
        <v>0</v>
      </c>
      <c r="BP17" s="263">
        <f>SUMIFS('Expenditure Breakdown'!$U$6:$U$152, 'Expenditure Breakdown'!$T$6:$T$152, "&gt;="&amp;BP1,'Expenditure Breakdown'!$T$6:$T$152, "&lt;"&amp;BQ1)</f>
        <v>0</v>
      </c>
      <c r="BQ17" s="263">
        <f>SUMIFS('Expenditure Breakdown'!$U$6:$U$152, 'Expenditure Breakdown'!$T$6:$T$152, "&gt;="&amp;BQ1,'Expenditure Breakdown'!$T$6:$T$152, "&lt;"&amp;BR1)</f>
        <v>0</v>
      </c>
      <c r="BR17" s="263">
        <f>SUMIFS('Expenditure Breakdown'!$U$6:$U$152, 'Expenditure Breakdown'!$T$6:$T$152, "&gt;="&amp;BR1,'Expenditure Breakdown'!$T$6:$T$152, "&lt;"&amp;BS1)</f>
        <v>0</v>
      </c>
      <c r="BS17" s="263">
        <f>SUMIFS('Expenditure Breakdown'!$U$6:$U$152, 'Expenditure Breakdown'!$T$6:$T$152, "&gt;="&amp;BS1,'Expenditure Breakdown'!$T$6:$T$152, "&lt;"&amp;BT1)</f>
        <v>0</v>
      </c>
      <c r="BT17" s="263">
        <f>SUMIFS('Expenditure Breakdown'!$U$6:$U$152, 'Expenditure Breakdown'!$T$6:$T$152, "&gt;="&amp;BT1,'Expenditure Breakdown'!$T$6:$T$152, "&lt;"&amp;BU1)</f>
        <v>0</v>
      </c>
      <c r="BU17" s="263">
        <f>SUMIFS('Expenditure Breakdown'!$U$6:$U$152, 'Expenditure Breakdown'!$T$6:$T$152, "&gt;="&amp;BU1,'Expenditure Breakdown'!$T$6:$T$152, "&lt;"&amp;BV1)</f>
        <v>0</v>
      </c>
      <c r="BV17" s="263">
        <f>SUMIFS('Expenditure Breakdown'!$U$6:$U$152, 'Expenditure Breakdown'!$T$6:$T$152, "&gt;="&amp;BV1,'Expenditure Breakdown'!$T$6:$T$152, "&lt;"&amp;BW1)</f>
        <v>0</v>
      </c>
      <c r="BW17" s="263">
        <f>SUMIFS('Expenditure Breakdown'!$U$6:$U$152, 'Expenditure Breakdown'!$T$6:$T$152, "&gt;="&amp;BW1,'Expenditure Breakdown'!$T$6:$T$152, "&lt;"&amp;BX1)</f>
        <v>0</v>
      </c>
      <c r="BX17" s="263">
        <f>SUMIFS('Expenditure Breakdown'!$U$6:$U$152, 'Expenditure Breakdown'!$T$6:$T$152, "&gt;="&amp;BX1,'Expenditure Breakdown'!$T$6:$T$152, "&lt;"&amp;BY1)</f>
        <v>0</v>
      </c>
      <c r="BY17" s="263">
        <f>SUMIFS('Expenditure Breakdown'!$U$6:$U$152, 'Expenditure Breakdown'!$T$6:$T$152, "&gt;="&amp;BY1,'Expenditure Breakdown'!$T$6:$T$152, "&lt;"&amp;BZ1)</f>
        <v>0</v>
      </c>
      <c r="BZ17" s="263">
        <f>SUMIFS('Expenditure Breakdown'!$U$6:$U$152, 'Expenditure Breakdown'!$T$6:$T$152, "&gt;="&amp;BZ1,'Expenditure Breakdown'!$T$6:$T$152, "&lt;"&amp;CA1)</f>
        <v>0</v>
      </c>
      <c r="CA17" s="263">
        <f>SUMIFS('Expenditure Breakdown'!$U$6:$U$152, 'Expenditure Breakdown'!$T$6:$T$152, "&gt;="&amp;CA1,'Expenditure Breakdown'!$T$6:$T$152, "&lt;"&amp;CB1)</f>
        <v>0</v>
      </c>
      <c r="CB17" s="263">
        <f>SUMIFS('Expenditure Breakdown'!$U$6:$U$152, 'Expenditure Breakdown'!$T$6:$T$152, "&gt;="&amp;CB1,'Expenditure Breakdown'!$T$6:$T$152, "&lt;"&amp;CC1)</f>
        <v>0</v>
      </c>
      <c r="CC17" s="263">
        <f>SUMIFS('Expenditure Breakdown'!$U$6:$U$152, 'Expenditure Breakdown'!$T$6:$T$152, "&gt;="&amp;CC1,'Expenditure Breakdown'!$T$6:$T$152, "&lt;"&amp;CD1)</f>
        <v>0</v>
      </c>
      <c r="CD17" s="263">
        <f>SUMIFS('Expenditure Breakdown'!$U$6:$U$152, 'Expenditure Breakdown'!$T$6:$T$152, "&gt;="&amp;CD1,'Expenditure Breakdown'!$T$6:$T$152, "&lt;"&amp;CE1)</f>
        <v>0</v>
      </c>
      <c r="CE17" s="263">
        <f>SUMIFS('Expenditure Breakdown'!$U$6:$U$152, 'Expenditure Breakdown'!$T$6:$T$152, "&gt;="&amp;CE1,'Expenditure Breakdown'!$T$6:$T$152, "&lt;"&amp;CF1)</f>
        <v>0</v>
      </c>
      <c r="CF17" s="263">
        <f>SUMIFS('Expenditure Breakdown'!$U$6:$U$152, 'Expenditure Breakdown'!$T$6:$T$152, "&gt;="&amp;CF1,'Expenditure Breakdown'!$T$6:$T$152, "&lt;"&amp;CG1)</f>
        <v>0</v>
      </c>
      <c r="CG17" s="263">
        <f>SUMIFS('Expenditure Breakdown'!$U$6:$U$152, 'Expenditure Breakdown'!$T$6:$T$152, "&gt;="&amp;CG1,'Expenditure Breakdown'!$T$6:$T$152, "&lt;"&amp;CH1)</f>
        <v>0</v>
      </c>
      <c r="CH17" s="263">
        <f>SUMIFS('Expenditure Breakdown'!$U$6:$U$152, 'Expenditure Breakdown'!$T$6:$T$152, "&gt;="&amp;CH1,'Expenditure Breakdown'!$T$6:$T$152, "&lt;"&amp;CI1)</f>
        <v>0</v>
      </c>
      <c r="CI17" s="263">
        <f>SUMIFS('Expenditure Breakdown'!$U$6:$U$152, 'Expenditure Breakdown'!$T$6:$T$152, "&gt;="&amp;CI1,'Expenditure Breakdown'!$T$6:$T$152, "&lt;"&amp;CJ1)</f>
        <v>0</v>
      </c>
      <c r="CJ17" s="263">
        <f>SUMIFS('Expenditure Breakdown'!$U$6:$U$152, 'Expenditure Breakdown'!$T$6:$T$152, "&gt;="&amp;CJ1,'Expenditure Breakdown'!$T$6:$T$152, "&lt;"&amp;CK1)</f>
        <v>0</v>
      </c>
      <c r="CK17" s="263">
        <f>SUMIFS('Expenditure Breakdown'!$U$6:$U$152, 'Expenditure Breakdown'!$T$6:$T$152, "&gt;="&amp;CK1,'Expenditure Breakdown'!$T$6:$T$152, "&lt;"&amp;CL1)</f>
        <v>0</v>
      </c>
      <c r="CL17" s="263">
        <f>SUMIFS('Expenditure Breakdown'!$U$6:$U$152, 'Expenditure Breakdown'!$T$6:$T$152, "&gt;="&amp;CL1,'Expenditure Breakdown'!$T$6:$T$152, "&lt;"&amp;CM1)</f>
        <v>0</v>
      </c>
      <c r="CM17" s="263">
        <f>SUMIFS('Expenditure Breakdown'!$U$6:$U$152, 'Expenditure Breakdown'!$T$6:$T$152, "&gt;="&amp;CM1,'Expenditure Breakdown'!$T$6:$T$152, "&lt;"&amp;CN1)</f>
        <v>0</v>
      </c>
      <c r="CN17" s="263">
        <f>SUMIFS('Expenditure Breakdown'!$U$6:$U$152, 'Expenditure Breakdown'!$T$6:$T$152, "&gt;="&amp;CN1,'Expenditure Breakdown'!$T$6:$T$152, "&lt;"&amp;CO1)</f>
        <v>0</v>
      </c>
      <c r="CO17" s="263">
        <f>SUMIFS('Expenditure Breakdown'!$U$6:$U$152, 'Expenditure Breakdown'!$T$6:$T$152, "&gt;="&amp;CO1,'Expenditure Breakdown'!$T$6:$T$152, "&lt;"&amp;CP1)</f>
        <v>0</v>
      </c>
      <c r="CP17" s="263">
        <f>SUMIFS('Expenditure Breakdown'!$U$6:$U$152, 'Expenditure Breakdown'!$T$6:$T$152, "&gt;="&amp;CP1,'Expenditure Breakdown'!$T$6:$T$152, "&lt;"&amp;CQ1)</f>
        <v>0</v>
      </c>
      <c r="CQ17" s="263">
        <f>SUMIFS('Expenditure Breakdown'!$U$6:$U$152, 'Expenditure Breakdown'!$T$6:$T$152, "&gt;="&amp;CQ1,'Expenditure Breakdown'!$T$6:$T$152, "&lt;"&amp;CR1)</f>
        <v>0</v>
      </c>
      <c r="CR17" s="263">
        <f>SUMIFS('Expenditure Breakdown'!$U$6:$U$152, 'Expenditure Breakdown'!$T$6:$T$152, "&gt;="&amp;CR1,'Expenditure Breakdown'!$T$6:$T$152, "&lt;"&amp;CS1)</f>
        <v>0</v>
      </c>
      <c r="CS17" s="263">
        <f>SUMIFS('Expenditure Breakdown'!$U$6:$U$152, 'Expenditure Breakdown'!$T$6:$T$152, "&gt;="&amp;CS1,'Expenditure Breakdown'!$T$6:$T$152, "&lt;"&amp;CT1)</f>
        <v>0</v>
      </c>
      <c r="CT17" s="263">
        <f>SUMIFS('Expenditure Breakdown'!$U$6:$U$152, 'Expenditure Breakdown'!$T$6:$T$152, "&gt;="&amp;CT1,'Expenditure Breakdown'!$T$6:$T$152, "&lt;"&amp;CU1)</f>
        <v>0</v>
      </c>
      <c r="CU17" s="263">
        <f>SUMIFS('Expenditure Breakdown'!$U$6:$U$152, 'Expenditure Breakdown'!$T$6:$T$152, "&gt;="&amp;CU1,'Expenditure Breakdown'!$T$6:$T$152, "&lt;"&amp;CV1)</f>
        <v>0</v>
      </c>
      <c r="CV17" s="263">
        <f>SUMIFS('Expenditure Breakdown'!$U$6:$U$152, 'Expenditure Breakdown'!$T$6:$T$152, "&gt;="&amp;CV1,'Expenditure Breakdown'!$T$6:$T$152, "&lt;"&amp;CW1)</f>
        <v>0</v>
      </c>
      <c r="CW17" s="263">
        <f>SUMIFS('Expenditure Breakdown'!$U$6:$U$152, 'Expenditure Breakdown'!$T$6:$T$152, "&gt;="&amp;CW1,'Expenditure Breakdown'!$T$6:$T$152, "&lt;"&amp;CX1)</f>
        <v>0</v>
      </c>
      <c r="CX17" s="263">
        <f>SUMIFS('Expenditure Breakdown'!$U$6:$U$152, 'Expenditure Breakdown'!$T$6:$T$152, "&gt;="&amp;CX1,'Expenditure Breakdown'!$T$6:$T$152, "&lt;"&amp;CY1)</f>
        <v>0</v>
      </c>
      <c r="CY17" s="263">
        <f>SUMIFS('Expenditure Breakdown'!$U$6:$U$152, 'Expenditure Breakdown'!$T$6:$T$152, "&gt;="&amp;CY1,'Expenditure Breakdown'!$T$6:$T$152, "&lt;"&amp;CZ1)</f>
        <v>0</v>
      </c>
      <c r="CZ17" s="263">
        <f>SUMIFS('Expenditure Breakdown'!$U$6:$U$152, 'Expenditure Breakdown'!$T$6:$T$152, "&gt;="&amp;CZ1,'Expenditure Breakdown'!$T$6:$T$152, "&lt;"&amp;DA1)</f>
        <v>0</v>
      </c>
      <c r="DA17" s="263">
        <f>SUMIFS('Expenditure Breakdown'!$U$6:$U$152, 'Expenditure Breakdown'!$T$6:$T$152, "&gt;="&amp;DA1,'Expenditure Breakdown'!$T$6:$T$152, "&lt;"&amp;DB1)</f>
        <v>0</v>
      </c>
      <c r="DB17" s="263">
        <f>SUMIFS('Expenditure Breakdown'!$U$6:$U$152, 'Expenditure Breakdown'!$T$6:$T$152, "&gt;="&amp;DB1,'Expenditure Breakdown'!$T$6:$T$152, "&lt;"&amp;DC1)</f>
        <v>0</v>
      </c>
      <c r="DC17" s="263">
        <f>SUMIFS('Expenditure Breakdown'!$U$6:$U$152, 'Expenditure Breakdown'!$T$6:$T$152, "&gt;="&amp;DC1,'Expenditure Breakdown'!$T$6:$T$152, "&lt;"&amp;DD1)</f>
        <v>0</v>
      </c>
      <c r="DD17" s="263">
        <f>SUMIFS('Expenditure Breakdown'!$U$6:$U$152, 'Expenditure Breakdown'!$T$6:$T$152, "&gt;="&amp;DD1,'Expenditure Breakdown'!$T$6:$T$152, "&lt;"&amp;DE1)</f>
        <v>0</v>
      </c>
      <c r="DE17" s="263">
        <f>SUMIFS('Expenditure Breakdown'!$U$6:$U$152, 'Expenditure Breakdown'!$T$6:$T$152, "&gt;="&amp;DE1,'Expenditure Breakdown'!$T$6:$T$152, "&lt;"&amp;DF1)</f>
        <v>0</v>
      </c>
      <c r="DF17" s="263">
        <f>SUMIFS('Expenditure Breakdown'!$U$6:$U$152, 'Expenditure Breakdown'!$T$6:$T$152, "&gt;="&amp;DF1,'Expenditure Breakdown'!$T$6:$T$152, "&lt;"&amp;DG1)</f>
        <v>0</v>
      </c>
      <c r="DG17" s="263">
        <f>SUMIFS('Expenditure Breakdown'!$U$6:$U$152, 'Expenditure Breakdown'!$T$6:$T$152, "&gt;="&amp;DG1,'Expenditure Breakdown'!$T$6:$T$152, "&lt;"&amp;DH1)</f>
        <v>0</v>
      </c>
      <c r="DH17" s="263">
        <f>SUMIFS('Expenditure Breakdown'!$U$6:$U$152, 'Expenditure Breakdown'!$T$6:$T$152, "&gt;="&amp;DH1,'Expenditure Breakdown'!$T$6:$T$152, "&lt;"&amp;DI1)</f>
        <v>0</v>
      </c>
      <c r="DI17" s="263">
        <f>SUMIFS('Expenditure Breakdown'!$U$6:$U$152, 'Expenditure Breakdown'!$T$6:$T$152, "&gt;="&amp;DI1,'Expenditure Breakdown'!$T$6:$T$152, "&lt;"&amp;DJ1)</f>
        <v>0</v>
      </c>
      <c r="DJ17" s="263">
        <f>SUMIFS('Expenditure Breakdown'!$U$6:$U$152, 'Expenditure Breakdown'!$T$6:$T$152, "&gt;="&amp;DJ1,'Expenditure Breakdown'!$T$6:$T$152, "&lt;"&amp;DK1)</f>
        <v>0</v>
      </c>
      <c r="DK17" s="263">
        <f>SUMIFS('Expenditure Breakdown'!$U$6:$U$152, 'Expenditure Breakdown'!$T$6:$T$152, "&gt;="&amp;DK1,'Expenditure Breakdown'!$T$6:$T$152, "&lt;"&amp;DL1)</f>
        <v>0</v>
      </c>
      <c r="DL17" s="263">
        <f>SUMIFS('Expenditure Breakdown'!$U$6:$U$152, 'Expenditure Breakdown'!$T$6:$T$152, "&gt;="&amp;DL1,'Expenditure Breakdown'!$T$6:$T$152, "&lt;"&amp;DM1)</f>
        <v>0</v>
      </c>
      <c r="DM17" s="263">
        <f>SUMIFS('Expenditure Breakdown'!$U$6:$U$152, 'Expenditure Breakdown'!$T$6:$T$152, "&gt;="&amp;DM1,'Expenditure Breakdown'!$T$6:$T$152, "&lt;"&amp;DN1)</f>
        <v>0</v>
      </c>
      <c r="DN17" s="263">
        <f>SUMIFS('Expenditure Breakdown'!$U$6:$U$152, 'Expenditure Breakdown'!$T$6:$T$152, "&gt;="&amp;DN1,'Expenditure Breakdown'!$T$6:$T$152, "&lt;"&amp;DO1)</f>
        <v>0</v>
      </c>
      <c r="DO17" s="263">
        <f>SUMIFS('Expenditure Breakdown'!$U$6:$U$152, 'Expenditure Breakdown'!$T$6:$T$152, "&gt;="&amp;DO1,'Expenditure Breakdown'!$T$6:$T$152, "&lt;"&amp;DP1)</f>
        <v>0</v>
      </c>
      <c r="DP17" s="263">
        <f>SUMIFS('Expenditure Breakdown'!$U$6:$U$152, 'Expenditure Breakdown'!$T$6:$T$152, "&gt;="&amp;DP1,'Expenditure Breakdown'!$T$6:$T$152, "&lt;"&amp;DQ1)</f>
        <v>0</v>
      </c>
      <c r="DQ17" s="263">
        <f>SUMIFS('Expenditure Breakdown'!$U$6:$U$152, 'Expenditure Breakdown'!$T$6:$T$152, "&gt;="&amp;DQ1,'Expenditure Breakdown'!$T$6:$T$152, "&lt;"&amp;DR1)</f>
        <v>0</v>
      </c>
      <c r="DR17" s="263">
        <f>SUMIFS('Expenditure Breakdown'!$U$6:$U$152, 'Expenditure Breakdown'!$T$6:$T$152, "&gt;="&amp;DR1,'Expenditure Breakdown'!$T$6:$T$152, "&lt;"&amp;DS1)</f>
        <v>0</v>
      </c>
      <c r="DS17" s="263">
        <f>SUMIFS('Expenditure Breakdown'!$U$6:$U$152, 'Expenditure Breakdown'!$T$6:$T$152, "&gt;="&amp;DS1,'Expenditure Breakdown'!$T$6:$T$152, "&lt;"&amp;DT1)</f>
        <v>0</v>
      </c>
    </row>
    <row r="18" spans="1:123">
      <c r="A18" s="981"/>
      <c r="B18" s="244" t="s">
        <v>621</v>
      </c>
      <c r="C18" s="528">
        <f>D17-D18</f>
        <v>0</v>
      </c>
      <c r="D18" s="245">
        <f>MAX(F18:CP18)</f>
        <v>9734366.0622285511</v>
      </c>
      <c r="E18" s="255"/>
      <c r="F18" s="263">
        <f>F17</f>
        <v>0</v>
      </c>
      <c r="G18" s="263">
        <f>F18+G17</f>
        <v>16955.327154684779</v>
      </c>
      <c r="H18" s="263">
        <f>G18+H17</f>
        <v>16955.327154684779</v>
      </c>
      <c r="I18" s="263">
        <f t="shared" ref="I18:BT18" si="191">H18+I17</f>
        <v>16955.327154684779</v>
      </c>
      <c r="J18" s="263">
        <f t="shared" si="191"/>
        <v>16955.327154684779</v>
      </c>
      <c r="K18" s="263">
        <f t="shared" si="191"/>
        <v>16955.327154684779</v>
      </c>
      <c r="L18" s="263">
        <f t="shared" si="191"/>
        <v>1213430.4375732704</v>
      </c>
      <c r="M18" s="263">
        <f t="shared" si="191"/>
        <v>1213430.4375732704</v>
      </c>
      <c r="N18" s="263">
        <f t="shared" si="191"/>
        <v>1213430.4375732704</v>
      </c>
      <c r="O18" s="263">
        <f t="shared" si="191"/>
        <v>1213430.4375732704</v>
      </c>
      <c r="P18" s="263">
        <f t="shared" si="191"/>
        <v>5633108.3664886616</v>
      </c>
      <c r="Q18" s="263">
        <f t="shared" si="191"/>
        <v>5633108.3664886616</v>
      </c>
      <c r="R18" s="263">
        <f t="shared" si="191"/>
        <v>5633108.3664886616</v>
      </c>
      <c r="S18" s="263">
        <f t="shared" si="191"/>
        <v>5633108.3664886616</v>
      </c>
      <c r="T18" s="263">
        <f t="shared" si="191"/>
        <v>5633108.3664886616</v>
      </c>
      <c r="U18" s="263">
        <f t="shared" si="191"/>
        <v>5652874.3054707963</v>
      </c>
      <c r="V18" s="263">
        <f t="shared" si="191"/>
        <v>5652874.3054707963</v>
      </c>
      <c r="W18" s="263">
        <f t="shared" si="191"/>
        <v>5652874.3054707963</v>
      </c>
      <c r="X18" s="263">
        <f t="shared" si="191"/>
        <v>5652874.3054707963</v>
      </c>
      <c r="Y18" s="263">
        <f t="shared" si="191"/>
        <v>7186981.5567535227</v>
      </c>
      <c r="Z18" s="263">
        <f t="shared" si="191"/>
        <v>7186981.5567535227</v>
      </c>
      <c r="AA18" s="263">
        <f t="shared" si="191"/>
        <v>7186981.5567535227</v>
      </c>
      <c r="AB18" s="263">
        <f t="shared" si="191"/>
        <v>7186981.5567535227</v>
      </c>
      <c r="AC18" s="263">
        <f t="shared" si="191"/>
        <v>9358085.7647828534</v>
      </c>
      <c r="AD18" s="263">
        <f t="shared" si="191"/>
        <v>9358085.7647828534</v>
      </c>
      <c r="AE18" s="263">
        <f t="shared" si="191"/>
        <v>9358085.7647828534</v>
      </c>
      <c r="AF18" s="263">
        <f t="shared" si="191"/>
        <v>9358085.7647828534</v>
      </c>
      <c r="AG18" s="263">
        <f t="shared" si="191"/>
        <v>9358085.7647828534</v>
      </c>
      <c r="AH18" s="263">
        <f t="shared" si="191"/>
        <v>9390314.794085484</v>
      </c>
      <c r="AI18" s="263">
        <f t="shared" si="191"/>
        <v>9390314.794085484</v>
      </c>
      <c r="AJ18" s="263">
        <f t="shared" si="191"/>
        <v>9390314.794085484</v>
      </c>
      <c r="AK18" s="263">
        <f t="shared" si="191"/>
        <v>9390314.794085484</v>
      </c>
      <c r="AL18" s="263">
        <f t="shared" si="191"/>
        <v>9394271.0628439765</v>
      </c>
      <c r="AM18" s="263">
        <f t="shared" si="191"/>
        <v>9394271.0628439765</v>
      </c>
      <c r="AN18" s="263">
        <f t="shared" si="191"/>
        <v>9394271.0628439765</v>
      </c>
      <c r="AO18" s="263">
        <f t="shared" si="191"/>
        <v>9394271.0628439765</v>
      </c>
      <c r="AP18" s="263">
        <f t="shared" si="191"/>
        <v>9416341.8007975835</v>
      </c>
      <c r="AQ18" s="263">
        <f t="shared" si="191"/>
        <v>9416341.8007975835</v>
      </c>
      <c r="AR18" s="263">
        <f t="shared" si="191"/>
        <v>9416341.8007975835</v>
      </c>
      <c r="AS18" s="263">
        <f t="shared" si="191"/>
        <v>9416341.8007975835</v>
      </c>
      <c r="AT18" s="263">
        <f t="shared" si="191"/>
        <v>9416341.8007975835</v>
      </c>
      <c r="AU18" s="263">
        <f t="shared" si="191"/>
        <v>9416341.8007975835</v>
      </c>
      <c r="AV18" s="263">
        <f t="shared" si="191"/>
        <v>9416341.8007975835</v>
      </c>
      <c r="AW18" s="263">
        <f t="shared" si="191"/>
        <v>9416341.8007975835</v>
      </c>
      <c r="AX18" s="263">
        <f t="shared" si="191"/>
        <v>9416341.8007975835</v>
      </c>
      <c r="AY18" s="263">
        <f t="shared" si="191"/>
        <v>9417590.1511152443</v>
      </c>
      <c r="AZ18" s="263">
        <f t="shared" si="191"/>
        <v>9417590.1511152443</v>
      </c>
      <c r="BA18" s="263">
        <f t="shared" si="191"/>
        <v>9417590.1511152443</v>
      </c>
      <c r="BB18" s="263">
        <f t="shared" si="191"/>
        <v>9417590.1511152443</v>
      </c>
      <c r="BC18" s="263">
        <f t="shared" si="191"/>
        <v>9527937.7322285511</v>
      </c>
      <c r="BD18" s="263">
        <f t="shared" si="191"/>
        <v>9527937.7322285511</v>
      </c>
      <c r="BE18" s="263">
        <f t="shared" si="191"/>
        <v>9527937.7322285511</v>
      </c>
      <c r="BF18" s="263">
        <f t="shared" si="191"/>
        <v>9527937.7322285511</v>
      </c>
      <c r="BG18" s="263">
        <f t="shared" si="191"/>
        <v>9527937.7322285511</v>
      </c>
      <c r="BH18" s="263">
        <f t="shared" si="191"/>
        <v>9734366.0622285511</v>
      </c>
      <c r="BI18" s="263">
        <f t="shared" si="191"/>
        <v>9734366.0622285511</v>
      </c>
      <c r="BJ18" s="263">
        <f t="shared" si="191"/>
        <v>9734366.0622285511</v>
      </c>
      <c r="BK18" s="263">
        <f t="shared" si="191"/>
        <v>9734366.0622285511</v>
      </c>
      <c r="BL18" s="263">
        <f t="shared" si="191"/>
        <v>9734366.0622285511</v>
      </c>
      <c r="BM18" s="263">
        <f t="shared" si="191"/>
        <v>9734366.0622285511</v>
      </c>
      <c r="BN18" s="263">
        <f t="shared" si="191"/>
        <v>9734366.0622285511</v>
      </c>
      <c r="BO18" s="263">
        <f t="shared" si="191"/>
        <v>9734366.0622285511</v>
      </c>
      <c r="BP18" s="263">
        <f t="shared" si="191"/>
        <v>9734366.0622285511</v>
      </c>
      <c r="BQ18" s="263">
        <f t="shared" si="191"/>
        <v>9734366.0622285511</v>
      </c>
      <c r="BR18" s="263">
        <f t="shared" si="191"/>
        <v>9734366.0622285511</v>
      </c>
      <c r="BS18" s="263">
        <f t="shared" si="191"/>
        <v>9734366.0622285511</v>
      </c>
      <c r="BT18" s="263">
        <f t="shared" si="191"/>
        <v>9734366.0622285511</v>
      </c>
      <c r="BU18" s="263">
        <f t="shared" ref="BU18:CJ18" si="192">BT18+BU17</f>
        <v>9734366.0622285511</v>
      </c>
      <c r="BV18" s="263">
        <f t="shared" si="192"/>
        <v>9734366.0622285511</v>
      </c>
      <c r="BW18" s="263">
        <f t="shared" si="192"/>
        <v>9734366.0622285511</v>
      </c>
      <c r="BX18" s="263">
        <f t="shared" si="192"/>
        <v>9734366.0622285511</v>
      </c>
      <c r="BY18" s="263">
        <f t="shared" si="192"/>
        <v>9734366.0622285511</v>
      </c>
      <c r="BZ18" s="263">
        <f t="shared" si="192"/>
        <v>9734366.0622285511</v>
      </c>
      <c r="CA18" s="263">
        <f t="shared" si="192"/>
        <v>9734366.0622285511</v>
      </c>
      <c r="CB18" s="263">
        <f t="shared" si="192"/>
        <v>9734366.0622285511</v>
      </c>
      <c r="CC18" s="263">
        <f t="shared" si="192"/>
        <v>9734366.0622285511</v>
      </c>
      <c r="CD18" s="263">
        <f t="shared" si="192"/>
        <v>9734366.0622285511</v>
      </c>
      <c r="CE18" s="263">
        <f t="shared" si="192"/>
        <v>9734366.0622285511</v>
      </c>
      <c r="CF18" s="263">
        <f t="shared" si="192"/>
        <v>9734366.0622285511</v>
      </c>
      <c r="CG18" s="263">
        <f t="shared" si="192"/>
        <v>9734366.0622285511</v>
      </c>
      <c r="CH18" s="263">
        <f t="shared" si="192"/>
        <v>9734366.0622285511</v>
      </c>
      <c r="CI18" s="263">
        <f t="shared" si="192"/>
        <v>9734366.0622285511</v>
      </c>
      <c r="CJ18" s="263">
        <f t="shared" si="192"/>
        <v>9734366.0622285511</v>
      </c>
      <c r="CK18" s="263">
        <f t="shared" ref="CK18" si="193">CJ18+CK17</f>
        <v>9734366.0622285511</v>
      </c>
      <c r="CL18" s="263">
        <f t="shared" ref="CL18" si="194">CK18+CL17</f>
        <v>9734366.0622285511</v>
      </c>
      <c r="CM18" s="263">
        <f t="shared" ref="CM18" si="195">CL18+CM17</f>
        <v>9734366.0622285511</v>
      </c>
      <c r="CN18" s="263">
        <f t="shared" ref="CN18" si="196">CM18+CN17</f>
        <v>9734366.0622285511</v>
      </c>
      <c r="CO18" s="263">
        <f t="shared" ref="CO18" si="197">CN18+CO17</f>
        <v>9734366.0622285511</v>
      </c>
      <c r="CP18" s="263">
        <f t="shared" ref="CP18" si="198">CO18+CP17</f>
        <v>9734366.0622285511</v>
      </c>
      <c r="CQ18" s="263">
        <f t="shared" ref="CQ18" si="199">CP18+CQ17</f>
        <v>9734366.0622285511</v>
      </c>
      <c r="CR18" s="263">
        <f t="shared" ref="CR18" si="200">CQ18+CR17</f>
        <v>9734366.0622285511</v>
      </c>
      <c r="CS18" s="263">
        <f t="shared" ref="CS18" si="201">CR18+CS17</f>
        <v>9734366.0622285511</v>
      </c>
      <c r="CT18" s="263">
        <f t="shared" ref="CT18" si="202">CS18+CT17</f>
        <v>9734366.0622285511</v>
      </c>
      <c r="CU18" s="263">
        <f t="shared" ref="CU18" si="203">CT18+CU17</f>
        <v>9734366.0622285511</v>
      </c>
      <c r="CV18" s="263">
        <f t="shared" ref="CV18" si="204">CU18+CV17</f>
        <v>9734366.0622285511</v>
      </c>
      <c r="CW18" s="263">
        <f t="shared" ref="CW18" si="205">CV18+CW17</f>
        <v>9734366.0622285511</v>
      </c>
      <c r="CX18" s="263">
        <f t="shared" ref="CX18" si="206">CW18+CX17</f>
        <v>9734366.0622285511</v>
      </c>
      <c r="CY18" s="263">
        <f t="shared" ref="CY18" si="207">CX18+CY17</f>
        <v>9734366.0622285511</v>
      </c>
      <c r="CZ18" s="263">
        <f t="shared" ref="CZ18" si="208">CY18+CZ17</f>
        <v>9734366.0622285511</v>
      </c>
      <c r="DA18" s="263">
        <f t="shared" ref="DA18" si="209">CZ18+DA17</f>
        <v>9734366.0622285511</v>
      </c>
      <c r="DB18" s="263">
        <f t="shared" ref="DB18" si="210">DA18+DB17</f>
        <v>9734366.0622285511</v>
      </c>
      <c r="DC18" s="263">
        <f t="shared" ref="DC18" si="211">DB18+DC17</f>
        <v>9734366.0622285511</v>
      </c>
      <c r="DD18" s="263">
        <f t="shared" ref="DD18" si="212">DC18+DD17</f>
        <v>9734366.0622285511</v>
      </c>
      <c r="DE18" s="263">
        <f t="shared" ref="DE18" si="213">DD18+DE17</f>
        <v>9734366.0622285511</v>
      </c>
      <c r="DF18" s="263">
        <f t="shared" ref="DF18" si="214">DE18+DF17</f>
        <v>9734366.0622285511</v>
      </c>
      <c r="DG18" s="263">
        <f t="shared" ref="DG18" si="215">DF18+DG17</f>
        <v>9734366.0622285511</v>
      </c>
      <c r="DH18" s="263">
        <f t="shared" ref="DH18" si="216">DG18+DH17</f>
        <v>9734366.0622285511</v>
      </c>
      <c r="DI18" s="263">
        <f t="shared" ref="DI18" si="217">DH18+DI17</f>
        <v>9734366.0622285511</v>
      </c>
      <c r="DJ18" s="263">
        <f t="shared" ref="DJ18" si="218">DI18+DJ17</f>
        <v>9734366.0622285511</v>
      </c>
      <c r="DK18" s="263">
        <f t="shared" ref="DK18" si="219">DJ18+DK17</f>
        <v>9734366.0622285511</v>
      </c>
      <c r="DL18" s="263">
        <f t="shared" ref="DL18" si="220">DK18+DL17</f>
        <v>9734366.0622285511</v>
      </c>
      <c r="DM18" s="263">
        <f t="shared" ref="DM18" si="221">DL18+DM17</f>
        <v>9734366.0622285511</v>
      </c>
      <c r="DN18" s="263">
        <f t="shared" ref="DN18" si="222">DM18+DN17</f>
        <v>9734366.0622285511</v>
      </c>
      <c r="DO18" s="263">
        <f t="shared" ref="DO18" si="223">DN18+DO17</f>
        <v>9734366.0622285511</v>
      </c>
      <c r="DP18" s="263">
        <f t="shared" ref="DP18" si="224">DO18+DP17</f>
        <v>9734366.0622285511</v>
      </c>
      <c r="DQ18" s="263">
        <f t="shared" ref="DQ18" si="225">DP18+DQ17</f>
        <v>9734366.0622285511</v>
      </c>
      <c r="DR18" s="263">
        <f t="shared" ref="DR18" si="226">DQ18+DR17</f>
        <v>9734366.0622285511</v>
      </c>
      <c r="DS18" s="263">
        <f t="shared" ref="DS18" si="227">DR18+DS17</f>
        <v>9734366.0622285511</v>
      </c>
    </row>
    <row r="19" spans="1:123" s="240" customFormat="1"/>
    <row r="20" spans="1:123">
      <c r="B20" t="s">
        <v>622</v>
      </c>
      <c r="D20" s="621">
        <f>SUM(F20:CP20)</f>
        <v>2400000</v>
      </c>
      <c r="E20" s="240"/>
      <c r="F20" s="646">
        <f>SUMIFS('Expenditure Breakdown'!$Q$37:$Q$44, 'Expenditure Breakdown'!$W$37:$W$44, "&gt;="&amp;F1,'Expenditure Breakdown'!$W$37:$W$44, "&lt;"&amp;G1)+SUMIFS('Expenditure Breakdown'!$Q$59:$Q$66, 'Expenditure Breakdown'!$W$59:$W$66, "&gt;="&amp;F1,'Expenditure Breakdown'!$W$59:$W$66, "&lt;"&amp;G1)+SUMIFS('Expenditure Breakdown'!$Q$101:$Q$108, 'Expenditure Breakdown'!$W$101:$W$108, "&gt;="&amp;F1,'Expenditure Breakdown'!$W$101:$W$108, "&lt;"&amp;G1)</f>
        <v>0</v>
      </c>
      <c r="G20" s="646">
        <f>SUMIFS('Expenditure Breakdown'!$Q$37:$Q$44, 'Expenditure Breakdown'!$W$37:$W$44, "&gt;="&amp;G1,'Expenditure Breakdown'!$W$37:$W$44, "&lt;"&amp;H1)+SUMIFS('Expenditure Breakdown'!$Q$59:$Q$66, 'Expenditure Breakdown'!$W$59:$W$66, "&gt;="&amp;G1,'Expenditure Breakdown'!$W$59:$W$66, "&lt;"&amp;H1)+SUMIFS('Expenditure Breakdown'!$Q$101:$Q$108, 'Expenditure Breakdown'!$W$101:$W$108, "&gt;="&amp;G1,'Expenditure Breakdown'!$W$101:$W$108, "&lt;"&amp;H1)</f>
        <v>0</v>
      </c>
      <c r="H20" s="646">
        <f>SUMIFS('Expenditure Breakdown'!$Q$37:$Q$44, 'Expenditure Breakdown'!$W$37:$W$44, "&gt;="&amp;H1,'Expenditure Breakdown'!$W$37:$W$44, "&lt;"&amp;I1)+SUMIFS('Expenditure Breakdown'!$Q$59:$Q$66, 'Expenditure Breakdown'!$W$59:$W$66, "&gt;="&amp;H1,'Expenditure Breakdown'!$W$59:$W$66, "&lt;"&amp;I1)+SUMIFS('Expenditure Breakdown'!$Q$101:$Q$108, 'Expenditure Breakdown'!$W$101:$W$108, "&gt;="&amp;H1,'Expenditure Breakdown'!$W$101:$W$108, "&lt;"&amp;I1)</f>
        <v>0</v>
      </c>
      <c r="I20" s="646">
        <f>SUMIFS('Expenditure Breakdown'!$Q$37:$Q$44, 'Expenditure Breakdown'!$W$37:$W$44, "&gt;="&amp;I1,'Expenditure Breakdown'!$W$37:$W$44, "&lt;"&amp;J1)+SUMIFS('Expenditure Breakdown'!$Q$59:$Q$66, 'Expenditure Breakdown'!$W$59:$W$66, "&gt;="&amp;I1,'Expenditure Breakdown'!$W$59:$W$66, "&lt;"&amp;J1)+SUMIFS('Expenditure Breakdown'!$Q$101:$Q$108, 'Expenditure Breakdown'!$W$101:$W$108, "&gt;="&amp;I1,'Expenditure Breakdown'!$W$101:$W$108, "&lt;"&amp;J1)</f>
        <v>0</v>
      </c>
      <c r="J20" s="646">
        <f>SUMIFS('Expenditure Breakdown'!$Q$37:$Q$44, 'Expenditure Breakdown'!$W$37:$W$44, "&gt;="&amp;J1,'Expenditure Breakdown'!$W$37:$W$44, "&lt;"&amp;K1)+SUMIFS('Expenditure Breakdown'!$Q$59:$Q$66, 'Expenditure Breakdown'!$W$59:$W$66, "&gt;="&amp;J1,'Expenditure Breakdown'!$W$59:$W$66, "&lt;"&amp;K1)+SUMIFS('Expenditure Breakdown'!$Q$101:$Q$108, 'Expenditure Breakdown'!$W$101:$W$108, "&gt;="&amp;J1,'Expenditure Breakdown'!$W$101:$W$108, "&lt;"&amp;K1)</f>
        <v>0</v>
      </c>
      <c r="K20" s="646">
        <f>SUMIFS('Expenditure Breakdown'!$Q$37:$Q$44, 'Expenditure Breakdown'!$W$37:$W$44, "&gt;="&amp;K1,'Expenditure Breakdown'!$W$37:$W$44, "&lt;"&amp;L1)+SUMIFS('Expenditure Breakdown'!$Q$59:$Q$66, 'Expenditure Breakdown'!$W$59:$W$66, "&gt;="&amp;K1,'Expenditure Breakdown'!$W$59:$W$66, "&lt;"&amp;L1)+SUMIFS('Expenditure Breakdown'!$Q$101:$Q$108, 'Expenditure Breakdown'!$W$101:$W$108, "&gt;="&amp;K1,'Expenditure Breakdown'!$W$101:$W$108, "&lt;"&amp;L1)</f>
        <v>240000</v>
      </c>
      <c r="L20" s="646">
        <f>SUMIFS('Expenditure Breakdown'!$Q$37:$Q$44, 'Expenditure Breakdown'!$W$37:$W$44, "&gt;="&amp;L1,'Expenditure Breakdown'!$W$37:$W$44, "&lt;"&amp;M1)+SUMIFS('Expenditure Breakdown'!$Q$59:$Q$66, 'Expenditure Breakdown'!$W$59:$W$66, "&gt;="&amp;L1,'Expenditure Breakdown'!$W$59:$W$66, "&lt;"&amp;M1)+SUMIFS('Expenditure Breakdown'!$Q$101:$Q$108, 'Expenditure Breakdown'!$W$101:$W$108, "&gt;="&amp;L1,'Expenditure Breakdown'!$W$101:$W$108, "&lt;"&amp;M1)</f>
        <v>0</v>
      </c>
      <c r="M20" s="646">
        <f>SUMIFS('Expenditure Breakdown'!$Q$37:$Q$44, 'Expenditure Breakdown'!$W$37:$W$44, "&gt;="&amp;M1,'Expenditure Breakdown'!$W$37:$W$44, "&lt;"&amp;N1)+SUMIFS('Expenditure Breakdown'!$Q$59:$Q$66, 'Expenditure Breakdown'!$W$59:$W$66, "&gt;="&amp;M1,'Expenditure Breakdown'!$W$59:$W$66, "&lt;"&amp;N1)+SUMIFS('Expenditure Breakdown'!$Q$101:$Q$108, 'Expenditure Breakdown'!$W$101:$W$108, "&gt;="&amp;M1,'Expenditure Breakdown'!$W$101:$W$108, "&lt;"&amp;N1)</f>
        <v>360000</v>
      </c>
      <c r="N20" s="646">
        <f>SUMIFS('Expenditure Breakdown'!$Q$37:$Q$44, 'Expenditure Breakdown'!$W$37:$W$44, "&gt;="&amp;N1,'Expenditure Breakdown'!$W$37:$W$44, "&lt;"&amp;O1)+SUMIFS('Expenditure Breakdown'!$Q$59:$Q$66, 'Expenditure Breakdown'!$W$59:$W$66, "&gt;="&amp;N1,'Expenditure Breakdown'!$W$59:$W$66, "&lt;"&amp;O1)+SUMIFS('Expenditure Breakdown'!$Q$101:$Q$108, 'Expenditure Breakdown'!$W$101:$W$108, "&gt;="&amp;N1,'Expenditure Breakdown'!$W$101:$W$108, "&lt;"&amp;O1)</f>
        <v>0</v>
      </c>
      <c r="O20" s="646">
        <f>SUMIFS('Expenditure Breakdown'!$Q$37:$Q$44, 'Expenditure Breakdown'!$W$37:$W$44, "&gt;="&amp;O1,'Expenditure Breakdown'!$W$37:$W$44, "&lt;"&amp;P1)+SUMIFS('Expenditure Breakdown'!$Q$59:$Q$66, 'Expenditure Breakdown'!$W$59:$W$66, "&gt;="&amp;O1,'Expenditure Breakdown'!$W$59:$W$66, "&lt;"&amp;P1)+SUMIFS('Expenditure Breakdown'!$Q$101:$Q$108, 'Expenditure Breakdown'!$W$101:$W$108, "&gt;="&amp;O1,'Expenditure Breakdown'!$W$101:$W$108, "&lt;"&amp;P1)</f>
        <v>0</v>
      </c>
      <c r="P20" s="646">
        <f>SUMIFS('Expenditure Breakdown'!$Q$37:$Q$44, 'Expenditure Breakdown'!$W$37:$W$44, "&gt;="&amp;P1,'Expenditure Breakdown'!$W$37:$W$44, "&lt;"&amp;Q1)+SUMIFS('Expenditure Breakdown'!$Q$59:$Q$66, 'Expenditure Breakdown'!$W$59:$W$66, "&gt;="&amp;P1,'Expenditure Breakdown'!$W$59:$W$66, "&lt;"&amp;Q1)+SUMIFS('Expenditure Breakdown'!$Q$101:$Q$108, 'Expenditure Breakdown'!$W$101:$W$108, "&gt;="&amp;P1,'Expenditure Breakdown'!$W$101:$W$108, "&lt;"&amp;Q1)</f>
        <v>0</v>
      </c>
      <c r="Q20" s="646">
        <f>SUMIFS('Expenditure Breakdown'!$Q$37:$Q$44, 'Expenditure Breakdown'!$W$37:$W$44, "&gt;="&amp;Q1,'Expenditure Breakdown'!$W$37:$W$44, "&lt;"&amp;R1)+SUMIFS('Expenditure Breakdown'!$Q$59:$Q$66, 'Expenditure Breakdown'!$W$59:$W$66, "&gt;="&amp;Q1,'Expenditure Breakdown'!$W$59:$W$66, "&lt;"&amp;R1)+SUMIFS('Expenditure Breakdown'!$Q$101:$Q$108, 'Expenditure Breakdown'!$W$101:$W$108, "&gt;="&amp;Q1,'Expenditure Breakdown'!$W$101:$W$108, "&lt;"&amp;R1)</f>
        <v>0</v>
      </c>
      <c r="R20" s="646">
        <f>SUMIFS('Expenditure Breakdown'!$Q$37:$Q$44, 'Expenditure Breakdown'!$W$37:$W$44, "&gt;="&amp;R1,'Expenditure Breakdown'!$W$37:$W$44, "&lt;"&amp;S1)+SUMIFS('Expenditure Breakdown'!$Q$59:$Q$66, 'Expenditure Breakdown'!$W$59:$W$66, "&gt;="&amp;R1,'Expenditure Breakdown'!$W$59:$W$66, "&lt;"&amp;S1)+SUMIFS('Expenditure Breakdown'!$Q$101:$Q$108, 'Expenditure Breakdown'!$W$101:$W$108, "&gt;="&amp;R1,'Expenditure Breakdown'!$W$101:$W$108, "&lt;"&amp;S1)</f>
        <v>0</v>
      </c>
      <c r="S20" s="646">
        <f>SUMIFS('Expenditure Breakdown'!$Q$37:$Q$44, 'Expenditure Breakdown'!$W$37:$W$44, "&gt;="&amp;S1,'Expenditure Breakdown'!$W$37:$W$44, "&lt;"&amp;T1)+SUMIFS('Expenditure Breakdown'!$Q$59:$Q$66, 'Expenditure Breakdown'!$W$59:$W$66, "&gt;="&amp;S1,'Expenditure Breakdown'!$W$59:$W$66, "&lt;"&amp;T1)+SUMIFS('Expenditure Breakdown'!$Q$101:$Q$108, 'Expenditure Breakdown'!$W$101:$W$108, "&gt;="&amp;S1,'Expenditure Breakdown'!$W$101:$W$108, "&lt;"&amp;T1)</f>
        <v>0</v>
      </c>
      <c r="T20" s="646">
        <f>SUMIFS('Expenditure Breakdown'!$Q$37:$Q$44, 'Expenditure Breakdown'!$W$37:$W$44, "&gt;="&amp;T1,'Expenditure Breakdown'!$W$37:$W$44, "&lt;"&amp;U1)+SUMIFS('Expenditure Breakdown'!$Q$59:$Q$66, 'Expenditure Breakdown'!$W$59:$W$66, "&gt;="&amp;T1,'Expenditure Breakdown'!$W$59:$W$66, "&lt;"&amp;U1)+SUMIFS('Expenditure Breakdown'!$Q$101:$Q$108, 'Expenditure Breakdown'!$W$101:$W$108, "&gt;="&amp;T1,'Expenditure Breakdown'!$W$101:$W$108, "&lt;"&amp;U1)</f>
        <v>0</v>
      </c>
      <c r="U20" s="646">
        <f>SUMIFS('Expenditure Breakdown'!$Q$37:$Q$44, 'Expenditure Breakdown'!$W$37:$W$44, "&gt;="&amp;U1,'Expenditure Breakdown'!$W$37:$W$44, "&lt;"&amp;V1)+SUMIFS('Expenditure Breakdown'!$Q$59:$Q$66, 'Expenditure Breakdown'!$W$59:$W$66, "&gt;="&amp;U1,'Expenditure Breakdown'!$W$59:$W$66, "&lt;"&amp;V1)+SUMIFS('Expenditure Breakdown'!$Q$101:$Q$108, 'Expenditure Breakdown'!$W$101:$W$108, "&gt;="&amp;U1,'Expenditure Breakdown'!$W$101:$W$108, "&lt;"&amp;V1)</f>
        <v>0</v>
      </c>
      <c r="V20" s="646">
        <f>SUMIFS('Expenditure Breakdown'!$Q$37:$Q$44, 'Expenditure Breakdown'!$W$37:$W$44, "&gt;="&amp;V1,'Expenditure Breakdown'!$W$37:$W$44, "&lt;"&amp;W1)+SUMIFS('Expenditure Breakdown'!$Q$59:$Q$66, 'Expenditure Breakdown'!$W$59:$W$66, "&gt;="&amp;V1,'Expenditure Breakdown'!$W$59:$W$66, "&lt;"&amp;W1)+SUMIFS('Expenditure Breakdown'!$Q$101:$Q$108, 'Expenditure Breakdown'!$W$101:$W$108, "&gt;="&amp;V1,'Expenditure Breakdown'!$W$101:$W$108, "&lt;"&amp;W1)</f>
        <v>600000</v>
      </c>
      <c r="W20" s="646">
        <f>SUMIFS('Expenditure Breakdown'!$Q$37:$Q$44, 'Expenditure Breakdown'!$W$37:$W$44, "&gt;="&amp;W1,'Expenditure Breakdown'!$W$37:$W$44, "&lt;"&amp;X1)+SUMIFS('Expenditure Breakdown'!$Q$59:$Q$66, 'Expenditure Breakdown'!$W$59:$W$66, "&gt;="&amp;W1,'Expenditure Breakdown'!$W$59:$W$66, "&lt;"&amp;X1)+SUMIFS('Expenditure Breakdown'!$Q$101:$Q$108, 'Expenditure Breakdown'!$W$101:$W$108, "&gt;="&amp;W1,'Expenditure Breakdown'!$W$101:$W$108, "&lt;"&amp;X1)</f>
        <v>0</v>
      </c>
      <c r="X20" s="646">
        <f>SUMIFS('Expenditure Breakdown'!$Q$37:$Q$44, 'Expenditure Breakdown'!$W$37:$W$44, "&gt;="&amp;X1,'Expenditure Breakdown'!$W$37:$W$44, "&lt;"&amp;Y1)+SUMIFS('Expenditure Breakdown'!$Q$59:$Q$66, 'Expenditure Breakdown'!$W$59:$W$66, "&gt;="&amp;X1,'Expenditure Breakdown'!$W$59:$W$66, "&lt;"&amp;Y1)+SUMIFS('Expenditure Breakdown'!$Q$101:$Q$108, 'Expenditure Breakdown'!$W$101:$W$108, "&gt;="&amp;X1,'Expenditure Breakdown'!$W$101:$W$108, "&lt;"&amp;Y1)</f>
        <v>0</v>
      </c>
      <c r="Y20" s="646">
        <f>SUMIFS('Expenditure Breakdown'!$Q$37:$Q$44, 'Expenditure Breakdown'!$W$37:$W$44, "&gt;="&amp;Y1,'Expenditure Breakdown'!$W$37:$W$44, "&lt;"&amp;Z1)+SUMIFS('Expenditure Breakdown'!$Q$59:$Q$66, 'Expenditure Breakdown'!$W$59:$W$66, "&gt;="&amp;Y1,'Expenditure Breakdown'!$W$59:$W$66, "&lt;"&amp;Z1)+SUMIFS('Expenditure Breakdown'!$Q$101:$Q$108, 'Expenditure Breakdown'!$W$101:$W$108, "&gt;="&amp;Y1,'Expenditure Breakdown'!$W$101:$W$108, "&lt;"&amp;Z1)</f>
        <v>0</v>
      </c>
      <c r="Z20" s="646">
        <f>SUMIFS('Expenditure Breakdown'!$Q$37:$Q$44, 'Expenditure Breakdown'!$W$37:$W$44, "&gt;="&amp;Z1,'Expenditure Breakdown'!$W$37:$W$44, "&lt;"&amp;AA1)+SUMIFS('Expenditure Breakdown'!$Q$59:$Q$66, 'Expenditure Breakdown'!$W$59:$W$66, "&gt;="&amp;Z1,'Expenditure Breakdown'!$W$59:$W$66, "&lt;"&amp;AA1)+SUMIFS('Expenditure Breakdown'!$Q$101:$Q$108, 'Expenditure Breakdown'!$W$101:$W$108, "&gt;="&amp;Z1,'Expenditure Breakdown'!$W$101:$W$108, "&lt;"&amp;AA1)</f>
        <v>0</v>
      </c>
      <c r="AA20" s="646">
        <f>SUMIFS('Expenditure Breakdown'!$Q$37:$Q$44, 'Expenditure Breakdown'!$W$37:$W$44, "&gt;="&amp;AA1,'Expenditure Breakdown'!$W$37:$W$44, "&lt;"&amp;AB1)+SUMIFS('Expenditure Breakdown'!$Q$59:$Q$66, 'Expenditure Breakdown'!$W$59:$W$66, "&gt;="&amp;AA1,'Expenditure Breakdown'!$W$59:$W$66, "&lt;"&amp;AB1)+SUMIFS('Expenditure Breakdown'!$Q$101:$Q$108, 'Expenditure Breakdown'!$W$101:$W$108, "&gt;="&amp;AA1,'Expenditure Breakdown'!$W$101:$W$108, "&lt;"&amp;AB1)</f>
        <v>480000</v>
      </c>
      <c r="AB20" s="646">
        <f>SUMIFS('Expenditure Breakdown'!$Q$37:$Q$44, 'Expenditure Breakdown'!$W$37:$W$44, "&gt;="&amp;AB1,'Expenditure Breakdown'!$W$37:$W$44, "&lt;"&amp;AC1)+SUMIFS('Expenditure Breakdown'!$Q$59:$Q$66, 'Expenditure Breakdown'!$W$59:$W$66, "&gt;="&amp;AB1,'Expenditure Breakdown'!$W$59:$W$66, "&lt;"&amp;AC1)+SUMIFS('Expenditure Breakdown'!$Q$101:$Q$108, 'Expenditure Breakdown'!$W$101:$W$108, "&gt;="&amp;AB1,'Expenditure Breakdown'!$W$101:$W$108, "&lt;"&amp;AC1)</f>
        <v>480000</v>
      </c>
      <c r="AC20" s="646">
        <f>SUMIFS('Expenditure Breakdown'!$Q$37:$Q$44, 'Expenditure Breakdown'!$W$37:$W$44, "&gt;="&amp;AC1,'Expenditure Breakdown'!$W$37:$W$44, "&lt;"&amp;AD1)+SUMIFS('Expenditure Breakdown'!$Q$59:$Q$66, 'Expenditure Breakdown'!$W$59:$W$66, "&gt;="&amp;AC1,'Expenditure Breakdown'!$W$59:$W$66, "&lt;"&amp;AD1)+SUMIFS('Expenditure Breakdown'!$Q$101:$Q$108, 'Expenditure Breakdown'!$W$101:$W$108, "&gt;="&amp;AC1,'Expenditure Breakdown'!$W$101:$W$108, "&lt;"&amp;AD1)</f>
        <v>0</v>
      </c>
      <c r="AD20" s="646">
        <f>SUMIFS('Expenditure Breakdown'!$Q$37:$Q$44, 'Expenditure Breakdown'!$W$37:$W$44, "&gt;="&amp;AD1,'Expenditure Breakdown'!$W$37:$W$44, "&lt;"&amp;AE1)+SUMIFS('Expenditure Breakdown'!$Q$59:$Q$66, 'Expenditure Breakdown'!$W$59:$W$66, "&gt;="&amp;AD1,'Expenditure Breakdown'!$W$59:$W$66, "&lt;"&amp;AE1)+SUMIFS('Expenditure Breakdown'!$Q$101:$Q$108, 'Expenditure Breakdown'!$W$101:$W$108, "&gt;="&amp;AD1,'Expenditure Breakdown'!$W$101:$W$108, "&lt;"&amp;AE1)</f>
        <v>120000</v>
      </c>
      <c r="AE20" s="646">
        <f>SUMIFS('Expenditure Breakdown'!$Q$37:$Q$44, 'Expenditure Breakdown'!$W$37:$W$44, "&gt;="&amp;AE1,'Expenditure Breakdown'!$W$37:$W$44, "&lt;"&amp;AF1)+SUMIFS('Expenditure Breakdown'!$Q$59:$Q$66, 'Expenditure Breakdown'!$W$59:$W$66, "&gt;="&amp;AE1,'Expenditure Breakdown'!$W$59:$W$66, "&lt;"&amp;AF1)+SUMIFS('Expenditure Breakdown'!$Q$101:$Q$108, 'Expenditure Breakdown'!$W$101:$W$108, "&gt;="&amp;AE1,'Expenditure Breakdown'!$W$101:$W$108, "&lt;"&amp;AF1)</f>
        <v>0</v>
      </c>
      <c r="AF20" s="646">
        <f>SUMIFS('Expenditure Breakdown'!$Q$37:$Q$44, 'Expenditure Breakdown'!$W$37:$W$44, "&gt;="&amp;AF1,'Expenditure Breakdown'!$W$37:$W$44, "&lt;"&amp;AG1)+SUMIFS('Expenditure Breakdown'!$Q$59:$Q$66, 'Expenditure Breakdown'!$W$59:$W$66, "&gt;="&amp;AF1,'Expenditure Breakdown'!$W$59:$W$66, "&lt;"&amp;AG1)+SUMIFS('Expenditure Breakdown'!$Q$101:$Q$108, 'Expenditure Breakdown'!$W$101:$W$108, "&gt;="&amp;AF1,'Expenditure Breakdown'!$W$101:$W$108, "&lt;"&amp;AG1)</f>
        <v>0</v>
      </c>
      <c r="AG20" s="646">
        <f>SUMIFS('Expenditure Breakdown'!$Q$37:$Q$44, 'Expenditure Breakdown'!$W$37:$W$44, "&gt;="&amp;AG1,'Expenditure Breakdown'!$W$37:$W$44, "&lt;"&amp;AH1)+SUMIFS('Expenditure Breakdown'!$Q$59:$Q$66, 'Expenditure Breakdown'!$W$59:$W$66, "&gt;="&amp;AG1,'Expenditure Breakdown'!$W$59:$W$66, "&lt;"&amp;AH1)+SUMIFS('Expenditure Breakdown'!$Q$101:$Q$108, 'Expenditure Breakdown'!$W$101:$W$108, "&gt;="&amp;AG1,'Expenditure Breakdown'!$W$101:$W$108, "&lt;"&amp;AH1)</f>
        <v>0</v>
      </c>
      <c r="AH20" s="646">
        <f>SUMIFS('Expenditure Breakdown'!$Q$37:$Q$44, 'Expenditure Breakdown'!$W$37:$W$44, "&gt;="&amp;AH1,'Expenditure Breakdown'!$W$37:$W$44, "&lt;"&amp;AI1)+SUMIFS('Expenditure Breakdown'!$Q$59:$Q$66, 'Expenditure Breakdown'!$W$59:$W$66, "&gt;="&amp;AH1,'Expenditure Breakdown'!$W$59:$W$66, "&lt;"&amp;AI1)+SUMIFS('Expenditure Breakdown'!$Q$101:$Q$108, 'Expenditure Breakdown'!$W$101:$W$108, "&gt;="&amp;AH1,'Expenditure Breakdown'!$W$101:$W$108, "&lt;"&amp;AI1)</f>
        <v>0</v>
      </c>
      <c r="AI20" s="646">
        <f>SUMIFS('Expenditure Breakdown'!$Q$37:$Q$44, 'Expenditure Breakdown'!$W$37:$W$44, "&gt;="&amp;AI1,'Expenditure Breakdown'!$W$37:$W$44, "&lt;"&amp;AJ1)+SUMIFS('Expenditure Breakdown'!$Q$59:$Q$66, 'Expenditure Breakdown'!$W$59:$W$66, "&gt;="&amp;AI1,'Expenditure Breakdown'!$W$59:$W$66, "&lt;"&amp;AJ1)+SUMIFS('Expenditure Breakdown'!$Q$101:$Q$108, 'Expenditure Breakdown'!$W$101:$W$108, "&gt;="&amp;AI1,'Expenditure Breakdown'!$W$101:$W$108, "&lt;"&amp;AJ1)</f>
        <v>0</v>
      </c>
      <c r="AJ20" s="646">
        <f>SUMIFS('Expenditure Breakdown'!$Q$37:$Q$44, 'Expenditure Breakdown'!$W$37:$W$44, "&gt;="&amp;AJ1,'Expenditure Breakdown'!$W$37:$W$44, "&lt;"&amp;AK1)+SUMIFS('Expenditure Breakdown'!$Q$59:$Q$66, 'Expenditure Breakdown'!$W$59:$W$66, "&gt;="&amp;AJ1,'Expenditure Breakdown'!$W$59:$W$66, "&lt;"&amp;AK1)+SUMIFS('Expenditure Breakdown'!$Q$101:$Q$108, 'Expenditure Breakdown'!$W$101:$W$108, "&gt;="&amp;AJ1,'Expenditure Breakdown'!$W$101:$W$108, "&lt;"&amp;AK1)</f>
        <v>0</v>
      </c>
      <c r="AK20" s="646">
        <f>SUMIFS('Expenditure Breakdown'!$Q$37:$Q$44, 'Expenditure Breakdown'!$W$37:$W$44, "&gt;="&amp;AK1,'Expenditure Breakdown'!$W$37:$W$44, "&lt;"&amp;AL1)+SUMIFS('Expenditure Breakdown'!$Q$59:$Q$66, 'Expenditure Breakdown'!$W$59:$W$66, "&gt;="&amp;AK1,'Expenditure Breakdown'!$W$59:$W$66, "&lt;"&amp;AL1)+SUMIFS('Expenditure Breakdown'!$Q$101:$Q$108, 'Expenditure Breakdown'!$W$101:$W$108, "&gt;="&amp;AK1,'Expenditure Breakdown'!$W$101:$W$108, "&lt;"&amp;AL1)</f>
        <v>0</v>
      </c>
      <c r="AL20" s="646">
        <f>SUMIFS('Expenditure Breakdown'!$Q$37:$Q$44, 'Expenditure Breakdown'!$W$37:$W$44, "&gt;="&amp;AL1,'Expenditure Breakdown'!$W$37:$W$44, "&lt;"&amp;AM1)+SUMIFS('Expenditure Breakdown'!$Q$59:$Q$66, 'Expenditure Breakdown'!$W$59:$W$66, "&gt;="&amp;AL1,'Expenditure Breakdown'!$W$59:$W$66, "&lt;"&amp;AM1)+SUMIFS('Expenditure Breakdown'!$Q$101:$Q$108, 'Expenditure Breakdown'!$W$101:$W$108, "&gt;="&amp;AL1,'Expenditure Breakdown'!$W$101:$W$108, "&lt;"&amp;AM1)</f>
        <v>0</v>
      </c>
      <c r="AM20" s="646">
        <f>SUMIFS('Expenditure Breakdown'!$Q$37:$Q$44, 'Expenditure Breakdown'!$W$37:$W$44, "&gt;="&amp;AM1,'Expenditure Breakdown'!$W$37:$W$44, "&lt;"&amp;AN1)+SUMIFS('Expenditure Breakdown'!$Q$59:$Q$66, 'Expenditure Breakdown'!$W$59:$W$66, "&gt;="&amp;AM1,'Expenditure Breakdown'!$W$59:$W$66, "&lt;"&amp;AN1)+SUMIFS('Expenditure Breakdown'!$Q$101:$Q$108, 'Expenditure Breakdown'!$W$101:$W$108, "&gt;="&amp;AM1,'Expenditure Breakdown'!$W$101:$W$108, "&lt;"&amp;AN1)</f>
        <v>0</v>
      </c>
      <c r="AN20" s="646">
        <f>SUMIFS('Expenditure Breakdown'!$Q$37:$Q$44, 'Expenditure Breakdown'!$W$37:$W$44, "&gt;="&amp;AN1,'Expenditure Breakdown'!$W$37:$W$44, "&lt;"&amp;AO1)+SUMIFS('Expenditure Breakdown'!$Q$59:$Q$66, 'Expenditure Breakdown'!$W$59:$W$66, "&gt;="&amp;AN1,'Expenditure Breakdown'!$W$59:$W$66, "&lt;"&amp;AO1)+SUMIFS('Expenditure Breakdown'!$Q$101:$Q$108, 'Expenditure Breakdown'!$W$101:$W$108, "&gt;="&amp;AN1,'Expenditure Breakdown'!$W$101:$W$108, "&lt;"&amp;AO1)</f>
        <v>0</v>
      </c>
      <c r="AO20" s="646">
        <f>SUMIFS('Expenditure Breakdown'!$Q$37:$Q$44, 'Expenditure Breakdown'!$W$37:$W$44, "&gt;="&amp;AO1,'Expenditure Breakdown'!$W$37:$W$44, "&lt;"&amp;AP1)+SUMIFS('Expenditure Breakdown'!$Q$59:$Q$66, 'Expenditure Breakdown'!$W$59:$W$66, "&gt;="&amp;AO1,'Expenditure Breakdown'!$W$59:$W$66, "&lt;"&amp;AP1)+SUMIFS('Expenditure Breakdown'!$Q$101:$Q$108, 'Expenditure Breakdown'!$W$101:$W$108, "&gt;="&amp;AO1,'Expenditure Breakdown'!$W$101:$W$108, "&lt;"&amp;AP1)</f>
        <v>0</v>
      </c>
      <c r="AP20" s="646">
        <f>SUMIFS('Expenditure Breakdown'!$Q$37:$Q$44, 'Expenditure Breakdown'!$W$37:$W$44, "&gt;="&amp;AP1,'Expenditure Breakdown'!$W$37:$W$44, "&lt;"&amp;AQ1)+SUMIFS('Expenditure Breakdown'!$Q$59:$Q$66, 'Expenditure Breakdown'!$W$59:$W$66, "&gt;="&amp;AP1,'Expenditure Breakdown'!$W$59:$W$66, "&lt;"&amp;AQ1)+SUMIFS('Expenditure Breakdown'!$Q$101:$Q$108, 'Expenditure Breakdown'!$W$101:$W$108, "&gt;="&amp;AP1,'Expenditure Breakdown'!$W$101:$W$108, "&lt;"&amp;AQ1)</f>
        <v>0</v>
      </c>
      <c r="AQ20" s="646">
        <f>SUMIFS('Expenditure Breakdown'!$Q$37:$Q$44, 'Expenditure Breakdown'!$W$37:$W$44, "&gt;="&amp;AQ1,'Expenditure Breakdown'!$W$37:$W$44, "&lt;"&amp;AR1)+SUMIFS('Expenditure Breakdown'!$Q$59:$Q$66, 'Expenditure Breakdown'!$W$59:$W$66, "&gt;="&amp;AQ1,'Expenditure Breakdown'!$W$59:$W$66, "&lt;"&amp;AR1)+SUMIFS('Expenditure Breakdown'!$Q$101:$Q$108, 'Expenditure Breakdown'!$W$101:$W$108, "&gt;="&amp;AQ1,'Expenditure Breakdown'!$W$101:$W$108, "&lt;"&amp;AR1)</f>
        <v>0</v>
      </c>
      <c r="AR20" s="646">
        <f>SUMIFS('Expenditure Breakdown'!$Q$37:$Q$44, 'Expenditure Breakdown'!$W$37:$W$44, "&gt;="&amp;AR1,'Expenditure Breakdown'!$W$37:$W$44, "&lt;"&amp;AS1)+SUMIFS('Expenditure Breakdown'!$Q$59:$Q$66, 'Expenditure Breakdown'!$W$59:$W$66, "&gt;="&amp;AR1,'Expenditure Breakdown'!$W$59:$W$66, "&lt;"&amp;AS1)+SUMIFS('Expenditure Breakdown'!$Q$101:$Q$108, 'Expenditure Breakdown'!$W$101:$W$108, "&gt;="&amp;AR1,'Expenditure Breakdown'!$W$101:$W$108, "&lt;"&amp;AS1)</f>
        <v>0</v>
      </c>
      <c r="AS20" s="646">
        <f>SUMIFS('Expenditure Breakdown'!$Q$37:$Q$44, 'Expenditure Breakdown'!$W$37:$W$44, "&gt;="&amp;AS1,'Expenditure Breakdown'!$W$37:$W$44, "&lt;"&amp;AT1)+SUMIFS('Expenditure Breakdown'!$Q$59:$Q$66, 'Expenditure Breakdown'!$W$59:$W$66, "&gt;="&amp;AS1,'Expenditure Breakdown'!$W$59:$W$66, "&lt;"&amp;AT1)+SUMIFS('Expenditure Breakdown'!$Q$101:$Q$108, 'Expenditure Breakdown'!$W$101:$W$108, "&gt;="&amp;AS1,'Expenditure Breakdown'!$W$101:$W$108, "&lt;"&amp;AT1)</f>
        <v>0</v>
      </c>
      <c r="AT20" s="646">
        <f>SUMIFS('Expenditure Breakdown'!$Q$37:$Q$44, 'Expenditure Breakdown'!$W$37:$W$44, "&gt;="&amp;AT1,'Expenditure Breakdown'!$W$37:$W$44, "&lt;"&amp;AU1)+SUMIFS('Expenditure Breakdown'!$Q$59:$Q$66, 'Expenditure Breakdown'!$W$59:$W$66, "&gt;="&amp;AT1,'Expenditure Breakdown'!$W$59:$W$66, "&lt;"&amp;AU1)+SUMIFS('Expenditure Breakdown'!$Q$101:$Q$108, 'Expenditure Breakdown'!$W$101:$W$108, "&gt;="&amp;AT1,'Expenditure Breakdown'!$W$101:$W$108, "&lt;"&amp;AU1)</f>
        <v>0</v>
      </c>
      <c r="AU20" s="646">
        <f>SUMIFS('Expenditure Breakdown'!$Q$37:$Q$44, 'Expenditure Breakdown'!$W$37:$W$44, "&gt;="&amp;AU1,'Expenditure Breakdown'!$W$37:$W$44, "&lt;"&amp;AV1)+SUMIFS('Expenditure Breakdown'!$Q$59:$Q$66, 'Expenditure Breakdown'!$W$59:$W$66, "&gt;="&amp;AU1,'Expenditure Breakdown'!$W$59:$W$66, "&lt;"&amp;AV1)+SUMIFS('Expenditure Breakdown'!$Q$101:$Q$108, 'Expenditure Breakdown'!$W$101:$W$108, "&gt;="&amp;AU1,'Expenditure Breakdown'!$W$101:$W$108, "&lt;"&amp;AV1)</f>
        <v>0</v>
      </c>
      <c r="AV20" s="646">
        <f>SUMIFS('Expenditure Breakdown'!$Q$37:$Q$44, 'Expenditure Breakdown'!$W$37:$W$44, "&gt;="&amp;AV1,'Expenditure Breakdown'!$W$37:$W$44, "&lt;"&amp;AW1)+SUMIFS('Expenditure Breakdown'!$Q$59:$Q$66, 'Expenditure Breakdown'!$W$59:$W$66, "&gt;="&amp;AV1,'Expenditure Breakdown'!$W$59:$W$66, "&lt;"&amp;AW1)+SUMIFS('Expenditure Breakdown'!$Q$101:$Q$108, 'Expenditure Breakdown'!$W$101:$W$108, "&gt;="&amp;AV1,'Expenditure Breakdown'!$W$101:$W$108, "&lt;"&amp;AW1)</f>
        <v>0</v>
      </c>
      <c r="AW20" s="646">
        <f>SUMIFS('Expenditure Breakdown'!$Q$37:$Q$44, 'Expenditure Breakdown'!$W$37:$W$44, "&gt;="&amp;AW1,'Expenditure Breakdown'!$W$37:$W$44, "&lt;"&amp;AX1)+SUMIFS('Expenditure Breakdown'!$Q$59:$Q$66, 'Expenditure Breakdown'!$W$59:$W$66, "&gt;="&amp;AW1,'Expenditure Breakdown'!$W$59:$W$66, "&lt;"&amp;AX1)+SUMIFS('Expenditure Breakdown'!$Q$101:$Q$108, 'Expenditure Breakdown'!$W$101:$W$108, "&gt;="&amp;AW1,'Expenditure Breakdown'!$W$101:$W$108, "&lt;"&amp;AX1)</f>
        <v>0</v>
      </c>
      <c r="AX20" s="646">
        <f>SUMIFS('Expenditure Breakdown'!$Q$37:$Q$44, 'Expenditure Breakdown'!$W$37:$W$44, "&gt;="&amp;AX1,'Expenditure Breakdown'!$W$37:$W$44, "&lt;"&amp;AY1)+SUMIFS('Expenditure Breakdown'!$Q$59:$Q$66, 'Expenditure Breakdown'!$W$59:$W$66, "&gt;="&amp;AX1,'Expenditure Breakdown'!$W$59:$W$66, "&lt;"&amp;AY1)+SUMIFS('Expenditure Breakdown'!$Q$101:$Q$108, 'Expenditure Breakdown'!$W$101:$W$108, "&gt;="&amp;AX1,'Expenditure Breakdown'!$W$101:$W$108, "&lt;"&amp;AY1)</f>
        <v>0</v>
      </c>
      <c r="AY20" s="646">
        <f>SUMIFS('Expenditure Breakdown'!$Q$37:$Q$44, 'Expenditure Breakdown'!$W$37:$W$44, "&gt;="&amp;AY1,'Expenditure Breakdown'!$W$37:$W$44, "&lt;"&amp;AZ1)+SUMIFS('Expenditure Breakdown'!$Q$59:$Q$66, 'Expenditure Breakdown'!$W$59:$W$66, "&gt;="&amp;AY1,'Expenditure Breakdown'!$W$59:$W$66, "&lt;"&amp;AZ1)+SUMIFS('Expenditure Breakdown'!$Q$101:$Q$108, 'Expenditure Breakdown'!$W$101:$W$108, "&gt;="&amp;AY1,'Expenditure Breakdown'!$W$101:$W$108, "&lt;"&amp;AZ1)</f>
        <v>0</v>
      </c>
      <c r="AZ20" s="646">
        <f>SUMIFS('Expenditure Breakdown'!$Q$37:$Q$44, 'Expenditure Breakdown'!$W$37:$W$44, "&gt;="&amp;AZ1,'Expenditure Breakdown'!$W$37:$W$44, "&lt;"&amp;BA1)+SUMIFS('Expenditure Breakdown'!$Q$59:$Q$66, 'Expenditure Breakdown'!$W$59:$W$66, "&gt;="&amp;AZ1,'Expenditure Breakdown'!$W$59:$W$66, "&lt;"&amp;BA1)+SUMIFS('Expenditure Breakdown'!$Q$101:$Q$108, 'Expenditure Breakdown'!$W$101:$W$108, "&gt;="&amp;AZ1,'Expenditure Breakdown'!$W$101:$W$108, "&lt;"&amp;BA1)</f>
        <v>0</v>
      </c>
      <c r="BA20" s="646">
        <f>SUMIFS('Expenditure Breakdown'!$Q$37:$Q$44, 'Expenditure Breakdown'!$W$37:$W$44, "&gt;="&amp;BA1,'Expenditure Breakdown'!$W$37:$W$44, "&lt;"&amp;BB1)+SUMIFS('Expenditure Breakdown'!$Q$59:$Q$66, 'Expenditure Breakdown'!$W$59:$W$66, "&gt;="&amp;BA1,'Expenditure Breakdown'!$W$59:$W$66, "&lt;"&amp;BB1)+SUMIFS('Expenditure Breakdown'!$Q$101:$Q$108, 'Expenditure Breakdown'!$W$101:$W$108, "&gt;="&amp;BA1,'Expenditure Breakdown'!$W$101:$W$108, "&lt;"&amp;BB1)</f>
        <v>0</v>
      </c>
      <c r="BB20" s="646">
        <f>SUMIFS('Expenditure Breakdown'!$Q$37:$Q$44, 'Expenditure Breakdown'!$W$37:$W$44, "&gt;="&amp;BB1,'Expenditure Breakdown'!$W$37:$W$44, "&lt;"&amp;BC1)+SUMIFS('Expenditure Breakdown'!$Q$59:$Q$66, 'Expenditure Breakdown'!$W$59:$W$66, "&gt;="&amp;BB1,'Expenditure Breakdown'!$W$59:$W$66, "&lt;"&amp;BC1)+SUMIFS('Expenditure Breakdown'!$Q$101:$Q$108, 'Expenditure Breakdown'!$W$101:$W$108, "&gt;="&amp;BB1,'Expenditure Breakdown'!$W$101:$W$108, "&lt;"&amp;BC1)</f>
        <v>0</v>
      </c>
      <c r="BC20" s="646">
        <f>SUMIFS('Expenditure Breakdown'!$Q$37:$Q$44, 'Expenditure Breakdown'!$W$37:$W$44, "&gt;="&amp;BC1,'Expenditure Breakdown'!$W$37:$W$44, "&lt;"&amp;BD1)+SUMIFS('Expenditure Breakdown'!$Q$59:$Q$66, 'Expenditure Breakdown'!$W$59:$W$66, "&gt;="&amp;BC1,'Expenditure Breakdown'!$W$59:$W$66, "&lt;"&amp;BD1)+SUMIFS('Expenditure Breakdown'!$Q$101:$Q$108, 'Expenditure Breakdown'!$W$101:$W$108, "&gt;="&amp;BC1,'Expenditure Breakdown'!$W$101:$W$108, "&lt;"&amp;BD1)</f>
        <v>0</v>
      </c>
      <c r="BD20" s="646">
        <f>SUMIFS('Expenditure Breakdown'!$Q$37:$Q$44, 'Expenditure Breakdown'!$W$37:$W$44, "&gt;="&amp;BD1,'Expenditure Breakdown'!$W$37:$W$44, "&lt;"&amp;BE1)+SUMIFS('Expenditure Breakdown'!$Q$59:$Q$66, 'Expenditure Breakdown'!$W$59:$W$66, "&gt;="&amp;BD1,'Expenditure Breakdown'!$W$59:$W$66, "&lt;"&amp;BE1)+SUMIFS('Expenditure Breakdown'!$Q$101:$Q$108, 'Expenditure Breakdown'!$W$101:$W$108, "&gt;="&amp;BD1,'Expenditure Breakdown'!$W$101:$W$108, "&lt;"&amp;BE1)</f>
        <v>0</v>
      </c>
      <c r="BE20" s="646">
        <f>SUMIFS('Expenditure Breakdown'!$Q$37:$Q$44, 'Expenditure Breakdown'!$W$37:$W$44, "&gt;="&amp;BE1,'Expenditure Breakdown'!$W$37:$W$44, "&lt;"&amp;BF1)+SUMIFS('Expenditure Breakdown'!$Q$59:$Q$66, 'Expenditure Breakdown'!$W$59:$W$66, "&gt;="&amp;BE1,'Expenditure Breakdown'!$W$59:$W$66, "&lt;"&amp;BF1)+SUMIFS('Expenditure Breakdown'!$Q$101:$Q$108, 'Expenditure Breakdown'!$W$101:$W$108, "&gt;="&amp;BE1,'Expenditure Breakdown'!$W$101:$W$108, "&lt;"&amp;BF1)</f>
        <v>0</v>
      </c>
      <c r="BF20" s="646">
        <f>SUMIFS('Expenditure Breakdown'!$Q$37:$Q$44, 'Expenditure Breakdown'!$W$37:$W$44, "&gt;="&amp;BF1,'Expenditure Breakdown'!$W$37:$W$44, "&lt;"&amp;BG1)+SUMIFS('Expenditure Breakdown'!$Q$59:$Q$66, 'Expenditure Breakdown'!$W$59:$W$66, "&gt;="&amp;BF1,'Expenditure Breakdown'!$W$59:$W$66, "&lt;"&amp;BG1)+SUMIFS('Expenditure Breakdown'!$Q$101:$Q$108, 'Expenditure Breakdown'!$W$101:$W$108, "&gt;="&amp;BF1,'Expenditure Breakdown'!$W$101:$W$108, "&lt;"&amp;BG1)</f>
        <v>0</v>
      </c>
      <c r="BG20" s="646">
        <f>SUMIFS('Expenditure Breakdown'!$Q$37:$Q$44, 'Expenditure Breakdown'!$W$37:$W$44, "&gt;="&amp;BG1,'Expenditure Breakdown'!$W$37:$W$44, "&lt;"&amp;BH1)+SUMIFS('Expenditure Breakdown'!$Q$59:$Q$66, 'Expenditure Breakdown'!$W$59:$W$66, "&gt;="&amp;BG1,'Expenditure Breakdown'!$W$59:$W$66, "&lt;"&amp;BH1)+SUMIFS('Expenditure Breakdown'!$Q$101:$Q$108, 'Expenditure Breakdown'!$W$101:$W$108, "&gt;="&amp;BG1,'Expenditure Breakdown'!$W$101:$W$108, "&lt;"&amp;BH1)</f>
        <v>0</v>
      </c>
      <c r="BH20" s="646">
        <f>SUMIFS('Expenditure Breakdown'!$Q$37:$Q$44, 'Expenditure Breakdown'!$W$37:$W$44, "&gt;="&amp;BH1,'Expenditure Breakdown'!$W$37:$W$44, "&lt;"&amp;BI1)+SUMIFS('Expenditure Breakdown'!$Q$59:$Q$66, 'Expenditure Breakdown'!$W$59:$W$66, "&gt;="&amp;BH1,'Expenditure Breakdown'!$W$59:$W$66, "&lt;"&amp;BI1)+SUMIFS('Expenditure Breakdown'!$Q$101:$Q$108, 'Expenditure Breakdown'!$W$101:$W$108, "&gt;="&amp;BH1,'Expenditure Breakdown'!$W$101:$W$108, "&lt;"&amp;BI1)</f>
        <v>0</v>
      </c>
      <c r="BI20" s="646">
        <f>SUMIFS('Expenditure Breakdown'!$Q$37:$Q$44, 'Expenditure Breakdown'!$W$37:$W$44, "&gt;="&amp;BI1,'Expenditure Breakdown'!$W$37:$W$44, "&lt;"&amp;BJ1)+SUMIFS('Expenditure Breakdown'!$Q$59:$Q$66, 'Expenditure Breakdown'!$W$59:$W$66, "&gt;="&amp;BI1,'Expenditure Breakdown'!$W$59:$W$66, "&lt;"&amp;BJ1)+SUMIFS('Expenditure Breakdown'!$Q$101:$Q$108, 'Expenditure Breakdown'!$W$101:$W$108, "&gt;="&amp;BI1,'Expenditure Breakdown'!$W$101:$W$108, "&lt;"&amp;BJ1)</f>
        <v>0</v>
      </c>
      <c r="BJ20" s="646">
        <f>SUMIFS('Expenditure Breakdown'!$Q$37:$Q$44, 'Expenditure Breakdown'!$W$37:$W$44, "&gt;="&amp;BJ1,'Expenditure Breakdown'!$W$37:$W$44, "&lt;"&amp;BK1)+SUMIFS('Expenditure Breakdown'!$Q$59:$Q$66, 'Expenditure Breakdown'!$W$59:$W$66, "&gt;="&amp;BJ1,'Expenditure Breakdown'!$W$59:$W$66, "&lt;"&amp;BK1)+SUMIFS('Expenditure Breakdown'!$Q$101:$Q$108, 'Expenditure Breakdown'!$W$101:$W$108, "&gt;="&amp;BJ1,'Expenditure Breakdown'!$W$101:$W$108, "&lt;"&amp;BK1)</f>
        <v>0</v>
      </c>
      <c r="BK20" s="646">
        <f>SUMIFS('Expenditure Breakdown'!$Q$37:$Q$44, 'Expenditure Breakdown'!$W$37:$W$44, "&gt;="&amp;BK1,'Expenditure Breakdown'!$W$37:$W$44, "&lt;"&amp;BL1)+SUMIFS('Expenditure Breakdown'!$Q$59:$Q$66, 'Expenditure Breakdown'!$W$59:$W$66, "&gt;="&amp;BK1,'Expenditure Breakdown'!$W$59:$W$66, "&lt;"&amp;BL1)+SUMIFS('Expenditure Breakdown'!$Q$101:$Q$108, 'Expenditure Breakdown'!$W$101:$W$108, "&gt;="&amp;BK1,'Expenditure Breakdown'!$W$101:$W$108, "&lt;"&amp;BL1)</f>
        <v>0</v>
      </c>
      <c r="BL20" s="646">
        <f>SUMIFS('Expenditure Breakdown'!$Q$37:$Q$44, 'Expenditure Breakdown'!$W$37:$W$44, "&gt;="&amp;BL1,'Expenditure Breakdown'!$W$37:$W$44, "&lt;"&amp;BM1)+SUMIFS('Expenditure Breakdown'!$Q$59:$Q$66, 'Expenditure Breakdown'!$W$59:$W$66, "&gt;="&amp;BL1,'Expenditure Breakdown'!$W$59:$W$66, "&lt;"&amp;BM1)+SUMIFS('Expenditure Breakdown'!$Q$101:$Q$108, 'Expenditure Breakdown'!$W$101:$W$108, "&gt;="&amp;BL1,'Expenditure Breakdown'!$W$101:$W$108, "&lt;"&amp;BM1)</f>
        <v>0</v>
      </c>
      <c r="BM20" s="646">
        <f>SUMIFS('Expenditure Breakdown'!$Q$37:$Q$44, 'Expenditure Breakdown'!$W$37:$W$44, "&gt;="&amp;BM1,'Expenditure Breakdown'!$W$37:$W$44, "&lt;"&amp;BN1)+SUMIFS('Expenditure Breakdown'!$Q$59:$Q$66, 'Expenditure Breakdown'!$W$59:$W$66, "&gt;="&amp;BM1,'Expenditure Breakdown'!$W$59:$W$66, "&lt;"&amp;BN1)+SUMIFS('Expenditure Breakdown'!$Q$101:$Q$108, 'Expenditure Breakdown'!$W$101:$W$108, "&gt;="&amp;BM1,'Expenditure Breakdown'!$W$101:$W$108, "&lt;"&amp;BN1)</f>
        <v>0</v>
      </c>
      <c r="BN20" s="646">
        <f>SUMIFS('Expenditure Breakdown'!$Q$37:$Q$44, 'Expenditure Breakdown'!$W$37:$W$44, "&gt;="&amp;BN1,'Expenditure Breakdown'!$W$37:$W$44, "&lt;"&amp;BO1)+SUMIFS('Expenditure Breakdown'!$Q$59:$Q$66, 'Expenditure Breakdown'!$W$59:$W$66, "&gt;="&amp;BN1,'Expenditure Breakdown'!$W$59:$W$66, "&lt;"&amp;BO1)+SUMIFS('Expenditure Breakdown'!$Q$101:$Q$108, 'Expenditure Breakdown'!$W$101:$W$108, "&gt;="&amp;BN1,'Expenditure Breakdown'!$W$101:$W$108, "&lt;"&amp;BO1)</f>
        <v>0</v>
      </c>
      <c r="BO20" s="646">
        <f>SUMIFS('Expenditure Breakdown'!$Q$37:$Q$44, 'Expenditure Breakdown'!$W$37:$W$44, "&gt;="&amp;BO1,'Expenditure Breakdown'!$W$37:$W$44, "&lt;"&amp;BP1)+SUMIFS('Expenditure Breakdown'!$Q$59:$Q$66, 'Expenditure Breakdown'!$W$59:$W$66, "&gt;="&amp;BO1,'Expenditure Breakdown'!$W$59:$W$66, "&lt;"&amp;BP1)+SUMIFS('Expenditure Breakdown'!$Q$101:$Q$108, 'Expenditure Breakdown'!$W$101:$W$108, "&gt;="&amp;BO1,'Expenditure Breakdown'!$W$101:$W$108, "&lt;"&amp;BP1)</f>
        <v>120000</v>
      </c>
      <c r="BP20" s="646">
        <f>SUMIFS('Expenditure Breakdown'!$Q$37:$Q$44, 'Expenditure Breakdown'!$W$37:$W$44, "&gt;="&amp;BP1,'Expenditure Breakdown'!$W$37:$W$44, "&lt;"&amp;BQ1)+SUMIFS('Expenditure Breakdown'!$Q$59:$Q$66, 'Expenditure Breakdown'!$W$59:$W$66, "&gt;="&amp;BP1,'Expenditure Breakdown'!$W$59:$W$66, "&lt;"&amp;BQ1)+SUMIFS('Expenditure Breakdown'!$Q$101:$Q$108, 'Expenditure Breakdown'!$W$101:$W$108, "&gt;="&amp;BP1,'Expenditure Breakdown'!$W$101:$W$108, "&lt;"&amp;BQ1)</f>
        <v>0</v>
      </c>
      <c r="BQ20" s="646">
        <f>SUMIFS('Expenditure Breakdown'!$Q$37:$Q$44, 'Expenditure Breakdown'!$W$37:$W$44, "&gt;="&amp;BQ1,'Expenditure Breakdown'!$W$37:$W$44, "&lt;"&amp;BR1)+SUMIFS('Expenditure Breakdown'!$Q$59:$Q$66, 'Expenditure Breakdown'!$W$59:$W$66, "&gt;="&amp;BQ1,'Expenditure Breakdown'!$W$59:$W$66, "&lt;"&amp;BR1)+SUMIFS('Expenditure Breakdown'!$Q$101:$Q$108, 'Expenditure Breakdown'!$W$101:$W$108, "&gt;="&amp;BQ1,'Expenditure Breakdown'!$W$101:$W$108, "&lt;"&amp;BR1)</f>
        <v>0</v>
      </c>
      <c r="BR20" s="646">
        <f>SUMIFS('Expenditure Breakdown'!$Q$37:$Q$44, 'Expenditure Breakdown'!$W$37:$W$44, "&gt;="&amp;BR1,'Expenditure Breakdown'!$W$37:$W$44, "&lt;"&amp;BS1)+SUMIFS('Expenditure Breakdown'!$Q$59:$Q$66, 'Expenditure Breakdown'!$W$59:$W$66, "&gt;="&amp;BR1,'Expenditure Breakdown'!$W$59:$W$66, "&lt;"&amp;BS1)+SUMIFS('Expenditure Breakdown'!$Q$101:$Q$108, 'Expenditure Breakdown'!$W$101:$W$108, "&gt;="&amp;BR1,'Expenditure Breakdown'!$W$101:$W$108, "&lt;"&amp;BS1)</f>
        <v>0</v>
      </c>
      <c r="BS20" s="646">
        <f>SUMIFS('Expenditure Breakdown'!$Q$37:$Q$44, 'Expenditure Breakdown'!$W$37:$W$44, "&gt;="&amp;BS1,'Expenditure Breakdown'!$W$37:$W$44, "&lt;"&amp;BT1)+SUMIFS('Expenditure Breakdown'!$Q$59:$Q$66, 'Expenditure Breakdown'!$W$59:$W$66, "&gt;="&amp;BS1,'Expenditure Breakdown'!$W$59:$W$66, "&lt;"&amp;BT1)+SUMIFS('Expenditure Breakdown'!$Q$101:$Q$108, 'Expenditure Breakdown'!$W$101:$W$108, "&gt;="&amp;BS1,'Expenditure Breakdown'!$W$101:$W$108, "&lt;"&amp;BT1)</f>
        <v>0</v>
      </c>
      <c r="BT20" s="646">
        <f>SUMIFS('Expenditure Breakdown'!$Q$37:$Q$44, 'Expenditure Breakdown'!$W$37:$W$44, "&gt;="&amp;BT1,'Expenditure Breakdown'!$W$37:$W$44, "&lt;"&amp;BU1)+SUMIFS('Expenditure Breakdown'!$Q$59:$Q$66, 'Expenditure Breakdown'!$W$59:$W$66, "&gt;="&amp;BT1,'Expenditure Breakdown'!$W$59:$W$66, "&lt;"&amp;BU1)+SUMIFS('Expenditure Breakdown'!$Q$101:$Q$108, 'Expenditure Breakdown'!$W$101:$W$108, "&gt;="&amp;BT1,'Expenditure Breakdown'!$W$101:$W$108, "&lt;"&amp;BU1)</f>
        <v>0</v>
      </c>
      <c r="BU20" s="646">
        <f>SUMIFS('Expenditure Breakdown'!$Q$37:$Q$44, 'Expenditure Breakdown'!$W$37:$W$44, "&gt;="&amp;BU1,'Expenditure Breakdown'!$W$37:$W$44, "&lt;"&amp;BV1)+SUMIFS('Expenditure Breakdown'!$Q$59:$Q$66, 'Expenditure Breakdown'!$W$59:$W$66, "&gt;="&amp;BU1,'Expenditure Breakdown'!$W$59:$W$66, "&lt;"&amp;BV1)+SUMIFS('Expenditure Breakdown'!$Q$101:$Q$108, 'Expenditure Breakdown'!$W$101:$W$108, "&gt;="&amp;BU1,'Expenditure Breakdown'!$W$101:$W$108, "&lt;"&amp;BV1)</f>
        <v>0</v>
      </c>
      <c r="BV20" s="646">
        <f>SUMIFS('Expenditure Breakdown'!$Q$37:$Q$44, 'Expenditure Breakdown'!$W$37:$W$44, "&gt;="&amp;BV1,'Expenditure Breakdown'!$W$37:$W$44, "&lt;"&amp;BW1)+SUMIFS('Expenditure Breakdown'!$Q$59:$Q$66, 'Expenditure Breakdown'!$W$59:$W$66, "&gt;="&amp;BV1,'Expenditure Breakdown'!$W$59:$W$66, "&lt;"&amp;BW1)+SUMIFS('Expenditure Breakdown'!$Q$101:$Q$108, 'Expenditure Breakdown'!$W$101:$W$108, "&gt;="&amp;BV1,'Expenditure Breakdown'!$W$101:$W$108, "&lt;"&amp;BW1)</f>
        <v>0</v>
      </c>
      <c r="BW20" s="646">
        <f>SUMIFS('Expenditure Breakdown'!$Q$37:$Q$44, 'Expenditure Breakdown'!$W$37:$W$44, "&gt;="&amp;BW1,'Expenditure Breakdown'!$W$37:$W$44, "&lt;"&amp;BX1)+SUMIFS('Expenditure Breakdown'!$Q$59:$Q$66, 'Expenditure Breakdown'!$W$59:$W$66, "&gt;="&amp;BW1,'Expenditure Breakdown'!$W$59:$W$66, "&lt;"&amp;BX1)+SUMIFS('Expenditure Breakdown'!$Q$101:$Q$108, 'Expenditure Breakdown'!$W$101:$W$108, "&gt;="&amp;BW1,'Expenditure Breakdown'!$W$101:$W$108, "&lt;"&amp;BX1)</f>
        <v>0</v>
      </c>
      <c r="BX20" s="646">
        <f>SUMIFS('Expenditure Breakdown'!$Q$37:$Q$44, 'Expenditure Breakdown'!$W$37:$W$44, "&gt;="&amp;BX1,'Expenditure Breakdown'!$W$37:$W$44, "&lt;"&amp;BY1)+SUMIFS('Expenditure Breakdown'!$Q$59:$Q$66, 'Expenditure Breakdown'!$W$59:$W$66, "&gt;="&amp;BX1,'Expenditure Breakdown'!$W$59:$W$66, "&lt;"&amp;BY1)+SUMIFS('Expenditure Breakdown'!$Q$101:$Q$108, 'Expenditure Breakdown'!$W$101:$W$108, "&gt;="&amp;BX1,'Expenditure Breakdown'!$W$101:$W$108, "&lt;"&amp;BY1)</f>
        <v>0</v>
      </c>
      <c r="BY20" s="646">
        <f>SUMIFS('Expenditure Breakdown'!$Q$37:$Q$44, 'Expenditure Breakdown'!$W$37:$W$44, "&gt;="&amp;BY1,'Expenditure Breakdown'!$W$37:$W$44, "&lt;"&amp;BZ1)+SUMIFS('Expenditure Breakdown'!$Q$59:$Q$66, 'Expenditure Breakdown'!$W$59:$W$66, "&gt;="&amp;BY1,'Expenditure Breakdown'!$W$59:$W$66, "&lt;"&amp;BZ1)+SUMIFS('Expenditure Breakdown'!$Q$101:$Q$108, 'Expenditure Breakdown'!$W$101:$W$108, "&gt;="&amp;BY1,'Expenditure Breakdown'!$W$101:$W$108, "&lt;"&amp;BZ1)</f>
        <v>0</v>
      </c>
      <c r="BZ20" s="646">
        <f>SUMIFS('Expenditure Breakdown'!$Q$37:$Q$44, 'Expenditure Breakdown'!$W$37:$W$44, "&gt;="&amp;BZ1,'Expenditure Breakdown'!$W$37:$W$44, "&lt;"&amp;CA1)+SUMIFS('Expenditure Breakdown'!$Q$59:$Q$66, 'Expenditure Breakdown'!$W$59:$W$66, "&gt;="&amp;BZ1,'Expenditure Breakdown'!$W$59:$W$66, "&lt;"&amp;CA1)+SUMIFS('Expenditure Breakdown'!$Q$101:$Q$108, 'Expenditure Breakdown'!$W$101:$W$108, "&gt;="&amp;BZ1,'Expenditure Breakdown'!$W$101:$W$108, "&lt;"&amp;CA1)</f>
        <v>0</v>
      </c>
      <c r="CA20" s="646">
        <f>SUMIFS('Expenditure Breakdown'!$Q$37:$Q$44, 'Expenditure Breakdown'!$W$37:$W$44, "&gt;="&amp;CA1,'Expenditure Breakdown'!$W$37:$W$44, "&lt;"&amp;CB1)+SUMIFS('Expenditure Breakdown'!$Q$59:$Q$66, 'Expenditure Breakdown'!$W$59:$W$66, "&gt;="&amp;CA1,'Expenditure Breakdown'!$W$59:$W$66, "&lt;"&amp;CB1)+SUMIFS('Expenditure Breakdown'!$Q$101:$Q$108, 'Expenditure Breakdown'!$W$101:$W$108, "&gt;="&amp;CA1,'Expenditure Breakdown'!$W$101:$W$108, "&lt;"&amp;CB1)</f>
        <v>0</v>
      </c>
      <c r="CB20" s="646">
        <f>SUMIFS('Expenditure Breakdown'!$Q$37:$Q$44, 'Expenditure Breakdown'!$W$37:$W$44, "&gt;="&amp;CB1,'Expenditure Breakdown'!$W$37:$W$44, "&lt;"&amp;CC1)+SUMIFS('Expenditure Breakdown'!$Q$59:$Q$66, 'Expenditure Breakdown'!$W$59:$W$66, "&gt;="&amp;CB1,'Expenditure Breakdown'!$W$59:$W$66, "&lt;"&amp;CC1)+SUMIFS('Expenditure Breakdown'!$Q$101:$Q$108, 'Expenditure Breakdown'!$W$101:$W$108, "&gt;="&amp;CB1,'Expenditure Breakdown'!$W$101:$W$108, "&lt;"&amp;CC1)</f>
        <v>0</v>
      </c>
      <c r="CC20" s="646">
        <f>SUMIFS('Expenditure Breakdown'!$Q$37:$Q$44, 'Expenditure Breakdown'!$W$37:$W$44, "&gt;="&amp;CC1,'Expenditure Breakdown'!$W$37:$W$44, "&lt;"&amp;CD1)+SUMIFS('Expenditure Breakdown'!$Q$59:$Q$66, 'Expenditure Breakdown'!$W$59:$W$66, "&gt;="&amp;CC1,'Expenditure Breakdown'!$W$59:$W$66, "&lt;"&amp;CD1)+SUMIFS('Expenditure Breakdown'!$Q$101:$Q$108, 'Expenditure Breakdown'!$W$101:$W$108, "&gt;="&amp;CC1,'Expenditure Breakdown'!$W$101:$W$108, "&lt;"&amp;CD1)</f>
        <v>0</v>
      </c>
      <c r="CD20" s="646">
        <f>SUMIFS('Expenditure Breakdown'!$Q$37:$Q$44, 'Expenditure Breakdown'!$W$37:$W$44, "&gt;="&amp;CD1,'Expenditure Breakdown'!$W$37:$W$44, "&lt;"&amp;CE1)+SUMIFS('Expenditure Breakdown'!$Q$59:$Q$66, 'Expenditure Breakdown'!$W$59:$W$66, "&gt;="&amp;CD1,'Expenditure Breakdown'!$W$59:$W$66, "&lt;"&amp;CE1)+SUMIFS('Expenditure Breakdown'!$Q$101:$Q$108, 'Expenditure Breakdown'!$W$101:$W$108, "&gt;="&amp;CD1,'Expenditure Breakdown'!$W$101:$W$108, "&lt;"&amp;CE1)</f>
        <v>0</v>
      </c>
      <c r="CE20" s="646">
        <f>SUMIFS('Expenditure Breakdown'!$Q$37:$Q$44, 'Expenditure Breakdown'!$W$37:$W$44, "&gt;="&amp;CE1,'Expenditure Breakdown'!$W$37:$W$44, "&lt;"&amp;CF1)+SUMIFS('Expenditure Breakdown'!$Q$59:$Q$66, 'Expenditure Breakdown'!$W$59:$W$66, "&gt;="&amp;CE1,'Expenditure Breakdown'!$W$59:$W$66, "&lt;"&amp;CF1)+SUMIFS('Expenditure Breakdown'!$Q$101:$Q$108, 'Expenditure Breakdown'!$W$101:$W$108, "&gt;="&amp;CE1,'Expenditure Breakdown'!$W$101:$W$108, "&lt;"&amp;CF1)</f>
        <v>0</v>
      </c>
      <c r="CF20" s="646">
        <f>SUMIFS('Expenditure Breakdown'!$Q$37:$Q$44, 'Expenditure Breakdown'!$W$37:$W$44, "&gt;="&amp;CF1,'Expenditure Breakdown'!$W$37:$W$44, "&lt;"&amp;CG1)+SUMIFS('Expenditure Breakdown'!$Q$59:$Q$66, 'Expenditure Breakdown'!$W$59:$W$66, "&gt;="&amp;CF1,'Expenditure Breakdown'!$W$59:$W$66, "&lt;"&amp;CG1)+SUMIFS('Expenditure Breakdown'!$Q$101:$Q$108, 'Expenditure Breakdown'!$W$101:$W$108, "&gt;="&amp;CF1,'Expenditure Breakdown'!$W$101:$W$108, "&lt;"&amp;CG1)</f>
        <v>0</v>
      </c>
      <c r="CG20" s="646">
        <f>SUMIFS('Expenditure Breakdown'!$Q$37:$Q$44, 'Expenditure Breakdown'!$W$37:$W$44, "&gt;="&amp;CG1,'Expenditure Breakdown'!$W$37:$W$44, "&lt;"&amp;CH1)+SUMIFS('Expenditure Breakdown'!$Q$59:$Q$66, 'Expenditure Breakdown'!$W$59:$W$66, "&gt;="&amp;CG1,'Expenditure Breakdown'!$W$59:$W$66, "&lt;"&amp;CH1)+SUMIFS('Expenditure Breakdown'!$Q$101:$Q$108, 'Expenditure Breakdown'!$W$101:$W$108, "&gt;="&amp;CG1,'Expenditure Breakdown'!$W$101:$W$108, "&lt;"&amp;CH1)</f>
        <v>0</v>
      </c>
      <c r="CH20" s="646">
        <f>SUMIFS('Expenditure Breakdown'!$Q$37:$Q$44, 'Expenditure Breakdown'!$W$37:$W$44, "&gt;="&amp;CH1,'Expenditure Breakdown'!$W$37:$W$44, "&lt;"&amp;CI1)+SUMIFS('Expenditure Breakdown'!$Q$59:$Q$66, 'Expenditure Breakdown'!$W$59:$W$66, "&gt;="&amp;CH1,'Expenditure Breakdown'!$W$59:$W$66, "&lt;"&amp;CI1)+SUMIFS('Expenditure Breakdown'!$Q$101:$Q$108, 'Expenditure Breakdown'!$W$101:$W$108, "&gt;="&amp;CH1,'Expenditure Breakdown'!$W$101:$W$108, "&lt;"&amp;CI1)</f>
        <v>0</v>
      </c>
      <c r="CI20" s="646">
        <f>SUMIFS('Expenditure Breakdown'!$Q$37:$Q$44, 'Expenditure Breakdown'!$W$37:$W$44, "&gt;="&amp;CI1,'Expenditure Breakdown'!$W$37:$W$44, "&lt;"&amp;CJ1)+SUMIFS('Expenditure Breakdown'!$Q$59:$Q$66, 'Expenditure Breakdown'!$W$59:$W$66, "&gt;="&amp;CI1,'Expenditure Breakdown'!$W$59:$W$66, "&lt;"&amp;CJ1)+SUMIFS('Expenditure Breakdown'!$Q$101:$Q$108, 'Expenditure Breakdown'!$W$101:$W$108, "&gt;="&amp;CI1,'Expenditure Breakdown'!$W$101:$W$108, "&lt;"&amp;CJ1)</f>
        <v>0</v>
      </c>
      <c r="CJ20" s="646">
        <f>SUMIFS('Expenditure Breakdown'!$Q$37:$Q$44, 'Expenditure Breakdown'!$W$37:$W$44, "&gt;="&amp;CJ1,'Expenditure Breakdown'!$W$37:$W$44, "&lt;"&amp;CK1)+SUMIFS('Expenditure Breakdown'!$Q$59:$Q$66, 'Expenditure Breakdown'!$W$59:$W$66, "&gt;="&amp;CJ1,'Expenditure Breakdown'!$W$59:$W$66, "&lt;"&amp;CK1)+SUMIFS('Expenditure Breakdown'!$Q$101:$Q$108, 'Expenditure Breakdown'!$W$101:$W$108, "&gt;="&amp;CJ1,'Expenditure Breakdown'!$W$101:$W$108, "&lt;"&amp;CK1)</f>
        <v>0</v>
      </c>
      <c r="CK20" s="646">
        <f>SUMIFS('Expenditure Breakdown'!$Q$37:$Q$44, 'Expenditure Breakdown'!$W$37:$W$44, "&gt;="&amp;CK1,'Expenditure Breakdown'!$W$37:$W$44, "&lt;"&amp;CL1)+SUMIFS('Expenditure Breakdown'!$Q$59:$Q$66, 'Expenditure Breakdown'!$W$59:$W$66, "&gt;="&amp;CK1,'Expenditure Breakdown'!$W$59:$W$66, "&lt;"&amp;CL1)+SUMIFS('Expenditure Breakdown'!$Q$101:$Q$108, 'Expenditure Breakdown'!$W$101:$W$108, "&gt;="&amp;CK1,'Expenditure Breakdown'!$W$101:$W$108, "&lt;"&amp;CL1)</f>
        <v>0</v>
      </c>
      <c r="CL20" s="646">
        <f>SUMIFS('Expenditure Breakdown'!$Q$37:$Q$44, 'Expenditure Breakdown'!$W$37:$W$44, "&gt;="&amp;CL1,'Expenditure Breakdown'!$W$37:$W$44, "&lt;"&amp;CM1)+SUMIFS('Expenditure Breakdown'!$Q$59:$Q$66, 'Expenditure Breakdown'!$W$59:$W$66, "&gt;="&amp;CL1,'Expenditure Breakdown'!$W$59:$W$66, "&lt;"&amp;CM1)+SUMIFS('Expenditure Breakdown'!$Q$101:$Q$108, 'Expenditure Breakdown'!$W$101:$W$108, "&gt;="&amp;CL1,'Expenditure Breakdown'!$W$101:$W$108, "&lt;"&amp;CM1)</f>
        <v>0</v>
      </c>
      <c r="CM20" s="646">
        <f>SUMIFS('Expenditure Breakdown'!$Q$37:$Q$44, 'Expenditure Breakdown'!$W$37:$W$44, "&gt;="&amp;CM1,'Expenditure Breakdown'!$W$37:$W$44, "&lt;"&amp;CN1)+SUMIFS('Expenditure Breakdown'!$Q$59:$Q$66, 'Expenditure Breakdown'!$W$59:$W$66, "&gt;="&amp;CM1,'Expenditure Breakdown'!$W$59:$W$66, "&lt;"&amp;CN1)+SUMIFS('Expenditure Breakdown'!$Q$101:$Q$108, 'Expenditure Breakdown'!$W$101:$W$108, "&gt;="&amp;CM1,'Expenditure Breakdown'!$W$101:$W$108, "&lt;"&amp;CN1)</f>
        <v>0</v>
      </c>
      <c r="CN20" s="646">
        <f>SUMIFS('Expenditure Breakdown'!$Q$37:$Q$44, 'Expenditure Breakdown'!$W$37:$W$44, "&gt;="&amp;CN1,'Expenditure Breakdown'!$W$37:$W$44, "&lt;"&amp;CO1)+SUMIFS('Expenditure Breakdown'!$Q$59:$Q$66, 'Expenditure Breakdown'!$W$59:$W$66, "&gt;="&amp;CN1,'Expenditure Breakdown'!$W$59:$W$66, "&lt;"&amp;CO1)+SUMIFS('Expenditure Breakdown'!$Q$101:$Q$108, 'Expenditure Breakdown'!$W$101:$W$108, "&gt;="&amp;CN1,'Expenditure Breakdown'!$W$101:$W$108, "&lt;"&amp;CO1)</f>
        <v>0</v>
      </c>
      <c r="CO20" s="646">
        <f>SUMIFS('Expenditure Breakdown'!$Q$37:$Q$44, 'Expenditure Breakdown'!$W$37:$W$44, "&gt;="&amp;CO1,'Expenditure Breakdown'!$W$37:$W$44, "&lt;"&amp;CP1)+SUMIFS('Expenditure Breakdown'!$Q$59:$Q$66, 'Expenditure Breakdown'!$W$59:$W$66, "&gt;="&amp;CO1,'Expenditure Breakdown'!$W$59:$W$66, "&lt;"&amp;CP1)+SUMIFS('Expenditure Breakdown'!$Q$101:$Q$108, 'Expenditure Breakdown'!$W$101:$W$108, "&gt;="&amp;CO1,'Expenditure Breakdown'!$W$101:$W$108, "&lt;"&amp;CP1)</f>
        <v>0</v>
      </c>
      <c r="CP20" s="646">
        <f>SUMIFS('Expenditure Breakdown'!$Q$37:$Q$44, 'Expenditure Breakdown'!$W$37:$W$44, "&gt;="&amp;CP1,'Expenditure Breakdown'!$W$37:$W$44, "&lt;"&amp;CQ1)+SUMIFS('Expenditure Breakdown'!$Q$59:$Q$66, 'Expenditure Breakdown'!$W$59:$W$66, "&gt;="&amp;CP1,'Expenditure Breakdown'!$W$59:$W$66, "&lt;"&amp;CQ1)+SUMIFS('Expenditure Breakdown'!$Q$101:$Q$108, 'Expenditure Breakdown'!$W$101:$W$108, "&gt;="&amp;CP1,'Expenditure Breakdown'!$W$101:$W$108, "&lt;"&amp;CQ1)</f>
        <v>0</v>
      </c>
      <c r="CQ20" s="646">
        <f>SUMIFS('Expenditure Breakdown'!$Q$37:$Q$44, 'Expenditure Breakdown'!$W$37:$W$44, "&gt;="&amp;CQ1,'Expenditure Breakdown'!$W$37:$W$44, "&lt;"&amp;CR1)+SUMIFS('Expenditure Breakdown'!$Q$59:$Q$66, 'Expenditure Breakdown'!$W$59:$W$66, "&gt;="&amp;CQ1,'Expenditure Breakdown'!$W$59:$W$66, "&lt;"&amp;CR1)+SUMIFS('Expenditure Breakdown'!$Q$101:$Q$108, 'Expenditure Breakdown'!$W$101:$W$108, "&gt;="&amp;CQ1,'Expenditure Breakdown'!$W$101:$W$108, "&lt;"&amp;CR1)</f>
        <v>0</v>
      </c>
      <c r="CR20" s="646">
        <f>SUMIFS('Expenditure Breakdown'!$Q$37:$Q$44, 'Expenditure Breakdown'!$W$37:$W$44, "&gt;="&amp;CR1,'Expenditure Breakdown'!$W$37:$W$44, "&lt;"&amp;CS1)+SUMIFS('Expenditure Breakdown'!$Q$59:$Q$66, 'Expenditure Breakdown'!$W$59:$W$66, "&gt;="&amp;CR1,'Expenditure Breakdown'!$W$59:$W$66, "&lt;"&amp;CS1)+SUMIFS('Expenditure Breakdown'!$Q$101:$Q$108, 'Expenditure Breakdown'!$W$101:$W$108, "&gt;="&amp;CR1,'Expenditure Breakdown'!$W$101:$W$108, "&lt;"&amp;CS1)</f>
        <v>0</v>
      </c>
      <c r="CS20" s="646">
        <f>SUMIFS('Expenditure Breakdown'!$Q$37:$Q$44, 'Expenditure Breakdown'!$W$37:$W$44, "&gt;="&amp;CS1,'Expenditure Breakdown'!$W$37:$W$44, "&lt;"&amp;CT1)+SUMIFS('Expenditure Breakdown'!$Q$59:$Q$66, 'Expenditure Breakdown'!$W$59:$W$66, "&gt;="&amp;CS1,'Expenditure Breakdown'!$W$59:$W$66, "&lt;"&amp;CT1)+SUMIFS('Expenditure Breakdown'!$Q$101:$Q$108, 'Expenditure Breakdown'!$W$101:$W$108, "&gt;="&amp;CS1,'Expenditure Breakdown'!$W$101:$W$108, "&lt;"&amp;CT1)</f>
        <v>0</v>
      </c>
      <c r="CT20" s="646">
        <f>SUMIFS('Expenditure Breakdown'!$Q$37:$Q$44, 'Expenditure Breakdown'!$W$37:$W$44, "&gt;="&amp;CT1,'Expenditure Breakdown'!$W$37:$W$44, "&lt;"&amp;CU1)+SUMIFS('Expenditure Breakdown'!$Q$59:$Q$66, 'Expenditure Breakdown'!$W$59:$W$66, "&gt;="&amp;CT1,'Expenditure Breakdown'!$W$59:$W$66, "&lt;"&amp;CU1)+SUMIFS('Expenditure Breakdown'!$Q$101:$Q$108, 'Expenditure Breakdown'!$W$101:$W$108, "&gt;="&amp;CT1,'Expenditure Breakdown'!$W$101:$W$108, "&lt;"&amp;CU1)</f>
        <v>0</v>
      </c>
      <c r="CU20" s="646">
        <f>SUMIFS('Expenditure Breakdown'!$Q$37:$Q$44, 'Expenditure Breakdown'!$W$37:$W$44, "&gt;="&amp;CU1,'Expenditure Breakdown'!$W$37:$W$44, "&lt;"&amp;CV1)+SUMIFS('Expenditure Breakdown'!$Q$59:$Q$66, 'Expenditure Breakdown'!$W$59:$W$66, "&gt;="&amp;CU1,'Expenditure Breakdown'!$W$59:$W$66, "&lt;"&amp;CV1)+SUMIFS('Expenditure Breakdown'!$Q$101:$Q$108, 'Expenditure Breakdown'!$W$101:$W$108, "&gt;="&amp;CU1,'Expenditure Breakdown'!$W$101:$W$108, "&lt;"&amp;CV1)</f>
        <v>0</v>
      </c>
      <c r="CV20" s="646">
        <f>SUMIFS('Expenditure Breakdown'!$Q$37:$Q$44, 'Expenditure Breakdown'!$W$37:$W$44, "&gt;="&amp;CV1,'Expenditure Breakdown'!$W$37:$W$44, "&lt;"&amp;CW1)+SUMIFS('Expenditure Breakdown'!$Q$59:$Q$66, 'Expenditure Breakdown'!$W$59:$W$66, "&gt;="&amp;CV1,'Expenditure Breakdown'!$W$59:$W$66, "&lt;"&amp;CW1)+SUMIFS('Expenditure Breakdown'!$Q$101:$Q$108, 'Expenditure Breakdown'!$W$101:$W$108, "&gt;="&amp;CV1,'Expenditure Breakdown'!$W$101:$W$108, "&lt;"&amp;CW1)</f>
        <v>0</v>
      </c>
      <c r="CW20" s="646">
        <f>SUMIFS('Expenditure Breakdown'!$Q$37:$Q$44, 'Expenditure Breakdown'!$W$37:$W$44, "&gt;="&amp;CW1,'Expenditure Breakdown'!$W$37:$W$44, "&lt;"&amp;CX1)+SUMIFS('Expenditure Breakdown'!$Q$59:$Q$66, 'Expenditure Breakdown'!$W$59:$W$66, "&gt;="&amp;CW1,'Expenditure Breakdown'!$W$59:$W$66, "&lt;"&amp;CX1)+SUMIFS('Expenditure Breakdown'!$Q$101:$Q$108, 'Expenditure Breakdown'!$W$101:$W$108, "&gt;="&amp;CW1,'Expenditure Breakdown'!$W$101:$W$108, "&lt;"&amp;CX1)</f>
        <v>0</v>
      </c>
      <c r="CX20" s="646">
        <f>SUMIFS('Expenditure Breakdown'!$Q$37:$Q$44, 'Expenditure Breakdown'!$W$37:$W$44, "&gt;="&amp;CX1,'Expenditure Breakdown'!$W$37:$W$44, "&lt;"&amp;CY1)+SUMIFS('Expenditure Breakdown'!$Q$59:$Q$66, 'Expenditure Breakdown'!$W$59:$W$66, "&gt;="&amp;CX1,'Expenditure Breakdown'!$W$59:$W$66, "&lt;"&amp;CY1)+SUMIFS('Expenditure Breakdown'!$Q$101:$Q$108, 'Expenditure Breakdown'!$W$101:$W$108, "&gt;="&amp;CX1,'Expenditure Breakdown'!$W$101:$W$108, "&lt;"&amp;CY1)</f>
        <v>0</v>
      </c>
      <c r="CY20" s="646">
        <f>SUMIFS('Expenditure Breakdown'!$Q$37:$Q$44, 'Expenditure Breakdown'!$W$37:$W$44, "&gt;="&amp;CY1,'Expenditure Breakdown'!$W$37:$W$44, "&lt;"&amp;CZ1)+SUMIFS('Expenditure Breakdown'!$Q$59:$Q$66, 'Expenditure Breakdown'!$W$59:$W$66, "&gt;="&amp;CY1,'Expenditure Breakdown'!$W$59:$W$66, "&lt;"&amp;CZ1)+SUMIFS('Expenditure Breakdown'!$Q$101:$Q$108, 'Expenditure Breakdown'!$W$101:$W$108, "&gt;="&amp;CY1,'Expenditure Breakdown'!$W$101:$W$108, "&lt;"&amp;CZ1)</f>
        <v>0</v>
      </c>
      <c r="CZ20" s="646">
        <f>SUMIFS('Expenditure Breakdown'!$Q$37:$Q$44, 'Expenditure Breakdown'!$W$37:$W$44, "&gt;="&amp;CZ1,'Expenditure Breakdown'!$W$37:$W$44, "&lt;"&amp;DA1)+SUMIFS('Expenditure Breakdown'!$Q$59:$Q$66, 'Expenditure Breakdown'!$W$59:$W$66, "&gt;="&amp;CZ1,'Expenditure Breakdown'!$W$59:$W$66, "&lt;"&amp;DA1)+SUMIFS('Expenditure Breakdown'!$Q$101:$Q$108, 'Expenditure Breakdown'!$W$101:$W$108, "&gt;="&amp;CZ1,'Expenditure Breakdown'!$W$101:$W$108, "&lt;"&amp;DA1)</f>
        <v>0</v>
      </c>
      <c r="DA20" s="646">
        <f>SUMIFS('Expenditure Breakdown'!$Q$37:$Q$44, 'Expenditure Breakdown'!$W$37:$W$44, "&gt;="&amp;DA1,'Expenditure Breakdown'!$W$37:$W$44, "&lt;"&amp;DB1)+SUMIFS('Expenditure Breakdown'!$Q$59:$Q$66, 'Expenditure Breakdown'!$W$59:$W$66, "&gt;="&amp;DA1,'Expenditure Breakdown'!$W$59:$W$66, "&lt;"&amp;DB1)+SUMIFS('Expenditure Breakdown'!$Q$101:$Q$108, 'Expenditure Breakdown'!$W$101:$W$108, "&gt;="&amp;DA1,'Expenditure Breakdown'!$W$101:$W$108, "&lt;"&amp;DB1)</f>
        <v>0</v>
      </c>
      <c r="DB20" s="646">
        <f>SUMIFS('Expenditure Breakdown'!$Q$37:$Q$44, 'Expenditure Breakdown'!$W$37:$W$44, "&gt;="&amp;DB1,'Expenditure Breakdown'!$W$37:$W$44, "&lt;"&amp;DC1)+SUMIFS('Expenditure Breakdown'!$Q$59:$Q$66, 'Expenditure Breakdown'!$W$59:$W$66, "&gt;="&amp;DB1,'Expenditure Breakdown'!$W$59:$W$66, "&lt;"&amp;DC1)+SUMIFS('Expenditure Breakdown'!$Q$101:$Q$108, 'Expenditure Breakdown'!$W$101:$W$108, "&gt;="&amp;DB1,'Expenditure Breakdown'!$W$101:$W$108, "&lt;"&amp;DC1)</f>
        <v>0</v>
      </c>
      <c r="DC20" s="646">
        <f>SUMIFS('Expenditure Breakdown'!$Q$37:$Q$44, 'Expenditure Breakdown'!$W$37:$W$44, "&gt;="&amp;DC1,'Expenditure Breakdown'!$W$37:$W$44, "&lt;"&amp;DD1)+SUMIFS('Expenditure Breakdown'!$Q$59:$Q$66, 'Expenditure Breakdown'!$W$59:$W$66, "&gt;="&amp;DC1,'Expenditure Breakdown'!$W$59:$W$66, "&lt;"&amp;DD1)+SUMIFS('Expenditure Breakdown'!$Q$101:$Q$108, 'Expenditure Breakdown'!$W$101:$W$108, "&gt;="&amp;DC1,'Expenditure Breakdown'!$W$101:$W$108, "&lt;"&amp;DD1)</f>
        <v>0</v>
      </c>
      <c r="DD20" s="646">
        <f>SUMIFS('Expenditure Breakdown'!$Q$37:$Q$44, 'Expenditure Breakdown'!$W$37:$W$44, "&gt;="&amp;DD1,'Expenditure Breakdown'!$W$37:$W$44, "&lt;"&amp;DE1)+SUMIFS('Expenditure Breakdown'!$Q$59:$Q$66, 'Expenditure Breakdown'!$W$59:$W$66, "&gt;="&amp;DD1,'Expenditure Breakdown'!$W$59:$W$66, "&lt;"&amp;DE1)+SUMIFS('Expenditure Breakdown'!$Q$101:$Q$108, 'Expenditure Breakdown'!$W$101:$W$108, "&gt;="&amp;DD1,'Expenditure Breakdown'!$W$101:$W$108, "&lt;"&amp;DE1)</f>
        <v>0</v>
      </c>
      <c r="DE20" s="646">
        <f>SUMIFS('Expenditure Breakdown'!$Q$37:$Q$44, 'Expenditure Breakdown'!$W$37:$W$44, "&gt;="&amp;DE1,'Expenditure Breakdown'!$W$37:$W$44, "&lt;"&amp;DF1)+SUMIFS('Expenditure Breakdown'!$Q$59:$Q$66, 'Expenditure Breakdown'!$W$59:$W$66, "&gt;="&amp;DE1,'Expenditure Breakdown'!$W$59:$W$66, "&lt;"&amp;DF1)+SUMIFS('Expenditure Breakdown'!$Q$101:$Q$108, 'Expenditure Breakdown'!$W$101:$W$108, "&gt;="&amp;DE1,'Expenditure Breakdown'!$W$101:$W$108, "&lt;"&amp;DF1)</f>
        <v>0</v>
      </c>
      <c r="DF20" s="646">
        <f>SUMIFS('Expenditure Breakdown'!$Q$37:$Q$44, 'Expenditure Breakdown'!$W$37:$W$44, "&gt;="&amp;DF1,'Expenditure Breakdown'!$W$37:$W$44, "&lt;"&amp;DG1)+SUMIFS('Expenditure Breakdown'!$Q$59:$Q$66, 'Expenditure Breakdown'!$W$59:$W$66, "&gt;="&amp;DF1,'Expenditure Breakdown'!$W$59:$W$66, "&lt;"&amp;DG1)+SUMIFS('Expenditure Breakdown'!$Q$101:$Q$108, 'Expenditure Breakdown'!$W$101:$W$108, "&gt;="&amp;DF1,'Expenditure Breakdown'!$W$101:$W$108, "&lt;"&amp;DG1)</f>
        <v>0</v>
      </c>
      <c r="DG20" s="646">
        <f>SUMIFS('Expenditure Breakdown'!$Q$37:$Q$44, 'Expenditure Breakdown'!$W$37:$W$44, "&gt;="&amp;DG1,'Expenditure Breakdown'!$W$37:$W$44, "&lt;"&amp;DH1)+SUMIFS('Expenditure Breakdown'!$Q$59:$Q$66, 'Expenditure Breakdown'!$W$59:$W$66, "&gt;="&amp;DG1,'Expenditure Breakdown'!$W$59:$W$66, "&lt;"&amp;DH1)+SUMIFS('Expenditure Breakdown'!$Q$101:$Q$108, 'Expenditure Breakdown'!$W$101:$W$108, "&gt;="&amp;DG1,'Expenditure Breakdown'!$W$101:$W$108, "&lt;"&amp;DH1)</f>
        <v>0</v>
      </c>
      <c r="DH20" s="646">
        <f>SUMIFS('Expenditure Breakdown'!$Q$37:$Q$44, 'Expenditure Breakdown'!$W$37:$W$44, "&gt;="&amp;DH1,'Expenditure Breakdown'!$W$37:$W$44, "&lt;"&amp;DI1)+SUMIFS('Expenditure Breakdown'!$Q$59:$Q$66, 'Expenditure Breakdown'!$W$59:$W$66, "&gt;="&amp;DH1,'Expenditure Breakdown'!$W$59:$W$66, "&lt;"&amp;DI1)+SUMIFS('Expenditure Breakdown'!$Q$101:$Q$108, 'Expenditure Breakdown'!$W$101:$W$108, "&gt;="&amp;DH1,'Expenditure Breakdown'!$W$101:$W$108, "&lt;"&amp;DI1)</f>
        <v>0</v>
      </c>
      <c r="DI20" s="646">
        <f>SUMIFS('Expenditure Breakdown'!$Q$37:$Q$44, 'Expenditure Breakdown'!$W$37:$W$44, "&gt;="&amp;DI1,'Expenditure Breakdown'!$W$37:$W$44, "&lt;"&amp;DJ1)+SUMIFS('Expenditure Breakdown'!$Q$59:$Q$66, 'Expenditure Breakdown'!$W$59:$W$66, "&gt;="&amp;DI1,'Expenditure Breakdown'!$W$59:$W$66, "&lt;"&amp;DJ1)+SUMIFS('Expenditure Breakdown'!$Q$101:$Q$108, 'Expenditure Breakdown'!$W$101:$W$108, "&gt;="&amp;DI1,'Expenditure Breakdown'!$W$101:$W$108, "&lt;"&amp;DJ1)</f>
        <v>0</v>
      </c>
      <c r="DJ20" s="646">
        <f>SUMIFS('Expenditure Breakdown'!$Q$37:$Q$44, 'Expenditure Breakdown'!$W$37:$W$44, "&gt;="&amp;DJ1,'Expenditure Breakdown'!$W$37:$W$44, "&lt;"&amp;DK1)+SUMIFS('Expenditure Breakdown'!$Q$59:$Q$66, 'Expenditure Breakdown'!$W$59:$W$66, "&gt;="&amp;DJ1,'Expenditure Breakdown'!$W$59:$W$66, "&lt;"&amp;DK1)+SUMIFS('Expenditure Breakdown'!$Q$101:$Q$108, 'Expenditure Breakdown'!$W$101:$W$108, "&gt;="&amp;DJ1,'Expenditure Breakdown'!$W$101:$W$108, "&lt;"&amp;DK1)</f>
        <v>0</v>
      </c>
      <c r="DK20" s="646">
        <f>SUMIFS('Expenditure Breakdown'!$Q$37:$Q$44, 'Expenditure Breakdown'!$W$37:$W$44, "&gt;="&amp;DK1,'Expenditure Breakdown'!$W$37:$W$44, "&lt;"&amp;DL1)+SUMIFS('Expenditure Breakdown'!$Q$59:$Q$66, 'Expenditure Breakdown'!$W$59:$W$66, "&gt;="&amp;DK1,'Expenditure Breakdown'!$W$59:$W$66, "&lt;"&amp;DL1)+SUMIFS('Expenditure Breakdown'!$Q$101:$Q$108, 'Expenditure Breakdown'!$W$101:$W$108, "&gt;="&amp;DK1,'Expenditure Breakdown'!$W$101:$W$108, "&lt;"&amp;DL1)</f>
        <v>0</v>
      </c>
      <c r="DL20" s="646">
        <f>SUMIFS('Expenditure Breakdown'!$Q$37:$Q$44, 'Expenditure Breakdown'!$W$37:$W$44, "&gt;="&amp;DL1,'Expenditure Breakdown'!$W$37:$W$44, "&lt;"&amp;DM1)+SUMIFS('Expenditure Breakdown'!$Q$59:$Q$66, 'Expenditure Breakdown'!$W$59:$W$66, "&gt;="&amp;DL1,'Expenditure Breakdown'!$W$59:$W$66, "&lt;"&amp;DM1)+SUMIFS('Expenditure Breakdown'!$Q$101:$Q$108, 'Expenditure Breakdown'!$W$101:$W$108, "&gt;="&amp;DL1,'Expenditure Breakdown'!$W$101:$W$108, "&lt;"&amp;DM1)</f>
        <v>0</v>
      </c>
      <c r="DM20" s="646">
        <f>SUMIFS('Expenditure Breakdown'!$Q$37:$Q$44, 'Expenditure Breakdown'!$W$37:$W$44, "&gt;="&amp;DM1,'Expenditure Breakdown'!$W$37:$W$44, "&lt;"&amp;DN1)+SUMIFS('Expenditure Breakdown'!$Q$59:$Q$66, 'Expenditure Breakdown'!$W$59:$W$66, "&gt;="&amp;DM1,'Expenditure Breakdown'!$W$59:$W$66, "&lt;"&amp;DN1)+SUMIFS('Expenditure Breakdown'!$Q$101:$Q$108, 'Expenditure Breakdown'!$W$101:$W$108, "&gt;="&amp;DM1,'Expenditure Breakdown'!$W$101:$W$108, "&lt;"&amp;DN1)</f>
        <v>0</v>
      </c>
      <c r="DN20" s="646">
        <f>SUMIFS('Expenditure Breakdown'!$Q$37:$Q$44, 'Expenditure Breakdown'!$W$37:$W$44, "&gt;="&amp;DN1,'Expenditure Breakdown'!$W$37:$W$44, "&lt;"&amp;DO1)+SUMIFS('Expenditure Breakdown'!$Q$59:$Q$66, 'Expenditure Breakdown'!$W$59:$W$66, "&gt;="&amp;DN1,'Expenditure Breakdown'!$W$59:$W$66, "&lt;"&amp;DO1)+SUMIFS('Expenditure Breakdown'!$Q$101:$Q$108, 'Expenditure Breakdown'!$W$101:$W$108, "&gt;="&amp;DN1,'Expenditure Breakdown'!$W$101:$W$108, "&lt;"&amp;DO1)</f>
        <v>0</v>
      </c>
      <c r="DO20" s="646">
        <f>SUMIFS('Expenditure Breakdown'!$Q$37:$Q$44, 'Expenditure Breakdown'!$W$37:$W$44, "&gt;="&amp;DO1,'Expenditure Breakdown'!$W$37:$W$44, "&lt;"&amp;DP1)+SUMIFS('Expenditure Breakdown'!$Q$59:$Q$66, 'Expenditure Breakdown'!$W$59:$W$66, "&gt;="&amp;DO1,'Expenditure Breakdown'!$W$59:$W$66, "&lt;"&amp;DP1)+SUMIFS('Expenditure Breakdown'!$Q$101:$Q$108, 'Expenditure Breakdown'!$W$101:$W$108, "&gt;="&amp;DO1,'Expenditure Breakdown'!$W$101:$W$108, "&lt;"&amp;DP1)</f>
        <v>0</v>
      </c>
      <c r="DP20" s="646">
        <f>SUMIFS('Expenditure Breakdown'!$Q$37:$Q$44, 'Expenditure Breakdown'!$W$37:$W$44, "&gt;="&amp;DP1,'Expenditure Breakdown'!$W$37:$W$44, "&lt;"&amp;DQ1)+SUMIFS('Expenditure Breakdown'!$Q$59:$Q$66, 'Expenditure Breakdown'!$W$59:$W$66, "&gt;="&amp;DP1,'Expenditure Breakdown'!$W$59:$W$66, "&lt;"&amp;DQ1)+SUMIFS('Expenditure Breakdown'!$Q$101:$Q$108, 'Expenditure Breakdown'!$W$101:$W$108, "&gt;="&amp;DP1,'Expenditure Breakdown'!$W$101:$W$108, "&lt;"&amp;DQ1)</f>
        <v>0</v>
      </c>
      <c r="DQ20" s="646">
        <f>SUMIFS('Expenditure Breakdown'!$Q$37:$Q$44, 'Expenditure Breakdown'!$W$37:$W$44, "&gt;="&amp;DQ1,'Expenditure Breakdown'!$W$37:$W$44, "&lt;"&amp;DR1)+SUMIFS('Expenditure Breakdown'!$Q$59:$Q$66, 'Expenditure Breakdown'!$W$59:$W$66, "&gt;="&amp;DQ1,'Expenditure Breakdown'!$W$59:$W$66, "&lt;"&amp;DR1)+SUMIFS('Expenditure Breakdown'!$Q$101:$Q$108, 'Expenditure Breakdown'!$W$101:$W$108, "&gt;="&amp;DQ1,'Expenditure Breakdown'!$W$101:$W$108, "&lt;"&amp;DR1)</f>
        <v>0</v>
      </c>
      <c r="DR20" s="646">
        <f>SUMIFS('Expenditure Breakdown'!$Q$37:$Q$44, 'Expenditure Breakdown'!$W$37:$W$44, "&gt;="&amp;DR1,'Expenditure Breakdown'!$W$37:$W$44, "&lt;"&amp;DS1)+SUMIFS('Expenditure Breakdown'!$Q$59:$Q$66, 'Expenditure Breakdown'!$W$59:$W$66, "&gt;="&amp;DR1,'Expenditure Breakdown'!$W$59:$W$66, "&lt;"&amp;DS1)+SUMIFS('Expenditure Breakdown'!$Q$101:$Q$108, 'Expenditure Breakdown'!$W$101:$W$108, "&gt;="&amp;DR1,'Expenditure Breakdown'!$W$101:$W$108, "&lt;"&amp;DS1)</f>
        <v>0</v>
      </c>
      <c r="DS20" s="646">
        <f>SUMIFS('Expenditure Breakdown'!$Q$37:$Q$44, 'Expenditure Breakdown'!$W$37:$W$44, "&gt;="&amp;DS1,'Expenditure Breakdown'!$W$37:$W$44, "&lt;"&amp;DT1)+SUMIFS('Expenditure Breakdown'!$Q$59:$Q$66, 'Expenditure Breakdown'!$W$59:$W$66, "&gt;="&amp;DS1,'Expenditure Breakdown'!$W$59:$W$66, "&lt;"&amp;DT1)+SUMIFS('Expenditure Breakdown'!$Q$101:$Q$108, 'Expenditure Breakdown'!$W$101:$W$108, "&gt;="&amp;DS1,'Expenditure Breakdown'!$W$101:$W$108, "&lt;"&amp;DT1)</f>
        <v>0</v>
      </c>
    </row>
    <row r="21" spans="1:123">
      <c r="B21" t="s">
        <v>623</v>
      </c>
      <c r="E21" s="240"/>
      <c r="F21" s="646">
        <f>F20</f>
        <v>0</v>
      </c>
      <c r="G21" s="646">
        <f>G20+F21</f>
        <v>0</v>
      </c>
      <c r="H21" s="646">
        <f>H20+G21</f>
        <v>0</v>
      </c>
      <c r="I21" s="646">
        <f t="shared" ref="I21:BT21" si="228">I20+H21</f>
        <v>0</v>
      </c>
      <c r="J21" s="646">
        <f t="shared" si="228"/>
        <v>0</v>
      </c>
      <c r="K21" s="646">
        <f t="shared" si="228"/>
        <v>240000</v>
      </c>
      <c r="L21" s="646">
        <f t="shared" si="228"/>
        <v>240000</v>
      </c>
      <c r="M21" s="646">
        <f t="shared" si="228"/>
        <v>600000</v>
      </c>
      <c r="N21" s="646">
        <f t="shared" si="228"/>
        <v>600000</v>
      </c>
      <c r="O21" s="646">
        <f t="shared" si="228"/>
        <v>600000</v>
      </c>
      <c r="P21" s="646">
        <f t="shared" si="228"/>
        <v>600000</v>
      </c>
      <c r="Q21" s="646">
        <f t="shared" si="228"/>
        <v>600000</v>
      </c>
      <c r="R21" s="646">
        <f t="shared" si="228"/>
        <v>600000</v>
      </c>
      <c r="S21" s="646">
        <f t="shared" si="228"/>
        <v>600000</v>
      </c>
      <c r="T21" s="646">
        <f t="shared" si="228"/>
        <v>600000</v>
      </c>
      <c r="U21" s="646">
        <f t="shared" si="228"/>
        <v>600000</v>
      </c>
      <c r="V21" s="646">
        <f t="shared" si="228"/>
        <v>1200000</v>
      </c>
      <c r="W21" s="646">
        <f t="shared" si="228"/>
        <v>1200000</v>
      </c>
      <c r="X21" s="646">
        <f t="shared" si="228"/>
        <v>1200000</v>
      </c>
      <c r="Y21" s="646">
        <f t="shared" si="228"/>
        <v>1200000</v>
      </c>
      <c r="Z21" s="646">
        <f t="shared" si="228"/>
        <v>1200000</v>
      </c>
      <c r="AA21" s="646">
        <f t="shared" si="228"/>
        <v>1680000</v>
      </c>
      <c r="AB21" s="646">
        <f t="shared" si="228"/>
        <v>2160000</v>
      </c>
      <c r="AC21" s="646">
        <f t="shared" si="228"/>
        <v>2160000</v>
      </c>
      <c r="AD21" s="646">
        <f t="shared" si="228"/>
        <v>2280000</v>
      </c>
      <c r="AE21" s="646">
        <f t="shared" si="228"/>
        <v>2280000</v>
      </c>
      <c r="AF21" s="646">
        <f t="shared" si="228"/>
        <v>2280000</v>
      </c>
      <c r="AG21" s="646">
        <f t="shared" si="228"/>
        <v>2280000</v>
      </c>
      <c r="AH21" s="646">
        <f t="shared" si="228"/>
        <v>2280000</v>
      </c>
      <c r="AI21" s="646">
        <f t="shared" si="228"/>
        <v>2280000</v>
      </c>
      <c r="AJ21" s="646">
        <f t="shared" si="228"/>
        <v>2280000</v>
      </c>
      <c r="AK21" s="646">
        <f t="shared" si="228"/>
        <v>2280000</v>
      </c>
      <c r="AL21" s="646">
        <f t="shared" si="228"/>
        <v>2280000</v>
      </c>
      <c r="AM21" s="646">
        <f t="shared" si="228"/>
        <v>2280000</v>
      </c>
      <c r="AN21" s="646">
        <f t="shared" si="228"/>
        <v>2280000</v>
      </c>
      <c r="AO21" s="646">
        <f t="shared" si="228"/>
        <v>2280000</v>
      </c>
      <c r="AP21" s="646">
        <f t="shared" si="228"/>
        <v>2280000</v>
      </c>
      <c r="AQ21" s="646">
        <f t="shared" si="228"/>
        <v>2280000</v>
      </c>
      <c r="AR21" s="646">
        <f t="shared" si="228"/>
        <v>2280000</v>
      </c>
      <c r="AS21" s="646">
        <f t="shared" si="228"/>
        <v>2280000</v>
      </c>
      <c r="AT21" s="646">
        <f t="shared" si="228"/>
        <v>2280000</v>
      </c>
      <c r="AU21" s="646">
        <f t="shared" si="228"/>
        <v>2280000</v>
      </c>
      <c r="AV21" s="646">
        <f t="shared" si="228"/>
        <v>2280000</v>
      </c>
      <c r="AW21" s="646">
        <f t="shared" si="228"/>
        <v>2280000</v>
      </c>
      <c r="AX21" s="646">
        <f t="shared" si="228"/>
        <v>2280000</v>
      </c>
      <c r="AY21" s="646">
        <f t="shared" si="228"/>
        <v>2280000</v>
      </c>
      <c r="AZ21" s="646">
        <f t="shared" si="228"/>
        <v>2280000</v>
      </c>
      <c r="BA21" s="646">
        <f t="shared" si="228"/>
        <v>2280000</v>
      </c>
      <c r="BB21" s="646">
        <f t="shared" si="228"/>
        <v>2280000</v>
      </c>
      <c r="BC21" s="646">
        <f t="shared" si="228"/>
        <v>2280000</v>
      </c>
      <c r="BD21" s="646">
        <f t="shared" si="228"/>
        <v>2280000</v>
      </c>
      <c r="BE21" s="646">
        <f t="shared" si="228"/>
        <v>2280000</v>
      </c>
      <c r="BF21" s="646">
        <f t="shared" si="228"/>
        <v>2280000</v>
      </c>
      <c r="BG21" s="646">
        <f t="shared" si="228"/>
        <v>2280000</v>
      </c>
      <c r="BH21" s="646">
        <f t="shared" si="228"/>
        <v>2280000</v>
      </c>
      <c r="BI21" s="646">
        <f t="shared" si="228"/>
        <v>2280000</v>
      </c>
      <c r="BJ21" s="646">
        <f t="shared" si="228"/>
        <v>2280000</v>
      </c>
      <c r="BK21" s="646">
        <f t="shared" si="228"/>
        <v>2280000</v>
      </c>
      <c r="BL21" s="646">
        <f t="shared" si="228"/>
        <v>2280000</v>
      </c>
      <c r="BM21" s="646">
        <f t="shared" si="228"/>
        <v>2280000</v>
      </c>
      <c r="BN21" s="646">
        <f t="shared" si="228"/>
        <v>2280000</v>
      </c>
      <c r="BO21" s="646">
        <f t="shared" si="228"/>
        <v>2400000</v>
      </c>
      <c r="BP21" s="646">
        <f t="shared" si="228"/>
        <v>2400000</v>
      </c>
      <c r="BQ21" s="646">
        <f t="shared" si="228"/>
        <v>2400000</v>
      </c>
      <c r="BR21" s="646">
        <f t="shared" si="228"/>
        <v>2400000</v>
      </c>
      <c r="BS21" s="646">
        <f t="shared" si="228"/>
        <v>2400000</v>
      </c>
      <c r="BT21" s="646">
        <f t="shared" si="228"/>
        <v>2400000</v>
      </c>
      <c r="BU21" s="646">
        <f t="shared" ref="BU21:CJ21" si="229">BU20+BT21</f>
        <v>2400000</v>
      </c>
      <c r="BV21" s="646">
        <f t="shared" si="229"/>
        <v>2400000</v>
      </c>
      <c r="BW21" s="646">
        <f t="shared" si="229"/>
        <v>2400000</v>
      </c>
      <c r="BX21" s="646">
        <f t="shared" si="229"/>
        <v>2400000</v>
      </c>
      <c r="BY21" s="646">
        <f t="shared" si="229"/>
        <v>2400000</v>
      </c>
      <c r="BZ21" s="646">
        <f t="shared" si="229"/>
        <v>2400000</v>
      </c>
      <c r="CA21" s="646">
        <f t="shared" si="229"/>
        <v>2400000</v>
      </c>
      <c r="CB21" s="646">
        <f t="shared" si="229"/>
        <v>2400000</v>
      </c>
      <c r="CC21" s="646">
        <f t="shared" si="229"/>
        <v>2400000</v>
      </c>
      <c r="CD21" s="646">
        <f t="shared" si="229"/>
        <v>2400000</v>
      </c>
      <c r="CE21" s="646">
        <f t="shared" si="229"/>
        <v>2400000</v>
      </c>
      <c r="CF21" s="646">
        <f t="shared" si="229"/>
        <v>2400000</v>
      </c>
      <c r="CG21" s="646">
        <f t="shared" si="229"/>
        <v>2400000</v>
      </c>
      <c r="CH21" s="646">
        <f t="shared" si="229"/>
        <v>2400000</v>
      </c>
      <c r="CI21" s="646">
        <f t="shared" si="229"/>
        <v>2400000</v>
      </c>
      <c r="CJ21" s="646">
        <f t="shared" si="229"/>
        <v>2400000</v>
      </c>
      <c r="CK21" s="646">
        <f t="shared" ref="CK21" si="230">CK20+CJ21</f>
        <v>2400000</v>
      </c>
      <c r="CL21" s="646">
        <f t="shared" ref="CL21" si="231">CL20+CK21</f>
        <v>2400000</v>
      </c>
      <c r="CM21" s="646">
        <f t="shared" ref="CM21" si="232">CM20+CL21</f>
        <v>2400000</v>
      </c>
      <c r="CN21" s="646">
        <f t="shared" ref="CN21" si="233">CN20+CM21</f>
        <v>2400000</v>
      </c>
      <c r="CO21" s="646">
        <f t="shared" ref="CO21" si="234">CO20+CN21</f>
        <v>2400000</v>
      </c>
      <c r="CP21" s="646">
        <f t="shared" ref="CP21" si="235">CP20+CO21</f>
        <v>2400000</v>
      </c>
      <c r="CQ21" s="646">
        <f t="shared" ref="CQ21" si="236">CQ20+CP21</f>
        <v>2400000</v>
      </c>
      <c r="CR21" s="646">
        <f t="shared" ref="CR21" si="237">CR20+CQ21</f>
        <v>2400000</v>
      </c>
      <c r="CS21" s="646">
        <f t="shared" ref="CS21" si="238">CS20+CR21</f>
        <v>2400000</v>
      </c>
      <c r="CT21" s="646">
        <f t="shared" ref="CT21" si="239">CT20+CS21</f>
        <v>2400000</v>
      </c>
      <c r="CU21" s="646">
        <f t="shared" ref="CU21" si="240">CU20+CT21</f>
        <v>2400000</v>
      </c>
      <c r="CV21" s="646">
        <f t="shared" ref="CV21" si="241">CV20+CU21</f>
        <v>2400000</v>
      </c>
      <c r="CW21" s="646">
        <f t="shared" ref="CW21" si="242">CW20+CV21</f>
        <v>2400000</v>
      </c>
      <c r="CX21" s="646">
        <f t="shared" ref="CX21" si="243">CX20+CW21</f>
        <v>2400000</v>
      </c>
      <c r="CY21" s="646">
        <f t="shared" ref="CY21" si="244">CY20+CX21</f>
        <v>2400000</v>
      </c>
      <c r="CZ21" s="646">
        <f t="shared" ref="CZ21" si="245">CZ20+CY21</f>
        <v>2400000</v>
      </c>
      <c r="DA21" s="646">
        <f t="shared" ref="DA21" si="246">DA20+CZ21</f>
        <v>2400000</v>
      </c>
      <c r="DB21" s="646">
        <f t="shared" ref="DB21" si="247">DB20+DA21</f>
        <v>2400000</v>
      </c>
      <c r="DC21" s="646">
        <f t="shared" ref="DC21" si="248">DC20+DB21</f>
        <v>2400000</v>
      </c>
      <c r="DD21" s="646">
        <f t="shared" ref="DD21" si="249">DD20+DC21</f>
        <v>2400000</v>
      </c>
      <c r="DE21" s="646">
        <f t="shared" ref="DE21" si="250">DE20+DD21</f>
        <v>2400000</v>
      </c>
      <c r="DF21" s="646">
        <f t="shared" ref="DF21" si="251">DF20+DE21</f>
        <v>2400000</v>
      </c>
      <c r="DG21" s="646">
        <f t="shared" ref="DG21" si="252">DG20+DF21</f>
        <v>2400000</v>
      </c>
      <c r="DH21" s="646">
        <f t="shared" ref="DH21" si="253">DH20+DG21</f>
        <v>2400000</v>
      </c>
      <c r="DI21" s="646">
        <f t="shared" ref="DI21" si="254">DI20+DH21</f>
        <v>2400000</v>
      </c>
      <c r="DJ21" s="646">
        <f t="shared" ref="DJ21" si="255">DJ20+DI21</f>
        <v>2400000</v>
      </c>
      <c r="DK21" s="646">
        <f t="shared" ref="DK21" si="256">DK20+DJ21</f>
        <v>2400000</v>
      </c>
      <c r="DL21" s="646">
        <f t="shared" ref="DL21" si="257">DL20+DK21</f>
        <v>2400000</v>
      </c>
      <c r="DM21" s="646">
        <f t="shared" ref="DM21" si="258">DM20+DL21</f>
        <v>2400000</v>
      </c>
      <c r="DN21" s="646">
        <f t="shared" ref="DN21" si="259">DN20+DM21</f>
        <v>2400000</v>
      </c>
      <c r="DO21" s="646">
        <f t="shared" ref="DO21" si="260">DO20+DN21</f>
        <v>2400000</v>
      </c>
      <c r="DP21" s="646">
        <f t="shared" ref="DP21" si="261">DP20+DO21</f>
        <v>2400000</v>
      </c>
      <c r="DQ21" s="646">
        <f t="shared" ref="DQ21" si="262">DQ20+DP21</f>
        <v>2400000</v>
      </c>
      <c r="DR21" s="646">
        <f t="shared" ref="DR21" si="263">DR20+DQ21</f>
        <v>2400000</v>
      </c>
      <c r="DS21" s="646">
        <f t="shared" ref="DS21" si="264">DS20+DR21</f>
        <v>2400000</v>
      </c>
    </row>
    <row r="22" spans="1:123" s="240" customFormat="1"/>
    <row r="25" spans="1:123">
      <c r="D25" s="518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U27"/>
  <sheetViews>
    <sheetView topLeftCell="C1" zoomScale="85" zoomScaleNormal="85" workbookViewId="0">
      <selection activeCell="S21" sqref="S21"/>
    </sheetView>
  </sheetViews>
  <sheetFormatPr defaultColWidth="8.42578125" defaultRowHeight="14.45"/>
  <cols>
    <col min="1" max="1" width="20.140625" bestFit="1" customWidth="1"/>
    <col min="2" max="2" width="15.85546875" style="619" bestFit="1" customWidth="1"/>
    <col min="3" max="3" width="11.85546875" style="619" bestFit="1" customWidth="1"/>
    <col min="4" max="4" width="12.85546875" style="619" bestFit="1" customWidth="1"/>
    <col min="5" max="5" width="14.5703125" style="619" bestFit="1" customWidth="1"/>
    <col min="6" max="6" width="11.85546875" style="619" bestFit="1" customWidth="1"/>
    <col min="7" max="7" width="12.85546875" style="619" bestFit="1" customWidth="1"/>
    <col min="8" max="8" width="14.5703125" style="619" bestFit="1" customWidth="1"/>
    <col min="9" max="9" width="12.85546875" style="619" bestFit="1" customWidth="1"/>
    <col min="10" max="11" width="11.85546875" bestFit="1" customWidth="1"/>
    <col min="12" max="12" width="10.85546875" bestFit="1" customWidth="1"/>
    <col min="13" max="13" width="12.85546875" bestFit="1" customWidth="1"/>
    <col min="14" max="14" width="11.85546875" bestFit="1" customWidth="1"/>
    <col min="15" max="16" width="12.85546875" bestFit="1" customWidth="1"/>
    <col min="17" max="17" width="11.85546875" bestFit="1" customWidth="1"/>
    <col min="18" max="19" width="11.140625" bestFit="1" customWidth="1"/>
    <col min="20" max="20" width="14.5703125" bestFit="1" customWidth="1"/>
    <col min="21" max="21" width="14" bestFit="1" customWidth="1"/>
  </cols>
  <sheetData>
    <row r="3" spans="1:21">
      <c r="A3" s="516" t="s">
        <v>624</v>
      </c>
      <c r="B3" s="516" t="s">
        <v>625</v>
      </c>
      <c r="C3"/>
      <c r="D3"/>
      <c r="E3"/>
      <c r="F3"/>
      <c r="G3"/>
      <c r="H3"/>
      <c r="I3"/>
    </row>
    <row r="4" spans="1:21">
      <c r="A4" s="516" t="s">
        <v>626</v>
      </c>
      <c r="B4" t="s">
        <v>627</v>
      </c>
      <c r="C4" s="630">
        <v>45473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45657</v>
      </c>
      <c r="J4" s="630">
        <v>45688</v>
      </c>
      <c r="K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628</v>
      </c>
    </row>
    <row r="5" spans="1:21">
      <c r="A5" s="517" t="s">
        <v>517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</row>
    <row r="6" spans="1:21">
      <c r="A6" s="517" t="s">
        <v>593</v>
      </c>
      <c r="B6" s="631"/>
      <c r="C6" s="631"/>
      <c r="D6" s="631"/>
      <c r="E6" s="631">
        <v>264727.3</v>
      </c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>
        <v>264727.3</v>
      </c>
    </row>
    <row r="7" spans="1:21">
      <c r="A7" s="517" t="s">
        <v>627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</row>
    <row r="8" spans="1:21">
      <c r="A8" s="517" t="s">
        <v>404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631"/>
      <c r="S8" s="631"/>
      <c r="T8" s="631"/>
    </row>
    <row r="9" spans="1:21">
      <c r="A9" s="517" t="s">
        <v>414</v>
      </c>
      <c r="B9" s="631"/>
      <c r="C9" s="631"/>
      <c r="D9" s="631"/>
      <c r="E9" s="631">
        <v>757680</v>
      </c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1">
        <v>757680</v>
      </c>
    </row>
    <row r="10" spans="1:21">
      <c r="A10" s="517" t="s">
        <v>426</v>
      </c>
      <c r="B10" s="631"/>
      <c r="C10" s="631"/>
      <c r="D10" s="631"/>
      <c r="E10" s="631">
        <v>364557.56</v>
      </c>
      <c r="F10" s="631">
        <v>14477.25</v>
      </c>
      <c r="G10" s="631">
        <v>11908</v>
      </c>
      <c r="H10" s="631"/>
      <c r="I10" s="631"/>
      <c r="J10" s="631"/>
      <c r="K10" s="631">
        <v>9366</v>
      </c>
      <c r="L10" s="631"/>
      <c r="M10" s="631"/>
      <c r="N10" s="631">
        <v>2352.38</v>
      </c>
      <c r="O10" s="631">
        <v>200591.6</v>
      </c>
      <c r="P10" s="631">
        <v>8654.2799999999988</v>
      </c>
      <c r="Q10" s="631">
        <v>10295.19</v>
      </c>
      <c r="R10" s="631"/>
      <c r="S10" s="631">
        <v>-3017.39</v>
      </c>
      <c r="T10" s="631">
        <v>619184.87</v>
      </c>
    </row>
    <row r="11" spans="1:21">
      <c r="A11" s="517" t="s">
        <v>462</v>
      </c>
      <c r="B11" s="631"/>
      <c r="C11" s="631"/>
      <c r="D11" s="631">
        <v>40500</v>
      </c>
      <c r="E11" s="631">
        <v>647745</v>
      </c>
      <c r="F11" s="631"/>
      <c r="G11" s="631">
        <v>40500</v>
      </c>
      <c r="H11" s="631">
        <v>81450</v>
      </c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>
        <v>810195</v>
      </c>
    </row>
    <row r="12" spans="1:21">
      <c r="A12" s="517" t="s">
        <v>496</v>
      </c>
      <c r="B12" s="631"/>
      <c r="C12" s="631"/>
      <c r="D12" s="631"/>
      <c r="E12" s="631">
        <v>24770</v>
      </c>
      <c r="F12" s="631"/>
      <c r="G12" s="631">
        <v>0</v>
      </c>
      <c r="H12" s="631"/>
      <c r="I12" s="631"/>
      <c r="J12" s="631">
        <v>3710</v>
      </c>
      <c r="K12" s="631"/>
      <c r="L12" s="631"/>
      <c r="M12" s="631"/>
      <c r="N12" s="631"/>
      <c r="O12" s="631"/>
      <c r="P12" s="631"/>
      <c r="Q12" s="631"/>
      <c r="R12" s="631"/>
      <c r="S12" s="631"/>
      <c r="T12" s="631">
        <v>28480</v>
      </c>
    </row>
    <row r="13" spans="1:21">
      <c r="A13" s="517" t="s">
        <v>510</v>
      </c>
      <c r="B13" s="631"/>
      <c r="C13" s="631"/>
      <c r="D13" s="631">
        <v>184500</v>
      </c>
      <c r="E13" s="631">
        <v>385738.28</v>
      </c>
      <c r="F13" s="631"/>
      <c r="G13" s="631">
        <v>184500</v>
      </c>
      <c r="H13" s="631">
        <v>369000</v>
      </c>
      <c r="I13" s="631"/>
      <c r="J13" s="631"/>
      <c r="K13" s="631">
        <v>53375.87</v>
      </c>
      <c r="L13" s="631"/>
      <c r="M13" s="631"/>
      <c r="N13" s="631"/>
      <c r="O13" s="631"/>
      <c r="P13" s="631"/>
      <c r="Q13" s="631"/>
      <c r="R13" s="631"/>
      <c r="S13" s="631"/>
      <c r="T13" s="631">
        <v>1177114.1500000001</v>
      </c>
    </row>
    <row r="14" spans="1:21">
      <c r="A14" s="517" t="s">
        <v>520</v>
      </c>
      <c r="B14" s="631"/>
      <c r="C14" s="631"/>
      <c r="D14" s="631">
        <v>298128.56</v>
      </c>
      <c r="E14" s="631"/>
      <c r="F14" s="631"/>
      <c r="G14" s="631">
        <v>266859.84000000003</v>
      </c>
      <c r="H14" s="631">
        <v>195967.65</v>
      </c>
      <c r="I14" s="631">
        <v>145557.5</v>
      </c>
      <c r="J14" s="631"/>
      <c r="K14" s="631"/>
      <c r="L14" s="631"/>
      <c r="M14" s="631">
        <v>145557.5</v>
      </c>
      <c r="N14" s="631"/>
      <c r="O14" s="631">
        <v>130434.783</v>
      </c>
      <c r="P14" s="631">
        <v>304347.82699999999</v>
      </c>
      <c r="Q14" s="631"/>
      <c r="R14" s="631">
        <v>1750</v>
      </c>
      <c r="S14" s="631"/>
      <c r="T14" s="631">
        <v>1488603.6600000001</v>
      </c>
      <c r="U14" s="631"/>
    </row>
    <row r="15" spans="1:21">
      <c r="A15" s="517" t="s">
        <v>560</v>
      </c>
      <c r="B15" s="631"/>
      <c r="C15" s="631"/>
      <c r="D15" s="631">
        <v>375000</v>
      </c>
      <c r="E15" s="631"/>
      <c r="F15" s="631"/>
      <c r="G15" s="631">
        <v>375000</v>
      </c>
      <c r="H15" s="631">
        <v>750000</v>
      </c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>
        <v>1500000</v>
      </c>
    </row>
    <row r="16" spans="1:21">
      <c r="A16" s="517" t="s">
        <v>564</v>
      </c>
      <c r="B16" s="631"/>
      <c r="C16" s="631"/>
      <c r="D16" s="631"/>
      <c r="E16" s="631">
        <v>22200</v>
      </c>
      <c r="F16" s="631"/>
      <c r="G16" s="631">
        <v>2194.1999999999998</v>
      </c>
      <c r="H16" s="631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>
        <v>24394.2</v>
      </c>
    </row>
    <row r="17" spans="1:20">
      <c r="A17" s="517" t="s">
        <v>575</v>
      </c>
      <c r="B17" s="631">
        <v>0</v>
      </c>
      <c r="C17" s="631">
        <v>17100</v>
      </c>
      <c r="D17" s="631">
        <v>9500</v>
      </c>
      <c r="E17" s="631"/>
      <c r="F17" s="631"/>
      <c r="G17" s="631"/>
      <c r="H17" s="631">
        <v>26800</v>
      </c>
      <c r="I17" s="631"/>
      <c r="J17" s="631"/>
      <c r="K17" s="631"/>
      <c r="L17" s="631"/>
      <c r="M17" s="631"/>
      <c r="N17" s="631"/>
      <c r="O17" s="631">
        <v>63200</v>
      </c>
      <c r="P17" s="631">
        <v>0</v>
      </c>
      <c r="Q17" s="631"/>
      <c r="R17" s="631"/>
      <c r="S17" s="631"/>
      <c r="T17" s="631">
        <v>116600</v>
      </c>
    </row>
    <row r="18" spans="1:20">
      <c r="A18" s="517" t="s">
        <v>597</v>
      </c>
      <c r="B18" s="631"/>
      <c r="C18" s="631"/>
      <c r="D18" s="631"/>
      <c r="E18" s="631"/>
      <c r="F18" s="631"/>
      <c r="G18" s="631"/>
      <c r="H18" s="631">
        <v>120625</v>
      </c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>
        <v>120625</v>
      </c>
    </row>
    <row r="19" spans="1:20">
      <c r="A19" s="517" t="s">
        <v>605</v>
      </c>
      <c r="B19" s="631"/>
      <c r="C19" s="631">
        <v>11927.09</v>
      </c>
      <c r="D19" s="631">
        <v>1370.52</v>
      </c>
      <c r="E19" s="631">
        <v>20912.77</v>
      </c>
      <c r="F19" s="631">
        <v>11749.01</v>
      </c>
      <c r="G19" s="631">
        <v>10391.33</v>
      </c>
      <c r="H19" s="631">
        <v>7950.72</v>
      </c>
      <c r="I19" s="631">
        <v>1766.96</v>
      </c>
      <c r="J19" s="631">
        <v>10295.200000000001</v>
      </c>
      <c r="K19" s="631">
        <v>0</v>
      </c>
      <c r="L19" s="631"/>
      <c r="M19" s="631">
        <v>0</v>
      </c>
      <c r="N19" s="631">
        <v>9154.01</v>
      </c>
      <c r="O19" s="631"/>
      <c r="P19" s="631"/>
      <c r="Q19" s="631"/>
      <c r="R19" s="631">
        <v>0</v>
      </c>
      <c r="S19" s="631"/>
      <c r="T19" s="631">
        <v>85517.61</v>
      </c>
    </row>
    <row r="20" spans="1:20">
      <c r="A20" s="517" t="s">
        <v>608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>
        <v>7200</v>
      </c>
      <c r="P20" s="631"/>
      <c r="Q20" s="631"/>
      <c r="R20" s="631"/>
      <c r="S20" s="631"/>
      <c r="T20" s="631">
        <v>7200</v>
      </c>
    </row>
    <row r="21" spans="1:20">
      <c r="A21" s="517" t="s">
        <v>628</v>
      </c>
      <c r="B21" s="631">
        <v>0</v>
      </c>
      <c r="C21" s="631">
        <v>29027.09</v>
      </c>
      <c r="D21" s="631">
        <v>908999.08000000007</v>
      </c>
      <c r="E21" s="631">
        <v>2488330.91</v>
      </c>
      <c r="F21" s="631">
        <v>26226.260000000002</v>
      </c>
      <c r="G21" s="631">
        <v>891353.37</v>
      </c>
      <c r="H21" s="631">
        <v>1551793.3699999999</v>
      </c>
      <c r="I21" s="631">
        <v>147324.46</v>
      </c>
      <c r="J21" s="631">
        <v>14005.2</v>
      </c>
      <c r="K21" s="631">
        <v>62741.87</v>
      </c>
      <c r="L21" s="631"/>
      <c r="M21" s="631">
        <v>145557.5</v>
      </c>
      <c r="N21" s="631">
        <v>11506.39</v>
      </c>
      <c r="O21" s="631">
        <v>401426.38300000003</v>
      </c>
      <c r="P21" s="631">
        <v>313002.10699999996</v>
      </c>
      <c r="Q21" s="631">
        <v>10295.19</v>
      </c>
      <c r="R21" s="631">
        <v>1750</v>
      </c>
      <c r="S21" s="631">
        <v>-3017.39</v>
      </c>
      <c r="T21" s="631">
        <v>7000321.790000001</v>
      </c>
    </row>
    <row r="22" spans="1:20">
      <c r="B22"/>
      <c r="C22"/>
      <c r="D22"/>
      <c r="E22"/>
      <c r="F22"/>
      <c r="G22"/>
      <c r="H22"/>
      <c r="I22"/>
    </row>
    <row r="23" spans="1:20">
      <c r="B23"/>
      <c r="C23" s="631">
        <f>SUM(C21:E21)</f>
        <v>3426357.08</v>
      </c>
      <c r="D23"/>
      <c r="E23"/>
      <c r="F23"/>
      <c r="G23"/>
      <c r="H23"/>
      <c r="I23"/>
    </row>
    <row r="24" spans="1:20">
      <c r="B24"/>
      <c r="C24"/>
      <c r="D24"/>
      <c r="E24"/>
      <c r="F24"/>
      <c r="G24"/>
      <c r="H24"/>
      <c r="I24"/>
    </row>
    <row r="25" spans="1:20">
      <c r="B25"/>
      <c r="C25" s="816">
        <f>'Revenue Tracking'!R10</f>
        <v>0</v>
      </c>
      <c r="D25"/>
      <c r="E25"/>
      <c r="F25"/>
      <c r="G25"/>
      <c r="H25"/>
      <c r="I25"/>
    </row>
    <row r="27" spans="1:20">
      <c r="C27" s="619">
        <f>C23-C25</f>
        <v>3426357.08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U78"/>
  <sheetViews>
    <sheetView zoomScale="70" zoomScaleNormal="70" workbookViewId="0">
      <selection activeCell="H24" sqref="H24"/>
    </sheetView>
  </sheetViews>
  <sheetFormatPr defaultColWidth="12.5703125" defaultRowHeight="14.45"/>
  <cols>
    <col min="1" max="1" width="36" style="492" bestFit="1" customWidth="1"/>
    <col min="2" max="2" width="15.85546875" style="493" bestFit="1" customWidth="1"/>
    <col min="3" max="3" width="6.7109375" style="492" bestFit="1" customWidth="1"/>
    <col min="4" max="4" width="11.140625" style="492" bestFit="1" customWidth="1"/>
    <col min="5" max="6" width="13.7109375" style="492" bestFit="1" customWidth="1"/>
    <col min="7" max="7" width="11.140625" style="492" bestFit="1" customWidth="1"/>
    <col min="8" max="9" width="13.7109375" style="492" bestFit="1" customWidth="1"/>
    <col min="10" max="10" width="11.140625" style="492" bestFit="1" customWidth="1"/>
    <col min="11" max="11" width="10.42578125" style="492" bestFit="1" customWidth="1"/>
    <col min="12" max="12" width="11.140625" style="492" bestFit="1" customWidth="1"/>
    <col min="13" max="14" width="10.42578125" style="492" bestFit="1" customWidth="1"/>
    <col min="15" max="16" width="12.140625" style="492" bestFit="1" customWidth="1"/>
    <col min="17" max="19" width="10.42578125" style="492" bestFit="1" customWidth="1"/>
    <col min="20" max="20" width="13.7109375" style="492" bestFit="1" customWidth="1"/>
    <col min="21" max="21" width="6.85546875" style="492" bestFit="1" customWidth="1"/>
    <col min="22" max="22" width="13.5703125" style="492" bestFit="1" customWidth="1"/>
    <col min="23" max="16384" width="12.5703125" style="492"/>
  </cols>
  <sheetData>
    <row r="1" spans="1:21">
      <c r="A1" s="516" t="s">
        <v>398</v>
      </c>
      <c r="B1" t="s">
        <v>629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>
      <c r="A3" s="516" t="s">
        <v>630</v>
      </c>
      <c r="B3" s="516" t="s">
        <v>625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>
      <c r="A4" s="516" t="s">
        <v>626</v>
      </c>
      <c r="B4"/>
      <c r="C4" t="s">
        <v>627</v>
      </c>
      <c r="D4" s="630">
        <v>45473</v>
      </c>
      <c r="E4" s="630">
        <v>45504</v>
      </c>
      <c r="F4" s="630">
        <v>45535</v>
      </c>
      <c r="G4" s="630">
        <v>45565</v>
      </c>
      <c r="H4" s="630">
        <v>45596</v>
      </c>
      <c r="I4" s="630">
        <v>45626</v>
      </c>
      <c r="J4" s="630">
        <v>45657</v>
      </c>
      <c r="K4" s="630">
        <v>45688</v>
      </c>
      <c r="L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628</v>
      </c>
    </row>
    <row r="5" spans="1:21">
      <c r="A5" s="517" t="s">
        <v>627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</row>
    <row r="6" spans="1:21">
      <c r="A6" s="517" t="s">
        <v>517</v>
      </c>
      <c r="B6" s="518"/>
      <c r="C6" s="518"/>
      <c r="D6" s="518"/>
      <c r="E6" s="518"/>
      <c r="F6" s="518"/>
      <c r="G6" s="518"/>
      <c r="H6" s="518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</row>
    <row r="7" spans="1:21">
      <c r="A7" s="517" t="s">
        <v>593</v>
      </c>
      <c r="B7" s="518"/>
      <c r="C7" s="518"/>
      <c r="D7" s="518"/>
      <c r="E7" s="518"/>
      <c r="F7" s="518"/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</row>
    <row r="8" spans="1:21">
      <c r="A8" s="517" t="s">
        <v>404</v>
      </c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</row>
    <row r="9" spans="1:21">
      <c r="A9" s="517" t="s">
        <v>414</v>
      </c>
      <c r="B9" s="518"/>
      <c r="C9" s="518"/>
      <c r="D9" s="518"/>
      <c r="E9" s="518"/>
      <c r="F9" s="518">
        <v>956194.33106683195</v>
      </c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>
        <v>956194.33106683195</v>
      </c>
    </row>
    <row r="10" spans="1:21">
      <c r="A10" s="517" t="s">
        <v>426</v>
      </c>
      <c r="B10" s="518"/>
      <c r="C10" s="518"/>
      <c r="D10" s="518"/>
      <c r="E10" s="518"/>
      <c r="F10" s="518">
        <v>723092.46354609495</v>
      </c>
      <c r="G10" s="518">
        <v>16828.078992819082</v>
      </c>
      <c r="H10" s="518">
        <v>11887.248461481955</v>
      </c>
      <c r="I10" s="518"/>
      <c r="J10" s="518"/>
      <c r="K10" s="518"/>
      <c r="L10" s="518">
        <v>0</v>
      </c>
      <c r="M10" s="518"/>
      <c r="N10" s="518">
        <v>0</v>
      </c>
      <c r="O10" s="518"/>
      <c r="P10" s="518"/>
      <c r="Q10" s="518"/>
      <c r="R10" s="518"/>
      <c r="S10" s="518"/>
      <c r="T10" s="518">
        <v>751807.79100039601</v>
      </c>
    </row>
    <row r="11" spans="1:21">
      <c r="A11" s="517" t="s">
        <v>462</v>
      </c>
      <c r="B11" s="518"/>
      <c r="C11" s="518"/>
      <c r="D11" s="518"/>
      <c r="E11" s="518">
        <v>78828.94175012238</v>
      </c>
      <c r="F11" s="518">
        <v>1186399.1025932876</v>
      </c>
      <c r="G11" s="518"/>
      <c r="H11" s="518">
        <v>86641.006018816974</v>
      </c>
      <c r="I11" s="518">
        <v>150260.2242226426</v>
      </c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>
        <v>1502129.2745848696</v>
      </c>
    </row>
    <row r="12" spans="1:21">
      <c r="A12" s="517" t="s">
        <v>496</v>
      </c>
      <c r="B12" s="518">
        <v>0</v>
      </c>
      <c r="C12" s="518">
        <v>0</v>
      </c>
      <c r="D12" s="518"/>
      <c r="E12" s="518"/>
      <c r="F12" s="518">
        <v>11215.185446544016</v>
      </c>
      <c r="G12" s="518"/>
      <c r="H12" s="518">
        <v>43013.43</v>
      </c>
      <c r="I12" s="518"/>
      <c r="J12" s="518"/>
      <c r="K12" s="518">
        <v>0</v>
      </c>
      <c r="L12" s="518"/>
      <c r="M12" s="518"/>
      <c r="N12" s="518"/>
      <c r="O12" s="518"/>
      <c r="P12" s="518"/>
      <c r="Q12" s="518"/>
      <c r="R12" s="518"/>
      <c r="S12" s="518"/>
      <c r="T12" s="518">
        <v>54228.61544654402</v>
      </c>
    </row>
    <row r="13" spans="1:21">
      <c r="A13" s="517" t="s">
        <v>510</v>
      </c>
      <c r="B13" s="518">
        <v>0</v>
      </c>
      <c r="C13" s="518"/>
      <c r="D13" s="518"/>
      <c r="E13" s="518">
        <v>608415.78086904925</v>
      </c>
      <c r="F13" s="518">
        <v>1272028.4923430027</v>
      </c>
      <c r="G13" s="518"/>
      <c r="H13" s="518">
        <v>608415.78086904925</v>
      </c>
      <c r="I13" s="518">
        <v>1194760.8243329865</v>
      </c>
      <c r="J13" s="518"/>
      <c r="K13" s="518"/>
      <c r="L13" s="518">
        <v>22070.737953607633</v>
      </c>
      <c r="M13" s="518"/>
      <c r="N13" s="518"/>
      <c r="O13" s="518"/>
      <c r="P13" s="518"/>
      <c r="Q13" s="518"/>
      <c r="R13" s="518"/>
      <c r="S13" s="518"/>
      <c r="T13" s="518">
        <v>3705691.6163676949</v>
      </c>
    </row>
    <row r="14" spans="1:21">
      <c r="A14" s="517" t="s">
        <v>520</v>
      </c>
      <c r="B14" s="518">
        <v>0</v>
      </c>
      <c r="C14" s="518">
        <v>0</v>
      </c>
      <c r="D14" s="518"/>
      <c r="E14" s="518">
        <v>123522.79046944593</v>
      </c>
      <c r="F14" s="518"/>
      <c r="G14" s="518"/>
      <c r="H14" s="518">
        <v>38723.420498318148</v>
      </c>
      <c r="I14" s="518">
        <v>33479.418057829113</v>
      </c>
      <c r="J14" s="518">
        <v>31427.366822641052</v>
      </c>
      <c r="K14" s="518"/>
      <c r="L14" s="518"/>
      <c r="M14" s="518">
        <v>0</v>
      </c>
      <c r="N14" s="518"/>
      <c r="O14" s="518">
        <v>13742.769310629139</v>
      </c>
      <c r="P14" s="518">
        <v>125680.37</v>
      </c>
      <c r="Q14" s="518"/>
      <c r="R14" s="518"/>
      <c r="S14" s="518"/>
      <c r="T14" s="518">
        <v>366576.13515886338</v>
      </c>
      <c r="U14" s="865">
        <f>SUM(T8:T14)</f>
        <v>7336627.7636252008</v>
      </c>
    </row>
    <row r="15" spans="1:21">
      <c r="A15" s="517" t="s">
        <v>560</v>
      </c>
      <c r="B15" s="518"/>
      <c r="C15" s="518"/>
      <c r="D15" s="518"/>
      <c r="E15" s="518">
        <v>377000</v>
      </c>
      <c r="F15" s="518"/>
      <c r="G15" s="518"/>
      <c r="H15" s="518">
        <v>377000</v>
      </c>
      <c r="I15" s="518">
        <v>754000</v>
      </c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>
        <v>1508000</v>
      </c>
    </row>
    <row r="16" spans="1:21">
      <c r="A16" s="517" t="s">
        <v>564</v>
      </c>
      <c r="B16" s="518">
        <v>0</v>
      </c>
      <c r="C16" s="518">
        <v>0</v>
      </c>
      <c r="D16" s="518"/>
      <c r="E16" s="518"/>
      <c r="F16" s="518">
        <v>265082.88505747123</v>
      </c>
      <c r="G16" s="518"/>
      <c r="H16" s="518">
        <v>358220.11546597141</v>
      </c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>
        <v>623303.00052344264</v>
      </c>
    </row>
    <row r="17" spans="1:20">
      <c r="A17" s="517" t="s">
        <v>575</v>
      </c>
      <c r="B17" s="518"/>
      <c r="C17" s="518">
        <v>0</v>
      </c>
      <c r="D17" s="518">
        <v>14411.28906661057</v>
      </c>
      <c r="E17" s="518">
        <v>8403.127830178275</v>
      </c>
      <c r="F17" s="518"/>
      <c r="G17" s="518"/>
      <c r="H17" s="518"/>
      <c r="I17" s="518">
        <v>35385.75573727255</v>
      </c>
      <c r="J17" s="518"/>
      <c r="K17" s="518"/>
      <c r="L17" s="518"/>
      <c r="M17" s="518"/>
      <c r="N17" s="518"/>
      <c r="O17" s="518">
        <v>96604.811802678189</v>
      </c>
      <c r="P17" s="518">
        <v>80747.960000000006</v>
      </c>
      <c r="Q17" s="518"/>
      <c r="R17" s="518"/>
      <c r="S17" s="518"/>
      <c r="T17" s="518">
        <v>235552.94443673961</v>
      </c>
    </row>
    <row r="18" spans="1:20">
      <c r="A18" s="517" t="s">
        <v>597</v>
      </c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</row>
    <row r="19" spans="1:20">
      <c r="A19" s="517" t="s">
        <v>605</v>
      </c>
      <c r="B19" s="518"/>
      <c r="C19" s="518"/>
      <c r="D19" s="518">
        <v>2544.0380880742096</v>
      </c>
      <c r="E19" s="518">
        <v>304.46949978966188</v>
      </c>
      <c r="F19" s="518">
        <v>5665.4688621582</v>
      </c>
      <c r="G19" s="518">
        <v>2937.859989315622</v>
      </c>
      <c r="H19" s="518">
        <v>10206.249969088462</v>
      </c>
      <c r="I19" s="518">
        <v>3217.9856785988682</v>
      </c>
      <c r="J19" s="518">
        <v>801.6624799898517</v>
      </c>
      <c r="K19" s="518">
        <v>3956.2687584926548</v>
      </c>
      <c r="L19" s="518">
        <v>0</v>
      </c>
      <c r="M19" s="518">
        <v>0</v>
      </c>
      <c r="N19" s="518">
        <v>1248.3503176612501</v>
      </c>
      <c r="O19" s="518"/>
      <c r="P19" s="518"/>
      <c r="Q19" s="518"/>
      <c r="R19" s="518">
        <v>0</v>
      </c>
      <c r="S19" s="518"/>
      <c r="T19" s="518">
        <v>30882.353643168779</v>
      </c>
    </row>
    <row r="20" spans="1:20">
      <c r="A20" s="517" t="s">
        <v>608</v>
      </c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</row>
    <row r="21" spans="1:20">
      <c r="A21" s="517" t="s">
        <v>628</v>
      </c>
      <c r="B21" s="518">
        <v>0</v>
      </c>
      <c r="C21" s="518">
        <v>0</v>
      </c>
      <c r="D21" s="518">
        <v>16955.327154684779</v>
      </c>
      <c r="E21" s="518">
        <v>1196475.1104185854</v>
      </c>
      <c r="F21" s="518">
        <v>4419677.9289153898</v>
      </c>
      <c r="G21" s="518">
        <v>19765.938982134703</v>
      </c>
      <c r="H21" s="518">
        <v>1534107.2512827262</v>
      </c>
      <c r="I21" s="518">
        <v>2171104.2080293298</v>
      </c>
      <c r="J21" s="518">
        <v>32229.029302630905</v>
      </c>
      <c r="K21" s="518">
        <v>3956.2687584926548</v>
      </c>
      <c r="L21" s="518">
        <v>22070.737953607633</v>
      </c>
      <c r="M21" s="518">
        <v>0</v>
      </c>
      <c r="N21" s="518">
        <v>1248.3503176612501</v>
      </c>
      <c r="O21" s="518">
        <v>110347.58111330733</v>
      </c>
      <c r="P21" s="518">
        <v>206428.33000000002</v>
      </c>
      <c r="Q21" s="518"/>
      <c r="R21" s="518">
        <v>0</v>
      </c>
      <c r="S21" s="518"/>
      <c r="T21" s="518">
        <v>9734366.062228553</v>
      </c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18">
        <f>SUM(D21:F21)</f>
        <v>5633108.3664886598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518"/>
      <c r="S24" s="518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518">
        <f>R24-GETPIVOTDATA("REVENUE RECOGNITION AMOUNT",$A$3)</f>
        <v>-9734366.062228553</v>
      </c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26AE-24B2-4781-8363-BAA0D97BB71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984" t="s">
        <v>631</v>
      </c>
      <c r="C2" s="984"/>
      <c r="D2" s="984"/>
      <c r="E2" s="984"/>
      <c r="H2" s="985" t="s">
        <v>632</v>
      </c>
      <c r="I2" s="986"/>
      <c r="J2" s="986"/>
      <c r="K2" s="986"/>
      <c r="L2" s="986"/>
      <c r="M2" s="986"/>
      <c r="N2" s="986"/>
      <c r="O2" s="987"/>
    </row>
    <row r="3" spans="2:15">
      <c r="B3" s="866"/>
      <c r="H3" s="988"/>
      <c r="I3" s="989"/>
      <c r="J3" s="989"/>
      <c r="K3" s="989"/>
      <c r="L3" s="989"/>
      <c r="M3" s="989"/>
      <c r="N3" s="989"/>
      <c r="O3" s="990"/>
    </row>
    <row r="4" spans="2:15">
      <c r="B4" s="867" t="s">
        <v>633</v>
      </c>
      <c r="C4" s="868" t="str">
        <f>'Project Plan'!E2</f>
        <v>Cascades Lifestyle Center</v>
      </c>
      <c r="H4" s="988"/>
      <c r="I4" s="989"/>
      <c r="J4" s="989"/>
      <c r="K4" s="989"/>
      <c r="L4" s="989"/>
      <c r="M4" s="989"/>
      <c r="N4" s="989"/>
      <c r="O4" s="990"/>
    </row>
    <row r="5" spans="2:15">
      <c r="B5" s="867" t="s">
        <v>634</v>
      </c>
      <c r="C5" s="868" t="s">
        <v>635</v>
      </c>
      <c r="H5" s="988"/>
      <c r="I5" s="989"/>
      <c r="J5" s="989"/>
      <c r="K5" s="989"/>
      <c r="L5" s="989"/>
      <c r="M5" s="989"/>
      <c r="N5" s="989"/>
      <c r="O5" s="990"/>
    </row>
    <row r="6" spans="2:15">
      <c r="B6" s="867" t="s">
        <v>636</v>
      </c>
      <c r="C6" s="868" t="s">
        <v>637</v>
      </c>
      <c r="H6" s="988"/>
      <c r="I6" s="989"/>
      <c r="J6" s="989"/>
      <c r="K6" s="989"/>
      <c r="L6" s="989"/>
      <c r="M6" s="989"/>
      <c r="N6" s="989"/>
      <c r="O6" s="990"/>
    </row>
    <row r="7" spans="2:15">
      <c r="B7" s="867" t="s">
        <v>638</v>
      </c>
      <c r="C7" s="868" t="s">
        <v>639</v>
      </c>
      <c r="H7" s="988"/>
      <c r="I7" s="989"/>
      <c r="J7" s="989"/>
      <c r="K7" s="989"/>
      <c r="L7" s="989"/>
      <c r="M7" s="989"/>
      <c r="N7" s="989"/>
      <c r="O7" s="990"/>
    </row>
    <row r="8" spans="2:15">
      <c r="B8" s="866"/>
      <c r="H8" s="988"/>
      <c r="I8" s="989"/>
      <c r="J8" s="989"/>
      <c r="K8" s="989"/>
      <c r="L8" s="989"/>
      <c r="M8" s="989"/>
      <c r="N8" s="989"/>
      <c r="O8" s="990"/>
    </row>
    <row r="9" spans="2:15">
      <c r="B9" s="994" t="s">
        <v>640</v>
      </c>
      <c r="C9" s="994"/>
      <c r="D9" s="994"/>
      <c r="E9" s="99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88"/>
      <c r="I9" s="989"/>
      <c r="J9" s="989"/>
      <c r="K9" s="989"/>
      <c r="L9" s="989"/>
      <c r="M9" s="989"/>
      <c r="N9" s="989"/>
      <c r="O9" s="990"/>
    </row>
    <row r="10" spans="2:15" ht="15" thickBot="1">
      <c r="B10" s="994" t="s">
        <v>641</v>
      </c>
      <c r="C10" s="994"/>
      <c r="D10" s="994"/>
      <c r="E10" s="994"/>
      <c r="H10" s="991"/>
      <c r="I10" s="992"/>
      <c r="J10" s="992"/>
      <c r="K10" s="992"/>
      <c r="L10" s="992"/>
      <c r="M10" s="992"/>
      <c r="N10" s="992"/>
      <c r="O10" s="993"/>
    </row>
    <row r="11" spans="2:15">
      <c r="B11" s="869" t="s">
        <v>642</v>
      </c>
      <c r="C11" s="982" t="s">
        <v>643</v>
      </c>
      <c r="D11" s="982"/>
      <c r="E11" s="982"/>
    </row>
    <row r="12" spans="2:15">
      <c r="B12" s="869" t="s">
        <v>644</v>
      </c>
      <c r="C12" s="982" t="s">
        <v>643</v>
      </c>
      <c r="D12" s="982"/>
      <c r="E12" s="982"/>
    </row>
    <row r="13" spans="2:15">
      <c r="B13" s="869" t="s">
        <v>645</v>
      </c>
      <c r="C13" s="982" t="s">
        <v>643</v>
      </c>
      <c r="D13" s="982"/>
      <c r="E13" s="982"/>
    </row>
    <row r="14" spans="2:15">
      <c r="B14" s="869" t="s">
        <v>646</v>
      </c>
      <c r="C14" s="982" t="s">
        <v>647</v>
      </c>
      <c r="D14" s="982"/>
      <c r="E14" s="982"/>
    </row>
    <row r="15" spans="2:15">
      <c r="B15" s="869" t="s">
        <v>648</v>
      </c>
      <c r="C15" s="982" t="s">
        <v>649</v>
      </c>
      <c r="D15" s="982"/>
      <c r="E15" s="982"/>
    </row>
    <row r="16" spans="2:15" ht="15" customHeight="1">
      <c r="B16" s="869" t="s">
        <v>650</v>
      </c>
      <c r="C16" s="982" t="s">
        <v>651</v>
      </c>
      <c r="D16" s="982"/>
      <c r="E16" s="982"/>
    </row>
    <row r="17" spans="2:5">
      <c r="B17" s="866"/>
    </row>
    <row r="18" spans="2:5">
      <c r="B18" s="983" t="s">
        <v>652</v>
      </c>
      <c r="C18" s="983"/>
      <c r="D18" s="983"/>
      <c r="E18" s="983"/>
    </row>
    <row r="19" spans="2:5">
      <c r="B19" s="869" t="s">
        <v>653</v>
      </c>
      <c r="C19" s="869" t="s">
        <v>654</v>
      </c>
      <c r="D19" s="869" t="s">
        <v>655</v>
      </c>
      <c r="E19" s="869" t="s">
        <v>62</v>
      </c>
    </row>
    <row r="20" spans="2:5" ht="15" customHeight="1">
      <c r="B20" s="869" t="s">
        <v>656</v>
      </c>
      <c r="C20" s="869" t="s">
        <v>657</v>
      </c>
      <c r="D20" s="870" t="s">
        <v>658</v>
      </c>
      <c r="E20" s="871">
        <v>45953</v>
      </c>
    </row>
    <row r="21" spans="2:5">
      <c r="B21" s="869"/>
      <c r="C21" s="869"/>
      <c r="D21" s="869"/>
      <c r="E21" s="869"/>
    </row>
    <row r="22" spans="2:5">
      <c r="B22" s="869"/>
      <c r="C22" s="869"/>
      <c r="D22" s="869"/>
      <c r="E22" s="869"/>
    </row>
    <row r="23" spans="2:5">
      <c r="B23" s="869"/>
      <c r="C23" s="869"/>
      <c r="D23" s="869"/>
      <c r="E23" s="869"/>
    </row>
    <row r="24" spans="2:5">
      <c r="B24" s="869"/>
      <c r="C24" s="869"/>
      <c r="D24" s="869"/>
      <c r="E24" s="869"/>
    </row>
    <row r="25" spans="2:5">
      <c r="B25" s="869"/>
      <c r="C25" s="869"/>
      <c r="D25" s="869"/>
      <c r="E25" s="869"/>
    </row>
    <row r="26" spans="2:5">
      <c r="B26" s="86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659</v>
      </c>
    </row>
    <row r="2" spans="1:4">
      <c r="A2" s="996"/>
      <c r="B2" s="996"/>
      <c r="C2" s="996"/>
      <c r="D2" s="71"/>
    </row>
    <row r="3" spans="1:4">
      <c r="A3" s="995" t="s">
        <v>660</v>
      </c>
      <c r="B3" s="995"/>
      <c r="C3" s="995"/>
      <c r="D3" s="112">
        <v>0.32</v>
      </c>
    </row>
    <row r="4" spans="1:4">
      <c r="A4" s="995" t="s">
        <v>661</v>
      </c>
      <c r="B4" s="995"/>
      <c r="C4" s="995"/>
      <c r="D4" s="112">
        <v>0.5</v>
      </c>
    </row>
    <row r="5" spans="1:4">
      <c r="A5" s="995" t="s">
        <v>662</v>
      </c>
      <c r="B5" s="995"/>
      <c r="C5" s="995"/>
      <c r="D5" s="112">
        <v>0.15</v>
      </c>
    </row>
    <row r="6" spans="1:4">
      <c r="A6" s="995" t="s">
        <v>663</v>
      </c>
      <c r="B6" s="995"/>
      <c r="C6" s="995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997" t="s">
        <v>664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</row>
    <row r="4" spans="2:14">
      <c r="B4" s="92" t="s">
        <v>665</v>
      </c>
      <c r="C4" s="86"/>
      <c r="D4" s="90" t="s">
        <v>666</v>
      </c>
      <c r="E4" s="95"/>
      <c r="F4" s="90" t="s">
        <v>667</v>
      </c>
      <c r="H4" s="90" t="s">
        <v>668</v>
      </c>
      <c r="I4" s="95"/>
      <c r="J4" s="90" t="s">
        <v>669</v>
      </c>
      <c r="L4" s="90" t="s">
        <v>668</v>
      </c>
      <c r="M4" s="90"/>
      <c r="N4" s="90" t="s">
        <v>670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671</v>
      </c>
      <c r="H7" s="99"/>
      <c r="I7" s="95"/>
      <c r="J7" s="107" t="s">
        <v>671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412</v>
      </c>
      <c r="C9" s="92"/>
      <c r="D9" s="90">
        <f>SUM(D10:D11)</f>
        <v>864000</v>
      </c>
      <c r="E9" s="95"/>
      <c r="F9" s="90">
        <f>SUM(F10:F13)</f>
        <v>0</v>
      </c>
      <c r="H9" s="106">
        <f>$D$9-F9</f>
        <v>864000</v>
      </c>
      <c r="I9" s="95"/>
      <c r="J9" s="90">
        <f>SUM(J10:J13)</f>
        <v>0</v>
      </c>
      <c r="L9" s="106">
        <f>$D$9-J9</f>
        <v>864000</v>
      </c>
      <c r="M9" s="106"/>
    </row>
    <row r="10" spans="2:14">
      <c r="B10" s="108" t="s">
        <v>412</v>
      </c>
      <c r="C10" s="86"/>
      <c r="D10" s="89">
        <f>'Expenditure Breakdown'!G13</f>
        <v>864000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672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673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674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671</v>
      </c>
      <c r="H15" s="99"/>
      <c r="I15" s="95"/>
      <c r="J15" s="107" t="s">
        <v>671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675</v>
      </c>
      <c r="C17" s="92"/>
      <c r="D17" s="90">
        <f>SUM(D18:D19)</f>
        <v>679320</v>
      </c>
      <c r="E17" s="95"/>
      <c r="F17" s="90">
        <f>SUM(F18:F20)</f>
        <v>0</v>
      </c>
      <c r="H17" s="106">
        <f>$D$17- F17</f>
        <v>679320</v>
      </c>
      <c r="I17" s="95"/>
      <c r="J17" s="90">
        <f>SUM(J18:J20)</f>
        <v>0</v>
      </c>
      <c r="L17" s="106">
        <f>$D$17- J17</f>
        <v>679320</v>
      </c>
      <c r="M17" s="106"/>
    </row>
    <row r="18" spans="2:13">
      <c r="B18" s="108" t="s">
        <v>675</v>
      </c>
      <c r="C18" s="86"/>
      <c r="D18" s="89">
        <f>'Expenditure Breakdown'!G18</f>
        <v>679320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674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671</v>
      </c>
      <c r="H21" s="99"/>
      <c r="I21" s="95"/>
      <c r="J21" s="107" t="s">
        <v>671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676</v>
      </c>
      <c r="C23" s="92"/>
      <c r="D23" s="90">
        <f>SUM(D24:D25)</f>
        <v>600160</v>
      </c>
      <c r="E23" s="95"/>
      <c r="F23" s="90">
        <f>SUM(F24:F25)</f>
        <v>0</v>
      </c>
      <c r="H23" s="106">
        <f>$D$23- F23</f>
        <v>600160</v>
      </c>
      <c r="I23" s="95"/>
      <c r="J23" s="90">
        <f>SUM(J24:J25)</f>
        <v>0</v>
      </c>
      <c r="L23" s="106">
        <f>$D$23- J23</f>
        <v>600160</v>
      </c>
      <c r="M23" s="106"/>
    </row>
    <row r="24" spans="2:13">
      <c r="B24" s="108" t="s">
        <v>676</v>
      </c>
      <c r="C24" s="86"/>
      <c r="D24" s="89">
        <f>'Expenditure Breakdown'!G32</f>
        <v>600160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674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671</v>
      </c>
      <c r="H27" s="99"/>
      <c r="I27" s="95"/>
      <c r="J27" s="107" t="s">
        <v>671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677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Breakdown'!D46</f>
        <v>Smartlogger 3000</v>
      </c>
      <c r="C30" s="86"/>
      <c r="D30" s="89">
        <f>'Expenditure Breakdown'!G46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674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671</v>
      </c>
      <c r="H34" s="99"/>
      <c r="I34" s="95"/>
      <c r="J34" s="107" t="s">
        <v>671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678</v>
      </c>
      <c r="C36" s="92"/>
      <c r="D36" s="90">
        <f>SUM(D37:D41)</f>
        <v>255000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679</v>
      </c>
      <c r="C37" s="86"/>
      <c r="D37" s="89">
        <f>'Expenditure Breakdown'!G77</f>
        <v>255000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680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681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682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683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684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997" t="s">
        <v>686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</row>
    <row r="4" spans="2:15">
      <c r="B4" s="92" t="s">
        <v>665</v>
      </c>
      <c r="C4" s="86"/>
      <c r="D4" s="90" t="s">
        <v>666</v>
      </c>
      <c r="E4" s="95"/>
      <c r="F4" s="95"/>
      <c r="G4" s="90" t="s">
        <v>687</v>
      </c>
      <c r="H4" s="96"/>
      <c r="J4" s="90" t="s">
        <v>668</v>
      </c>
      <c r="L4" s="90" t="s">
        <v>688</v>
      </c>
      <c r="M4" s="96"/>
      <c r="O4" s="90" t="s">
        <v>668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407</v>
      </c>
      <c r="C6" s="86"/>
      <c r="D6" s="89">
        <f>'Expenditure Breakdown'!AA8</f>
        <v>3348396.2956521702</v>
      </c>
      <c r="E6" s="95">
        <f>D6/(1000*'Project Plan'!$E$3)</f>
        <v>2.2174809904981259</v>
      </c>
      <c r="F6" s="95"/>
      <c r="G6" s="89">
        <v>277892.90999999997</v>
      </c>
      <c r="H6" s="96">
        <f>G6/('Project Plan'!$E$3*1000)</f>
        <v>0.18403503973509933</v>
      </c>
      <c r="J6" s="99">
        <f>D6-G6</f>
        <v>3070503.3856521701</v>
      </c>
      <c r="L6" s="89"/>
      <c r="M6" s="96">
        <f>L6/('Project Plan'!$E$3*1000)</f>
        <v>0</v>
      </c>
      <c r="O6" s="99">
        <f>D6-L6</f>
        <v>3348396.2956521702</v>
      </c>
    </row>
    <row r="7" spans="2:15">
      <c r="B7" s="86" t="s">
        <v>408</v>
      </c>
      <c r="C7" s="86"/>
      <c r="D7" s="89">
        <f>'Expenditure Breakdown'!AA9</f>
        <v>757137</v>
      </c>
      <c r="E7" s="95">
        <f>D7/(1000*'Project Plan'!$E$3)</f>
        <v>0.50141523178807945</v>
      </c>
      <c r="F7" s="95"/>
      <c r="G7" s="89">
        <v>142158.25</v>
      </c>
      <c r="H7" s="96">
        <f>G7/('Project Plan'!$E$3*1000)</f>
        <v>9.414453642384106E-2</v>
      </c>
      <c r="J7" s="99">
        <f t="shared" ref="J7:J12" si="0">D7-G7</f>
        <v>614978.75</v>
      </c>
      <c r="L7" s="89"/>
      <c r="M7" s="96">
        <f>L7/('Project Plan'!$E$3*1000)</f>
        <v>0</v>
      </c>
      <c r="O7" s="99">
        <f t="shared" ref="O7:O12" si="1">D7-L7</f>
        <v>757137</v>
      </c>
    </row>
    <row r="8" spans="2:15">
      <c r="B8" s="86" t="s">
        <v>409</v>
      </c>
      <c r="C8" s="86"/>
      <c r="D8" s="89">
        <f>'Expenditure Breakdown'!AA10</f>
        <v>377400</v>
      </c>
      <c r="E8" s="95">
        <f>D8/(1000*'Project Plan'!$E$3)</f>
        <v>0.24993377483443707</v>
      </c>
      <c r="F8" s="95"/>
      <c r="G8" s="89">
        <v>96174</v>
      </c>
      <c r="H8" s="96">
        <f>G8/('Project Plan'!$E$3*1000)</f>
        <v>6.3691390728476821E-2</v>
      </c>
      <c r="J8" s="99">
        <f t="shared" si="0"/>
        <v>281226</v>
      </c>
      <c r="L8" s="89"/>
      <c r="M8" s="96">
        <f>L8/('Project Plan'!$E$3*1000)</f>
        <v>0</v>
      </c>
      <c r="O8" s="99">
        <f t="shared" si="1"/>
        <v>377400</v>
      </c>
    </row>
    <row r="9" spans="2:15">
      <c r="B9" s="86" t="s">
        <v>410</v>
      </c>
      <c r="C9" s="86"/>
      <c r="D9" s="89">
        <f>'Expenditure Breakdown'!AA11</f>
        <v>904400</v>
      </c>
      <c r="E9" s="95">
        <f>D9/(1000*'Project Plan'!$E$3)</f>
        <v>0.59894039735099336</v>
      </c>
      <c r="F9" s="95"/>
      <c r="G9" s="89">
        <v>230160</v>
      </c>
      <c r="H9" s="96">
        <f>G9/('Project Plan'!$E$3*1000)</f>
        <v>0.15242384105960266</v>
      </c>
      <c r="J9" s="99">
        <f t="shared" si="0"/>
        <v>674240</v>
      </c>
      <c r="L9" s="89"/>
      <c r="M9" s="96">
        <f>L9/('Project Plan'!$E$3*1000)</f>
        <v>0</v>
      </c>
      <c r="O9" s="99">
        <f t="shared" si="1"/>
        <v>904400</v>
      </c>
    </row>
    <row r="10" spans="2:15">
      <c r="B10" s="86" t="s">
        <v>411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419</v>
      </c>
      <c r="C11" s="86"/>
      <c r="D11" s="89">
        <f>'Expenditure Breakdown'!AA13</f>
        <v>115057.5</v>
      </c>
      <c r="E11" s="98"/>
      <c r="F11" s="98"/>
      <c r="G11" s="89">
        <v>29257.61</v>
      </c>
      <c r="H11" s="91"/>
      <c r="J11" s="99">
        <f t="shared" si="0"/>
        <v>85799.89</v>
      </c>
      <c r="L11" s="89"/>
      <c r="M11" s="91"/>
      <c r="O11" s="99">
        <f t="shared" si="1"/>
        <v>115057.5</v>
      </c>
    </row>
    <row r="12" spans="2:15">
      <c r="B12" s="86" t="s">
        <v>421</v>
      </c>
      <c r="C12" s="86"/>
      <c r="D12" s="89">
        <f>'Expenditure Breakdown'!AA14</f>
        <v>46250</v>
      </c>
      <c r="E12" s="98"/>
      <c r="F12" s="98"/>
      <c r="G12" s="89"/>
      <c r="H12" s="91"/>
      <c r="J12" s="99">
        <f t="shared" si="0"/>
        <v>46250</v>
      </c>
      <c r="L12" s="89"/>
      <c r="M12" s="91"/>
      <c r="O12" s="99">
        <f t="shared" si="1"/>
        <v>46250</v>
      </c>
    </row>
    <row r="13" spans="2:15">
      <c r="B13" s="86" t="s">
        <v>422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684</v>
      </c>
      <c r="C15" s="92"/>
      <c r="D15" s="90">
        <f>SUM(D6:D13)</f>
        <v>5557140.7956521697</v>
      </c>
      <c r="E15" s="95"/>
      <c r="F15" s="95"/>
      <c r="G15" s="90">
        <f>SUM(G6:G13)</f>
        <v>775642.7699999999</v>
      </c>
      <c r="H15" s="96"/>
      <c r="J15" s="101">
        <f>SUM(J6:J14)</f>
        <v>4781498.0256521692</v>
      </c>
      <c r="L15" s="90">
        <f>SUM(L6:L13)</f>
        <v>0</v>
      </c>
      <c r="M15" s="96"/>
      <c r="O15" s="101">
        <f>SUM(O6:O14)</f>
        <v>5557140.7956521697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665</v>
      </c>
      <c r="C18" s="86"/>
      <c r="D18" s="90" t="s">
        <v>666</v>
      </c>
      <c r="E18" s="95"/>
      <c r="F18" s="95"/>
      <c r="G18" s="90" t="s">
        <v>689</v>
      </c>
      <c r="H18" s="96"/>
      <c r="J18" s="90" t="s">
        <v>668</v>
      </c>
      <c r="L18" s="90" t="s">
        <v>690</v>
      </c>
      <c r="M18" s="96"/>
      <c r="O18" s="90" t="s">
        <v>668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3348396.2956521702</v>
      </c>
    </row>
    <row r="21" spans="2:15">
      <c r="B21" s="86" t="s">
        <v>692</v>
      </c>
      <c r="C21" s="86"/>
      <c r="D21" s="89">
        <f>'Expenditure Breakdown'!C66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757137</v>
      </c>
    </row>
    <row r="22" spans="2:15">
      <c r="B22" s="86" t="s">
        <v>693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377400</v>
      </c>
    </row>
    <row r="23" spans="2:15">
      <c r="B23" s="86" t="s">
        <v>694</v>
      </c>
      <c r="C23" s="86"/>
      <c r="D23" s="89">
        <f>SUM('Expenditure Breakdown'!G42:G43)</f>
        <v>506385</v>
      </c>
      <c r="E23" s="95">
        <f>D23/(1000*'Project Plan'!$E$3)</f>
        <v>0.3353543046357616</v>
      </c>
      <c r="F23" s="95"/>
      <c r="G23" s="89"/>
      <c r="H23" s="96"/>
      <c r="J23" s="99">
        <f t="shared" si="2"/>
        <v>506385</v>
      </c>
      <c r="L23" s="89"/>
      <c r="M23" s="96"/>
      <c r="O23" s="99">
        <f t="shared" si="3"/>
        <v>904400</v>
      </c>
    </row>
    <row r="24" spans="2:15">
      <c r="B24" s="86" t="s">
        <v>421</v>
      </c>
      <c r="C24" s="86"/>
      <c r="D24" s="89">
        <f>'Expenditure Breakdown'!G123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695</v>
      </c>
      <c r="C25" s="86"/>
      <c r="D25" s="89">
        <f>SUM('Expenditure Breakdown'!G110:G112)</f>
        <v>169807.5</v>
      </c>
      <c r="E25" s="98"/>
      <c r="F25" s="98"/>
      <c r="G25" s="89"/>
      <c r="H25" s="91"/>
      <c r="J25" s="99">
        <f t="shared" si="2"/>
        <v>169807.5</v>
      </c>
      <c r="L25" s="89"/>
      <c r="M25" s="91"/>
      <c r="O25" s="99">
        <f t="shared" si="3"/>
        <v>115057.5</v>
      </c>
    </row>
    <row r="26" spans="2:15">
      <c r="B26" s="86" t="s">
        <v>411</v>
      </c>
      <c r="C26" s="86"/>
      <c r="D26" s="89">
        <f>'Expenditure Breakdown'!G114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46250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684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5557140.7956521697</v>
      </c>
    </row>
    <row r="32" spans="2:15" ht="13.9" thickBot="1">
      <c r="B32" s="102" t="s">
        <v>696</v>
      </c>
      <c r="C32" s="103"/>
      <c r="D32" s="103"/>
    </row>
    <row r="33" spans="2:4" ht="13.9" thickTop="1"/>
    <row r="34" spans="2:4">
      <c r="B34" s="88" t="s">
        <v>666</v>
      </c>
      <c r="D34" s="99">
        <f>D15</f>
        <v>5557140.7956521697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str">
        <f>IF(D40&lt;D34,"Saving","Loss")</f>
        <v>Loss</v>
      </c>
      <c r="C40" s="105"/>
      <c r="D40" s="106">
        <f>D34-MIN(D35:D38)</f>
        <v>5557140.7956521697</v>
      </c>
    </row>
    <row r="41" spans="2:4">
      <c r="B41" s="105"/>
      <c r="C41" s="105"/>
      <c r="D41" s="106"/>
    </row>
    <row r="42" spans="2:4">
      <c r="B42" s="86" t="s">
        <v>697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99" t="str">
        <f>D15</f>
        <v>Cascades Lifestyle Center</v>
      </c>
      <c r="C1" s="999"/>
      <c r="D1" s="999"/>
      <c r="E1" s="998" t="s">
        <v>698</v>
      </c>
      <c r="F1" s="998"/>
      <c r="G1" s="998"/>
      <c r="H1" s="998"/>
      <c r="I1" s="998"/>
      <c r="J1" s="998"/>
      <c r="K1" s="77"/>
      <c r="L1" s="77"/>
      <c r="M1" s="77"/>
      <c r="N1" s="77"/>
    </row>
    <row r="2" spans="2:14" ht="6.75" customHeight="1"/>
    <row r="3" spans="2:14">
      <c r="B3" s="72" t="s">
        <v>699</v>
      </c>
      <c r="C3" s="72" t="s">
        <v>700</v>
      </c>
      <c r="D3" s="72" t="s">
        <v>701</v>
      </c>
      <c r="E3" s="78" t="s">
        <v>702</v>
      </c>
      <c r="F3" s="78" t="s">
        <v>703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704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705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706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707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708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709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710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711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712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713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Cascades Lifestyle Center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8DBEC886-009A-4399-902B-C728A4508CDB}"/>
</file>

<file path=customXml/itemProps3.xml><?xml version="1.0" encoding="utf-8"?>
<ds:datastoreItem xmlns:ds="http://schemas.openxmlformats.org/officeDocument/2006/customXml" ds:itemID="{25844A19-20CC-4FEC-B008-3FA4D1018EA5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Lloyd Brown</cp:lastModifiedBy>
  <cp:revision/>
  <dcterms:created xsi:type="dcterms:W3CDTF">2020-08-09T08:25:30Z</dcterms:created>
  <dcterms:modified xsi:type="dcterms:W3CDTF">2026-02-02T09:24:04Z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