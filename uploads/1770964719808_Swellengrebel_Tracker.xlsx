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6DFCE840-3A14-475C-AE54-82253AC5B1E1}" xr6:coauthVersionLast="47" xr6:coauthVersionMax="47" xr10:uidLastSave="{FADB5287-B85F-49E1-B613-58461BF319E7}"/>
  <bookViews>
    <workbookView minimized="1" xWindow="-24015" yWindow="3240" windowWidth="16125" windowHeight="8715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 s="1"/>
  <c r="E14" i="2" s="1"/>
  <c r="G12" i="2"/>
  <c r="G14" i="2" l="1"/>
  <c r="E15" i="2" s="1"/>
  <c r="E16" i="2"/>
  <c r="E25" i="2" l="1"/>
  <c r="G25" i="2" s="1"/>
  <c r="G15" i="2"/>
  <c r="E17" i="2"/>
  <c r="G17" i="2" s="1"/>
  <c r="G16" i="2"/>
  <c r="G11" i="2" s="1"/>
  <c r="E20" i="2" l="1"/>
  <c r="E11" i="2"/>
  <c r="F11" i="2" s="1"/>
  <c r="E37" i="2" l="1"/>
  <c r="E31" i="2"/>
  <c r="E19" i="2"/>
  <c r="G20" i="2"/>
  <c r="G37" i="2" l="1"/>
  <c r="E33" i="2"/>
  <c r="G33" i="2" s="1"/>
  <c r="G31" i="2"/>
  <c r="E23" i="2"/>
  <c r="G19" i="2"/>
  <c r="F19" i="2" s="1"/>
  <c r="E32" i="2" l="1"/>
  <c r="E26" i="2"/>
  <c r="G23" i="2"/>
  <c r="E24" i="2" l="1"/>
  <c r="E27" i="2"/>
  <c r="G27" i="2" s="1"/>
  <c r="G26" i="2"/>
  <c r="G32" i="2"/>
  <c r="E38" i="2" l="1"/>
  <c r="G24" i="2"/>
  <c r="G22" i="2" s="1"/>
  <c r="E22" i="2"/>
  <c r="F22" i="2" l="1"/>
  <c r="G38" i="2"/>
  <c r="E36" i="2"/>
  <c r="E34" i="2" l="1"/>
  <c r="G36" i="2"/>
  <c r="F36" i="2" s="1"/>
  <c r="G34" i="2" l="1"/>
  <c r="G29" i="2" s="1"/>
  <c r="E29" i="2"/>
  <c r="F29" i="2" l="1"/>
  <c r="E41" i="2"/>
  <c r="G41" i="2" l="1"/>
  <c r="E42" i="2" l="1"/>
  <c r="G42" i="2" l="1"/>
  <c r="E43" i="2" l="1"/>
  <c r="E46" i="2" l="1"/>
  <c r="G43" i="2"/>
  <c r="G40" i="2" s="1"/>
  <c r="F40" i="2" s="1"/>
  <c r="E40" i="2"/>
  <c r="G46" i="2" l="1"/>
  <c r="E47" i="2" l="1"/>
  <c r="E50" i="2" l="1"/>
  <c r="G47" i="2"/>
  <c r="G45" i="2" s="1"/>
  <c r="F45" i="2" s="1"/>
  <c r="E45" i="2"/>
  <c r="G50" i="2" l="1"/>
  <c r="E52" i="2" l="1"/>
  <c r="G52" i="2" s="1"/>
  <c r="E51" i="2"/>
  <c r="G51" i="2" l="1"/>
  <c r="G49" i="2" s="1"/>
  <c r="F49" i="2" s="1"/>
  <c r="E49" i="2"/>
  <c r="I14" i="2" l="1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 s="1"/>
  <c r="I13" i="2" l="1"/>
  <c r="O58" i="18"/>
  <c r="H6" i="5"/>
  <c r="X3" i="5"/>
  <c r="W3" i="5"/>
  <c r="V3" i="5"/>
  <c r="W82" i="18" l="1"/>
  <c r="W81" i="18"/>
  <c r="W80" i="18"/>
  <c r="W53" i="18"/>
  <c r="W45" i="18"/>
  <c r="T44" i="18"/>
  <c r="T28" i="18"/>
  <c r="W21" i="18"/>
  <c r="O6" i="18"/>
  <c r="K12" i="2"/>
  <c r="I16" i="2" l="1"/>
  <c r="K14" i="2"/>
  <c r="I15" i="2" l="1"/>
  <c r="K15" i="2" s="1"/>
  <c r="N14" i="2"/>
  <c r="K16" i="2"/>
  <c r="I17" i="2"/>
  <c r="K17" i="2" s="1"/>
  <c r="K11" i="2" l="1"/>
  <c r="I20" i="2" s="1"/>
  <c r="I11" i="2"/>
  <c r="J11" i="2" s="1"/>
  <c r="W90" i="18" l="1"/>
  <c r="K20" i="2"/>
  <c r="K19" i="2" s="1"/>
  <c r="I19" i="2"/>
  <c r="X102" i="18"/>
  <c r="U87" i="18"/>
  <c r="U86" i="18"/>
  <c r="U85" i="18"/>
  <c r="U84" i="18"/>
  <c r="U83" i="18"/>
  <c r="U82" i="18"/>
  <c r="U81" i="18"/>
  <c r="U80" i="18"/>
  <c r="U79" i="18"/>
  <c r="J19" i="2" l="1"/>
  <c r="N19" i="2"/>
  <c r="M19" i="2"/>
  <c r="G104" i="18"/>
  <c r="G1" i="6"/>
  <c r="H1" i="6" s="1"/>
  <c r="W137" i="18"/>
  <c r="W136" i="18"/>
  <c r="W135" i="18"/>
  <c r="W134" i="18"/>
  <c r="T79" i="18"/>
  <c r="T55" i="18"/>
  <c r="I1" i="6" l="1"/>
  <c r="J1" i="6" l="1"/>
  <c r="K1" i="6" l="1"/>
  <c r="L1" i="6" l="1"/>
  <c r="M1" i="6" l="1"/>
  <c r="N1" i="6" l="1"/>
  <c r="O1" i="6" l="1"/>
  <c r="P1" i="6" l="1"/>
  <c r="Q1" i="6" l="1"/>
  <c r="R1" i="6" l="1"/>
  <c r="S1" i="6" l="1"/>
  <c r="T1" i="6" l="1"/>
  <c r="U1" i="6" l="1"/>
  <c r="V1" i="6" l="1"/>
  <c r="W1" i="6" l="1"/>
  <c r="X1" i="6" l="1"/>
  <c r="Y1" i="6" l="1"/>
  <c r="Z1" i="6" l="1"/>
  <c r="AA1" i="6" l="1"/>
  <c r="H17" i="5" l="1"/>
  <c r="AB1" i="6"/>
  <c r="AC1" i="6" l="1"/>
  <c r="AD1" i="6" l="1"/>
  <c r="AE1" i="6" l="1"/>
  <c r="AF1" i="6" l="1"/>
  <c r="AG1" i="6" l="1"/>
  <c r="AH1" i="6" l="1"/>
  <c r="AI1" i="6" l="1"/>
  <c r="AJ1" i="6" l="1"/>
  <c r="AK1" i="6" l="1"/>
  <c r="AL1" i="6" l="1"/>
  <c r="AM1" i="6" l="1"/>
  <c r="AN1" i="6" l="1"/>
  <c r="AO1" i="6" l="1"/>
  <c r="AP1" i="6" l="1"/>
  <c r="AQ1" i="6" l="1"/>
  <c r="AR1" i="6" l="1"/>
  <c r="AS1" i="6" l="1"/>
  <c r="AT1" i="6" l="1"/>
  <c r="AU1" i="6" l="1"/>
  <c r="AV1" i="6" l="1"/>
  <c r="AW1" i="6" l="1"/>
  <c r="AX1" i="6" l="1"/>
  <c r="AY1" i="6" l="1"/>
  <c r="AZ1" i="6" l="1"/>
  <c r="BA1" i="6" l="1"/>
  <c r="BB1" i="6" l="1"/>
  <c r="BC1" i="6" l="1"/>
  <c r="BD1" i="6" l="1"/>
  <c r="BE1" i="6" l="1"/>
  <c r="BF1" i="6" l="1"/>
  <c r="BG1" i="6" l="1"/>
  <c r="BH1" i="6" l="1"/>
  <c r="BI1" i="6" l="1"/>
  <c r="BJ1" i="6" l="1"/>
  <c r="BK1" i="6" l="1"/>
  <c r="BL1" i="6" l="1"/>
  <c r="BM1" i="6" l="1"/>
  <c r="BN1" i="6" l="1"/>
  <c r="BO1" i="6" l="1"/>
  <c r="BP1" i="6" l="1"/>
  <c r="BQ1" i="6" l="1"/>
  <c r="BR1" i="6" l="1"/>
  <c r="BS1" i="6" l="1"/>
  <c r="BT1" i="6" l="1"/>
  <c r="BU1" i="6" l="1"/>
  <c r="BV1" i="6" l="1"/>
  <c r="BW1" i="6" l="1"/>
  <c r="BX1" i="6" l="1"/>
  <c r="BY1" i="6" l="1"/>
  <c r="BZ1" i="6" l="1"/>
  <c r="CA1" i="6" l="1"/>
  <c r="CB1" i="6" l="1"/>
  <c r="CC1" i="6" l="1"/>
  <c r="CD1" i="6" l="1"/>
  <c r="CE1" i="6" l="1"/>
  <c r="CF1" i="6" l="1"/>
  <c r="CG1" i="6" l="1"/>
  <c r="CH1" i="6" l="1"/>
  <c r="CI1" i="6" l="1"/>
  <c r="CJ1" i="6" l="1"/>
  <c r="CK1" i="6" l="1"/>
  <c r="CL1" i="6" l="1"/>
  <c r="CM1" i="6" l="1"/>
  <c r="CN1" i="6" l="1"/>
  <c r="CO1" i="6" l="1"/>
  <c r="CP1" i="6" l="1"/>
  <c r="CQ1" i="6" l="1"/>
  <c r="CR1" i="6" l="1"/>
  <c r="CS1" i="6" l="1"/>
  <c r="CT1" i="6" l="1"/>
  <c r="CU1" i="6" l="1"/>
  <c r="CV1" i="6" l="1"/>
  <c r="CW1" i="6" l="1"/>
  <c r="CX1" i="6" l="1"/>
  <c r="CY1" i="6" l="1"/>
  <c r="CZ1" i="6" l="1"/>
  <c r="DA1" i="6" l="1"/>
  <c r="DB1" i="6" l="1"/>
  <c r="DC1" i="6" l="1"/>
  <c r="DD1" i="6" l="1"/>
  <c r="DE1" i="6" l="1"/>
  <c r="DF1" i="6" l="1"/>
  <c r="DG1" i="6" l="1"/>
  <c r="DH1" i="6" l="1"/>
  <c r="DI1" i="6" l="1"/>
  <c r="DJ1" i="6" l="1"/>
  <c r="DK1" i="6" l="1"/>
  <c r="DL1" i="6" l="1"/>
  <c r="DM1" i="6" l="1"/>
  <c r="DN1" i="6" l="1"/>
  <c r="DO1" i="6" l="1"/>
  <c r="DP1" i="6" l="1"/>
  <c r="DQ1" i="6" l="1"/>
  <c r="DR1" i="6" l="1"/>
  <c r="DS1" i="6" l="1"/>
  <c r="DT1" i="6" l="1"/>
  <c r="DU1" i="6" l="1"/>
  <c r="DV1" i="6" l="1"/>
  <c r="DW1" i="6" l="1"/>
  <c r="DX1" i="6" l="1"/>
  <c r="DY1" i="6" l="1"/>
  <c r="DZ1" i="6" l="1"/>
  <c r="EA1" i="6" l="1"/>
  <c r="EB1" i="6" l="1"/>
  <c r="EC1" i="6" l="1"/>
  <c r="ED1" i="6" l="1"/>
  <c r="EE1" i="6" l="1"/>
  <c r="EF1" i="6" l="1"/>
  <c r="EG1" i="6" l="1"/>
  <c r="EH1" i="6" l="1"/>
  <c r="EI1" i="6" l="1"/>
  <c r="EJ1" i="6" l="1"/>
  <c r="EK1" i="6" l="1"/>
  <c r="EL1" i="6" l="1"/>
  <c r="EM1" i="6" l="1"/>
  <c r="EN1" i="6" l="1"/>
  <c r="EO1" i="6" l="1"/>
  <c r="EP1" i="6" l="1"/>
  <c r="EQ1" i="6" l="1"/>
  <c r="ER1" i="6" l="1"/>
  <c r="ES1" i="6" l="1"/>
  <c r="ET1" i="6" l="1"/>
  <c r="EU1" i="6" l="1"/>
  <c r="EV1" i="6" l="1"/>
  <c r="EW1" i="6" l="1"/>
  <c r="EX1" i="6" l="1"/>
  <c r="EY1" i="6" l="1"/>
  <c r="EZ1" i="6" l="1"/>
  <c r="FA1" i="6" l="1"/>
  <c r="FB1" i="6" l="1"/>
  <c r="FC1" i="6" l="1"/>
  <c r="FD1" i="6" l="1"/>
  <c r="FE1" i="6" l="1"/>
  <c r="FF1" i="6" l="1"/>
  <c r="FG1" i="6" l="1"/>
  <c r="FH1" i="6" l="1"/>
  <c r="FI1" i="6" l="1"/>
  <c r="FJ1" i="6" l="1"/>
  <c r="FK1" i="6" l="1"/>
  <c r="FL1" i="6" l="1"/>
  <c r="FM1" i="6" l="1"/>
  <c r="FN1" i="6" l="1"/>
  <c r="FO1" i="6" l="1"/>
  <c r="FP1" i="6" l="1"/>
  <c r="FQ1" i="6" l="1"/>
  <c r="FR1" i="6" l="1"/>
  <c r="FS1" i="6" l="1"/>
  <c r="FT1" i="6" l="1"/>
  <c r="FU1" i="6" l="1"/>
  <c r="FV1" i="6" l="1"/>
  <c r="FW1" i="6" l="1"/>
  <c r="FX1" i="6" l="1"/>
  <c r="FY1" i="6" l="1"/>
  <c r="FZ1" i="6" l="1"/>
  <c r="GA1" i="6" l="1"/>
  <c r="GB1" i="6" l="1"/>
  <c r="GC1" i="6" l="1"/>
  <c r="GD1" i="6" l="1"/>
  <c r="GE1" i="6" l="1"/>
  <c r="GF1" i="6" l="1"/>
  <c r="GG1" i="6" l="1"/>
  <c r="GH1" i="6" l="1"/>
  <c r="GI1" i="6" l="1"/>
  <c r="GJ1" i="6" l="1"/>
  <c r="GK1" i="6" l="1"/>
  <c r="GL1" i="6" l="1"/>
  <c r="GM1" i="6" l="1"/>
  <c r="GN1" i="6" l="1"/>
  <c r="GO1" i="6" l="1"/>
  <c r="GP1" i="6" l="1"/>
  <c r="GQ1" i="6" l="1"/>
  <c r="GR1" i="6" l="1"/>
  <c r="GS1" i="6" l="1"/>
  <c r="GT1" i="6" l="1"/>
  <c r="GU1" i="6" l="1"/>
  <c r="GV1" i="6" l="1"/>
  <c r="GW1" i="6" l="1"/>
  <c r="GX1" i="6" l="1"/>
  <c r="GY1" i="6" l="1"/>
  <c r="GZ1" i="6" l="1"/>
  <c r="HA1" i="6" l="1"/>
  <c r="HB1" i="6" l="1"/>
  <c r="HC1" i="6" l="1"/>
  <c r="HD1" i="6" l="1"/>
  <c r="HE1" i="6" l="1"/>
  <c r="HF1" i="6" l="1"/>
  <c r="HG1" i="6" l="1"/>
  <c r="HH1" i="6" l="1"/>
  <c r="HI1" i="6" l="1"/>
  <c r="HJ1" i="6" l="1"/>
  <c r="HK1" i="6" l="1"/>
  <c r="HL1" i="6" l="1"/>
  <c r="HM1" i="6" l="1"/>
  <c r="HN1" i="6" l="1"/>
  <c r="HO1" i="6" l="1"/>
  <c r="HP1" i="6" l="1"/>
  <c r="HQ1" i="6" l="1"/>
  <c r="HR1" i="6" l="1"/>
  <c r="HS1" i="6" l="1"/>
  <c r="HT1" i="6" l="1"/>
  <c r="HU1" i="6" l="1"/>
  <c r="HV1" i="6" l="1"/>
  <c r="HW1" i="6" l="1"/>
  <c r="HX1" i="6" l="1"/>
  <c r="HY1" i="6" l="1"/>
  <c r="HZ1" i="6" l="1"/>
  <c r="IA1" i="6" l="1"/>
  <c r="IB1" i="6" l="1"/>
  <c r="IC1" i="6" l="1"/>
  <c r="ID1" i="6" l="1"/>
  <c r="IE1" i="6" l="1"/>
  <c r="IF1" i="6" l="1"/>
  <c r="IG1" i="6" l="1"/>
  <c r="IH1" i="6" l="1"/>
  <c r="II1" i="6" l="1"/>
  <c r="IJ1" i="6" l="1"/>
  <c r="IK1" i="6" l="1"/>
  <c r="IL1" i="6" l="1"/>
  <c r="IM1" i="6" l="1"/>
  <c r="IN1" i="6" l="1"/>
  <c r="IO1" i="6" l="1"/>
  <c r="IP1" i="6" l="1"/>
  <c r="IQ1" i="6" l="1"/>
  <c r="IR1" i="6" l="1"/>
  <c r="IS1" i="6" l="1"/>
  <c r="IT1" i="6" l="1"/>
  <c r="IU1" i="6" l="1"/>
  <c r="IV1" i="6" l="1"/>
  <c r="IW1" i="6" l="1"/>
  <c r="IX1" i="6" l="1"/>
  <c r="IY1" i="6" l="1"/>
  <c r="IZ1" i="6" l="1"/>
  <c r="JA1" i="6" l="1"/>
  <c r="JB1" i="6" l="1"/>
  <c r="JC1" i="6" l="1"/>
  <c r="JD1" i="6" l="1"/>
  <c r="JE1" i="6" l="1"/>
  <c r="JF1" i="6" l="1"/>
  <c r="JG1" i="6" l="1"/>
  <c r="JH1" i="6" l="1"/>
  <c r="JI1" i="6" l="1"/>
  <c r="JJ1" i="6" l="1"/>
  <c r="JK1" i="6" l="1"/>
  <c r="JL1" i="6" l="1"/>
  <c r="JM1" i="6" l="1"/>
  <c r="JN1" i="6" l="1"/>
  <c r="JO1" i="6" l="1"/>
  <c r="JP1" i="6" l="1"/>
  <c r="JQ1" i="6" l="1"/>
  <c r="JR1" i="6" l="1"/>
  <c r="JS1" i="6" l="1"/>
  <c r="JT1" i="6" l="1"/>
  <c r="JU1" i="6" l="1"/>
  <c r="JV1" i="6" l="1"/>
  <c r="JW1" i="6" l="1"/>
  <c r="JX1" i="6" l="1"/>
  <c r="JY1" i="6" l="1"/>
  <c r="JZ1" i="6" l="1"/>
  <c r="KA1" i="6" l="1"/>
  <c r="KB1" i="6" l="1"/>
  <c r="KC1" i="6" l="1"/>
  <c r="KD1" i="6" l="1"/>
  <c r="KE1" i="6" l="1"/>
  <c r="J102" i="18" l="1"/>
  <c r="J79" i="18"/>
  <c r="I25" i="2" l="1"/>
  <c r="K25" i="2" l="1"/>
  <c r="I37" i="2" l="1"/>
  <c r="W91" i="18"/>
  <c r="I31" i="2"/>
  <c r="K37" i="2" l="1"/>
  <c r="W6" i="18" s="1"/>
  <c r="W28" i="18" s="1"/>
  <c r="I23" i="2"/>
  <c r="I26" i="2" s="1"/>
  <c r="I33" i="2"/>
  <c r="K33" i="2" s="1"/>
  <c r="K31" i="2"/>
  <c r="I27" i="2" l="1"/>
  <c r="K27" i="2" s="1"/>
  <c r="K26" i="2"/>
  <c r="I32" i="2"/>
  <c r="K23" i="2"/>
  <c r="I24" i="2" l="1"/>
  <c r="K32" i="2"/>
  <c r="I38" i="2" l="1"/>
  <c r="K24" i="2"/>
  <c r="K22" i="2" s="1"/>
  <c r="I22" i="2"/>
  <c r="J22" i="2" l="1"/>
  <c r="K38" i="2"/>
  <c r="I36" i="2"/>
  <c r="I34" i="2" l="1"/>
  <c r="K36" i="2"/>
  <c r="J36" i="2" s="1"/>
  <c r="K34" i="2" l="1"/>
  <c r="K29" i="2" s="1"/>
  <c r="I29" i="2"/>
  <c r="J29" i="2" l="1"/>
  <c r="I41" i="2"/>
  <c r="K41" i="2" l="1"/>
  <c r="W119" i="18" s="1"/>
  <c r="I42" i="2" l="1"/>
  <c r="K42" i="2" l="1"/>
  <c r="I43" i="2" l="1"/>
  <c r="I46" i="2" l="1"/>
  <c r="K43" i="2"/>
  <c r="K40" i="2" s="1"/>
  <c r="I40" i="2"/>
  <c r="W127" i="18" l="1"/>
  <c r="W124" i="18" s="1"/>
  <c r="J40" i="2"/>
  <c r="K46" i="2"/>
  <c r="I47" i="2" l="1"/>
  <c r="I50" i="2" l="1"/>
  <c r="K47" i="2"/>
  <c r="K45" i="2" s="1"/>
  <c r="I45" i="2"/>
  <c r="J45" i="2" l="1"/>
  <c r="K50" i="2"/>
  <c r="I52" i="2" l="1"/>
  <c r="K52" i="2" s="1"/>
  <c r="I51" i="2"/>
  <c r="K51" i="2" l="1"/>
  <c r="I49" i="2"/>
  <c r="K49" i="2" l="1"/>
  <c r="J49" i="2" s="1"/>
  <c r="P17" i="5"/>
  <c r="J127" i="18" l="1"/>
  <c r="G127" i="18"/>
  <c r="H14" i="5" l="1"/>
  <c r="W128" i="18"/>
  <c r="W129" i="18" s="1"/>
  <c r="W130" i="18" s="1"/>
  <c r="W131" i="18" s="1"/>
  <c r="T119" i="18"/>
  <c r="T120" i="18"/>
  <c r="W46" i="18"/>
  <c r="W14" i="18"/>
  <c r="W44" i="18" s="1"/>
  <c r="I44" i="18"/>
  <c r="X118" i="18" l="1"/>
  <c r="H15" i="5" l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 l="1"/>
  <c r="C4" i="24" l="1"/>
  <c r="C7" i="23"/>
  <c r="C4" i="23"/>
  <c r="Q124" i="18"/>
  <c r="P14" i="5" l="1"/>
  <c r="P15" i="5" l="1"/>
  <c r="H52" i="18"/>
  <c r="H44" i="18" s="1"/>
  <c r="H45" i="18" s="1"/>
  <c r="H46" i="18" s="1"/>
  <c r="H6" i="18" l="1"/>
  <c r="H19" i="3" l="1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 s="1"/>
  <c r="V70" i="18"/>
  <c r="X79" i="18"/>
  <c r="I124" i="18"/>
  <c r="G134" i="18"/>
  <c r="G103" i="18"/>
  <c r="Z17" i="18" s="1"/>
  <c r="Z32" i="18" s="1"/>
  <c r="G102" i="18"/>
  <c r="Z16" i="18" s="1"/>
  <c r="Z31" i="18" s="1"/>
  <c r="G90" i="18"/>
  <c r="Z15" i="18" s="1"/>
  <c r="Z30" i="18" s="1"/>
  <c r="G89" i="18"/>
  <c r="Z14" i="18" s="1"/>
  <c r="Z29" i="18" s="1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E46" i="5"/>
  <c r="E47" i="5"/>
  <c r="E21" i="5"/>
  <c r="I118" i="18"/>
  <c r="X21" i="18"/>
  <c r="F13" i="5" l="1"/>
  <c r="Z33" i="18"/>
  <c r="O90" i="18"/>
  <c r="I13" i="18"/>
  <c r="F10" i="3" s="1"/>
  <c r="Z12" i="18"/>
  <c r="Z27" i="18" s="1"/>
  <c r="Z13" i="18"/>
  <c r="Z28" i="18" s="1"/>
  <c r="O32" i="18" s="1"/>
  <c r="Q35" i="18" s="1"/>
  <c r="O106" i="18"/>
  <c r="Q106" i="18" s="1"/>
  <c r="U49" i="18"/>
  <c r="U50" i="18"/>
  <c r="U45" i="18"/>
  <c r="U48" i="18"/>
  <c r="U47" i="18"/>
  <c r="U46" i="18"/>
  <c r="U44" i="18"/>
  <c r="I134" i="18"/>
  <c r="F22" i="3" s="1"/>
  <c r="Q137" i="18"/>
  <c r="U15" i="18"/>
  <c r="I6" i="18"/>
  <c r="I21" i="18"/>
  <c r="I28" i="18"/>
  <c r="F12" i="3" s="1"/>
  <c r="Q134" i="18"/>
  <c r="I127" i="18"/>
  <c r="F21" i="3" s="1"/>
  <c r="F19" i="3"/>
  <c r="J19" i="3" s="1"/>
  <c r="I89" i="18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 s="1"/>
  <c r="U25" i="18"/>
  <c r="U26" i="18"/>
  <c r="U21" i="18"/>
  <c r="U24" i="18"/>
  <c r="Q62" i="18" l="1"/>
  <c r="Z22" i="18"/>
  <c r="Z23" i="18" s="1"/>
  <c r="Z24" i="18" s="1"/>
  <c r="Q63" i="18"/>
  <c r="Q65" i="18"/>
  <c r="Q33" i="18"/>
  <c r="X28" i="18" s="1"/>
  <c r="U38" i="18" s="1"/>
  <c r="Z38" i="18"/>
  <c r="Z39" i="18" s="1"/>
  <c r="Q113" i="18"/>
  <c r="Q108" i="18"/>
  <c r="Q111" i="18"/>
  <c r="Q109" i="18"/>
  <c r="Q107" i="18"/>
  <c r="Q110" i="18"/>
  <c r="V13" i="18"/>
  <c r="J20" i="3"/>
  <c r="X134" i="18"/>
  <c r="U136" i="18" s="1"/>
  <c r="F17" i="3"/>
  <c r="F14" i="3"/>
  <c r="J10" i="3"/>
  <c r="F11" i="3"/>
  <c r="J11" i="3" s="1"/>
  <c r="I2" i="18"/>
  <c r="F9" i="3"/>
  <c r="V118" i="18"/>
  <c r="F18" i="3"/>
  <c r="N16" i="2"/>
  <c r="J13" i="3"/>
  <c r="F21" i="5"/>
  <c r="F4" i="5" s="1"/>
  <c r="C9" i="6" s="1"/>
  <c r="U11" i="18"/>
  <c r="H9" i="3"/>
  <c r="U7" i="18"/>
  <c r="U8" i="18"/>
  <c r="U9" i="18"/>
  <c r="U10" i="18"/>
  <c r="U6" i="18"/>
  <c r="X89" i="18"/>
  <c r="U91" i="18" s="1"/>
  <c r="U138" i="18"/>
  <c r="U141" i="18"/>
  <c r="U144" i="18"/>
  <c r="U143" i="18"/>
  <c r="H22" i="3"/>
  <c r="J22" i="3" s="1"/>
  <c r="U140" i="18"/>
  <c r="U131" i="18"/>
  <c r="U127" i="18"/>
  <c r="H21" i="3"/>
  <c r="J21" i="3" s="1"/>
  <c r="U132" i="18"/>
  <c r="U128" i="18"/>
  <c r="U129" i="18"/>
  <c r="U130" i="18"/>
  <c r="V79" i="18"/>
  <c r="V44" i="18"/>
  <c r="V21" i="18"/>
  <c r="Q64" i="18" l="1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 s="1"/>
  <c r="U97" i="18"/>
  <c r="J9" i="3"/>
  <c r="F47" i="5"/>
  <c r="F45" i="5" s="1"/>
  <c r="U34" i="18"/>
  <c r="U33" i="18"/>
  <c r="U94" i="18"/>
  <c r="U93" i="18"/>
  <c r="U96" i="18"/>
  <c r="U92" i="18"/>
  <c r="U95" i="18"/>
  <c r="T14" i="2"/>
  <c r="H18" i="3"/>
  <c r="J18" i="3" s="1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 s="1"/>
  <c r="U40" i="18"/>
  <c r="U41" i="18"/>
  <c r="U29" i="18"/>
  <c r="U36" i="18"/>
  <c r="V6" i="18"/>
  <c r="U39" i="18"/>
  <c r="H17" i="3"/>
  <c r="J17" i="3" s="1"/>
  <c r="U98" i="18"/>
  <c r="U99" i="18"/>
  <c r="U100" i="18"/>
  <c r="U89" i="18"/>
  <c r="U37" i="18"/>
  <c r="U35" i="18"/>
  <c r="D6" i="5" l="1"/>
  <c r="X52" i="18"/>
  <c r="U68" i="18" s="1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 l="1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 l="1"/>
  <c r="J5" i="3" s="1"/>
  <c r="H5" i="3"/>
  <c r="V52" i="18"/>
  <c r="W58" i="18"/>
  <c r="T90" i="18"/>
  <c r="W106" i="18"/>
  <c r="W32" i="18"/>
  <c r="W59" i="18"/>
  <c r="T59" i="18" s="1"/>
  <c r="W107" i="18"/>
  <c r="W33" i="18"/>
  <c r="T91" i="18"/>
  <c r="N20" i="2"/>
  <c r="H21" i="18"/>
  <c r="H13" i="18"/>
  <c r="T15" i="2"/>
  <c r="F5" i="5" l="1"/>
  <c r="H25" i="3"/>
  <c r="T107" i="18"/>
  <c r="T33" i="18"/>
  <c r="T58" i="18"/>
  <c r="T106" i="18"/>
  <c r="T32" i="18"/>
  <c r="N33" i="2"/>
  <c r="N31" i="2"/>
  <c r="N32" i="2"/>
  <c r="H28" i="18"/>
  <c r="V15" i="2"/>
  <c r="F6" i="5" l="1"/>
  <c r="F7" i="5" s="1"/>
  <c r="C11" i="6"/>
  <c r="H89" i="18"/>
  <c r="N24" i="2"/>
  <c r="N23" i="2"/>
  <c r="U15" i="2"/>
  <c r="H104" i="18" l="1"/>
  <c r="H102" i="18"/>
  <c r="H103" i="18"/>
  <c r="H105" i="18"/>
  <c r="T16" i="2"/>
  <c r="H3" i="6" l="1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 s="1"/>
  <c r="P16" i="5"/>
  <c r="J9" i="2"/>
  <c r="H90" i="18"/>
  <c r="H29" i="18"/>
  <c r="T18" i="2"/>
  <c r="U16" i="2"/>
  <c r="V16" i="2"/>
  <c r="W92" i="18"/>
  <c r="W60" i="18" l="1"/>
  <c r="T60" i="18" s="1"/>
  <c r="W108" i="18"/>
  <c r="T102" i="18" s="1"/>
  <c r="W34" i="18"/>
  <c r="T92" i="18"/>
  <c r="N38" i="2"/>
  <c r="N34" i="2"/>
  <c r="T108" i="18" l="1"/>
  <c r="T34" i="18"/>
  <c r="T17" i="2"/>
  <c r="U18" i="2"/>
  <c r="V18" i="2"/>
  <c r="U17" i="2" l="1"/>
  <c r="W93" i="18"/>
  <c r="V17" i="2"/>
  <c r="W61" i="18" l="1"/>
  <c r="T61" i="18" s="1"/>
  <c r="W109" i="18"/>
  <c r="T93" i="18"/>
  <c r="W35" i="18"/>
  <c r="N41" i="2"/>
  <c r="G9" i="6" l="1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 l="1"/>
  <c r="H134" i="18"/>
  <c r="H127" i="18"/>
  <c r="H124" i="18" s="1"/>
  <c r="K2" i="2" l="1"/>
  <c r="K3" i="2" s="1"/>
  <c r="K4" i="2" s="1"/>
  <c r="T19" i="2"/>
  <c r="U19" i="2" l="1"/>
  <c r="V19" i="2"/>
  <c r="W94" i="18"/>
  <c r="T94" i="18" l="1"/>
  <c r="W110" i="18"/>
  <c r="W62" i="18"/>
  <c r="T62" i="18" s="1"/>
  <c r="W36" i="18"/>
  <c r="T110" i="18" l="1"/>
  <c r="T36" i="18"/>
  <c r="N47" i="2"/>
  <c r="T20" i="2"/>
  <c r="N50" i="2" l="1"/>
  <c r="W96" i="18"/>
  <c r="W97" i="18"/>
  <c r="W95" i="18"/>
  <c r="W63" i="18" l="1"/>
  <c r="T63" i="18" s="1"/>
  <c r="T95" i="18"/>
  <c r="W111" i="18"/>
  <c r="W37" i="18"/>
  <c r="T97" i="18"/>
  <c r="W65" i="18"/>
  <c r="T65" i="18" s="1"/>
  <c r="W113" i="18"/>
  <c r="W39" i="18"/>
  <c r="W64" i="18"/>
  <c r="T64" i="18" s="1"/>
  <c r="T96" i="18"/>
  <c r="W38" i="18"/>
  <c r="W112" i="18"/>
  <c r="U20" i="2"/>
  <c r="V20" i="2"/>
  <c r="T38" i="18" l="1"/>
  <c r="T112" i="18"/>
  <c r="T39" i="18"/>
  <c r="T113" i="18"/>
  <c r="T37" i="18"/>
  <c r="T111" i="18"/>
  <c r="N52" i="2"/>
  <c r="N51" i="2"/>
  <c r="F9" i="6" l="1"/>
  <c r="D9" i="6" l="1"/>
  <c r="F10" i="6"/>
  <c r="G10" i="6" s="1"/>
  <c r="H10" i="6" s="1"/>
  <c r="I10" i="6" l="1"/>
  <c r="F9" i="2"/>
  <c r="J10" i="6" l="1"/>
  <c r="H118" i="18"/>
  <c r="H119" i="18" l="1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 l="1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D3" i="6"/>
  <c r="F4" i="6"/>
  <c r="G4" i="6" s="1"/>
  <c r="H4" i="6" s="1"/>
  <c r="I4" i="6" l="1"/>
  <c r="H7" i="6"/>
  <c r="M10" i="6"/>
  <c r="G7" i="6"/>
  <c r="D5" i="6"/>
  <c r="F7" i="6"/>
  <c r="N10" i="6" l="1"/>
  <c r="J4" i="6"/>
  <c r="I7" i="6"/>
  <c r="M9" i="2"/>
  <c r="T21" i="2"/>
  <c r="N9" i="2"/>
  <c r="V21" i="2"/>
  <c r="U21" i="2"/>
  <c r="K4" i="6" l="1"/>
  <c r="J7" i="6"/>
  <c r="O10" i="6"/>
  <c r="T118" i="18"/>
  <c r="T121" i="18"/>
  <c r="T127" i="18"/>
  <c r="U3" i="5" s="1"/>
  <c r="P10" i="6" l="1"/>
  <c r="L4" i="6"/>
  <c r="K7" i="6"/>
  <c r="M4" i="6" l="1"/>
  <c r="L7" i="6"/>
  <c r="Q10" i="6"/>
  <c r="R10" i="6" l="1"/>
  <c r="N4" i="6"/>
  <c r="M7" i="6"/>
  <c r="O4" i="6" l="1"/>
  <c r="N7" i="6"/>
  <c r="S10" i="6"/>
  <c r="T10" i="6" l="1"/>
  <c r="O7" i="6"/>
  <c r="P4" i="6"/>
  <c r="P7" i="6" l="1"/>
  <c r="Q4" i="6"/>
  <c r="U10" i="6"/>
  <c r="V10" i="6" l="1"/>
  <c r="R4" i="6"/>
  <c r="Q7" i="6"/>
  <c r="R7" i="6" l="1"/>
  <c r="S4" i="6"/>
  <c r="W10" i="6"/>
  <c r="X10" i="6" l="1"/>
  <c r="T4" i="6"/>
  <c r="S7" i="6"/>
  <c r="U4" i="6" l="1"/>
  <c r="T7" i="6"/>
  <c r="Y10" i="6"/>
  <c r="Z10" i="6" l="1"/>
  <c r="V4" i="6"/>
  <c r="U7" i="6"/>
  <c r="W4" i="6" l="1"/>
  <c r="V7" i="6"/>
  <c r="AA10" i="6"/>
  <c r="AB10" i="6" l="1"/>
  <c r="X4" i="6"/>
  <c r="W7" i="6"/>
  <c r="X7" i="6" l="1"/>
  <c r="Y4" i="6"/>
  <c r="AC10" i="6"/>
  <c r="AD10" i="6" l="1"/>
  <c r="Y7" i="6"/>
  <c r="Z4" i="6"/>
  <c r="Z7" i="6" l="1"/>
  <c r="AA4" i="6"/>
  <c r="AE10" i="6"/>
  <c r="AF10" i="6" l="1"/>
  <c r="AA7" i="6"/>
  <c r="AB4" i="6"/>
  <c r="AC4" i="6" l="1"/>
  <c r="AB7" i="6"/>
  <c r="AG10" i="6"/>
  <c r="AH10" i="6" l="1"/>
  <c r="AD4" i="6"/>
  <c r="AC7" i="6"/>
  <c r="AD7" i="6" l="1"/>
  <c r="AE4" i="6"/>
  <c r="AI10" i="6"/>
  <c r="AJ10" i="6" l="1"/>
  <c r="AE7" i="6"/>
  <c r="AF4" i="6"/>
  <c r="AF7" i="6" l="1"/>
  <c r="AG4" i="6"/>
  <c r="AK10" i="6"/>
  <c r="AL10" i="6" l="1"/>
  <c r="AH4" i="6"/>
  <c r="AG7" i="6"/>
  <c r="AI4" i="6" l="1"/>
  <c r="AH7" i="6"/>
  <c r="AM10" i="6"/>
  <c r="AN10" i="6" l="1"/>
  <c r="AJ4" i="6"/>
  <c r="AI7" i="6"/>
  <c r="AJ7" i="6" l="1"/>
  <c r="AK4" i="6"/>
  <c r="AO10" i="6"/>
  <c r="AP10" i="6" l="1"/>
  <c r="AL4" i="6"/>
  <c r="AK7" i="6"/>
  <c r="AM4" i="6" l="1"/>
  <c r="AL7" i="6"/>
  <c r="AQ10" i="6"/>
  <c r="AR10" i="6" l="1"/>
  <c r="AN4" i="6"/>
  <c r="AM7" i="6"/>
  <c r="AN7" i="6" l="1"/>
  <c r="AO4" i="6"/>
  <c r="AS10" i="6"/>
  <c r="AT10" i="6" l="1"/>
  <c r="AP4" i="6"/>
  <c r="AO7" i="6"/>
  <c r="AQ4" i="6" l="1"/>
  <c r="AP7" i="6"/>
  <c r="AU10" i="6"/>
  <c r="AV10" i="6" l="1"/>
  <c r="AQ7" i="6"/>
  <c r="AR4" i="6"/>
  <c r="AS4" i="6" l="1"/>
  <c r="AR7" i="6"/>
  <c r="AW10" i="6"/>
  <c r="AX10" i="6" l="1"/>
  <c r="AT4" i="6"/>
  <c r="AS7" i="6"/>
  <c r="AT7" i="6" l="1"/>
  <c r="AU4" i="6"/>
  <c r="AY10" i="6"/>
  <c r="AZ10" i="6" l="1"/>
  <c r="AU7" i="6"/>
  <c r="AV4" i="6"/>
  <c r="AW4" i="6" l="1"/>
  <c r="AV7" i="6"/>
  <c r="BA10" i="6"/>
  <c r="BB10" i="6" l="1"/>
  <c r="AW7" i="6"/>
  <c r="AX4" i="6"/>
  <c r="AX7" i="6" l="1"/>
  <c r="AY4" i="6"/>
  <c r="BC10" i="6"/>
  <c r="BD10" i="6" l="1"/>
  <c r="AY7" i="6"/>
  <c r="AZ4" i="6"/>
  <c r="BA4" i="6" l="1"/>
  <c r="AZ7" i="6"/>
  <c r="BE10" i="6"/>
  <c r="BF10" i="6" l="1"/>
  <c r="BB4" i="6"/>
  <c r="BA7" i="6"/>
  <c r="BC4" i="6" l="1"/>
  <c r="BB7" i="6"/>
  <c r="BG10" i="6"/>
  <c r="BH10" i="6" l="1"/>
  <c r="BD4" i="6"/>
  <c r="BC7" i="6"/>
  <c r="BE4" i="6" l="1"/>
  <c r="BD7" i="6"/>
  <c r="BI10" i="6"/>
  <c r="BJ10" i="6" l="1"/>
  <c r="BF4" i="6"/>
  <c r="BE7" i="6"/>
  <c r="BG4" i="6" l="1"/>
  <c r="BF7" i="6"/>
  <c r="BK10" i="6"/>
  <c r="BL10" i="6" l="1"/>
  <c r="BH4" i="6"/>
  <c r="BG7" i="6"/>
  <c r="BH7" i="6" l="1"/>
  <c r="BI4" i="6"/>
  <c r="BM10" i="6"/>
  <c r="BJ4" i="6" l="1"/>
  <c r="BI7" i="6"/>
  <c r="BN10" i="6"/>
  <c r="BO10" i="6" l="1"/>
  <c r="BJ7" i="6"/>
  <c r="BK4" i="6"/>
  <c r="BL4" i="6" l="1"/>
  <c r="BK7" i="6"/>
  <c r="BP10" i="6"/>
  <c r="BQ10" i="6" l="1"/>
  <c r="BM4" i="6"/>
  <c r="BL7" i="6"/>
  <c r="BN4" i="6" l="1"/>
  <c r="BM7" i="6"/>
  <c r="BR10" i="6"/>
  <c r="BS10" i="6" l="1"/>
  <c r="BO4" i="6"/>
  <c r="BN7" i="6"/>
  <c r="BP4" i="6" l="1"/>
  <c r="BO7" i="6"/>
  <c r="BT10" i="6"/>
  <c r="BU10" i="6" l="1"/>
  <c r="BP7" i="6"/>
  <c r="BQ4" i="6"/>
  <c r="BQ7" i="6" l="1"/>
  <c r="BR4" i="6"/>
  <c r="BV10" i="6"/>
  <c r="BW10" i="6" l="1"/>
  <c r="BR7" i="6"/>
  <c r="BS4" i="6"/>
  <c r="BS7" i="6" l="1"/>
  <c r="BT4" i="6"/>
  <c r="BX10" i="6"/>
  <c r="BY10" i="6" l="1"/>
  <c r="BT7" i="6"/>
  <c r="BU4" i="6"/>
  <c r="BU7" i="6" l="1"/>
  <c r="BV4" i="6"/>
  <c r="BZ10" i="6"/>
  <c r="CA10" i="6" l="1"/>
  <c r="BV7" i="6"/>
  <c r="BW4" i="6"/>
  <c r="BW7" i="6" l="1"/>
  <c r="BX4" i="6"/>
  <c r="CB10" i="6"/>
  <c r="CC10" i="6" l="1"/>
  <c r="BX7" i="6"/>
  <c r="BY4" i="6"/>
  <c r="CD10" i="6" l="1"/>
  <c r="BZ4" i="6"/>
  <c r="BY7" i="6"/>
  <c r="CE10" i="6" l="1"/>
  <c r="CA4" i="6"/>
  <c r="BZ7" i="6"/>
  <c r="CB4" i="6" l="1"/>
  <c r="CA7" i="6"/>
  <c r="CF10" i="6"/>
  <c r="CG10" i="6" l="1"/>
  <c r="CB7" i="6"/>
  <c r="CC4" i="6"/>
  <c r="CD4" i="6" l="1"/>
  <c r="CC7" i="6"/>
  <c r="CH10" i="6"/>
  <c r="CI10" i="6" l="1"/>
  <c r="CD7" i="6"/>
  <c r="CE4" i="6"/>
  <c r="CF4" i="6" l="1"/>
  <c r="CE7" i="6"/>
  <c r="CJ10" i="6"/>
  <c r="CK10" i="6" l="1"/>
  <c r="CF7" i="6"/>
  <c r="CG4" i="6"/>
  <c r="CH4" i="6" l="1"/>
  <c r="CG7" i="6"/>
  <c r="CL10" i="6"/>
  <c r="CM10" i="6" l="1"/>
  <c r="CH7" i="6"/>
  <c r="CI4" i="6"/>
  <c r="CJ4" i="6" l="1"/>
  <c r="CI7" i="6"/>
  <c r="CN10" i="6"/>
  <c r="CO10" i="6" l="1"/>
  <c r="CK4" i="6"/>
  <c r="CJ7" i="6"/>
  <c r="CL4" i="6" l="1"/>
  <c r="CK7" i="6"/>
  <c r="CP10" i="6"/>
  <c r="CQ10" i="6" l="1"/>
  <c r="CL7" i="6"/>
  <c r="CM4" i="6"/>
  <c r="CM7" i="6" l="1"/>
  <c r="CN4" i="6"/>
  <c r="CR10" i="6"/>
  <c r="CS10" i="6" l="1"/>
  <c r="CO4" i="6"/>
  <c r="CN7" i="6"/>
  <c r="CP4" i="6" l="1"/>
  <c r="CO7" i="6"/>
  <c r="CT10" i="6"/>
  <c r="CU10" i="6" l="1"/>
  <c r="CQ4" i="6"/>
  <c r="CP7" i="6"/>
  <c r="CR4" i="6" l="1"/>
  <c r="CQ7" i="6"/>
  <c r="CV10" i="6"/>
  <c r="CW10" i="6" l="1"/>
  <c r="CS4" i="6"/>
  <c r="CR7" i="6"/>
  <c r="CT4" i="6" l="1"/>
  <c r="CS7" i="6"/>
  <c r="CX10" i="6"/>
  <c r="CY10" i="6" l="1"/>
  <c r="CU4" i="6"/>
  <c r="CT7" i="6"/>
  <c r="CV4" i="6" l="1"/>
  <c r="CU7" i="6"/>
  <c r="CZ10" i="6"/>
  <c r="DA10" i="6" l="1"/>
  <c r="CW4" i="6"/>
  <c r="CV7" i="6"/>
  <c r="CX4" i="6" l="1"/>
  <c r="CW7" i="6"/>
  <c r="DB10" i="6"/>
  <c r="DC10" i="6" l="1"/>
  <c r="CX7" i="6"/>
  <c r="CY4" i="6"/>
  <c r="CY7" i="6" l="1"/>
  <c r="CZ4" i="6"/>
  <c r="DD10" i="6"/>
  <c r="DE10" i="6" l="1"/>
  <c r="CZ7" i="6"/>
  <c r="DA4" i="6"/>
  <c r="DB4" i="6" l="1"/>
  <c r="DA7" i="6"/>
  <c r="DF10" i="6"/>
  <c r="DG10" i="6" l="1"/>
  <c r="DB7" i="6"/>
  <c r="DC4" i="6"/>
  <c r="DC7" i="6" l="1"/>
  <c r="DD4" i="6"/>
  <c r="DH10" i="6"/>
  <c r="DI10" i="6" l="1"/>
  <c r="DD7" i="6"/>
  <c r="DE4" i="6"/>
  <c r="DE7" i="6" l="1"/>
  <c r="DF4" i="6"/>
  <c r="DJ10" i="6"/>
  <c r="DK10" i="6" l="1"/>
  <c r="DF7" i="6"/>
  <c r="DG4" i="6"/>
  <c r="DG7" i="6" l="1"/>
  <c r="DH4" i="6"/>
  <c r="DL10" i="6"/>
  <c r="DM10" i="6" l="1"/>
  <c r="DH7" i="6"/>
  <c r="DI4" i="6"/>
  <c r="DI7" i="6" l="1"/>
  <c r="DJ4" i="6"/>
  <c r="DN10" i="6"/>
  <c r="DO10" i="6" l="1"/>
  <c r="DJ7" i="6"/>
  <c r="DK4" i="6"/>
  <c r="DK7" i="6" l="1"/>
  <c r="DL4" i="6"/>
  <c r="DP10" i="6"/>
  <c r="DQ10" i="6" l="1"/>
  <c r="DL7" i="6"/>
  <c r="DM4" i="6"/>
  <c r="DN4" i="6" l="1"/>
  <c r="DM7" i="6"/>
  <c r="DR10" i="6"/>
  <c r="DS10" i="6" l="1"/>
  <c r="DO4" i="6"/>
  <c r="DN7" i="6"/>
  <c r="DP4" i="6" l="1"/>
  <c r="DO7" i="6"/>
  <c r="DT10" i="6"/>
  <c r="DU10" i="6" l="1"/>
  <c r="DQ4" i="6"/>
  <c r="DP7" i="6"/>
  <c r="DR4" i="6" l="1"/>
  <c r="DQ7" i="6"/>
  <c r="DV10" i="6"/>
  <c r="DW10" i="6" l="1"/>
  <c r="DS4" i="6"/>
  <c r="DR7" i="6"/>
  <c r="DT4" i="6" l="1"/>
  <c r="DS7" i="6"/>
  <c r="DX10" i="6"/>
  <c r="DY10" i="6" l="1"/>
  <c r="DU4" i="6"/>
  <c r="DT7" i="6"/>
  <c r="DV4" i="6" l="1"/>
  <c r="DU7" i="6"/>
  <c r="DZ10" i="6"/>
  <c r="EA10" i="6" l="1"/>
  <c r="DW4" i="6"/>
  <c r="DV7" i="6"/>
  <c r="DX4" i="6" l="1"/>
  <c r="DW7" i="6"/>
  <c r="EB10" i="6"/>
  <c r="EC10" i="6" l="1"/>
  <c r="DX7" i="6"/>
  <c r="DY4" i="6"/>
  <c r="DY7" i="6" l="1"/>
  <c r="DZ4" i="6"/>
  <c r="ED10" i="6"/>
  <c r="EE10" i="6" l="1"/>
  <c r="DZ7" i="6"/>
  <c r="EA4" i="6"/>
  <c r="EA7" i="6" l="1"/>
  <c r="EB4" i="6"/>
  <c r="EF10" i="6"/>
  <c r="EG10" i="6" l="1"/>
  <c r="EB7" i="6"/>
  <c r="EC4" i="6"/>
  <c r="ED4" i="6" l="1"/>
  <c r="EC7" i="6"/>
  <c r="EH10" i="6"/>
  <c r="EI10" i="6" l="1"/>
  <c r="ED7" i="6"/>
  <c r="EE4" i="6"/>
  <c r="EE7" i="6" l="1"/>
  <c r="EF4" i="6"/>
  <c r="EJ10" i="6"/>
  <c r="EK10" i="6" l="1"/>
  <c r="EG4" i="6"/>
  <c r="EF7" i="6"/>
  <c r="EH4" i="6" l="1"/>
  <c r="EG7" i="6"/>
  <c r="EL10" i="6"/>
  <c r="EM10" i="6" l="1"/>
  <c r="EH7" i="6"/>
  <c r="EI4" i="6"/>
  <c r="EN10" i="6" l="1"/>
  <c r="EJ4" i="6"/>
  <c r="EI7" i="6"/>
  <c r="EJ7" i="6" l="1"/>
  <c r="EK4" i="6"/>
  <c r="EO10" i="6"/>
  <c r="EK7" i="6" l="1"/>
  <c r="EL4" i="6"/>
  <c r="EP10" i="6"/>
  <c r="EQ10" i="6" l="1"/>
  <c r="EL7" i="6"/>
  <c r="EM4" i="6"/>
  <c r="EN4" i="6" l="1"/>
  <c r="EM7" i="6"/>
  <c r="ER10" i="6"/>
  <c r="ES10" i="6" l="1"/>
  <c r="EO4" i="6"/>
  <c r="EN7" i="6"/>
  <c r="EP4" i="6" l="1"/>
  <c r="EO7" i="6"/>
  <c r="ET10" i="6"/>
  <c r="EU10" i="6" l="1"/>
  <c r="EP7" i="6"/>
  <c r="EQ4" i="6"/>
  <c r="EQ7" i="6" l="1"/>
  <c r="ER4" i="6"/>
  <c r="EV10" i="6"/>
  <c r="EW10" i="6" l="1"/>
  <c r="ES4" i="6"/>
  <c r="ER7" i="6"/>
  <c r="EX10" i="6" l="1"/>
  <c r="ET4" i="6"/>
  <c r="ES7" i="6"/>
  <c r="ET7" i="6" l="1"/>
  <c r="EU4" i="6"/>
  <c r="EY10" i="6"/>
  <c r="EZ10" i="6" l="1"/>
  <c r="EV4" i="6"/>
  <c r="EU7" i="6"/>
  <c r="EW4" i="6" l="1"/>
  <c r="EV7" i="6"/>
  <c r="FA10" i="6"/>
  <c r="FB10" i="6" l="1"/>
  <c r="EX4" i="6"/>
  <c r="EW7" i="6"/>
  <c r="EY4" i="6" l="1"/>
  <c r="EX7" i="6"/>
  <c r="FC10" i="6"/>
  <c r="FD10" i="6" l="1"/>
  <c r="EZ4" i="6"/>
  <c r="EY7" i="6"/>
  <c r="EZ7" i="6" l="1"/>
  <c r="FA4" i="6"/>
  <c r="FE10" i="6"/>
  <c r="FF10" i="6" l="1"/>
  <c r="FA7" i="6"/>
  <c r="FB4" i="6"/>
  <c r="FB7" i="6" l="1"/>
  <c r="FC4" i="6"/>
  <c r="FG10" i="6"/>
  <c r="FH10" i="6" l="1"/>
  <c r="FC7" i="6"/>
  <c r="FD4" i="6"/>
  <c r="FD7" i="6" l="1"/>
  <c r="FE4" i="6"/>
  <c r="FI10" i="6"/>
  <c r="FJ10" i="6" l="1"/>
  <c r="FF4" i="6"/>
  <c r="FE7" i="6"/>
  <c r="FG4" i="6" l="1"/>
  <c r="FF7" i="6"/>
  <c r="FK10" i="6"/>
  <c r="FL10" i="6" l="1"/>
  <c r="FG7" i="6"/>
  <c r="FH4" i="6"/>
  <c r="FH7" i="6" l="1"/>
  <c r="FI4" i="6"/>
  <c r="FM10" i="6"/>
  <c r="FN10" i="6" l="1"/>
  <c r="FJ4" i="6"/>
  <c r="FI7" i="6"/>
  <c r="FK4" i="6" l="1"/>
  <c r="FJ7" i="6"/>
  <c r="FO10" i="6"/>
  <c r="FP10" i="6" l="1"/>
  <c r="FL4" i="6"/>
  <c r="FK7" i="6"/>
  <c r="FM4" i="6" l="1"/>
  <c r="FL7" i="6"/>
  <c r="FQ10" i="6"/>
  <c r="FR10" i="6" l="1"/>
  <c r="FM7" i="6"/>
  <c r="FN4" i="6"/>
  <c r="FN7" i="6" l="1"/>
  <c r="FO4" i="6"/>
  <c r="FS10" i="6"/>
  <c r="FT10" i="6" l="1"/>
  <c r="FP4" i="6"/>
  <c r="FO7" i="6"/>
  <c r="FU10" i="6" l="1"/>
  <c r="FP7" i="6"/>
  <c r="FQ4" i="6"/>
  <c r="FQ7" i="6" l="1"/>
  <c r="FR4" i="6"/>
  <c r="FV10" i="6"/>
  <c r="FW10" i="6" l="1"/>
  <c r="FR7" i="6"/>
  <c r="FS4" i="6"/>
  <c r="FX10" i="6" l="1"/>
  <c r="FS7" i="6"/>
  <c r="FT4" i="6"/>
  <c r="FT7" i="6" l="1"/>
  <c r="FU4" i="6"/>
  <c r="FY10" i="6"/>
  <c r="FZ10" i="6" l="1"/>
  <c r="FV4" i="6"/>
  <c r="FU7" i="6"/>
  <c r="FV7" i="6" l="1"/>
  <c r="FW4" i="6"/>
  <c r="GA10" i="6"/>
  <c r="GB10" i="6" l="1"/>
  <c r="FW7" i="6"/>
  <c r="FX4" i="6"/>
  <c r="FY4" i="6" l="1"/>
  <c r="FX7" i="6"/>
  <c r="GC10" i="6"/>
  <c r="GD10" i="6" l="1"/>
  <c r="FZ4" i="6"/>
  <c r="FY7" i="6"/>
  <c r="GE10" i="6" l="1"/>
  <c r="GA4" i="6"/>
  <c r="FZ7" i="6"/>
  <c r="GA7" i="6" l="1"/>
  <c r="GB4" i="6"/>
  <c r="GF10" i="6"/>
  <c r="GG10" i="6" l="1"/>
  <c r="GB7" i="6"/>
  <c r="GC4" i="6"/>
  <c r="GD4" i="6" l="1"/>
  <c r="GC7" i="6"/>
  <c r="GH10" i="6"/>
  <c r="GI10" i="6" l="1"/>
  <c r="GE4" i="6"/>
  <c r="GD7" i="6"/>
  <c r="GF4" i="6" l="1"/>
  <c r="GE7" i="6"/>
  <c r="GJ10" i="6"/>
  <c r="GK10" i="6" l="1"/>
  <c r="GG4" i="6"/>
  <c r="GF7" i="6"/>
  <c r="GH4" i="6" l="1"/>
  <c r="GG7" i="6"/>
  <c r="GL10" i="6"/>
  <c r="GM10" i="6" l="1"/>
  <c r="GI4" i="6"/>
  <c r="GH7" i="6"/>
  <c r="GJ4" i="6" l="1"/>
  <c r="GI7" i="6"/>
  <c r="GN10" i="6"/>
  <c r="GO10" i="6" l="1"/>
  <c r="GK4" i="6"/>
  <c r="GJ7" i="6"/>
  <c r="GL4" i="6" l="1"/>
  <c r="GK7" i="6"/>
  <c r="GP10" i="6"/>
  <c r="GQ10" i="6" l="1"/>
  <c r="GL7" i="6"/>
  <c r="GM4" i="6"/>
  <c r="GN4" i="6" l="1"/>
  <c r="GM7" i="6"/>
  <c r="GR10" i="6"/>
  <c r="GS10" i="6" l="1"/>
  <c r="GO4" i="6"/>
  <c r="GN7" i="6"/>
  <c r="GP4" i="6" l="1"/>
  <c r="GO7" i="6"/>
  <c r="GT10" i="6"/>
  <c r="GU10" i="6" l="1"/>
  <c r="GQ4" i="6"/>
  <c r="GP7" i="6"/>
  <c r="GQ7" i="6" l="1"/>
  <c r="GR4" i="6"/>
  <c r="GV10" i="6"/>
  <c r="GR7" i="6" l="1"/>
  <c r="GS4" i="6"/>
  <c r="GW10" i="6"/>
  <c r="GX10" i="6" l="1"/>
  <c r="GS7" i="6"/>
  <c r="GT4" i="6"/>
  <c r="GT7" i="6" l="1"/>
  <c r="GU4" i="6"/>
  <c r="GY10" i="6"/>
  <c r="GZ10" i="6" l="1"/>
  <c r="GU7" i="6"/>
  <c r="GV4" i="6"/>
  <c r="GV7" i="6" l="1"/>
  <c r="GW4" i="6"/>
  <c r="HA10" i="6"/>
  <c r="HB10" i="6" l="1"/>
  <c r="GW7" i="6"/>
  <c r="GX4" i="6"/>
  <c r="GX7" i="6" l="1"/>
  <c r="GY4" i="6"/>
  <c r="HC10" i="6"/>
  <c r="HD10" i="6" l="1"/>
  <c r="GZ4" i="6"/>
  <c r="GY7" i="6"/>
  <c r="HA4" i="6" l="1"/>
  <c r="GZ7" i="6"/>
  <c r="HE10" i="6"/>
  <c r="HF10" i="6" l="1"/>
  <c r="HB4" i="6"/>
  <c r="HA7" i="6"/>
  <c r="HC4" i="6" l="1"/>
  <c r="HB7" i="6"/>
  <c r="HG10" i="6"/>
  <c r="HH10" i="6" l="1"/>
  <c r="HD4" i="6"/>
  <c r="HC7" i="6"/>
  <c r="HE4" i="6" l="1"/>
  <c r="HD7" i="6"/>
  <c r="HI10" i="6"/>
  <c r="HJ10" i="6" l="1"/>
  <c r="HE7" i="6"/>
  <c r="HF4" i="6"/>
  <c r="HF7" i="6" l="1"/>
  <c r="HG4" i="6"/>
  <c r="HK10" i="6"/>
  <c r="HL10" i="6" l="1"/>
  <c r="HH4" i="6"/>
  <c r="HG7" i="6"/>
  <c r="HH7" i="6" l="1"/>
  <c r="HI4" i="6"/>
  <c r="HM10" i="6"/>
  <c r="HN10" i="6" l="1"/>
  <c r="HJ4" i="6"/>
  <c r="HI7" i="6"/>
  <c r="HK4" i="6" l="1"/>
  <c r="HJ7" i="6"/>
  <c r="HO10" i="6"/>
  <c r="HP10" i="6" l="1"/>
  <c r="HL4" i="6"/>
  <c r="HK7" i="6"/>
  <c r="HM4" i="6" l="1"/>
  <c r="HL7" i="6"/>
  <c r="HQ10" i="6"/>
  <c r="HR10" i="6" l="1"/>
  <c r="HN4" i="6"/>
  <c r="HM7" i="6"/>
  <c r="HN7" i="6" l="1"/>
  <c r="HO4" i="6"/>
  <c r="HS10" i="6"/>
  <c r="HT10" i="6" l="1"/>
  <c r="HO7" i="6"/>
  <c r="HP4" i="6"/>
  <c r="HQ4" i="6" l="1"/>
  <c r="HP7" i="6"/>
  <c r="HU10" i="6"/>
  <c r="HV10" i="6" l="1"/>
  <c r="HR4" i="6"/>
  <c r="HQ7" i="6"/>
  <c r="HS4" i="6" l="1"/>
  <c r="HR7" i="6"/>
  <c r="HW10" i="6"/>
  <c r="HX10" i="6" l="1"/>
  <c r="HT4" i="6"/>
  <c r="HS7" i="6"/>
  <c r="HU4" i="6" l="1"/>
  <c r="HT7" i="6"/>
  <c r="HY10" i="6"/>
  <c r="HZ10" i="6" l="1"/>
  <c r="HV4" i="6"/>
  <c r="HU7" i="6"/>
  <c r="HW4" i="6" l="1"/>
  <c r="HV7" i="6"/>
  <c r="IA10" i="6"/>
  <c r="IB10" i="6" l="1"/>
  <c r="HX4" i="6"/>
  <c r="HW7" i="6"/>
  <c r="HY4" i="6" l="1"/>
  <c r="HX7" i="6"/>
  <c r="IC10" i="6"/>
  <c r="ID10" i="6" l="1"/>
  <c r="HZ4" i="6"/>
  <c r="HY7" i="6"/>
  <c r="HZ7" i="6" l="1"/>
  <c r="IA4" i="6"/>
  <c r="IE10" i="6"/>
  <c r="IF10" i="6" l="1"/>
  <c r="IA7" i="6"/>
  <c r="IB4" i="6"/>
  <c r="IB7" i="6" l="1"/>
  <c r="IC4" i="6"/>
  <c r="IG10" i="6"/>
  <c r="IH10" i="6" l="1"/>
  <c r="ID4" i="6"/>
  <c r="IC7" i="6"/>
  <c r="II10" i="6" l="1"/>
  <c r="ID7" i="6"/>
  <c r="IE4" i="6"/>
  <c r="IF4" i="6" l="1"/>
  <c r="IE7" i="6"/>
  <c r="IJ10" i="6"/>
  <c r="IK10" i="6" l="1"/>
  <c r="IG4" i="6"/>
  <c r="IF7" i="6"/>
  <c r="IH4" i="6" l="1"/>
  <c r="IG7" i="6"/>
  <c r="IL10" i="6"/>
  <c r="IM10" i="6" l="1"/>
  <c r="IH7" i="6"/>
  <c r="II4" i="6"/>
  <c r="IJ4" i="6" l="1"/>
  <c r="II7" i="6"/>
  <c r="IN10" i="6"/>
  <c r="IO10" i="6" l="1"/>
  <c r="IJ7" i="6"/>
  <c r="IK4" i="6"/>
  <c r="IK7" i="6" l="1"/>
  <c r="IL4" i="6"/>
  <c r="IP10" i="6"/>
  <c r="IQ10" i="6" l="1"/>
  <c r="IM4" i="6"/>
  <c r="IL7" i="6"/>
  <c r="IM7" i="6" l="1"/>
  <c r="IN4" i="6"/>
  <c r="IR10" i="6"/>
  <c r="IN7" i="6" l="1"/>
  <c r="IO4" i="6"/>
  <c r="IS10" i="6"/>
  <c r="IT10" i="6" l="1"/>
  <c r="IP4" i="6"/>
  <c r="IO7" i="6"/>
  <c r="IQ4" i="6" l="1"/>
  <c r="IP7" i="6"/>
  <c r="IU10" i="6"/>
  <c r="IV10" i="6" l="1"/>
  <c r="IR4" i="6"/>
  <c r="IQ7" i="6"/>
  <c r="IS4" i="6" l="1"/>
  <c r="IR7" i="6"/>
  <c r="IW10" i="6"/>
  <c r="IX10" i="6" l="1"/>
  <c r="IT4" i="6"/>
  <c r="IS7" i="6"/>
  <c r="IU4" i="6" l="1"/>
  <c r="IT7" i="6"/>
  <c r="IY10" i="6"/>
  <c r="IZ10" i="6" l="1"/>
  <c r="IV4" i="6"/>
  <c r="IU7" i="6"/>
  <c r="IW4" i="6" l="1"/>
  <c r="IV7" i="6"/>
  <c r="JA10" i="6"/>
  <c r="JB10" i="6" l="1"/>
  <c r="IX4" i="6"/>
  <c r="IW7" i="6"/>
  <c r="IX7" i="6" l="1"/>
  <c r="IY4" i="6"/>
  <c r="JC10" i="6"/>
  <c r="JD10" i="6" l="1"/>
  <c r="IZ4" i="6"/>
  <c r="IY7" i="6"/>
  <c r="IZ7" i="6" l="1"/>
  <c r="JA4" i="6"/>
  <c r="JE10" i="6"/>
  <c r="JF10" i="6" l="1"/>
  <c r="JB4" i="6"/>
  <c r="JA7" i="6"/>
  <c r="JB7" i="6" l="1"/>
  <c r="JC4" i="6"/>
  <c r="JG10" i="6"/>
  <c r="JH10" i="6" l="1"/>
  <c r="JC7" i="6"/>
  <c r="JD4" i="6"/>
  <c r="JD7" i="6" l="1"/>
  <c r="JE4" i="6"/>
  <c r="JI10" i="6"/>
  <c r="JJ10" i="6" l="1"/>
  <c r="JE7" i="6"/>
  <c r="JF4" i="6"/>
  <c r="JF7" i="6" l="1"/>
  <c r="JG4" i="6"/>
  <c r="JK10" i="6"/>
  <c r="JL10" i="6" l="1"/>
  <c r="JG7" i="6"/>
  <c r="JH4" i="6"/>
  <c r="JI4" i="6" l="1"/>
  <c r="JH7" i="6"/>
  <c r="JM10" i="6"/>
  <c r="JN10" i="6" l="1"/>
  <c r="JJ4" i="6"/>
  <c r="JI7" i="6"/>
  <c r="JK4" i="6" l="1"/>
  <c r="JJ7" i="6"/>
  <c r="JO10" i="6"/>
  <c r="JP10" i="6" l="1"/>
  <c r="JL4" i="6"/>
  <c r="JK7" i="6"/>
  <c r="JM4" i="6" l="1"/>
  <c r="JL7" i="6"/>
  <c r="JQ10" i="6"/>
  <c r="JR10" i="6" l="1"/>
  <c r="JN4" i="6"/>
  <c r="JM7" i="6"/>
  <c r="JS10" i="6" l="1"/>
  <c r="JO4" i="6"/>
  <c r="JN7" i="6"/>
  <c r="JP4" i="6" l="1"/>
  <c r="JO7" i="6"/>
  <c r="JT10" i="6"/>
  <c r="JU10" i="6" l="1"/>
  <c r="JQ4" i="6"/>
  <c r="JP7" i="6"/>
  <c r="JR4" i="6" l="1"/>
  <c r="JQ7" i="6"/>
  <c r="JV10" i="6"/>
  <c r="JW10" i="6" l="1"/>
  <c r="JR7" i="6"/>
  <c r="JS4" i="6"/>
  <c r="JT4" i="6" l="1"/>
  <c r="JS7" i="6"/>
  <c r="JX10" i="6"/>
  <c r="JY10" i="6" l="1"/>
  <c r="JU4" i="6"/>
  <c r="JT7" i="6"/>
  <c r="JV4" i="6" l="1"/>
  <c r="JU7" i="6"/>
  <c r="JZ10" i="6"/>
  <c r="KA10" i="6" l="1"/>
  <c r="JV7" i="6"/>
  <c r="JW4" i="6"/>
  <c r="JX4" i="6" l="1"/>
  <c r="JW7" i="6"/>
  <c r="KB10" i="6"/>
  <c r="KC10" i="6" l="1"/>
  <c r="JY4" i="6"/>
  <c r="JX7" i="6"/>
  <c r="JZ4" i="6" l="1"/>
  <c r="JY7" i="6"/>
  <c r="KD10" i="6"/>
  <c r="KE10" i="6" l="1"/>
  <c r="KA4" i="6"/>
  <c r="JZ7" i="6"/>
  <c r="KB4" i="6" l="1"/>
  <c r="KA7" i="6"/>
  <c r="KB7" i="6" l="1"/>
  <c r="KC4" i="6"/>
  <c r="KC7" i="6" l="1"/>
  <c r="KD4" i="6"/>
  <c r="KD7" i="6" l="1"/>
  <c r="KE4" i="6"/>
  <c r="KE7" i="6" l="1"/>
  <c r="F11" i="6" l="1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 l="1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 l="1"/>
  <c r="F18" i="6"/>
  <c r="F14" i="6"/>
  <c r="G12" i="6"/>
  <c r="G14" i="6" l="1"/>
  <c r="H12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C17" i="6"/>
  <c r="D18" i="6" l="1"/>
  <c r="C18" i="6" s="1"/>
  <c r="H14" i="6"/>
  <c r="I12" i="6"/>
  <c r="I14" i="6" l="1"/>
  <c r="J12" i="6"/>
  <c r="J14" i="6" l="1"/>
  <c r="K12" i="6"/>
  <c r="L12" i="6" l="1"/>
  <c r="K14" i="6"/>
  <c r="M12" i="6" l="1"/>
  <c r="L14" i="6"/>
  <c r="M14" i="6" l="1"/>
  <c r="N12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X12" i="6" l="1"/>
  <c r="W14" i="6"/>
  <c r="X14" i="6" l="1"/>
  <c r="Y12" i="6"/>
  <c r="Z12" i="6" l="1"/>
  <c r="Y14" i="6"/>
  <c r="AA12" i="6" l="1"/>
  <c r="Z14" i="6"/>
  <c r="AB12" i="6" l="1"/>
  <c r="AA14" i="6"/>
  <c r="AB14" i="6" l="1"/>
  <c r="AC12" i="6"/>
  <c r="AD12" i="6" l="1"/>
  <c r="AC14" i="6"/>
  <c r="AD14" i="6" l="1"/>
  <c r="AE12" i="6"/>
  <c r="AF12" i="6" l="1"/>
  <c r="AE14" i="6"/>
  <c r="AG12" i="6" l="1"/>
  <c r="AF14" i="6"/>
  <c r="AH12" i="6" l="1"/>
  <c r="AG14" i="6"/>
  <c r="AI12" i="6" l="1"/>
  <c r="AH14" i="6"/>
  <c r="AI14" i="6" l="1"/>
  <c r="AJ12" i="6"/>
  <c r="AK12" i="6" l="1"/>
  <c r="AJ14" i="6"/>
  <c r="AL12" i="6" l="1"/>
  <c r="AK14" i="6"/>
  <c r="AM12" i="6" l="1"/>
  <c r="AL14" i="6"/>
  <c r="AM14" i="6" l="1"/>
  <c r="AN12" i="6"/>
  <c r="AO12" i="6" l="1"/>
  <c r="AN14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V12" i="6" l="1"/>
  <c r="AU14" i="6"/>
  <c r="AW12" i="6" l="1"/>
  <c r="AV14" i="6"/>
  <c r="AX12" i="6" l="1"/>
  <c r="AW14" i="6"/>
  <c r="AX14" i="6" l="1"/>
  <c r="AY12" i="6"/>
  <c r="AY14" i="6" l="1"/>
  <c r="AZ12" i="6"/>
  <c r="BA12" i="6" l="1"/>
  <c r="AZ14" i="6"/>
  <c r="BA14" i="6" l="1"/>
  <c r="BB12" i="6"/>
  <c r="BB14" i="6" l="1"/>
  <c r="BC12" i="6"/>
  <c r="BD12" i="6" l="1"/>
  <c r="BC14" i="6"/>
  <c r="BE12" i="6" l="1"/>
  <c r="BD14" i="6"/>
  <c r="BE14" i="6" l="1"/>
  <c r="BF12" i="6"/>
  <c r="BG12" i="6" l="1"/>
  <c r="BF14" i="6"/>
  <c r="BH12" i="6" l="1"/>
  <c r="BG14" i="6"/>
  <c r="BI12" i="6" l="1"/>
  <c r="BH14" i="6"/>
  <c r="BI14" i="6" l="1"/>
  <c r="BJ12" i="6"/>
  <c r="BK12" i="6" l="1"/>
  <c r="BJ14" i="6"/>
  <c r="BL12" i="6" l="1"/>
  <c r="BK14" i="6"/>
  <c r="BL14" i="6" l="1"/>
  <c r="BM12" i="6"/>
  <c r="BN12" i="6" l="1"/>
  <c r="BM14" i="6"/>
  <c r="BO12" i="6" l="1"/>
  <c r="BN14" i="6"/>
  <c r="BP12" i="6" l="1"/>
  <c r="BO14" i="6"/>
  <c r="BP14" i="6" l="1"/>
  <c r="BQ12" i="6"/>
  <c r="BR12" i="6" l="1"/>
  <c r="BQ14" i="6"/>
  <c r="BS12" i="6" l="1"/>
  <c r="BR14" i="6"/>
  <c r="BT12" i="6" l="1"/>
  <c r="BS14" i="6"/>
  <c r="BT14" i="6" l="1"/>
  <c r="BU12" i="6"/>
  <c r="BV12" i="6" l="1"/>
  <c r="BU14" i="6"/>
  <c r="BW12" i="6" l="1"/>
  <c r="BV14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O12" i="6" l="1"/>
  <c r="CN14" i="6"/>
  <c r="CP12" i="6" l="1"/>
  <c r="CO14" i="6"/>
  <c r="CP14" i="6" l="1"/>
  <c r="CQ12" i="6"/>
  <c r="CR12" i="6" l="1"/>
  <c r="CQ14" i="6"/>
  <c r="CR14" i="6" l="1"/>
  <c r="CS12" i="6"/>
  <c r="CS14" i="6" l="1"/>
  <c r="CT12" i="6"/>
  <c r="CU12" i="6" l="1"/>
  <c r="CT14" i="6"/>
  <c r="CV12" i="6" l="1"/>
  <c r="CU14" i="6"/>
  <c r="CW12" i="6" l="1"/>
  <c r="CV14" i="6"/>
  <c r="CW14" i="6" l="1"/>
  <c r="CX12" i="6"/>
  <c r="CY12" i="6" l="1"/>
  <c r="CX14" i="6"/>
  <c r="CZ12" i="6" l="1"/>
  <c r="CY14" i="6"/>
  <c r="DA12" i="6" l="1"/>
  <c r="CZ14" i="6"/>
  <c r="DA14" i="6" l="1"/>
  <c r="DB12" i="6"/>
  <c r="DB14" i="6" l="1"/>
  <c r="DC12" i="6"/>
  <c r="DD12" i="6" l="1"/>
  <c r="DC14" i="6"/>
  <c r="DE12" i="6" l="1"/>
  <c r="DD14" i="6"/>
  <c r="DE14" i="6" l="1"/>
  <c r="DF12" i="6"/>
  <c r="DG12" i="6" l="1"/>
  <c r="DF14" i="6"/>
  <c r="DH12" i="6" l="1"/>
  <c r="DG14" i="6"/>
  <c r="DH14" i="6" l="1"/>
  <c r="DI12" i="6"/>
  <c r="DJ12" i="6" l="1"/>
  <c r="DI14" i="6"/>
  <c r="DK12" i="6" l="1"/>
  <c r="DJ14" i="6"/>
  <c r="DL12" i="6" l="1"/>
  <c r="DK14" i="6"/>
  <c r="DL14" i="6" l="1"/>
  <c r="DM12" i="6"/>
  <c r="DM14" i="6" l="1"/>
  <c r="DN12" i="6"/>
  <c r="DN14" i="6" l="1"/>
  <c r="DO12" i="6"/>
  <c r="DP12" i="6" l="1"/>
  <c r="DO14" i="6"/>
  <c r="DQ12" i="6" l="1"/>
  <c r="DP14" i="6"/>
  <c r="DR12" i="6" l="1"/>
  <c r="DQ14" i="6"/>
  <c r="DS12" i="6" l="1"/>
  <c r="DR14" i="6"/>
  <c r="DS14" i="6" l="1"/>
  <c r="DT12" i="6"/>
  <c r="DU12" i="6" l="1"/>
  <c r="DT14" i="6"/>
  <c r="DV12" i="6" l="1"/>
  <c r="DU14" i="6"/>
  <c r="DW12" i="6" l="1"/>
  <c r="DV14" i="6"/>
  <c r="DW14" i="6" l="1"/>
  <c r="DX12" i="6"/>
  <c r="DY12" i="6" l="1"/>
  <c r="DX14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F12" i="6" l="1"/>
  <c r="EE14" i="6"/>
  <c r="EG12" i="6" l="1"/>
  <c r="EF14" i="6"/>
  <c r="EH12" i="6" l="1"/>
  <c r="EG14" i="6"/>
  <c r="EH14" i="6" l="1"/>
  <c r="EI12" i="6"/>
  <c r="EJ12" i="6" l="1"/>
  <c r="EI14" i="6"/>
  <c r="EK12" i="6" l="1"/>
  <c r="EJ14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S14" i="6" l="1"/>
  <c r="ET12" i="6"/>
  <c r="EU12" i="6" l="1"/>
  <c r="ET14" i="6"/>
  <c r="EU14" i="6" l="1"/>
  <c r="EV12" i="6"/>
  <c r="EW12" i="6" l="1"/>
  <c r="EV14" i="6"/>
  <c r="EX12" i="6" l="1"/>
  <c r="EW14" i="6"/>
  <c r="EY12" i="6" l="1"/>
  <c r="EX14" i="6"/>
  <c r="EZ12" i="6" l="1"/>
  <c r="EY14" i="6"/>
  <c r="EZ14" i="6" l="1"/>
  <c r="FA12" i="6"/>
  <c r="FB12" i="6" l="1"/>
  <c r="FA14" i="6"/>
  <c r="FC12" i="6" l="1"/>
  <c r="FB14" i="6"/>
  <c r="FD12" i="6" l="1"/>
  <c r="FC14" i="6"/>
  <c r="FD14" i="6" l="1"/>
  <c r="FE12" i="6"/>
  <c r="FF12" i="6" l="1"/>
  <c r="FE14" i="6"/>
  <c r="FG12" i="6" l="1"/>
  <c r="FF14" i="6"/>
  <c r="FH12" i="6" l="1"/>
  <c r="FG14" i="6"/>
  <c r="FI12" i="6" l="1"/>
  <c r="FH14" i="6"/>
  <c r="FJ12" i="6" l="1"/>
  <c r="FI14" i="6"/>
  <c r="FK12" i="6" l="1"/>
  <c r="FJ14" i="6"/>
  <c r="FK14" i="6" l="1"/>
  <c r="FL12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V12" i="6" l="1"/>
  <c r="FU14" i="6"/>
  <c r="FV14" i="6" l="1"/>
  <c r="FW12" i="6"/>
  <c r="FX12" i="6" l="1"/>
  <c r="FW14" i="6"/>
  <c r="FY12" i="6" l="1"/>
  <c r="FX14" i="6"/>
  <c r="FZ12" i="6" l="1"/>
  <c r="FY14" i="6"/>
  <c r="FZ14" i="6" l="1"/>
  <c r="GA12" i="6"/>
  <c r="GB12" i="6" l="1"/>
  <c r="GA14" i="6"/>
  <c r="GC12" i="6" l="1"/>
  <c r="GB14" i="6"/>
  <c r="GD12" i="6" l="1"/>
  <c r="GC14" i="6"/>
  <c r="GE12" i="6" l="1"/>
  <c r="GD14" i="6"/>
  <c r="GF12" i="6" l="1"/>
  <c r="GE14" i="6"/>
  <c r="GG12" i="6" l="1"/>
  <c r="GF14" i="6"/>
  <c r="GG14" i="6" l="1"/>
  <c r="GH12" i="6"/>
  <c r="GI12" i="6" l="1"/>
  <c r="GH14" i="6"/>
  <c r="GJ12" i="6" l="1"/>
  <c r="GI14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Q12" i="6" l="1"/>
  <c r="GP14" i="6"/>
  <c r="GR12" i="6" l="1"/>
  <c r="GQ14" i="6"/>
  <c r="GR14" i="6" l="1"/>
  <c r="GS12" i="6"/>
  <c r="GT12" i="6" l="1"/>
  <c r="GS14" i="6"/>
  <c r="GU12" i="6" l="1"/>
  <c r="GT14" i="6"/>
  <c r="GV12" i="6" l="1"/>
  <c r="GU14" i="6"/>
  <c r="GV14" i="6" l="1"/>
  <c r="GW12" i="6"/>
  <c r="GX12" i="6" l="1"/>
  <c r="GW14" i="6"/>
  <c r="GY12" i="6" l="1"/>
  <c r="GX14" i="6"/>
  <c r="GZ12" i="6" l="1"/>
  <c r="GY14" i="6"/>
  <c r="HA12" i="6" l="1"/>
  <c r="GZ14" i="6"/>
  <c r="HB12" i="6" l="1"/>
  <c r="HA14" i="6"/>
  <c r="HC12" i="6" l="1"/>
  <c r="HB14" i="6"/>
  <c r="HC14" i="6" l="1"/>
  <c r="HD12" i="6"/>
  <c r="HE12" i="6" l="1"/>
  <c r="HD14" i="6"/>
  <c r="HF12" i="6" l="1"/>
  <c r="HE14" i="6"/>
  <c r="HG12" i="6" l="1"/>
  <c r="HF14" i="6"/>
  <c r="HG14" i="6" l="1"/>
  <c r="HH12" i="6"/>
  <c r="HH14" i="6" l="1"/>
  <c r="HI12" i="6"/>
  <c r="HI14" i="6" l="1"/>
  <c r="HJ12" i="6"/>
  <c r="HJ14" i="6" l="1"/>
  <c r="HK12" i="6"/>
  <c r="HL12" i="6" l="1"/>
  <c r="HK14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R14" i="6" l="1"/>
  <c r="HS12" i="6"/>
  <c r="HS14" i="6" l="1"/>
  <c r="HT12" i="6"/>
  <c r="HU12" i="6" l="1"/>
  <c r="HT14" i="6"/>
  <c r="HV12" i="6" l="1"/>
  <c r="HU14" i="6"/>
  <c r="HV14" i="6" l="1"/>
  <c r="HW12" i="6"/>
  <c r="HX12" i="6" l="1"/>
  <c r="HW14" i="6"/>
  <c r="HY12" i="6" l="1"/>
  <c r="HX14" i="6"/>
  <c r="HY14" i="6" l="1"/>
  <c r="HZ12" i="6"/>
  <c r="IA12" i="6" l="1"/>
  <c r="HZ14" i="6"/>
  <c r="IB12" i="6" l="1"/>
  <c r="IA14" i="6"/>
  <c r="IC12" i="6" l="1"/>
  <c r="IB14" i="6"/>
  <c r="IC14" i="6" l="1"/>
  <c r="ID12" i="6"/>
  <c r="ID14" i="6" l="1"/>
  <c r="IE12" i="6"/>
  <c r="IE14" i="6" l="1"/>
  <c r="IF12" i="6"/>
  <c r="IF14" i="6" l="1"/>
  <c r="IG12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P12" i="6" l="1"/>
  <c r="IO14" i="6"/>
  <c r="IQ12" i="6" l="1"/>
  <c r="IP14" i="6"/>
  <c r="IQ14" i="6" l="1"/>
  <c r="IR12" i="6"/>
  <c r="IS12" i="6" l="1"/>
  <c r="IR14" i="6"/>
  <c r="IT12" i="6" l="1"/>
  <c r="IS14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IZ14" i="6" l="1"/>
  <c r="JA12" i="6"/>
  <c r="JB12" i="6" l="1"/>
  <c r="JA14" i="6"/>
  <c r="JC12" i="6" l="1"/>
  <c r="JB14" i="6"/>
  <c r="JD12" i="6" l="1"/>
  <c r="JC14" i="6"/>
  <c r="JE12" i="6" l="1"/>
  <c r="JD14" i="6"/>
  <c r="JF12" i="6" l="1"/>
  <c r="JE14" i="6"/>
  <c r="JF14" i="6" l="1"/>
  <c r="JG12" i="6"/>
  <c r="JH12" i="6" l="1"/>
  <c r="JG14" i="6"/>
  <c r="JI12" i="6" l="1"/>
  <c r="JH14" i="6"/>
  <c r="JJ12" i="6" l="1"/>
  <c r="JI14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U14" i="6" l="1"/>
  <c r="JV12" i="6"/>
  <c r="JV14" i="6" l="1"/>
  <c r="JW12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D12" i="6" l="1"/>
  <c r="KC14" i="6"/>
  <c r="KE12" i="6" l="1"/>
  <c r="KE14" i="6" s="1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<sst xmlns="http://schemas.openxmlformats.org/spreadsheetml/2006/main" count="743" uniqueCount="417">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</sst>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8" t="s">
        <v>0</v>
      </c>
      <c r="C2" s="688"/>
      <c r="D2" s="688"/>
      <c r="E2" s="688"/>
      <c r="H2" s="689" t="s">
        <v>1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Swellengrebel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3</v>
      </c>
      <c r="C5" s="616" t="s">
        <v>4</v>
      </c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7</v>
      </c>
      <c r="C7" s="616" t="s">
        <v>8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4"/>
      <c r="H8" s="692"/>
      <c r="I8" s="693"/>
      <c r="J8" s="693"/>
      <c r="K8" s="693"/>
      <c r="L8" s="693"/>
      <c r="M8" s="693"/>
      <c r="N8" s="693"/>
      <c r="O8" s="694"/>
    </row>
    <row r="9" spans="2:15">
      <c r="B9" s="698" t="s">
        <v>9</v>
      </c>
      <c r="C9" s="698"/>
      <c r="D9" s="698"/>
      <c r="E9" s="698"/>
      <c r="H9" s="692"/>
      <c r="I9" s="693"/>
      <c r="J9" s="693"/>
      <c r="K9" s="693"/>
      <c r="L9" s="693"/>
      <c r="M9" s="693"/>
      <c r="N9" s="693"/>
      <c r="O9" s="694"/>
    </row>
    <row r="10" spans="2:15" ht="15" thickBot="1">
      <c r="B10" s="698" t="s">
        <v>10</v>
      </c>
      <c r="C10" s="698"/>
      <c r="D10" s="698"/>
      <c r="E10" s="698"/>
      <c r="H10" s="695"/>
      <c r="I10" s="696"/>
      <c r="J10" s="696"/>
      <c r="K10" s="696"/>
      <c r="L10" s="696"/>
      <c r="M10" s="696"/>
      <c r="N10" s="696"/>
      <c r="O10" s="697"/>
    </row>
    <row r="11" spans="2:15">
      <c r="B11" s="617" t="s">
        <v>11</v>
      </c>
      <c r="C11" s="687"/>
      <c r="D11" s="687"/>
      <c r="E11" s="687"/>
    </row>
    <row r="12" spans="2:15">
      <c r="B12" s="617" t="s">
        <v>12</v>
      </c>
      <c r="C12" s="687"/>
      <c r="D12" s="687"/>
      <c r="E12" s="687"/>
    </row>
    <row r="13" spans="2:15">
      <c r="B13" s="617" t="s">
        <v>13</v>
      </c>
      <c r="C13" s="687"/>
      <c r="D13" s="687"/>
      <c r="E13" s="687"/>
    </row>
    <row r="14" spans="2:15">
      <c r="B14" s="617" t="s">
        <v>14</v>
      </c>
      <c r="C14" s="687"/>
      <c r="D14" s="687"/>
      <c r="E14" s="687"/>
    </row>
    <row r="15" spans="2:15">
      <c r="B15" s="617" t="s">
        <v>15</v>
      </c>
      <c r="C15" s="687"/>
      <c r="D15" s="687"/>
      <c r="E15" s="687"/>
    </row>
    <row r="16" spans="2:15" ht="15" customHeight="1">
      <c r="B16" s="617" t="s">
        <v>16</v>
      </c>
      <c r="C16" s="687"/>
      <c r="D16" s="687"/>
      <c r="E16" s="687"/>
    </row>
    <row r="17" spans="2:5">
      <c r="B17" s="614"/>
    </row>
    <row r="18" spans="2:5">
      <c r="B18" s="699" t="s">
        <v>17</v>
      </c>
      <c r="C18" s="699"/>
      <c r="D18" s="699"/>
      <c r="E18" s="699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88" t="s">
        <v>22</v>
      </c>
      <c r="C2" s="688"/>
      <c r="D2" s="688"/>
      <c r="E2" s="688"/>
      <c r="H2" s="689" t="s">
        <v>23</v>
      </c>
      <c r="I2" s="690"/>
      <c r="J2" s="690"/>
      <c r="K2" s="690"/>
      <c r="L2" s="690"/>
      <c r="M2" s="690"/>
      <c r="N2" s="690"/>
      <c r="O2" s="691"/>
    </row>
    <row r="3" spans="2:15">
      <c r="B3" s="614"/>
      <c r="H3" s="692"/>
      <c r="I3" s="693"/>
      <c r="J3" s="693"/>
      <c r="K3" s="693"/>
      <c r="L3" s="693"/>
      <c r="M3" s="693"/>
      <c r="N3" s="693"/>
      <c r="O3" s="694"/>
    </row>
    <row r="4" spans="2:15">
      <c r="B4" s="615" t="s">
        <v>2</v>
      </c>
      <c r="C4" s="616" t="str">
        <f>'Project Plan'!E2</f>
        <v>Swellengrebel</v>
      </c>
      <c r="H4" s="692"/>
      <c r="I4" s="693"/>
      <c r="J4" s="693"/>
      <c r="K4" s="693"/>
      <c r="L4" s="693"/>
      <c r="M4" s="693"/>
      <c r="N4" s="693"/>
      <c r="O4" s="694"/>
    </row>
    <row r="5" spans="2:15">
      <c r="B5" s="615" t="s">
        <v>24</v>
      </c>
      <c r="C5" s="616"/>
      <c r="H5" s="692"/>
      <c r="I5" s="693"/>
      <c r="J5" s="693"/>
      <c r="K5" s="693"/>
      <c r="L5" s="693"/>
      <c r="M5" s="693"/>
      <c r="N5" s="693"/>
      <c r="O5" s="694"/>
    </row>
    <row r="6" spans="2:15">
      <c r="B6" s="615" t="s">
        <v>5</v>
      </c>
      <c r="C6" s="616" t="s">
        <v>6</v>
      </c>
      <c r="H6" s="692"/>
      <c r="I6" s="693"/>
      <c r="J6" s="693"/>
      <c r="K6" s="693"/>
      <c r="L6" s="693"/>
      <c r="M6" s="693"/>
      <c r="N6" s="693"/>
      <c r="O6" s="694"/>
    </row>
    <row r="7" spans="2:15">
      <c r="B7" s="615" t="s">
        <v>25</v>
      </c>
      <c r="C7" s="616" t="str">
        <f>'Project Plan'!E5</f>
        <v>Justin Franke</v>
      </c>
      <c r="H7" s="692"/>
      <c r="I7" s="693"/>
      <c r="J7" s="693"/>
      <c r="K7" s="693"/>
      <c r="L7" s="693"/>
      <c r="M7" s="693"/>
      <c r="N7" s="693"/>
      <c r="O7" s="694"/>
    </row>
    <row r="8" spans="2:15">
      <c r="B8" s="615" t="s">
        <v>26</v>
      </c>
      <c r="C8" s="616"/>
      <c r="H8" s="692"/>
      <c r="I8" s="693"/>
      <c r="J8" s="693"/>
      <c r="K8" s="693"/>
      <c r="L8" s="693"/>
      <c r="M8" s="693"/>
      <c r="N8" s="693"/>
      <c r="O8" s="694"/>
    </row>
    <row r="9" spans="2:15">
      <c r="B9" s="614"/>
      <c r="H9" s="692"/>
      <c r="I9" s="693"/>
      <c r="J9" s="693"/>
      <c r="K9" s="693"/>
      <c r="L9" s="693"/>
      <c r="M9" s="693"/>
      <c r="N9" s="693"/>
      <c r="O9" s="694"/>
    </row>
    <row r="10" spans="2:15">
      <c r="B10" s="698" t="s">
        <v>9</v>
      </c>
      <c r="C10" s="698"/>
      <c r="D10" s="698"/>
      <c r="E10" s="698"/>
      <c r="H10" s="692"/>
      <c r="I10" s="693"/>
      <c r="J10" s="693"/>
      <c r="K10" s="693"/>
      <c r="L10" s="693"/>
      <c r="M10" s="693"/>
      <c r="N10" s="693"/>
      <c r="O10" s="694"/>
    </row>
    <row r="11" spans="2:15" ht="15" thickBot="1">
      <c r="B11" s="698" t="s">
        <v>10</v>
      </c>
      <c r="C11" s="698"/>
      <c r="D11" s="698"/>
      <c r="E11" s="698"/>
      <c r="H11" s="695"/>
      <c r="I11" s="696"/>
      <c r="J11" s="696"/>
      <c r="K11" s="696"/>
      <c r="L11" s="696"/>
      <c r="M11" s="696"/>
      <c r="N11" s="696"/>
      <c r="O11" s="697"/>
    </row>
    <row r="12" spans="2:15" ht="25">
      <c r="B12" s="617" t="s">
        <v>27</v>
      </c>
      <c r="C12" s="687"/>
      <c r="D12" s="687"/>
      <c r="E12" s="687"/>
    </row>
    <row r="13" spans="2:15">
      <c r="B13" s="617" t="s">
        <v>28</v>
      </c>
      <c r="C13" s="687"/>
      <c r="D13" s="687"/>
      <c r="E13" s="687"/>
    </row>
    <row r="14" spans="2:15">
      <c r="B14" s="617" t="s">
        <v>29</v>
      </c>
      <c r="C14" s="687"/>
      <c r="D14" s="687"/>
      <c r="E14" s="687"/>
    </row>
    <row r="15" spans="2:15">
      <c r="B15" s="617" t="s">
        <v>30</v>
      </c>
      <c r="C15" s="687"/>
      <c r="D15" s="687"/>
      <c r="E15" s="687"/>
    </row>
    <row r="16" spans="2:15" ht="25">
      <c r="B16" s="617" t="s">
        <v>31</v>
      </c>
      <c r="C16" s="687"/>
      <c r="D16" s="687"/>
      <c r="E16" s="687"/>
    </row>
    <row r="17" spans="2:5">
      <c r="B17" s="617" t="s">
        <v>32</v>
      </c>
      <c r="C17" s="687"/>
      <c r="D17" s="687"/>
      <c r="E17" s="687"/>
    </row>
    <row r="18" spans="2:5">
      <c r="B18" s="617" t="s">
        <v>33</v>
      </c>
      <c r="C18" s="687"/>
      <c r="D18" s="687"/>
      <c r="E18" s="687"/>
    </row>
    <row r="19" spans="2:5">
      <c r="B19" s="617" t="s">
        <v>34</v>
      </c>
      <c r="C19" s="687"/>
      <c r="D19" s="687"/>
      <c r="E19" s="687"/>
    </row>
    <row r="20" spans="2:5">
      <c r="B20" s="617" t="s">
        <v>35</v>
      </c>
      <c r="C20" s="687"/>
      <c r="D20" s="687"/>
      <c r="E20" s="687"/>
    </row>
    <row r="21" spans="2:5">
      <c r="B21" s="617" t="s">
        <v>36</v>
      </c>
      <c r="C21" s="687"/>
      <c r="D21" s="687"/>
      <c r="E21" s="687"/>
    </row>
    <row r="22" spans="2:5" ht="15" customHeight="1">
      <c r="B22" s="617" t="s">
        <v>16</v>
      </c>
      <c r="C22" s="687"/>
      <c r="D22" s="687"/>
      <c r="E22" s="687"/>
    </row>
    <row r="23" spans="2:5">
      <c r="B23" s="614"/>
    </row>
    <row r="24" spans="2:5">
      <c r="B24" s="699" t="s">
        <v>17</v>
      </c>
      <c r="C24" s="699"/>
      <c r="D24" s="699"/>
      <c r="E24" s="699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02"/>
      <c r="C1" s="703"/>
      <c r="D1" s="703"/>
      <c r="E1" s="703"/>
      <c r="F1" s="700" t="s">
        <v>37</v>
      </c>
      <c r="G1" s="700"/>
      <c r="H1" s="700"/>
      <c r="I1" s="700"/>
      <c r="J1" s="700"/>
      <c r="K1" s="701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04" t="s">
        <v>102</v>
      </c>
      <c r="C2" s="705"/>
      <c r="D2" s="705"/>
      <c r="E2" s="705"/>
      <c r="F2" s="70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704" t="s">
        <v>111</v>
      </c>
      <c r="C16" s="705"/>
      <c r="D16" s="705"/>
      <c r="E16" s="705"/>
      <c r="F16" s="70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I7" sqref="I7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46065</v>
      </c>
      <c r="O1" s="305">
        <f ca="1">TODAY()</f>
        <v>46065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707" t="s">
        <v>116</v>
      </c>
      <c r="J2" s="708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707" t="s">
        <v>118</v>
      </c>
      <c r="J3" s="708"/>
      <c r="K3" s="587">
        <f>K2/5</f>
        <v>5.4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707" t="s">
        <v>121</v>
      </c>
      <c r="J4" s="708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711" t="s">
        <v>127</v>
      </c>
      <c r="C8" s="712" t="s">
        <v>128</v>
      </c>
      <c r="D8" s="126"/>
      <c r="E8" s="713" t="s">
        <v>129</v>
      </c>
      <c r="F8" s="148" t="s">
        <v>130</v>
      </c>
      <c r="G8" s="713" t="s">
        <v>131</v>
      </c>
      <c r="H8" s="149"/>
      <c r="I8" s="713" t="s">
        <v>132</v>
      </c>
      <c r="J8" s="148" t="s">
        <v>130</v>
      </c>
      <c r="K8" s="713" t="s">
        <v>133</v>
      </c>
      <c r="M8" s="584" t="s">
        <v>44</v>
      </c>
      <c r="N8" s="585" t="s">
        <v>134</v>
      </c>
      <c r="O8" s="709" t="s">
        <v>135</v>
      </c>
      <c r="Z8" s="26"/>
      <c r="AA8" s="26"/>
      <c r="AB8" s="26"/>
    </row>
    <row r="9" spans="2:28">
      <c r="B9" s="711"/>
      <c r="C9" s="712"/>
      <c r="D9" s="126"/>
      <c r="E9" s="713"/>
      <c r="F9" s="40">
        <f>G40-E20</f>
        <v>42</v>
      </c>
      <c r="G9" s="713"/>
      <c r="H9" s="149"/>
      <c r="I9" s="713"/>
      <c r="J9" s="41">
        <f>K40-I20</f>
        <v>42</v>
      </c>
      <c r="K9" s="713"/>
      <c r="M9" s="265">
        <f>AVERAGE(M11,M19,M22,M29,M36,M40,M49,M45)</f>
        <v>1.953125E-3</v>
      </c>
      <c r="N9" s="265">
        <f>AVERAGE(N11,N19,N22,N29,N36,N40,N49,N45)</f>
        <v>1.953125E-3</v>
      </c>
      <c r="O9" s="710"/>
      <c r="S9" s="586">
        <f ca="1">TODAY()</f>
        <v>46065</v>
      </c>
      <c r="T9" s="586">
        <f ca="1">TODAY()</f>
        <v>46065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143</v>
      </c>
      <c r="C13" s="158" t="s">
        <v>142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0.44615384615384618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145</v>
      </c>
      <c r="C14" s="158" t="s">
        <v>144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147</v>
      </c>
      <c r="C15" s="158" t="s">
        <v>146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149</v>
      </c>
      <c r="C16" s="158" t="s">
        <v>148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416</v>
      </c>
      <c r="C17" s="158" t="s">
        <v>150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716" t="s">
        <v>223</v>
      </c>
      <c r="D13" s="717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716" t="s">
        <v>224</v>
      </c>
      <c r="D14" s="717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716" t="s">
        <v>225</v>
      </c>
      <c r="D15" s="717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714" t="s">
        <v>182</v>
      </c>
      <c r="D16" s="715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714" t="s">
        <v>226</v>
      </c>
      <c r="D17" s="715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714" t="s">
        <v>227</v>
      </c>
      <c r="D18" s="71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716" t="s">
        <v>227</v>
      </c>
      <c r="D19" s="71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18"/>
      <c r="C4" s="718"/>
      <c r="D4" s="718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719" t="s">
        <v>242</v>
      </c>
      <c r="C5" s="719"/>
      <c r="D5" s="719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H1" zoomScale="70" zoomScaleNormal="70" workbookViewId="0">
      <pane ySplit="4" topLeftCell="A105" activePane="bottomLeft" state="frozen"/>
      <selection activeCell="X33" sqref="X33"/>
      <selection pane="bottomLeft" activeCell="S138" sqref="S13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0" t="s">
        <v>248</v>
      </c>
      <c r="C2" s="681"/>
      <c r="D2" s="681"/>
      <c r="E2" s="681"/>
      <c r="F2" s="681"/>
      <c r="G2" s="681"/>
      <c r="H2" s="395"/>
      <c r="I2" s="162">
        <f>SUM(I6:I159)</f>
        <v>2371126.2425380363</v>
      </c>
      <c r="J2" s="162">
        <f>SUM(J6:J159)</f>
        <v>2718200.0524241957</v>
      </c>
      <c r="L2" s="682" t="s">
        <v>249</v>
      </c>
      <c r="M2" s="683"/>
      <c r="N2" s="683"/>
      <c r="O2" s="683"/>
      <c r="P2" s="683"/>
      <c r="Q2" s="683"/>
      <c r="R2" s="684" t="s">
        <v>250</v>
      </c>
      <c r="S2" s="685"/>
      <c r="T2" s="685"/>
      <c r="U2" s="685"/>
      <c r="V2" s="685"/>
      <c r="W2" s="686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46165</v>
      </c>
      <c r="I6" s="633">
        <f>SUM(G6:G11)</f>
        <v>766638.43200000003</v>
      </c>
      <c r="J6" s="636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45">
        <f>J6-SUM(U6:U11)</f>
        <v>0</v>
      </c>
      <c r="W6" s="453">
        <f>'Project Plan'!K37+60</f>
        <v>46166</v>
      </c>
      <c r="X6" s="633">
        <f>SUM(Q6:Q11)</f>
        <v>809233.87096774194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1"/>
      <c r="I7" s="634"/>
      <c r="J7" s="637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46"/>
      <c r="W7" s="454"/>
      <c r="X7" s="634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34"/>
      <c r="J8" s="637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46"/>
      <c r="W8" s="454"/>
      <c r="X8" s="634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34"/>
      <c r="J9" s="637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46"/>
      <c r="W9" s="455"/>
      <c r="X9" s="634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34"/>
      <c r="J10" s="637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46"/>
      <c r="W10" s="455"/>
      <c r="X10" s="634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35"/>
      <c r="J11" s="638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47"/>
      <c r="W11" s="456"/>
      <c r="X11" s="635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46166</v>
      </c>
      <c r="I13" s="662">
        <f>SUM(G13:G19)</f>
        <v>206610</v>
      </c>
      <c r="J13" s="665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77">
        <f>J13-SUM(U13:U19)</f>
        <v>0</v>
      </c>
      <c r="W13" s="458"/>
      <c r="X13" s="662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3"/>
      <c r="J14" s="666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78"/>
      <c r="W14" s="459">
        <f>W6</f>
        <v>46166</v>
      </c>
      <c r="X14" s="663"/>
      <c r="Y14" s="607" t="s">
        <v>278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3"/>
      <c r="J15" s="666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78"/>
      <c r="W15" s="459"/>
      <c r="X15" s="663"/>
      <c r="Y15" s="607" t="s">
        <v>279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3"/>
      <c r="J16" s="666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78"/>
      <c r="W16" s="459"/>
      <c r="X16" s="663"/>
      <c r="Y16" s="607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3"/>
      <c r="J17" s="666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78"/>
      <c r="W17" s="459"/>
      <c r="X17" s="663"/>
      <c r="Y17" s="607" t="s">
        <v>281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3"/>
      <c r="J18" s="666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78"/>
      <c r="W18" s="459"/>
      <c r="X18" s="663"/>
      <c r="Y18" s="607" t="s">
        <v>282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4"/>
      <c r="J19" s="667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79"/>
      <c r="W19" s="460"/>
      <c r="X19" s="664"/>
      <c r="Y19" s="607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46135</v>
      </c>
      <c r="I21" s="633">
        <f>SUM(G21:G26)</f>
        <v>139872</v>
      </c>
      <c r="J21" s="636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45">
        <f>J21-SUM(U21:U26)</f>
        <v>0</v>
      </c>
      <c r="W21" s="461">
        <f>T21+30</f>
        <v>46142</v>
      </c>
      <c r="X21" s="633">
        <f>SUM(Q21:Q26)</f>
        <v>80000</v>
      </c>
      <c r="Y21" s="607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34"/>
      <c r="J22" s="637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46"/>
      <c r="W22" s="454"/>
      <c r="X22" s="634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34"/>
      <c r="J23" s="637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46"/>
      <c r="W23" s="454"/>
      <c r="X23" s="634"/>
      <c r="Y23" s="607" t="s">
        <v>290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34"/>
      <c r="J24" s="637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46"/>
      <c r="W24" s="455"/>
      <c r="X24" s="634"/>
      <c r="Y24" s="608" t="s">
        <v>291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34"/>
      <c r="J25" s="637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46"/>
      <c r="W25" s="455"/>
      <c r="X25" s="634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35"/>
      <c r="J26" s="638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47"/>
      <c r="W26" s="456"/>
      <c r="X26" s="635"/>
      <c r="Y26" s="609" t="s">
        <v>203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46165</v>
      </c>
      <c r="I28" s="662">
        <f>SUM(G28:G42)</f>
        <v>227224.9</v>
      </c>
      <c r="J28" s="665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77">
        <f>J28-SUM(U28:U42)</f>
        <v>0</v>
      </c>
      <c r="W28" s="458">
        <f>W6</f>
        <v>46166</v>
      </c>
      <c r="X28" s="662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46134</v>
      </c>
      <c r="I29" s="663"/>
      <c r="J29" s="666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78"/>
      <c r="W29" s="459"/>
      <c r="X29" s="663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3"/>
      <c r="J30" s="666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78"/>
      <c r="W30" s="459"/>
      <c r="X30" s="663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3"/>
      <c r="J31" s="666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78"/>
      <c r="W31" s="459"/>
      <c r="X31" s="663"/>
      <c r="Y31" s="610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3"/>
      <c r="J32" s="666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59"/>
      <c r="S32" s="506"/>
      <c r="T32" s="416">
        <f>T90</f>
        <v>46112</v>
      </c>
      <c r="U32" s="401">
        <f t="shared" si="4"/>
        <v>13633.106385455512</v>
      </c>
      <c r="V32" s="678"/>
      <c r="W32" s="459">
        <f>W90</f>
        <v>46105</v>
      </c>
      <c r="X32" s="663"/>
      <c r="Y32" s="610" t="s">
        <v>299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3"/>
      <c r="J33" s="666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60"/>
      <c r="S33" s="506"/>
      <c r="T33" s="416">
        <f t="shared" ref="T33:T39" si="8">T91</f>
        <v>46112</v>
      </c>
      <c r="U33" s="401">
        <f t="shared" si="4"/>
        <v>20449.659578183269</v>
      </c>
      <c r="V33" s="678"/>
      <c r="W33" s="459">
        <f t="shared" ref="W33:W39" si="9">W91</f>
        <v>46105</v>
      </c>
      <c r="X33" s="663"/>
      <c r="Y33" s="610" t="s">
        <v>300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3"/>
      <c r="J34" s="666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60"/>
      <c r="S34" s="506"/>
      <c r="T34" s="416">
        <f t="shared" si="8"/>
        <v>46142</v>
      </c>
      <c r="U34" s="401">
        <f t="shared" si="4"/>
        <v>27266.212770911025</v>
      </c>
      <c r="V34" s="678"/>
      <c r="W34" s="459">
        <f t="shared" si="9"/>
        <v>46136</v>
      </c>
      <c r="X34" s="663"/>
      <c r="Y34" s="610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3"/>
      <c r="J35" s="666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60"/>
      <c r="S35" s="506"/>
      <c r="T35" s="416">
        <f t="shared" si="8"/>
        <v>46142</v>
      </c>
      <c r="U35" s="401">
        <f t="shared" si="4"/>
        <v>34082.765963638783</v>
      </c>
      <c r="V35" s="678"/>
      <c r="W35" s="459">
        <f t="shared" si="9"/>
        <v>46141</v>
      </c>
      <c r="X35" s="663"/>
      <c r="Y35" s="610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3"/>
      <c r="J36" s="666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60"/>
      <c r="S36" s="506"/>
      <c r="T36" s="416">
        <f t="shared" si="8"/>
        <v>46173</v>
      </c>
      <c r="U36" s="401">
        <f t="shared" si="4"/>
        <v>13633.106385455512</v>
      </c>
      <c r="V36" s="678"/>
      <c r="W36" s="459">
        <f t="shared" si="9"/>
        <v>46154</v>
      </c>
      <c r="X36" s="663"/>
      <c r="Y36" s="610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3"/>
      <c r="J37" s="666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60"/>
      <c r="S37" s="506"/>
      <c r="T37" s="416">
        <f t="shared" si="8"/>
        <v>46173</v>
      </c>
      <c r="U37" s="401">
        <f t="shared" si="4"/>
        <v>13633.106385455512</v>
      </c>
      <c r="V37" s="678"/>
      <c r="W37" s="459">
        <f t="shared" si="9"/>
        <v>46155</v>
      </c>
      <c r="X37" s="663"/>
      <c r="Y37" s="610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3"/>
      <c r="J38" s="666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60"/>
      <c r="S38" s="506"/>
      <c r="T38" s="416">
        <f t="shared" si="8"/>
        <v>46173</v>
      </c>
      <c r="U38" s="401">
        <f t="shared" si="4"/>
        <v>6816.5531927277561</v>
      </c>
      <c r="V38" s="678"/>
      <c r="W38" s="459">
        <f t="shared" si="9"/>
        <v>46155</v>
      </c>
      <c r="X38" s="663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3"/>
      <c r="J39" s="666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61"/>
      <c r="S39" s="506"/>
      <c r="T39" s="416">
        <f t="shared" si="8"/>
        <v>46203</v>
      </c>
      <c r="U39" s="401">
        <f t="shared" si="4"/>
        <v>6816.5531927277561</v>
      </c>
      <c r="V39" s="678"/>
      <c r="W39" s="459">
        <f t="shared" si="9"/>
        <v>46178</v>
      </c>
      <c r="X39" s="663"/>
      <c r="Y39" s="611" t="s">
        <v>291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3"/>
      <c r="J40" s="666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78"/>
      <c r="W40" s="459"/>
      <c r="X40" s="663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3"/>
      <c r="J41" s="666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78"/>
      <c r="W41" s="459"/>
      <c r="X41" s="663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4"/>
      <c r="J42" s="667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79"/>
      <c r="W42" s="460"/>
      <c r="X42" s="664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46155</v>
      </c>
      <c r="I44" s="633">
        <f>D165</f>
        <v>49000</v>
      </c>
      <c r="J44" s="636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45">
        <f>J44-SUM(U44:U50)</f>
        <v>0</v>
      </c>
      <c r="W44" s="461">
        <f>W14</f>
        <v>46166</v>
      </c>
      <c r="X44" s="633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46155</v>
      </c>
      <c r="I45" s="634"/>
      <c r="J45" s="637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46"/>
      <c r="W45" s="454">
        <f>T45+30</f>
        <v>46142</v>
      </c>
      <c r="X45" s="634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46155</v>
      </c>
      <c r="I46" s="634"/>
      <c r="J46" s="637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46"/>
      <c r="W46" s="454">
        <f>W45</f>
        <v>46142</v>
      </c>
      <c r="X46" s="634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34"/>
      <c r="J47" s="637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46"/>
      <c r="W47" s="454"/>
      <c r="X47" s="634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34"/>
      <c r="J48" s="637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46"/>
      <c r="W48" s="455"/>
      <c r="X48" s="634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34"/>
      <c r="J49" s="637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46"/>
      <c r="W49" s="455"/>
      <c r="X49" s="634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35"/>
      <c r="J50" s="638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47"/>
      <c r="W50" s="456"/>
      <c r="X50" s="635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46155</v>
      </c>
      <c r="I52" s="662">
        <f>SUM(G52:G68)</f>
        <v>420372.81304347824</v>
      </c>
      <c r="J52" s="665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77">
        <f>J52-SUM(U52:U68)</f>
        <v>0</v>
      </c>
      <c r="W52" s="458"/>
      <c r="X52" s="662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63"/>
      <c r="J53" s="666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678"/>
      <c r="W53" s="459">
        <f>T53+30</f>
        <v>46142</v>
      </c>
      <c r="X53" s="663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3"/>
      <c r="J54" s="666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78"/>
      <c r="W54" s="459"/>
      <c r="X54" s="663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3"/>
      <c r="J55" s="666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78"/>
      <c r="W55" s="459"/>
      <c r="X55" s="663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3"/>
      <c r="J56" s="666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78"/>
      <c r="W56" s="459"/>
      <c r="X56" s="663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3"/>
      <c r="J57" s="666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78"/>
      <c r="W57" s="459"/>
      <c r="X57" s="663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63"/>
      <c r="J58" s="666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59"/>
      <c r="S58" s="506"/>
      <c r="T58" s="419">
        <f>T90</f>
        <v>46112</v>
      </c>
      <c r="U58" s="401">
        <f t="shared" si="11"/>
        <v>17433.672479895162</v>
      </c>
      <c r="V58" s="678"/>
      <c r="W58" s="459">
        <f>W90</f>
        <v>46105</v>
      </c>
      <c r="X58" s="663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63"/>
      <c r="J59" s="666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60"/>
      <c r="S59" s="506"/>
      <c r="T59" s="419">
        <f t="shared" si="1"/>
        <v>46112</v>
      </c>
      <c r="U59" s="401">
        <f t="shared" si="11"/>
        <v>26150.508719842743</v>
      </c>
      <c r="V59" s="678"/>
      <c r="W59" s="459">
        <f t="shared" ref="W59:W65" si="13">W91</f>
        <v>46105</v>
      </c>
      <c r="X59" s="663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3"/>
      <c r="J60" s="666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60"/>
      <c r="S60" s="506"/>
      <c r="T60" s="419">
        <f t="shared" si="1"/>
        <v>46142</v>
      </c>
      <c r="U60" s="401">
        <f t="shared" si="11"/>
        <v>34867.344959790324</v>
      </c>
      <c r="V60" s="678"/>
      <c r="W60" s="459">
        <f t="shared" si="13"/>
        <v>46136</v>
      </c>
      <c r="X60" s="663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3"/>
      <c r="J61" s="666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60"/>
      <c r="S61" s="506"/>
      <c r="T61" s="419">
        <f t="shared" si="1"/>
        <v>46142</v>
      </c>
      <c r="U61" s="401">
        <f t="shared" si="11"/>
        <v>43584.181199737905</v>
      </c>
      <c r="V61" s="678"/>
      <c r="W61" s="459">
        <f t="shared" si="13"/>
        <v>46141</v>
      </c>
      <c r="X61" s="663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3"/>
      <c r="J62" s="666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60"/>
      <c r="S62" s="506"/>
      <c r="T62" s="419">
        <f t="shared" si="1"/>
        <v>46173</v>
      </c>
      <c r="U62" s="401">
        <f t="shared" si="11"/>
        <v>17433.672479895162</v>
      </c>
      <c r="V62" s="678"/>
      <c r="W62" s="459">
        <f t="shared" si="13"/>
        <v>46154</v>
      </c>
      <c r="X62" s="663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63"/>
      <c r="J63" s="666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60"/>
      <c r="S63" s="510"/>
      <c r="T63" s="419">
        <f t="shared" si="1"/>
        <v>46173</v>
      </c>
      <c r="U63" s="406">
        <f t="shared" si="11"/>
        <v>17433.672479895162</v>
      </c>
      <c r="V63" s="678"/>
      <c r="W63" s="459">
        <f t="shared" si="13"/>
        <v>46155</v>
      </c>
      <c r="X63" s="663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3"/>
      <c r="J64" s="666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60"/>
      <c r="S64" s="510"/>
      <c r="T64" s="419">
        <f t="shared" si="1"/>
        <v>46173</v>
      </c>
      <c r="U64" s="406">
        <f t="shared" si="11"/>
        <v>8716.8362399475809</v>
      </c>
      <c r="V64" s="678"/>
      <c r="W64" s="459">
        <f t="shared" si="13"/>
        <v>46155</v>
      </c>
      <c r="X64" s="663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3"/>
      <c r="J65" s="666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61"/>
      <c r="S65" s="510"/>
      <c r="T65" s="419">
        <f t="shared" si="1"/>
        <v>46203</v>
      </c>
      <c r="U65" s="406">
        <f t="shared" si="11"/>
        <v>8716.8362399475809</v>
      </c>
      <c r="V65" s="678"/>
      <c r="W65" s="459">
        <f t="shared" si="13"/>
        <v>46178</v>
      </c>
      <c r="X65" s="663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3"/>
      <c r="J66" s="666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78"/>
      <c r="W66" s="462"/>
      <c r="X66" s="663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3"/>
      <c r="J67" s="666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78"/>
      <c r="W67" s="462"/>
      <c r="X67" s="663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64"/>
      <c r="J68" s="667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79"/>
      <c r="W68" s="460"/>
      <c r="X68" s="664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8"/>
      <c r="I70" s="633">
        <f>SUM(G70:G77)</f>
        <v>0</v>
      </c>
      <c r="J70" s="636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74">
        <f>J70-SUM(U70:U77)</f>
        <v>0</v>
      </c>
      <c r="W70" s="464"/>
      <c r="X70" s="633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34"/>
      <c r="J71" s="637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75"/>
      <c r="W71" s="455"/>
      <c r="X71" s="634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34"/>
      <c r="J72" s="637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75"/>
      <c r="W72" s="455"/>
      <c r="X72" s="634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34"/>
      <c r="J73" s="637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75"/>
      <c r="W73" s="455"/>
      <c r="X73" s="634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34"/>
      <c r="J74" s="637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75"/>
      <c r="W74" s="455"/>
      <c r="X74" s="634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34"/>
      <c r="J75" s="637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75"/>
      <c r="W75" s="455"/>
      <c r="X75" s="634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34"/>
      <c r="J76" s="637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75"/>
      <c r="W76" s="455"/>
      <c r="X76" s="634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35"/>
      <c r="J77" s="638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76"/>
      <c r="W77" s="456"/>
      <c r="X77" s="635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4"/>
      <c r="I79" s="662">
        <f>SUM(G79:G87)</f>
        <v>160000</v>
      </c>
      <c r="J79" s="665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671">
        <f>J79-SUM(U79:U87)</f>
        <v>0</v>
      </c>
      <c r="W79" s="458"/>
      <c r="X79" s="662">
        <f>SUM(Q79:Q87)</f>
        <v>160000</v>
      </c>
    </row>
    <row r="80" spans="1:24" ht="14.25" customHeight="1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63"/>
      <c r="J80" s="666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672"/>
      <c r="W80" s="458">
        <f>T80-14</f>
        <v>46098</v>
      </c>
      <c r="X80" s="663"/>
    </row>
    <row r="81" spans="1:24" ht="14.25" customHeight="1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63"/>
      <c r="J81" s="666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672"/>
      <c r="W81" s="458">
        <f t="shared" ref="W81:W82" si="16">T81-14</f>
        <v>46098</v>
      </c>
      <c r="X81" s="663"/>
    </row>
    <row r="82" spans="1:24" ht="14.25" customHeight="1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63"/>
      <c r="J82" s="666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672"/>
      <c r="W82" s="458">
        <f t="shared" si="16"/>
        <v>46098</v>
      </c>
      <c r="X82" s="663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3"/>
      <c r="J83" s="666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672"/>
      <c r="W83" s="458"/>
      <c r="X83" s="663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3"/>
      <c r="J84" s="666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672"/>
      <c r="W84" s="459"/>
      <c r="X84" s="663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3"/>
      <c r="J85" s="666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672"/>
      <c r="W85" s="459"/>
      <c r="X85" s="663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63"/>
      <c r="J86" s="666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672"/>
      <c r="W86" s="462"/>
      <c r="X86" s="663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64"/>
      <c r="J87" s="667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673"/>
      <c r="W87" s="460"/>
      <c r="X87" s="664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46136</v>
      </c>
      <c r="I89" s="668">
        <f>SUM(G89:G100)</f>
        <v>274950</v>
      </c>
      <c r="J89" s="636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45">
        <f>J89-SUM(U89:U100)</f>
        <v>0</v>
      </c>
      <c r="W89" s="461"/>
      <c r="X89" s="633">
        <f>SUM(Q89:Q100)</f>
        <v>233707.5</v>
      </c>
    </row>
    <row r="90" spans="1:24" ht="15" customHeight="1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46141</v>
      </c>
      <c r="I90" s="669"/>
      <c r="J90" s="637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54"/>
      <c r="S90" s="501"/>
      <c r="T90" s="412">
        <f t="shared" si="14"/>
        <v>46112</v>
      </c>
      <c r="U90" s="397">
        <f t="shared" si="17"/>
        <v>30550.000000000007</v>
      </c>
      <c r="V90" s="646"/>
      <c r="W90" s="454">
        <f>'Project Plan'!I20</f>
        <v>46105</v>
      </c>
      <c r="X90" s="634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669"/>
      <c r="J91" s="637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655"/>
      <c r="S91" s="502"/>
      <c r="T91" s="412">
        <f t="shared" si="14"/>
        <v>46112</v>
      </c>
      <c r="U91" s="397">
        <f t="shared" si="17"/>
        <v>45825</v>
      </c>
      <c r="V91" s="646"/>
      <c r="W91" s="455">
        <f>'Project Plan'!I20</f>
        <v>46105</v>
      </c>
      <c r="X91" s="634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669"/>
      <c r="J92" s="637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655"/>
      <c r="S92" s="502"/>
      <c r="T92" s="412">
        <f t="shared" si="14"/>
        <v>46142</v>
      </c>
      <c r="U92" s="397">
        <f t="shared" si="17"/>
        <v>61100.000000000015</v>
      </c>
      <c r="V92" s="646"/>
      <c r="W92" s="455">
        <f>'Project Plan'!K22+7</f>
        <v>46136</v>
      </c>
      <c r="X92" s="634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669"/>
      <c r="J93" s="637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655"/>
      <c r="S93" s="502"/>
      <c r="T93" s="412">
        <f t="shared" si="14"/>
        <v>46142</v>
      </c>
      <c r="U93" s="397">
        <f t="shared" si="17"/>
        <v>76375.000000000015</v>
      </c>
      <c r="V93" s="646"/>
      <c r="W93" s="455">
        <f>'Project Plan'!K29+7</f>
        <v>46141</v>
      </c>
      <c r="X93" s="634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69"/>
      <c r="J94" s="637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655"/>
      <c r="S94" s="502"/>
      <c r="T94" s="412">
        <f t="shared" si="14"/>
        <v>46173</v>
      </c>
      <c r="U94" s="397">
        <f t="shared" si="17"/>
        <v>30550.000000000007</v>
      </c>
      <c r="V94" s="646"/>
      <c r="W94" s="455">
        <f>'Project Plan'!K40+7</f>
        <v>46154</v>
      </c>
      <c r="X94" s="634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69"/>
      <c r="J95" s="637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655"/>
      <c r="S95" s="502"/>
      <c r="T95" s="412">
        <f t="shared" si="14"/>
        <v>46173</v>
      </c>
      <c r="U95" s="397">
        <f t="shared" si="17"/>
        <v>30550.000000000007</v>
      </c>
      <c r="V95" s="646"/>
      <c r="W95" s="455">
        <f>'Project Plan'!K47+7</f>
        <v>46155</v>
      </c>
      <c r="X95" s="634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69"/>
      <c r="J96" s="637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655"/>
      <c r="S96" s="502"/>
      <c r="T96" s="412">
        <f t="shared" si="14"/>
        <v>46173</v>
      </c>
      <c r="U96" s="397">
        <f t="shared" si="17"/>
        <v>15275.000000000004</v>
      </c>
      <c r="V96" s="646"/>
      <c r="W96" s="455">
        <f>'Project Plan'!K47+7</f>
        <v>46155</v>
      </c>
      <c r="X96" s="634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69"/>
      <c r="J97" s="637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656"/>
      <c r="S97" s="502"/>
      <c r="T97" s="412">
        <f t="shared" si="14"/>
        <v>46203</v>
      </c>
      <c r="U97" s="397">
        <f t="shared" si="17"/>
        <v>15275.000000000004</v>
      </c>
      <c r="V97" s="646"/>
      <c r="W97" s="455">
        <f>'Project Plan'!K47+30</f>
        <v>46178</v>
      </c>
      <c r="X97" s="634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69"/>
      <c r="J98" s="637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46"/>
      <c r="W98" s="455"/>
      <c r="X98" s="634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69"/>
      <c r="J99" s="637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46"/>
      <c r="W99" s="455"/>
      <c r="X99" s="634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670"/>
      <c r="J100" s="638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47"/>
      <c r="W100" s="456"/>
      <c r="X100" s="635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46136</v>
      </c>
      <c r="I102" s="639">
        <f>SUM(G102:G116)</f>
        <v>22919.155555555557</v>
      </c>
      <c r="J102" s="642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48">
        <f>J102-SUM(U102:U116)</f>
        <v>0</v>
      </c>
      <c r="W102" s="465"/>
      <c r="X102" s="639">
        <f>SUM(Q102:Q116)</f>
        <v>19481.28222222222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46136</v>
      </c>
      <c r="I103" s="640"/>
      <c r="J103" s="643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49"/>
      <c r="W103" s="466"/>
      <c r="X103" s="640"/>
    </row>
    <row r="104" spans="1:24" ht="14.25" customHeight="1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46136</v>
      </c>
      <c r="I104" s="640"/>
      <c r="J104" s="643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49"/>
      <c r="W104" s="466"/>
      <c r="X104" s="640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46136</v>
      </c>
      <c r="I105" s="640"/>
      <c r="J105" s="643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49"/>
      <c r="W105" s="466"/>
      <c r="X105" s="640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40"/>
      <c r="J106" s="643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51"/>
      <c r="S106" s="515"/>
      <c r="T106" s="425">
        <f>T90</f>
        <v>46112</v>
      </c>
      <c r="U106" s="409">
        <f t="shared" si="19"/>
        <v>2546.5728395061728</v>
      </c>
      <c r="V106" s="649"/>
      <c r="W106" s="467">
        <f>W90</f>
        <v>46105</v>
      </c>
      <c r="X106" s="640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40"/>
      <c r="J107" s="643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652"/>
      <c r="S107" s="520"/>
      <c r="T107" s="425">
        <f t="shared" ref="T107:T113" si="21">T91</f>
        <v>46112</v>
      </c>
      <c r="U107" s="409">
        <f t="shared" si="19"/>
        <v>3819.859259259259</v>
      </c>
      <c r="V107" s="649"/>
      <c r="W107" s="467">
        <f t="shared" ref="W107:W113" si="22">W91</f>
        <v>46105</v>
      </c>
      <c r="X107" s="640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40"/>
      <c r="J108" s="643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652"/>
      <c r="S108" s="515"/>
      <c r="T108" s="425">
        <f t="shared" si="21"/>
        <v>46142</v>
      </c>
      <c r="U108" s="409">
        <f t="shared" si="19"/>
        <v>5093.1456790123457</v>
      </c>
      <c r="V108" s="649"/>
      <c r="W108" s="467">
        <f t="shared" si="22"/>
        <v>46136</v>
      </c>
      <c r="X108" s="640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40"/>
      <c r="J109" s="643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652"/>
      <c r="S109" s="515"/>
      <c r="T109" s="425">
        <f t="shared" si="21"/>
        <v>46142</v>
      </c>
      <c r="U109" s="409">
        <f t="shared" si="19"/>
        <v>6366.4320987654319</v>
      </c>
      <c r="V109" s="649"/>
      <c r="W109" s="467">
        <f t="shared" si="22"/>
        <v>46141</v>
      </c>
      <c r="X109" s="640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40"/>
      <c r="J110" s="643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652"/>
      <c r="S110" s="515"/>
      <c r="T110" s="425">
        <f t="shared" si="21"/>
        <v>46173</v>
      </c>
      <c r="U110" s="409">
        <f t="shared" si="19"/>
        <v>2546.5728395061728</v>
      </c>
      <c r="V110" s="649"/>
      <c r="W110" s="467">
        <f t="shared" si="22"/>
        <v>46154</v>
      </c>
      <c r="X110" s="640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40"/>
      <c r="J111" s="643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652"/>
      <c r="S111" s="515"/>
      <c r="T111" s="425">
        <f t="shared" si="21"/>
        <v>46173</v>
      </c>
      <c r="U111" s="409">
        <f t="shared" si="19"/>
        <v>2546.5728395061728</v>
      </c>
      <c r="V111" s="649"/>
      <c r="W111" s="467">
        <f t="shared" si="22"/>
        <v>46155</v>
      </c>
      <c r="X111" s="640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40"/>
      <c r="J112" s="643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652"/>
      <c r="S112" s="515"/>
      <c r="T112" s="425">
        <f t="shared" si="21"/>
        <v>46173</v>
      </c>
      <c r="U112" s="409">
        <f t="shared" si="19"/>
        <v>1273.2864197530864</v>
      </c>
      <c r="V112" s="649"/>
      <c r="W112" s="467">
        <f t="shared" si="22"/>
        <v>46155</v>
      </c>
      <c r="X112" s="640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40"/>
      <c r="J113" s="643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653"/>
      <c r="S113" s="515"/>
      <c r="T113" s="425">
        <f t="shared" si="21"/>
        <v>46203</v>
      </c>
      <c r="U113" s="409">
        <f t="shared" si="19"/>
        <v>1273.2864197530864</v>
      </c>
      <c r="V113" s="649"/>
      <c r="W113" s="467">
        <f t="shared" si="22"/>
        <v>46178</v>
      </c>
      <c r="X113" s="640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40"/>
      <c r="J114" s="643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49"/>
      <c r="W114" s="467"/>
      <c r="X114" s="640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40"/>
      <c r="J115" s="643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49"/>
      <c r="W115" s="467"/>
      <c r="X115" s="640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41"/>
      <c r="J116" s="644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50"/>
      <c r="W116" s="468"/>
      <c r="X116" s="641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46147</v>
      </c>
      <c r="I118" s="633">
        <f>SUM(G118:G122)</f>
        <v>29000</v>
      </c>
      <c r="J118" s="636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45">
        <f>J118-SUM(U118:U122)</f>
        <v>0</v>
      </c>
      <c r="W118" s="461">
        <f>'Project Plan'!K40+14</f>
        <v>46161</v>
      </c>
      <c r="X118" s="633">
        <f>SUM(Q118:Q122)</f>
        <v>35000</v>
      </c>
    </row>
    <row r="119" spans="1:24" ht="15" customHeight="1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46147</v>
      </c>
      <c r="I119" s="634"/>
      <c r="J119" s="637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46"/>
      <c r="W119" s="461">
        <f>'Project Plan'!K41+14</f>
        <v>46149</v>
      </c>
      <c r="X119" s="634"/>
    </row>
    <row r="120" spans="1:24" ht="15" customHeight="1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34"/>
      <c r="J120" s="637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46"/>
      <c r="W120" s="454"/>
      <c r="X120" s="634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34"/>
      <c r="J121" s="637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46"/>
      <c r="W121" s="455">
        <f>W118</f>
        <v>46161</v>
      </c>
      <c r="X121" s="634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35"/>
      <c r="J122" s="638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47"/>
      <c r="W122" s="456"/>
      <c r="X122" s="635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46161</v>
      </c>
      <c r="I124" s="639">
        <f>SUM(G124:G125)</f>
        <v>35336.600681514545</v>
      </c>
      <c r="J124" s="642">
        <v>0</v>
      </c>
      <c r="K124" s="657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39">
        <f>SUM(Q124:Q125)</f>
        <v>35336.600681514545</v>
      </c>
    </row>
    <row r="125" spans="1:24" ht="15" customHeight="1" thickBot="1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41"/>
      <c r="J125" s="644"/>
      <c r="K125" s="658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41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46161</v>
      </c>
      <c r="I127" s="633">
        <f>SUM(G127:G131)</f>
        <v>26707.341257487926</v>
      </c>
      <c r="J127" s="636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45">
        <f>J127-SUM(U127:U132)</f>
        <v>0</v>
      </c>
      <c r="W127" s="461">
        <f>'Project Plan'!K40</f>
        <v>46147</v>
      </c>
      <c r="X127" s="633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34"/>
      <c r="J128" s="637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46"/>
      <c r="W128" s="454">
        <f>W127</f>
        <v>46147</v>
      </c>
      <c r="X128" s="634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34"/>
      <c r="J129" s="637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46"/>
      <c r="W129" s="454">
        <f t="shared" ref="W129:W131" si="24">W128</f>
        <v>46147</v>
      </c>
      <c r="X129" s="634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34"/>
      <c r="J130" s="637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46"/>
      <c r="W130" s="454">
        <f t="shared" si="24"/>
        <v>46147</v>
      </c>
      <c r="X130" s="634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34"/>
      <c r="J131" s="637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46"/>
      <c r="W131" s="454">
        <f t="shared" si="24"/>
        <v>46147</v>
      </c>
      <c r="X131" s="634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35"/>
      <c r="J132" s="638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47"/>
      <c r="W132" s="456"/>
      <c r="X132" s="635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46161</v>
      </c>
      <c r="I134" s="639">
        <f>SUM(G134:G145)</f>
        <v>12495</v>
      </c>
      <c r="J134" s="642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48">
        <f>J134-SUM(U134:U145)</f>
        <v>0</v>
      </c>
      <c r="W134" s="467">
        <f>T134+7</f>
        <v>46088</v>
      </c>
      <c r="X134" s="639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40"/>
      <c r="J135" s="643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49"/>
      <c r="W135" s="467">
        <f>T135+7</f>
        <v>46119</v>
      </c>
      <c r="X135" s="640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40"/>
      <c r="J136" s="643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49"/>
      <c r="W136" s="467">
        <f>T136+7</f>
        <v>46149</v>
      </c>
      <c r="X136" s="640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40"/>
      <c r="J137" s="643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49"/>
      <c r="W137" s="467">
        <f>T137+7</f>
        <v>46180</v>
      </c>
      <c r="X137" s="640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40"/>
      <c r="J138" s="643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49"/>
      <c r="W138" s="467"/>
      <c r="X138" s="640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40"/>
      <c r="J139" s="643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49"/>
      <c r="W139" s="467"/>
      <c r="X139" s="640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40"/>
      <c r="J140" s="643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49"/>
      <c r="W140" s="467"/>
      <c r="X140" s="640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40"/>
      <c r="J141" s="643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49"/>
      <c r="W141" s="467"/>
      <c r="X141" s="640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40"/>
      <c r="J142" s="643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49"/>
      <c r="W142" s="467"/>
      <c r="X142" s="640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40"/>
      <c r="J143" s="643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49"/>
      <c r="W143" s="467"/>
      <c r="X143" s="640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40"/>
      <c r="J144" s="643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49"/>
      <c r="W144" s="467"/>
      <c r="X144" s="640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41"/>
      <c r="J145" s="644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50"/>
      <c r="W145" s="468"/>
      <c r="X145" s="641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33">
        <f>SUM(G147:G158)</f>
        <v>0</v>
      </c>
      <c r="J147" s="636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45">
        <v>0</v>
      </c>
      <c r="W147" s="461"/>
      <c r="X147" s="633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34"/>
      <c r="J148" s="637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46"/>
      <c r="W148" s="454"/>
      <c r="X148" s="634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34"/>
      <c r="J149" s="637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46"/>
      <c r="W149" s="454"/>
      <c r="X149" s="634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34"/>
      <c r="J150" s="637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46"/>
      <c r="W150" s="454"/>
      <c r="X150" s="634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34"/>
      <c r="J151" s="637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46"/>
      <c r="W151" s="454"/>
      <c r="X151" s="634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34"/>
      <c r="J152" s="637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46"/>
      <c r="W152" s="454"/>
      <c r="X152" s="634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34"/>
      <c r="J153" s="637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46"/>
      <c r="W153" s="454"/>
      <c r="X153" s="634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34"/>
      <c r="J154" s="637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46"/>
      <c r="W154" s="454"/>
      <c r="X154" s="634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34"/>
      <c r="J155" s="637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46"/>
      <c r="W155" s="454"/>
      <c r="X155" s="634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34"/>
      <c r="J156" s="637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46"/>
      <c r="W156" s="454"/>
      <c r="X156" s="634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34"/>
      <c r="J157" s="637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46"/>
      <c r="W157" s="454"/>
      <c r="X157" s="634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35"/>
      <c r="J158" s="638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47"/>
      <c r="W158" s="456"/>
      <c r="X158" s="635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381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2"/>
      <c r="B17" s="106" t="s">
        <v>386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387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" style="269" bestFit="1" customWidth="1"/>
    <col min="2" max="2" width="15.26953125" style="270" bestFit="1" customWidth="1"/>
    <col min="3" max="3" width="6.08984375" style="269" bestFit="1" customWidth="1"/>
    <col min="4" max="4" width="10.453125" style="269" bestFit="1" customWidth="1"/>
    <col min="5" max="5" width="13.7265625" style="269" bestFit="1" customWidth="1"/>
    <col min="6" max="7" width="12.1796875" style="269" bestFit="1" customWidth="1"/>
    <col min="8" max="8" width="11.1796875" style="269" bestFit="1" customWidth="1"/>
    <col min="9" max="9" width="13.7265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326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333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26953125" style="308" bestFit="1" customWidth="1"/>
    <col min="3" max="3" width="11.1796875" style="308" bestFit="1" customWidth="1"/>
    <col min="4" max="4" width="10.453125" style="308" bestFit="1" customWidth="1"/>
    <col min="5" max="5" width="13.7265625" style="308" bestFit="1" customWidth="1"/>
    <col min="6" max="7" width="12.1796875" style="308" bestFit="1" customWidth="1"/>
    <col min="8" max="8" width="11.1796875" style="308" bestFit="1" customWidth="1"/>
    <col min="9" max="9" width="13.726562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</row>
    <row r="5" spans="1:9">
      <c r="A5" s="345" t="s">
        <v>391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275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287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294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314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319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326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329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333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342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339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392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394</v>
      </c>
      <c r="F2" s="19" t="s">
        <v>395</v>
      </c>
    </row>
    <row r="3" spans="3:8">
      <c r="C3" s="15">
        <v>45658</v>
      </c>
      <c r="D3" s="9" t="s">
        <v>396</v>
      </c>
      <c r="F3" s="17" t="s">
        <v>397</v>
      </c>
    </row>
    <row r="4" spans="3:8">
      <c r="C4" s="15">
        <v>45737</v>
      </c>
      <c r="D4" s="9" t="s">
        <v>398</v>
      </c>
      <c r="F4" s="17" t="s">
        <v>399</v>
      </c>
    </row>
    <row r="5" spans="3:8">
      <c r="C5" s="15">
        <v>45765</v>
      </c>
      <c r="D5" s="9" t="s">
        <v>400</v>
      </c>
      <c r="F5" s="17" t="s">
        <v>401</v>
      </c>
    </row>
    <row r="6" spans="3:8" ht="13" thickBot="1">
      <c r="C6" s="15">
        <v>45768</v>
      </c>
      <c r="D6" s="9" t="s">
        <v>402</v>
      </c>
      <c r="F6" s="18" t="s">
        <v>403</v>
      </c>
    </row>
    <row r="7" spans="3:8">
      <c r="C7" s="15">
        <v>45774</v>
      </c>
      <c r="D7" s="9" t="s">
        <v>404</v>
      </c>
    </row>
    <row r="8" spans="3:8">
      <c r="C8" s="15">
        <v>45765</v>
      </c>
      <c r="D8" s="9" t="s">
        <v>405</v>
      </c>
    </row>
    <row r="9" spans="3:8">
      <c r="C9" s="15">
        <v>45778</v>
      </c>
      <c r="D9" s="9" t="s">
        <v>406</v>
      </c>
    </row>
    <row r="10" spans="3:8">
      <c r="C10" s="15">
        <v>45824</v>
      </c>
      <c r="D10" s="9" t="s">
        <v>407</v>
      </c>
    </row>
    <row r="11" spans="3:8">
      <c r="C11" s="15">
        <v>45878</v>
      </c>
      <c r="D11" s="9" t="s">
        <v>408</v>
      </c>
    </row>
    <row r="12" spans="3:8">
      <c r="C12" s="15">
        <v>45924</v>
      </c>
      <c r="D12" s="9" t="s">
        <v>409</v>
      </c>
    </row>
    <row r="13" spans="3:8">
      <c r="C13" s="15">
        <v>46007</v>
      </c>
      <c r="D13" s="9" t="s">
        <v>410</v>
      </c>
      <c r="F13" s="20"/>
      <c r="H13" s="9" t="s">
        <v>411</v>
      </c>
    </row>
    <row r="14" spans="3:8">
      <c r="C14" s="15">
        <v>46016</v>
      </c>
      <c r="D14" s="9" t="s">
        <v>412</v>
      </c>
    </row>
    <row r="15" spans="3:8">
      <c r="C15" s="15">
        <v>46017</v>
      </c>
      <c r="D15" s="9" t="s">
        <v>413</v>
      </c>
    </row>
    <row r="16" spans="3:8">
      <c r="C16" s="15">
        <v>46006</v>
      </c>
      <c r="D16" s="9" t="s">
        <v>414</v>
      </c>
    </row>
    <row r="17" spans="3:4">
      <c r="C17" s="15">
        <v>46007</v>
      </c>
      <c r="D17" s="9" t="s">
        <v>414</v>
      </c>
    </row>
    <row r="18" spans="3:4">
      <c r="C18" s="15">
        <v>46008</v>
      </c>
      <c r="D18" s="9" t="s">
        <v>414</v>
      </c>
    </row>
    <row r="19" spans="3:4">
      <c r="C19" s="15">
        <v>46009</v>
      </c>
      <c r="D19" s="9" t="s">
        <v>414</v>
      </c>
    </row>
    <row r="20" spans="3:4">
      <c r="C20" s="15">
        <v>46010</v>
      </c>
      <c r="D20" s="9" t="s">
        <v>414</v>
      </c>
    </row>
    <row r="21" spans="3:4">
      <c r="C21" s="15">
        <v>46011</v>
      </c>
      <c r="D21" s="9" t="s">
        <v>414</v>
      </c>
    </row>
    <row r="22" spans="3:4">
      <c r="C22" s="15">
        <v>46012</v>
      </c>
      <c r="D22" s="9" t="s">
        <v>414</v>
      </c>
    </row>
    <row r="23" spans="3:4">
      <c r="C23" s="15">
        <v>46013</v>
      </c>
      <c r="D23" s="9" t="s">
        <v>414</v>
      </c>
    </row>
    <row r="24" spans="3:4">
      <c r="C24" s="15">
        <v>46014</v>
      </c>
      <c r="D24" s="9" t="s">
        <v>414</v>
      </c>
    </row>
    <row r="25" spans="3:4">
      <c r="C25" s="15">
        <v>46015</v>
      </c>
      <c r="D25" s="9" t="s">
        <v>414</v>
      </c>
    </row>
    <row r="26" spans="3:4">
      <c r="C26" s="15">
        <v>46016</v>
      </c>
      <c r="D26" s="9" t="s">
        <v>414</v>
      </c>
    </row>
    <row r="27" spans="3:4">
      <c r="C27" s="15">
        <v>46017</v>
      </c>
      <c r="D27" s="9" t="s">
        <v>414</v>
      </c>
    </row>
    <row r="28" spans="3:4">
      <c r="C28" s="15">
        <v>46018</v>
      </c>
      <c r="D28" s="9" t="s">
        <v>414</v>
      </c>
    </row>
    <row r="29" spans="3:4">
      <c r="C29" s="15">
        <v>46019</v>
      </c>
      <c r="D29" s="9" t="s">
        <v>414</v>
      </c>
    </row>
    <row r="30" spans="3:4">
      <c r="C30" s="15">
        <v>46020</v>
      </c>
      <c r="D30" s="9" t="s">
        <v>414</v>
      </c>
    </row>
    <row r="31" spans="3:4">
      <c r="C31" s="15">
        <v>46021</v>
      </c>
      <c r="D31" s="9" t="s">
        <v>414</v>
      </c>
    </row>
    <row r="32" spans="3:4">
      <c r="C32" s="15">
        <v>46022</v>
      </c>
      <c r="D32" s="9" t="s">
        <v>414</v>
      </c>
    </row>
    <row r="33" spans="3:4">
      <c r="C33" s="15">
        <v>46023</v>
      </c>
      <c r="D33" s="9" t="s">
        <v>414</v>
      </c>
    </row>
    <row r="34" spans="3:4">
      <c r="C34" s="15">
        <v>46024</v>
      </c>
      <c r="D34" s="9" t="s">
        <v>414</v>
      </c>
    </row>
    <row r="35" spans="3:4">
      <c r="C35" s="15">
        <v>46025</v>
      </c>
      <c r="D35" s="9" t="s">
        <v>414</v>
      </c>
    </row>
    <row r="36" spans="3:4">
      <c r="C36" s="15">
        <v>46026</v>
      </c>
      <c r="D36" s="9" t="s">
        <v>414</v>
      </c>
    </row>
    <row r="37" spans="3:4">
      <c r="C37" s="15">
        <v>46027</v>
      </c>
      <c r="D37" s="9" t="s">
        <v>414</v>
      </c>
    </row>
    <row r="38" spans="3:4">
      <c r="C38" s="15">
        <v>46028</v>
      </c>
      <c r="D38" s="9" t="s">
        <v>414</v>
      </c>
    </row>
    <row r="39" spans="3:4">
      <c r="C39" s="15">
        <v>46029</v>
      </c>
      <c r="D39" s="9" t="s">
        <v>414</v>
      </c>
    </row>
    <row r="40" spans="3:4">
      <c r="C40" s="15">
        <v>46030</v>
      </c>
      <c r="D40" s="9" t="s">
        <v>414</v>
      </c>
    </row>
    <row r="41" spans="3:4">
      <c r="C41" s="15">
        <v>46031</v>
      </c>
      <c r="D41" s="9" t="s">
        <v>414</v>
      </c>
    </row>
    <row r="42" spans="3:4">
      <c r="C42" s="15">
        <v>46032</v>
      </c>
      <c r="D42" s="9" t="s">
        <v>414</v>
      </c>
    </row>
    <row r="43" spans="3:4">
      <c r="C43" s="15">
        <v>46033</v>
      </c>
      <c r="D43" s="9" t="s">
        <v>414</v>
      </c>
    </row>
    <row r="44" spans="3:4">
      <c r="C44" s="15">
        <v>46034</v>
      </c>
      <c r="D44" s="9" t="s">
        <v>414</v>
      </c>
    </row>
    <row r="45" spans="3:4">
      <c r="C45" s="15">
        <v>46035</v>
      </c>
      <c r="D45" s="9" t="s">
        <v>414</v>
      </c>
    </row>
    <row r="46" spans="3:4">
      <c r="C46" s="15">
        <v>46036</v>
      </c>
      <c r="D46" s="9" t="s">
        <v>414</v>
      </c>
    </row>
    <row r="47" spans="3:4">
      <c r="C47" s="15">
        <v>46037</v>
      </c>
      <c r="D47" s="9" t="s">
        <v>414</v>
      </c>
    </row>
    <row r="48" spans="3:4">
      <c r="C48" s="15">
        <v>46038</v>
      </c>
      <c r="D48" s="9" t="s">
        <v>414</v>
      </c>
    </row>
    <row r="49" spans="3:4">
      <c r="C49" s="15">
        <v>46102</v>
      </c>
      <c r="D49" s="9" t="s">
        <v>398</v>
      </c>
    </row>
    <row r="50" spans="3:4">
      <c r="C50" s="15">
        <v>46115</v>
      </c>
      <c r="D50" s="9" t="s">
        <v>400</v>
      </c>
    </row>
    <row r="51" spans="3:4">
      <c r="C51" s="15">
        <v>46118</v>
      </c>
      <c r="D51" s="9" t="s">
        <v>402</v>
      </c>
    </row>
    <row r="52" spans="3:4">
      <c r="C52" s="15">
        <v>46139</v>
      </c>
      <c r="D52" s="9" t="s">
        <v>404</v>
      </c>
    </row>
    <row r="53" spans="3:4">
      <c r="C53" s="15">
        <v>46143</v>
      </c>
      <c r="D53" s="9" t="s">
        <v>406</v>
      </c>
    </row>
    <row r="54" spans="3:4">
      <c r="C54" s="15">
        <v>46189</v>
      </c>
      <c r="D54" s="9" t="s">
        <v>407</v>
      </c>
    </row>
    <row r="55" spans="3:4">
      <c r="C55" s="15">
        <v>46243</v>
      </c>
      <c r="D55" s="9" t="s">
        <v>408</v>
      </c>
    </row>
    <row r="56" spans="3:4">
      <c r="C56" s="15">
        <v>46244</v>
      </c>
      <c r="D56" s="9" t="s">
        <v>415</v>
      </c>
    </row>
    <row r="57" spans="3:4">
      <c r="C57" s="15">
        <v>46289</v>
      </c>
      <c r="D57" s="9" t="s">
        <v>409</v>
      </c>
    </row>
    <row r="58" spans="3:4">
      <c r="C58" s="15">
        <v>46372</v>
      </c>
      <c r="D58" s="9" t="s">
        <v>410</v>
      </c>
    </row>
    <row r="59" spans="3:4">
      <c r="C59" s="15">
        <v>46381</v>
      </c>
      <c r="D59" s="9" t="s">
        <v>412</v>
      </c>
    </row>
    <row r="60" spans="3:4" ht="13" thickBot="1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