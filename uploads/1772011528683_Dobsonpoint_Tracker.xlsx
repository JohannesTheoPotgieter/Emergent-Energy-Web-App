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5" documentId="13_ncr:1_{276A5064-EF5E-409F-A608-6F0B30A0AB19}" xr6:coauthVersionLast="47" xr6:coauthVersionMax="47" xr10:uidLastSave="{7B4D2366-3820-4632-B473-CD74614BE9A0}"/>
  <bookViews>
    <workbookView xWindow="-110" yWindow="-110" windowWidth="19420" windowHeight="11500" tabRatio="58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 l="1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<sst xmlns="http://schemas.openxmlformats.org/spreadsheetml/2006/main" count="890" uniqueCount="511">
  <si>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</si>
  <si>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</si>
  <si>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</si>
  <si>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</si>
  <si>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</si>
  <si>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</si>
  <si>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</si>
  <si>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</si>
  <si>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</si>
  <si>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</si>
  <si>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</si>
  <si>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</si>
  <si>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</si>
  <si>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</si>
  <si>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</si>
  <si>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</si>
  <si>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</si>
  <si>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</si>
  <si>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</si>
  <si>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</si>
  <si>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</si>
  <si>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</si>
  <si>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</si>
  <si>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</si>
  <si>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</si>
  <si>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</si>
  <si>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</si>
  <si>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</si>
  <si>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</si>
  <si>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</si>
  <si>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</si>
  <si>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</si>
  <si>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</si>
  <si>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</si>
  <si>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</si>
  <si>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</si>
  <si>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</si>
  <si>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</si>
  <si>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</si>
  <si>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</si>
  <si>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</si>
  <si>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</si>
  <si>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</si>
  <si>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</si>
  <si>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</si>
  <si>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</si>
  <si>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</si>
  <si>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</si>
  <si>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</si>
  <si>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</si>
  <si>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</si>
  <si>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</si>
  <si>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</si>
  <si>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</si>
  <si>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</si>
  <si>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</si>
  <si>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</si>
  <si>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</si>
  <si>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</si>
  <si>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</si>
  <si>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</si>
  <si>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</si>
  <si>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</si>
  <si>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</si>
  <si>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</si>
  <si>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</si>
  <si>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</si>
  <si>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</si>
  <si>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</si>
  <si>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</si>
  <si>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</si>
  <si>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</si>
  <si>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</si>
  <si>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</si>
  <si>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</si>
  <si>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</si>
  <si>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</si>
  <si>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</si>
  <si>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</si>
  <si>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</si>
  <si>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</si>
  <si>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</si>
  <si>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</si>
  <si>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</si>
  <si>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</si>
  <si>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</si>
  <si>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</si>
  <si>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</si>
  <si>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</si>
  <si>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</si>
  <si>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</si>
  <si>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</si>
  <si>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</si>
  <si>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</si>
  <si>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</si>
  <si>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</si>
  <si>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</si>
  <si>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</si>
  <si>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</si>
  <si>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</si>
  <si>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</si>
  <si>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</si>
  <si>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</si>
  <si>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</si>
  <si>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</si>
  <si>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</si>
  <si>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</si>
  <si>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</si>
  <si>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</si>
  <si>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</si>
  <si>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</si>
  <si>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</si>
  <si>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</si>
  <si>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</si>
  <si>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</si>
  <si>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</si>
  <si>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</si>
  <si>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</si>
  <si>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</si>
  <si>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</si>
  <si>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</si>
  <si>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</si>
  <si>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</si>
  <si>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</si>
  <si>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</si>
  <si>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</si>
  <si>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</si>
  <si>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</si>
  <si>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</si>
  <si>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</si>
  <si>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</si>
  <si>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</si>
  <si>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</si>
  <si>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</si>
  <si>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</si>
  <si>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</si>
  <si>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</si>
  <si>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</si>
  <si>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</si>
  <si>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</si>
  <si>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</si>
  <si>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</si>
  <si>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</si>
  <si>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</si>
  <si>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</si>
  <si>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</si>
  <si>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</si>
  <si>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</si>
  <si>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</si>
  <si>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</si>
  <si>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</si>
  <si>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</si>
  <si>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</si>
  <si>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</si>
  <si>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</si>
  <si>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</si>
  <si>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</si>
  <si>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</si>
  <si>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</si>
  <si>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</si>
  <si>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</si>
  <si>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</si>
  <si>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</si>
  <si>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</si>
  <si>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</si>
  <si>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</si>
  <si>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</si>
  <si>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</si>
  <si>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</si>
  <si>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</si>
  <si>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</si>
  <si>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</si>
  <si>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</si>
  <si>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</si>
  <si>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</si>
  <si>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</si>
  <si>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</si>
  <si>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</si>
  <si>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</si>
  <si>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</si>
  <si>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</si>
  <si>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</si>
  <si>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</si>
  <si>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</si>
  <si>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</si>
  <si>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</si>
  <si>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</si>
  <si>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</si>
  <si>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</si>
  <si>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</si>
  <si>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</si>
  <si>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</si>
  <si>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</si>
  <si>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</si>
  <si>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</si>
  <si>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</si>
  <si>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</si>
  <si>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</si>
  <si>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</si>
  <si>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</si>
  <si>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</si>
  <si>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</si>
  <si>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</si>
  <si>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</si>
  <si>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</si>
  <si>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</si>
  <si>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</si>
  <si>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</si>
  <si>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</si>
  <si>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</si>
  <si>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</si>
  <si>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</si>
  <si>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</si>
  <si>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</si>
  <si>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</si>
  <si>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</si>
  <si>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</si>
  <si>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</si>
  <si>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</si>
  <si>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</si>
  <si>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</si>
  <si>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</si>
  <si>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</si>
  <si>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</si>
  <si>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</si>
  <si>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</si>
  <si>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</si>
  <si>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</si>
  <si>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</si>
  <si>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</si>
  <si>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</si>
  <si>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</si>
  <si>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</si>
  <si>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</si>
  <si>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</si>
  <si>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</si>
  <si>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</si>
  <si>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</si>
  <si>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</si>
  <si>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</si>
  <si>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</si>
  <si>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</si>
  <si>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</si>
  <si>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</si>
  <si>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</si>
  <si>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</si>
  <si>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</si>
  <si>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</si>
  <si>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</si>
  <si>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</si>
  <si>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</si>
  <si>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</si>
  <si>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</si>
  <si>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</si>
  <si>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</si>
  <si>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</si>
  <si>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</si>
  <si>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</si>
  <si>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</si>
  <si>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</si>
  <si>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</si>
  <si>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</si>
  <si>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</si>
  <si>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</si>
  <si>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</si>
  <si>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</si>
  <si>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</si>
  <si>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</si>
  <si>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</si>
  <si>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</si>
  <si>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</si>
  <si>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</si>
  <si>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</si>
  <si>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</si>
  <si>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</si>
  <si>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</si>
  <si>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</si>
  <si>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</si>
  <si>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</si>
  <si>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</si>
  <si>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</si>
  <si>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</si>
  <si>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</si>
  <si>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</si>
  <si>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</si>
  <si>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</si>
  <si>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</si>
  <si>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</si>
  <si>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</si>
  <si>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</si>
  <si>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</si>
  <si>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</si>
  <si>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</si>
  <si>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</si>
  <si>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</si>
  <si>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</si>
  <si>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</si>
  <si>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</si>
  <si>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</si>
  <si>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</si>
  <si>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</si>
  <si>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</si>
  <si>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</si>
  <si>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</si>
  <si>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</si>
  <si>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</si>
  <si>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</si>
  <si>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</si>
  <si>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</si>
  <si>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</si>
  <si>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</si>
  <si>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</si>
  <si>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</si>
  <si>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</si>
  <si>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</si>
  <si>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</si>
  <si>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</si>
  <si>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</si>
  <si>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</si>
  <si>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</si>
  <si>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</si>
  <si>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</si>
  <si>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</si>
  <si>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</si>
  <si>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</si>
  <si>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</si>
  <si>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</si>
  <si>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</si>
  <si>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</si>
  <si>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</si>
  <si>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</si>
  <si>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</si>
  <si>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</si>
  <si>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</si>
  <si>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</si>
  <si>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</si>
  <si>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</si>
  <si>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</si>
  <si>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</si>
  <si>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</si>
  <si>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</si>
  <si>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</si>
  <si>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</si>
  <si>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</si>
  <si>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</si>
  <si>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</si>
  <si>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</si>
  <si>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</si>
  <si>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</si>
  <si>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</si>
  <si>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</si>
  <si>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</si>
  <si>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</si>
  <si>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</si>
  <si>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</si>
  <si>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</si>
  <si>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</si>
  <si>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</si>
  <si>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</si>
  <si>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</si>
  <si>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</si>
  <si>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</si>
  <si>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</si>
  <si>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</si>
  <si>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</si>
  <si>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</si>
  <si>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</si>
  <si>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</si>
  <si>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</si>
  <si>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</si>
  <si>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</si>
  <si>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</si>
  <si>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</si>
  <si>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</si>
  <si>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</si>
  <si>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</si>
  <si>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</si>
  <si>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</si>
  <si>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</si>
  <si>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</si>
  <si>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</si>
  <si>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</si>
  <si>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</si>
  <si>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</si>
  <si>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</si>
  <si>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</si>
  <si>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</si>
  <si>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</si>
  <si>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</si>
  <si>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</si>
  <si>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</si>
  <si>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</si>
  <si>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</si>
  <si>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</si>
  <si>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</si>
  <si>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</si>
  <si>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</si>
  <si>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</si>
  <si>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</si>
  <si>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</si>
  <si>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</si>
  <si>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</si>
  <si>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</si>
  <si>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</si>
  <si>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</si>
  <si>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</si>
  <si>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</si>
  <si>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</si>
  <si>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</si>
  <si>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</si>
  <si>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</si>
  <si>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</si>
  <si>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</si>
  <si>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</si>
  <si>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</si>
  <si>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</si>
  <si>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</si>
  <si>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</si>
  <si>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</si>
  <si>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</si>
  <si>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</si>
  <si>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</si>
  <si>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</si>
  <si>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</si>
  <si>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</si>
  <si>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</si>
  <si>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</si>
  <si>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</si>
  <si>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</si>
  <si>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</si>
  <si>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</si>
  <si>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</si>
  <si>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</si>
  <si>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</si>
  <si>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</si>
  <si>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</si>
  <si>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</si>
  <si>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</si>
  <si>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</si>
  <si>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</si>
  <si>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</si>
  <si>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</si>
  <si>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</si>
  <si>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</si>
  <si>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</si>
  <si>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</si>
  <si>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</si>
  <si>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</si>
  <si>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</si>
  <si>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</si>
  <si>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</si>
  <si>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</si>
  <si>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</si>
  <si>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</si>
  <si>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</si>
  <si>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</si>
  <si>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</si>
  <si>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</si>
  <si>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</si>
  <si>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</si>
  <si>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</si>
  <si>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</si>
  <si>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</si>
  <si>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</si>
  <si>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</si>
  <si>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</si>
  <si>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</si>
  <si>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</si>
  <si>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</si>
  <si>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</si>
  <si>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</si>
  <si>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</si>
  <si>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</si>
  <si>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</si>
  <si>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</si>
  <si>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</si>
  <si>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</si>
  <si>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</si>
  <si>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</si>
  <si>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</si>
  <si>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</si>
  <si>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</si>
  <si>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</si>
  <si>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</si>
  <si>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</si>
  <si>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</si>
  <si>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</si>
  <si>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</si>
  <si>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</si>
  <si>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</si>
  <si>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</si>
  <si>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</si>
  <si>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</si>
  <si>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</si>
  <si>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</si>
  <si>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</si>
  <si>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</si>
  <si>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</si>
  <si>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</si>
  <si>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</si>
  <si>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</si>
  <si>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</si>
  <si>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</si>
  <si>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</si>
  <si>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</si>
  <si>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</si>
  <si>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</si>
  <si>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</si>
  <si>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</si>
  <si>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</si>
  <si>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only 3 snags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</si>
</sst>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2968485.8100000005</c:v>
                </c:pt>
                <c:pt idx="59">
                  <c:v>2968485.8100000005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925721.87309029931</c:v>
                </c:pt>
                <c:pt idx="59">
                  <c:v>925721.87309029931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2" t="s">
        <v>57</v>
      </c>
      <c r="E47" s="752"/>
      <c r="F47" s="753"/>
      <c r="G47" s="67"/>
      <c r="I47" s="68"/>
      <c r="J47" s="68"/>
    </row>
    <row r="48" spans="1:49" ht="14.5" thickBot="1">
      <c r="C48" s="69">
        <v>44014</v>
      </c>
      <c r="D48" s="754"/>
      <c r="E48" s="754"/>
      <c r="F48" s="75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6328125" defaultRowHeight="14.5"/>
  <cols>
    <col min="1" max="1" width="7.36328125" customWidth="1"/>
    <col min="2" max="2" width="37.7265625" customWidth="1"/>
    <col min="3" max="3" width="9.36328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56" t="s">
        <v>58</v>
      </c>
      <c r="C2" s="757"/>
      <c r="D2" s="757"/>
      <c r="E2" s="757"/>
      <c r="F2" s="75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6" t="s">
        <v>69</v>
      </c>
      <c r="C16" s="757"/>
      <c r="D16" s="757"/>
      <c r="E16" s="757"/>
      <c r="F16" s="75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2" zoomScale="85" zoomScaleNormal="85" workbookViewId="0">
      <selection activeCell="N46" sqref="N46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4.6328125" style="112" customWidth="1"/>
    <col min="5" max="5" width="14.6328125" style="24" customWidth="1"/>
    <col min="6" max="6" width="10.2695312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0.7265625" style="112" bestFit="1" customWidth="1"/>
    <col min="15" max="15" width="39.36328125" style="112" customWidth="1"/>
    <col min="16" max="16" width="1.36328125" style="112" customWidth="1"/>
    <col min="17" max="17" width="5.6328125" style="3" customWidth="1"/>
    <col min="18" max="18" width="8.36328125" style="112"/>
    <col min="19" max="19" width="17.7265625" style="112" customWidth="1"/>
    <col min="20" max="22" width="13.36328125" style="112" customWidth="1"/>
    <col min="23" max="24" width="10.7265625" style="112" bestFit="1" customWidth="1"/>
    <col min="25" max="28" width="8.36328125" style="24"/>
    <col min="29" max="29" width="11" style="24" bestFit="1" customWidth="1"/>
    <col min="30" max="16384" width="8.36328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7">
      <c r="B2" s="176"/>
      <c r="C2" s="177" t="s">
        <v>0</v>
      </c>
      <c r="D2" s="178"/>
      <c r="E2" s="732" t="s">
        <v>73</v>
      </c>
      <c r="F2" s="733"/>
      <c r="G2" s="733"/>
      <c r="H2" s="734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743" t="s">
        <v>510</v>
      </c>
      <c r="N3" s="744"/>
      <c r="O3" s="745"/>
      <c r="Q3" s="3"/>
    </row>
    <row r="4" spans="2:27" s="112" customFormat="1">
      <c r="B4" s="179"/>
      <c r="C4" s="180" t="s">
        <v>75</v>
      </c>
      <c r="D4" s="178"/>
      <c r="E4" s="735" t="s">
        <v>76</v>
      </c>
      <c r="F4" s="736"/>
      <c r="G4" s="736"/>
      <c r="H4" s="737"/>
      <c r="I4" s="118"/>
      <c r="J4" s="118"/>
      <c r="M4" s="746"/>
      <c r="N4" s="747"/>
      <c r="O4" s="748"/>
      <c r="Q4" s="3"/>
    </row>
    <row r="5" spans="2:27" s="112" customFormat="1">
      <c r="B5" s="179"/>
      <c r="C5" s="180" t="s">
        <v>77</v>
      </c>
      <c r="D5" s="178"/>
      <c r="E5" s="735" t="s">
        <v>78</v>
      </c>
      <c r="F5" s="736"/>
      <c r="G5" s="736"/>
      <c r="H5" s="737"/>
      <c r="J5" s="113"/>
      <c r="M5" s="749"/>
      <c r="N5" s="750"/>
      <c r="O5" s="751"/>
      <c r="Q5" s="3"/>
    </row>
    <row r="6" spans="2:27">
      <c r="B6" s="184"/>
      <c r="C6" s="185" t="s">
        <v>79</v>
      </c>
      <c r="D6" s="178"/>
      <c r="E6" s="738">
        <v>3894207.6830902998</v>
      </c>
      <c r="F6" s="739"/>
      <c r="G6" s="739"/>
      <c r="H6" s="740"/>
    </row>
    <row r="7" spans="2:27" s="112" customFormat="1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29" t="s">
        <v>82</v>
      </c>
      <c r="C8" s="730" t="s">
        <v>83</v>
      </c>
      <c r="D8" s="215"/>
      <c r="E8" s="731" t="s">
        <v>84</v>
      </c>
      <c r="F8" s="237" t="s">
        <v>85</v>
      </c>
      <c r="G8" s="731" t="s">
        <v>86</v>
      </c>
      <c r="H8" s="238"/>
      <c r="I8" s="731" t="s">
        <v>87</v>
      </c>
      <c r="J8" s="237" t="s">
        <v>85</v>
      </c>
      <c r="K8" s="731" t="s">
        <v>88</v>
      </c>
      <c r="M8" s="412" t="s">
        <v>60</v>
      </c>
      <c r="N8" s="699" t="s">
        <v>89</v>
      </c>
      <c r="O8" s="741" t="s">
        <v>90</v>
      </c>
      <c r="AA8" s="112"/>
    </row>
    <row r="9" spans="2:27">
      <c r="B9" s="729"/>
      <c r="C9" s="730"/>
      <c r="D9" s="215"/>
      <c r="E9" s="731"/>
      <c r="F9" s="126">
        <f>G41-E19</f>
        <v>59</v>
      </c>
      <c r="G9" s="731"/>
      <c r="H9" s="238"/>
      <c r="I9" s="731"/>
      <c r="J9" s="127">
        <f>K41-I19</f>
        <v>177</v>
      </c>
      <c r="K9" s="731"/>
      <c r="M9" s="362">
        <f>AVERAGE(M11,M18,M21,M28,M35,M39,M46,M43)</f>
        <v>0.97532894736842102</v>
      </c>
      <c r="N9" s="362">
        <f ca="1">AVERAGE(N11,N18,N21,N28,N35,N39,N46,N43)</f>
        <v>0.98026315789473684</v>
      </c>
      <c r="O9" s="742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46077</v>
      </c>
      <c r="X12" s="692">
        <f ca="1">TODAY()</f>
        <v>46077</v>
      </c>
    </row>
    <row r="13" spans="2:27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91</v>
      </c>
      <c r="V21" s="695">
        <f>K46</f>
        <v>46087</v>
      </c>
      <c r="W21" s="118"/>
      <c r="X21" s="118"/>
      <c r="Y21" s="118"/>
      <c r="Z21" s="118"/>
      <c r="AA21" s="118"/>
    </row>
    <row r="22" spans="2:29" s="112" customFormat="1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91</v>
      </c>
      <c r="K46" s="246">
        <f>MAX(K47:K52)</f>
        <v>46087</v>
      </c>
      <c r="L46" s="114"/>
      <c r="M46" s="361">
        <f>(J47*M47+J48*M48+J49*M49+J50*M50+J51*M51+J52*M52)/SUM(J47:J52)</f>
        <v>0.80263157894736847</v>
      </c>
      <c r="N46" s="361">
        <f ca="1">(J47*N47+J48*N48+J49*N49+J50*N50+J51*N51+J52*N52)/SUM(J47:J52)</f>
        <v>0.84210526315789469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E2:H2"/>
    <mergeCell ref="E4:H4"/>
    <mergeCell ref="E5:H5"/>
    <mergeCell ref="E6:H6"/>
    <mergeCell ref="O8:O9"/>
    <mergeCell ref="K8:K9"/>
    <mergeCell ref="M3:O5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36328125" defaultRowHeight="15" customHeight="1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72656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4.7265625" style="129" customWidth="1"/>
    <col min="18" max="18" width="18.36328125" style="129" customWidth="1"/>
    <col min="19" max="19" width="17.26953125" style="129" bestFit="1" customWidth="1"/>
    <col min="20" max="20" width="19.7265625" style="129" bestFit="1" customWidth="1"/>
    <col min="21" max="21" width="15.26953125" style="129" bestFit="1" customWidth="1"/>
    <col min="22" max="25" width="112.26953125" style="129" customWidth="1"/>
    <col min="26" max="26" width="4.36328125" style="129" customWidth="1"/>
    <col min="27" max="27" width="14.36328125" style="129" customWidth="1"/>
    <col min="28" max="28" width="10.26953125" style="93" bestFit="1" customWidth="1"/>
    <col min="29" max="30" width="8.36328125" style="93"/>
    <col min="31" max="31" width="5.6328125" style="93" bestFit="1" customWidth="1"/>
    <col min="32" max="32" width="14.36328125" style="93" bestFit="1" customWidth="1"/>
    <col min="33" max="33" width="8.36328125" style="93"/>
    <col min="34" max="34" width="14.36328125" style="93" bestFit="1" customWidth="1"/>
    <col min="35" max="35" width="8.36328125" style="129"/>
    <col min="36" max="36" width="12.6328125" style="129" bestFit="1" customWidth="1"/>
    <col min="37" max="16384" width="8.36328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">
      <c r="B13" s="352">
        <v>1</v>
      </c>
      <c r="C13" s="761" t="s">
        <v>173</v>
      </c>
      <c r="D13" s="762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5">
      <c r="B14" s="154">
        <v>2</v>
      </c>
      <c r="C14" s="761" t="s">
        <v>175</v>
      </c>
      <c r="D14" s="762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5">
      <c r="B15" s="352">
        <v>3</v>
      </c>
      <c r="C15" s="761" t="s">
        <v>176</v>
      </c>
      <c r="D15" s="762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5">
      <c r="B16" s="352">
        <v>4</v>
      </c>
      <c r="C16" s="759" t="s">
        <v>177</v>
      </c>
      <c r="D16" s="760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5">
      <c r="B17" s="352">
        <v>5</v>
      </c>
      <c r="C17" s="759" t="s">
        <v>178</v>
      </c>
      <c r="D17" s="760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5">
      <c r="B18" s="352">
        <v>6</v>
      </c>
      <c r="C18" s="759" t="s">
        <v>54</v>
      </c>
      <c r="D18" s="760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5">
      <c r="B19" s="352">
        <v>7</v>
      </c>
      <c r="C19" s="761" t="s">
        <v>179</v>
      </c>
      <c r="D19" s="76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5">
      <c r="C24" s="147" t="s">
        <v>182</v>
      </c>
      <c r="D24" s="148"/>
      <c r="F24" s="149"/>
    </row>
    <row r="25" spans="2:26" s="93" customFormat="1" ht="12.5">
      <c r="C25" s="147" t="s">
        <v>183</v>
      </c>
      <c r="D25" s="148"/>
      <c r="F25" s="116"/>
    </row>
    <row r="26" spans="2:26" s="93" customFormat="1" ht="12.5">
      <c r="C26" s="150" t="s">
        <v>184</v>
      </c>
      <c r="D26" s="151"/>
      <c r="F26" s="116"/>
    </row>
    <row r="27" spans="2:26" s="93" customFormat="1" ht="12.5">
      <c r="C27" s="152" t="s">
        <v>185</v>
      </c>
      <c r="D27" s="148"/>
      <c r="F27" s="645"/>
    </row>
    <row r="28" spans="2:26" s="93" customFormat="1" ht="12.5">
      <c r="B28" s="117"/>
      <c r="C28" s="152" t="s">
        <v>186</v>
      </c>
      <c r="D28" s="148"/>
    </row>
    <row r="29" spans="2:26" s="93" customFormat="1" ht="12.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5">
      <c r="B31" s="117"/>
      <c r="F31" s="146"/>
    </row>
    <row r="32" spans="2:26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63"/>
      <c r="C4" s="763"/>
      <c r="D4" s="763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5" thickBot="1">
      <c r="A5" s="215"/>
      <c r="B5" s="764" t="s">
        <v>214</v>
      </c>
      <c r="C5" s="764"/>
      <c r="D5" s="764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28" activePane="bottomLeft" state="frozen"/>
      <selection activeCell="X33" sqref="X33"/>
      <selection pane="bottomLeft" activeCell="S141" sqref="S141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8.36328125" style="70" hidden="1" customWidth="1"/>
    <col min="6" max="6" width="16.6328125" style="475" hidden="1" customWidth="1"/>
    <col min="7" max="7" width="17.26953125" style="24" hidden="1" customWidth="1"/>
    <col min="8" max="8" width="17.36328125" style="112" hidden="1" customWidth="1"/>
    <col min="9" max="9" width="22.2695312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48.26953125" style="112" customWidth="1"/>
    <col min="15" max="15" width="15.6328125" style="112" customWidth="1"/>
    <col min="16" max="17" width="17.36328125" style="112" customWidth="1"/>
    <col min="18" max="18" width="50.7265625" style="112" bestFit="1" customWidth="1"/>
    <col min="19" max="19" width="41.26953125" style="112" bestFit="1" customWidth="1"/>
    <col min="20" max="23" width="17.36328125" style="112" customWidth="1"/>
    <col min="24" max="24" width="21.36328125" style="112" customWidth="1"/>
    <col min="25" max="25" width="29.26953125" style="112" bestFit="1" customWidth="1"/>
    <col min="26" max="26" width="24.72656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9" t="s">
        <v>221</v>
      </c>
      <c r="C2" s="790"/>
      <c r="D2" s="790"/>
      <c r="E2" s="790"/>
      <c r="F2" s="790"/>
      <c r="G2" s="790"/>
      <c r="H2" s="698"/>
      <c r="I2" s="258">
        <f>SUM(I6:I170)</f>
        <v>3473977.026243432</v>
      </c>
      <c r="J2" s="258">
        <f>SUM(J6:J170)</f>
        <v>3894207.6830903003</v>
      </c>
      <c r="L2" s="791" t="s">
        <v>222</v>
      </c>
      <c r="M2" s="792"/>
      <c r="N2" s="792"/>
      <c r="O2" s="792"/>
      <c r="P2" s="792"/>
      <c r="Q2" s="792"/>
      <c r="R2" s="793" t="s">
        <v>223</v>
      </c>
      <c r="S2" s="794"/>
      <c r="T2" s="794"/>
      <c r="U2" s="794"/>
      <c r="V2" s="794"/>
      <c r="W2" s="795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71">
        <f>SUM(G6:G11)</f>
        <v>1194235.4425000001</v>
      </c>
      <c r="J6" s="771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83">
        <f>J6-SUM(U6:U11)</f>
        <v>0</v>
      </c>
      <c r="W6" s="536">
        <v>45866</v>
      </c>
      <c r="X6" s="780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72"/>
      <c r="J7" s="772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84"/>
      <c r="W7" s="574"/>
      <c r="X7" s="781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72"/>
      <c r="J8" s="772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84"/>
      <c r="W8" s="537">
        <v>46045</v>
      </c>
      <c r="X8" s="781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72"/>
      <c r="J9" s="772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84"/>
      <c r="W9" s="537">
        <v>46045</v>
      </c>
      <c r="X9" s="781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72"/>
      <c r="J10" s="772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84"/>
      <c r="W10" s="575"/>
      <c r="X10" s="78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73"/>
      <c r="J11" s="773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85"/>
      <c r="W11" s="576"/>
      <c r="X11" s="782"/>
      <c r="Y11" s="607" t="s">
        <v>247</v>
      </c>
      <c r="Z11" s="608" t="s">
        <v>248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65">
        <f>SUM(G13:G19)</f>
        <v>210000</v>
      </c>
      <c r="J13" s="765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786">
        <f>J13-SUM(U13:U19)</f>
        <v>0</v>
      </c>
      <c r="W13" s="539">
        <v>45855</v>
      </c>
      <c r="X13" s="768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66"/>
      <c r="J14" s="766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87"/>
      <c r="W14" s="579"/>
      <c r="X14" s="769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66"/>
      <c r="J15" s="766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87"/>
      <c r="W15" s="579"/>
      <c r="X15" s="769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66"/>
      <c r="J16" s="766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87"/>
      <c r="W16" s="579"/>
      <c r="X16" s="769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66"/>
      <c r="J17" s="766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87"/>
      <c r="W17" s="579"/>
      <c r="X17" s="769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66"/>
      <c r="J18" s="766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87"/>
      <c r="W18" s="579"/>
      <c r="X18" s="769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67"/>
      <c r="J19" s="767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88"/>
      <c r="W19" s="580"/>
      <c r="X19" s="770"/>
      <c r="Y19" s="609" t="s">
        <v>261</v>
      </c>
      <c r="Z19" s="610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71">
        <f>SUM(G21:G26)</f>
        <v>178321.5</v>
      </c>
      <c r="J21" s="771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83">
        <f>J21-SUM(U21:U26)</f>
        <v>-1.7350050620734692E-3</v>
      </c>
      <c r="W21" s="541">
        <v>45835</v>
      </c>
      <c r="X21" s="780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72"/>
      <c r="J22" s="772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84"/>
      <c r="W22" s="574"/>
      <c r="X22" s="781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72"/>
      <c r="J23" s="772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84"/>
      <c r="W23" s="574"/>
      <c r="X23" s="781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72"/>
      <c r="J24" s="772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84"/>
      <c r="W24" s="575"/>
      <c r="X24" s="781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72"/>
      <c r="J25" s="772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84"/>
      <c r="W25" s="575"/>
      <c r="X25" s="781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73"/>
      <c r="J26" s="773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85"/>
      <c r="W26" s="576"/>
      <c r="X26" s="782"/>
      <c r="Y26" s="615" t="s">
        <v>272</v>
      </c>
      <c r="Z26" s="616" t="s">
        <v>273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65">
        <f>SUM(G28:G43)</f>
        <v>320835.59999999998</v>
      </c>
      <c r="J28" s="765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786">
        <f>J28-SUM(U28:U43)</f>
        <v>0</v>
      </c>
      <c r="W28" s="539">
        <f>W13</f>
        <v>45855</v>
      </c>
      <c r="X28" s="768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66"/>
      <c r="J29" s="766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87"/>
      <c r="W29" s="579"/>
      <c r="X29" s="769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66"/>
      <c r="J30" s="766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87"/>
      <c r="W30" s="579"/>
      <c r="X30" s="769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66"/>
      <c r="J31" s="766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87"/>
      <c r="W31" s="579"/>
      <c r="X31" s="769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66"/>
      <c r="J32" s="766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774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787"/>
      <c r="W32" s="540">
        <f>W93</f>
        <v>45792</v>
      </c>
      <c r="X32" s="769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66"/>
      <c r="J33" s="766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775"/>
      <c r="S33" s="632" t="s">
        <v>280</v>
      </c>
      <c r="T33" s="658">
        <f t="shared" si="0"/>
        <v>45808</v>
      </c>
      <c r="U33" s="675">
        <v>34408.883634509817</v>
      </c>
      <c r="V33" s="787"/>
      <c r="W33" s="662">
        <f>W94</f>
        <v>45792</v>
      </c>
      <c r="X33" s="769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66"/>
      <c r="J34" s="766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775"/>
      <c r="S34" s="632" t="s">
        <v>282</v>
      </c>
      <c r="T34" s="658">
        <v>45869</v>
      </c>
      <c r="U34" s="675">
        <v>45878.511512679754</v>
      </c>
      <c r="V34" s="787"/>
      <c r="W34" s="540">
        <f>W95</f>
        <v>45883</v>
      </c>
      <c r="X34" s="769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66"/>
      <c r="J35" s="766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775"/>
      <c r="S35" s="632" t="s">
        <v>284</v>
      </c>
      <c r="T35" s="679">
        <v>45869</v>
      </c>
      <c r="U35" s="675">
        <v>38996.734785777793</v>
      </c>
      <c r="V35" s="787"/>
      <c r="W35" s="540">
        <f>W96</f>
        <v>45849</v>
      </c>
      <c r="X35" s="769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66"/>
      <c r="J36" s="766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775"/>
      <c r="S36" s="632" t="s">
        <v>286</v>
      </c>
      <c r="T36" s="658">
        <v>45900</v>
      </c>
      <c r="U36" s="675">
        <v>18351.404605071901</v>
      </c>
      <c r="V36" s="787"/>
      <c r="W36" s="723">
        <f>W97</f>
        <v>46009</v>
      </c>
      <c r="X36" s="769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66"/>
      <c r="J37" s="766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775"/>
      <c r="S37" s="632" t="s">
        <v>287</v>
      </c>
      <c r="T37" s="658">
        <v>45900</v>
      </c>
      <c r="U37" s="675">
        <v>22939.255756339877</v>
      </c>
      <c r="V37" s="787"/>
      <c r="W37" s="723">
        <f t="shared" ref="W37:W40" si="3">W98</f>
        <v>46009</v>
      </c>
      <c r="X37" s="769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66"/>
      <c r="J38" s="766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775"/>
      <c r="S38" s="632" t="s">
        <v>289</v>
      </c>
      <c r="T38" s="658">
        <v>45991</v>
      </c>
      <c r="U38" s="721">
        <v>22939.255756339877</v>
      </c>
      <c r="V38" s="787"/>
      <c r="W38" s="540">
        <v>46051</v>
      </c>
      <c r="X38" s="769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66"/>
      <c r="J39" s="766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775"/>
      <c r="S39" s="632" t="s">
        <v>291</v>
      </c>
      <c r="T39" s="658">
        <f t="shared" ref="T39:T40" si="6">T100</f>
        <v>45991</v>
      </c>
      <c r="U39" s="721">
        <v>11469.627878169938</v>
      </c>
      <c r="V39" s="787"/>
      <c r="W39" s="540">
        <f t="shared" si="3"/>
        <v>46058</v>
      </c>
      <c r="X39" s="769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66"/>
      <c r="J40" s="766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776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87"/>
      <c r="W40" s="579">
        <f t="shared" si="3"/>
        <v>46088</v>
      </c>
      <c r="X40" s="769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66"/>
      <c r="J41" s="766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787"/>
      <c r="W41" s="579"/>
      <c r="X41" s="76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66"/>
      <c r="J42" s="766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87"/>
      <c r="W42" s="579"/>
      <c r="X42" s="76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67"/>
      <c r="J43" s="767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88"/>
      <c r="W43" s="580"/>
      <c r="X43" s="770"/>
      <c r="Y43" s="483"/>
    </row>
    <row r="44" spans="1:26" ht="14.5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71">
        <f>SUM(G45:G52)</f>
        <v>49000</v>
      </c>
      <c r="J45" s="771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83">
        <f>J45-SUM(U45:U52)</f>
        <v>1.7937726370291784E-3</v>
      </c>
      <c r="W45" s="541">
        <v>45855</v>
      </c>
      <c r="X45" s="780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72"/>
      <c r="J46" s="772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84"/>
      <c r="W46" s="537">
        <v>45806</v>
      </c>
      <c r="X46" s="781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72"/>
      <c r="J47" s="772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84"/>
      <c r="W47" s="690">
        <v>45867</v>
      </c>
      <c r="X47" s="781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72"/>
      <c r="J48" s="772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84"/>
      <c r="W48" s="537">
        <f>T48</f>
        <v>45838</v>
      </c>
      <c r="X48" s="781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72"/>
      <c r="J49" s="772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84"/>
      <c r="W49" s="537">
        <v>45799</v>
      </c>
      <c r="X49" s="781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72"/>
      <c r="J50" s="772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84"/>
      <c r="W50" s="575"/>
      <c r="X50" s="781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72"/>
      <c r="J51" s="772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84"/>
      <c r="W51" s="575"/>
      <c r="X51" s="781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73"/>
      <c r="J52" s="773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85"/>
      <c r="W52" s="576"/>
      <c r="X52" s="782"/>
      <c r="Y52" s="483"/>
    </row>
    <row r="53" spans="1:25" ht="14.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65">
        <f>SUM(G54:G71)</f>
        <v>472703.72608695651</v>
      </c>
      <c r="J54" s="765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86">
        <f>J54-SUM(U54:U71)</f>
        <v>-2.8140778886154294E-3</v>
      </c>
      <c r="W54" s="578"/>
      <c r="X54" s="768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66"/>
      <c r="J55" s="766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787"/>
      <c r="W55" s="540">
        <v>45867</v>
      </c>
      <c r="X55" s="769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66"/>
      <c r="J56" s="766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87"/>
      <c r="W56" s="579"/>
      <c r="X56" s="769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66"/>
      <c r="J57" s="766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87"/>
      <c r="W57" s="579"/>
      <c r="X57" s="769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66"/>
      <c r="J58" s="766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87"/>
      <c r="W58" s="579"/>
      <c r="X58" s="769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66"/>
      <c r="J59" s="766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87"/>
      <c r="W59" s="579"/>
      <c r="X59" s="769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66"/>
      <c r="J60" s="766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774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787"/>
      <c r="W60" s="540">
        <f>W93</f>
        <v>45792</v>
      </c>
      <c r="X60" s="769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66"/>
      <c r="J61" s="766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775"/>
      <c r="S61" s="632" t="s">
        <v>280</v>
      </c>
      <c r="T61" s="658">
        <f t="shared" si="0"/>
        <v>45808</v>
      </c>
      <c r="U61" s="675">
        <v>31238.292973101779</v>
      </c>
      <c r="V61" s="787"/>
      <c r="W61" s="662">
        <f>W94</f>
        <v>45792</v>
      </c>
      <c r="X61" s="769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66"/>
      <c r="J62" s="766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775"/>
      <c r="S62" s="632" t="s">
        <v>282</v>
      </c>
      <c r="T62" s="658">
        <v>45869</v>
      </c>
      <c r="U62" s="675">
        <v>40181.949046206559</v>
      </c>
      <c r="V62" s="787"/>
      <c r="W62" s="540">
        <f>W95</f>
        <v>45883</v>
      </c>
      <c r="X62" s="769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66"/>
      <c r="J63" s="766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775"/>
      <c r="S63" s="632" t="s">
        <v>284</v>
      </c>
      <c r="T63" s="679">
        <v>45869</v>
      </c>
      <c r="U63" s="675">
        <v>34848.401189275573</v>
      </c>
      <c r="V63" s="787"/>
      <c r="W63" s="540">
        <f>W96</f>
        <v>45849</v>
      </c>
      <c r="X63" s="769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66"/>
      <c r="J64" s="766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775"/>
      <c r="S64" s="632" t="s">
        <v>286</v>
      </c>
      <c r="T64" s="658">
        <v>45900</v>
      </c>
      <c r="U64" s="675">
        <v>16399.247618482619</v>
      </c>
      <c r="V64" s="787"/>
      <c r="W64" s="723">
        <f>W97</f>
        <v>46009</v>
      </c>
      <c r="X64" s="769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66"/>
      <c r="J65" s="766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775"/>
      <c r="S65" s="632" t="s">
        <v>287</v>
      </c>
      <c r="T65" s="658">
        <v>45900</v>
      </c>
      <c r="U65" s="675">
        <v>20499.059523103278</v>
      </c>
      <c r="V65" s="787"/>
      <c r="W65" s="723">
        <f t="shared" ref="W65:W68" si="10">W98</f>
        <v>46009</v>
      </c>
      <c r="X65" s="769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66"/>
      <c r="J66" s="766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775"/>
      <c r="S66" s="636" t="s">
        <v>289</v>
      </c>
      <c r="T66" s="658">
        <v>45991</v>
      </c>
      <c r="U66" s="722">
        <v>20499.059523103278</v>
      </c>
      <c r="V66" s="787"/>
      <c r="W66" s="540">
        <v>46051</v>
      </c>
      <c r="X66" s="769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66"/>
      <c r="J67" s="766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775"/>
      <c r="S67" s="636" t="s">
        <v>291</v>
      </c>
      <c r="T67" s="658">
        <f t="shared" ref="T67:T68" si="11">T100</f>
        <v>45991</v>
      </c>
      <c r="U67" s="722">
        <v>10249.529761551639</v>
      </c>
      <c r="V67" s="787"/>
      <c r="W67" s="540">
        <f t="shared" si="10"/>
        <v>46058</v>
      </c>
      <c r="X67" s="769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66"/>
      <c r="J68" s="766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776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87"/>
      <c r="W68" s="579">
        <f t="shared" si="10"/>
        <v>46088</v>
      </c>
      <c r="X68" s="769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66"/>
      <c r="J69" s="766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787"/>
      <c r="W69" s="582"/>
      <c r="X69" s="769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66"/>
      <c r="J70" s="766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87"/>
      <c r="W70" s="582"/>
      <c r="X70" s="769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67"/>
      <c r="J71" s="767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88"/>
      <c r="W71" s="580"/>
      <c r="X71" s="770"/>
      <c r="Y71" s="483"/>
    </row>
    <row r="72" spans="1:25" ht="14.5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71">
        <f>SUM(G73:G80)</f>
        <v>0</v>
      </c>
      <c r="J73" s="771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77">
        <f>J73-SUM(U73:U80)</f>
        <v>0</v>
      </c>
      <c r="W73" s="584"/>
      <c r="X73" s="780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72"/>
      <c r="J74" s="772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78"/>
      <c r="W74" s="575"/>
      <c r="X74" s="781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72"/>
      <c r="J75" s="772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78"/>
      <c r="W75" s="575"/>
      <c r="X75" s="781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72"/>
      <c r="J76" s="772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78"/>
      <c r="W76" s="575"/>
      <c r="X76" s="781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72"/>
      <c r="J77" s="772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78"/>
      <c r="W77" s="575"/>
      <c r="X77" s="781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72"/>
      <c r="J78" s="772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78"/>
      <c r="W78" s="575"/>
      <c r="X78" s="781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72"/>
      <c r="J79" s="772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78"/>
      <c r="W79" s="575"/>
      <c r="X79" s="781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73"/>
      <c r="J80" s="773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79"/>
      <c r="W80" s="576"/>
      <c r="X80" s="782"/>
      <c r="Y80" s="483"/>
    </row>
    <row r="81" spans="1:25" ht="14.5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65">
        <f>D178</f>
        <v>0</v>
      </c>
      <c r="J82" s="765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811">
        <f>J82-SUM(U82:U90)</f>
        <v>0</v>
      </c>
      <c r="W82" s="578"/>
      <c r="X82" s="768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66"/>
      <c r="J83" s="766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812"/>
      <c r="W83" s="662">
        <v>45834</v>
      </c>
      <c r="X83" s="769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66"/>
      <c r="J84" s="766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774" t="s">
        <v>319</v>
      </c>
      <c r="S84" s="685" t="s">
        <v>320</v>
      </c>
      <c r="T84" s="682">
        <v>45838</v>
      </c>
      <c r="U84" s="509"/>
      <c r="V84" s="812"/>
      <c r="W84" s="540">
        <v>45834</v>
      </c>
      <c r="X84" s="769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66"/>
      <c r="J85" s="766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776"/>
      <c r="S85" s="685" t="s">
        <v>320</v>
      </c>
      <c r="T85" s="682">
        <v>45838</v>
      </c>
      <c r="U85" s="509"/>
      <c r="V85" s="812"/>
      <c r="W85" s="540">
        <v>45876</v>
      </c>
      <c r="X85" s="769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66"/>
      <c r="J86" s="766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812"/>
      <c r="W86" s="540">
        <v>45890</v>
      </c>
      <c r="X86" s="769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66"/>
      <c r="J87" s="766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812"/>
      <c r="W87" s="579"/>
      <c r="X87" s="769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66"/>
      <c r="J88" s="766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812"/>
      <c r="W88" s="540">
        <v>45939</v>
      </c>
      <c r="X88" s="76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66"/>
      <c r="J89" s="766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812"/>
      <c r="W89" s="582"/>
      <c r="X89" s="769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67"/>
      <c r="J90" s="767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813"/>
      <c r="W90" s="580"/>
      <c r="X90" s="770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802">
        <f>SUM(G92:G104)</f>
        <v>320512.5</v>
      </c>
      <c r="J92" s="771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83">
        <f>J92-SUM(U92:U104)</f>
        <v>0</v>
      </c>
      <c r="W92" s="581"/>
      <c r="X92" s="805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803"/>
      <c r="J93" s="772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817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84"/>
      <c r="W93" s="537">
        <v>45792</v>
      </c>
      <c r="X93" s="806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803"/>
      <c r="J94" s="772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818"/>
      <c r="S94" s="627" t="s">
        <v>280</v>
      </c>
      <c r="T94" s="646">
        <f t="shared" si="13"/>
        <v>45808</v>
      </c>
      <c r="U94" s="672">
        <v>56561.029411764706</v>
      </c>
      <c r="V94" s="784"/>
      <c r="W94" s="660">
        <v>45792</v>
      </c>
      <c r="X94" s="806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803"/>
      <c r="J95" s="772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818"/>
      <c r="S95" s="628" t="s">
        <v>282</v>
      </c>
      <c r="T95" s="646">
        <v>45869</v>
      </c>
      <c r="U95" s="672">
        <v>75414.705882352937</v>
      </c>
      <c r="V95" s="784"/>
      <c r="W95" s="538">
        <v>45883</v>
      </c>
      <c r="X95" s="806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803"/>
      <c r="J96" s="772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818"/>
      <c r="S96" s="628" t="s">
        <v>333</v>
      </c>
      <c r="T96" s="689">
        <v>45869</v>
      </c>
      <c r="U96" s="672">
        <v>64102.5</v>
      </c>
      <c r="V96" s="784"/>
      <c r="W96" s="538">
        <v>45849</v>
      </c>
      <c r="X96" s="806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803"/>
      <c r="J97" s="772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818"/>
      <c r="S97" s="628" t="s">
        <v>286</v>
      </c>
      <c r="T97" s="646">
        <v>45900</v>
      </c>
      <c r="U97" s="672">
        <v>30165.882352941175</v>
      </c>
      <c r="V97" s="784"/>
      <c r="W97" s="724">
        <v>46009</v>
      </c>
      <c r="X97" s="806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803"/>
      <c r="J98" s="772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818"/>
      <c r="S98" s="628" t="s">
        <v>287</v>
      </c>
      <c r="T98" s="646">
        <v>45991</v>
      </c>
      <c r="U98" s="657">
        <v>37707.352941176468</v>
      </c>
      <c r="V98" s="784"/>
      <c r="W98" s="724">
        <f>'Project Plan'!K39+14</f>
        <v>46009</v>
      </c>
      <c r="X98" s="806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803"/>
      <c r="J99" s="772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818"/>
      <c r="S99" s="628" t="s">
        <v>289</v>
      </c>
      <c r="T99" s="646">
        <v>45991</v>
      </c>
      <c r="U99" s="657">
        <v>37707.352941176468</v>
      </c>
      <c r="V99" s="784"/>
      <c r="W99" s="538">
        <v>46051</v>
      </c>
      <c r="X99" s="806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803"/>
      <c r="J100" s="772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818"/>
      <c r="S100" s="628" t="s">
        <v>291</v>
      </c>
      <c r="T100" s="646">
        <v>45991</v>
      </c>
      <c r="U100" s="657">
        <v>18853.676470588234</v>
      </c>
      <c r="V100" s="784"/>
      <c r="W100" s="538">
        <f>W99+7</f>
        <v>46058</v>
      </c>
      <c r="X100" s="806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803"/>
      <c r="J101" s="772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819"/>
      <c r="S101" s="628" t="s">
        <v>335</v>
      </c>
      <c r="T101" s="646">
        <v>46053</v>
      </c>
      <c r="U101" s="657">
        <v>18853.676470588234</v>
      </c>
      <c r="V101" s="784"/>
      <c r="W101" s="575">
        <f>W100+30</f>
        <v>46088</v>
      </c>
      <c r="X101" s="806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803"/>
      <c r="J102" s="772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84"/>
      <c r="W102" s="575"/>
      <c r="X102" s="806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803"/>
      <c r="J103" s="772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84"/>
      <c r="W103" s="575"/>
      <c r="X103" s="806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804"/>
      <c r="J104" s="773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85"/>
      <c r="W104" s="576"/>
      <c r="X104" s="807"/>
      <c r="Y104" s="483"/>
    </row>
    <row r="105" spans="1:25" ht="14.5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96">
        <f>SUM(G106:G127)</f>
        <v>86776.2</v>
      </c>
      <c r="J106" s="796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808">
        <f>J106-SUM(U106:U127)</f>
        <v>1.1746092641260475E-3</v>
      </c>
      <c r="W106" s="585"/>
      <c r="X106" s="799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97"/>
      <c r="J107" s="797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809"/>
      <c r="W107" s="543">
        <v>45869</v>
      </c>
      <c r="X107" s="800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97"/>
      <c r="J108" s="797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809"/>
      <c r="W108" s="586"/>
      <c r="X108" s="800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97"/>
      <c r="J109" s="797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809"/>
      <c r="W109" s="543">
        <v>45849</v>
      </c>
      <c r="X109" s="800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97"/>
      <c r="J110" s="797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809"/>
      <c r="W110" s="543">
        <v>45869</v>
      </c>
      <c r="X110" s="800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97"/>
      <c r="J111" s="797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809"/>
      <c r="W111" s="543">
        <v>45901</v>
      </c>
      <c r="X111" s="800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97"/>
      <c r="J112" s="797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809"/>
      <c r="W112" s="717">
        <v>45932</v>
      </c>
      <c r="X112" s="800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97"/>
      <c r="J113" s="797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809"/>
      <c r="W113" s="543">
        <v>45967</v>
      </c>
      <c r="X113" s="800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97"/>
      <c r="J114" s="797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809"/>
      <c r="W114" s="543">
        <v>45989</v>
      </c>
      <c r="X114" s="800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97"/>
      <c r="J115" s="797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809"/>
      <c r="W115" s="586"/>
      <c r="X115" s="800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97"/>
      <c r="J116" s="797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814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809"/>
      <c r="W116" s="544">
        <f t="shared" ref="W116:W124" si="16">W93</f>
        <v>45792</v>
      </c>
      <c r="X116" s="800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97"/>
      <c r="J117" s="797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815"/>
      <c r="S117" s="641" t="s">
        <v>280</v>
      </c>
      <c r="T117" s="659">
        <f t="shared" si="13"/>
        <v>45808</v>
      </c>
      <c r="U117" s="678">
        <v>5590.660464773875</v>
      </c>
      <c r="V117" s="809"/>
      <c r="W117" s="661">
        <f t="shared" si="16"/>
        <v>45792</v>
      </c>
      <c r="X117" s="800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97"/>
      <c r="J118" s="797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815"/>
      <c r="S118" s="641" t="s">
        <v>282</v>
      </c>
      <c r="T118" s="659">
        <v>45869</v>
      </c>
      <c r="U118" s="678">
        <v>10019.179858229225</v>
      </c>
      <c r="V118" s="809"/>
      <c r="W118" s="544">
        <f>W95</f>
        <v>45883</v>
      </c>
      <c r="X118" s="800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97"/>
      <c r="J119" s="797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815"/>
      <c r="S119" s="641" t="s">
        <v>354</v>
      </c>
      <c r="T119" s="688">
        <f>T96</f>
        <v>45869</v>
      </c>
      <c r="U119" s="678">
        <v>8918.0638794948427</v>
      </c>
      <c r="V119" s="809"/>
      <c r="W119" s="544">
        <f t="shared" si="16"/>
        <v>45849</v>
      </c>
      <c r="X119" s="800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97"/>
      <c r="J120" s="797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815"/>
      <c r="S120" s="641" t="s">
        <v>286</v>
      </c>
      <c r="T120" s="659">
        <v>45900</v>
      </c>
      <c r="U120" s="678">
        <v>3396.8551944846095</v>
      </c>
      <c r="V120" s="809"/>
      <c r="W120" s="651">
        <v>46009</v>
      </c>
      <c r="X120" s="800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97"/>
      <c r="J121" s="797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815"/>
      <c r="S121" s="641" t="s">
        <v>287</v>
      </c>
      <c r="T121" s="659">
        <v>45900</v>
      </c>
      <c r="U121" s="678">
        <v>4246.0689931057623</v>
      </c>
      <c r="V121" s="809"/>
      <c r="W121" s="651">
        <f t="shared" si="16"/>
        <v>46009</v>
      </c>
      <c r="X121" s="800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97"/>
      <c r="J122" s="797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815"/>
      <c r="S122" s="641" t="s">
        <v>289</v>
      </c>
      <c r="T122" s="659">
        <f>T99</f>
        <v>45991</v>
      </c>
      <c r="U122" s="719">
        <v>2443.3043490465243</v>
      </c>
      <c r="V122" s="809"/>
      <c r="W122" s="544">
        <f t="shared" si="16"/>
        <v>46051</v>
      </c>
      <c r="X122" s="800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97"/>
      <c r="J123" s="797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815"/>
      <c r="S123" s="641" t="s">
        <v>291</v>
      </c>
      <c r="T123" s="659">
        <f>T100</f>
        <v>45991</v>
      </c>
      <c r="U123" s="719">
        <v>1230.3921745232622</v>
      </c>
      <c r="V123" s="809"/>
      <c r="W123" s="651">
        <f t="shared" si="16"/>
        <v>46058</v>
      </c>
      <c r="X123" s="800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97"/>
      <c r="J124" s="797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816"/>
      <c r="S124" s="641" t="str">
        <f>S101</f>
        <v>Thula Moya IN05014</v>
      </c>
      <c r="T124" s="659">
        <f>T101</f>
        <v>46053</v>
      </c>
      <c r="U124" s="719">
        <v>1230.3921745232622</v>
      </c>
      <c r="V124" s="809"/>
      <c r="W124" s="587">
        <f t="shared" si="16"/>
        <v>46088</v>
      </c>
      <c r="X124" s="800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97"/>
      <c r="J125" s="797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809"/>
      <c r="W125" s="587"/>
      <c r="X125" s="800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97"/>
      <c r="J126" s="797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809"/>
      <c r="W126" s="587"/>
      <c r="X126" s="800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98"/>
      <c r="J127" s="798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810"/>
      <c r="W127" s="588"/>
      <c r="X127" s="801"/>
      <c r="Y127" s="483"/>
    </row>
    <row r="128" spans="1:25" ht="14.5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71">
        <f>SUM(G129:G133)</f>
        <v>117813.5</v>
      </c>
      <c r="J129" s="771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83">
        <f>J129-SUM(U129:U133)</f>
        <v>1.8918175192084163E-3</v>
      </c>
      <c r="W129" s="541">
        <v>46051</v>
      </c>
      <c r="X129" s="780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72"/>
      <c r="J130" s="772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84"/>
      <c r="W130" s="649">
        <v>45757</v>
      </c>
      <c r="X130" s="781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72"/>
      <c r="J131" s="772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84"/>
      <c r="W131" s="537">
        <f>T131+30</f>
        <v>46052</v>
      </c>
      <c r="X131" s="781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72"/>
      <c r="J132" s="772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84"/>
      <c r="W132" s="538">
        <v>45834</v>
      </c>
      <c r="X132" s="781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73"/>
      <c r="J133" s="773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85"/>
      <c r="W133" s="576"/>
      <c r="X133" s="782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96">
        <f>SUM(G135:G136)</f>
        <v>92245.753941995412</v>
      </c>
      <c r="J135" s="796">
        <v>0</v>
      </c>
      <c r="K135" s="820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99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98"/>
      <c r="J136" s="798"/>
      <c r="K136" s="821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801"/>
      <c r="Y136" s="483"/>
    </row>
    <row r="137" spans="1:25" ht="14.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71">
        <f>SUM(G138:G142)</f>
        <v>174707.80371447981</v>
      </c>
      <c r="J138" s="771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83">
        <f>J138-SUM(U138:U143)</f>
        <v>0</v>
      </c>
      <c r="W138" s="581">
        <v>46142</v>
      </c>
      <c r="X138" s="780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72"/>
      <c r="J139" s="772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84"/>
      <c r="W139" s="574">
        <f>W138</f>
        <v>46142</v>
      </c>
      <c r="X139" s="781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72"/>
      <c r="J140" s="772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84"/>
      <c r="W140" s="574">
        <f>W138</f>
        <v>46142</v>
      </c>
      <c r="X140" s="781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72"/>
      <c r="J141" s="772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84"/>
      <c r="W141" s="574">
        <f>W138</f>
        <v>46142</v>
      </c>
      <c r="X141" s="781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72"/>
      <c r="J142" s="772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84"/>
      <c r="W142" s="574">
        <f>W138</f>
        <v>46142</v>
      </c>
      <c r="X142" s="781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73"/>
      <c r="J143" s="773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85"/>
      <c r="W143" s="576"/>
      <c r="X143" s="782"/>
      <c r="Y143" s="483"/>
    </row>
    <row r="144" spans="1:25" ht="14.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96">
        <f>SUM(G145:G156)</f>
        <v>6825</v>
      </c>
      <c r="J145" s="796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808">
        <f>J145-SUM(U145:U156)</f>
        <v>-4.1710134973982349E-4</v>
      </c>
      <c r="W145" s="650">
        <v>45747</v>
      </c>
      <c r="X145" s="799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97"/>
      <c r="J146" s="797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809"/>
      <c r="W146" s="651">
        <v>45777</v>
      </c>
      <c r="X146" s="800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97"/>
      <c r="J147" s="797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809"/>
      <c r="W147" s="544">
        <v>45817</v>
      </c>
      <c r="X147" s="800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97"/>
      <c r="J148" s="797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809"/>
      <c r="W148" s="544">
        <v>45842</v>
      </c>
      <c r="X148" s="800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97"/>
      <c r="J149" s="797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809"/>
      <c r="W149" s="544">
        <v>45876</v>
      </c>
      <c r="X149" s="800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97"/>
      <c r="J150" s="797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809"/>
      <c r="W150" s="544">
        <v>45905</v>
      </c>
      <c r="X150" s="800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97"/>
      <c r="J151" s="797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809"/>
      <c r="W151" s="651">
        <v>45930</v>
      </c>
      <c r="X151" s="800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97"/>
      <c r="J152" s="797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809"/>
      <c r="W152" s="651">
        <v>45967</v>
      </c>
      <c r="X152" s="800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97"/>
      <c r="J153" s="797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809"/>
      <c r="W153" s="651">
        <v>45996</v>
      </c>
      <c r="X153" s="800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97"/>
      <c r="J154" s="797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809"/>
      <c r="W154" s="651">
        <v>46030</v>
      </c>
      <c r="X154" s="800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97"/>
      <c r="J155" s="797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809"/>
      <c r="W155" s="651">
        <v>46058</v>
      </c>
      <c r="X155" s="800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98"/>
      <c r="J156" s="798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810"/>
      <c r="W156" s="588"/>
      <c r="X156" s="801"/>
      <c r="Y156" s="483"/>
    </row>
    <row r="157" spans="1:25" ht="14.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71">
        <f>SUM(G158:G169)</f>
        <v>250000</v>
      </c>
      <c r="J158" s="771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83">
        <v>0</v>
      </c>
      <c r="W158" s="581"/>
      <c r="X158" s="780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72"/>
      <c r="J159" s="772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84"/>
      <c r="W159" s="574"/>
      <c r="X159" s="781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72"/>
      <c r="J160" s="772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84"/>
      <c r="W160" s="574"/>
      <c r="X160" s="781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72"/>
      <c r="J161" s="772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84"/>
      <c r="W161" s="537">
        <v>45911</v>
      </c>
      <c r="X161" s="781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72"/>
      <c r="J162" s="772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84"/>
      <c r="W162" s="537">
        <v>46003</v>
      </c>
      <c r="X162" s="781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72"/>
      <c r="J163" s="772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84"/>
      <c r="W163" s="574"/>
      <c r="X163" s="781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72"/>
      <c r="J164" s="772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84"/>
      <c r="W164" s="574"/>
      <c r="X164" s="781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72"/>
      <c r="J165" s="772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84"/>
      <c r="W165" s="574"/>
      <c r="X165" s="781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72"/>
      <c r="J166" s="772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84"/>
      <c r="W166" s="574"/>
      <c r="X166" s="781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72"/>
      <c r="J167" s="772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84"/>
      <c r="W167" s="574"/>
      <c r="X167" s="781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72"/>
      <c r="J168" s="772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84"/>
      <c r="W168" s="574"/>
      <c r="X168" s="781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73"/>
      <c r="J169" s="773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85"/>
      <c r="W169" s="576"/>
      <c r="X169" s="782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2968485.8100000005</v>
      </c>
      <c r="BM12" s="214">
        <f t="shared" si="26"/>
        <v>2968485.8100000005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925721.87309029931</v>
      </c>
      <c r="BM14" s="207">
        <f t="shared" si="32"/>
        <v>925721.87309029931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6328125" defaultRowHeight="14.5"/>
  <cols>
    <col min="1" max="1" width="39.36328125" style="366" bestFit="1" customWidth="1"/>
    <col min="2" max="2" width="17.26953125" style="367" bestFit="1" customWidth="1"/>
    <col min="3" max="3" width="12" style="366" bestFit="1" customWidth="1"/>
    <col min="4" max="4" width="14.81640625" style="366" bestFit="1" customWidth="1"/>
    <col min="5" max="8" width="13.26953125" style="366" bestFit="1" customWidth="1"/>
    <col min="9" max="9" width="11.7265625" style="366" bestFit="1" customWidth="1"/>
    <col min="10" max="10" width="13.26953125" style="366" bestFit="1" customWidth="1"/>
    <col min="11" max="11" width="12" style="366" bestFit="1" customWidth="1"/>
    <col min="12" max="12" width="4.81640625" style="366" bestFit="1" customWidth="1"/>
    <col min="13" max="13" width="12" style="366" bestFit="1" customWidth="1"/>
    <col min="14" max="14" width="13" style="366" bestFit="1" customWidth="1"/>
    <col min="15" max="15" width="14.81640625" style="366" bestFit="1" customWidth="1"/>
    <col min="16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6328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4" width="14.81640625" style="408" bestFit="1" customWidth="1"/>
    <col min="5" max="8" width="13.26953125" style="408" bestFit="1" customWidth="1"/>
    <col min="9" max="9" width="12" style="408" bestFit="1" customWidth="1"/>
    <col min="10" max="10" width="13.26953125" bestFit="1" customWidth="1"/>
    <col min="11" max="11" width="11.7265625" bestFit="1" customWidth="1"/>
    <col min="12" max="12" width="13.26953125" bestFit="1" customWidth="1"/>
    <col min="13" max="14" width="12" bestFit="1" customWidth="1"/>
    <col min="15" max="15" width="14.816406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36328125" customWidth="1"/>
    <col min="5" max="5" width="16.6328125" customWidth="1"/>
    <col min="6" max="6" width="5.7265625" customWidth="1"/>
  </cols>
  <sheetData>
    <row r="1" spans="2:15" ht="15" thickBot="1"/>
    <row r="2" spans="2:15" ht="18.5">
      <c r="B2" s="827" t="s">
        <v>429</v>
      </c>
      <c r="C2" s="827"/>
      <c r="D2" s="827"/>
      <c r="E2" s="827"/>
      <c r="H2" s="828" t="s">
        <v>430</v>
      </c>
      <c r="I2" s="829"/>
      <c r="J2" s="829"/>
      <c r="K2" s="829"/>
      <c r="L2" s="829"/>
      <c r="M2" s="829"/>
      <c r="N2" s="829"/>
      <c r="O2" s="830"/>
    </row>
    <row r="3" spans="2:15">
      <c r="B3" s="711"/>
      <c r="H3" s="831"/>
      <c r="I3" s="832"/>
      <c r="J3" s="832"/>
      <c r="K3" s="832"/>
      <c r="L3" s="832"/>
      <c r="M3" s="832"/>
      <c r="N3" s="832"/>
      <c r="O3" s="833"/>
    </row>
    <row r="4" spans="2:15">
      <c r="B4" s="712" t="s">
        <v>431</v>
      </c>
      <c r="C4" s="713" t="str">
        <f>'Project Plan'!E2</f>
        <v>Dobsonpoint</v>
      </c>
      <c r="H4" s="831"/>
      <c r="I4" s="832"/>
      <c r="J4" s="832"/>
      <c r="K4" s="832"/>
      <c r="L4" s="832"/>
      <c r="M4" s="832"/>
      <c r="N4" s="832"/>
      <c r="O4" s="833"/>
    </row>
    <row r="5" spans="2:15">
      <c r="B5" s="712" t="s">
        <v>432</v>
      </c>
      <c r="C5" s="713" t="s">
        <v>433</v>
      </c>
      <c r="H5" s="831"/>
      <c r="I5" s="832"/>
      <c r="J5" s="832"/>
      <c r="K5" s="832"/>
      <c r="L5" s="832"/>
      <c r="M5" s="832"/>
      <c r="N5" s="832"/>
      <c r="O5" s="833"/>
    </row>
    <row r="6" spans="2:15">
      <c r="B6" s="712" t="s">
        <v>434</v>
      </c>
      <c r="C6" s="713" t="s">
        <v>435</v>
      </c>
      <c r="H6" s="831"/>
      <c r="I6" s="832"/>
      <c r="J6" s="832"/>
      <c r="K6" s="832"/>
      <c r="L6" s="832"/>
      <c r="M6" s="832"/>
      <c r="N6" s="832"/>
      <c r="O6" s="833"/>
    </row>
    <row r="7" spans="2:15">
      <c r="B7" s="712" t="s">
        <v>436</v>
      </c>
      <c r="C7" s="713" t="s">
        <v>76</v>
      </c>
      <c r="H7" s="831"/>
      <c r="I7" s="832"/>
      <c r="J7" s="832"/>
      <c r="K7" s="832"/>
      <c r="L7" s="832"/>
      <c r="M7" s="832"/>
      <c r="N7" s="832"/>
      <c r="O7" s="833"/>
    </row>
    <row r="8" spans="2:15">
      <c r="B8" s="711"/>
      <c r="H8" s="831"/>
      <c r="I8" s="832"/>
      <c r="J8" s="832"/>
      <c r="K8" s="832"/>
      <c r="L8" s="832"/>
      <c r="M8" s="832"/>
      <c r="N8" s="832"/>
      <c r="O8" s="833"/>
    </row>
    <row r="9" spans="2:15">
      <c r="B9" s="837" t="s">
        <v>437</v>
      </c>
      <c r="C9" s="837"/>
      <c r="D9" s="837"/>
      <c r="E9" s="83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1"/>
      <c r="I9" s="832"/>
      <c r="J9" s="832"/>
      <c r="K9" s="832"/>
      <c r="L9" s="832"/>
      <c r="M9" s="832"/>
      <c r="N9" s="832"/>
      <c r="O9" s="833"/>
    </row>
    <row r="10" spans="2:15" ht="15" thickBot="1">
      <c r="B10" s="837" t="s">
        <v>438</v>
      </c>
      <c r="C10" s="837"/>
      <c r="D10" s="837"/>
      <c r="E10" s="837"/>
      <c r="H10" s="834"/>
      <c r="I10" s="835"/>
      <c r="J10" s="835"/>
      <c r="K10" s="835"/>
      <c r="L10" s="835"/>
      <c r="M10" s="835"/>
      <c r="N10" s="835"/>
      <c r="O10" s="836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26" t="s">
        <v>449</v>
      </c>
      <c r="C18" s="826"/>
      <c r="D18" s="826"/>
      <c r="E18" s="826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7265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7265625" customWidth="1"/>
    <col min="2" max="2" width="8.36328125" bestFit="1" customWidth="1"/>
    <col min="3" max="3" width="45.26953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26953125" customWidth="1"/>
    <col min="10" max="10" width="19.632812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2026-02-24T16:09:00Z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