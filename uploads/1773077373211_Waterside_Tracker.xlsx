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2" documentId="13_ncr:1_{36710142-C419-40D1-A280-4ADDF2A63E4A}" xr6:coauthVersionLast="47" xr6:coauthVersionMax="47" xr10:uidLastSave="{F86451EE-E595-4242-9F38-E16A4FFF9D09}"/>
  <bookViews>
    <workbookView xWindow="-110" yWindow="-110" windowWidth="19420" windowHeight="11500" tabRatio="802" firstSheet="1" activeTab="2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P17" i="5"/>
  <c r="U14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32" i="2"/>
  <c r="N28" i="2" s="1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<sst xmlns="http://schemas.openxmlformats.org/spreadsheetml/2006/main" count="825" uniqueCount="479">
  <si>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</si>
  <si>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</si>
  <si>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</si>
  <si>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</si>
  <si>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</si>
  <si>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</si>
  <si>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</si>
  <si>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</si>
  <si>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</si>
  <si>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</si>
  <si>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</si>
  <si>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</si>
  <si>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</si>
  <si>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</si>
  <si>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</si>
  <si>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</si>
  <si>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</si>
  <si>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</si>
  <si>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</si>
  <si>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</si>
  <si>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</si>
  <si>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</si>
  <si>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</si>
  <si>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</si>
  <si>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</si>
  <si>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</si>
  <si>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</si>
  <si>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</si>
  <si>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</si>
  <si>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</si>
  <si>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</si>
  <si>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</si>
  <si>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</si>
  <si>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</si>
  <si>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</si>
  <si>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</si>
  <si>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</si>
  <si>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</si>
  <si>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</si>
  <si>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</si>
  <si>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</si>
  <si>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</si>
  <si>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</si>
  <si>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</si>
  <si>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</si>
  <si>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</si>
  <si>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</si>
  <si>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</si>
  <si>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</si>
  <si>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</si>
  <si>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</si>
  <si>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</si>
  <si>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</si>
  <si>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</si>
  <si>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</si>
  <si>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</si>
  <si>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</si>
  <si>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</si>
  <si>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</si>
  <si>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</si>
  <si>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</si>
  <si>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</si>
  <si>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</si>
  <si>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</si>
  <si>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</si>
  <si>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</si>
  <si>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</si>
  <si>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</si>
  <si>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</si>
  <si>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</si>
  <si>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</si>
  <si>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</si>
  <si>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</si>
  <si>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</si>
  <si>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</si>
  <si>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</si>
  <si>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</si>
  <si>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</si>
  <si>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</si>
  <si>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</si>
  <si>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</si>
  <si>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</si>
  <si>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</si>
  <si>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</si>
  <si>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</si>
  <si>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</si>
  <si>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</si>
  <si>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</si>
  <si>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</si>
  <si>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</si>
  <si>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</si>
  <si>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</si>
  <si>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</si>
  <si>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</si>
  <si>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</si>
  <si>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</si>
  <si>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</si>
  <si>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</si>
  <si>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</si>
  <si>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</si>
  <si>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</si>
  <si>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</si>
  <si>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</si>
  <si>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</si>
  <si>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</si>
  <si>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</si>
  <si>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</si>
  <si>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</si>
  <si>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</si>
  <si>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</si>
  <si>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</si>
  <si>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</si>
  <si>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</si>
  <si>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</si>
  <si>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</si>
  <si>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</si>
  <si>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</si>
  <si>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</si>
  <si>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</si>
  <si>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</si>
  <si>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</si>
  <si>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</si>
  <si>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</si>
  <si>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</si>
  <si>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</si>
  <si>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</si>
  <si>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</si>
  <si>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</si>
  <si>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</si>
  <si>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</si>
  <si>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</si>
  <si>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</si>
  <si>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</si>
  <si>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</si>
  <si>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</si>
  <si>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</si>
  <si>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</si>
  <si>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</si>
  <si>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</si>
  <si>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</si>
  <si>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</si>
  <si>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</si>
  <si>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</si>
  <si>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</si>
  <si>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</si>
  <si>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</si>
  <si>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</si>
  <si>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</si>
  <si>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</si>
  <si>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</si>
  <si>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</si>
  <si>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</si>
  <si>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</si>
  <si>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</si>
  <si>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</si>
  <si>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</si>
  <si>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</si>
  <si>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</si>
  <si>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</si>
  <si>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</si>
  <si>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</si>
  <si>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</si>
  <si>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</si>
  <si>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</si>
  <si>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</si>
  <si>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</si>
  <si>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</si>
  <si>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</si>
  <si>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</si>
  <si>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</si>
  <si>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</si>
  <si>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</si>
  <si>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</si>
  <si>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</si>
  <si>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</si>
  <si>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004950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</si>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</sst>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165" fontId="6" fillId="6" borderId="0" xfId="0" applyNumberFormat="1" applyFont="1" applyFill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786948.8833023737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595870.66</c:v>
                </c:pt>
                <c:pt idx="58">
                  <c:v>595870.66</c:v>
                </c:pt>
                <c:pt idx="59">
                  <c:v>605476.96000000008</c:v>
                </c:pt>
                <c:pt idx="60">
                  <c:v>605476.96000000008</c:v>
                </c:pt>
                <c:pt idx="61">
                  <c:v>605476.96000000008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191078.22330237366</c:v>
                </c:pt>
                <c:pt idx="58">
                  <c:v>232496.58558144595</c:v>
                </c:pt>
                <c:pt idx="59">
                  <c:v>222890.2855814459</c:v>
                </c:pt>
                <c:pt idx="60">
                  <c:v>222890.2855814459</c:v>
                </c:pt>
                <c:pt idx="61">
                  <c:v>222890.2855814459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5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86" t="s">
        <v>58</v>
      </c>
      <c r="C2" s="787"/>
      <c r="D2" s="787"/>
      <c r="E2" s="787"/>
      <c r="F2" s="78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6" t="s">
        <v>69</v>
      </c>
      <c r="C16" s="787"/>
      <c r="D16" s="787"/>
      <c r="E16" s="787"/>
      <c r="F16" s="78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7" zoomScale="85" zoomScaleNormal="85" workbookViewId="0">
      <selection activeCell="G12" sqref="G12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17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17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46090</v>
      </c>
      <c r="P1" s="408">
        <f ca="1">TODAY()</f>
        <v>46090</v>
      </c>
      <c r="R1" s="3"/>
    </row>
    <row r="2" spans="2:29">
      <c r="B2" s="176"/>
      <c r="C2" s="177" t="s">
        <v>0</v>
      </c>
      <c r="D2" s="178"/>
      <c r="E2" s="792" t="s">
        <v>73</v>
      </c>
      <c r="F2" s="793"/>
      <c r="G2" s="793"/>
      <c r="H2" s="794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95" t="s">
        <v>76</v>
      </c>
      <c r="F4" s="796"/>
      <c r="G4" s="796"/>
      <c r="H4" s="797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95" t="s">
        <v>79</v>
      </c>
      <c r="F5" s="796"/>
      <c r="G5" s="796"/>
      <c r="H5" s="797"/>
      <c r="J5" s="113"/>
      <c r="R5" s="3"/>
    </row>
    <row r="6" spans="2:29">
      <c r="B6" s="184"/>
      <c r="C6" s="185" t="s">
        <v>80</v>
      </c>
      <c r="D6" s="178"/>
      <c r="E6" s="798">
        <v>828367.24558144598</v>
      </c>
      <c r="F6" s="799"/>
      <c r="G6" s="799"/>
      <c r="H6" s="800"/>
    </row>
    <row r="7" spans="2:29" s="112" customFormat="1" ht="20.25" customHeight="1">
      <c r="B7" s="167"/>
      <c r="C7" s="721" t="s">
        <v>81</v>
      </c>
      <c r="D7" s="720"/>
      <c r="E7" s="719" t="s">
        <v>478</v>
      </c>
      <c r="F7" s="724"/>
      <c r="G7" s="186"/>
      <c r="J7" s="113"/>
      <c r="R7" s="3"/>
    </row>
    <row r="8" spans="2:29" ht="30" customHeight="1">
      <c r="B8" s="789" t="s">
        <v>82</v>
      </c>
      <c r="C8" s="790" t="s">
        <v>83</v>
      </c>
      <c r="D8" s="215"/>
      <c r="E8" s="791" t="s">
        <v>84</v>
      </c>
      <c r="F8" s="237" t="s">
        <v>85</v>
      </c>
      <c r="G8" s="791" t="s">
        <v>86</v>
      </c>
      <c r="H8" s="238"/>
      <c r="I8" s="791" t="s">
        <v>87</v>
      </c>
      <c r="J8" s="237" t="s">
        <v>85</v>
      </c>
      <c r="K8" s="791" t="s">
        <v>88</v>
      </c>
      <c r="M8" s="415" t="s">
        <v>60</v>
      </c>
      <c r="N8" s="415" t="s">
        <v>60</v>
      </c>
      <c r="P8" s="801" t="s">
        <v>89</v>
      </c>
      <c r="AA8" s="112"/>
      <c r="AB8" s="112"/>
      <c r="AC8" s="112"/>
    </row>
    <row r="9" spans="2:29">
      <c r="B9" s="789"/>
      <c r="C9" s="790"/>
      <c r="D9" s="215"/>
      <c r="E9" s="791"/>
      <c r="F9" s="126">
        <f>G41-E19</f>
        <v>17</v>
      </c>
      <c r="G9" s="791"/>
      <c r="H9" s="238"/>
      <c r="I9" s="791"/>
      <c r="J9" s="127">
        <f>K41-I19</f>
        <v>47</v>
      </c>
      <c r="K9" s="791"/>
      <c r="M9" s="362">
        <f>AVERAGE(M11,M18,M21,M28,M35,M39,M46,M43)</f>
        <v>1</v>
      </c>
      <c r="N9" s="362">
        <f ca="1">AVERAGE(N11,N18,N21,N28,N35,N39,N46,N43)</f>
        <v>1</v>
      </c>
      <c r="O9" s="374"/>
      <c r="P9" s="802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(J30*M30+J31*M31+J32*M32+J33*M33)/SUM(J30:J33)</f>
        <v>1</v>
      </c>
      <c r="N28" s="361">
        <f ca="1">(K30*N30+K31*N31+K32*N32+K33*N33)/SUM(K30:K33)</f>
        <v>1</v>
      </c>
      <c r="O28" s="178">
        <f>J28*M28</f>
        <v>45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377">
        <f>J46*M46</f>
        <v>78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/>
      <c r="Z48" s="24"/>
    </row>
    <row r="49" spans="2:29">
      <c r="B49" s="248">
        <v>8.3000000000000007</v>
      </c>
      <c r="C49" s="243" t="s">
        <v>139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140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1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141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1</v>
      </c>
      <c r="N51" s="254">
        <f t="shared" ca="1" si="5"/>
        <v>1</v>
      </c>
      <c r="O51" s="377"/>
      <c r="P51" s="122"/>
      <c r="Z51" s="24"/>
    </row>
    <row r="52" spans="2:29">
      <c r="B52" s="248">
        <v>8.6</v>
      </c>
      <c r="C52" s="243" t="s">
        <v>142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46069</v>
      </c>
      <c r="J52" s="251">
        <v>3</v>
      </c>
      <c r="K52" s="253">
        <f>WORKDAY.INTL(I52,J52,1,Data!$C$3:$C$14)</f>
        <v>46072</v>
      </c>
      <c r="M52" s="254">
        <v>1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P18" sqref="P18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1796875" style="129" customWidth="1"/>
    <col min="5" max="5" width="6.54296875" style="129" customWidth="1"/>
    <col min="6" max="6" width="16.179687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8.453125" style="129" customWidth="1"/>
    <col min="17" max="17" width="14.54296875" style="129" customWidth="1"/>
    <col min="18" max="18" width="19.1796875" style="129" customWidth="1"/>
    <col min="19" max="19" width="16.54296875" style="129" customWidth="1"/>
    <col min="20" max="20" width="19" style="129" customWidth="1"/>
    <col min="21" max="21" width="14.81640625" style="93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143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144</v>
      </c>
      <c r="F3" s="125" t="s">
        <v>145</v>
      </c>
      <c r="J3" s="141"/>
      <c r="L3" s="413" t="s">
        <v>146</v>
      </c>
      <c r="N3" s="413" t="s">
        <v>147</v>
      </c>
      <c r="P3" s="698" t="s">
        <v>148</v>
      </c>
      <c r="Q3" s="698" t="s">
        <v>149</v>
      </c>
      <c r="R3" s="698" t="s">
        <v>150</v>
      </c>
      <c r="S3" s="698" t="s">
        <v>151</v>
      </c>
      <c r="T3" s="698" t="s">
        <v>152</v>
      </c>
      <c r="U3" s="698" t="s">
        <v>153</v>
      </c>
    </row>
    <row r="4" spans="1:41" s="93" customFormat="1" ht="13">
      <c r="B4" s="352">
        <v>1</v>
      </c>
      <c r="C4" s="353" t="s">
        <v>154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155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627398.71354720742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496567.230569768</v>
      </c>
    </row>
    <row r="5" spans="1:41" s="93" customFormat="1" ht="15" customHeight="1">
      <c r="B5" s="352">
        <v>2</v>
      </c>
      <c r="C5" s="353" t="s">
        <v>156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157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158</v>
      </c>
      <c r="S6" s="141"/>
    </row>
    <row r="7" spans="1:41" s="93" customFormat="1" ht="15" customHeight="1">
      <c r="B7" s="352">
        <v>4</v>
      </c>
      <c r="C7" s="353" t="s">
        <v>159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160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82</v>
      </c>
      <c r="C12" s="132" t="s">
        <v>161</v>
      </c>
      <c r="D12" s="133"/>
      <c r="E12" s="131" t="s">
        <v>162</v>
      </c>
      <c r="F12" s="131" t="s">
        <v>163</v>
      </c>
      <c r="H12" s="357" t="s">
        <v>164</v>
      </c>
      <c r="J12" s="141"/>
      <c r="L12" s="166" t="s">
        <v>165</v>
      </c>
      <c r="M12" s="134"/>
      <c r="N12" s="166" t="s">
        <v>166</v>
      </c>
      <c r="O12" s="129"/>
      <c r="P12" s="166" t="s">
        <v>167</v>
      </c>
      <c r="R12" s="382" t="s">
        <v>168</v>
      </c>
      <c r="S12" s="141"/>
    </row>
    <row r="13" spans="1:41" s="93" customFormat="1" ht="13">
      <c r="B13" s="352">
        <v>1</v>
      </c>
      <c r="C13" s="805" t="s">
        <v>169</v>
      </c>
      <c r="D13" s="806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170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805" t="s">
        <v>171</v>
      </c>
      <c r="D14" s="806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172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805" t="s">
        <v>173</v>
      </c>
      <c r="D15" s="806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172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803" t="s">
        <v>133</v>
      </c>
      <c r="D16" s="804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174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803" t="s">
        <v>54</v>
      </c>
      <c r="D17" s="804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 t="s">
        <v>175</v>
      </c>
      <c r="N17" s="708">
        <v>46078</v>
      </c>
      <c r="O17" s="129"/>
      <c r="P17" s="139">
        <f>N17+7</f>
        <v>46085</v>
      </c>
      <c r="R17" s="383"/>
      <c r="S17" s="141"/>
    </row>
    <row r="18" spans="2:19" s="93" customFormat="1" ht="12.5">
      <c r="B18" s="352">
        <v>6</v>
      </c>
      <c r="C18" s="803" t="s">
        <v>176</v>
      </c>
      <c r="D18" s="804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805" t="s">
        <v>176</v>
      </c>
      <c r="D19" s="806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177</v>
      </c>
      <c r="C23" s="145" t="s">
        <v>178</v>
      </c>
      <c r="D23" s="145"/>
      <c r="F23" s="146"/>
      <c r="H23" s="116"/>
    </row>
    <row r="24" spans="2:19" s="93" customFormat="1" ht="12.5">
      <c r="C24" s="147" t="s">
        <v>179</v>
      </c>
      <c r="D24" s="148"/>
      <c r="F24" s="149"/>
    </row>
    <row r="25" spans="2:19" s="93" customFormat="1" ht="12.5">
      <c r="C25" s="147" t="s">
        <v>180</v>
      </c>
      <c r="D25" s="148"/>
    </row>
    <row r="26" spans="2:19" s="93" customFormat="1" ht="12.5">
      <c r="C26" s="150" t="s">
        <v>181</v>
      </c>
      <c r="D26" s="151"/>
    </row>
    <row r="27" spans="2:19" s="93" customFormat="1" ht="12.5">
      <c r="C27" s="152" t="s">
        <v>182</v>
      </c>
      <c r="D27" s="148"/>
    </row>
    <row r="28" spans="2:19" s="93" customFormat="1" ht="12.5">
      <c r="B28" s="117"/>
      <c r="C28" s="152" t="s">
        <v>183</v>
      </c>
      <c r="D28" s="148"/>
    </row>
    <row r="29" spans="2:19" s="93" customFormat="1" ht="12.5">
      <c r="B29" s="117"/>
      <c r="C29" s="93" t="s">
        <v>184</v>
      </c>
    </row>
    <row r="30" spans="2:19" s="93" customFormat="1" ht="27.75" customHeight="1">
      <c r="B30" s="117"/>
      <c r="C30" s="153" t="s">
        <v>185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161</v>
      </c>
      <c r="D40" s="133"/>
      <c r="E40" s="131" t="s">
        <v>162</v>
      </c>
      <c r="F40" s="131" t="s">
        <v>163</v>
      </c>
    </row>
    <row r="41" spans="2:6" s="93" customFormat="1" ht="12.75" hidden="1" customHeight="1">
      <c r="B41" s="154">
        <v>1</v>
      </c>
      <c r="C41" s="155" t="s">
        <v>186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171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173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187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188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3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3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209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807"/>
      <c r="C4" s="807"/>
      <c r="D4" s="807"/>
      <c r="E4" s="417"/>
      <c r="F4" s="220" t="s">
        <v>144</v>
      </c>
      <c r="G4" s="215"/>
      <c r="H4" s="220" t="s">
        <v>145</v>
      </c>
      <c r="I4" s="215"/>
      <c r="J4" s="221" t="s">
        <v>210</v>
      </c>
      <c r="K4" s="112"/>
      <c r="L4" s="112"/>
    </row>
    <row r="5" spans="1:12" ht="14.5" thickBot="1">
      <c r="A5" s="215"/>
      <c r="B5" s="808" t="s">
        <v>211</v>
      </c>
      <c r="C5" s="808"/>
      <c r="D5" s="808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212</v>
      </c>
      <c r="E7" s="226"/>
      <c r="F7" s="227" t="s">
        <v>213</v>
      </c>
      <c r="G7" s="228"/>
      <c r="H7" s="227" t="s">
        <v>214</v>
      </c>
      <c r="I7" s="228"/>
      <c r="J7" s="227" t="s">
        <v>215</v>
      </c>
      <c r="K7" s="172"/>
      <c r="L7" s="115" t="s">
        <v>216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N1" zoomScale="85" zoomScaleNormal="85" workbookViewId="0">
      <pane ySplit="4" topLeftCell="A134" activePane="bottomLeft" state="frozen"/>
      <selection activeCell="X33" sqref="X33"/>
      <selection pane="bottomLeft" activeCell="S148" sqref="S148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7" hidden="1" customWidth="1"/>
    <col min="7" max="7" width="17.453125" style="24" hidden="1" customWidth="1"/>
    <col min="8" max="8" width="17.453125" style="546" hidden="1" customWidth="1"/>
    <col min="9" max="9" width="22.45312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39" style="112" customWidth="1"/>
    <col min="19" max="19" width="36.54296875" style="112" customWidth="1"/>
    <col min="20" max="21" width="17.453125" style="546" customWidth="1"/>
    <col min="22" max="22" width="17.453125" style="112" customWidth="1"/>
    <col min="23" max="23" width="17.453125" style="546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34" t="s">
        <v>218</v>
      </c>
      <c r="C2" s="735"/>
      <c r="D2" s="735"/>
      <c r="E2" s="735"/>
      <c r="F2" s="735"/>
      <c r="G2" s="735"/>
      <c r="H2" s="505"/>
      <c r="I2" s="258">
        <f>SUM(I6:I159)</f>
        <v>686839.19314130431</v>
      </c>
      <c r="J2" s="258">
        <f>SUM(J6:J159)</f>
        <v>828367.24558144645</v>
      </c>
      <c r="L2" s="736" t="s">
        <v>219</v>
      </c>
      <c r="M2" s="737"/>
      <c r="N2" s="737"/>
      <c r="O2" s="737"/>
      <c r="P2" s="737"/>
      <c r="Q2" s="737"/>
      <c r="R2" s="741" t="s">
        <v>220</v>
      </c>
      <c r="S2" s="742"/>
      <c r="T2" s="742"/>
      <c r="U2" s="742"/>
      <c r="V2" s="742"/>
      <c r="W2" s="743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221</v>
      </c>
      <c r="C4" s="260" t="s">
        <v>222</v>
      </c>
      <c r="D4" s="260" t="s">
        <v>223</v>
      </c>
      <c r="E4" s="260" t="s">
        <v>224</v>
      </c>
      <c r="F4" s="468" t="s">
        <v>225</v>
      </c>
      <c r="G4" s="261" t="s">
        <v>226</v>
      </c>
      <c r="H4" s="643" t="s">
        <v>227</v>
      </c>
      <c r="I4" s="262" t="s">
        <v>228</v>
      </c>
      <c r="J4" s="262" t="str">
        <f>IF(J2-'Revenue Tracking'!D4&gt;=0, "Total Revenue", "ERROR on REV" )</f>
        <v>Total Revenue</v>
      </c>
      <c r="K4" s="165"/>
      <c r="L4" s="259" t="s">
        <v>221</v>
      </c>
      <c r="M4" s="260" t="s">
        <v>229</v>
      </c>
      <c r="N4" s="260" t="s">
        <v>223</v>
      </c>
      <c r="O4" s="260" t="s">
        <v>224</v>
      </c>
      <c r="P4" s="468" t="s">
        <v>225</v>
      </c>
      <c r="Q4" s="372" t="s">
        <v>230</v>
      </c>
      <c r="R4" s="618" t="s">
        <v>231</v>
      </c>
      <c r="S4" s="619" t="s">
        <v>165</v>
      </c>
      <c r="T4" s="643" t="s">
        <v>166</v>
      </c>
      <c r="U4" s="644" t="s">
        <v>232</v>
      </c>
      <c r="V4" s="372" t="s">
        <v>233</v>
      </c>
      <c r="W4" s="643" t="s">
        <v>227</v>
      </c>
      <c r="X4" s="483" t="s">
        <v>228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234</v>
      </c>
      <c r="D6" s="282" t="s">
        <v>235</v>
      </c>
      <c r="E6" s="283"/>
      <c r="F6" s="441"/>
      <c r="G6" s="395">
        <f>D160</f>
        <v>167702.96000000005</v>
      </c>
      <c r="H6" s="568">
        <v>45961</v>
      </c>
      <c r="I6" s="738">
        <f>SUM(G6:G11)</f>
        <v>167702.96000000005</v>
      </c>
      <c r="J6" s="738">
        <f>F160</f>
        <v>204515.80487804883</v>
      </c>
      <c r="K6" s="392"/>
      <c r="L6" s="281">
        <v>1</v>
      </c>
      <c r="M6" s="421" t="s">
        <v>236</v>
      </c>
      <c r="N6" s="282" t="s">
        <v>237</v>
      </c>
      <c r="O6" s="642">
        <v>93</v>
      </c>
      <c r="P6" s="441">
        <v>1150.5</v>
      </c>
      <c r="Q6" s="395">
        <f>O6*P6</f>
        <v>106996.5</v>
      </c>
      <c r="R6" s="584"/>
      <c r="S6" s="621" t="s">
        <v>238</v>
      </c>
      <c r="T6" s="681">
        <v>45930</v>
      </c>
      <c r="U6" s="707">
        <v>199846.345012253</v>
      </c>
      <c r="V6" s="728">
        <f>J6-SUM(U6:U11)</f>
        <v>0</v>
      </c>
      <c r="W6" s="717">
        <v>45989</v>
      </c>
      <c r="X6" s="725">
        <f>SUM(Q6:Q11)</f>
        <v>109496.5</v>
      </c>
      <c r="Y6" s="485"/>
    </row>
    <row r="7" spans="1:76" ht="15" customHeight="1">
      <c r="B7" s="311">
        <v>1</v>
      </c>
      <c r="C7" s="422"/>
      <c r="D7" s="393" t="s">
        <v>239</v>
      </c>
      <c r="E7" s="394"/>
      <c r="F7" s="462"/>
      <c r="G7" s="315"/>
      <c r="H7" s="569">
        <v>45990</v>
      </c>
      <c r="I7" s="739"/>
      <c r="J7" s="739"/>
      <c r="K7" s="288"/>
      <c r="L7" s="311">
        <v>1</v>
      </c>
      <c r="M7" s="313" t="s">
        <v>236</v>
      </c>
      <c r="N7" s="393"/>
      <c r="O7" s="548"/>
      <c r="P7" s="448"/>
      <c r="Q7" s="315">
        <v>2500</v>
      </c>
      <c r="R7" s="585"/>
      <c r="S7" s="622" t="s">
        <v>238</v>
      </c>
      <c r="T7" s="660">
        <v>45930</v>
      </c>
      <c r="U7" s="707">
        <v>4669.4598657959123</v>
      </c>
      <c r="V7" s="729"/>
      <c r="W7" s="537">
        <v>45989</v>
      </c>
      <c r="X7" s="726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39"/>
      <c r="J8" s="739"/>
      <c r="K8" s="288"/>
      <c r="L8" s="311">
        <v>1</v>
      </c>
      <c r="M8" s="313" t="s">
        <v>236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29"/>
      <c r="W8" s="569"/>
      <c r="X8" s="726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39"/>
      <c r="J9" s="739"/>
      <c r="K9" s="288"/>
      <c r="L9" s="311">
        <v>1</v>
      </c>
      <c r="M9" s="313" t="s">
        <v>236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29"/>
      <c r="W9" s="570"/>
      <c r="X9" s="726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39"/>
      <c r="J10" s="739"/>
      <c r="K10" s="288"/>
      <c r="L10" s="311">
        <v>1</v>
      </c>
      <c r="M10" s="313" t="s">
        <v>236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29"/>
      <c r="W10" s="570"/>
      <c r="X10" s="726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40"/>
      <c r="J11" s="740"/>
      <c r="K11" s="289"/>
      <c r="L11" s="316">
        <v>1</v>
      </c>
      <c r="M11" s="423" t="s">
        <v>236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30"/>
      <c r="W11" s="571"/>
      <c r="X11" s="727"/>
      <c r="Y11" s="602" t="s">
        <v>240</v>
      </c>
      <c r="Z11" s="603" t="s">
        <v>241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242</v>
      </c>
      <c r="Z12" s="605">
        <f>G52</f>
        <v>131329.98260869566</v>
      </c>
    </row>
    <row r="13" spans="1:76" ht="14.25" customHeight="1">
      <c r="B13" s="293">
        <v>2</v>
      </c>
      <c r="C13" s="319" t="s">
        <v>243</v>
      </c>
      <c r="D13" s="319" t="s">
        <v>244</v>
      </c>
      <c r="E13" s="365"/>
      <c r="F13" s="460"/>
      <c r="G13" s="296">
        <f>D161</f>
        <v>47500</v>
      </c>
      <c r="H13" s="539">
        <v>45900</v>
      </c>
      <c r="I13" s="744">
        <f>SUM(G13:G19)</f>
        <v>47500</v>
      </c>
      <c r="J13" s="744">
        <f>F161</f>
        <v>57926.829268292684</v>
      </c>
      <c r="K13" s="297"/>
      <c r="L13" s="293">
        <v>2</v>
      </c>
      <c r="M13" s="424" t="s">
        <v>245</v>
      </c>
      <c r="N13" s="319" t="s">
        <v>246</v>
      </c>
      <c r="O13" s="552">
        <v>1</v>
      </c>
      <c r="P13" s="460">
        <v>43606.080000000002</v>
      </c>
      <c r="Q13" s="296">
        <v>45062.94</v>
      </c>
      <c r="R13" s="589"/>
      <c r="S13" s="626" t="s">
        <v>247</v>
      </c>
      <c r="T13" s="669">
        <v>45900</v>
      </c>
      <c r="U13" s="676">
        <v>57926.829268292684</v>
      </c>
      <c r="V13" s="731">
        <f>J13-SUM(U13:U19)</f>
        <v>0</v>
      </c>
      <c r="W13" s="539">
        <v>45900</v>
      </c>
      <c r="X13" s="747">
        <f>SUM(Q13:Q19)</f>
        <v>45062.94</v>
      </c>
      <c r="Y13" s="604" t="s">
        <v>248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45"/>
      <c r="J14" s="745"/>
      <c r="K14" s="301"/>
      <c r="L14" s="298">
        <v>2</v>
      </c>
      <c r="M14" s="430" t="s">
        <v>245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32"/>
      <c r="W14" s="651"/>
      <c r="X14" s="748"/>
      <c r="Y14" s="604" t="s">
        <v>249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45"/>
      <c r="J15" s="745"/>
      <c r="K15" s="301"/>
      <c r="L15" s="298">
        <v>2</v>
      </c>
      <c r="M15" s="430" t="s">
        <v>245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32"/>
      <c r="W15" s="574"/>
      <c r="X15" s="748"/>
      <c r="Y15" s="604" t="s">
        <v>250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45"/>
      <c r="J16" s="745"/>
      <c r="K16" s="301"/>
      <c r="L16" s="298">
        <v>2</v>
      </c>
      <c r="M16" s="430" t="s">
        <v>245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32"/>
      <c r="W16" s="574"/>
      <c r="X16" s="748"/>
      <c r="Y16" s="604" t="s">
        <v>251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45"/>
      <c r="J17" s="745"/>
      <c r="K17" s="301"/>
      <c r="L17" s="298">
        <v>2</v>
      </c>
      <c r="M17" s="430" t="s">
        <v>245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32"/>
      <c r="W17" s="574"/>
      <c r="X17" s="748"/>
      <c r="Y17" s="604" t="s">
        <v>252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45"/>
      <c r="J18" s="745"/>
      <c r="K18" s="301"/>
      <c r="L18" s="298">
        <v>2</v>
      </c>
      <c r="M18" s="430" t="s">
        <v>245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32"/>
      <c r="W18" s="574"/>
      <c r="X18" s="748"/>
      <c r="Y18" s="604" t="s">
        <v>253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46"/>
      <c r="J19" s="746"/>
      <c r="K19" s="306"/>
      <c r="L19" s="399">
        <v>2</v>
      </c>
      <c r="M19" s="425" t="s">
        <v>245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33"/>
      <c r="W19" s="575"/>
      <c r="X19" s="749"/>
      <c r="Y19" s="604" t="s">
        <v>254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255</v>
      </c>
      <c r="D21" s="327" t="s">
        <v>256</v>
      </c>
      <c r="E21" s="283"/>
      <c r="F21" s="441"/>
      <c r="G21" s="284">
        <f>D162</f>
        <v>47059.199999999997</v>
      </c>
      <c r="H21" s="576">
        <f>H13</f>
        <v>45900</v>
      </c>
      <c r="I21" s="738">
        <f>SUM(G21:G26)</f>
        <v>47059.199999999997</v>
      </c>
      <c r="J21" s="738">
        <f>F162</f>
        <v>57389.268292682922</v>
      </c>
      <c r="K21" s="285"/>
      <c r="L21" s="281">
        <v>3</v>
      </c>
      <c r="M21" s="426" t="s">
        <v>257</v>
      </c>
      <c r="N21" s="327" t="s">
        <v>258</v>
      </c>
      <c r="O21" s="547"/>
      <c r="P21" s="441"/>
      <c r="Q21" s="284">
        <v>41240.97</v>
      </c>
      <c r="R21" s="592" t="s">
        <v>259</v>
      </c>
      <c r="S21" s="629" t="s">
        <v>260</v>
      </c>
      <c r="T21" s="682">
        <v>45930</v>
      </c>
      <c r="U21" s="707">
        <v>57389.268292682922</v>
      </c>
      <c r="V21" s="728">
        <f>J21-SUM(U21:U26)</f>
        <v>0</v>
      </c>
      <c r="W21" s="695">
        <f>T21+30</f>
        <v>45960</v>
      </c>
      <c r="X21" s="725">
        <f>SUM(Q21:Q26)</f>
        <v>46570.22</v>
      </c>
      <c r="Y21" s="604" t="s">
        <v>261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39"/>
      <c r="J22" s="739"/>
      <c r="K22" s="288"/>
      <c r="L22" s="311">
        <v>3</v>
      </c>
      <c r="M22" s="427" t="s">
        <v>257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29"/>
      <c r="W22" s="569"/>
      <c r="X22" s="726"/>
      <c r="Y22" s="604" t="s">
        <v>188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39"/>
      <c r="J23" s="739"/>
      <c r="K23" s="288"/>
      <c r="L23" s="311">
        <v>3</v>
      </c>
      <c r="M23" s="427" t="s">
        <v>257</v>
      </c>
      <c r="N23" s="328" t="s">
        <v>262</v>
      </c>
      <c r="O23" s="548"/>
      <c r="P23" s="462"/>
      <c r="Q23" s="315">
        <v>5329.25</v>
      </c>
      <c r="R23" s="585" t="s">
        <v>263</v>
      </c>
      <c r="S23" s="622" t="s">
        <v>264</v>
      </c>
      <c r="T23" s="706">
        <v>45961</v>
      </c>
      <c r="U23" s="507">
        <v>0</v>
      </c>
      <c r="V23" s="729"/>
      <c r="W23" s="537">
        <v>45989</v>
      </c>
      <c r="X23" s="726"/>
      <c r="Y23" s="604" t="s">
        <v>265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39"/>
      <c r="J24" s="739"/>
      <c r="K24" s="288"/>
      <c r="L24" s="311">
        <v>3</v>
      </c>
      <c r="M24" s="427" t="s">
        <v>257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29"/>
      <c r="W24" s="570"/>
      <c r="X24" s="726"/>
      <c r="Y24" s="609" t="s">
        <v>266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39"/>
      <c r="J25" s="739"/>
      <c r="K25" s="288"/>
      <c r="L25" s="311">
        <v>3</v>
      </c>
      <c r="M25" s="427" t="s">
        <v>257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29"/>
      <c r="W25" s="570"/>
      <c r="X25" s="726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40"/>
      <c r="J26" s="740"/>
      <c r="K26" s="289"/>
      <c r="L26" s="316">
        <v>3</v>
      </c>
      <c r="M26" s="428" t="s">
        <v>257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30"/>
      <c r="W26" s="571"/>
      <c r="X26" s="727"/>
      <c r="Y26" s="610" t="s">
        <v>145</v>
      </c>
      <c r="Z26" s="611" t="s">
        <v>267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248</v>
      </c>
      <c r="D28" s="294" t="s">
        <v>268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44">
        <f>SUM(G28:G42)</f>
        <v>87218.6</v>
      </c>
      <c r="J28" s="744">
        <f>F163</f>
        <v>106364.14634146342</v>
      </c>
      <c r="K28" s="297"/>
      <c r="L28" s="293">
        <v>4</v>
      </c>
      <c r="M28" s="429" t="s">
        <v>269</v>
      </c>
      <c r="N28" s="294" t="s">
        <v>270</v>
      </c>
      <c r="O28" s="544">
        <v>4000</v>
      </c>
      <c r="P28" s="460">
        <v>14</v>
      </c>
      <c r="Q28" s="296">
        <v>54600</v>
      </c>
      <c r="R28" s="589"/>
      <c r="S28" s="626" t="s">
        <v>238</v>
      </c>
      <c r="T28" s="669">
        <v>45930</v>
      </c>
      <c r="U28" s="709">
        <v>60125.08945277879</v>
      </c>
      <c r="V28" s="731">
        <f>J28-SUM(U28:U42)</f>
        <v>-6.7025581014459021</v>
      </c>
      <c r="W28" s="718">
        <v>45989</v>
      </c>
      <c r="X28" s="747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271</v>
      </c>
      <c r="E29" s="398"/>
      <c r="F29" s="456"/>
      <c r="G29" s="638">
        <f>D163-G28</f>
        <v>67198.600000000006</v>
      </c>
      <c r="H29" s="574">
        <f>H28</f>
        <v>45900</v>
      </c>
      <c r="I29" s="745"/>
      <c r="J29" s="745"/>
      <c r="K29" s="301"/>
      <c r="L29" s="298">
        <v>4</v>
      </c>
      <c r="M29" s="430" t="s">
        <v>269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32"/>
      <c r="W29" s="574"/>
      <c r="X29" s="748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45"/>
      <c r="J30" s="745"/>
      <c r="K30" s="301"/>
      <c r="L30" s="298">
        <v>4</v>
      </c>
      <c r="M30" s="430" t="s">
        <v>269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32"/>
      <c r="W30" s="574"/>
      <c r="X30" s="748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45"/>
      <c r="J31" s="745"/>
      <c r="K31" s="301"/>
      <c r="L31" s="298">
        <v>4</v>
      </c>
      <c r="M31" s="430" t="s">
        <v>269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32"/>
      <c r="W31" s="574"/>
      <c r="X31" s="748"/>
      <c r="Y31" s="612" t="s">
        <v>272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45"/>
      <c r="J32" s="745"/>
      <c r="K32" s="301"/>
      <c r="L32" s="298">
        <v>4</v>
      </c>
      <c r="M32" s="430" t="s">
        <v>269</v>
      </c>
      <c r="N32" s="412" t="s">
        <v>273</v>
      </c>
      <c r="O32" s="562">
        <f>Z28</f>
        <v>41990</v>
      </c>
      <c r="P32" s="563">
        <v>0.1</v>
      </c>
      <c r="Q32" s="300">
        <f>$O$32*P32</f>
        <v>4199</v>
      </c>
      <c r="R32" s="750" t="s">
        <v>274</v>
      </c>
      <c r="S32" s="627" t="s">
        <v>275</v>
      </c>
      <c r="T32" s="673">
        <v>45930</v>
      </c>
      <c r="U32" s="709">
        <v>4623.9056888684636</v>
      </c>
      <c r="V32" s="732"/>
      <c r="W32" s="540">
        <f>W90</f>
        <v>45918</v>
      </c>
      <c r="X32" s="748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45"/>
      <c r="J33" s="745"/>
      <c r="K33" s="301"/>
      <c r="L33" s="298">
        <v>4</v>
      </c>
      <c r="M33" s="430" t="s">
        <v>269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51"/>
      <c r="S33" s="627" t="s">
        <v>276</v>
      </c>
      <c r="T33" s="653">
        <f t="shared" si="0"/>
        <v>45961</v>
      </c>
      <c r="U33" s="709">
        <v>6935.8585333026958</v>
      </c>
      <c r="V33" s="732"/>
      <c r="W33" s="540">
        <f t="shared" ref="W33:W39" si="6">W91</f>
        <v>45954</v>
      </c>
      <c r="X33" s="748"/>
      <c r="Y33" s="612" t="s">
        <v>277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45"/>
      <c r="J34" s="745"/>
      <c r="K34" s="301"/>
      <c r="L34" s="298">
        <v>4</v>
      </c>
      <c r="M34" s="430" t="s">
        <v>269</v>
      </c>
      <c r="N34" s="412" t="s">
        <v>278</v>
      </c>
      <c r="O34" s="553"/>
      <c r="P34" s="563">
        <v>0.2</v>
      </c>
      <c r="Q34" s="300">
        <f t="shared" si="5"/>
        <v>8398</v>
      </c>
      <c r="R34" s="751"/>
      <c r="S34" s="627" t="str">
        <f>S92</f>
        <v>Matthews Group - INV1564</v>
      </c>
      <c r="T34" s="653">
        <f>T92</f>
        <v>45991</v>
      </c>
      <c r="U34" s="709">
        <v>9247.8113777369272</v>
      </c>
      <c r="V34" s="732"/>
      <c r="W34" s="714">
        <f t="shared" si="6"/>
        <v>45995</v>
      </c>
      <c r="X34" s="748"/>
      <c r="Y34" s="612" t="s">
        <v>279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45"/>
      <c r="J35" s="745"/>
      <c r="K35" s="301"/>
      <c r="L35" s="298">
        <v>4</v>
      </c>
      <c r="M35" s="430" t="s">
        <v>269</v>
      </c>
      <c r="N35" s="412" t="s">
        <v>280</v>
      </c>
      <c r="O35" s="553"/>
      <c r="P35" s="563">
        <v>0.25</v>
      </c>
      <c r="Q35" s="300">
        <f t="shared" si="5"/>
        <v>10497.5</v>
      </c>
      <c r="R35" s="751"/>
      <c r="S35" s="627" t="s">
        <v>281</v>
      </c>
      <c r="T35" s="715">
        <f>T93</f>
        <v>45991</v>
      </c>
      <c r="U35" s="709">
        <v>11559.764222171159</v>
      </c>
      <c r="V35" s="732"/>
      <c r="W35" s="540">
        <f>W93</f>
        <v>45989</v>
      </c>
      <c r="X35" s="748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45"/>
      <c r="J36" s="745"/>
      <c r="K36" s="301"/>
      <c r="L36" s="298">
        <v>4</v>
      </c>
      <c r="M36" s="430" t="s">
        <v>269</v>
      </c>
      <c r="N36" s="412" t="s">
        <v>282</v>
      </c>
      <c r="O36" s="553"/>
      <c r="P36" s="563">
        <v>0.1</v>
      </c>
      <c r="Q36" s="300">
        <v>4206</v>
      </c>
      <c r="R36" s="751"/>
      <c r="S36" s="627" t="s">
        <v>283</v>
      </c>
      <c r="T36" s="653">
        <v>46022</v>
      </c>
      <c r="U36" s="709">
        <v>4631.2783990413282</v>
      </c>
      <c r="V36" s="732"/>
      <c r="W36" s="540">
        <f>W94</f>
        <v>46065</v>
      </c>
      <c r="X36" s="748"/>
      <c r="Y36" s="612" t="s">
        <v>261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45"/>
      <c r="J37" s="745"/>
      <c r="K37" s="301"/>
      <c r="L37" s="298">
        <v>4</v>
      </c>
      <c r="M37" s="430" t="s">
        <v>269</v>
      </c>
      <c r="N37" s="412" t="s">
        <v>284</v>
      </c>
      <c r="O37" s="553"/>
      <c r="P37" s="563">
        <v>0.1</v>
      </c>
      <c r="Q37" s="300">
        <v>4199</v>
      </c>
      <c r="R37" s="751"/>
      <c r="S37" s="627" t="s">
        <v>285</v>
      </c>
      <c r="T37" s="653">
        <v>46022</v>
      </c>
      <c r="U37" s="709">
        <v>4623.5706128327474</v>
      </c>
      <c r="V37" s="732"/>
      <c r="W37" s="540">
        <f>W95</f>
        <v>46065</v>
      </c>
      <c r="X37" s="748"/>
      <c r="Y37" s="612" t="s">
        <v>261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45"/>
      <c r="J38" s="745"/>
      <c r="K38" s="301"/>
      <c r="L38" s="298">
        <v>4</v>
      </c>
      <c r="M38" s="430" t="s">
        <v>269</v>
      </c>
      <c r="N38" s="412" t="s">
        <v>286</v>
      </c>
      <c r="O38" s="553"/>
      <c r="P38" s="563">
        <v>0.05</v>
      </c>
      <c r="Q38" s="300">
        <f t="shared" si="5"/>
        <v>2099.5</v>
      </c>
      <c r="R38" s="751"/>
      <c r="S38" s="627" t="s">
        <v>287</v>
      </c>
      <c r="T38" s="653">
        <v>46022</v>
      </c>
      <c r="U38" s="709">
        <v>2311.7853064163737</v>
      </c>
      <c r="V38" s="732"/>
      <c r="W38" s="540">
        <f>W96</f>
        <v>46065</v>
      </c>
      <c r="X38" s="748"/>
      <c r="Y38" s="612" t="s">
        <v>188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45"/>
      <c r="J39" s="745"/>
      <c r="K39" s="301"/>
      <c r="L39" s="298">
        <v>4</v>
      </c>
      <c r="M39" s="430" t="s">
        <v>269</v>
      </c>
      <c r="N39" s="412" t="s">
        <v>288</v>
      </c>
      <c r="O39" s="553"/>
      <c r="P39" s="563">
        <v>0.05</v>
      </c>
      <c r="Q39" s="300">
        <f t="shared" si="5"/>
        <v>2099.5</v>
      </c>
      <c r="R39" s="752"/>
      <c r="S39" s="627" t="s">
        <v>289</v>
      </c>
      <c r="T39" s="653">
        <v>46022</v>
      </c>
      <c r="U39" s="709">
        <v>2311.7853064163737</v>
      </c>
      <c r="V39" s="732"/>
      <c r="W39" s="574">
        <f t="shared" si="6"/>
        <v>46095</v>
      </c>
      <c r="X39" s="748"/>
      <c r="Y39" s="615" t="s">
        <v>266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45"/>
      <c r="J40" s="745"/>
      <c r="K40" s="301"/>
      <c r="L40" s="298">
        <v>4</v>
      </c>
      <c r="M40" s="430" t="s">
        <v>269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32"/>
      <c r="W40" s="574"/>
      <c r="X40" s="748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45"/>
      <c r="J41" s="745"/>
      <c r="K41" s="301"/>
      <c r="L41" s="298">
        <v>4</v>
      </c>
      <c r="M41" s="430" t="s">
        <v>269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32"/>
      <c r="W41" s="574"/>
      <c r="X41" s="748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46"/>
      <c r="J42" s="746"/>
      <c r="K42" s="306"/>
      <c r="L42" s="302">
        <v>4</v>
      </c>
      <c r="M42" s="431" t="s">
        <v>269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33"/>
      <c r="W42" s="575"/>
      <c r="X42" s="749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290</v>
      </c>
      <c r="D44" s="327" t="s">
        <v>291</v>
      </c>
      <c r="E44" s="283"/>
      <c r="F44" s="441"/>
      <c r="G44" s="284">
        <f>D165-G45</f>
        <v>26000</v>
      </c>
      <c r="H44" s="576">
        <v>45926</v>
      </c>
      <c r="I44" s="738">
        <f>SUM(G44:G50)</f>
        <v>41000</v>
      </c>
      <c r="J44" s="738">
        <f>F165</f>
        <v>50000</v>
      </c>
      <c r="K44" s="285"/>
      <c r="L44" s="281">
        <v>5</v>
      </c>
      <c r="M44" s="426" t="s">
        <v>292</v>
      </c>
      <c r="N44" s="327" t="s">
        <v>293</v>
      </c>
      <c r="O44" s="547"/>
      <c r="P44" s="441"/>
      <c r="Q44" s="284">
        <v>8598.34</v>
      </c>
      <c r="R44" s="592"/>
      <c r="S44" s="629" t="s">
        <v>238</v>
      </c>
      <c r="T44" s="682">
        <v>45930</v>
      </c>
      <c r="U44" s="710">
        <v>11738.527606155891</v>
      </c>
      <c r="V44" s="728">
        <f>J44-SUM(U44:U50)</f>
        <v>1947.1051844589529</v>
      </c>
      <c r="W44" s="695">
        <v>45926</v>
      </c>
      <c r="X44" s="725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294</v>
      </c>
      <c r="E45" s="454"/>
      <c r="F45" s="455"/>
      <c r="G45" s="315">
        <v>15000</v>
      </c>
      <c r="H45" s="569">
        <f>H44</f>
        <v>45926</v>
      </c>
      <c r="I45" s="739"/>
      <c r="J45" s="739"/>
      <c r="K45" s="288"/>
      <c r="L45" s="286">
        <v>5</v>
      </c>
      <c r="M45" s="432" t="s">
        <v>292</v>
      </c>
      <c r="N45" s="287" t="s">
        <v>295</v>
      </c>
      <c r="O45" s="555"/>
      <c r="P45" s="455"/>
      <c r="Q45" s="315">
        <v>14668</v>
      </c>
      <c r="R45" s="639"/>
      <c r="S45" s="622" t="s">
        <v>296</v>
      </c>
      <c r="T45" s="660">
        <v>45900</v>
      </c>
      <c r="U45" s="710">
        <v>18293.227415197398</v>
      </c>
      <c r="V45" s="729"/>
      <c r="W45" s="537">
        <f>T45+30</f>
        <v>45930</v>
      </c>
      <c r="X45" s="726"/>
      <c r="Y45" s="485"/>
    </row>
    <row r="46" spans="1:26" ht="14.2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39"/>
      <c r="J46" s="739"/>
      <c r="K46" s="288"/>
      <c r="L46" s="286">
        <v>5</v>
      </c>
      <c r="M46" s="432" t="s">
        <v>292</v>
      </c>
      <c r="N46" s="313" t="s">
        <v>297</v>
      </c>
      <c r="O46" s="548"/>
      <c r="P46" s="462"/>
      <c r="Q46" s="315">
        <v>11169</v>
      </c>
      <c r="R46" s="585"/>
      <c r="S46" s="622" t="s">
        <v>298</v>
      </c>
      <c r="T46" s="660">
        <v>45961</v>
      </c>
      <c r="U46" s="710">
        <v>15248.014713672075</v>
      </c>
      <c r="V46" s="729"/>
      <c r="W46" s="537">
        <v>45974</v>
      </c>
      <c r="X46" s="726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39"/>
      <c r="J47" s="739"/>
      <c r="K47" s="288"/>
      <c r="L47" s="311">
        <v>5</v>
      </c>
      <c r="M47" s="432" t="s">
        <v>292</v>
      </c>
      <c r="N47" s="313" t="s">
        <v>299</v>
      </c>
      <c r="O47" s="548"/>
      <c r="P47" s="462"/>
      <c r="Q47" s="315">
        <v>975</v>
      </c>
      <c r="R47" s="585"/>
      <c r="S47" s="622" t="s">
        <v>300</v>
      </c>
      <c r="T47" s="660">
        <v>45900</v>
      </c>
      <c r="U47" s="710">
        <v>1215.9733249125622</v>
      </c>
      <c r="V47" s="729"/>
      <c r="W47" s="537">
        <v>45899</v>
      </c>
      <c r="X47" s="726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39"/>
      <c r="J48" s="739"/>
      <c r="K48" s="288"/>
      <c r="L48" s="311">
        <v>5</v>
      </c>
      <c r="M48" s="432" t="s">
        <v>292</v>
      </c>
      <c r="N48" s="391" t="s">
        <v>301</v>
      </c>
      <c r="O48" s="549"/>
      <c r="P48" s="448"/>
      <c r="Q48" s="390">
        <v>850</v>
      </c>
      <c r="R48" s="586"/>
      <c r="S48" s="623" t="s">
        <v>302</v>
      </c>
      <c r="T48" s="668">
        <v>45900</v>
      </c>
      <c r="U48" s="710">
        <v>1060.0793088981313</v>
      </c>
      <c r="V48" s="729"/>
      <c r="W48" s="538">
        <v>45899</v>
      </c>
      <c r="X48" s="726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39"/>
      <c r="J49" s="739"/>
      <c r="K49" s="288"/>
      <c r="L49" s="311">
        <v>5</v>
      </c>
      <c r="M49" s="432" t="s">
        <v>292</v>
      </c>
      <c r="N49" s="391"/>
      <c r="O49" s="549"/>
      <c r="P49" s="448"/>
      <c r="Q49" s="390">
        <v>-850</v>
      </c>
      <c r="R49" s="586"/>
      <c r="S49" s="623" t="s">
        <v>303</v>
      </c>
      <c r="T49" s="683">
        <v>45930</v>
      </c>
      <c r="U49" s="707">
        <v>-1160.4272993662157</v>
      </c>
      <c r="V49" s="729"/>
      <c r="W49" s="684">
        <v>45930</v>
      </c>
      <c r="X49" s="726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40"/>
      <c r="J50" s="740"/>
      <c r="K50" s="289"/>
      <c r="L50" s="316">
        <v>5</v>
      </c>
      <c r="M50" s="428" t="s">
        <v>292</v>
      </c>
      <c r="N50" s="317" t="s">
        <v>299</v>
      </c>
      <c r="O50" s="550"/>
      <c r="P50" s="463"/>
      <c r="Q50" s="330">
        <v>1214.0999999999999</v>
      </c>
      <c r="R50" s="587"/>
      <c r="S50" s="624" t="s">
        <v>304</v>
      </c>
      <c r="T50" s="685">
        <v>45930</v>
      </c>
      <c r="U50" s="711">
        <v>1657.4997460712029</v>
      </c>
      <c r="V50" s="730"/>
      <c r="W50" s="686">
        <v>45910</v>
      </c>
      <c r="X50" s="727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242</v>
      </c>
      <c r="D52" s="295" t="s">
        <v>305</v>
      </c>
      <c r="E52" s="478"/>
      <c r="F52" s="460"/>
      <c r="G52" s="296">
        <f>D164</f>
        <v>131329.98260869566</v>
      </c>
      <c r="H52" s="573">
        <f>H50</f>
        <v>45910</v>
      </c>
      <c r="I52" s="744">
        <f>SUM(G52:G68)</f>
        <v>131329.98260869566</v>
      </c>
      <c r="J52" s="744">
        <f>F164</f>
        <v>160158.51537645812</v>
      </c>
      <c r="K52" s="297"/>
      <c r="L52" s="293">
        <v>6</v>
      </c>
      <c r="M52" s="435" t="s">
        <v>306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31">
        <f>J52-SUM(U52:U68)</f>
        <v>0</v>
      </c>
      <c r="W52" s="573"/>
      <c r="X52" s="747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45"/>
      <c r="J53" s="745"/>
      <c r="K53" s="301"/>
      <c r="L53" s="298">
        <v>6</v>
      </c>
      <c r="M53" s="433" t="s">
        <v>306</v>
      </c>
      <c r="N53" s="447" t="s">
        <v>307</v>
      </c>
      <c r="O53" s="553"/>
      <c r="P53" s="456"/>
      <c r="Q53" s="321">
        <v>53803.74</v>
      </c>
      <c r="R53" s="590"/>
      <c r="S53" s="627" t="s">
        <v>308</v>
      </c>
      <c r="T53" s="653">
        <v>45900</v>
      </c>
      <c r="U53" s="676">
        <v>108201.34671586011</v>
      </c>
      <c r="V53" s="732"/>
      <c r="W53" s="714">
        <f>T53+30</f>
        <v>45930</v>
      </c>
      <c r="X53" s="748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45"/>
      <c r="J54" s="745"/>
      <c r="K54" s="301"/>
      <c r="L54" s="298">
        <v>6</v>
      </c>
      <c r="M54" s="433" t="s">
        <v>306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32"/>
      <c r="W54" s="574"/>
      <c r="X54" s="748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45"/>
      <c r="J55" s="745"/>
      <c r="K55" s="301"/>
      <c r="L55" s="298">
        <v>6</v>
      </c>
      <c r="M55" s="433" t="s">
        <v>306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32"/>
      <c r="W55" s="574"/>
      <c r="X55" s="748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45"/>
      <c r="J56" s="745"/>
      <c r="K56" s="301"/>
      <c r="L56" s="298">
        <v>6</v>
      </c>
      <c r="M56" s="433" t="s">
        <v>306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32"/>
      <c r="W56" s="574"/>
      <c r="X56" s="748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45"/>
      <c r="J57" s="745"/>
      <c r="K57" s="301"/>
      <c r="L57" s="298">
        <v>6</v>
      </c>
      <c r="M57" s="433" t="s">
        <v>306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32"/>
      <c r="W57" s="574"/>
      <c r="X57" s="748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45"/>
      <c r="J58" s="745"/>
      <c r="K58" s="301"/>
      <c r="L58" s="298">
        <v>6</v>
      </c>
      <c r="M58" s="433" t="s">
        <v>306</v>
      </c>
      <c r="N58" s="412" t="s">
        <v>273</v>
      </c>
      <c r="O58" s="562">
        <f>Z27</f>
        <v>25836</v>
      </c>
      <c r="P58" s="563">
        <v>0.1</v>
      </c>
      <c r="Q58" s="300">
        <f>$O$58*P58</f>
        <v>2583.6000000000004</v>
      </c>
      <c r="R58" s="750" t="s">
        <v>274</v>
      </c>
      <c r="S58" s="627" t="s">
        <v>275</v>
      </c>
      <c r="T58" s="672">
        <v>45930</v>
      </c>
      <c r="U58" s="709">
        <v>5195.7168660597981</v>
      </c>
      <c r="V58" s="732"/>
      <c r="W58" s="540">
        <f>W90</f>
        <v>45918</v>
      </c>
      <c r="X58" s="748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45"/>
      <c r="J59" s="745"/>
      <c r="K59" s="301"/>
      <c r="L59" s="298">
        <v>6</v>
      </c>
      <c r="M59" s="434" t="s">
        <v>306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51"/>
      <c r="S59" s="627" t="s">
        <v>276</v>
      </c>
      <c r="T59" s="697">
        <f t="shared" si="0"/>
        <v>45961</v>
      </c>
      <c r="U59" s="709">
        <v>7793.5752990896963</v>
      </c>
      <c r="V59" s="732"/>
      <c r="W59" s="540">
        <f t="shared" ref="W59:W65" si="11">W91</f>
        <v>45954</v>
      </c>
      <c r="X59" s="748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45"/>
      <c r="J60" s="745"/>
      <c r="K60" s="301"/>
      <c r="L60" s="298">
        <v>6</v>
      </c>
      <c r="M60" s="434" t="s">
        <v>306</v>
      </c>
      <c r="N60" s="412" t="s">
        <v>278</v>
      </c>
      <c r="O60" s="553"/>
      <c r="P60" s="563">
        <v>0.2</v>
      </c>
      <c r="Q60" s="300">
        <f t="shared" si="10"/>
        <v>5167.2000000000007</v>
      </c>
      <c r="R60" s="751"/>
      <c r="S60" s="627" t="str">
        <f>S92</f>
        <v>Matthews Group - INV1564</v>
      </c>
      <c r="T60" s="697">
        <f>T92</f>
        <v>45991</v>
      </c>
      <c r="U60" s="709">
        <v>10391.433732119596</v>
      </c>
      <c r="V60" s="732"/>
      <c r="W60" s="714">
        <f t="shared" si="11"/>
        <v>45995</v>
      </c>
      <c r="X60" s="748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45"/>
      <c r="J61" s="745"/>
      <c r="K61" s="301"/>
      <c r="L61" s="298">
        <v>6</v>
      </c>
      <c r="M61" s="434" t="s">
        <v>306</v>
      </c>
      <c r="N61" s="412" t="s">
        <v>280</v>
      </c>
      <c r="O61" s="553"/>
      <c r="P61" s="563">
        <v>0.25</v>
      </c>
      <c r="Q61" s="300">
        <f t="shared" si="10"/>
        <v>6459</v>
      </c>
      <c r="R61" s="751"/>
      <c r="S61" s="627" t="s">
        <v>281</v>
      </c>
      <c r="T61" s="716">
        <f>T93</f>
        <v>45991</v>
      </c>
      <c r="U61" s="709">
        <v>12989.292165149494</v>
      </c>
      <c r="V61" s="732"/>
      <c r="W61" s="540">
        <f>W93</f>
        <v>45989</v>
      </c>
      <c r="X61" s="748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45"/>
      <c r="J62" s="745"/>
      <c r="K62" s="301"/>
      <c r="L62" s="298">
        <v>6</v>
      </c>
      <c r="M62" s="434" t="s">
        <v>306</v>
      </c>
      <c r="N62" s="412" t="s">
        <v>282</v>
      </c>
      <c r="O62" s="553"/>
      <c r="P62" s="563">
        <v>0.1</v>
      </c>
      <c r="Q62" s="300">
        <f t="shared" si="10"/>
        <v>2583.6000000000004</v>
      </c>
      <c r="R62" s="751"/>
      <c r="S62" s="627" t="s">
        <v>283</v>
      </c>
      <c r="T62" s="697">
        <v>46022</v>
      </c>
      <c r="U62" s="709">
        <v>5195.7168660597981</v>
      </c>
      <c r="V62" s="732"/>
      <c r="W62" s="540">
        <f>W94</f>
        <v>46065</v>
      </c>
      <c r="X62" s="748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45"/>
      <c r="J63" s="745"/>
      <c r="K63" s="301"/>
      <c r="L63" s="298">
        <v>6</v>
      </c>
      <c r="M63" s="434" t="s">
        <v>306</v>
      </c>
      <c r="N63" s="412" t="s">
        <v>284</v>
      </c>
      <c r="O63" s="553"/>
      <c r="P63" s="563">
        <v>0.1</v>
      </c>
      <c r="Q63" s="300">
        <f t="shared" si="10"/>
        <v>2583.6000000000004</v>
      </c>
      <c r="R63" s="751"/>
      <c r="S63" s="627" t="s">
        <v>285</v>
      </c>
      <c r="T63" s="697">
        <v>46022</v>
      </c>
      <c r="U63" s="723">
        <v>5195.7168660597981</v>
      </c>
      <c r="V63" s="732"/>
      <c r="W63" s="540">
        <f>W95</f>
        <v>46065</v>
      </c>
      <c r="X63" s="748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45"/>
      <c r="J64" s="745"/>
      <c r="K64" s="301"/>
      <c r="L64" s="298">
        <v>6</v>
      </c>
      <c r="M64" s="434" t="s">
        <v>306</v>
      </c>
      <c r="N64" s="412" t="s">
        <v>286</v>
      </c>
      <c r="O64" s="553"/>
      <c r="P64" s="563">
        <v>0.05</v>
      </c>
      <c r="Q64" s="300">
        <f t="shared" si="10"/>
        <v>1291.8000000000002</v>
      </c>
      <c r="R64" s="751"/>
      <c r="S64" s="627" t="s">
        <v>287</v>
      </c>
      <c r="T64" s="697">
        <v>46022</v>
      </c>
      <c r="U64" s="723">
        <v>2597.8584330298991</v>
      </c>
      <c r="V64" s="732"/>
      <c r="W64" s="540">
        <f>W96</f>
        <v>46065</v>
      </c>
      <c r="X64" s="748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45"/>
      <c r="J65" s="745"/>
      <c r="K65" s="301"/>
      <c r="L65" s="298">
        <v>6</v>
      </c>
      <c r="M65" s="434" t="s">
        <v>306</v>
      </c>
      <c r="N65" s="412" t="s">
        <v>288</v>
      </c>
      <c r="O65" s="553"/>
      <c r="P65" s="563">
        <v>0.05</v>
      </c>
      <c r="Q65" s="300">
        <f t="shared" si="10"/>
        <v>1291.8000000000002</v>
      </c>
      <c r="R65" s="752"/>
      <c r="S65" s="627" t="s">
        <v>289</v>
      </c>
      <c r="T65" s="697">
        <v>46022</v>
      </c>
      <c r="U65" s="723">
        <v>2597.8584330298991</v>
      </c>
      <c r="V65" s="732"/>
      <c r="W65" s="574">
        <f t="shared" si="11"/>
        <v>46095</v>
      </c>
      <c r="X65" s="748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45"/>
      <c r="J66" s="745"/>
      <c r="K66" s="301"/>
      <c r="L66" s="298">
        <v>6</v>
      </c>
      <c r="M66" s="434" t="s">
        <v>306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32"/>
      <c r="W66" s="577"/>
      <c r="X66" s="748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45"/>
      <c r="J67" s="745"/>
      <c r="K67" s="301"/>
      <c r="L67" s="298">
        <v>6</v>
      </c>
      <c r="M67" s="434" t="s">
        <v>306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32"/>
      <c r="W67" s="577"/>
      <c r="X67" s="748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46"/>
      <c r="J68" s="746"/>
      <c r="K68" s="306"/>
      <c r="L68" s="302">
        <v>6</v>
      </c>
      <c r="M68" s="436" t="s">
        <v>306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33"/>
      <c r="W68" s="575"/>
      <c r="X68" s="749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309</v>
      </c>
      <c r="D70" s="385"/>
      <c r="E70" s="465"/>
      <c r="F70" s="471"/>
      <c r="G70" s="386"/>
      <c r="H70" s="579"/>
      <c r="I70" s="738">
        <f>SUM(G70:G77)</f>
        <v>0</v>
      </c>
      <c r="J70" s="738">
        <f>F169</f>
        <v>0</v>
      </c>
      <c r="K70" s="285"/>
      <c r="L70" s="384">
        <v>7</v>
      </c>
      <c r="M70" s="309" t="s">
        <v>310</v>
      </c>
      <c r="N70" s="385"/>
      <c r="O70" s="465"/>
      <c r="P70" s="471"/>
      <c r="Q70" s="386"/>
      <c r="R70" s="596"/>
      <c r="S70" s="633"/>
      <c r="T70" s="531"/>
      <c r="U70" s="648"/>
      <c r="V70" s="753">
        <f>J70-SUM(U70:U77)</f>
        <v>0</v>
      </c>
      <c r="W70" s="579"/>
      <c r="X70" s="725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39"/>
      <c r="J71" s="739"/>
      <c r="K71" s="288"/>
      <c r="L71" s="387">
        <v>7</v>
      </c>
      <c r="M71" s="388" t="s">
        <v>310</v>
      </c>
      <c r="N71" s="389"/>
      <c r="O71" s="410"/>
      <c r="P71" s="448"/>
      <c r="Q71" s="390"/>
      <c r="R71" s="586"/>
      <c r="S71" s="623"/>
      <c r="T71" s="522"/>
      <c r="U71" s="507"/>
      <c r="V71" s="754"/>
      <c r="W71" s="570"/>
      <c r="X71" s="726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39"/>
      <c r="J72" s="739"/>
      <c r="K72" s="288"/>
      <c r="L72" s="387">
        <v>7</v>
      </c>
      <c r="M72" s="388" t="s">
        <v>310</v>
      </c>
      <c r="N72" s="389"/>
      <c r="O72" s="410"/>
      <c r="P72" s="448"/>
      <c r="Q72" s="390"/>
      <c r="R72" s="586"/>
      <c r="S72" s="623"/>
      <c r="T72" s="522"/>
      <c r="U72" s="507"/>
      <c r="V72" s="754"/>
      <c r="W72" s="570"/>
      <c r="X72" s="726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39"/>
      <c r="J73" s="739"/>
      <c r="K73" s="288"/>
      <c r="L73" s="387">
        <v>7</v>
      </c>
      <c r="M73" s="388" t="s">
        <v>310</v>
      </c>
      <c r="N73" s="389"/>
      <c r="O73" s="410"/>
      <c r="P73" s="448"/>
      <c r="Q73" s="390"/>
      <c r="R73" s="586"/>
      <c r="S73" s="623"/>
      <c r="T73" s="522"/>
      <c r="U73" s="507"/>
      <c r="V73" s="754"/>
      <c r="W73" s="570"/>
      <c r="X73" s="726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39"/>
      <c r="J74" s="739"/>
      <c r="K74" s="288"/>
      <c r="L74" s="387">
        <v>7</v>
      </c>
      <c r="M74" s="388" t="s">
        <v>310</v>
      </c>
      <c r="N74" s="389"/>
      <c r="O74" s="410"/>
      <c r="P74" s="448"/>
      <c r="Q74" s="390"/>
      <c r="R74" s="586"/>
      <c r="S74" s="623"/>
      <c r="T74" s="522"/>
      <c r="U74" s="507"/>
      <c r="V74" s="754"/>
      <c r="W74" s="570"/>
      <c r="X74" s="726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39"/>
      <c r="J75" s="739"/>
      <c r="K75" s="288"/>
      <c r="L75" s="387">
        <v>7</v>
      </c>
      <c r="M75" s="388" t="s">
        <v>310</v>
      </c>
      <c r="N75" s="389"/>
      <c r="O75" s="549"/>
      <c r="P75" s="448"/>
      <c r="Q75" s="390"/>
      <c r="R75" s="586"/>
      <c r="S75" s="623"/>
      <c r="T75" s="522"/>
      <c r="U75" s="507"/>
      <c r="V75" s="754"/>
      <c r="W75" s="570"/>
      <c r="X75" s="726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39"/>
      <c r="J76" s="739"/>
      <c r="K76" s="288"/>
      <c r="L76" s="387">
        <v>7</v>
      </c>
      <c r="M76" s="388" t="s">
        <v>310</v>
      </c>
      <c r="N76" s="389"/>
      <c r="O76" s="549"/>
      <c r="P76" s="448"/>
      <c r="Q76" s="390"/>
      <c r="R76" s="586"/>
      <c r="S76" s="623"/>
      <c r="T76" s="522"/>
      <c r="U76" s="507"/>
      <c r="V76" s="754"/>
      <c r="W76" s="570"/>
      <c r="X76" s="726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40"/>
      <c r="J77" s="740"/>
      <c r="K77" s="289"/>
      <c r="L77" s="316">
        <v>7</v>
      </c>
      <c r="M77" s="337" t="s">
        <v>310</v>
      </c>
      <c r="N77" s="329"/>
      <c r="O77" s="550"/>
      <c r="P77" s="463"/>
      <c r="Q77" s="330"/>
      <c r="R77" s="587"/>
      <c r="S77" s="624"/>
      <c r="T77" s="523"/>
      <c r="U77" s="508"/>
      <c r="V77" s="755"/>
      <c r="W77" s="571"/>
      <c r="X77" s="727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311</v>
      </c>
      <c r="D79" s="333"/>
      <c r="E79" s="466"/>
      <c r="F79" s="420"/>
      <c r="G79" s="334"/>
      <c r="H79" s="573"/>
      <c r="I79" s="744">
        <f>SUM(G79:G87)</f>
        <v>4000</v>
      </c>
      <c r="J79" s="744">
        <f>F166+F168</f>
        <v>4494.3820224719102</v>
      </c>
      <c r="K79" s="297"/>
      <c r="L79" s="332">
        <v>8</v>
      </c>
      <c r="M79" s="429" t="s">
        <v>312</v>
      </c>
      <c r="N79" s="333"/>
      <c r="O79" s="466"/>
      <c r="P79" s="420"/>
      <c r="Q79" s="334"/>
      <c r="R79" s="589"/>
      <c r="S79" s="626"/>
      <c r="T79" s="525"/>
      <c r="U79" s="510"/>
      <c r="V79" s="771">
        <f>J79-SUM(U79:U87)</f>
        <v>0</v>
      </c>
      <c r="W79" s="573"/>
      <c r="X79" s="747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45"/>
      <c r="J80" s="745"/>
      <c r="K80" s="301"/>
      <c r="L80" s="322">
        <v>8</v>
      </c>
      <c r="M80" s="437" t="s">
        <v>312</v>
      </c>
      <c r="N80" s="335"/>
      <c r="O80" s="419"/>
      <c r="P80" s="464"/>
      <c r="Q80" s="324"/>
      <c r="R80" s="590"/>
      <c r="S80" s="627"/>
      <c r="T80" s="526"/>
      <c r="U80" s="511"/>
      <c r="V80" s="772"/>
      <c r="W80" s="574"/>
      <c r="X80" s="748"/>
      <c r="Y80" s="485"/>
    </row>
    <row r="81" spans="1:25" ht="14.25" customHeight="1">
      <c r="B81" s="322">
        <v>8</v>
      </c>
      <c r="C81" s="323"/>
      <c r="D81" s="335" t="s">
        <v>313</v>
      </c>
      <c r="E81" s="419"/>
      <c r="F81" s="464"/>
      <c r="G81" s="324">
        <v>4000</v>
      </c>
      <c r="H81" s="540">
        <v>45911</v>
      </c>
      <c r="I81" s="745"/>
      <c r="J81" s="745"/>
      <c r="K81" s="301"/>
      <c r="L81" s="322">
        <v>8</v>
      </c>
      <c r="M81" s="437" t="s">
        <v>312</v>
      </c>
      <c r="N81" s="335" t="s">
        <v>313</v>
      </c>
      <c r="O81" s="419"/>
      <c r="P81" s="464"/>
      <c r="Q81" s="324">
        <v>3600</v>
      </c>
      <c r="R81" s="590" t="s">
        <v>314</v>
      </c>
      <c r="S81" s="627" t="s">
        <v>315</v>
      </c>
      <c r="T81" s="653">
        <v>45900</v>
      </c>
      <c r="U81" s="676">
        <v>323.94562605061304</v>
      </c>
      <c r="V81" s="772"/>
      <c r="W81" s="540">
        <v>45911</v>
      </c>
      <c r="X81" s="748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45"/>
      <c r="J82" s="745"/>
      <c r="K82" s="301"/>
      <c r="L82" s="322">
        <v>8</v>
      </c>
      <c r="M82" s="437" t="s">
        <v>312</v>
      </c>
      <c r="N82" s="335"/>
      <c r="O82" s="556"/>
      <c r="P82" s="464"/>
      <c r="Q82" s="324"/>
      <c r="R82" s="590"/>
      <c r="S82" s="627"/>
      <c r="T82" s="526"/>
      <c r="U82" s="511"/>
      <c r="V82" s="772"/>
      <c r="W82" s="574"/>
      <c r="X82" s="748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45"/>
      <c r="J83" s="745"/>
      <c r="K83" s="301"/>
      <c r="L83" s="322">
        <v>8</v>
      </c>
      <c r="M83" s="437" t="s">
        <v>312</v>
      </c>
      <c r="N83" s="335" t="s">
        <v>316</v>
      </c>
      <c r="O83" s="661">
        <v>46345.96</v>
      </c>
      <c r="P83" s="662">
        <v>0.5</v>
      </c>
      <c r="Q83" s="324">
        <f>O83*P83</f>
        <v>23172.98</v>
      </c>
      <c r="R83" s="750" t="s">
        <v>317</v>
      </c>
      <c r="S83" s="627" t="s">
        <v>318</v>
      </c>
      <c r="T83" s="653">
        <v>45961</v>
      </c>
      <c r="U83" s="709">
        <v>2085.2181982106486</v>
      </c>
      <c r="V83" s="772"/>
      <c r="W83" s="540">
        <v>45954</v>
      </c>
      <c r="X83" s="748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45"/>
      <c r="J84" s="745"/>
      <c r="K84" s="301"/>
      <c r="L84" s="322">
        <v>8</v>
      </c>
      <c r="M84" s="437" t="s">
        <v>312</v>
      </c>
      <c r="N84" s="335" t="s">
        <v>319</v>
      </c>
      <c r="O84" s="556"/>
      <c r="P84" s="662">
        <v>0.5</v>
      </c>
      <c r="Q84" s="324">
        <f>O83*P84</f>
        <v>23172.98</v>
      </c>
      <c r="R84" s="752"/>
      <c r="S84" s="627" t="s">
        <v>318</v>
      </c>
      <c r="T84" s="653">
        <v>45961</v>
      </c>
      <c r="U84" s="709">
        <v>2085.2181982106486</v>
      </c>
      <c r="V84" s="772"/>
      <c r="W84" s="540">
        <v>46051</v>
      </c>
      <c r="X84" s="748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45"/>
      <c r="J85" s="745"/>
      <c r="K85" s="301"/>
      <c r="L85" s="322">
        <v>8</v>
      </c>
      <c r="M85" s="437" t="s">
        <v>312</v>
      </c>
      <c r="N85" s="335"/>
      <c r="O85" s="556"/>
      <c r="P85" s="464"/>
      <c r="Q85" s="324"/>
      <c r="R85" s="590"/>
      <c r="S85" s="627"/>
      <c r="T85" s="653"/>
      <c r="U85" s="511"/>
      <c r="V85" s="772"/>
      <c r="W85" s="574"/>
      <c r="X85" s="748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45"/>
      <c r="J86" s="745"/>
      <c r="K86" s="301"/>
      <c r="L86" s="322">
        <v>8</v>
      </c>
      <c r="M86" s="437" t="s">
        <v>312</v>
      </c>
      <c r="N86" s="335"/>
      <c r="O86" s="556"/>
      <c r="P86" s="464"/>
      <c r="Q86" s="324"/>
      <c r="R86" s="594"/>
      <c r="S86" s="631"/>
      <c r="T86" s="529"/>
      <c r="U86" s="516"/>
      <c r="V86" s="772"/>
      <c r="W86" s="577"/>
      <c r="X86" s="748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46"/>
      <c r="J87" s="746"/>
      <c r="K87" s="306"/>
      <c r="L87" s="302">
        <v>8</v>
      </c>
      <c r="M87" s="436" t="s">
        <v>312</v>
      </c>
      <c r="N87" s="304"/>
      <c r="O87" s="557"/>
      <c r="P87" s="458"/>
      <c r="Q87" s="305"/>
      <c r="R87" s="591"/>
      <c r="S87" s="628"/>
      <c r="T87" s="527"/>
      <c r="U87" s="512"/>
      <c r="V87" s="773"/>
      <c r="W87" s="575"/>
      <c r="X87" s="749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320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321</v>
      </c>
      <c r="D89" s="327" t="s">
        <v>322</v>
      </c>
      <c r="E89" s="314"/>
      <c r="F89" s="441"/>
      <c r="G89" s="617">
        <f>D173</f>
        <v>13680</v>
      </c>
      <c r="H89" s="576">
        <f>H90</f>
        <v>45918</v>
      </c>
      <c r="I89" s="762">
        <f>SUM(G89:G100)</f>
        <v>45600</v>
      </c>
      <c r="J89" s="738">
        <f>F173+F174</f>
        <v>53647.05882352942</v>
      </c>
      <c r="K89" s="288"/>
      <c r="L89" s="311">
        <v>9</v>
      </c>
      <c r="M89" s="427" t="s">
        <v>323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28">
        <f>J89-SUM(U89:U100)</f>
        <v>0</v>
      </c>
      <c r="W89" s="576"/>
      <c r="X89" s="765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324</v>
      </c>
      <c r="E90" s="314"/>
      <c r="F90" s="462"/>
      <c r="G90" s="617">
        <f>D174</f>
        <v>31920.000000000004</v>
      </c>
      <c r="H90" s="537">
        <v>45918</v>
      </c>
      <c r="I90" s="763"/>
      <c r="J90" s="739"/>
      <c r="K90" s="288"/>
      <c r="L90" s="311">
        <v>9</v>
      </c>
      <c r="M90" s="427" t="s">
        <v>323</v>
      </c>
      <c r="N90" s="328" t="s">
        <v>273</v>
      </c>
      <c r="O90" s="565">
        <f>Z30+Z29</f>
        <v>88732</v>
      </c>
      <c r="P90" s="566">
        <v>0.1</v>
      </c>
      <c r="Q90" s="315">
        <f>$O$90*P90</f>
        <v>8873.2000000000007</v>
      </c>
      <c r="R90" s="774" t="s">
        <v>274</v>
      </c>
      <c r="S90" s="622" t="s">
        <v>275</v>
      </c>
      <c r="T90" s="671">
        <v>45930</v>
      </c>
      <c r="U90" s="707">
        <v>5364.7058823529414</v>
      </c>
      <c r="V90" s="729"/>
      <c r="W90" s="537">
        <v>45918</v>
      </c>
      <c r="X90" s="766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63"/>
      <c r="J91" s="739"/>
      <c r="K91" s="288"/>
      <c r="L91" s="387">
        <v>9</v>
      </c>
      <c r="M91" s="504" t="s">
        <v>323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775"/>
      <c r="S91" s="623" t="s">
        <v>276</v>
      </c>
      <c r="T91" s="668">
        <f t="shared" si="12"/>
        <v>45961</v>
      </c>
      <c r="U91" s="707">
        <v>8047.0588235294108</v>
      </c>
      <c r="V91" s="729"/>
      <c r="W91" s="538">
        <v>45954</v>
      </c>
      <c r="X91" s="766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63"/>
      <c r="J92" s="739"/>
      <c r="K92" s="288"/>
      <c r="L92" s="387">
        <v>9</v>
      </c>
      <c r="M92" s="504" t="s">
        <v>323</v>
      </c>
      <c r="N92" s="389" t="s">
        <v>278</v>
      </c>
      <c r="O92" s="549"/>
      <c r="P92" s="564">
        <v>0.2</v>
      </c>
      <c r="Q92" s="315">
        <f t="shared" si="14"/>
        <v>17746.400000000001</v>
      </c>
      <c r="R92" s="775"/>
      <c r="S92" s="623" t="s">
        <v>325</v>
      </c>
      <c r="T92" s="668">
        <v>45991</v>
      </c>
      <c r="U92" s="707">
        <v>10729.411764705883</v>
      </c>
      <c r="V92" s="729"/>
      <c r="W92" s="684">
        <v>45995</v>
      </c>
      <c r="X92" s="766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63"/>
      <c r="J93" s="739"/>
      <c r="K93" s="288"/>
      <c r="L93" s="387">
        <v>9</v>
      </c>
      <c r="M93" s="504" t="s">
        <v>323</v>
      </c>
      <c r="N93" s="389" t="s">
        <v>280</v>
      </c>
      <c r="O93" s="549"/>
      <c r="P93" s="564">
        <v>0.25</v>
      </c>
      <c r="Q93" s="315">
        <f t="shared" si="14"/>
        <v>22183</v>
      </c>
      <c r="R93" s="775"/>
      <c r="S93" s="623" t="s">
        <v>281</v>
      </c>
      <c r="T93" s="683">
        <v>45991</v>
      </c>
      <c r="U93" s="707">
        <v>13411.764705882353</v>
      </c>
      <c r="V93" s="729"/>
      <c r="W93" s="538">
        <v>45989</v>
      </c>
      <c r="X93" s="766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63"/>
      <c r="J94" s="739"/>
      <c r="K94" s="288"/>
      <c r="L94" s="387">
        <v>9</v>
      </c>
      <c r="M94" s="504" t="s">
        <v>323</v>
      </c>
      <c r="N94" s="389" t="s">
        <v>282</v>
      </c>
      <c r="O94" s="549"/>
      <c r="P94" s="564">
        <v>0.1</v>
      </c>
      <c r="Q94" s="315">
        <f t="shared" si="14"/>
        <v>8873.2000000000007</v>
      </c>
      <c r="R94" s="775"/>
      <c r="S94" s="623" t="s">
        <v>283</v>
      </c>
      <c r="T94" s="668">
        <f t="shared" si="12"/>
        <v>46081</v>
      </c>
      <c r="U94" s="707">
        <v>5364.7058823529414</v>
      </c>
      <c r="V94" s="729"/>
      <c r="W94" s="538">
        <v>46065</v>
      </c>
      <c r="X94" s="766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63"/>
      <c r="J95" s="739"/>
      <c r="K95" s="288"/>
      <c r="L95" s="387">
        <v>9</v>
      </c>
      <c r="M95" s="504" t="s">
        <v>323</v>
      </c>
      <c r="N95" s="389" t="s">
        <v>284</v>
      </c>
      <c r="O95" s="549"/>
      <c r="P95" s="564">
        <v>0.1</v>
      </c>
      <c r="Q95" s="315">
        <f t="shared" si="14"/>
        <v>8873.2000000000007</v>
      </c>
      <c r="R95" s="775"/>
      <c r="S95" s="623" t="s">
        <v>285</v>
      </c>
      <c r="T95" s="668">
        <v>46022</v>
      </c>
      <c r="U95" s="707">
        <v>5364.7058823529414</v>
      </c>
      <c r="V95" s="729"/>
      <c r="W95" s="538">
        <v>46065</v>
      </c>
      <c r="X95" s="766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63"/>
      <c r="J96" s="739"/>
      <c r="K96" s="288"/>
      <c r="L96" s="387">
        <v>9</v>
      </c>
      <c r="M96" s="504" t="s">
        <v>323</v>
      </c>
      <c r="N96" s="389" t="s">
        <v>286</v>
      </c>
      <c r="O96" s="549"/>
      <c r="P96" s="564">
        <v>0.05</v>
      </c>
      <c r="Q96" s="315">
        <f t="shared" si="14"/>
        <v>4436.6000000000004</v>
      </c>
      <c r="R96" s="775"/>
      <c r="S96" s="623" t="s">
        <v>287</v>
      </c>
      <c r="T96" s="668">
        <v>46022</v>
      </c>
      <c r="U96" s="707">
        <v>2682.3529411764707</v>
      </c>
      <c r="V96" s="729"/>
      <c r="W96" s="538">
        <v>46065</v>
      </c>
      <c r="X96" s="766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63"/>
      <c r="J97" s="739"/>
      <c r="K97" s="288"/>
      <c r="L97" s="387">
        <v>9</v>
      </c>
      <c r="M97" s="504" t="s">
        <v>323</v>
      </c>
      <c r="N97" s="389" t="s">
        <v>288</v>
      </c>
      <c r="O97" s="549"/>
      <c r="P97" s="564">
        <v>0.05</v>
      </c>
      <c r="Q97" s="315">
        <f t="shared" si="14"/>
        <v>4436.6000000000004</v>
      </c>
      <c r="R97" s="776"/>
      <c r="S97" s="623" t="s">
        <v>289</v>
      </c>
      <c r="T97" s="668">
        <v>46022</v>
      </c>
      <c r="U97" s="707">
        <v>2682.3529411764707</v>
      </c>
      <c r="V97" s="729"/>
      <c r="W97" s="570">
        <f>W96+30</f>
        <v>46095</v>
      </c>
      <c r="X97" s="766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63"/>
      <c r="J98" s="739"/>
      <c r="K98" s="288"/>
      <c r="L98" s="387">
        <v>9</v>
      </c>
      <c r="M98" s="504" t="s">
        <v>323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29"/>
      <c r="W98" s="570"/>
      <c r="X98" s="766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63"/>
      <c r="J99" s="739"/>
      <c r="K99" s="288"/>
      <c r="L99" s="387">
        <v>9</v>
      </c>
      <c r="M99" s="504" t="s">
        <v>323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29"/>
      <c r="W99" s="570"/>
      <c r="X99" s="766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64"/>
      <c r="J100" s="740"/>
      <c r="K100" s="364"/>
      <c r="L100" s="316">
        <v>9</v>
      </c>
      <c r="M100" s="445" t="s">
        <v>323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30"/>
      <c r="W100" s="571"/>
      <c r="X100" s="767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326</v>
      </c>
      <c r="D102" s="270" t="s">
        <v>251</v>
      </c>
      <c r="E102" s="271"/>
      <c r="F102" s="473"/>
      <c r="G102" s="338">
        <f>D177</f>
        <v>8500</v>
      </c>
      <c r="H102" s="580">
        <f>H90</f>
        <v>45918</v>
      </c>
      <c r="I102" s="756">
        <f>SUM(G102:G116)</f>
        <v>37508.5</v>
      </c>
      <c r="J102" s="756">
        <f>F177+F180+F181+F179+F178</f>
        <v>44127.647058823532</v>
      </c>
      <c r="K102" s="339"/>
      <c r="L102" s="269">
        <v>10</v>
      </c>
      <c r="M102" s="438" t="s">
        <v>327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68">
        <f>J102-SUM(U102:U116)</f>
        <v>0</v>
      </c>
      <c r="W102" s="580"/>
      <c r="X102" s="759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252</v>
      </c>
      <c r="E103" s="342"/>
      <c r="F103" s="474"/>
      <c r="G103" s="343">
        <f>D181</f>
        <v>17008.5</v>
      </c>
      <c r="H103" s="581">
        <v>45918</v>
      </c>
      <c r="I103" s="757"/>
      <c r="J103" s="757"/>
      <c r="K103" s="272"/>
      <c r="L103" s="340">
        <v>10</v>
      </c>
      <c r="M103" s="439" t="s">
        <v>327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69"/>
      <c r="W103" s="581"/>
      <c r="X103" s="760"/>
      <c r="Y103" s="485"/>
    </row>
    <row r="104" spans="1:25" ht="14.25" customHeight="1">
      <c r="B104" s="340">
        <v>10</v>
      </c>
      <c r="C104" s="341"/>
      <c r="D104" s="341" t="s">
        <v>328</v>
      </c>
      <c r="E104" s="342"/>
      <c r="F104" s="474"/>
      <c r="G104" s="343">
        <f>D180</f>
        <v>12000</v>
      </c>
      <c r="H104" s="581">
        <v>45918</v>
      </c>
      <c r="I104" s="757"/>
      <c r="J104" s="757"/>
      <c r="K104" s="272"/>
      <c r="L104" s="340">
        <v>10</v>
      </c>
      <c r="M104" s="439" t="s">
        <v>327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69"/>
      <c r="W104" s="581"/>
      <c r="X104" s="760"/>
      <c r="Y104" s="485"/>
    </row>
    <row r="105" spans="1:25" ht="14.25" customHeight="1">
      <c r="B105" s="340">
        <v>10</v>
      </c>
      <c r="C105" s="341"/>
      <c r="D105" s="341" t="s">
        <v>253</v>
      </c>
      <c r="E105" s="342"/>
      <c r="F105" s="474"/>
      <c r="G105" s="343">
        <f>D179</f>
        <v>0</v>
      </c>
      <c r="H105" s="581"/>
      <c r="I105" s="757"/>
      <c r="J105" s="757"/>
      <c r="K105" s="272"/>
      <c r="L105" s="340">
        <v>10</v>
      </c>
      <c r="M105" s="439" t="s">
        <v>327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69"/>
      <c r="W105" s="581"/>
      <c r="X105" s="760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57"/>
      <c r="J106" s="757"/>
      <c r="K106" s="272"/>
      <c r="L106" s="340">
        <v>10</v>
      </c>
      <c r="M106" s="439" t="s">
        <v>327</v>
      </c>
      <c r="N106" s="341" t="s">
        <v>273</v>
      </c>
      <c r="O106" s="616">
        <f>SUM(Z31:Z35)</f>
        <v>35568</v>
      </c>
      <c r="P106" s="567">
        <v>0.1</v>
      </c>
      <c r="Q106" s="343">
        <f>$O$106*P106</f>
        <v>3556.8</v>
      </c>
      <c r="R106" s="779" t="s">
        <v>274</v>
      </c>
      <c r="S106" s="636" t="s">
        <v>275</v>
      </c>
      <c r="T106" s="670">
        <v>45930</v>
      </c>
      <c r="U106" s="712">
        <v>4412.7647058823532</v>
      </c>
      <c r="V106" s="769"/>
      <c r="W106" s="542">
        <f>W90</f>
        <v>45918</v>
      </c>
      <c r="X106" s="760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57"/>
      <c r="J107" s="757"/>
      <c r="K107" s="272"/>
      <c r="L107" s="340">
        <v>10</v>
      </c>
      <c r="M107" s="439" t="s">
        <v>327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780"/>
      <c r="S107" s="641" t="s">
        <v>276</v>
      </c>
      <c r="T107" s="696">
        <v>45961</v>
      </c>
      <c r="U107" s="712">
        <v>6619.1470588235297</v>
      </c>
      <c r="V107" s="769"/>
      <c r="W107" s="542">
        <f t="shared" ref="W107:W113" si="18">W91</f>
        <v>45954</v>
      </c>
      <c r="X107" s="760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57"/>
      <c r="J108" s="757"/>
      <c r="K108" s="272"/>
      <c r="L108" s="340">
        <v>10</v>
      </c>
      <c r="M108" s="439" t="s">
        <v>327</v>
      </c>
      <c r="N108" s="341" t="s">
        <v>278</v>
      </c>
      <c r="O108" s="560"/>
      <c r="P108" s="567">
        <v>0.2</v>
      </c>
      <c r="Q108" s="343">
        <f t="shared" si="17"/>
        <v>7113.6</v>
      </c>
      <c r="R108" s="780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69"/>
      <c r="W108" s="688">
        <f t="shared" si="18"/>
        <v>45995</v>
      </c>
      <c r="X108" s="760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57"/>
      <c r="J109" s="757"/>
      <c r="K109" s="272"/>
      <c r="L109" s="340">
        <v>10</v>
      </c>
      <c r="M109" s="439" t="s">
        <v>327</v>
      </c>
      <c r="N109" s="341" t="s">
        <v>280</v>
      </c>
      <c r="O109" s="560"/>
      <c r="P109" s="567">
        <v>0.25</v>
      </c>
      <c r="Q109" s="343">
        <f t="shared" si="17"/>
        <v>8892</v>
      </c>
      <c r="R109" s="780"/>
      <c r="S109" s="636" t="s">
        <v>281</v>
      </c>
      <c r="T109" s="687">
        <f>T93</f>
        <v>45991</v>
      </c>
      <c r="U109" s="712">
        <v>11031.911764705883</v>
      </c>
      <c r="V109" s="769"/>
      <c r="W109" s="542">
        <f>W93</f>
        <v>45989</v>
      </c>
      <c r="X109" s="760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57"/>
      <c r="J110" s="757"/>
      <c r="K110" s="272"/>
      <c r="L110" s="340">
        <v>10</v>
      </c>
      <c r="M110" s="439" t="s">
        <v>327</v>
      </c>
      <c r="N110" s="341" t="s">
        <v>282</v>
      </c>
      <c r="O110" s="560"/>
      <c r="P110" s="567">
        <v>0.1</v>
      </c>
      <c r="Q110" s="343">
        <f t="shared" si="17"/>
        <v>3556.8</v>
      </c>
      <c r="R110" s="780"/>
      <c r="S110" s="636" t="s">
        <v>283</v>
      </c>
      <c r="T110" s="696">
        <v>46022</v>
      </c>
      <c r="U110" s="712">
        <v>4412.7647058823532</v>
      </c>
      <c r="V110" s="769"/>
      <c r="W110" s="542">
        <f>W94</f>
        <v>46065</v>
      </c>
      <c r="X110" s="760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57"/>
      <c r="J111" s="757"/>
      <c r="K111" s="272"/>
      <c r="L111" s="340">
        <v>10</v>
      </c>
      <c r="M111" s="439" t="s">
        <v>327</v>
      </c>
      <c r="N111" s="341" t="s">
        <v>284</v>
      </c>
      <c r="O111" s="560"/>
      <c r="P111" s="567">
        <v>0.1</v>
      </c>
      <c r="Q111" s="343">
        <f t="shared" si="17"/>
        <v>3556.8</v>
      </c>
      <c r="R111" s="780"/>
      <c r="S111" s="636" t="s">
        <v>285</v>
      </c>
      <c r="T111" s="696">
        <v>46022</v>
      </c>
      <c r="U111" s="712">
        <v>4412.7647058823532</v>
      </c>
      <c r="V111" s="769"/>
      <c r="W111" s="542">
        <f>W95</f>
        <v>46065</v>
      </c>
      <c r="X111" s="760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57"/>
      <c r="J112" s="757"/>
      <c r="K112" s="272"/>
      <c r="L112" s="340">
        <v>10</v>
      </c>
      <c r="M112" s="439" t="s">
        <v>327</v>
      </c>
      <c r="N112" s="341" t="s">
        <v>286</v>
      </c>
      <c r="O112" s="560"/>
      <c r="P112" s="567">
        <v>0.05</v>
      </c>
      <c r="Q112" s="343">
        <f t="shared" si="17"/>
        <v>1778.4</v>
      </c>
      <c r="R112" s="780"/>
      <c r="S112" s="636" t="s">
        <v>287</v>
      </c>
      <c r="T112" s="696">
        <v>46022</v>
      </c>
      <c r="U112" s="712">
        <v>2206.3823529411766</v>
      </c>
      <c r="V112" s="769"/>
      <c r="W112" s="542">
        <f>W96</f>
        <v>46065</v>
      </c>
      <c r="X112" s="760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57"/>
      <c r="J113" s="757"/>
      <c r="K113" s="272"/>
      <c r="L113" s="340">
        <v>10</v>
      </c>
      <c r="M113" s="439" t="s">
        <v>327</v>
      </c>
      <c r="N113" s="341" t="s">
        <v>288</v>
      </c>
      <c r="O113" s="560"/>
      <c r="P113" s="567">
        <v>0.05</v>
      </c>
      <c r="Q113" s="343">
        <f t="shared" si="17"/>
        <v>1778.4</v>
      </c>
      <c r="R113" s="781"/>
      <c r="S113" s="636" t="s">
        <v>289</v>
      </c>
      <c r="T113" s="696">
        <v>46022</v>
      </c>
      <c r="U113" s="712">
        <v>2206.3823529411766</v>
      </c>
      <c r="V113" s="769"/>
      <c r="W113" s="582">
        <f t="shared" si="18"/>
        <v>46095</v>
      </c>
      <c r="X113" s="760"/>
      <c r="Y113" s="485"/>
    </row>
    <row r="114" spans="1:25" ht="14.25" customHeight="1">
      <c r="B114" s="340">
        <v>10</v>
      </c>
      <c r="C114" s="341"/>
      <c r="D114" s="341"/>
      <c r="E114" s="342"/>
      <c r="F114" s="474"/>
      <c r="G114" s="343"/>
      <c r="H114" s="582"/>
      <c r="I114" s="757"/>
      <c r="J114" s="757"/>
      <c r="K114" s="272"/>
      <c r="L114" s="340">
        <v>10</v>
      </c>
      <c r="M114" s="439" t="s">
        <v>327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69"/>
      <c r="W114" s="582"/>
      <c r="X114" s="760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57"/>
      <c r="J115" s="757"/>
      <c r="K115" s="272"/>
      <c r="L115" s="340">
        <v>10</v>
      </c>
      <c r="M115" s="439" t="s">
        <v>327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69"/>
      <c r="W115" s="582"/>
      <c r="X115" s="760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58"/>
      <c r="J116" s="758"/>
      <c r="K116" s="275"/>
      <c r="L116" s="273">
        <v>10</v>
      </c>
      <c r="M116" s="440" t="s">
        <v>327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70"/>
      <c r="W116" s="583"/>
      <c r="X116" s="761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329</v>
      </c>
      <c r="D118" s="351" t="s">
        <v>330</v>
      </c>
      <c r="E118" s="283"/>
      <c r="F118" s="441"/>
      <c r="G118" s="284">
        <v>11000</v>
      </c>
      <c r="H118" s="576">
        <f>H104</f>
        <v>45918</v>
      </c>
      <c r="I118" s="738">
        <f>SUM(G118:G122)</f>
        <v>29000</v>
      </c>
      <c r="J118" s="738">
        <f>F176</f>
        <v>34117.647058823532</v>
      </c>
      <c r="K118" s="285"/>
      <c r="L118" s="281">
        <v>11</v>
      </c>
      <c r="M118" s="351" t="s">
        <v>331</v>
      </c>
      <c r="N118" s="351" t="s">
        <v>330</v>
      </c>
      <c r="O118" s="283"/>
      <c r="P118" s="665"/>
      <c r="Q118" s="667">
        <v>10500</v>
      </c>
      <c r="R118" s="666"/>
      <c r="S118" s="629" t="s">
        <v>332</v>
      </c>
      <c r="T118" s="722">
        <v>46053</v>
      </c>
      <c r="U118" s="707">
        <v>13185.192502183059</v>
      </c>
      <c r="V118" s="728">
        <f>J118-SUM(U118:U122)</f>
        <v>-2.9208012492745183E-3</v>
      </c>
      <c r="W118" s="576">
        <v>46065</v>
      </c>
      <c r="X118" s="725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333</v>
      </c>
      <c r="E119" s="314"/>
      <c r="F119" s="462"/>
      <c r="G119" s="315">
        <v>18000</v>
      </c>
      <c r="H119" s="537">
        <v>45526</v>
      </c>
      <c r="I119" s="739"/>
      <c r="J119" s="739"/>
      <c r="K119" s="288"/>
      <c r="L119" s="311">
        <v>11</v>
      </c>
      <c r="M119" s="393" t="s">
        <v>331</v>
      </c>
      <c r="N119" s="313" t="s">
        <v>334</v>
      </c>
      <c r="O119" s="314"/>
      <c r="P119" s="462"/>
      <c r="Q119" s="664">
        <v>7690.9</v>
      </c>
      <c r="R119" s="639"/>
      <c r="S119" s="622" t="s">
        <v>335</v>
      </c>
      <c r="T119" s="677">
        <v>45900</v>
      </c>
      <c r="U119" s="679">
        <v>11584.168904765686</v>
      </c>
      <c r="V119" s="729"/>
      <c r="W119" s="537">
        <v>45526</v>
      </c>
      <c r="X119" s="726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39"/>
      <c r="J120" s="739"/>
      <c r="K120" s="288"/>
      <c r="L120" s="311">
        <v>11</v>
      </c>
      <c r="M120" s="393" t="s">
        <v>331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29"/>
      <c r="W120" s="569"/>
      <c r="X120" s="726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39"/>
      <c r="J121" s="739"/>
      <c r="K121" s="288"/>
      <c r="L121" s="311">
        <v>11</v>
      </c>
      <c r="M121" s="393" t="s">
        <v>331</v>
      </c>
      <c r="N121" s="391" t="s">
        <v>336</v>
      </c>
      <c r="O121" s="549"/>
      <c r="P121" s="448"/>
      <c r="Q121" s="390">
        <v>6000</v>
      </c>
      <c r="R121" s="586"/>
      <c r="S121" s="678" t="s">
        <v>337</v>
      </c>
      <c r="T121" s="660">
        <v>46022</v>
      </c>
      <c r="U121" s="707">
        <v>9348.288572676036</v>
      </c>
      <c r="V121" s="729"/>
      <c r="W121" s="538">
        <v>46051</v>
      </c>
      <c r="X121" s="726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40"/>
      <c r="J122" s="740"/>
      <c r="K122" s="289"/>
      <c r="L122" s="316">
        <v>11</v>
      </c>
      <c r="M122" s="423" t="s">
        <v>331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30"/>
      <c r="W122" s="571"/>
      <c r="X122" s="727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338</v>
      </c>
      <c r="D124" s="270"/>
      <c r="E124" s="271"/>
      <c r="F124" s="473"/>
      <c r="G124" s="338"/>
      <c r="H124" s="580"/>
      <c r="I124" s="756">
        <f>SUM(G124:G125)</f>
        <v>0</v>
      </c>
      <c r="J124" s="756">
        <v>0</v>
      </c>
      <c r="K124" s="777"/>
      <c r="L124" s="269">
        <v>12</v>
      </c>
      <c r="M124" s="270" t="s">
        <v>339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59">
        <f>SUM(Q124:Q125)</f>
        <v>0</v>
      </c>
      <c r="Y124" s="485"/>
    </row>
    <row r="125" spans="1:25" ht="15" customHeight="1" thickBot="1">
      <c r="B125" s="273">
        <v>12</v>
      </c>
      <c r="C125" s="344" t="s">
        <v>338</v>
      </c>
      <c r="D125" s="344"/>
      <c r="E125" s="345"/>
      <c r="F125" s="475"/>
      <c r="G125" s="274"/>
      <c r="H125" s="583"/>
      <c r="I125" s="758"/>
      <c r="J125" s="758"/>
      <c r="K125" s="778"/>
      <c r="L125" s="273">
        <v>12</v>
      </c>
      <c r="M125" s="344" t="s">
        <v>339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61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340</v>
      </c>
      <c r="D127" s="351" t="s">
        <v>341</v>
      </c>
      <c r="E127" s="283"/>
      <c r="F127" s="441"/>
      <c r="G127" s="284">
        <v>7923.9905326086973</v>
      </c>
      <c r="H127" s="576">
        <v>46022</v>
      </c>
      <c r="I127" s="738">
        <f>SUM(G127:G131)</f>
        <v>48044.950532608695</v>
      </c>
      <c r="J127" s="738">
        <f>F175</f>
        <v>54596.534696146242</v>
      </c>
      <c r="K127" s="285"/>
      <c r="L127" s="281">
        <v>13</v>
      </c>
      <c r="M127" s="351" t="s">
        <v>342</v>
      </c>
      <c r="N127" s="351" t="s">
        <v>343</v>
      </c>
      <c r="O127" s="547"/>
      <c r="P127" s="441"/>
      <c r="Q127" s="284">
        <f>'Project Plan'!$E$6*1.25%</f>
        <v>10354.590569768076</v>
      </c>
      <c r="R127" s="592"/>
      <c r="S127" s="629" t="s">
        <v>344</v>
      </c>
      <c r="T127" s="722">
        <v>46081</v>
      </c>
      <c r="U127" s="514">
        <f t="shared" ref="U127:U132" si="19">(Q127/$X$127*$J$127)</f>
        <v>54596.534696146242</v>
      </c>
      <c r="V127" s="728">
        <f>J127-SUM(U127:U132)</f>
        <v>0</v>
      </c>
      <c r="W127" s="570">
        <v>46112</v>
      </c>
      <c r="X127" s="725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39"/>
      <c r="J128" s="739"/>
      <c r="K128" s="288"/>
      <c r="L128" s="311">
        <v>13</v>
      </c>
      <c r="M128" s="393" t="s">
        <v>342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29"/>
      <c r="W128" s="569"/>
      <c r="X128" s="726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39"/>
      <c r="J129" s="739"/>
      <c r="K129" s="288"/>
      <c r="L129" s="311">
        <v>13</v>
      </c>
      <c r="M129" s="393" t="s">
        <v>342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29"/>
      <c r="W129" s="569"/>
      <c r="X129" s="726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39"/>
      <c r="J130" s="739"/>
      <c r="K130" s="288"/>
      <c r="L130" s="311">
        <v>13</v>
      </c>
      <c r="M130" s="393" t="s">
        <v>342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29"/>
      <c r="W130" s="569"/>
      <c r="X130" s="726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39"/>
      <c r="J131" s="739"/>
      <c r="K131" s="288"/>
      <c r="L131" s="311">
        <v>13</v>
      </c>
      <c r="M131" s="393" t="s">
        <v>342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29"/>
      <c r="W131" s="569"/>
      <c r="X131" s="726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40"/>
      <c r="J132" s="740"/>
      <c r="K132" s="364"/>
      <c r="L132" s="316">
        <v>13</v>
      </c>
      <c r="M132" s="423" t="s">
        <v>342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30"/>
      <c r="W132" s="571"/>
      <c r="X132" s="727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56">
        <f>SUM(G134:G145)</f>
        <v>875</v>
      </c>
      <c r="J134" s="756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68">
        <f>J134-SUM(U134:U145)</f>
        <v>-1.6090193867057678E-5</v>
      </c>
      <c r="W134" s="542">
        <v>45905</v>
      </c>
      <c r="X134" s="759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57"/>
      <c r="J135" s="757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69"/>
      <c r="W135" s="688">
        <v>45930</v>
      </c>
      <c r="X135" s="760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57"/>
      <c r="J136" s="757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69"/>
      <c r="W136" s="688">
        <v>45967</v>
      </c>
      <c r="X136" s="760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57"/>
      <c r="J137" s="757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69"/>
      <c r="W137" s="688">
        <v>45991</v>
      </c>
      <c r="X137" s="760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57"/>
      <c r="J138" s="757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69"/>
      <c r="W138" s="688">
        <v>46022</v>
      </c>
      <c r="X138" s="760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57"/>
      <c r="J139" s="757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69"/>
      <c r="W139" s="688">
        <v>46058</v>
      </c>
      <c r="X139" s="760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57"/>
      <c r="J140" s="757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69"/>
      <c r="W140" s="582"/>
      <c r="X140" s="760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57"/>
      <c r="J141" s="757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69"/>
      <c r="W141" s="582"/>
      <c r="X141" s="760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57"/>
      <c r="J142" s="757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69"/>
      <c r="W142" s="582"/>
      <c r="X142" s="760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57"/>
      <c r="J143" s="757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69"/>
      <c r="W143" s="582"/>
      <c r="X143" s="760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57"/>
      <c r="J144" s="757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69"/>
      <c r="W144" s="582"/>
      <c r="X144" s="760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58"/>
      <c r="J145" s="758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70"/>
      <c r="W145" s="583"/>
      <c r="X145" s="761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38">
        <f>SUM(G147:G158)</f>
        <v>0</v>
      </c>
      <c r="J147" s="738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28">
        <v>0</v>
      </c>
      <c r="W147" s="576"/>
      <c r="X147" s="725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39"/>
      <c r="J148" s="739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46112</v>
      </c>
      <c r="U148" s="506"/>
      <c r="V148" s="729"/>
      <c r="W148" s="569">
        <v>46112</v>
      </c>
      <c r="X148" s="726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39"/>
      <c r="J149" s="739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29"/>
      <c r="W149" s="569"/>
      <c r="X149" s="726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39"/>
      <c r="J150" s="739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29"/>
      <c r="W150" s="569"/>
      <c r="X150" s="726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39"/>
      <c r="J151" s="739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29"/>
      <c r="W151" s="569"/>
      <c r="X151" s="726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39"/>
      <c r="J152" s="739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29"/>
      <c r="W152" s="569"/>
      <c r="X152" s="726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39"/>
      <c r="J153" s="739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29"/>
      <c r="W153" s="569"/>
      <c r="X153" s="726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39"/>
      <c r="J154" s="739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29"/>
      <c r="W154" s="569"/>
      <c r="X154" s="726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39"/>
      <c r="J155" s="739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29"/>
      <c r="W155" s="569"/>
      <c r="X155" s="726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39"/>
      <c r="J156" s="739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29"/>
      <c r="W156" s="569"/>
      <c r="X156" s="726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39"/>
      <c r="J157" s="739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29"/>
      <c r="W157" s="569"/>
      <c r="X157" s="726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40"/>
      <c r="J158" s="740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30"/>
      <c r="W158" s="571"/>
      <c r="X158" s="727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271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305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291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380</v>
      </c>
      <c r="B2" s="192"/>
      <c r="C2" s="193" t="s">
        <v>233</v>
      </c>
      <c r="D2" s="193" t="s">
        <v>233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154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156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145</v>
      </c>
      <c r="B8" s="192"/>
      <c r="C8" s="193" t="s">
        <v>233</v>
      </c>
      <c r="D8" s="193" t="s">
        <v>233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41418.362279072302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786948.8833023737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0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14339.590569768076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595870.66</v>
      </c>
      <c r="BL12" s="214">
        <f t="shared" si="26"/>
        <v>595870.66</v>
      </c>
      <c r="BM12" s="214">
        <f t="shared" si="26"/>
        <v>605476.96000000008</v>
      </c>
      <c r="BN12" s="214">
        <f t="shared" si="26"/>
        <v>605476.96000000008</v>
      </c>
      <c r="BO12" s="214">
        <f t="shared" si="26"/>
        <v>605476.96000000008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191078.22330237366</v>
      </c>
      <c r="BL14" s="207">
        <f t="shared" si="32"/>
        <v>232496.58558144595</v>
      </c>
      <c r="BM14" s="207">
        <f t="shared" si="32"/>
        <v>222890.2855814459</v>
      </c>
      <c r="BN14" s="207">
        <f t="shared" si="32"/>
        <v>222890.2855814459</v>
      </c>
      <c r="BO14" s="207">
        <f t="shared" si="32"/>
        <v>222890.2855814459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233</v>
      </c>
      <c r="D16" s="193" t="s">
        <v>233</v>
      </c>
    </row>
    <row r="17" spans="1:316">
      <c r="A17" s="811"/>
      <c r="B17" s="195" t="s">
        <v>389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390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796875" defaultRowHeight="14.5"/>
  <cols>
    <col min="1" max="1" width="38.54296875" style="366" bestFit="1" customWidth="1"/>
    <col min="2" max="2" width="16.453125" style="367" bestFit="1" customWidth="1"/>
    <col min="3" max="4" width="12.81640625" style="366" bestFit="1" customWidth="1"/>
    <col min="5" max="7" width="11.81640625" style="366" bestFit="1" customWidth="1"/>
    <col min="8" max="8" width="6.1796875" style="366" bestFit="1" customWidth="1"/>
    <col min="9" max="10" width="11.81640625" style="366" bestFit="1" customWidth="1"/>
    <col min="11" max="11" width="12.81640625" style="366" bestFit="1" customWidth="1"/>
    <col min="12" max="12" width="6.1796875" style="366" bestFit="1" customWidth="1"/>
    <col min="13" max="13" width="14.179687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236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245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257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269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292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306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312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323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327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331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342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339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310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0.54296875" bestFit="1" customWidth="1"/>
    <col min="2" max="2" width="16.453125" style="411" bestFit="1" customWidth="1"/>
    <col min="3" max="4" width="12.81640625" style="411" bestFit="1" customWidth="1"/>
    <col min="5" max="9" width="11.81640625" style="411" bestFit="1" customWidth="1"/>
    <col min="10" max="10" width="11.81640625" bestFit="1" customWidth="1"/>
    <col min="11" max="11" width="12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236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245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257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269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292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306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312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323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327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331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342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339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310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4" t="s">
        <v>397</v>
      </c>
      <c r="C2" s="814"/>
      <c r="D2" s="814"/>
      <c r="E2" s="814"/>
      <c r="H2" s="815" t="s">
        <v>398</v>
      </c>
      <c r="I2" s="816"/>
      <c r="J2" s="816"/>
      <c r="K2" s="816"/>
      <c r="L2" s="816"/>
      <c r="M2" s="816"/>
      <c r="N2" s="816"/>
      <c r="O2" s="817"/>
    </row>
    <row r="3" spans="2:15">
      <c r="B3" s="700"/>
      <c r="H3" s="818"/>
      <c r="I3" s="819"/>
      <c r="J3" s="819"/>
      <c r="K3" s="819"/>
      <c r="L3" s="819"/>
      <c r="M3" s="819"/>
      <c r="N3" s="819"/>
      <c r="O3" s="820"/>
    </row>
    <row r="4" spans="2:15">
      <c r="B4" s="701" t="s">
        <v>399</v>
      </c>
      <c r="C4" s="702" t="str">
        <f>'Project Plan'!E2</f>
        <v>Waterside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701" t="s">
        <v>400</v>
      </c>
      <c r="C5" s="702" t="s">
        <v>401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701" t="s">
        <v>402</v>
      </c>
      <c r="C6" s="702" t="s">
        <v>403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701" t="s">
        <v>404</v>
      </c>
      <c r="C7" s="702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700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405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406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703" t="s">
        <v>407</v>
      </c>
      <c r="C11" s="812" t="s">
        <v>408</v>
      </c>
      <c r="D11" s="812"/>
      <c r="E11" s="812"/>
    </row>
    <row r="12" spans="2:15">
      <c r="B12" s="703" t="s">
        <v>409</v>
      </c>
      <c r="C12" s="812" t="s">
        <v>408</v>
      </c>
      <c r="D12" s="812"/>
      <c r="E12" s="812"/>
    </row>
    <row r="13" spans="2:15">
      <c r="B13" s="703" t="s">
        <v>410</v>
      </c>
      <c r="C13" s="812" t="s">
        <v>408</v>
      </c>
      <c r="D13" s="812"/>
      <c r="E13" s="812"/>
    </row>
    <row r="14" spans="2:15">
      <c r="B14" s="703" t="s">
        <v>411</v>
      </c>
      <c r="C14" s="812" t="s">
        <v>412</v>
      </c>
      <c r="D14" s="812"/>
      <c r="E14" s="812"/>
    </row>
    <row r="15" spans="2:15">
      <c r="B15" s="703" t="s">
        <v>413</v>
      </c>
      <c r="C15" s="812" t="s">
        <v>414</v>
      </c>
      <c r="D15" s="812"/>
      <c r="E15" s="812"/>
    </row>
    <row r="16" spans="2:15" ht="15" customHeight="1">
      <c r="B16" s="703" t="s">
        <v>415</v>
      </c>
      <c r="C16" s="812" t="s">
        <v>416</v>
      </c>
      <c r="D16" s="812"/>
      <c r="E16" s="812"/>
    </row>
    <row r="17" spans="2:5">
      <c r="B17" s="700"/>
    </row>
    <row r="18" spans="2:5">
      <c r="B18" s="813" t="s">
        <v>417</v>
      </c>
      <c r="C18" s="813"/>
      <c r="D18" s="813"/>
      <c r="E18" s="813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424</v>
      </c>
    </row>
    <row r="2" spans="1:4">
      <c r="A2" s="826"/>
      <c r="B2" s="826"/>
      <c r="C2" s="826"/>
      <c r="D2" s="71"/>
    </row>
    <row r="3" spans="1:4">
      <c r="A3" s="825" t="s">
        <v>425</v>
      </c>
      <c r="B3" s="825"/>
      <c r="C3" s="825"/>
      <c r="D3" s="111">
        <v>0.32</v>
      </c>
    </row>
    <row r="4" spans="1:4">
      <c r="A4" s="825" t="s">
        <v>366</v>
      </c>
      <c r="B4" s="825"/>
      <c r="C4" s="825"/>
      <c r="D4" s="111">
        <v>0.5</v>
      </c>
    </row>
    <row r="5" spans="1:4">
      <c r="A5" s="825" t="s">
        <v>377</v>
      </c>
      <c r="B5" s="825"/>
      <c r="C5" s="825"/>
      <c r="D5" s="111">
        <v>0.15</v>
      </c>
    </row>
    <row r="6" spans="1:4">
      <c r="A6" s="825" t="s">
        <v>426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7" t="s">
        <v>427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27" t="s">
        <v>449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249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3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9" t="str">
        <f>D15</f>
        <v>Waterside</v>
      </c>
      <c r="C1" s="829"/>
      <c r="D1" s="829"/>
      <c r="E1" s="828" t="s">
        <v>462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2026-03-09T08:01:05Z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