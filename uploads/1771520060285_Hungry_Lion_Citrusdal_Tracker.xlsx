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7" documentId="13_ncr:1_{66110882-04C9-4453-AB95-5108F4E15C25}" xr6:coauthVersionLast="47" xr6:coauthVersionMax="47" xr10:uidLastSave="{A598D3DA-906B-4CB8-B93B-5B62E15261C2}"/>
  <bookViews>
    <workbookView xWindow="-28920" yWindow="720" windowWidth="29040" windowHeight="15720" tabRatio="679" firstSheet="4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<sst xmlns="http://schemas.openxmlformats.org/spreadsheetml/2006/main" count="962" uniqueCount="534">
  <si>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</si>
  <si>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</si>
  <si>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</si>
  <si>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</si>
  <si>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</si>
  <si>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</si>
  <si>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</si>
  <si>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</si>
  <si>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</si>
  <si>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</si>
  <si>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</si>
  <si>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</si>
  <si>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</si>
  <si>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</si>
  <si>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</si>
  <si>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</si>
  <si>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</si>
  <si>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</si>
  <si>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</si>
  <si>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</si>
  <si>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</si>
  <si>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</si>
  <si>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</si>
  <si>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</si>
  <si>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</si>
  <si>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</si>
  <si>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</si>
  <si>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</si>
  <si>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</si>
  <si>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</si>
  <si>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</si>
  <si>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</si>
  <si>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</si>
  <si>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</si>
  <si>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</si>
  <si>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</si>
  <si>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</si>
  <si>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</si>
  <si>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</si>
  <si>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</si>
  <si>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</si>
  <si>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</si>
  <si>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</si>
  <si>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</si>
  <si>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</si>
  <si>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</si>
  <si>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</si>
  <si>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</si>
  <si>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</si>
  <si>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</si>
  <si>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</si>
  <si>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</si>
  <si>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</si>
  <si>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</si>
  <si>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</si>
  <si>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</si>
  <si>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</si>
  <si>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</si>
  <si>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</si>
  <si>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</si>
  <si>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</si>
  <si>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</si>
  <si>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</si>
  <si>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</si>
  <si>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</si>
  <si>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</si>
  <si>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</si>
  <si>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</si>
  <si>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</si>
  <si>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</si>
  <si>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</si>
  <si>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</si>
  <si>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</si>
  <si>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</si>
  <si>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</si>
  <si>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</si>
  <si>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</si>
  <si>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</si>
  <si>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</si>
  <si>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</si>
  <si>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</si>
  <si>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</si>
  <si>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</si>
  <si>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</si>
  <si>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</si>
  <si>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</si>
  <si>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</si>
  <si>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</si>
  <si>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</si>
  <si>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</si>
  <si>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</si>
  <si>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</si>
  <si>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</si>
  <si>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</si>
  <si>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</si>
  <si>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</si>
  <si>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</si>
  <si>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</si>
  <si>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</si>
  <si>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</si>
  <si>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</si>
  <si>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</si>
  <si>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</si>
  <si>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</si>
  <si>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</si>
  <si>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</si>
  <si>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</si>
  <si>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</si>
  <si>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</si>
  <si>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</si>
  <si>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</si>
  <si>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</si>
  <si>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</si>
  <si>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</si>
  <si>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</si>
  <si>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</si>
  <si>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</si>
  <si>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</si>
  <si>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</si>
  <si>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</si>
  <si>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</si>
  <si>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</si>
  <si>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</si>
  <si>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</si>
  <si>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</si>
  <si>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</si>
  <si>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</si>
  <si>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</si>
  <si>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</si>
  <si>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</si>
  <si>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</si>
  <si>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</si>
  <si>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</si>
  <si>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</si>
  <si>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</si>
  <si>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</si>
  <si>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</si>
  <si>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</si>
  <si>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</si>
  <si>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</si>
  <si>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</si>
  <si>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</si>
  <si>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</si>
  <si>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</si>
  <si>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</si>
  <si>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</si>
  <si>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</si>
  <si>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</si>
  <si>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</si>
  <si>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</si>
  <si>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</si>
  <si>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</si>
  <si>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</si>
  <si>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</si>
  <si>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</si>
  <si>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</si>
  <si>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</si>
  <si>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</si>
  <si>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</si>
  <si>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</si>
  <si>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</si>
  <si>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</si>
  <si>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</si>
  <si>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Compliance 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</si>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</sst>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65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2" fillId="0" borderId="39" xfId="0" applyNumberFormat="1" applyFont="1" applyBorder="1" applyAlignment="1" applyProtection="1">
      <alignment horizontal="center" vertical="center" wrapText="1"/>
      <protection locked="0"/>
    </xf>
    <xf numFmtId="168" fontId="22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8" fontId="6" fillId="2" borderId="5" xfId="0" applyNumberFormat="1" applyFont="1" applyFill="1" applyBorder="1" applyAlignment="1" applyProtection="1">
      <alignment wrapText="1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70" fontId="42" fillId="9" borderId="25" xfId="0" applyNumberFormat="1" applyFont="1" applyFill="1" applyBorder="1" applyAlignment="1" applyProtection="1">
      <alignment vertical="center"/>
      <protection locked="0"/>
    </xf>
    <xf numFmtId="170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7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7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8" fontId="61" fillId="0" borderId="47" xfId="0" applyNumberFormat="1" applyFont="1" applyBorder="1" applyAlignment="1" applyProtection="1">
      <alignment horizontal="center" vertical="center" wrapText="1"/>
      <protection locked="0"/>
    </xf>
    <xf numFmtId="168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1" fillId="11" borderId="2" xfId="0" applyNumberFormat="1" applyFont="1" applyFill="1" applyBorder="1" applyAlignment="1" applyProtection="1">
      <alignment horizontal="center" vertical="center"/>
      <protection locked="0"/>
    </xf>
    <xf numFmtId="168" fontId="51" fillId="11" borderId="2" xfId="0" applyNumberFormat="1" applyFont="1" applyFill="1" applyBorder="1" applyAlignment="1" applyProtection="1">
      <alignment horizontal="center"/>
      <protection locked="0"/>
    </xf>
    <xf numFmtId="168" fontId="51" fillId="11" borderId="1" xfId="0" applyNumberFormat="1" applyFont="1" applyFill="1" applyBorder="1" applyAlignment="1" applyProtection="1">
      <alignment horizontal="center"/>
      <protection locked="0"/>
    </xf>
    <xf numFmtId="168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8" fontId="51" fillId="13" borderId="35" xfId="0" applyNumberFormat="1" applyFont="1" applyFill="1" applyBorder="1" applyAlignment="1" applyProtection="1">
      <alignment horizontal="center"/>
      <protection locked="0"/>
    </xf>
    <xf numFmtId="168" fontId="51" fillId="13" borderId="10" xfId="0" applyNumberFormat="1" applyFont="1" applyFill="1" applyBorder="1" applyAlignment="1" applyProtection="1">
      <alignment horizontal="center"/>
      <protection locked="0"/>
    </xf>
    <xf numFmtId="168" fontId="51" fillId="13" borderId="43" xfId="0" applyNumberFormat="1" applyFont="1" applyFill="1" applyBorder="1" applyAlignment="1" applyProtection="1">
      <alignment horizontal="center"/>
      <protection locked="0"/>
    </xf>
    <xf numFmtId="168" fontId="51" fillId="0" borderId="3" xfId="0" applyNumberFormat="1" applyFont="1" applyBorder="1" applyAlignment="1" applyProtection="1">
      <alignment horizontal="center"/>
      <protection locked="0"/>
    </xf>
    <xf numFmtId="168" fontId="51" fillId="11" borderId="35" xfId="0" applyNumberFormat="1" applyFont="1" applyFill="1" applyBorder="1" applyAlignment="1" applyProtection="1">
      <alignment horizontal="center"/>
      <protection locked="0"/>
    </xf>
    <xf numFmtId="168" fontId="51" fillId="13" borderId="2" xfId="0" applyNumberFormat="1" applyFont="1" applyFill="1" applyBorder="1" applyAlignment="1" applyProtection="1">
      <alignment horizontal="center"/>
      <protection locked="0"/>
    </xf>
    <xf numFmtId="168" fontId="51" fillId="13" borderId="33" xfId="0" applyNumberFormat="1" applyFont="1" applyFill="1" applyBorder="1" applyAlignment="1" applyProtection="1">
      <alignment horizontal="center"/>
      <protection locked="0"/>
    </xf>
    <xf numFmtId="168" fontId="51" fillId="11" borderId="27" xfId="0" applyNumberFormat="1" applyFont="1" applyFill="1" applyBorder="1" applyAlignment="1" applyProtection="1">
      <alignment horizontal="center"/>
      <protection locked="0"/>
    </xf>
    <xf numFmtId="168" fontId="51" fillId="13" borderId="27" xfId="0" applyNumberFormat="1" applyFont="1" applyFill="1" applyBorder="1" applyAlignment="1" applyProtection="1">
      <alignment horizontal="center"/>
      <protection locked="0"/>
    </xf>
    <xf numFmtId="168" fontId="51" fillId="11" borderId="29" xfId="0" applyNumberFormat="1" applyFont="1" applyFill="1" applyBorder="1" applyAlignment="1" applyProtection="1">
      <alignment horizontal="center"/>
      <protection locked="0"/>
    </xf>
    <xf numFmtId="168" fontId="51" fillId="13" borderId="29" xfId="0" applyNumberFormat="1" applyFont="1" applyFill="1" applyBorder="1" applyAlignment="1" applyProtection="1">
      <alignment horizontal="center"/>
      <protection locked="0"/>
    </xf>
    <xf numFmtId="168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8" fontId="51" fillId="10" borderId="35" xfId="0" applyNumberFormat="1" applyFont="1" applyFill="1" applyBorder="1" applyAlignment="1" applyProtection="1">
      <alignment horizontal="center"/>
      <protection locked="0"/>
    </xf>
    <xf numFmtId="168" fontId="51" fillId="10" borderId="27" xfId="0" applyNumberFormat="1" applyFont="1" applyFill="1" applyBorder="1" applyAlignment="1" applyProtection="1">
      <alignment horizontal="center"/>
      <protection locked="0"/>
    </xf>
    <xf numFmtId="168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8" fontId="51" fillId="10" borderId="79" xfId="0" applyNumberFormat="1" applyFont="1" applyFill="1" applyBorder="1" applyAlignment="1" applyProtection="1">
      <alignment horizontal="center"/>
      <protection locked="0"/>
    </xf>
    <xf numFmtId="168" fontId="51" fillId="10" borderId="80" xfId="0" applyNumberFormat="1" applyFont="1" applyFill="1" applyBorder="1" applyAlignment="1" applyProtection="1">
      <alignment horizontal="center"/>
      <protection locked="0"/>
    </xf>
    <xf numFmtId="168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8" fontId="51" fillId="11" borderId="55" xfId="0" applyNumberFormat="1" applyFont="1" applyFill="1" applyBorder="1" applyAlignment="1" applyProtection="1">
      <alignment horizontal="center"/>
      <protection locked="0"/>
    </xf>
    <xf numFmtId="168" fontId="51" fillId="13" borderId="51" xfId="0" applyNumberFormat="1" applyFont="1" applyFill="1" applyBorder="1" applyAlignment="1" applyProtection="1">
      <alignment horizontal="center"/>
      <protection locked="0"/>
    </xf>
    <xf numFmtId="168" fontId="51" fillId="13" borderId="52" xfId="0" applyNumberFormat="1" applyFont="1" applyFill="1" applyBorder="1" applyAlignment="1" applyProtection="1">
      <alignment horizontal="center"/>
      <protection locked="0"/>
    </xf>
    <xf numFmtId="168" fontId="51" fillId="11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8" fontId="51" fillId="13" borderId="55" xfId="0" applyNumberFormat="1" applyFont="1" applyFill="1" applyBorder="1" applyAlignment="1" applyProtection="1">
      <alignment horizontal="center"/>
      <protection locked="0"/>
    </xf>
    <xf numFmtId="168" fontId="51" fillId="10" borderId="53" xfId="0" applyNumberFormat="1" applyFont="1" applyFill="1" applyBorder="1" applyAlignment="1" applyProtection="1">
      <alignment horizontal="center"/>
      <protection locked="0"/>
    </xf>
    <xf numFmtId="168" fontId="51" fillId="10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8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8" fontId="51" fillId="11" borderId="5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857896.24999999988</c:v>
                </c:pt>
                <c:pt idx="31">
                  <c:v>857896.24999999988</c:v>
                </c:pt>
                <c:pt idx="32">
                  <c:v>857896.24999999988</c:v>
                </c:pt>
                <c:pt idx="33">
                  <c:v>874050.36999999988</c:v>
                </c:pt>
                <c:pt idx="34">
                  <c:v>889884.75549999985</c:v>
                </c:pt>
                <c:pt idx="35">
                  <c:v>889884.75549999985</c:v>
                </c:pt>
                <c:pt idx="36">
                  <c:v>889884.75549999985</c:v>
                </c:pt>
                <c:pt idx="37">
                  <c:v>889884.75549999985</c:v>
                </c:pt>
                <c:pt idx="38">
                  <c:v>889884.75549999985</c:v>
                </c:pt>
                <c:pt idx="39">
                  <c:v>889884.75549999985</c:v>
                </c:pt>
                <c:pt idx="40">
                  <c:v>889884.75549999985</c:v>
                </c:pt>
                <c:pt idx="41">
                  <c:v>889884.75549999985</c:v>
                </c:pt>
                <c:pt idx="42">
                  <c:v>889884.75549999985</c:v>
                </c:pt>
                <c:pt idx="43">
                  <c:v>889884.75549999985</c:v>
                </c:pt>
                <c:pt idx="44">
                  <c:v>889884.75549999985</c:v>
                </c:pt>
                <c:pt idx="45">
                  <c:v>889884.75549999985</c:v>
                </c:pt>
                <c:pt idx="46">
                  <c:v>889884.75549999985</c:v>
                </c:pt>
                <c:pt idx="47">
                  <c:v>889884.75549999985</c:v>
                </c:pt>
                <c:pt idx="48">
                  <c:v>889884.75549999985</c:v>
                </c:pt>
                <c:pt idx="49">
                  <c:v>889884.75549999985</c:v>
                </c:pt>
                <c:pt idx="50">
                  <c:v>889884.75549999985</c:v>
                </c:pt>
                <c:pt idx="51">
                  <c:v>889884.75549999985</c:v>
                </c:pt>
                <c:pt idx="52">
                  <c:v>889884.75549999985</c:v>
                </c:pt>
                <c:pt idx="53">
                  <c:v>889884.75549999985</c:v>
                </c:pt>
                <c:pt idx="54">
                  <c:v>889884.75549999985</c:v>
                </c:pt>
                <c:pt idx="55">
                  <c:v>889884.75549999985</c:v>
                </c:pt>
                <c:pt idx="56">
                  <c:v>889884.75549999985</c:v>
                </c:pt>
                <c:pt idx="57">
                  <c:v>889884.75549999985</c:v>
                </c:pt>
                <c:pt idx="58">
                  <c:v>889884.75549999985</c:v>
                </c:pt>
                <c:pt idx="59">
                  <c:v>889884.75549999985</c:v>
                </c:pt>
                <c:pt idx="60">
                  <c:v>889884.75549999985</c:v>
                </c:pt>
                <c:pt idx="61">
                  <c:v>889884.75549999985</c:v>
                </c:pt>
                <c:pt idx="62">
                  <c:v>889884.75549999985</c:v>
                </c:pt>
                <c:pt idx="63">
                  <c:v>889884.75549999985</c:v>
                </c:pt>
                <c:pt idx="64">
                  <c:v>889884.75549999985</c:v>
                </c:pt>
                <c:pt idx="65">
                  <c:v>889884.75549999985</c:v>
                </c:pt>
                <c:pt idx="66">
                  <c:v>889884.75549999985</c:v>
                </c:pt>
                <c:pt idx="67">
                  <c:v>889884.75549999985</c:v>
                </c:pt>
                <c:pt idx="68">
                  <c:v>889884.75549999985</c:v>
                </c:pt>
                <c:pt idx="69">
                  <c:v>889884.75549999985</c:v>
                </c:pt>
                <c:pt idx="70">
                  <c:v>889884.75549999985</c:v>
                </c:pt>
                <c:pt idx="71">
                  <c:v>889884.75549999985</c:v>
                </c:pt>
                <c:pt idx="72">
                  <c:v>889884.75549999985</c:v>
                </c:pt>
                <c:pt idx="73">
                  <c:v>889884.75549999985</c:v>
                </c:pt>
                <c:pt idx="74">
                  <c:v>889884.75549999985</c:v>
                </c:pt>
                <c:pt idx="75">
                  <c:v>889884.75549999985</c:v>
                </c:pt>
                <c:pt idx="76">
                  <c:v>889884.75549999985</c:v>
                </c:pt>
                <c:pt idx="77">
                  <c:v>889884.75549999985</c:v>
                </c:pt>
                <c:pt idx="78">
                  <c:v>889884.75549999985</c:v>
                </c:pt>
                <c:pt idx="79">
                  <c:v>889884.75549999985</c:v>
                </c:pt>
                <c:pt idx="80">
                  <c:v>889884.75549999985</c:v>
                </c:pt>
                <c:pt idx="81">
                  <c:v>889884.75549999985</c:v>
                </c:pt>
                <c:pt idx="82">
                  <c:v>889884.75549999985</c:v>
                </c:pt>
                <c:pt idx="83">
                  <c:v>889884.75549999985</c:v>
                </c:pt>
                <c:pt idx="84">
                  <c:v>889884.75549999985</c:v>
                </c:pt>
                <c:pt idx="85">
                  <c:v>889884.75549999985</c:v>
                </c:pt>
                <c:pt idx="86">
                  <c:v>889884.75549999985</c:v>
                </c:pt>
                <c:pt idx="87">
                  <c:v>889884.75549999985</c:v>
                </c:pt>
                <c:pt idx="88">
                  <c:v>889884.75549999985</c:v>
                </c:pt>
                <c:pt idx="89">
                  <c:v>889884.75549999985</c:v>
                </c:pt>
                <c:pt idx="90">
                  <c:v>889884.75549999985</c:v>
                </c:pt>
                <c:pt idx="91">
                  <c:v>889884.75549999985</c:v>
                </c:pt>
                <c:pt idx="92">
                  <c:v>889884.75549999985</c:v>
                </c:pt>
                <c:pt idx="93">
                  <c:v>889884.75549999985</c:v>
                </c:pt>
                <c:pt idx="94">
                  <c:v>889884.75549999985</c:v>
                </c:pt>
                <c:pt idx="95">
                  <c:v>889884.75549999985</c:v>
                </c:pt>
                <c:pt idx="96">
                  <c:v>889884.75549999985</c:v>
                </c:pt>
                <c:pt idx="97">
                  <c:v>889884.75549999985</c:v>
                </c:pt>
                <c:pt idx="98">
                  <c:v>889884.75549999985</c:v>
                </c:pt>
                <c:pt idx="99">
                  <c:v>889884.75549999985</c:v>
                </c:pt>
                <c:pt idx="100">
                  <c:v>889884.75549999985</c:v>
                </c:pt>
                <c:pt idx="101">
                  <c:v>889884.75549999985</c:v>
                </c:pt>
                <c:pt idx="102">
                  <c:v>889884.75549999985</c:v>
                </c:pt>
                <c:pt idx="103">
                  <c:v>889884.75549999985</c:v>
                </c:pt>
                <c:pt idx="104">
                  <c:v>889884.75549999985</c:v>
                </c:pt>
                <c:pt idx="105">
                  <c:v>889884.75549999985</c:v>
                </c:pt>
                <c:pt idx="106">
                  <c:v>889884.75549999985</c:v>
                </c:pt>
                <c:pt idx="107">
                  <c:v>889884.75549999985</c:v>
                </c:pt>
                <c:pt idx="108">
                  <c:v>889884.75549999985</c:v>
                </c:pt>
                <c:pt idx="109">
                  <c:v>889884.75549999985</c:v>
                </c:pt>
                <c:pt idx="110">
                  <c:v>889884.75549999985</c:v>
                </c:pt>
                <c:pt idx="111">
                  <c:v>889884.75549999985</c:v>
                </c:pt>
                <c:pt idx="112">
                  <c:v>889884.75549999985</c:v>
                </c:pt>
                <c:pt idx="113">
                  <c:v>889884.75549999985</c:v>
                </c:pt>
                <c:pt idx="114">
                  <c:v>889884.75549999985</c:v>
                </c:pt>
                <c:pt idx="115">
                  <c:v>889884.75549999985</c:v>
                </c:pt>
                <c:pt idx="116">
                  <c:v>889884.75549999985</c:v>
                </c:pt>
                <c:pt idx="117">
                  <c:v>889884.75549999985</c:v>
                </c:pt>
                <c:pt idx="118">
                  <c:v>889884.75549999985</c:v>
                </c:pt>
                <c:pt idx="119">
                  <c:v>889884.75549999985</c:v>
                </c:pt>
                <c:pt idx="120">
                  <c:v>889884.75549999985</c:v>
                </c:pt>
                <c:pt idx="121">
                  <c:v>889884.75549999985</c:v>
                </c:pt>
                <c:pt idx="122">
                  <c:v>889884.75549999985</c:v>
                </c:pt>
                <c:pt idx="123">
                  <c:v>889884.75549999985</c:v>
                </c:pt>
                <c:pt idx="124">
                  <c:v>889884.75549999985</c:v>
                </c:pt>
                <c:pt idx="125">
                  <c:v>889884.75549999985</c:v>
                </c:pt>
                <c:pt idx="126">
                  <c:v>889884.75549999985</c:v>
                </c:pt>
                <c:pt idx="127">
                  <c:v>889884.75549999985</c:v>
                </c:pt>
                <c:pt idx="128">
                  <c:v>889884.75549999985</c:v>
                </c:pt>
                <c:pt idx="129">
                  <c:v>889884.75549999985</c:v>
                </c:pt>
                <c:pt idx="130">
                  <c:v>889884.75549999985</c:v>
                </c:pt>
                <c:pt idx="131">
                  <c:v>889884.75549999985</c:v>
                </c:pt>
                <c:pt idx="132">
                  <c:v>889884.75549999985</c:v>
                </c:pt>
                <c:pt idx="133">
                  <c:v>889884.75549999985</c:v>
                </c:pt>
                <c:pt idx="134">
                  <c:v>889884.75549999985</c:v>
                </c:pt>
                <c:pt idx="135">
                  <c:v>889884.75549999985</c:v>
                </c:pt>
                <c:pt idx="136">
                  <c:v>889884.75549999985</c:v>
                </c:pt>
                <c:pt idx="137">
                  <c:v>889884.75549999985</c:v>
                </c:pt>
                <c:pt idx="138">
                  <c:v>889884.75549999985</c:v>
                </c:pt>
                <c:pt idx="139">
                  <c:v>889884.75549999985</c:v>
                </c:pt>
                <c:pt idx="140">
                  <c:v>889884.75549999985</c:v>
                </c:pt>
                <c:pt idx="141">
                  <c:v>889884.75549999985</c:v>
                </c:pt>
                <c:pt idx="142">
                  <c:v>889884.75549999985</c:v>
                </c:pt>
                <c:pt idx="143">
                  <c:v>889884.75549999985</c:v>
                </c:pt>
                <c:pt idx="144">
                  <c:v>889884.75549999985</c:v>
                </c:pt>
                <c:pt idx="145">
                  <c:v>889884.75549999985</c:v>
                </c:pt>
                <c:pt idx="146">
                  <c:v>889884.75549999985</c:v>
                </c:pt>
                <c:pt idx="147">
                  <c:v>889884.75549999985</c:v>
                </c:pt>
                <c:pt idx="148">
                  <c:v>889884.75549999985</c:v>
                </c:pt>
                <c:pt idx="149">
                  <c:v>889884.75549999985</c:v>
                </c:pt>
                <c:pt idx="150">
                  <c:v>889884.75549999985</c:v>
                </c:pt>
                <c:pt idx="151">
                  <c:v>889884.75549999985</c:v>
                </c:pt>
                <c:pt idx="152">
                  <c:v>889884.75549999985</c:v>
                </c:pt>
                <c:pt idx="153">
                  <c:v>889884.75549999985</c:v>
                </c:pt>
                <c:pt idx="154">
                  <c:v>889884.75549999985</c:v>
                </c:pt>
                <c:pt idx="155">
                  <c:v>889884.75549999985</c:v>
                </c:pt>
                <c:pt idx="156">
                  <c:v>889884.75549999985</c:v>
                </c:pt>
                <c:pt idx="157">
                  <c:v>889884.75549999985</c:v>
                </c:pt>
                <c:pt idx="158">
                  <c:v>889884.75549999985</c:v>
                </c:pt>
                <c:pt idx="159">
                  <c:v>889884.75549999985</c:v>
                </c:pt>
                <c:pt idx="160">
                  <c:v>889884.75549999985</c:v>
                </c:pt>
                <c:pt idx="161">
                  <c:v>889884.75549999985</c:v>
                </c:pt>
                <c:pt idx="162">
                  <c:v>889884.75549999985</c:v>
                </c:pt>
                <c:pt idx="163">
                  <c:v>889884.75549999985</c:v>
                </c:pt>
                <c:pt idx="164">
                  <c:v>889884.75549999985</c:v>
                </c:pt>
                <c:pt idx="165">
                  <c:v>889884.75549999985</c:v>
                </c:pt>
                <c:pt idx="166">
                  <c:v>889884.75549999985</c:v>
                </c:pt>
                <c:pt idx="167">
                  <c:v>889884.75549999985</c:v>
                </c:pt>
                <c:pt idx="168">
                  <c:v>889884.75549999985</c:v>
                </c:pt>
                <c:pt idx="169">
                  <c:v>889884.75549999985</c:v>
                </c:pt>
                <c:pt idx="170">
                  <c:v>889884.75549999985</c:v>
                </c:pt>
                <c:pt idx="171">
                  <c:v>889884.75549999985</c:v>
                </c:pt>
                <c:pt idx="172">
                  <c:v>889884.75549999985</c:v>
                </c:pt>
                <c:pt idx="173">
                  <c:v>889884.75549999985</c:v>
                </c:pt>
                <c:pt idx="174">
                  <c:v>889884.75549999985</c:v>
                </c:pt>
                <c:pt idx="175">
                  <c:v>889884.75549999985</c:v>
                </c:pt>
                <c:pt idx="176">
                  <c:v>889884.75549999985</c:v>
                </c:pt>
                <c:pt idx="177">
                  <c:v>889884.75549999985</c:v>
                </c:pt>
                <c:pt idx="178">
                  <c:v>889884.75549999985</c:v>
                </c:pt>
                <c:pt idx="179">
                  <c:v>889884.75549999985</c:v>
                </c:pt>
                <c:pt idx="180">
                  <c:v>889884.75549999985</c:v>
                </c:pt>
                <c:pt idx="181">
                  <c:v>889884.75549999985</c:v>
                </c:pt>
                <c:pt idx="182">
                  <c:v>889884.75549999985</c:v>
                </c:pt>
                <c:pt idx="183">
                  <c:v>889884.75549999985</c:v>
                </c:pt>
                <c:pt idx="184">
                  <c:v>889884.75549999985</c:v>
                </c:pt>
                <c:pt idx="185">
                  <c:v>889884.75549999985</c:v>
                </c:pt>
                <c:pt idx="186">
                  <c:v>889884.75549999985</c:v>
                </c:pt>
                <c:pt idx="187">
                  <c:v>889884.75549999985</c:v>
                </c:pt>
                <c:pt idx="188">
                  <c:v>889884.75549999985</c:v>
                </c:pt>
                <c:pt idx="189">
                  <c:v>889884.75549999985</c:v>
                </c:pt>
                <c:pt idx="190">
                  <c:v>889884.75549999985</c:v>
                </c:pt>
                <c:pt idx="191">
                  <c:v>889884.75549999985</c:v>
                </c:pt>
                <c:pt idx="192">
                  <c:v>889884.75549999985</c:v>
                </c:pt>
                <c:pt idx="193">
                  <c:v>889884.75549999985</c:v>
                </c:pt>
                <c:pt idx="194">
                  <c:v>889884.75549999985</c:v>
                </c:pt>
                <c:pt idx="195">
                  <c:v>889884.75549999985</c:v>
                </c:pt>
                <c:pt idx="196">
                  <c:v>889884.75549999985</c:v>
                </c:pt>
                <c:pt idx="197">
                  <c:v>889884.75549999985</c:v>
                </c:pt>
                <c:pt idx="198">
                  <c:v>889884.75549999985</c:v>
                </c:pt>
                <c:pt idx="199">
                  <c:v>889884.75549999985</c:v>
                </c:pt>
                <c:pt idx="200">
                  <c:v>889884.75549999985</c:v>
                </c:pt>
                <c:pt idx="201">
                  <c:v>889884.75549999985</c:v>
                </c:pt>
                <c:pt idx="202">
                  <c:v>889884.75549999985</c:v>
                </c:pt>
                <c:pt idx="203">
                  <c:v>889884.75549999985</c:v>
                </c:pt>
                <c:pt idx="204">
                  <c:v>889884.75549999985</c:v>
                </c:pt>
                <c:pt idx="205">
                  <c:v>889884.75549999985</c:v>
                </c:pt>
                <c:pt idx="206">
                  <c:v>889884.75549999985</c:v>
                </c:pt>
                <c:pt idx="207">
                  <c:v>889884.75549999985</c:v>
                </c:pt>
                <c:pt idx="208">
                  <c:v>889884.75549999985</c:v>
                </c:pt>
                <c:pt idx="209">
                  <c:v>889884.75549999985</c:v>
                </c:pt>
                <c:pt idx="210">
                  <c:v>889884.75549999985</c:v>
                </c:pt>
                <c:pt idx="211">
                  <c:v>889884.75549999985</c:v>
                </c:pt>
                <c:pt idx="212">
                  <c:v>889884.75549999985</c:v>
                </c:pt>
                <c:pt idx="213">
                  <c:v>889884.75549999985</c:v>
                </c:pt>
                <c:pt idx="214">
                  <c:v>889884.75549999985</c:v>
                </c:pt>
                <c:pt idx="215">
                  <c:v>889884.75549999985</c:v>
                </c:pt>
                <c:pt idx="216">
                  <c:v>889884.75549999985</c:v>
                </c:pt>
                <c:pt idx="217">
                  <c:v>889884.75549999985</c:v>
                </c:pt>
                <c:pt idx="218">
                  <c:v>889884.75549999985</c:v>
                </c:pt>
                <c:pt idx="219">
                  <c:v>889884.75549999985</c:v>
                </c:pt>
                <c:pt idx="220">
                  <c:v>889884.75549999985</c:v>
                </c:pt>
                <c:pt idx="221">
                  <c:v>889884.75549999985</c:v>
                </c:pt>
                <c:pt idx="222">
                  <c:v>889884.75549999985</c:v>
                </c:pt>
                <c:pt idx="223">
                  <c:v>889884.75549999985</c:v>
                </c:pt>
                <c:pt idx="224">
                  <c:v>889884.75549999985</c:v>
                </c:pt>
                <c:pt idx="225">
                  <c:v>889884.75549999985</c:v>
                </c:pt>
                <c:pt idx="226">
                  <c:v>889884.75549999985</c:v>
                </c:pt>
                <c:pt idx="227">
                  <c:v>889884.75549999985</c:v>
                </c:pt>
                <c:pt idx="228">
                  <c:v>889884.75549999985</c:v>
                </c:pt>
                <c:pt idx="229">
                  <c:v>889884.75549999985</c:v>
                </c:pt>
                <c:pt idx="230">
                  <c:v>889884.75549999985</c:v>
                </c:pt>
                <c:pt idx="231">
                  <c:v>889884.75549999985</c:v>
                </c:pt>
                <c:pt idx="232">
                  <c:v>889884.75549999985</c:v>
                </c:pt>
                <c:pt idx="233">
                  <c:v>889884.75549999985</c:v>
                </c:pt>
                <c:pt idx="234">
                  <c:v>889884.75549999985</c:v>
                </c:pt>
                <c:pt idx="235">
                  <c:v>889884.75549999985</c:v>
                </c:pt>
                <c:pt idx="236">
                  <c:v>889884.75549999985</c:v>
                </c:pt>
                <c:pt idx="237">
                  <c:v>889884.75549999985</c:v>
                </c:pt>
                <c:pt idx="238">
                  <c:v>889884.75549999985</c:v>
                </c:pt>
                <c:pt idx="239">
                  <c:v>889884.75549999985</c:v>
                </c:pt>
                <c:pt idx="240">
                  <c:v>889884.75549999985</c:v>
                </c:pt>
                <c:pt idx="241">
                  <c:v>889884.75549999985</c:v>
                </c:pt>
                <c:pt idx="242">
                  <c:v>889884.75549999985</c:v>
                </c:pt>
                <c:pt idx="243">
                  <c:v>889884.75549999985</c:v>
                </c:pt>
                <c:pt idx="244">
                  <c:v>889884.75549999985</c:v>
                </c:pt>
                <c:pt idx="245">
                  <c:v>889884.75549999985</c:v>
                </c:pt>
                <c:pt idx="246">
                  <c:v>889884.75549999985</c:v>
                </c:pt>
                <c:pt idx="247">
                  <c:v>889884.75549999985</c:v>
                </c:pt>
                <c:pt idx="248">
                  <c:v>889884.75549999985</c:v>
                </c:pt>
                <c:pt idx="249">
                  <c:v>889884.75549999985</c:v>
                </c:pt>
                <c:pt idx="250">
                  <c:v>889884.75549999985</c:v>
                </c:pt>
                <c:pt idx="251">
                  <c:v>889884.75549999985</c:v>
                </c:pt>
                <c:pt idx="252">
                  <c:v>889884.75549999985</c:v>
                </c:pt>
                <c:pt idx="253">
                  <c:v>889884.75549999985</c:v>
                </c:pt>
                <c:pt idx="254">
                  <c:v>889884.75549999985</c:v>
                </c:pt>
                <c:pt idx="255">
                  <c:v>889884.75549999985</c:v>
                </c:pt>
                <c:pt idx="256">
                  <c:v>889884.75549999985</c:v>
                </c:pt>
                <c:pt idx="257">
                  <c:v>889884.75549999985</c:v>
                </c:pt>
                <c:pt idx="258">
                  <c:v>889884.75549999985</c:v>
                </c:pt>
                <c:pt idx="259">
                  <c:v>889884.75549999985</c:v>
                </c:pt>
                <c:pt idx="260">
                  <c:v>889884.75549999985</c:v>
                </c:pt>
                <c:pt idx="261">
                  <c:v>889884.75549999985</c:v>
                </c:pt>
                <c:pt idx="262">
                  <c:v>889884.75549999985</c:v>
                </c:pt>
                <c:pt idx="263">
                  <c:v>889884.75549999985</c:v>
                </c:pt>
                <c:pt idx="264">
                  <c:v>889884.75549999985</c:v>
                </c:pt>
                <c:pt idx="265">
                  <c:v>889884.75549999985</c:v>
                </c:pt>
                <c:pt idx="266">
                  <c:v>889884.75549999985</c:v>
                </c:pt>
                <c:pt idx="267">
                  <c:v>889884.75549999985</c:v>
                </c:pt>
                <c:pt idx="268">
                  <c:v>889884.75549999985</c:v>
                </c:pt>
                <c:pt idx="269">
                  <c:v>889884.75549999985</c:v>
                </c:pt>
                <c:pt idx="270">
                  <c:v>889884.75549999985</c:v>
                </c:pt>
                <c:pt idx="271">
                  <c:v>889884.75549999985</c:v>
                </c:pt>
                <c:pt idx="272">
                  <c:v>889884.75549999985</c:v>
                </c:pt>
                <c:pt idx="273">
                  <c:v>889884.75549999985</c:v>
                </c:pt>
                <c:pt idx="274">
                  <c:v>889884.75549999985</c:v>
                </c:pt>
                <c:pt idx="275">
                  <c:v>889884.75549999985</c:v>
                </c:pt>
                <c:pt idx="276">
                  <c:v>889884.75549999985</c:v>
                </c:pt>
                <c:pt idx="277">
                  <c:v>889884.75549999985</c:v>
                </c:pt>
                <c:pt idx="278">
                  <c:v>889884.75549999985</c:v>
                </c:pt>
                <c:pt idx="279">
                  <c:v>889884.75549999985</c:v>
                </c:pt>
                <c:pt idx="280">
                  <c:v>889884.75549999985</c:v>
                </c:pt>
                <c:pt idx="281">
                  <c:v>889884.75549999985</c:v>
                </c:pt>
                <c:pt idx="282">
                  <c:v>889884.75549999985</c:v>
                </c:pt>
                <c:pt idx="283">
                  <c:v>889884.75549999985</c:v>
                </c:pt>
                <c:pt idx="284">
                  <c:v>889884.75549999985</c:v>
                </c:pt>
                <c:pt idx="285">
                  <c:v>889884.75549999985</c:v>
                </c:pt>
                <c:pt idx="286">
                  <c:v>889884.75549999985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434433.10800824792</c:v>
                </c:pt>
                <c:pt idx="31">
                  <c:v>434433.10800824792</c:v>
                </c:pt>
                <c:pt idx="32">
                  <c:v>434433.10800824792</c:v>
                </c:pt>
                <c:pt idx="33">
                  <c:v>418278.98800824792</c:v>
                </c:pt>
                <c:pt idx="34">
                  <c:v>402444.60250824795</c:v>
                </c:pt>
                <c:pt idx="35">
                  <c:v>402444.60250824795</c:v>
                </c:pt>
                <c:pt idx="36">
                  <c:v>402444.60250824795</c:v>
                </c:pt>
                <c:pt idx="37">
                  <c:v>402444.60250824795</c:v>
                </c:pt>
                <c:pt idx="38">
                  <c:v>402444.60250824795</c:v>
                </c:pt>
                <c:pt idx="39">
                  <c:v>402444.60250824795</c:v>
                </c:pt>
                <c:pt idx="40">
                  <c:v>402444.60250824795</c:v>
                </c:pt>
                <c:pt idx="41">
                  <c:v>402444.60250824795</c:v>
                </c:pt>
                <c:pt idx="42">
                  <c:v>402444.60250824795</c:v>
                </c:pt>
                <c:pt idx="43">
                  <c:v>402444.60250824795</c:v>
                </c:pt>
                <c:pt idx="44">
                  <c:v>402444.60250824795</c:v>
                </c:pt>
                <c:pt idx="45">
                  <c:v>402444.60250824795</c:v>
                </c:pt>
                <c:pt idx="46">
                  <c:v>402444.60250824795</c:v>
                </c:pt>
                <c:pt idx="47">
                  <c:v>402444.60250824795</c:v>
                </c:pt>
                <c:pt idx="48">
                  <c:v>402444.60250824795</c:v>
                </c:pt>
                <c:pt idx="49">
                  <c:v>402444.60250824795</c:v>
                </c:pt>
                <c:pt idx="50">
                  <c:v>402444.60250824795</c:v>
                </c:pt>
                <c:pt idx="51">
                  <c:v>402444.60250824795</c:v>
                </c:pt>
                <c:pt idx="52">
                  <c:v>402444.60250824795</c:v>
                </c:pt>
                <c:pt idx="53">
                  <c:v>402444.60250824795</c:v>
                </c:pt>
                <c:pt idx="54">
                  <c:v>402444.60250824795</c:v>
                </c:pt>
                <c:pt idx="55">
                  <c:v>402444.60250824795</c:v>
                </c:pt>
                <c:pt idx="56">
                  <c:v>402444.60250824795</c:v>
                </c:pt>
                <c:pt idx="57">
                  <c:v>402444.60250824795</c:v>
                </c:pt>
                <c:pt idx="58">
                  <c:v>402444.60250824795</c:v>
                </c:pt>
                <c:pt idx="59">
                  <c:v>402444.60250824795</c:v>
                </c:pt>
                <c:pt idx="60">
                  <c:v>402444.60250824795</c:v>
                </c:pt>
                <c:pt idx="61">
                  <c:v>402444.60250824795</c:v>
                </c:pt>
                <c:pt idx="62">
                  <c:v>402444.60250824795</c:v>
                </c:pt>
                <c:pt idx="63">
                  <c:v>402444.60250824795</c:v>
                </c:pt>
                <c:pt idx="64">
                  <c:v>402444.60250824795</c:v>
                </c:pt>
                <c:pt idx="65">
                  <c:v>402444.60250824795</c:v>
                </c:pt>
                <c:pt idx="66">
                  <c:v>402444.60250824795</c:v>
                </c:pt>
                <c:pt idx="67">
                  <c:v>402444.60250824795</c:v>
                </c:pt>
                <c:pt idx="68">
                  <c:v>402444.60250824795</c:v>
                </c:pt>
                <c:pt idx="69">
                  <c:v>402444.60250824795</c:v>
                </c:pt>
                <c:pt idx="70">
                  <c:v>402444.60250824795</c:v>
                </c:pt>
                <c:pt idx="71">
                  <c:v>402444.60250824795</c:v>
                </c:pt>
                <c:pt idx="72">
                  <c:v>402444.60250824795</c:v>
                </c:pt>
                <c:pt idx="73">
                  <c:v>402444.60250824795</c:v>
                </c:pt>
                <c:pt idx="74">
                  <c:v>402444.60250824795</c:v>
                </c:pt>
                <c:pt idx="75">
                  <c:v>402444.60250824795</c:v>
                </c:pt>
                <c:pt idx="76">
                  <c:v>402444.60250824795</c:v>
                </c:pt>
                <c:pt idx="77">
                  <c:v>402444.60250824795</c:v>
                </c:pt>
                <c:pt idx="78">
                  <c:v>402444.60250824795</c:v>
                </c:pt>
                <c:pt idx="79">
                  <c:v>402444.60250824795</c:v>
                </c:pt>
                <c:pt idx="80">
                  <c:v>402444.60250824795</c:v>
                </c:pt>
                <c:pt idx="81">
                  <c:v>402444.60250824795</c:v>
                </c:pt>
                <c:pt idx="82">
                  <c:v>402444.60250824795</c:v>
                </c:pt>
                <c:pt idx="83">
                  <c:v>402444.60250824795</c:v>
                </c:pt>
                <c:pt idx="84">
                  <c:v>402444.60250824795</c:v>
                </c:pt>
                <c:pt idx="85">
                  <c:v>402444.60250824795</c:v>
                </c:pt>
                <c:pt idx="86">
                  <c:v>402444.60250824795</c:v>
                </c:pt>
                <c:pt idx="87">
                  <c:v>402444.60250824795</c:v>
                </c:pt>
                <c:pt idx="88">
                  <c:v>402444.60250824795</c:v>
                </c:pt>
                <c:pt idx="89">
                  <c:v>402444.60250824795</c:v>
                </c:pt>
                <c:pt idx="90">
                  <c:v>402444.60250824795</c:v>
                </c:pt>
                <c:pt idx="91">
                  <c:v>402444.60250824795</c:v>
                </c:pt>
                <c:pt idx="92">
                  <c:v>402444.60250824795</c:v>
                </c:pt>
                <c:pt idx="93">
                  <c:v>402444.60250824795</c:v>
                </c:pt>
                <c:pt idx="94">
                  <c:v>402444.60250824795</c:v>
                </c:pt>
                <c:pt idx="95">
                  <c:v>402444.60250824795</c:v>
                </c:pt>
                <c:pt idx="96">
                  <c:v>402444.60250824795</c:v>
                </c:pt>
                <c:pt idx="97">
                  <c:v>402444.60250824795</c:v>
                </c:pt>
                <c:pt idx="98">
                  <c:v>402444.60250824795</c:v>
                </c:pt>
                <c:pt idx="99">
                  <c:v>402444.60250824795</c:v>
                </c:pt>
                <c:pt idx="100">
                  <c:v>402444.60250824795</c:v>
                </c:pt>
                <c:pt idx="101">
                  <c:v>402444.60250824795</c:v>
                </c:pt>
                <c:pt idx="102">
                  <c:v>402444.60250824795</c:v>
                </c:pt>
                <c:pt idx="103">
                  <c:v>402444.60250824795</c:v>
                </c:pt>
                <c:pt idx="104">
                  <c:v>402444.60250824795</c:v>
                </c:pt>
                <c:pt idx="105">
                  <c:v>402444.60250824795</c:v>
                </c:pt>
                <c:pt idx="106">
                  <c:v>402444.60250824795</c:v>
                </c:pt>
                <c:pt idx="107">
                  <c:v>402444.60250824795</c:v>
                </c:pt>
                <c:pt idx="108">
                  <c:v>402444.60250824795</c:v>
                </c:pt>
                <c:pt idx="109">
                  <c:v>402444.60250824795</c:v>
                </c:pt>
                <c:pt idx="110">
                  <c:v>402444.60250824795</c:v>
                </c:pt>
                <c:pt idx="111">
                  <c:v>402444.60250824795</c:v>
                </c:pt>
                <c:pt idx="112">
                  <c:v>402444.60250824795</c:v>
                </c:pt>
                <c:pt idx="113">
                  <c:v>402444.60250824795</c:v>
                </c:pt>
                <c:pt idx="114">
                  <c:v>402444.60250824795</c:v>
                </c:pt>
                <c:pt idx="115">
                  <c:v>402444.60250824795</c:v>
                </c:pt>
                <c:pt idx="116">
                  <c:v>402444.60250824795</c:v>
                </c:pt>
                <c:pt idx="117">
                  <c:v>402444.60250824795</c:v>
                </c:pt>
                <c:pt idx="118">
                  <c:v>402444.60250824795</c:v>
                </c:pt>
                <c:pt idx="119">
                  <c:v>402444.60250824795</c:v>
                </c:pt>
                <c:pt idx="120">
                  <c:v>402444.60250824795</c:v>
                </c:pt>
                <c:pt idx="121">
                  <c:v>402444.60250824795</c:v>
                </c:pt>
                <c:pt idx="122">
                  <c:v>402444.60250824795</c:v>
                </c:pt>
                <c:pt idx="123">
                  <c:v>402444.60250824795</c:v>
                </c:pt>
                <c:pt idx="124">
                  <c:v>402444.60250824795</c:v>
                </c:pt>
                <c:pt idx="125">
                  <c:v>402444.60250824795</c:v>
                </c:pt>
                <c:pt idx="126">
                  <c:v>402444.60250824795</c:v>
                </c:pt>
                <c:pt idx="127">
                  <c:v>402444.60250824795</c:v>
                </c:pt>
                <c:pt idx="128">
                  <c:v>402444.60250824795</c:v>
                </c:pt>
                <c:pt idx="129">
                  <c:v>402444.60250824795</c:v>
                </c:pt>
                <c:pt idx="130">
                  <c:v>402444.60250824795</c:v>
                </c:pt>
                <c:pt idx="131">
                  <c:v>402444.60250824795</c:v>
                </c:pt>
                <c:pt idx="132">
                  <c:v>402444.60250824795</c:v>
                </c:pt>
                <c:pt idx="133">
                  <c:v>402444.60250824795</c:v>
                </c:pt>
                <c:pt idx="134">
                  <c:v>402444.60250824795</c:v>
                </c:pt>
                <c:pt idx="135">
                  <c:v>402444.60250824795</c:v>
                </c:pt>
                <c:pt idx="136">
                  <c:v>402444.60250824795</c:v>
                </c:pt>
                <c:pt idx="137">
                  <c:v>402444.60250824795</c:v>
                </c:pt>
                <c:pt idx="138">
                  <c:v>402444.60250824795</c:v>
                </c:pt>
                <c:pt idx="139">
                  <c:v>402444.60250824795</c:v>
                </c:pt>
                <c:pt idx="140">
                  <c:v>402444.60250824795</c:v>
                </c:pt>
                <c:pt idx="141">
                  <c:v>402444.60250824795</c:v>
                </c:pt>
                <c:pt idx="142">
                  <c:v>402444.60250824795</c:v>
                </c:pt>
                <c:pt idx="143">
                  <c:v>402444.60250824795</c:v>
                </c:pt>
                <c:pt idx="144">
                  <c:v>402444.60250824795</c:v>
                </c:pt>
                <c:pt idx="145">
                  <c:v>402444.60250824795</c:v>
                </c:pt>
                <c:pt idx="146">
                  <c:v>402444.60250824795</c:v>
                </c:pt>
                <c:pt idx="147">
                  <c:v>402444.60250824795</c:v>
                </c:pt>
                <c:pt idx="148">
                  <c:v>402444.60250824795</c:v>
                </c:pt>
                <c:pt idx="149">
                  <c:v>402444.60250824795</c:v>
                </c:pt>
                <c:pt idx="150">
                  <c:v>402444.60250824795</c:v>
                </c:pt>
                <c:pt idx="151">
                  <c:v>402444.60250824795</c:v>
                </c:pt>
                <c:pt idx="152">
                  <c:v>402444.60250824795</c:v>
                </c:pt>
                <c:pt idx="153">
                  <c:v>402444.60250824795</c:v>
                </c:pt>
                <c:pt idx="154">
                  <c:v>402444.60250824795</c:v>
                </c:pt>
                <c:pt idx="155">
                  <c:v>402444.60250824795</c:v>
                </c:pt>
                <c:pt idx="156">
                  <c:v>402444.60250824795</c:v>
                </c:pt>
                <c:pt idx="157">
                  <c:v>402444.60250824795</c:v>
                </c:pt>
                <c:pt idx="158">
                  <c:v>402444.60250824795</c:v>
                </c:pt>
                <c:pt idx="159">
                  <c:v>402444.60250824795</c:v>
                </c:pt>
                <c:pt idx="160">
                  <c:v>402444.60250824795</c:v>
                </c:pt>
                <c:pt idx="161">
                  <c:v>402444.60250824795</c:v>
                </c:pt>
                <c:pt idx="162">
                  <c:v>402444.60250824795</c:v>
                </c:pt>
                <c:pt idx="163">
                  <c:v>402444.60250824795</c:v>
                </c:pt>
                <c:pt idx="164">
                  <c:v>402444.60250824795</c:v>
                </c:pt>
                <c:pt idx="165">
                  <c:v>402444.60250824795</c:v>
                </c:pt>
                <c:pt idx="166">
                  <c:v>402444.60250824795</c:v>
                </c:pt>
                <c:pt idx="167">
                  <c:v>402444.60250824795</c:v>
                </c:pt>
                <c:pt idx="168">
                  <c:v>402444.60250824795</c:v>
                </c:pt>
                <c:pt idx="169">
                  <c:v>402444.60250824795</c:v>
                </c:pt>
                <c:pt idx="170">
                  <c:v>402444.60250824795</c:v>
                </c:pt>
                <c:pt idx="171">
                  <c:v>402444.60250824795</c:v>
                </c:pt>
                <c:pt idx="172">
                  <c:v>402444.60250824795</c:v>
                </c:pt>
                <c:pt idx="173">
                  <c:v>402444.60250824795</c:v>
                </c:pt>
                <c:pt idx="174">
                  <c:v>402444.60250824795</c:v>
                </c:pt>
                <c:pt idx="175">
                  <c:v>402444.60250824795</c:v>
                </c:pt>
                <c:pt idx="176">
                  <c:v>402444.60250824795</c:v>
                </c:pt>
                <c:pt idx="177">
                  <c:v>402444.60250824795</c:v>
                </c:pt>
                <c:pt idx="178">
                  <c:v>402444.60250824795</c:v>
                </c:pt>
                <c:pt idx="179">
                  <c:v>402444.60250824795</c:v>
                </c:pt>
                <c:pt idx="180">
                  <c:v>402444.60250824795</c:v>
                </c:pt>
                <c:pt idx="181">
                  <c:v>402444.60250824795</c:v>
                </c:pt>
                <c:pt idx="182">
                  <c:v>402444.60250824795</c:v>
                </c:pt>
                <c:pt idx="183">
                  <c:v>402444.60250824795</c:v>
                </c:pt>
                <c:pt idx="184">
                  <c:v>402444.60250824795</c:v>
                </c:pt>
                <c:pt idx="185">
                  <c:v>402444.60250824795</c:v>
                </c:pt>
                <c:pt idx="186">
                  <c:v>402444.60250824795</c:v>
                </c:pt>
                <c:pt idx="187">
                  <c:v>402444.60250824795</c:v>
                </c:pt>
                <c:pt idx="188">
                  <c:v>402444.60250824795</c:v>
                </c:pt>
                <c:pt idx="189">
                  <c:v>402444.60250824795</c:v>
                </c:pt>
                <c:pt idx="190">
                  <c:v>402444.60250824795</c:v>
                </c:pt>
                <c:pt idx="191">
                  <c:v>402444.60250824795</c:v>
                </c:pt>
                <c:pt idx="192">
                  <c:v>402444.60250824795</c:v>
                </c:pt>
                <c:pt idx="193">
                  <c:v>402444.60250824795</c:v>
                </c:pt>
                <c:pt idx="194">
                  <c:v>402444.60250824795</c:v>
                </c:pt>
                <c:pt idx="195">
                  <c:v>402444.60250824795</c:v>
                </c:pt>
                <c:pt idx="196">
                  <c:v>402444.60250824795</c:v>
                </c:pt>
                <c:pt idx="197">
                  <c:v>402444.60250824795</c:v>
                </c:pt>
                <c:pt idx="198">
                  <c:v>402444.60250824795</c:v>
                </c:pt>
                <c:pt idx="199">
                  <c:v>402444.60250824795</c:v>
                </c:pt>
                <c:pt idx="200">
                  <c:v>402444.60250824795</c:v>
                </c:pt>
                <c:pt idx="201">
                  <c:v>402444.60250824795</c:v>
                </c:pt>
                <c:pt idx="202">
                  <c:v>402444.60250824795</c:v>
                </c:pt>
                <c:pt idx="203">
                  <c:v>402444.60250824795</c:v>
                </c:pt>
                <c:pt idx="204">
                  <c:v>402444.60250824795</c:v>
                </c:pt>
                <c:pt idx="205">
                  <c:v>402444.60250824795</c:v>
                </c:pt>
                <c:pt idx="206">
                  <c:v>402444.60250824795</c:v>
                </c:pt>
                <c:pt idx="207">
                  <c:v>402444.60250824795</c:v>
                </c:pt>
                <c:pt idx="208">
                  <c:v>402444.60250824795</c:v>
                </c:pt>
                <c:pt idx="209">
                  <c:v>402444.60250824795</c:v>
                </c:pt>
                <c:pt idx="210">
                  <c:v>402444.60250824795</c:v>
                </c:pt>
                <c:pt idx="211">
                  <c:v>402444.60250824795</c:v>
                </c:pt>
                <c:pt idx="212">
                  <c:v>402444.60250824795</c:v>
                </c:pt>
                <c:pt idx="213">
                  <c:v>402444.60250824795</c:v>
                </c:pt>
                <c:pt idx="214">
                  <c:v>402444.60250824795</c:v>
                </c:pt>
                <c:pt idx="215">
                  <c:v>402444.60250824795</c:v>
                </c:pt>
                <c:pt idx="216">
                  <c:v>402444.60250824795</c:v>
                </c:pt>
                <c:pt idx="217">
                  <c:v>402444.60250824795</c:v>
                </c:pt>
                <c:pt idx="218">
                  <c:v>402444.60250824795</c:v>
                </c:pt>
                <c:pt idx="219">
                  <c:v>402444.60250824795</c:v>
                </c:pt>
                <c:pt idx="220">
                  <c:v>402444.60250824795</c:v>
                </c:pt>
                <c:pt idx="221">
                  <c:v>402444.60250824795</c:v>
                </c:pt>
                <c:pt idx="222">
                  <c:v>402444.60250824795</c:v>
                </c:pt>
                <c:pt idx="223">
                  <c:v>402444.60250824795</c:v>
                </c:pt>
                <c:pt idx="224">
                  <c:v>402444.60250824795</c:v>
                </c:pt>
                <c:pt idx="225">
                  <c:v>402444.60250824795</c:v>
                </c:pt>
                <c:pt idx="226">
                  <c:v>402444.60250824795</c:v>
                </c:pt>
                <c:pt idx="227">
                  <c:v>402444.60250824795</c:v>
                </c:pt>
                <c:pt idx="228">
                  <c:v>402444.60250824795</c:v>
                </c:pt>
                <c:pt idx="229">
                  <c:v>402444.60250824795</c:v>
                </c:pt>
                <c:pt idx="230">
                  <c:v>402444.60250824795</c:v>
                </c:pt>
                <c:pt idx="231">
                  <c:v>402444.60250824795</c:v>
                </c:pt>
                <c:pt idx="232">
                  <c:v>402444.60250824795</c:v>
                </c:pt>
                <c:pt idx="233">
                  <c:v>402444.60250824795</c:v>
                </c:pt>
                <c:pt idx="234">
                  <c:v>402444.60250824795</c:v>
                </c:pt>
                <c:pt idx="235">
                  <c:v>402444.60250824795</c:v>
                </c:pt>
                <c:pt idx="236">
                  <c:v>402444.60250824795</c:v>
                </c:pt>
                <c:pt idx="237">
                  <c:v>402444.60250824795</c:v>
                </c:pt>
                <c:pt idx="238">
                  <c:v>402444.60250824795</c:v>
                </c:pt>
                <c:pt idx="239">
                  <c:v>402444.60250824795</c:v>
                </c:pt>
                <c:pt idx="240">
                  <c:v>402444.60250824795</c:v>
                </c:pt>
                <c:pt idx="241">
                  <c:v>402444.60250824795</c:v>
                </c:pt>
                <c:pt idx="242">
                  <c:v>402444.60250824795</c:v>
                </c:pt>
                <c:pt idx="243">
                  <c:v>402444.60250824795</c:v>
                </c:pt>
                <c:pt idx="244">
                  <c:v>402444.60250824795</c:v>
                </c:pt>
                <c:pt idx="245">
                  <c:v>402444.60250824795</c:v>
                </c:pt>
                <c:pt idx="246">
                  <c:v>402444.60250824795</c:v>
                </c:pt>
                <c:pt idx="247">
                  <c:v>402444.60250824795</c:v>
                </c:pt>
                <c:pt idx="248">
                  <c:v>402444.60250824795</c:v>
                </c:pt>
                <c:pt idx="249">
                  <c:v>402444.60250824795</c:v>
                </c:pt>
                <c:pt idx="250">
                  <c:v>402444.60250824795</c:v>
                </c:pt>
                <c:pt idx="251">
                  <c:v>402444.60250824795</c:v>
                </c:pt>
                <c:pt idx="252">
                  <c:v>402444.60250824795</c:v>
                </c:pt>
                <c:pt idx="253">
                  <c:v>402444.60250824795</c:v>
                </c:pt>
                <c:pt idx="254">
                  <c:v>402444.60250824795</c:v>
                </c:pt>
                <c:pt idx="255">
                  <c:v>402444.60250824795</c:v>
                </c:pt>
                <c:pt idx="256">
                  <c:v>402444.60250824795</c:v>
                </c:pt>
                <c:pt idx="257">
                  <c:v>402444.60250824795</c:v>
                </c:pt>
                <c:pt idx="258">
                  <c:v>402444.60250824795</c:v>
                </c:pt>
                <c:pt idx="259">
                  <c:v>402444.60250824795</c:v>
                </c:pt>
                <c:pt idx="260">
                  <c:v>402444.60250824795</c:v>
                </c:pt>
                <c:pt idx="261">
                  <c:v>402444.60250824795</c:v>
                </c:pt>
                <c:pt idx="262">
                  <c:v>402444.60250824795</c:v>
                </c:pt>
                <c:pt idx="263">
                  <c:v>402444.60250824795</c:v>
                </c:pt>
                <c:pt idx="264">
                  <c:v>402444.60250824795</c:v>
                </c:pt>
                <c:pt idx="265">
                  <c:v>402444.60250824795</c:v>
                </c:pt>
                <c:pt idx="266">
                  <c:v>402444.60250824795</c:v>
                </c:pt>
                <c:pt idx="267">
                  <c:v>402444.60250824795</c:v>
                </c:pt>
                <c:pt idx="268">
                  <c:v>402444.60250824795</c:v>
                </c:pt>
                <c:pt idx="269">
                  <c:v>402444.60250824795</c:v>
                </c:pt>
                <c:pt idx="270">
                  <c:v>402444.60250824795</c:v>
                </c:pt>
                <c:pt idx="271">
                  <c:v>402444.60250824795</c:v>
                </c:pt>
                <c:pt idx="272">
                  <c:v>402444.60250824795</c:v>
                </c:pt>
                <c:pt idx="273">
                  <c:v>402444.60250824795</c:v>
                </c:pt>
                <c:pt idx="274">
                  <c:v>402444.60250824795</c:v>
                </c:pt>
                <c:pt idx="275">
                  <c:v>402444.60250824795</c:v>
                </c:pt>
                <c:pt idx="276">
                  <c:v>402444.60250824795</c:v>
                </c:pt>
                <c:pt idx="277">
                  <c:v>402444.60250824795</c:v>
                </c:pt>
                <c:pt idx="278">
                  <c:v>402444.60250824795</c:v>
                </c:pt>
                <c:pt idx="279">
                  <c:v>402444.60250824795</c:v>
                </c:pt>
                <c:pt idx="280">
                  <c:v>402444.60250824795</c:v>
                </c:pt>
                <c:pt idx="281">
                  <c:v>402444.60250824795</c:v>
                </c:pt>
                <c:pt idx="282">
                  <c:v>402444.60250824795</c:v>
                </c:pt>
                <c:pt idx="283">
                  <c:v>402444.60250824795</c:v>
                </c:pt>
                <c:pt idx="284">
                  <c:v>402444.60250824795</c:v>
                </c:pt>
                <c:pt idx="285">
                  <c:v>402444.60250824795</c:v>
                </c:pt>
                <c:pt idx="286">
                  <c:v>402444.60250824795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612222222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8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9T00:00:00"/>
    <m/>
  </r>
  <r>
    <n v="4"/>
    <x v="4"/>
    <s v="Site De-establisment"/>
    <m/>
    <n v="0.1"/>
    <n v="2973.86"/>
    <m/>
    <s v="JA Electrical Inv 1138"/>
    <x v="2"/>
    <n v="5529.807235604424"/>
    <m/>
    <d v="2026-02-05T00:00:00"/>
    <m/>
  </r>
  <r>
    <n v="4"/>
    <x v="4"/>
    <s v="Handover Document Complete"/>
    <m/>
    <n v="0.05"/>
    <n v="1486.93"/>
    <m/>
    <s v="JA Electrical Inv 1139"/>
    <x v="2"/>
    <n v="2764.903617802212"/>
    <m/>
    <d v="2026-02-05T00:00:00"/>
    <m/>
  </r>
  <r>
    <n v="4"/>
    <x v="4"/>
    <s v="End of Defects Period"/>
    <m/>
    <n v="0.05"/>
    <n v="1476.92"/>
    <m/>
    <s v="JA Electrical Inv 1140"/>
    <x v="2"/>
    <n v="2746.2903103740209"/>
    <m/>
    <d v="2026-03-07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9T00:00:00"/>
    <m/>
  </r>
  <r>
    <n v="6"/>
    <x v="6"/>
    <s v="Site De-establisment"/>
    <m/>
    <n v="0.1"/>
    <n v="3412.26"/>
    <m/>
    <s v="JA Electrical Inv 1138"/>
    <x v="2"/>
    <n v="7707.3912919978966"/>
    <m/>
    <d v="2026-02-05T00:00:00"/>
    <m/>
  </r>
  <r>
    <n v="6"/>
    <x v="6"/>
    <s v="Handover Document Complete"/>
    <m/>
    <n v="0.05"/>
    <n v="1706.13"/>
    <m/>
    <s v="JA Electrical Inv 1139"/>
    <x v="2"/>
    <n v="3853.6956459989483"/>
    <m/>
    <d v="2026-02-05T00:00:00"/>
    <m/>
  </r>
  <r>
    <n v="6"/>
    <x v="6"/>
    <s v="End of Defects Period"/>
    <m/>
    <n v="0.05"/>
    <n v="1706.13"/>
    <m/>
    <s v="JA Electrical Inv 1140"/>
    <x v="2"/>
    <n v="3853.6956459989483"/>
    <m/>
    <d v="2026-03-07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9T00:00:00"/>
    <m/>
  </r>
  <r>
    <n v="9"/>
    <x v="9"/>
    <s v="Site De-establisment"/>
    <m/>
    <n v="0.1"/>
    <n v="18578.62"/>
    <m/>
    <s v="JA Electrical Inv 1138"/>
    <x v="2"/>
    <n v="11522.920308207062"/>
    <m/>
    <d v="2026-02-05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2-05T00:00:00"/>
    <m/>
  </r>
  <r>
    <n v="9"/>
    <x v="9"/>
    <s v="End of Defects Period"/>
    <m/>
    <n v="0.05"/>
    <n v="9299.3104999999996"/>
    <m/>
    <s v="JA Electrical Inv 1140"/>
    <x v="2"/>
    <n v="5767.6627119114964"/>
    <m/>
    <d v="2026-03-07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9T00:00:00"/>
    <m/>
  </r>
  <r>
    <n v="10"/>
    <x v="10"/>
    <s v="Site De-establisment"/>
    <m/>
    <n v="0.1"/>
    <n v="6704.05"/>
    <m/>
    <s v="JA Electrical Inv 1138"/>
    <x v="2"/>
    <n v="3912.429322619947"/>
    <m/>
    <d v="2026-02-05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2-05T00:00:00"/>
    <m/>
  </r>
  <r>
    <n v="10"/>
    <x v="10"/>
    <s v="End of Defects Period"/>
    <m/>
    <n v="0.05"/>
    <n v="3352.0250000000001"/>
    <m/>
    <s v="JA Electrical Inv 1140"/>
    <x v="2"/>
    <n v="1956.2146613099735"/>
    <m/>
    <d v="2026-03-07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3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154.12"/>
    <m/>
    <s v="Matriarch - INV-6234"/>
    <x v="5"/>
    <n v="13287.721200798751"/>
    <n v="0"/>
    <d v="2026-02-26T00:00:00"/>
    <n v="16154.1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2023.19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n v="136.44999999999999"/>
    <m/>
    <s v="Expense Claim"/>
    <x v="5"/>
    <n v="0"/>
    <m/>
    <d v="2026-02-05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26953125" style="65" bestFit="1" customWidth="1"/>
    <col min="3" max="3" width="18.54296875" style="24" customWidth="1"/>
    <col min="4" max="4" width="13.453125" style="70" customWidth="1"/>
    <col min="5" max="5" width="17.26953125" style="24" customWidth="1"/>
    <col min="6" max="6" width="18.453125" style="24" customWidth="1"/>
    <col min="7" max="7" width="5" style="24" bestFit="1" customWidth="1"/>
    <col min="8" max="8" width="20.453125" style="24" bestFit="1" customWidth="1"/>
    <col min="9" max="9" width="3.26953125" style="24" customWidth="1"/>
    <col min="10" max="10" width="47.269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3" t="s">
        <v>57</v>
      </c>
      <c r="E47" s="763"/>
      <c r="F47" s="764"/>
      <c r="G47" s="67"/>
      <c r="I47" s="68"/>
      <c r="J47" s="68"/>
    </row>
    <row r="48" spans="1:49" ht="14.5" thickBot="1">
      <c r="C48" s="69">
        <v>44014</v>
      </c>
      <c r="D48" s="765"/>
      <c r="E48" s="765"/>
      <c r="F48" s="7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5"/>
  <cols>
    <col min="1" max="1" width="6.453125" customWidth="1"/>
    <col min="2" max="2" width="21.26953125" customWidth="1"/>
    <col min="3" max="3" width="28.7265625" customWidth="1"/>
    <col min="4" max="4" width="15.26953125" customWidth="1"/>
    <col min="5" max="5" width="16.54296875" customWidth="1"/>
    <col min="6" max="6" width="6.453125" customWidth="1"/>
  </cols>
  <sheetData>
    <row r="1" spans="2:15" ht="15" thickBot="1"/>
    <row r="2" spans="2:15" ht="18.5">
      <c r="B2" s="768" t="s">
        <v>58</v>
      </c>
      <c r="C2" s="768"/>
      <c r="D2" s="768"/>
      <c r="E2" s="768"/>
      <c r="H2" s="769" t="s">
        <v>59</v>
      </c>
      <c r="I2" s="770"/>
      <c r="J2" s="770"/>
      <c r="K2" s="770"/>
      <c r="L2" s="770"/>
      <c r="M2" s="770"/>
      <c r="N2" s="770"/>
      <c r="O2" s="771"/>
    </row>
    <row r="3" spans="2:15">
      <c r="B3" s="642"/>
      <c r="H3" s="772"/>
      <c r="I3" s="773"/>
      <c r="J3" s="773"/>
      <c r="K3" s="773"/>
      <c r="L3" s="773"/>
      <c r="M3" s="773"/>
      <c r="N3" s="773"/>
      <c r="O3" s="774"/>
    </row>
    <row r="4" spans="2:15">
      <c r="B4" s="643" t="s">
        <v>60</v>
      </c>
      <c r="C4" s="644" t="str">
        <f>'Project Plan'!E2</f>
        <v>Hungry Lion Citrusdal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643" t="s">
        <v>61</v>
      </c>
      <c r="C5" s="644" t="s">
        <v>62</v>
      </c>
      <c r="H5" s="772"/>
      <c r="I5" s="773"/>
      <c r="J5" s="773"/>
      <c r="K5" s="773"/>
      <c r="L5" s="773"/>
      <c r="M5" s="773"/>
      <c r="N5" s="773"/>
      <c r="O5" s="774"/>
    </row>
    <row r="6" spans="2:15">
      <c r="B6" s="643" t="s">
        <v>63</v>
      </c>
      <c r="C6" s="644" t="s">
        <v>64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643" t="s">
        <v>65</v>
      </c>
      <c r="C7" s="644" t="s">
        <v>66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642"/>
      <c r="H8" s="772"/>
      <c r="I8" s="773"/>
      <c r="J8" s="773"/>
      <c r="K8" s="773"/>
      <c r="L8" s="773"/>
      <c r="M8" s="773"/>
      <c r="N8" s="773"/>
      <c r="O8" s="774"/>
    </row>
    <row r="9" spans="2:15">
      <c r="B9" s="778" t="s">
        <v>67</v>
      </c>
      <c r="C9" s="778"/>
      <c r="D9" s="778"/>
      <c r="E9" s="778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2"/>
      <c r="I9" s="773"/>
      <c r="J9" s="773"/>
      <c r="K9" s="773"/>
      <c r="L9" s="773"/>
      <c r="M9" s="773"/>
      <c r="N9" s="773"/>
      <c r="O9" s="774"/>
    </row>
    <row r="10" spans="2:15" ht="15" thickBot="1">
      <c r="B10" s="778" t="s">
        <v>68</v>
      </c>
      <c r="C10" s="778"/>
      <c r="D10" s="778"/>
      <c r="E10" s="778"/>
      <c r="H10" s="775"/>
      <c r="I10" s="776"/>
      <c r="J10" s="776"/>
      <c r="K10" s="776"/>
      <c r="L10" s="776"/>
      <c r="M10" s="776"/>
      <c r="N10" s="776"/>
      <c r="O10" s="777"/>
    </row>
    <row r="11" spans="2:15">
      <c r="B11" s="645" t="s">
        <v>69</v>
      </c>
      <c r="C11" s="767"/>
      <c r="D11" s="767"/>
      <c r="E11" s="767"/>
    </row>
    <row r="12" spans="2:15">
      <c r="B12" s="645" t="s">
        <v>70</v>
      </c>
      <c r="C12" s="767"/>
      <c r="D12" s="767"/>
      <c r="E12" s="767"/>
    </row>
    <row r="13" spans="2:15">
      <c r="B13" s="645" t="s">
        <v>71</v>
      </c>
      <c r="C13" s="767"/>
      <c r="D13" s="767"/>
      <c r="E13" s="767"/>
    </row>
    <row r="14" spans="2:15">
      <c r="B14" s="645" t="s">
        <v>72</v>
      </c>
      <c r="C14" s="767"/>
      <c r="D14" s="767"/>
      <c r="E14" s="767"/>
    </row>
    <row r="15" spans="2:15">
      <c r="B15" s="645" t="s">
        <v>73</v>
      </c>
      <c r="C15" s="767"/>
      <c r="D15" s="767"/>
      <c r="E15" s="767"/>
    </row>
    <row r="16" spans="2:15" ht="15" customHeight="1">
      <c r="B16" s="645" t="s">
        <v>74</v>
      </c>
      <c r="C16" s="767"/>
      <c r="D16" s="767"/>
      <c r="E16" s="767"/>
    </row>
    <row r="17" spans="2:5">
      <c r="B17" s="642"/>
    </row>
    <row r="18" spans="2:5">
      <c r="B18" s="779" t="s">
        <v>75</v>
      </c>
      <c r="C18" s="779"/>
      <c r="D18" s="779"/>
      <c r="E18" s="779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5"/>
  <cols>
    <col min="1" max="1" width="6.453125" customWidth="1"/>
    <col min="2" max="2" width="21.26953125" customWidth="1"/>
    <col min="3" max="3" width="28.7265625" customWidth="1"/>
    <col min="4" max="4" width="15.26953125" customWidth="1"/>
    <col min="5" max="5" width="16.54296875" customWidth="1"/>
    <col min="6" max="6" width="6.453125" customWidth="1"/>
  </cols>
  <sheetData>
    <row r="1" spans="2:15" ht="15" thickBot="1"/>
    <row r="2" spans="2:15" ht="18.5">
      <c r="B2" s="768" t="s">
        <v>80</v>
      </c>
      <c r="C2" s="768"/>
      <c r="D2" s="768"/>
      <c r="E2" s="768"/>
      <c r="H2" s="769" t="s">
        <v>81</v>
      </c>
      <c r="I2" s="770"/>
      <c r="J2" s="770"/>
      <c r="K2" s="770"/>
      <c r="L2" s="770"/>
      <c r="M2" s="770"/>
      <c r="N2" s="770"/>
      <c r="O2" s="771"/>
    </row>
    <row r="3" spans="2:15">
      <c r="B3" s="642"/>
      <c r="H3" s="772"/>
      <c r="I3" s="773"/>
      <c r="J3" s="773"/>
      <c r="K3" s="773"/>
      <c r="L3" s="773"/>
      <c r="M3" s="773"/>
      <c r="N3" s="773"/>
      <c r="O3" s="774"/>
    </row>
    <row r="4" spans="2:15">
      <c r="B4" s="643" t="s">
        <v>60</v>
      </c>
      <c r="C4" s="644" t="str">
        <f>'Project Plan'!E2</f>
        <v>Hungry Lion Citrusdal</v>
      </c>
      <c r="H4" s="772"/>
      <c r="I4" s="773"/>
      <c r="J4" s="773"/>
      <c r="K4" s="773"/>
      <c r="L4" s="773"/>
      <c r="M4" s="773"/>
      <c r="N4" s="773"/>
      <c r="O4" s="774"/>
    </row>
    <row r="5" spans="2:15">
      <c r="B5" s="643" t="s">
        <v>82</v>
      </c>
      <c r="C5" s="644"/>
      <c r="H5" s="772"/>
      <c r="I5" s="773"/>
      <c r="J5" s="773"/>
      <c r="K5" s="773"/>
      <c r="L5" s="773"/>
      <c r="M5" s="773"/>
      <c r="N5" s="773"/>
      <c r="O5" s="774"/>
    </row>
    <row r="6" spans="2:15">
      <c r="B6" s="643" t="s">
        <v>63</v>
      </c>
      <c r="C6" s="644" t="s">
        <v>64</v>
      </c>
      <c r="H6" s="772"/>
      <c r="I6" s="773"/>
      <c r="J6" s="773"/>
      <c r="K6" s="773"/>
      <c r="L6" s="773"/>
      <c r="M6" s="773"/>
      <c r="N6" s="773"/>
      <c r="O6" s="774"/>
    </row>
    <row r="7" spans="2:15">
      <c r="B7" s="643" t="s">
        <v>83</v>
      </c>
      <c r="C7" s="644" t="str">
        <f>'Project Plan'!E5</f>
        <v>Peet Verreynne</v>
      </c>
      <c r="H7" s="772"/>
      <c r="I7" s="773"/>
      <c r="J7" s="773"/>
      <c r="K7" s="773"/>
      <c r="L7" s="773"/>
      <c r="M7" s="773"/>
      <c r="N7" s="773"/>
      <c r="O7" s="774"/>
    </row>
    <row r="8" spans="2:15">
      <c r="B8" s="643" t="s">
        <v>84</v>
      </c>
      <c r="C8" s="644"/>
      <c r="H8" s="772"/>
      <c r="I8" s="773"/>
      <c r="J8" s="773"/>
      <c r="K8" s="773"/>
      <c r="L8" s="773"/>
      <c r="M8" s="773"/>
      <c r="N8" s="773"/>
      <c r="O8" s="774"/>
    </row>
    <row r="9" spans="2:15">
      <c r="B9" s="642"/>
      <c r="H9" s="772"/>
      <c r="I9" s="773"/>
      <c r="J9" s="773"/>
      <c r="K9" s="773"/>
      <c r="L9" s="773"/>
      <c r="M9" s="773"/>
      <c r="N9" s="773"/>
      <c r="O9" s="774"/>
    </row>
    <row r="10" spans="2:15">
      <c r="B10" s="778" t="s">
        <v>67</v>
      </c>
      <c r="C10" s="778"/>
      <c r="D10" s="778"/>
      <c r="E10" s="778"/>
      <c r="H10" s="772"/>
      <c r="I10" s="773"/>
      <c r="J10" s="773"/>
      <c r="K10" s="773"/>
      <c r="L10" s="773"/>
      <c r="M10" s="773"/>
      <c r="N10" s="773"/>
      <c r="O10" s="774"/>
    </row>
    <row r="11" spans="2:15" ht="15" thickBot="1">
      <c r="B11" s="778" t="s">
        <v>68</v>
      </c>
      <c r="C11" s="778"/>
      <c r="D11" s="778"/>
      <c r="E11" s="778"/>
      <c r="H11" s="775"/>
      <c r="I11" s="776"/>
      <c r="J11" s="776"/>
      <c r="K11" s="776"/>
      <c r="L11" s="776"/>
      <c r="M11" s="776"/>
      <c r="N11" s="776"/>
      <c r="O11" s="777"/>
    </row>
    <row r="12" spans="2:15" ht="25">
      <c r="B12" s="645" t="s">
        <v>85</v>
      </c>
      <c r="C12" s="767"/>
      <c r="D12" s="767"/>
      <c r="E12" s="767"/>
    </row>
    <row r="13" spans="2:15">
      <c r="B13" s="645" t="s">
        <v>86</v>
      </c>
      <c r="C13" s="767"/>
      <c r="D13" s="767"/>
      <c r="E13" s="767"/>
    </row>
    <row r="14" spans="2:15">
      <c r="B14" s="645" t="s">
        <v>87</v>
      </c>
      <c r="C14" s="767"/>
      <c r="D14" s="767"/>
      <c r="E14" s="767"/>
    </row>
    <row r="15" spans="2:15">
      <c r="B15" s="645" t="s">
        <v>88</v>
      </c>
      <c r="C15" s="767"/>
      <c r="D15" s="767"/>
      <c r="E15" s="767"/>
    </row>
    <row r="16" spans="2:15" ht="25">
      <c r="B16" s="645" t="s">
        <v>89</v>
      </c>
      <c r="C16" s="767"/>
      <c r="D16" s="767"/>
      <c r="E16" s="767"/>
    </row>
    <row r="17" spans="2:5">
      <c r="B17" s="645" t="s">
        <v>90</v>
      </c>
      <c r="C17" s="767"/>
      <c r="D17" s="767"/>
      <c r="E17" s="767"/>
    </row>
    <row r="18" spans="2:5">
      <c r="B18" s="645" t="s">
        <v>91</v>
      </c>
      <c r="C18" s="767"/>
      <c r="D18" s="767"/>
      <c r="E18" s="767"/>
    </row>
    <row r="19" spans="2:5">
      <c r="B19" s="645" t="s">
        <v>92</v>
      </c>
      <c r="C19" s="767"/>
      <c r="D19" s="767"/>
      <c r="E19" s="767"/>
    </row>
    <row r="20" spans="2:5">
      <c r="B20" s="645" t="s">
        <v>93</v>
      </c>
      <c r="C20" s="767"/>
      <c r="D20" s="767"/>
      <c r="E20" s="767"/>
    </row>
    <row r="21" spans="2:5">
      <c r="B21" s="645" t="s">
        <v>94</v>
      </c>
      <c r="C21" s="767"/>
      <c r="D21" s="767"/>
      <c r="E21" s="767"/>
    </row>
    <row r="22" spans="2:5" ht="15" customHeight="1">
      <c r="B22" s="645" t="s">
        <v>74</v>
      </c>
      <c r="C22" s="767"/>
      <c r="D22" s="767"/>
      <c r="E22" s="767"/>
    </row>
    <row r="23" spans="2:5">
      <c r="B23" s="642"/>
    </row>
    <row r="24" spans="2:5">
      <c r="B24" s="779" t="s">
        <v>75</v>
      </c>
      <c r="C24" s="779"/>
      <c r="D24" s="779"/>
      <c r="E24" s="779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53125" defaultRowHeight="14.5"/>
  <cols>
    <col min="1" max="1" width="0.54296875" customWidth="1"/>
    <col min="2" max="2" width="8.26953125" bestFit="1" customWidth="1"/>
    <col min="3" max="3" width="45.26953125" customWidth="1"/>
    <col min="4" max="4" width="15.26953125" customWidth="1"/>
    <col min="5" max="5" width="34.453125" customWidth="1"/>
    <col min="6" max="6" width="15.26953125" customWidth="1"/>
    <col min="7" max="7" width="12" bestFit="1" customWidth="1"/>
    <col min="8" max="8" width="9.453125" bestFit="1" customWidth="1"/>
    <col min="9" max="9" width="12" bestFit="1" customWidth="1"/>
    <col min="10" max="10" width="10.26953125" customWidth="1"/>
    <col min="11" max="11" width="99.54296875" customWidth="1"/>
  </cols>
  <sheetData>
    <row r="1" spans="2:15">
      <c r="B1" s="780"/>
      <c r="C1" s="781"/>
      <c r="D1" s="781"/>
      <c r="E1" s="781"/>
      <c r="F1" s="782" t="s">
        <v>95</v>
      </c>
      <c r="G1" s="782"/>
      <c r="H1" s="782"/>
      <c r="I1" s="782"/>
      <c r="J1" s="782"/>
      <c r="K1" s="783"/>
      <c r="L1" s="77"/>
      <c r="M1" s="77"/>
      <c r="N1" s="77"/>
      <c r="O1" s="77"/>
    </row>
    <row r="2" spans="2:15" ht="6.75" customHeight="1"/>
    <row r="3" spans="2:15" ht="43.5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" bestFit="1" customWidth="1"/>
    <col min="5" max="5" width="10.26953125" customWidth="1"/>
    <col min="6" max="6" width="34" customWidth="1"/>
  </cols>
  <sheetData>
    <row r="1" spans="2:10" ht="15" thickBot="1"/>
    <row r="2" spans="2:10" ht="15.5" thickTop="1" thickBot="1">
      <c r="B2" s="784" t="s">
        <v>115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4" t="s">
        <v>122</v>
      </c>
      <c r="C16" s="785"/>
      <c r="D16" s="785"/>
      <c r="E16" s="785"/>
      <c r="F16" s="786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activeCell="D18" sqref="D18"/>
      <selection pane="bottomLeft" activeCell="D18" sqref="D18"/>
    </sheetView>
  </sheetViews>
  <sheetFormatPr defaultColWidth="8.26953125" defaultRowHeight="14"/>
  <cols>
    <col min="1" max="1" width="1.26953125" style="24" customWidth="1"/>
    <col min="2" max="2" width="30.54296875" style="24" bestFit="1" customWidth="1"/>
    <col min="3" max="3" width="19.54296875" style="24" customWidth="1"/>
    <col min="4" max="4" width="32.54296875" style="24" customWidth="1"/>
    <col min="5" max="5" width="9.54296875" style="24" customWidth="1"/>
    <col min="6" max="6" width="53.453125" style="24" customWidth="1"/>
    <col min="7" max="16384" width="8.26953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5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zoomScaleNormal="100" workbookViewId="0">
      <selection activeCell="G31" sqref="G31"/>
    </sheetView>
  </sheetViews>
  <sheetFormatPr defaultColWidth="8.26953125" defaultRowHeight="14"/>
  <cols>
    <col min="1" max="1" width="1.26953125" style="112" customWidth="1"/>
    <col min="2" max="2" width="6.453125" style="172" bestFit="1" customWidth="1"/>
    <col min="3" max="3" width="45.26953125" style="24" customWidth="1"/>
    <col min="4" max="4" width="3.26953125" style="112" customWidth="1"/>
    <col min="5" max="5" width="14.7265625" style="24" customWidth="1"/>
    <col min="6" max="6" width="10.26953125" style="169" customWidth="1"/>
    <col min="7" max="7" width="13.54296875" style="64" customWidth="1"/>
    <col min="8" max="8" width="5" style="112" customWidth="1"/>
    <col min="9" max="9" width="13.453125" style="112" hidden="1" customWidth="1"/>
    <col min="10" max="10" width="11.453125" style="113" hidden="1" customWidth="1"/>
    <col min="11" max="11" width="14.7265625" style="112" hidden="1" customWidth="1"/>
    <col min="12" max="12" width="2.453125" style="112" customWidth="1"/>
    <col min="13" max="13" width="12" style="112" customWidth="1"/>
    <col min="14" max="14" width="11.453125" style="112" bestFit="1" customWidth="1"/>
    <col min="15" max="15" width="39.453125" style="112" bestFit="1" customWidth="1"/>
    <col min="16" max="16" width="1.26953125" style="112" customWidth="1"/>
    <col min="17" max="17" width="5" style="3" customWidth="1"/>
    <col min="18" max="18" width="8.26953125" style="112"/>
    <col min="19" max="19" width="21.7265625" style="112" customWidth="1"/>
    <col min="20" max="22" width="12.26953125" style="112" customWidth="1"/>
    <col min="23" max="23" width="8.26953125" style="112"/>
    <col min="24" max="25" width="10.7265625" style="112" bestFit="1" customWidth="1"/>
    <col min="26" max="16384" width="8.269531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46070</v>
      </c>
      <c r="O1" s="395">
        <f ca="1">TODAY()</f>
        <v>46070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92" t="s">
        <v>154</v>
      </c>
      <c r="J2" s="793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5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92" t="s">
        <v>156</v>
      </c>
      <c r="J3" s="793"/>
      <c r="K3" s="657">
        <f>K2/5</f>
        <v>3.8</v>
      </c>
      <c r="Q3" s="3"/>
    </row>
    <row r="4" spans="2:28" s="112" customFormat="1" ht="14.5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92" t="s">
        <v>159</v>
      </c>
      <c r="J4" s="793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163</v>
      </c>
      <c r="F7" s="757"/>
      <c r="G7" s="758"/>
      <c r="J7" s="113"/>
      <c r="Q7" s="3"/>
    </row>
    <row r="8" spans="2:28" ht="30" customHeight="1">
      <c r="B8" s="787" t="s">
        <v>164</v>
      </c>
      <c r="C8" s="788" t="s">
        <v>165</v>
      </c>
      <c r="D8" s="214"/>
      <c r="E8" s="789" t="s">
        <v>166</v>
      </c>
      <c r="F8" s="236" t="s">
        <v>167</v>
      </c>
      <c r="G8" s="789" t="s">
        <v>168</v>
      </c>
      <c r="H8" s="237"/>
      <c r="I8" s="789" t="s">
        <v>169</v>
      </c>
      <c r="J8" s="236" t="s">
        <v>167</v>
      </c>
      <c r="K8" s="789" t="s">
        <v>170</v>
      </c>
      <c r="M8" s="662" t="s">
        <v>102</v>
      </c>
      <c r="N8" s="663" t="s">
        <v>171</v>
      </c>
      <c r="O8" s="790" t="s">
        <v>172</v>
      </c>
      <c r="Z8" s="112"/>
      <c r="AA8" s="112"/>
      <c r="AB8" s="112"/>
    </row>
    <row r="9" spans="2:28">
      <c r="B9" s="787"/>
      <c r="C9" s="788"/>
      <c r="D9" s="214"/>
      <c r="E9" s="789"/>
      <c r="F9" s="126">
        <f>G41-E19</f>
        <v>35</v>
      </c>
      <c r="G9" s="789"/>
      <c r="H9" s="237"/>
      <c r="I9" s="789"/>
      <c r="J9" s="127">
        <f>K41-I19</f>
        <v>19</v>
      </c>
      <c r="K9" s="789"/>
      <c r="M9" s="353">
        <f>AVERAGE(M11,M18,M21,M28,M35,M39,M48,M44)</f>
        <v>1</v>
      </c>
      <c r="N9" s="353">
        <f ca="1">AVERAGE(N11,N18,N21,N28,N35,N39,N48,N44)</f>
        <v>0.99999184821595488</v>
      </c>
      <c r="O9" s="791"/>
      <c r="S9" s="664">
        <f ca="1">TODAY()</f>
        <v>46070</v>
      </c>
      <c r="T9" s="664">
        <f ca="1">TODAY()</f>
        <v>46070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173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174</v>
      </c>
      <c r="C12" s="246" t="s">
        <v>175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176</v>
      </c>
      <c r="Q12" s="3"/>
      <c r="S12" s="471" t="s">
        <v>177</v>
      </c>
      <c r="T12" s="637" t="s">
        <v>178</v>
      </c>
      <c r="U12" s="637" t="s">
        <v>167</v>
      </c>
      <c r="V12" s="637" t="s">
        <v>179</v>
      </c>
    </row>
    <row r="13" spans="2:28" s="112" customFormat="1">
      <c r="B13" s="245" t="s">
        <v>180</v>
      </c>
      <c r="C13" s="246" t="s">
        <v>181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182</v>
      </c>
      <c r="C14" s="246" t="s">
        <v>183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184</v>
      </c>
      <c r="C15" s="246" t="s">
        <v>185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186</v>
      </c>
      <c r="C16" s="246" t="s">
        <v>187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188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189</v>
      </c>
      <c r="C19" s="246" t="s">
        <v>190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191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192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193</v>
      </c>
      <c r="C22" s="246" t="s">
        <v>194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195</v>
      </c>
      <c r="C23" s="246" t="s">
        <v>196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197</v>
      </c>
      <c r="C24" s="246" t="s">
        <v>198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199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200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201</v>
      </c>
      <c r="C26" s="246" t="s">
        <v>202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203</v>
      </c>
      <c r="C30" s="246" t="s">
        <v>204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205</v>
      </c>
      <c r="C31" s="246" t="s">
        <v>206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207</v>
      </c>
      <c r="C32" s="246" t="s">
        <v>208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5" t="s">
        <v>209</v>
      </c>
      <c r="C33" s="242" t="s">
        <v>210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211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212</v>
      </c>
      <c r="C36" s="246" t="s">
        <v>213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214</v>
      </c>
      <c r="C37" s="246" t="s">
        <v>215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216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217</v>
      </c>
      <c r="C40" s="242" t="s">
        <v>216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218</v>
      </c>
      <c r="C41" s="242" t="s">
        <v>219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220</v>
      </c>
      <c r="C42" s="242" t="s">
        <v>221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222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223</v>
      </c>
      <c r="C45" s="242" t="s">
        <v>224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225</v>
      </c>
      <c r="C46" s="242" t="s">
        <v>226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227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228</v>
      </c>
      <c r="C49" s="242" t="s">
        <v>229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230</v>
      </c>
      <c r="C50" s="242" t="s">
        <v>231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232</v>
      </c>
      <c r="C51" s="242" t="s">
        <v>233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K8:K9"/>
    <mergeCell ref="O8:O9"/>
    <mergeCell ref="I2:J2"/>
    <mergeCell ref="I3:J3"/>
    <mergeCell ref="I4:J4"/>
    <mergeCell ref="B8:B9"/>
    <mergeCell ref="C8:C9"/>
    <mergeCell ref="E8:E9"/>
    <mergeCell ref="G8:G9"/>
    <mergeCell ref="I8:I9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26953125" defaultRowHeight="14.5"/>
  <cols>
    <col min="1" max="1" width="5" style="93" customWidth="1"/>
    <col min="2" max="2" width="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26953125" style="129" customWidth="1"/>
    <col min="9" max="9" width="2" style="129" customWidth="1"/>
    <col min="10" max="10" width="3.26953125" style="93" customWidth="1"/>
    <col min="11" max="11" width="2" style="176" customWidth="1"/>
    <col min="12" max="12" width="29.453125" style="93" customWidth="1"/>
    <col min="13" max="13" width="2" style="129" customWidth="1"/>
    <col min="14" max="14" width="29.453125" style="129" customWidth="1"/>
    <col min="15" max="15" width="1.26953125" style="93" customWidth="1"/>
    <col min="16" max="16" width="16.54296875" style="129" customWidth="1"/>
    <col min="17" max="17" width="5" style="129" customWidth="1"/>
    <col min="18" max="18" width="112.453125" style="129" bestFit="1" customWidth="1"/>
    <col min="19" max="19" width="4.453125" style="129" customWidth="1"/>
    <col min="20" max="20" width="19.26953125" style="129" bestFit="1" customWidth="1"/>
    <col min="21" max="21" width="15.26953125" style="93" bestFit="1" customWidth="1"/>
    <col min="22" max="22" width="19.54296875" style="93" bestFit="1" customWidth="1"/>
    <col min="23" max="23" width="16.453125" style="93" bestFit="1" customWidth="1"/>
    <col min="24" max="24" width="19.26953125" style="93" bestFit="1" customWidth="1"/>
    <col min="25" max="25" width="15.26953125" style="93" bestFit="1" customWidth="1"/>
    <col min="26" max="26" width="8.26953125" style="93"/>
    <col min="27" max="27" width="14.453125" style="93" bestFit="1" customWidth="1"/>
    <col min="28" max="28" width="8.26953125" style="129"/>
    <col min="29" max="29" width="12" style="129" bestFit="1" customWidth="1"/>
    <col min="30" max="40" width="8.26953125" style="129"/>
    <col min="41" max="41" width="9.453125" style="129" bestFit="1" customWidth="1"/>
    <col min="42" max="16384" width="8.269531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235</v>
      </c>
      <c r="F3" s="125" t="s">
        <v>236</v>
      </c>
      <c r="J3" s="142"/>
      <c r="L3" s="400" t="s">
        <v>237</v>
      </c>
      <c r="N3" s="400" t="s">
        <v>238</v>
      </c>
      <c r="S3" s="142"/>
      <c r="T3" s="680" t="s">
        <v>239</v>
      </c>
      <c r="U3" s="680" t="s">
        <v>240</v>
      </c>
      <c r="V3" s="680" t="s">
        <v>241</v>
      </c>
      <c r="W3" s="680" t="s">
        <v>242</v>
      </c>
      <c r="X3" s="680" t="s">
        <v>243</v>
      </c>
      <c r="Y3" s="680" t="s">
        <v>244</v>
      </c>
    </row>
    <row r="4" spans="1:41" s="93" customFormat="1" ht="13">
      <c r="B4" s="344">
        <v>1</v>
      </c>
      <c r="C4" s="345" t="s">
        <v>245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178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889884.7555000002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889884.7555000002</v>
      </c>
    </row>
    <row r="5" spans="1:41" s="93" customFormat="1" ht="15" customHeight="1">
      <c r="B5" s="344">
        <v>2</v>
      </c>
      <c r="C5" s="345" t="s">
        <v>246</v>
      </c>
      <c r="D5" s="346">
        <f>+'Expenditure Tracking'!F5</f>
        <v>997503.49719293485</v>
      </c>
      <c r="E5" s="347"/>
      <c r="F5" s="346">
        <f>+'Expenditure Tracking'!H5</f>
        <v>889884.75549999997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247</v>
      </c>
      <c r="D6" s="346">
        <f>+D4-D5</f>
        <v>315109.44512300519</v>
      </c>
      <c r="E6" s="347"/>
      <c r="F6" s="346">
        <f>+F4-F5</f>
        <v>402444.60250824806</v>
      </c>
      <c r="H6" s="116"/>
      <c r="J6" s="142"/>
      <c r="L6" s="366">
        <v>419257.8005369911</v>
      </c>
      <c r="N6" s="366" t="s">
        <v>248</v>
      </c>
      <c r="S6" s="142"/>
    </row>
    <row r="7" spans="1:41" s="93" customFormat="1" ht="15" customHeight="1" thickBot="1">
      <c r="B7" s="344">
        <v>4</v>
      </c>
      <c r="C7" s="345" t="s">
        <v>249</v>
      </c>
      <c r="D7" s="348">
        <f>+D6/D4</f>
        <v>0.24006272905326859</v>
      </c>
      <c r="E7" s="347"/>
      <c r="F7" s="348">
        <f>+F6/F4</f>
        <v>0.31141024539479628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250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164</v>
      </c>
      <c r="C12" s="133" t="s">
        <v>251</v>
      </c>
      <c r="D12" s="134"/>
      <c r="E12" s="132" t="s">
        <v>252</v>
      </c>
      <c r="F12" s="132" t="s">
        <v>253</v>
      </c>
      <c r="H12" s="349" t="s">
        <v>254</v>
      </c>
      <c r="J12" s="142"/>
      <c r="L12" s="167" t="s">
        <v>255</v>
      </c>
      <c r="M12" s="135"/>
      <c r="N12" s="167" t="s">
        <v>256</v>
      </c>
      <c r="O12" s="129"/>
      <c r="P12" s="167" t="s">
        <v>257</v>
      </c>
      <c r="R12" s="369" t="s">
        <v>258</v>
      </c>
      <c r="S12" s="142"/>
    </row>
    <row r="13" spans="1:41" s="93" customFormat="1" ht="13">
      <c r="B13" s="344">
        <v>1</v>
      </c>
      <c r="C13" s="796" t="s">
        <v>259</v>
      </c>
      <c r="D13" s="797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260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2.5">
      <c r="B14" s="155">
        <v>2</v>
      </c>
      <c r="C14" s="796" t="s">
        <v>261</v>
      </c>
      <c r="D14" s="797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260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2.5">
      <c r="B15" s="344">
        <v>3</v>
      </c>
      <c r="C15" s="796" t="s">
        <v>262</v>
      </c>
      <c r="D15" s="797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260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2.5">
      <c r="B16" s="344">
        <v>4</v>
      </c>
      <c r="C16" s="794" t="s">
        <v>219</v>
      </c>
      <c r="D16" s="795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260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2.5">
      <c r="B17" s="344">
        <v>5</v>
      </c>
      <c r="C17" s="794" t="s">
        <v>54</v>
      </c>
      <c r="D17" s="795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260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2.5">
      <c r="B18" s="344">
        <v>6</v>
      </c>
      <c r="C18" s="794" t="s">
        <v>263</v>
      </c>
      <c r="D18" s="795"/>
      <c r="E18" s="136">
        <v>0</v>
      </c>
      <c r="F18" s="137">
        <v>-20283.584307692301</v>
      </c>
      <c r="G18" s="347"/>
      <c r="H18" s="139"/>
      <c r="J18" s="142"/>
      <c r="L18" s="360" t="s">
        <v>264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2.5">
      <c r="B19" s="344">
        <v>7</v>
      </c>
      <c r="C19" s="796" t="s">
        <v>265</v>
      </c>
      <c r="D19" s="797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266</v>
      </c>
      <c r="C23" s="146" t="s">
        <v>267</v>
      </c>
      <c r="D23" s="146"/>
      <c r="F23" s="147"/>
      <c r="H23" s="116"/>
    </row>
    <row r="24" spans="2:19" s="93" customFormat="1" ht="12.5">
      <c r="C24" s="148" t="s">
        <v>268</v>
      </c>
      <c r="D24" s="149"/>
      <c r="F24" s="150"/>
    </row>
    <row r="25" spans="2:19" s="93" customFormat="1" ht="12.5">
      <c r="C25" s="148" t="s">
        <v>269</v>
      </c>
      <c r="D25" s="149"/>
    </row>
    <row r="26" spans="2:19" s="93" customFormat="1" ht="12.5">
      <c r="C26" s="151" t="s">
        <v>270</v>
      </c>
      <c r="D26" s="152"/>
    </row>
    <row r="27" spans="2:19" s="93" customFormat="1" ht="12.5">
      <c r="C27" s="153" t="s">
        <v>271</v>
      </c>
      <c r="D27" s="149"/>
    </row>
    <row r="28" spans="2:19" s="93" customFormat="1" ht="12.5">
      <c r="B28" s="117"/>
      <c r="C28" s="153" t="s">
        <v>272</v>
      </c>
      <c r="D28" s="149"/>
    </row>
    <row r="29" spans="2:19" s="93" customFormat="1" ht="12.5">
      <c r="B29" s="117"/>
      <c r="C29" s="93" t="s">
        <v>273</v>
      </c>
    </row>
    <row r="30" spans="2:19" s="93" customFormat="1" ht="27.75" customHeight="1">
      <c r="B30" s="117"/>
      <c r="C30" s="154" t="s">
        <v>274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8" s="93" customFormat="1" ht="12.5">
      <c r="B33" s="117"/>
      <c r="F33" s="147"/>
    </row>
    <row r="34" spans="2:8" s="93" customFormat="1" ht="12.5">
      <c r="B34" s="117"/>
      <c r="F34" s="147"/>
      <c r="H34" s="703"/>
    </row>
    <row r="35" spans="2:8" s="93" customFormat="1" ht="12.5">
      <c r="B35" s="117"/>
      <c r="H35" s="703"/>
    </row>
    <row r="36" spans="2:8" s="93" customFormat="1" ht="12.5">
      <c r="B36" s="117"/>
    </row>
    <row r="37" spans="2:8" s="93" customFormat="1" ht="12.5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164</v>
      </c>
      <c r="C40" s="133" t="s">
        <v>251</v>
      </c>
      <c r="D40" s="134"/>
      <c r="E40" s="132" t="s">
        <v>252</v>
      </c>
      <c r="F40" s="132" t="s">
        <v>253</v>
      </c>
    </row>
    <row r="41" spans="2:8" s="93" customFormat="1" ht="12.75" hidden="1" customHeight="1">
      <c r="B41" s="155">
        <v>1</v>
      </c>
      <c r="C41" s="156" t="s">
        <v>275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261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262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276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277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" style="73" bestFit="1" customWidth="1"/>
    <col min="7" max="7" width="1.269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278</v>
      </c>
      <c r="F2" s="83" t="s">
        <v>279</v>
      </c>
    </row>
    <row r="3" spans="3:8">
      <c r="C3" s="79">
        <v>45658</v>
      </c>
      <c r="D3" s="73" t="s">
        <v>280</v>
      </c>
      <c r="F3" s="81" t="s">
        <v>281</v>
      </c>
    </row>
    <row r="4" spans="3:8">
      <c r="C4" s="79">
        <v>45737</v>
      </c>
      <c r="D4" s="73" t="s">
        <v>282</v>
      </c>
      <c r="F4" s="81" t="s">
        <v>283</v>
      </c>
    </row>
    <row r="5" spans="3:8">
      <c r="C5" s="79">
        <v>45765</v>
      </c>
      <c r="D5" s="73" t="s">
        <v>284</v>
      </c>
      <c r="F5" s="81" t="s">
        <v>285</v>
      </c>
    </row>
    <row r="6" spans="3:8" ht="13" thickBot="1">
      <c r="C6" s="79">
        <v>45768</v>
      </c>
      <c r="D6" s="73" t="s">
        <v>286</v>
      </c>
      <c r="F6" s="82" t="s">
        <v>287</v>
      </c>
    </row>
    <row r="7" spans="3:8">
      <c r="C7" s="79">
        <v>45774</v>
      </c>
      <c r="D7" s="73" t="s">
        <v>288</v>
      </c>
    </row>
    <row r="8" spans="3:8">
      <c r="C8" s="79">
        <v>45765</v>
      </c>
      <c r="D8" s="73" t="s">
        <v>289</v>
      </c>
    </row>
    <row r="9" spans="3:8">
      <c r="C9" s="79">
        <v>45778</v>
      </c>
      <c r="D9" s="73" t="s">
        <v>290</v>
      </c>
    </row>
    <row r="10" spans="3:8">
      <c r="C10" s="79">
        <v>45824</v>
      </c>
      <c r="D10" s="73" t="s">
        <v>291</v>
      </c>
    </row>
    <row r="11" spans="3:8">
      <c r="C11" s="79">
        <v>45878</v>
      </c>
      <c r="D11" s="73" t="s">
        <v>292</v>
      </c>
    </row>
    <row r="12" spans="3:8">
      <c r="C12" s="79">
        <v>45924</v>
      </c>
      <c r="D12" s="73" t="s">
        <v>293</v>
      </c>
    </row>
    <row r="13" spans="3:8">
      <c r="C13" s="79">
        <v>46007</v>
      </c>
      <c r="D13" s="73" t="s">
        <v>294</v>
      </c>
      <c r="F13" s="85"/>
      <c r="H13" s="73" t="s">
        <v>295</v>
      </c>
    </row>
    <row r="14" spans="3:8">
      <c r="C14" s="79">
        <v>46016</v>
      </c>
      <c r="D14" s="73" t="s">
        <v>296</v>
      </c>
    </row>
    <row r="15" spans="3:8" ht="13" thickBot="1">
      <c r="C15" s="80">
        <v>46017</v>
      </c>
      <c r="D15" s="73" t="s">
        <v>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26953125" defaultRowHeight="14"/>
  <cols>
    <col min="1" max="1" width="1.26953125" style="24" customWidth="1"/>
    <col min="2" max="2" width="8.26953125" style="64"/>
    <col min="3" max="3" width="2.453125" style="64" customWidth="1"/>
    <col min="4" max="4" width="21" style="24" customWidth="1"/>
    <col min="5" max="5" width="1.26953125" style="24" customWidth="1"/>
    <col min="6" max="6" width="19.54296875" style="24" customWidth="1"/>
    <col min="7" max="7" width="1.26953125" style="24" customWidth="1"/>
    <col min="8" max="8" width="18.453125" style="24" customWidth="1"/>
    <col min="9" max="9" width="3.26953125" style="24" customWidth="1"/>
    <col min="10" max="10" width="21.7265625" style="24" customWidth="1"/>
    <col min="11" max="12" width="2" style="24" customWidth="1"/>
    <col min="13" max="13" width="53.453125" style="24" customWidth="1"/>
    <col min="14" max="16384" width="8.269531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298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5" thickBot="1">
      <c r="A4" s="214"/>
      <c r="B4" s="798"/>
      <c r="C4" s="798"/>
      <c r="D4" s="798"/>
      <c r="E4" s="403"/>
      <c r="F4" s="219" t="s">
        <v>235</v>
      </c>
      <c r="G4" s="214"/>
      <c r="H4" s="219" t="s">
        <v>236</v>
      </c>
      <c r="I4" s="214"/>
      <c r="J4" s="220" t="s">
        <v>299</v>
      </c>
      <c r="K4" s="112"/>
      <c r="L4" s="112"/>
      <c r="M4" s="112"/>
    </row>
    <row r="5" spans="1:13" ht="14.5" thickBot="1">
      <c r="A5" s="214"/>
      <c r="B5" s="799" t="s">
        <v>300</v>
      </c>
      <c r="C5" s="799"/>
      <c r="D5" s="799"/>
      <c r="E5" s="403"/>
      <c r="F5" s="221">
        <f>SUM(F9:F23)</f>
        <v>997503.49719293485</v>
      </c>
      <c r="G5" s="216"/>
      <c r="H5" s="221">
        <f>SUM(H9:H23)</f>
        <v>889884.75549999997</v>
      </c>
      <c r="I5" s="214"/>
      <c r="J5" s="222">
        <f>SUM(J9:J23)</f>
        <v>107618.74169293488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6.5" thickBot="1">
      <c r="A7" s="214"/>
      <c r="B7" s="224" t="s">
        <v>164</v>
      </c>
      <c r="C7" s="225"/>
      <c r="D7" s="224" t="s">
        <v>125</v>
      </c>
      <c r="E7" s="225"/>
      <c r="F7" s="226" t="s">
        <v>301</v>
      </c>
      <c r="G7" s="227"/>
      <c r="H7" s="226" t="s">
        <v>302</v>
      </c>
      <c r="I7" s="227"/>
      <c r="J7" s="226" t="s">
        <v>303</v>
      </c>
      <c r="K7" s="173"/>
      <c r="L7" s="173"/>
      <c r="M7" s="115" t="s">
        <v>304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2023.19</v>
      </c>
      <c r="I22" s="89"/>
      <c r="J22" s="231">
        <f t="shared" si="0"/>
        <v>251.80999999999995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305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M1" zoomScale="85" zoomScaleNormal="85" workbookViewId="0">
      <pane ySplit="4" topLeftCell="A5" activePane="bottomLeft" state="frozen"/>
      <selection activeCell="X33" sqref="X33"/>
      <selection pane="bottomLeft" activeCell="U140" sqref="U140"/>
    </sheetView>
  </sheetViews>
  <sheetFormatPr defaultColWidth="9.453125" defaultRowHeight="14"/>
  <cols>
    <col min="1" max="1" width="2.453125" style="112" customWidth="1"/>
    <col min="2" max="2" width="6.453125" style="24" hidden="1" customWidth="1"/>
    <col min="3" max="3" width="20.453125" style="24" hidden="1" customWidth="1"/>
    <col min="4" max="4" width="51.7265625" style="24" hidden="1" customWidth="1"/>
    <col min="5" max="5" width="13.453125" style="70" hidden="1" customWidth="1"/>
    <col min="6" max="6" width="16.54296875" style="462" hidden="1" customWidth="1"/>
    <col min="7" max="8" width="17.26953125" style="24" hidden="1" customWidth="1"/>
    <col min="9" max="10" width="22.26953125" style="342" customWidth="1"/>
    <col min="11" max="12" width="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6" width="17.26953125" style="112" customWidth="1"/>
    <col min="17" max="17" width="17.26953125" style="738" customWidth="1"/>
    <col min="18" max="18" width="38.26953125" style="112" bestFit="1" customWidth="1"/>
    <col min="19" max="19" width="25.453125" style="112" customWidth="1"/>
    <col min="20" max="21" width="17.26953125" style="526" customWidth="1"/>
    <col min="22" max="22" width="17.26953125" style="112" customWidth="1"/>
    <col min="23" max="23" width="17.26953125" style="526" customWidth="1"/>
    <col min="24" max="24" width="21" style="112" customWidth="1"/>
    <col min="25" max="25" width="29.453125" style="112" bestFit="1" customWidth="1"/>
    <col min="26" max="26" width="25" style="112" bestFit="1" customWidth="1"/>
    <col min="27" max="27" width="17.26953125" style="112" customWidth="1"/>
    <col min="28" max="28" width="17.26953125" style="112" hidden="1" customWidth="1"/>
    <col min="29" max="29" width="22.26953125" style="112" hidden="1" customWidth="1"/>
    <col min="30" max="30" width="17.26953125" style="112" hidden="1" customWidth="1"/>
    <col min="31" max="31" width="17.26953125" style="112" customWidth="1"/>
    <col min="32" max="32" width="23.54296875" style="112" customWidth="1"/>
    <col min="33" max="33" width="21.7265625" style="112" customWidth="1"/>
    <col min="34" max="76" width="17.26953125" style="112" customWidth="1"/>
    <col min="77" max="16384" width="9.4531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50" t="s">
        <v>306</v>
      </c>
      <c r="C2" s="851"/>
      <c r="D2" s="851"/>
      <c r="E2" s="851"/>
      <c r="F2" s="851"/>
      <c r="G2" s="851"/>
      <c r="H2" s="490"/>
      <c r="I2" s="250">
        <f>SUM(I6:I172)</f>
        <v>997503.49719293485</v>
      </c>
      <c r="J2" s="250">
        <f>SUM(J6:J172)</f>
        <v>1312612.9423159359</v>
      </c>
      <c r="L2" s="852" t="s">
        <v>307</v>
      </c>
      <c r="M2" s="853"/>
      <c r="N2" s="853"/>
      <c r="O2" s="853"/>
      <c r="P2" s="853"/>
      <c r="Q2" s="853"/>
      <c r="R2" s="854" t="s">
        <v>308</v>
      </c>
      <c r="S2" s="855"/>
      <c r="T2" s="855"/>
      <c r="U2" s="855"/>
      <c r="V2" s="855"/>
      <c r="W2" s="856"/>
      <c r="X2" s="465">
        <f>SUM(X6:X172)</f>
        <v>889884.75549999997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2">
      <c r="A4" s="166"/>
      <c r="B4" s="251" t="s">
        <v>309</v>
      </c>
      <c r="C4" s="252" t="s">
        <v>310</v>
      </c>
      <c r="D4" s="252" t="s">
        <v>311</v>
      </c>
      <c r="E4" s="252" t="s">
        <v>312</v>
      </c>
      <c r="F4" s="453" t="s">
        <v>313</v>
      </c>
      <c r="G4" s="253" t="s">
        <v>314</v>
      </c>
      <c r="H4" s="363" t="s">
        <v>315</v>
      </c>
      <c r="I4" s="254" t="s">
        <v>316</v>
      </c>
      <c r="J4" s="254" t="str">
        <f>IF(J2-'Revenue Tracking'!D4&gt;=0, "Total Revenue", "ERROR on REV" )</f>
        <v>ERROR on REV</v>
      </c>
      <c r="K4" s="166"/>
      <c r="L4" s="251" t="s">
        <v>309</v>
      </c>
      <c r="M4" s="252" t="s">
        <v>317</v>
      </c>
      <c r="N4" s="252" t="s">
        <v>311</v>
      </c>
      <c r="O4" s="252" t="s">
        <v>312</v>
      </c>
      <c r="P4" s="453" t="s">
        <v>313</v>
      </c>
      <c r="Q4" s="711" t="s">
        <v>318</v>
      </c>
      <c r="R4" s="598" t="s">
        <v>319</v>
      </c>
      <c r="S4" s="599" t="s">
        <v>255</v>
      </c>
      <c r="T4" s="623" t="s">
        <v>256</v>
      </c>
      <c r="U4" s="624" t="s">
        <v>320</v>
      </c>
      <c r="V4" s="364" t="s">
        <v>321</v>
      </c>
      <c r="W4" s="623" t="s">
        <v>322</v>
      </c>
      <c r="X4" s="467" t="s">
        <v>316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323</v>
      </c>
      <c r="D6" s="274" t="s">
        <v>324</v>
      </c>
      <c r="E6" s="275"/>
      <c r="F6" s="426"/>
      <c r="G6" s="382">
        <f>D173</f>
        <v>329608.24500000005</v>
      </c>
      <c r="H6" s="548">
        <v>46022</v>
      </c>
      <c r="I6" s="805">
        <f>SUM(G6:G12)</f>
        <v>329608.24500000005</v>
      </c>
      <c r="J6" s="805">
        <f>F173</f>
        <v>457789.22916666674</v>
      </c>
      <c r="K6" s="379"/>
      <c r="L6" s="273">
        <v>1</v>
      </c>
      <c r="M6" s="406" t="s">
        <v>325</v>
      </c>
      <c r="N6" s="274" t="s">
        <v>326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327</v>
      </c>
      <c r="T6" s="683">
        <v>45961</v>
      </c>
      <c r="U6" s="739">
        <v>447965.60033721745</v>
      </c>
      <c r="V6" s="814">
        <f>J6-SUM(U6:U12)</f>
        <v>20283.584262897086</v>
      </c>
      <c r="W6" s="750">
        <v>46009</v>
      </c>
      <c r="X6" s="800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328</v>
      </c>
      <c r="E7" s="381"/>
      <c r="F7" s="447">
        <f>G6/'Project Plan'!E3/1000*(8*1000)</f>
        <v>20283.584307692312</v>
      </c>
      <c r="G7" s="307"/>
      <c r="H7" s="549"/>
      <c r="I7" s="806"/>
      <c r="J7" s="806"/>
      <c r="K7" s="280"/>
      <c r="L7" s="303">
        <v>1</v>
      </c>
      <c r="M7" s="305" t="s">
        <v>325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15"/>
      <c r="W7" s="549"/>
      <c r="X7" s="801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6"/>
      <c r="J8" s="806"/>
      <c r="K8" s="280"/>
      <c r="L8" s="303">
        <v>1</v>
      </c>
      <c r="M8" s="305" t="s">
        <v>325</v>
      </c>
      <c r="N8" s="473" t="s">
        <v>329</v>
      </c>
      <c r="O8" s="529"/>
      <c r="P8" s="433"/>
      <c r="Q8" s="714">
        <v>5093.43</v>
      </c>
      <c r="R8" s="565"/>
      <c r="S8" s="602" t="s">
        <v>327</v>
      </c>
      <c r="T8" s="683">
        <v>45961</v>
      </c>
      <c r="U8" s="739">
        <v>9823.6288742445249</v>
      </c>
      <c r="V8" s="815"/>
      <c r="W8" s="751">
        <f>W6</f>
        <v>46009</v>
      </c>
      <c r="X8" s="801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6"/>
      <c r="J9" s="806"/>
      <c r="K9" s="280"/>
      <c r="L9" s="303">
        <v>1</v>
      </c>
      <c r="M9" s="305" t="s">
        <v>325</v>
      </c>
      <c r="N9" s="473" t="s">
        <v>330</v>
      </c>
      <c r="O9" s="529">
        <v>-12</v>
      </c>
      <c r="P9" s="433">
        <v>1128.5</v>
      </c>
      <c r="Q9" s="715">
        <f>O9*P9</f>
        <v>-13542</v>
      </c>
      <c r="R9" s="566"/>
      <c r="S9" s="704" t="s">
        <v>331</v>
      </c>
      <c r="T9" s="701">
        <v>45991</v>
      </c>
      <c r="U9" s="739"/>
      <c r="V9" s="815"/>
      <c r="W9" s="705">
        <v>45991</v>
      </c>
      <c r="X9" s="801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6"/>
      <c r="J10" s="806"/>
      <c r="K10" s="280"/>
      <c r="L10" s="303">
        <v>1</v>
      </c>
      <c r="M10" s="305" t="s">
        <v>325</v>
      </c>
      <c r="N10" s="473" t="s">
        <v>332</v>
      </c>
      <c r="O10" s="700"/>
      <c r="P10" s="473"/>
      <c r="Q10" s="715">
        <v>5436.12</v>
      </c>
      <c r="R10" s="566"/>
      <c r="S10" s="603" t="s">
        <v>333</v>
      </c>
      <c r="T10" s="701">
        <v>45991</v>
      </c>
      <c r="U10" s="739">
        <v>0</v>
      </c>
      <c r="V10" s="815"/>
      <c r="W10" s="705">
        <v>46009</v>
      </c>
      <c r="X10" s="801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6"/>
      <c r="J11" s="806"/>
      <c r="K11" s="280"/>
      <c r="L11" s="303">
        <v>1</v>
      </c>
      <c r="M11" s="305" t="s">
        <v>325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15"/>
      <c r="W11" s="705"/>
      <c r="X11" s="801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7"/>
      <c r="J12" s="807"/>
      <c r="K12" s="281"/>
      <c r="L12" s="308">
        <v>1</v>
      </c>
      <c r="M12" s="408" t="s">
        <v>325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16"/>
      <c r="W12" s="551"/>
      <c r="X12" s="802"/>
      <c r="Y12" s="582" t="s">
        <v>334</v>
      </c>
      <c r="Z12" s="583" t="s">
        <v>335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336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337</v>
      </c>
      <c r="E14" s="356"/>
      <c r="F14" s="445"/>
      <c r="G14" s="288">
        <f>D174</f>
        <v>70000</v>
      </c>
      <c r="H14" s="553">
        <v>46022</v>
      </c>
      <c r="I14" s="822">
        <f>SUM(G14:G20)</f>
        <v>70000</v>
      </c>
      <c r="J14" s="822">
        <f>F174</f>
        <v>97222.222222222219</v>
      </c>
      <c r="K14" s="289"/>
      <c r="L14" s="285">
        <v>2</v>
      </c>
      <c r="M14" s="409" t="s">
        <v>338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327</v>
      </c>
      <c r="T14" s="687">
        <v>45961</v>
      </c>
      <c r="U14" s="740">
        <v>97222.222222222219</v>
      </c>
      <c r="V14" s="846">
        <f>J14-SUM(U14:U20)</f>
        <v>0</v>
      </c>
      <c r="W14" s="708">
        <v>46009</v>
      </c>
      <c r="X14" s="825">
        <f>SUM(Q14:Q20)</f>
        <v>65246</v>
      </c>
      <c r="Y14" s="584" t="s">
        <v>339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23"/>
      <c r="J15" s="823"/>
      <c r="K15" s="293"/>
      <c r="L15" s="290">
        <v>2</v>
      </c>
      <c r="M15" s="415" t="s">
        <v>338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47"/>
      <c r="W15" s="628"/>
      <c r="X15" s="826"/>
      <c r="Y15" s="584" t="s">
        <v>340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23"/>
      <c r="J16" s="823"/>
      <c r="K16" s="293"/>
      <c r="L16" s="290">
        <v>2</v>
      </c>
      <c r="M16" s="415" t="s">
        <v>338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47"/>
      <c r="W16" s="554"/>
      <c r="X16" s="826"/>
      <c r="Y16" s="584" t="s">
        <v>341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23"/>
      <c r="J17" s="823"/>
      <c r="K17" s="293"/>
      <c r="L17" s="290">
        <v>2</v>
      </c>
      <c r="M17" s="415" t="s">
        <v>338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47"/>
      <c r="W17" s="554"/>
      <c r="X17" s="826"/>
      <c r="Y17" s="584" t="s">
        <v>342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23"/>
      <c r="J18" s="823"/>
      <c r="K18" s="293"/>
      <c r="L18" s="290">
        <v>2</v>
      </c>
      <c r="M18" s="415" t="s">
        <v>338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47"/>
      <c r="W18" s="554"/>
      <c r="X18" s="826"/>
      <c r="Y18" s="584" t="s">
        <v>343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23"/>
      <c r="J19" s="823"/>
      <c r="K19" s="293"/>
      <c r="L19" s="290">
        <v>2</v>
      </c>
      <c r="M19" s="415" t="s">
        <v>338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47"/>
      <c r="W19" s="554"/>
      <c r="X19" s="826"/>
      <c r="Y19" s="584" t="s">
        <v>344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24"/>
      <c r="J20" s="824"/>
      <c r="K20" s="298"/>
      <c r="L20" s="386">
        <v>2</v>
      </c>
      <c r="M20" s="410" t="s">
        <v>338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48"/>
      <c r="W20" s="555"/>
      <c r="X20" s="827"/>
      <c r="Y20" s="584" t="s">
        <v>345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346</v>
      </c>
      <c r="D22" s="319" t="s">
        <v>347</v>
      </c>
      <c r="E22" s="275"/>
      <c r="F22" s="426"/>
      <c r="G22" s="276">
        <f>D175</f>
        <v>52216</v>
      </c>
      <c r="H22" s="548">
        <v>46021</v>
      </c>
      <c r="I22" s="805">
        <f>SUM(G22:G28)</f>
        <v>52216</v>
      </c>
      <c r="J22" s="805">
        <f>F175</f>
        <v>72522.222222222219</v>
      </c>
      <c r="K22" s="277"/>
      <c r="L22" s="273">
        <v>3</v>
      </c>
      <c r="M22" s="411" t="s">
        <v>348</v>
      </c>
      <c r="N22" s="319" t="s">
        <v>349</v>
      </c>
      <c r="O22" s="527"/>
      <c r="P22" s="426"/>
      <c r="Q22" s="722">
        <v>27460</v>
      </c>
      <c r="R22" s="572"/>
      <c r="S22" s="609" t="s">
        <v>350</v>
      </c>
      <c r="T22" s="688">
        <v>45991</v>
      </c>
      <c r="U22" s="739">
        <v>58665.534149007894</v>
      </c>
      <c r="V22" s="814">
        <f>J22-SUM(U22:U28)</f>
        <v>0</v>
      </c>
      <c r="W22" s="752">
        <v>46021</v>
      </c>
      <c r="X22" s="800">
        <f>SUM(Q22:Q28)</f>
        <v>33946</v>
      </c>
      <c r="Y22" s="584" t="s">
        <v>351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6"/>
      <c r="J23" s="806"/>
      <c r="K23" s="280"/>
      <c r="L23" s="303">
        <v>3</v>
      </c>
      <c r="M23" s="412" t="s">
        <v>348</v>
      </c>
      <c r="N23" s="320" t="s">
        <v>352</v>
      </c>
      <c r="O23" s="528"/>
      <c r="P23" s="447"/>
      <c r="Q23" s="714">
        <v>6486</v>
      </c>
      <c r="R23" s="565"/>
      <c r="S23" s="602" t="s">
        <v>350</v>
      </c>
      <c r="T23" s="683">
        <v>45991</v>
      </c>
      <c r="U23" s="739">
        <v>13856.688073214322</v>
      </c>
      <c r="V23" s="815"/>
      <c r="W23" s="693">
        <v>46021</v>
      </c>
      <c r="X23" s="801"/>
      <c r="Y23" s="584" t="s">
        <v>277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6"/>
      <c r="J24" s="806"/>
      <c r="K24" s="280"/>
      <c r="L24" s="303">
        <v>3</v>
      </c>
      <c r="M24" s="412" t="s">
        <v>348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15"/>
      <c r="W24" s="549"/>
      <c r="X24" s="801"/>
      <c r="Y24" s="584" t="s">
        <v>353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6"/>
      <c r="J25" s="806"/>
      <c r="K25" s="280"/>
      <c r="L25" s="303">
        <v>3</v>
      </c>
      <c r="M25" s="412" t="s">
        <v>348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15"/>
      <c r="W25" s="550"/>
      <c r="X25" s="801"/>
      <c r="Y25" s="589" t="s">
        <v>354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6"/>
      <c r="J26" s="806"/>
      <c r="K26" s="280"/>
      <c r="L26" s="303">
        <v>3</v>
      </c>
      <c r="M26" s="412" t="s">
        <v>348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15"/>
      <c r="W26" s="550"/>
      <c r="X26" s="801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6"/>
      <c r="J27" s="806"/>
      <c r="K27" s="280"/>
      <c r="L27" s="303">
        <v>3</v>
      </c>
      <c r="M27" s="412" t="s">
        <v>348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15"/>
      <c r="W27" s="550"/>
      <c r="X27" s="801"/>
      <c r="Y27" s="114" t="s">
        <v>355</v>
      </c>
      <c r="AB27" s="114" t="s">
        <v>356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7"/>
      <c r="J28" s="807"/>
      <c r="K28" s="281"/>
      <c r="L28" s="308">
        <v>3</v>
      </c>
      <c r="M28" s="413" t="s">
        <v>348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16"/>
      <c r="W28" s="551"/>
      <c r="X28" s="802"/>
      <c r="Y28" s="590" t="s">
        <v>236</v>
      </c>
      <c r="Z28" s="591" t="s">
        <v>357</v>
      </c>
      <c r="AB28" s="590" t="s">
        <v>236</v>
      </c>
      <c r="AC28" s="591" t="s">
        <v>357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336</v>
      </c>
      <c r="AC29" s="593">
        <v>47500</v>
      </c>
    </row>
    <row r="30" spans="1:30" ht="14.25" customHeight="1">
      <c r="B30" s="285">
        <v>4</v>
      </c>
      <c r="C30" s="286" t="s">
        <v>339</v>
      </c>
      <c r="D30" s="286" t="s">
        <v>358</v>
      </c>
      <c r="E30" s="356">
        <f>G30/14*1.15</f>
        <v>2872.7</v>
      </c>
      <c r="F30" s="445"/>
      <c r="G30" s="288">
        <v>34972</v>
      </c>
      <c r="H30" s="553">
        <v>46021</v>
      </c>
      <c r="I30" s="822">
        <f>SUM(G30:G46)</f>
        <v>112097.4</v>
      </c>
      <c r="J30" s="822">
        <f>F176</f>
        <v>155690.83333333334</v>
      </c>
      <c r="K30" s="289"/>
      <c r="L30" s="285">
        <v>4</v>
      </c>
      <c r="M30" s="414" t="s">
        <v>359</v>
      </c>
      <c r="N30" s="286" t="s">
        <v>360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361</v>
      </c>
      <c r="T30" s="707">
        <v>45961</v>
      </c>
      <c r="U30" s="740">
        <v>50199.698824675856</v>
      </c>
      <c r="V30" s="846">
        <f>J30-SUM(U30:U46)</f>
        <v>4.6814226952847093E-3</v>
      </c>
      <c r="W30" s="708">
        <v>45961</v>
      </c>
      <c r="X30" s="825">
        <f>SUM(Q30:Q46)</f>
        <v>83728.549999999988</v>
      </c>
      <c r="Y30" s="592" t="str">
        <f>Y14</f>
        <v>DC Equipment</v>
      </c>
      <c r="Z30" s="593">
        <v>29738.6</v>
      </c>
      <c r="AB30" s="592" t="s">
        <v>339</v>
      </c>
      <c r="AC30" s="593">
        <v>45540.55</v>
      </c>
    </row>
    <row r="31" spans="1:30" ht="14.25" customHeight="1">
      <c r="B31" s="312">
        <v>4</v>
      </c>
      <c r="C31" s="399"/>
      <c r="D31" s="399" t="s">
        <v>362</v>
      </c>
      <c r="E31" s="385"/>
      <c r="F31" s="441"/>
      <c r="G31" s="618">
        <f>D176-G30</f>
        <v>77125.399999999994</v>
      </c>
      <c r="H31" s="554">
        <v>45991</v>
      </c>
      <c r="I31" s="823"/>
      <c r="J31" s="823"/>
      <c r="K31" s="293"/>
      <c r="L31" s="290">
        <v>4</v>
      </c>
      <c r="M31" s="415" t="s">
        <v>359</v>
      </c>
      <c r="N31" s="399" t="s">
        <v>363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361</v>
      </c>
      <c r="T31" s="679">
        <v>45961</v>
      </c>
      <c r="U31" s="740">
        <v>50199.698824675856</v>
      </c>
      <c r="V31" s="847"/>
      <c r="W31" s="709">
        <v>45961</v>
      </c>
      <c r="X31" s="826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340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23"/>
      <c r="J32" s="823"/>
      <c r="K32" s="293"/>
      <c r="L32" s="290">
        <v>4</v>
      </c>
      <c r="M32" s="415" t="s">
        <v>359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47"/>
      <c r="W32" s="554"/>
      <c r="X32" s="826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341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23"/>
      <c r="J33" s="823"/>
      <c r="K33" s="293"/>
      <c r="L33" s="290">
        <v>4</v>
      </c>
      <c r="M33" s="415" t="s">
        <v>359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47"/>
      <c r="W33" s="554"/>
      <c r="X33" s="826"/>
      <c r="Y33" s="592" t="s">
        <v>342</v>
      </c>
      <c r="Z33" s="593">
        <v>11410</v>
      </c>
      <c r="AB33" s="592" t="s">
        <v>342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23"/>
      <c r="J34" s="823"/>
      <c r="K34" s="293"/>
      <c r="L34" s="290">
        <v>4</v>
      </c>
      <c r="M34" s="415" t="s">
        <v>359</v>
      </c>
      <c r="N34" s="399" t="s">
        <v>364</v>
      </c>
      <c r="O34" s="542">
        <f>Z30</f>
        <v>29738.6</v>
      </c>
      <c r="P34" s="543">
        <v>0.1</v>
      </c>
      <c r="Q34" s="723">
        <f>$O$34*P34</f>
        <v>2973.86</v>
      </c>
      <c r="R34" s="803" t="s">
        <v>365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47"/>
      <c r="W34" s="682">
        <f>W99</f>
        <v>45967</v>
      </c>
      <c r="X34" s="826"/>
      <c r="Y34" s="592" t="s">
        <v>366</v>
      </c>
      <c r="Z34" s="593">
        <v>18843</v>
      </c>
      <c r="AB34" s="592" t="s">
        <v>367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23"/>
      <c r="J35" s="823"/>
      <c r="K35" s="293"/>
      <c r="L35" s="290">
        <v>4</v>
      </c>
      <c r="M35" s="415" t="s">
        <v>359</v>
      </c>
      <c r="N35" s="399" t="s">
        <v>188</v>
      </c>
      <c r="O35" s="533"/>
      <c r="P35" s="543">
        <v>0.15</v>
      </c>
      <c r="Q35" s="723">
        <f t="shared" ref="Q35:Q42" si="5">$O$34*P35</f>
        <v>4460.79</v>
      </c>
      <c r="R35" s="849"/>
      <c r="S35" s="607" t="str">
        <f>S100</f>
        <v>JA Electrical Inv 1118</v>
      </c>
      <c r="T35" s="697">
        <f>T100</f>
        <v>45991</v>
      </c>
      <c r="U35" s="740">
        <v>8307.4208534066347</v>
      </c>
      <c r="V35" s="847"/>
      <c r="W35" s="682">
        <f>W100</f>
        <v>45995</v>
      </c>
      <c r="X35" s="826"/>
      <c r="Y35" s="592" t="s">
        <v>344</v>
      </c>
      <c r="Z35" s="593">
        <v>17679</v>
      </c>
      <c r="AB35" s="592" t="s">
        <v>368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23"/>
      <c r="J36" s="823"/>
      <c r="K36" s="293"/>
      <c r="L36" s="290">
        <v>4</v>
      </c>
      <c r="M36" s="415" t="s">
        <v>359</v>
      </c>
      <c r="N36" s="399" t="s">
        <v>369</v>
      </c>
      <c r="O36" s="749"/>
      <c r="P36" s="543">
        <v>0.1</v>
      </c>
      <c r="Q36" s="723">
        <f t="shared" si="5"/>
        <v>2973.86</v>
      </c>
      <c r="R36" s="849"/>
      <c r="S36" s="607" t="s">
        <v>370</v>
      </c>
      <c r="T36" s="697">
        <f>T101</f>
        <v>45991</v>
      </c>
      <c r="U36" s="740">
        <v>5529.807235604424</v>
      </c>
      <c r="V36" s="847"/>
      <c r="W36" s="682">
        <f>W101</f>
        <v>45995</v>
      </c>
      <c r="X36" s="826"/>
      <c r="Y36" s="592" t="s">
        <v>371</v>
      </c>
      <c r="Z36" s="593">
        <v>7173.5</v>
      </c>
      <c r="AB36" s="592" t="s">
        <v>372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23"/>
      <c r="J37" s="823"/>
      <c r="K37" s="293"/>
      <c r="L37" s="290">
        <v>4</v>
      </c>
      <c r="M37" s="415" t="s">
        <v>359</v>
      </c>
      <c r="N37" s="399" t="s">
        <v>369</v>
      </c>
      <c r="O37" s="749"/>
      <c r="P37" s="543">
        <v>0.1</v>
      </c>
      <c r="Q37" s="723">
        <v>2973.82</v>
      </c>
      <c r="R37" s="849"/>
      <c r="S37" s="607" t="s">
        <v>373</v>
      </c>
      <c r="T37" s="697">
        <v>46022</v>
      </c>
      <c r="U37" s="740">
        <v>5529.7328567535615</v>
      </c>
      <c r="V37" s="847"/>
      <c r="W37" s="709">
        <v>46009</v>
      </c>
      <c r="X37" s="826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23"/>
      <c r="J38" s="823"/>
      <c r="K38" s="293"/>
      <c r="L38" s="290">
        <v>4</v>
      </c>
      <c r="M38" s="415" t="s">
        <v>359</v>
      </c>
      <c r="N38" s="399" t="s">
        <v>374</v>
      </c>
      <c r="O38" s="749"/>
      <c r="P38" s="543">
        <v>0.2</v>
      </c>
      <c r="Q38" s="723">
        <f>O34*P38</f>
        <v>5947.72</v>
      </c>
      <c r="R38" s="849"/>
      <c r="S38" s="607" t="s">
        <v>370</v>
      </c>
      <c r="T38" s="697">
        <f>T103</f>
        <v>45991</v>
      </c>
      <c r="U38" s="740">
        <v>11059.614471208848</v>
      </c>
      <c r="V38" s="847"/>
      <c r="W38" s="709">
        <v>46009</v>
      </c>
      <c r="X38" s="826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23"/>
      <c r="J39" s="823"/>
      <c r="K39" s="293"/>
      <c r="L39" s="290">
        <v>4</v>
      </c>
      <c r="M39" s="415" t="s">
        <v>359</v>
      </c>
      <c r="N39" s="399" t="s">
        <v>374</v>
      </c>
      <c r="O39" s="749"/>
      <c r="P39" s="543">
        <v>0.05</v>
      </c>
      <c r="Q39" s="723">
        <f>O34*P39</f>
        <v>1486.93</v>
      </c>
      <c r="R39" s="849"/>
      <c r="S39" s="607" t="s">
        <v>375</v>
      </c>
      <c r="T39" s="697">
        <v>45991</v>
      </c>
      <c r="U39" s="740">
        <v>2764.903617802212</v>
      </c>
      <c r="V39" s="847"/>
      <c r="W39" s="709">
        <f>W104</f>
        <v>46031</v>
      </c>
      <c r="X39" s="826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23"/>
      <c r="J40" s="823"/>
      <c r="K40" s="293"/>
      <c r="L40" s="290">
        <v>4</v>
      </c>
      <c r="M40" s="415" t="s">
        <v>359</v>
      </c>
      <c r="N40" s="399" t="s">
        <v>376</v>
      </c>
      <c r="O40" s="749"/>
      <c r="P40" s="543">
        <v>0.1</v>
      </c>
      <c r="Q40" s="723">
        <f t="shared" si="5"/>
        <v>2973.86</v>
      </c>
      <c r="R40" s="849"/>
      <c r="S40" s="607" t="s">
        <v>377</v>
      </c>
      <c r="T40" s="697">
        <f>T105</f>
        <v>45991</v>
      </c>
      <c r="U40" s="740">
        <v>5529.807235604424</v>
      </c>
      <c r="V40" s="847"/>
      <c r="W40" s="682">
        <v>46051</v>
      </c>
      <c r="X40" s="826"/>
      <c r="Y40" s="592" t="s">
        <v>378</v>
      </c>
      <c r="Z40" s="593">
        <v>11935</v>
      </c>
      <c r="AB40" s="592" t="s">
        <v>351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23"/>
      <c r="J41" s="823"/>
      <c r="K41" s="293"/>
      <c r="L41" s="290">
        <v>4</v>
      </c>
      <c r="M41" s="415" t="s">
        <v>359</v>
      </c>
      <c r="N41" s="399" t="s">
        <v>379</v>
      </c>
      <c r="O41" s="533"/>
      <c r="P41" s="543">
        <v>0.1</v>
      </c>
      <c r="Q41" s="723">
        <f t="shared" si="5"/>
        <v>2973.86</v>
      </c>
      <c r="R41" s="849"/>
      <c r="S41" s="607" t="s">
        <v>380</v>
      </c>
      <c r="T41" s="697">
        <f>T106</f>
        <v>45991</v>
      </c>
      <c r="U41" s="740">
        <v>5529.807235604424</v>
      </c>
      <c r="V41" s="847"/>
      <c r="W41" s="682">
        <f>W106</f>
        <v>46058</v>
      </c>
      <c r="X41" s="826"/>
      <c r="Y41" s="592" t="s">
        <v>351</v>
      </c>
      <c r="Z41" s="594">
        <v>0</v>
      </c>
      <c r="AB41" s="592" t="s">
        <v>351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23"/>
      <c r="J42" s="823"/>
      <c r="K42" s="293"/>
      <c r="L42" s="290">
        <v>4</v>
      </c>
      <c r="M42" s="415" t="s">
        <v>359</v>
      </c>
      <c r="N42" s="399" t="s">
        <v>381</v>
      </c>
      <c r="O42" s="533"/>
      <c r="P42" s="543">
        <v>0.05</v>
      </c>
      <c r="Q42" s="723">
        <f t="shared" si="5"/>
        <v>1486.93</v>
      </c>
      <c r="R42" s="849"/>
      <c r="S42" s="607" t="s">
        <v>382</v>
      </c>
      <c r="T42" s="697">
        <f>T107</f>
        <v>45991</v>
      </c>
      <c r="U42" s="740">
        <v>2764.903617802212</v>
      </c>
      <c r="V42" s="847"/>
      <c r="W42" s="682">
        <f>W107</f>
        <v>46058</v>
      </c>
      <c r="X42" s="826"/>
      <c r="Y42" s="592" t="s">
        <v>277</v>
      </c>
      <c r="Z42" s="593">
        <f>SUM(Z29:Z41)</f>
        <v>316887.90999999997</v>
      </c>
      <c r="AB42" s="592" t="s">
        <v>277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23"/>
      <c r="J43" s="823"/>
      <c r="K43" s="293"/>
      <c r="L43" s="290">
        <v>4</v>
      </c>
      <c r="M43" s="415" t="s">
        <v>359</v>
      </c>
      <c r="N43" s="399" t="s">
        <v>383</v>
      </c>
      <c r="O43" s="533"/>
      <c r="P43" s="543">
        <v>0.05</v>
      </c>
      <c r="Q43" s="723">
        <v>1476.92</v>
      </c>
      <c r="R43" s="804"/>
      <c r="S43" s="607" t="s">
        <v>384</v>
      </c>
      <c r="T43" s="697">
        <f>T108</f>
        <v>45991</v>
      </c>
      <c r="U43" s="740">
        <v>2746.2903103740209</v>
      </c>
      <c r="V43" s="847"/>
      <c r="W43" s="554">
        <f>W108</f>
        <v>46088</v>
      </c>
      <c r="X43" s="826"/>
      <c r="Y43" s="595" t="s">
        <v>354</v>
      </c>
      <c r="Z43" s="594">
        <f>Z42/'Project Plan'!$E$3/1000</f>
        <v>2.4375993076923073</v>
      </c>
      <c r="AB43" s="595" t="s">
        <v>354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23"/>
      <c r="J44" s="823"/>
      <c r="K44" s="293"/>
      <c r="L44" s="290">
        <v>4</v>
      </c>
      <c r="M44" s="415" t="s">
        <v>359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47"/>
      <c r="W44" s="554"/>
      <c r="X44" s="826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23"/>
      <c r="J45" s="823"/>
      <c r="K45" s="293"/>
      <c r="L45" s="290">
        <v>4</v>
      </c>
      <c r="M45" s="415" t="s">
        <v>359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47"/>
      <c r="W45" s="554"/>
      <c r="X45" s="826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24"/>
      <c r="J46" s="824"/>
      <c r="K46" s="298"/>
      <c r="L46" s="294">
        <v>4</v>
      </c>
      <c r="M46" s="416" t="s">
        <v>359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48"/>
      <c r="W46" s="555"/>
      <c r="X46" s="827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385</v>
      </c>
      <c r="D48" s="319" t="s">
        <v>386</v>
      </c>
      <c r="E48" s="275"/>
      <c r="F48" s="426"/>
      <c r="G48" s="276">
        <f>D178-G50</f>
        <v>34000</v>
      </c>
      <c r="H48" s="559">
        <v>46021</v>
      </c>
      <c r="I48" s="805">
        <f>SUM(G48:G57)</f>
        <v>49000</v>
      </c>
      <c r="J48" s="805">
        <f>F178</f>
        <v>68055.555555555562</v>
      </c>
      <c r="K48" s="277"/>
      <c r="L48" s="273">
        <v>5</v>
      </c>
      <c r="M48" s="411" t="s">
        <v>387</v>
      </c>
      <c r="N48" s="319" t="s">
        <v>388</v>
      </c>
      <c r="O48" s="527"/>
      <c r="P48" s="426"/>
      <c r="Q48" s="722">
        <v>8598.34</v>
      </c>
      <c r="R48" s="572"/>
      <c r="S48" s="609" t="s">
        <v>389</v>
      </c>
      <c r="T48" s="688">
        <v>45991</v>
      </c>
      <c r="U48" s="742">
        <v>10016.003084972368</v>
      </c>
      <c r="V48" s="814">
        <f>J48-SUM(U48:U57)</f>
        <v>-2.8811485390178859E-4</v>
      </c>
      <c r="W48" s="753">
        <v>46031</v>
      </c>
      <c r="X48" s="800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6"/>
      <c r="J49" s="806"/>
      <c r="K49" s="280"/>
      <c r="L49" s="278">
        <v>5</v>
      </c>
      <c r="M49" s="417" t="s">
        <v>387</v>
      </c>
      <c r="N49" s="689" t="s">
        <v>390</v>
      </c>
      <c r="O49" s="535"/>
      <c r="P49" s="440"/>
      <c r="Q49" s="725">
        <v>100</v>
      </c>
      <c r="R49" s="572"/>
      <c r="S49" s="609" t="s">
        <v>389</v>
      </c>
      <c r="T49" s="688">
        <v>45991</v>
      </c>
      <c r="U49" s="742">
        <v>119.44181184940777</v>
      </c>
      <c r="V49" s="815"/>
      <c r="W49" s="754">
        <f>W48</f>
        <v>46031</v>
      </c>
      <c r="X49" s="801"/>
      <c r="Y49" s="469"/>
    </row>
    <row r="50" spans="1:25" ht="14.25" customHeight="1">
      <c r="B50" s="278">
        <v>5</v>
      </c>
      <c r="C50" s="302"/>
      <c r="D50" s="305" t="s">
        <v>391</v>
      </c>
      <c r="E50" s="439"/>
      <c r="F50" s="440"/>
      <c r="G50" s="307">
        <v>15000</v>
      </c>
      <c r="H50" s="550">
        <v>46021</v>
      </c>
      <c r="I50" s="806"/>
      <c r="J50" s="806"/>
      <c r="K50" s="280"/>
      <c r="L50" s="278">
        <v>5</v>
      </c>
      <c r="M50" s="417" t="s">
        <v>387</v>
      </c>
      <c r="N50" s="279" t="s">
        <v>392</v>
      </c>
      <c r="O50" s="535"/>
      <c r="P50" s="440"/>
      <c r="Q50" s="714">
        <v>24561</v>
      </c>
      <c r="R50" s="619" t="s">
        <v>393</v>
      </c>
      <c r="S50" s="602" t="s">
        <v>394</v>
      </c>
      <c r="T50" s="683">
        <v>45961</v>
      </c>
      <c r="U50" s="742">
        <f>29368.2302255249+190.94</f>
        <v>29559.1702255249</v>
      </c>
      <c r="V50" s="815"/>
      <c r="W50" s="699">
        <f>T50+30</f>
        <v>45991</v>
      </c>
      <c r="X50" s="801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6"/>
      <c r="J51" s="806"/>
      <c r="K51" s="280"/>
      <c r="L51" s="278">
        <v>5</v>
      </c>
      <c r="M51" s="417" t="s">
        <v>387</v>
      </c>
      <c r="N51" s="305" t="s">
        <v>141</v>
      </c>
      <c r="O51" s="528"/>
      <c r="P51" s="447"/>
      <c r="Q51" s="714">
        <v>22338</v>
      </c>
      <c r="R51" s="565"/>
      <c r="S51" s="602" t="s">
        <v>395</v>
      </c>
      <c r="T51" s="641">
        <v>45961</v>
      </c>
      <c r="U51" s="742">
        <v>26710.130970961076</v>
      </c>
      <c r="V51" s="815"/>
      <c r="W51" s="705">
        <v>45991</v>
      </c>
      <c r="X51" s="801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6"/>
      <c r="J52" s="806"/>
      <c r="K52" s="280"/>
      <c r="L52" s="278">
        <v>5</v>
      </c>
      <c r="M52" s="417" t="s">
        <v>387</v>
      </c>
      <c r="N52" s="305" t="s">
        <v>396</v>
      </c>
      <c r="O52" s="528"/>
      <c r="P52" s="447"/>
      <c r="Q52" s="714">
        <v>343.33</v>
      </c>
      <c r="R52" s="565"/>
      <c r="S52" s="602" t="s">
        <v>397</v>
      </c>
      <c r="T52" s="641">
        <v>45961</v>
      </c>
      <c r="U52" s="742">
        <v>410.52866264930014</v>
      </c>
      <c r="V52" s="815"/>
      <c r="W52" s="705">
        <v>45991</v>
      </c>
      <c r="X52" s="801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6"/>
      <c r="J53" s="806"/>
      <c r="K53" s="280"/>
      <c r="L53" s="303">
        <v>5</v>
      </c>
      <c r="M53" s="417" t="s">
        <v>387</v>
      </c>
      <c r="N53" s="305" t="s">
        <v>398</v>
      </c>
      <c r="O53" s="528"/>
      <c r="P53" s="447"/>
      <c r="Q53" s="714">
        <v>975</v>
      </c>
      <c r="R53" s="565"/>
      <c r="S53" s="602" t="s">
        <v>399</v>
      </c>
      <c r="T53" s="641">
        <v>45961</v>
      </c>
      <c r="U53" s="742">
        <v>1165.8330063876376</v>
      </c>
      <c r="V53" s="815"/>
      <c r="W53" s="699">
        <f>T53+7</f>
        <v>45968</v>
      </c>
      <c r="X53" s="801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6"/>
      <c r="J54" s="806"/>
      <c r="K54" s="280"/>
      <c r="L54" s="303">
        <v>5</v>
      </c>
      <c r="M54" s="417" t="s">
        <v>387</v>
      </c>
      <c r="N54" s="378" t="s">
        <v>400</v>
      </c>
      <c r="O54" s="529"/>
      <c r="P54" s="433"/>
      <c r="Q54" s="715">
        <v>21.33</v>
      </c>
      <c r="R54" s="566"/>
      <c r="S54" s="603" t="s">
        <v>401</v>
      </c>
      <c r="T54" s="701">
        <v>45991</v>
      </c>
      <c r="U54" s="742">
        <v>25.476938467478679</v>
      </c>
      <c r="V54" s="815"/>
      <c r="W54" s="705">
        <v>45973</v>
      </c>
      <c r="X54" s="801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6"/>
      <c r="J55" s="806"/>
      <c r="K55" s="280"/>
      <c r="L55" s="303">
        <v>5</v>
      </c>
      <c r="M55" s="417" t="s">
        <v>387</v>
      </c>
      <c r="N55" s="378"/>
      <c r="O55" s="529"/>
      <c r="P55" s="433"/>
      <c r="Q55" s="715">
        <v>41</v>
      </c>
      <c r="R55" s="566"/>
      <c r="S55" s="603" t="s">
        <v>401</v>
      </c>
      <c r="T55" s="701">
        <v>45991</v>
      </c>
      <c r="U55" s="742">
        <v>48.971142858257188</v>
      </c>
      <c r="V55" s="815"/>
      <c r="W55" s="705">
        <v>45990</v>
      </c>
      <c r="X55" s="801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6"/>
      <c r="J56" s="806"/>
      <c r="K56" s="280"/>
      <c r="L56" s="303">
        <v>5</v>
      </c>
      <c r="M56" s="417" t="s">
        <v>387</v>
      </c>
      <c r="N56" s="378" t="s">
        <v>402</v>
      </c>
      <c r="O56" s="529"/>
      <c r="P56" s="433"/>
      <c r="Q56" s="715">
        <v>1300</v>
      </c>
      <c r="R56" s="566"/>
      <c r="S56" s="603" t="s">
        <v>361</v>
      </c>
      <c r="T56" s="701">
        <v>46022</v>
      </c>
      <c r="U56" s="742"/>
      <c r="V56" s="815"/>
      <c r="W56" s="705">
        <v>46022</v>
      </c>
      <c r="X56" s="801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7"/>
      <c r="J57" s="807"/>
      <c r="K57" s="281"/>
      <c r="L57" s="308">
        <v>5</v>
      </c>
      <c r="M57" s="413" t="s">
        <v>387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16"/>
      <c r="W57" s="551"/>
      <c r="X57" s="802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336</v>
      </c>
      <c r="D59" s="287" t="s">
        <v>403</v>
      </c>
      <c r="E59" s="463"/>
      <c r="F59" s="445"/>
      <c r="G59" s="288">
        <f>D177</f>
        <v>153726.86086956522</v>
      </c>
      <c r="H59" s="553">
        <v>45991</v>
      </c>
      <c r="I59" s="822">
        <f>SUM(G59:G77)</f>
        <v>153726.86086956522</v>
      </c>
      <c r="J59" s="822">
        <f>F177</f>
        <v>213509.52898550726</v>
      </c>
      <c r="K59" s="289"/>
      <c r="L59" s="285">
        <v>6</v>
      </c>
      <c r="M59" s="420" t="s">
        <v>404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46">
        <f>J59-SUM(U59:U77)</f>
        <v>1.6307423065882176E-3</v>
      </c>
      <c r="W59" s="553"/>
      <c r="X59" s="825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23"/>
      <c r="J60" s="823"/>
      <c r="K60" s="293"/>
      <c r="L60" s="290">
        <v>6</v>
      </c>
      <c r="M60" s="418" t="s">
        <v>404</v>
      </c>
      <c r="N60" s="432" t="s">
        <v>149</v>
      </c>
      <c r="O60" s="533"/>
      <c r="P60" s="441"/>
      <c r="Q60" s="726">
        <v>60403.57</v>
      </c>
      <c r="R60" s="570" t="s">
        <v>405</v>
      </c>
      <c r="S60" s="607" t="s">
        <v>406</v>
      </c>
      <c r="T60" s="697">
        <v>45991</v>
      </c>
      <c r="U60" s="740">
        <v>136435.66124022947</v>
      </c>
      <c r="V60" s="847"/>
      <c r="W60" s="682">
        <f>T60+30</f>
        <v>46021</v>
      </c>
      <c r="X60" s="826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23"/>
      <c r="J61" s="823"/>
      <c r="K61" s="293"/>
      <c r="L61" s="290">
        <v>6</v>
      </c>
      <c r="M61" s="418" t="s">
        <v>404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47"/>
      <c r="W61" s="554"/>
      <c r="X61" s="826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23"/>
      <c r="J62" s="823"/>
      <c r="K62" s="293"/>
      <c r="L62" s="290">
        <v>6</v>
      </c>
      <c r="M62" s="418" t="s">
        <v>404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47"/>
      <c r="W62" s="554"/>
      <c r="X62" s="826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23"/>
      <c r="J63" s="823"/>
      <c r="K63" s="293"/>
      <c r="L63" s="290">
        <v>6</v>
      </c>
      <c r="M63" s="418" t="s">
        <v>404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47"/>
      <c r="W63" s="554"/>
      <c r="X63" s="826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23"/>
      <c r="J64" s="823"/>
      <c r="K64" s="293"/>
      <c r="L64" s="290">
        <v>6</v>
      </c>
      <c r="M64" s="418" t="s">
        <v>404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47"/>
      <c r="W64" s="554"/>
      <c r="X64" s="826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23"/>
      <c r="J65" s="823"/>
      <c r="K65" s="293"/>
      <c r="L65" s="290">
        <v>6</v>
      </c>
      <c r="M65" s="418" t="s">
        <v>404</v>
      </c>
      <c r="N65" s="399" t="s">
        <v>364</v>
      </c>
      <c r="O65" s="542">
        <f>Z29</f>
        <v>34122.6</v>
      </c>
      <c r="P65" s="543">
        <v>0.1</v>
      </c>
      <c r="Q65" s="723">
        <f>$O$65*P65</f>
        <v>3412.26</v>
      </c>
      <c r="R65" s="803" t="s">
        <v>365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47"/>
      <c r="W65" s="682">
        <f>W99</f>
        <v>45967</v>
      </c>
      <c r="X65" s="826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23"/>
      <c r="J66" s="823"/>
      <c r="K66" s="293"/>
      <c r="L66" s="290">
        <v>6</v>
      </c>
      <c r="M66" s="419" t="s">
        <v>404</v>
      </c>
      <c r="N66" s="399" t="s">
        <v>188</v>
      </c>
      <c r="O66" s="533"/>
      <c r="P66" s="543">
        <v>0.15</v>
      </c>
      <c r="Q66" s="723">
        <f t="shared" ref="Q66:Q74" si="8">$O$65*P66</f>
        <v>5118.3899999999994</v>
      </c>
      <c r="R66" s="849"/>
      <c r="S66" s="607" t="str">
        <f>S100</f>
        <v>JA Electrical Inv 1118</v>
      </c>
      <c r="T66" s="696">
        <f>T100</f>
        <v>45991</v>
      </c>
      <c r="U66" s="740">
        <v>11561.086937996843</v>
      </c>
      <c r="V66" s="847"/>
      <c r="W66" s="682">
        <f>W100</f>
        <v>45995</v>
      </c>
      <c r="X66" s="826"/>
      <c r="Y66" s="469"/>
    </row>
    <row r="67" spans="1:25" ht="14.15" customHeight="1">
      <c r="B67" s="290">
        <v>6</v>
      </c>
      <c r="C67" s="391"/>
      <c r="D67" s="291"/>
      <c r="E67" s="390"/>
      <c r="F67" s="442"/>
      <c r="G67" s="313"/>
      <c r="H67" s="554"/>
      <c r="I67" s="823"/>
      <c r="J67" s="823"/>
      <c r="K67" s="293"/>
      <c r="L67" s="290">
        <v>6</v>
      </c>
      <c r="M67" s="419" t="s">
        <v>404</v>
      </c>
      <c r="N67" s="399" t="s">
        <v>369</v>
      </c>
      <c r="O67" s="533"/>
      <c r="P67" s="543">
        <v>0.1</v>
      </c>
      <c r="Q67" s="723">
        <f t="shared" si="8"/>
        <v>3412.26</v>
      </c>
      <c r="R67" s="849"/>
      <c r="S67" s="607" t="s">
        <v>370</v>
      </c>
      <c r="T67" s="696">
        <f>T101</f>
        <v>45991</v>
      </c>
      <c r="U67" s="740">
        <v>7707.3912919978966</v>
      </c>
      <c r="V67" s="847"/>
      <c r="W67" s="682">
        <f>W101</f>
        <v>45995</v>
      </c>
      <c r="X67" s="826"/>
      <c r="Y67" s="469"/>
    </row>
    <row r="68" spans="1:25" ht="14.15" customHeight="1">
      <c r="B68" s="290"/>
      <c r="C68" s="391"/>
      <c r="D68" s="291"/>
      <c r="E68" s="390"/>
      <c r="F68" s="442"/>
      <c r="G68" s="313"/>
      <c r="H68" s="554"/>
      <c r="I68" s="823"/>
      <c r="J68" s="823"/>
      <c r="K68" s="293"/>
      <c r="L68" s="290">
        <v>6</v>
      </c>
      <c r="M68" s="419" t="s">
        <v>404</v>
      </c>
      <c r="N68" s="399" t="s">
        <v>369</v>
      </c>
      <c r="O68" s="533"/>
      <c r="P68" s="543">
        <v>0.1</v>
      </c>
      <c r="Q68" s="723">
        <v>3412.24</v>
      </c>
      <c r="R68" s="849"/>
      <c r="S68" s="607" t="s">
        <v>373</v>
      </c>
      <c r="T68" s="696">
        <v>46022</v>
      </c>
      <c r="U68" s="740">
        <v>7707.3461172967181</v>
      </c>
      <c r="V68" s="847"/>
      <c r="W68" s="709">
        <v>46009</v>
      </c>
      <c r="X68" s="826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23"/>
      <c r="J69" s="823"/>
      <c r="K69" s="293"/>
      <c r="L69" s="290">
        <v>6</v>
      </c>
      <c r="M69" s="419" t="s">
        <v>404</v>
      </c>
      <c r="N69" s="399" t="s">
        <v>374</v>
      </c>
      <c r="O69" s="533"/>
      <c r="P69" s="543">
        <v>0.2</v>
      </c>
      <c r="Q69" s="723">
        <f t="shared" si="8"/>
        <v>6824.52</v>
      </c>
      <c r="R69" s="849"/>
      <c r="S69" s="607" t="s">
        <v>370</v>
      </c>
      <c r="T69" s="696">
        <f t="shared" ref="T69" si="9">T103</f>
        <v>45991</v>
      </c>
      <c r="U69" s="740">
        <v>15414.782583995793</v>
      </c>
      <c r="V69" s="847"/>
      <c r="W69" s="709">
        <v>46009</v>
      </c>
      <c r="X69" s="826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23"/>
      <c r="J70" s="823"/>
      <c r="K70" s="293"/>
      <c r="L70" s="290">
        <v>6</v>
      </c>
      <c r="M70" s="419" t="s">
        <v>404</v>
      </c>
      <c r="N70" s="399" t="s">
        <v>374</v>
      </c>
      <c r="O70" s="533"/>
      <c r="P70" s="543">
        <v>0.05</v>
      </c>
      <c r="Q70" s="723">
        <f>O65*P70</f>
        <v>1706.13</v>
      </c>
      <c r="R70" s="849"/>
      <c r="S70" s="607" t="s">
        <v>375</v>
      </c>
      <c r="T70" s="696">
        <v>45991</v>
      </c>
      <c r="U70" s="740">
        <v>3853.6956459989483</v>
      </c>
      <c r="V70" s="847"/>
      <c r="W70" s="709">
        <f>W104</f>
        <v>46031</v>
      </c>
      <c r="X70" s="826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23"/>
      <c r="J71" s="823"/>
      <c r="K71" s="293"/>
      <c r="L71" s="290">
        <v>6</v>
      </c>
      <c r="M71" s="419" t="s">
        <v>404</v>
      </c>
      <c r="N71" s="399" t="s">
        <v>376</v>
      </c>
      <c r="O71" s="533"/>
      <c r="P71" s="543">
        <v>0.1</v>
      </c>
      <c r="Q71" s="723">
        <f t="shared" si="8"/>
        <v>3412.26</v>
      </c>
      <c r="R71" s="849"/>
      <c r="S71" s="607" t="s">
        <v>377</v>
      </c>
      <c r="T71" s="696">
        <f>T105</f>
        <v>45991</v>
      </c>
      <c r="U71" s="740">
        <v>7707.3912919978966</v>
      </c>
      <c r="V71" s="847"/>
      <c r="W71" s="682">
        <v>46051</v>
      </c>
      <c r="X71" s="826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23"/>
      <c r="J72" s="823"/>
      <c r="K72" s="293"/>
      <c r="L72" s="290">
        <v>6</v>
      </c>
      <c r="M72" s="419" t="s">
        <v>404</v>
      </c>
      <c r="N72" s="399" t="s">
        <v>379</v>
      </c>
      <c r="O72" s="533"/>
      <c r="P72" s="543">
        <v>0.1</v>
      </c>
      <c r="Q72" s="723">
        <f t="shared" si="8"/>
        <v>3412.26</v>
      </c>
      <c r="R72" s="849"/>
      <c r="S72" s="607" t="s">
        <v>380</v>
      </c>
      <c r="T72" s="696">
        <f>T106</f>
        <v>45991</v>
      </c>
      <c r="U72" s="746">
        <v>7707.3912919978966</v>
      </c>
      <c r="V72" s="847"/>
      <c r="W72" s="682">
        <f>W106</f>
        <v>46058</v>
      </c>
      <c r="X72" s="826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23"/>
      <c r="J73" s="823"/>
      <c r="K73" s="293"/>
      <c r="L73" s="290">
        <v>6</v>
      </c>
      <c r="M73" s="419" t="s">
        <v>404</v>
      </c>
      <c r="N73" s="399" t="s">
        <v>381</v>
      </c>
      <c r="O73" s="533"/>
      <c r="P73" s="543">
        <v>0.05</v>
      </c>
      <c r="Q73" s="723">
        <f t="shared" si="8"/>
        <v>1706.13</v>
      </c>
      <c r="R73" s="849"/>
      <c r="S73" s="607" t="s">
        <v>382</v>
      </c>
      <c r="T73" s="696">
        <f>T107</f>
        <v>45991</v>
      </c>
      <c r="U73" s="746">
        <v>3853.6956459989483</v>
      </c>
      <c r="V73" s="847"/>
      <c r="W73" s="682">
        <f>W107</f>
        <v>46058</v>
      </c>
      <c r="X73" s="826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23"/>
      <c r="J74" s="823"/>
      <c r="K74" s="293"/>
      <c r="L74" s="290">
        <v>6</v>
      </c>
      <c r="M74" s="419" t="s">
        <v>404</v>
      </c>
      <c r="N74" s="399" t="s">
        <v>383</v>
      </c>
      <c r="O74" s="533"/>
      <c r="P74" s="543">
        <v>0.05</v>
      </c>
      <c r="Q74" s="723">
        <f t="shared" si="8"/>
        <v>1706.13</v>
      </c>
      <c r="R74" s="804"/>
      <c r="S74" s="607" t="s">
        <v>384</v>
      </c>
      <c r="T74" s="696">
        <f>T108</f>
        <v>45991</v>
      </c>
      <c r="U74" s="746">
        <v>3853.6956459989483</v>
      </c>
      <c r="V74" s="847"/>
      <c r="W74" s="554">
        <f>W108</f>
        <v>46088</v>
      </c>
      <c r="X74" s="826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23"/>
      <c r="J75" s="823"/>
      <c r="K75" s="293"/>
      <c r="L75" s="290">
        <v>6</v>
      </c>
      <c r="M75" s="419" t="s">
        <v>404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47"/>
      <c r="W75" s="557"/>
      <c r="X75" s="826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23"/>
      <c r="J76" s="823"/>
      <c r="K76" s="293"/>
      <c r="L76" s="290">
        <v>6</v>
      </c>
      <c r="M76" s="419" t="s">
        <v>404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47"/>
      <c r="W76" s="557"/>
      <c r="X76" s="826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24"/>
      <c r="J77" s="824"/>
      <c r="K77" s="298"/>
      <c r="L77" s="294">
        <v>6</v>
      </c>
      <c r="M77" s="421" t="s">
        <v>404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48"/>
      <c r="W77" s="555"/>
      <c r="X77" s="827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407</v>
      </c>
      <c r="D79" s="372"/>
      <c r="E79" s="450"/>
      <c r="F79" s="456"/>
      <c r="G79" s="373"/>
      <c r="H79" s="559"/>
      <c r="I79" s="805">
        <f>SUM(G79:G86)</f>
        <v>0</v>
      </c>
      <c r="J79" s="805">
        <f>F182</f>
        <v>0</v>
      </c>
      <c r="K79" s="277"/>
      <c r="L79" s="371">
        <v>7</v>
      </c>
      <c r="M79" s="301" t="s">
        <v>408</v>
      </c>
      <c r="N79" s="372"/>
      <c r="O79" s="450"/>
      <c r="P79" s="456"/>
      <c r="Q79" s="727"/>
      <c r="R79" s="576"/>
      <c r="S79" s="613"/>
      <c r="T79" s="516"/>
      <c r="U79" s="626"/>
      <c r="V79" s="843">
        <f>J79-SUM(U79:U86)</f>
        <v>0</v>
      </c>
      <c r="W79" s="559"/>
      <c r="X79" s="800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6"/>
      <c r="J80" s="806"/>
      <c r="K80" s="280"/>
      <c r="L80" s="374">
        <v>7</v>
      </c>
      <c r="M80" s="375" t="s">
        <v>408</v>
      </c>
      <c r="N80" s="376"/>
      <c r="O80" s="397"/>
      <c r="P80" s="433"/>
      <c r="Q80" s="715"/>
      <c r="R80" s="566"/>
      <c r="S80" s="603"/>
      <c r="T80" s="507"/>
      <c r="U80" s="492"/>
      <c r="V80" s="844"/>
      <c r="W80" s="550"/>
      <c r="X80" s="801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6"/>
      <c r="J81" s="806"/>
      <c r="K81" s="280"/>
      <c r="L81" s="374">
        <v>7</v>
      </c>
      <c r="M81" s="375" t="s">
        <v>408</v>
      </c>
      <c r="N81" s="376"/>
      <c r="O81" s="397"/>
      <c r="P81" s="433"/>
      <c r="Q81" s="715"/>
      <c r="R81" s="566"/>
      <c r="S81" s="603"/>
      <c r="T81" s="507"/>
      <c r="U81" s="492"/>
      <c r="V81" s="844"/>
      <c r="W81" s="550"/>
      <c r="X81" s="801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6"/>
      <c r="J82" s="806"/>
      <c r="K82" s="280"/>
      <c r="L82" s="374">
        <v>7</v>
      </c>
      <c r="M82" s="375" t="s">
        <v>408</v>
      </c>
      <c r="N82" s="376"/>
      <c r="O82" s="397"/>
      <c r="P82" s="433"/>
      <c r="Q82" s="715"/>
      <c r="R82" s="566"/>
      <c r="S82" s="603"/>
      <c r="T82" s="507"/>
      <c r="U82" s="492"/>
      <c r="V82" s="844"/>
      <c r="W82" s="550"/>
      <c r="X82" s="801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6"/>
      <c r="J83" s="806"/>
      <c r="K83" s="280"/>
      <c r="L83" s="374">
        <v>7</v>
      </c>
      <c r="M83" s="375" t="s">
        <v>408</v>
      </c>
      <c r="N83" s="376"/>
      <c r="O83" s="397"/>
      <c r="P83" s="433"/>
      <c r="Q83" s="715"/>
      <c r="R83" s="566"/>
      <c r="S83" s="603"/>
      <c r="T83" s="507"/>
      <c r="U83" s="492"/>
      <c r="V83" s="844"/>
      <c r="W83" s="550"/>
      <c r="X83" s="801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6"/>
      <c r="J84" s="806"/>
      <c r="K84" s="280"/>
      <c r="L84" s="374">
        <v>7</v>
      </c>
      <c r="M84" s="375" t="s">
        <v>408</v>
      </c>
      <c r="N84" s="376"/>
      <c r="O84" s="529"/>
      <c r="P84" s="433"/>
      <c r="Q84" s="715"/>
      <c r="R84" s="566"/>
      <c r="S84" s="603"/>
      <c r="T84" s="507"/>
      <c r="U84" s="492"/>
      <c r="V84" s="844"/>
      <c r="W84" s="550"/>
      <c r="X84" s="801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6"/>
      <c r="J85" s="806"/>
      <c r="K85" s="280"/>
      <c r="L85" s="374">
        <v>7</v>
      </c>
      <c r="M85" s="375" t="s">
        <v>408</v>
      </c>
      <c r="N85" s="376"/>
      <c r="O85" s="529"/>
      <c r="P85" s="433"/>
      <c r="Q85" s="715"/>
      <c r="R85" s="566"/>
      <c r="S85" s="603"/>
      <c r="T85" s="507"/>
      <c r="U85" s="492"/>
      <c r="V85" s="844"/>
      <c r="W85" s="550"/>
      <c r="X85" s="801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7"/>
      <c r="J86" s="807"/>
      <c r="K86" s="281"/>
      <c r="L86" s="308">
        <v>7</v>
      </c>
      <c r="M86" s="329" t="s">
        <v>408</v>
      </c>
      <c r="N86" s="321"/>
      <c r="O86" s="530"/>
      <c r="P86" s="448"/>
      <c r="Q86" s="716"/>
      <c r="R86" s="567"/>
      <c r="S86" s="604"/>
      <c r="T86" s="508"/>
      <c r="U86" s="493"/>
      <c r="V86" s="845"/>
      <c r="W86" s="551"/>
      <c r="X86" s="802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409</v>
      </c>
      <c r="D88" s="325"/>
      <c r="E88" s="451"/>
      <c r="F88" s="405"/>
      <c r="G88" s="326"/>
      <c r="H88" s="553"/>
      <c r="I88" s="822">
        <f>SUM(G88:G96)</f>
        <v>40000</v>
      </c>
      <c r="J88" s="822">
        <f>F179+F181</f>
        <v>44444.444444444445</v>
      </c>
      <c r="K88" s="289"/>
      <c r="L88" s="324">
        <v>8</v>
      </c>
      <c r="M88" s="414" t="s">
        <v>410</v>
      </c>
      <c r="N88" s="325"/>
      <c r="O88" s="451"/>
      <c r="P88" s="405"/>
      <c r="Q88" s="728"/>
      <c r="R88" s="569"/>
      <c r="S88" s="606"/>
      <c r="T88" s="510"/>
      <c r="U88" s="495"/>
      <c r="V88" s="834">
        <f>J88-SUM(U88:U96)</f>
        <v>0</v>
      </c>
      <c r="W88" s="553"/>
      <c r="X88" s="825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411</v>
      </c>
      <c r="E89" s="404"/>
      <c r="F89" s="449"/>
      <c r="G89" s="316">
        <v>40000</v>
      </c>
      <c r="H89" s="554">
        <v>45961</v>
      </c>
      <c r="I89" s="823"/>
      <c r="J89" s="823"/>
      <c r="K89" s="293"/>
      <c r="L89" s="314">
        <v>8</v>
      </c>
      <c r="M89" s="422" t="s">
        <v>410</v>
      </c>
      <c r="N89" s="327" t="s">
        <v>412</v>
      </c>
      <c r="O89" s="653">
        <v>16450</v>
      </c>
      <c r="P89" s="634">
        <v>0.7</v>
      </c>
      <c r="Q89" s="729">
        <f>O89*P89</f>
        <v>11515</v>
      </c>
      <c r="R89" s="803" t="s">
        <v>413</v>
      </c>
      <c r="S89" s="607" t="s">
        <v>414</v>
      </c>
      <c r="T89" s="679">
        <v>45961</v>
      </c>
      <c r="U89" s="740">
        <v>31111.111111111109</v>
      </c>
      <c r="V89" s="835"/>
      <c r="W89" s="682">
        <v>45954</v>
      </c>
      <c r="X89" s="826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23"/>
      <c r="J90" s="823"/>
      <c r="K90" s="293"/>
      <c r="L90" s="314">
        <v>8</v>
      </c>
      <c r="M90" s="422" t="s">
        <v>410</v>
      </c>
      <c r="N90" s="327"/>
      <c r="O90" s="404"/>
      <c r="P90" s="634">
        <v>0.3</v>
      </c>
      <c r="Q90" s="729">
        <f>O89*P90</f>
        <v>4935</v>
      </c>
      <c r="R90" s="804"/>
      <c r="S90" s="607" t="s">
        <v>414</v>
      </c>
      <c r="T90" s="679">
        <v>45961</v>
      </c>
      <c r="U90" s="740">
        <v>13333.333333333334</v>
      </c>
      <c r="V90" s="835"/>
      <c r="W90" s="709">
        <v>45995</v>
      </c>
      <c r="X90" s="826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23"/>
      <c r="J91" s="823"/>
      <c r="K91" s="293"/>
      <c r="L91" s="314">
        <v>8</v>
      </c>
      <c r="M91" s="422" t="s">
        <v>410</v>
      </c>
      <c r="N91" s="327"/>
      <c r="O91" s="404"/>
      <c r="P91" s="449"/>
      <c r="Q91" s="729">
        <v>-16450</v>
      </c>
      <c r="R91" s="570"/>
      <c r="S91" s="607" t="s">
        <v>415</v>
      </c>
      <c r="T91" s="679">
        <v>45991</v>
      </c>
      <c r="U91" s="740">
        <v>0</v>
      </c>
      <c r="V91" s="835"/>
      <c r="W91" s="709">
        <v>45995</v>
      </c>
      <c r="X91" s="826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23"/>
      <c r="J92" s="823"/>
      <c r="K92" s="293"/>
      <c r="L92" s="314">
        <v>8</v>
      </c>
      <c r="M92" s="422" t="s">
        <v>410</v>
      </c>
      <c r="N92" s="327"/>
      <c r="O92" s="404"/>
      <c r="P92" s="449"/>
      <c r="Q92" s="729">
        <v>24900</v>
      </c>
      <c r="R92" s="570"/>
      <c r="S92" s="607" t="s">
        <v>414</v>
      </c>
      <c r="T92" s="679">
        <v>45991</v>
      </c>
      <c r="U92" s="740">
        <v>0</v>
      </c>
      <c r="V92" s="835"/>
      <c r="W92" s="709">
        <v>45995</v>
      </c>
      <c r="X92" s="826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23"/>
      <c r="J93" s="823"/>
      <c r="K93" s="293"/>
      <c r="L93" s="314">
        <v>8</v>
      </c>
      <c r="M93" s="422" t="s">
        <v>410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35"/>
      <c r="W93" s="554"/>
      <c r="X93" s="826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23"/>
      <c r="J94" s="823"/>
      <c r="K94" s="293"/>
      <c r="L94" s="314">
        <v>8</v>
      </c>
      <c r="M94" s="422" t="s">
        <v>410</v>
      </c>
      <c r="N94" s="327"/>
      <c r="O94" s="536"/>
      <c r="P94" s="449"/>
      <c r="Q94" s="729"/>
      <c r="R94" s="570"/>
      <c r="S94" s="607"/>
      <c r="T94" s="511"/>
      <c r="U94" s="496"/>
      <c r="V94" s="835"/>
      <c r="W94" s="554"/>
      <c r="X94" s="826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23"/>
      <c r="J95" s="823"/>
      <c r="K95" s="293"/>
      <c r="L95" s="314">
        <v>8</v>
      </c>
      <c r="M95" s="422" t="s">
        <v>410</v>
      </c>
      <c r="N95" s="327"/>
      <c r="O95" s="536"/>
      <c r="P95" s="449"/>
      <c r="Q95" s="729"/>
      <c r="R95" s="574"/>
      <c r="S95" s="611"/>
      <c r="T95" s="514"/>
      <c r="U95" s="501"/>
      <c r="V95" s="835"/>
      <c r="W95" s="557"/>
      <c r="X95" s="826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24"/>
      <c r="J96" s="824"/>
      <c r="K96" s="298"/>
      <c r="L96" s="294">
        <v>8</v>
      </c>
      <c r="M96" s="421" t="s">
        <v>410</v>
      </c>
      <c r="N96" s="296"/>
      <c r="O96" s="537"/>
      <c r="P96" s="443"/>
      <c r="Q96" s="724"/>
      <c r="R96" s="571"/>
      <c r="S96" s="608"/>
      <c r="T96" s="512"/>
      <c r="U96" s="497"/>
      <c r="V96" s="836"/>
      <c r="W96" s="555"/>
      <c r="X96" s="827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416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417</v>
      </c>
      <c r="D98" s="319" t="s">
        <v>418</v>
      </c>
      <c r="E98" s="306"/>
      <c r="F98" s="426"/>
      <c r="G98" s="597">
        <f>D186</f>
        <v>32635</v>
      </c>
      <c r="H98" s="556">
        <v>45961</v>
      </c>
      <c r="I98" s="828">
        <f>SUM(G98:G111)</f>
        <v>103790</v>
      </c>
      <c r="J98" s="805">
        <f>F186+F187</f>
        <v>115322.22222222222</v>
      </c>
      <c r="K98" s="280"/>
      <c r="L98" s="303">
        <v>9</v>
      </c>
      <c r="M98" s="412" t="s">
        <v>419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14">
        <f>J98-SUM(U98:U111)</f>
        <v>3.2016007462516427E-3</v>
      </c>
      <c r="W98" s="556"/>
      <c r="X98" s="831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420</v>
      </c>
      <c r="E99" s="306"/>
      <c r="F99" s="447"/>
      <c r="G99" s="597">
        <f>D187</f>
        <v>71155</v>
      </c>
      <c r="H99" s="549">
        <v>45991</v>
      </c>
      <c r="I99" s="829"/>
      <c r="J99" s="806"/>
      <c r="K99" s="280"/>
      <c r="L99" s="303">
        <v>9</v>
      </c>
      <c r="M99" s="412" t="s">
        <v>419</v>
      </c>
      <c r="N99" s="320" t="s">
        <v>364</v>
      </c>
      <c r="O99" s="545">
        <f>Z32+Z31</f>
        <v>185986.21</v>
      </c>
      <c r="P99" s="546">
        <v>0.1</v>
      </c>
      <c r="Q99" s="714">
        <f>$O$99*P99</f>
        <v>18598.620999999999</v>
      </c>
      <c r="R99" s="840" t="s">
        <v>365</v>
      </c>
      <c r="S99" s="602" t="s">
        <v>421</v>
      </c>
      <c r="T99" s="684">
        <v>45961</v>
      </c>
      <c r="U99" s="739">
        <v>11532.222222222224</v>
      </c>
      <c r="V99" s="815"/>
      <c r="W99" s="693">
        <v>45967</v>
      </c>
      <c r="X99" s="832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29"/>
      <c r="J100" s="806"/>
      <c r="K100" s="280"/>
      <c r="L100" s="374">
        <v>9</v>
      </c>
      <c r="M100" s="489" t="s">
        <v>419</v>
      </c>
      <c r="N100" s="376" t="s">
        <v>188</v>
      </c>
      <c r="O100" s="529"/>
      <c r="P100" s="544">
        <v>0.15</v>
      </c>
      <c r="Q100" s="714">
        <f t="shared" ref="Q100:Q108" si="12">$O$99*P100</f>
        <v>27897.931499999999</v>
      </c>
      <c r="R100" s="841"/>
      <c r="S100" s="603" t="s">
        <v>422</v>
      </c>
      <c r="T100" s="684">
        <v>45991</v>
      </c>
      <c r="U100" s="739">
        <v>17306.088135734488</v>
      </c>
      <c r="V100" s="815"/>
      <c r="W100" s="699">
        <v>45995</v>
      </c>
      <c r="X100" s="832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29"/>
      <c r="J101" s="806"/>
      <c r="K101" s="280"/>
      <c r="L101" s="374">
        <v>9</v>
      </c>
      <c r="M101" s="489" t="s">
        <v>419</v>
      </c>
      <c r="N101" s="376" t="s">
        <v>369</v>
      </c>
      <c r="O101" s="529"/>
      <c r="P101" s="544">
        <v>0.1</v>
      </c>
      <c r="Q101" s="714">
        <v>18598.599999999999</v>
      </c>
      <c r="R101" s="841"/>
      <c r="S101" s="603" t="s">
        <v>370</v>
      </c>
      <c r="T101" s="684">
        <v>45991</v>
      </c>
      <c r="U101" s="739">
        <v>11535.312399102831</v>
      </c>
      <c r="V101" s="815"/>
      <c r="W101" s="699">
        <v>45995</v>
      </c>
      <c r="X101" s="832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29"/>
      <c r="J102" s="806"/>
      <c r="K102" s="280"/>
      <c r="L102" s="374">
        <v>9</v>
      </c>
      <c r="M102" s="489" t="s">
        <v>419</v>
      </c>
      <c r="N102" s="376" t="s">
        <v>369</v>
      </c>
      <c r="O102" s="529"/>
      <c r="P102" s="544">
        <v>0.1</v>
      </c>
      <c r="Q102" s="714">
        <v>18598.599999999999</v>
      </c>
      <c r="R102" s="841"/>
      <c r="S102" s="603" t="s">
        <v>373</v>
      </c>
      <c r="T102" s="684">
        <v>46022</v>
      </c>
      <c r="U102" s="739">
        <v>11535.325423822993</v>
      </c>
      <c r="V102" s="815"/>
      <c r="W102" s="705">
        <v>46009</v>
      </c>
      <c r="X102" s="832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29"/>
      <c r="J103" s="806"/>
      <c r="K103" s="280"/>
      <c r="L103" s="374">
        <v>9</v>
      </c>
      <c r="M103" s="489" t="s">
        <v>419</v>
      </c>
      <c r="N103" s="376" t="s">
        <v>374</v>
      </c>
      <c r="O103" s="529"/>
      <c r="P103" s="544">
        <v>0.2</v>
      </c>
      <c r="Q103" s="714">
        <f t="shared" si="12"/>
        <v>37197.241999999998</v>
      </c>
      <c r="R103" s="841"/>
      <c r="S103" s="603" t="s">
        <v>370</v>
      </c>
      <c r="T103" s="684">
        <v>45991</v>
      </c>
      <c r="U103" s="739">
        <v>23070.650847645986</v>
      </c>
      <c r="V103" s="815"/>
      <c r="W103" s="705">
        <v>46009</v>
      </c>
      <c r="X103" s="832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29"/>
      <c r="J104" s="806"/>
      <c r="K104" s="280"/>
      <c r="L104" s="374">
        <v>9</v>
      </c>
      <c r="M104" s="489" t="s">
        <v>419</v>
      </c>
      <c r="N104" s="376" t="s">
        <v>374</v>
      </c>
      <c r="O104" s="529"/>
      <c r="P104" s="544">
        <v>0.05</v>
      </c>
      <c r="Q104" s="714">
        <f>O99*P104</f>
        <v>9299.3104999999996</v>
      </c>
      <c r="R104" s="841"/>
      <c r="S104" s="603" t="s">
        <v>375</v>
      </c>
      <c r="T104" s="684">
        <v>45991</v>
      </c>
      <c r="U104" s="739">
        <v>5767.6627119114964</v>
      </c>
      <c r="V104" s="815"/>
      <c r="W104" s="705">
        <v>46031</v>
      </c>
      <c r="X104" s="832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29"/>
      <c r="J105" s="806"/>
      <c r="K105" s="280"/>
      <c r="L105" s="374">
        <v>9</v>
      </c>
      <c r="M105" s="489" t="s">
        <v>419</v>
      </c>
      <c r="N105" s="376" t="s">
        <v>376</v>
      </c>
      <c r="O105" s="529"/>
      <c r="P105" s="544">
        <v>0.1</v>
      </c>
      <c r="Q105" s="714">
        <v>18578.62</v>
      </c>
      <c r="R105" s="841"/>
      <c r="S105" s="603" t="s">
        <v>377</v>
      </c>
      <c r="T105" s="684">
        <v>45991</v>
      </c>
      <c r="U105" s="739">
        <v>11522.920308207062</v>
      </c>
      <c r="V105" s="815"/>
      <c r="W105" s="699">
        <v>46051</v>
      </c>
      <c r="X105" s="832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29"/>
      <c r="J106" s="806"/>
      <c r="K106" s="280"/>
      <c r="L106" s="374">
        <v>9</v>
      </c>
      <c r="M106" s="489" t="s">
        <v>419</v>
      </c>
      <c r="N106" s="376" t="s">
        <v>379</v>
      </c>
      <c r="O106" s="529"/>
      <c r="P106" s="544">
        <v>0.1</v>
      </c>
      <c r="Q106" s="714">
        <v>18578.62</v>
      </c>
      <c r="R106" s="841"/>
      <c r="S106" s="603" t="s">
        <v>380</v>
      </c>
      <c r="T106" s="684">
        <v>45991</v>
      </c>
      <c r="U106" s="739">
        <v>11522.920308207062</v>
      </c>
      <c r="V106" s="815"/>
      <c r="W106" s="699">
        <f>W105+7</f>
        <v>46058</v>
      </c>
      <c r="X106" s="832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29"/>
      <c r="J107" s="806"/>
      <c r="K107" s="280"/>
      <c r="L107" s="374">
        <v>9</v>
      </c>
      <c r="M107" s="489" t="s">
        <v>419</v>
      </c>
      <c r="N107" s="376" t="s">
        <v>381</v>
      </c>
      <c r="O107" s="529"/>
      <c r="P107" s="544">
        <v>0.05</v>
      </c>
      <c r="Q107" s="714">
        <v>9289.2999999999993</v>
      </c>
      <c r="R107" s="841"/>
      <c r="S107" s="603" t="s">
        <v>382</v>
      </c>
      <c r="T107" s="684">
        <v>45991</v>
      </c>
      <c r="U107" s="739">
        <v>5761.453951855834</v>
      </c>
      <c r="V107" s="815"/>
      <c r="W107" s="699">
        <f>W106</f>
        <v>46058</v>
      </c>
      <c r="X107" s="832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29"/>
      <c r="J108" s="806"/>
      <c r="K108" s="280"/>
      <c r="L108" s="374">
        <v>9</v>
      </c>
      <c r="M108" s="489" t="s">
        <v>419</v>
      </c>
      <c r="N108" s="376" t="s">
        <v>383</v>
      </c>
      <c r="O108" s="529"/>
      <c r="P108" s="544">
        <v>0.05</v>
      </c>
      <c r="Q108" s="714">
        <f t="shared" si="12"/>
        <v>9299.3104999999996</v>
      </c>
      <c r="R108" s="842"/>
      <c r="S108" s="603" t="s">
        <v>384</v>
      </c>
      <c r="T108" s="684">
        <v>45991</v>
      </c>
      <c r="U108" s="739">
        <v>5767.6627119114964</v>
      </c>
      <c r="V108" s="815"/>
      <c r="W108" s="550">
        <f>W107+30</f>
        <v>46088</v>
      </c>
      <c r="X108" s="832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29"/>
      <c r="J109" s="806"/>
      <c r="K109" s="280"/>
      <c r="L109" s="374">
        <v>9</v>
      </c>
      <c r="M109" s="489" t="s">
        <v>419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15"/>
      <c r="W109" s="550"/>
      <c r="X109" s="832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29"/>
      <c r="J110" s="806"/>
      <c r="K110" s="280"/>
      <c r="L110" s="374">
        <v>9</v>
      </c>
      <c r="M110" s="489" t="s">
        <v>419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15"/>
      <c r="W110" s="550"/>
      <c r="X110" s="832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30"/>
      <c r="J111" s="807"/>
      <c r="K111" s="355"/>
      <c r="L111" s="308">
        <v>9</v>
      </c>
      <c r="M111" s="430" t="s">
        <v>419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16"/>
      <c r="W111" s="551"/>
      <c r="X111" s="833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423</v>
      </c>
      <c r="D113" s="262" t="s">
        <v>342</v>
      </c>
      <c r="E113" s="263"/>
      <c r="F113" s="458"/>
      <c r="G113" s="330">
        <f>D190</f>
        <v>8500</v>
      </c>
      <c r="H113" s="560">
        <v>45991</v>
      </c>
      <c r="I113" s="808">
        <f>SUM(G113:G129)</f>
        <v>36017.066666666666</v>
      </c>
      <c r="J113" s="808">
        <f>F190+F193+F194+F192+F191</f>
        <v>40018.962962962964</v>
      </c>
      <c r="K113" s="331"/>
      <c r="L113" s="261">
        <v>10</v>
      </c>
      <c r="M113" s="423" t="s">
        <v>424</v>
      </c>
      <c r="N113" s="262" t="s">
        <v>425</v>
      </c>
      <c r="O113" s="539"/>
      <c r="P113" s="458"/>
      <c r="Q113" s="731">
        <v>1533.06</v>
      </c>
      <c r="R113" s="578" t="s">
        <v>426</v>
      </c>
      <c r="S113" s="614" t="s">
        <v>427</v>
      </c>
      <c r="T113" s="692">
        <v>45991</v>
      </c>
      <c r="U113" s="747">
        <v>894.68140860162669</v>
      </c>
      <c r="V113" s="817">
        <f>J113-SUM(U113:U129)</f>
        <v>0</v>
      </c>
      <c r="W113" s="694">
        <v>45989</v>
      </c>
      <c r="X113" s="811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343</v>
      </c>
      <c r="E114" s="334"/>
      <c r="F114" s="459"/>
      <c r="G114" s="335">
        <f>D194</f>
        <v>11917.066666666666</v>
      </c>
      <c r="H114" s="561">
        <v>45961</v>
      </c>
      <c r="I114" s="809"/>
      <c r="J114" s="809"/>
      <c r="K114" s="264"/>
      <c r="L114" s="332">
        <v>10</v>
      </c>
      <c r="M114" s="424" t="s">
        <v>424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18"/>
      <c r="W114" s="561"/>
      <c r="X114" s="812"/>
      <c r="Y114" s="469"/>
    </row>
    <row r="115" spans="2:25" ht="14.25" customHeight="1">
      <c r="B115" s="332">
        <v>10</v>
      </c>
      <c r="C115" s="333"/>
      <c r="D115" s="333" t="s">
        <v>425</v>
      </c>
      <c r="E115" s="334"/>
      <c r="F115" s="459"/>
      <c r="G115" s="335">
        <f>D193</f>
        <v>15600</v>
      </c>
      <c r="H115" s="561">
        <v>45961</v>
      </c>
      <c r="I115" s="809"/>
      <c r="J115" s="809"/>
      <c r="K115" s="264"/>
      <c r="L115" s="332">
        <v>10</v>
      </c>
      <c r="M115" s="424" t="s">
        <v>424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18"/>
      <c r="W115" s="561"/>
      <c r="X115" s="812"/>
      <c r="Y115" s="469"/>
    </row>
    <row r="116" spans="2:25" ht="14.25" customHeight="1">
      <c r="B116" s="332">
        <v>10</v>
      </c>
      <c r="C116" s="333"/>
      <c r="D116" s="333" t="s">
        <v>344</v>
      </c>
      <c r="E116" s="334"/>
      <c r="F116" s="459"/>
      <c r="G116" s="335">
        <f>D192</f>
        <v>0</v>
      </c>
      <c r="H116" s="561"/>
      <c r="I116" s="809"/>
      <c r="J116" s="809"/>
      <c r="K116" s="264"/>
      <c r="L116" s="332">
        <v>10</v>
      </c>
      <c r="M116" s="424" t="s">
        <v>424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18"/>
      <c r="W116" s="561"/>
      <c r="X116" s="812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09"/>
      <c r="J117" s="809"/>
      <c r="K117" s="264"/>
      <c r="L117" s="332">
        <v>10</v>
      </c>
      <c r="M117" s="424" t="s">
        <v>424</v>
      </c>
      <c r="N117" s="333" t="s">
        <v>364</v>
      </c>
      <c r="O117" s="596">
        <f>SUM(Z33:Z41)</f>
        <v>67040.5</v>
      </c>
      <c r="P117" s="547">
        <v>0.1</v>
      </c>
      <c r="Q117" s="732">
        <f>$O$117*P117</f>
        <v>6704.05</v>
      </c>
      <c r="R117" s="837" t="s">
        <v>365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18"/>
      <c r="W117" s="698">
        <f>W99</f>
        <v>45967</v>
      </c>
      <c r="X117" s="812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09"/>
      <c r="J118" s="809"/>
      <c r="K118" s="264"/>
      <c r="L118" s="332">
        <v>10</v>
      </c>
      <c r="M118" s="424" t="s">
        <v>424</v>
      </c>
      <c r="N118" s="333" t="s">
        <v>188</v>
      </c>
      <c r="O118" s="540"/>
      <c r="P118" s="547">
        <v>0.15</v>
      </c>
      <c r="Q118" s="732">
        <f t="shared" ref="Q118:Q126" si="14">$O$117*P118</f>
        <v>10056.074999999999</v>
      </c>
      <c r="R118" s="838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18"/>
      <c r="W118" s="698">
        <f>W100</f>
        <v>45995</v>
      </c>
      <c r="X118" s="812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09"/>
      <c r="J119" s="809"/>
      <c r="K119" s="264"/>
      <c r="L119" s="332">
        <v>10</v>
      </c>
      <c r="M119" s="424" t="s">
        <v>424</v>
      </c>
      <c r="N119" s="333" t="s">
        <v>369</v>
      </c>
      <c r="O119" s="540"/>
      <c r="P119" s="547">
        <v>0.1</v>
      </c>
      <c r="Q119" s="732">
        <f t="shared" si="14"/>
        <v>6704.05</v>
      </c>
      <c r="R119" s="838"/>
      <c r="S119" s="616" t="s">
        <v>370</v>
      </c>
      <c r="T119" s="695">
        <f>T101</f>
        <v>45991</v>
      </c>
      <c r="U119" s="748">
        <v>3912.429322619947</v>
      </c>
      <c r="V119" s="818"/>
      <c r="W119" s="698">
        <f>W101</f>
        <v>45995</v>
      </c>
      <c r="X119" s="812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09"/>
      <c r="J120" s="809"/>
      <c r="K120" s="264"/>
      <c r="L120" s="332">
        <v>10</v>
      </c>
      <c r="M120" s="424" t="s">
        <v>424</v>
      </c>
      <c r="N120" s="333" t="s">
        <v>369</v>
      </c>
      <c r="O120" s="540"/>
      <c r="P120" s="547">
        <v>0.1</v>
      </c>
      <c r="Q120" s="732">
        <v>6704.03</v>
      </c>
      <c r="R120" s="838"/>
      <c r="S120" s="616" t="s">
        <v>373</v>
      </c>
      <c r="T120" s="695">
        <v>46022</v>
      </c>
      <c r="U120" s="748">
        <v>3912.4176507818111</v>
      </c>
      <c r="V120" s="818"/>
      <c r="W120" s="745">
        <v>46009</v>
      </c>
      <c r="X120" s="812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09"/>
      <c r="J121" s="809"/>
      <c r="K121" s="264"/>
      <c r="L121" s="332">
        <v>10</v>
      </c>
      <c r="M121" s="424" t="s">
        <v>424</v>
      </c>
      <c r="N121" s="333" t="s">
        <v>374</v>
      </c>
      <c r="O121" s="540"/>
      <c r="P121" s="547">
        <v>0.2</v>
      </c>
      <c r="Q121" s="732">
        <f t="shared" si="14"/>
        <v>13408.1</v>
      </c>
      <c r="R121" s="838"/>
      <c r="S121" s="616" t="s">
        <v>370</v>
      </c>
      <c r="T121" s="695">
        <f>T103</f>
        <v>45991</v>
      </c>
      <c r="U121" s="748">
        <v>7824.858645239894</v>
      </c>
      <c r="V121" s="818"/>
      <c r="W121" s="745">
        <f t="shared" ref="W121:W126" si="15">W103</f>
        <v>46009</v>
      </c>
      <c r="X121" s="812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09"/>
      <c r="J122" s="809"/>
      <c r="K122" s="264"/>
      <c r="L122" s="332">
        <v>10</v>
      </c>
      <c r="M122" s="424" t="s">
        <v>424</v>
      </c>
      <c r="N122" s="333" t="s">
        <v>374</v>
      </c>
      <c r="O122" s="540"/>
      <c r="P122" s="547">
        <v>0.05</v>
      </c>
      <c r="Q122" s="732">
        <f>O117*P122</f>
        <v>3352.0250000000001</v>
      </c>
      <c r="R122" s="838"/>
      <c r="S122" s="616" t="s">
        <v>375</v>
      </c>
      <c r="T122" s="695">
        <v>45991</v>
      </c>
      <c r="U122" s="748">
        <v>1956.2146613099735</v>
      </c>
      <c r="V122" s="818"/>
      <c r="W122" s="745">
        <f t="shared" si="15"/>
        <v>46031</v>
      </c>
      <c r="X122" s="812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09"/>
      <c r="J123" s="809"/>
      <c r="K123" s="264"/>
      <c r="L123" s="332">
        <v>10</v>
      </c>
      <c r="M123" s="424" t="s">
        <v>424</v>
      </c>
      <c r="N123" s="333" t="s">
        <v>376</v>
      </c>
      <c r="O123" s="540"/>
      <c r="P123" s="547">
        <v>0.1</v>
      </c>
      <c r="Q123" s="732">
        <f t="shared" si="14"/>
        <v>6704.05</v>
      </c>
      <c r="R123" s="838"/>
      <c r="S123" s="616" t="s">
        <v>377</v>
      </c>
      <c r="T123" s="695">
        <f>T105</f>
        <v>45991</v>
      </c>
      <c r="U123" s="748">
        <v>3912.429322619947</v>
      </c>
      <c r="V123" s="818"/>
      <c r="W123" s="698">
        <f t="shared" si="15"/>
        <v>46051</v>
      </c>
      <c r="X123" s="812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09"/>
      <c r="J124" s="809"/>
      <c r="K124" s="264"/>
      <c r="L124" s="332">
        <v>10</v>
      </c>
      <c r="M124" s="424" t="s">
        <v>424</v>
      </c>
      <c r="N124" s="333" t="s">
        <v>379</v>
      </c>
      <c r="O124" s="540"/>
      <c r="P124" s="547">
        <v>0.1</v>
      </c>
      <c r="Q124" s="732">
        <f t="shared" si="14"/>
        <v>6704.05</v>
      </c>
      <c r="R124" s="838"/>
      <c r="S124" s="616" t="s">
        <v>380</v>
      </c>
      <c r="T124" s="695">
        <f>T106</f>
        <v>45991</v>
      </c>
      <c r="U124" s="748">
        <v>3912.429322619947</v>
      </c>
      <c r="V124" s="818"/>
      <c r="W124" s="698">
        <f t="shared" si="15"/>
        <v>46058</v>
      </c>
      <c r="X124" s="812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09"/>
      <c r="J125" s="809"/>
      <c r="K125" s="264"/>
      <c r="L125" s="332">
        <v>10</v>
      </c>
      <c r="M125" s="424" t="s">
        <v>424</v>
      </c>
      <c r="N125" s="333" t="s">
        <v>381</v>
      </c>
      <c r="O125" s="540"/>
      <c r="P125" s="547">
        <v>0.05</v>
      </c>
      <c r="Q125" s="732">
        <f t="shared" si="14"/>
        <v>3352.0250000000001</v>
      </c>
      <c r="R125" s="838"/>
      <c r="S125" s="616" t="s">
        <v>382</v>
      </c>
      <c r="T125" s="695">
        <f>T107</f>
        <v>45991</v>
      </c>
      <c r="U125" s="748">
        <v>1956.2146613099735</v>
      </c>
      <c r="V125" s="818"/>
      <c r="W125" s="698">
        <f t="shared" si="15"/>
        <v>46058</v>
      </c>
      <c r="X125" s="812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09"/>
      <c r="J126" s="809"/>
      <c r="K126" s="264"/>
      <c r="L126" s="332">
        <v>10</v>
      </c>
      <c r="M126" s="424" t="s">
        <v>424</v>
      </c>
      <c r="N126" s="333" t="s">
        <v>383</v>
      </c>
      <c r="O126" s="540"/>
      <c r="P126" s="547">
        <v>0.05</v>
      </c>
      <c r="Q126" s="732">
        <f t="shared" si="14"/>
        <v>3352.0250000000001</v>
      </c>
      <c r="R126" s="839"/>
      <c r="S126" s="616" t="s">
        <v>384</v>
      </c>
      <c r="T126" s="695">
        <f>T108</f>
        <v>45991</v>
      </c>
      <c r="U126" s="748">
        <v>1956.2146613099735</v>
      </c>
      <c r="V126" s="818"/>
      <c r="W126" s="562">
        <f t="shared" si="15"/>
        <v>46088</v>
      </c>
      <c r="X126" s="812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09"/>
      <c r="J127" s="809"/>
      <c r="K127" s="264"/>
      <c r="L127" s="332">
        <v>10</v>
      </c>
      <c r="M127" s="424" t="s">
        <v>424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18"/>
      <c r="W127" s="562"/>
      <c r="X127" s="812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09"/>
      <c r="J128" s="809"/>
      <c r="K128" s="264"/>
      <c r="L128" s="332">
        <v>10</v>
      </c>
      <c r="M128" s="424" t="s">
        <v>424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18"/>
      <c r="W128" s="562"/>
      <c r="X128" s="812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10"/>
      <c r="J129" s="810"/>
      <c r="K129" s="267"/>
      <c r="L129" s="265">
        <v>10</v>
      </c>
      <c r="M129" s="425" t="s">
        <v>424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19"/>
      <c r="W129" s="563"/>
      <c r="X129" s="813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428</v>
      </c>
      <c r="D131" s="343" t="s">
        <v>429</v>
      </c>
      <c r="E131" s="275"/>
      <c r="F131" s="426"/>
      <c r="G131" s="276">
        <v>11000</v>
      </c>
      <c r="H131" s="556">
        <v>45991</v>
      </c>
      <c r="I131" s="805">
        <f>SUM(G131:G135)</f>
        <v>29000</v>
      </c>
      <c r="J131" s="805">
        <f>F189</f>
        <v>32222.222222222223</v>
      </c>
      <c r="K131" s="277"/>
      <c r="L131" s="273">
        <v>11</v>
      </c>
      <c r="M131" s="343" t="s">
        <v>430</v>
      </c>
      <c r="N131" s="343" t="s">
        <v>429</v>
      </c>
      <c r="O131" s="275"/>
      <c r="P131" s="426"/>
      <c r="Q131" s="722">
        <v>9565</v>
      </c>
      <c r="R131" s="635"/>
      <c r="S131" s="609" t="s">
        <v>431</v>
      </c>
      <c r="T131" s="688">
        <v>46022</v>
      </c>
      <c r="U131" s="739">
        <v>19801.192133347609</v>
      </c>
      <c r="V131" s="814">
        <f>J131-SUM(U131:U135)</f>
        <v>0</v>
      </c>
      <c r="W131" s="761">
        <v>46045</v>
      </c>
      <c r="X131" s="800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432</v>
      </c>
      <c r="E132" s="306"/>
      <c r="F132" s="447"/>
      <c r="G132" s="307">
        <v>18000</v>
      </c>
      <c r="H132" s="549">
        <v>45961</v>
      </c>
      <c r="I132" s="806"/>
      <c r="J132" s="806"/>
      <c r="K132" s="280"/>
      <c r="L132" s="303">
        <v>11</v>
      </c>
      <c r="M132" s="380" t="s">
        <v>430</v>
      </c>
      <c r="N132" s="305" t="s">
        <v>433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15"/>
      <c r="W132" s="549"/>
      <c r="X132" s="801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6"/>
      <c r="J133" s="806"/>
      <c r="K133" s="280"/>
      <c r="L133" s="303">
        <v>11</v>
      </c>
      <c r="M133" s="380" t="s">
        <v>430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15"/>
      <c r="W133" s="549"/>
      <c r="X133" s="801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6"/>
      <c r="J134" s="806"/>
      <c r="K134" s="280"/>
      <c r="L134" s="303">
        <v>11</v>
      </c>
      <c r="M134" s="380" t="s">
        <v>430</v>
      </c>
      <c r="N134" s="378" t="s">
        <v>434</v>
      </c>
      <c r="O134" s="529"/>
      <c r="P134" s="433"/>
      <c r="Q134" s="715">
        <v>6000</v>
      </c>
      <c r="R134" s="566"/>
      <c r="S134" s="603" t="s">
        <v>435</v>
      </c>
      <c r="T134" s="683">
        <v>46022</v>
      </c>
      <c r="U134" s="739">
        <v>12421.030088874611</v>
      </c>
      <c r="V134" s="815"/>
      <c r="W134" s="699">
        <f>T134+30</f>
        <v>46052</v>
      </c>
      <c r="X134" s="801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7"/>
      <c r="J135" s="807"/>
      <c r="K135" s="281"/>
      <c r="L135" s="308">
        <v>11</v>
      </c>
      <c r="M135" s="408" t="s">
        <v>430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16"/>
      <c r="W135" s="551"/>
      <c r="X135" s="802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436</v>
      </c>
      <c r="D137" s="262" t="s">
        <v>437</v>
      </c>
      <c r="E137" s="263"/>
      <c r="F137" s="458"/>
      <c r="G137" s="330">
        <v>8079.73</v>
      </c>
      <c r="H137" s="560">
        <v>45991</v>
      </c>
      <c r="I137" s="808">
        <f>SUM(G137:G138)</f>
        <v>8079.73</v>
      </c>
      <c r="J137" s="808">
        <v>0</v>
      </c>
      <c r="K137" s="820"/>
      <c r="L137" s="261">
        <v>12</v>
      </c>
      <c r="M137" s="262" t="s">
        <v>438</v>
      </c>
      <c r="N137" s="262" t="s">
        <v>437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11">
        <f>SUM(Q137:Q138)</f>
        <v>0</v>
      </c>
      <c r="Y137" s="469"/>
    </row>
    <row r="138" spans="1:25" ht="15" customHeight="1">
      <c r="B138" s="265">
        <v>12</v>
      </c>
      <c r="C138" s="336" t="s">
        <v>436</v>
      </c>
      <c r="D138" s="336"/>
      <c r="E138" s="337"/>
      <c r="F138" s="460"/>
      <c r="G138" s="266"/>
      <c r="H138" s="563"/>
      <c r="I138" s="810"/>
      <c r="J138" s="810"/>
      <c r="K138" s="821"/>
      <c r="L138" s="265">
        <v>12</v>
      </c>
      <c r="M138" s="336" t="s">
        <v>438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13"/>
      <c r="Y138" s="469"/>
    </row>
    <row r="139" spans="1:25" ht="14.5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439</v>
      </c>
      <c r="D140" s="343" t="s">
        <v>440</v>
      </c>
      <c r="E140" s="275"/>
      <c r="F140" s="426"/>
      <c r="G140" s="276">
        <f>D188</f>
        <v>11693.194656702901</v>
      </c>
      <c r="H140" s="556">
        <v>45961</v>
      </c>
      <c r="I140" s="805">
        <f>SUM(G140:G144)</f>
        <v>11693.194656702901</v>
      </c>
      <c r="J140" s="805">
        <f>F188</f>
        <v>13287.721200798751</v>
      </c>
      <c r="K140" s="277"/>
      <c r="L140" s="273">
        <v>13</v>
      </c>
      <c r="M140" s="343" t="s">
        <v>441</v>
      </c>
      <c r="N140" s="343" t="s">
        <v>442</v>
      </c>
      <c r="O140" s="527"/>
      <c r="P140" s="426"/>
      <c r="Q140" s="722">
        <v>16154.12</v>
      </c>
      <c r="R140" s="572"/>
      <c r="S140" s="609" t="s">
        <v>443</v>
      </c>
      <c r="T140" s="688">
        <v>46053</v>
      </c>
      <c r="U140" s="762">
        <v>13287.721200798751</v>
      </c>
      <c r="V140" s="814">
        <f>J140-SUM(U140:U145)</f>
        <v>0</v>
      </c>
      <c r="W140" s="556">
        <v>46079</v>
      </c>
      <c r="X140" s="800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6"/>
      <c r="J141" s="806"/>
      <c r="K141" s="280"/>
      <c r="L141" s="303">
        <v>13</v>
      </c>
      <c r="M141" s="380" t="s">
        <v>441</v>
      </c>
      <c r="N141" s="305" t="s">
        <v>444</v>
      </c>
      <c r="O141" s="528"/>
      <c r="P141" s="447"/>
      <c r="Q141" s="714"/>
      <c r="R141" s="565"/>
      <c r="S141" s="602"/>
      <c r="T141" s="506"/>
      <c r="U141" s="491">
        <f t="shared" ref="U141:U145" si="16">(Q141/$X$140*$J$140)</f>
        <v>0</v>
      </c>
      <c r="V141" s="815"/>
      <c r="W141" s="549"/>
      <c r="X141" s="801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6"/>
      <c r="J142" s="806"/>
      <c r="K142" s="280"/>
      <c r="L142" s="303">
        <v>13</v>
      </c>
      <c r="M142" s="380" t="s">
        <v>441</v>
      </c>
      <c r="N142" s="305" t="s">
        <v>445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15"/>
      <c r="W142" s="549"/>
      <c r="X142" s="801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6"/>
      <c r="J143" s="806"/>
      <c r="K143" s="280"/>
      <c r="L143" s="303">
        <v>13</v>
      </c>
      <c r="M143" s="380" t="s">
        <v>441</v>
      </c>
      <c r="N143" s="305" t="s">
        <v>446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15"/>
      <c r="W143" s="549"/>
      <c r="X143" s="801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6"/>
      <c r="J144" s="806"/>
      <c r="K144" s="280"/>
      <c r="L144" s="303">
        <v>13</v>
      </c>
      <c r="M144" s="380" t="s">
        <v>441</v>
      </c>
      <c r="N144" s="305" t="s">
        <v>447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15"/>
      <c r="W144" s="549"/>
      <c r="X144" s="801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7"/>
      <c r="J145" s="807"/>
      <c r="K145" s="355"/>
      <c r="L145" s="308">
        <v>13</v>
      </c>
      <c r="M145" s="408" t="s">
        <v>441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16"/>
      <c r="W145" s="551"/>
      <c r="X145" s="802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448</v>
      </c>
      <c r="D147" s="262" t="s">
        <v>449</v>
      </c>
      <c r="E147" s="263"/>
      <c r="F147" s="458"/>
      <c r="G147" s="330">
        <f>D199</f>
        <v>2275</v>
      </c>
      <c r="H147" s="562">
        <v>45930</v>
      </c>
      <c r="I147" s="808">
        <f>SUM(G147:G158)</f>
        <v>2275</v>
      </c>
      <c r="J147" s="808">
        <f>F199</f>
        <v>2527.7777777777778</v>
      </c>
      <c r="K147" s="331"/>
      <c r="L147" s="261">
        <v>14</v>
      </c>
      <c r="M147" s="423" t="s">
        <v>450</v>
      </c>
      <c r="N147" s="262" t="s">
        <v>451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17">
        <f>J147-SUM(U147:U158)</f>
        <v>1.5325128447329917E-3</v>
      </c>
      <c r="W147" s="562"/>
      <c r="X147" s="811">
        <f>SUM(Q147:Q158)</f>
        <v>2023.19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09"/>
      <c r="J148" s="809"/>
      <c r="K148" s="264"/>
      <c r="L148" s="332">
        <v>14</v>
      </c>
      <c r="M148" s="424" t="s">
        <v>450</v>
      </c>
      <c r="N148" s="333" t="s">
        <v>451</v>
      </c>
      <c r="O148" s="540"/>
      <c r="P148" s="631"/>
      <c r="Q148" s="736">
        <v>863.34</v>
      </c>
      <c r="R148" s="633"/>
      <c r="S148" s="620" t="s">
        <v>452</v>
      </c>
      <c r="T148" s="744">
        <v>45991</v>
      </c>
      <c r="U148" s="748">
        <v>1960.1664061891843</v>
      </c>
      <c r="V148" s="818"/>
      <c r="W148" s="745">
        <v>45996</v>
      </c>
      <c r="X148" s="812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09"/>
      <c r="J149" s="809"/>
      <c r="K149" s="264"/>
      <c r="L149" s="332">
        <v>14</v>
      </c>
      <c r="M149" s="424" t="s">
        <v>450</v>
      </c>
      <c r="N149" s="333" t="s">
        <v>451</v>
      </c>
      <c r="O149" s="540"/>
      <c r="P149" s="459"/>
      <c r="Q149" s="732">
        <v>1023.4</v>
      </c>
      <c r="R149" s="580"/>
      <c r="S149" s="620" t="s">
        <v>452</v>
      </c>
      <c r="T149" s="744">
        <v>46022</v>
      </c>
      <c r="U149" s="748">
        <v>567.6098390757486</v>
      </c>
      <c r="V149" s="818"/>
      <c r="W149" s="745">
        <v>46030</v>
      </c>
      <c r="X149" s="812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09"/>
      <c r="J150" s="809"/>
      <c r="K150" s="264"/>
      <c r="L150" s="332">
        <v>14</v>
      </c>
      <c r="M150" s="424" t="s">
        <v>450</v>
      </c>
      <c r="N150" s="333" t="s">
        <v>451</v>
      </c>
      <c r="O150" s="540"/>
      <c r="P150" s="459"/>
      <c r="Q150" s="732">
        <v>136.44999999999999</v>
      </c>
      <c r="R150" s="580"/>
      <c r="S150" s="620" t="s">
        <v>452</v>
      </c>
      <c r="T150" s="744">
        <v>46053</v>
      </c>
      <c r="U150" s="748">
        <v>0</v>
      </c>
      <c r="V150" s="818"/>
      <c r="W150" s="745">
        <v>46058</v>
      </c>
      <c r="X150" s="812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09"/>
      <c r="J151" s="809"/>
      <c r="K151" s="264"/>
      <c r="L151" s="332">
        <v>14</v>
      </c>
      <c r="M151" s="424" t="s">
        <v>450</v>
      </c>
      <c r="N151" s="333" t="s">
        <v>451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18"/>
      <c r="W151" s="562"/>
      <c r="X151" s="812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09"/>
      <c r="J152" s="809"/>
      <c r="K152" s="264"/>
      <c r="L152" s="332">
        <v>14</v>
      </c>
      <c r="M152" s="424" t="s">
        <v>450</v>
      </c>
      <c r="N152" s="333" t="s">
        <v>451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18"/>
      <c r="W152" s="562"/>
      <c r="X152" s="812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09"/>
      <c r="J153" s="809"/>
      <c r="K153" s="264"/>
      <c r="L153" s="332">
        <v>14</v>
      </c>
      <c r="M153" s="424" t="s">
        <v>450</v>
      </c>
      <c r="N153" s="333" t="s">
        <v>451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18"/>
      <c r="W153" s="562"/>
      <c r="X153" s="812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09"/>
      <c r="J154" s="809"/>
      <c r="K154" s="264"/>
      <c r="L154" s="332">
        <v>14</v>
      </c>
      <c r="M154" s="424" t="s">
        <v>450</v>
      </c>
      <c r="N154" s="333" t="s">
        <v>451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18"/>
      <c r="W154" s="562"/>
      <c r="X154" s="812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09"/>
      <c r="J155" s="809"/>
      <c r="K155" s="264"/>
      <c r="L155" s="332">
        <v>14</v>
      </c>
      <c r="M155" s="424" t="s">
        <v>450</v>
      </c>
      <c r="N155" s="333" t="s">
        <v>451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18"/>
      <c r="W155" s="562"/>
      <c r="X155" s="812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09"/>
      <c r="J156" s="809"/>
      <c r="K156" s="264"/>
      <c r="L156" s="332">
        <v>14</v>
      </c>
      <c r="M156" s="424" t="s">
        <v>450</v>
      </c>
      <c r="N156" s="333" t="s">
        <v>451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18"/>
      <c r="W156" s="562"/>
      <c r="X156" s="812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09"/>
      <c r="J157" s="809"/>
      <c r="K157" s="264"/>
      <c r="L157" s="332">
        <v>14</v>
      </c>
      <c r="M157" s="424" t="s">
        <v>450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18"/>
      <c r="W157" s="562"/>
      <c r="X157" s="812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10"/>
      <c r="J158" s="810"/>
      <c r="K158" s="267"/>
      <c r="L158" s="265">
        <v>14</v>
      </c>
      <c r="M158" s="425" t="s">
        <v>450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19"/>
      <c r="W158" s="563"/>
      <c r="X158" s="813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453</v>
      </c>
      <c r="D160" s="274"/>
      <c r="E160" s="275"/>
      <c r="F160" s="426"/>
      <c r="G160" s="276"/>
      <c r="H160" s="556"/>
      <c r="I160" s="805">
        <f>SUM(G160:G171)</f>
        <v>0</v>
      </c>
      <c r="J160" s="805">
        <f>F196</f>
        <v>0</v>
      </c>
      <c r="K160" s="277"/>
      <c r="L160" s="273">
        <v>15</v>
      </c>
      <c r="M160" s="343" t="s">
        <v>454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14">
        <v>0</v>
      </c>
      <c r="W160" s="556"/>
      <c r="X160" s="800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6"/>
      <c r="J161" s="806"/>
      <c r="K161" s="280"/>
      <c r="L161" s="303">
        <v>15</v>
      </c>
      <c r="M161" s="380" t="s">
        <v>454</v>
      </c>
      <c r="N161" s="305"/>
      <c r="O161" s="528"/>
      <c r="P161" s="447"/>
      <c r="Q161" s="714"/>
      <c r="R161" s="565"/>
      <c r="S161" s="602"/>
      <c r="T161" s="506"/>
      <c r="U161" s="491"/>
      <c r="V161" s="815"/>
      <c r="W161" s="549"/>
      <c r="X161" s="801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6"/>
      <c r="J162" s="806"/>
      <c r="K162" s="280"/>
      <c r="L162" s="303">
        <v>15</v>
      </c>
      <c r="M162" s="380" t="s">
        <v>454</v>
      </c>
      <c r="N162" s="305" t="s">
        <v>455</v>
      </c>
      <c r="O162" s="528"/>
      <c r="P162" s="447"/>
      <c r="Q162" s="714">
        <v>3650</v>
      </c>
      <c r="R162" s="565"/>
      <c r="S162" s="602" t="s">
        <v>456</v>
      </c>
      <c r="T162" s="683">
        <v>45991</v>
      </c>
      <c r="U162" s="491"/>
      <c r="V162" s="815"/>
      <c r="W162" s="693">
        <v>45989</v>
      </c>
      <c r="X162" s="801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6"/>
      <c r="J163" s="806"/>
      <c r="K163" s="280"/>
      <c r="L163" s="303">
        <v>15</v>
      </c>
      <c r="M163" s="380" t="s">
        <v>454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15"/>
      <c r="W163" s="549"/>
      <c r="X163" s="801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6"/>
      <c r="J164" s="806"/>
      <c r="K164" s="280"/>
      <c r="L164" s="303">
        <v>15</v>
      </c>
      <c r="M164" s="380" t="s">
        <v>454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15"/>
      <c r="W164" s="549"/>
      <c r="X164" s="801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6"/>
      <c r="J165" s="806"/>
      <c r="K165" s="280"/>
      <c r="L165" s="303">
        <v>15</v>
      </c>
      <c r="M165" s="380" t="s">
        <v>454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15"/>
      <c r="W165" s="549"/>
      <c r="X165" s="801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6"/>
      <c r="J166" s="806"/>
      <c r="K166" s="280"/>
      <c r="L166" s="303">
        <v>15</v>
      </c>
      <c r="M166" s="380" t="s">
        <v>454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15"/>
      <c r="W166" s="549"/>
      <c r="X166" s="801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6"/>
      <c r="J167" s="806"/>
      <c r="K167" s="280"/>
      <c r="L167" s="303">
        <v>15</v>
      </c>
      <c r="M167" s="380" t="s">
        <v>454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15"/>
      <c r="W167" s="549"/>
      <c r="X167" s="801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6"/>
      <c r="J168" s="806"/>
      <c r="K168" s="280"/>
      <c r="L168" s="303">
        <v>15</v>
      </c>
      <c r="M168" s="380" t="s">
        <v>454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15"/>
      <c r="W168" s="549"/>
      <c r="X168" s="801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6"/>
      <c r="J169" s="806"/>
      <c r="K169" s="280"/>
      <c r="L169" s="303">
        <v>15</v>
      </c>
      <c r="M169" s="380" t="s">
        <v>454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15"/>
      <c r="W169" s="549"/>
      <c r="X169" s="801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6"/>
      <c r="J170" s="806"/>
      <c r="K170" s="280"/>
      <c r="L170" s="303">
        <v>15</v>
      </c>
      <c r="M170" s="380" t="s">
        <v>454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15"/>
      <c r="W170" s="549"/>
      <c r="X170" s="801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7"/>
      <c r="J171" s="807"/>
      <c r="K171" s="281"/>
      <c r="L171" s="308">
        <v>15</v>
      </c>
      <c r="M171" s="408" t="s">
        <v>454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16"/>
      <c r="W171" s="551"/>
      <c r="X171" s="802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457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458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459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362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403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386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460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461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462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463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464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465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466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467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468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469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470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471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472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473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474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475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462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476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477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I22:I28"/>
    <mergeCell ref="J22:J28"/>
    <mergeCell ref="R34:R43"/>
    <mergeCell ref="B2:G2"/>
    <mergeCell ref="L2:Q2"/>
    <mergeCell ref="I6:I12"/>
    <mergeCell ref="J6:J12"/>
    <mergeCell ref="R2:W2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79:I86"/>
    <mergeCell ref="J79:J86"/>
    <mergeCell ref="V79:V86"/>
    <mergeCell ref="V48:V57"/>
    <mergeCell ref="V59:V77"/>
    <mergeCell ref="R65:R74"/>
    <mergeCell ref="I48:I57"/>
    <mergeCell ref="J48:J57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X131:X135"/>
    <mergeCell ref="I137:I138"/>
    <mergeCell ref="J137:J138"/>
    <mergeCell ref="K137:K138"/>
    <mergeCell ref="X137:X138"/>
    <mergeCell ref="V131:V135"/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" customWidth="1"/>
    <col min="5" max="5" width="4.453125" customWidth="1"/>
    <col min="6" max="6" width="16.453125" bestFit="1" customWidth="1"/>
    <col min="7" max="7" width="20.453125" customWidth="1"/>
    <col min="8" max="292" width="15.26953125" bestFit="1" customWidth="1"/>
    <col min="293" max="293" width="9.453125" style="190"/>
  </cols>
  <sheetData>
    <row r="1" spans="1:770">
      <c r="D1" s="186" t="s">
        <v>478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7" t="s">
        <v>479</v>
      </c>
      <c r="B2" s="191"/>
      <c r="C2" s="192" t="s">
        <v>321</v>
      </c>
      <c r="D2" s="192" t="s">
        <v>321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8"/>
      <c r="B3" s="194" t="s">
        <v>245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8"/>
      <c r="B4" s="194" t="s">
        <v>480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8"/>
      <c r="B5" s="198" t="s">
        <v>246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8"/>
      <c r="B6" s="198" t="s">
        <v>481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8"/>
      <c r="B7" s="203" t="s">
        <v>482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7" t="s">
        <v>236</v>
      </c>
      <c r="B8" s="191"/>
      <c r="C8" s="192" t="s">
        <v>321</v>
      </c>
      <c r="D8" s="192" t="s">
        <v>321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8"/>
      <c r="B9" s="208" t="s">
        <v>483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8"/>
      <c r="B10" s="208" t="s">
        <v>484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8"/>
      <c r="B11" s="211" t="s">
        <v>485</v>
      </c>
      <c r="C11" s="212">
        <f>'Revenue Tracking'!F5</f>
        <v>889884.75549999997</v>
      </c>
      <c r="D11" s="212">
        <f>SUM(F11:KF11)</f>
        <v>889884.75549999985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47639.625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8"/>
      <c r="B12" s="211" t="s">
        <v>486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857896.24999999988</v>
      </c>
      <c r="AK12" s="213">
        <f t="shared" si="30"/>
        <v>857896.24999999988</v>
      </c>
      <c r="AL12" s="213">
        <f t="shared" si="30"/>
        <v>857896.24999999988</v>
      </c>
      <c r="AM12" s="213">
        <f t="shared" si="30"/>
        <v>874050.36999999988</v>
      </c>
      <c r="AN12" s="213">
        <f t="shared" si="30"/>
        <v>889884.75549999985</v>
      </c>
      <c r="AO12" s="213">
        <f t="shared" si="30"/>
        <v>889884.75549999985</v>
      </c>
      <c r="AP12" s="213">
        <f t="shared" si="30"/>
        <v>889884.75549999985</v>
      </c>
      <c r="AQ12" s="213">
        <f t="shared" si="30"/>
        <v>889884.75549999985</v>
      </c>
      <c r="AR12" s="213">
        <f t="shared" si="30"/>
        <v>889884.75549999985</v>
      </c>
      <c r="AS12" s="213">
        <f t="shared" si="30"/>
        <v>889884.75549999985</v>
      </c>
      <c r="AT12" s="213">
        <f t="shared" si="30"/>
        <v>889884.75549999985</v>
      </c>
      <c r="AU12" s="213">
        <f t="shared" si="30"/>
        <v>889884.75549999985</v>
      </c>
      <c r="AV12" s="213">
        <f t="shared" si="30"/>
        <v>889884.75549999985</v>
      </c>
      <c r="AW12" s="213">
        <f t="shared" si="30"/>
        <v>889884.75549999985</v>
      </c>
      <c r="AX12" s="213">
        <f t="shared" si="30"/>
        <v>889884.75549999985</v>
      </c>
      <c r="AY12" s="213">
        <f t="shared" si="30"/>
        <v>889884.75549999985</v>
      </c>
      <c r="AZ12" s="213">
        <f t="shared" si="30"/>
        <v>889884.75549999985</v>
      </c>
      <c r="BA12" s="213">
        <f t="shared" si="30"/>
        <v>889884.75549999985</v>
      </c>
      <c r="BB12" s="213">
        <f t="shared" si="30"/>
        <v>889884.75549999985</v>
      </c>
      <c r="BC12" s="213">
        <f t="shared" si="30"/>
        <v>889884.75549999985</v>
      </c>
      <c r="BD12" s="213">
        <f t="shared" si="30"/>
        <v>889884.75549999985</v>
      </c>
      <c r="BE12" s="213">
        <f t="shared" si="30"/>
        <v>889884.75549999985</v>
      </c>
      <c r="BF12" s="213">
        <f t="shared" si="30"/>
        <v>889884.75549999985</v>
      </c>
      <c r="BG12" s="213">
        <f t="shared" si="30"/>
        <v>889884.75549999985</v>
      </c>
      <c r="BH12" s="213">
        <f t="shared" si="30"/>
        <v>889884.75549999985</v>
      </c>
      <c r="BI12" s="213">
        <f t="shared" si="30"/>
        <v>889884.75549999985</v>
      </c>
      <c r="BJ12" s="213">
        <f t="shared" si="30"/>
        <v>889884.75549999985</v>
      </c>
      <c r="BK12" s="213">
        <f t="shared" si="30"/>
        <v>889884.75549999985</v>
      </c>
      <c r="BL12" s="213">
        <f t="shared" si="30"/>
        <v>889884.75549999985</v>
      </c>
      <c r="BM12" s="213">
        <f t="shared" si="30"/>
        <v>889884.75549999985</v>
      </c>
      <c r="BN12" s="213">
        <f t="shared" si="30"/>
        <v>889884.75549999985</v>
      </c>
      <c r="BO12" s="213">
        <f t="shared" ref="BO12:BT12" si="31">BN12+BO11</f>
        <v>889884.75549999985</v>
      </c>
      <c r="BP12" s="213">
        <f t="shared" si="31"/>
        <v>889884.75549999985</v>
      </c>
      <c r="BQ12" s="213">
        <f t="shared" si="31"/>
        <v>889884.75549999985</v>
      </c>
      <c r="BR12" s="213">
        <f t="shared" si="31"/>
        <v>889884.75549999985</v>
      </c>
      <c r="BS12" s="213">
        <f t="shared" si="31"/>
        <v>889884.75549999985</v>
      </c>
      <c r="BT12" s="213">
        <f t="shared" si="31"/>
        <v>889884.75549999985</v>
      </c>
      <c r="BU12" s="213">
        <f t="shared" ref="BU12:EF12" si="32">BT12+BU11</f>
        <v>889884.75549999985</v>
      </c>
      <c r="BV12" s="213">
        <f t="shared" si="32"/>
        <v>889884.75549999985</v>
      </c>
      <c r="BW12" s="213">
        <f t="shared" si="32"/>
        <v>889884.75549999985</v>
      </c>
      <c r="BX12" s="213">
        <f t="shared" si="32"/>
        <v>889884.75549999985</v>
      </c>
      <c r="BY12" s="213">
        <f t="shared" si="32"/>
        <v>889884.75549999985</v>
      </c>
      <c r="BZ12" s="213">
        <f t="shared" si="32"/>
        <v>889884.75549999985</v>
      </c>
      <c r="CA12" s="213">
        <f t="shared" si="32"/>
        <v>889884.75549999985</v>
      </c>
      <c r="CB12" s="213">
        <f t="shared" si="32"/>
        <v>889884.75549999985</v>
      </c>
      <c r="CC12" s="213">
        <f t="shared" si="32"/>
        <v>889884.75549999985</v>
      </c>
      <c r="CD12" s="213">
        <f t="shared" si="32"/>
        <v>889884.75549999985</v>
      </c>
      <c r="CE12" s="213">
        <f t="shared" si="32"/>
        <v>889884.75549999985</v>
      </c>
      <c r="CF12" s="213">
        <f t="shared" si="32"/>
        <v>889884.75549999985</v>
      </c>
      <c r="CG12" s="213">
        <f t="shared" si="32"/>
        <v>889884.75549999985</v>
      </c>
      <c r="CH12" s="213">
        <f t="shared" si="32"/>
        <v>889884.75549999985</v>
      </c>
      <c r="CI12" s="213">
        <f t="shared" si="32"/>
        <v>889884.75549999985</v>
      </c>
      <c r="CJ12" s="213">
        <f t="shared" si="32"/>
        <v>889884.75549999985</v>
      </c>
      <c r="CK12" s="213">
        <f t="shared" si="32"/>
        <v>889884.75549999985</v>
      </c>
      <c r="CL12" s="213">
        <f t="shared" si="32"/>
        <v>889884.75549999985</v>
      </c>
      <c r="CM12" s="213">
        <f t="shared" si="32"/>
        <v>889884.75549999985</v>
      </c>
      <c r="CN12" s="213">
        <f t="shared" si="32"/>
        <v>889884.75549999985</v>
      </c>
      <c r="CO12" s="213">
        <f t="shared" si="32"/>
        <v>889884.75549999985</v>
      </c>
      <c r="CP12" s="213">
        <f t="shared" si="32"/>
        <v>889884.75549999985</v>
      </c>
      <c r="CQ12" s="213">
        <f t="shared" si="32"/>
        <v>889884.75549999985</v>
      </c>
      <c r="CR12" s="213">
        <f t="shared" si="32"/>
        <v>889884.75549999985</v>
      </c>
      <c r="CS12" s="213">
        <f t="shared" si="32"/>
        <v>889884.75549999985</v>
      </c>
      <c r="CT12" s="213">
        <f t="shared" si="32"/>
        <v>889884.75549999985</v>
      </c>
      <c r="CU12" s="213">
        <f t="shared" si="32"/>
        <v>889884.75549999985</v>
      </c>
      <c r="CV12" s="213">
        <f t="shared" si="32"/>
        <v>889884.75549999985</v>
      </c>
      <c r="CW12" s="213">
        <f t="shared" si="32"/>
        <v>889884.75549999985</v>
      </c>
      <c r="CX12" s="213">
        <f t="shared" si="32"/>
        <v>889884.75549999985</v>
      </c>
      <c r="CY12" s="213">
        <f t="shared" si="32"/>
        <v>889884.75549999985</v>
      </c>
      <c r="CZ12" s="213">
        <f t="shared" si="32"/>
        <v>889884.75549999985</v>
      </c>
      <c r="DA12" s="213">
        <f t="shared" si="32"/>
        <v>889884.75549999985</v>
      </c>
      <c r="DB12" s="213">
        <f t="shared" si="32"/>
        <v>889884.75549999985</v>
      </c>
      <c r="DC12" s="213">
        <f t="shared" si="32"/>
        <v>889884.75549999985</v>
      </c>
      <c r="DD12" s="213">
        <f t="shared" si="32"/>
        <v>889884.75549999985</v>
      </c>
      <c r="DE12" s="213">
        <f t="shared" si="32"/>
        <v>889884.75549999985</v>
      </c>
      <c r="DF12" s="213">
        <f t="shared" si="32"/>
        <v>889884.75549999985</v>
      </c>
      <c r="DG12" s="213">
        <f t="shared" si="32"/>
        <v>889884.75549999985</v>
      </c>
      <c r="DH12" s="213">
        <f t="shared" si="32"/>
        <v>889884.75549999985</v>
      </c>
      <c r="DI12" s="213">
        <f t="shared" si="32"/>
        <v>889884.75549999985</v>
      </c>
      <c r="DJ12" s="213">
        <f t="shared" si="32"/>
        <v>889884.75549999985</v>
      </c>
      <c r="DK12" s="213">
        <f t="shared" si="32"/>
        <v>889884.75549999985</v>
      </c>
      <c r="DL12" s="213">
        <f t="shared" si="32"/>
        <v>889884.75549999985</v>
      </c>
      <c r="DM12" s="213">
        <f t="shared" si="32"/>
        <v>889884.75549999985</v>
      </c>
      <c r="DN12" s="213">
        <f t="shared" si="32"/>
        <v>889884.75549999985</v>
      </c>
      <c r="DO12" s="213">
        <f t="shared" si="32"/>
        <v>889884.75549999985</v>
      </c>
      <c r="DP12" s="213">
        <f t="shared" si="32"/>
        <v>889884.75549999985</v>
      </c>
      <c r="DQ12" s="213">
        <f t="shared" si="32"/>
        <v>889884.75549999985</v>
      </c>
      <c r="DR12" s="213">
        <f t="shared" si="32"/>
        <v>889884.75549999985</v>
      </c>
      <c r="DS12" s="213">
        <f t="shared" si="32"/>
        <v>889884.75549999985</v>
      </c>
      <c r="DT12" s="213">
        <f t="shared" si="32"/>
        <v>889884.75549999985</v>
      </c>
      <c r="DU12" s="213">
        <f t="shared" si="32"/>
        <v>889884.75549999985</v>
      </c>
      <c r="DV12" s="213">
        <f t="shared" si="32"/>
        <v>889884.75549999985</v>
      </c>
      <c r="DW12" s="213">
        <f t="shared" si="32"/>
        <v>889884.75549999985</v>
      </c>
      <c r="DX12" s="213">
        <f t="shared" si="32"/>
        <v>889884.75549999985</v>
      </c>
      <c r="DY12" s="213">
        <f t="shared" si="32"/>
        <v>889884.75549999985</v>
      </c>
      <c r="DZ12" s="213">
        <f t="shared" si="32"/>
        <v>889884.75549999985</v>
      </c>
      <c r="EA12" s="213">
        <f t="shared" si="32"/>
        <v>889884.75549999985</v>
      </c>
      <c r="EB12" s="213">
        <f t="shared" si="32"/>
        <v>889884.75549999985</v>
      </c>
      <c r="EC12" s="213">
        <f t="shared" si="32"/>
        <v>889884.75549999985</v>
      </c>
      <c r="ED12" s="213">
        <f t="shared" si="32"/>
        <v>889884.75549999985</v>
      </c>
      <c r="EE12" s="213">
        <f t="shared" si="32"/>
        <v>889884.75549999985</v>
      </c>
      <c r="EF12" s="213">
        <f t="shared" si="32"/>
        <v>889884.75549999985</v>
      </c>
      <c r="EG12" s="213">
        <f t="shared" ref="EG12:GR12" si="33">EF12+EG11</f>
        <v>889884.75549999985</v>
      </c>
      <c r="EH12" s="213">
        <f t="shared" si="33"/>
        <v>889884.75549999985</v>
      </c>
      <c r="EI12" s="213">
        <f t="shared" si="33"/>
        <v>889884.75549999985</v>
      </c>
      <c r="EJ12" s="213">
        <f t="shared" si="33"/>
        <v>889884.75549999985</v>
      </c>
      <c r="EK12" s="213">
        <f t="shared" si="33"/>
        <v>889884.75549999985</v>
      </c>
      <c r="EL12" s="213">
        <f t="shared" si="33"/>
        <v>889884.75549999985</v>
      </c>
      <c r="EM12" s="213">
        <f t="shared" si="33"/>
        <v>889884.75549999985</v>
      </c>
      <c r="EN12" s="213">
        <f t="shared" si="33"/>
        <v>889884.75549999985</v>
      </c>
      <c r="EO12" s="213">
        <f t="shared" si="33"/>
        <v>889884.75549999985</v>
      </c>
      <c r="EP12" s="213">
        <f t="shared" si="33"/>
        <v>889884.75549999985</v>
      </c>
      <c r="EQ12" s="213">
        <f t="shared" si="33"/>
        <v>889884.75549999985</v>
      </c>
      <c r="ER12" s="213">
        <f t="shared" si="33"/>
        <v>889884.75549999985</v>
      </c>
      <c r="ES12" s="213">
        <f t="shared" si="33"/>
        <v>889884.75549999985</v>
      </c>
      <c r="ET12" s="213">
        <f t="shared" si="33"/>
        <v>889884.75549999985</v>
      </c>
      <c r="EU12" s="213">
        <f t="shared" si="33"/>
        <v>889884.75549999985</v>
      </c>
      <c r="EV12" s="213">
        <f t="shared" si="33"/>
        <v>889884.75549999985</v>
      </c>
      <c r="EW12" s="213">
        <f t="shared" si="33"/>
        <v>889884.75549999985</v>
      </c>
      <c r="EX12" s="213">
        <f t="shared" si="33"/>
        <v>889884.75549999985</v>
      </c>
      <c r="EY12" s="213">
        <f t="shared" si="33"/>
        <v>889884.75549999985</v>
      </c>
      <c r="EZ12" s="213">
        <f t="shared" si="33"/>
        <v>889884.75549999985</v>
      </c>
      <c r="FA12" s="213">
        <f t="shared" si="33"/>
        <v>889884.75549999985</v>
      </c>
      <c r="FB12" s="213">
        <f t="shared" si="33"/>
        <v>889884.75549999985</v>
      </c>
      <c r="FC12" s="213">
        <f t="shared" si="33"/>
        <v>889884.75549999985</v>
      </c>
      <c r="FD12" s="213">
        <f t="shared" si="33"/>
        <v>889884.75549999985</v>
      </c>
      <c r="FE12" s="213">
        <f t="shared" si="33"/>
        <v>889884.75549999985</v>
      </c>
      <c r="FF12" s="213">
        <f t="shared" si="33"/>
        <v>889884.75549999985</v>
      </c>
      <c r="FG12" s="213">
        <f t="shared" si="33"/>
        <v>889884.75549999985</v>
      </c>
      <c r="FH12" s="213">
        <f t="shared" si="33"/>
        <v>889884.75549999985</v>
      </c>
      <c r="FI12" s="213">
        <f t="shared" si="33"/>
        <v>889884.75549999985</v>
      </c>
      <c r="FJ12" s="213">
        <f t="shared" si="33"/>
        <v>889884.75549999985</v>
      </c>
      <c r="FK12" s="213">
        <f t="shared" si="33"/>
        <v>889884.75549999985</v>
      </c>
      <c r="FL12" s="213">
        <f t="shared" si="33"/>
        <v>889884.75549999985</v>
      </c>
      <c r="FM12" s="213">
        <f t="shared" si="33"/>
        <v>889884.75549999985</v>
      </c>
      <c r="FN12" s="213">
        <f t="shared" si="33"/>
        <v>889884.75549999985</v>
      </c>
      <c r="FO12" s="213">
        <f t="shared" si="33"/>
        <v>889884.75549999985</v>
      </c>
      <c r="FP12" s="213">
        <f t="shared" si="33"/>
        <v>889884.75549999985</v>
      </c>
      <c r="FQ12" s="213">
        <f t="shared" si="33"/>
        <v>889884.75549999985</v>
      </c>
      <c r="FR12" s="213">
        <f t="shared" si="33"/>
        <v>889884.75549999985</v>
      </c>
      <c r="FS12" s="213">
        <f t="shared" si="33"/>
        <v>889884.75549999985</v>
      </c>
      <c r="FT12" s="213">
        <f t="shared" si="33"/>
        <v>889884.75549999985</v>
      </c>
      <c r="FU12" s="213">
        <f t="shared" si="33"/>
        <v>889884.75549999985</v>
      </c>
      <c r="FV12" s="213">
        <f t="shared" si="33"/>
        <v>889884.75549999985</v>
      </c>
      <c r="FW12" s="213">
        <f t="shared" si="33"/>
        <v>889884.75549999985</v>
      </c>
      <c r="FX12" s="213">
        <f t="shared" si="33"/>
        <v>889884.75549999985</v>
      </c>
      <c r="FY12" s="213">
        <f t="shared" si="33"/>
        <v>889884.75549999985</v>
      </c>
      <c r="FZ12" s="213">
        <f t="shared" si="33"/>
        <v>889884.75549999985</v>
      </c>
      <c r="GA12" s="213">
        <f t="shared" si="33"/>
        <v>889884.75549999985</v>
      </c>
      <c r="GB12" s="213">
        <f t="shared" si="33"/>
        <v>889884.75549999985</v>
      </c>
      <c r="GC12" s="213">
        <f t="shared" si="33"/>
        <v>889884.75549999985</v>
      </c>
      <c r="GD12" s="213">
        <f t="shared" si="33"/>
        <v>889884.75549999985</v>
      </c>
      <c r="GE12" s="213">
        <f t="shared" si="33"/>
        <v>889884.75549999985</v>
      </c>
      <c r="GF12" s="213">
        <f t="shared" si="33"/>
        <v>889884.75549999985</v>
      </c>
      <c r="GG12" s="213">
        <f t="shared" si="33"/>
        <v>889884.75549999985</v>
      </c>
      <c r="GH12" s="213">
        <f t="shared" si="33"/>
        <v>889884.75549999985</v>
      </c>
      <c r="GI12" s="213">
        <f t="shared" si="33"/>
        <v>889884.75549999985</v>
      </c>
      <c r="GJ12" s="213">
        <f t="shared" si="33"/>
        <v>889884.75549999985</v>
      </c>
      <c r="GK12" s="213">
        <f t="shared" si="33"/>
        <v>889884.75549999985</v>
      </c>
      <c r="GL12" s="213">
        <f t="shared" si="33"/>
        <v>889884.75549999985</v>
      </c>
      <c r="GM12" s="213">
        <f t="shared" si="33"/>
        <v>889884.75549999985</v>
      </c>
      <c r="GN12" s="213">
        <f t="shared" si="33"/>
        <v>889884.75549999985</v>
      </c>
      <c r="GO12" s="213">
        <f t="shared" si="33"/>
        <v>889884.75549999985</v>
      </c>
      <c r="GP12" s="213">
        <f t="shared" si="33"/>
        <v>889884.75549999985</v>
      </c>
      <c r="GQ12" s="213">
        <f t="shared" si="33"/>
        <v>889884.75549999985</v>
      </c>
      <c r="GR12" s="213">
        <f t="shared" si="33"/>
        <v>889884.75549999985</v>
      </c>
      <c r="GS12" s="213">
        <f t="shared" ref="GS12:JD12" si="34">GR12+GS11</f>
        <v>889884.75549999985</v>
      </c>
      <c r="GT12" s="213">
        <f t="shared" si="34"/>
        <v>889884.75549999985</v>
      </c>
      <c r="GU12" s="213">
        <f t="shared" si="34"/>
        <v>889884.75549999985</v>
      </c>
      <c r="GV12" s="213">
        <f t="shared" si="34"/>
        <v>889884.75549999985</v>
      </c>
      <c r="GW12" s="213">
        <f t="shared" si="34"/>
        <v>889884.75549999985</v>
      </c>
      <c r="GX12" s="213">
        <f t="shared" si="34"/>
        <v>889884.75549999985</v>
      </c>
      <c r="GY12" s="213">
        <f t="shared" si="34"/>
        <v>889884.75549999985</v>
      </c>
      <c r="GZ12" s="213">
        <f t="shared" si="34"/>
        <v>889884.75549999985</v>
      </c>
      <c r="HA12" s="213">
        <f t="shared" si="34"/>
        <v>889884.75549999985</v>
      </c>
      <c r="HB12" s="213">
        <f t="shared" si="34"/>
        <v>889884.75549999985</v>
      </c>
      <c r="HC12" s="213">
        <f t="shared" si="34"/>
        <v>889884.75549999985</v>
      </c>
      <c r="HD12" s="213">
        <f t="shared" si="34"/>
        <v>889884.75549999985</v>
      </c>
      <c r="HE12" s="213">
        <f t="shared" si="34"/>
        <v>889884.75549999985</v>
      </c>
      <c r="HF12" s="213">
        <f t="shared" si="34"/>
        <v>889884.75549999985</v>
      </c>
      <c r="HG12" s="213">
        <f t="shared" si="34"/>
        <v>889884.75549999985</v>
      </c>
      <c r="HH12" s="213">
        <f t="shared" si="34"/>
        <v>889884.75549999985</v>
      </c>
      <c r="HI12" s="213">
        <f t="shared" si="34"/>
        <v>889884.75549999985</v>
      </c>
      <c r="HJ12" s="213">
        <f t="shared" si="34"/>
        <v>889884.75549999985</v>
      </c>
      <c r="HK12" s="213">
        <f t="shared" si="34"/>
        <v>889884.75549999985</v>
      </c>
      <c r="HL12" s="213">
        <f t="shared" si="34"/>
        <v>889884.75549999985</v>
      </c>
      <c r="HM12" s="213">
        <f t="shared" si="34"/>
        <v>889884.75549999985</v>
      </c>
      <c r="HN12" s="213">
        <f t="shared" si="34"/>
        <v>889884.75549999985</v>
      </c>
      <c r="HO12" s="213">
        <f t="shared" si="34"/>
        <v>889884.75549999985</v>
      </c>
      <c r="HP12" s="213">
        <f t="shared" si="34"/>
        <v>889884.75549999985</v>
      </c>
      <c r="HQ12" s="213">
        <f t="shared" si="34"/>
        <v>889884.75549999985</v>
      </c>
      <c r="HR12" s="213">
        <f t="shared" si="34"/>
        <v>889884.75549999985</v>
      </c>
      <c r="HS12" s="213">
        <f t="shared" si="34"/>
        <v>889884.75549999985</v>
      </c>
      <c r="HT12" s="213">
        <f t="shared" si="34"/>
        <v>889884.75549999985</v>
      </c>
      <c r="HU12" s="213">
        <f t="shared" si="34"/>
        <v>889884.75549999985</v>
      </c>
      <c r="HV12" s="213">
        <f t="shared" si="34"/>
        <v>889884.75549999985</v>
      </c>
      <c r="HW12" s="213">
        <f t="shared" si="34"/>
        <v>889884.75549999985</v>
      </c>
      <c r="HX12" s="213">
        <f t="shared" si="34"/>
        <v>889884.75549999985</v>
      </c>
      <c r="HY12" s="213">
        <f t="shared" si="34"/>
        <v>889884.75549999985</v>
      </c>
      <c r="HZ12" s="213">
        <f t="shared" si="34"/>
        <v>889884.75549999985</v>
      </c>
      <c r="IA12" s="213">
        <f t="shared" si="34"/>
        <v>889884.75549999985</v>
      </c>
      <c r="IB12" s="213">
        <f t="shared" si="34"/>
        <v>889884.75549999985</v>
      </c>
      <c r="IC12" s="213">
        <f t="shared" si="34"/>
        <v>889884.75549999985</v>
      </c>
      <c r="ID12" s="213">
        <f t="shared" si="34"/>
        <v>889884.75549999985</v>
      </c>
      <c r="IE12" s="213">
        <f t="shared" si="34"/>
        <v>889884.75549999985</v>
      </c>
      <c r="IF12" s="213">
        <f t="shared" si="34"/>
        <v>889884.75549999985</v>
      </c>
      <c r="IG12" s="213">
        <f t="shared" si="34"/>
        <v>889884.75549999985</v>
      </c>
      <c r="IH12" s="213">
        <f t="shared" si="34"/>
        <v>889884.75549999985</v>
      </c>
      <c r="II12" s="213">
        <f t="shared" si="34"/>
        <v>889884.75549999985</v>
      </c>
      <c r="IJ12" s="213">
        <f t="shared" si="34"/>
        <v>889884.75549999985</v>
      </c>
      <c r="IK12" s="213">
        <f t="shared" si="34"/>
        <v>889884.75549999985</v>
      </c>
      <c r="IL12" s="213">
        <f t="shared" si="34"/>
        <v>889884.75549999985</v>
      </c>
      <c r="IM12" s="213">
        <f t="shared" si="34"/>
        <v>889884.75549999985</v>
      </c>
      <c r="IN12" s="213">
        <f t="shared" si="34"/>
        <v>889884.75549999985</v>
      </c>
      <c r="IO12" s="213">
        <f t="shared" si="34"/>
        <v>889884.75549999985</v>
      </c>
      <c r="IP12" s="213">
        <f t="shared" si="34"/>
        <v>889884.75549999985</v>
      </c>
      <c r="IQ12" s="213">
        <f t="shared" si="34"/>
        <v>889884.75549999985</v>
      </c>
      <c r="IR12" s="213">
        <f t="shared" si="34"/>
        <v>889884.75549999985</v>
      </c>
      <c r="IS12" s="213">
        <f t="shared" si="34"/>
        <v>889884.75549999985</v>
      </c>
      <c r="IT12" s="213">
        <f t="shared" si="34"/>
        <v>889884.75549999985</v>
      </c>
      <c r="IU12" s="213">
        <f t="shared" si="34"/>
        <v>889884.75549999985</v>
      </c>
      <c r="IV12" s="213">
        <f t="shared" si="34"/>
        <v>889884.75549999985</v>
      </c>
      <c r="IW12" s="213">
        <f t="shared" si="34"/>
        <v>889884.75549999985</v>
      </c>
      <c r="IX12" s="213">
        <f t="shared" si="34"/>
        <v>889884.75549999985</v>
      </c>
      <c r="IY12" s="213">
        <f t="shared" si="34"/>
        <v>889884.75549999985</v>
      </c>
      <c r="IZ12" s="213">
        <f t="shared" si="34"/>
        <v>889884.75549999985</v>
      </c>
      <c r="JA12" s="213">
        <f t="shared" si="34"/>
        <v>889884.75549999985</v>
      </c>
      <c r="JB12" s="213">
        <f t="shared" si="34"/>
        <v>889884.75549999985</v>
      </c>
      <c r="JC12" s="213">
        <f t="shared" si="34"/>
        <v>889884.75549999985</v>
      </c>
      <c r="JD12" s="213">
        <f t="shared" si="34"/>
        <v>889884.75549999985</v>
      </c>
      <c r="JE12" s="213">
        <f t="shared" ref="JE12:KF12" si="35">JD12+JE11</f>
        <v>889884.75549999985</v>
      </c>
      <c r="JF12" s="213">
        <f t="shared" si="35"/>
        <v>889884.75549999985</v>
      </c>
      <c r="JG12" s="213">
        <f t="shared" si="35"/>
        <v>889884.75549999985</v>
      </c>
      <c r="JH12" s="213">
        <f t="shared" si="35"/>
        <v>889884.75549999985</v>
      </c>
      <c r="JI12" s="213">
        <f t="shared" si="35"/>
        <v>889884.75549999985</v>
      </c>
      <c r="JJ12" s="213">
        <f t="shared" si="35"/>
        <v>889884.75549999985</v>
      </c>
      <c r="JK12" s="213">
        <f t="shared" si="35"/>
        <v>889884.75549999985</v>
      </c>
      <c r="JL12" s="213">
        <f t="shared" si="35"/>
        <v>889884.75549999985</v>
      </c>
      <c r="JM12" s="213">
        <f t="shared" si="35"/>
        <v>889884.75549999985</v>
      </c>
      <c r="JN12" s="213">
        <f t="shared" si="35"/>
        <v>889884.75549999985</v>
      </c>
      <c r="JO12" s="213">
        <f t="shared" si="35"/>
        <v>889884.75549999985</v>
      </c>
      <c r="JP12" s="213">
        <f t="shared" si="35"/>
        <v>889884.75549999985</v>
      </c>
      <c r="JQ12" s="213">
        <f t="shared" si="35"/>
        <v>889884.75549999985</v>
      </c>
      <c r="JR12" s="213">
        <f t="shared" si="35"/>
        <v>889884.75549999985</v>
      </c>
      <c r="JS12" s="213">
        <f t="shared" si="35"/>
        <v>889884.75549999985</v>
      </c>
      <c r="JT12" s="213">
        <f t="shared" si="35"/>
        <v>889884.75549999985</v>
      </c>
      <c r="JU12" s="213">
        <f t="shared" si="35"/>
        <v>889884.75549999985</v>
      </c>
      <c r="JV12" s="213">
        <f t="shared" si="35"/>
        <v>889884.75549999985</v>
      </c>
      <c r="JW12" s="213">
        <f t="shared" si="35"/>
        <v>889884.75549999985</v>
      </c>
      <c r="JX12" s="213">
        <f t="shared" si="35"/>
        <v>889884.75549999985</v>
      </c>
      <c r="JY12" s="213">
        <f t="shared" si="35"/>
        <v>889884.75549999985</v>
      </c>
      <c r="JZ12" s="213">
        <f t="shared" si="35"/>
        <v>889884.75549999985</v>
      </c>
      <c r="KA12" s="213">
        <f t="shared" si="35"/>
        <v>889884.75549999985</v>
      </c>
      <c r="KB12" s="213">
        <f t="shared" si="35"/>
        <v>889884.75549999985</v>
      </c>
      <c r="KC12" s="213">
        <f t="shared" si="35"/>
        <v>889884.75549999985</v>
      </c>
      <c r="KD12" s="213">
        <f t="shared" si="35"/>
        <v>889884.75549999985</v>
      </c>
      <c r="KE12" s="213">
        <f t="shared" si="35"/>
        <v>889884.75549999985</v>
      </c>
      <c r="KF12" s="213">
        <f t="shared" si="35"/>
        <v>889884.75549999985</v>
      </c>
      <c r="KG12" s="190"/>
      <c r="KH12" s="201"/>
    </row>
    <row r="13" spans="1:770" s="190" customFormat="1">
      <c r="A13" s="858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8"/>
      <c r="B14" s="203" t="s">
        <v>487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434433.10800824792</v>
      </c>
      <c r="AK14" s="206">
        <f t="shared" si="37"/>
        <v>434433.10800824792</v>
      </c>
      <c r="AL14" s="206">
        <f t="shared" si="37"/>
        <v>434433.10800824792</v>
      </c>
      <c r="AM14" s="206">
        <f t="shared" si="37"/>
        <v>418278.98800824792</v>
      </c>
      <c r="AN14" s="206">
        <f t="shared" si="37"/>
        <v>402444.60250824795</v>
      </c>
      <c r="AO14" s="206">
        <f t="shared" si="37"/>
        <v>402444.60250824795</v>
      </c>
      <c r="AP14" s="206">
        <f t="shared" si="37"/>
        <v>402444.60250824795</v>
      </c>
      <c r="AQ14" s="206">
        <f t="shared" si="37"/>
        <v>402444.60250824795</v>
      </c>
      <c r="AR14" s="206">
        <f t="shared" si="37"/>
        <v>402444.60250824795</v>
      </c>
      <c r="AS14" s="206">
        <f t="shared" si="37"/>
        <v>402444.60250824795</v>
      </c>
      <c r="AT14" s="206">
        <f t="shared" si="37"/>
        <v>402444.60250824795</v>
      </c>
      <c r="AU14" s="206">
        <f t="shared" si="37"/>
        <v>402444.60250824795</v>
      </c>
      <c r="AV14" s="206">
        <f t="shared" si="37"/>
        <v>402444.60250824795</v>
      </c>
      <c r="AW14" s="206">
        <f t="shared" si="37"/>
        <v>402444.60250824795</v>
      </c>
      <c r="AX14" s="206">
        <f t="shared" si="37"/>
        <v>402444.60250824795</v>
      </c>
      <c r="AY14" s="206">
        <f t="shared" si="37"/>
        <v>402444.60250824795</v>
      </c>
      <c r="AZ14" s="206">
        <f t="shared" si="37"/>
        <v>402444.60250824795</v>
      </c>
      <c r="BA14" s="206">
        <f t="shared" si="37"/>
        <v>402444.60250824795</v>
      </c>
      <c r="BB14" s="206">
        <f t="shared" si="37"/>
        <v>402444.60250824795</v>
      </c>
      <c r="BC14" s="206">
        <f t="shared" si="37"/>
        <v>402444.60250824795</v>
      </c>
      <c r="BD14" s="206">
        <f t="shared" si="37"/>
        <v>402444.60250824795</v>
      </c>
      <c r="BE14" s="206">
        <f t="shared" si="37"/>
        <v>402444.60250824795</v>
      </c>
      <c r="BF14" s="206">
        <f t="shared" si="37"/>
        <v>402444.60250824795</v>
      </c>
      <c r="BG14" s="206">
        <f t="shared" si="37"/>
        <v>402444.60250824795</v>
      </c>
      <c r="BH14" s="206">
        <f t="shared" si="37"/>
        <v>402444.60250824795</v>
      </c>
      <c r="BI14" s="206">
        <f t="shared" si="37"/>
        <v>402444.60250824795</v>
      </c>
      <c r="BJ14" s="206">
        <f t="shared" si="37"/>
        <v>402444.60250824795</v>
      </c>
      <c r="BK14" s="206">
        <f t="shared" si="37"/>
        <v>402444.60250824795</v>
      </c>
      <c r="BL14" s="206">
        <f t="shared" si="37"/>
        <v>402444.60250824795</v>
      </c>
      <c r="BM14" s="206">
        <f t="shared" si="37"/>
        <v>402444.60250824795</v>
      </c>
      <c r="BN14" s="206">
        <f t="shared" si="37"/>
        <v>402444.60250824795</v>
      </c>
      <c r="BO14" s="206">
        <f t="shared" ref="BO14:BT14" si="38">BO10-BO12</f>
        <v>402444.60250824795</v>
      </c>
      <c r="BP14" s="206">
        <f t="shared" si="38"/>
        <v>402444.60250824795</v>
      </c>
      <c r="BQ14" s="206">
        <f t="shared" si="38"/>
        <v>402444.60250824795</v>
      </c>
      <c r="BR14" s="206">
        <f t="shared" si="38"/>
        <v>402444.60250824795</v>
      </c>
      <c r="BS14" s="206">
        <f t="shared" si="38"/>
        <v>402444.60250824795</v>
      </c>
      <c r="BT14" s="206">
        <f t="shared" si="38"/>
        <v>402444.60250824795</v>
      </c>
      <c r="BU14" s="206">
        <f t="shared" ref="BU14:EF14" si="39">BU10-BU12</f>
        <v>402444.60250824795</v>
      </c>
      <c r="BV14" s="206">
        <f t="shared" si="39"/>
        <v>402444.60250824795</v>
      </c>
      <c r="BW14" s="206">
        <f t="shared" si="39"/>
        <v>402444.60250824795</v>
      </c>
      <c r="BX14" s="206">
        <f t="shared" si="39"/>
        <v>402444.60250824795</v>
      </c>
      <c r="BY14" s="206">
        <f t="shared" si="39"/>
        <v>402444.60250824795</v>
      </c>
      <c r="BZ14" s="206">
        <f t="shared" si="39"/>
        <v>402444.60250824795</v>
      </c>
      <c r="CA14" s="206">
        <f t="shared" si="39"/>
        <v>402444.60250824795</v>
      </c>
      <c r="CB14" s="206">
        <f t="shared" si="39"/>
        <v>402444.60250824795</v>
      </c>
      <c r="CC14" s="206">
        <f t="shared" si="39"/>
        <v>402444.60250824795</v>
      </c>
      <c r="CD14" s="206">
        <f t="shared" si="39"/>
        <v>402444.60250824795</v>
      </c>
      <c r="CE14" s="206">
        <f t="shared" si="39"/>
        <v>402444.60250824795</v>
      </c>
      <c r="CF14" s="206">
        <f t="shared" si="39"/>
        <v>402444.60250824795</v>
      </c>
      <c r="CG14" s="206">
        <f t="shared" si="39"/>
        <v>402444.60250824795</v>
      </c>
      <c r="CH14" s="206">
        <f t="shared" si="39"/>
        <v>402444.60250824795</v>
      </c>
      <c r="CI14" s="206">
        <f t="shared" si="39"/>
        <v>402444.60250824795</v>
      </c>
      <c r="CJ14" s="206">
        <f t="shared" si="39"/>
        <v>402444.60250824795</v>
      </c>
      <c r="CK14" s="206">
        <f t="shared" si="39"/>
        <v>402444.60250824795</v>
      </c>
      <c r="CL14" s="206">
        <f t="shared" si="39"/>
        <v>402444.60250824795</v>
      </c>
      <c r="CM14" s="206">
        <f t="shared" si="39"/>
        <v>402444.60250824795</v>
      </c>
      <c r="CN14" s="206">
        <f t="shared" si="39"/>
        <v>402444.60250824795</v>
      </c>
      <c r="CO14" s="206">
        <f t="shared" si="39"/>
        <v>402444.60250824795</v>
      </c>
      <c r="CP14" s="206">
        <f t="shared" si="39"/>
        <v>402444.60250824795</v>
      </c>
      <c r="CQ14" s="206">
        <f t="shared" si="39"/>
        <v>402444.60250824795</v>
      </c>
      <c r="CR14" s="206">
        <f t="shared" si="39"/>
        <v>402444.60250824795</v>
      </c>
      <c r="CS14" s="206">
        <f t="shared" si="39"/>
        <v>402444.60250824795</v>
      </c>
      <c r="CT14" s="206">
        <f t="shared" si="39"/>
        <v>402444.60250824795</v>
      </c>
      <c r="CU14" s="206">
        <f t="shared" si="39"/>
        <v>402444.60250824795</v>
      </c>
      <c r="CV14" s="206">
        <f t="shared" si="39"/>
        <v>402444.60250824795</v>
      </c>
      <c r="CW14" s="206">
        <f t="shared" si="39"/>
        <v>402444.60250824795</v>
      </c>
      <c r="CX14" s="206">
        <f t="shared" si="39"/>
        <v>402444.60250824795</v>
      </c>
      <c r="CY14" s="206">
        <f t="shared" si="39"/>
        <v>402444.60250824795</v>
      </c>
      <c r="CZ14" s="206">
        <f t="shared" si="39"/>
        <v>402444.60250824795</v>
      </c>
      <c r="DA14" s="206">
        <f t="shared" si="39"/>
        <v>402444.60250824795</v>
      </c>
      <c r="DB14" s="206">
        <f t="shared" si="39"/>
        <v>402444.60250824795</v>
      </c>
      <c r="DC14" s="206">
        <f t="shared" si="39"/>
        <v>402444.60250824795</v>
      </c>
      <c r="DD14" s="206">
        <f t="shared" si="39"/>
        <v>402444.60250824795</v>
      </c>
      <c r="DE14" s="206">
        <f t="shared" si="39"/>
        <v>402444.60250824795</v>
      </c>
      <c r="DF14" s="206">
        <f t="shared" si="39"/>
        <v>402444.60250824795</v>
      </c>
      <c r="DG14" s="206">
        <f t="shared" si="39"/>
        <v>402444.60250824795</v>
      </c>
      <c r="DH14" s="206">
        <f t="shared" si="39"/>
        <v>402444.60250824795</v>
      </c>
      <c r="DI14" s="206">
        <f t="shared" si="39"/>
        <v>402444.60250824795</v>
      </c>
      <c r="DJ14" s="206">
        <f t="shared" si="39"/>
        <v>402444.60250824795</v>
      </c>
      <c r="DK14" s="206">
        <f t="shared" si="39"/>
        <v>402444.60250824795</v>
      </c>
      <c r="DL14" s="206">
        <f t="shared" si="39"/>
        <v>402444.60250824795</v>
      </c>
      <c r="DM14" s="206">
        <f t="shared" si="39"/>
        <v>402444.60250824795</v>
      </c>
      <c r="DN14" s="206">
        <f t="shared" si="39"/>
        <v>402444.60250824795</v>
      </c>
      <c r="DO14" s="206">
        <f t="shared" si="39"/>
        <v>402444.60250824795</v>
      </c>
      <c r="DP14" s="206">
        <f t="shared" si="39"/>
        <v>402444.60250824795</v>
      </c>
      <c r="DQ14" s="206">
        <f t="shared" si="39"/>
        <v>402444.60250824795</v>
      </c>
      <c r="DR14" s="206">
        <f t="shared" si="39"/>
        <v>402444.60250824795</v>
      </c>
      <c r="DS14" s="206">
        <f t="shared" si="39"/>
        <v>402444.60250824795</v>
      </c>
      <c r="DT14" s="206">
        <f t="shared" si="39"/>
        <v>402444.60250824795</v>
      </c>
      <c r="DU14" s="206">
        <f t="shared" si="39"/>
        <v>402444.60250824795</v>
      </c>
      <c r="DV14" s="206">
        <f t="shared" si="39"/>
        <v>402444.60250824795</v>
      </c>
      <c r="DW14" s="206">
        <f t="shared" si="39"/>
        <v>402444.60250824795</v>
      </c>
      <c r="DX14" s="206">
        <f t="shared" si="39"/>
        <v>402444.60250824795</v>
      </c>
      <c r="DY14" s="206">
        <f t="shared" si="39"/>
        <v>402444.60250824795</v>
      </c>
      <c r="DZ14" s="206">
        <f t="shared" si="39"/>
        <v>402444.60250824795</v>
      </c>
      <c r="EA14" s="206">
        <f t="shared" si="39"/>
        <v>402444.60250824795</v>
      </c>
      <c r="EB14" s="206">
        <f t="shared" si="39"/>
        <v>402444.60250824795</v>
      </c>
      <c r="EC14" s="206">
        <f t="shared" si="39"/>
        <v>402444.60250824795</v>
      </c>
      <c r="ED14" s="206">
        <f t="shared" si="39"/>
        <v>402444.60250824795</v>
      </c>
      <c r="EE14" s="206">
        <f t="shared" si="39"/>
        <v>402444.60250824795</v>
      </c>
      <c r="EF14" s="206">
        <f t="shared" si="39"/>
        <v>402444.60250824795</v>
      </c>
      <c r="EG14" s="206">
        <f t="shared" ref="EG14:GR14" si="40">EG10-EG12</f>
        <v>402444.60250824795</v>
      </c>
      <c r="EH14" s="206">
        <f t="shared" si="40"/>
        <v>402444.60250824795</v>
      </c>
      <c r="EI14" s="206">
        <f t="shared" si="40"/>
        <v>402444.60250824795</v>
      </c>
      <c r="EJ14" s="206">
        <f t="shared" si="40"/>
        <v>402444.60250824795</v>
      </c>
      <c r="EK14" s="206">
        <f t="shared" si="40"/>
        <v>402444.60250824795</v>
      </c>
      <c r="EL14" s="206">
        <f t="shared" si="40"/>
        <v>402444.60250824795</v>
      </c>
      <c r="EM14" s="206">
        <f t="shared" si="40"/>
        <v>402444.60250824795</v>
      </c>
      <c r="EN14" s="206">
        <f t="shared" si="40"/>
        <v>402444.60250824795</v>
      </c>
      <c r="EO14" s="206">
        <f t="shared" si="40"/>
        <v>402444.60250824795</v>
      </c>
      <c r="EP14" s="206">
        <f t="shared" si="40"/>
        <v>402444.60250824795</v>
      </c>
      <c r="EQ14" s="206">
        <f t="shared" si="40"/>
        <v>402444.60250824795</v>
      </c>
      <c r="ER14" s="206">
        <f t="shared" si="40"/>
        <v>402444.60250824795</v>
      </c>
      <c r="ES14" s="206">
        <f t="shared" si="40"/>
        <v>402444.60250824795</v>
      </c>
      <c r="ET14" s="206">
        <f t="shared" si="40"/>
        <v>402444.60250824795</v>
      </c>
      <c r="EU14" s="206">
        <f t="shared" si="40"/>
        <v>402444.60250824795</v>
      </c>
      <c r="EV14" s="206">
        <f t="shared" si="40"/>
        <v>402444.60250824795</v>
      </c>
      <c r="EW14" s="206">
        <f t="shared" si="40"/>
        <v>402444.60250824795</v>
      </c>
      <c r="EX14" s="206">
        <f t="shared" si="40"/>
        <v>402444.60250824795</v>
      </c>
      <c r="EY14" s="206">
        <f t="shared" si="40"/>
        <v>402444.60250824795</v>
      </c>
      <c r="EZ14" s="206">
        <f t="shared" si="40"/>
        <v>402444.60250824795</v>
      </c>
      <c r="FA14" s="206">
        <f t="shared" si="40"/>
        <v>402444.60250824795</v>
      </c>
      <c r="FB14" s="206">
        <f t="shared" si="40"/>
        <v>402444.60250824795</v>
      </c>
      <c r="FC14" s="206">
        <f t="shared" si="40"/>
        <v>402444.60250824795</v>
      </c>
      <c r="FD14" s="206">
        <f t="shared" si="40"/>
        <v>402444.60250824795</v>
      </c>
      <c r="FE14" s="206">
        <f t="shared" si="40"/>
        <v>402444.60250824795</v>
      </c>
      <c r="FF14" s="206">
        <f t="shared" si="40"/>
        <v>402444.60250824795</v>
      </c>
      <c r="FG14" s="206">
        <f t="shared" si="40"/>
        <v>402444.60250824795</v>
      </c>
      <c r="FH14" s="206">
        <f t="shared" si="40"/>
        <v>402444.60250824795</v>
      </c>
      <c r="FI14" s="206">
        <f t="shared" si="40"/>
        <v>402444.60250824795</v>
      </c>
      <c r="FJ14" s="206">
        <f t="shared" si="40"/>
        <v>402444.60250824795</v>
      </c>
      <c r="FK14" s="206">
        <f t="shared" si="40"/>
        <v>402444.60250824795</v>
      </c>
      <c r="FL14" s="206">
        <f t="shared" si="40"/>
        <v>402444.60250824795</v>
      </c>
      <c r="FM14" s="206">
        <f t="shared" si="40"/>
        <v>402444.60250824795</v>
      </c>
      <c r="FN14" s="206">
        <f t="shared" si="40"/>
        <v>402444.60250824795</v>
      </c>
      <c r="FO14" s="206">
        <f t="shared" si="40"/>
        <v>402444.60250824795</v>
      </c>
      <c r="FP14" s="206">
        <f t="shared" si="40"/>
        <v>402444.60250824795</v>
      </c>
      <c r="FQ14" s="206">
        <f t="shared" si="40"/>
        <v>402444.60250824795</v>
      </c>
      <c r="FR14" s="206">
        <f t="shared" si="40"/>
        <v>402444.60250824795</v>
      </c>
      <c r="FS14" s="206">
        <f t="shared" si="40"/>
        <v>402444.60250824795</v>
      </c>
      <c r="FT14" s="206">
        <f t="shared" si="40"/>
        <v>402444.60250824795</v>
      </c>
      <c r="FU14" s="206">
        <f t="shared" si="40"/>
        <v>402444.60250824795</v>
      </c>
      <c r="FV14" s="206">
        <f t="shared" si="40"/>
        <v>402444.60250824795</v>
      </c>
      <c r="FW14" s="206">
        <f t="shared" si="40"/>
        <v>402444.60250824795</v>
      </c>
      <c r="FX14" s="206">
        <f t="shared" si="40"/>
        <v>402444.60250824795</v>
      </c>
      <c r="FY14" s="206">
        <f t="shared" si="40"/>
        <v>402444.60250824795</v>
      </c>
      <c r="FZ14" s="206">
        <f t="shared" si="40"/>
        <v>402444.60250824795</v>
      </c>
      <c r="GA14" s="206">
        <f t="shared" si="40"/>
        <v>402444.60250824795</v>
      </c>
      <c r="GB14" s="206">
        <f t="shared" si="40"/>
        <v>402444.60250824795</v>
      </c>
      <c r="GC14" s="206">
        <f t="shared" si="40"/>
        <v>402444.60250824795</v>
      </c>
      <c r="GD14" s="206">
        <f t="shared" si="40"/>
        <v>402444.60250824795</v>
      </c>
      <c r="GE14" s="206">
        <f t="shared" si="40"/>
        <v>402444.60250824795</v>
      </c>
      <c r="GF14" s="206">
        <f t="shared" si="40"/>
        <v>402444.60250824795</v>
      </c>
      <c r="GG14" s="206">
        <f t="shared" si="40"/>
        <v>402444.60250824795</v>
      </c>
      <c r="GH14" s="206">
        <f t="shared" si="40"/>
        <v>402444.60250824795</v>
      </c>
      <c r="GI14" s="206">
        <f t="shared" si="40"/>
        <v>402444.60250824795</v>
      </c>
      <c r="GJ14" s="206">
        <f t="shared" si="40"/>
        <v>402444.60250824795</v>
      </c>
      <c r="GK14" s="206">
        <f t="shared" si="40"/>
        <v>402444.60250824795</v>
      </c>
      <c r="GL14" s="206">
        <f t="shared" si="40"/>
        <v>402444.60250824795</v>
      </c>
      <c r="GM14" s="206">
        <f t="shared" si="40"/>
        <v>402444.60250824795</v>
      </c>
      <c r="GN14" s="206">
        <f t="shared" si="40"/>
        <v>402444.60250824795</v>
      </c>
      <c r="GO14" s="206">
        <f t="shared" si="40"/>
        <v>402444.60250824795</v>
      </c>
      <c r="GP14" s="206">
        <f t="shared" si="40"/>
        <v>402444.60250824795</v>
      </c>
      <c r="GQ14" s="206">
        <f t="shared" si="40"/>
        <v>402444.60250824795</v>
      </c>
      <c r="GR14" s="206">
        <f t="shared" si="40"/>
        <v>402444.60250824795</v>
      </c>
      <c r="GS14" s="206">
        <f t="shared" ref="GS14:JD14" si="41">GS10-GS12</f>
        <v>402444.60250824795</v>
      </c>
      <c r="GT14" s="206">
        <f t="shared" si="41"/>
        <v>402444.60250824795</v>
      </c>
      <c r="GU14" s="206">
        <f t="shared" si="41"/>
        <v>402444.60250824795</v>
      </c>
      <c r="GV14" s="206">
        <f t="shared" si="41"/>
        <v>402444.60250824795</v>
      </c>
      <c r="GW14" s="206">
        <f t="shared" si="41"/>
        <v>402444.60250824795</v>
      </c>
      <c r="GX14" s="206">
        <f t="shared" si="41"/>
        <v>402444.60250824795</v>
      </c>
      <c r="GY14" s="206">
        <f t="shared" si="41"/>
        <v>402444.60250824795</v>
      </c>
      <c r="GZ14" s="206">
        <f t="shared" si="41"/>
        <v>402444.60250824795</v>
      </c>
      <c r="HA14" s="206">
        <f t="shared" si="41"/>
        <v>402444.60250824795</v>
      </c>
      <c r="HB14" s="206">
        <f t="shared" si="41"/>
        <v>402444.60250824795</v>
      </c>
      <c r="HC14" s="206">
        <f t="shared" si="41"/>
        <v>402444.60250824795</v>
      </c>
      <c r="HD14" s="206">
        <f t="shared" si="41"/>
        <v>402444.60250824795</v>
      </c>
      <c r="HE14" s="206">
        <f t="shared" si="41"/>
        <v>402444.60250824795</v>
      </c>
      <c r="HF14" s="206">
        <f t="shared" si="41"/>
        <v>402444.60250824795</v>
      </c>
      <c r="HG14" s="206">
        <f t="shared" si="41"/>
        <v>402444.60250824795</v>
      </c>
      <c r="HH14" s="206">
        <f t="shared" si="41"/>
        <v>402444.60250824795</v>
      </c>
      <c r="HI14" s="206">
        <f t="shared" si="41"/>
        <v>402444.60250824795</v>
      </c>
      <c r="HJ14" s="206">
        <f t="shared" si="41"/>
        <v>402444.60250824795</v>
      </c>
      <c r="HK14" s="206">
        <f t="shared" si="41"/>
        <v>402444.60250824795</v>
      </c>
      <c r="HL14" s="206">
        <f t="shared" si="41"/>
        <v>402444.60250824795</v>
      </c>
      <c r="HM14" s="206">
        <f t="shared" si="41"/>
        <v>402444.60250824795</v>
      </c>
      <c r="HN14" s="206">
        <f t="shared" si="41"/>
        <v>402444.60250824795</v>
      </c>
      <c r="HO14" s="206">
        <f t="shared" si="41"/>
        <v>402444.60250824795</v>
      </c>
      <c r="HP14" s="206">
        <f t="shared" si="41"/>
        <v>402444.60250824795</v>
      </c>
      <c r="HQ14" s="206">
        <f t="shared" si="41"/>
        <v>402444.60250824795</v>
      </c>
      <c r="HR14" s="206">
        <f t="shared" si="41"/>
        <v>402444.60250824795</v>
      </c>
      <c r="HS14" s="206">
        <f t="shared" si="41"/>
        <v>402444.60250824795</v>
      </c>
      <c r="HT14" s="206">
        <f t="shared" si="41"/>
        <v>402444.60250824795</v>
      </c>
      <c r="HU14" s="206">
        <f t="shared" si="41"/>
        <v>402444.60250824795</v>
      </c>
      <c r="HV14" s="206">
        <f t="shared" si="41"/>
        <v>402444.60250824795</v>
      </c>
      <c r="HW14" s="206">
        <f t="shared" si="41"/>
        <v>402444.60250824795</v>
      </c>
      <c r="HX14" s="206">
        <f t="shared" si="41"/>
        <v>402444.60250824795</v>
      </c>
      <c r="HY14" s="206">
        <f t="shared" si="41"/>
        <v>402444.60250824795</v>
      </c>
      <c r="HZ14" s="206">
        <f t="shared" si="41"/>
        <v>402444.60250824795</v>
      </c>
      <c r="IA14" s="206">
        <f t="shared" si="41"/>
        <v>402444.60250824795</v>
      </c>
      <c r="IB14" s="206">
        <f t="shared" si="41"/>
        <v>402444.60250824795</v>
      </c>
      <c r="IC14" s="206">
        <f t="shared" si="41"/>
        <v>402444.60250824795</v>
      </c>
      <c r="ID14" s="206">
        <f t="shared" si="41"/>
        <v>402444.60250824795</v>
      </c>
      <c r="IE14" s="206">
        <f t="shared" si="41"/>
        <v>402444.60250824795</v>
      </c>
      <c r="IF14" s="206">
        <f t="shared" si="41"/>
        <v>402444.60250824795</v>
      </c>
      <c r="IG14" s="206">
        <f t="shared" si="41"/>
        <v>402444.60250824795</v>
      </c>
      <c r="IH14" s="206">
        <f t="shared" si="41"/>
        <v>402444.60250824795</v>
      </c>
      <c r="II14" s="206">
        <f t="shared" si="41"/>
        <v>402444.60250824795</v>
      </c>
      <c r="IJ14" s="206">
        <f t="shared" si="41"/>
        <v>402444.60250824795</v>
      </c>
      <c r="IK14" s="206">
        <f t="shared" si="41"/>
        <v>402444.60250824795</v>
      </c>
      <c r="IL14" s="206">
        <f t="shared" si="41"/>
        <v>402444.60250824795</v>
      </c>
      <c r="IM14" s="206">
        <f t="shared" si="41"/>
        <v>402444.60250824795</v>
      </c>
      <c r="IN14" s="206">
        <f t="shared" si="41"/>
        <v>402444.60250824795</v>
      </c>
      <c r="IO14" s="206">
        <f t="shared" si="41"/>
        <v>402444.60250824795</v>
      </c>
      <c r="IP14" s="206">
        <f t="shared" si="41"/>
        <v>402444.60250824795</v>
      </c>
      <c r="IQ14" s="206">
        <f t="shared" si="41"/>
        <v>402444.60250824795</v>
      </c>
      <c r="IR14" s="206">
        <f t="shared" si="41"/>
        <v>402444.60250824795</v>
      </c>
      <c r="IS14" s="206">
        <f t="shared" si="41"/>
        <v>402444.60250824795</v>
      </c>
      <c r="IT14" s="206">
        <f t="shared" si="41"/>
        <v>402444.60250824795</v>
      </c>
      <c r="IU14" s="206">
        <f t="shared" si="41"/>
        <v>402444.60250824795</v>
      </c>
      <c r="IV14" s="206">
        <f t="shared" si="41"/>
        <v>402444.60250824795</v>
      </c>
      <c r="IW14" s="206">
        <f t="shared" si="41"/>
        <v>402444.60250824795</v>
      </c>
      <c r="IX14" s="206">
        <f t="shared" si="41"/>
        <v>402444.60250824795</v>
      </c>
      <c r="IY14" s="206">
        <f t="shared" si="41"/>
        <v>402444.60250824795</v>
      </c>
      <c r="IZ14" s="206">
        <f t="shared" si="41"/>
        <v>402444.60250824795</v>
      </c>
      <c r="JA14" s="206">
        <f t="shared" si="41"/>
        <v>402444.60250824795</v>
      </c>
      <c r="JB14" s="206">
        <f t="shared" si="41"/>
        <v>402444.60250824795</v>
      </c>
      <c r="JC14" s="206">
        <f t="shared" si="41"/>
        <v>402444.60250824795</v>
      </c>
      <c r="JD14" s="206">
        <f t="shared" si="41"/>
        <v>402444.60250824795</v>
      </c>
      <c r="JE14" s="206">
        <f t="shared" ref="JE14:KF14" si="42">JE10-JE12</f>
        <v>402444.60250824795</v>
      </c>
      <c r="JF14" s="206">
        <f t="shared" si="42"/>
        <v>402444.60250824795</v>
      </c>
      <c r="JG14" s="206">
        <f t="shared" si="42"/>
        <v>402444.60250824795</v>
      </c>
      <c r="JH14" s="206">
        <f t="shared" si="42"/>
        <v>402444.60250824795</v>
      </c>
      <c r="JI14" s="206">
        <f t="shared" si="42"/>
        <v>402444.60250824795</v>
      </c>
      <c r="JJ14" s="206">
        <f t="shared" si="42"/>
        <v>402444.60250824795</v>
      </c>
      <c r="JK14" s="206">
        <f t="shared" si="42"/>
        <v>402444.60250824795</v>
      </c>
      <c r="JL14" s="206">
        <f t="shared" si="42"/>
        <v>402444.60250824795</v>
      </c>
      <c r="JM14" s="206">
        <f t="shared" si="42"/>
        <v>402444.60250824795</v>
      </c>
      <c r="JN14" s="206">
        <f t="shared" si="42"/>
        <v>402444.60250824795</v>
      </c>
      <c r="JO14" s="206">
        <f t="shared" si="42"/>
        <v>402444.60250824795</v>
      </c>
      <c r="JP14" s="206">
        <f t="shared" si="42"/>
        <v>402444.60250824795</v>
      </c>
      <c r="JQ14" s="206">
        <f t="shared" si="42"/>
        <v>402444.60250824795</v>
      </c>
      <c r="JR14" s="206">
        <f t="shared" si="42"/>
        <v>402444.60250824795</v>
      </c>
      <c r="JS14" s="206">
        <f t="shared" si="42"/>
        <v>402444.60250824795</v>
      </c>
      <c r="JT14" s="206">
        <f t="shared" si="42"/>
        <v>402444.60250824795</v>
      </c>
      <c r="JU14" s="206">
        <f t="shared" si="42"/>
        <v>402444.60250824795</v>
      </c>
      <c r="JV14" s="206">
        <f t="shared" si="42"/>
        <v>402444.60250824795</v>
      </c>
      <c r="JW14" s="206">
        <f t="shared" si="42"/>
        <v>402444.60250824795</v>
      </c>
      <c r="JX14" s="206">
        <f t="shared" si="42"/>
        <v>402444.60250824795</v>
      </c>
      <c r="JY14" s="206">
        <f t="shared" si="42"/>
        <v>402444.60250824795</v>
      </c>
      <c r="JZ14" s="206">
        <f t="shared" si="42"/>
        <v>402444.60250824795</v>
      </c>
      <c r="KA14" s="206">
        <f t="shared" si="42"/>
        <v>402444.60250824795</v>
      </c>
      <c r="KB14" s="206">
        <f t="shared" si="42"/>
        <v>402444.60250824795</v>
      </c>
      <c r="KC14" s="206">
        <f t="shared" si="42"/>
        <v>402444.60250824795</v>
      </c>
      <c r="KD14" s="206">
        <f t="shared" si="42"/>
        <v>402444.60250824795</v>
      </c>
      <c r="KE14" s="206">
        <f t="shared" si="42"/>
        <v>402444.60250824795</v>
      </c>
      <c r="KF14" s="206">
        <f t="shared" si="42"/>
        <v>402444.60250824795</v>
      </c>
    </row>
    <row r="15" spans="1:770" s="190" customFormat="1"/>
    <row r="16" spans="1:770" s="190" customFormat="1">
      <c r="C16" s="192" t="s">
        <v>321</v>
      </c>
      <c r="D16" s="192" t="s">
        <v>321</v>
      </c>
    </row>
    <row r="17" spans="1:292">
      <c r="A17" s="859"/>
      <c r="B17" s="194" t="s">
        <v>488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9"/>
      <c r="B18" s="194" t="s">
        <v>489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" defaultRowHeight="14.5"/>
  <cols>
    <col min="1" max="1" width="39.453125" style="357" bestFit="1" customWidth="1"/>
    <col min="2" max="2" width="17.26953125" style="358" bestFit="1" customWidth="1"/>
    <col min="3" max="4" width="13.26953125" style="357" bestFit="1" customWidth="1"/>
    <col min="5" max="5" width="12.7265625" style="357" bestFit="1" customWidth="1"/>
    <col min="6" max="6" width="4.81640625" style="357" bestFit="1" customWidth="1"/>
    <col min="7" max="7" width="12" style="357" bestFit="1" customWidth="1"/>
    <col min="8" max="8" width="14.81640625" style="357" bestFit="1" customWidth="1"/>
    <col min="9" max="10" width="14.7265625" style="357" bestFit="1" customWidth="1"/>
    <col min="11" max="11" width="11" style="357" bestFit="1" customWidth="1"/>
    <col min="12" max="12" width="6.453125" style="357" bestFit="1" customWidth="1"/>
    <col min="13" max="13" width="14.453125" style="357" bestFit="1" customWidth="1"/>
    <col min="14" max="14" width="13.54296875" style="357" bestFit="1" customWidth="1"/>
    <col min="15" max="18" width="11.453125" style="357" bestFit="1" customWidth="1"/>
    <col min="19" max="19" width="13.5429687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490</v>
      </c>
      <c r="B3" s="640" t="s">
        <v>491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493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325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338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348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359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387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404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410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419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424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430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441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450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>
        <v>0</v>
      </c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454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438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408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494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26953125" defaultRowHeight="14.5"/>
  <cols>
    <col min="1" max="1" width="21.7265625" bestFit="1" customWidth="1"/>
    <col min="2" max="2" width="17.26953125" style="398" bestFit="1" customWidth="1"/>
    <col min="3" max="4" width="13.26953125" style="398" bestFit="1" customWidth="1"/>
    <col min="5" max="5" width="12" style="398" bestFit="1" customWidth="1"/>
    <col min="6" max="6" width="11.453125" style="398" bestFit="1" customWidth="1"/>
    <col min="7" max="7" width="12" style="398" bestFit="1" customWidth="1"/>
    <col min="8" max="8" width="13.26953125" style="398" bestFit="1" customWidth="1"/>
    <col min="9" max="9" width="14.7265625" style="398" bestFit="1" customWidth="1"/>
    <col min="10" max="10" width="12" bestFit="1" customWidth="1"/>
    <col min="11" max="11" width="11" bestFit="1" customWidth="1"/>
    <col min="12" max="12" width="10.269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9">
      <c r="A3" s="640" t="s">
        <v>495</v>
      </c>
      <c r="B3" s="640" t="s">
        <v>491</v>
      </c>
      <c r="C3"/>
      <c r="D3"/>
      <c r="E3"/>
      <c r="F3"/>
      <c r="G3"/>
      <c r="H3"/>
      <c r="I3"/>
    </row>
    <row r="4" spans="1:9">
      <c r="A4" s="640" t="s">
        <v>492</v>
      </c>
      <c r="B4" t="s">
        <v>493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494</v>
      </c>
      <c r="I4"/>
    </row>
    <row r="5" spans="1:9">
      <c r="A5" s="435" t="s">
        <v>493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325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338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348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359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387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404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410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419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424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430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441</v>
      </c>
      <c r="B16" s="437">
        <v>0</v>
      </c>
      <c r="C16" s="437"/>
      <c r="D16" s="437"/>
      <c r="E16" s="437"/>
      <c r="F16" s="437"/>
      <c r="G16" s="437">
        <v>16154.12</v>
      </c>
      <c r="H16" s="437">
        <v>16154.12</v>
      </c>
      <c r="I16"/>
    </row>
    <row r="17" spans="1:9">
      <c r="A17" s="435" t="s">
        <v>450</v>
      </c>
      <c r="B17" s="437"/>
      <c r="C17" s="437"/>
      <c r="D17" s="437">
        <v>863.34</v>
      </c>
      <c r="E17" s="437">
        <v>1023.4</v>
      </c>
      <c r="F17" s="437"/>
      <c r="G17" s="437">
        <v>136.44999999999999</v>
      </c>
      <c r="H17" s="437">
        <v>2023.19</v>
      </c>
      <c r="I17"/>
    </row>
    <row r="18" spans="1:9">
      <c r="A18" s="435" t="s">
        <v>454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438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408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494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16290.570000000002</v>
      </c>
      <c r="H21" s="437">
        <v>889884.75549999997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6953125" defaultRowHeight="14.5"/>
  <cols>
    <col min="4" max="4" width="9" customWidth="1"/>
  </cols>
  <sheetData>
    <row r="1" spans="1:4">
      <c r="A1" s="110" t="s">
        <v>496</v>
      </c>
    </row>
    <row r="2" spans="1:4">
      <c r="A2" s="861"/>
      <c r="B2" s="861"/>
      <c r="C2" s="861"/>
      <c r="D2" s="71"/>
    </row>
    <row r="3" spans="1:4">
      <c r="A3" s="860" t="s">
        <v>497</v>
      </c>
      <c r="B3" s="860"/>
      <c r="C3" s="860"/>
      <c r="D3" s="111">
        <v>0.32</v>
      </c>
    </row>
    <row r="4" spans="1:4">
      <c r="A4" s="860" t="s">
        <v>465</v>
      </c>
      <c r="B4" s="860"/>
      <c r="C4" s="860"/>
      <c r="D4" s="111">
        <v>0.5</v>
      </c>
    </row>
    <row r="5" spans="1:4">
      <c r="A5" s="860" t="s">
        <v>476</v>
      </c>
      <c r="B5" s="860"/>
      <c r="C5" s="860"/>
      <c r="D5" s="111">
        <v>0.15</v>
      </c>
    </row>
    <row r="6" spans="1:4">
      <c r="A6" s="860" t="s">
        <v>498</v>
      </c>
      <c r="B6" s="860"/>
      <c r="C6" s="860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269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269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2.54296875" style="88" customWidth="1"/>
    <col min="14" max="14" width="45.26953125" style="88" customWidth="1"/>
    <col min="15" max="16384" width="9.453125" style="88"/>
  </cols>
  <sheetData>
    <row r="2" spans="2:14" s="94" customFormat="1" ht="18">
      <c r="B2" s="862" t="s">
        <v>499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</row>
    <row r="4" spans="2:14" ht="13">
      <c r="B4" s="92" t="s">
        <v>97</v>
      </c>
      <c r="C4" s="86"/>
      <c r="D4" s="90" t="s">
        <v>500</v>
      </c>
      <c r="E4" s="95"/>
      <c r="F4" s="90" t="s">
        <v>501</v>
      </c>
      <c r="H4" s="90" t="s">
        <v>502</v>
      </c>
      <c r="I4" s="95"/>
      <c r="J4" s="90" t="s">
        <v>503</v>
      </c>
      <c r="L4" s="90" t="s">
        <v>502</v>
      </c>
      <c r="M4" s="90"/>
      <c r="N4" s="90" t="s">
        <v>504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505</v>
      </c>
      <c r="H7" s="99"/>
      <c r="I7" s="95"/>
      <c r="J7" s="107" t="s">
        <v>505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506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507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508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505</v>
      </c>
      <c r="H15" s="99"/>
      <c r="I15" s="95"/>
      <c r="J15" s="107" t="s">
        <v>505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505</v>
      </c>
      <c r="H21" s="99"/>
      <c r="I21" s="95"/>
      <c r="J21" s="107" t="s">
        <v>505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509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508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505</v>
      </c>
      <c r="H27" s="99"/>
      <c r="I27" s="95"/>
      <c r="J27" s="107" t="s">
        <v>505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510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505</v>
      </c>
      <c r="H34" s="99"/>
      <c r="I34" s="95"/>
      <c r="J34" s="107" t="s">
        <v>505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511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517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269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62" t="s">
        <v>519</v>
      </c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</row>
    <row r="4" spans="2:15" ht="13">
      <c r="B4" s="92" t="s">
        <v>97</v>
      </c>
      <c r="C4" s="86"/>
      <c r="D4" s="90" t="s">
        <v>500</v>
      </c>
      <c r="E4" s="95"/>
      <c r="F4" s="95"/>
      <c r="G4" s="90" t="s">
        <v>356</v>
      </c>
      <c r="H4" s="96"/>
      <c r="J4" s="90" t="s">
        <v>502</v>
      </c>
      <c r="L4" s="90" t="s">
        <v>520</v>
      </c>
      <c r="M4" s="96"/>
      <c r="O4" s="90" t="s">
        <v>502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336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 ht="13">
      <c r="B7" s="86" t="s">
        <v>339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 ht="13">
      <c r="B8" s="86" t="s">
        <v>340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 ht="13">
      <c r="B9" s="86" t="s">
        <v>341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517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500</v>
      </c>
      <c r="E18" s="95"/>
      <c r="F18" s="95"/>
      <c r="G18" s="90" t="s">
        <v>522</v>
      </c>
      <c r="H18" s="96"/>
      <c r="J18" s="90" t="s">
        <v>502</v>
      </c>
      <c r="L18" s="90" t="s">
        <v>523</v>
      </c>
      <c r="M18" s="96"/>
      <c r="O18" s="90" t="s">
        <v>502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524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 ht="13">
      <c r="B21" s="86" t="s">
        <v>525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 ht="13">
      <c r="B22" s="86" t="s">
        <v>526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 ht="13">
      <c r="B23" s="86" t="s">
        <v>527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517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529</v>
      </c>
      <c r="C32" s="103"/>
      <c r="D32" s="103"/>
    </row>
    <row r="33" spans="2:4" ht="13" thickTop="1"/>
    <row r="34" spans="2:4">
      <c r="B34" s="88" t="s">
        <v>500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530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26953125" bestFit="1" customWidth="1"/>
    <col min="3" max="3" width="45.26953125" customWidth="1"/>
    <col min="4" max="4" width="34.453125" customWidth="1"/>
    <col min="5" max="5" width="15.26953125" customWidth="1"/>
    <col min="6" max="6" width="12" bestFit="1" customWidth="1"/>
    <col min="7" max="7" width="9.453125" bestFit="1" customWidth="1"/>
    <col min="8" max="8" width="12" bestFit="1" customWidth="1"/>
    <col min="9" max="9" width="10.26953125" customWidth="1"/>
    <col min="10" max="10" width="19.54296875" bestFit="1" customWidth="1"/>
  </cols>
  <sheetData>
    <row r="1" spans="2:14">
      <c r="B1" s="864" t="e">
        <f>D15</f>
        <v>#REF!</v>
      </c>
      <c r="C1" s="864"/>
      <c r="D1" s="864"/>
      <c r="E1" s="863" t="s">
        <v>531</v>
      </c>
      <c r="F1" s="863"/>
      <c r="G1" s="863"/>
      <c r="H1" s="863"/>
      <c r="I1" s="863"/>
      <c r="J1" s="863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532</v>
      </c>
      <c r="D3" s="72" t="s">
        <v>533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3849DCEF-1BB9-4CB1-B9EF-94205A849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