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44" documentId="13_ncr:1_{B3D11D9D-ACDC-4ADD-A33B-74D9022BB6CF}" xr6:coauthVersionLast="47" xr6:coauthVersionMax="47" xr10:uidLastSave="{522C535D-DBEB-46E6-ACD7-B86CCEC53073}"/>
  <bookViews>
    <workbookView xWindow="-108" yWindow="-108" windowWidth="23256" windowHeight="12456" tabRatio="661" firstSheet="10" activeTab="10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90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8" i="18" l="1"/>
  <c r="H6" i="5"/>
  <c r="G6" i="5"/>
  <c r="X4" i="5" l="1"/>
  <c r="V4" i="5"/>
  <c r="W97" i="18" l="1"/>
  <c r="N37" i="2"/>
  <c r="Q9" i="18"/>
  <c r="W64" i="18" l="1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 s="1"/>
  <c r="O59" i="18"/>
  <c r="Q61" i="18" s="1"/>
  <c r="O32" i="18"/>
  <c r="Q34" i="18" s="1"/>
  <c r="W123" i="18"/>
  <c r="T116" i="18"/>
  <c r="T117" i="18"/>
  <c r="T118" i="18"/>
  <c r="T119" i="18"/>
  <c r="T124" i="18"/>
  <c r="T125" i="18"/>
  <c r="T127" i="18"/>
  <c r="T128" i="18"/>
  <c r="T135" i="18"/>
  <c r="T142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 s="1"/>
  <c r="H10" i="3" s="1"/>
  <c r="O6" i="18"/>
  <c r="H129" i="18"/>
  <c r="G129" i="18"/>
  <c r="I129" i="18" s="1"/>
  <c r="F21" i="3" s="1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 s="1"/>
  <c r="K1" i="6"/>
  <c r="L1" i="6"/>
  <c r="M1" i="6"/>
  <c r="N1" i="6"/>
  <c r="O1" i="6"/>
  <c r="P1" i="6"/>
  <c r="AN13" i="5"/>
  <c r="Q1" i="6"/>
  <c r="E16" i="2"/>
  <c r="G16" i="2"/>
  <c r="R1" i="6"/>
  <c r="G107" i="18"/>
  <c r="Z18" i="18" s="1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 s="1"/>
  <c r="J71" i="18"/>
  <c r="V71" i="18" s="1"/>
  <c r="J80" i="18"/>
  <c r="V80" i="18" s="1"/>
  <c r="T1" i="6"/>
  <c r="E36" i="2"/>
  <c r="H14" i="5"/>
  <c r="BP3" i="6" s="1"/>
  <c r="U1" i="6"/>
  <c r="G19" i="2"/>
  <c r="T93" i="18"/>
  <c r="T33" i="18" s="1"/>
  <c r="E30" i="2"/>
  <c r="H21" i="18"/>
  <c r="X80" i="18"/>
  <c r="H16" i="3" s="1"/>
  <c r="H92" i="18"/>
  <c r="E28" i="18"/>
  <c r="I126" i="18"/>
  <c r="F20" i="3" s="1"/>
  <c r="J149" i="18"/>
  <c r="G136" i="18"/>
  <c r="I136" i="18" s="1"/>
  <c r="F22" i="3" s="1"/>
  <c r="G106" i="18"/>
  <c r="G105" i="18"/>
  <c r="Z17" i="18" s="1"/>
  <c r="G104" i="18"/>
  <c r="Z16" i="18" s="1"/>
  <c r="G92" i="18"/>
  <c r="Z15" i="18" s="1"/>
  <c r="G91" i="18"/>
  <c r="G53" i="18"/>
  <c r="G44" i="18"/>
  <c r="I44" i="18" s="1"/>
  <c r="F13" i="3" s="1"/>
  <c r="G29" i="18"/>
  <c r="I28" i="18" s="1"/>
  <c r="F12" i="3" s="1"/>
  <c r="G21" i="18"/>
  <c r="I21" i="18" s="1"/>
  <c r="F11" i="3" s="1"/>
  <c r="G13" i="18"/>
  <c r="I13" i="18" s="1"/>
  <c r="F10" i="3" s="1"/>
  <c r="G6" i="18"/>
  <c r="I6" i="18" s="1"/>
  <c r="Q129" i="18"/>
  <c r="X129" i="18" s="1"/>
  <c r="J136" i="18"/>
  <c r="J129" i="18"/>
  <c r="J120" i="18"/>
  <c r="J91" i="18"/>
  <c r="J53" i="18"/>
  <c r="J44" i="18"/>
  <c r="J28" i="18"/>
  <c r="J21" i="18"/>
  <c r="V21" i="18" s="1"/>
  <c r="J13" i="18"/>
  <c r="V13" i="18" s="1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H20" i="3" s="1"/>
  <c r="X71" i="18"/>
  <c r="H15" i="3" s="1"/>
  <c r="I71" i="18"/>
  <c r="F15" i="3" s="1"/>
  <c r="I80" i="18"/>
  <c r="F16" i="3" s="1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 s="1"/>
  <c r="E15" i="2"/>
  <c r="G15" i="2"/>
  <c r="E18" i="2"/>
  <c r="Z38" i="18"/>
  <c r="Z39" i="18" s="1"/>
  <c r="V1" i="6"/>
  <c r="X21" i="18"/>
  <c r="H11" i="3" s="1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N35" i="2" s="1"/>
  <c r="H122" i="18"/>
  <c r="W60" i="18"/>
  <c r="W33" i="18"/>
  <c r="W109" i="18"/>
  <c r="Q65" i="18"/>
  <c r="Q59" i="18"/>
  <c r="Q63" i="18"/>
  <c r="W129" i="18"/>
  <c r="W108" i="18"/>
  <c r="W32" i="18"/>
  <c r="N30" i="2"/>
  <c r="E11" i="2"/>
  <c r="K32" i="2"/>
  <c r="N32" i="2"/>
  <c r="F11" i="2"/>
  <c r="K31" i="2"/>
  <c r="H15" i="5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W120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 s="1"/>
  <c r="F39" i="2"/>
  <c r="AHY3" i="6"/>
  <c r="ANX3" i="6"/>
  <c r="AWS3" i="6"/>
  <c r="ZS3" i="6"/>
  <c r="EI3" i="6"/>
  <c r="XW3" i="6"/>
  <c r="AEB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 s="1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 s="1"/>
  <c r="K44" i="2"/>
  <c r="I48" i="2" s="1"/>
  <c r="K41" i="2"/>
  <c r="I39" i="2"/>
  <c r="T18" i="2" s="1"/>
  <c r="W65" i="18"/>
  <c r="W114" i="18"/>
  <c r="W38" i="18"/>
  <c r="W112" i="18"/>
  <c r="W63" i="18"/>
  <c r="W37" i="18"/>
  <c r="T36" i="18"/>
  <c r="T63" i="18"/>
  <c r="T112" i="18"/>
  <c r="M9" i="2" l="1"/>
  <c r="JP3" i="6"/>
  <c r="SD3" i="6"/>
  <c r="ST3" i="6"/>
  <c r="OV3" i="6"/>
  <c r="AXU3" i="6"/>
  <c r="MG3" i="6"/>
  <c r="AYX3" i="6"/>
  <c r="H3" i="6"/>
  <c r="I104" i="18"/>
  <c r="F18" i="3" s="1"/>
  <c r="Q64" i="18"/>
  <c r="U141" i="18"/>
  <c r="U140" i="18"/>
  <c r="Q38" i="18"/>
  <c r="Q60" i="18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X6" i="18" s="1"/>
  <c r="H9" i="3" s="1"/>
  <c r="J20" i="3"/>
  <c r="I91" i="18"/>
  <c r="F17" i="3" s="1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 s="1"/>
  <c r="U121" i="18"/>
  <c r="W4" i="5" s="1"/>
  <c r="U120" i="18"/>
  <c r="U4" i="5" s="1"/>
  <c r="U122" i="18"/>
  <c r="U143" i="18"/>
  <c r="J15" i="3"/>
  <c r="U124" i="18"/>
  <c r="T109" i="18"/>
  <c r="T60" i="18"/>
  <c r="J11" i="3"/>
  <c r="U147" i="18"/>
  <c r="U50" i="18"/>
  <c r="Q99" i="18"/>
  <c r="W110" i="18"/>
  <c r="W34" i="18"/>
  <c r="U132" i="18"/>
  <c r="U133" i="18"/>
  <c r="H21" i="3"/>
  <c r="J21" i="3" s="1"/>
  <c r="U130" i="18"/>
  <c r="U131" i="18"/>
  <c r="U134" i="18"/>
  <c r="J10" i="3"/>
  <c r="F9" i="3"/>
  <c r="J13" i="3"/>
  <c r="U142" i="18"/>
  <c r="U145" i="18"/>
  <c r="H22" i="3"/>
  <c r="J22" i="3" s="1"/>
  <c r="U146" i="18"/>
  <c r="U144" i="18"/>
  <c r="H28" i="18"/>
  <c r="J2" i="18"/>
  <c r="J4" i="18" s="1"/>
  <c r="H44" i="18"/>
  <c r="W44" i="18" s="1"/>
  <c r="U129" i="18"/>
  <c r="Q98" i="18"/>
  <c r="Z13" i="18"/>
  <c r="Q97" i="18"/>
  <c r="N28" i="2"/>
  <c r="K47" i="2"/>
  <c r="N47" i="2" s="1"/>
  <c r="N44" i="2"/>
  <c r="N43" i="2" s="1"/>
  <c r="J16" i="3"/>
  <c r="K43" i="2"/>
  <c r="V19" i="2" s="1"/>
  <c r="J43" i="2"/>
  <c r="U19" i="2" s="1"/>
  <c r="K48" i="2"/>
  <c r="N48" i="2" s="1"/>
  <c r="K39" i="2"/>
  <c r="J9" i="2"/>
  <c r="N41" i="2"/>
  <c r="N39" i="2" s="1"/>
  <c r="K2" i="2"/>
  <c r="K3" i="2" s="1"/>
  <c r="K4" i="2" s="1"/>
  <c r="N21" i="2"/>
  <c r="N11" i="2"/>
  <c r="X53" i="18" l="1"/>
  <c r="U3" i="6"/>
  <c r="F21" i="5"/>
  <c r="O3" i="6"/>
  <c r="AA3" i="6"/>
  <c r="F4" i="6"/>
  <c r="G4" i="6" s="1"/>
  <c r="H4" i="6" s="1"/>
  <c r="I4" i="6" s="1"/>
  <c r="J4" i="6" s="1"/>
  <c r="K4" i="6" s="1"/>
  <c r="L4" i="6" s="1"/>
  <c r="M4" i="6" s="1"/>
  <c r="N4" i="6" s="1"/>
  <c r="ASJ17" i="6"/>
  <c r="AAA17" i="6"/>
  <c r="RW17" i="6"/>
  <c r="IP17" i="6"/>
  <c r="NK17" i="6"/>
  <c r="ADZ17" i="6"/>
  <c r="AMP17" i="6"/>
  <c r="F5" i="3"/>
  <c r="D5" i="5" s="1"/>
  <c r="D6" i="5" s="1"/>
  <c r="D7" i="5" s="1"/>
  <c r="AWM17" i="6"/>
  <c r="KG17" i="6"/>
  <c r="ATD17" i="6"/>
  <c r="AWW17" i="6"/>
  <c r="OW17" i="6"/>
  <c r="X28" i="18"/>
  <c r="U29" i="18" s="1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 s="1"/>
  <c r="Z24" i="18" s="1"/>
  <c r="I2" i="18"/>
  <c r="F25" i="3" s="1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 s="1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 s="1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 s="1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X91" i="18"/>
  <c r="H29" i="18"/>
  <c r="W99" i="18"/>
  <c r="J39" i="2"/>
  <c r="U18" i="2" s="1"/>
  <c r="I49" i="2"/>
  <c r="V18" i="2"/>
  <c r="D3" i="6" l="1"/>
  <c r="O4" i="6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CV4" i="6" s="1"/>
  <c r="CW4" i="6" s="1"/>
  <c r="CX4" i="6" s="1"/>
  <c r="CY4" i="6" s="1"/>
  <c r="CZ4" i="6" s="1"/>
  <c r="DA4" i="6" s="1"/>
  <c r="DB4" i="6" s="1"/>
  <c r="DC4" i="6" s="1"/>
  <c r="DD4" i="6" s="1"/>
  <c r="DE4" i="6" s="1"/>
  <c r="DF4" i="6" s="1"/>
  <c r="DG4" i="6" s="1"/>
  <c r="DH4" i="6" s="1"/>
  <c r="DI4" i="6" s="1"/>
  <c r="DJ4" i="6" s="1"/>
  <c r="DK4" i="6" s="1"/>
  <c r="DL4" i="6" s="1"/>
  <c r="DM4" i="6" s="1"/>
  <c r="DN4" i="6" s="1"/>
  <c r="DO4" i="6" s="1"/>
  <c r="DP4" i="6" s="1"/>
  <c r="DQ4" i="6" s="1"/>
  <c r="DR4" i="6" s="1"/>
  <c r="DS4" i="6" s="1"/>
  <c r="DT4" i="6" s="1"/>
  <c r="DU4" i="6" s="1"/>
  <c r="DV4" i="6" s="1"/>
  <c r="DW4" i="6" s="1"/>
  <c r="DX4" i="6" s="1"/>
  <c r="DY4" i="6" s="1"/>
  <c r="DZ4" i="6" s="1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EK4" i="6" s="1"/>
  <c r="EL4" i="6" s="1"/>
  <c r="EM4" i="6" s="1"/>
  <c r="EN4" i="6" s="1"/>
  <c r="EO4" i="6" s="1"/>
  <c r="EP4" i="6" s="1"/>
  <c r="EQ4" i="6" s="1"/>
  <c r="ER4" i="6" s="1"/>
  <c r="ES4" i="6" s="1"/>
  <c r="ET4" i="6" s="1"/>
  <c r="EU4" i="6" s="1"/>
  <c r="EV4" i="6" s="1"/>
  <c r="EW4" i="6" s="1"/>
  <c r="EX4" i="6" s="1"/>
  <c r="EY4" i="6" s="1"/>
  <c r="EZ4" i="6" s="1"/>
  <c r="FA4" i="6" s="1"/>
  <c r="FB4" i="6" s="1"/>
  <c r="FC4" i="6" s="1"/>
  <c r="FD4" i="6" s="1"/>
  <c r="FE4" i="6" s="1"/>
  <c r="FF4" i="6" s="1"/>
  <c r="FG4" i="6" s="1"/>
  <c r="FH4" i="6" s="1"/>
  <c r="FI4" i="6" s="1"/>
  <c r="FJ4" i="6" s="1"/>
  <c r="FK4" i="6" s="1"/>
  <c r="FL4" i="6" s="1"/>
  <c r="FM4" i="6" s="1"/>
  <c r="FN4" i="6" s="1"/>
  <c r="FO4" i="6" s="1"/>
  <c r="FP4" i="6" s="1"/>
  <c r="FQ4" i="6" s="1"/>
  <c r="FR4" i="6" s="1"/>
  <c r="FS4" i="6" s="1"/>
  <c r="FT4" i="6" s="1"/>
  <c r="FU4" i="6" s="1"/>
  <c r="FV4" i="6" s="1"/>
  <c r="FW4" i="6" s="1"/>
  <c r="FX4" i="6" s="1"/>
  <c r="FY4" i="6" s="1"/>
  <c r="FZ4" i="6" s="1"/>
  <c r="GA4" i="6" s="1"/>
  <c r="GB4" i="6" s="1"/>
  <c r="GC4" i="6" s="1"/>
  <c r="GD4" i="6" s="1"/>
  <c r="GE4" i="6" s="1"/>
  <c r="GF4" i="6" s="1"/>
  <c r="GG4" i="6" s="1"/>
  <c r="GH4" i="6" s="1"/>
  <c r="GI4" i="6" s="1"/>
  <c r="GJ4" i="6" s="1"/>
  <c r="GK4" i="6" s="1"/>
  <c r="GL4" i="6" s="1"/>
  <c r="GM4" i="6" s="1"/>
  <c r="GN4" i="6" s="1"/>
  <c r="GO4" i="6" s="1"/>
  <c r="GP4" i="6" s="1"/>
  <c r="GQ4" i="6" s="1"/>
  <c r="GR4" i="6" s="1"/>
  <c r="GS4" i="6" s="1"/>
  <c r="GT4" i="6" s="1"/>
  <c r="GU4" i="6" s="1"/>
  <c r="GV4" i="6" s="1"/>
  <c r="GW4" i="6" s="1"/>
  <c r="GX4" i="6" s="1"/>
  <c r="GY4" i="6" s="1"/>
  <c r="GZ4" i="6" s="1"/>
  <c r="HA4" i="6" s="1"/>
  <c r="HB4" i="6" s="1"/>
  <c r="HC4" i="6" s="1"/>
  <c r="HD4" i="6" s="1"/>
  <c r="HE4" i="6" s="1"/>
  <c r="HF4" i="6" s="1"/>
  <c r="HG4" i="6" s="1"/>
  <c r="HH4" i="6" s="1"/>
  <c r="HI4" i="6" s="1"/>
  <c r="HJ4" i="6" s="1"/>
  <c r="HK4" i="6" s="1"/>
  <c r="HL4" i="6" s="1"/>
  <c r="HM4" i="6" s="1"/>
  <c r="HN4" i="6" s="1"/>
  <c r="HO4" i="6" s="1"/>
  <c r="HP4" i="6" s="1"/>
  <c r="HQ4" i="6" s="1"/>
  <c r="HR4" i="6" s="1"/>
  <c r="HS4" i="6" s="1"/>
  <c r="HT4" i="6" s="1"/>
  <c r="HU4" i="6" s="1"/>
  <c r="HV4" i="6" s="1"/>
  <c r="HW4" i="6" s="1"/>
  <c r="HX4" i="6" s="1"/>
  <c r="HY4" i="6" s="1"/>
  <c r="HZ4" i="6" s="1"/>
  <c r="IA4" i="6" s="1"/>
  <c r="IB4" i="6" s="1"/>
  <c r="IC4" i="6" s="1"/>
  <c r="ID4" i="6" s="1"/>
  <c r="IE4" i="6" s="1"/>
  <c r="IF4" i="6" s="1"/>
  <c r="IG4" i="6" s="1"/>
  <c r="IH4" i="6" s="1"/>
  <c r="II4" i="6" s="1"/>
  <c r="IJ4" i="6" s="1"/>
  <c r="IK4" i="6" s="1"/>
  <c r="IL4" i="6" s="1"/>
  <c r="IM4" i="6" s="1"/>
  <c r="IN4" i="6" s="1"/>
  <c r="IO4" i="6" s="1"/>
  <c r="IP4" i="6" s="1"/>
  <c r="IQ4" i="6" s="1"/>
  <c r="IR4" i="6" s="1"/>
  <c r="IS4" i="6" s="1"/>
  <c r="IT4" i="6" s="1"/>
  <c r="IU4" i="6" s="1"/>
  <c r="IV4" i="6" s="1"/>
  <c r="IW4" i="6" s="1"/>
  <c r="IX4" i="6" s="1"/>
  <c r="IY4" i="6" s="1"/>
  <c r="IZ4" i="6" s="1"/>
  <c r="JA4" i="6" s="1"/>
  <c r="JB4" i="6" s="1"/>
  <c r="JC4" i="6" s="1"/>
  <c r="JD4" i="6" s="1"/>
  <c r="JE4" i="6" s="1"/>
  <c r="JF4" i="6" s="1"/>
  <c r="JG4" i="6" s="1"/>
  <c r="JH4" i="6" s="1"/>
  <c r="JI4" i="6" s="1"/>
  <c r="JJ4" i="6" s="1"/>
  <c r="JK4" i="6" s="1"/>
  <c r="JL4" i="6" s="1"/>
  <c r="JM4" i="6" s="1"/>
  <c r="JN4" i="6" s="1"/>
  <c r="JO4" i="6" s="1"/>
  <c r="JP4" i="6" s="1"/>
  <c r="JQ4" i="6" s="1"/>
  <c r="JR4" i="6" s="1"/>
  <c r="JS4" i="6" s="1"/>
  <c r="JT4" i="6" s="1"/>
  <c r="JU4" i="6" s="1"/>
  <c r="JV4" i="6" s="1"/>
  <c r="JW4" i="6" s="1"/>
  <c r="JX4" i="6" s="1"/>
  <c r="JY4" i="6" s="1"/>
  <c r="JZ4" i="6" s="1"/>
  <c r="KA4" i="6" s="1"/>
  <c r="KB4" i="6" s="1"/>
  <c r="KC4" i="6" s="1"/>
  <c r="KD4" i="6" s="1"/>
  <c r="KE4" i="6" s="1"/>
  <c r="KF4" i="6" s="1"/>
  <c r="KG4" i="6" s="1"/>
  <c r="KH4" i="6" s="1"/>
  <c r="KI4" i="6" s="1"/>
  <c r="KJ4" i="6" s="1"/>
  <c r="KK4" i="6" s="1"/>
  <c r="KL4" i="6" s="1"/>
  <c r="KM4" i="6" s="1"/>
  <c r="KN4" i="6" s="1"/>
  <c r="KO4" i="6" s="1"/>
  <c r="KP4" i="6" s="1"/>
  <c r="KQ4" i="6" s="1"/>
  <c r="KR4" i="6" s="1"/>
  <c r="KS4" i="6" s="1"/>
  <c r="KT4" i="6" s="1"/>
  <c r="KU4" i="6" s="1"/>
  <c r="KV4" i="6" s="1"/>
  <c r="KW4" i="6" s="1"/>
  <c r="KX4" i="6" s="1"/>
  <c r="KY4" i="6" s="1"/>
  <c r="KZ4" i="6" s="1"/>
  <c r="LA4" i="6" s="1"/>
  <c r="LB4" i="6" s="1"/>
  <c r="LC4" i="6" s="1"/>
  <c r="LD4" i="6" s="1"/>
  <c r="LE4" i="6" s="1"/>
  <c r="LF4" i="6" s="1"/>
  <c r="LG4" i="6" s="1"/>
  <c r="LH4" i="6" s="1"/>
  <c r="LI4" i="6" s="1"/>
  <c r="LJ4" i="6" s="1"/>
  <c r="LK4" i="6" s="1"/>
  <c r="LL4" i="6" s="1"/>
  <c r="LM4" i="6" s="1"/>
  <c r="LN4" i="6" s="1"/>
  <c r="LO4" i="6" s="1"/>
  <c r="LP4" i="6" s="1"/>
  <c r="LQ4" i="6" s="1"/>
  <c r="LR4" i="6" s="1"/>
  <c r="LS4" i="6" s="1"/>
  <c r="LT4" i="6" s="1"/>
  <c r="LU4" i="6" s="1"/>
  <c r="LV4" i="6" s="1"/>
  <c r="LW4" i="6" s="1"/>
  <c r="LX4" i="6" s="1"/>
  <c r="LY4" i="6" s="1"/>
  <c r="LZ4" i="6" s="1"/>
  <c r="MA4" i="6" s="1"/>
  <c r="MB4" i="6" s="1"/>
  <c r="MC4" i="6" s="1"/>
  <c r="MD4" i="6" s="1"/>
  <c r="ME4" i="6" s="1"/>
  <c r="MF4" i="6" s="1"/>
  <c r="MG4" i="6" s="1"/>
  <c r="MH4" i="6" s="1"/>
  <c r="MI4" i="6" s="1"/>
  <c r="MJ4" i="6" s="1"/>
  <c r="MK4" i="6" s="1"/>
  <c r="ML4" i="6" s="1"/>
  <c r="MM4" i="6" s="1"/>
  <c r="MN4" i="6" s="1"/>
  <c r="MO4" i="6" s="1"/>
  <c r="MP4" i="6" s="1"/>
  <c r="MQ4" i="6" s="1"/>
  <c r="MR4" i="6" s="1"/>
  <c r="MS4" i="6" s="1"/>
  <c r="MT4" i="6" s="1"/>
  <c r="MU4" i="6" s="1"/>
  <c r="MV4" i="6" s="1"/>
  <c r="MW4" i="6" s="1"/>
  <c r="MX4" i="6" s="1"/>
  <c r="MY4" i="6" s="1"/>
  <c r="MZ4" i="6" s="1"/>
  <c r="NA4" i="6" s="1"/>
  <c r="NB4" i="6" s="1"/>
  <c r="NC4" i="6" s="1"/>
  <c r="ND4" i="6" s="1"/>
  <c r="NE4" i="6" s="1"/>
  <c r="NF4" i="6" s="1"/>
  <c r="NG4" i="6" s="1"/>
  <c r="NH4" i="6" s="1"/>
  <c r="NI4" i="6" s="1"/>
  <c r="NJ4" i="6" s="1"/>
  <c r="NK4" i="6" s="1"/>
  <c r="NL4" i="6" s="1"/>
  <c r="NM4" i="6" s="1"/>
  <c r="NN4" i="6" s="1"/>
  <c r="NO4" i="6" s="1"/>
  <c r="NP4" i="6" s="1"/>
  <c r="NQ4" i="6" s="1"/>
  <c r="NR4" i="6" s="1"/>
  <c r="NS4" i="6" s="1"/>
  <c r="NT4" i="6" s="1"/>
  <c r="NU4" i="6" s="1"/>
  <c r="NV4" i="6" s="1"/>
  <c r="NW4" i="6" s="1"/>
  <c r="NX4" i="6" s="1"/>
  <c r="NY4" i="6" s="1"/>
  <c r="NZ4" i="6" s="1"/>
  <c r="OA4" i="6" s="1"/>
  <c r="OB4" i="6" s="1"/>
  <c r="OC4" i="6" s="1"/>
  <c r="OD4" i="6" s="1"/>
  <c r="OE4" i="6" s="1"/>
  <c r="OF4" i="6" s="1"/>
  <c r="OG4" i="6" s="1"/>
  <c r="OH4" i="6" s="1"/>
  <c r="OI4" i="6" s="1"/>
  <c r="OJ4" i="6" s="1"/>
  <c r="OK4" i="6" s="1"/>
  <c r="OL4" i="6" s="1"/>
  <c r="OM4" i="6" s="1"/>
  <c r="ON4" i="6" s="1"/>
  <c r="OO4" i="6" s="1"/>
  <c r="OP4" i="6" s="1"/>
  <c r="OQ4" i="6" s="1"/>
  <c r="OR4" i="6" s="1"/>
  <c r="OS4" i="6" s="1"/>
  <c r="OT4" i="6" s="1"/>
  <c r="OU4" i="6" s="1"/>
  <c r="OV4" i="6" s="1"/>
  <c r="OW4" i="6" s="1"/>
  <c r="OX4" i="6" s="1"/>
  <c r="OY4" i="6" s="1"/>
  <c r="OZ4" i="6" s="1"/>
  <c r="PA4" i="6" s="1"/>
  <c r="PB4" i="6" s="1"/>
  <c r="PC4" i="6" s="1"/>
  <c r="PD4" i="6" s="1"/>
  <c r="PE4" i="6" s="1"/>
  <c r="PF4" i="6" s="1"/>
  <c r="PG4" i="6" s="1"/>
  <c r="PH4" i="6" s="1"/>
  <c r="PI4" i="6" s="1"/>
  <c r="PJ4" i="6" s="1"/>
  <c r="PK4" i="6" s="1"/>
  <c r="PL4" i="6" s="1"/>
  <c r="PM4" i="6" s="1"/>
  <c r="PN4" i="6" s="1"/>
  <c r="PO4" i="6" s="1"/>
  <c r="PP4" i="6" s="1"/>
  <c r="PQ4" i="6" s="1"/>
  <c r="PR4" i="6" s="1"/>
  <c r="PS4" i="6" s="1"/>
  <c r="PT4" i="6" s="1"/>
  <c r="PU4" i="6" s="1"/>
  <c r="PV4" i="6" s="1"/>
  <c r="PW4" i="6" s="1"/>
  <c r="PX4" i="6" s="1"/>
  <c r="PY4" i="6" s="1"/>
  <c r="PZ4" i="6" s="1"/>
  <c r="QA4" i="6" s="1"/>
  <c r="QB4" i="6" s="1"/>
  <c r="QC4" i="6" s="1"/>
  <c r="QD4" i="6" s="1"/>
  <c r="QE4" i="6" s="1"/>
  <c r="QF4" i="6" s="1"/>
  <c r="QG4" i="6" s="1"/>
  <c r="QH4" i="6" s="1"/>
  <c r="QI4" i="6" s="1"/>
  <c r="QJ4" i="6" s="1"/>
  <c r="QK4" i="6" s="1"/>
  <c r="QL4" i="6" s="1"/>
  <c r="QM4" i="6" s="1"/>
  <c r="QN4" i="6" s="1"/>
  <c r="QO4" i="6" s="1"/>
  <c r="QP4" i="6" s="1"/>
  <c r="QQ4" i="6" s="1"/>
  <c r="QR4" i="6" s="1"/>
  <c r="QS4" i="6" s="1"/>
  <c r="QT4" i="6" s="1"/>
  <c r="QU4" i="6" s="1"/>
  <c r="QV4" i="6" s="1"/>
  <c r="QW4" i="6" s="1"/>
  <c r="QX4" i="6" s="1"/>
  <c r="QY4" i="6" s="1"/>
  <c r="QZ4" i="6" s="1"/>
  <c r="RA4" i="6" s="1"/>
  <c r="RB4" i="6" s="1"/>
  <c r="RC4" i="6" s="1"/>
  <c r="RD4" i="6" s="1"/>
  <c r="RE4" i="6" s="1"/>
  <c r="RF4" i="6" s="1"/>
  <c r="RG4" i="6" s="1"/>
  <c r="RH4" i="6" s="1"/>
  <c r="RI4" i="6" s="1"/>
  <c r="RJ4" i="6" s="1"/>
  <c r="RK4" i="6" s="1"/>
  <c r="RL4" i="6" s="1"/>
  <c r="RM4" i="6" s="1"/>
  <c r="RN4" i="6" s="1"/>
  <c r="RO4" i="6" s="1"/>
  <c r="RP4" i="6" s="1"/>
  <c r="RQ4" i="6" s="1"/>
  <c r="RR4" i="6" s="1"/>
  <c r="RS4" i="6" s="1"/>
  <c r="RT4" i="6" s="1"/>
  <c r="RU4" i="6" s="1"/>
  <c r="RV4" i="6" s="1"/>
  <c r="RW4" i="6" s="1"/>
  <c r="RX4" i="6" s="1"/>
  <c r="RY4" i="6" s="1"/>
  <c r="RZ4" i="6" s="1"/>
  <c r="SA4" i="6" s="1"/>
  <c r="SB4" i="6" s="1"/>
  <c r="SC4" i="6" s="1"/>
  <c r="SD4" i="6" s="1"/>
  <c r="SE4" i="6" s="1"/>
  <c r="SF4" i="6" s="1"/>
  <c r="SG4" i="6" s="1"/>
  <c r="SH4" i="6" s="1"/>
  <c r="SI4" i="6" s="1"/>
  <c r="SJ4" i="6" s="1"/>
  <c r="SK4" i="6" s="1"/>
  <c r="SL4" i="6" s="1"/>
  <c r="SM4" i="6" s="1"/>
  <c r="SN4" i="6" s="1"/>
  <c r="SO4" i="6" s="1"/>
  <c r="SP4" i="6" s="1"/>
  <c r="SQ4" i="6" s="1"/>
  <c r="SR4" i="6" s="1"/>
  <c r="SS4" i="6" s="1"/>
  <c r="ST4" i="6" s="1"/>
  <c r="SU4" i="6" s="1"/>
  <c r="SV4" i="6" s="1"/>
  <c r="SW4" i="6" s="1"/>
  <c r="SX4" i="6" s="1"/>
  <c r="SY4" i="6" s="1"/>
  <c r="SZ4" i="6" s="1"/>
  <c r="TA4" i="6" s="1"/>
  <c r="TB4" i="6" s="1"/>
  <c r="TC4" i="6" s="1"/>
  <c r="TD4" i="6" s="1"/>
  <c r="TE4" i="6" s="1"/>
  <c r="TF4" i="6" s="1"/>
  <c r="TG4" i="6" s="1"/>
  <c r="TH4" i="6" s="1"/>
  <c r="TI4" i="6" s="1"/>
  <c r="TJ4" i="6" s="1"/>
  <c r="TK4" i="6" s="1"/>
  <c r="TL4" i="6" s="1"/>
  <c r="TM4" i="6" s="1"/>
  <c r="TN4" i="6" s="1"/>
  <c r="TO4" i="6" s="1"/>
  <c r="TP4" i="6" s="1"/>
  <c r="TQ4" i="6" s="1"/>
  <c r="TR4" i="6" s="1"/>
  <c r="TS4" i="6" s="1"/>
  <c r="TT4" i="6" s="1"/>
  <c r="TU4" i="6" s="1"/>
  <c r="TV4" i="6" s="1"/>
  <c r="TW4" i="6" s="1"/>
  <c r="TX4" i="6" s="1"/>
  <c r="TY4" i="6" s="1"/>
  <c r="TZ4" i="6" s="1"/>
  <c r="UA4" i="6" s="1"/>
  <c r="UB4" i="6" s="1"/>
  <c r="UC4" i="6" s="1"/>
  <c r="UD4" i="6" s="1"/>
  <c r="UE4" i="6" s="1"/>
  <c r="UF4" i="6" s="1"/>
  <c r="UG4" i="6" s="1"/>
  <c r="UH4" i="6" s="1"/>
  <c r="UI4" i="6" s="1"/>
  <c r="UJ4" i="6" s="1"/>
  <c r="UK4" i="6" s="1"/>
  <c r="UL4" i="6" s="1"/>
  <c r="UM4" i="6" s="1"/>
  <c r="UN4" i="6" s="1"/>
  <c r="UO4" i="6" s="1"/>
  <c r="UP4" i="6" s="1"/>
  <c r="UQ4" i="6" s="1"/>
  <c r="UR4" i="6" s="1"/>
  <c r="US4" i="6" s="1"/>
  <c r="UT4" i="6" s="1"/>
  <c r="UU4" i="6" s="1"/>
  <c r="UV4" i="6" s="1"/>
  <c r="UW4" i="6" s="1"/>
  <c r="UX4" i="6" s="1"/>
  <c r="UY4" i="6" s="1"/>
  <c r="UZ4" i="6" s="1"/>
  <c r="VA4" i="6" s="1"/>
  <c r="VB4" i="6" s="1"/>
  <c r="VC4" i="6" s="1"/>
  <c r="VD4" i="6" s="1"/>
  <c r="VE4" i="6" s="1"/>
  <c r="VF4" i="6" s="1"/>
  <c r="VG4" i="6" s="1"/>
  <c r="VH4" i="6" s="1"/>
  <c r="VI4" i="6" s="1"/>
  <c r="VJ4" i="6" s="1"/>
  <c r="VK4" i="6" s="1"/>
  <c r="VL4" i="6" s="1"/>
  <c r="VM4" i="6" s="1"/>
  <c r="VN4" i="6" s="1"/>
  <c r="VO4" i="6" s="1"/>
  <c r="VP4" i="6" s="1"/>
  <c r="VQ4" i="6" s="1"/>
  <c r="VR4" i="6" s="1"/>
  <c r="VS4" i="6" s="1"/>
  <c r="VT4" i="6" s="1"/>
  <c r="VU4" i="6" s="1"/>
  <c r="VV4" i="6" s="1"/>
  <c r="VW4" i="6" s="1"/>
  <c r="VX4" i="6" s="1"/>
  <c r="VY4" i="6" s="1"/>
  <c r="VZ4" i="6" s="1"/>
  <c r="WA4" i="6" s="1"/>
  <c r="WB4" i="6" s="1"/>
  <c r="WC4" i="6" s="1"/>
  <c r="WD4" i="6" s="1"/>
  <c r="WE4" i="6" s="1"/>
  <c r="WF4" i="6" s="1"/>
  <c r="WG4" i="6" s="1"/>
  <c r="WH4" i="6" s="1"/>
  <c r="WI4" i="6" s="1"/>
  <c r="WJ4" i="6" s="1"/>
  <c r="WK4" i="6" s="1"/>
  <c r="WL4" i="6" s="1"/>
  <c r="WM4" i="6" s="1"/>
  <c r="WN4" i="6" s="1"/>
  <c r="WO4" i="6" s="1"/>
  <c r="WP4" i="6" s="1"/>
  <c r="WQ4" i="6" s="1"/>
  <c r="WR4" i="6" s="1"/>
  <c r="WS4" i="6" s="1"/>
  <c r="WT4" i="6" s="1"/>
  <c r="WU4" i="6" s="1"/>
  <c r="WV4" i="6" s="1"/>
  <c r="WW4" i="6" s="1"/>
  <c r="WX4" i="6" s="1"/>
  <c r="WY4" i="6" s="1"/>
  <c r="WZ4" i="6" s="1"/>
  <c r="XA4" i="6" s="1"/>
  <c r="XB4" i="6" s="1"/>
  <c r="XC4" i="6" s="1"/>
  <c r="XD4" i="6" s="1"/>
  <c r="XE4" i="6" s="1"/>
  <c r="XF4" i="6" s="1"/>
  <c r="XG4" i="6" s="1"/>
  <c r="XH4" i="6" s="1"/>
  <c r="XI4" i="6" s="1"/>
  <c r="XJ4" i="6" s="1"/>
  <c r="XK4" i="6" s="1"/>
  <c r="XL4" i="6" s="1"/>
  <c r="XM4" i="6" s="1"/>
  <c r="XN4" i="6" s="1"/>
  <c r="XO4" i="6" s="1"/>
  <c r="XP4" i="6" s="1"/>
  <c r="XQ4" i="6" s="1"/>
  <c r="XR4" i="6" s="1"/>
  <c r="XS4" i="6" s="1"/>
  <c r="XT4" i="6" s="1"/>
  <c r="XU4" i="6" s="1"/>
  <c r="XV4" i="6" s="1"/>
  <c r="XW4" i="6" s="1"/>
  <c r="XX4" i="6" s="1"/>
  <c r="XY4" i="6" s="1"/>
  <c r="XZ4" i="6" s="1"/>
  <c r="YA4" i="6" s="1"/>
  <c r="YB4" i="6" s="1"/>
  <c r="YC4" i="6" s="1"/>
  <c r="YD4" i="6" s="1"/>
  <c r="YE4" i="6" s="1"/>
  <c r="YF4" i="6" s="1"/>
  <c r="YG4" i="6" s="1"/>
  <c r="YH4" i="6" s="1"/>
  <c r="YI4" i="6" s="1"/>
  <c r="YJ4" i="6" s="1"/>
  <c r="YK4" i="6" s="1"/>
  <c r="YL4" i="6" s="1"/>
  <c r="YM4" i="6" s="1"/>
  <c r="YN4" i="6" s="1"/>
  <c r="YO4" i="6" s="1"/>
  <c r="YP4" i="6" s="1"/>
  <c r="YQ4" i="6" s="1"/>
  <c r="YR4" i="6" s="1"/>
  <c r="YS4" i="6" s="1"/>
  <c r="YT4" i="6" s="1"/>
  <c r="YU4" i="6" s="1"/>
  <c r="YV4" i="6" s="1"/>
  <c r="YW4" i="6" s="1"/>
  <c r="YX4" i="6" s="1"/>
  <c r="YY4" i="6" s="1"/>
  <c r="YZ4" i="6" s="1"/>
  <c r="ZA4" i="6" s="1"/>
  <c r="ZB4" i="6" s="1"/>
  <c r="ZC4" i="6" s="1"/>
  <c r="ZD4" i="6" s="1"/>
  <c r="ZE4" i="6" s="1"/>
  <c r="ZF4" i="6" s="1"/>
  <c r="ZG4" i="6" s="1"/>
  <c r="ZH4" i="6" s="1"/>
  <c r="ZI4" i="6" s="1"/>
  <c r="ZJ4" i="6" s="1"/>
  <c r="ZK4" i="6" s="1"/>
  <c r="ZL4" i="6" s="1"/>
  <c r="ZM4" i="6" s="1"/>
  <c r="ZN4" i="6" s="1"/>
  <c r="ZO4" i="6" s="1"/>
  <c r="ZP4" i="6" s="1"/>
  <c r="ZQ4" i="6" s="1"/>
  <c r="ZR4" i="6" s="1"/>
  <c r="ZS4" i="6" s="1"/>
  <c r="ZT4" i="6" s="1"/>
  <c r="ZU4" i="6" s="1"/>
  <c r="ZV4" i="6" s="1"/>
  <c r="ZW4" i="6" s="1"/>
  <c r="ZX4" i="6" s="1"/>
  <c r="ZY4" i="6" s="1"/>
  <c r="ZZ4" i="6" s="1"/>
  <c r="AAA4" i="6" s="1"/>
  <c r="AAB4" i="6" s="1"/>
  <c r="AAC4" i="6" s="1"/>
  <c r="AAD4" i="6" s="1"/>
  <c r="AAE4" i="6" s="1"/>
  <c r="AAF4" i="6" s="1"/>
  <c r="AAG4" i="6" s="1"/>
  <c r="AAH4" i="6" s="1"/>
  <c r="AAI4" i="6" s="1"/>
  <c r="AAJ4" i="6" s="1"/>
  <c r="AAK4" i="6" s="1"/>
  <c r="AAL4" i="6" s="1"/>
  <c r="AAM4" i="6" s="1"/>
  <c r="AAN4" i="6" s="1"/>
  <c r="AAO4" i="6" s="1"/>
  <c r="AAP4" i="6" s="1"/>
  <c r="AAQ4" i="6" s="1"/>
  <c r="AAR4" i="6" s="1"/>
  <c r="AAS4" i="6" s="1"/>
  <c r="AAT4" i="6" s="1"/>
  <c r="AAU4" i="6" s="1"/>
  <c r="AAV4" i="6" s="1"/>
  <c r="AAW4" i="6" s="1"/>
  <c r="AAX4" i="6" s="1"/>
  <c r="AAY4" i="6" s="1"/>
  <c r="AAZ4" i="6" s="1"/>
  <c r="ABA4" i="6" s="1"/>
  <c r="ABB4" i="6" s="1"/>
  <c r="ABC4" i="6" s="1"/>
  <c r="ABD4" i="6" s="1"/>
  <c r="ABE4" i="6" s="1"/>
  <c r="ABF4" i="6" s="1"/>
  <c r="ABG4" i="6" s="1"/>
  <c r="ABH4" i="6" s="1"/>
  <c r="ABI4" i="6" s="1"/>
  <c r="ABJ4" i="6" s="1"/>
  <c r="ABK4" i="6" s="1"/>
  <c r="ABL4" i="6" s="1"/>
  <c r="ABM4" i="6" s="1"/>
  <c r="ABN4" i="6" s="1"/>
  <c r="ABO4" i="6" s="1"/>
  <c r="ABP4" i="6" s="1"/>
  <c r="ABQ4" i="6" s="1"/>
  <c r="ABR4" i="6" s="1"/>
  <c r="ABS4" i="6" s="1"/>
  <c r="ABT4" i="6" s="1"/>
  <c r="ABU4" i="6" s="1"/>
  <c r="ABV4" i="6" s="1"/>
  <c r="ABW4" i="6" s="1"/>
  <c r="ABX4" i="6" s="1"/>
  <c r="ABY4" i="6" s="1"/>
  <c r="ABZ4" i="6" s="1"/>
  <c r="ACA4" i="6" s="1"/>
  <c r="ACB4" i="6" s="1"/>
  <c r="ACC4" i="6" s="1"/>
  <c r="ACD4" i="6" s="1"/>
  <c r="ACE4" i="6" s="1"/>
  <c r="ACF4" i="6" s="1"/>
  <c r="ACG4" i="6" s="1"/>
  <c r="ACH4" i="6" s="1"/>
  <c r="ACI4" i="6" s="1"/>
  <c r="ACJ4" i="6" s="1"/>
  <c r="ACK4" i="6" s="1"/>
  <c r="ACL4" i="6" s="1"/>
  <c r="ACM4" i="6" s="1"/>
  <c r="ACN4" i="6" s="1"/>
  <c r="ACO4" i="6" s="1"/>
  <c r="ACP4" i="6" s="1"/>
  <c r="ACQ4" i="6" s="1"/>
  <c r="ACR4" i="6" s="1"/>
  <c r="ACS4" i="6" s="1"/>
  <c r="ACT4" i="6" s="1"/>
  <c r="ACU4" i="6" s="1"/>
  <c r="ACV4" i="6" s="1"/>
  <c r="ACW4" i="6" s="1"/>
  <c r="ACX4" i="6" s="1"/>
  <c r="ACY4" i="6" s="1"/>
  <c r="ACZ4" i="6" s="1"/>
  <c r="ADA4" i="6" s="1"/>
  <c r="ADB4" i="6" s="1"/>
  <c r="ADC4" i="6" s="1"/>
  <c r="ADD4" i="6" s="1"/>
  <c r="ADE4" i="6" s="1"/>
  <c r="ADF4" i="6" s="1"/>
  <c r="ADG4" i="6" s="1"/>
  <c r="ADH4" i="6" s="1"/>
  <c r="ADI4" i="6" s="1"/>
  <c r="ADJ4" i="6" s="1"/>
  <c r="ADK4" i="6" s="1"/>
  <c r="ADL4" i="6" s="1"/>
  <c r="ADM4" i="6" s="1"/>
  <c r="ADN4" i="6" s="1"/>
  <c r="ADO4" i="6" s="1"/>
  <c r="ADP4" i="6" s="1"/>
  <c r="ADQ4" i="6" s="1"/>
  <c r="ADR4" i="6" s="1"/>
  <c r="ADS4" i="6" s="1"/>
  <c r="ADT4" i="6" s="1"/>
  <c r="ADU4" i="6" s="1"/>
  <c r="ADV4" i="6" s="1"/>
  <c r="ADW4" i="6" s="1"/>
  <c r="ADX4" i="6" s="1"/>
  <c r="ADY4" i="6" s="1"/>
  <c r="ADZ4" i="6" s="1"/>
  <c r="AEA4" i="6" s="1"/>
  <c r="AEB4" i="6" s="1"/>
  <c r="AEC4" i="6" s="1"/>
  <c r="AED4" i="6" s="1"/>
  <c r="AEE4" i="6" s="1"/>
  <c r="AEF4" i="6" s="1"/>
  <c r="AEG4" i="6" s="1"/>
  <c r="AEH4" i="6" s="1"/>
  <c r="AEI4" i="6" s="1"/>
  <c r="AEJ4" i="6" s="1"/>
  <c r="AEK4" i="6" s="1"/>
  <c r="AEL4" i="6" s="1"/>
  <c r="AEM4" i="6" s="1"/>
  <c r="AEN4" i="6" s="1"/>
  <c r="AEO4" i="6" s="1"/>
  <c r="AEP4" i="6" s="1"/>
  <c r="AEQ4" i="6" s="1"/>
  <c r="AER4" i="6" s="1"/>
  <c r="AES4" i="6" s="1"/>
  <c r="AET4" i="6" s="1"/>
  <c r="AEU4" i="6" s="1"/>
  <c r="AEV4" i="6" s="1"/>
  <c r="AEW4" i="6" s="1"/>
  <c r="AEX4" i="6" s="1"/>
  <c r="AEY4" i="6" s="1"/>
  <c r="AEZ4" i="6" s="1"/>
  <c r="AFA4" i="6" s="1"/>
  <c r="AFB4" i="6" s="1"/>
  <c r="AFC4" i="6" s="1"/>
  <c r="AFD4" i="6" s="1"/>
  <c r="AFE4" i="6" s="1"/>
  <c r="AFF4" i="6" s="1"/>
  <c r="AFG4" i="6" s="1"/>
  <c r="AFH4" i="6" s="1"/>
  <c r="AFI4" i="6" s="1"/>
  <c r="AFJ4" i="6" s="1"/>
  <c r="AFK4" i="6" s="1"/>
  <c r="AFL4" i="6" s="1"/>
  <c r="AFM4" i="6" s="1"/>
  <c r="AFN4" i="6" s="1"/>
  <c r="AFO4" i="6" s="1"/>
  <c r="AFP4" i="6" s="1"/>
  <c r="AFQ4" i="6" s="1"/>
  <c r="AFR4" i="6" s="1"/>
  <c r="AFS4" i="6" s="1"/>
  <c r="AFT4" i="6" s="1"/>
  <c r="AFU4" i="6" s="1"/>
  <c r="AFV4" i="6" s="1"/>
  <c r="AFW4" i="6" s="1"/>
  <c r="AFX4" i="6" s="1"/>
  <c r="AFY4" i="6" s="1"/>
  <c r="AFZ4" i="6" s="1"/>
  <c r="AGA4" i="6" s="1"/>
  <c r="AGB4" i="6" s="1"/>
  <c r="AGC4" i="6" s="1"/>
  <c r="AGD4" i="6" s="1"/>
  <c r="AGE4" i="6" s="1"/>
  <c r="AGF4" i="6" s="1"/>
  <c r="AGG4" i="6" s="1"/>
  <c r="AGH4" i="6" s="1"/>
  <c r="AGI4" i="6" s="1"/>
  <c r="AGJ4" i="6" s="1"/>
  <c r="AGK4" i="6" s="1"/>
  <c r="AGL4" i="6" s="1"/>
  <c r="AGM4" i="6" s="1"/>
  <c r="AGN4" i="6" s="1"/>
  <c r="AGO4" i="6" s="1"/>
  <c r="AGP4" i="6" s="1"/>
  <c r="AGQ4" i="6" s="1"/>
  <c r="AGR4" i="6" s="1"/>
  <c r="AGS4" i="6" s="1"/>
  <c r="AGT4" i="6" s="1"/>
  <c r="AGU4" i="6" s="1"/>
  <c r="AGV4" i="6" s="1"/>
  <c r="AGW4" i="6" s="1"/>
  <c r="AGX4" i="6" s="1"/>
  <c r="AGY4" i="6" s="1"/>
  <c r="AGZ4" i="6" s="1"/>
  <c r="AHA4" i="6" s="1"/>
  <c r="AHB4" i="6" s="1"/>
  <c r="AHC4" i="6" s="1"/>
  <c r="AHD4" i="6" s="1"/>
  <c r="AHE4" i="6" s="1"/>
  <c r="AHF4" i="6" s="1"/>
  <c r="AHG4" i="6" s="1"/>
  <c r="AHH4" i="6" s="1"/>
  <c r="AHI4" i="6" s="1"/>
  <c r="AHJ4" i="6" s="1"/>
  <c r="AHK4" i="6" s="1"/>
  <c r="AHL4" i="6" s="1"/>
  <c r="AHM4" i="6" s="1"/>
  <c r="AHN4" i="6" s="1"/>
  <c r="AHO4" i="6" s="1"/>
  <c r="AHP4" i="6" s="1"/>
  <c r="AHQ4" i="6" s="1"/>
  <c r="AHR4" i="6" s="1"/>
  <c r="AHS4" i="6" s="1"/>
  <c r="AHT4" i="6" s="1"/>
  <c r="AHU4" i="6" s="1"/>
  <c r="AHV4" i="6" s="1"/>
  <c r="AHW4" i="6" s="1"/>
  <c r="AHX4" i="6" s="1"/>
  <c r="AHY4" i="6" s="1"/>
  <c r="AHZ4" i="6" s="1"/>
  <c r="AIA4" i="6" s="1"/>
  <c r="AIB4" i="6" s="1"/>
  <c r="AIC4" i="6" s="1"/>
  <c r="AID4" i="6" s="1"/>
  <c r="AIE4" i="6" s="1"/>
  <c r="AIF4" i="6" s="1"/>
  <c r="AIG4" i="6" s="1"/>
  <c r="AIH4" i="6" s="1"/>
  <c r="AII4" i="6" s="1"/>
  <c r="AIJ4" i="6" s="1"/>
  <c r="AIK4" i="6" s="1"/>
  <c r="AIL4" i="6" s="1"/>
  <c r="AIM4" i="6" s="1"/>
  <c r="AIN4" i="6" s="1"/>
  <c r="AIO4" i="6" s="1"/>
  <c r="AIP4" i="6" s="1"/>
  <c r="AIQ4" i="6" s="1"/>
  <c r="AIR4" i="6" s="1"/>
  <c r="AIS4" i="6" s="1"/>
  <c r="AIT4" i="6" s="1"/>
  <c r="AIU4" i="6" s="1"/>
  <c r="AIV4" i="6" s="1"/>
  <c r="AIW4" i="6" s="1"/>
  <c r="AIX4" i="6" s="1"/>
  <c r="AIY4" i="6" s="1"/>
  <c r="AIZ4" i="6" s="1"/>
  <c r="AJA4" i="6" s="1"/>
  <c r="AJB4" i="6" s="1"/>
  <c r="AJC4" i="6" s="1"/>
  <c r="AJD4" i="6" s="1"/>
  <c r="AJE4" i="6" s="1"/>
  <c r="AJF4" i="6" s="1"/>
  <c r="AJG4" i="6" s="1"/>
  <c r="AJH4" i="6" s="1"/>
  <c r="AJI4" i="6" s="1"/>
  <c r="AJJ4" i="6" s="1"/>
  <c r="AJK4" i="6" s="1"/>
  <c r="AJL4" i="6" s="1"/>
  <c r="AJM4" i="6" s="1"/>
  <c r="AJN4" i="6" s="1"/>
  <c r="AJO4" i="6" s="1"/>
  <c r="AJP4" i="6" s="1"/>
  <c r="AJQ4" i="6" s="1"/>
  <c r="AJR4" i="6" s="1"/>
  <c r="AJS4" i="6" s="1"/>
  <c r="AJT4" i="6" s="1"/>
  <c r="AJU4" i="6" s="1"/>
  <c r="AJV4" i="6" s="1"/>
  <c r="AJW4" i="6" s="1"/>
  <c r="AJX4" i="6" s="1"/>
  <c r="AJY4" i="6" s="1"/>
  <c r="AJZ4" i="6" s="1"/>
  <c r="AKA4" i="6" s="1"/>
  <c r="AKB4" i="6" s="1"/>
  <c r="AKC4" i="6" s="1"/>
  <c r="AKD4" i="6" s="1"/>
  <c r="AKE4" i="6" s="1"/>
  <c r="AKF4" i="6" s="1"/>
  <c r="AKG4" i="6" s="1"/>
  <c r="AKH4" i="6" s="1"/>
  <c r="AKI4" i="6" s="1"/>
  <c r="AKJ4" i="6" s="1"/>
  <c r="AKK4" i="6" s="1"/>
  <c r="AKL4" i="6" s="1"/>
  <c r="AKM4" i="6" s="1"/>
  <c r="AKN4" i="6" s="1"/>
  <c r="AKO4" i="6" s="1"/>
  <c r="AKP4" i="6" s="1"/>
  <c r="AKQ4" i="6" s="1"/>
  <c r="AKR4" i="6" s="1"/>
  <c r="AKS4" i="6" s="1"/>
  <c r="AKT4" i="6" s="1"/>
  <c r="AKU4" i="6" s="1"/>
  <c r="AKV4" i="6" s="1"/>
  <c r="AKW4" i="6" s="1"/>
  <c r="AKX4" i="6" s="1"/>
  <c r="AKY4" i="6" s="1"/>
  <c r="AKZ4" i="6" s="1"/>
  <c r="ALA4" i="6" s="1"/>
  <c r="ALB4" i="6" s="1"/>
  <c r="ALC4" i="6" s="1"/>
  <c r="ALD4" i="6" s="1"/>
  <c r="ALE4" i="6" s="1"/>
  <c r="ALF4" i="6" s="1"/>
  <c r="ALG4" i="6" s="1"/>
  <c r="ALH4" i="6" s="1"/>
  <c r="ALI4" i="6" s="1"/>
  <c r="ALJ4" i="6" s="1"/>
  <c r="ALK4" i="6" s="1"/>
  <c r="ALL4" i="6" s="1"/>
  <c r="ALM4" i="6" s="1"/>
  <c r="ALN4" i="6" s="1"/>
  <c r="ALO4" i="6" s="1"/>
  <c r="ALP4" i="6" s="1"/>
  <c r="ALQ4" i="6" s="1"/>
  <c r="ALR4" i="6" s="1"/>
  <c r="ALS4" i="6" s="1"/>
  <c r="ALT4" i="6" s="1"/>
  <c r="ALU4" i="6" s="1"/>
  <c r="ALV4" i="6" s="1"/>
  <c r="ALW4" i="6" s="1"/>
  <c r="ALX4" i="6" s="1"/>
  <c r="ALY4" i="6" s="1"/>
  <c r="ALZ4" i="6" s="1"/>
  <c r="AMA4" i="6" s="1"/>
  <c r="AMB4" i="6" s="1"/>
  <c r="AMC4" i="6" s="1"/>
  <c r="AMD4" i="6" s="1"/>
  <c r="AME4" i="6" s="1"/>
  <c r="AMF4" i="6" s="1"/>
  <c r="AMG4" i="6" s="1"/>
  <c r="AMH4" i="6" s="1"/>
  <c r="AMI4" i="6" s="1"/>
  <c r="AMJ4" i="6" s="1"/>
  <c r="AMK4" i="6" s="1"/>
  <c r="AML4" i="6" s="1"/>
  <c r="AMM4" i="6" s="1"/>
  <c r="AMN4" i="6" s="1"/>
  <c r="AMO4" i="6" s="1"/>
  <c r="AMP4" i="6" s="1"/>
  <c r="AMQ4" i="6" s="1"/>
  <c r="AMR4" i="6" s="1"/>
  <c r="AMS4" i="6" s="1"/>
  <c r="AMT4" i="6" s="1"/>
  <c r="AMU4" i="6" s="1"/>
  <c r="AMV4" i="6" s="1"/>
  <c r="AMW4" i="6" s="1"/>
  <c r="AMX4" i="6" s="1"/>
  <c r="AMY4" i="6" s="1"/>
  <c r="AMZ4" i="6" s="1"/>
  <c r="ANA4" i="6" s="1"/>
  <c r="ANB4" i="6" s="1"/>
  <c r="ANC4" i="6" s="1"/>
  <c r="AND4" i="6" s="1"/>
  <c r="ANE4" i="6" s="1"/>
  <c r="ANF4" i="6" s="1"/>
  <c r="ANG4" i="6" s="1"/>
  <c r="ANH4" i="6" s="1"/>
  <c r="ANI4" i="6" s="1"/>
  <c r="ANJ4" i="6" s="1"/>
  <c r="ANK4" i="6" s="1"/>
  <c r="ANL4" i="6" s="1"/>
  <c r="ANM4" i="6" s="1"/>
  <c r="ANN4" i="6" s="1"/>
  <c r="ANO4" i="6" s="1"/>
  <c r="ANP4" i="6" s="1"/>
  <c r="ANQ4" i="6" s="1"/>
  <c r="ANR4" i="6" s="1"/>
  <c r="ANS4" i="6" s="1"/>
  <c r="ANT4" i="6" s="1"/>
  <c r="ANU4" i="6" s="1"/>
  <c r="ANV4" i="6" s="1"/>
  <c r="ANW4" i="6" s="1"/>
  <c r="ANX4" i="6" s="1"/>
  <c r="ANY4" i="6" s="1"/>
  <c r="ANZ4" i="6" s="1"/>
  <c r="AOA4" i="6" s="1"/>
  <c r="AOB4" i="6" s="1"/>
  <c r="AOC4" i="6" s="1"/>
  <c r="AOD4" i="6" s="1"/>
  <c r="AOE4" i="6" s="1"/>
  <c r="AOF4" i="6" s="1"/>
  <c r="AOG4" i="6" s="1"/>
  <c r="AOH4" i="6" s="1"/>
  <c r="AOI4" i="6" s="1"/>
  <c r="AOJ4" i="6" s="1"/>
  <c r="AOK4" i="6" s="1"/>
  <c r="AOL4" i="6" s="1"/>
  <c r="AOM4" i="6" s="1"/>
  <c r="AON4" i="6" s="1"/>
  <c r="AOO4" i="6" s="1"/>
  <c r="AOP4" i="6" s="1"/>
  <c r="AOQ4" i="6" s="1"/>
  <c r="AOR4" i="6" s="1"/>
  <c r="AOS4" i="6" s="1"/>
  <c r="AOT4" i="6" s="1"/>
  <c r="AOU4" i="6" s="1"/>
  <c r="AOV4" i="6" s="1"/>
  <c r="AOW4" i="6" s="1"/>
  <c r="AOX4" i="6" s="1"/>
  <c r="AOY4" i="6" s="1"/>
  <c r="AOZ4" i="6" s="1"/>
  <c r="APA4" i="6" s="1"/>
  <c r="APB4" i="6" s="1"/>
  <c r="APC4" i="6" s="1"/>
  <c r="APD4" i="6" s="1"/>
  <c r="APE4" i="6" s="1"/>
  <c r="APF4" i="6" s="1"/>
  <c r="APG4" i="6" s="1"/>
  <c r="APH4" i="6" s="1"/>
  <c r="API4" i="6" s="1"/>
  <c r="APJ4" i="6" s="1"/>
  <c r="APK4" i="6" s="1"/>
  <c r="APL4" i="6" s="1"/>
  <c r="APM4" i="6" s="1"/>
  <c r="APN4" i="6" s="1"/>
  <c r="APO4" i="6" s="1"/>
  <c r="APP4" i="6" s="1"/>
  <c r="APQ4" i="6" s="1"/>
  <c r="APR4" i="6" s="1"/>
  <c r="APS4" i="6" s="1"/>
  <c r="APT4" i="6" s="1"/>
  <c r="APU4" i="6" s="1"/>
  <c r="APV4" i="6" s="1"/>
  <c r="APW4" i="6" s="1"/>
  <c r="APX4" i="6" s="1"/>
  <c r="APY4" i="6" s="1"/>
  <c r="APZ4" i="6" s="1"/>
  <c r="AQA4" i="6" s="1"/>
  <c r="AQB4" i="6" s="1"/>
  <c r="AQC4" i="6" s="1"/>
  <c r="AQD4" i="6" s="1"/>
  <c r="AQE4" i="6" s="1"/>
  <c r="AQF4" i="6" s="1"/>
  <c r="AQG4" i="6" s="1"/>
  <c r="AQH4" i="6" s="1"/>
  <c r="AQI4" i="6" s="1"/>
  <c r="AQJ4" i="6" s="1"/>
  <c r="AQK4" i="6" s="1"/>
  <c r="AQL4" i="6" s="1"/>
  <c r="AQM4" i="6" s="1"/>
  <c r="AQN4" i="6" s="1"/>
  <c r="AQO4" i="6" s="1"/>
  <c r="AQP4" i="6" s="1"/>
  <c r="AQQ4" i="6" s="1"/>
  <c r="AQR4" i="6" s="1"/>
  <c r="AQS4" i="6" s="1"/>
  <c r="AQT4" i="6" s="1"/>
  <c r="AQU4" i="6" s="1"/>
  <c r="AQV4" i="6" s="1"/>
  <c r="AQW4" i="6" s="1"/>
  <c r="AQX4" i="6" s="1"/>
  <c r="AQY4" i="6" s="1"/>
  <c r="AQZ4" i="6" s="1"/>
  <c r="ARA4" i="6" s="1"/>
  <c r="ARB4" i="6" s="1"/>
  <c r="ARC4" i="6" s="1"/>
  <c r="ARD4" i="6" s="1"/>
  <c r="ARE4" i="6" s="1"/>
  <c r="ARF4" i="6" s="1"/>
  <c r="ARG4" i="6" s="1"/>
  <c r="ARH4" i="6" s="1"/>
  <c r="ARI4" i="6" s="1"/>
  <c r="ARJ4" i="6" s="1"/>
  <c r="ARK4" i="6" s="1"/>
  <c r="ARL4" i="6" s="1"/>
  <c r="ARM4" i="6" s="1"/>
  <c r="ARN4" i="6" s="1"/>
  <c r="ARO4" i="6" s="1"/>
  <c r="ARP4" i="6" s="1"/>
  <c r="ARQ4" i="6" s="1"/>
  <c r="ARR4" i="6" s="1"/>
  <c r="ARS4" i="6" s="1"/>
  <c r="ART4" i="6" s="1"/>
  <c r="ARU4" i="6" s="1"/>
  <c r="ARV4" i="6" s="1"/>
  <c r="ARW4" i="6" s="1"/>
  <c r="ARX4" i="6" s="1"/>
  <c r="ARY4" i="6" s="1"/>
  <c r="ARZ4" i="6" s="1"/>
  <c r="ASA4" i="6" s="1"/>
  <c r="ASB4" i="6" s="1"/>
  <c r="ASC4" i="6" s="1"/>
  <c r="ASD4" i="6" s="1"/>
  <c r="ASE4" i="6" s="1"/>
  <c r="ASF4" i="6" s="1"/>
  <c r="ASG4" i="6" s="1"/>
  <c r="ASH4" i="6" s="1"/>
  <c r="ASI4" i="6" s="1"/>
  <c r="ASJ4" i="6" s="1"/>
  <c r="ASK4" i="6" s="1"/>
  <c r="ASL4" i="6" s="1"/>
  <c r="ASM4" i="6" s="1"/>
  <c r="ASN4" i="6" s="1"/>
  <c r="ASO4" i="6" s="1"/>
  <c r="ASP4" i="6" s="1"/>
  <c r="ASQ4" i="6" s="1"/>
  <c r="ASR4" i="6" s="1"/>
  <c r="ASS4" i="6" s="1"/>
  <c r="AST4" i="6" s="1"/>
  <c r="ASU4" i="6" s="1"/>
  <c r="ASV4" i="6" s="1"/>
  <c r="ASW4" i="6" s="1"/>
  <c r="ASX4" i="6" s="1"/>
  <c r="ASY4" i="6" s="1"/>
  <c r="ASZ4" i="6" s="1"/>
  <c r="ATA4" i="6" s="1"/>
  <c r="ATB4" i="6" s="1"/>
  <c r="ATC4" i="6" s="1"/>
  <c r="ATD4" i="6" s="1"/>
  <c r="ATE4" i="6" s="1"/>
  <c r="ATF4" i="6" s="1"/>
  <c r="ATG4" i="6" s="1"/>
  <c r="ATH4" i="6" s="1"/>
  <c r="ATI4" i="6" s="1"/>
  <c r="ATJ4" i="6" s="1"/>
  <c r="ATK4" i="6" s="1"/>
  <c r="ATL4" i="6" s="1"/>
  <c r="ATM4" i="6" s="1"/>
  <c r="ATN4" i="6" s="1"/>
  <c r="ATO4" i="6" s="1"/>
  <c r="ATP4" i="6" s="1"/>
  <c r="ATQ4" i="6" s="1"/>
  <c r="ATR4" i="6" s="1"/>
  <c r="ATS4" i="6" s="1"/>
  <c r="ATT4" i="6" s="1"/>
  <c r="ATU4" i="6" s="1"/>
  <c r="ATV4" i="6" s="1"/>
  <c r="ATW4" i="6" s="1"/>
  <c r="ATX4" i="6" s="1"/>
  <c r="ATY4" i="6" s="1"/>
  <c r="ATZ4" i="6" s="1"/>
  <c r="AUA4" i="6" s="1"/>
  <c r="AUB4" i="6" s="1"/>
  <c r="AUC4" i="6" s="1"/>
  <c r="AUD4" i="6" s="1"/>
  <c r="AUE4" i="6" s="1"/>
  <c r="AUF4" i="6" s="1"/>
  <c r="AUG4" i="6" s="1"/>
  <c r="AUH4" i="6" s="1"/>
  <c r="AUI4" i="6" s="1"/>
  <c r="AUJ4" i="6" s="1"/>
  <c r="AUK4" i="6" s="1"/>
  <c r="AUL4" i="6" s="1"/>
  <c r="AUM4" i="6" s="1"/>
  <c r="AUN4" i="6" s="1"/>
  <c r="AUO4" i="6" s="1"/>
  <c r="AUP4" i="6" s="1"/>
  <c r="AUQ4" i="6" s="1"/>
  <c r="AUR4" i="6" s="1"/>
  <c r="AUS4" i="6" s="1"/>
  <c r="AUT4" i="6" s="1"/>
  <c r="AUU4" i="6" s="1"/>
  <c r="AUV4" i="6" s="1"/>
  <c r="AUW4" i="6" s="1"/>
  <c r="AUX4" i="6" s="1"/>
  <c r="AUY4" i="6" s="1"/>
  <c r="AUZ4" i="6" s="1"/>
  <c r="AVA4" i="6" s="1"/>
  <c r="AVB4" i="6" s="1"/>
  <c r="AVC4" i="6" s="1"/>
  <c r="AVD4" i="6" s="1"/>
  <c r="AVE4" i="6" s="1"/>
  <c r="AVF4" i="6" s="1"/>
  <c r="AVG4" i="6" s="1"/>
  <c r="AVH4" i="6" s="1"/>
  <c r="AVI4" i="6" s="1"/>
  <c r="AVJ4" i="6" s="1"/>
  <c r="AVK4" i="6" s="1"/>
  <c r="AVL4" i="6" s="1"/>
  <c r="AVM4" i="6" s="1"/>
  <c r="AVN4" i="6" s="1"/>
  <c r="AVO4" i="6" s="1"/>
  <c r="AVP4" i="6" s="1"/>
  <c r="AVQ4" i="6" s="1"/>
  <c r="AVR4" i="6" s="1"/>
  <c r="AVS4" i="6" s="1"/>
  <c r="AVT4" i="6" s="1"/>
  <c r="AVU4" i="6" s="1"/>
  <c r="AVV4" i="6" s="1"/>
  <c r="AVW4" i="6" s="1"/>
  <c r="AVX4" i="6" s="1"/>
  <c r="AVY4" i="6" s="1"/>
  <c r="AVZ4" i="6" s="1"/>
  <c r="AWA4" i="6" s="1"/>
  <c r="AWB4" i="6" s="1"/>
  <c r="AWC4" i="6" s="1"/>
  <c r="AWD4" i="6" s="1"/>
  <c r="AWE4" i="6" s="1"/>
  <c r="AWF4" i="6" s="1"/>
  <c r="AWG4" i="6" s="1"/>
  <c r="AWH4" i="6" s="1"/>
  <c r="AWI4" i="6" s="1"/>
  <c r="AWJ4" i="6" s="1"/>
  <c r="AWK4" i="6" s="1"/>
  <c r="AWL4" i="6" s="1"/>
  <c r="AWM4" i="6" s="1"/>
  <c r="AWN4" i="6" s="1"/>
  <c r="AWO4" i="6" s="1"/>
  <c r="AWP4" i="6" s="1"/>
  <c r="AWQ4" i="6" s="1"/>
  <c r="AWR4" i="6" s="1"/>
  <c r="AWS4" i="6" s="1"/>
  <c r="AWT4" i="6" s="1"/>
  <c r="AWU4" i="6" s="1"/>
  <c r="AWV4" i="6" s="1"/>
  <c r="AWW4" i="6" s="1"/>
  <c r="AWX4" i="6" s="1"/>
  <c r="AWY4" i="6" s="1"/>
  <c r="AWZ4" i="6" s="1"/>
  <c r="AXA4" i="6" s="1"/>
  <c r="AXB4" i="6" s="1"/>
  <c r="AXC4" i="6" s="1"/>
  <c r="AXD4" i="6" s="1"/>
  <c r="AXE4" i="6" s="1"/>
  <c r="AXF4" i="6" s="1"/>
  <c r="AXG4" i="6" s="1"/>
  <c r="AXH4" i="6" s="1"/>
  <c r="AXI4" i="6" s="1"/>
  <c r="AXJ4" i="6" s="1"/>
  <c r="AXK4" i="6" s="1"/>
  <c r="AXL4" i="6" s="1"/>
  <c r="AXM4" i="6" s="1"/>
  <c r="AXN4" i="6" s="1"/>
  <c r="AXO4" i="6" s="1"/>
  <c r="AXP4" i="6" s="1"/>
  <c r="AXQ4" i="6" s="1"/>
  <c r="AXR4" i="6" s="1"/>
  <c r="AXS4" i="6" s="1"/>
  <c r="AXT4" i="6" s="1"/>
  <c r="AXU4" i="6" s="1"/>
  <c r="AXV4" i="6" s="1"/>
  <c r="AXW4" i="6" s="1"/>
  <c r="AXX4" i="6" s="1"/>
  <c r="AXY4" i="6" s="1"/>
  <c r="AXZ4" i="6" s="1"/>
  <c r="AYA4" i="6" s="1"/>
  <c r="AYB4" i="6" s="1"/>
  <c r="AYC4" i="6" s="1"/>
  <c r="AYD4" i="6" s="1"/>
  <c r="AYE4" i="6" s="1"/>
  <c r="AYF4" i="6" s="1"/>
  <c r="AYG4" i="6" s="1"/>
  <c r="AYH4" i="6" s="1"/>
  <c r="AYI4" i="6" s="1"/>
  <c r="AYJ4" i="6" s="1"/>
  <c r="AYK4" i="6" s="1"/>
  <c r="AYL4" i="6" s="1"/>
  <c r="AYM4" i="6" s="1"/>
  <c r="AYN4" i="6" s="1"/>
  <c r="AYO4" i="6" s="1"/>
  <c r="AYP4" i="6" s="1"/>
  <c r="AYQ4" i="6" s="1"/>
  <c r="AYR4" i="6" s="1"/>
  <c r="AYS4" i="6" s="1"/>
  <c r="AYT4" i="6" s="1"/>
  <c r="AYU4" i="6" s="1"/>
  <c r="AYV4" i="6" s="1"/>
  <c r="AYW4" i="6" s="1"/>
  <c r="AYX4" i="6" s="1"/>
  <c r="AYY4" i="6" s="1"/>
  <c r="AYZ4" i="6" s="1"/>
  <c r="AZA4" i="6" s="1"/>
  <c r="AZB4" i="6" s="1"/>
  <c r="AZC4" i="6" s="1"/>
  <c r="AZD4" i="6" s="1"/>
  <c r="AZE4" i="6" s="1"/>
  <c r="AZF4" i="6" s="1"/>
  <c r="AZG4" i="6" s="1"/>
  <c r="C5" i="6"/>
  <c r="F4" i="5"/>
  <c r="C9" i="6" s="1"/>
  <c r="F47" i="5"/>
  <c r="U40" i="18"/>
  <c r="U42" i="18"/>
  <c r="U105" i="18"/>
  <c r="H12" i="3"/>
  <c r="J12" i="3" s="1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 s="1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 s="1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 s="1"/>
  <c r="W39" i="18"/>
  <c r="W66" i="18"/>
  <c r="W115" i="18"/>
  <c r="K49" i="2"/>
  <c r="N49" i="2" s="1"/>
  <c r="F42" i="5" l="1"/>
  <c r="F41" i="5"/>
  <c r="F43" i="5"/>
  <c r="F44" i="5"/>
  <c r="F45" i="5"/>
  <c r="V28" i="18"/>
  <c r="V104" i="18"/>
  <c r="V91" i="18"/>
  <c r="D5" i="6"/>
  <c r="AE17" i="6"/>
  <c r="J17" i="3"/>
  <c r="J5" i="3" s="1"/>
  <c r="H5" i="3"/>
  <c r="F5" i="5" s="1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1" i="2"/>
  <c r="N51" i="2" l="1"/>
  <c r="P17" i="5"/>
  <c r="F46" i="5"/>
  <c r="H25" i="3"/>
  <c r="H6" i="6"/>
  <c r="G7" i="6"/>
  <c r="C11" i="6"/>
  <c r="F6" i="5"/>
  <c r="F7" i="5" s="1"/>
  <c r="D17" i="6"/>
  <c r="C17" i="6" s="1"/>
  <c r="AE18" i="6"/>
  <c r="K52" i="2"/>
  <c r="N52" i="2" s="1"/>
  <c r="F12" i="6"/>
  <c r="D11" i="6"/>
  <c r="I46" i="2"/>
  <c r="T20" i="2" s="1"/>
  <c r="AFM9" i="6" l="1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 s="1"/>
  <c r="F14" i="6" s="1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6" i="6"/>
  <c r="H7" i="6"/>
  <c r="G12" i="6"/>
  <c r="N46" i="2"/>
  <c r="K46" i="2"/>
  <c r="D9" i="6" l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LE10" i="6" s="1"/>
  <c r="LF10" i="6" s="1"/>
  <c r="LG10" i="6" s="1"/>
  <c r="LH10" i="6" s="1"/>
  <c r="LI10" i="6" s="1"/>
  <c r="LJ10" i="6" s="1"/>
  <c r="LK10" i="6" s="1"/>
  <c r="LL10" i="6" s="1"/>
  <c r="LM10" i="6" s="1"/>
  <c r="LN10" i="6" s="1"/>
  <c r="LO10" i="6" s="1"/>
  <c r="LP10" i="6" s="1"/>
  <c r="LQ10" i="6" s="1"/>
  <c r="LR10" i="6" s="1"/>
  <c r="LS10" i="6" s="1"/>
  <c r="LT10" i="6" s="1"/>
  <c r="LU10" i="6" s="1"/>
  <c r="LV10" i="6" s="1"/>
  <c r="LW10" i="6" s="1"/>
  <c r="LX10" i="6" s="1"/>
  <c r="LY10" i="6" s="1"/>
  <c r="LZ10" i="6" s="1"/>
  <c r="MA10" i="6" s="1"/>
  <c r="MB10" i="6" s="1"/>
  <c r="MC10" i="6" s="1"/>
  <c r="MD10" i="6" s="1"/>
  <c r="ME10" i="6" s="1"/>
  <c r="MF10" i="6" s="1"/>
  <c r="MG10" i="6" s="1"/>
  <c r="MH10" i="6" s="1"/>
  <c r="MI10" i="6" s="1"/>
  <c r="MJ10" i="6" s="1"/>
  <c r="MK10" i="6" s="1"/>
  <c r="ML10" i="6" s="1"/>
  <c r="MM10" i="6" s="1"/>
  <c r="MN10" i="6" s="1"/>
  <c r="MO10" i="6" s="1"/>
  <c r="MP10" i="6" s="1"/>
  <c r="MQ10" i="6" s="1"/>
  <c r="MR10" i="6" s="1"/>
  <c r="MS10" i="6" s="1"/>
  <c r="MT10" i="6" s="1"/>
  <c r="MU10" i="6" s="1"/>
  <c r="MV10" i="6" s="1"/>
  <c r="MW10" i="6" s="1"/>
  <c r="MX10" i="6" s="1"/>
  <c r="MY10" i="6" s="1"/>
  <c r="MZ10" i="6" s="1"/>
  <c r="NA10" i="6" s="1"/>
  <c r="NB10" i="6" s="1"/>
  <c r="NC10" i="6" s="1"/>
  <c r="ND10" i="6" s="1"/>
  <c r="NE10" i="6" s="1"/>
  <c r="NF10" i="6" s="1"/>
  <c r="NG10" i="6" s="1"/>
  <c r="NH10" i="6" s="1"/>
  <c r="NI10" i="6" s="1"/>
  <c r="NJ10" i="6" s="1"/>
  <c r="NK10" i="6" s="1"/>
  <c r="NL10" i="6" s="1"/>
  <c r="NM10" i="6" s="1"/>
  <c r="NN10" i="6" s="1"/>
  <c r="NO10" i="6" s="1"/>
  <c r="NP10" i="6" s="1"/>
  <c r="NQ10" i="6" s="1"/>
  <c r="NR10" i="6" s="1"/>
  <c r="NS10" i="6" s="1"/>
  <c r="NT10" i="6" s="1"/>
  <c r="NU10" i="6" s="1"/>
  <c r="NV10" i="6" s="1"/>
  <c r="NW10" i="6" s="1"/>
  <c r="NX10" i="6" s="1"/>
  <c r="NY10" i="6" s="1"/>
  <c r="NZ10" i="6" s="1"/>
  <c r="OA10" i="6" s="1"/>
  <c r="OB10" i="6" s="1"/>
  <c r="OC10" i="6" s="1"/>
  <c r="OD10" i="6" s="1"/>
  <c r="OE10" i="6" s="1"/>
  <c r="OF10" i="6" s="1"/>
  <c r="OG10" i="6" s="1"/>
  <c r="OH10" i="6" s="1"/>
  <c r="OI10" i="6" s="1"/>
  <c r="OJ10" i="6" s="1"/>
  <c r="OK10" i="6" s="1"/>
  <c r="OL10" i="6" s="1"/>
  <c r="OM10" i="6" s="1"/>
  <c r="ON10" i="6" s="1"/>
  <c r="OO10" i="6" s="1"/>
  <c r="OP10" i="6" s="1"/>
  <c r="OQ10" i="6" s="1"/>
  <c r="OR10" i="6" s="1"/>
  <c r="OS10" i="6" s="1"/>
  <c r="OT10" i="6" s="1"/>
  <c r="OU10" i="6" s="1"/>
  <c r="OV10" i="6" s="1"/>
  <c r="OW10" i="6" s="1"/>
  <c r="OX10" i="6" s="1"/>
  <c r="OY10" i="6" s="1"/>
  <c r="OZ10" i="6" s="1"/>
  <c r="PA10" i="6" s="1"/>
  <c r="PB10" i="6" s="1"/>
  <c r="PC10" i="6" s="1"/>
  <c r="PD10" i="6" s="1"/>
  <c r="PE10" i="6" s="1"/>
  <c r="PF10" i="6" s="1"/>
  <c r="PG10" i="6" s="1"/>
  <c r="PH10" i="6" s="1"/>
  <c r="PI10" i="6" s="1"/>
  <c r="PJ10" i="6" s="1"/>
  <c r="PK10" i="6" s="1"/>
  <c r="PL10" i="6" s="1"/>
  <c r="PM10" i="6" s="1"/>
  <c r="PN10" i="6" s="1"/>
  <c r="PO10" i="6" s="1"/>
  <c r="PP10" i="6" s="1"/>
  <c r="PQ10" i="6" s="1"/>
  <c r="PR10" i="6" s="1"/>
  <c r="PS10" i="6" s="1"/>
  <c r="PT10" i="6" s="1"/>
  <c r="PU10" i="6" s="1"/>
  <c r="PV10" i="6" s="1"/>
  <c r="PW10" i="6" s="1"/>
  <c r="PX10" i="6" s="1"/>
  <c r="PY10" i="6" s="1"/>
  <c r="PZ10" i="6" s="1"/>
  <c r="QA10" i="6" s="1"/>
  <c r="QB10" i="6" s="1"/>
  <c r="QC10" i="6" s="1"/>
  <c r="QD10" i="6" s="1"/>
  <c r="QE10" i="6" s="1"/>
  <c r="QF10" i="6" s="1"/>
  <c r="QG10" i="6" s="1"/>
  <c r="QH10" i="6" s="1"/>
  <c r="QI10" i="6" s="1"/>
  <c r="QJ10" i="6" s="1"/>
  <c r="QK10" i="6" s="1"/>
  <c r="QL10" i="6" s="1"/>
  <c r="QM10" i="6" s="1"/>
  <c r="QN10" i="6" s="1"/>
  <c r="QO10" i="6" s="1"/>
  <c r="QP10" i="6" s="1"/>
  <c r="QQ10" i="6" s="1"/>
  <c r="QR10" i="6" s="1"/>
  <c r="QS10" i="6" s="1"/>
  <c r="QT10" i="6" s="1"/>
  <c r="QU10" i="6" s="1"/>
  <c r="QV10" i="6" s="1"/>
  <c r="QW10" i="6" s="1"/>
  <c r="QX10" i="6" s="1"/>
  <c r="QY10" i="6" s="1"/>
  <c r="QZ10" i="6" s="1"/>
  <c r="RA10" i="6" s="1"/>
  <c r="RB10" i="6" s="1"/>
  <c r="RC10" i="6" s="1"/>
  <c r="RD10" i="6" s="1"/>
  <c r="RE10" i="6" s="1"/>
  <c r="RF10" i="6" s="1"/>
  <c r="RG10" i="6" s="1"/>
  <c r="RH10" i="6" s="1"/>
  <c r="RI10" i="6" s="1"/>
  <c r="RJ10" i="6" s="1"/>
  <c r="RK10" i="6" s="1"/>
  <c r="RL10" i="6" s="1"/>
  <c r="RM10" i="6" s="1"/>
  <c r="RN10" i="6" s="1"/>
  <c r="RO10" i="6" s="1"/>
  <c r="RP10" i="6" s="1"/>
  <c r="RQ10" i="6" s="1"/>
  <c r="RR10" i="6" s="1"/>
  <c r="RS10" i="6" s="1"/>
  <c r="RT10" i="6" s="1"/>
  <c r="RU10" i="6" s="1"/>
  <c r="RV10" i="6" s="1"/>
  <c r="RW10" i="6" s="1"/>
  <c r="RX10" i="6" s="1"/>
  <c r="RY10" i="6" s="1"/>
  <c r="RZ10" i="6" s="1"/>
  <c r="SA10" i="6" s="1"/>
  <c r="SB10" i="6" s="1"/>
  <c r="SC10" i="6" s="1"/>
  <c r="SD10" i="6" s="1"/>
  <c r="SE10" i="6" s="1"/>
  <c r="SF10" i="6" s="1"/>
  <c r="SG10" i="6" s="1"/>
  <c r="SH10" i="6" s="1"/>
  <c r="SI10" i="6" s="1"/>
  <c r="SJ10" i="6" s="1"/>
  <c r="SK10" i="6" s="1"/>
  <c r="SL10" i="6" s="1"/>
  <c r="SM10" i="6" s="1"/>
  <c r="SN10" i="6" s="1"/>
  <c r="SO10" i="6" s="1"/>
  <c r="SP10" i="6" s="1"/>
  <c r="SQ10" i="6" s="1"/>
  <c r="SR10" i="6" s="1"/>
  <c r="SS10" i="6" s="1"/>
  <c r="ST10" i="6" s="1"/>
  <c r="SU10" i="6" s="1"/>
  <c r="SV10" i="6" s="1"/>
  <c r="SW10" i="6" s="1"/>
  <c r="SX10" i="6" s="1"/>
  <c r="SY10" i="6" s="1"/>
  <c r="SZ10" i="6" s="1"/>
  <c r="TA10" i="6" s="1"/>
  <c r="TB10" i="6" s="1"/>
  <c r="TC10" i="6" s="1"/>
  <c r="TD10" i="6" s="1"/>
  <c r="TE10" i="6" s="1"/>
  <c r="TF10" i="6" s="1"/>
  <c r="TG10" i="6" s="1"/>
  <c r="TH10" i="6" s="1"/>
  <c r="TI10" i="6" s="1"/>
  <c r="TJ10" i="6" s="1"/>
  <c r="TK10" i="6" s="1"/>
  <c r="TL10" i="6" s="1"/>
  <c r="TM10" i="6" s="1"/>
  <c r="TN10" i="6" s="1"/>
  <c r="TO10" i="6" s="1"/>
  <c r="TP10" i="6" s="1"/>
  <c r="TQ10" i="6" s="1"/>
  <c r="TR10" i="6" s="1"/>
  <c r="TS10" i="6" s="1"/>
  <c r="TT10" i="6" s="1"/>
  <c r="TU10" i="6" s="1"/>
  <c r="TV10" i="6" s="1"/>
  <c r="TW10" i="6" s="1"/>
  <c r="TX10" i="6" s="1"/>
  <c r="TY10" i="6" s="1"/>
  <c r="TZ10" i="6" s="1"/>
  <c r="UA10" i="6" s="1"/>
  <c r="UB10" i="6" s="1"/>
  <c r="UC10" i="6" s="1"/>
  <c r="UD10" i="6" s="1"/>
  <c r="UE10" i="6" s="1"/>
  <c r="UF10" i="6" s="1"/>
  <c r="UG10" i="6" s="1"/>
  <c r="UH10" i="6" s="1"/>
  <c r="UI10" i="6" s="1"/>
  <c r="UJ10" i="6" s="1"/>
  <c r="UK10" i="6" s="1"/>
  <c r="UL10" i="6" s="1"/>
  <c r="UM10" i="6" s="1"/>
  <c r="UN10" i="6" s="1"/>
  <c r="UO10" i="6" s="1"/>
  <c r="UP10" i="6" s="1"/>
  <c r="UQ10" i="6" s="1"/>
  <c r="UR10" i="6" s="1"/>
  <c r="US10" i="6" s="1"/>
  <c r="UT10" i="6" s="1"/>
  <c r="UU10" i="6" s="1"/>
  <c r="UV10" i="6" s="1"/>
  <c r="UW10" i="6" s="1"/>
  <c r="UX10" i="6" s="1"/>
  <c r="UY10" i="6" s="1"/>
  <c r="UZ10" i="6" s="1"/>
  <c r="VA10" i="6" s="1"/>
  <c r="VB10" i="6" s="1"/>
  <c r="VC10" i="6" s="1"/>
  <c r="VD10" i="6" s="1"/>
  <c r="VE10" i="6" s="1"/>
  <c r="VF10" i="6" s="1"/>
  <c r="VG10" i="6" s="1"/>
  <c r="VH10" i="6" s="1"/>
  <c r="VI10" i="6" s="1"/>
  <c r="VJ10" i="6" s="1"/>
  <c r="VK10" i="6" s="1"/>
  <c r="VL10" i="6" s="1"/>
  <c r="VM10" i="6" s="1"/>
  <c r="VN10" i="6" s="1"/>
  <c r="VO10" i="6" s="1"/>
  <c r="VP10" i="6" s="1"/>
  <c r="VQ10" i="6" s="1"/>
  <c r="VR10" i="6" s="1"/>
  <c r="VS10" i="6" s="1"/>
  <c r="VT10" i="6" s="1"/>
  <c r="VU10" i="6" s="1"/>
  <c r="VV10" i="6" s="1"/>
  <c r="VW10" i="6" s="1"/>
  <c r="VX10" i="6" s="1"/>
  <c r="VY10" i="6" s="1"/>
  <c r="VZ10" i="6" s="1"/>
  <c r="WA10" i="6" s="1"/>
  <c r="WB10" i="6" s="1"/>
  <c r="WC10" i="6" s="1"/>
  <c r="WD10" i="6" s="1"/>
  <c r="WE10" i="6" s="1"/>
  <c r="WF10" i="6" s="1"/>
  <c r="WG10" i="6" s="1"/>
  <c r="WH10" i="6" s="1"/>
  <c r="WI10" i="6" s="1"/>
  <c r="WJ10" i="6" s="1"/>
  <c r="WK10" i="6" s="1"/>
  <c r="WL10" i="6" s="1"/>
  <c r="WM10" i="6" s="1"/>
  <c r="WN10" i="6" s="1"/>
  <c r="WO10" i="6" s="1"/>
  <c r="WP10" i="6" s="1"/>
  <c r="WQ10" i="6" s="1"/>
  <c r="WR10" i="6" s="1"/>
  <c r="WS10" i="6" s="1"/>
  <c r="WT10" i="6" s="1"/>
  <c r="WU10" i="6" s="1"/>
  <c r="WV10" i="6" s="1"/>
  <c r="WW10" i="6" s="1"/>
  <c r="WX10" i="6" s="1"/>
  <c r="WY10" i="6" s="1"/>
  <c r="WZ10" i="6" s="1"/>
  <c r="XA10" i="6" s="1"/>
  <c r="XB10" i="6" s="1"/>
  <c r="XC10" i="6" s="1"/>
  <c r="XD10" i="6" s="1"/>
  <c r="XE10" i="6" s="1"/>
  <c r="XF10" i="6" s="1"/>
  <c r="XG10" i="6" s="1"/>
  <c r="XH10" i="6" s="1"/>
  <c r="XI10" i="6" s="1"/>
  <c r="XJ10" i="6" s="1"/>
  <c r="XK10" i="6" s="1"/>
  <c r="XL10" i="6" s="1"/>
  <c r="XM10" i="6" s="1"/>
  <c r="XN10" i="6" s="1"/>
  <c r="XO10" i="6" s="1"/>
  <c r="XP10" i="6" s="1"/>
  <c r="XQ10" i="6" s="1"/>
  <c r="XR10" i="6" s="1"/>
  <c r="XS10" i="6" s="1"/>
  <c r="XT10" i="6" s="1"/>
  <c r="XU10" i="6" s="1"/>
  <c r="XV10" i="6" s="1"/>
  <c r="XW10" i="6" s="1"/>
  <c r="XX10" i="6" s="1"/>
  <c r="XY10" i="6" s="1"/>
  <c r="XZ10" i="6" s="1"/>
  <c r="YA10" i="6" s="1"/>
  <c r="YB10" i="6" s="1"/>
  <c r="YC10" i="6" s="1"/>
  <c r="YD10" i="6" s="1"/>
  <c r="YE10" i="6" s="1"/>
  <c r="YF10" i="6" s="1"/>
  <c r="YG10" i="6" s="1"/>
  <c r="YH10" i="6" s="1"/>
  <c r="YI10" i="6" s="1"/>
  <c r="YJ10" i="6" s="1"/>
  <c r="YK10" i="6" s="1"/>
  <c r="YL10" i="6" s="1"/>
  <c r="YM10" i="6" s="1"/>
  <c r="YN10" i="6" s="1"/>
  <c r="YO10" i="6" s="1"/>
  <c r="YP10" i="6" s="1"/>
  <c r="YQ10" i="6" s="1"/>
  <c r="YR10" i="6" s="1"/>
  <c r="YS10" i="6" s="1"/>
  <c r="YT10" i="6" s="1"/>
  <c r="YU10" i="6" s="1"/>
  <c r="YV10" i="6" s="1"/>
  <c r="YW10" i="6" s="1"/>
  <c r="YX10" i="6" s="1"/>
  <c r="YY10" i="6" s="1"/>
  <c r="YZ10" i="6" s="1"/>
  <c r="ZA10" i="6" s="1"/>
  <c r="ZB10" i="6" s="1"/>
  <c r="ZC10" i="6" s="1"/>
  <c r="ZD10" i="6" s="1"/>
  <c r="ZE10" i="6" s="1"/>
  <c r="ZF10" i="6" s="1"/>
  <c r="ZG10" i="6" s="1"/>
  <c r="ZH10" i="6" s="1"/>
  <c r="ZI10" i="6" s="1"/>
  <c r="ZJ10" i="6" s="1"/>
  <c r="ZK10" i="6" s="1"/>
  <c r="ZL10" i="6" s="1"/>
  <c r="ZM10" i="6" s="1"/>
  <c r="ZN10" i="6" s="1"/>
  <c r="ZO10" i="6" s="1"/>
  <c r="ZP10" i="6" s="1"/>
  <c r="ZQ10" i="6" s="1"/>
  <c r="ZR10" i="6" s="1"/>
  <c r="ZS10" i="6" s="1"/>
  <c r="ZT10" i="6" s="1"/>
  <c r="ZU10" i="6" s="1"/>
  <c r="ZV10" i="6" s="1"/>
  <c r="ZW10" i="6" s="1"/>
  <c r="ZX10" i="6" s="1"/>
  <c r="ZY10" i="6" s="1"/>
  <c r="ZZ10" i="6" s="1"/>
  <c r="AAA10" i="6" s="1"/>
  <c r="AAB10" i="6" s="1"/>
  <c r="AAC10" i="6" s="1"/>
  <c r="AAD10" i="6" s="1"/>
  <c r="AAE10" i="6" s="1"/>
  <c r="AAF10" i="6" s="1"/>
  <c r="AAG10" i="6" s="1"/>
  <c r="AAH10" i="6" s="1"/>
  <c r="AAI10" i="6" s="1"/>
  <c r="AAJ10" i="6" s="1"/>
  <c r="AAK10" i="6" s="1"/>
  <c r="AAL10" i="6" s="1"/>
  <c r="AAM10" i="6" s="1"/>
  <c r="AAN10" i="6" s="1"/>
  <c r="AAO10" i="6" s="1"/>
  <c r="AAP10" i="6" s="1"/>
  <c r="AAQ10" i="6" s="1"/>
  <c r="AAR10" i="6" s="1"/>
  <c r="AAS10" i="6" s="1"/>
  <c r="AAT10" i="6" s="1"/>
  <c r="AAU10" i="6" s="1"/>
  <c r="AAV10" i="6" s="1"/>
  <c r="AAW10" i="6" s="1"/>
  <c r="AAX10" i="6" s="1"/>
  <c r="AAY10" i="6" s="1"/>
  <c r="AAZ10" i="6" s="1"/>
  <c r="ABA10" i="6" s="1"/>
  <c r="ABB10" i="6" s="1"/>
  <c r="ABC10" i="6" s="1"/>
  <c r="ABD10" i="6" s="1"/>
  <c r="ABE10" i="6" s="1"/>
  <c r="ABF10" i="6" s="1"/>
  <c r="ABG10" i="6" s="1"/>
  <c r="ABH10" i="6" s="1"/>
  <c r="ABI10" i="6" s="1"/>
  <c r="ABJ10" i="6" s="1"/>
  <c r="ABK10" i="6" s="1"/>
  <c r="ABL10" i="6" s="1"/>
  <c r="ABM10" i="6" s="1"/>
  <c r="ABN10" i="6" s="1"/>
  <c r="ABO10" i="6" s="1"/>
  <c r="ABP10" i="6" s="1"/>
  <c r="ABQ10" i="6" s="1"/>
  <c r="ABR10" i="6" s="1"/>
  <c r="ABS10" i="6" s="1"/>
  <c r="ABT10" i="6" s="1"/>
  <c r="ABU10" i="6" s="1"/>
  <c r="ABV10" i="6" s="1"/>
  <c r="ABW10" i="6" s="1"/>
  <c r="ABX10" i="6" s="1"/>
  <c r="ABY10" i="6" s="1"/>
  <c r="ABZ10" i="6" s="1"/>
  <c r="ACA10" i="6" s="1"/>
  <c r="ACB10" i="6" s="1"/>
  <c r="ACC10" i="6" s="1"/>
  <c r="ACD10" i="6" s="1"/>
  <c r="ACE10" i="6" s="1"/>
  <c r="ACF10" i="6" s="1"/>
  <c r="ACG10" i="6" s="1"/>
  <c r="ACH10" i="6" s="1"/>
  <c r="ACI10" i="6" s="1"/>
  <c r="ACJ10" i="6" s="1"/>
  <c r="ACK10" i="6" s="1"/>
  <c r="ACL10" i="6" s="1"/>
  <c r="ACM10" i="6" s="1"/>
  <c r="ACN10" i="6" s="1"/>
  <c r="ACO10" i="6" s="1"/>
  <c r="ACP10" i="6" s="1"/>
  <c r="ACQ10" i="6" s="1"/>
  <c r="ACR10" i="6" s="1"/>
  <c r="ACS10" i="6" s="1"/>
  <c r="ACT10" i="6" s="1"/>
  <c r="ACU10" i="6" s="1"/>
  <c r="ACV10" i="6" s="1"/>
  <c r="ACW10" i="6" s="1"/>
  <c r="ACX10" i="6" s="1"/>
  <c r="ACY10" i="6" s="1"/>
  <c r="ACZ10" i="6" s="1"/>
  <c r="ADA10" i="6" s="1"/>
  <c r="ADB10" i="6" s="1"/>
  <c r="ADC10" i="6" s="1"/>
  <c r="ADD10" i="6" s="1"/>
  <c r="ADE10" i="6" s="1"/>
  <c r="ADF10" i="6" s="1"/>
  <c r="ADG10" i="6" s="1"/>
  <c r="ADH10" i="6" s="1"/>
  <c r="ADI10" i="6" s="1"/>
  <c r="ADJ10" i="6" s="1"/>
  <c r="ADK10" i="6" s="1"/>
  <c r="ADL10" i="6" s="1"/>
  <c r="ADM10" i="6" s="1"/>
  <c r="ADN10" i="6" s="1"/>
  <c r="ADO10" i="6" s="1"/>
  <c r="ADP10" i="6" s="1"/>
  <c r="ADQ10" i="6" s="1"/>
  <c r="ADR10" i="6" s="1"/>
  <c r="ADS10" i="6" s="1"/>
  <c r="ADT10" i="6" s="1"/>
  <c r="ADU10" i="6" s="1"/>
  <c r="ADV10" i="6" s="1"/>
  <c r="ADW10" i="6" s="1"/>
  <c r="ADX10" i="6" s="1"/>
  <c r="ADY10" i="6" s="1"/>
  <c r="ADZ10" i="6" s="1"/>
  <c r="AEA10" i="6" s="1"/>
  <c r="AEB10" i="6" s="1"/>
  <c r="AEC10" i="6" s="1"/>
  <c r="AED10" i="6" s="1"/>
  <c r="AEE10" i="6" s="1"/>
  <c r="AEF10" i="6" s="1"/>
  <c r="AEG10" i="6" s="1"/>
  <c r="AEH10" i="6" s="1"/>
  <c r="AEI10" i="6" s="1"/>
  <c r="AEJ10" i="6" s="1"/>
  <c r="AEK10" i="6" s="1"/>
  <c r="AEL10" i="6" s="1"/>
  <c r="AEM10" i="6" s="1"/>
  <c r="AEN10" i="6" s="1"/>
  <c r="AEO10" i="6" s="1"/>
  <c r="AEP10" i="6" s="1"/>
  <c r="AEQ10" i="6" s="1"/>
  <c r="AER10" i="6" s="1"/>
  <c r="AES10" i="6" s="1"/>
  <c r="AET10" i="6" s="1"/>
  <c r="AEU10" i="6" s="1"/>
  <c r="AEV10" i="6" s="1"/>
  <c r="AEW10" i="6" s="1"/>
  <c r="AEX10" i="6" s="1"/>
  <c r="AEY10" i="6" s="1"/>
  <c r="AEZ10" i="6" s="1"/>
  <c r="AFA10" i="6" s="1"/>
  <c r="AFB10" i="6" s="1"/>
  <c r="AFC10" i="6" s="1"/>
  <c r="AFD10" i="6" s="1"/>
  <c r="AFE10" i="6" s="1"/>
  <c r="AFF10" i="6" s="1"/>
  <c r="AFG10" i="6" s="1"/>
  <c r="AFH10" i="6" s="1"/>
  <c r="AFI10" i="6" s="1"/>
  <c r="AFJ10" i="6" s="1"/>
  <c r="AFK10" i="6" s="1"/>
  <c r="AFL10" i="6" s="1"/>
  <c r="AFM10" i="6" s="1"/>
  <c r="AFN10" i="6" s="1"/>
  <c r="AFO10" i="6" s="1"/>
  <c r="AFP10" i="6" s="1"/>
  <c r="AFQ10" i="6" s="1"/>
  <c r="AFR10" i="6" s="1"/>
  <c r="AFS10" i="6" s="1"/>
  <c r="AFT10" i="6" s="1"/>
  <c r="AFU10" i="6" s="1"/>
  <c r="AFV10" i="6" s="1"/>
  <c r="AFW10" i="6" s="1"/>
  <c r="AFX10" i="6" s="1"/>
  <c r="AFY10" i="6" s="1"/>
  <c r="AFZ10" i="6" s="1"/>
  <c r="AGA10" i="6" s="1"/>
  <c r="AGB10" i="6" s="1"/>
  <c r="AGC10" i="6" s="1"/>
  <c r="AGD10" i="6" s="1"/>
  <c r="AGE10" i="6" s="1"/>
  <c r="AGF10" i="6" s="1"/>
  <c r="AGG10" i="6" s="1"/>
  <c r="AGH10" i="6" s="1"/>
  <c r="AGI10" i="6" s="1"/>
  <c r="AGJ10" i="6" s="1"/>
  <c r="AGK10" i="6" s="1"/>
  <c r="AGL10" i="6" s="1"/>
  <c r="AGM10" i="6" s="1"/>
  <c r="AGN10" i="6" s="1"/>
  <c r="AGO10" i="6" s="1"/>
  <c r="AGP10" i="6" s="1"/>
  <c r="AGQ10" i="6" s="1"/>
  <c r="AGR10" i="6" s="1"/>
  <c r="AGS10" i="6" s="1"/>
  <c r="AGT10" i="6" s="1"/>
  <c r="AGU10" i="6" s="1"/>
  <c r="AGV10" i="6" s="1"/>
  <c r="AGW10" i="6" s="1"/>
  <c r="AGX10" i="6" s="1"/>
  <c r="AGY10" i="6" s="1"/>
  <c r="AGZ10" i="6" s="1"/>
  <c r="AHA10" i="6" s="1"/>
  <c r="AHB10" i="6" s="1"/>
  <c r="AHC10" i="6" s="1"/>
  <c r="AHD10" i="6" s="1"/>
  <c r="AHE10" i="6" s="1"/>
  <c r="AHF10" i="6" s="1"/>
  <c r="AHG10" i="6" s="1"/>
  <c r="AHH10" i="6" s="1"/>
  <c r="AHI10" i="6" s="1"/>
  <c r="AHJ10" i="6" s="1"/>
  <c r="AHK10" i="6" s="1"/>
  <c r="AHL10" i="6" s="1"/>
  <c r="AHM10" i="6" s="1"/>
  <c r="AHN10" i="6" s="1"/>
  <c r="AHO10" i="6" s="1"/>
  <c r="AHP10" i="6" s="1"/>
  <c r="AHQ10" i="6" s="1"/>
  <c r="AHR10" i="6" s="1"/>
  <c r="AHS10" i="6" s="1"/>
  <c r="AHT10" i="6" s="1"/>
  <c r="AHU10" i="6" s="1"/>
  <c r="AHV10" i="6" s="1"/>
  <c r="AHW10" i="6" s="1"/>
  <c r="AHX10" i="6" s="1"/>
  <c r="AHY10" i="6" s="1"/>
  <c r="AHZ10" i="6" s="1"/>
  <c r="AIA10" i="6" s="1"/>
  <c r="AIB10" i="6" s="1"/>
  <c r="AIC10" i="6" s="1"/>
  <c r="AID10" i="6" s="1"/>
  <c r="AIE10" i="6" s="1"/>
  <c r="AIF10" i="6" s="1"/>
  <c r="AIG10" i="6" s="1"/>
  <c r="AIH10" i="6" s="1"/>
  <c r="AII10" i="6" s="1"/>
  <c r="AIJ10" i="6" s="1"/>
  <c r="AIK10" i="6" s="1"/>
  <c r="AIL10" i="6" s="1"/>
  <c r="AIM10" i="6" s="1"/>
  <c r="AIN10" i="6" s="1"/>
  <c r="AIO10" i="6" s="1"/>
  <c r="AIP10" i="6" s="1"/>
  <c r="AIQ10" i="6" s="1"/>
  <c r="AIR10" i="6" s="1"/>
  <c r="AIS10" i="6" s="1"/>
  <c r="AIT10" i="6" s="1"/>
  <c r="AIU10" i="6" s="1"/>
  <c r="AIV10" i="6" s="1"/>
  <c r="AIW10" i="6" s="1"/>
  <c r="AIX10" i="6" s="1"/>
  <c r="AIY10" i="6" s="1"/>
  <c r="AIZ10" i="6" s="1"/>
  <c r="AJA10" i="6" s="1"/>
  <c r="AJB10" i="6" s="1"/>
  <c r="AJC10" i="6" s="1"/>
  <c r="AJD10" i="6" s="1"/>
  <c r="AJE10" i="6" s="1"/>
  <c r="AJF10" i="6" s="1"/>
  <c r="AJG10" i="6" s="1"/>
  <c r="AJH10" i="6" s="1"/>
  <c r="AJI10" i="6" s="1"/>
  <c r="AJJ10" i="6" s="1"/>
  <c r="AJK10" i="6" s="1"/>
  <c r="AJL10" i="6" s="1"/>
  <c r="AJM10" i="6" s="1"/>
  <c r="AJN10" i="6" s="1"/>
  <c r="AJO10" i="6" s="1"/>
  <c r="AJP10" i="6" s="1"/>
  <c r="AJQ10" i="6" s="1"/>
  <c r="AJR10" i="6" s="1"/>
  <c r="AJS10" i="6" s="1"/>
  <c r="AJT10" i="6" s="1"/>
  <c r="AJU10" i="6" s="1"/>
  <c r="AJV10" i="6" s="1"/>
  <c r="AJW10" i="6" s="1"/>
  <c r="AJX10" i="6" s="1"/>
  <c r="AJY10" i="6" s="1"/>
  <c r="AJZ10" i="6" s="1"/>
  <c r="AKA10" i="6" s="1"/>
  <c r="AKB10" i="6" s="1"/>
  <c r="AKC10" i="6" s="1"/>
  <c r="AKD10" i="6" s="1"/>
  <c r="AKE10" i="6" s="1"/>
  <c r="AKF10" i="6" s="1"/>
  <c r="AKG10" i="6" s="1"/>
  <c r="AKH10" i="6" s="1"/>
  <c r="AKI10" i="6" s="1"/>
  <c r="AKJ10" i="6" s="1"/>
  <c r="AKK10" i="6" s="1"/>
  <c r="AKL10" i="6" s="1"/>
  <c r="AKM10" i="6" s="1"/>
  <c r="AKN10" i="6" s="1"/>
  <c r="AKO10" i="6" s="1"/>
  <c r="AKP10" i="6" s="1"/>
  <c r="AKQ10" i="6" s="1"/>
  <c r="AKR10" i="6" s="1"/>
  <c r="AKS10" i="6" s="1"/>
  <c r="AKT10" i="6" s="1"/>
  <c r="AKU10" i="6" s="1"/>
  <c r="AKV10" i="6" s="1"/>
  <c r="AKW10" i="6" s="1"/>
  <c r="AKX10" i="6" s="1"/>
  <c r="AKY10" i="6" s="1"/>
  <c r="AKZ10" i="6" s="1"/>
  <c r="ALA10" i="6" s="1"/>
  <c r="ALB10" i="6" s="1"/>
  <c r="ALC10" i="6" s="1"/>
  <c r="ALD10" i="6" s="1"/>
  <c r="ALE10" i="6" s="1"/>
  <c r="ALF10" i="6" s="1"/>
  <c r="ALG10" i="6" s="1"/>
  <c r="ALH10" i="6" s="1"/>
  <c r="ALI10" i="6" s="1"/>
  <c r="ALJ10" i="6" s="1"/>
  <c r="ALK10" i="6" s="1"/>
  <c r="ALL10" i="6" s="1"/>
  <c r="ALM10" i="6" s="1"/>
  <c r="ALN10" i="6" s="1"/>
  <c r="ALO10" i="6" s="1"/>
  <c r="ALP10" i="6" s="1"/>
  <c r="ALQ10" i="6" s="1"/>
  <c r="ALR10" i="6" s="1"/>
  <c r="ALS10" i="6" s="1"/>
  <c r="ALT10" i="6" s="1"/>
  <c r="ALU10" i="6" s="1"/>
  <c r="ALV10" i="6" s="1"/>
  <c r="ALW10" i="6" s="1"/>
  <c r="ALX10" i="6" s="1"/>
  <c r="ALY10" i="6" s="1"/>
  <c r="ALZ10" i="6" s="1"/>
  <c r="AMA10" i="6" s="1"/>
  <c r="AMB10" i="6" s="1"/>
  <c r="AMC10" i="6" s="1"/>
  <c r="AMD10" i="6" s="1"/>
  <c r="AME10" i="6" s="1"/>
  <c r="AMF10" i="6" s="1"/>
  <c r="AMG10" i="6" s="1"/>
  <c r="AMH10" i="6" s="1"/>
  <c r="AMI10" i="6" s="1"/>
  <c r="AMJ10" i="6" s="1"/>
  <c r="AMK10" i="6" s="1"/>
  <c r="AML10" i="6" s="1"/>
  <c r="AMM10" i="6" s="1"/>
  <c r="AMN10" i="6" s="1"/>
  <c r="AMO10" i="6" s="1"/>
  <c r="AMP10" i="6" s="1"/>
  <c r="AMQ10" i="6" s="1"/>
  <c r="AMR10" i="6" s="1"/>
  <c r="AMS10" i="6" s="1"/>
  <c r="AMT10" i="6" s="1"/>
  <c r="AMU10" i="6" s="1"/>
  <c r="AMV10" i="6" s="1"/>
  <c r="AMW10" i="6" s="1"/>
  <c r="AMX10" i="6" s="1"/>
  <c r="AMY10" i="6" s="1"/>
  <c r="AMZ10" i="6" s="1"/>
  <c r="ANA10" i="6" s="1"/>
  <c r="ANB10" i="6" s="1"/>
  <c r="ANC10" i="6" s="1"/>
  <c r="AND10" i="6" s="1"/>
  <c r="ANE10" i="6" s="1"/>
  <c r="ANF10" i="6" s="1"/>
  <c r="ANG10" i="6" s="1"/>
  <c r="ANH10" i="6" s="1"/>
  <c r="ANI10" i="6" s="1"/>
  <c r="ANJ10" i="6" s="1"/>
  <c r="ANK10" i="6" s="1"/>
  <c r="ANL10" i="6" s="1"/>
  <c r="ANM10" i="6" s="1"/>
  <c r="ANN10" i="6" s="1"/>
  <c r="ANO10" i="6" s="1"/>
  <c r="ANP10" i="6" s="1"/>
  <c r="ANQ10" i="6" s="1"/>
  <c r="ANR10" i="6" s="1"/>
  <c r="ANS10" i="6" s="1"/>
  <c r="ANT10" i="6" s="1"/>
  <c r="ANU10" i="6" s="1"/>
  <c r="ANV10" i="6" s="1"/>
  <c r="ANW10" i="6" s="1"/>
  <c r="ANX10" i="6" s="1"/>
  <c r="ANY10" i="6" s="1"/>
  <c r="ANZ10" i="6" s="1"/>
  <c r="AOA10" i="6" s="1"/>
  <c r="AOB10" i="6" s="1"/>
  <c r="AOC10" i="6" s="1"/>
  <c r="AOD10" i="6" s="1"/>
  <c r="AOE10" i="6" s="1"/>
  <c r="AOF10" i="6" s="1"/>
  <c r="AOG10" i="6" s="1"/>
  <c r="AOH10" i="6" s="1"/>
  <c r="AOI10" i="6" s="1"/>
  <c r="AOJ10" i="6" s="1"/>
  <c r="AOK10" i="6" s="1"/>
  <c r="AOL10" i="6" s="1"/>
  <c r="AOM10" i="6" s="1"/>
  <c r="AON10" i="6" s="1"/>
  <c r="AOO10" i="6" s="1"/>
  <c r="AOP10" i="6" s="1"/>
  <c r="AOQ10" i="6" s="1"/>
  <c r="AOR10" i="6" s="1"/>
  <c r="AOS10" i="6" s="1"/>
  <c r="AOT10" i="6" s="1"/>
  <c r="AOU10" i="6" s="1"/>
  <c r="AOV10" i="6" s="1"/>
  <c r="AOW10" i="6" s="1"/>
  <c r="AOX10" i="6" s="1"/>
  <c r="AOY10" i="6" s="1"/>
  <c r="AOZ10" i="6" s="1"/>
  <c r="APA10" i="6" s="1"/>
  <c r="APB10" i="6" s="1"/>
  <c r="APC10" i="6" s="1"/>
  <c r="APD10" i="6" s="1"/>
  <c r="APE10" i="6" s="1"/>
  <c r="APF10" i="6" s="1"/>
  <c r="APG10" i="6" s="1"/>
  <c r="APH10" i="6" s="1"/>
  <c r="API10" i="6" s="1"/>
  <c r="APJ10" i="6" s="1"/>
  <c r="APK10" i="6" s="1"/>
  <c r="APL10" i="6" s="1"/>
  <c r="APM10" i="6" s="1"/>
  <c r="APN10" i="6" s="1"/>
  <c r="APO10" i="6" s="1"/>
  <c r="APP10" i="6" s="1"/>
  <c r="APQ10" i="6" s="1"/>
  <c r="APR10" i="6" s="1"/>
  <c r="APS10" i="6" s="1"/>
  <c r="APT10" i="6" s="1"/>
  <c r="APU10" i="6" s="1"/>
  <c r="APV10" i="6" s="1"/>
  <c r="APW10" i="6" s="1"/>
  <c r="APX10" i="6" s="1"/>
  <c r="APY10" i="6" s="1"/>
  <c r="APZ10" i="6" s="1"/>
  <c r="AQA10" i="6" s="1"/>
  <c r="AQB10" i="6" s="1"/>
  <c r="AQC10" i="6" s="1"/>
  <c r="AQD10" i="6" s="1"/>
  <c r="AQE10" i="6" s="1"/>
  <c r="AQF10" i="6" s="1"/>
  <c r="AQG10" i="6" s="1"/>
  <c r="AQH10" i="6" s="1"/>
  <c r="AQI10" i="6" s="1"/>
  <c r="AQJ10" i="6" s="1"/>
  <c r="AQK10" i="6" s="1"/>
  <c r="AQL10" i="6" s="1"/>
  <c r="AQM10" i="6" s="1"/>
  <c r="AQN10" i="6" s="1"/>
  <c r="AQO10" i="6" s="1"/>
  <c r="AQP10" i="6" s="1"/>
  <c r="AQQ10" i="6" s="1"/>
  <c r="AQR10" i="6" s="1"/>
  <c r="AQS10" i="6" s="1"/>
  <c r="AQT10" i="6" s="1"/>
  <c r="AQU10" i="6" s="1"/>
  <c r="AQV10" i="6" s="1"/>
  <c r="AQW10" i="6" s="1"/>
  <c r="AQX10" i="6" s="1"/>
  <c r="AQY10" i="6" s="1"/>
  <c r="AQZ10" i="6" s="1"/>
  <c r="ARA10" i="6" s="1"/>
  <c r="ARB10" i="6" s="1"/>
  <c r="ARC10" i="6" s="1"/>
  <c r="ARD10" i="6" s="1"/>
  <c r="ARE10" i="6" s="1"/>
  <c r="ARF10" i="6" s="1"/>
  <c r="ARG10" i="6" s="1"/>
  <c r="ARH10" i="6" s="1"/>
  <c r="ARI10" i="6" s="1"/>
  <c r="ARJ10" i="6" s="1"/>
  <c r="ARK10" i="6" s="1"/>
  <c r="ARL10" i="6" s="1"/>
  <c r="ARM10" i="6" s="1"/>
  <c r="ARN10" i="6" s="1"/>
  <c r="ARO10" i="6" s="1"/>
  <c r="ARP10" i="6" s="1"/>
  <c r="ARQ10" i="6" s="1"/>
  <c r="ARR10" i="6" s="1"/>
  <c r="ARS10" i="6" s="1"/>
  <c r="ART10" i="6" s="1"/>
  <c r="ARU10" i="6" s="1"/>
  <c r="ARV10" i="6" s="1"/>
  <c r="ARW10" i="6" s="1"/>
  <c r="ARX10" i="6" s="1"/>
  <c r="ARY10" i="6" s="1"/>
  <c r="ARZ10" i="6" s="1"/>
  <c r="ASA10" i="6" s="1"/>
  <c r="ASB10" i="6" s="1"/>
  <c r="ASC10" i="6" s="1"/>
  <c r="ASD10" i="6" s="1"/>
  <c r="ASE10" i="6" s="1"/>
  <c r="ASF10" i="6" s="1"/>
  <c r="ASG10" i="6" s="1"/>
  <c r="ASH10" i="6" s="1"/>
  <c r="ASI10" i="6" s="1"/>
  <c r="ASJ10" i="6" s="1"/>
  <c r="ASK10" i="6" s="1"/>
  <c r="ASL10" i="6" s="1"/>
  <c r="ASM10" i="6" s="1"/>
  <c r="ASN10" i="6" s="1"/>
  <c r="ASO10" i="6" s="1"/>
  <c r="ASP10" i="6" s="1"/>
  <c r="ASQ10" i="6" s="1"/>
  <c r="ASR10" i="6" s="1"/>
  <c r="ASS10" i="6" s="1"/>
  <c r="AST10" i="6" s="1"/>
  <c r="ASU10" i="6" s="1"/>
  <c r="ASV10" i="6" s="1"/>
  <c r="ASW10" i="6" s="1"/>
  <c r="ASX10" i="6" s="1"/>
  <c r="ASY10" i="6" s="1"/>
  <c r="ASZ10" i="6" s="1"/>
  <c r="ATA10" i="6" s="1"/>
  <c r="ATB10" i="6" s="1"/>
  <c r="ATC10" i="6" s="1"/>
  <c r="ATD10" i="6" s="1"/>
  <c r="ATE10" i="6" s="1"/>
  <c r="ATF10" i="6" s="1"/>
  <c r="ATG10" i="6" s="1"/>
  <c r="ATH10" i="6" s="1"/>
  <c r="ATI10" i="6" s="1"/>
  <c r="ATJ10" i="6" s="1"/>
  <c r="ATK10" i="6" s="1"/>
  <c r="ATL10" i="6" s="1"/>
  <c r="ATM10" i="6" s="1"/>
  <c r="ATN10" i="6" s="1"/>
  <c r="ATO10" i="6" s="1"/>
  <c r="ATP10" i="6" s="1"/>
  <c r="ATQ10" i="6" s="1"/>
  <c r="ATR10" i="6" s="1"/>
  <c r="ATS10" i="6" s="1"/>
  <c r="ATT10" i="6" s="1"/>
  <c r="ATU10" i="6" s="1"/>
  <c r="ATV10" i="6" s="1"/>
  <c r="ATW10" i="6" s="1"/>
  <c r="ATX10" i="6" s="1"/>
  <c r="ATY10" i="6" s="1"/>
  <c r="ATZ10" i="6" s="1"/>
  <c r="AUA10" i="6" s="1"/>
  <c r="AUB10" i="6" s="1"/>
  <c r="AUC10" i="6" s="1"/>
  <c r="AUD10" i="6" s="1"/>
  <c r="AUE10" i="6" s="1"/>
  <c r="AUF10" i="6" s="1"/>
  <c r="AUG10" i="6" s="1"/>
  <c r="AUH10" i="6" s="1"/>
  <c r="AUI10" i="6" s="1"/>
  <c r="AUJ10" i="6" s="1"/>
  <c r="AUK10" i="6" s="1"/>
  <c r="AUL10" i="6" s="1"/>
  <c r="AUM10" i="6" s="1"/>
  <c r="AUN10" i="6" s="1"/>
  <c r="AUO10" i="6" s="1"/>
  <c r="AUP10" i="6" s="1"/>
  <c r="AUQ10" i="6" s="1"/>
  <c r="AUR10" i="6" s="1"/>
  <c r="AUS10" i="6" s="1"/>
  <c r="AUT10" i="6" s="1"/>
  <c r="AUU10" i="6" s="1"/>
  <c r="AUV10" i="6" s="1"/>
  <c r="AUW10" i="6" s="1"/>
  <c r="AUX10" i="6" s="1"/>
  <c r="AUY10" i="6" s="1"/>
  <c r="AUZ10" i="6" s="1"/>
  <c r="AVA10" i="6" s="1"/>
  <c r="AVB10" i="6" s="1"/>
  <c r="AVC10" i="6" s="1"/>
  <c r="AVD10" i="6" s="1"/>
  <c r="AVE10" i="6" s="1"/>
  <c r="AVF10" i="6" s="1"/>
  <c r="AVG10" i="6" s="1"/>
  <c r="AVH10" i="6" s="1"/>
  <c r="AVI10" i="6" s="1"/>
  <c r="AVJ10" i="6" s="1"/>
  <c r="AVK10" i="6" s="1"/>
  <c r="AVL10" i="6" s="1"/>
  <c r="AVM10" i="6" s="1"/>
  <c r="AVN10" i="6" s="1"/>
  <c r="AVO10" i="6" s="1"/>
  <c r="AVP10" i="6" s="1"/>
  <c r="AVQ10" i="6" s="1"/>
  <c r="AVR10" i="6" s="1"/>
  <c r="AVS10" i="6" s="1"/>
  <c r="AVT10" i="6" s="1"/>
  <c r="AVU10" i="6" s="1"/>
  <c r="AVV10" i="6" s="1"/>
  <c r="AVW10" i="6" s="1"/>
  <c r="AVX10" i="6" s="1"/>
  <c r="AVY10" i="6" s="1"/>
  <c r="AVZ10" i="6" s="1"/>
  <c r="AWA10" i="6" s="1"/>
  <c r="AWB10" i="6" s="1"/>
  <c r="AWC10" i="6" s="1"/>
  <c r="AWD10" i="6" s="1"/>
  <c r="AWE10" i="6" s="1"/>
  <c r="AWF10" i="6" s="1"/>
  <c r="AWG10" i="6" s="1"/>
  <c r="AWH10" i="6" s="1"/>
  <c r="AWI10" i="6" s="1"/>
  <c r="AWJ10" i="6" s="1"/>
  <c r="AWK10" i="6" s="1"/>
  <c r="AWL10" i="6" s="1"/>
  <c r="AWM10" i="6" s="1"/>
  <c r="AWN10" i="6" s="1"/>
  <c r="AWO10" i="6" s="1"/>
  <c r="AWP10" i="6" s="1"/>
  <c r="AWQ10" i="6" s="1"/>
  <c r="AWR10" i="6" s="1"/>
  <c r="AWS10" i="6" s="1"/>
  <c r="AWT10" i="6" s="1"/>
  <c r="AWU10" i="6" s="1"/>
  <c r="AWV10" i="6" s="1"/>
  <c r="AWW10" i="6" s="1"/>
  <c r="AWX10" i="6" s="1"/>
  <c r="AWY10" i="6" s="1"/>
  <c r="AWZ10" i="6" s="1"/>
  <c r="AXA10" i="6" s="1"/>
  <c r="AXB10" i="6" s="1"/>
  <c r="AXC10" i="6" s="1"/>
  <c r="AXD10" i="6" s="1"/>
  <c r="AXE10" i="6" s="1"/>
  <c r="AXF10" i="6" s="1"/>
  <c r="AXG10" i="6" s="1"/>
  <c r="AXH10" i="6" s="1"/>
  <c r="AXI10" i="6" s="1"/>
  <c r="AXJ10" i="6" s="1"/>
  <c r="AXK10" i="6" s="1"/>
  <c r="AXL10" i="6" s="1"/>
  <c r="AXM10" i="6" s="1"/>
  <c r="AXN10" i="6" s="1"/>
  <c r="AXO10" i="6" s="1"/>
  <c r="AXP10" i="6" s="1"/>
  <c r="AXQ10" i="6" s="1"/>
  <c r="AXR10" i="6" s="1"/>
  <c r="AXS10" i="6" s="1"/>
  <c r="AXT10" i="6" s="1"/>
  <c r="AXU10" i="6" s="1"/>
  <c r="AXV10" i="6" s="1"/>
  <c r="AXW10" i="6" s="1"/>
  <c r="AXX10" i="6" s="1"/>
  <c r="AXY10" i="6" s="1"/>
  <c r="AXZ10" i="6" s="1"/>
  <c r="AYA10" i="6" s="1"/>
  <c r="AYB10" i="6" s="1"/>
  <c r="AYC10" i="6" s="1"/>
  <c r="AYD10" i="6" s="1"/>
  <c r="AYE10" i="6" s="1"/>
  <c r="AYF10" i="6" s="1"/>
  <c r="AYG10" i="6" s="1"/>
  <c r="AYH10" i="6" s="1"/>
  <c r="AYI10" i="6" s="1"/>
  <c r="AYJ10" i="6" s="1"/>
  <c r="AYK10" i="6" s="1"/>
  <c r="AYL10" i="6" s="1"/>
  <c r="AYM10" i="6" s="1"/>
  <c r="AYN10" i="6" s="1"/>
  <c r="AYO10" i="6" s="1"/>
  <c r="AYP10" i="6" s="1"/>
  <c r="AYQ10" i="6" s="1"/>
  <c r="AYR10" i="6" s="1"/>
  <c r="AYS10" i="6" s="1"/>
  <c r="AYT10" i="6" s="1"/>
  <c r="AYU10" i="6" s="1"/>
  <c r="AYV10" i="6" s="1"/>
  <c r="AYW10" i="6" s="1"/>
  <c r="AYX10" i="6" s="1"/>
  <c r="AYY10" i="6" s="1"/>
  <c r="AYZ10" i="6" s="1"/>
  <c r="AZA10" i="6" s="1"/>
  <c r="AZB10" i="6" s="1"/>
  <c r="AZC10" i="6" s="1"/>
  <c r="AZD10" i="6" s="1"/>
  <c r="AZE10" i="6" s="1"/>
  <c r="AZF10" i="6" s="1"/>
  <c r="AZG10" i="6" s="1"/>
  <c r="J6" i="6"/>
  <c r="I7" i="6"/>
  <c r="D18" i="6"/>
  <c r="C18" i="6" s="1"/>
  <c r="J46" i="2"/>
  <c r="U20" i="2" s="1"/>
  <c r="V20" i="2"/>
  <c r="N9" i="2"/>
  <c r="H12" i="6"/>
  <c r="G14" i="6" l="1"/>
  <c r="J7" i="6"/>
  <c r="K6" i="6"/>
  <c r="H14" i="6"/>
  <c r="I12" i="6"/>
  <c r="L6" i="6" l="1"/>
  <c r="K7" i="6"/>
  <c r="J12" i="6"/>
  <c r="I14" i="6"/>
  <c r="L7" i="6" l="1"/>
  <c r="M6" i="6"/>
  <c r="J14" i="6"/>
  <c r="K12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R6" i="6" l="1"/>
  <c r="Q7" i="6"/>
  <c r="O14" i="6"/>
  <c r="P12" i="6"/>
  <c r="S6" i="6" l="1"/>
  <c r="R7" i="6"/>
  <c r="Q12" i="6"/>
  <c r="P14" i="6"/>
  <c r="T6" i="6" l="1"/>
  <c r="S7" i="6"/>
  <c r="R12" i="6"/>
  <c r="Q14" i="6"/>
  <c r="U6" i="6" l="1"/>
  <c r="T7" i="6"/>
  <c r="S12" i="6"/>
  <c r="R14" i="6"/>
  <c r="V6" i="6" l="1"/>
  <c r="U7" i="6"/>
  <c r="S14" i="6"/>
  <c r="T12" i="6"/>
  <c r="W6" i="6" l="1"/>
  <c r="V7" i="6"/>
  <c r="U12" i="6"/>
  <c r="T14" i="6"/>
  <c r="X6" i="6" l="1"/>
  <c r="W7" i="6"/>
  <c r="U14" i="6"/>
  <c r="V12" i="6"/>
  <c r="Y6" i="6" l="1"/>
  <c r="X7" i="6"/>
  <c r="W12" i="6"/>
  <c r="V14" i="6"/>
  <c r="Y7" i="6" l="1"/>
  <c r="Z6" i="6"/>
  <c r="X12" i="6"/>
  <c r="W14" i="6"/>
  <c r="Z7" i="6" l="1"/>
  <c r="AA6" i="6"/>
  <c r="Y12" i="6"/>
  <c r="X14" i="6"/>
  <c r="AB6" i="6" l="1"/>
  <c r="AA7" i="6"/>
  <c r="Y14" i="6"/>
  <c r="Z12" i="6"/>
  <c r="AB7" i="6" l="1"/>
  <c r="AC6" i="6"/>
  <c r="AA12" i="6"/>
  <c r="Z14" i="6"/>
  <c r="AD6" i="6" l="1"/>
  <c r="AC7" i="6"/>
  <c r="AA14" i="6"/>
  <c r="AB12" i="6"/>
  <c r="AE6" i="6" l="1"/>
  <c r="AD7" i="6"/>
  <c r="AB14" i="6"/>
  <c r="AC12" i="6"/>
  <c r="AF6" i="6" l="1"/>
  <c r="AE7" i="6"/>
  <c r="AC14" i="6"/>
  <c r="AD12" i="6"/>
  <c r="AG6" i="6" l="1"/>
  <c r="AF7" i="6"/>
  <c r="AE12" i="6"/>
  <c r="AD14" i="6"/>
  <c r="AH6" i="6" l="1"/>
  <c r="AG7" i="6"/>
  <c r="AE14" i="6"/>
  <c r="AF12" i="6"/>
  <c r="AI6" i="6" l="1"/>
  <c r="AH7" i="6"/>
  <c r="AG12" i="6"/>
  <c r="AF14" i="6"/>
  <c r="AJ6" i="6" l="1"/>
  <c r="AI7" i="6"/>
  <c r="AH12" i="6"/>
  <c r="AG14" i="6"/>
  <c r="AK6" i="6" l="1"/>
  <c r="AJ7" i="6"/>
  <c r="AI12" i="6"/>
  <c r="AH14" i="6"/>
  <c r="AK7" i="6" l="1"/>
  <c r="AL6" i="6"/>
  <c r="AI14" i="6"/>
  <c r="AJ12" i="6"/>
  <c r="AM6" i="6" l="1"/>
  <c r="AL7" i="6"/>
  <c r="AK12" i="6"/>
  <c r="AJ14" i="6"/>
  <c r="AN6" i="6" l="1"/>
  <c r="AM7" i="6"/>
  <c r="AL12" i="6"/>
  <c r="AK14" i="6"/>
  <c r="AN7" i="6" l="1"/>
  <c r="AO6" i="6"/>
  <c r="AL14" i="6"/>
  <c r="AM12" i="6"/>
  <c r="AO7" i="6" l="1"/>
  <c r="AP6" i="6"/>
  <c r="AN12" i="6"/>
  <c r="AM14" i="6"/>
  <c r="AP7" i="6" l="1"/>
  <c r="AQ6" i="6"/>
  <c r="AO12" i="6"/>
  <c r="AN14" i="6"/>
  <c r="AR6" i="6" l="1"/>
  <c r="AQ7" i="6"/>
  <c r="AP12" i="6"/>
  <c r="AO14" i="6"/>
  <c r="AS6" i="6" l="1"/>
  <c r="AR7" i="6"/>
  <c r="AQ12" i="6"/>
  <c r="AP14" i="6"/>
  <c r="AT6" i="6" l="1"/>
  <c r="AS7" i="6"/>
  <c r="AQ14" i="6"/>
  <c r="AR12" i="6"/>
  <c r="AU6" i="6" l="1"/>
  <c r="AT7" i="6"/>
  <c r="AR14" i="6"/>
  <c r="AS12" i="6"/>
  <c r="AV6" i="6" l="1"/>
  <c r="AU7" i="6"/>
  <c r="AT12" i="6"/>
  <c r="AS14" i="6"/>
  <c r="AW6" i="6" l="1"/>
  <c r="AV7" i="6"/>
  <c r="AU12" i="6"/>
  <c r="AT14" i="6"/>
  <c r="AX6" i="6" l="1"/>
  <c r="AW7" i="6"/>
  <c r="AV12" i="6"/>
  <c r="AU14" i="6"/>
  <c r="AY6" i="6" l="1"/>
  <c r="AX7" i="6"/>
  <c r="AW12" i="6"/>
  <c r="AV14" i="6"/>
  <c r="AZ6" i="6" l="1"/>
  <c r="AY7" i="6"/>
  <c r="AX12" i="6"/>
  <c r="AW14" i="6"/>
  <c r="AZ7" i="6" l="1"/>
  <c r="BA6" i="6"/>
  <c r="AY12" i="6"/>
  <c r="AX14" i="6"/>
  <c r="BB6" i="6" l="1"/>
  <c r="BA7" i="6"/>
  <c r="AY14" i="6"/>
  <c r="AZ12" i="6"/>
  <c r="BC6" i="6" l="1"/>
  <c r="BB7" i="6"/>
  <c r="BA12" i="6"/>
  <c r="AZ14" i="6"/>
  <c r="BD6" i="6" l="1"/>
  <c r="BC7" i="6"/>
  <c r="BA14" i="6"/>
  <c r="BB12" i="6"/>
  <c r="BE6" i="6" l="1"/>
  <c r="BD7" i="6"/>
  <c r="BC12" i="6"/>
  <c r="BB14" i="6"/>
  <c r="BF6" i="6" l="1"/>
  <c r="BE7" i="6"/>
  <c r="BD12" i="6"/>
  <c r="BC14" i="6"/>
  <c r="BF7" i="6" l="1"/>
  <c r="BG6" i="6"/>
  <c r="BE12" i="6"/>
  <c r="BD14" i="6"/>
  <c r="BH6" i="6" l="1"/>
  <c r="BG7" i="6"/>
  <c r="BE14" i="6"/>
  <c r="BF12" i="6"/>
  <c r="BI6" i="6" l="1"/>
  <c r="BH7" i="6"/>
  <c r="BF14" i="6"/>
  <c r="BG12" i="6"/>
  <c r="BJ6" i="6" l="1"/>
  <c r="BI7" i="6"/>
  <c r="BH12" i="6"/>
  <c r="BG14" i="6"/>
  <c r="BK6" i="6" l="1"/>
  <c r="BJ7" i="6"/>
  <c r="BI12" i="6"/>
  <c r="BH14" i="6"/>
  <c r="BL6" i="6" l="1"/>
  <c r="BK7" i="6"/>
  <c r="BI14" i="6"/>
  <c r="BJ12" i="6"/>
  <c r="BL7" i="6" l="1"/>
  <c r="BM6" i="6"/>
  <c r="BK12" i="6"/>
  <c r="BJ14" i="6"/>
  <c r="BN6" i="6" l="1"/>
  <c r="BM7" i="6"/>
  <c r="BK14" i="6"/>
  <c r="BL12" i="6"/>
  <c r="BO6" i="6" l="1"/>
  <c r="BN7" i="6"/>
  <c r="BM12" i="6"/>
  <c r="BL14" i="6"/>
  <c r="BP6" i="6" l="1"/>
  <c r="BO7" i="6"/>
  <c r="BM14" i="6"/>
  <c r="BN12" i="6"/>
  <c r="BP7" i="6" l="1"/>
  <c r="BQ6" i="6"/>
  <c r="BO12" i="6"/>
  <c r="BN14" i="6"/>
  <c r="BR6" i="6" l="1"/>
  <c r="BQ7" i="6"/>
  <c r="BO14" i="6"/>
  <c r="BP12" i="6"/>
  <c r="BS6" i="6" l="1"/>
  <c r="BR7" i="6"/>
  <c r="BP14" i="6"/>
  <c r="BQ12" i="6"/>
  <c r="BT6" i="6" l="1"/>
  <c r="BS7" i="6"/>
  <c r="BQ14" i="6"/>
  <c r="BR12" i="6"/>
  <c r="BU6" i="6" l="1"/>
  <c r="BT7" i="6"/>
  <c r="BS12" i="6"/>
  <c r="BR14" i="6"/>
  <c r="BV6" i="6" l="1"/>
  <c r="BU7" i="6"/>
  <c r="BS14" i="6"/>
  <c r="BT12" i="6"/>
  <c r="BW6" i="6" l="1"/>
  <c r="BV7" i="6"/>
  <c r="BU12" i="6"/>
  <c r="BT14" i="6"/>
  <c r="BX6" i="6" l="1"/>
  <c r="BW7" i="6"/>
  <c r="BV12" i="6"/>
  <c r="BU14" i="6"/>
  <c r="BX7" i="6" l="1"/>
  <c r="BY6" i="6"/>
  <c r="BW12" i="6"/>
  <c r="BV14" i="6"/>
  <c r="BZ6" i="6" l="1"/>
  <c r="BY7" i="6"/>
  <c r="BX12" i="6"/>
  <c r="BW14" i="6"/>
  <c r="CA6" i="6" l="1"/>
  <c r="BZ7" i="6"/>
  <c r="BY12" i="6"/>
  <c r="BX14" i="6"/>
  <c r="CA7" i="6" l="1"/>
  <c r="CB6" i="6"/>
  <c r="BY14" i="6"/>
  <c r="BZ12" i="6"/>
  <c r="CC6" i="6" l="1"/>
  <c r="CB7" i="6"/>
  <c r="CA12" i="6"/>
  <c r="BZ14" i="6"/>
  <c r="CD6" i="6" l="1"/>
  <c r="CC7" i="6"/>
  <c r="CB12" i="6"/>
  <c r="CA14" i="6"/>
  <c r="CD7" i="6" l="1"/>
  <c r="CE6" i="6"/>
  <c r="CC12" i="6"/>
  <c r="CB14" i="6"/>
  <c r="CF6" i="6" l="1"/>
  <c r="CE7" i="6"/>
  <c r="CD12" i="6"/>
  <c r="CC14" i="6"/>
  <c r="CG6" i="6" l="1"/>
  <c r="CF7" i="6"/>
  <c r="CD14" i="6"/>
  <c r="CE12" i="6"/>
  <c r="CH6" i="6" l="1"/>
  <c r="CG7" i="6"/>
  <c r="CF12" i="6"/>
  <c r="CE14" i="6"/>
  <c r="CH7" i="6" l="1"/>
  <c r="CI6" i="6"/>
  <c r="CF14" i="6"/>
  <c r="CG12" i="6"/>
  <c r="CJ6" i="6" l="1"/>
  <c r="CI7" i="6"/>
  <c r="CH12" i="6"/>
  <c r="CG14" i="6"/>
  <c r="CK6" i="6" l="1"/>
  <c r="CJ7" i="6"/>
  <c r="CI12" i="6"/>
  <c r="CH14" i="6"/>
  <c r="CL6" i="6" l="1"/>
  <c r="CK7" i="6"/>
  <c r="CI14" i="6"/>
  <c r="CJ12" i="6"/>
  <c r="CM6" i="6" l="1"/>
  <c r="CL7" i="6"/>
  <c r="CJ14" i="6"/>
  <c r="CK12" i="6"/>
  <c r="CN6" i="6" l="1"/>
  <c r="CM7" i="6"/>
  <c r="CL12" i="6"/>
  <c r="CK14" i="6"/>
  <c r="CO6" i="6" l="1"/>
  <c r="CN7" i="6"/>
  <c r="CM12" i="6"/>
  <c r="CL14" i="6"/>
  <c r="CP6" i="6" l="1"/>
  <c r="CO7" i="6"/>
  <c r="CN12" i="6"/>
  <c r="CM14" i="6"/>
  <c r="CP7" i="6" l="1"/>
  <c r="CQ6" i="6"/>
  <c r="CN14" i="6"/>
  <c r="CO12" i="6"/>
  <c r="CR6" i="6" l="1"/>
  <c r="CQ7" i="6"/>
  <c r="CP12" i="6"/>
  <c r="CO14" i="6"/>
  <c r="CS6" i="6" l="1"/>
  <c r="CR7" i="6"/>
  <c r="CQ12" i="6"/>
  <c r="CP14" i="6"/>
  <c r="CT6" i="6" l="1"/>
  <c r="CS7" i="6"/>
  <c r="CR12" i="6"/>
  <c r="CQ14" i="6"/>
  <c r="CU6" i="6" l="1"/>
  <c r="CT7" i="6"/>
  <c r="CR14" i="6"/>
  <c r="CS12" i="6"/>
  <c r="CV6" i="6" l="1"/>
  <c r="CU7" i="6"/>
  <c r="CS14" i="6"/>
  <c r="CT12" i="6"/>
  <c r="CW6" i="6" l="1"/>
  <c r="CV7" i="6"/>
  <c r="CU12" i="6"/>
  <c r="CT14" i="6"/>
  <c r="CX6" i="6" l="1"/>
  <c r="CW7" i="6"/>
  <c r="CU14" i="6"/>
  <c r="CV12" i="6"/>
  <c r="CY6" i="6" l="1"/>
  <c r="CX7" i="6"/>
  <c r="CW12" i="6"/>
  <c r="CV14" i="6"/>
  <c r="CZ6" i="6" l="1"/>
  <c r="CY7" i="6"/>
  <c r="CX12" i="6"/>
  <c r="CW14" i="6"/>
  <c r="CZ7" i="6" l="1"/>
  <c r="DA6" i="6"/>
  <c r="CY12" i="6"/>
  <c r="CX14" i="6"/>
  <c r="DB6" i="6" l="1"/>
  <c r="DA7" i="6"/>
  <c r="CZ12" i="6"/>
  <c r="CY14" i="6"/>
  <c r="DB7" i="6" l="1"/>
  <c r="DC6" i="6"/>
  <c r="CZ14" i="6"/>
  <c r="DA12" i="6"/>
  <c r="DD6" i="6" l="1"/>
  <c r="DC7" i="6"/>
  <c r="DA14" i="6"/>
  <c r="DB12" i="6"/>
  <c r="DD7" i="6" l="1"/>
  <c r="DE6" i="6"/>
  <c r="DB14" i="6"/>
  <c r="DC12" i="6"/>
  <c r="DF6" i="6" l="1"/>
  <c r="DE7" i="6"/>
  <c r="DD12" i="6"/>
  <c r="DC14" i="6"/>
  <c r="DG6" i="6" l="1"/>
  <c r="DF7" i="6"/>
  <c r="DD14" i="6"/>
  <c r="DE12" i="6"/>
  <c r="DH6" i="6" l="1"/>
  <c r="DG7" i="6"/>
  <c r="DF12" i="6"/>
  <c r="DE14" i="6"/>
  <c r="DI6" i="6" l="1"/>
  <c r="DH7" i="6"/>
  <c r="DG12" i="6"/>
  <c r="DF14" i="6"/>
  <c r="DJ6" i="6" l="1"/>
  <c r="DI7" i="6"/>
  <c r="DH12" i="6"/>
  <c r="DG14" i="6"/>
  <c r="DK6" i="6" l="1"/>
  <c r="DJ7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L12" i="6"/>
  <c r="DK14" i="6"/>
  <c r="DN7" i="6" l="1"/>
  <c r="DO6" i="6"/>
  <c r="DM12" i="6"/>
  <c r="DL14" i="6"/>
  <c r="DP6" i="6" l="1"/>
  <c r="DO7" i="6"/>
  <c r="DM14" i="6"/>
  <c r="DN12" i="6"/>
  <c r="DQ6" i="6" l="1"/>
  <c r="DP7" i="6"/>
  <c r="DN14" i="6"/>
  <c r="DO12" i="6"/>
  <c r="DR6" i="6" l="1"/>
  <c r="DQ7" i="6"/>
  <c r="DP12" i="6"/>
  <c r="DO14" i="6"/>
  <c r="DR7" i="6" l="1"/>
  <c r="DS6" i="6"/>
  <c r="DP14" i="6"/>
  <c r="DQ12" i="6"/>
  <c r="DT6" i="6" l="1"/>
  <c r="DS7" i="6"/>
  <c r="DR12" i="6"/>
  <c r="DQ14" i="6"/>
  <c r="DU6" i="6" l="1"/>
  <c r="DT7" i="6"/>
  <c r="DS12" i="6"/>
  <c r="DR14" i="6"/>
  <c r="DU7" i="6" l="1"/>
  <c r="DV6" i="6"/>
  <c r="DS14" i="6"/>
  <c r="DT12" i="6"/>
  <c r="DW6" i="6" l="1"/>
  <c r="DV7" i="6"/>
  <c r="DU12" i="6"/>
  <c r="DT14" i="6"/>
  <c r="DX6" i="6" l="1"/>
  <c r="DW7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Z12" i="6"/>
  <c r="DY14" i="6"/>
  <c r="EB7" i="6" l="1"/>
  <c r="EC6" i="6"/>
  <c r="DZ14" i="6"/>
  <c r="EA12" i="6"/>
  <c r="ED6" i="6" l="1"/>
  <c r="EC7" i="6"/>
  <c r="EB12" i="6"/>
  <c r="EA14" i="6"/>
  <c r="EE6" i="6" l="1"/>
  <c r="ED7" i="6"/>
  <c r="EC12" i="6"/>
  <c r="EB14" i="6"/>
  <c r="EF6" i="6" l="1"/>
  <c r="EE7" i="6"/>
  <c r="EC14" i="6"/>
  <c r="ED12" i="6"/>
  <c r="EF7" i="6" l="1"/>
  <c r="EG6" i="6"/>
  <c r="EE12" i="6"/>
  <c r="ED14" i="6"/>
  <c r="EG7" i="6" l="1"/>
  <c r="EH6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K14" i="6"/>
  <c r="EL12" i="6"/>
  <c r="EO6" i="6" l="1"/>
  <c r="EN7" i="6"/>
  <c r="EM12" i="6"/>
  <c r="EL14" i="6"/>
  <c r="EP6" i="6" l="1"/>
  <c r="EO7" i="6"/>
  <c r="EM14" i="6"/>
  <c r="EN12" i="6"/>
  <c r="EQ6" i="6" l="1"/>
  <c r="EP7" i="6"/>
  <c r="EN14" i="6"/>
  <c r="EO12" i="6"/>
  <c r="ER6" i="6" l="1"/>
  <c r="EQ7" i="6"/>
  <c r="EO14" i="6"/>
  <c r="EP12" i="6"/>
  <c r="ER7" i="6" l="1"/>
  <c r="ES6" i="6"/>
  <c r="EP14" i="6"/>
  <c r="EQ12" i="6"/>
  <c r="ES7" i="6" l="1"/>
  <c r="ET6" i="6"/>
  <c r="EQ14" i="6"/>
  <c r="ER12" i="6"/>
  <c r="ET7" i="6" l="1"/>
  <c r="EU6" i="6"/>
  <c r="ES12" i="6"/>
  <c r="ER14" i="6"/>
  <c r="EV6" i="6" l="1"/>
  <c r="EU7" i="6"/>
  <c r="ET12" i="6"/>
  <c r="ES14" i="6"/>
  <c r="EW6" i="6" l="1"/>
  <c r="EV7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FA6" i="6" l="1"/>
  <c r="EZ7" i="6"/>
  <c r="EY12" i="6"/>
  <c r="EX14" i="6"/>
  <c r="FB6" i="6" l="1"/>
  <c r="FA7" i="6"/>
  <c r="EZ12" i="6"/>
  <c r="EY14" i="6"/>
  <c r="FC6" i="6" l="1"/>
  <c r="FB7" i="6"/>
  <c r="EZ14" i="6"/>
  <c r="FA12" i="6"/>
  <c r="FD6" i="6" l="1"/>
  <c r="FC7" i="6"/>
  <c r="FB12" i="6"/>
  <c r="FA14" i="6"/>
  <c r="FE6" i="6" l="1"/>
  <c r="FD7" i="6"/>
  <c r="FB14" i="6"/>
  <c r="FC12" i="6"/>
  <c r="FE7" i="6" l="1"/>
  <c r="FF6" i="6"/>
  <c r="FC14" i="6"/>
  <c r="FD12" i="6"/>
  <c r="FG6" i="6" l="1"/>
  <c r="FF7" i="6"/>
  <c r="FE12" i="6"/>
  <c r="FD14" i="6"/>
  <c r="FH6" i="6" l="1"/>
  <c r="FG7" i="6"/>
  <c r="FE14" i="6"/>
  <c r="FF12" i="6"/>
  <c r="FH7" i="6" l="1"/>
  <c r="FI6" i="6"/>
  <c r="FG12" i="6"/>
  <c r="FF14" i="6"/>
  <c r="FJ6" i="6" l="1"/>
  <c r="FI7" i="6"/>
  <c r="FH12" i="6"/>
  <c r="FG14" i="6"/>
  <c r="FK6" i="6" l="1"/>
  <c r="FJ7" i="6"/>
  <c r="FI12" i="6"/>
  <c r="FH14" i="6"/>
  <c r="FL6" i="6" l="1"/>
  <c r="FK7" i="6"/>
  <c r="FJ12" i="6"/>
  <c r="FI14" i="6"/>
  <c r="FL7" i="6" l="1"/>
  <c r="FM6" i="6"/>
  <c r="FK12" i="6"/>
  <c r="FJ14" i="6"/>
  <c r="FM7" i="6" l="1"/>
  <c r="FN6" i="6"/>
  <c r="FL12" i="6"/>
  <c r="FK14" i="6"/>
  <c r="FO6" i="6" l="1"/>
  <c r="FN7" i="6"/>
  <c r="FL14" i="6"/>
  <c r="FM12" i="6"/>
  <c r="FO7" i="6" l="1"/>
  <c r="FP6" i="6"/>
  <c r="FN12" i="6"/>
  <c r="FM14" i="6"/>
  <c r="FQ6" i="6" l="1"/>
  <c r="FP7" i="6"/>
  <c r="FO12" i="6"/>
  <c r="FN14" i="6"/>
  <c r="FR6" i="6" l="1"/>
  <c r="FQ7" i="6"/>
  <c r="FO14" i="6"/>
  <c r="FP12" i="6"/>
  <c r="FS6" i="6" l="1"/>
  <c r="FR7" i="6"/>
  <c r="FQ12" i="6"/>
  <c r="FP14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W6" i="6" l="1"/>
  <c r="FV7" i="6"/>
  <c r="FU12" i="6"/>
  <c r="FT14" i="6"/>
  <c r="FX6" i="6" l="1"/>
  <c r="FW7" i="6"/>
  <c r="FV12" i="6"/>
  <c r="FU14" i="6"/>
  <c r="FY6" i="6" l="1"/>
  <c r="FX7" i="6"/>
  <c r="FV14" i="6"/>
  <c r="FW12" i="6"/>
  <c r="FZ6" i="6" l="1"/>
  <c r="FY7" i="6"/>
  <c r="FX12" i="6"/>
  <c r="FW14" i="6"/>
  <c r="GA6" i="6" l="1"/>
  <c r="FZ7" i="6"/>
  <c r="FY12" i="6"/>
  <c r="FX14" i="6"/>
  <c r="GB6" i="6" l="1"/>
  <c r="GA7" i="6"/>
  <c r="FZ12" i="6"/>
  <c r="FY14" i="6"/>
  <c r="GB7" i="6" l="1"/>
  <c r="GC6" i="6"/>
  <c r="FZ14" i="6"/>
  <c r="GA12" i="6"/>
  <c r="GC7" i="6" l="1"/>
  <c r="GD6" i="6"/>
  <c r="GA14" i="6"/>
  <c r="GB12" i="6"/>
  <c r="GD7" i="6" l="1"/>
  <c r="GE6" i="6"/>
  <c r="GB14" i="6"/>
  <c r="GC12" i="6"/>
  <c r="GF6" i="6" l="1"/>
  <c r="GE7" i="6"/>
  <c r="GC14" i="6"/>
  <c r="GD12" i="6"/>
  <c r="GG6" i="6" l="1"/>
  <c r="GF7" i="6"/>
  <c r="GE12" i="6"/>
  <c r="GD14" i="6"/>
  <c r="GH6" i="6" l="1"/>
  <c r="GG7" i="6"/>
  <c r="GF12" i="6"/>
  <c r="GE14" i="6"/>
  <c r="GI6" i="6" l="1"/>
  <c r="GH7" i="6"/>
  <c r="GG12" i="6"/>
  <c r="GF14" i="6"/>
  <c r="GJ6" i="6" l="1"/>
  <c r="GI7" i="6"/>
  <c r="GG14" i="6"/>
  <c r="GH12" i="6"/>
  <c r="GK6" i="6" l="1"/>
  <c r="GJ7" i="6"/>
  <c r="GI12" i="6"/>
  <c r="GH14" i="6"/>
  <c r="GL6" i="6" l="1"/>
  <c r="GK7" i="6"/>
  <c r="GJ12" i="6"/>
  <c r="GI14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N12" i="6"/>
  <c r="GM14" i="6"/>
  <c r="GQ6" i="6" l="1"/>
  <c r="GP7" i="6"/>
  <c r="GO12" i="6"/>
  <c r="GN14" i="6"/>
  <c r="GR6" i="6" l="1"/>
  <c r="GQ7" i="6"/>
  <c r="GO14" i="6"/>
  <c r="GP12" i="6"/>
  <c r="GR7" i="6" l="1"/>
  <c r="GS6" i="6"/>
  <c r="GQ12" i="6"/>
  <c r="GP14" i="6"/>
  <c r="GT6" i="6" l="1"/>
  <c r="GS7" i="6"/>
  <c r="GR12" i="6"/>
  <c r="GQ14" i="6"/>
  <c r="GU6" i="6" l="1"/>
  <c r="GT7" i="6"/>
  <c r="GS12" i="6"/>
  <c r="GR14" i="6"/>
  <c r="GV6" i="6" l="1"/>
  <c r="GU7" i="6"/>
  <c r="GS14" i="6"/>
  <c r="GT12" i="6"/>
  <c r="GW6" i="6" l="1"/>
  <c r="GV7" i="6"/>
  <c r="GT14" i="6"/>
  <c r="GU12" i="6"/>
  <c r="GX6" i="6" l="1"/>
  <c r="GW7" i="6"/>
  <c r="GV12" i="6"/>
  <c r="GU14" i="6"/>
  <c r="GY6" i="6" l="1"/>
  <c r="GX7" i="6"/>
  <c r="GW12" i="6"/>
  <c r="GV14" i="6"/>
  <c r="GZ6" i="6" l="1"/>
  <c r="GY7" i="6"/>
  <c r="GW14" i="6"/>
  <c r="GX12" i="6"/>
  <c r="HA6" i="6" l="1"/>
  <c r="GZ7" i="6"/>
  <c r="GY12" i="6"/>
  <c r="GX14" i="6"/>
  <c r="HA7" i="6" l="1"/>
  <c r="HB6" i="6"/>
  <c r="GZ12" i="6"/>
  <c r="GY14" i="6"/>
  <c r="HC6" i="6" l="1"/>
  <c r="HB7" i="6"/>
  <c r="GZ14" i="6"/>
  <c r="HA12" i="6"/>
  <c r="HD6" i="6" l="1"/>
  <c r="HC7" i="6"/>
  <c r="HB12" i="6"/>
  <c r="HA14" i="6"/>
  <c r="HD7" i="6" l="1"/>
  <c r="HE6" i="6"/>
  <c r="HC12" i="6"/>
  <c r="HB14" i="6"/>
  <c r="HE7" i="6" l="1"/>
  <c r="HF6" i="6"/>
  <c r="HD12" i="6"/>
  <c r="HC14" i="6"/>
  <c r="HG6" i="6" l="1"/>
  <c r="HF7" i="6"/>
  <c r="HE12" i="6"/>
  <c r="HD14" i="6"/>
  <c r="HH6" i="6" l="1"/>
  <c r="HG7" i="6"/>
  <c r="HE14" i="6"/>
  <c r="HF12" i="6"/>
  <c r="HI6" i="6" l="1"/>
  <c r="HH7" i="6"/>
  <c r="HF14" i="6"/>
  <c r="HG12" i="6"/>
  <c r="HJ6" i="6" l="1"/>
  <c r="HI7" i="6"/>
  <c r="HG14" i="6"/>
  <c r="HH12" i="6"/>
  <c r="HK6" i="6" l="1"/>
  <c r="HJ7" i="6"/>
  <c r="HI12" i="6"/>
  <c r="HH14" i="6"/>
  <c r="HL6" i="6" l="1"/>
  <c r="HK7" i="6"/>
  <c r="HJ12" i="6"/>
  <c r="HI14" i="6"/>
  <c r="HM6" i="6" l="1"/>
  <c r="HL7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Q6" i="6" l="1"/>
  <c r="HP7" i="6"/>
  <c r="HO12" i="6"/>
  <c r="HN14" i="6"/>
  <c r="HR6" i="6" l="1"/>
  <c r="HQ7" i="6"/>
  <c r="HP12" i="6"/>
  <c r="HO14" i="6"/>
  <c r="HR7" i="6" l="1"/>
  <c r="HS6" i="6"/>
  <c r="HP14" i="6"/>
  <c r="HQ12" i="6"/>
  <c r="HT6" i="6" l="1"/>
  <c r="HS7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T14" i="6"/>
  <c r="HU12" i="6"/>
  <c r="HX6" i="6" l="1"/>
  <c r="HW7" i="6"/>
  <c r="HV12" i="6"/>
  <c r="HU14" i="6"/>
  <c r="HY6" i="6" l="1"/>
  <c r="HX7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Z12" i="6"/>
  <c r="HY14" i="6"/>
  <c r="IC6" i="6" l="1"/>
  <c r="IB7" i="6"/>
  <c r="IA12" i="6"/>
  <c r="HZ14" i="6"/>
  <c r="ID6" i="6" l="1"/>
  <c r="IC7" i="6"/>
  <c r="IB12" i="6"/>
  <c r="IA14" i="6"/>
  <c r="IE6" i="6" l="1"/>
  <c r="ID7" i="6"/>
  <c r="IC12" i="6"/>
  <c r="IB14" i="6"/>
  <c r="IF6" i="6" l="1"/>
  <c r="IE7" i="6"/>
  <c r="IC14" i="6"/>
  <c r="ID12" i="6"/>
  <c r="IG6" i="6" l="1"/>
  <c r="IF7" i="6"/>
  <c r="IE12" i="6"/>
  <c r="ID14" i="6"/>
  <c r="IH6" i="6" l="1"/>
  <c r="IG7" i="6"/>
  <c r="IF12" i="6"/>
  <c r="IE14" i="6"/>
  <c r="II6" i="6" l="1"/>
  <c r="IH7" i="6"/>
  <c r="IF14" i="6"/>
  <c r="IG12" i="6"/>
  <c r="IJ6" i="6" l="1"/>
  <c r="II7" i="6"/>
  <c r="IH12" i="6"/>
  <c r="IG14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K14" i="6"/>
  <c r="IL12" i="6"/>
  <c r="IN7" i="6" l="1"/>
  <c r="IO6" i="6"/>
  <c r="IM12" i="6"/>
  <c r="IL14" i="6"/>
  <c r="IP6" i="6" l="1"/>
  <c r="IO7" i="6"/>
  <c r="IN12" i="6"/>
  <c r="IM14" i="6"/>
  <c r="IQ6" i="6" l="1"/>
  <c r="IP7" i="6"/>
  <c r="IO12" i="6"/>
  <c r="IN14" i="6"/>
  <c r="IR6" i="6" l="1"/>
  <c r="IQ7" i="6"/>
  <c r="IO14" i="6"/>
  <c r="IP12" i="6"/>
  <c r="IS6" i="6" l="1"/>
  <c r="IR7" i="6"/>
  <c r="IQ12" i="6"/>
  <c r="IP14" i="6"/>
  <c r="IT6" i="6" l="1"/>
  <c r="IS7" i="6"/>
  <c r="IR12" i="6"/>
  <c r="IQ14" i="6"/>
  <c r="IU6" i="6" l="1"/>
  <c r="IT7" i="6"/>
  <c r="IR14" i="6"/>
  <c r="IS12" i="6"/>
  <c r="IU7" i="6" l="1"/>
  <c r="IV6" i="6"/>
  <c r="IS14" i="6"/>
  <c r="IT12" i="6"/>
  <c r="IV7" i="6" l="1"/>
  <c r="IW6" i="6"/>
  <c r="IU12" i="6"/>
  <c r="IT14" i="6"/>
  <c r="IX6" i="6" l="1"/>
  <c r="IW7" i="6"/>
  <c r="IV12" i="6"/>
  <c r="IU14" i="6"/>
  <c r="IY6" i="6" l="1"/>
  <c r="IX7" i="6"/>
  <c r="IV14" i="6"/>
  <c r="IW12" i="6"/>
  <c r="IZ6" i="6" l="1"/>
  <c r="IY7" i="6"/>
  <c r="IX12" i="6"/>
  <c r="IW14" i="6"/>
  <c r="JA6" i="6" l="1"/>
  <c r="IZ7" i="6"/>
  <c r="IY12" i="6"/>
  <c r="IX14" i="6"/>
  <c r="JB6" i="6" l="1"/>
  <c r="JA7" i="6"/>
  <c r="IZ12" i="6"/>
  <c r="IY14" i="6"/>
  <c r="JB7" i="6" l="1"/>
  <c r="JC6" i="6"/>
  <c r="IZ14" i="6"/>
  <c r="JA12" i="6"/>
  <c r="JD6" i="6" l="1"/>
  <c r="JC7" i="6"/>
  <c r="JA14" i="6"/>
  <c r="JB12" i="6"/>
  <c r="JD7" i="6" l="1"/>
  <c r="JE6" i="6"/>
  <c r="JC12" i="6"/>
  <c r="JB14" i="6"/>
  <c r="JE7" i="6" l="1"/>
  <c r="JF6" i="6"/>
  <c r="JD12" i="6"/>
  <c r="JC14" i="6"/>
  <c r="JG6" i="6" l="1"/>
  <c r="JF7" i="6"/>
  <c r="JE12" i="6"/>
  <c r="JD14" i="6"/>
  <c r="JG7" i="6" l="1"/>
  <c r="JH6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I12" i="6"/>
  <c r="JH14" i="6"/>
  <c r="JL6" i="6" l="1"/>
  <c r="JK7" i="6"/>
  <c r="JI14" i="6"/>
  <c r="JJ12" i="6"/>
  <c r="JM6" i="6" l="1"/>
  <c r="JL7" i="6"/>
  <c r="JK12" i="6"/>
  <c r="JJ14" i="6"/>
  <c r="JN6" i="6" l="1"/>
  <c r="JM7" i="6"/>
  <c r="JL12" i="6"/>
  <c r="JK14" i="6"/>
  <c r="JN7" i="6" l="1"/>
  <c r="JO6" i="6"/>
  <c r="JL14" i="6"/>
  <c r="JM12" i="6"/>
  <c r="JP6" i="6" l="1"/>
  <c r="JO7" i="6"/>
  <c r="JN12" i="6"/>
  <c r="JM14" i="6"/>
  <c r="JQ6" i="6" l="1"/>
  <c r="JP7" i="6"/>
  <c r="JO12" i="6"/>
  <c r="JN14" i="6"/>
  <c r="JR6" i="6" l="1"/>
  <c r="JQ7" i="6"/>
  <c r="JP12" i="6"/>
  <c r="JO14" i="6"/>
  <c r="JS6" i="6" l="1"/>
  <c r="JR7" i="6"/>
  <c r="JQ12" i="6"/>
  <c r="JP14" i="6"/>
  <c r="JT6" i="6" l="1"/>
  <c r="JS7" i="6"/>
  <c r="JQ14" i="6"/>
  <c r="JR12" i="6"/>
  <c r="JT7" i="6" l="1"/>
  <c r="JU6" i="6"/>
  <c r="JS12" i="6"/>
  <c r="JR14" i="6"/>
  <c r="JV6" i="6" l="1"/>
  <c r="JU7" i="6"/>
  <c r="JS14" i="6"/>
  <c r="JT12" i="6"/>
  <c r="JW6" i="6" l="1"/>
  <c r="JV7" i="6"/>
  <c r="JU12" i="6"/>
  <c r="JT14" i="6"/>
  <c r="JX6" i="6" l="1"/>
  <c r="JW7" i="6"/>
  <c r="JV12" i="6"/>
  <c r="JU14" i="6"/>
  <c r="JY6" i="6" l="1"/>
  <c r="JX7" i="6"/>
  <c r="JW12" i="6"/>
  <c r="JV14" i="6"/>
  <c r="JZ6" i="6" l="1"/>
  <c r="JY7" i="6"/>
  <c r="JW14" i="6"/>
  <c r="JX12" i="6"/>
  <c r="KA6" i="6" l="1"/>
  <c r="JZ7" i="6"/>
  <c r="JY12" i="6"/>
  <c r="JX14" i="6"/>
  <c r="KB6" i="6" l="1"/>
  <c r="KA7" i="6"/>
  <c r="JY14" i="6"/>
  <c r="JZ12" i="6"/>
  <c r="KB7" i="6" l="1"/>
  <c r="KC6" i="6"/>
  <c r="JZ14" i="6"/>
  <c r="KA12" i="6"/>
  <c r="KC7" i="6" l="1"/>
  <c r="KD6" i="6"/>
  <c r="KB12" i="6"/>
  <c r="KA14" i="6"/>
  <c r="KE6" i="6" l="1"/>
  <c r="KD7" i="6"/>
  <c r="KC12" i="6"/>
  <c r="KB14" i="6"/>
  <c r="KE7" i="6" l="1"/>
  <c r="KF6" i="6"/>
  <c r="KC14" i="6"/>
  <c r="KD12" i="6"/>
  <c r="KF7" i="6" l="1"/>
  <c r="KG6" i="6"/>
  <c r="KD14" i="6"/>
  <c r="KE12" i="6"/>
  <c r="KH6" i="6" l="1"/>
  <c r="KG7" i="6"/>
  <c r="KF12" i="6"/>
  <c r="KE14" i="6"/>
  <c r="KI6" i="6" l="1"/>
  <c r="KH7" i="6"/>
  <c r="KG12" i="6"/>
  <c r="KF14" i="6"/>
  <c r="KI7" i="6" l="1"/>
  <c r="KJ6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K12" i="6"/>
  <c r="KJ14" i="6"/>
  <c r="KN6" i="6" l="1"/>
  <c r="KM7" i="6"/>
  <c r="KL12" i="6"/>
  <c r="KK14" i="6"/>
  <c r="KO6" i="6" l="1"/>
  <c r="KN7" i="6"/>
  <c r="KM12" i="6"/>
  <c r="KL14" i="6"/>
  <c r="KP6" i="6" l="1"/>
  <c r="KO7" i="6"/>
  <c r="KN12" i="6"/>
  <c r="KM14" i="6"/>
  <c r="KQ6" i="6" l="1"/>
  <c r="KP7" i="6"/>
  <c r="KN14" i="6"/>
  <c r="KO12" i="6"/>
  <c r="KR6" i="6" l="1"/>
  <c r="KQ7" i="6"/>
  <c r="KP12" i="6"/>
  <c r="KO14" i="6"/>
  <c r="KR7" i="6" l="1"/>
  <c r="KS6" i="6"/>
  <c r="KP14" i="6"/>
  <c r="KQ12" i="6"/>
  <c r="KS7" i="6" l="1"/>
  <c r="KT6" i="6"/>
  <c r="KQ14" i="6"/>
  <c r="KR12" i="6"/>
  <c r="KU6" i="6" l="1"/>
  <c r="KT7" i="6"/>
  <c r="KS12" i="6"/>
  <c r="KR14" i="6"/>
  <c r="KV6" i="6" l="1"/>
  <c r="KU7" i="6"/>
  <c r="KT12" i="6"/>
  <c r="KS14" i="6"/>
  <c r="KV7" i="6" l="1"/>
  <c r="KW6" i="6"/>
  <c r="KU12" i="6"/>
  <c r="KT14" i="6"/>
  <c r="KX6" i="6" l="1"/>
  <c r="KW7" i="6"/>
  <c r="KV12" i="6"/>
  <c r="KU14" i="6"/>
  <c r="KY6" i="6" l="1"/>
  <c r="KX7" i="6"/>
  <c r="KW12" i="6"/>
  <c r="KV14" i="6"/>
  <c r="KZ6" i="6" l="1"/>
  <c r="KY7" i="6"/>
  <c r="KW14" i="6"/>
  <c r="KX12" i="6"/>
  <c r="KZ7" i="6" l="1"/>
  <c r="LA6" i="6"/>
  <c r="KY12" i="6"/>
  <c r="KX14" i="6"/>
  <c r="LB6" i="6" l="1"/>
  <c r="LA7" i="6"/>
  <c r="KY14" i="6"/>
  <c r="KZ12" i="6"/>
  <c r="LC6" i="6" l="1"/>
  <c r="LB7" i="6"/>
  <c r="KZ14" i="6"/>
  <c r="LA12" i="6"/>
  <c r="LC7" i="6" l="1"/>
  <c r="LD6" i="6"/>
  <c r="LA14" i="6"/>
  <c r="LB12" i="6"/>
  <c r="LE6" i="6" l="1"/>
  <c r="LD7" i="6"/>
  <c r="LB14" i="6"/>
  <c r="LC12" i="6"/>
  <c r="LF6" i="6" l="1"/>
  <c r="LE7" i="6"/>
  <c r="LD12" i="6"/>
  <c r="LC14" i="6"/>
  <c r="LG6" i="6" l="1"/>
  <c r="LF7" i="6"/>
  <c r="LE12" i="6"/>
  <c r="LD14" i="6"/>
  <c r="LH6" i="6" l="1"/>
  <c r="LG7" i="6"/>
  <c r="LF12" i="6"/>
  <c r="LE14" i="6"/>
  <c r="LI6" i="6" l="1"/>
  <c r="LH7" i="6"/>
  <c r="LG12" i="6"/>
  <c r="LF14" i="6"/>
  <c r="LJ6" i="6" l="1"/>
  <c r="LI7" i="6"/>
  <c r="LG14" i="6"/>
  <c r="LH12" i="6"/>
  <c r="LK6" i="6" l="1"/>
  <c r="LJ7" i="6"/>
  <c r="LH14" i="6"/>
  <c r="LI12" i="6"/>
  <c r="LL6" i="6" l="1"/>
  <c r="LK7" i="6"/>
  <c r="LI14" i="6"/>
  <c r="LJ12" i="6"/>
  <c r="LM6" i="6" l="1"/>
  <c r="LL7" i="6"/>
  <c r="LK12" i="6"/>
  <c r="LJ14" i="6"/>
  <c r="LN6" i="6" l="1"/>
  <c r="LM7" i="6"/>
  <c r="LL12" i="6"/>
  <c r="LK14" i="6"/>
  <c r="LO6" i="6" l="1"/>
  <c r="LN7" i="6"/>
  <c r="LM12" i="6"/>
  <c r="LL14" i="6"/>
  <c r="LP6" i="6" l="1"/>
  <c r="LO7" i="6"/>
  <c r="LM14" i="6"/>
  <c r="LN12" i="6"/>
  <c r="LQ6" i="6" l="1"/>
  <c r="LP7" i="6"/>
  <c r="LN14" i="6"/>
  <c r="LO12" i="6"/>
  <c r="LQ7" i="6" l="1"/>
  <c r="LR6" i="6"/>
  <c r="LP12" i="6"/>
  <c r="LO14" i="6"/>
  <c r="LS6" i="6" l="1"/>
  <c r="LR7" i="6"/>
  <c r="LP14" i="6"/>
  <c r="LQ12" i="6"/>
  <c r="LT6" i="6" l="1"/>
  <c r="LS7" i="6"/>
  <c r="LR12" i="6"/>
  <c r="LQ14" i="6"/>
  <c r="LU6" i="6" l="1"/>
  <c r="LT7" i="6"/>
  <c r="LS12" i="6"/>
  <c r="LR14" i="6"/>
  <c r="LV6" i="6" l="1"/>
  <c r="LU7" i="6"/>
  <c r="LT12" i="6"/>
  <c r="LS14" i="6"/>
  <c r="LW6" i="6" l="1"/>
  <c r="LV7" i="6"/>
  <c r="LT14" i="6"/>
  <c r="LU12" i="6"/>
  <c r="LX6" i="6" l="1"/>
  <c r="LW7" i="6"/>
  <c r="LU14" i="6"/>
  <c r="LV12" i="6"/>
  <c r="LY6" i="6" l="1"/>
  <c r="LX7" i="6"/>
  <c r="LV14" i="6"/>
  <c r="LW12" i="6"/>
  <c r="LY7" i="6" l="1"/>
  <c r="LZ6" i="6"/>
  <c r="LX12" i="6"/>
  <c r="LW14" i="6"/>
  <c r="MA6" i="6" l="1"/>
  <c r="LZ7" i="6"/>
  <c r="LX14" i="6"/>
  <c r="LY12" i="6"/>
  <c r="MB6" i="6" l="1"/>
  <c r="MA7" i="6"/>
  <c r="LZ12" i="6"/>
  <c r="LY14" i="6"/>
  <c r="MC6" i="6" l="1"/>
  <c r="MB7" i="6"/>
  <c r="MA12" i="6"/>
  <c r="LZ14" i="6"/>
  <c r="MD6" i="6" l="1"/>
  <c r="MC7" i="6"/>
  <c r="MA14" i="6"/>
  <c r="MB12" i="6"/>
  <c r="ME6" i="6" l="1"/>
  <c r="MD7" i="6"/>
  <c r="MB14" i="6"/>
  <c r="MC12" i="6"/>
  <c r="MF6" i="6" l="1"/>
  <c r="ME7" i="6"/>
  <c r="MD12" i="6"/>
  <c r="MC14" i="6"/>
  <c r="MG6" i="6" l="1"/>
  <c r="MF7" i="6"/>
  <c r="ME12" i="6"/>
  <c r="MD14" i="6"/>
  <c r="MH6" i="6" l="1"/>
  <c r="MG7" i="6"/>
  <c r="MF12" i="6"/>
  <c r="ME14" i="6"/>
  <c r="MI6" i="6" l="1"/>
  <c r="MH7" i="6"/>
  <c r="MG12" i="6"/>
  <c r="MF14" i="6"/>
  <c r="MJ6" i="6" l="1"/>
  <c r="MI7" i="6"/>
  <c r="MG14" i="6"/>
  <c r="MH12" i="6"/>
  <c r="MK6" i="6" l="1"/>
  <c r="MJ7" i="6"/>
  <c r="MH14" i="6"/>
  <c r="MI12" i="6"/>
  <c r="MK7" i="6" l="1"/>
  <c r="ML6" i="6"/>
  <c r="MJ12" i="6"/>
  <c r="MI14" i="6"/>
  <c r="ML7" i="6" l="1"/>
  <c r="MM6" i="6"/>
  <c r="MJ14" i="6"/>
  <c r="MK12" i="6"/>
  <c r="MN6" i="6" l="1"/>
  <c r="MM7" i="6"/>
  <c r="ML12" i="6"/>
  <c r="MK14" i="6"/>
  <c r="MN7" i="6" l="1"/>
  <c r="MO6" i="6"/>
  <c r="MM12" i="6"/>
  <c r="ML14" i="6"/>
  <c r="MP6" i="6" l="1"/>
  <c r="MO7" i="6"/>
  <c r="MM14" i="6"/>
  <c r="MN12" i="6"/>
  <c r="MP7" i="6" l="1"/>
  <c r="MQ6" i="6"/>
  <c r="MO12" i="6"/>
  <c r="MN14" i="6"/>
  <c r="MQ7" i="6" l="1"/>
  <c r="MR6" i="6"/>
  <c r="MP12" i="6"/>
  <c r="MO14" i="6"/>
  <c r="MS6" i="6" l="1"/>
  <c r="MR7" i="6"/>
  <c r="MP14" i="6"/>
  <c r="MQ12" i="6"/>
  <c r="MT6" i="6" l="1"/>
  <c r="MS7" i="6"/>
  <c r="MQ14" i="6"/>
  <c r="MR12" i="6"/>
  <c r="MU6" i="6" l="1"/>
  <c r="MT7" i="6"/>
  <c r="MS12" i="6"/>
  <c r="MR14" i="6"/>
  <c r="MV6" i="6" l="1"/>
  <c r="MU7" i="6"/>
  <c r="MT12" i="6"/>
  <c r="MS14" i="6"/>
  <c r="MW6" i="6" l="1"/>
  <c r="MV7" i="6"/>
  <c r="MT14" i="6"/>
  <c r="MU12" i="6"/>
  <c r="MX6" i="6" l="1"/>
  <c r="MW7" i="6"/>
  <c r="MV12" i="6"/>
  <c r="MU14" i="6"/>
  <c r="MY6" i="6" l="1"/>
  <c r="MX7" i="6"/>
  <c r="MV14" i="6"/>
  <c r="MW12" i="6"/>
  <c r="MZ6" i="6" l="1"/>
  <c r="MY7" i="6"/>
  <c r="MW14" i="6"/>
  <c r="MX12" i="6"/>
  <c r="MZ7" i="6" l="1"/>
  <c r="NA6" i="6"/>
  <c r="MX14" i="6"/>
  <c r="MY12" i="6"/>
  <c r="NA7" i="6" l="1"/>
  <c r="NB6" i="6"/>
  <c r="MZ12" i="6"/>
  <c r="MY14" i="6"/>
  <c r="NC6" i="6" l="1"/>
  <c r="NB7" i="6"/>
  <c r="NA12" i="6"/>
  <c r="MZ14" i="6"/>
  <c r="ND6" i="6" l="1"/>
  <c r="NC7" i="6"/>
  <c r="NB12" i="6"/>
  <c r="NA14" i="6"/>
  <c r="NE6" i="6" l="1"/>
  <c r="ND7" i="6"/>
  <c r="NC12" i="6"/>
  <c r="NB14" i="6"/>
  <c r="NF6" i="6" l="1"/>
  <c r="NE7" i="6"/>
  <c r="ND12" i="6"/>
  <c r="NC14" i="6"/>
  <c r="NG6" i="6" l="1"/>
  <c r="NF7" i="6"/>
  <c r="NE12" i="6"/>
  <c r="ND14" i="6"/>
  <c r="NH6" i="6" l="1"/>
  <c r="NG7" i="6"/>
  <c r="NF12" i="6"/>
  <c r="NE14" i="6"/>
  <c r="NI6" i="6" l="1"/>
  <c r="NH7" i="6"/>
  <c r="NG12" i="6"/>
  <c r="NF14" i="6"/>
  <c r="NJ6" i="6" l="1"/>
  <c r="NI7" i="6"/>
  <c r="NG14" i="6"/>
  <c r="NH12" i="6"/>
  <c r="NK6" i="6" l="1"/>
  <c r="NJ7" i="6"/>
  <c r="NI12" i="6"/>
  <c r="NH14" i="6"/>
  <c r="NL6" i="6" l="1"/>
  <c r="NK7" i="6"/>
  <c r="NJ12" i="6"/>
  <c r="NI14" i="6"/>
  <c r="NL7" i="6" l="1"/>
  <c r="NM6" i="6"/>
  <c r="NK12" i="6"/>
  <c r="NJ14" i="6"/>
  <c r="NM7" i="6" l="1"/>
  <c r="NN6" i="6"/>
  <c r="NK14" i="6"/>
  <c r="NL12" i="6"/>
  <c r="NO6" i="6" l="1"/>
  <c r="NN7" i="6"/>
  <c r="NL14" i="6"/>
  <c r="NM12" i="6"/>
  <c r="NP6" i="6" l="1"/>
  <c r="NO7" i="6"/>
  <c r="NN12" i="6"/>
  <c r="NM14" i="6"/>
  <c r="NQ6" i="6" l="1"/>
  <c r="NP7" i="6"/>
  <c r="NN14" i="6"/>
  <c r="NO12" i="6"/>
  <c r="NR6" i="6" l="1"/>
  <c r="NQ7" i="6"/>
  <c r="NO14" i="6"/>
  <c r="NP12" i="6"/>
  <c r="NS6" i="6" l="1"/>
  <c r="NR7" i="6"/>
  <c r="NQ12" i="6"/>
  <c r="NP14" i="6"/>
  <c r="NT6" i="6" l="1"/>
  <c r="NS7" i="6"/>
  <c r="NR12" i="6"/>
  <c r="NQ14" i="6"/>
  <c r="NT7" i="6" l="1"/>
  <c r="NU6" i="6"/>
  <c r="NR14" i="6"/>
  <c r="NS12" i="6"/>
  <c r="NU7" i="6" l="1"/>
  <c r="NV6" i="6"/>
  <c r="NT12" i="6"/>
  <c r="NS14" i="6"/>
  <c r="NW6" i="6" l="1"/>
  <c r="NV7" i="6"/>
  <c r="NU12" i="6"/>
  <c r="NT14" i="6"/>
  <c r="NX6" i="6" l="1"/>
  <c r="NW7" i="6"/>
  <c r="NU14" i="6"/>
  <c r="NV12" i="6"/>
  <c r="NY6" i="6" l="1"/>
  <c r="NX7" i="6"/>
  <c r="NW12" i="6"/>
  <c r="NV14" i="6"/>
  <c r="NZ6" i="6" l="1"/>
  <c r="NY7" i="6"/>
  <c r="NW14" i="6"/>
  <c r="NX12" i="6"/>
  <c r="OA6" i="6" l="1"/>
  <c r="NZ7" i="6"/>
  <c r="NY12" i="6"/>
  <c r="NX14" i="6"/>
  <c r="OB6" i="6" l="1"/>
  <c r="OA7" i="6"/>
  <c r="NZ12" i="6"/>
  <c r="NY14" i="6"/>
  <c r="OC6" i="6" l="1"/>
  <c r="OB7" i="6"/>
  <c r="NZ14" i="6"/>
  <c r="OA12" i="6"/>
  <c r="OD6" i="6" l="1"/>
  <c r="OC7" i="6"/>
  <c r="OB12" i="6"/>
  <c r="OA14" i="6"/>
  <c r="OE6" i="6" l="1"/>
  <c r="OD7" i="6"/>
  <c r="OB14" i="6"/>
  <c r="OC12" i="6"/>
  <c r="OF6" i="6" l="1"/>
  <c r="OE7" i="6"/>
  <c r="OD12" i="6"/>
  <c r="OC14" i="6"/>
  <c r="OF7" i="6" l="1"/>
  <c r="OG6" i="6"/>
  <c r="OD14" i="6"/>
  <c r="OE12" i="6"/>
  <c r="OH6" i="6" l="1"/>
  <c r="OG7" i="6"/>
  <c r="OF12" i="6"/>
  <c r="OE14" i="6"/>
  <c r="OI6" i="6" l="1"/>
  <c r="OH7" i="6"/>
  <c r="OG12" i="6"/>
  <c r="OF14" i="6"/>
  <c r="OJ6" i="6" l="1"/>
  <c r="OI7" i="6"/>
  <c r="OG14" i="6"/>
  <c r="OH12" i="6"/>
  <c r="OK6" i="6" l="1"/>
  <c r="OJ7" i="6"/>
  <c r="OH14" i="6"/>
  <c r="OI12" i="6"/>
  <c r="OL6" i="6" l="1"/>
  <c r="OK7" i="6"/>
  <c r="OI14" i="6"/>
  <c r="OJ12" i="6"/>
  <c r="OM6" i="6" l="1"/>
  <c r="OL7" i="6"/>
  <c r="OK12" i="6"/>
  <c r="OJ14" i="6"/>
  <c r="ON6" i="6" l="1"/>
  <c r="OM7" i="6"/>
  <c r="OL12" i="6"/>
  <c r="OK14" i="6"/>
  <c r="OO6" i="6" l="1"/>
  <c r="ON7" i="6"/>
  <c r="OM12" i="6"/>
  <c r="OL14" i="6"/>
  <c r="OP6" i="6" l="1"/>
  <c r="OO7" i="6"/>
  <c r="OM14" i="6"/>
  <c r="ON12" i="6"/>
  <c r="OQ6" i="6" l="1"/>
  <c r="OP7" i="6"/>
  <c r="OO12" i="6"/>
  <c r="ON14" i="6"/>
  <c r="OR6" i="6" l="1"/>
  <c r="OQ7" i="6"/>
  <c r="OO14" i="6"/>
  <c r="OP12" i="6"/>
  <c r="OS6" i="6" l="1"/>
  <c r="OR7" i="6"/>
  <c r="OQ12" i="6"/>
  <c r="OP14" i="6"/>
  <c r="OS7" i="6" l="1"/>
  <c r="OT6" i="6"/>
  <c r="OR12" i="6"/>
  <c r="OQ14" i="6"/>
  <c r="OU6" i="6" l="1"/>
  <c r="OT7" i="6"/>
  <c r="OS12" i="6"/>
  <c r="OR14" i="6"/>
  <c r="OV6" i="6" l="1"/>
  <c r="OU7" i="6"/>
  <c r="OT12" i="6"/>
  <c r="OS14" i="6"/>
  <c r="OV7" i="6" l="1"/>
  <c r="OW6" i="6"/>
  <c r="OU12" i="6"/>
  <c r="OT14" i="6"/>
  <c r="OW7" i="6" l="1"/>
  <c r="OX6" i="6"/>
  <c r="OV12" i="6"/>
  <c r="OU14" i="6"/>
  <c r="OY6" i="6" l="1"/>
  <c r="OX7" i="6"/>
  <c r="OV14" i="6"/>
  <c r="OW12" i="6"/>
  <c r="OZ6" i="6" l="1"/>
  <c r="OY7" i="6"/>
  <c r="OX12" i="6"/>
  <c r="OW14" i="6"/>
  <c r="PA6" i="6" l="1"/>
  <c r="OZ7" i="6"/>
  <c r="OY12" i="6"/>
  <c r="OX14" i="6"/>
  <c r="PB6" i="6" l="1"/>
  <c r="PA7" i="6"/>
  <c r="OY14" i="6"/>
  <c r="OZ12" i="6"/>
  <c r="PC6" i="6" l="1"/>
  <c r="PB7" i="6"/>
  <c r="PA12" i="6"/>
  <c r="OZ14" i="6"/>
  <c r="PD6" i="6" l="1"/>
  <c r="PC7" i="6"/>
  <c r="PA14" i="6"/>
  <c r="PB12" i="6"/>
  <c r="PE6" i="6" l="1"/>
  <c r="PD7" i="6"/>
  <c r="PC12" i="6"/>
  <c r="PB14" i="6"/>
  <c r="PF6" i="6" l="1"/>
  <c r="PE7" i="6"/>
  <c r="PC14" i="6"/>
  <c r="PD12" i="6"/>
  <c r="PG6" i="6" l="1"/>
  <c r="PF7" i="6"/>
  <c r="PE12" i="6"/>
  <c r="PD14" i="6"/>
  <c r="PH6" i="6" l="1"/>
  <c r="PG7" i="6"/>
  <c r="PE14" i="6"/>
  <c r="PF12" i="6"/>
  <c r="PH7" i="6" l="1"/>
  <c r="PI6" i="6"/>
  <c r="PG12" i="6"/>
  <c r="PF14" i="6"/>
  <c r="PI7" i="6" l="1"/>
  <c r="PJ6" i="6"/>
  <c r="PG14" i="6"/>
  <c r="PH12" i="6"/>
  <c r="PK6" i="6" l="1"/>
  <c r="PJ7" i="6"/>
  <c r="PI12" i="6"/>
  <c r="PH14" i="6"/>
  <c r="PL6" i="6" l="1"/>
  <c r="PK7" i="6"/>
  <c r="PJ12" i="6"/>
  <c r="PI14" i="6"/>
  <c r="PM6" i="6" l="1"/>
  <c r="PL7" i="6"/>
  <c r="PJ14" i="6"/>
  <c r="PK12" i="6"/>
  <c r="PN6" i="6" l="1"/>
  <c r="PM7" i="6"/>
  <c r="PK14" i="6"/>
  <c r="PL12" i="6"/>
  <c r="PO6" i="6" l="1"/>
  <c r="PN7" i="6"/>
  <c r="PM12" i="6"/>
  <c r="PL14" i="6"/>
  <c r="PP6" i="6" l="1"/>
  <c r="PO7" i="6"/>
  <c r="PN12" i="6"/>
  <c r="PM14" i="6"/>
  <c r="PQ6" i="6" l="1"/>
  <c r="PP7" i="6"/>
  <c r="PO12" i="6"/>
  <c r="PN14" i="6"/>
  <c r="PR6" i="6" l="1"/>
  <c r="PQ7" i="6"/>
  <c r="PP12" i="6"/>
  <c r="PO14" i="6"/>
  <c r="PS6" i="6" l="1"/>
  <c r="PR7" i="6"/>
  <c r="PQ12" i="6"/>
  <c r="PP14" i="6"/>
  <c r="PS7" i="6" l="1"/>
  <c r="PT6" i="6"/>
  <c r="PQ14" i="6"/>
  <c r="PR12" i="6"/>
  <c r="PU6" i="6" l="1"/>
  <c r="PT7" i="6"/>
  <c r="PS12" i="6"/>
  <c r="PR14" i="6"/>
  <c r="PV6" i="6" l="1"/>
  <c r="PU7" i="6"/>
  <c r="PT12" i="6"/>
  <c r="PS14" i="6"/>
  <c r="PW6" i="6" l="1"/>
  <c r="PV7" i="6"/>
  <c r="PU12" i="6"/>
  <c r="PT14" i="6"/>
  <c r="PX6" i="6" l="1"/>
  <c r="PW7" i="6"/>
  <c r="PV12" i="6"/>
  <c r="PU14" i="6"/>
  <c r="PX7" i="6" l="1"/>
  <c r="PY6" i="6"/>
  <c r="PW12" i="6"/>
  <c r="PV14" i="6"/>
  <c r="PZ6" i="6" l="1"/>
  <c r="PY7" i="6"/>
  <c r="PX12" i="6"/>
  <c r="PW14" i="6"/>
  <c r="QA6" i="6" l="1"/>
  <c r="PZ7" i="6"/>
  <c r="PY12" i="6"/>
  <c r="PX14" i="6"/>
  <c r="QB6" i="6" l="1"/>
  <c r="QA7" i="6"/>
  <c r="PY14" i="6"/>
  <c r="PZ12" i="6"/>
  <c r="QC6" i="6" l="1"/>
  <c r="QB7" i="6"/>
  <c r="PZ14" i="6"/>
  <c r="QA12" i="6"/>
  <c r="QC7" i="6" l="1"/>
  <c r="QD6" i="6"/>
  <c r="QB12" i="6"/>
  <c r="QA14" i="6"/>
  <c r="QE6" i="6" l="1"/>
  <c r="QD7" i="6"/>
  <c r="QC12" i="6"/>
  <c r="QB14" i="6"/>
  <c r="QF6" i="6" l="1"/>
  <c r="QE7" i="6"/>
  <c r="QD12" i="6"/>
  <c r="QC14" i="6"/>
  <c r="QF7" i="6" l="1"/>
  <c r="QG6" i="6"/>
  <c r="QD14" i="6"/>
  <c r="QE12" i="6"/>
  <c r="QH6" i="6" l="1"/>
  <c r="QG7" i="6"/>
  <c r="QF12" i="6"/>
  <c r="QE14" i="6"/>
  <c r="QI6" i="6" l="1"/>
  <c r="QH7" i="6"/>
  <c r="QG12" i="6"/>
  <c r="QF14" i="6"/>
  <c r="QJ6" i="6" l="1"/>
  <c r="QI7" i="6"/>
  <c r="QH12" i="6"/>
  <c r="QG14" i="6"/>
  <c r="QJ7" i="6" l="1"/>
  <c r="QK6" i="6"/>
  <c r="QI12" i="6"/>
  <c r="QH14" i="6"/>
  <c r="QL6" i="6" l="1"/>
  <c r="QK7" i="6"/>
  <c r="QI14" i="6"/>
  <c r="QJ12" i="6"/>
  <c r="QM6" i="6" l="1"/>
  <c r="QL7" i="6"/>
  <c r="QK12" i="6"/>
  <c r="QJ14" i="6"/>
  <c r="QN6" i="6" l="1"/>
  <c r="QM7" i="6"/>
  <c r="QK14" i="6"/>
  <c r="QL12" i="6"/>
  <c r="QO6" i="6" l="1"/>
  <c r="QN7" i="6"/>
  <c r="QL14" i="6"/>
  <c r="QM12" i="6"/>
  <c r="QP6" i="6" l="1"/>
  <c r="QO7" i="6"/>
  <c r="QN12" i="6"/>
  <c r="QM14" i="6"/>
  <c r="QQ6" i="6" l="1"/>
  <c r="QP7" i="6"/>
  <c r="QO12" i="6"/>
  <c r="QN14" i="6"/>
  <c r="QR6" i="6" l="1"/>
  <c r="QQ7" i="6"/>
  <c r="QP12" i="6"/>
  <c r="QO14" i="6"/>
  <c r="QS6" i="6" l="1"/>
  <c r="QR7" i="6"/>
  <c r="QQ12" i="6"/>
  <c r="QP14" i="6"/>
  <c r="QT6" i="6" l="1"/>
  <c r="QS7" i="6"/>
  <c r="QQ14" i="6"/>
  <c r="QR12" i="6"/>
  <c r="QU6" i="6" l="1"/>
  <c r="QT7" i="6"/>
  <c r="QR14" i="6"/>
  <c r="QS12" i="6"/>
  <c r="QV6" i="6" l="1"/>
  <c r="QU7" i="6"/>
  <c r="QT12" i="6"/>
  <c r="QS14" i="6"/>
  <c r="QW6" i="6" l="1"/>
  <c r="QV7" i="6"/>
  <c r="QU12" i="6"/>
  <c r="QT14" i="6"/>
  <c r="QW7" i="6" l="1"/>
  <c r="QX6" i="6"/>
  <c r="QU14" i="6"/>
  <c r="QV12" i="6"/>
  <c r="QY6" i="6" l="1"/>
  <c r="QX7" i="6"/>
  <c r="QV14" i="6"/>
  <c r="QW12" i="6"/>
  <c r="QZ6" i="6" l="1"/>
  <c r="QY7" i="6"/>
  <c r="QX12" i="6"/>
  <c r="QW14" i="6"/>
  <c r="RA6" i="6" l="1"/>
  <c r="QZ7" i="6"/>
  <c r="QX14" i="6"/>
  <c r="QY12" i="6"/>
  <c r="RB6" i="6" l="1"/>
  <c r="RA7" i="6"/>
  <c r="QZ12" i="6"/>
  <c r="QY14" i="6"/>
  <c r="RB7" i="6" l="1"/>
  <c r="RC6" i="6"/>
  <c r="QZ14" i="6"/>
  <c r="RA12" i="6"/>
  <c r="RC7" i="6" l="1"/>
  <c r="RD6" i="6"/>
  <c r="RB12" i="6"/>
  <c r="RA14" i="6"/>
  <c r="RE6" i="6" l="1"/>
  <c r="RD7" i="6"/>
  <c r="RB14" i="6"/>
  <c r="RC12" i="6"/>
  <c r="RF6" i="6" l="1"/>
  <c r="RE7" i="6"/>
  <c r="RC14" i="6"/>
  <c r="RD12" i="6"/>
  <c r="RG6" i="6" l="1"/>
  <c r="RF7" i="6"/>
  <c r="RE12" i="6"/>
  <c r="RD14" i="6"/>
  <c r="RH6" i="6" l="1"/>
  <c r="RG7" i="6"/>
  <c r="RF12" i="6"/>
  <c r="RE14" i="6"/>
  <c r="RI6" i="6" l="1"/>
  <c r="RH7" i="6"/>
  <c r="RF14" i="6"/>
  <c r="RG12" i="6"/>
  <c r="RJ6" i="6" l="1"/>
  <c r="RI7" i="6"/>
  <c r="RH12" i="6"/>
  <c r="RG14" i="6"/>
  <c r="RK6" i="6" l="1"/>
  <c r="RJ7" i="6"/>
  <c r="RH14" i="6"/>
  <c r="RI12" i="6"/>
  <c r="RL6" i="6" l="1"/>
  <c r="RK7" i="6"/>
  <c r="RJ12" i="6"/>
  <c r="RI14" i="6"/>
  <c r="RM6" i="6" l="1"/>
  <c r="RL7" i="6"/>
  <c r="RK12" i="6"/>
  <c r="RJ14" i="6"/>
  <c r="RN6" i="6" l="1"/>
  <c r="RM7" i="6"/>
  <c r="RL12" i="6"/>
  <c r="RK14" i="6"/>
  <c r="RO6" i="6" l="1"/>
  <c r="RN7" i="6"/>
  <c r="RM12" i="6"/>
  <c r="RL14" i="6"/>
  <c r="RP6" i="6" l="1"/>
  <c r="RO7" i="6"/>
  <c r="RN12" i="6"/>
  <c r="RM14" i="6"/>
  <c r="RP7" i="6" l="1"/>
  <c r="RQ6" i="6"/>
  <c r="RN14" i="6"/>
  <c r="RO12" i="6"/>
  <c r="RQ7" i="6" l="1"/>
  <c r="RR6" i="6"/>
  <c r="RO14" i="6"/>
  <c r="RP12" i="6"/>
  <c r="RS6" i="6" l="1"/>
  <c r="RR7" i="6"/>
  <c r="RP14" i="6"/>
  <c r="RQ12" i="6"/>
  <c r="RT6" i="6" l="1"/>
  <c r="RS7" i="6"/>
  <c r="RR12" i="6"/>
  <c r="RQ14" i="6"/>
  <c r="RU6" i="6" l="1"/>
  <c r="RT7" i="6"/>
  <c r="RS12" i="6"/>
  <c r="RR14" i="6"/>
  <c r="RV6" i="6" l="1"/>
  <c r="RU7" i="6"/>
  <c r="RT12" i="6"/>
  <c r="RS14" i="6"/>
  <c r="RW6" i="6" l="1"/>
  <c r="RV7" i="6"/>
  <c r="RU12" i="6"/>
  <c r="RT14" i="6"/>
  <c r="RX6" i="6" l="1"/>
  <c r="RW7" i="6"/>
  <c r="RU14" i="6"/>
  <c r="RV12" i="6"/>
  <c r="RX7" i="6" l="1"/>
  <c r="RY6" i="6"/>
  <c r="RW12" i="6"/>
  <c r="RV14" i="6"/>
  <c r="RZ6" i="6" l="1"/>
  <c r="RY7" i="6"/>
  <c r="RX12" i="6"/>
  <c r="RW14" i="6"/>
  <c r="SA6" i="6" l="1"/>
  <c r="RZ7" i="6"/>
  <c r="RX14" i="6"/>
  <c r="RY12" i="6"/>
  <c r="SB6" i="6" l="1"/>
  <c r="SA7" i="6"/>
  <c r="RZ12" i="6"/>
  <c r="RY14" i="6"/>
  <c r="SB7" i="6" l="1"/>
  <c r="SC6" i="6"/>
  <c r="RZ14" i="6"/>
  <c r="SA12" i="6"/>
  <c r="SD6" i="6" l="1"/>
  <c r="SC7" i="6"/>
  <c r="SA14" i="6"/>
  <c r="SB12" i="6"/>
  <c r="SD7" i="6" l="1"/>
  <c r="SE6" i="6"/>
  <c r="SC12" i="6"/>
  <c r="SB14" i="6"/>
  <c r="SE7" i="6" l="1"/>
  <c r="SF6" i="6"/>
  <c r="SD12" i="6"/>
  <c r="SC14" i="6"/>
  <c r="SG6" i="6" l="1"/>
  <c r="SF7" i="6"/>
  <c r="SD14" i="6"/>
  <c r="SE12" i="6"/>
  <c r="SG7" i="6" l="1"/>
  <c r="SH6" i="6"/>
  <c r="SE14" i="6"/>
  <c r="SF12" i="6"/>
  <c r="SI6" i="6" l="1"/>
  <c r="SH7" i="6"/>
  <c r="SG12" i="6"/>
  <c r="SF14" i="6"/>
  <c r="SJ6" i="6" l="1"/>
  <c r="SI7" i="6"/>
  <c r="SH12" i="6"/>
  <c r="SG14" i="6"/>
  <c r="SK6" i="6" l="1"/>
  <c r="SJ7" i="6"/>
  <c r="SI12" i="6"/>
  <c r="SH14" i="6"/>
  <c r="SL6" i="6" l="1"/>
  <c r="SK7" i="6"/>
  <c r="SJ12" i="6"/>
  <c r="SI14" i="6"/>
  <c r="SM6" i="6" l="1"/>
  <c r="SL7" i="6"/>
  <c r="SK12" i="6"/>
  <c r="SJ14" i="6"/>
  <c r="SN6" i="6" l="1"/>
  <c r="SM7" i="6"/>
  <c r="SK14" i="6"/>
  <c r="SL12" i="6"/>
  <c r="SN7" i="6" l="1"/>
  <c r="SO6" i="6"/>
  <c r="SM12" i="6"/>
  <c r="SL14" i="6"/>
  <c r="SO7" i="6" l="1"/>
  <c r="SP6" i="6"/>
  <c r="SM14" i="6"/>
  <c r="SN12" i="6"/>
  <c r="SP7" i="6" l="1"/>
  <c r="SQ6" i="6"/>
  <c r="SN14" i="6"/>
  <c r="SO12" i="6"/>
  <c r="SR6" i="6" l="1"/>
  <c r="SQ7" i="6"/>
  <c r="SP12" i="6"/>
  <c r="SO14" i="6"/>
  <c r="SS6" i="6" l="1"/>
  <c r="SR7" i="6"/>
  <c r="SQ12" i="6"/>
  <c r="SP14" i="6"/>
  <c r="ST6" i="6" l="1"/>
  <c r="SS7" i="6"/>
  <c r="SR12" i="6"/>
  <c r="SQ14" i="6"/>
  <c r="SU6" i="6" l="1"/>
  <c r="ST7" i="6"/>
  <c r="SR14" i="6"/>
  <c r="SS12" i="6"/>
  <c r="SV6" i="6" l="1"/>
  <c r="SU7" i="6"/>
  <c r="SS14" i="6"/>
  <c r="ST12" i="6"/>
  <c r="SW6" i="6" l="1"/>
  <c r="SV7" i="6"/>
  <c r="SU12" i="6"/>
  <c r="ST14" i="6"/>
  <c r="SX6" i="6" l="1"/>
  <c r="SW7" i="6"/>
  <c r="SU14" i="6"/>
  <c r="SV12" i="6"/>
  <c r="SY6" i="6" l="1"/>
  <c r="SX7" i="6"/>
  <c r="SW12" i="6"/>
  <c r="SV14" i="6"/>
  <c r="SZ6" i="6" l="1"/>
  <c r="SY7" i="6"/>
  <c r="SW14" i="6"/>
  <c r="SX12" i="6"/>
  <c r="SZ7" i="6" l="1"/>
  <c r="TA6" i="6"/>
  <c r="SX14" i="6"/>
  <c r="SY12" i="6"/>
  <c r="TA7" i="6" l="1"/>
  <c r="TB6" i="6"/>
  <c r="SY14" i="6"/>
  <c r="SZ12" i="6"/>
  <c r="TB7" i="6" l="1"/>
  <c r="TC6" i="6"/>
  <c r="TA12" i="6"/>
  <c r="SZ14" i="6"/>
  <c r="TC7" i="6" l="1"/>
  <c r="TD6" i="6"/>
  <c r="TB12" i="6"/>
  <c r="TA14" i="6"/>
  <c r="TE6" i="6" l="1"/>
  <c r="TD7" i="6"/>
  <c r="TC12" i="6"/>
  <c r="TB14" i="6"/>
  <c r="TF6" i="6" l="1"/>
  <c r="TE7" i="6"/>
  <c r="TD12" i="6"/>
  <c r="TC14" i="6"/>
  <c r="TG6" i="6" l="1"/>
  <c r="TF7" i="6"/>
  <c r="TE12" i="6"/>
  <c r="TD14" i="6"/>
  <c r="TH6" i="6" l="1"/>
  <c r="TG7" i="6"/>
  <c r="TF12" i="6"/>
  <c r="TE14" i="6"/>
  <c r="TI6" i="6" l="1"/>
  <c r="TH7" i="6"/>
  <c r="TF14" i="6"/>
  <c r="TG12" i="6"/>
  <c r="TI7" i="6" l="1"/>
  <c r="TJ6" i="6"/>
  <c r="TH12" i="6"/>
  <c r="TG14" i="6"/>
  <c r="TK6" i="6" l="1"/>
  <c r="TJ7" i="6"/>
  <c r="TI12" i="6"/>
  <c r="TH14" i="6"/>
  <c r="TL6" i="6" l="1"/>
  <c r="TK7" i="6"/>
  <c r="TJ12" i="6"/>
  <c r="TI14" i="6"/>
  <c r="TM6" i="6" l="1"/>
  <c r="TL7" i="6"/>
  <c r="TK12" i="6"/>
  <c r="TJ14" i="6"/>
  <c r="TN6" i="6" l="1"/>
  <c r="TM7" i="6"/>
  <c r="TL12" i="6"/>
  <c r="TK14" i="6"/>
  <c r="TO6" i="6" l="1"/>
  <c r="TN7" i="6"/>
  <c r="TL14" i="6"/>
  <c r="TM12" i="6"/>
  <c r="TP6" i="6" l="1"/>
  <c r="TO7" i="6"/>
  <c r="TN12" i="6"/>
  <c r="TM14" i="6"/>
  <c r="TQ6" i="6" l="1"/>
  <c r="TP7" i="6"/>
  <c r="TO12" i="6"/>
  <c r="TN14" i="6"/>
  <c r="TR6" i="6" l="1"/>
  <c r="TQ7" i="6"/>
  <c r="TO14" i="6"/>
  <c r="TP12" i="6"/>
  <c r="TS6" i="6" l="1"/>
  <c r="TR7" i="6"/>
  <c r="TQ12" i="6"/>
  <c r="TP14" i="6"/>
  <c r="TT6" i="6" l="1"/>
  <c r="TS7" i="6"/>
  <c r="TR12" i="6"/>
  <c r="TQ14" i="6"/>
  <c r="TU6" i="6" l="1"/>
  <c r="TT7" i="6"/>
  <c r="TS12" i="6"/>
  <c r="TR14" i="6"/>
  <c r="TU7" i="6" l="1"/>
  <c r="TV6" i="6"/>
  <c r="TS14" i="6"/>
  <c r="TT12" i="6"/>
  <c r="TV7" i="6" l="1"/>
  <c r="TW6" i="6"/>
  <c r="TU12" i="6"/>
  <c r="TT14" i="6"/>
  <c r="TX6" i="6" l="1"/>
  <c r="TW7" i="6"/>
  <c r="TV12" i="6"/>
  <c r="TU14" i="6"/>
  <c r="TY6" i="6" l="1"/>
  <c r="TX7" i="6"/>
  <c r="TV14" i="6"/>
  <c r="TW12" i="6"/>
  <c r="TY7" i="6" l="1"/>
  <c r="TZ6" i="6"/>
  <c r="TW14" i="6"/>
  <c r="TX12" i="6"/>
  <c r="UA6" i="6" l="1"/>
  <c r="TZ7" i="6"/>
  <c r="TY12" i="6"/>
  <c r="TX14" i="6"/>
  <c r="UB6" i="6" l="1"/>
  <c r="UA7" i="6"/>
  <c r="TZ12" i="6"/>
  <c r="TY14" i="6"/>
  <c r="UB7" i="6" l="1"/>
  <c r="UC6" i="6"/>
  <c r="UA12" i="6"/>
  <c r="TZ14" i="6"/>
  <c r="UD6" i="6" l="1"/>
  <c r="UC7" i="6"/>
  <c r="UA14" i="6"/>
  <c r="UB12" i="6"/>
  <c r="UE6" i="6" l="1"/>
  <c r="UD7" i="6"/>
  <c r="UB14" i="6"/>
  <c r="UC12" i="6"/>
  <c r="UF6" i="6" l="1"/>
  <c r="UE7" i="6"/>
  <c r="UC14" i="6"/>
  <c r="UD12" i="6"/>
  <c r="UG6" i="6" l="1"/>
  <c r="UF7" i="6"/>
  <c r="UD14" i="6"/>
  <c r="UE12" i="6"/>
  <c r="UH6" i="6" l="1"/>
  <c r="UG7" i="6"/>
  <c r="UE14" i="6"/>
  <c r="UF12" i="6"/>
  <c r="UI6" i="6" l="1"/>
  <c r="UH7" i="6"/>
  <c r="UF14" i="6"/>
  <c r="UG12" i="6"/>
  <c r="UJ6" i="6" l="1"/>
  <c r="UI7" i="6"/>
  <c r="UH12" i="6"/>
  <c r="UG14" i="6"/>
  <c r="UJ7" i="6" l="1"/>
  <c r="UK6" i="6"/>
  <c r="UH14" i="6"/>
  <c r="UI12" i="6"/>
  <c r="UK7" i="6" l="1"/>
  <c r="UL6" i="6"/>
  <c r="UI14" i="6"/>
  <c r="UJ12" i="6"/>
  <c r="UM6" i="6" l="1"/>
  <c r="UL7" i="6"/>
  <c r="UJ14" i="6"/>
  <c r="UK12" i="6"/>
  <c r="UM7" i="6" l="1"/>
  <c r="UN6" i="6"/>
  <c r="UL12" i="6"/>
  <c r="UK14" i="6"/>
  <c r="UO6" i="6" l="1"/>
  <c r="UN7" i="6"/>
  <c r="UL14" i="6"/>
  <c r="UM12" i="6"/>
  <c r="UP6" i="6" l="1"/>
  <c r="UO7" i="6"/>
  <c r="UN12" i="6"/>
  <c r="UM14" i="6"/>
  <c r="UQ6" i="6" l="1"/>
  <c r="UP7" i="6"/>
  <c r="UN14" i="6"/>
  <c r="UO12" i="6"/>
  <c r="UR6" i="6" l="1"/>
  <c r="UQ7" i="6"/>
  <c r="UO14" i="6"/>
  <c r="UP12" i="6"/>
  <c r="US6" i="6" l="1"/>
  <c r="UR7" i="6"/>
  <c r="UQ12" i="6"/>
  <c r="UP14" i="6"/>
  <c r="UT6" i="6" l="1"/>
  <c r="US7" i="6"/>
  <c r="UQ14" i="6"/>
  <c r="UR12" i="6"/>
  <c r="UU6" i="6" l="1"/>
  <c r="UT7" i="6"/>
  <c r="UR14" i="6"/>
  <c r="US12" i="6"/>
  <c r="UU7" i="6" l="1"/>
  <c r="UV6" i="6"/>
  <c r="UT12" i="6"/>
  <c r="US14" i="6"/>
  <c r="UV7" i="6" l="1"/>
  <c r="UW6" i="6"/>
  <c r="UU12" i="6"/>
  <c r="UT14" i="6"/>
  <c r="UX6" i="6" l="1"/>
  <c r="UW7" i="6"/>
  <c r="UV12" i="6"/>
  <c r="UU14" i="6"/>
  <c r="UY6" i="6" l="1"/>
  <c r="UX7" i="6"/>
  <c r="UW12" i="6"/>
  <c r="UV14" i="6"/>
  <c r="UZ6" i="6" l="1"/>
  <c r="UY7" i="6"/>
  <c r="UX12" i="6"/>
  <c r="UW14" i="6"/>
  <c r="VA6" i="6" l="1"/>
  <c r="UZ7" i="6"/>
  <c r="UX14" i="6"/>
  <c r="UY12" i="6"/>
  <c r="VB6" i="6" l="1"/>
  <c r="VA7" i="6"/>
  <c r="UY14" i="6"/>
  <c r="UZ12" i="6"/>
  <c r="VC6" i="6" l="1"/>
  <c r="VB7" i="6"/>
  <c r="VA12" i="6"/>
  <c r="UZ14" i="6"/>
  <c r="VD6" i="6" l="1"/>
  <c r="VC7" i="6"/>
  <c r="VB12" i="6"/>
  <c r="VA14" i="6"/>
  <c r="VE6" i="6" l="1"/>
  <c r="VD7" i="6"/>
  <c r="VC12" i="6"/>
  <c r="VB14" i="6"/>
  <c r="VF6" i="6" l="1"/>
  <c r="VE7" i="6"/>
  <c r="VD12" i="6"/>
  <c r="VC14" i="6"/>
  <c r="VF7" i="6" l="1"/>
  <c r="VG6" i="6"/>
  <c r="VD14" i="6"/>
  <c r="VE12" i="6"/>
  <c r="VH6" i="6" l="1"/>
  <c r="VG7" i="6"/>
  <c r="VE14" i="6"/>
  <c r="VF12" i="6"/>
  <c r="VH7" i="6" l="1"/>
  <c r="VI6" i="6"/>
  <c r="VG12" i="6"/>
  <c r="VF14" i="6"/>
  <c r="VI7" i="6" l="1"/>
  <c r="VJ6" i="6"/>
  <c r="VH12" i="6"/>
  <c r="VG14" i="6"/>
  <c r="VJ7" i="6" l="1"/>
  <c r="VK6" i="6"/>
  <c r="VI12" i="6"/>
  <c r="VH14" i="6"/>
  <c r="VL6" i="6" l="1"/>
  <c r="VK7" i="6"/>
  <c r="VJ12" i="6"/>
  <c r="VI14" i="6"/>
  <c r="VL7" i="6" l="1"/>
  <c r="VM6" i="6"/>
  <c r="VK12" i="6"/>
  <c r="VJ14" i="6"/>
  <c r="VM7" i="6" l="1"/>
  <c r="VN6" i="6"/>
  <c r="VK14" i="6"/>
  <c r="VL12" i="6"/>
  <c r="VO6" i="6" l="1"/>
  <c r="VN7" i="6"/>
  <c r="VL14" i="6"/>
  <c r="VM12" i="6"/>
  <c r="VP6" i="6" l="1"/>
  <c r="VO7" i="6"/>
  <c r="VM14" i="6"/>
  <c r="VN12" i="6"/>
  <c r="VQ6" i="6" l="1"/>
  <c r="VP7" i="6"/>
  <c r="VN14" i="6"/>
  <c r="VO12" i="6"/>
  <c r="VR6" i="6" l="1"/>
  <c r="VQ7" i="6"/>
  <c r="VP12" i="6"/>
  <c r="VO14" i="6"/>
  <c r="VS6" i="6" l="1"/>
  <c r="VR7" i="6"/>
  <c r="VQ12" i="6"/>
  <c r="VP14" i="6"/>
  <c r="VT6" i="6" l="1"/>
  <c r="VS7" i="6"/>
  <c r="VQ14" i="6"/>
  <c r="VR12" i="6"/>
  <c r="VT7" i="6" l="1"/>
  <c r="VU6" i="6"/>
  <c r="VR14" i="6"/>
  <c r="VS12" i="6"/>
  <c r="VV6" i="6" l="1"/>
  <c r="VU7" i="6"/>
  <c r="VS14" i="6"/>
  <c r="VT12" i="6"/>
  <c r="VW6" i="6" l="1"/>
  <c r="VV7" i="6"/>
  <c r="VU12" i="6"/>
  <c r="VT14" i="6"/>
  <c r="VX6" i="6" l="1"/>
  <c r="VW7" i="6"/>
  <c r="VV12" i="6"/>
  <c r="VU14" i="6"/>
  <c r="VY6" i="6" l="1"/>
  <c r="VX7" i="6"/>
  <c r="VW12" i="6"/>
  <c r="VV14" i="6"/>
  <c r="VZ6" i="6" l="1"/>
  <c r="VY7" i="6"/>
  <c r="VX12" i="6"/>
  <c r="VW14" i="6"/>
  <c r="WA6" i="6" l="1"/>
  <c r="VZ7" i="6"/>
  <c r="VY12" i="6"/>
  <c r="VX14" i="6"/>
  <c r="WB6" i="6" l="1"/>
  <c r="WA7" i="6"/>
  <c r="VY14" i="6"/>
  <c r="VZ12" i="6"/>
  <c r="WC6" i="6" l="1"/>
  <c r="WB7" i="6"/>
  <c r="VZ14" i="6"/>
  <c r="WA12" i="6"/>
  <c r="WC7" i="6" l="1"/>
  <c r="WD6" i="6"/>
  <c r="WA14" i="6"/>
  <c r="WB12" i="6"/>
  <c r="WE6" i="6" l="1"/>
  <c r="WD7" i="6"/>
  <c r="WB14" i="6"/>
  <c r="WC12" i="6"/>
  <c r="WF6" i="6" l="1"/>
  <c r="WE7" i="6"/>
  <c r="WD12" i="6"/>
  <c r="WC14" i="6"/>
  <c r="WG6" i="6" l="1"/>
  <c r="WF7" i="6"/>
  <c r="WD14" i="6"/>
  <c r="WE12" i="6"/>
  <c r="WH6" i="6" l="1"/>
  <c r="WG7" i="6"/>
  <c r="WE14" i="6"/>
  <c r="WF12" i="6"/>
  <c r="WI6" i="6" l="1"/>
  <c r="WH7" i="6"/>
  <c r="WF14" i="6"/>
  <c r="WG12" i="6"/>
  <c r="WI7" i="6" l="1"/>
  <c r="WJ6" i="6"/>
  <c r="WH12" i="6"/>
  <c r="WG14" i="6"/>
  <c r="WK6" i="6" l="1"/>
  <c r="WJ7" i="6"/>
  <c r="WI12" i="6"/>
  <c r="WH14" i="6"/>
  <c r="WL6" i="6" l="1"/>
  <c r="WK7" i="6"/>
  <c r="WJ12" i="6"/>
  <c r="WI14" i="6"/>
  <c r="WM6" i="6" l="1"/>
  <c r="WL7" i="6"/>
  <c r="WJ14" i="6"/>
  <c r="WK12" i="6"/>
  <c r="WN6" i="6" l="1"/>
  <c r="WM7" i="6"/>
  <c r="WL12" i="6"/>
  <c r="WK14" i="6"/>
  <c r="WO6" i="6" l="1"/>
  <c r="WN7" i="6"/>
  <c r="WM12" i="6"/>
  <c r="WL14" i="6"/>
  <c r="WP6" i="6" l="1"/>
  <c r="WO7" i="6"/>
  <c r="WM14" i="6"/>
  <c r="WN12" i="6"/>
  <c r="WQ6" i="6" l="1"/>
  <c r="WP7" i="6"/>
  <c r="WO12" i="6"/>
  <c r="WN14" i="6"/>
  <c r="WQ7" i="6" l="1"/>
  <c r="WR6" i="6"/>
  <c r="WO14" i="6"/>
  <c r="WP12" i="6"/>
  <c r="WS6" i="6" l="1"/>
  <c r="WR7" i="6"/>
  <c r="WQ12" i="6"/>
  <c r="WP14" i="6"/>
  <c r="WS7" i="6" l="1"/>
  <c r="WT6" i="6"/>
  <c r="WR12" i="6"/>
  <c r="WQ14" i="6"/>
  <c r="WU6" i="6" l="1"/>
  <c r="WT7" i="6"/>
  <c r="WR14" i="6"/>
  <c r="WS12" i="6"/>
  <c r="WV6" i="6" l="1"/>
  <c r="WU7" i="6"/>
  <c r="WT12" i="6"/>
  <c r="WS14" i="6"/>
  <c r="WW6" i="6" l="1"/>
  <c r="WV7" i="6"/>
  <c r="WU12" i="6"/>
  <c r="WT14" i="6"/>
  <c r="WX6" i="6" l="1"/>
  <c r="WW7" i="6"/>
  <c r="WV12" i="6"/>
  <c r="WU14" i="6"/>
  <c r="WY6" i="6" l="1"/>
  <c r="WX7" i="6"/>
  <c r="WW12" i="6"/>
  <c r="WV14" i="6"/>
  <c r="WZ6" i="6" l="1"/>
  <c r="WY7" i="6"/>
  <c r="WW14" i="6"/>
  <c r="WX12" i="6"/>
  <c r="XA6" i="6" l="1"/>
  <c r="WZ7" i="6"/>
  <c r="WX14" i="6"/>
  <c r="WY12" i="6"/>
  <c r="XB6" i="6" l="1"/>
  <c r="XA7" i="6"/>
  <c r="WZ12" i="6"/>
  <c r="WY14" i="6"/>
  <c r="XB7" i="6" l="1"/>
  <c r="XC6" i="6"/>
  <c r="XA12" i="6"/>
  <c r="WZ14" i="6"/>
  <c r="XD6" i="6" l="1"/>
  <c r="XC7" i="6"/>
  <c r="XB12" i="6"/>
  <c r="XA14" i="6"/>
  <c r="XE6" i="6" l="1"/>
  <c r="XD7" i="6"/>
  <c r="XC12" i="6"/>
  <c r="XB14" i="6"/>
  <c r="XF6" i="6" l="1"/>
  <c r="XE7" i="6"/>
  <c r="XC14" i="6"/>
  <c r="XD12" i="6"/>
  <c r="XG6" i="6" l="1"/>
  <c r="XF7" i="6"/>
  <c r="XE12" i="6"/>
  <c r="XD14" i="6"/>
  <c r="XH6" i="6" l="1"/>
  <c r="XG7" i="6"/>
  <c r="XF12" i="6"/>
  <c r="XE14" i="6"/>
  <c r="XI6" i="6" l="1"/>
  <c r="XH7" i="6"/>
  <c r="XG12" i="6"/>
  <c r="XF14" i="6"/>
  <c r="XJ6" i="6" l="1"/>
  <c r="XI7" i="6"/>
  <c r="XH12" i="6"/>
  <c r="XG14" i="6"/>
  <c r="XK6" i="6" l="1"/>
  <c r="XJ7" i="6"/>
  <c r="XI12" i="6"/>
  <c r="XH14" i="6"/>
  <c r="XL6" i="6" l="1"/>
  <c r="XK7" i="6"/>
  <c r="XI14" i="6"/>
  <c r="XJ12" i="6"/>
  <c r="XL7" i="6" l="1"/>
  <c r="XM6" i="6"/>
  <c r="XJ14" i="6"/>
  <c r="XK12" i="6"/>
  <c r="XN6" i="6" l="1"/>
  <c r="XM7" i="6"/>
  <c r="XK14" i="6"/>
  <c r="XL12" i="6"/>
  <c r="XO6" i="6" l="1"/>
  <c r="XN7" i="6"/>
  <c r="XL14" i="6"/>
  <c r="XM12" i="6"/>
  <c r="XO7" i="6" l="1"/>
  <c r="XP6" i="6"/>
  <c r="XN12" i="6"/>
  <c r="XM14" i="6"/>
  <c r="XP7" i="6" l="1"/>
  <c r="XQ6" i="6"/>
  <c r="XO12" i="6"/>
  <c r="XN14" i="6"/>
  <c r="XQ7" i="6" l="1"/>
  <c r="XR6" i="6"/>
  <c r="XO14" i="6"/>
  <c r="XP12" i="6"/>
  <c r="XR7" i="6" l="1"/>
  <c r="XS6" i="6"/>
  <c r="XQ12" i="6"/>
  <c r="XP14" i="6"/>
  <c r="XT6" i="6" l="1"/>
  <c r="XS7" i="6"/>
  <c r="XR12" i="6"/>
  <c r="XQ14" i="6"/>
  <c r="XU6" i="6" l="1"/>
  <c r="XT7" i="6"/>
  <c r="XR14" i="6"/>
  <c r="XS12" i="6"/>
  <c r="XV6" i="6" l="1"/>
  <c r="XU7" i="6"/>
  <c r="XT12" i="6"/>
  <c r="XS14" i="6"/>
  <c r="XW6" i="6" l="1"/>
  <c r="XV7" i="6"/>
  <c r="XU12" i="6"/>
  <c r="XT14" i="6"/>
  <c r="XX6" i="6" l="1"/>
  <c r="XW7" i="6"/>
  <c r="XV12" i="6"/>
  <c r="XU14" i="6"/>
  <c r="XY6" i="6" l="1"/>
  <c r="XX7" i="6"/>
  <c r="XV14" i="6"/>
  <c r="XW12" i="6"/>
  <c r="XZ6" i="6" l="1"/>
  <c r="XY7" i="6"/>
  <c r="XW14" i="6"/>
  <c r="XX12" i="6"/>
  <c r="YA6" i="6" l="1"/>
  <c r="XZ7" i="6"/>
  <c r="XY12" i="6"/>
  <c r="XX14" i="6"/>
  <c r="YB6" i="6" l="1"/>
  <c r="YA7" i="6"/>
  <c r="XY14" i="6"/>
  <c r="XZ12" i="6"/>
  <c r="YB7" i="6" l="1"/>
  <c r="YC6" i="6"/>
  <c r="XZ14" i="6"/>
  <c r="YA12" i="6"/>
  <c r="YD6" i="6" l="1"/>
  <c r="YC7" i="6"/>
  <c r="YA14" i="6"/>
  <c r="YB12" i="6"/>
  <c r="YD7" i="6" l="1"/>
  <c r="YE6" i="6"/>
  <c r="YC12" i="6"/>
  <c r="YB14" i="6"/>
  <c r="YE7" i="6" l="1"/>
  <c r="YF6" i="6"/>
  <c r="YD12" i="6"/>
  <c r="YC14" i="6"/>
  <c r="YG6" i="6" l="1"/>
  <c r="YF7" i="6"/>
  <c r="YE12" i="6"/>
  <c r="YD14" i="6"/>
  <c r="YH6" i="6" l="1"/>
  <c r="YG7" i="6"/>
  <c r="YE14" i="6"/>
  <c r="YF12" i="6"/>
  <c r="YI6" i="6" l="1"/>
  <c r="YH7" i="6"/>
  <c r="YF14" i="6"/>
  <c r="YG12" i="6"/>
  <c r="YJ6" i="6" l="1"/>
  <c r="YI7" i="6"/>
  <c r="YG14" i="6"/>
  <c r="YH12" i="6"/>
  <c r="YK6" i="6" l="1"/>
  <c r="YJ7" i="6"/>
  <c r="YI12" i="6"/>
  <c r="YH14" i="6"/>
  <c r="YK7" i="6" l="1"/>
  <c r="YL6" i="6"/>
  <c r="YJ12" i="6"/>
  <c r="YI14" i="6"/>
  <c r="YM6" i="6" l="1"/>
  <c r="YL7" i="6"/>
  <c r="YJ14" i="6"/>
  <c r="YK12" i="6"/>
  <c r="YN6" i="6" l="1"/>
  <c r="YM7" i="6"/>
  <c r="YL12" i="6"/>
  <c r="YK14" i="6"/>
  <c r="YN7" i="6" l="1"/>
  <c r="YO6" i="6"/>
  <c r="YL14" i="6"/>
  <c r="YM12" i="6"/>
  <c r="YO7" i="6" l="1"/>
  <c r="YP6" i="6"/>
  <c r="YM14" i="6"/>
  <c r="YN12" i="6"/>
  <c r="YQ6" i="6" l="1"/>
  <c r="YP7" i="6"/>
  <c r="YO12" i="6"/>
  <c r="YN14" i="6"/>
  <c r="YR6" i="6" l="1"/>
  <c r="YQ7" i="6"/>
  <c r="YP12" i="6"/>
  <c r="YO14" i="6"/>
  <c r="YS6" i="6" l="1"/>
  <c r="YR7" i="6"/>
  <c r="YQ12" i="6"/>
  <c r="YP14" i="6"/>
  <c r="YT6" i="6" l="1"/>
  <c r="YS7" i="6"/>
  <c r="YR12" i="6"/>
  <c r="YQ14" i="6"/>
  <c r="YU6" i="6" l="1"/>
  <c r="YT7" i="6"/>
  <c r="YR14" i="6"/>
  <c r="YS12" i="6"/>
  <c r="YV6" i="6" l="1"/>
  <c r="YU7" i="6"/>
  <c r="YS14" i="6"/>
  <c r="YT12" i="6"/>
  <c r="YV7" i="6" l="1"/>
  <c r="YW6" i="6"/>
  <c r="YT14" i="6"/>
  <c r="YU12" i="6"/>
  <c r="YX6" i="6" l="1"/>
  <c r="YW7" i="6"/>
  <c r="YV12" i="6"/>
  <c r="YU14" i="6"/>
  <c r="YY6" i="6" l="1"/>
  <c r="YX7" i="6"/>
  <c r="YV14" i="6"/>
  <c r="YW12" i="6"/>
  <c r="YY7" i="6" l="1"/>
  <c r="YZ6" i="6"/>
  <c r="YW14" i="6"/>
  <c r="YX12" i="6"/>
  <c r="ZA6" i="6" l="1"/>
  <c r="YZ7" i="6"/>
  <c r="YY12" i="6"/>
  <c r="YX14" i="6"/>
  <c r="ZB6" i="6" l="1"/>
  <c r="ZA7" i="6"/>
  <c r="YZ12" i="6"/>
  <c r="YY14" i="6"/>
  <c r="ZC6" i="6" l="1"/>
  <c r="ZB7" i="6"/>
  <c r="YZ14" i="6"/>
  <c r="ZA12" i="6"/>
  <c r="ZD6" i="6" l="1"/>
  <c r="ZC7" i="6"/>
  <c r="ZB12" i="6"/>
  <c r="ZA14" i="6"/>
  <c r="ZE6" i="6" l="1"/>
  <c r="ZD7" i="6"/>
  <c r="ZC12" i="6"/>
  <c r="ZB14" i="6"/>
  <c r="ZE7" i="6" l="1"/>
  <c r="ZF6" i="6"/>
  <c r="ZC14" i="6"/>
  <c r="ZD12" i="6"/>
  <c r="ZG6" i="6" l="1"/>
  <c r="ZF7" i="6"/>
  <c r="ZE12" i="6"/>
  <c r="ZD14" i="6"/>
  <c r="ZH6" i="6" l="1"/>
  <c r="ZG7" i="6"/>
  <c r="ZF12" i="6"/>
  <c r="ZE14" i="6"/>
  <c r="ZH7" i="6" l="1"/>
  <c r="ZI6" i="6"/>
  <c r="ZG12" i="6"/>
  <c r="ZF14" i="6"/>
  <c r="ZJ6" i="6" l="1"/>
  <c r="ZI7" i="6"/>
  <c r="ZG14" i="6"/>
  <c r="ZH12" i="6"/>
  <c r="ZK6" i="6" l="1"/>
  <c r="ZJ7" i="6"/>
  <c r="ZI12" i="6"/>
  <c r="ZH14" i="6"/>
  <c r="ZL6" i="6" l="1"/>
  <c r="ZK7" i="6"/>
  <c r="ZJ12" i="6"/>
  <c r="ZI14" i="6"/>
  <c r="ZM6" i="6" l="1"/>
  <c r="ZL7" i="6"/>
  <c r="ZK12" i="6"/>
  <c r="ZJ14" i="6"/>
  <c r="ZN6" i="6" l="1"/>
  <c r="ZM7" i="6"/>
  <c r="ZK14" i="6"/>
  <c r="ZL12" i="6"/>
  <c r="ZO6" i="6" l="1"/>
  <c r="ZN7" i="6"/>
  <c r="ZL14" i="6"/>
  <c r="ZM12" i="6"/>
  <c r="ZP6" i="6" l="1"/>
  <c r="ZO7" i="6"/>
  <c r="ZN12" i="6"/>
  <c r="ZM14" i="6"/>
  <c r="ZQ6" i="6" l="1"/>
  <c r="ZP7" i="6"/>
  <c r="ZN14" i="6"/>
  <c r="ZO12" i="6"/>
  <c r="ZR6" i="6" l="1"/>
  <c r="ZQ7" i="6"/>
  <c r="ZP12" i="6"/>
  <c r="ZO14" i="6"/>
  <c r="ZS6" i="6" l="1"/>
  <c r="ZR7" i="6"/>
  <c r="ZQ12" i="6"/>
  <c r="ZP14" i="6"/>
  <c r="ZT6" i="6" l="1"/>
  <c r="ZS7" i="6"/>
  <c r="ZQ14" i="6"/>
  <c r="ZR12" i="6"/>
  <c r="ZT7" i="6" l="1"/>
  <c r="ZU6" i="6"/>
  <c r="ZS12" i="6"/>
  <c r="ZR14" i="6"/>
  <c r="ZU7" i="6" l="1"/>
  <c r="ZV6" i="6"/>
  <c r="ZT12" i="6"/>
  <c r="ZS14" i="6"/>
  <c r="ZW6" i="6" l="1"/>
  <c r="ZV7" i="6"/>
  <c r="ZU12" i="6"/>
  <c r="ZT14" i="6"/>
  <c r="ZX6" i="6" l="1"/>
  <c r="ZW7" i="6"/>
  <c r="ZV12" i="6"/>
  <c r="ZU14" i="6"/>
  <c r="ZX7" i="6" l="1"/>
  <c r="ZY6" i="6"/>
  <c r="ZV14" i="6"/>
  <c r="ZW12" i="6"/>
  <c r="ZY7" i="6" l="1"/>
  <c r="ZZ6" i="6"/>
  <c r="ZW14" i="6"/>
  <c r="ZX12" i="6"/>
  <c r="AAA6" i="6" l="1"/>
  <c r="ZZ7" i="6"/>
  <c r="ZX14" i="6"/>
  <c r="ZY12" i="6"/>
  <c r="AAB6" i="6" l="1"/>
  <c r="AAA7" i="6"/>
  <c r="ZZ12" i="6"/>
  <c r="ZY14" i="6"/>
  <c r="AAC6" i="6" l="1"/>
  <c r="AAB7" i="6"/>
  <c r="AAA12" i="6"/>
  <c r="ZZ14" i="6"/>
  <c r="AAD6" i="6" l="1"/>
  <c r="AAC7" i="6"/>
  <c r="AAA14" i="6"/>
  <c r="AAB12" i="6"/>
  <c r="AAE6" i="6" l="1"/>
  <c r="AAD7" i="6"/>
  <c r="AAB14" i="6"/>
  <c r="AAC12" i="6"/>
  <c r="AAF6" i="6" l="1"/>
  <c r="AAE7" i="6"/>
  <c r="AAC14" i="6"/>
  <c r="AAD12" i="6"/>
  <c r="AAG6" i="6" l="1"/>
  <c r="AAF7" i="6"/>
  <c r="AAE12" i="6"/>
  <c r="AAD14" i="6"/>
  <c r="AAH6" i="6" l="1"/>
  <c r="AAG7" i="6"/>
  <c r="AAF12" i="6"/>
  <c r="AAE14" i="6"/>
  <c r="AAI6" i="6" l="1"/>
  <c r="AAH7" i="6"/>
  <c r="AAG12" i="6"/>
  <c r="AAF14" i="6"/>
  <c r="AAJ6" i="6" l="1"/>
  <c r="AAI7" i="6"/>
  <c r="AAH12" i="6"/>
  <c r="AAG14" i="6"/>
  <c r="AAJ7" i="6" l="1"/>
  <c r="AAK6" i="6"/>
  <c r="AAI12" i="6"/>
  <c r="AAH14" i="6"/>
  <c r="AAL6" i="6" l="1"/>
  <c r="AAK7" i="6"/>
  <c r="AAI14" i="6"/>
  <c r="AAJ12" i="6"/>
  <c r="AAL7" i="6" l="1"/>
  <c r="AAM6" i="6"/>
  <c r="AAK12" i="6"/>
  <c r="AAJ14" i="6"/>
  <c r="AAM7" i="6" l="1"/>
  <c r="AAN6" i="6"/>
  <c r="AAL12" i="6"/>
  <c r="AAK14" i="6"/>
  <c r="AAO6" i="6" l="1"/>
  <c r="AAN7" i="6"/>
  <c r="AAL14" i="6"/>
  <c r="AAM12" i="6"/>
  <c r="AAP6" i="6" l="1"/>
  <c r="AAO7" i="6"/>
  <c r="AAM14" i="6"/>
  <c r="AAN12" i="6"/>
  <c r="AAQ6" i="6" l="1"/>
  <c r="AAP7" i="6"/>
  <c r="AAO12" i="6"/>
  <c r="AAN14" i="6"/>
  <c r="AAR6" i="6" l="1"/>
  <c r="AAQ7" i="6"/>
  <c r="AAP12" i="6"/>
  <c r="AAO14" i="6"/>
  <c r="AAS6" i="6" l="1"/>
  <c r="AAR7" i="6"/>
  <c r="AAQ12" i="6"/>
  <c r="AAP14" i="6"/>
  <c r="AAT6" i="6" l="1"/>
  <c r="AAS7" i="6"/>
  <c r="AAR12" i="6"/>
  <c r="AAQ14" i="6"/>
  <c r="AAT7" i="6" l="1"/>
  <c r="AAU6" i="6"/>
  <c r="AAR14" i="6"/>
  <c r="AAS12" i="6"/>
  <c r="AAU7" i="6" l="1"/>
  <c r="AAV6" i="6"/>
  <c r="AAT12" i="6"/>
  <c r="AAS14" i="6"/>
  <c r="AAW6" i="6" l="1"/>
  <c r="AAV7" i="6"/>
  <c r="AAT14" i="6"/>
  <c r="AAU12" i="6"/>
  <c r="AAX6" i="6" l="1"/>
  <c r="AAW7" i="6"/>
  <c r="AAV12" i="6"/>
  <c r="AAU14" i="6"/>
  <c r="AAY6" i="6" l="1"/>
  <c r="AAX7" i="6"/>
  <c r="AAW12" i="6"/>
  <c r="AAV14" i="6"/>
  <c r="AAZ6" i="6" l="1"/>
  <c r="AAY7" i="6"/>
  <c r="AAX12" i="6"/>
  <c r="AAW14" i="6"/>
  <c r="ABA6" i="6" l="1"/>
  <c r="AAZ7" i="6"/>
  <c r="AAX14" i="6"/>
  <c r="AAY12" i="6"/>
  <c r="ABA7" i="6" l="1"/>
  <c r="ABB6" i="6"/>
  <c r="AAZ12" i="6"/>
  <c r="AAY14" i="6"/>
  <c r="ABC6" i="6" l="1"/>
  <c r="ABB7" i="6"/>
  <c r="ABA12" i="6"/>
  <c r="AAZ14" i="6"/>
  <c r="ABD6" i="6" l="1"/>
  <c r="ABC7" i="6"/>
  <c r="ABB12" i="6"/>
  <c r="ABA14" i="6"/>
  <c r="ABE6" i="6" l="1"/>
  <c r="ABD7" i="6"/>
  <c r="ABC12" i="6"/>
  <c r="ABB14" i="6"/>
  <c r="ABF6" i="6" l="1"/>
  <c r="ABE7" i="6"/>
  <c r="ABD12" i="6"/>
  <c r="ABC14" i="6"/>
  <c r="ABG6" i="6" l="1"/>
  <c r="ABF7" i="6"/>
  <c r="ABE12" i="6"/>
  <c r="ABD14" i="6"/>
  <c r="ABH6" i="6" l="1"/>
  <c r="ABG7" i="6"/>
  <c r="ABF12" i="6"/>
  <c r="ABE14" i="6"/>
  <c r="ABH7" i="6" l="1"/>
  <c r="ABI6" i="6"/>
  <c r="ABF14" i="6"/>
  <c r="ABG12" i="6"/>
  <c r="ABJ6" i="6" l="1"/>
  <c r="ABI7" i="6"/>
  <c r="ABG14" i="6"/>
  <c r="ABH12" i="6"/>
  <c r="ABK6" i="6" l="1"/>
  <c r="ABJ7" i="6"/>
  <c r="ABI12" i="6"/>
  <c r="ABH14" i="6"/>
  <c r="ABL6" i="6" l="1"/>
  <c r="ABK7" i="6"/>
  <c r="ABJ12" i="6"/>
  <c r="ABI14" i="6"/>
  <c r="ABL7" i="6" l="1"/>
  <c r="ABM6" i="6"/>
  <c r="ABJ14" i="6"/>
  <c r="ABK12" i="6"/>
  <c r="ABN6" i="6" l="1"/>
  <c r="ABM7" i="6"/>
  <c r="ABL12" i="6"/>
  <c r="ABK14" i="6"/>
  <c r="ABO6" i="6" l="1"/>
  <c r="ABN7" i="6"/>
  <c r="ABL14" i="6"/>
  <c r="ABM12" i="6"/>
  <c r="ABP6" i="6" l="1"/>
  <c r="ABO7" i="6"/>
  <c r="ABM14" i="6"/>
  <c r="ABN12" i="6"/>
  <c r="ABQ6" i="6" l="1"/>
  <c r="ABP7" i="6"/>
  <c r="ABO12" i="6"/>
  <c r="ABN14" i="6"/>
  <c r="ABR6" i="6" l="1"/>
  <c r="ABQ7" i="6"/>
  <c r="ABP12" i="6"/>
  <c r="ABO14" i="6"/>
  <c r="ABS6" i="6" l="1"/>
  <c r="ABR7" i="6"/>
  <c r="ABQ12" i="6"/>
  <c r="ABP14" i="6"/>
  <c r="ABT6" i="6" l="1"/>
  <c r="ABS7" i="6"/>
  <c r="ABQ14" i="6"/>
  <c r="ABR12" i="6"/>
  <c r="ABU6" i="6" l="1"/>
  <c r="ABT7" i="6"/>
  <c r="ABR14" i="6"/>
  <c r="ABS12" i="6"/>
  <c r="ABV6" i="6" l="1"/>
  <c r="ABU7" i="6"/>
  <c r="ABS14" i="6"/>
  <c r="ABT12" i="6"/>
  <c r="ABV7" i="6" l="1"/>
  <c r="ABW6" i="6"/>
  <c r="ABT14" i="6"/>
  <c r="ABU12" i="6"/>
  <c r="ABX6" i="6" l="1"/>
  <c r="ABW7" i="6"/>
  <c r="ABV12" i="6"/>
  <c r="ABU14" i="6"/>
  <c r="ABX7" i="6" l="1"/>
  <c r="ABY6" i="6"/>
  <c r="ABW12" i="6"/>
  <c r="ABV14" i="6"/>
  <c r="ABZ6" i="6" l="1"/>
  <c r="ABY7" i="6"/>
  <c r="ABX12" i="6"/>
  <c r="ABW14" i="6"/>
  <c r="ACA6" i="6" l="1"/>
  <c r="ABZ7" i="6"/>
  <c r="ABX14" i="6"/>
  <c r="ABY12" i="6"/>
  <c r="ACB6" i="6" l="1"/>
  <c r="ACA7" i="6"/>
  <c r="ABZ12" i="6"/>
  <c r="ABY14" i="6"/>
  <c r="ACC6" i="6" l="1"/>
  <c r="ACB7" i="6"/>
  <c r="ACA12" i="6"/>
  <c r="ABZ14" i="6"/>
  <c r="ACD6" i="6" l="1"/>
  <c r="ACC7" i="6"/>
  <c r="ACA14" i="6"/>
  <c r="ACB12" i="6"/>
  <c r="ACE6" i="6" l="1"/>
  <c r="ACD7" i="6"/>
  <c r="ACC12" i="6"/>
  <c r="ACB14" i="6"/>
  <c r="ACE7" i="6" l="1"/>
  <c r="ACF6" i="6"/>
  <c r="ACC14" i="6"/>
  <c r="ACD12" i="6"/>
  <c r="ACG6" i="6" l="1"/>
  <c r="ACF7" i="6"/>
  <c r="ACE12" i="6"/>
  <c r="ACD14" i="6"/>
  <c r="ACH6" i="6" l="1"/>
  <c r="ACG7" i="6"/>
  <c r="ACE14" i="6"/>
  <c r="ACF12" i="6"/>
  <c r="ACI6" i="6" l="1"/>
  <c r="ACH7" i="6"/>
  <c r="ACG12" i="6"/>
  <c r="ACF14" i="6"/>
  <c r="ACJ6" i="6" l="1"/>
  <c r="ACI7" i="6"/>
  <c r="ACH12" i="6"/>
  <c r="ACG14" i="6"/>
  <c r="ACK6" i="6" l="1"/>
  <c r="ACJ7" i="6"/>
  <c r="ACI12" i="6"/>
  <c r="ACH14" i="6"/>
  <c r="ACL6" i="6" l="1"/>
  <c r="ACK7" i="6"/>
  <c r="ACJ12" i="6"/>
  <c r="ACI14" i="6"/>
  <c r="ACM6" i="6" l="1"/>
  <c r="ACL7" i="6"/>
  <c r="ACK12" i="6"/>
  <c r="ACJ14" i="6"/>
  <c r="ACN6" i="6" l="1"/>
  <c r="ACM7" i="6"/>
  <c r="ACK14" i="6"/>
  <c r="ACL12" i="6"/>
  <c r="ACO6" i="6" l="1"/>
  <c r="ACN7" i="6"/>
  <c r="ACL14" i="6"/>
  <c r="ACM12" i="6"/>
  <c r="ACP6" i="6" l="1"/>
  <c r="ACO7" i="6"/>
  <c r="ACN12" i="6"/>
  <c r="ACM14" i="6"/>
  <c r="ACQ6" i="6" l="1"/>
  <c r="ACP7" i="6"/>
  <c r="ACO12" i="6"/>
  <c r="ACN14" i="6"/>
  <c r="ACR6" i="6" l="1"/>
  <c r="ACQ7" i="6"/>
  <c r="ACO14" i="6"/>
  <c r="ACP12" i="6"/>
  <c r="ACR7" i="6" l="1"/>
  <c r="ACS6" i="6"/>
  <c r="ACP14" i="6"/>
  <c r="ACQ12" i="6"/>
  <c r="ACT6" i="6" l="1"/>
  <c r="ACS7" i="6"/>
  <c r="ACQ14" i="6"/>
  <c r="ACR12" i="6"/>
  <c r="ACU6" i="6" l="1"/>
  <c r="ACT7" i="6"/>
  <c r="ACS12" i="6"/>
  <c r="ACR14" i="6"/>
  <c r="ACV6" i="6" l="1"/>
  <c r="ACU7" i="6"/>
  <c r="ACT12" i="6"/>
  <c r="ACS14" i="6"/>
  <c r="ACW6" i="6" l="1"/>
  <c r="ACV7" i="6"/>
  <c r="ACT14" i="6"/>
  <c r="ACU12" i="6"/>
  <c r="ACX6" i="6" l="1"/>
  <c r="ACW7" i="6"/>
  <c r="ACV12" i="6"/>
  <c r="ACU14" i="6"/>
  <c r="ACY6" i="6" l="1"/>
  <c r="ACX7" i="6"/>
  <c r="ACW12" i="6"/>
  <c r="ACV14" i="6"/>
  <c r="ACY7" i="6" l="1"/>
  <c r="ACZ6" i="6"/>
  <c r="ACW14" i="6"/>
  <c r="ACX12" i="6"/>
  <c r="ACZ7" i="6" l="1"/>
  <c r="ADA6" i="6"/>
  <c r="ACY12" i="6"/>
  <c r="ACX14" i="6"/>
  <c r="ADB6" i="6" l="1"/>
  <c r="ADA7" i="6"/>
  <c r="ACZ12" i="6"/>
  <c r="ACY14" i="6"/>
  <c r="ADC6" i="6" l="1"/>
  <c r="ADB7" i="6"/>
  <c r="ADA12" i="6"/>
  <c r="ACZ14" i="6"/>
  <c r="ADD6" i="6" l="1"/>
  <c r="ADC7" i="6"/>
  <c r="ADB12" i="6"/>
  <c r="ADA14" i="6"/>
  <c r="ADE6" i="6" l="1"/>
  <c r="ADD7" i="6"/>
  <c r="ADC12" i="6"/>
  <c r="ADB14" i="6"/>
  <c r="ADF6" i="6" l="1"/>
  <c r="ADE7" i="6"/>
  <c r="ADD12" i="6"/>
  <c r="ADC14" i="6"/>
  <c r="ADF7" i="6" l="1"/>
  <c r="ADG6" i="6"/>
  <c r="ADD14" i="6"/>
  <c r="ADE12" i="6"/>
  <c r="ADH6" i="6" l="1"/>
  <c r="ADG7" i="6"/>
  <c r="ADF12" i="6"/>
  <c r="ADE14" i="6"/>
  <c r="ADH7" i="6" l="1"/>
  <c r="ADI6" i="6"/>
  <c r="ADF14" i="6"/>
  <c r="ADG12" i="6"/>
  <c r="ADJ6" i="6" l="1"/>
  <c r="ADI7" i="6"/>
  <c r="ADH12" i="6"/>
  <c r="ADG14" i="6"/>
  <c r="ADK6" i="6" l="1"/>
  <c r="ADJ7" i="6"/>
  <c r="ADI12" i="6"/>
  <c r="ADH14" i="6"/>
  <c r="ADL6" i="6" l="1"/>
  <c r="ADK7" i="6"/>
  <c r="ADJ12" i="6"/>
  <c r="ADI14" i="6"/>
  <c r="ADM6" i="6" l="1"/>
  <c r="ADL7" i="6"/>
  <c r="ADK12" i="6"/>
  <c r="ADJ14" i="6"/>
  <c r="ADN6" i="6" l="1"/>
  <c r="ADM7" i="6"/>
  <c r="ADK14" i="6"/>
  <c r="ADL12" i="6"/>
  <c r="ADN7" i="6" l="1"/>
  <c r="ADO6" i="6"/>
  <c r="ADL14" i="6"/>
  <c r="ADM12" i="6"/>
  <c r="ADO7" i="6" l="1"/>
  <c r="ADP6" i="6"/>
  <c r="ADN12" i="6"/>
  <c r="ADM14" i="6"/>
  <c r="ADQ6" i="6" l="1"/>
  <c r="ADP7" i="6"/>
  <c r="ADO12" i="6"/>
  <c r="ADN14" i="6"/>
  <c r="ADR6" i="6" l="1"/>
  <c r="ADQ7" i="6"/>
  <c r="ADP12" i="6"/>
  <c r="ADO14" i="6"/>
  <c r="ADS6" i="6" l="1"/>
  <c r="ADR7" i="6"/>
  <c r="ADP14" i="6"/>
  <c r="ADQ12" i="6"/>
  <c r="ADT6" i="6" l="1"/>
  <c r="ADS7" i="6"/>
  <c r="ADR12" i="6"/>
  <c r="ADQ14" i="6"/>
  <c r="ADU6" i="6" l="1"/>
  <c r="ADT7" i="6"/>
  <c r="ADS12" i="6"/>
  <c r="ADR14" i="6"/>
  <c r="ADV6" i="6" l="1"/>
  <c r="ADU7" i="6"/>
  <c r="ADS14" i="6"/>
  <c r="ADT12" i="6"/>
  <c r="ADW6" i="6" l="1"/>
  <c r="ADV7" i="6"/>
  <c r="ADU12" i="6"/>
  <c r="ADT14" i="6"/>
  <c r="ADX6" i="6" l="1"/>
  <c r="ADW7" i="6"/>
  <c r="ADV12" i="6"/>
  <c r="ADU14" i="6"/>
  <c r="ADY6" i="6" l="1"/>
  <c r="ADX7" i="6"/>
  <c r="ADW12" i="6"/>
  <c r="ADV14" i="6"/>
  <c r="ADY7" i="6" l="1"/>
  <c r="ADZ6" i="6"/>
  <c r="ADW14" i="6"/>
  <c r="ADX12" i="6"/>
  <c r="ADZ7" i="6" l="1"/>
  <c r="AEA6" i="6"/>
  <c r="ADX14" i="6"/>
  <c r="ADY12" i="6"/>
  <c r="AEB6" i="6" l="1"/>
  <c r="AEA7" i="6"/>
  <c r="ADY14" i="6"/>
  <c r="ADZ12" i="6"/>
  <c r="AEC6" i="6" l="1"/>
  <c r="AEB7" i="6"/>
  <c r="AEA12" i="6"/>
  <c r="ADZ14" i="6"/>
  <c r="AED6" i="6" l="1"/>
  <c r="AEC7" i="6"/>
  <c r="AEB12" i="6"/>
  <c r="AEA14" i="6"/>
  <c r="AEE6" i="6" l="1"/>
  <c r="AED7" i="6"/>
  <c r="AEB14" i="6"/>
  <c r="AEC12" i="6"/>
  <c r="AEF6" i="6" l="1"/>
  <c r="AEE7" i="6"/>
  <c r="AED12" i="6"/>
  <c r="AEC14" i="6"/>
  <c r="AEG6" i="6" l="1"/>
  <c r="AEF7" i="6"/>
  <c r="AEE12" i="6"/>
  <c r="AED14" i="6"/>
  <c r="AEH6" i="6" l="1"/>
  <c r="AEG7" i="6"/>
  <c r="AEE14" i="6"/>
  <c r="AEF12" i="6"/>
  <c r="AEI6" i="6" l="1"/>
  <c r="AEH7" i="6"/>
  <c r="AEG12" i="6"/>
  <c r="AEF14" i="6"/>
  <c r="AEJ6" i="6" l="1"/>
  <c r="AEI7" i="6"/>
  <c r="AEH12" i="6"/>
  <c r="AEG14" i="6"/>
  <c r="AEK6" i="6" l="1"/>
  <c r="AEJ7" i="6"/>
  <c r="AEI12" i="6"/>
  <c r="AEH14" i="6"/>
  <c r="AEL6" i="6" l="1"/>
  <c r="AEK7" i="6"/>
  <c r="AEJ12" i="6"/>
  <c r="AEI14" i="6"/>
  <c r="AEM6" i="6" l="1"/>
  <c r="AEL7" i="6"/>
  <c r="AEK12" i="6"/>
  <c r="AEJ14" i="6"/>
  <c r="AEN6" i="6" l="1"/>
  <c r="AEM7" i="6"/>
  <c r="AEK14" i="6"/>
  <c r="AEL12" i="6"/>
  <c r="AEO6" i="6" l="1"/>
  <c r="AEN7" i="6"/>
  <c r="AEL14" i="6"/>
  <c r="AEM12" i="6"/>
  <c r="AEP6" i="6" l="1"/>
  <c r="AEO7" i="6"/>
  <c r="AEN12" i="6"/>
  <c r="AEM14" i="6"/>
  <c r="AEQ6" i="6" l="1"/>
  <c r="AEP7" i="6"/>
  <c r="AEN14" i="6"/>
  <c r="AEO12" i="6"/>
  <c r="AER6" i="6" l="1"/>
  <c r="AEQ7" i="6"/>
  <c r="AEP12" i="6"/>
  <c r="AEO14" i="6"/>
  <c r="AER7" i="6" l="1"/>
  <c r="AES6" i="6"/>
  <c r="AEP14" i="6"/>
  <c r="AEQ12" i="6"/>
  <c r="AET6" i="6" l="1"/>
  <c r="AES7" i="6"/>
  <c r="AER12" i="6"/>
  <c r="AEQ14" i="6"/>
  <c r="AEU6" i="6" l="1"/>
  <c r="AET7" i="6"/>
  <c r="AES12" i="6"/>
  <c r="AER14" i="6"/>
  <c r="AEV6" i="6" l="1"/>
  <c r="AEU7" i="6"/>
  <c r="AET12" i="6"/>
  <c r="AES14" i="6"/>
  <c r="AEW6" i="6" l="1"/>
  <c r="AEV7" i="6"/>
  <c r="AET14" i="6"/>
  <c r="AEU12" i="6"/>
  <c r="AEX6" i="6" l="1"/>
  <c r="AEW7" i="6"/>
  <c r="AEU14" i="6"/>
  <c r="AEV12" i="6"/>
  <c r="AEY6" i="6" l="1"/>
  <c r="AEX7" i="6"/>
  <c r="AEW12" i="6"/>
  <c r="AEV14" i="6"/>
  <c r="AEZ6" i="6" l="1"/>
  <c r="AEY7" i="6"/>
  <c r="AEX12" i="6"/>
  <c r="AEW14" i="6"/>
  <c r="AFA6" i="6" l="1"/>
  <c r="AEZ7" i="6"/>
  <c r="AEY12" i="6"/>
  <c r="AEX14" i="6"/>
  <c r="AFB6" i="6" l="1"/>
  <c r="AFA7" i="6"/>
  <c r="AEZ12" i="6"/>
  <c r="AEY14" i="6"/>
  <c r="AFC6" i="6" l="1"/>
  <c r="AFB7" i="6"/>
  <c r="AEZ14" i="6"/>
  <c r="AFA12" i="6"/>
  <c r="AFD6" i="6" l="1"/>
  <c r="AFC7" i="6"/>
  <c r="AFB12" i="6"/>
  <c r="AFA14" i="6"/>
  <c r="AFD7" i="6" l="1"/>
  <c r="AFE6" i="6"/>
  <c r="AFB14" i="6"/>
  <c r="AFC12" i="6"/>
  <c r="AFF6" i="6" l="1"/>
  <c r="AFE7" i="6"/>
  <c r="AFC14" i="6"/>
  <c r="AFD12" i="6"/>
  <c r="AFG6" i="6" l="1"/>
  <c r="AFF7" i="6"/>
  <c r="AFE12" i="6"/>
  <c r="AFD14" i="6"/>
  <c r="AFH6" i="6" l="1"/>
  <c r="AFG7" i="6"/>
  <c r="AFE14" i="6"/>
  <c r="AFF12" i="6"/>
  <c r="AFI6" i="6" l="1"/>
  <c r="AFH7" i="6"/>
  <c r="AFG12" i="6"/>
  <c r="AFF14" i="6"/>
  <c r="AFJ6" i="6" l="1"/>
  <c r="AFI7" i="6"/>
  <c r="AFG14" i="6"/>
  <c r="AFH12" i="6"/>
  <c r="AFJ7" i="6" l="1"/>
  <c r="AFK6" i="6"/>
  <c r="AFH14" i="6"/>
  <c r="AFI12" i="6"/>
  <c r="AFK7" i="6" l="1"/>
  <c r="AFL6" i="6"/>
  <c r="AFJ12" i="6"/>
  <c r="AFI14" i="6"/>
  <c r="AFM6" i="6" l="1"/>
  <c r="AFL7" i="6"/>
  <c r="AFJ14" i="6"/>
  <c r="AFK12" i="6"/>
  <c r="AFN6" i="6" l="1"/>
  <c r="AFM7" i="6"/>
  <c r="AFK14" i="6"/>
  <c r="AFL12" i="6"/>
  <c r="AFO6" i="6" l="1"/>
  <c r="AFN7" i="6"/>
  <c r="AFM12" i="6"/>
  <c r="AFL14" i="6"/>
  <c r="AFP6" i="6" l="1"/>
  <c r="AFO7" i="6"/>
  <c r="AFN12" i="6"/>
  <c r="AFM14" i="6"/>
  <c r="AFQ6" i="6" l="1"/>
  <c r="AFP7" i="6"/>
  <c r="AFO12" i="6"/>
  <c r="AFN14" i="6"/>
  <c r="AFR6" i="6" l="1"/>
  <c r="AFQ7" i="6"/>
  <c r="AFO14" i="6"/>
  <c r="AFP12" i="6"/>
  <c r="AFS6" i="6" l="1"/>
  <c r="AFR7" i="6"/>
  <c r="AFQ12" i="6"/>
  <c r="AFP14" i="6"/>
  <c r="AFS7" i="6" l="1"/>
  <c r="AFT6" i="6"/>
  <c r="AFR12" i="6"/>
  <c r="AFQ14" i="6"/>
  <c r="AFU6" i="6" l="1"/>
  <c r="AFT7" i="6"/>
  <c r="AFR14" i="6"/>
  <c r="AFS12" i="6"/>
  <c r="AFV6" i="6" l="1"/>
  <c r="AFU7" i="6"/>
  <c r="AFT12" i="6"/>
  <c r="AFS14" i="6"/>
  <c r="AFV7" i="6" l="1"/>
  <c r="AFW6" i="6"/>
  <c r="AFU12" i="6"/>
  <c r="AFT14" i="6"/>
  <c r="AFX6" i="6" l="1"/>
  <c r="AFW7" i="6"/>
  <c r="AFV12" i="6"/>
  <c r="AFU14" i="6"/>
  <c r="AFX7" i="6" l="1"/>
  <c r="AFY6" i="6"/>
  <c r="AFW12" i="6"/>
  <c r="AFV14" i="6"/>
  <c r="AFY7" i="6" l="1"/>
  <c r="AFZ6" i="6"/>
  <c r="AFW14" i="6"/>
  <c r="AFX12" i="6"/>
  <c r="AFZ7" i="6" l="1"/>
  <c r="AGA6" i="6"/>
  <c r="AFX14" i="6"/>
  <c r="AFY12" i="6"/>
  <c r="AGB6" i="6" l="1"/>
  <c r="AGA7" i="6"/>
  <c r="AFZ12" i="6"/>
  <c r="AFY14" i="6"/>
  <c r="AGC6" i="6" l="1"/>
  <c r="AGB7" i="6"/>
  <c r="AGA12" i="6"/>
  <c r="AFZ14" i="6"/>
  <c r="AGD6" i="6" l="1"/>
  <c r="AGC7" i="6"/>
  <c r="AGB12" i="6"/>
  <c r="AGA14" i="6"/>
  <c r="AGE6" i="6" l="1"/>
  <c r="AGD7" i="6"/>
  <c r="AGC12" i="6"/>
  <c r="AGB14" i="6"/>
  <c r="AGF6" i="6" l="1"/>
  <c r="AGE7" i="6"/>
  <c r="AGC14" i="6"/>
  <c r="AGD12" i="6"/>
  <c r="AGG6" i="6" l="1"/>
  <c r="AGF7" i="6"/>
  <c r="AGD14" i="6"/>
  <c r="AGE12" i="6"/>
  <c r="AGH6" i="6" l="1"/>
  <c r="AGG7" i="6"/>
  <c r="AGF12" i="6"/>
  <c r="AGE14" i="6"/>
  <c r="AGI6" i="6" l="1"/>
  <c r="AGH7" i="6"/>
  <c r="AGF14" i="6"/>
  <c r="AGG12" i="6"/>
  <c r="AGJ6" i="6" l="1"/>
  <c r="AGI7" i="6"/>
  <c r="AGH12" i="6"/>
  <c r="AGG14" i="6"/>
  <c r="AGK6" i="6" l="1"/>
  <c r="AGJ7" i="6"/>
  <c r="AGI12" i="6"/>
  <c r="AGH14" i="6"/>
  <c r="AGL6" i="6" l="1"/>
  <c r="AGK7" i="6"/>
  <c r="AGJ12" i="6"/>
  <c r="AGI14" i="6"/>
  <c r="AGM6" i="6" l="1"/>
  <c r="AGL7" i="6"/>
  <c r="AGJ14" i="6"/>
  <c r="AGK12" i="6"/>
  <c r="AGN6" i="6" l="1"/>
  <c r="AGM7" i="6"/>
  <c r="AGL12" i="6"/>
  <c r="AGK14" i="6"/>
  <c r="AGO6" i="6" l="1"/>
  <c r="AGN7" i="6"/>
  <c r="AGM12" i="6"/>
  <c r="AGL14" i="6"/>
  <c r="AGP6" i="6" l="1"/>
  <c r="AGO7" i="6"/>
  <c r="AGN12" i="6"/>
  <c r="AGM14" i="6"/>
  <c r="AGQ6" i="6" l="1"/>
  <c r="AGP7" i="6"/>
  <c r="AGO12" i="6"/>
  <c r="AGN14" i="6"/>
  <c r="AGR6" i="6" l="1"/>
  <c r="AGQ7" i="6"/>
  <c r="AGP12" i="6"/>
  <c r="AGO14" i="6"/>
  <c r="AGS6" i="6" l="1"/>
  <c r="AGR7" i="6"/>
  <c r="AGQ12" i="6"/>
  <c r="AGP14" i="6"/>
  <c r="AGT6" i="6" l="1"/>
  <c r="AGS7" i="6"/>
  <c r="AGQ14" i="6"/>
  <c r="AGR12" i="6"/>
  <c r="AGU6" i="6" l="1"/>
  <c r="AGT7" i="6"/>
  <c r="AGS12" i="6"/>
  <c r="AGR14" i="6"/>
  <c r="AGV6" i="6" l="1"/>
  <c r="AGU7" i="6"/>
  <c r="AGS14" i="6"/>
  <c r="AGT12" i="6"/>
  <c r="AGW6" i="6" l="1"/>
  <c r="AGV7" i="6"/>
  <c r="AGT14" i="6"/>
  <c r="AGU12" i="6"/>
  <c r="AGW7" i="6" l="1"/>
  <c r="AGX6" i="6"/>
  <c r="AGV12" i="6"/>
  <c r="AGU14" i="6"/>
  <c r="AGY6" i="6" l="1"/>
  <c r="AGX7" i="6"/>
  <c r="AGW12" i="6"/>
  <c r="AGV14" i="6"/>
  <c r="AGZ6" i="6" l="1"/>
  <c r="AGY7" i="6"/>
  <c r="AGX12" i="6"/>
  <c r="AGW14" i="6"/>
  <c r="AGZ7" i="6" l="1"/>
  <c r="AHA6" i="6"/>
  <c r="AGY12" i="6"/>
  <c r="AGX14" i="6"/>
  <c r="AHB6" i="6" l="1"/>
  <c r="AHA7" i="6"/>
  <c r="AGY14" i="6"/>
  <c r="AGZ12" i="6"/>
  <c r="AHC6" i="6" l="1"/>
  <c r="AHB7" i="6"/>
  <c r="AHA12" i="6"/>
  <c r="AGZ14" i="6"/>
  <c r="AHD6" i="6" l="1"/>
  <c r="AHC7" i="6"/>
  <c r="AHA14" i="6"/>
  <c r="AHB12" i="6"/>
  <c r="AHE6" i="6" l="1"/>
  <c r="AHD7" i="6"/>
  <c r="AHB14" i="6"/>
  <c r="AHC12" i="6"/>
  <c r="AHF6" i="6" l="1"/>
  <c r="AHE7" i="6"/>
  <c r="AHD12" i="6"/>
  <c r="AHC14" i="6"/>
  <c r="AHF7" i="6" l="1"/>
  <c r="AHG6" i="6"/>
  <c r="AHE12" i="6"/>
  <c r="AHD14" i="6"/>
  <c r="AHG7" i="6" l="1"/>
  <c r="AHH6" i="6"/>
  <c r="AHF12" i="6"/>
  <c r="AHE14" i="6"/>
  <c r="AHI6" i="6" l="1"/>
  <c r="AHH7" i="6"/>
  <c r="AHG12" i="6"/>
  <c r="AHF14" i="6"/>
  <c r="AHJ6" i="6" l="1"/>
  <c r="AHI7" i="6"/>
  <c r="AHG14" i="6"/>
  <c r="AHH12" i="6"/>
  <c r="AHK6" i="6" l="1"/>
  <c r="AHJ7" i="6"/>
  <c r="AHH14" i="6"/>
  <c r="AHI12" i="6"/>
  <c r="AHL6" i="6" l="1"/>
  <c r="AHK7" i="6"/>
  <c r="AHJ12" i="6"/>
  <c r="AHI14" i="6"/>
  <c r="AHM6" i="6" l="1"/>
  <c r="AHL7" i="6"/>
  <c r="AHK12" i="6"/>
  <c r="AHJ14" i="6"/>
  <c r="AHN6" i="6" l="1"/>
  <c r="AHM7" i="6"/>
  <c r="AHK14" i="6"/>
  <c r="AHL12" i="6"/>
  <c r="AHO6" i="6" l="1"/>
  <c r="AHN7" i="6"/>
  <c r="AHM12" i="6"/>
  <c r="AHL14" i="6"/>
  <c r="AHP6" i="6" l="1"/>
  <c r="AHO7" i="6"/>
  <c r="AHM14" i="6"/>
  <c r="AHN12" i="6"/>
  <c r="AHQ6" i="6" l="1"/>
  <c r="AHP7" i="6"/>
  <c r="AHO12" i="6"/>
  <c r="AHN14" i="6"/>
  <c r="AHR6" i="6" l="1"/>
  <c r="AHQ7" i="6"/>
  <c r="AHO14" i="6"/>
  <c r="AHP12" i="6"/>
  <c r="AHR7" i="6" l="1"/>
  <c r="AHS6" i="6"/>
  <c r="AHQ12" i="6"/>
  <c r="AHP14" i="6"/>
  <c r="AHT6" i="6" l="1"/>
  <c r="AHS7" i="6"/>
  <c r="AHR12" i="6"/>
  <c r="AHQ14" i="6"/>
  <c r="AHU6" i="6" l="1"/>
  <c r="AHT7" i="6"/>
  <c r="AHS12" i="6"/>
  <c r="AHR14" i="6"/>
  <c r="AHV6" i="6" l="1"/>
  <c r="AHU7" i="6"/>
  <c r="AHT12" i="6"/>
  <c r="AHS14" i="6"/>
  <c r="AHV7" i="6" l="1"/>
  <c r="AHW6" i="6"/>
  <c r="AHU12" i="6"/>
  <c r="AHT14" i="6"/>
  <c r="AHX6" i="6" l="1"/>
  <c r="AHW7" i="6"/>
  <c r="AHV12" i="6"/>
  <c r="AHU14" i="6"/>
  <c r="AHY6" i="6" l="1"/>
  <c r="AHX7" i="6"/>
  <c r="AHV14" i="6"/>
  <c r="AHW12" i="6"/>
  <c r="AHZ6" i="6" l="1"/>
  <c r="AHY7" i="6"/>
  <c r="AHX12" i="6"/>
  <c r="AHW14" i="6"/>
  <c r="AIA6" i="6" l="1"/>
  <c r="AHZ7" i="6"/>
  <c r="AHX14" i="6"/>
  <c r="AHY12" i="6"/>
  <c r="AIB6" i="6" l="1"/>
  <c r="AIA7" i="6"/>
  <c r="AHY14" i="6"/>
  <c r="AHZ12" i="6"/>
  <c r="AIC6" i="6" l="1"/>
  <c r="AIB7" i="6"/>
  <c r="AIA12" i="6"/>
  <c r="AHZ14" i="6"/>
  <c r="AID6" i="6" l="1"/>
  <c r="AIC7" i="6"/>
  <c r="AIB12" i="6"/>
  <c r="AIA14" i="6"/>
  <c r="AIE6" i="6" l="1"/>
  <c r="AID7" i="6"/>
  <c r="AIC12" i="6"/>
  <c r="AIB14" i="6"/>
  <c r="AIF6" i="6" l="1"/>
  <c r="AIE7" i="6"/>
  <c r="AID12" i="6"/>
  <c r="AIC14" i="6"/>
  <c r="AIF7" i="6" l="1"/>
  <c r="AIG6" i="6"/>
  <c r="AIE12" i="6"/>
  <c r="AID14" i="6"/>
  <c r="AIH6" i="6" l="1"/>
  <c r="AIG7" i="6"/>
  <c r="AIF12" i="6"/>
  <c r="AIE14" i="6"/>
  <c r="AII6" i="6" l="1"/>
  <c r="AIH7" i="6"/>
  <c r="AIF14" i="6"/>
  <c r="AIG12" i="6"/>
  <c r="AIJ6" i="6" l="1"/>
  <c r="AII7" i="6"/>
  <c r="AIH12" i="6"/>
  <c r="AIG14" i="6"/>
  <c r="AIJ7" i="6" l="1"/>
  <c r="AIK6" i="6"/>
  <c r="AII12" i="6"/>
  <c r="AIH14" i="6"/>
  <c r="AIL6" i="6" l="1"/>
  <c r="AIK7" i="6"/>
  <c r="AII14" i="6"/>
  <c r="AIJ12" i="6"/>
  <c r="AIM6" i="6" l="1"/>
  <c r="AIL7" i="6"/>
  <c r="AIK12" i="6"/>
  <c r="AIJ14" i="6"/>
  <c r="AIN6" i="6" l="1"/>
  <c r="AIM7" i="6"/>
  <c r="AIL12" i="6"/>
  <c r="AIK14" i="6"/>
  <c r="AIO6" i="6" l="1"/>
  <c r="AIN7" i="6"/>
  <c r="AIL14" i="6"/>
  <c r="AIM12" i="6"/>
  <c r="AIP6" i="6" l="1"/>
  <c r="AIO7" i="6"/>
  <c r="AIN12" i="6"/>
  <c r="AIM14" i="6"/>
  <c r="AIQ6" i="6" l="1"/>
  <c r="AIP7" i="6"/>
  <c r="AIO12" i="6"/>
  <c r="AIN14" i="6"/>
  <c r="AIR6" i="6" l="1"/>
  <c r="AIQ7" i="6"/>
  <c r="AIP12" i="6"/>
  <c r="AIO14" i="6"/>
  <c r="AIS6" i="6" l="1"/>
  <c r="AIR7" i="6"/>
  <c r="AIP14" i="6"/>
  <c r="AIQ12" i="6"/>
  <c r="AIS7" i="6" l="1"/>
  <c r="AIT6" i="6"/>
  <c r="AIR12" i="6"/>
  <c r="AIQ14" i="6"/>
  <c r="AIU6" i="6" l="1"/>
  <c r="AIT7" i="6"/>
  <c r="AIR14" i="6"/>
  <c r="AIS12" i="6"/>
  <c r="AIV6" i="6" l="1"/>
  <c r="AIU7" i="6"/>
  <c r="AIT12" i="6"/>
  <c r="AIS14" i="6"/>
  <c r="AIW6" i="6" l="1"/>
  <c r="AIV7" i="6"/>
  <c r="AIU12" i="6"/>
  <c r="AIT14" i="6"/>
  <c r="AIX6" i="6" l="1"/>
  <c r="AIW7" i="6"/>
  <c r="AIV12" i="6"/>
  <c r="AIU14" i="6"/>
  <c r="AIY6" i="6" l="1"/>
  <c r="AIX7" i="6"/>
  <c r="AIW12" i="6"/>
  <c r="AIV14" i="6"/>
  <c r="AIZ6" i="6" l="1"/>
  <c r="AIY7" i="6"/>
  <c r="AIX12" i="6"/>
  <c r="AIW14" i="6"/>
  <c r="AJA6" i="6" l="1"/>
  <c r="AIZ7" i="6"/>
  <c r="AIY12" i="6"/>
  <c r="AIX14" i="6"/>
  <c r="AJB6" i="6" l="1"/>
  <c r="AJA7" i="6"/>
  <c r="AIZ12" i="6"/>
  <c r="AIY14" i="6"/>
  <c r="AJC6" i="6" l="1"/>
  <c r="AJB7" i="6"/>
  <c r="AIZ14" i="6"/>
  <c r="AJA12" i="6"/>
  <c r="AJD6" i="6" l="1"/>
  <c r="AJC7" i="6"/>
  <c r="AJB12" i="6"/>
  <c r="AJA14" i="6"/>
  <c r="AJE6" i="6" l="1"/>
  <c r="AJD7" i="6"/>
  <c r="AJC12" i="6"/>
  <c r="AJB14" i="6"/>
  <c r="AJF6" i="6" l="1"/>
  <c r="AJE7" i="6"/>
  <c r="AJD12" i="6"/>
  <c r="AJC14" i="6"/>
  <c r="AJG6" i="6" l="1"/>
  <c r="AJF7" i="6"/>
  <c r="AJE12" i="6"/>
  <c r="AJD14" i="6"/>
  <c r="AJH6" i="6" l="1"/>
  <c r="AJG7" i="6"/>
  <c r="AJF12" i="6"/>
  <c r="AJE14" i="6"/>
  <c r="AJI6" i="6" l="1"/>
  <c r="AJH7" i="6"/>
  <c r="AJF14" i="6"/>
  <c r="AJG12" i="6"/>
  <c r="AJJ6" i="6" l="1"/>
  <c r="AJI7" i="6"/>
  <c r="AJG14" i="6"/>
  <c r="AJH12" i="6"/>
  <c r="AJK6" i="6" l="1"/>
  <c r="AJJ7" i="6"/>
  <c r="AJI12" i="6"/>
  <c r="AJH14" i="6"/>
  <c r="AJL6" i="6" l="1"/>
  <c r="AJK7" i="6"/>
  <c r="AJI14" i="6"/>
  <c r="AJJ12" i="6"/>
  <c r="AJM6" i="6" l="1"/>
  <c r="AJL7" i="6"/>
  <c r="AJK12" i="6"/>
  <c r="AJJ14" i="6"/>
  <c r="AJM7" i="6" l="1"/>
  <c r="AJN6" i="6"/>
  <c r="AJL12" i="6"/>
  <c r="AJK14" i="6"/>
  <c r="AJN7" i="6" l="1"/>
  <c r="AJO6" i="6"/>
  <c r="AJM12" i="6"/>
  <c r="AJL14" i="6"/>
  <c r="AJO7" i="6" l="1"/>
  <c r="AJP6" i="6"/>
  <c r="AJN12" i="6"/>
  <c r="AJM14" i="6"/>
  <c r="AJP7" i="6" l="1"/>
  <c r="AJQ6" i="6"/>
  <c r="AJN14" i="6"/>
  <c r="AJO12" i="6"/>
  <c r="AJR6" i="6" l="1"/>
  <c r="AJQ7" i="6"/>
  <c r="AJP12" i="6"/>
  <c r="AJO14" i="6"/>
  <c r="AJS6" i="6" l="1"/>
  <c r="AJR7" i="6"/>
  <c r="AJQ12" i="6"/>
  <c r="AJP14" i="6"/>
  <c r="AJT6" i="6" l="1"/>
  <c r="AJS7" i="6"/>
  <c r="AJR12" i="6"/>
  <c r="AJQ14" i="6"/>
  <c r="AJU6" i="6" l="1"/>
  <c r="AJT7" i="6"/>
  <c r="AJR14" i="6"/>
  <c r="AJS12" i="6"/>
  <c r="AJV6" i="6" l="1"/>
  <c r="AJU7" i="6"/>
  <c r="AJS14" i="6"/>
  <c r="AJT12" i="6"/>
  <c r="AJW6" i="6" l="1"/>
  <c r="AJV7" i="6"/>
  <c r="AJU12" i="6"/>
  <c r="AJT14" i="6"/>
  <c r="AJX6" i="6" l="1"/>
  <c r="AJW7" i="6"/>
  <c r="AJV12" i="6"/>
  <c r="AJU14" i="6"/>
  <c r="AJY6" i="6" l="1"/>
  <c r="AJX7" i="6"/>
  <c r="AJW12" i="6"/>
  <c r="AJV14" i="6"/>
  <c r="AJZ6" i="6" l="1"/>
  <c r="AJY7" i="6"/>
  <c r="AJX12" i="6"/>
  <c r="AJW14" i="6"/>
  <c r="AKA6" i="6" l="1"/>
  <c r="AJZ7" i="6"/>
  <c r="AJY12" i="6"/>
  <c r="AJX14" i="6"/>
  <c r="AKB6" i="6" l="1"/>
  <c r="AKA7" i="6"/>
  <c r="AJZ12" i="6"/>
  <c r="AJY14" i="6"/>
  <c r="AKC6" i="6" l="1"/>
  <c r="AKB7" i="6"/>
  <c r="AJZ14" i="6"/>
  <c r="AKA12" i="6"/>
  <c r="AKC7" i="6" l="1"/>
  <c r="AKD6" i="6"/>
  <c r="AKB12" i="6"/>
  <c r="AKA14" i="6"/>
  <c r="AKE6" i="6" l="1"/>
  <c r="AKD7" i="6"/>
  <c r="AKB14" i="6"/>
  <c r="AKC12" i="6"/>
  <c r="AKF6" i="6" l="1"/>
  <c r="AKE7" i="6"/>
  <c r="AKD12" i="6"/>
  <c r="AKC14" i="6"/>
  <c r="AKF7" i="6" l="1"/>
  <c r="AKG6" i="6"/>
  <c r="AKE12" i="6"/>
  <c r="AKD14" i="6"/>
  <c r="AKH6" i="6" l="1"/>
  <c r="AKG7" i="6"/>
  <c r="AKF12" i="6"/>
  <c r="AKE14" i="6"/>
  <c r="AKI6" i="6" l="1"/>
  <c r="AKH7" i="6"/>
  <c r="AKG12" i="6"/>
  <c r="AKF14" i="6"/>
  <c r="AKJ6" i="6" l="1"/>
  <c r="AKI7" i="6"/>
  <c r="AKH12" i="6"/>
  <c r="AKG14" i="6"/>
  <c r="AKJ7" i="6" l="1"/>
  <c r="AKK6" i="6"/>
  <c r="AKH14" i="6"/>
  <c r="AKI12" i="6"/>
  <c r="AKL6" i="6" l="1"/>
  <c r="AKK7" i="6"/>
  <c r="AKI14" i="6"/>
  <c r="AKJ12" i="6"/>
  <c r="AKM6" i="6" l="1"/>
  <c r="AKL7" i="6"/>
  <c r="AKK12" i="6"/>
  <c r="AKJ14" i="6"/>
  <c r="AKN6" i="6" l="1"/>
  <c r="AKM7" i="6"/>
  <c r="AKL12" i="6"/>
  <c r="AKK14" i="6"/>
  <c r="AKO6" i="6" l="1"/>
  <c r="AKN7" i="6"/>
  <c r="AKM12" i="6"/>
  <c r="AKL14" i="6"/>
  <c r="AKP6" i="6" l="1"/>
  <c r="AKO7" i="6"/>
  <c r="AKN12" i="6"/>
  <c r="AKM14" i="6"/>
  <c r="AKQ6" i="6" l="1"/>
  <c r="AKP7" i="6"/>
  <c r="AKN14" i="6"/>
  <c r="AKO12" i="6"/>
  <c r="AKR6" i="6" l="1"/>
  <c r="AKQ7" i="6"/>
  <c r="AKP12" i="6"/>
  <c r="AKO14" i="6"/>
  <c r="AKS6" i="6" l="1"/>
  <c r="AKR7" i="6"/>
  <c r="AKP14" i="6"/>
  <c r="AKQ12" i="6"/>
  <c r="AKT6" i="6" l="1"/>
  <c r="AKS7" i="6"/>
  <c r="AKQ14" i="6"/>
  <c r="AKR12" i="6"/>
  <c r="AKU6" i="6" l="1"/>
  <c r="AKT7" i="6"/>
  <c r="AKR14" i="6"/>
  <c r="AKS12" i="6"/>
  <c r="AKV6" i="6" l="1"/>
  <c r="AKU7" i="6"/>
  <c r="AKT12" i="6"/>
  <c r="AKS14" i="6"/>
  <c r="AKW6" i="6" l="1"/>
  <c r="AKV7" i="6"/>
  <c r="AKU12" i="6"/>
  <c r="AKT14" i="6"/>
  <c r="AKX6" i="6" l="1"/>
  <c r="AKW7" i="6"/>
  <c r="AKV12" i="6"/>
  <c r="AKU14" i="6"/>
  <c r="AKX7" i="6" l="1"/>
  <c r="AKY6" i="6"/>
  <c r="AKW12" i="6"/>
  <c r="AKV14" i="6"/>
  <c r="AKY7" i="6" l="1"/>
  <c r="AKZ6" i="6"/>
  <c r="AKX12" i="6"/>
  <c r="AKW14" i="6"/>
  <c r="ALA6" i="6" l="1"/>
  <c r="AKZ7" i="6"/>
  <c r="AKY12" i="6"/>
  <c r="AKX14" i="6"/>
  <c r="ALB6" i="6" l="1"/>
  <c r="ALA7" i="6"/>
  <c r="AKZ12" i="6"/>
  <c r="AKY14" i="6"/>
  <c r="ALC6" i="6" l="1"/>
  <c r="ALB7" i="6"/>
  <c r="AKZ14" i="6"/>
  <c r="ALA12" i="6"/>
  <c r="ALD6" i="6" l="1"/>
  <c r="ALC7" i="6"/>
  <c r="ALB12" i="6"/>
  <c r="ALA14" i="6"/>
  <c r="ALE6" i="6" l="1"/>
  <c r="ALD7" i="6"/>
  <c r="ALB14" i="6"/>
  <c r="ALC12" i="6"/>
  <c r="ALF6" i="6" l="1"/>
  <c r="ALE7" i="6"/>
  <c r="ALD12" i="6"/>
  <c r="ALC14" i="6"/>
  <c r="ALG6" i="6" l="1"/>
  <c r="ALF7" i="6"/>
  <c r="ALD14" i="6"/>
  <c r="ALE12" i="6"/>
  <c r="ALH6" i="6" l="1"/>
  <c r="ALG7" i="6"/>
  <c r="ALE14" i="6"/>
  <c r="ALF12" i="6"/>
  <c r="ALI6" i="6" l="1"/>
  <c r="ALH7" i="6"/>
  <c r="ALG12" i="6"/>
  <c r="ALF14" i="6"/>
  <c r="ALJ6" i="6" l="1"/>
  <c r="ALI7" i="6"/>
  <c r="ALH12" i="6"/>
  <c r="ALG14" i="6"/>
  <c r="ALJ7" i="6" l="1"/>
  <c r="ALK6" i="6"/>
  <c r="ALI12" i="6"/>
  <c r="ALH14" i="6"/>
  <c r="ALK7" i="6" l="1"/>
  <c r="ALL6" i="6"/>
  <c r="ALI14" i="6"/>
  <c r="ALJ12" i="6"/>
  <c r="ALM6" i="6" l="1"/>
  <c r="ALL7" i="6"/>
  <c r="ALK12" i="6"/>
  <c r="ALJ14" i="6"/>
  <c r="ALM7" i="6" l="1"/>
  <c r="ALN6" i="6"/>
  <c r="ALK14" i="6"/>
  <c r="ALL12" i="6"/>
  <c r="ALN7" i="6" l="1"/>
  <c r="ALO6" i="6"/>
  <c r="ALM12" i="6"/>
  <c r="ALL14" i="6"/>
  <c r="ALP6" i="6" l="1"/>
  <c r="ALO7" i="6"/>
  <c r="ALN12" i="6"/>
  <c r="ALM14" i="6"/>
  <c r="ALQ6" i="6" l="1"/>
  <c r="ALP7" i="6"/>
  <c r="ALO12" i="6"/>
  <c r="ALN14" i="6"/>
  <c r="ALR6" i="6" l="1"/>
  <c r="ALQ7" i="6"/>
  <c r="ALO14" i="6"/>
  <c r="ALP12" i="6"/>
  <c r="ALS6" i="6" l="1"/>
  <c r="ALR7" i="6"/>
  <c r="ALQ12" i="6"/>
  <c r="ALP14" i="6"/>
  <c r="ALT6" i="6" l="1"/>
  <c r="ALS7" i="6"/>
  <c r="ALQ14" i="6"/>
  <c r="ALR12" i="6"/>
  <c r="ALU6" i="6" l="1"/>
  <c r="ALT7" i="6"/>
  <c r="ALR14" i="6"/>
  <c r="ALS12" i="6"/>
  <c r="ALV6" i="6" l="1"/>
  <c r="ALU7" i="6"/>
  <c r="ALT12" i="6"/>
  <c r="ALS14" i="6"/>
  <c r="ALW6" i="6" l="1"/>
  <c r="ALV7" i="6"/>
  <c r="ALU12" i="6"/>
  <c r="ALT14" i="6"/>
  <c r="ALX6" i="6" l="1"/>
  <c r="ALW7" i="6"/>
  <c r="ALV12" i="6"/>
  <c r="ALU14" i="6"/>
  <c r="ALY6" i="6" l="1"/>
  <c r="ALX7" i="6"/>
  <c r="ALW12" i="6"/>
  <c r="ALV14" i="6"/>
  <c r="ALZ6" i="6" l="1"/>
  <c r="ALY7" i="6"/>
  <c r="ALX12" i="6"/>
  <c r="ALW14" i="6"/>
  <c r="AMA6" i="6" l="1"/>
  <c r="ALZ7" i="6"/>
  <c r="ALX14" i="6"/>
  <c r="ALY12" i="6"/>
  <c r="AMB6" i="6" l="1"/>
  <c r="AMA7" i="6"/>
  <c r="ALZ12" i="6"/>
  <c r="ALY14" i="6"/>
  <c r="AMC6" i="6" l="1"/>
  <c r="AMB7" i="6"/>
  <c r="AMA12" i="6"/>
  <c r="ALZ14" i="6"/>
  <c r="AMD6" i="6" l="1"/>
  <c r="AMC7" i="6"/>
  <c r="AMA14" i="6"/>
  <c r="AMB12" i="6"/>
  <c r="AME6" i="6" l="1"/>
  <c r="AMD7" i="6"/>
  <c r="AMC12" i="6"/>
  <c r="AMB14" i="6"/>
  <c r="AME7" i="6" l="1"/>
  <c r="AMF6" i="6"/>
  <c r="AMD12" i="6"/>
  <c r="AMC14" i="6"/>
  <c r="AMG6" i="6" l="1"/>
  <c r="AMF7" i="6"/>
  <c r="AMD14" i="6"/>
  <c r="AME12" i="6"/>
  <c r="AMH6" i="6" l="1"/>
  <c r="AMG7" i="6"/>
  <c r="AME14" i="6"/>
  <c r="AMF12" i="6"/>
  <c r="AMI6" i="6" l="1"/>
  <c r="AMH7" i="6"/>
  <c r="AMG12" i="6"/>
  <c r="AMF14" i="6"/>
  <c r="AMJ6" i="6" l="1"/>
  <c r="AMI7" i="6"/>
  <c r="AMG14" i="6"/>
  <c r="AMH12" i="6"/>
  <c r="AMK6" i="6" l="1"/>
  <c r="AMJ7" i="6"/>
  <c r="AMI12" i="6"/>
  <c r="AMH14" i="6"/>
  <c r="AMK7" i="6" l="1"/>
  <c r="AML6" i="6"/>
  <c r="AMJ12" i="6"/>
  <c r="AMI14" i="6"/>
  <c r="AMM6" i="6" l="1"/>
  <c r="AML7" i="6"/>
  <c r="AMK12" i="6"/>
  <c r="AMJ14" i="6"/>
  <c r="AMN6" i="6" l="1"/>
  <c r="AMM7" i="6"/>
  <c r="AML12" i="6"/>
  <c r="AMK14" i="6"/>
  <c r="AMN7" i="6" l="1"/>
  <c r="AMO6" i="6"/>
  <c r="AMM12" i="6"/>
  <c r="AML14" i="6"/>
  <c r="AMP6" i="6" l="1"/>
  <c r="AMO7" i="6"/>
  <c r="AMM14" i="6"/>
  <c r="AMN12" i="6"/>
  <c r="AMQ6" i="6" l="1"/>
  <c r="AMP7" i="6"/>
  <c r="AMO12" i="6"/>
  <c r="AMN14" i="6"/>
  <c r="AMR6" i="6" l="1"/>
  <c r="AMQ7" i="6"/>
  <c r="AMO14" i="6"/>
  <c r="AMP12" i="6"/>
  <c r="AMS6" i="6" l="1"/>
  <c r="AMR7" i="6"/>
  <c r="AMQ12" i="6"/>
  <c r="AMP14" i="6"/>
  <c r="AMT6" i="6" l="1"/>
  <c r="AMS7" i="6"/>
  <c r="AMR12" i="6"/>
  <c r="AMQ14" i="6"/>
  <c r="AMT7" i="6" l="1"/>
  <c r="AMU6" i="6"/>
  <c r="AMS12" i="6"/>
  <c r="AMR14" i="6"/>
  <c r="AMV6" i="6" l="1"/>
  <c r="AMU7" i="6"/>
  <c r="AMS14" i="6"/>
  <c r="AMT12" i="6"/>
  <c r="AMW6" i="6" l="1"/>
  <c r="AMV7" i="6"/>
  <c r="AMU12" i="6"/>
  <c r="AMT14" i="6"/>
  <c r="AMX6" i="6" l="1"/>
  <c r="AMW7" i="6"/>
  <c r="AMV12" i="6"/>
  <c r="AMU14" i="6"/>
  <c r="AMY6" i="6" l="1"/>
  <c r="AMX7" i="6"/>
  <c r="AMV14" i="6"/>
  <c r="AMW12" i="6"/>
  <c r="AMZ6" i="6" l="1"/>
  <c r="AMY7" i="6"/>
  <c r="AMX12" i="6"/>
  <c r="AMW14" i="6"/>
  <c r="AMZ7" i="6" l="1"/>
  <c r="ANA6" i="6"/>
  <c r="AMY12" i="6"/>
  <c r="AMX14" i="6"/>
  <c r="ANB6" i="6" l="1"/>
  <c r="ANA7" i="6"/>
  <c r="AMZ12" i="6"/>
  <c r="AMY14" i="6"/>
  <c r="ANC6" i="6" l="1"/>
  <c r="ANB7" i="6"/>
  <c r="AMZ14" i="6"/>
  <c r="ANA12" i="6"/>
  <c r="ANC7" i="6" l="1"/>
  <c r="AND6" i="6"/>
  <c r="ANA14" i="6"/>
  <c r="ANB12" i="6"/>
  <c r="ANE6" i="6" l="1"/>
  <c r="AND7" i="6"/>
  <c r="ANB14" i="6"/>
  <c r="ANC12" i="6"/>
  <c r="ANF6" i="6" l="1"/>
  <c r="ANE7" i="6"/>
  <c r="ANC14" i="6"/>
  <c r="AND12" i="6"/>
  <c r="ANF7" i="6" l="1"/>
  <c r="ANG6" i="6"/>
  <c r="ANE12" i="6"/>
  <c r="AND14" i="6"/>
  <c r="ANG7" i="6" l="1"/>
  <c r="ANH6" i="6"/>
  <c r="ANF12" i="6"/>
  <c r="ANE14" i="6"/>
  <c r="ANH7" i="6" l="1"/>
  <c r="ANI6" i="6"/>
  <c r="ANF14" i="6"/>
  <c r="ANG12" i="6"/>
  <c r="ANJ6" i="6" l="1"/>
  <c r="ANI7" i="6"/>
  <c r="ANG14" i="6"/>
  <c r="ANH12" i="6"/>
  <c r="ANK6" i="6" l="1"/>
  <c r="ANJ7" i="6"/>
  <c r="ANH14" i="6"/>
  <c r="ANI12" i="6"/>
  <c r="ANL6" i="6" l="1"/>
  <c r="ANK7" i="6"/>
  <c r="ANI14" i="6"/>
  <c r="ANJ12" i="6"/>
  <c r="ANM6" i="6" l="1"/>
  <c r="ANL7" i="6"/>
  <c r="ANK12" i="6"/>
  <c r="ANJ14" i="6"/>
  <c r="ANN6" i="6" l="1"/>
  <c r="ANM7" i="6"/>
  <c r="ANL12" i="6"/>
  <c r="ANK14" i="6"/>
  <c r="ANO6" i="6" l="1"/>
  <c r="ANN7" i="6"/>
  <c r="ANM12" i="6"/>
  <c r="ANL14" i="6"/>
  <c r="ANP6" i="6" l="1"/>
  <c r="ANO7" i="6"/>
  <c r="ANN12" i="6"/>
  <c r="ANM14" i="6"/>
  <c r="ANQ6" i="6" l="1"/>
  <c r="ANP7" i="6"/>
  <c r="ANN14" i="6"/>
  <c r="ANO12" i="6"/>
  <c r="ANR6" i="6" l="1"/>
  <c r="ANQ7" i="6"/>
  <c r="ANO14" i="6"/>
  <c r="ANP12" i="6"/>
  <c r="ANR7" i="6" l="1"/>
  <c r="ANS6" i="6"/>
  <c r="ANP14" i="6"/>
  <c r="ANQ12" i="6"/>
  <c r="ANT6" i="6" l="1"/>
  <c r="ANS7" i="6"/>
  <c r="ANR12" i="6"/>
  <c r="ANQ14" i="6"/>
  <c r="ANU6" i="6" l="1"/>
  <c r="ANT7" i="6"/>
  <c r="ANS12" i="6"/>
  <c r="ANR14" i="6"/>
  <c r="ANV6" i="6" l="1"/>
  <c r="ANU7" i="6"/>
  <c r="ANT12" i="6"/>
  <c r="ANS14" i="6"/>
  <c r="ANV7" i="6" l="1"/>
  <c r="ANW6" i="6"/>
  <c r="ANT14" i="6"/>
  <c r="ANU12" i="6"/>
  <c r="ANX6" i="6" l="1"/>
  <c r="ANW7" i="6"/>
  <c r="ANU14" i="6"/>
  <c r="ANV12" i="6"/>
  <c r="ANY6" i="6" l="1"/>
  <c r="ANX7" i="6"/>
  <c r="ANW12" i="6"/>
  <c r="ANV14" i="6"/>
  <c r="ANZ6" i="6" l="1"/>
  <c r="ANY7" i="6"/>
  <c r="ANW14" i="6"/>
  <c r="ANX12" i="6"/>
  <c r="AOA6" i="6" l="1"/>
  <c r="ANZ7" i="6"/>
  <c r="ANX14" i="6"/>
  <c r="ANY12" i="6"/>
  <c r="AOB6" i="6" l="1"/>
  <c r="AOA7" i="6"/>
  <c r="ANZ12" i="6"/>
  <c r="ANY14" i="6"/>
  <c r="AOC6" i="6" l="1"/>
  <c r="AOB7" i="6"/>
  <c r="ANZ14" i="6"/>
  <c r="AOA12" i="6"/>
  <c r="AOD6" i="6" l="1"/>
  <c r="AOC7" i="6"/>
  <c r="AOB12" i="6"/>
  <c r="AOA14" i="6"/>
  <c r="AOE6" i="6" l="1"/>
  <c r="AOD7" i="6"/>
  <c r="AOB14" i="6"/>
  <c r="AOC12" i="6"/>
  <c r="AOF6" i="6" l="1"/>
  <c r="AOE7" i="6"/>
  <c r="AOD12" i="6"/>
  <c r="AOC14" i="6"/>
  <c r="AOG6" i="6" l="1"/>
  <c r="AOF7" i="6"/>
  <c r="AOE12" i="6"/>
  <c r="AOD14" i="6"/>
  <c r="AOH6" i="6" l="1"/>
  <c r="AOG7" i="6"/>
  <c r="AOF12" i="6"/>
  <c r="AOE14" i="6"/>
  <c r="AOI6" i="6" l="1"/>
  <c r="AOH7" i="6"/>
  <c r="AOG12" i="6"/>
  <c r="AOF14" i="6"/>
  <c r="AOJ6" i="6" l="1"/>
  <c r="AOI7" i="6"/>
  <c r="AOH12" i="6"/>
  <c r="AOG14" i="6"/>
  <c r="AOK6" i="6" l="1"/>
  <c r="AOJ7" i="6"/>
  <c r="AOI12" i="6"/>
  <c r="AOH14" i="6"/>
  <c r="AOL6" i="6" l="1"/>
  <c r="AOK7" i="6"/>
  <c r="AOI14" i="6"/>
  <c r="AOJ12" i="6"/>
  <c r="AOM6" i="6" l="1"/>
  <c r="AOL7" i="6"/>
  <c r="AOK12" i="6"/>
  <c r="AOJ14" i="6"/>
  <c r="AON6" i="6" l="1"/>
  <c r="AOM7" i="6"/>
  <c r="AOK14" i="6"/>
  <c r="AOL12" i="6"/>
  <c r="AOO6" i="6" l="1"/>
  <c r="AON7" i="6"/>
  <c r="AOM12" i="6"/>
  <c r="AOL14" i="6"/>
  <c r="AOP6" i="6" l="1"/>
  <c r="AOO7" i="6"/>
  <c r="AON12" i="6"/>
  <c r="AOM14" i="6"/>
  <c r="AOQ6" i="6" l="1"/>
  <c r="AOP7" i="6"/>
  <c r="AON14" i="6"/>
  <c r="AOO12" i="6"/>
  <c r="AOQ7" i="6" l="1"/>
  <c r="AOR6" i="6"/>
  <c r="AOO14" i="6"/>
  <c r="AOP12" i="6"/>
  <c r="AOS6" i="6" l="1"/>
  <c r="AOR7" i="6"/>
  <c r="AOQ12" i="6"/>
  <c r="AOP14" i="6"/>
  <c r="AOT6" i="6" l="1"/>
  <c r="AOS7" i="6"/>
  <c r="AOR12" i="6"/>
  <c r="AOQ14" i="6"/>
  <c r="AOT7" i="6" l="1"/>
  <c r="AOU6" i="6"/>
  <c r="AOS12" i="6"/>
  <c r="AOR14" i="6"/>
  <c r="AOV6" i="6" l="1"/>
  <c r="AOU7" i="6"/>
  <c r="AOS14" i="6"/>
  <c r="AOT12" i="6"/>
  <c r="AOW6" i="6" l="1"/>
  <c r="AOV7" i="6"/>
  <c r="AOU12" i="6"/>
  <c r="AOT14" i="6"/>
  <c r="AOX6" i="6" l="1"/>
  <c r="AOW7" i="6"/>
  <c r="AOU14" i="6"/>
  <c r="AOV12" i="6"/>
  <c r="AOY6" i="6" l="1"/>
  <c r="AOX7" i="6"/>
  <c r="AOV14" i="6"/>
  <c r="AOW12" i="6"/>
  <c r="AOY7" i="6" l="1"/>
  <c r="AOZ6" i="6"/>
  <c r="AOX12" i="6"/>
  <c r="AOW14" i="6"/>
  <c r="AOZ7" i="6" l="1"/>
  <c r="APA6" i="6"/>
  <c r="AOX14" i="6"/>
  <c r="AOY12" i="6"/>
  <c r="APB6" i="6" l="1"/>
  <c r="APA7" i="6"/>
  <c r="AOZ12" i="6"/>
  <c r="AOY14" i="6"/>
  <c r="APC6" i="6" l="1"/>
  <c r="APB7" i="6"/>
  <c r="APA12" i="6"/>
  <c r="AOZ14" i="6"/>
  <c r="APD6" i="6" l="1"/>
  <c r="APC7" i="6"/>
  <c r="APB12" i="6"/>
  <c r="APA14" i="6"/>
  <c r="APE6" i="6" l="1"/>
  <c r="APD7" i="6"/>
  <c r="APC12" i="6"/>
  <c r="APB14" i="6"/>
  <c r="APF6" i="6" l="1"/>
  <c r="APE7" i="6"/>
  <c r="APD12" i="6"/>
  <c r="APC14" i="6"/>
  <c r="APG6" i="6" l="1"/>
  <c r="APF7" i="6"/>
  <c r="APE12" i="6"/>
  <c r="APD14" i="6"/>
  <c r="APH6" i="6" l="1"/>
  <c r="APG7" i="6"/>
  <c r="APF12" i="6"/>
  <c r="APE14" i="6"/>
  <c r="APH7" i="6" l="1"/>
  <c r="API6" i="6"/>
  <c r="APG12" i="6"/>
  <c r="APF14" i="6"/>
  <c r="APJ6" i="6" l="1"/>
  <c r="API7" i="6"/>
  <c r="APH12" i="6"/>
  <c r="APG14" i="6"/>
  <c r="APK6" i="6" l="1"/>
  <c r="APJ7" i="6"/>
  <c r="API12" i="6"/>
  <c r="APH14" i="6"/>
  <c r="APL6" i="6" l="1"/>
  <c r="APK7" i="6"/>
  <c r="APJ12" i="6"/>
  <c r="API14" i="6"/>
  <c r="APM6" i="6" l="1"/>
  <c r="APL7" i="6"/>
  <c r="APK12" i="6"/>
  <c r="APJ14" i="6"/>
  <c r="APM7" i="6" l="1"/>
  <c r="APN6" i="6"/>
  <c r="APL12" i="6"/>
  <c r="APK14" i="6"/>
  <c r="APN7" i="6" l="1"/>
  <c r="APO6" i="6"/>
  <c r="APM12" i="6"/>
  <c r="APL14" i="6"/>
  <c r="APP6" i="6" l="1"/>
  <c r="APO7" i="6"/>
  <c r="APN12" i="6"/>
  <c r="APM14" i="6"/>
  <c r="APQ6" i="6" l="1"/>
  <c r="APP7" i="6"/>
  <c r="APN14" i="6"/>
  <c r="APO12" i="6"/>
  <c r="APR6" i="6" l="1"/>
  <c r="APQ7" i="6"/>
  <c r="APP12" i="6"/>
  <c r="APO14" i="6"/>
  <c r="APS6" i="6" l="1"/>
  <c r="APR7" i="6"/>
  <c r="APP14" i="6"/>
  <c r="APQ12" i="6"/>
  <c r="APT6" i="6" l="1"/>
  <c r="APS7" i="6"/>
  <c r="APR12" i="6"/>
  <c r="APQ14" i="6"/>
  <c r="APT7" i="6" l="1"/>
  <c r="APU6" i="6"/>
  <c r="APS12" i="6"/>
  <c r="APR14" i="6"/>
  <c r="APV6" i="6" l="1"/>
  <c r="APU7" i="6"/>
  <c r="APS14" i="6"/>
  <c r="APT12" i="6"/>
  <c r="APW6" i="6" l="1"/>
  <c r="APV7" i="6"/>
  <c r="APU12" i="6"/>
  <c r="APT14" i="6"/>
  <c r="APX6" i="6" l="1"/>
  <c r="APW7" i="6"/>
  <c r="APV12" i="6"/>
  <c r="APU14" i="6"/>
  <c r="APY6" i="6" l="1"/>
  <c r="APX7" i="6"/>
  <c r="APW12" i="6"/>
  <c r="APV14" i="6"/>
  <c r="APZ6" i="6" l="1"/>
  <c r="APY7" i="6"/>
  <c r="APW14" i="6"/>
  <c r="APX12" i="6"/>
  <c r="APZ7" i="6" l="1"/>
  <c r="AQA6" i="6"/>
  <c r="APY12" i="6"/>
  <c r="APX14" i="6"/>
  <c r="AQA7" i="6" l="1"/>
  <c r="AQB6" i="6"/>
  <c r="APZ12" i="6"/>
  <c r="APY14" i="6"/>
  <c r="AQC6" i="6" l="1"/>
  <c r="AQB7" i="6"/>
  <c r="AQA12" i="6"/>
  <c r="APZ14" i="6"/>
  <c r="AQD6" i="6" l="1"/>
  <c r="AQC7" i="6"/>
  <c r="AQB12" i="6"/>
  <c r="AQA14" i="6"/>
  <c r="AQE6" i="6" l="1"/>
  <c r="AQD7" i="6"/>
  <c r="AQB14" i="6"/>
  <c r="AQC12" i="6"/>
  <c r="AQF6" i="6" l="1"/>
  <c r="AQE7" i="6"/>
  <c r="AQD12" i="6"/>
  <c r="AQC14" i="6"/>
  <c r="AQG6" i="6" l="1"/>
  <c r="AQF7" i="6"/>
  <c r="AQE12" i="6"/>
  <c r="AQD14" i="6"/>
  <c r="AQH6" i="6" l="1"/>
  <c r="AQG7" i="6"/>
  <c r="AQF12" i="6"/>
  <c r="AQE14" i="6"/>
  <c r="AQI6" i="6" l="1"/>
  <c r="AQH7" i="6"/>
  <c r="AQF14" i="6"/>
  <c r="AQG12" i="6"/>
  <c r="AQJ6" i="6" l="1"/>
  <c r="AQI7" i="6"/>
  <c r="AQH12" i="6"/>
  <c r="AQG14" i="6"/>
  <c r="AQK6" i="6" l="1"/>
  <c r="AQJ7" i="6"/>
  <c r="AQI12" i="6"/>
  <c r="AQH14" i="6"/>
  <c r="AQL6" i="6" l="1"/>
  <c r="AQK7" i="6"/>
  <c r="AQJ12" i="6"/>
  <c r="AQI14" i="6"/>
  <c r="AQL7" i="6" l="1"/>
  <c r="AQM6" i="6"/>
  <c r="AQJ14" i="6"/>
  <c r="AQK12" i="6"/>
  <c r="AQM7" i="6" l="1"/>
  <c r="AQN6" i="6"/>
  <c r="AQL12" i="6"/>
  <c r="AQK14" i="6"/>
  <c r="AQO6" i="6" l="1"/>
  <c r="AQN7" i="6"/>
  <c r="AQM12" i="6"/>
  <c r="AQL14" i="6"/>
  <c r="AQP6" i="6" l="1"/>
  <c r="AQO7" i="6"/>
  <c r="AQM14" i="6"/>
  <c r="AQN12" i="6"/>
  <c r="AQQ6" i="6" l="1"/>
  <c r="AQP7" i="6"/>
  <c r="AQO12" i="6"/>
  <c r="AQN14" i="6"/>
  <c r="AQR6" i="6" l="1"/>
  <c r="AQQ7" i="6"/>
  <c r="AQP12" i="6"/>
  <c r="AQO14" i="6"/>
  <c r="AQS6" i="6" l="1"/>
  <c r="AQR7" i="6"/>
  <c r="AQQ12" i="6"/>
  <c r="AQP14" i="6"/>
  <c r="AQT6" i="6" l="1"/>
  <c r="AQS7" i="6"/>
  <c r="AQQ14" i="6"/>
  <c r="AQR12" i="6"/>
  <c r="AQU6" i="6" l="1"/>
  <c r="AQT7" i="6"/>
  <c r="AQS12" i="6"/>
  <c r="AQR14" i="6"/>
  <c r="AQV6" i="6" l="1"/>
  <c r="AQU7" i="6"/>
  <c r="AQT12" i="6"/>
  <c r="AQS14" i="6"/>
  <c r="AQW6" i="6" l="1"/>
  <c r="AQV7" i="6"/>
  <c r="AQT14" i="6"/>
  <c r="AQU12" i="6"/>
  <c r="AQX6" i="6" l="1"/>
  <c r="AQW7" i="6"/>
  <c r="AQU14" i="6"/>
  <c r="AQV12" i="6"/>
  <c r="AQY6" i="6" l="1"/>
  <c r="AQX7" i="6"/>
  <c r="AQV14" i="6"/>
  <c r="AQW12" i="6"/>
  <c r="AQY7" i="6" l="1"/>
  <c r="AQZ6" i="6"/>
  <c r="AQW14" i="6"/>
  <c r="AQX12" i="6"/>
  <c r="ARA6" i="6" l="1"/>
  <c r="AQZ7" i="6"/>
  <c r="AQX14" i="6"/>
  <c r="AQY12" i="6"/>
  <c r="ARB6" i="6" l="1"/>
  <c r="ARA7" i="6"/>
  <c r="AQZ12" i="6"/>
  <c r="AQY14" i="6"/>
  <c r="ARC6" i="6" l="1"/>
  <c r="ARB7" i="6"/>
  <c r="ARA12" i="6"/>
  <c r="AQZ14" i="6"/>
  <c r="ARD6" i="6" l="1"/>
  <c r="ARC7" i="6"/>
  <c r="ARB12" i="6"/>
  <c r="ARA14" i="6"/>
  <c r="ARE6" i="6" l="1"/>
  <c r="ARD7" i="6"/>
  <c r="ARC12" i="6"/>
  <c r="ARB14" i="6"/>
  <c r="ARF6" i="6" l="1"/>
  <c r="ARE7" i="6"/>
  <c r="ARC14" i="6"/>
  <c r="ARD12" i="6"/>
  <c r="ARG6" i="6" l="1"/>
  <c r="ARF7" i="6"/>
  <c r="ARE12" i="6"/>
  <c r="ARD14" i="6"/>
  <c r="ARH6" i="6" l="1"/>
  <c r="ARG7" i="6"/>
  <c r="ARF12" i="6"/>
  <c r="ARE14" i="6"/>
  <c r="ARI6" i="6" l="1"/>
  <c r="ARH7" i="6"/>
  <c r="ARF14" i="6"/>
  <c r="ARG12" i="6"/>
  <c r="ARJ6" i="6" l="1"/>
  <c r="ARI7" i="6"/>
  <c r="ARG14" i="6"/>
  <c r="ARH12" i="6"/>
  <c r="ARK6" i="6" l="1"/>
  <c r="ARJ7" i="6"/>
  <c r="ARI12" i="6"/>
  <c r="ARH14" i="6"/>
  <c r="ARK7" i="6" l="1"/>
  <c r="ARL6" i="6"/>
  <c r="ARJ12" i="6"/>
  <c r="ARI14" i="6"/>
  <c r="ARM6" i="6" l="1"/>
  <c r="ARL7" i="6"/>
  <c r="ARJ14" i="6"/>
  <c r="ARK12" i="6"/>
  <c r="ARM7" i="6" l="1"/>
  <c r="ARN6" i="6"/>
  <c r="ARL12" i="6"/>
  <c r="ARK14" i="6"/>
  <c r="ARN7" i="6" l="1"/>
  <c r="ARO6" i="6"/>
  <c r="ARM12" i="6"/>
  <c r="ARL14" i="6"/>
  <c r="ARP6" i="6" l="1"/>
  <c r="ARO7" i="6"/>
  <c r="ARN12" i="6"/>
  <c r="ARM14" i="6"/>
  <c r="ARQ6" i="6" l="1"/>
  <c r="ARP7" i="6"/>
  <c r="ARO12" i="6"/>
  <c r="ARN14" i="6"/>
  <c r="ARR6" i="6" l="1"/>
  <c r="ARQ7" i="6"/>
  <c r="ARP12" i="6"/>
  <c r="ARO14" i="6"/>
  <c r="ARS6" i="6" l="1"/>
  <c r="ARR7" i="6"/>
  <c r="ARP14" i="6"/>
  <c r="ARQ12" i="6"/>
  <c r="ARS7" i="6" l="1"/>
  <c r="ART6" i="6"/>
  <c r="ARR12" i="6"/>
  <c r="ARQ14" i="6"/>
  <c r="ART7" i="6" l="1"/>
  <c r="ARU6" i="6"/>
  <c r="ARS12" i="6"/>
  <c r="ARR14" i="6"/>
  <c r="ARV6" i="6" l="1"/>
  <c r="ARU7" i="6"/>
  <c r="ART12" i="6"/>
  <c r="ARS14" i="6"/>
  <c r="ARW6" i="6" l="1"/>
  <c r="ARV7" i="6"/>
  <c r="ARU12" i="6"/>
  <c r="ART14" i="6"/>
  <c r="ARX6" i="6" l="1"/>
  <c r="ARW7" i="6"/>
  <c r="ARU14" i="6"/>
  <c r="ARV12" i="6"/>
  <c r="ARY6" i="6" l="1"/>
  <c r="ARX7" i="6"/>
  <c r="ARV14" i="6"/>
  <c r="ARW12" i="6"/>
  <c r="ARY7" i="6" l="1"/>
  <c r="ARZ6" i="6"/>
  <c r="ARX12" i="6"/>
  <c r="ARW14" i="6"/>
  <c r="ASA6" i="6" l="1"/>
  <c r="ARZ7" i="6"/>
  <c r="ARY12" i="6"/>
  <c r="ARX14" i="6"/>
  <c r="ASB6" i="6" l="1"/>
  <c r="ASA7" i="6"/>
  <c r="ARZ12" i="6"/>
  <c r="ARY14" i="6"/>
  <c r="ASB7" i="6" l="1"/>
  <c r="ASC6" i="6"/>
  <c r="ASA12" i="6"/>
  <c r="ARZ14" i="6"/>
  <c r="ASD6" i="6" l="1"/>
  <c r="ASC7" i="6"/>
  <c r="ASA14" i="6"/>
  <c r="ASB12" i="6"/>
  <c r="ASD7" i="6" l="1"/>
  <c r="ASE6" i="6"/>
  <c r="ASC12" i="6"/>
  <c r="ASB14" i="6"/>
  <c r="ASF6" i="6" l="1"/>
  <c r="ASE7" i="6"/>
  <c r="ASC14" i="6"/>
  <c r="ASD12" i="6"/>
  <c r="ASG6" i="6" l="1"/>
  <c r="ASF7" i="6"/>
  <c r="ASE12" i="6"/>
  <c r="ASD14" i="6"/>
  <c r="ASG7" i="6" l="1"/>
  <c r="ASH6" i="6"/>
  <c r="ASF12" i="6"/>
  <c r="ASE14" i="6"/>
  <c r="ASH7" i="6" l="1"/>
  <c r="ASI6" i="6"/>
  <c r="ASG12" i="6"/>
  <c r="ASF14" i="6"/>
  <c r="ASJ6" i="6" l="1"/>
  <c r="ASI7" i="6"/>
  <c r="ASH12" i="6"/>
  <c r="ASG14" i="6"/>
  <c r="ASK6" i="6" l="1"/>
  <c r="ASJ7" i="6"/>
  <c r="ASI12" i="6"/>
  <c r="ASH14" i="6"/>
  <c r="ASL6" i="6" l="1"/>
  <c r="ASK7" i="6"/>
  <c r="ASJ12" i="6"/>
  <c r="ASI14" i="6"/>
  <c r="ASM6" i="6" l="1"/>
  <c r="ASL7" i="6"/>
  <c r="ASK12" i="6"/>
  <c r="ASJ14" i="6"/>
  <c r="ASN6" i="6" l="1"/>
  <c r="ASM7" i="6"/>
  <c r="ASL12" i="6"/>
  <c r="ASK14" i="6"/>
  <c r="ASO6" i="6" l="1"/>
  <c r="ASN7" i="6"/>
  <c r="ASM12" i="6"/>
  <c r="ASL14" i="6"/>
  <c r="ASP6" i="6" l="1"/>
  <c r="ASO7" i="6"/>
  <c r="ASN12" i="6"/>
  <c r="ASM14" i="6"/>
  <c r="ASQ6" i="6" l="1"/>
  <c r="ASP7" i="6"/>
  <c r="ASN14" i="6"/>
  <c r="ASO12" i="6"/>
  <c r="ASR6" i="6" l="1"/>
  <c r="ASQ7" i="6"/>
  <c r="ASP12" i="6"/>
  <c r="ASO14" i="6"/>
  <c r="ASS6" i="6" l="1"/>
  <c r="ASR7" i="6"/>
  <c r="ASP14" i="6"/>
  <c r="ASQ12" i="6"/>
  <c r="ASS7" i="6" l="1"/>
  <c r="AST6" i="6"/>
  <c r="ASR12" i="6"/>
  <c r="ASQ14" i="6"/>
  <c r="AST7" i="6" l="1"/>
  <c r="ASU6" i="6"/>
  <c r="ASS12" i="6"/>
  <c r="ASR14" i="6"/>
  <c r="ASU7" i="6" l="1"/>
  <c r="ASV6" i="6"/>
  <c r="AST12" i="6"/>
  <c r="ASS14" i="6"/>
  <c r="ASW6" i="6" l="1"/>
  <c r="ASV7" i="6"/>
  <c r="AST14" i="6"/>
  <c r="ASU12" i="6"/>
  <c r="ASX6" i="6" l="1"/>
  <c r="ASW7" i="6"/>
  <c r="ASV12" i="6"/>
  <c r="ASU14" i="6"/>
  <c r="ASY6" i="6" l="1"/>
  <c r="ASX7" i="6"/>
  <c r="ASW12" i="6"/>
  <c r="ASV14" i="6"/>
  <c r="ASZ6" i="6" l="1"/>
  <c r="ASY7" i="6"/>
  <c r="ASX12" i="6"/>
  <c r="ASW14" i="6"/>
  <c r="ATA6" i="6" l="1"/>
  <c r="ASZ7" i="6"/>
  <c r="ASY12" i="6"/>
  <c r="ASX14" i="6"/>
  <c r="ATB6" i="6" l="1"/>
  <c r="ATA7" i="6"/>
  <c r="ASZ12" i="6"/>
  <c r="ASY14" i="6"/>
  <c r="ATC6" i="6" l="1"/>
  <c r="ATB7" i="6"/>
  <c r="ATA12" i="6"/>
  <c r="ASZ14" i="6"/>
  <c r="ATC7" i="6" l="1"/>
  <c r="ATD6" i="6"/>
  <c r="ATA14" i="6"/>
  <c r="ATB12" i="6"/>
  <c r="ATE6" i="6" l="1"/>
  <c r="ATD7" i="6"/>
  <c r="ATC12" i="6"/>
  <c r="ATB14" i="6"/>
  <c r="ATF6" i="6" l="1"/>
  <c r="ATE7" i="6"/>
  <c r="ATD12" i="6"/>
  <c r="ATC14" i="6"/>
  <c r="ATG6" i="6" l="1"/>
  <c r="ATF7" i="6"/>
  <c r="ATE12" i="6"/>
  <c r="ATD14" i="6"/>
  <c r="ATH6" i="6" l="1"/>
  <c r="ATG7" i="6"/>
  <c r="ATF12" i="6"/>
  <c r="ATE14" i="6"/>
  <c r="ATI6" i="6" l="1"/>
  <c r="ATH7" i="6"/>
  <c r="ATF14" i="6"/>
  <c r="ATG12" i="6"/>
  <c r="ATJ6" i="6" l="1"/>
  <c r="ATI7" i="6"/>
  <c r="ATG14" i="6"/>
  <c r="ATH12" i="6"/>
  <c r="ATJ7" i="6" l="1"/>
  <c r="ATK6" i="6"/>
  <c r="ATH14" i="6"/>
  <c r="ATI12" i="6"/>
  <c r="ATL6" i="6" l="1"/>
  <c r="ATK7" i="6"/>
  <c r="ATI14" i="6"/>
  <c r="ATJ12" i="6"/>
  <c r="ATM6" i="6" l="1"/>
  <c r="ATL7" i="6"/>
  <c r="ATK12" i="6"/>
  <c r="ATJ14" i="6"/>
  <c r="ATN6" i="6" l="1"/>
  <c r="ATM7" i="6"/>
  <c r="ATL12" i="6"/>
  <c r="ATK14" i="6"/>
  <c r="ATO6" i="6" l="1"/>
  <c r="ATN7" i="6"/>
  <c r="ATM12" i="6"/>
  <c r="ATL14" i="6"/>
  <c r="ATP6" i="6" l="1"/>
  <c r="ATO7" i="6"/>
  <c r="ATN12" i="6"/>
  <c r="ATM14" i="6"/>
  <c r="ATQ6" i="6" l="1"/>
  <c r="ATP7" i="6"/>
  <c r="ATN14" i="6"/>
  <c r="ATO12" i="6"/>
  <c r="ATQ7" i="6" l="1"/>
  <c r="ATR6" i="6"/>
  <c r="ATP12" i="6"/>
  <c r="ATO14" i="6"/>
  <c r="ATR7" i="6" l="1"/>
  <c r="ATS6" i="6"/>
  <c r="ATP14" i="6"/>
  <c r="ATQ12" i="6"/>
  <c r="ATT6" i="6" l="1"/>
  <c r="ATS7" i="6"/>
  <c r="ATQ14" i="6"/>
  <c r="ATR12" i="6"/>
  <c r="ATU6" i="6" l="1"/>
  <c r="ATT7" i="6"/>
  <c r="ATS12" i="6"/>
  <c r="ATR14" i="6"/>
  <c r="ATU7" i="6" l="1"/>
  <c r="ATV6" i="6"/>
  <c r="ATS14" i="6"/>
  <c r="ATT12" i="6"/>
  <c r="ATW6" i="6" l="1"/>
  <c r="ATV7" i="6"/>
  <c r="ATT14" i="6"/>
  <c r="ATU12" i="6"/>
  <c r="ATX6" i="6" l="1"/>
  <c r="ATW7" i="6"/>
  <c r="ATV12" i="6"/>
  <c r="ATU14" i="6"/>
  <c r="ATY6" i="6" l="1"/>
  <c r="ATX7" i="6"/>
  <c r="ATW12" i="6"/>
  <c r="ATV14" i="6"/>
  <c r="ATZ6" i="6" l="1"/>
  <c r="ATY7" i="6"/>
  <c r="ATX12" i="6"/>
  <c r="ATW14" i="6"/>
  <c r="AUA6" i="6" l="1"/>
  <c r="ATZ7" i="6"/>
  <c r="ATY12" i="6"/>
  <c r="ATX14" i="6"/>
  <c r="AUB6" i="6" l="1"/>
  <c r="AUA7" i="6"/>
  <c r="ATZ12" i="6"/>
  <c r="ATY14" i="6"/>
  <c r="AUC6" i="6" l="1"/>
  <c r="AUB7" i="6"/>
  <c r="AUA12" i="6"/>
  <c r="ATZ14" i="6"/>
  <c r="AUD6" i="6" l="1"/>
  <c r="AUC7" i="6"/>
  <c r="AUA14" i="6"/>
  <c r="AUB12" i="6"/>
  <c r="AUE6" i="6" l="1"/>
  <c r="AUD7" i="6"/>
  <c r="AUC12" i="6"/>
  <c r="AUB14" i="6"/>
  <c r="AUF6" i="6" l="1"/>
  <c r="AUE7" i="6"/>
  <c r="AUD12" i="6"/>
  <c r="AUC14" i="6"/>
  <c r="AUG6" i="6" l="1"/>
  <c r="AUF7" i="6"/>
  <c r="AUE12" i="6"/>
  <c r="AUD14" i="6"/>
  <c r="AUG7" i="6" l="1"/>
  <c r="AUH6" i="6"/>
  <c r="AUF12" i="6"/>
  <c r="AUE14" i="6"/>
  <c r="AUI6" i="6" l="1"/>
  <c r="AUH7" i="6"/>
  <c r="AUF14" i="6"/>
  <c r="AUG12" i="6"/>
  <c r="AUJ6" i="6" l="1"/>
  <c r="AUI7" i="6"/>
  <c r="AUG14" i="6"/>
  <c r="AUH12" i="6"/>
  <c r="AUJ7" i="6" l="1"/>
  <c r="AUK6" i="6"/>
  <c r="AUI12" i="6"/>
  <c r="AUH14" i="6"/>
  <c r="AUL6" i="6" l="1"/>
  <c r="AUK7" i="6"/>
  <c r="AUJ12" i="6"/>
  <c r="AUI14" i="6"/>
  <c r="AUM6" i="6" l="1"/>
  <c r="AUL7" i="6"/>
  <c r="AUJ14" i="6"/>
  <c r="AUK12" i="6"/>
  <c r="AUN6" i="6" l="1"/>
  <c r="AUM7" i="6"/>
  <c r="AUL12" i="6"/>
  <c r="AUK14" i="6"/>
  <c r="AUN7" i="6" l="1"/>
  <c r="AUO6" i="6"/>
  <c r="AUM12" i="6"/>
  <c r="AUL14" i="6"/>
  <c r="AUP6" i="6" l="1"/>
  <c r="AUO7" i="6"/>
  <c r="AUM14" i="6"/>
  <c r="AUN12" i="6"/>
  <c r="AUQ6" i="6" l="1"/>
  <c r="AUP7" i="6"/>
  <c r="AUO12" i="6"/>
  <c r="AUN14" i="6"/>
  <c r="AUR6" i="6" l="1"/>
  <c r="AUQ7" i="6"/>
  <c r="AUP12" i="6"/>
  <c r="AUO14" i="6"/>
  <c r="AUS6" i="6" l="1"/>
  <c r="AUR7" i="6"/>
  <c r="AUQ12" i="6"/>
  <c r="AUP14" i="6"/>
  <c r="AUS7" i="6" l="1"/>
  <c r="AUT6" i="6"/>
  <c r="AUR12" i="6"/>
  <c r="AUQ14" i="6"/>
  <c r="AUU6" i="6" l="1"/>
  <c r="AUT7" i="6"/>
  <c r="AUS12" i="6"/>
  <c r="AUR14" i="6"/>
  <c r="AUV6" i="6" l="1"/>
  <c r="AUU7" i="6"/>
  <c r="AUT12" i="6"/>
  <c r="AUS14" i="6"/>
  <c r="AUV7" i="6" l="1"/>
  <c r="AUW6" i="6"/>
  <c r="AUU12" i="6"/>
  <c r="AUT14" i="6"/>
  <c r="AUX6" i="6" l="1"/>
  <c r="AUW7" i="6"/>
  <c r="AUU14" i="6"/>
  <c r="AUV12" i="6"/>
  <c r="AUY6" i="6" l="1"/>
  <c r="AUX7" i="6"/>
  <c r="AUV14" i="6"/>
  <c r="AUW12" i="6"/>
  <c r="AUZ6" i="6" l="1"/>
  <c r="AUY7" i="6"/>
  <c r="AUX12" i="6"/>
  <c r="AUW14" i="6"/>
  <c r="AVA6" i="6" l="1"/>
  <c r="AUZ7" i="6"/>
  <c r="AUX14" i="6"/>
  <c r="AUY12" i="6"/>
  <c r="AVB6" i="6" l="1"/>
  <c r="AVA7" i="6"/>
  <c r="AUY14" i="6"/>
  <c r="AUZ12" i="6"/>
  <c r="AVB7" i="6" l="1"/>
  <c r="AVC6" i="6"/>
  <c r="AVA12" i="6"/>
  <c r="AUZ14" i="6"/>
  <c r="AVD6" i="6" l="1"/>
  <c r="AVC7" i="6"/>
  <c r="AVB12" i="6"/>
  <c r="AVA14" i="6"/>
  <c r="AVE6" i="6" l="1"/>
  <c r="AVD7" i="6"/>
  <c r="AVC12" i="6"/>
  <c r="AVB14" i="6"/>
  <c r="AVF6" i="6" l="1"/>
  <c r="AVE7" i="6"/>
  <c r="AVC14" i="6"/>
  <c r="AVD12" i="6"/>
  <c r="AVG6" i="6" l="1"/>
  <c r="AVF7" i="6"/>
  <c r="AVD14" i="6"/>
  <c r="AVE12" i="6"/>
  <c r="AVH6" i="6" l="1"/>
  <c r="AVG7" i="6"/>
  <c r="AVF12" i="6"/>
  <c r="AVE14" i="6"/>
  <c r="AVH7" i="6" l="1"/>
  <c r="AVI6" i="6"/>
  <c r="AVG12" i="6"/>
  <c r="AVF14" i="6"/>
  <c r="AVJ6" i="6" l="1"/>
  <c r="AVI7" i="6"/>
  <c r="AVH12" i="6"/>
  <c r="AVG14" i="6"/>
  <c r="AVK6" i="6" l="1"/>
  <c r="AVJ7" i="6"/>
  <c r="AVI12" i="6"/>
  <c r="AVH14" i="6"/>
  <c r="AVL6" i="6" l="1"/>
  <c r="AVK7" i="6"/>
  <c r="AVJ12" i="6"/>
  <c r="AVI14" i="6"/>
  <c r="AVL7" i="6" l="1"/>
  <c r="AVM6" i="6"/>
  <c r="AVK12" i="6"/>
  <c r="AVJ14" i="6"/>
  <c r="AVN6" i="6" l="1"/>
  <c r="AVM7" i="6"/>
  <c r="AVL12" i="6"/>
  <c r="AVK14" i="6"/>
  <c r="AVN7" i="6" l="1"/>
  <c r="AVO6" i="6"/>
  <c r="AVL14" i="6"/>
  <c r="AVM12" i="6"/>
  <c r="AVO7" i="6" l="1"/>
  <c r="AVP6" i="6"/>
  <c r="AVN12" i="6"/>
  <c r="AVM14" i="6"/>
  <c r="AVQ6" i="6" l="1"/>
  <c r="AVP7" i="6"/>
  <c r="AVO12" i="6"/>
  <c r="AVN14" i="6"/>
  <c r="AVR6" i="6" l="1"/>
  <c r="AVQ7" i="6"/>
  <c r="AVP12" i="6"/>
  <c r="AVO14" i="6"/>
  <c r="AVS6" i="6" l="1"/>
  <c r="AVR7" i="6"/>
  <c r="AVP14" i="6"/>
  <c r="AVQ12" i="6"/>
  <c r="AVT6" i="6" l="1"/>
  <c r="AVS7" i="6"/>
  <c r="AVQ14" i="6"/>
  <c r="AVR12" i="6"/>
  <c r="AVU6" i="6" l="1"/>
  <c r="AVT7" i="6"/>
  <c r="AVS12" i="6"/>
  <c r="AVR14" i="6"/>
  <c r="AVV6" i="6" l="1"/>
  <c r="AVU7" i="6"/>
  <c r="AVT12" i="6"/>
  <c r="AVS14" i="6"/>
  <c r="AVW6" i="6" l="1"/>
  <c r="AVV7" i="6"/>
  <c r="AVU12" i="6"/>
  <c r="AVT14" i="6"/>
  <c r="AVX6" i="6" l="1"/>
  <c r="AVW7" i="6"/>
  <c r="AVU14" i="6"/>
  <c r="AVV12" i="6"/>
  <c r="AVY6" i="6" l="1"/>
  <c r="AVX7" i="6"/>
  <c r="AVV14" i="6"/>
  <c r="AVW12" i="6"/>
  <c r="AVZ6" i="6" l="1"/>
  <c r="AVY7" i="6"/>
  <c r="AVW14" i="6"/>
  <c r="AVX12" i="6"/>
  <c r="AVZ7" i="6" l="1"/>
  <c r="AWA6" i="6"/>
  <c r="AVX14" i="6"/>
  <c r="AVY12" i="6"/>
  <c r="AWB6" i="6" l="1"/>
  <c r="AWA7" i="6"/>
  <c r="AVY14" i="6"/>
  <c r="AVZ12" i="6"/>
  <c r="AWC6" i="6" l="1"/>
  <c r="AWB7" i="6"/>
  <c r="AWA12" i="6"/>
  <c r="AVZ14" i="6"/>
  <c r="AWC7" i="6" l="1"/>
  <c r="AWD6" i="6"/>
  <c r="AWB12" i="6"/>
  <c r="AWA14" i="6"/>
  <c r="AWE6" i="6" l="1"/>
  <c r="AWD7" i="6"/>
  <c r="AWC12" i="6"/>
  <c r="AWB14" i="6"/>
  <c r="AWF6" i="6" l="1"/>
  <c r="AWE7" i="6"/>
  <c r="AWD12" i="6"/>
  <c r="AWC14" i="6"/>
  <c r="AWG6" i="6" l="1"/>
  <c r="AWF7" i="6"/>
  <c r="AWE12" i="6"/>
  <c r="AWD14" i="6"/>
  <c r="AWH6" i="6" l="1"/>
  <c r="AWG7" i="6"/>
  <c r="AWF12" i="6"/>
  <c r="AWE14" i="6"/>
  <c r="AWI6" i="6" l="1"/>
  <c r="AWH7" i="6"/>
  <c r="AWG12" i="6"/>
  <c r="AWF14" i="6"/>
  <c r="AWJ6" i="6" l="1"/>
  <c r="AWI7" i="6"/>
  <c r="AWH12" i="6"/>
  <c r="AWG14" i="6"/>
  <c r="AWK6" i="6" l="1"/>
  <c r="AWJ7" i="6"/>
  <c r="AWI12" i="6"/>
  <c r="AWH14" i="6"/>
  <c r="AWK7" i="6" l="1"/>
  <c r="AWL6" i="6"/>
  <c r="AWJ12" i="6"/>
  <c r="AWI14" i="6"/>
  <c r="AWL7" i="6" l="1"/>
  <c r="AWM6" i="6"/>
  <c r="AWK12" i="6"/>
  <c r="AWJ14" i="6"/>
  <c r="AWM7" i="6" l="1"/>
  <c r="AWN6" i="6"/>
  <c r="AWK14" i="6"/>
  <c r="AWL12" i="6"/>
  <c r="AWO6" i="6" l="1"/>
  <c r="AWN7" i="6"/>
  <c r="AWM12" i="6"/>
  <c r="AWL14" i="6"/>
  <c r="AWP6" i="6" l="1"/>
  <c r="AWO7" i="6"/>
  <c r="AWN12" i="6"/>
  <c r="AWM14" i="6"/>
  <c r="AWQ6" i="6" l="1"/>
  <c r="AWP7" i="6"/>
  <c r="AWN14" i="6"/>
  <c r="AWO12" i="6"/>
  <c r="AWR6" i="6" l="1"/>
  <c r="AWQ7" i="6"/>
  <c r="AWO14" i="6"/>
  <c r="AWP12" i="6"/>
  <c r="AWR7" i="6" l="1"/>
  <c r="AWS6" i="6"/>
  <c r="AWQ12" i="6"/>
  <c r="AWP14" i="6"/>
  <c r="AWT6" i="6" l="1"/>
  <c r="AWS7" i="6"/>
  <c r="AWQ14" i="6"/>
  <c r="AWR12" i="6"/>
  <c r="AWU6" i="6" l="1"/>
  <c r="AWT7" i="6"/>
  <c r="AWR14" i="6"/>
  <c r="AWS12" i="6"/>
  <c r="AWV6" i="6" l="1"/>
  <c r="AWU7" i="6"/>
  <c r="AWT12" i="6"/>
  <c r="AWS14" i="6"/>
  <c r="AWW6" i="6" l="1"/>
  <c r="AWV7" i="6"/>
  <c r="AWT14" i="6"/>
  <c r="AWU12" i="6"/>
  <c r="AWX6" i="6" l="1"/>
  <c r="AWW7" i="6"/>
  <c r="AWV12" i="6"/>
  <c r="AWU14" i="6"/>
  <c r="AWY6" i="6" l="1"/>
  <c r="AWX7" i="6"/>
  <c r="AWW12" i="6"/>
  <c r="AWV14" i="6"/>
  <c r="AWY7" i="6" l="1"/>
  <c r="AWZ6" i="6"/>
  <c r="AWW14" i="6"/>
  <c r="AWX12" i="6"/>
  <c r="AXA6" i="6" l="1"/>
  <c r="AWZ7" i="6"/>
  <c r="AWY12" i="6"/>
  <c r="AWX14" i="6"/>
  <c r="AXB6" i="6" l="1"/>
  <c r="AXA7" i="6"/>
  <c r="AWY14" i="6"/>
  <c r="AWZ12" i="6"/>
  <c r="AXB7" i="6" l="1"/>
  <c r="AXC6" i="6"/>
  <c r="AWZ14" i="6"/>
  <c r="AXA12" i="6"/>
  <c r="AXD6" i="6" l="1"/>
  <c r="AXC7" i="6"/>
  <c r="AXB12" i="6"/>
  <c r="AXA14" i="6"/>
  <c r="AXD7" i="6" l="1"/>
  <c r="AXE6" i="6"/>
  <c r="AXC12" i="6"/>
  <c r="AXB14" i="6"/>
  <c r="AXF6" i="6" l="1"/>
  <c r="AXE7" i="6"/>
  <c r="AXC14" i="6"/>
  <c r="AXD12" i="6"/>
  <c r="AXF7" i="6" l="1"/>
  <c r="AXG6" i="6"/>
  <c r="AXD14" i="6"/>
  <c r="AXE12" i="6"/>
  <c r="AXH6" i="6" l="1"/>
  <c r="AXG7" i="6"/>
  <c r="AXF12" i="6"/>
  <c r="AXE14" i="6"/>
  <c r="AXI6" i="6" l="1"/>
  <c r="AXH7" i="6"/>
  <c r="AXG12" i="6"/>
  <c r="AXF14" i="6"/>
  <c r="AXJ6" i="6" l="1"/>
  <c r="AXI7" i="6"/>
  <c r="AXH12" i="6"/>
  <c r="AXG14" i="6"/>
  <c r="AXK6" i="6" l="1"/>
  <c r="AXJ7" i="6"/>
  <c r="AXH14" i="6"/>
  <c r="AXI12" i="6"/>
  <c r="AXL6" i="6" l="1"/>
  <c r="AXK7" i="6"/>
  <c r="AXJ12" i="6"/>
  <c r="AXI14" i="6"/>
  <c r="AXM6" i="6" l="1"/>
  <c r="AXL7" i="6"/>
  <c r="AXK12" i="6"/>
  <c r="AXJ14" i="6"/>
  <c r="AXN6" i="6" l="1"/>
  <c r="AXM7" i="6"/>
  <c r="AXL12" i="6"/>
  <c r="AXK14" i="6"/>
  <c r="AXO6" i="6" l="1"/>
  <c r="AXN7" i="6"/>
  <c r="AXM12" i="6"/>
  <c r="AXL14" i="6"/>
  <c r="AXP6" i="6" l="1"/>
  <c r="AXO7" i="6"/>
  <c r="AXN12" i="6"/>
  <c r="AXM14" i="6"/>
  <c r="AXP7" i="6" l="1"/>
  <c r="AXQ6" i="6"/>
  <c r="AXO12" i="6"/>
  <c r="AXN14" i="6"/>
  <c r="AXR6" i="6" l="1"/>
  <c r="AXQ7" i="6"/>
  <c r="AXP12" i="6"/>
  <c r="AXO14" i="6"/>
  <c r="AXS6" i="6" l="1"/>
  <c r="AXR7" i="6"/>
  <c r="AXQ12" i="6"/>
  <c r="AXP14" i="6"/>
  <c r="AXT6" i="6" l="1"/>
  <c r="AXS7" i="6"/>
  <c r="AXR12" i="6"/>
  <c r="AXQ14" i="6"/>
  <c r="AXU6" i="6" l="1"/>
  <c r="AXT7" i="6"/>
  <c r="AXR14" i="6"/>
  <c r="AXS12" i="6"/>
  <c r="AXV6" i="6" l="1"/>
  <c r="AXU7" i="6"/>
  <c r="AXT12" i="6"/>
  <c r="AXS14" i="6"/>
  <c r="AXV7" i="6" l="1"/>
  <c r="AXW6" i="6"/>
  <c r="AXT14" i="6"/>
  <c r="AXU12" i="6"/>
  <c r="AXX6" i="6" l="1"/>
  <c r="AXW7" i="6"/>
  <c r="AXV12" i="6"/>
  <c r="AXU14" i="6"/>
  <c r="AXY6" i="6" l="1"/>
  <c r="AXX7" i="6"/>
  <c r="AXW12" i="6"/>
  <c r="AXV14" i="6"/>
  <c r="AXZ6" i="6" l="1"/>
  <c r="AXY7" i="6"/>
  <c r="AXX12" i="6"/>
  <c r="AXW14" i="6"/>
  <c r="AYA6" i="6" l="1"/>
  <c r="AXZ7" i="6"/>
  <c r="AXX14" i="6"/>
  <c r="AXY12" i="6"/>
  <c r="AYB6" i="6" l="1"/>
  <c r="AYA7" i="6"/>
  <c r="AXY14" i="6"/>
  <c r="AXZ12" i="6"/>
  <c r="AYB7" i="6" l="1"/>
  <c r="AYC6" i="6"/>
  <c r="AYA12" i="6"/>
  <c r="AXZ14" i="6"/>
  <c r="AYD6" i="6" l="1"/>
  <c r="AYC7" i="6"/>
  <c r="AYB12" i="6"/>
  <c r="AYA14" i="6"/>
  <c r="AYE6" i="6" l="1"/>
  <c r="AYD7" i="6"/>
  <c r="AYB14" i="6"/>
  <c r="AYC12" i="6"/>
  <c r="AYF6" i="6" l="1"/>
  <c r="AYE7" i="6"/>
  <c r="AYC14" i="6"/>
  <c r="AYD12" i="6"/>
  <c r="AYG6" i="6" l="1"/>
  <c r="AYF7" i="6"/>
  <c r="AYD14" i="6"/>
  <c r="AYE12" i="6"/>
  <c r="AYH6" i="6" l="1"/>
  <c r="AYG7" i="6"/>
  <c r="AYF12" i="6"/>
  <c r="AYE14" i="6"/>
  <c r="AYI6" i="6" l="1"/>
  <c r="AYH7" i="6"/>
  <c r="AYG12" i="6"/>
  <c r="AYF14" i="6"/>
  <c r="AYJ6" i="6" l="1"/>
  <c r="AYI7" i="6"/>
  <c r="AYH12" i="6"/>
  <c r="AYG14" i="6"/>
  <c r="AYK6" i="6" l="1"/>
  <c r="AYJ7" i="6"/>
  <c r="AYI12" i="6"/>
  <c r="AYH14" i="6"/>
  <c r="AYL6" i="6" l="1"/>
  <c r="AYK7" i="6"/>
  <c r="AYI14" i="6"/>
  <c r="AYJ12" i="6"/>
  <c r="AYM6" i="6" l="1"/>
  <c r="AYL7" i="6"/>
  <c r="AYK12" i="6"/>
  <c r="AYJ14" i="6"/>
  <c r="AYN6" i="6" l="1"/>
  <c r="AYM7" i="6"/>
  <c r="AYL12" i="6"/>
  <c r="AYK14" i="6"/>
  <c r="AYO6" i="6" l="1"/>
  <c r="AYN7" i="6"/>
  <c r="AYM12" i="6"/>
  <c r="AYL14" i="6"/>
  <c r="AYP6" i="6" l="1"/>
  <c r="AYO7" i="6"/>
  <c r="AYN12" i="6"/>
  <c r="AYM14" i="6"/>
  <c r="AYQ6" i="6" l="1"/>
  <c r="AYP7" i="6"/>
  <c r="AYO12" i="6"/>
  <c r="AYN14" i="6"/>
  <c r="AYR6" i="6" l="1"/>
  <c r="AYQ7" i="6"/>
  <c r="AYP12" i="6"/>
  <c r="AYO14" i="6"/>
  <c r="AYS6" i="6" l="1"/>
  <c r="AYR7" i="6"/>
  <c r="AYQ12" i="6"/>
  <c r="AYP14" i="6"/>
  <c r="AYT6" i="6" l="1"/>
  <c r="AYS7" i="6"/>
  <c r="AYR12" i="6"/>
  <c r="AYQ14" i="6"/>
  <c r="AYT7" i="6" l="1"/>
  <c r="AYU6" i="6"/>
  <c r="AYS12" i="6"/>
  <c r="AYR14" i="6"/>
  <c r="AYV6" i="6" l="1"/>
  <c r="AYU7" i="6"/>
  <c r="AYT12" i="6"/>
  <c r="AYS14" i="6"/>
  <c r="AYW6" i="6" l="1"/>
  <c r="AYV7" i="6"/>
  <c r="AYU12" i="6"/>
  <c r="AYT14" i="6"/>
  <c r="AYX6" i="6" l="1"/>
  <c r="AYW7" i="6"/>
  <c r="AYV12" i="6"/>
  <c r="AYU14" i="6"/>
  <c r="AYY6" i="6" l="1"/>
  <c r="AYX7" i="6"/>
  <c r="AYW12" i="6"/>
  <c r="AYV14" i="6"/>
  <c r="AYZ6" i="6" l="1"/>
  <c r="AYY7" i="6"/>
  <c r="AYX12" i="6"/>
  <c r="AYW14" i="6"/>
  <c r="AZA6" i="6" l="1"/>
  <c r="AYZ7" i="6"/>
  <c r="AYY12" i="6"/>
  <c r="AYX14" i="6"/>
  <c r="AZB6" i="6" l="1"/>
  <c r="AZA7" i="6"/>
  <c r="AYZ12" i="6"/>
  <c r="AYY14" i="6"/>
  <c r="AZC6" i="6" l="1"/>
  <c r="AZB7" i="6"/>
  <c r="AZA12" i="6"/>
  <c r="AYZ14" i="6"/>
  <c r="AZD6" i="6" l="1"/>
  <c r="AZC7" i="6"/>
  <c r="AZB12" i="6"/>
  <c r="AZA14" i="6"/>
  <c r="AZE6" i="6" l="1"/>
  <c r="AZD7" i="6"/>
  <c r="AZC12" i="6"/>
  <c r="AZB14" i="6"/>
  <c r="AZF6" i="6" l="1"/>
  <c r="AZE7" i="6"/>
  <c r="AZD12" i="6"/>
  <c r="AZC14" i="6"/>
  <c r="AZG6" i="6" l="1"/>
  <c r="AZG7" i="6" s="1"/>
  <c r="AZF7" i="6"/>
  <c r="AZD14" i="6"/>
  <c r="AZE12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<sst xmlns="http://schemas.openxmlformats.org/spreadsheetml/2006/main" count="933" uniqueCount="537">
  <si>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</si>
  <si>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</si>
  <si>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</si>
  <si>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</si>
  <si>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</si>
  <si>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</si>
  <si>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</si>
  <si>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</si>
  <si>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</si>
  <si>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</si>
  <si>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</si>
  <si>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</si>
  <si>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</si>
  <si>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</si>
  <si>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</si>
  <si>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</si>
  <si>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</si>
  <si>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</si>
  <si>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</si>
  <si>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</si>
  <si>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</si>
  <si>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</si>
  <si>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</si>
  <si>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</si>
  <si>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</si>
  <si>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</si>
  <si>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</si>
  <si>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</si>
  <si>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</si>
  <si>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</si>
  <si>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</si>
  <si>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</si>
  <si>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</si>
  <si>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</si>
  <si>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</si>
  <si>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</si>
  <si>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</si>
  <si>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</si>
  <si>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</si>
  <si>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</si>
  <si>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</si>
  <si>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</si>
  <si>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</si>
  <si>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</si>
  <si>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</si>
  <si>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</si>
  <si>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</si>
  <si>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</si>
  <si>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</si>
  <si>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</si>
  <si>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</si>
  <si>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</si>
  <si>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</si>
  <si>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</si>
  <si>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</si>
  <si>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</si>
  <si>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</si>
  <si>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</si>
  <si>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</si>
  <si>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</si>
  <si>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</si>
  <si>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</si>
  <si>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</si>
  <si>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</si>
  <si>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</si>
  <si>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</si>
  <si>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</si>
  <si>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</si>
  <si>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</si>
  <si>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</si>
  <si>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</si>
  <si>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</si>
  <si>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</si>
  <si>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</si>
  <si>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</si>
  <si>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</si>
  <si>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</si>
  <si>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</si>
  <si>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</si>
  <si>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</si>
  <si>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</si>
  <si>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</si>
  <si>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</si>
  <si>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</si>
  <si>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</si>
  <si>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</si>
  <si>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</si>
  <si>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</si>
  <si>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</si>
  <si>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</si>
  <si>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</si>
  <si>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</si>
  <si>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</si>
  <si>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</si>
  <si>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</si>
  <si>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</si>
  <si>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</si>
  <si>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</si>
  <si>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</si>
  <si>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</si>
  <si>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</si>
  <si>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</si>
  <si>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</si>
  <si>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</si>
  <si>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</si>
  <si>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</si>
  <si>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</si>
  <si>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</si>
  <si>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</si>
  <si>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</si>
  <si>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</si>
  <si>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</si>
  <si>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</si>
  <si>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</si>
  <si>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</si>
  <si>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</si>
  <si>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</si>
  <si>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</si>
  <si>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</si>
  <si>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</si>
  <si>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</si>
  <si>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</si>
  <si>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</si>
  <si>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</si>
  <si>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</si>
  <si>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</si>
  <si>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</si>
  <si>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</si>
  <si>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</si>
  <si>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</si>
  <si>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</si>
  <si>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</si>
  <si>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</si>
  <si>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</si>
  <si>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</si>
  <si>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</si>
  <si>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</si>
  <si>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</si>
  <si>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</si>
  <si>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</si>
  <si>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</si>
  <si>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</si>
  <si>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</si>
  <si>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</si>
  <si>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</si>
  <si>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</si>
  <si>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</si>
  <si>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</si>
  <si>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</si>
  <si>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</si>
  <si>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</si>
  <si>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</si>
  <si>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</si>
  <si>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</si>
  <si>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</si>
  <si>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</si>
  <si>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</si>
  <si>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</si>
  <si>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</si>
  <si>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</si>
  <si>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</si>
  <si>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</si>
  <si>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</si>
  <si>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</si>
  <si>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</si>
  <si>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</si>
  <si>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</si>
  <si>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</si>
  <si>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</si>
  <si>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</si>
  <si>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</si>
  <si>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</si>
  <si>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</si>
  <si>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</si>
  <si>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</si>
  <si>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</si>
  <si>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</si>
  <si>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</si>
  <si>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</si>
  <si>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</si>
  <si>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</si>
  <si>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</si>
  <si>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</si>
  <si>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</si>
  <si>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</si>
  <si>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</si>
  <si>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</si>
  <si>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</si>
  <si>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</si>
  <si>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</si>
  <si>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</si>
  <si>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</si>
  <si>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</si>
  <si>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</si>
  <si>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</si>
  <si>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</si>
  <si>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</si>
  <si>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</si>
  <si>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</si>
  <si>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</si>
  <si>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</si>
  <si>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awaiting HO meeting date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</si>
  <si>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</si>
  <si>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</si>
  <si>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</si>
  <si>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</si>
  <si>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</si>
  <si>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</si>
  <si>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</si>
  <si>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</si>
  <si>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</si>
  <si>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</si>
  <si>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</si>
  <si>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</si>
  <si>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</si>
  <si>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</si>
  <si>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</si>
  <si>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</si>
  <si>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</si>
  <si>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</si>
  <si>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</si>
  <si>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</si>
  <si>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</si>
  <si>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</si>
  <si>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</si>
  <si>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</si>
  <si>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</si>
  <si>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</si>
  <si>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</si>
  <si>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</si>
  <si>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</si>
  <si>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</si>
  <si>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</si>
  <si>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</si>
  <si>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</si>
  <si>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</si>
  <si>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</si>
  <si>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</si>
  <si>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</si>
  <si>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</si>
  <si>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</si>
  <si>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</si>
  <si>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</si>
  <si>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</si>
  <si>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</si>
  <si>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</si>
  <si>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</si>
  <si>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</si>
  <si>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</si>
  <si>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</si>
  <si>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</si>
  <si>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</si>
  <si>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</si>
  <si>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</si>
  <si>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</si>
  <si>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</si>
  <si>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</si>
  <si>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</si>
  <si>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</si>
  <si>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</si>
  <si>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</si>
  <si>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</si>
  <si>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</si>
  <si>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</si>
  <si>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</si>
  <si>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</si>
  <si>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</si>
  <si>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</si>
  <si>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</si>
  <si>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</si>
  <si>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</si>
  <si>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</si>
  <si>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</si>
  <si>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</si>
  <si>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</si>
  <si>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</si>
  <si>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</si>
  <si>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</si>
  <si>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</si>
  <si>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</si>
  <si>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</si>
  <si>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</si>
  <si>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</si>
  <si>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</si>
  <si>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</si>
  <si>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</si>
  <si>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</si>
  <si>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</si>
  <si>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</si>
  <si>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</si>
  <si>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</si>
  <si>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</si>
  <si>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</si>
  <si>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</si>
  <si>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</si>
  <si>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</si>
  <si>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</si>
  <si>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</si>
  <si>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</si>
  <si>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</si>
  <si>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</si>
  <si>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</si>
  <si>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</si>
  <si>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</si>
  <si>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Date TBC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</si>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</sst>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8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8" fontId="26" fillId="7" borderId="0" xfId="0" applyNumberFormat="1" applyFont="1" applyFill="1"/>
    <xf numFmtId="168" fontId="27" fillId="7" borderId="0" xfId="0" applyNumberFormat="1" applyFont="1" applyFill="1"/>
    <xf numFmtId="168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8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8" fontId="26" fillId="0" borderId="0" xfId="0" applyNumberFormat="1" applyFont="1"/>
    <xf numFmtId="0" fontId="27" fillId="7" borderId="25" xfId="0" applyFont="1" applyFill="1" applyBorder="1"/>
    <xf numFmtId="168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8" fontId="26" fillId="0" borderId="40" xfId="0" applyNumberFormat="1" applyFont="1" applyBorder="1"/>
    <xf numFmtId="0" fontId="27" fillId="0" borderId="0" xfId="0" applyFont="1"/>
    <xf numFmtId="168" fontId="27" fillId="0" borderId="0" xfId="0" applyNumberFormat="1" applyFont="1"/>
    <xf numFmtId="168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8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8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8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8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8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8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8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8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8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8" fontId="0" fillId="8" borderId="2" xfId="0" applyNumberFormat="1" applyFill="1" applyBorder="1"/>
    <xf numFmtId="168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8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8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8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8" fontId="11" fillId="7" borderId="12" xfId="0" applyNumberFormat="1" applyFont="1" applyFill="1" applyBorder="1"/>
    <xf numFmtId="168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8" fontId="26" fillId="7" borderId="2" xfId="0" applyNumberFormat="1" applyFont="1" applyFill="1" applyBorder="1"/>
    <xf numFmtId="168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8" fontId="41" fillId="7" borderId="0" xfId="0" applyNumberFormat="1" applyFont="1" applyFill="1"/>
    <xf numFmtId="168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8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8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8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8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8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8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8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8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8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8" fontId="6" fillId="11" borderId="27" xfId="3" applyFont="1" applyFill="1" applyBorder="1" applyAlignment="1" applyProtection="1">
      <alignment horizontal="center"/>
      <protection locked="0"/>
    </xf>
    <xf numFmtId="168" fontId="6" fillId="13" borderId="27" xfId="3" applyFont="1" applyFill="1" applyBorder="1" applyAlignment="1" applyProtection="1">
      <alignment horizontal="center"/>
      <protection locked="0"/>
    </xf>
    <xf numFmtId="168" fontId="6" fillId="13" borderId="2" xfId="3" applyFont="1" applyFill="1" applyBorder="1" applyAlignment="1" applyProtection="1">
      <alignment horizontal="center"/>
      <protection locked="0"/>
    </xf>
    <xf numFmtId="168" fontId="6" fillId="13" borderId="33" xfId="3" applyFont="1" applyFill="1" applyBorder="1" applyAlignment="1" applyProtection="1">
      <alignment horizontal="center"/>
      <protection locked="0"/>
    </xf>
    <xf numFmtId="168" fontId="6" fillId="0" borderId="3" xfId="3" applyFont="1" applyBorder="1" applyAlignment="1" applyProtection="1">
      <alignment horizontal="center"/>
      <protection locked="0"/>
    </xf>
    <xf numFmtId="168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8" fontId="6" fillId="11" borderId="2" xfId="3" applyFont="1" applyFill="1" applyBorder="1" applyAlignment="1" applyProtection="1">
      <alignment horizontal="center"/>
      <protection locked="0"/>
    </xf>
    <xf numFmtId="168" fontId="6" fillId="11" borderId="33" xfId="3" applyFont="1" applyFill="1" applyBorder="1" applyAlignment="1" applyProtection="1">
      <alignment horizontal="center"/>
      <protection locked="0"/>
    </xf>
    <xf numFmtId="168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8" fontId="6" fillId="7" borderId="0" xfId="3" applyFont="1" applyFill="1" applyAlignment="1" applyProtection="1">
      <alignment horizontal="center"/>
      <protection locked="0"/>
    </xf>
    <xf numFmtId="168" fontId="7" fillId="0" borderId="38" xfId="3" applyFont="1" applyBorder="1" applyAlignment="1" applyProtection="1">
      <alignment horizontal="center" vertical="center"/>
      <protection locked="0"/>
    </xf>
    <xf numFmtId="168" fontId="6" fillId="2" borderId="29" xfId="3" applyFont="1" applyFill="1" applyBorder="1" applyAlignment="1" applyProtection="1">
      <alignment horizontal="center"/>
      <protection locked="0"/>
    </xf>
    <xf numFmtId="168" fontId="6" fillId="13" borderId="43" xfId="3" applyFont="1" applyFill="1" applyBorder="1" applyAlignment="1" applyProtection="1">
      <alignment horizontal="center"/>
      <protection locked="0"/>
    </xf>
    <xf numFmtId="168" fontId="6" fillId="11" borderId="29" xfId="3" applyFont="1" applyFill="1" applyBorder="1" applyAlignment="1" applyProtection="1">
      <alignment horizontal="center"/>
      <protection locked="0"/>
    </xf>
    <xf numFmtId="168" fontId="45" fillId="0" borderId="16" xfId="3" applyFont="1" applyBorder="1" applyAlignment="1" applyProtection="1">
      <alignment horizontal="left"/>
      <protection locked="0"/>
    </xf>
    <xf numFmtId="168" fontId="6" fillId="10" borderId="35" xfId="3" applyFont="1" applyFill="1" applyBorder="1" applyAlignment="1" applyProtection="1">
      <alignment horizontal="center"/>
      <protection locked="0"/>
    </xf>
    <xf numFmtId="168" fontId="6" fillId="10" borderId="27" xfId="3" applyFont="1" applyFill="1" applyBorder="1" applyAlignment="1" applyProtection="1">
      <alignment horizontal="center"/>
      <protection locked="0"/>
    </xf>
    <xf numFmtId="168" fontId="6" fillId="10" borderId="33" xfId="3" applyFont="1" applyFill="1" applyBorder="1" applyAlignment="1" applyProtection="1">
      <alignment horizontal="center"/>
      <protection locked="0"/>
    </xf>
    <xf numFmtId="168" fontId="6" fillId="2" borderId="0" xfId="3" applyFont="1" applyFill="1" applyAlignment="1" applyProtection="1">
      <alignment horizontal="center"/>
      <protection locked="0"/>
    </xf>
    <xf numFmtId="168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8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8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8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8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8" fontId="7" fillId="16" borderId="23" xfId="0" applyNumberFormat="1" applyFont="1" applyFill="1" applyBorder="1" applyProtection="1">
      <protection locked="0"/>
    </xf>
    <xf numFmtId="168" fontId="7" fillId="16" borderId="23" xfId="3" applyFont="1" applyFill="1" applyBorder="1" applyProtection="1">
      <protection locked="0"/>
    </xf>
    <xf numFmtId="168" fontId="7" fillId="16" borderId="26" xfId="0" applyNumberFormat="1" applyFont="1" applyFill="1" applyBorder="1" applyProtection="1">
      <protection locked="0"/>
    </xf>
    <xf numFmtId="168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8" fontId="7" fillId="17" borderId="23" xfId="0" applyNumberFormat="1" applyFont="1" applyFill="1" applyBorder="1" applyProtection="1">
      <protection locked="0"/>
    </xf>
    <xf numFmtId="168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8" fontId="5" fillId="10" borderId="27" xfId="3" applyFont="1" applyFill="1" applyBorder="1" applyAlignment="1" applyProtection="1">
      <alignment horizontal="center" vertic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9" fontId="11" fillId="0" borderId="65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169" fontId="13" fillId="10" borderId="51" xfId="0" applyNumberFormat="1" applyFont="1" applyFill="1" applyBorder="1" applyAlignment="1" applyProtection="1">
      <alignment horizontal="center"/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68" fontId="6" fillId="10" borderId="79" xfId="3" applyFont="1" applyFill="1" applyBorder="1" applyAlignment="1" applyProtection="1">
      <alignment horizontal="center"/>
      <protection locked="0"/>
    </xf>
    <xf numFmtId="168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9" fontId="5" fillId="10" borderId="81" xfId="0" applyNumberFormat="1" applyFont="1" applyFill="1" applyBorder="1" applyAlignment="1" applyProtection="1">
      <alignment horizontal="center"/>
      <protection locked="0"/>
    </xf>
    <xf numFmtId="169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5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8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1" borderId="52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3" borderId="53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8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14" fontId="29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3" applyFont="1" applyFill="1" applyBorder="1" applyAlignment="1" applyProtection="1">
      <alignment horizontal="center" vertical="center"/>
      <protection locked="0"/>
    </xf>
    <xf numFmtId="168" fontId="5" fillId="13" borderId="18" xfId="3" applyFont="1" applyFill="1" applyBorder="1" applyAlignment="1" applyProtection="1">
      <alignment horizontal="center" vertical="center"/>
      <protection locked="0"/>
    </xf>
    <xf numFmtId="168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9" fontId="7" fillId="10" borderId="86" xfId="0" applyNumberFormat="1" applyFont="1" applyFill="1" applyBorder="1" applyAlignment="1" applyProtection="1">
      <alignment horizontal="center" vertical="center"/>
      <protection locked="0"/>
    </xf>
    <xf numFmtId="169" fontId="7" fillId="10" borderId="87" xfId="0" applyNumberFormat="1" applyFont="1" applyFill="1" applyBorder="1" applyAlignment="1" applyProtection="1">
      <alignment horizontal="center" vertical="center"/>
      <protection locked="0"/>
    </xf>
    <xf numFmtId="169" fontId="7" fillId="10" borderId="88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46056</c:v>
                </c:pt>
                <c:pt idx="1">
                  <c:v>46056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2093815.4480000001</c:v>
                </c:pt>
                <c:pt idx="30">
                  <c:v>2136489.9939999999</c:v>
                </c:pt>
                <c:pt idx="31">
                  <c:v>2136489.9939999999</c:v>
                </c:pt>
                <c:pt idx="32">
                  <c:v>2136489.9939999999</c:v>
                </c:pt>
                <c:pt idx="33">
                  <c:v>2136489.9939999999</c:v>
                </c:pt>
                <c:pt idx="34">
                  <c:v>2136989.9939999999</c:v>
                </c:pt>
                <c:pt idx="35">
                  <c:v>2136989.9939999999</c:v>
                </c:pt>
                <c:pt idx="36">
                  <c:v>2136989.9939999999</c:v>
                </c:pt>
                <c:pt idx="37">
                  <c:v>2170914.54</c:v>
                </c:pt>
                <c:pt idx="38">
                  <c:v>2217962.171875</c:v>
                </c:pt>
                <c:pt idx="39">
                  <c:v>2217962.171875</c:v>
                </c:pt>
                <c:pt idx="40">
                  <c:v>2217962.171875</c:v>
                </c:pt>
                <c:pt idx="41">
                  <c:v>2217962.171875</c:v>
                </c:pt>
                <c:pt idx="42">
                  <c:v>2217962.171875</c:v>
                </c:pt>
                <c:pt idx="43">
                  <c:v>2217962.171875</c:v>
                </c:pt>
                <c:pt idx="44">
                  <c:v>2217962.171875</c:v>
                </c:pt>
                <c:pt idx="45">
                  <c:v>2217962.171875</c:v>
                </c:pt>
                <c:pt idx="46">
                  <c:v>2217962.171875</c:v>
                </c:pt>
                <c:pt idx="47">
                  <c:v>2217962.171875</c:v>
                </c:pt>
                <c:pt idx="48">
                  <c:v>2217962.171875</c:v>
                </c:pt>
                <c:pt idx="49">
                  <c:v>2217962.171875</c:v>
                </c:pt>
                <c:pt idx="50">
                  <c:v>2217962.171875</c:v>
                </c:pt>
                <c:pt idx="51">
                  <c:v>2217962.171875</c:v>
                </c:pt>
                <c:pt idx="52">
                  <c:v>2217962.171875</c:v>
                </c:pt>
                <c:pt idx="53">
                  <c:v>2217962.171875</c:v>
                </c:pt>
                <c:pt idx="54">
                  <c:v>2217962.171875</c:v>
                </c:pt>
                <c:pt idx="55">
                  <c:v>2217962.171875</c:v>
                </c:pt>
                <c:pt idx="56">
                  <c:v>2217962.171875</c:v>
                </c:pt>
                <c:pt idx="57">
                  <c:v>2217962.171875</c:v>
                </c:pt>
                <c:pt idx="58">
                  <c:v>2217962.171875</c:v>
                </c:pt>
                <c:pt idx="59">
                  <c:v>2217962.171875</c:v>
                </c:pt>
                <c:pt idx="60">
                  <c:v>2217962.171875</c:v>
                </c:pt>
                <c:pt idx="61">
                  <c:v>2217962.171875</c:v>
                </c:pt>
                <c:pt idx="62">
                  <c:v>2217962.171875</c:v>
                </c:pt>
                <c:pt idx="63">
                  <c:v>2217962.171875</c:v>
                </c:pt>
                <c:pt idx="64">
                  <c:v>2217962.171875</c:v>
                </c:pt>
                <c:pt idx="65">
                  <c:v>2217962.171875</c:v>
                </c:pt>
                <c:pt idx="66">
                  <c:v>2217962.171875</c:v>
                </c:pt>
                <c:pt idx="67">
                  <c:v>2217962.171875</c:v>
                </c:pt>
                <c:pt idx="68">
                  <c:v>2217962.171875</c:v>
                </c:pt>
                <c:pt idx="69">
                  <c:v>2217962.171875</c:v>
                </c:pt>
                <c:pt idx="70">
                  <c:v>2217962.171875</c:v>
                </c:pt>
                <c:pt idx="71">
                  <c:v>2217962.171875</c:v>
                </c:pt>
                <c:pt idx="72">
                  <c:v>2217962.171875</c:v>
                </c:pt>
                <c:pt idx="73">
                  <c:v>2217962.171875</c:v>
                </c:pt>
                <c:pt idx="74">
                  <c:v>2217962.171875</c:v>
                </c:pt>
                <c:pt idx="75">
                  <c:v>2217962.171875</c:v>
                </c:pt>
                <c:pt idx="76">
                  <c:v>2217962.171875</c:v>
                </c:pt>
                <c:pt idx="77">
                  <c:v>2217962.171875</c:v>
                </c:pt>
                <c:pt idx="78">
                  <c:v>2217962.171875</c:v>
                </c:pt>
                <c:pt idx="79">
                  <c:v>2217962.171875</c:v>
                </c:pt>
                <c:pt idx="80">
                  <c:v>2217962.171875</c:v>
                </c:pt>
                <c:pt idx="81">
                  <c:v>2217962.171875</c:v>
                </c:pt>
                <c:pt idx="82">
                  <c:v>2217962.171875</c:v>
                </c:pt>
                <c:pt idx="83">
                  <c:v>2217962.171875</c:v>
                </c:pt>
                <c:pt idx="84">
                  <c:v>2217962.171875</c:v>
                </c:pt>
                <c:pt idx="85">
                  <c:v>2217962.171875</c:v>
                </c:pt>
                <c:pt idx="86">
                  <c:v>2217962.171875</c:v>
                </c:pt>
                <c:pt idx="87">
                  <c:v>2217962.171875</c:v>
                </c:pt>
                <c:pt idx="88">
                  <c:v>2217962.171875</c:v>
                </c:pt>
                <c:pt idx="89">
                  <c:v>2217962.171875</c:v>
                </c:pt>
                <c:pt idx="90">
                  <c:v>2217962.171875</c:v>
                </c:pt>
                <c:pt idx="91">
                  <c:v>2217962.171875</c:v>
                </c:pt>
                <c:pt idx="92">
                  <c:v>2217962.171875</c:v>
                </c:pt>
                <c:pt idx="93">
                  <c:v>2217962.171875</c:v>
                </c:pt>
                <c:pt idx="94">
                  <c:v>2217962.171875</c:v>
                </c:pt>
                <c:pt idx="95">
                  <c:v>2217962.171875</c:v>
                </c:pt>
                <c:pt idx="96">
                  <c:v>2217962.171875</c:v>
                </c:pt>
                <c:pt idx="97">
                  <c:v>2217962.171875</c:v>
                </c:pt>
                <c:pt idx="98">
                  <c:v>2217962.171875</c:v>
                </c:pt>
                <c:pt idx="99">
                  <c:v>2217962.171875</c:v>
                </c:pt>
                <c:pt idx="100">
                  <c:v>2217962.171875</c:v>
                </c:pt>
                <c:pt idx="101">
                  <c:v>2217962.171875</c:v>
                </c:pt>
                <c:pt idx="102">
                  <c:v>2217962.171875</c:v>
                </c:pt>
                <c:pt idx="103">
                  <c:v>2217962.171875</c:v>
                </c:pt>
                <c:pt idx="104">
                  <c:v>2217962.171875</c:v>
                </c:pt>
                <c:pt idx="105">
                  <c:v>2217962.171875</c:v>
                </c:pt>
                <c:pt idx="106">
                  <c:v>2217962.171875</c:v>
                </c:pt>
                <c:pt idx="107">
                  <c:v>2217962.171875</c:v>
                </c:pt>
                <c:pt idx="108">
                  <c:v>2217962.171875</c:v>
                </c:pt>
                <c:pt idx="109">
                  <c:v>2217962.171875</c:v>
                </c:pt>
                <c:pt idx="110">
                  <c:v>2217962.171875</c:v>
                </c:pt>
                <c:pt idx="111">
                  <c:v>2217962.171875</c:v>
                </c:pt>
                <c:pt idx="112">
                  <c:v>2217962.171875</c:v>
                </c:pt>
                <c:pt idx="113">
                  <c:v>2217962.171875</c:v>
                </c:pt>
                <c:pt idx="114">
                  <c:v>2217962.171875</c:v>
                </c:pt>
                <c:pt idx="115">
                  <c:v>2217962.171875</c:v>
                </c:pt>
                <c:pt idx="116">
                  <c:v>2217962.171875</c:v>
                </c:pt>
                <c:pt idx="117">
                  <c:v>2217962.171875</c:v>
                </c:pt>
                <c:pt idx="118">
                  <c:v>2217962.171875</c:v>
                </c:pt>
                <c:pt idx="119">
                  <c:v>2217962.171875</c:v>
                </c:pt>
                <c:pt idx="120">
                  <c:v>2217962.171875</c:v>
                </c:pt>
                <c:pt idx="121">
                  <c:v>2217962.171875</c:v>
                </c:pt>
                <c:pt idx="122">
                  <c:v>2217962.171875</c:v>
                </c:pt>
                <c:pt idx="123">
                  <c:v>2217962.171875</c:v>
                </c:pt>
                <c:pt idx="124">
                  <c:v>2217962.171875</c:v>
                </c:pt>
                <c:pt idx="125">
                  <c:v>2217962.171875</c:v>
                </c:pt>
                <c:pt idx="126">
                  <c:v>2217962.171875</c:v>
                </c:pt>
                <c:pt idx="127">
                  <c:v>2217962.171875</c:v>
                </c:pt>
                <c:pt idx="128">
                  <c:v>2217962.171875</c:v>
                </c:pt>
                <c:pt idx="129">
                  <c:v>2217962.171875</c:v>
                </c:pt>
                <c:pt idx="130">
                  <c:v>2217962.171875</c:v>
                </c:pt>
                <c:pt idx="131">
                  <c:v>2217962.171875</c:v>
                </c:pt>
                <c:pt idx="132">
                  <c:v>2217962.171875</c:v>
                </c:pt>
                <c:pt idx="133">
                  <c:v>2217962.171875</c:v>
                </c:pt>
                <c:pt idx="134">
                  <c:v>2217962.171875</c:v>
                </c:pt>
                <c:pt idx="135">
                  <c:v>2217962.171875</c:v>
                </c:pt>
                <c:pt idx="136">
                  <c:v>2217962.171875</c:v>
                </c:pt>
                <c:pt idx="137">
                  <c:v>2217962.171875</c:v>
                </c:pt>
                <c:pt idx="138">
                  <c:v>2217962.171875</c:v>
                </c:pt>
                <c:pt idx="139">
                  <c:v>2217962.171875</c:v>
                </c:pt>
                <c:pt idx="140">
                  <c:v>2217962.171875</c:v>
                </c:pt>
                <c:pt idx="141">
                  <c:v>2217962.171875</c:v>
                </c:pt>
                <c:pt idx="142">
                  <c:v>2217962.171875</c:v>
                </c:pt>
                <c:pt idx="143">
                  <c:v>2217962.171875</c:v>
                </c:pt>
                <c:pt idx="144">
                  <c:v>2217962.171875</c:v>
                </c:pt>
                <c:pt idx="145">
                  <c:v>2217962.171875</c:v>
                </c:pt>
                <c:pt idx="146">
                  <c:v>2217962.171875</c:v>
                </c:pt>
                <c:pt idx="147">
                  <c:v>2217962.171875</c:v>
                </c:pt>
                <c:pt idx="148">
                  <c:v>2217962.171875</c:v>
                </c:pt>
                <c:pt idx="149">
                  <c:v>2217962.171875</c:v>
                </c:pt>
                <c:pt idx="150">
                  <c:v>2217962.171875</c:v>
                </c:pt>
                <c:pt idx="151">
                  <c:v>2217962.171875</c:v>
                </c:pt>
                <c:pt idx="152">
                  <c:v>2217962.171875</c:v>
                </c:pt>
                <c:pt idx="153">
                  <c:v>2217962.171875</c:v>
                </c:pt>
                <c:pt idx="154">
                  <c:v>2217962.171875</c:v>
                </c:pt>
                <c:pt idx="155">
                  <c:v>2217962.171875</c:v>
                </c:pt>
                <c:pt idx="156">
                  <c:v>2217962.171875</c:v>
                </c:pt>
                <c:pt idx="157">
                  <c:v>2217962.171875</c:v>
                </c:pt>
                <c:pt idx="158">
                  <c:v>2217962.171875</c:v>
                </c:pt>
                <c:pt idx="159">
                  <c:v>2217962.171875</c:v>
                </c:pt>
                <c:pt idx="160">
                  <c:v>2217962.171875</c:v>
                </c:pt>
                <c:pt idx="161">
                  <c:v>2217962.171875</c:v>
                </c:pt>
                <c:pt idx="162">
                  <c:v>2217962.171875</c:v>
                </c:pt>
                <c:pt idx="163">
                  <c:v>2217962.171875</c:v>
                </c:pt>
                <c:pt idx="164">
                  <c:v>2217962.171875</c:v>
                </c:pt>
                <c:pt idx="165">
                  <c:v>2217962.171875</c:v>
                </c:pt>
                <c:pt idx="166">
                  <c:v>2217962.171875</c:v>
                </c:pt>
                <c:pt idx="167">
                  <c:v>2217962.171875</c:v>
                </c:pt>
                <c:pt idx="168">
                  <c:v>2217962.171875</c:v>
                </c:pt>
                <c:pt idx="169">
                  <c:v>2217962.171875</c:v>
                </c:pt>
                <c:pt idx="170">
                  <c:v>2217962.171875</c:v>
                </c:pt>
                <c:pt idx="171">
                  <c:v>2217962.171875</c:v>
                </c:pt>
                <c:pt idx="172">
                  <c:v>2217962.171875</c:v>
                </c:pt>
                <c:pt idx="173">
                  <c:v>2217962.171875</c:v>
                </c:pt>
                <c:pt idx="174">
                  <c:v>2217962.171875</c:v>
                </c:pt>
                <c:pt idx="175">
                  <c:v>2217962.171875</c:v>
                </c:pt>
                <c:pt idx="176">
                  <c:v>2217962.171875</c:v>
                </c:pt>
                <c:pt idx="177">
                  <c:v>2217962.171875</c:v>
                </c:pt>
                <c:pt idx="178">
                  <c:v>2217962.171875</c:v>
                </c:pt>
                <c:pt idx="179">
                  <c:v>2217962.171875</c:v>
                </c:pt>
                <c:pt idx="180">
                  <c:v>2217962.171875</c:v>
                </c:pt>
                <c:pt idx="181">
                  <c:v>2217962.171875</c:v>
                </c:pt>
                <c:pt idx="182">
                  <c:v>2217962.171875</c:v>
                </c:pt>
                <c:pt idx="183">
                  <c:v>2217962.171875</c:v>
                </c:pt>
                <c:pt idx="184">
                  <c:v>2217962.171875</c:v>
                </c:pt>
                <c:pt idx="185">
                  <c:v>2217962.171875</c:v>
                </c:pt>
                <c:pt idx="186">
                  <c:v>2217962.171875</c:v>
                </c:pt>
                <c:pt idx="187">
                  <c:v>2217962.171875</c:v>
                </c:pt>
                <c:pt idx="188">
                  <c:v>2217962.171875</c:v>
                </c:pt>
                <c:pt idx="189">
                  <c:v>2217962.171875</c:v>
                </c:pt>
                <c:pt idx="190">
                  <c:v>2217962.171875</c:v>
                </c:pt>
                <c:pt idx="191">
                  <c:v>2217962.171875</c:v>
                </c:pt>
                <c:pt idx="192">
                  <c:v>2217962.171875</c:v>
                </c:pt>
                <c:pt idx="193">
                  <c:v>2217962.171875</c:v>
                </c:pt>
                <c:pt idx="194">
                  <c:v>2217962.171875</c:v>
                </c:pt>
                <c:pt idx="195">
                  <c:v>2217962.171875</c:v>
                </c:pt>
                <c:pt idx="196">
                  <c:v>2217962.171875</c:v>
                </c:pt>
                <c:pt idx="197">
                  <c:v>2217962.171875</c:v>
                </c:pt>
                <c:pt idx="198">
                  <c:v>2217962.171875</c:v>
                </c:pt>
                <c:pt idx="199">
                  <c:v>2217962.171875</c:v>
                </c:pt>
                <c:pt idx="200">
                  <c:v>2217962.171875</c:v>
                </c:pt>
                <c:pt idx="201">
                  <c:v>2217962.171875</c:v>
                </c:pt>
                <c:pt idx="202">
                  <c:v>2217962.171875</c:v>
                </c:pt>
                <c:pt idx="203">
                  <c:v>2217962.171875</c:v>
                </c:pt>
                <c:pt idx="204">
                  <c:v>2217962.171875</c:v>
                </c:pt>
                <c:pt idx="205">
                  <c:v>2217962.171875</c:v>
                </c:pt>
                <c:pt idx="206">
                  <c:v>2217962.171875</c:v>
                </c:pt>
                <c:pt idx="207">
                  <c:v>2217962.171875</c:v>
                </c:pt>
                <c:pt idx="208">
                  <c:v>2217962.171875</c:v>
                </c:pt>
                <c:pt idx="209">
                  <c:v>2217962.171875</c:v>
                </c:pt>
                <c:pt idx="210">
                  <c:v>2217962.171875</c:v>
                </c:pt>
                <c:pt idx="211">
                  <c:v>2217962.171875</c:v>
                </c:pt>
                <c:pt idx="212">
                  <c:v>2217962.171875</c:v>
                </c:pt>
                <c:pt idx="213">
                  <c:v>2217962.171875</c:v>
                </c:pt>
                <c:pt idx="214">
                  <c:v>2217962.171875</c:v>
                </c:pt>
                <c:pt idx="215">
                  <c:v>2217962.171875</c:v>
                </c:pt>
                <c:pt idx="216">
                  <c:v>2217962.171875</c:v>
                </c:pt>
                <c:pt idx="217">
                  <c:v>2217962.171875</c:v>
                </c:pt>
                <c:pt idx="218">
                  <c:v>2217962.171875</c:v>
                </c:pt>
                <c:pt idx="219">
                  <c:v>2217962.171875</c:v>
                </c:pt>
                <c:pt idx="220">
                  <c:v>2217962.171875</c:v>
                </c:pt>
                <c:pt idx="221">
                  <c:v>2217962.171875</c:v>
                </c:pt>
                <c:pt idx="222">
                  <c:v>2217962.171875</c:v>
                </c:pt>
                <c:pt idx="223">
                  <c:v>2217962.171875</c:v>
                </c:pt>
                <c:pt idx="224">
                  <c:v>2217962.171875</c:v>
                </c:pt>
                <c:pt idx="225">
                  <c:v>2217962.171875</c:v>
                </c:pt>
                <c:pt idx="226">
                  <c:v>2217962.171875</c:v>
                </c:pt>
                <c:pt idx="227">
                  <c:v>2217962.171875</c:v>
                </c:pt>
                <c:pt idx="228">
                  <c:v>2217962.171875</c:v>
                </c:pt>
                <c:pt idx="229">
                  <c:v>2217962.171875</c:v>
                </c:pt>
                <c:pt idx="230">
                  <c:v>2217962.171875</c:v>
                </c:pt>
                <c:pt idx="231">
                  <c:v>2217962.171875</c:v>
                </c:pt>
                <c:pt idx="232">
                  <c:v>2217962.171875</c:v>
                </c:pt>
                <c:pt idx="233">
                  <c:v>2217962.171875</c:v>
                </c:pt>
                <c:pt idx="234">
                  <c:v>2217962.171875</c:v>
                </c:pt>
                <c:pt idx="235">
                  <c:v>2217962.171875</c:v>
                </c:pt>
                <c:pt idx="236">
                  <c:v>2217962.171875</c:v>
                </c:pt>
                <c:pt idx="237">
                  <c:v>2217962.171875</c:v>
                </c:pt>
                <c:pt idx="238">
                  <c:v>2217962.171875</c:v>
                </c:pt>
                <c:pt idx="239">
                  <c:v>2217962.171875</c:v>
                </c:pt>
                <c:pt idx="240">
                  <c:v>2217962.171875</c:v>
                </c:pt>
                <c:pt idx="241">
                  <c:v>2217962.171875</c:v>
                </c:pt>
                <c:pt idx="242">
                  <c:v>2217962.171875</c:v>
                </c:pt>
                <c:pt idx="243">
                  <c:v>2217962.171875</c:v>
                </c:pt>
                <c:pt idx="244">
                  <c:v>2217962.171875</c:v>
                </c:pt>
                <c:pt idx="245">
                  <c:v>2217962.171875</c:v>
                </c:pt>
                <c:pt idx="246">
                  <c:v>2217962.171875</c:v>
                </c:pt>
                <c:pt idx="247">
                  <c:v>2217962.171875</c:v>
                </c:pt>
                <c:pt idx="248">
                  <c:v>2217962.171875</c:v>
                </c:pt>
                <c:pt idx="249">
                  <c:v>2217962.171875</c:v>
                </c:pt>
                <c:pt idx="250">
                  <c:v>2217962.171875</c:v>
                </c:pt>
                <c:pt idx="251">
                  <c:v>2217962.171875</c:v>
                </c:pt>
                <c:pt idx="252">
                  <c:v>2217962.171875</c:v>
                </c:pt>
                <c:pt idx="253">
                  <c:v>2217962.171875</c:v>
                </c:pt>
                <c:pt idx="254">
                  <c:v>2217962.171875</c:v>
                </c:pt>
                <c:pt idx="255">
                  <c:v>2217962.171875</c:v>
                </c:pt>
                <c:pt idx="256">
                  <c:v>2217962.171875</c:v>
                </c:pt>
                <c:pt idx="257">
                  <c:v>2217962.171875</c:v>
                </c:pt>
                <c:pt idx="258">
                  <c:v>2217962.171875</c:v>
                </c:pt>
                <c:pt idx="259">
                  <c:v>2217962.171875</c:v>
                </c:pt>
                <c:pt idx="260">
                  <c:v>2217962.171875</c:v>
                </c:pt>
                <c:pt idx="261">
                  <c:v>2217962.171875</c:v>
                </c:pt>
                <c:pt idx="262">
                  <c:v>2217962.171875</c:v>
                </c:pt>
                <c:pt idx="263">
                  <c:v>2217962.171875</c:v>
                </c:pt>
                <c:pt idx="264">
                  <c:v>2217962.171875</c:v>
                </c:pt>
                <c:pt idx="265">
                  <c:v>2217962.171875</c:v>
                </c:pt>
                <c:pt idx="266">
                  <c:v>2217962.171875</c:v>
                </c:pt>
                <c:pt idx="267">
                  <c:v>2217962.171875</c:v>
                </c:pt>
                <c:pt idx="268">
                  <c:v>2217962.171875</c:v>
                </c:pt>
                <c:pt idx="269">
                  <c:v>2217962.171875</c:v>
                </c:pt>
                <c:pt idx="270">
                  <c:v>2217962.171875</c:v>
                </c:pt>
                <c:pt idx="271">
                  <c:v>2217962.171875</c:v>
                </c:pt>
                <c:pt idx="272">
                  <c:v>2217962.171875</c:v>
                </c:pt>
                <c:pt idx="273">
                  <c:v>2217962.171875</c:v>
                </c:pt>
                <c:pt idx="274">
                  <c:v>2217962.171875</c:v>
                </c:pt>
                <c:pt idx="275">
                  <c:v>2217962.171875</c:v>
                </c:pt>
                <c:pt idx="276">
                  <c:v>2217962.171875</c:v>
                </c:pt>
                <c:pt idx="277">
                  <c:v>2217962.171875</c:v>
                </c:pt>
                <c:pt idx="278">
                  <c:v>2217962.171875</c:v>
                </c:pt>
                <c:pt idx="279">
                  <c:v>2217962.171875</c:v>
                </c:pt>
                <c:pt idx="280">
                  <c:v>2217962.171875</c:v>
                </c:pt>
                <c:pt idx="281">
                  <c:v>2217962.171875</c:v>
                </c:pt>
                <c:pt idx="282">
                  <c:v>2217962.171875</c:v>
                </c:pt>
                <c:pt idx="283">
                  <c:v>2217962.171875</c:v>
                </c:pt>
                <c:pt idx="284">
                  <c:v>2217962.171875</c:v>
                </c:pt>
                <c:pt idx="285">
                  <c:v>2217962.171875</c:v>
                </c:pt>
                <c:pt idx="286">
                  <c:v>2217962.171875</c:v>
                </c:pt>
                <c:pt idx="287">
                  <c:v>2217962.171875</c:v>
                </c:pt>
                <c:pt idx="288">
                  <c:v>2217962.171875</c:v>
                </c:pt>
                <c:pt idx="289">
                  <c:v>2217962.171875</c:v>
                </c:pt>
                <c:pt idx="290">
                  <c:v>2217962.171875</c:v>
                </c:pt>
                <c:pt idx="291">
                  <c:v>2217962.171875</c:v>
                </c:pt>
                <c:pt idx="292">
                  <c:v>2217962.171875</c:v>
                </c:pt>
                <c:pt idx="293">
                  <c:v>2217962.171875</c:v>
                </c:pt>
                <c:pt idx="294">
                  <c:v>2217962.171875</c:v>
                </c:pt>
                <c:pt idx="295">
                  <c:v>2217962.171875</c:v>
                </c:pt>
                <c:pt idx="296">
                  <c:v>2217962.171875</c:v>
                </c:pt>
                <c:pt idx="297">
                  <c:v>2217962.171875</c:v>
                </c:pt>
                <c:pt idx="298">
                  <c:v>2217962.171875</c:v>
                </c:pt>
                <c:pt idx="299">
                  <c:v>2217962.171875</c:v>
                </c:pt>
                <c:pt idx="300">
                  <c:v>2217962.171875</c:v>
                </c:pt>
                <c:pt idx="301">
                  <c:v>2217962.171875</c:v>
                </c:pt>
                <c:pt idx="302">
                  <c:v>2217962.171875</c:v>
                </c:pt>
                <c:pt idx="303">
                  <c:v>2217962.171875</c:v>
                </c:pt>
                <c:pt idx="304">
                  <c:v>2217962.171875</c:v>
                </c:pt>
                <c:pt idx="305">
                  <c:v>2217962.171875</c:v>
                </c:pt>
                <c:pt idx="306">
                  <c:v>2217962.171875</c:v>
                </c:pt>
                <c:pt idx="307">
                  <c:v>2217962.171875</c:v>
                </c:pt>
                <c:pt idx="308">
                  <c:v>2217962.171875</c:v>
                </c:pt>
                <c:pt idx="309">
                  <c:v>2217962.171875</c:v>
                </c:pt>
                <c:pt idx="310">
                  <c:v>2217962.171875</c:v>
                </c:pt>
                <c:pt idx="311">
                  <c:v>2217962.171875</c:v>
                </c:pt>
                <c:pt idx="312">
                  <c:v>2217962.171875</c:v>
                </c:pt>
                <c:pt idx="313">
                  <c:v>2217962.171875</c:v>
                </c:pt>
                <c:pt idx="314">
                  <c:v>2217962.171875</c:v>
                </c:pt>
                <c:pt idx="315">
                  <c:v>2217962.171875</c:v>
                </c:pt>
                <c:pt idx="316">
                  <c:v>2217962.171875</c:v>
                </c:pt>
                <c:pt idx="317">
                  <c:v>2217962.171875</c:v>
                </c:pt>
                <c:pt idx="318">
                  <c:v>2217962.171875</c:v>
                </c:pt>
                <c:pt idx="319">
                  <c:v>2217962.171875</c:v>
                </c:pt>
                <c:pt idx="320">
                  <c:v>2217962.171875</c:v>
                </c:pt>
                <c:pt idx="321">
                  <c:v>2217962.171875</c:v>
                </c:pt>
                <c:pt idx="322">
                  <c:v>2217962.171875</c:v>
                </c:pt>
                <c:pt idx="323">
                  <c:v>2217962.171875</c:v>
                </c:pt>
                <c:pt idx="324">
                  <c:v>2217962.171875</c:v>
                </c:pt>
                <c:pt idx="325">
                  <c:v>2217962.171875</c:v>
                </c:pt>
                <c:pt idx="326">
                  <c:v>2217962.171875</c:v>
                </c:pt>
                <c:pt idx="327">
                  <c:v>2217962.171875</c:v>
                </c:pt>
                <c:pt idx="328">
                  <c:v>2217962.171875</c:v>
                </c:pt>
                <c:pt idx="329">
                  <c:v>2217962.171875</c:v>
                </c:pt>
                <c:pt idx="330">
                  <c:v>2217962.171875</c:v>
                </c:pt>
                <c:pt idx="331">
                  <c:v>2217962.171875</c:v>
                </c:pt>
                <c:pt idx="332">
                  <c:v>2217962.171875</c:v>
                </c:pt>
                <c:pt idx="333">
                  <c:v>2217962.171875</c:v>
                </c:pt>
                <c:pt idx="334">
                  <c:v>2217962.171875</c:v>
                </c:pt>
                <c:pt idx="335">
                  <c:v>2217962.171875</c:v>
                </c:pt>
                <c:pt idx="336">
                  <c:v>2217962.171875</c:v>
                </c:pt>
                <c:pt idx="337">
                  <c:v>2217962.171875</c:v>
                </c:pt>
                <c:pt idx="338">
                  <c:v>2217962.171875</c:v>
                </c:pt>
                <c:pt idx="339">
                  <c:v>2217962.171875</c:v>
                </c:pt>
                <c:pt idx="340">
                  <c:v>2217962.171875</c:v>
                </c:pt>
                <c:pt idx="341">
                  <c:v>2217962.171875</c:v>
                </c:pt>
                <c:pt idx="342">
                  <c:v>2217962.171875</c:v>
                </c:pt>
                <c:pt idx="343">
                  <c:v>2217962.171875</c:v>
                </c:pt>
                <c:pt idx="344">
                  <c:v>2217962.171875</c:v>
                </c:pt>
                <c:pt idx="345">
                  <c:v>2217962.171875</c:v>
                </c:pt>
                <c:pt idx="346">
                  <c:v>2217962.171875</c:v>
                </c:pt>
                <c:pt idx="347">
                  <c:v>2217962.171875</c:v>
                </c:pt>
                <c:pt idx="348">
                  <c:v>2217962.171875</c:v>
                </c:pt>
                <c:pt idx="349">
                  <c:v>2217962.171875</c:v>
                </c:pt>
                <c:pt idx="350">
                  <c:v>2217962.171875</c:v>
                </c:pt>
                <c:pt idx="351">
                  <c:v>2217962.171875</c:v>
                </c:pt>
                <c:pt idx="352">
                  <c:v>2217962.171875</c:v>
                </c:pt>
                <c:pt idx="353">
                  <c:v>2217962.171875</c:v>
                </c:pt>
                <c:pt idx="354">
                  <c:v>2217962.171875</c:v>
                </c:pt>
                <c:pt idx="355">
                  <c:v>2217962.171875</c:v>
                </c:pt>
                <c:pt idx="356">
                  <c:v>2217962.171875</c:v>
                </c:pt>
                <c:pt idx="357">
                  <c:v>2217962.171875</c:v>
                </c:pt>
                <c:pt idx="358">
                  <c:v>2217962.171875</c:v>
                </c:pt>
                <c:pt idx="359">
                  <c:v>2217962.171875</c:v>
                </c:pt>
                <c:pt idx="360">
                  <c:v>2217962.171875</c:v>
                </c:pt>
                <c:pt idx="361">
                  <c:v>2217962.171875</c:v>
                </c:pt>
                <c:pt idx="362">
                  <c:v>2217962.171875</c:v>
                </c:pt>
                <c:pt idx="363">
                  <c:v>2217962.171875</c:v>
                </c:pt>
                <c:pt idx="364">
                  <c:v>2217962.171875</c:v>
                </c:pt>
                <c:pt idx="365">
                  <c:v>2217962.171875</c:v>
                </c:pt>
                <c:pt idx="366">
                  <c:v>2217962.171875</c:v>
                </c:pt>
                <c:pt idx="367">
                  <c:v>2217962.171875</c:v>
                </c:pt>
                <c:pt idx="368">
                  <c:v>2217962.171875</c:v>
                </c:pt>
                <c:pt idx="369">
                  <c:v>2217962.171875</c:v>
                </c:pt>
                <c:pt idx="370">
                  <c:v>2217962.171875</c:v>
                </c:pt>
                <c:pt idx="371">
                  <c:v>2217962.171875</c:v>
                </c:pt>
                <c:pt idx="372">
                  <c:v>2217962.171875</c:v>
                </c:pt>
                <c:pt idx="373">
                  <c:v>2217962.171875</c:v>
                </c:pt>
                <c:pt idx="374">
                  <c:v>2217962.171875</c:v>
                </c:pt>
                <c:pt idx="375">
                  <c:v>2217962.171875</c:v>
                </c:pt>
                <c:pt idx="376">
                  <c:v>2217962.171875</c:v>
                </c:pt>
                <c:pt idx="377">
                  <c:v>2217962.171875</c:v>
                </c:pt>
                <c:pt idx="378">
                  <c:v>2217962.171875</c:v>
                </c:pt>
                <c:pt idx="379">
                  <c:v>2217962.171875</c:v>
                </c:pt>
                <c:pt idx="380">
                  <c:v>2217962.171875</c:v>
                </c:pt>
                <c:pt idx="381">
                  <c:v>2217962.171875</c:v>
                </c:pt>
                <c:pt idx="382">
                  <c:v>2217962.171875</c:v>
                </c:pt>
                <c:pt idx="383">
                  <c:v>2217962.171875</c:v>
                </c:pt>
                <c:pt idx="384">
                  <c:v>2217962.171875</c:v>
                </c:pt>
                <c:pt idx="385">
                  <c:v>2217962.171875</c:v>
                </c:pt>
                <c:pt idx="386">
                  <c:v>2217962.171875</c:v>
                </c:pt>
                <c:pt idx="387">
                  <c:v>2217962.171875</c:v>
                </c:pt>
                <c:pt idx="388">
                  <c:v>2217962.171875</c:v>
                </c:pt>
                <c:pt idx="389">
                  <c:v>2217962.171875</c:v>
                </c:pt>
                <c:pt idx="390">
                  <c:v>2217962.171875</c:v>
                </c:pt>
                <c:pt idx="391">
                  <c:v>2217962.171875</c:v>
                </c:pt>
                <c:pt idx="392">
                  <c:v>2217962.171875</c:v>
                </c:pt>
                <c:pt idx="393">
                  <c:v>2217962.171875</c:v>
                </c:pt>
                <c:pt idx="394">
                  <c:v>2217962.171875</c:v>
                </c:pt>
                <c:pt idx="395">
                  <c:v>2217962.171875</c:v>
                </c:pt>
                <c:pt idx="396">
                  <c:v>2217962.171875</c:v>
                </c:pt>
                <c:pt idx="397">
                  <c:v>2217962.171875</c:v>
                </c:pt>
                <c:pt idx="398">
                  <c:v>2217962.171875</c:v>
                </c:pt>
                <c:pt idx="399">
                  <c:v>2217962.171875</c:v>
                </c:pt>
                <c:pt idx="400">
                  <c:v>2217962.171875</c:v>
                </c:pt>
                <c:pt idx="401">
                  <c:v>2217962.171875</c:v>
                </c:pt>
                <c:pt idx="402">
                  <c:v>2217962.171875</c:v>
                </c:pt>
                <c:pt idx="403">
                  <c:v>2217962.171875</c:v>
                </c:pt>
                <c:pt idx="404">
                  <c:v>2217962.171875</c:v>
                </c:pt>
                <c:pt idx="405">
                  <c:v>2217962.171875</c:v>
                </c:pt>
                <c:pt idx="406">
                  <c:v>2217962.171875</c:v>
                </c:pt>
                <c:pt idx="407">
                  <c:v>2217962.171875</c:v>
                </c:pt>
                <c:pt idx="408">
                  <c:v>2217962.171875</c:v>
                </c:pt>
                <c:pt idx="409">
                  <c:v>2217962.171875</c:v>
                </c:pt>
                <c:pt idx="410">
                  <c:v>2217962.171875</c:v>
                </c:pt>
                <c:pt idx="411">
                  <c:v>2217962.171875</c:v>
                </c:pt>
                <c:pt idx="412">
                  <c:v>2217962.171875</c:v>
                </c:pt>
                <c:pt idx="413">
                  <c:v>2217962.171875</c:v>
                </c:pt>
                <c:pt idx="414">
                  <c:v>2217962.171875</c:v>
                </c:pt>
                <c:pt idx="415">
                  <c:v>2217962.171875</c:v>
                </c:pt>
                <c:pt idx="416">
                  <c:v>2217962.171875</c:v>
                </c:pt>
                <c:pt idx="417">
                  <c:v>2217962.171875</c:v>
                </c:pt>
                <c:pt idx="418">
                  <c:v>2217962.171875</c:v>
                </c:pt>
                <c:pt idx="419">
                  <c:v>2217962.171875</c:v>
                </c:pt>
                <c:pt idx="420">
                  <c:v>2217962.171875</c:v>
                </c:pt>
                <c:pt idx="421">
                  <c:v>2217962.171875</c:v>
                </c:pt>
                <c:pt idx="422">
                  <c:v>2217962.171875</c:v>
                </c:pt>
                <c:pt idx="423">
                  <c:v>2217962.171875</c:v>
                </c:pt>
                <c:pt idx="424">
                  <c:v>2217962.171875</c:v>
                </c:pt>
                <c:pt idx="425">
                  <c:v>2217962.171875</c:v>
                </c:pt>
                <c:pt idx="426">
                  <c:v>2217962.171875</c:v>
                </c:pt>
                <c:pt idx="427">
                  <c:v>2217962.171875</c:v>
                </c:pt>
                <c:pt idx="428">
                  <c:v>2217962.171875</c:v>
                </c:pt>
                <c:pt idx="429">
                  <c:v>2217962.171875</c:v>
                </c:pt>
                <c:pt idx="430">
                  <c:v>2217962.171875</c:v>
                </c:pt>
                <c:pt idx="431">
                  <c:v>2217962.171875</c:v>
                </c:pt>
                <c:pt idx="432">
                  <c:v>2217962.171875</c:v>
                </c:pt>
                <c:pt idx="433">
                  <c:v>2217962.171875</c:v>
                </c:pt>
                <c:pt idx="434">
                  <c:v>2217962.171875</c:v>
                </c:pt>
                <c:pt idx="435">
                  <c:v>2217962.171875</c:v>
                </c:pt>
                <c:pt idx="436">
                  <c:v>2217962.171875</c:v>
                </c:pt>
                <c:pt idx="437">
                  <c:v>2217962.171875</c:v>
                </c:pt>
                <c:pt idx="438">
                  <c:v>2217962.171875</c:v>
                </c:pt>
                <c:pt idx="439">
                  <c:v>2217962.171875</c:v>
                </c:pt>
                <c:pt idx="440">
                  <c:v>2217962.171875</c:v>
                </c:pt>
                <c:pt idx="441">
                  <c:v>2217962.171875</c:v>
                </c:pt>
                <c:pt idx="442">
                  <c:v>2217962.171875</c:v>
                </c:pt>
                <c:pt idx="443">
                  <c:v>2217962.171875</c:v>
                </c:pt>
                <c:pt idx="444">
                  <c:v>2217962.171875</c:v>
                </c:pt>
                <c:pt idx="445">
                  <c:v>2217962.171875</c:v>
                </c:pt>
                <c:pt idx="446">
                  <c:v>2217962.171875</c:v>
                </c:pt>
                <c:pt idx="447">
                  <c:v>2217962.171875</c:v>
                </c:pt>
                <c:pt idx="448">
                  <c:v>2217962.171875</c:v>
                </c:pt>
                <c:pt idx="449">
                  <c:v>2217962.171875</c:v>
                </c:pt>
                <c:pt idx="450">
                  <c:v>2217962.171875</c:v>
                </c:pt>
                <c:pt idx="451">
                  <c:v>2217962.171875</c:v>
                </c:pt>
                <c:pt idx="452">
                  <c:v>2217962.171875</c:v>
                </c:pt>
                <c:pt idx="453">
                  <c:v>2217962.171875</c:v>
                </c:pt>
                <c:pt idx="454">
                  <c:v>2217962.171875</c:v>
                </c:pt>
                <c:pt idx="455">
                  <c:v>2217962.171875</c:v>
                </c:pt>
                <c:pt idx="456">
                  <c:v>2217962.171875</c:v>
                </c:pt>
                <c:pt idx="457">
                  <c:v>2217962.171875</c:v>
                </c:pt>
                <c:pt idx="458">
                  <c:v>2217962.171875</c:v>
                </c:pt>
                <c:pt idx="459">
                  <c:v>2217962.171875</c:v>
                </c:pt>
                <c:pt idx="460">
                  <c:v>2217962.171875</c:v>
                </c:pt>
                <c:pt idx="461">
                  <c:v>2217962.171875</c:v>
                </c:pt>
                <c:pt idx="462">
                  <c:v>2217962.171875</c:v>
                </c:pt>
                <c:pt idx="463">
                  <c:v>2217962.171875</c:v>
                </c:pt>
                <c:pt idx="464">
                  <c:v>2217962.171875</c:v>
                </c:pt>
                <c:pt idx="465">
                  <c:v>2217962.171875</c:v>
                </c:pt>
                <c:pt idx="466">
                  <c:v>2217962.171875</c:v>
                </c:pt>
                <c:pt idx="467">
                  <c:v>2217962.171875</c:v>
                </c:pt>
                <c:pt idx="468">
                  <c:v>2217962.171875</c:v>
                </c:pt>
                <c:pt idx="469">
                  <c:v>2217962.171875</c:v>
                </c:pt>
                <c:pt idx="470">
                  <c:v>2217962.171875</c:v>
                </c:pt>
                <c:pt idx="471">
                  <c:v>2217962.171875</c:v>
                </c:pt>
                <c:pt idx="472">
                  <c:v>2217962.171875</c:v>
                </c:pt>
                <c:pt idx="473">
                  <c:v>2217962.171875</c:v>
                </c:pt>
                <c:pt idx="474">
                  <c:v>2217962.171875</c:v>
                </c:pt>
                <c:pt idx="475">
                  <c:v>2217962.171875</c:v>
                </c:pt>
                <c:pt idx="476">
                  <c:v>2217962.171875</c:v>
                </c:pt>
                <c:pt idx="477">
                  <c:v>2217962.171875</c:v>
                </c:pt>
                <c:pt idx="478">
                  <c:v>2217962.171875</c:v>
                </c:pt>
                <c:pt idx="479">
                  <c:v>2217962.171875</c:v>
                </c:pt>
                <c:pt idx="480">
                  <c:v>2217962.171875</c:v>
                </c:pt>
                <c:pt idx="481">
                  <c:v>2217962.171875</c:v>
                </c:pt>
                <c:pt idx="482">
                  <c:v>2217962.171875</c:v>
                </c:pt>
                <c:pt idx="483">
                  <c:v>2217962.171875</c:v>
                </c:pt>
                <c:pt idx="484">
                  <c:v>2217962.171875</c:v>
                </c:pt>
                <c:pt idx="485">
                  <c:v>2217962.171875</c:v>
                </c:pt>
                <c:pt idx="486">
                  <c:v>2217962.171875</c:v>
                </c:pt>
                <c:pt idx="487">
                  <c:v>2217962.171875</c:v>
                </c:pt>
                <c:pt idx="488">
                  <c:v>2217962.171875</c:v>
                </c:pt>
                <c:pt idx="489">
                  <c:v>2217962.171875</c:v>
                </c:pt>
                <c:pt idx="490">
                  <c:v>2217962.171875</c:v>
                </c:pt>
                <c:pt idx="491">
                  <c:v>2217962.171875</c:v>
                </c:pt>
                <c:pt idx="492">
                  <c:v>2217962.171875</c:v>
                </c:pt>
                <c:pt idx="493">
                  <c:v>2217962.171875</c:v>
                </c:pt>
                <c:pt idx="494">
                  <c:v>2217962.171875</c:v>
                </c:pt>
                <c:pt idx="495">
                  <c:v>2217962.171875</c:v>
                </c:pt>
                <c:pt idx="496">
                  <c:v>2217962.171875</c:v>
                </c:pt>
                <c:pt idx="497">
                  <c:v>2217962.171875</c:v>
                </c:pt>
                <c:pt idx="498">
                  <c:v>2217962.171875</c:v>
                </c:pt>
                <c:pt idx="499">
                  <c:v>2217962.171875</c:v>
                </c:pt>
                <c:pt idx="500">
                  <c:v>2217962.171875</c:v>
                </c:pt>
                <c:pt idx="501">
                  <c:v>2217962.171875</c:v>
                </c:pt>
                <c:pt idx="502">
                  <c:v>2217962.171875</c:v>
                </c:pt>
                <c:pt idx="503">
                  <c:v>2217962.171875</c:v>
                </c:pt>
                <c:pt idx="504">
                  <c:v>2217962.171875</c:v>
                </c:pt>
                <c:pt idx="505">
                  <c:v>2217962.171875</c:v>
                </c:pt>
                <c:pt idx="506">
                  <c:v>2217962.171875</c:v>
                </c:pt>
                <c:pt idx="507">
                  <c:v>2217962.171875</c:v>
                </c:pt>
                <c:pt idx="508">
                  <c:v>2217962.171875</c:v>
                </c:pt>
                <c:pt idx="509">
                  <c:v>2217962.171875</c:v>
                </c:pt>
                <c:pt idx="510">
                  <c:v>2217962.171875</c:v>
                </c:pt>
                <c:pt idx="511">
                  <c:v>2217962.171875</c:v>
                </c:pt>
                <c:pt idx="512">
                  <c:v>2217962.171875</c:v>
                </c:pt>
                <c:pt idx="513">
                  <c:v>2217962.171875</c:v>
                </c:pt>
                <c:pt idx="514">
                  <c:v>2217962.171875</c:v>
                </c:pt>
                <c:pt idx="515">
                  <c:v>2217962.171875</c:v>
                </c:pt>
                <c:pt idx="516">
                  <c:v>2217962.171875</c:v>
                </c:pt>
                <c:pt idx="517">
                  <c:v>2217962.171875</c:v>
                </c:pt>
                <c:pt idx="518">
                  <c:v>2217962.171875</c:v>
                </c:pt>
                <c:pt idx="519">
                  <c:v>2217962.171875</c:v>
                </c:pt>
                <c:pt idx="520">
                  <c:v>2217962.171875</c:v>
                </c:pt>
                <c:pt idx="521">
                  <c:v>2217962.171875</c:v>
                </c:pt>
                <c:pt idx="522">
                  <c:v>2217962.171875</c:v>
                </c:pt>
                <c:pt idx="523">
                  <c:v>2217962.171875</c:v>
                </c:pt>
                <c:pt idx="524">
                  <c:v>2217962.171875</c:v>
                </c:pt>
                <c:pt idx="525">
                  <c:v>2217962.171875</c:v>
                </c:pt>
                <c:pt idx="526">
                  <c:v>2217962.171875</c:v>
                </c:pt>
                <c:pt idx="527">
                  <c:v>2217962.171875</c:v>
                </c:pt>
                <c:pt idx="528">
                  <c:v>2217962.171875</c:v>
                </c:pt>
                <c:pt idx="529">
                  <c:v>2217962.171875</c:v>
                </c:pt>
                <c:pt idx="530">
                  <c:v>2217962.171875</c:v>
                </c:pt>
                <c:pt idx="531">
                  <c:v>2217962.171875</c:v>
                </c:pt>
                <c:pt idx="532">
                  <c:v>2217962.171875</c:v>
                </c:pt>
                <c:pt idx="533">
                  <c:v>2217962.171875</c:v>
                </c:pt>
                <c:pt idx="534">
                  <c:v>2217962.171875</c:v>
                </c:pt>
                <c:pt idx="535">
                  <c:v>2217962.171875</c:v>
                </c:pt>
                <c:pt idx="536">
                  <c:v>2217962.171875</c:v>
                </c:pt>
                <c:pt idx="537">
                  <c:v>2217962.171875</c:v>
                </c:pt>
                <c:pt idx="538">
                  <c:v>2217962.171875</c:v>
                </c:pt>
                <c:pt idx="539">
                  <c:v>2217962.171875</c:v>
                </c:pt>
                <c:pt idx="540">
                  <c:v>2217962.171875</c:v>
                </c:pt>
                <c:pt idx="541">
                  <c:v>2217962.171875</c:v>
                </c:pt>
                <c:pt idx="542">
                  <c:v>2217962.171875</c:v>
                </c:pt>
                <c:pt idx="543">
                  <c:v>2217962.171875</c:v>
                </c:pt>
                <c:pt idx="544">
                  <c:v>2217962.171875</c:v>
                </c:pt>
                <c:pt idx="545">
                  <c:v>2217962.171875</c:v>
                </c:pt>
                <c:pt idx="546">
                  <c:v>2217962.171875</c:v>
                </c:pt>
                <c:pt idx="547">
                  <c:v>2217962.171875</c:v>
                </c:pt>
                <c:pt idx="548">
                  <c:v>2217962.171875</c:v>
                </c:pt>
                <c:pt idx="549">
                  <c:v>2217962.171875</c:v>
                </c:pt>
                <c:pt idx="550">
                  <c:v>2217962.171875</c:v>
                </c:pt>
                <c:pt idx="551">
                  <c:v>2217962.171875</c:v>
                </c:pt>
                <c:pt idx="552">
                  <c:v>2217962.171875</c:v>
                </c:pt>
                <c:pt idx="553">
                  <c:v>2217962.171875</c:v>
                </c:pt>
                <c:pt idx="554">
                  <c:v>2217962.171875</c:v>
                </c:pt>
                <c:pt idx="555">
                  <c:v>2217962.171875</c:v>
                </c:pt>
                <c:pt idx="556">
                  <c:v>2217962.171875</c:v>
                </c:pt>
                <c:pt idx="557">
                  <c:v>2217962.171875</c:v>
                </c:pt>
                <c:pt idx="558">
                  <c:v>2217962.171875</c:v>
                </c:pt>
                <c:pt idx="559">
                  <c:v>2217962.171875</c:v>
                </c:pt>
                <c:pt idx="560">
                  <c:v>2217962.171875</c:v>
                </c:pt>
                <c:pt idx="561">
                  <c:v>2217962.171875</c:v>
                </c:pt>
                <c:pt idx="562">
                  <c:v>2217962.171875</c:v>
                </c:pt>
                <c:pt idx="563">
                  <c:v>2217962.171875</c:v>
                </c:pt>
                <c:pt idx="564">
                  <c:v>2217962.171875</c:v>
                </c:pt>
                <c:pt idx="565">
                  <c:v>2217962.171875</c:v>
                </c:pt>
                <c:pt idx="566">
                  <c:v>2217962.171875</c:v>
                </c:pt>
                <c:pt idx="567">
                  <c:v>2217962.171875</c:v>
                </c:pt>
                <c:pt idx="568">
                  <c:v>2217962.171875</c:v>
                </c:pt>
                <c:pt idx="569">
                  <c:v>2217962.171875</c:v>
                </c:pt>
                <c:pt idx="570">
                  <c:v>2217962.171875</c:v>
                </c:pt>
                <c:pt idx="571">
                  <c:v>2217962.171875</c:v>
                </c:pt>
                <c:pt idx="572">
                  <c:v>2217962.171875</c:v>
                </c:pt>
                <c:pt idx="573">
                  <c:v>2217962.171875</c:v>
                </c:pt>
                <c:pt idx="574">
                  <c:v>2217962.171875</c:v>
                </c:pt>
                <c:pt idx="575">
                  <c:v>2217962.171875</c:v>
                </c:pt>
                <c:pt idx="576">
                  <c:v>2217962.171875</c:v>
                </c:pt>
                <c:pt idx="577">
                  <c:v>2217962.171875</c:v>
                </c:pt>
                <c:pt idx="578">
                  <c:v>2217962.171875</c:v>
                </c:pt>
                <c:pt idx="579">
                  <c:v>2217962.171875</c:v>
                </c:pt>
                <c:pt idx="580">
                  <c:v>2217962.171875</c:v>
                </c:pt>
                <c:pt idx="581">
                  <c:v>2217962.171875</c:v>
                </c:pt>
                <c:pt idx="582">
                  <c:v>2217962.171875</c:v>
                </c:pt>
                <c:pt idx="583">
                  <c:v>2217962.171875</c:v>
                </c:pt>
                <c:pt idx="584">
                  <c:v>2217962.171875</c:v>
                </c:pt>
                <c:pt idx="585">
                  <c:v>2217962.171875</c:v>
                </c:pt>
                <c:pt idx="586">
                  <c:v>2217962.171875</c:v>
                </c:pt>
                <c:pt idx="587">
                  <c:v>2217962.171875</c:v>
                </c:pt>
                <c:pt idx="588">
                  <c:v>2217962.171875</c:v>
                </c:pt>
                <c:pt idx="589">
                  <c:v>2217962.171875</c:v>
                </c:pt>
                <c:pt idx="590">
                  <c:v>2217962.171875</c:v>
                </c:pt>
                <c:pt idx="591">
                  <c:v>2217962.171875</c:v>
                </c:pt>
                <c:pt idx="592">
                  <c:v>2217962.171875</c:v>
                </c:pt>
                <c:pt idx="593">
                  <c:v>2217962.171875</c:v>
                </c:pt>
                <c:pt idx="594">
                  <c:v>2217962.171875</c:v>
                </c:pt>
                <c:pt idx="595">
                  <c:v>2217962.171875</c:v>
                </c:pt>
                <c:pt idx="596">
                  <c:v>2217962.171875</c:v>
                </c:pt>
                <c:pt idx="597">
                  <c:v>2217962.171875</c:v>
                </c:pt>
                <c:pt idx="598">
                  <c:v>2217962.171875</c:v>
                </c:pt>
                <c:pt idx="599">
                  <c:v>2217962.171875</c:v>
                </c:pt>
                <c:pt idx="600">
                  <c:v>2217962.171875</c:v>
                </c:pt>
                <c:pt idx="601">
                  <c:v>2217962.171875</c:v>
                </c:pt>
                <c:pt idx="602">
                  <c:v>2217962.171875</c:v>
                </c:pt>
                <c:pt idx="603">
                  <c:v>2217962.171875</c:v>
                </c:pt>
                <c:pt idx="604">
                  <c:v>2217962.171875</c:v>
                </c:pt>
                <c:pt idx="605">
                  <c:v>2217962.171875</c:v>
                </c:pt>
                <c:pt idx="606">
                  <c:v>2217962.171875</c:v>
                </c:pt>
                <c:pt idx="607">
                  <c:v>2217962.171875</c:v>
                </c:pt>
                <c:pt idx="608">
                  <c:v>2217962.171875</c:v>
                </c:pt>
                <c:pt idx="609">
                  <c:v>2217962.171875</c:v>
                </c:pt>
                <c:pt idx="610">
                  <c:v>2217962.171875</c:v>
                </c:pt>
                <c:pt idx="611">
                  <c:v>2217962.171875</c:v>
                </c:pt>
                <c:pt idx="612">
                  <c:v>2217962.171875</c:v>
                </c:pt>
                <c:pt idx="613">
                  <c:v>2217962.171875</c:v>
                </c:pt>
                <c:pt idx="614">
                  <c:v>2217962.171875</c:v>
                </c:pt>
                <c:pt idx="615">
                  <c:v>2217962.171875</c:v>
                </c:pt>
                <c:pt idx="616">
                  <c:v>2217962.171875</c:v>
                </c:pt>
                <c:pt idx="617">
                  <c:v>2217962.171875</c:v>
                </c:pt>
                <c:pt idx="618">
                  <c:v>2217962.171875</c:v>
                </c:pt>
                <c:pt idx="619">
                  <c:v>2217962.171875</c:v>
                </c:pt>
                <c:pt idx="620">
                  <c:v>2217962.171875</c:v>
                </c:pt>
                <c:pt idx="621">
                  <c:v>2217962.171875</c:v>
                </c:pt>
                <c:pt idx="622">
                  <c:v>2217962.171875</c:v>
                </c:pt>
                <c:pt idx="623">
                  <c:v>2217962.171875</c:v>
                </c:pt>
                <c:pt idx="624">
                  <c:v>2217962.171875</c:v>
                </c:pt>
                <c:pt idx="625">
                  <c:v>2217962.171875</c:v>
                </c:pt>
                <c:pt idx="626">
                  <c:v>2217962.171875</c:v>
                </c:pt>
                <c:pt idx="627">
                  <c:v>2217962.171875</c:v>
                </c:pt>
                <c:pt idx="628">
                  <c:v>2217962.171875</c:v>
                </c:pt>
                <c:pt idx="629">
                  <c:v>2217962.171875</c:v>
                </c:pt>
                <c:pt idx="630">
                  <c:v>2217962.171875</c:v>
                </c:pt>
                <c:pt idx="631">
                  <c:v>2217962.171875</c:v>
                </c:pt>
                <c:pt idx="632">
                  <c:v>2217962.171875</c:v>
                </c:pt>
                <c:pt idx="633">
                  <c:v>2217962.171875</c:v>
                </c:pt>
                <c:pt idx="634">
                  <c:v>2217962.171875</c:v>
                </c:pt>
                <c:pt idx="635">
                  <c:v>2217962.171875</c:v>
                </c:pt>
                <c:pt idx="636">
                  <c:v>2217962.171875</c:v>
                </c:pt>
                <c:pt idx="637">
                  <c:v>2217962.171875</c:v>
                </c:pt>
                <c:pt idx="638">
                  <c:v>2217962.171875</c:v>
                </c:pt>
                <c:pt idx="639">
                  <c:v>2217962.171875</c:v>
                </c:pt>
                <c:pt idx="640">
                  <c:v>2217962.171875</c:v>
                </c:pt>
                <c:pt idx="641">
                  <c:v>2217962.171875</c:v>
                </c:pt>
                <c:pt idx="642">
                  <c:v>2217962.171875</c:v>
                </c:pt>
                <c:pt idx="643">
                  <c:v>2217962.171875</c:v>
                </c:pt>
                <c:pt idx="644">
                  <c:v>2217962.171875</c:v>
                </c:pt>
                <c:pt idx="645">
                  <c:v>2217962.171875</c:v>
                </c:pt>
                <c:pt idx="646">
                  <c:v>2217962.171875</c:v>
                </c:pt>
                <c:pt idx="647">
                  <c:v>2217962.171875</c:v>
                </c:pt>
                <c:pt idx="648">
                  <c:v>2217962.171875</c:v>
                </c:pt>
                <c:pt idx="649">
                  <c:v>2217962.171875</c:v>
                </c:pt>
                <c:pt idx="650">
                  <c:v>2217962.171875</c:v>
                </c:pt>
                <c:pt idx="651">
                  <c:v>2217962.171875</c:v>
                </c:pt>
                <c:pt idx="652">
                  <c:v>2217962.171875</c:v>
                </c:pt>
                <c:pt idx="653">
                  <c:v>2217962.171875</c:v>
                </c:pt>
                <c:pt idx="654">
                  <c:v>2217962.171875</c:v>
                </c:pt>
                <c:pt idx="655">
                  <c:v>2217962.171875</c:v>
                </c:pt>
                <c:pt idx="656">
                  <c:v>2217962.171875</c:v>
                </c:pt>
                <c:pt idx="657">
                  <c:v>2217962.171875</c:v>
                </c:pt>
                <c:pt idx="658">
                  <c:v>2217962.171875</c:v>
                </c:pt>
                <c:pt idx="659">
                  <c:v>2217962.171875</c:v>
                </c:pt>
                <c:pt idx="660">
                  <c:v>2217962.171875</c:v>
                </c:pt>
                <c:pt idx="661">
                  <c:v>2217962.171875</c:v>
                </c:pt>
                <c:pt idx="662">
                  <c:v>2217962.171875</c:v>
                </c:pt>
                <c:pt idx="663">
                  <c:v>2217962.171875</c:v>
                </c:pt>
                <c:pt idx="664">
                  <c:v>2217962.171875</c:v>
                </c:pt>
                <c:pt idx="665">
                  <c:v>2217962.171875</c:v>
                </c:pt>
                <c:pt idx="666">
                  <c:v>2217962.171875</c:v>
                </c:pt>
                <c:pt idx="667">
                  <c:v>2217962.171875</c:v>
                </c:pt>
                <c:pt idx="668">
                  <c:v>2217962.171875</c:v>
                </c:pt>
                <c:pt idx="669">
                  <c:v>2217962.171875</c:v>
                </c:pt>
                <c:pt idx="670">
                  <c:v>2217962.171875</c:v>
                </c:pt>
                <c:pt idx="671">
                  <c:v>2217962.171875</c:v>
                </c:pt>
                <c:pt idx="672">
                  <c:v>2217962.171875</c:v>
                </c:pt>
                <c:pt idx="673">
                  <c:v>2217962.171875</c:v>
                </c:pt>
                <c:pt idx="674">
                  <c:v>2217962.171875</c:v>
                </c:pt>
                <c:pt idx="675">
                  <c:v>2217962.171875</c:v>
                </c:pt>
                <c:pt idx="676">
                  <c:v>2217962.171875</c:v>
                </c:pt>
                <c:pt idx="677">
                  <c:v>2217962.171875</c:v>
                </c:pt>
                <c:pt idx="678">
                  <c:v>2217962.171875</c:v>
                </c:pt>
                <c:pt idx="679">
                  <c:v>2217962.171875</c:v>
                </c:pt>
                <c:pt idx="680">
                  <c:v>2217962.171875</c:v>
                </c:pt>
                <c:pt idx="681">
                  <c:v>2217962.171875</c:v>
                </c:pt>
                <c:pt idx="682">
                  <c:v>2217962.171875</c:v>
                </c:pt>
                <c:pt idx="683">
                  <c:v>2217962.171875</c:v>
                </c:pt>
                <c:pt idx="684">
                  <c:v>2217962.171875</c:v>
                </c:pt>
                <c:pt idx="685">
                  <c:v>2217962.171875</c:v>
                </c:pt>
                <c:pt idx="686">
                  <c:v>2217962.171875</c:v>
                </c:pt>
                <c:pt idx="687">
                  <c:v>2217962.171875</c:v>
                </c:pt>
                <c:pt idx="688">
                  <c:v>2217962.171875</c:v>
                </c:pt>
                <c:pt idx="689">
                  <c:v>2217962.171875</c:v>
                </c:pt>
                <c:pt idx="690">
                  <c:v>2217962.171875</c:v>
                </c:pt>
                <c:pt idx="691">
                  <c:v>2217962.171875</c:v>
                </c:pt>
                <c:pt idx="692">
                  <c:v>2217962.171875</c:v>
                </c:pt>
                <c:pt idx="693">
                  <c:v>2217962.171875</c:v>
                </c:pt>
                <c:pt idx="694">
                  <c:v>2217962.171875</c:v>
                </c:pt>
                <c:pt idx="695">
                  <c:v>2217962.171875</c:v>
                </c:pt>
                <c:pt idx="696">
                  <c:v>2217962.171875</c:v>
                </c:pt>
                <c:pt idx="697">
                  <c:v>2217962.171875</c:v>
                </c:pt>
                <c:pt idx="698">
                  <c:v>2217962.171875</c:v>
                </c:pt>
                <c:pt idx="699">
                  <c:v>2217962.171875</c:v>
                </c:pt>
                <c:pt idx="700">
                  <c:v>2217962.171875</c:v>
                </c:pt>
                <c:pt idx="701">
                  <c:v>2217962.171875</c:v>
                </c:pt>
                <c:pt idx="702">
                  <c:v>2217962.171875</c:v>
                </c:pt>
                <c:pt idx="703">
                  <c:v>2217962.171875</c:v>
                </c:pt>
                <c:pt idx="704">
                  <c:v>2217962.171875</c:v>
                </c:pt>
                <c:pt idx="705">
                  <c:v>2217962.171875</c:v>
                </c:pt>
                <c:pt idx="706">
                  <c:v>2217962.171875</c:v>
                </c:pt>
                <c:pt idx="707">
                  <c:v>2217962.171875</c:v>
                </c:pt>
                <c:pt idx="708">
                  <c:v>2217962.171875</c:v>
                </c:pt>
                <c:pt idx="709">
                  <c:v>2217962.171875</c:v>
                </c:pt>
                <c:pt idx="710">
                  <c:v>2217962.171875</c:v>
                </c:pt>
                <c:pt idx="711">
                  <c:v>2217962.171875</c:v>
                </c:pt>
                <c:pt idx="712">
                  <c:v>2217962.171875</c:v>
                </c:pt>
                <c:pt idx="713">
                  <c:v>2217962.171875</c:v>
                </c:pt>
                <c:pt idx="714">
                  <c:v>2217962.171875</c:v>
                </c:pt>
                <c:pt idx="715">
                  <c:v>2217962.171875</c:v>
                </c:pt>
                <c:pt idx="716">
                  <c:v>2217962.171875</c:v>
                </c:pt>
                <c:pt idx="717">
                  <c:v>2217962.171875</c:v>
                </c:pt>
                <c:pt idx="718">
                  <c:v>2217962.171875</c:v>
                </c:pt>
                <c:pt idx="719">
                  <c:v>2217962.171875</c:v>
                </c:pt>
                <c:pt idx="720">
                  <c:v>2217962.171875</c:v>
                </c:pt>
                <c:pt idx="721">
                  <c:v>2217962.171875</c:v>
                </c:pt>
                <c:pt idx="722">
                  <c:v>2217962.171875</c:v>
                </c:pt>
                <c:pt idx="723">
                  <c:v>2217962.171875</c:v>
                </c:pt>
                <c:pt idx="724">
                  <c:v>2217962.171875</c:v>
                </c:pt>
                <c:pt idx="725">
                  <c:v>2217962.171875</c:v>
                </c:pt>
                <c:pt idx="726">
                  <c:v>2217962.171875</c:v>
                </c:pt>
                <c:pt idx="727">
                  <c:v>2217962.171875</c:v>
                </c:pt>
                <c:pt idx="728">
                  <c:v>2217962.171875</c:v>
                </c:pt>
                <c:pt idx="729">
                  <c:v>2217962.171875</c:v>
                </c:pt>
                <c:pt idx="730">
                  <c:v>2217962.171875</c:v>
                </c:pt>
                <c:pt idx="731">
                  <c:v>2217962.171875</c:v>
                </c:pt>
                <c:pt idx="732">
                  <c:v>2217962.171875</c:v>
                </c:pt>
                <c:pt idx="733">
                  <c:v>2217962.171875</c:v>
                </c:pt>
                <c:pt idx="734">
                  <c:v>2217962.171875</c:v>
                </c:pt>
                <c:pt idx="735">
                  <c:v>2217962.171875</c:v>
                </c:pt>
                <c:pt idx="736">
                  <c:v>2217962.171875</c:v>
                </c:pt>
                <c:pt idx="737">
                  <c:v>2217962.171875</c:v>
                </c:pt>
                <c:pt idx="738">
                  <c:v>2217962.171875</c:v>
                </c:pt>
                <c:pt idx="739">
                  <c:v>2217962.171875</c:v>
                </c:pt>
                <c:pt idx="740">
                  <c:v>2217962.171875</c:v>
                </c:pt>
                <c:pt idx="741">
                  <c:v>2217962.171875</c:v>
                </c:pt>
                <c:pt idx="742">
                  <c:v>2217962.171875</c:v>
                </c:pt>
                <c:pt idx="743">
                  <c:v>2217962.171875</c:v>
                </c:pt>
                <c:pt idx="744">
                  <c:v>2217962.171875</c:v>
                </c:pt>
                <c:pt idx="745">
                  <c:v>2217962.171875</c:v>
                </c:pt>
                <c:pt idx="746">
                  <c:v>2217962.171875</c:v>
                </c:pt>
                <c:pt idx="747">
                  <c:v>2217962.171875</c:v>
                </c:pt>
                <c:pt idx="748">
                  <c:v>2217962.171875</c:v>
                </c:pt>
                <c:pt idx="749">
                  <c:v>2217962.171875</c:v>
                </c:pt>
                <c:pt idx="750">
                  <c:v>2217962.171875</c:v>
                </c:pt>
                <c:pt idx="751">
                  <c:v>2217962.171875</c:v>
                </c:pt>
                <c:pt idx="752">
                  <c:v>2217962.171875</c:v>
                </c:pt>
                <c:pt idx="753">
                  <c:v>2217962.171875</c:v>
                </c:pt>
                <c:pt idx="754">
                  <c:v>2217962.171875</c:v>
                </c:pt>
                <c:pt idx="755">
                  <c:v>2217962.171875</c:v>
                </c:pt>
                <c:pt idx="756">
                  <c:v>2217962.171875</c:v>
                </c:pt>
                <c:pt idx="757">
                  <c:v>2217962.171875</c:v>
                </c:pt>
                <c:pt idx="758">
                  <c:v>2217962.171875</c:v>
                </c:pt>
                <c:pt idx="759">
                  <c:v>2217962.171875</c:v>
                </c:pt>
                <c:pt idx="760">
                  <c:v>2217962.171875</c:v>
                </c:pt>
                <c:pt idx="761">
                  <c:v>2217962.171875</c:v>
                </c:pt>
                <c:pt idx="762">
                  <c:v>2217962.171875</c:v>
                </c:pt>
                <c:pt idx="763">
                  <c:v>2217962.171875</c:v>
                </c:pt>
                <c:pt idx="764">
                  <c:v>2217962.171875</c:v>
                </c:pt>
                <c:pt idx="765">
                  <c:v>2217962.171875</c:v>
                </c:pt>
                <c:pt idx="766">
                  <c:v>2217962.171875</c:v>
                </c:pt>
                <c:pt idx="767">
                  <c:v>2217962.171875</c:v>
                </c:pt>
                <c:pt idx="768">
                  <c:v>2217962.171875</c:v>
                </c:pt>
                <c:pt idx="769">
                  <c:v>2217962.171875</c:v>
                </c:pt>
                <c:pt idx="770">
                  <c:v>2217962.171875</c:v>
                </c:pt>
                <c:pt idx="771">
                  <c:v>2217962.171875</c:v>
                </c:pt>
                <c:pt idx="772">
                  <c:v>2217962.171875</c:v>
                </c:pt>
                <c:pt idx="773">
                  <c:v>2217962.171875</c:v>
                </c:pt>
                <c:pt idx="774">
                  <c:v>2217962.171875</c:v>
                </c:pt>
                <c:pt idx="775">
                  <c:v>2217962.171875</c:v>
                </c:pt>
                <c:pt idx="776">
                  <c:v>2217962.171875</c:v>
                </c:pt>
                <c:pt idx="777">
                  <c:v>2217962.171875</c:v>
                </c:pt>
                <c:pt idx="778">
                  <c:v>2217962.171875</c:v>
                </c:pt>
                <c:pt idx="779">
                  <c:v>2217962.171875</c:v>
                </c:pt>
                <c:pt idx="780">
                  <c:v>2217962.171875</c:v>
                </c:pt>
                <c:pt idx="781">
                  <c:v>2217962.171875</c:v>
                </c:pt>
                <c:pt idx="782">
                  <c:v>2217962.171875</c:v>
                </c:pt>
                <c:pt idx="783">
                  <c:v>2217962.171875</c:v>
                </c:pt>
                <c:pt idx="784">
                  <c:v>2217962.171875</c:v>
                </c:pt>
                <c:pt idx="785">
                  <c:v>2217962.171875</c:v>
                </c:pt>
                <c:pt idx="786">
                  <c:v>2217962.171875</c:v>
                </c:pt>
                <c:pt idx="787">
                  <c:v>2217962.171875</c:v>
                </c:pt>
                <c:pt idx="788">
                  <c:v>2217962.171875</c:v>
                </c:pt>
                <c:pt idx="789">
                  <c:v>2217962.171875</c:v>
                </c:pt>
                <c:pt idx="790">
                  <c:v>2217962.171875</c:v>
                </c:pt>
                <c:pt idx="791">
                  <c:v>2217962.171875</c:v>
                </c:pt>
                <c:pt idx="792">
                  <c:v>2217962.171875</c:v>
                </c:pt>
                <c:pt idx="793">
                  <c:v>2217962.171875</c:v>
                </c:pt>
                <c:pt idx="794">
                  <c:v>2217962.171875</c:v>
                </c:pt>
                <c:pt idx="795">
                  <c:v>2217962.171875</c:v>
                </c:pt>
                <c:pt idx="796">
                  <c:v>2217962.171875</c:v>
                </c:pt>
                <c:pt idx="797">
                  <c:v>2217962.171875</c:v>
                </c:pt>
                <c:pt idx="798">
                  <c:v>2217962.171875</c:v>
                </c:pt>
                <c:pt idx="799">
                  <c:v>2217962.171875</c:v>
                </c:pt>
                <c:pt idx="800">
                  <c:v>2217962.171875</c:v>
                </c:pt>
                <c:pt idx="801">
                  <c:v>2217962.171875</c:v>
                </c:pt>
                <c:pt idx="802">
                  <c:v>2217962.171875</c:v>
                </c:pt>
                <c:pt idx="803">
                  <c:v>2217962.171875</c:v>
                </c:pt>
                <c:pt idx="804">
                  <c:v>2217962.171875</c:v>
                </c:pt>
                <c:pt idx="805">
                  <c:v>2217962.171875</c:v>
                </c:pt>
                <c:pt idx="806">
                  <c:v>2217962.171875</c:v>
                </c:pt>
                <c:pt idx="807">
                  <c:v>2217962.171875</c:v>
                </c:pt>
                <c:pt idx="808">
                  <c:v>2217962.171875</c:v>
                </c:pt>
                <c:pt idx="809">
                  <c:v>2217962.171875</c:v>
                </c:pt>
                <c:pt idx="810">
                  <c:v>2217962.171875</c:v>
                </c:pt>
                <c:pt idx="811">
                  <c:v>2217962.171875</c:v>
                </c:pt>
                <c:pt idx="812">
                  <c:v>2217962.171875</c:v>
                </c:pt>
                <c:pt idx="813">
                  <c:v>2217962.171875</c:v>
                </c:pt>
                <c:pt idx="814">
                  <c:v>2217962.171875</c:v>
                </c:pt>
                <c:pt idx="815">
                  <c:v>2217962.171875</c:v>
                </c:pt>
                <c:pt idx="816">
                  <c:v>2217962.171875</c:v>
                </c:pt>
                <c:pt idx="817">
                  <c:v>2217962.171875</c:v>
                </c:pt>
                <c:pt idx="818">
                  <c:v>2217962.171875</c:v>
                </c:pt>
                <c:pt idx="819">
                  <c:v>2217962.171875</c:v>
                </c:pt>
                <c:pt idx="820">
                  <c:v>2217962.171875</c:v>
                </c:pt>
                <c:pt idx="821">
                  <c:v>2217962.171875</c:v>
                </c:pt>
                <c:pt idx="822">
                  <c:v>2217962.171875</c:v>
                </c:pt>
                <c:pt idx="823">
                  <c:v>2217962.171875</c:v>
                </c:pt>
                <c:pt idx="824">
                  <c:v>2217962.171875</c:v>
                </c:pt>
                <c:pt idx="825">
                  <c:v>2217962.171875</c:v>
                </c:pt>
                <c:pt idx="826">
                  <c:v>2217962.171875</c:v>
                </c:pt>
                <c:pt idx="827">
                  <c:v>2217962.171875</c:v>
                </c:pt>
                <c:pt idx="828">
                  <c:v>2217962.171875</c:v>
                </c:pt>
                <c:pt idx="829">
                  <c:v>2217962.171875</c:v>
                </c:pt>
                <c:pt idx="830">
                  <c:v>2217962.171875</c:v>
                </c:pt>
                <c:pt idx="831">
                  <c:v>2217962.171875</c:v>
                </c:pt>
                <c:pt idx="832">
                  <c:v>2217962.171875</c:v>
                </c:pt>
                <c:pt idx="833">
                  <c:v>2217962.171875</c:v>
                </c:pt>
                <c:pt idx="834">
                  <c:v>2217962.171875</c:v>
                </c:pt>
                <c:pt idx="835">
                  <c:v>2217962.171875</c:v>
                </c:pt>
                <c:pt idx="836">
                  <c:v>2217962.171875</c:v>
                </c:pt>
                <c:pt idx="837">
                  <c:v>2217962.171875</c:v>
                </c:pt>
                <c:pt idx="838">
                  <c:v>2217962.171875</c:v>
                </c:pt>
                <c:pt idx="839">
                  <c:v>2217962.171875</c:v>
                </c:pt>
                <c:pt idx="840">
                  <c:v>2217962.171875</c:v>
                </c:pt>
                <c:pt idx="841">
                  <c:v>2217962.171875</c:v>
                </c:pt>
                <c:pt idx="842">
                  <c:v>2217962.171875</c:v>
                </c:pt>
                <c:pt idx="843">
                  <c:v>2217962.171875</c:v>
                </c:pt>
                <c:pt idx="844">
                  <c:v>2217962.171875</c:v>
                </c:pt>
                <c:pt idx="845">
                  <c:v>2217962.171875</c:v>
                </c:pt>
                <c:pt idx="846">
                  <c:v>2217962.171875</c:v>
                </c:pt>
                <c:pt idx="847">
                  <c:v>2217962.171875</c:v>
                </c:pt>
                <c:pt idx="848">
                  <c:v>2217962.171875</c:v>
                </c:pt>
                <c:pt idx="849">
                  <c:v>2217962.171875</c:v>
                </c:pt>
                <c:pt idx="850">
                  <c:v>2217962.171875</c:v>
                </c:pt>
                <c:pt idx="851">
                  <c:v>2217962.171875</c:v>
                </c:pt>
                <c:pt idx="852">
                  <c:v>2217962.171875</c:v>
                </c:pt>
                <c:pt idx="853">
                  <c:v>2217962.171875</c:v>
                </c:pt>
                <c:pt idx="854">
                  <c:v>2217962.171875</c:v>
                </c:pt>
                <c:pt idx="855">
                  <c:v>2217962.171875</c:v>
                </c:pt>
                <c:pt idx="856">
                  <c:v>2217962.171875</c:v>
                </c:pt>
                <c:pt idx="857">
                  <c:v>2217962.171875</c:v>
                </c:pt>
                <c:pt idx="858">
                  <c:v>2217962.171875</c:v>
                </c:pt>
                <c:pt idx="859">
                  <c:v>2217962.171875</c:v>
                </c:pt>
                <c:pt idx="860">
                  <c:v>2217962.171875</c:v>
                </c:pt>
                <c:pt idx="861">
                  <c:v>2217962.171875</c:v>
                </c:pt>
                <c:pt idx="862">
                  <c:v>2217962.171875</c:v>
                </c:pt>
                <c:pt idx="863">
                  <c:v>2217962.171875</c:v>
                </c:pt>
                <c:pt idx="864">
                  <c:v>2217962.171875</c:v>
                </c:pt>
                <c:pt idx="865">
                  <c:v>2217962.171875</c:v>
                </c:pt>
                <c:pt idx="866">
                  <c:v>2217962.171875</c:v>
                </c:pt>
                <c:pt idx="867">
                  <c:v>2217962.171875</c:v>
                </c:pt>
                <c:pt idx="868">
                  <c:v>2217962.171875</c:v>
                </c:pt>
                <c:pt idx="869">
                  <c:v>2217962.171875</c:v>
                </c:pt>
                <c:pt idx="870">
                  <c:v>2217962.171875</c:v>
                </c:pt>
                <c:pt idx="871">
                  <c:v>2217962.171875</c:v>
                </c:pt>
                <c:pt idx="872">
                  <c:v>2217962.171875</c:v>
                </c:pt>
                <c:pt idx="873">
                  <c:v>2217962.171875</c:v>
                </c:pt>
                <c:pt idx="874">
                  <c:v>2217962.171875</c:v>
                </c:pt>
                <c:pt idx="875">
                  <c:v>2217962.171875</c:v>
                </c:pt>
                <c:pt idx="876">
                  <c:v>2217962.171875</c:v>
                </c:pt>
                <c:pt idx="877">
                  <c:v>2217962.171875</c:v>
                </c:pt>
                <c:pt idx="878">
                  <c:v>2217962.171875</c:v>
                </c:pt>
                <c:pt idx="879">
                  <c:v>2217962.171875</c:v>
                </c:pt>
                <c:pt idx="880">
                  <c:v>2217962.171875</c:v>
                </c:pt>
                <c:pt idx="881">
                  <c:v>2217962.171875</c:v>
                </c:pt>
                <c:pt idx="882">
                  <c:v>2217962.171875</c:v>
                </c:pt>
                <c:pt idx="883">
                  <c:v>2217962.171875</c:v>
                </c:pt>
                <c:pt idx="884">
                  <c:v>2217962.171875</c:v>
                </c:pt>
                <c:pt idx="885">
                  <c:v>2217962.171875</c:v>
                </c:pt>
                <c:pt idx="886">
                  <c:v>2217962.171875</c:v>
                </c:pt>
                <c:pt idx="887">
                  <c:v>2217962.171875</c:v>
                </c:pt>
                <c:pt idx="888">
                  <c:v>2217962.171875</c:v>
                </c:pt>
                <c:pt idx="889">
                  <c:v>2217962.171875</c:v>
                </c:pt>
                <c:pt idx="890">
                  <c:v>2217962.171875</c:v>
                </c:pt>
                <c:pt idx="891">
                  <c:v>2217962.171875</c:v>
                </c:pt>
                <c:pt idx="892">
                  <c:v>2217962.171875</c:v>
                </c:pt>
                <c:pt idx="893">
                  <c:v>2217962.171875</c:v>
                </c:pt>
                <c:pt idx="894">
                  <c:v>2217962.171875</c:v>
                </c:pt>
                <c:pt idx="895">
                  <c:v>2217962.171875</c:v>
                </c:pt>
                <c:pt idx="896">
                  <c:v>2217962.171875</c:v>
                </c:pt>
                <c:pt idx="897">
                  <c:v>2217962.171875</c:v>
                </c:pt>
                <c:pt idx="898">
                  <c:v>2217962.171875</c:v>
                </c:pt>
                <c:pt idx="899">
                  <c:v>2217962.171875</c:v>
                </c:pt>
                <c:pt idx="900">
                  <c:v>2217962.171875</c:v>
                </c:pt>
                <c:pt idx="901">
                  <c:v>2217962.171875</c:v>
                </c:pt>
                <c:pt idx="902">
                  <c:v>2217962.171875</c:v>
                </c:pt>
                <c:pt idx="903">
                  <c:v>2217962.171875</c:v>
                </c:pt>
                <c:pt idx="904">
                  <c:v>2217962.171875</c:v>
                </c:pt>
                <c:pt idx="905">
                  <c:v>2217962.171875</c:v>
                </c:pt>
                <c:pt idx="906">
                  <c:v>2217962.171875</c:v>
                </c:pt>
                <c:pt idx="907">
                  <c:v>2217962.171875</c:v>
                </c:pt>
                <c:pt idx="908">
                  <c:v>2217962.171875</c:v>
                </c:pt>
                <c:pt idx="909">
                  <c:v>2217962.171875</c:v>
                </c:pt>
                <c:pt idx="910">
                  <c:v>2217962.171875</c:v>
                </c:pt>
                <c:pt idx="911">
                  <c:v>2217962.171875</c:v>
                </c:pt>
                <c:pt idx="912">
                  <c:v>2217962.171875</c:v>
                </c:pt>
                <c:pt idx="913">
                  <c:v>2217962.171875</c:v>
                </c:pt>
                <c:pt idx="914">
                  <c:v>2217962.171875</c:v>
                </c:pt>
                <c:pt idx="915">
                  <c:v>2217962.171875</c:v>
                </c:pt>
                <c:pt idx="916">
                  <c:v>2217962.171875</c:v>
                </c:pt>
                <c:pt idx="917">
                  <c:v>2217962.171875</c:v>
                </c:pt>
                <c:pt idx="918">
                  <c:v>2217962.171875</c:v>
                </c:pt>
                <c:pt idx="919">
                  <c:v>2217962.171875</c:v>
                </c:pt>
                <c:pt idx="920">
                  <c:v>2217962.171875</c:v>
                </c:pt>
                <c:pt idx="921">
                  <c:v>2217962.171875</c:v>
                </c:pt>
                <c:pt idx="922">
                  <c:v>2217962.171875</c:v>
                </c:pt>
                <c:pt idx="923">
                  <c:v>2217962.171875</c:v>
                </c:pt>
                <c:pt idx="924">
                  <c:v>2217962.171875</c:v>
                </c:pt>
                <c:pt idx="925">
                  <c:v>2217962.171875</c:v>
                </c:pt>
                <c:pt idx="926">
                  <c:v>2217962.171875</c:v>
                </c:pt>
                <c:pt idx="927">
                  <c:v>2217962.171875</c:v>
                </c:pt>
                <c:pt idx="928">
                  <c:v>2217962.171875</c:v>
                </c:pt>
                <c:pt idx="929">
                  <c:v>2217962.171875</c:v>
                </c:pt>
                <c:pt idx="930">
                  <c:v>2217962.171875</c:v>
                </c:pt>
                <c:pt idx="931">
                  <c:v>2217962.171875</c:v>
                </c:pt>
                <c:pt idx="932">
                  <c:v>2217962.171875</c:v>
                </c:pt>
                <c:pt idx="933">
                  <c:v>2217962.171875</c:v>
                </c:pt>
                <c:pt idx="934">
                  <c:v>2217962.171875</c:v>
                </c:pt>
                <c:pt idx="935">
                  <c:v>2217962.171875</c:v>
                </c:pt>
                <c:pt idx="936">
                  <c:v>2217962.171875</c:v>
                </c:pt>
                <c:pt idx="937">
                  <c:v>2217962.171875</c:v>
                </c:pt>
                <c:pt idx="938">
                  <c:v>2217962.171875</c:v>
                </c:pt>
                <c:pt idx="939">
                  <c:v>2217962.171875</c:v>
                </c:pt>
                <c:pt idx="940">
                  <c:v>2217962.171875</c:v>
                </c:pt>
                <c:pt idx="941">
                  <c:v>2217962.171875</c:v>
                </c:pt>
                <c:pt idx="942">
                  <c:v>2217962.171875</c:v>
                </c:pt>
                <c:pt idx="943">
                  <c:v>2217962.171875</c:v>
                </c:pt>
                <c:pt idx="944">
                  <c:v>2217962.171875</c:v>
                </c:pt>
                <c:pt idx="945">
                  <c:v>2217962.171875</c:v>
                </c:pt>
                <c:pt idx="946">
                  <c:v>2217962.171875</c:v>
                </c:pt>
                <c:pt idx="947">
                  <c:v>2217962.171875</c:v>
                </c:pt>
                <c:pt idx="948">
                  <c:v>2217962.171875</c:v>
                </c:pt>
                <c:pt idx="949">
                  <c:v>2217962.171875</c:v>
                </c:pt>
                <c:pt idx="950">
                  <c:v>2217962.171875</c:v>
                </c:pt>
                <c:pt idx="951">
                  <c:v>2217962.171875</c:v>
                </c:pt>
                <c:pt idx="952">
                  <c:v>2217962.171875</c:v>
                </c:pt>
                <c:pt idx="953">
                  <c:v>2217962.171875</c:v>
                </c:pt>
                <c:pt idx="954">
                  <c:v>2217962.171875</c:v>
                </c:pt>
                <c:pt idx="955">
                  <c:v>2217962.171875</c:v>
                </c:pt>
                <c:pt idx="956">
                  <c:v>2217962.171875</c:v>
                </c:pt>
                <c:pt idx="957">
                  <c:v>2217962.171875</c:v>
                </c:pt>
                <c:pt idx="958">
                  <c:v>2217962.171875</c:v>
                </c:pt>
                <c:pt idx="959">
                  <c:v>2217962.171875</c:v>
                </c:pt>
                <c:pt idx="960">
                  <c:v>2217962.171875</c:v>
                </c:pt>
                <c:pt idx="961">
                  <c:v>2217962.171875</c:v>
                </c:pt>
                <c:pt idx="962">
                  <c:v>2217962.171875</c:v>
                </c:pt>
                <c:pt idx="963">
                  <c:v>2217962.171875</c:v>
                </c:pt>
                <c:pt idx="964">
                  <c:v>2217962.171875</c:v>
                </c:pt>
                <c:pt idx="965">
                  <c:v>2217962.171875</c:v>
                </c:pt>
                <c:pt idx="966">
                  <c:v>2217962.171875</c:v>
                </c:pt>
                <c:pt idx="967">
                  <c:v>2217962.171875</c:v>
                </c:pt>
                <c:pt idx="968">
                  <c:v>2217962.171875</c:v>
                </c:pt>
                <c:pt idx="969">
                  <c:v>2217962.171875</c:v>
                </c:pt>
                <c:pt idx="970">
                  <c:v>2217962.171875</c:v>
                </c:pt>
                <c:pt idx="971">
                  <c:v>2217962.171875</c:v>
                </c:pt>
                <c:pt idx="972">
                  <c:v>2217962.171875</c:v>
                </c:pt>
                <c:pt idx="973">
                  <c:v>2217962.171875</c:v>
                </c:pt>
                <c:pt idx="974">
                  <c:v>2217962.171875</c:v>
                </c:pt>
                <c:pt idx="975">
                  <c:v>2217962.171875</c:v>
                </c:pt>
                <c:pt idx="976">
                  <c:v>2217962.171875</c:v>
                </c:pt>
                <c:pt idx="977">
                  <c:v>2217962.171875</c:v>
                </c:pt>
                <c:pt idx="978">
                  <c:v>2217962.171875</c:v>
                </c:pt>
                <c:pt idx="979">
                  <c:v>2217962.171875</c:v>
                </c:pt>
                <c:pt idx="980">
                  <c:v>2217962.171875</c:v>
                </c:pt>
                <c:pt idx="981">
                  <c:v>2217962.171875</c:v>
                </c:pt>
                <c:pt idx="982">
                  <c:v>2217962.171875</c:v>
                </c:pt>
                <c:pt idx="983">
                  <c:v>2217962.171875</c:v>
                </c:pt>
                <c:pt idx="984">
                  <c:v>2217962.171875</c:v>
                </c:pt>
                <c:pt idx="985">
                  <c:v>2217962.171875</c:v>
                </c:pt>
                <c:pt idx="986">
                  <c:v>2217962.171875</c:v>
                </c:pt>
                <c:pt idx="987">
                  <c:v>2217962.171875</c:v>
                </c:pt>
                <c:pt idx="988">
                  <c:v>2217962.171875</c:v>
                </c:pt>
                <c:pt idx="989">
                  <c:v>2217962.171875</c:v>
                </c:pt>
                <c:pt idx="990">
                  <c:v>2217962.171875</c:v>
                </c:pt>
                <c:pt idx="991">
                  <c:v>2217962.171875</c:v>
                </c:pt>
                <c:pt idx="992">
                  <c:v>2217962.171875</c:v>
                </c:pt>
                <c:pt idx="993">
                  <c:v>2217962.171875</c:v>
                </c:pt>
                <c:pt idx="994">
                  <c:v>2217962.171875</c:v>
                </c:pt>
                <c:pt idx="995">
                  <c:v>2217962.171875</c:v>
                </c:pt>
                <c:pt idx="996">
                  <c:v>2217962.171875</c:v>
                </c:pt>
                <c:pt idx="997">
                  <c:v>2217962.171875</c:v>
                </c:pt>
                <c:pt idx="998">
                  <c:v>2217962.171875</c:v>
                </c:pt>
                <c:pt idx="999">
                  <c:v>2217962.171875</c:v>
                </c:pt>
                <c:pt idx="1000">
                  <c:v>2217962.171875</c:v>
                </c:pt>
                <c:pt idx="1001">
                  <c:v>2217962.171875</c:v>
                </c:pt>
                <c:pt idx="1002">
                  <c:v>2217962.171875</c:v>
                </c:pt>
                <c:pt idx="1003">
                  <c:v>2217962.171875</c:v>
                </c:pt>
                <c:pt idx="1004">
                  <c:v>2217962.171875</c:v>
                </c:pt>
                <c:pt idx="1005">
                  <c:v>2217962.171875</c:v>
                </c:pt>
                <c:pt idx="1006">
                  <c:v>2217962.171875</c:v>
                </c:pt>
                <c:pt idx="1007">
                  <c:v>2217962.171875</c:v>
                </c:pt>
                <c:pt idx="1008">
                  <c:v>2217962.171875</c:v>
                </c:pt>
                <c:pt idx="1009">
                  <c:v>2217962.171875</c:v>
                </c:pt>
                <c:pt idx="1010">
                  <c:v>2217962.171875</c:v>
                </c:pt>
                <c:pt idx="1011">
                  <c:v>2217962.171875</c:v>
                </c:pt>
                <c:pt idx="1012">
                  <c:v>2217962.171875</c:v>
                </c:pt>
                <c:pt idx="1013">
                  <c:v>2217962.171875</c:v>
                </c:pt>
                <c:pt idx="1014">
                  <c:v>2217962.171875</c:v>
                </c:pt>
                <c:pt idx="1015">
                  <c:v>2217962.171875</c:v>
                </c:pt>
                <c:pt idx="1016">
                  <c:v>2217962.171875</c:v>
                </c:pt>
                <c:pt idx="1017">
                  <c:v>2217962.171875</c:v>
                </c:pt>
                <c:pt idx="1018">
                  <c:v>2217962.171875</c:v>
                </c:pt>
                <c:pt idx="1019">
                  <c:v>2217962.171875</c:v>
                </c:pt>
                <c:pt idx="1020">
                  <c:v>2217962.171875</c:v>
                </c:pt>
                <c:pt idx="1021">
                  <c:v>2217962.171875</c:v>
                </c:pt>
                <c:pt idx="1022">
                  <c:v>2217962.171875</c:v>
                </c:pt>
                <c:pt idx="1023">
                  <c:v>2217962.171875</c:v>
                </c:pt>
                <c:pt idx="1024">
                  <c:v>2217962.171875</c:v>
                </c:pt>
                <c:pt idx="1025">
                  <c:v>2217962.171875</c:v>
                </c:pt>
                <c:pt idx="1026">
                  <c:v>2217962.171875</c:v>
                </c:pt>
                <c:pt idx="1027">
                  <c:v>2217962.171875</c:v>
                </c:pt>
                <c:pt idx="1028">
                  <c:v>2217962.171875</c:v>
                </c:pt>
                <c:pt idx="1029">
                  <c:v>2217962.171875</c:v>
                </c:pt>
                <c:pt idx="1030">
                  <c:v>2217962.171875</c:v>
                </c:pt>
                <c:pt idx="1031">
                  <c:v>2217962.171875</c:v>
                </c:pt>
                <c:pt idx="1032">
                  <c:v>2217962.171875</c:v>
                </c:pt>
                <c:pt idx="1033">
                  <c:v>2217962.171875</c:v>
                </c:pt>
                <c:pt idx="1034">
                  <c:v>2217962.171875</c:v>
                </c:pt>
                <c:pt idx="1035">
                  <c:v>2217962.171875</c:v>
                </c:pt>
                <c:pt idx="1036">
                  <c:v>2217962.171875</c:v>
                </c:pt>
                <c:pt idx="1037">
                  <c:v>2217962.171875</c:v>
                </c:pt>
                <c:pt idx="1038">
                  <c:v>2217962.171875</c:v>
                </c:pt>
                <c:pt idx="1039">
                  <c:v>2217962.171875</c:v>
                </c:pt>
                <c:pt idx="1040">
                  <c:v>2217962.171875</c:v>
                </c:pt>
                <c:pt idx="1041">
                  <c:v>2217962.171875</c:v>
                </c:pt>
                <c:pt idx="1042">
                  <c:v>2217962.171875</c:v>
                </c:pt>
                <c:pt idx="1043">
                  <c:v>2217962.171875</c:v>
                </c:pt>
                <c:pt idx="1044">
                  <c:v>2217962.171875</c:v>
                </c:pt>
                <c:pt idx="1045">
                  <c:v>2217962.171875</c:v>
                </c:pt>
                <c:pt idx="1046">
                  <c:v>2217962.171875</c:v>
                </c:pt>
                <c:pt idx="1047">
                  <c:v>2217962.171875</c:v>
                </c:pt>
                <c:pt idx="1048">
                  <c:v>2217962.171875</c:v>
                </c:pt>
                <c:pt idx="1049">
                  <c:v>2217962.171875</c:v>
                </c:pt>
                <c:pt idx="1050">
                  <c:v>2217962.171875</c:v>
                </c:pt>
                <c:pt idx="1051">
                  <c:v>2217962.171875</c:v>
                </c:pt>
                <c:pt idx="1052">
                  <c:v>2217962.171875</c:v>
                </c:pt>
                <c:pt idx="1053">
                  <c:v>2217962.171875</c:v>
                </c:pt>
                <c:pt idx="1054">
                  <c:v>2217962.171875</c:v>
                </c:pt>
                <c:pt idx="1055">
                  <c:v>2217962.171875</c:v>
                </c:pt>
                <c:pt idx="1056">
                  <c:v>2217962.171875</c:v>
                </c:pt>
                <c:pt idx="1057">
                  <c:v>2217962.171875</c:v>
                </c:pt>
                <c:pt idx="1058">
                  <c:v>2217962.171875</c:v>
                </c:pt>
                <c:pt idx="1059">
                  <c:v>2217962.171875</c:v>
                </c:pt>
                <c:pt idx="1060">
                  <c:v>2217962.171875</c:v>
                </c:pt>
                <c:pt idx="1061">
                  <c:v>2217962.171875</c:v>
                </c:pt>
                <c:pt idx="1062">
                  <c:v>2217962.171875</c:v>
                </c:pt>
                <c:pt idx="1063">
                  <c:v>2217962.171875</c:v>
                </c:pt>
                <c:pt idx="1064">
                  <c:v>2217962.171875</c:v>
                </c:pt>
                <c:pt idx="1065">
                  <c:v>2217962.171875</c:v>
                </c:pt>
                <c:pt idx="1066">
                  <c:v>2217962.171875</c:v>
                </c:pt>
                <c:pt idx="1067">
                  <c:v>2217962.171875</c:v>
                </c:pt>
                <c:pt idx="1068">
                  <c:v>2217962.171875</c:v>
                </c:pt>
                <c:pt idx="1069">
                  <c:v>2217962.171875</c:v>
                </c:pt>
                <c:pt idx="1070">
                  <c:v>2217962.171875</c:v>
                </c:pt>
                <c:pt idx="1071">
                  <c:v>2217962.171875</c:v>
                </c:pt>
                <c:pt idx="1072">
                  <c:v>2217962.171875</c:v>
                </c:pt>
                <c:pt idx="1073">
                  <c:v>2217962.171875</c:v>
                </c:pt>
                <c:pt idx="1074">
                  <c:v>2217962.171875</c:v>
                </c:pt>
                <c:pt idx="1075">
                  <c:v>2217962.171875</c:v>
                </c:pt>
                <c:pt idx="1076">
                  <c:v>2217962.171875</c:v>
                </c:pt>
                <c:pt idx="1077">
                  <c:v>2217962.171875</c:v>
                </c:pt>
                <c:pt idx="1078">
                  <c:v>2217962.171875</c:v>
                </c:pt>
                <c:pt idx="1079">
                  <c:v>2217962.171875</c:v>
                </c:pt>
                <c:pt idx="1080">
                  <c:v>2217962.171875</c:v>
                </c:pt>
                <c:pt idx="1081">
                  <c:v>2217962.171875</c:v>
                </c:pt>
                <c:pt idx="1082">
                  <c:v>2217962.171875</c:v>
                </c:pt>
                <c:pt idx="1083">
                  <c:v>2217962.171875</c:v>
                </c:pt>
                <c:pt idx="1084">
                  <c:v>2217962.171875</c:v>
                </c:pt>
                <c:pt idx="1085">
                  <c:v>2217962.171875</c:v>
                </c:pt>
                <c:pt idx="1086">
                  <c:v>2217962.171875</c:v>
                </c:pt>
                <c:pt idx="1087">
                  <c:v>2217962.171875</c:v>
                </c:pt>
                <c:pt idx="1088">
                  <c:v>2217962.171875</c:v>
                </c:pt>
                <c:pt idx="1089">
                  <c:v>2217962.171875</c:v>
                </c:pt>
                <c:pt idx="1090">
                  <c:v>2217962.171875</c:v>
                </c:pt>
                <c:pt idx="1091">
                  <c:v>2217962.171875</c:v>
                </c:pt>
                <c:pt idx="1092">
                  <c:v>2217962.171875</c:v>
                </c:pt>
                <c:pt idx="1093">
                  <c:v>2217962.171875</c:v>
                </c:pt>
                <c:pt idx="1094">
                  <c:v>2217962.171875</c:v>
                </c:pt>
                <c:pt idx="1095">
                  <c:v>2217962.171875</c:v>
                </c:pt>
                <c:pt idx="1096">
                  <c:v>2217962.171875</c:v>
                </c:pt>
                <c:pt idx="1097">
                  <c:v>2217962.171875</c:v>
                </c:pt>
                <c:pt idx="1098">
                  <c:v>2217962.171875</c:v>
                </c:pt>
                <c:pt idx="1099">
                  <c:v>2217962.171875</c:v>
                </c:pt>
                <c:pt idx="1100">
                  <c:v>2217962.171875</c:v>
                </c:pt>
                <c:pt idx="1101">
                  <c:v>2217962.171875</c:v>
                </c:pt>
                <c:pt idx="1102">
                  <c:v>2217962.171875</c:v>
                </c:pt>
                <c:pt idx="1103">
                  <c:v>2217962.171875</c:v>
                </c:pt>
                <c:pt idx="1104">
                  <c:v>2217962.171875</c:v>
                </c:pt>
                <c:pt idx="1105">
                  <c:v>2217962.171875</c:v>
                </c:pt>
                <c:pt idx="1106">
                  <c:v>2217962.171875</c:v>
                </c:pt>
                <c:pt idx="1107">
                  <c:v>2217962.171875</c:v>
                </c:pt>
                <c:pt idx="1108">
                  <c:v>2217962.171875</c:v>
                </c:pt>
                <c:pt idx="1109">
                  <c:v>2217962.171875</c:v>
                </c:pt>
                <c:pt idx="1110">
                  <c:v>2217962.171875</c:v>
                </c:pt>
                <c:pt idx="1111">
                  <c:v>2217962.171875</c:v>
                </c:pt>
                <c:pt idx="1112">
                  <c:v>2217962.171875</c:v>
                </c:pt>
                <c:pt idx="1113">
                  <c:v>2217962.171875</c:v>
                </c:pt>
                <c:pt idx="1114">
                  <c:v>2217962.171875</c:v>
                </c:pt>
                <c:pt idx="1115">
                  <c:v>2217962.171875</c:v>
                </c:pt>
                <c:pt idx="1116">
                  <c:v>2217962.171875</c:v>
                </c:pt>
                <c:pt idx="1117">
                  <c:v>2217962.171875</c:v>
                </c:pt>
                <c:pt idx="1118">
                  <c:v>2217962.171875</c:v>
                </c:pt>
                <c:pt idx="1119">
                  <c:v>2217962.171875</c:v>
                </c:pt>
                <c:pt idx="1120">
                  <c:v>2217962.171875</c:v>
                </c:pt>
                <c:pt idx="1121">
                  <c:v>2217962.171875</c:v>
                </c:pt>
                <c:pt idx="1122">
                  <c:v>2217962.171875</c:v>
                </c:pt>
                <c:pt idx="1123">
                  <c:v>2217962.171875</c:v>
                </c:pt>
                <c:pt idx="1124">
                  <c:v>2217962.171875</c:v>
                </c:pt>
                <c:pt idx="1125">
                  <c:v>2217962.171875</c:v>
                </c:pt>
                <c:pt idx="1126">
                  <c:v>2217962.171875</c:v>
                </c:pt>
                <c:pt idx="1127">
                  <c:v>2217962.171875</c:v>
                </c:pt>
                <c:pt idx="1128">
                  <c:v>2217962.171875</c:v>
                </c:pt>
                <c:pt idx="1129">
                  <c:v>2217962.171875</c:v>
                </c:pt>
                <c:pt idx="1130">
                  <c:v>2217962.171875</c:v>
                </c:pt>
                <c:pt idx="1131">
                  <c:v>2217962.171875</c:v>
                </c:pt>
                <c:pt idx="1132">
                  <c:v>2217962.171875</c:v>
                </c:pt>
                <c:pt idx="1133">
                  <c:v>2217962.171875</c:v>
                </c:pt>
                <c:pt idx="1134">
                  <c:v>2217962.171875</c:v>
                </c:pt>
                <c:pt idx="1135">
                  <c:v>2217962.171875</c:v>
                </c:pt>
                <c:pt idx="1136">
                  <c:v>2217962.171875</c:v>
                </c:pt>
                <c:pt idx="1137">
                  <c:v>2217962.171875</c:v>
                </c:pt>
                <c:pt idx="1138">
                  <c:v>2217962.171875</c:v>
                </c:pt>
                <c:pt idx="1139">
                  <c:v>2217962.171875</c:v>
                </c:pt>
                <c:pt idx="1140">
                  <c:v>2217962.171875</c:v>
                </c:pt>
                <c:pt idx="1141">
                  <c:v>2217962.171875</c:v>
                </c:pt>
                <c:pt idx="1142">
                  <c:v>2217962.171875</c:v>
                </c:pt>
                <c:pt idx="1143">
                  <c:v>2217962.171875</c:v>
                </c:pt>
                <c:pt idx="1144">
                  <c:v>2217962.171875</c:v>
                </c:pt>
                <c:pt idx="1145">
                  <c:v>2217962.171875</c:v>
                </c:pt>
                <c:pt idx="1146">
                  <c:v>2217962.171875</c:v>
                </c:pt>
                <c:pt idx="1147">
                  <c:v>2217962.171875</c:v>
                </c:pt>
                <c:pt idx="1148">
                  <c:v>2217962.171875</c:v>
                </c:pt>
                <c:pt idx="1149">
                  <c:v>2217962.171875</c:v>
                </c:pt>
                <c:pt idx="1150">
                  <c:v>2217962.171875</c:v>
                </c:pt>
                <c:pt idx="1151">
                  <c:v>2217962.171875</c:v>
                </c:pt>
                <c:pt idx="1152">
                  <c:v>2217962.171875</c:v>
                </c:pt>
                <c:pt idx="1153">
                  <c:v>2217962.171875</c:v>
                </c:pt>
                <c:pt idx="1154">
                  <c:v>2217962.171875</c:v>
                </c:pt>
                <c:pt idx="1155">
                  <c:v>2217962.171875</c:v>
                </c:pt>
                <c:pt idx="1156">
                  <c:v>2217962.171875</c:v>
                </c:pt>
                <c:pt idx="1157">
                  <c:v>2217962.171875</c:v>
                </c:pt>
                <c:pt idx="1158">
                  <c:v>2217962.171875</c:v>
                </c:pt>
                <c:pt idx="1159">
                  <c:v>2217962.171875</c:v>
                </c:pt>
                <c:pt idx="1160">
                  <c:v>2217962.171875</c:v>
                </c:pt>
                <c:pt idx="1161">
                  <c:v>2217962.171875</c:v>
                </c:pt>
                <c:pt idx="1162">
                  <c:v>2217962.171875</c:v>
                </c:pt>
                <c:pt idx="1163">
                  <c:v>2217962.171875</c:v>
                </c:pt>
                <c:pt idx="1164">
                  <c:v>2217962.171875</c:v>
                </c:pt>
                <c:pt idx="1165">
                  <c:v>2217962.171875</c:v>
                </c:pt>
                <c:pt idx="1166">
                  <c:v>2217962.171875</c:v>
                </c:pt>
                <c:pt idx="1167">
                  <c:v>2217962.171875</c:v>
                </c:pt>
                <c:pt idx="1168">
                  <c:v>2217962.171875</c:v>
                </c:pt>
                <c:pt idx="1169">
                  <c:v>2217962.171875</c:v>
                </c:pt>
                <c:pt idx="1170">
                  <c:v>2217962.171875</c:v>
                </c:pt>
                <c:pt idx="1171">
                  <c:v>2217962.171875</c:v>
                </c:pt>
                <c:pt idx="1172">
                  <c:v>2217962.171875</c:v>
                </c:pt>
                <c:pt idx="1173">
                  <c:v>2217962.171875</c:v>
                </c:pt>
                <c:pt idx="1174">
                  <c:v>2217962.171875</c:v>
                </c:pt>
                <c:pt idx="1175">
                  <c:v>2217962.171875</c:v>
                </c:pt>
                <c:pt idx="1176">
                  <c:v>2217962.171875</c:v>
                </c:pt>
                <c:pt idx="1177">
                  <c:v>2217962.171875</c:v>
                </c:pt>
                <c:pt idx="1178">
                  <c:v>2217962.171875</c:v>
                </c:pt>
                <c:pt idx="1179">
                  <c:v>2217962.171875</c:v>
                </c:pt>
                <c:pt idx="1180">
                  <c:v>2217962.171875</c:v>
                </c:pt>
                <c:pt idx="1181">
                  <c:v>2217962.171875</c:v>
                </c:pt>
                <c:pt idx="1182">
                  <c:v>2217962.171875</c:v>
                </c:pt>
                <c:pt idx="1183">
                  <c:v>2217962.171875</c:v>
                </c:pt>
                <c:pt idx="1184">
                  <c:v>2217962.171875</c:v>
                </c:pt>
                <c:pt idx="1185">
                  <c:v>2217962.171875</c:v>
                </c:pt>
                <c:pt idx="1186">
                  <c:v>2217962.171875</c:v>
                </c:pt>
                <c:pt idx="1187">
                  <c:v>2217962.171875</c:v>
                </c:pt>
                <c:pt idx="1188">
                  <c:v>2217962.171875</c:v>
                </c:pt>
                <c:pt idx="1189">
                  <c:v>2217962.171875</c:v>
                </c:pt>
                <c:pt idx="1190">
                  <c:v>2217962.171875</c:v>
                </c:pt>
                <c:pt idx="1191">
                  <c:v>2217962.171875</c:v>
                </c:pt>
                <c:pt idx="1192">
                  <c:v>2217962.171875</c:v>
                </c:pt>
                <c:pt idx="1193">
                  <c:v>2217962.171875</c:v>
                </c:pt>
                <c:pt idx="1194">
                  <c:v>2217962.171875</c:v>
                </c:pt>
                <c:pt idx="1195">
                  <c:v>2217962.171875</c:v>
                </c:pt>
                <c:pt idx="1196">
                  <c:v>2217962.171875</c:v>
                </c:pt>
                <c:pt idx="1197">
                  <c:v>2217962.171875</c:v>
                </c:pt>
                <c:pt idx="1198">
                  <c:v>2217962.171875</c:v>
                </c:pt>
                <c:pt idx="1199">
                  <c:v>2217962.171875</c:v>
                </c:pt>
                <c:pt idx="1200">
                  <c:v>2217962.171875</c:v>
                </c:pt>
                <c:pt idx="1201">
                  <c:v>2217962.171875</c:v>
                </c:pt>
                <c:pt idx="1202">
                  <c:v>2217962.171875</c:v>
                </c:pt>
                <c:pt idx="1203">
                  <c:v>2217962.171875</c:v>
                </c:pt>
                <c:pt idx="1204">
                  <c:v>2217962.171875</c:v>
                </c:pt>
                <c:pt idx="1205">
                  <c:v>2217962.171875</c:v>
                </c:pt>
                <c:pt idx="1206">
                  <c:v>2217962.171875</c:v>
                </c:pt>
                <c:pt idx="1207">
                  <c:v>2217962.171875</c:v>
                </c:pt>
                <c:pt idx="1208">
                  <c:v>2217962.171875</c:v>
                </c:pt>
                <c:pt idx="1209">
                  <c:v>2217962.171875</c:v>
                </c:pt>
                <c:pt idx="1210">
                  <c:v>2217962.171875</c:v>
                </c:pt>
                <c:pt idx="1211">
                  <c:v>2217962.171875</c:v>
                </c:pt>
                <c:pt idx="1212">
                  <c:v>2217962.171875</c:v>
                </c:pt>
                <c:pt idx="1213">
                  <c:v>2217962.171875</c:v>
                </c:pt>
                <c:pt idx="1214">
                  <c:v>2217962.171875</c:v>
                </c:pt>
                <c:pt idx="1215">
                  <c:v>2217962.171875</c:v>
                </c:pt>
                <c:pt idx="1216">
                  <c:v>2217962.171875</c:v>
                </c:pt>
                <c:pt idx="1217">
                  <c:v>2217962.171875</c:v>
                </c:pt>
                <c:pt idx="1218">
                  <c:v>2217962.171875</c:v>
                </c:pt>
                <c:pt idx="1219">
                  <c:v>2217962.171875</c:v>
                </c:pt>
                <c:pt idx="1220">
                  <c:v>2217962.171875</c:v>
                </c:pt>
                <c:pt idx="1221">
                  <c:v>2217962.171875</c:v>
                </c:pt>
                <c:pt idx="1222">
                  <c:v>2217962.171875</c:v>
                </c:pt>
                <c:pt idx="1223">
                  <c:v>2217962.171875</c:v>
                </c:pt>
                <c:pt idx="1224">
                  <c:v>2217962.171875</c:v>
                </c:pt>
                <c:pt idx="1225">
                  <c:v>2217962.171875</c:v>
                </c:pt>
                <c:pt idx="1226">
                  <c:v>2217962.171875</c:v>
                </c:pt>
                <c:pt idx="1227">
                  <c:v>2217962.171875</c:v>
                </c:pt>
                <c:pt idx="1228">
                  <c:v>2217962.171875</c:v>
                </c:pt>
                <c:pt idx="1229">
                  <c:v>2217962.171875</c:v>
                </c:pt>
                <c:pt idx="1230">
                  <c:v>2217962.171875</c:v>
                </c:pt>
                <c:pt idx="1231">
                  <c:v>2217962.171875</c:v>
                </c:pt>
                <c:pt idx="1232">
                  <c:v>2217962.171875</c:v>
                </c:pt>
                <c:pt idx="1233">
                  <c:v>2217962.171875</c:v>
                </c:pt>
                <c:pt idx="1234">
                  <c:v>2217962.171875</c:v>
                </c:pt>
                <c:pt idx="1235">
                  <c:v>2217962.171875</c:v>
                </c:pt>
                <c:pt idx="1236">
                  <c:v>2217962.171875</c:v>
                </c:pt>
                <c:pt idx="1237">
                  <c:v>2217962.171875</c:v>
                </c:pt>
                <c:pt idx="1238">
                  <c:v>2217962.171875</c:v>
                </c:pt>
                <c:pt idx="1239">
                  <c:v>2217962.171875</c:v>
                </c:pt>
                <c:pt idx="1240">
                  <c:v>2217962.171875</c:v>
                </c:pt>
                <c:pt idx="1241">
                  <c:v>2217962.171875</c:v>
                </c:pt>
                <c:pt idx="1242">
                  <c:v>2217962.171875</c:v>
                </c:pt>
                <c:pt idx="1243">
                  <c:v>2217962.171875</c:v>
                </c:pt>
                <c:pt idx="1244">
                  <c:v>2217962.171875</c:v>
                </c:pt>
                <c:pt idx="1245">
                  <c:v>2217962.171875</c:v>
                </c:pt>
                <c:pt idx="1246">
                  <c:v>2217962.171875</c:v>
                </c:pt>
                <c:pt idx="1247">
                  <c:v>2217962.171875</c:v>
                </c:pt>
                <c:pt idx="1248">
                  <c:v>2217962.171875</c:v>
                </c:pt>
                <c:pt idx="1249">
                  <c:v>2217962.171875</c:v>
                </c:pt>
                <c:pt idx="1250">
                  <c:v>2217962.171875</c:v>
                </c:pt>
                <c:pt idx="1251">
                  <c:v>2217962.171875</c:v>
                </c:pt>
                <c:pt idx="1252">
                  <c:v>2217962.171875</c:v>
                </c:pt>
                <c:pt idx="1253">
                  <c:v>2217962.171875</c:v>
                </c:pt>
                <c:pt idx="1254">
                  <c:v>2217962.171875</c:v>
                </c:pt>
                <c:pt idx="1255">
                  <c:v>2217962.171875</c:v>
                </c:pt>
                <c:pt idx="1256">
                  <c:v>2217962.171875</c:v>
                </c:pt>
                <c:pt idx="1257">
                  <c:v>2217962.171875</c:v>
                </c:pt>
                <c:pt idx="1258">
                  <c:v>2217962.171875</c:v>
                </c:pt>
                <c:pt idx="1259">
                  <c:v>2217962.171875</c:v>
                </c:pt>
                <c:pt idx="1260">
                  <c:v>2217962.171875</c:v>
                </c:pt>
                <c:pt idx="1261">
                  <c:v>2217962.171875</c:v>
                </c:pt>
                <c:pt idx="1262">
                  <c:v>2217962.171875</c:v>
                </c:pt>
                <c:pt idx="1263">
                  <c:v>2217962.171875</c:v>
                </c:pt>
                <c:pt idx="1264">
                  <c:v>2217962.171875</c:v>
                </c:pt>
                <c:pt idx="1265">
                  <c:v>2217962.171875</c:v>
                </c:pt>
                <c:pt idx="1266">
                  <c:v>2217962.171875</c:v>
                </c:pt>
                <c:pt idx="1267">
                  <c:v>2217962.171875</c:v>
                </c:pt>
                <c:pt idx="1268">
                  <c:v>2217962.171875</c:v>
                </c:pt>
                <c:pt idx="1269">
                  <c:v>2217962.171875</c:v>
                </c:pt>
                <c:pt idx="1270">
                  <c:v>2217962.171875</c:v>
                </c:pt>
                <c:pt idx="1271">
                  <c:v>2217962.171875</c:v>
                </c:pt>
                <c:pt idx="1272">
                  <c:v>2217962.171875</c:v>
                </c:pt>
                <c:pt idx="1273">
                  <c:v>2217962.171875</c:v>
                </c:pt>
                <c:pt idx="1274">
                  <c:v>2217962.171875</c:v>
                </c:pt>
                <c:pt idx="1275">
                  <c:v>2217962.171875</c:v>
                </c:pt>
                <c:pt idx="1276">
                  <c:v>2217962.171875</c:v>
                </c:pt>
                <c:pt idx="1277">
                  <c:v>2217962.171875</c:v>
                </c:pt>
                <c:pt idx="1278">
                  <c:v>2217962.171875</c:v>
                </c:pt>
                <c:pt idx="1279">
                  <c:v>2217962.171875</c:v>
                </c:pt>
                <c:pt idx="1280">
                  <c:v>2217962.171875</c:v>
                </c:pt>
                <c:pt idx="1281">
                  <c:v>2217962.171875</c:v>
                </c:pt>
                <c:pt idx="1282">
                  <c:v>2217962.171875</c:v>
                </c:pt>
                <c:pt idx="1283">
                  <c:v>2217962.171875</c:v>
                </c:pt>
                <c:pt idx="1284">
                  <c:v>2217962.171875</c:v>
                </c:pt>
                <c:pt idx="1285">
                  <c:v>2217962.171875</c:v>
                </c:pt>
                <c:pt idx="1286">
                  <c:v>2217962.171875</c:v>
                </c:pt>
                <c:pt idx="1287">
                  <c:v>2217962.171875</c:v>
                </c:pt>
                <c:pt idx="1288">
                  <c:v>2217962.171875</c:v>
                </c:pt>
                <c:pt idx="1289">
                  <c:v>2217962.171875</c:v>
                </c:pt>
                <c:pt idx="1290">
                  <c:v>2217962.171875</c:v>
                </c:pt>
                <c:pt idx="1291">
                  <c:v>2217962.171875</c:v>
                </c:pt>
                <c:pt idx="1292">
                  <c:v>2217962.171875</c:v>
                </c:pt>
                <c:pt idx="1293">
                  <c:v>2217962.171875</c:v>
                </c:pt>
                <c:pt idx="1294">
                  <c:v>2217962.171875</c:v>
                </c:pt>
                <c:pt idx="1295">
                  <c:v>2217962.171875</c:v>
                </c:pt>
                <c:pt idx="1296">
                  <c:v>2217962.171875</c:v>
                </c:pt>
                <c:pt idx="1297">
                  <c:v>2217962.171875</c:v>
                </c:pt>
                <c:pt idx="1298">
                  <c:v>2217962.171875</c:v>
                </c:pt>
                <c:pt idx="1299">
                  <c:v>2217962.171875</c:v>
                </c:pt>
                <c:pt idx="1300">
                  <c:v>2217962.171875</c:v>
                </c:pt>
                <c:pt idx="1301">
                  <c:v>2217962.171875</c:v>
                </c:pt>
                <c:pt idx="1302">
                  <c:v>2217962.171875</c:v>
                </c:pt>
                <c:pt idx="1303">
                  <c:v>2217962.171875</c:v>
                </c:pt>
                <c:pt idx="1304">
                  <c:v>2217962.171875</c:v>
                </c:pt>
                <c:pt idx="1305">
                  <c:v>2217962.171875</c:v>
                </c:pt>
                <c:pt idx="1306">
                  <c:v>2217962.171875</c:v>
                </c:pt>
                <c:pt idx="1307">
                  <c:v>2217962.171875</c:v>
                </c:pt>
                <c:pt idx="1308">
                  <c:v>2217962.171875</c:v>
                </c:pt>
                <c:pt idx="1309">
                  <c:v>2217962.171875</c:v>
                </c:pt>
                <c:pt idx="1310">
                  <c:v>2217962.171875</c:v>
                </c:pt>
                <c:pt idx="1311">
                  <c:v>2217962.171875</c:v>
                </c:pt>
                <c:pt idx="1312">
                  <c:v>2217962.171875</c:v>
                </c:pt>
                <c:pt idx="1313">
                  <c:v>2217962.171875</c:v>
                </c:pt>
                <c:pt idx="1314">
                  <c:v>2217962.171875</c:v>
                </c:pt>
                <c:pt idx="1315">
                  <c:v>2217962.171875</c:v>
                </c:pt>
                <c:pt idx="1316">
                  <c:v>2217962.171875</c:v>
                </c:pt>
                <c:pt idx="1317">
                  <c:v>2217962.171875</c:v>
                </c:pt>
                <c:pt idx="1318">
                  <c:v>2217962.171875</c:v>
                </c:pt>
                <c:pt idx="1319">
                  <c:v>2217962.171875</c:v>
                </c:pt>
                <c:pt idx="1320">
                  <c:v>2217962.171875</c:v>
                </c:pt>
                <c:pt idx="1321">
                  <c:v>2217962.171875</c:v>
                </c:pt>
                <c:pt idx="1322">
                  <c:v>2217962.171875</c:v>
                </c:pt>
                <c:pt idx="1323">
                  <c:v>2217962.171875</c:v>
                </c:pt>
                <c:pt idx="1324">
                  <c:v>2217962.171875</c:v>
                </c:pt>
                <c:pt idx="1325">
                  <c:v>2217962.171875</c:v>
                </c:pt>
                <c:pt idx="1326">
                  <c:v>2217962.171875</c:v>
                </c:pt>
                <c:pt idx="1327">
                  <c:v>2217962.171875</c:v>
                </c:pt>
                <c:pt idx="1328">
                  <c:v>2217962.171875</c:v>
                </c:pt>
                <c:pt idx="1329">
                  <c:v>2217962.171875</c:v>
                </c:pt>
                <c:pt idx="1330">
                  <c:v>2217962.171875</c:v>
                </c:pt>
                <c:pt idx="1331">
                  <c:v>2217962.171875</c:v>
                </c:pt>
                <c:pt idx="1332">
                  <c:v>2217962.171875</c:v>
                </c:pt>
                <c:pt idx="1333">
                  <c:v>2217962.171875</c:v>
                </c:pt>
                <c:pt idx="1334">
                  <c:v>2217962.171875</c:v>
                </c:pt>
                <c:pt idx="1335">
                  <c:v>2217962.171875</c:v>
                </c:pt>
                <c:pt idx="1336">
                  <c:v>2217962.171875</c:v>
                </c:pt>
                <c:pt idx="1337">
                  <c:v>2217962.171875</c:v>
                </c:pt>
                <c:pt idx="1338">
                  <c:v>2217962.171875</c:v>
                </c:pt>
                <c:pt idx="1339">
                  <c:v>2217962.171875</c:v>
                </c:pt>
                <c:pt idx="1340">
                  <c:v>2217962.171875</c:v>
                </c:pt>
                <c:pt idx="1341">
                  <c:v>2217962.171875</c:v>
                </c:pt>
                <c:pt idx="1342">
                  <c:v>2217962.171875</c:v>
                </c:pt>
                <c:pt idx="1343">
                  <c:v>2217962.171875</c:v>
                </c:pt>
                <c:pt idx="1344">
                  <c:v>2217962.171875</c:v>
                </c:pt>
                <c:pt idx="1345">
                  <c:v>2217962.171875</c:v>
                </c:pt>
                <c:pt idx="1346">
                  <c:v>2217962.171875</c:v>
                </c:pt>
                <c:pt idx="1347">
                  <c:v>2217962.171875</c:v>
                </c:pt>
                <c:pt idx="1348">
                  <c:v>2217962.171875</c:v>
                </c:pt>
                <c:pt idx="1349">
                  <c:v>2217962.171875</c:v>
                </c:pt>
                <c:pt idx="1350">
                  <c:v>2217962.171875</c:v>
                </c:pt>
                <c:pt idx="1351">
                  <c:v>2217962.171875</c:v>
                </c:pt>
                <c:pt idx="1352">
                  <c:v>2217962.171875</c:v>
                </c:pt>
                <c:pt idx="1353">
                  <c:v>2217962.171875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697423.5194999997</c:v>
                </c:pt>
                <c:pt idx="30">
                  <c:v>654748.97349999985</c:v>
                </c:pt>
                <c:pt idx="31">
                  <c:v>654748.97349999985</c:v>
                </c:pt>
                <c:pt idx="32">
                  <c:v>818939.5009999997</c:v>
                </c:pt>
                <c:pt idx="33">
                  <c:v>818939.5009999997</c:v>
                </c:pt>
                <c:pt idx="34">
                  <c:v>818439.5009999997</c:v>
                </c:pt>
                <c:pt idx="35">
                  <c:v>818439.5009999997</c:v>
                </c:pt>
                <c:pt idx="36">
                  <c:v>818439.5009999997</c:v>
                </c:pt>
                <c:pt idx="37">
                  <c:v>784514.95499999961</c:v>
                </c:pt>
                <c:pt idx="38">
                  <c:v>737467.32312499965</c:v>
                </c:pt>
                <c:pt idx="39">
                  <c:v>737467.32312499965</c:v>
                </c:pt>
                <c:pt idx="40">
                  <c:v>737467.32312499965</c:v>
                </c:pt>
                <c:pt idx="41">
                  <c:v>737467.32312499965</c:v>
                </c:pt>
                <c:pt idx="42">
                  <c:v>737467.32312499965</c:v>
                </c:pt>
                <c:pt idx="43">
                  <c:v>737467.32312499965</c:v>
                </c:pt>
                <c:pt idx="44">
                  <c:v>737467.32312499965</c:v>
                </c:pt>
                <c:pt idx="45">
                  <c:v>737467.32312499965</c:v>
                </c:pt>
                <c:pt idx="46">
                  <c:v>737467.32312499965</c:v>
                </c:pt>
                <c:pt idx="47">
                  <c:v>737467.32312499965</c:v>
                </c:pt>
                <c:pt idx="48">
                  <c:v>737467.32312499965</c:v>
                </c:pt>
                <c:pt idx="49">
                  <c:v>737467.32312499965</c:v>
                </c:pt>
                <c:pt idx="50">
                  <c:v>737467.32312499965</c:v>
                </c:pt>
                <c:pt idx="51">
                  <c:v>737467.32312499965</c:v>
                </c:pt>
                <c:pt idx="52">
                  <c:v>737467.32312499965</c:v>
                </c:pt>
                <c:pt idx="53">
                  <c:v>737467.32312499965</c:v>
                </c:pt>
                <c:pt idx="54">
                  <c:v>737467.32312499965</c:v>
                </c:pt>
                <c:pt idx="55">
                  <c:v>737467.32312499965</c:v>
                </c:pt>
                <c:pt idx="56">
                  <c:v>737467.32312499965</c:v>
                </c:pt>
                <c:pt idx="57">
                  <c:v>737467.32312499965</c:v>
                </c:pt>
                <c:pt idx="58">
                  <c:v>737467.32312499965</c:v>
                </c:pt>
                <c:pt idx="59">
                  <c:v>737467.32312499965</c:v>
                </c:pt>
                <c:pt idx="60">
                  <c:v>737467.32312499965</c:v>
                </c:pt>
                <c:pt idx="61">
                  <c:v>737467.32312499965</c:v>
                </c:pt>
                <c:pt idx="62">
                  <c:v>737467.32312499965</c:v>
                </c:pt>
                <c:pt idx="63">
                  <c:v>737467.32312499965</c:v>
                </c:pt>
                <c:pt idx="64">
                  <c:v>737467.32312499965</c:v>
                </c:pt>
                <c:pt idx="65">
                  <c:v>737467.32312499965</c:v>
                </c:pt>
                <c:pt idx="66">
                  <c:v>737467.32312499965</c:v>
                </c:pt>
                <c:pt idx="67">
                  <c:v>737467.32312499965</c:v>
                </c:pt>
                <c:pt idx="68">
                  <c:v>737467.32312499965</c:v>
                </c:pt>
                <c:pt idx="69">
                  <c:v>737467.32312499965</c:v>
                </c:pt>
                <c:pt idx="70">
                  <c:v>737467.32312499965</c:v>
                </c:pt>
                <c:pt idx="71">
                  <c:v>737467.32312499965</c:v>
                </c:pt>
                <c:pt idx="72">
                  <c:v>737467.32312499965</c:v>
                </c:pt>
                <c:pt idx="73">
                  <c:v>737467.32312499965</c:v>
                </c:pt>
                <c:pt idx="74">
                  <c:v>737467.32312499965</c:v>
                </c:pt>
                <c:pt idx="75">
                  <c:v>737467.32312499965</c:v>
                </c:pt>
                <c:pt idx="76">
                  <c:v>737467.32312499965</c:v>
                </c:pt>
                <c:pt idx="77">
                  <c:v>737467.32312499965</c:v>
                </c:pt>
                <c:pt idx="78">
                  <c:v>737467.32312499965</c:v>
                </c:pt>
                <c:pt idx="79">
                  <c:v>737467.32312499965</c:v>
                </c:pt>
                <c:pt idx="80">
                  <c:v>737467.32312499965</c:v>
                </c:pt>
                <c:pt idx="81">
                  <c:v>737467.32312499965</c:v>
                </c:pt>
                <c:pt idx="82">
                  <c:v>737467.32312499965</c:v>
                </c:pt>
                <c:pt idx="83">
                  <c:v>737467.32312499965</c:v>
                </c:pt>
                <c:pt idx="84">
                  <c:v>737467.32312499965</c:v>
                </c:pt>
                <c:pt idx="85">
                  <c:v>737467.32312499965</c:v>
                </c:pt>
                <c:pt idx="86">
                  <c:v>737467.32312499965</c:v>
                </c:pt>
                <c:pt idx="87">
                  <c:v>737467.32312499965</c:v>
                </c:pt>
                <c:pt idx="88">
                  <c:v>737467.32312499965</c:v>
                </c:pt>
                <c:pt idx="89">
                  <c:v>737467.32312499965</c:v>
                </c:pt>
                <c:pt idx="90">
                  <c:v>737467.32312499965</c:v>
                </c:pt>
                <c:pt idx="91">
                  <c:v>737467.32312499965</c:v>
                </c:pt>
                <c:pt idx="92">
                  <c:v>737467.32312499965</c:v>
                </c:pt>
                <c:pt idx="93">
                  <c:v>737467.32312499965</c:v>
                </c:pt>
                <c:pt idx="94">
                  <c:v>737467.32312499965</c:v>
                </c:pt>
                <c:pt idx="95">
                  <c:v>737467.32312499965</c:v>
                </c:pt>
                <c:pt idx="96">
                  <c:v>737467.32312499965</c:v>
                </c:pt>
                <c:pt idx="97">
                  <c:v>737467.32312499965</c:v>
                </c:pt>
                <c:pt idx="98">
                  <c:v>737467.32312499965</c:v>
                </c:pt>
                <c:pt idx="99">
                  <c:v>737467.32312499965</c:v>
                </c:pt>
                <c:pt idx="100">
                  <c:v>737467.32312499965</c:v>
                </c:pt>
                <c:pt idx="101">
                  <c:v>737467.32312499965</c:v>
                </c:pt>
                <c:pt idx="102">
                  <c:v>737467.32312499965</c:v>
                </c:pt>
                <c:pt idx="103">
                  <c:v>737467.32312499965</c:v>
                </c:pt>
                <c:pt idx="104">
                  <c:v>737467.32312499965</c:v>
                </c:pt>
                <c:pt idx="105">
                  <c:v>737467.32312499965</c:v>
                </c:pt>
                <c:pt idx="106">
                  <c:v>737467.32312499965</c:v>
                </c:pt>
                <c:pt idx="107">
                  <c:v>737467.32312499965</c:v>
                </c:pt>
                <c:pt idx="108">
                  <c:v>737467.32312499965</c:v>
                </c:pt>
                <c:pt idx="109">
                  <c:v>737467.32312499965</c:v>
                </c:pt>
                <c:pt idx="110">
                  <c:v>737467.32312499965</c:v>
                </c:pt>
                <c:pt idx="111">
                  <c:v>737467.32312499965</c:v>
                </c:pt>
                <c:pt idx="112">
                  <c:v>737467.32312499965</c:v>
                </c:pt>
                <c:pt idx="113">
                  <c:v>737467.32312499965</c:v>
                </c:pt>
                <c:pt idx="114">
                  <c:v>737467.32312499965</c:v>
                </c:pt>
                <c:pt idx="115">
                  <c:v>737467.32312499965</c:v>
                </c:pt>
                <c:pt idx="116">
                  <c:v>737467.32312499965</c:v>
                </c:pt>
                <c:pt idx="117">
                  <c:v>737467.32312499965</c:v>
                </c:pt>
                <c:pt idx="118">
                  <c:v>737467.32312499965</c:v>
                </c:pt>
                <c:pt idx="119">
                  <c:v>737467.32312499965</c:v>
                </c:pt>
                <c:pt idx="120">
                  <c:v>737467.32312499965</c:v>
                </c:pt>
                <c:pt idx="121">
                  <c:v>737467.32312499965</c:v>
                </c:pt>
                <c:pt idx="122">
                  <c:v>737467.32312499965</c:v>
                </c:pt>
                <c:pt idx="123">
                  <c:v>737467.32312499965</c:v>
                </c:pt>
                <c:pt idx="124">
                  <c:v>737467.32312499965</c:v>
                </c:pt>
                <c:pt idx="125">
                  <c:v>737467.32312499965</c:v>
                </c:pt>
                <c:pt idx="126">
                  <c:v>737467.32312499965</c:v>
                </c:pt>
                <c:pt idx="127">
                  <c:v>737467.32312499965</c:v>
                </c:pt>
                <c:pt idx="128">
                  <c:v>737467.32312499965</c:v>
                </c:pt>
                <c:pt idx="129">
                  <c:v>737467.32312499965</c:v>
                </c:pt>
                <c:pt idx="130">
                  <c:v>737467.32312499965</c:v>
                </c:pt>
                <c:pt idx="131">
                  <c:v>737467.32312499965</c:v>
                </c:pt>
                <c:pt idx="132">
                  <c:v>737467.32312499965</c:v>
                </c:pt>
                <c:pt idx="133">
                  <c:v>737467.32312499965</c:v>
                </c:pt>
                <c:pt idx="134">
                  <c:v>737467.32312499965</c:v>
                </c:pt>
                <c:pt idx="135">
                  <c:v>737467.32312499965</c:v>
                </c:pt>
                <c:pt idx="136">
                  <c:v>737467.32312499965</c:v>
                </c:pt>
                <c:pt idx="137">
                  <c:v>737467.32312499965</c:v>
                </c:pt>
                <c:pt idx="138">
                  <c:v>737467.32312499965</c:v>
                </c:pt>
                <c:pt idx="139">
                  <c:v>737467.32312499965</c:v>
                </c:pt>
                <c:pt idx="140">
                  <c:v>737467.32312499965</c:v>
                </c:pt>
                <c:pt idx="141">
                  <c:v>737467.32312499965</c:v>
                </c:pt>
                <c:pt idx="142">
                  <c:v>737467.32312499965</c:v>
                </c:pt>
                <c:pt idx="143">
                  <c:v>737467.32312499965</c:v>
                </c:pt>
                <c:pt idx="144">
                  <c:v>737467.32312499965</c:v>
                </c:pt>
                <c:pt idx="145">
                  <c:v>737467.32312499965</c:v>
                </c:pt>
                <c:pt idx="146">
                  <c:v>737467.32312499965</c:v>
                </c:pt>
                <c:pt idx="147">
                  <c:v>737467.32312499965</c:v>
                </c:pt>
                <c:pt idx="148">
                  <c:v>737467.32312499965</c:v>
                </c:pt>
                <c:pt idx="149">
                  <c:v>737467.32312499965</c:v>
                </c:pt>
                <c:pt idx="150">
                  <c:v>737467.32312499965</c:v>
                </c:pt>
                <c:pt idx="151">
                  <c:v>737467.32312499965</c:v>
                </c:pt>
                <c:pt idx="152">
                  <c:v>737467.32312499965</c:v>
                </c:pt>
                <c:pt idx="153">
                  <c:v>737467.32312499965</c:v>
                </c:pt>
                <c:pt idx="154">
                  <c:v>737467.32312499965</c:v>
                </c:pt>
                <c:pt idx="155">
                  <c:v>737467.32312499965</c:v>
                </c:pt>
                <c:pt idx="156">
                  <c:v>737467.32312499965</c:v>
                </c:pt>
                <c:pt idx="157">
                  <c:v>737467.32312499965</c:v>
                </c:pt>
                <c:pt idx="158">
                  <c:v>737467.32312499965</c:v>
                </c:pt>
                <c:pt idx="159">
                  <c:v>737467.32312499965</c:v>
                </c:pt>
                <c:pt idx="160">
                  <c:v>737467.32312499965</c:v>
                </c:pt>
                <c:pt idx="161">
                  <c:v>737467.32312499965</c:v>
                </c:pt>
                <c:pt idx="162">
                  <c:v>737467.32312499965</c:v>
                </c:pt>
                <c:pt idx="163">
                  <c:v>737467.32312499965</c:v>
                </c:pt>
                <c:pt idx="164">
                  <c:v>737467.32312499965</c:v>
                </c:pt>
                <c:pt idx="165">
                  <c:v>737467.32312499965</c:v>
                </c:pt>
                <c:pt idx="166">
                  <c:v>737467.32312499965</c:v>
                </c:pt>
                <c:pt idx="167">
                  <c:v>737467.32312499965</c:v>
                </c:pt>
                <c:pt idx="168">
                  <c:v>737467.32312499965</c:v>
                </c:pt>
                <c:pt idx="169">
                  <c:v>737467.32312499965</c:v>
                </c:pt>
                <c:pt idx="170">
                  <c:v>737467.32312499965</c:v>
                </c:pt>
                <c:pt idx="171">
                  <c:v>737467.32312499965</c:v>
                </c:pt>
                <c:pt idx="172">
                  <c:v>737467.32312499965</c:v>
                </c:pt>
                <c:pt idx="173">
                  <c:v>737467.32312499965</c:v>
                </c:pt>
                <c:pt idx="174">
                  <c:v>737467.32312499965</c:v>
                </c:pt>
                <c:pt idx="175">
                  <c:v>737467.32312499965</c:v>
                </c:pt>
                <c:pt idx="176">
                  <c:v>737467.32312499965</c:v>
                </c:pt>
                <c:pt idx="177">
                  <c:v>737467.32312499965</c:v>
                </c:pt>
                <c:pt idx="178">
                  <c:v>737467.32312499965</c:v>
                </c:pt>
                <c:pt idx="179">
                  <c:v>737467.32312499965</c:v>
                </c:pt>
                <c:pt idx="180">
                  <c:v>737467.32312499965</c:v>
                </c:pt>
                <c:pt idx="181">
                  <c:v>737467.32312499965</c:v>
                </c:pt>
                <c:pt idx="182">
                  <c:v>737467.32312499965</c:v>
                </c:pt>
                <c:pt idx="183">
                  <c:v>737467.32312499965</c:v>
                </c:pt>
                <c:pt idx="184">
                  <c:v>737467.32312499965</c:v>
                </c:pt>
                <c:pt idx="185">
                  <c:v>737467.32312499965</c:v>
                </c:pt>
                <c:pt idx="186">
                  <c:v>737467.32312499965</c:v>
                </c:pt>
                <c:pt idx="187">
                  <c:v>737467.32312499965</c:v>
                </c:pt>
                <c:pt idx="188">
                  <c:v>737467.32312499965</c:v>
                </c:pt>
                <c:pt idx="189">
                  <c:v>737467.32312499965</c:v>
                </c:pt>
                <c:pt idx="190">
                  <c:v>737467.32312499965</c:v>
                </c:pt>
                <c:pt idx="191">
                  <c:v>737467.32312499965</c:v>
                </c:pt>
                <c:pt idx="192">
                  <c:v>737467.32312499965</c:v>
                </c:pt>
                <c:pt idx="193">
                  <c:v>737467.32312499965</c:v>
                </c:pt>
                <c:pt idx="194">
                  <c:v>737467.32312499965</c:v>
                </c:pt>
                <c:pt idx="195">
                  <c:v>737467.32312499965</c:v>
                </c:pt>
                <c:pt idx="196">
                  <c:v>737467.32312499965</c:v>
                </c:pt>
                <c:pt idx="197">
                  <c:v>737467.32312499965</c:v>
                </c:pt>
                <c:pt idx="198">
                  <c:v>737467.32312499965</c:v>
                </c:pt>
                <c:pt idx="199">
                  <c:v>737467.32312499965</c:v>
                </c:pt>
                <c:pt idx="200">
                  <c:v>737467.32312499965</c:v>
                </c:pt>
                <c:pt idx="201">
                  <c:v>737467.32312499965</c:v>
                </c:pt>
                <c:pt idx="202">
                  <c:v>737467.32312499965</c:v>
                </c:pt>
                <c:pt idx="203">
                  <c:v>737467.32312499965</c:v>
                </c:pt>
                <c:pt idx="204">
                  <c:v>737467.32312499965</c:v>
                </c:pt>
                <c:pt idx="205">
                  <c:v>737467.32312499965</c:v>
                </c:pt>
                <c:pt idx="206">
                  <c:v>737467.32312499965</c:v>
                </c:pt>
                <c:pt idx="207">
                  <c:v>737467.32312499965</c:v>
                </c:pt>
                <c:pt idx="208">
                  <c:v>737467.32312499965</c:v>
                </c:pt>
                <c:pt idx="209">
                  <c:v>737467.32312499965</c:v>
                </c:pt>
                <c:pt idx="210">
                  <c:v>737467.32312499965</c:v>
                </c:pt>
                <c:pt idx="211">
                  <c:v>737467.32312499965</c:v>
                </c:pt>
                <c:pt idx="212">
                  <c:v>737467.32312499965</c:v>
                </c:pt>
                <c:pt idx="213">
                  <c:v>737467.32312499965</c:v>
                </c:pt>
                <c:pt idx="214">
                  <c:v>737467.32312499965</c:v>
                </c:pt>
                <c:pt idx="215">
                  <c:v>737467.32312499965</c:v>
                </c:pt>
                <c:pt idx="216">
                  <c:v>737467.32312499965</c:v>
                </c:pt>
                <c:pt idx="217">
                  <c:v>737467.32312499965</c:v>
                </c:pt>
                <c:pt idx="218">
                  <c:v>737467.32312499965</c:v>
                </c:pt>
                <c:pt idx="219">
                  <c:v>737467.32312499965</c:v>
                </c:pt>
                <c:pt idx="220">
                  <c:v>737467.32312499965</c:v>
                </c:pt>
                <c:pt idx="221">
                  <c:v>737467.32312499965</c:v>
                </c:pt>
                <c:pt idx="222">
                  <c:v>737467.32312499965</c:v>
                </c:pt>
                <c:pt idx="223">
                  <c:v>737467.32312499965</c:v>
                </c:pt>
                <c:pt idx="224">
                  <c:v>737467.32312499965</c:v>
                </c:pt>
                <c:pt idx="225">
                  <c:v>737467.32312499965</c:v>
                </c:pt>
                <c:pt idx="226">
                  <c:v>737467.32312499965</c:v>
                </c:pt>
                <c:pt idx="227">
                  <c:v>737467.32312499965</c:v>
                </c:pt>
                <c:pt idx="228">
                  <c:v>737467.32312499965</c:v>
                </c:pt>
                <c:pt idx="229">
                  <c:v>737467.32312499965</c:v>
                </c:pt>
                <c:pt idx="230">
                  <c:v>737467.32312499965</c:v>
                </c:pt>
                <c:pt idx="231">
                  <c:v>737467.32312499965</c:v>
                </c:pt>
                <c:pt idx="232">
                  <c:v>737467.32312499965</c:v>
                </c:pt>
                <c:pt idx="233">
                  <c:v>737467.32312499965</c:v>
                </c:pt>
                <c:pt idx="234">
                  <c:v>737467.32312499965</c:v>
                </c:pt>
                <c:pt idx="235">
                  <c:v>737467.32312499965</c:v>
                </c:pt>
                <c:pt idx="236">
                  <c:v>737467.32312499965</c:v>
                </c:pt>
                <c:pt idx="237">
                  <c:v>737467.32312499965</c:v>
                </c:pt>
                <c:pt idx="238">
                  <c:v>737467.32312499965</c:v>
                </c:pt>
                <c:pt idx="239">
                  <c:v>737467.32312499965</c:v>
                </c:pt>
                <c:pt idx="240">
                  <c:v>737467.32312499965</c:v>
                </c:pt>
                <c:pt idx="241">
                  <c:v>737467.32312499965</c:v>
                </c:pt>
                <c:pt idx="242">
                  <c:v>737467.32312499965</c:v>
                </c:pt>
                <c:pt idx="243">
                  <c:v>737467.32312499965</c:v>
                </c:pt>
                <c:pt idx="244">
                  <c:v>737467.32312499965</c:v>
                </c:pt>
                <c:pt idx="245">
                  <c:v>737467.32312499965</c:v>
                </c:pt>
                <c:pt idx="246">
                  <c:v>737467.32312499965</c:v>
                </c:pt>
                <c:pt idx="247">
                  <c:v>737467.32312499965</c:v>
                </c:pt>
                <c:pt idx="248">
                  <c:v>737467.32312499965</c:v>
                </c:pt>
                <c:pt idx="249">
                  <c:v>737467.32312499965</c:v>
                </c:pt>
                <c:pt idx="250">
                  <c:v>737467.32312499965</c:v>
                </c:pt>
                <c:pt idx="251">
                  <c:v>737467.32312499965</c:v>
                </c:pt>
                <c:pt idx="252">
                  <c:v>737467.32312499965</c:v>
                </c:pt>
                <c:pt idx="253">
                  <c:v>737467.32312499965</c:v>
                </c:pt>
                <c:pt idx="254">
                  <c:v>737467.32312499965</c:v>
                </c:pt>
                <c:pt idx="255">
                  <c:v>737467.32312499965</c:v>
                </c:pt>
                <c:pt idx="256">
                  <c:v>737467.32312499965</c:v>
                </c:pt>
                <c:pt idx="257">
                  <c:v>737467.32312499965</c:v>
                </c:pt>
                <c:pt idx="258">
                  <c:v>737467.32312499965</c:v>
                </c:pt>
                <c:pt idx="259">
                  <c:v>737467.32312499965</c:v>
                </c:pt>
                <c:pt idx="260">
                  <c:v>737467.32312499965</c:v>
                </c:pt>
                <c:pt idx="261">
                  <c:v>737467.32312499965</c:v>
                </c:pt>
                <c:pt idx="262">
                  <c:v>737467.32312499965</c:v>
                </c:pt>
                <c:pt idx="263">
                  <c:v>737467.32312499965</c:v>
                </c:pt>
                <c:pt idx="264">
                  <c:v>737467.32312499965</c:v>
                </c:pt>
                <c:pt idx="265">
                  <c:v>737467.32312499965</c:v>
                </c:pt>
                <c:pt idx="266">
                  <c:v>737467.32312499965</c:v>
                </c:pt>
                <c:pt idx="267">
                  <c:v>737467.32312499965</c:v>
                </c:pt>
                <c:pt idx="268">
                  <c:v>737467.32312499965</c:v>
                </c:pt>
                <c:pt idx="269">
                  <c:v>737467.32312499965</c:v>
                </c:pt>
                <c:pt idx="270">
                  <c:v>737467.32312499965</c:v>
                </c:pt>
                <c:pt idx="271">
                  <c:v>737467.32312499965</c:v>
                </c:pt>
                <c:pt idx="272">
                  <c:v>737467.32312499965</c:v>
                </c:pt>
                <c:pt idx="273">
                  <c:v>737467.32312499965</c:v>
                </c:pt>
                <c:pt idx="274">
                  <c:v>737467.32312499965</c:v>
                </c:pt>
                <c:pt idx="275">
                  <c:v>737467.32312499965</c:v>
                </c:pt>
                <c:pt idx="276">
                  <c:v>737467.32312499965</c:v>
                </c:pt>
                <c:pt idx="277">
                  <c:v>737467.32312499965</c:v>
                </c:pt>
                <c:pt idx="278">
                  <c:v>737467.32312499965</c:v>
                </c:pt>
                <c:pt idx="279">
                  <c:v>737467.32312499965</c:v>
                </c:pt>
                <c:pt idx="280">
                  <c:v>737467.32312499965</c:v>
                </c:pt>
                <c:pt idx="281">
                  <c:v>737467.32312499965</c:v>
                </c:pt>
                <c:pt idx="282">
                  <c:v>737467.32312499965</c:v>
                </c:pt>
                <c:pt idx="283">
                  <c:v>737467.32312499965</c:v>
                </c:pt>
                <c:pt idx="284">
                  <c:v>737467.32312499965</c:v>
                </c:pt>
                <c:pt idx="285">
                  <c:v>737467.32312499965</c:v>
                </c:pt>
                <c:pt idx="286">
                  <c:v>737467.32312499965</c:v>
                </c:pt>
                <c:pt idx="287">
                  <c:v>737467.32312499965</c:v>
                </c:pt>
                <c:pt idx="288">
                  <c:v>737467.32312499965</c:v>
                </c:pt>
                <c:pt idx="289">
                  <c:v>737467.32312499965</c:v>
                </c:pt>
                <c:pt idx="290">
                  <c:v>737467.32312499965</c:v>
                </c:pt>
                <c:pt idx="291">
                  <c:v>737467.32312499965</c:v>
                </c:pt>
                <c:pt idx="292">
                  <c:v>737467.32312499965</c:v>
                </c:pt>
                <c:pt idx="293">
                  <c:v>737467.32312499965</c:v>
                </c:pt>
                <c:pt idx="294">
                  <c:v>737467.32312499965</c:v>
                </c:pt>
                <c:pt idx="295">
                  <c:v>737467.32312499965</c:v>
                </c:pt>
                <c:pt idx="296">
                  <c:v>737467.32312499965</c:v>
                </c:pt>
                <c:pt idx="297">
                  <c:v>737467.32312499965</c:v>
                </c:pt>
                <c:pt idx="298">
                  <c:v>737467.32312499965</c:v>
                </c:pt>
                <c:pt idx="299">
                  <c:v>737467.32312499965</c:v>
                </c:pt>
                <c:pt idx="300">
                  <c:v>737467.32312499965</c:v>
                </c:pt>
                <c:pt idx="301">
                  <c:v>737467.32312499965</c:v>
                </c:pt>
                <c:pt idx="302">
                  <c:v>737467.32312499965</c:v>
                </c:pt>
                <c:pt idx="303">
                  <c:v>737467.32312499965</c:v>
                </c:pt>
                <c:pt idx="304">
                  <c:v>737467.32312499965</c:v>
                </c:pt>
                <c:pt idx="305">
                  <c:v>737467.32312499965</c:v>
                </c:pt>
                <c:pt idx="306">
                  <c:v>737467.32312499965</c:v>
                </c:pt>
                <c:pt idx="307">
                  <c:v>737467.32312499965</c:v>
                </c:pt>
                <c:pt idx="308">
                  <c:v>737467.32312499965</c:v>
                </c:pt>
                <c:pt idx="309">
                  <c:v>737467.32312499965</c:v>
                </c:pt>
                <c:pt idx="310">
                  <c:v>737467.32312499965</c:v>
                </c:pt>
                <c:pt idx="311">
                  <c:v>737467.32312499965</c:v>
                </c:pt>
                <c:pt idx="312">
                  <c:v>737467.32312499965</c:v>
                </c:pt>
                <c:pt idx="313">
                  <c:v>737467.32312499965</c:v>
                </c:pt>
                <c:pt idx="314">
                  <c:v>737467.32312499965</c:v>
                </c:pt>
                <c:pt idx="315">
                  <c:v>737467.32312499965</c:v>
                </c:pt>
                <c:pt idx="316">
                  <c:v>737467.32312499965</c:v>
                </c:pt>
                <c:pt idx="317">
                  <c:v>737467.32312499965</c:v>
                </c:pt>
                <c:pt idx="318">
                  <c:v>737467.32312499965</c:v>
                </c:pt>
                <c:pt idx="319">
                  <c:v>737467.32312499965</c:v>
                </c:pt>
                <c:pt idx="320">
                  <c:v>737467.32312499965</c:v>
                </c:pt>
                <c:pt idx="321">
                  <c:v>737467.32312499965</c:v>
                </c:pt>
                <c:pt idx="322">
                  <c:v>737467.32312499965</c:v>
                </c:pt>
                <c:pt idx="323">
                  <c:v>737467.32312499965</c:v>
                </c:pt>
                <c:pt idx="324">
                  <c:v>737467.32312499965</c:v>
                </c:pt>
                <c:pt idx="325">
                  <c:v>737467.32312499965</c:v>
                </c:pt>
                <c:pt idx="326">
                  <c:v>737467.32312499965</c:v>
                </c:pt>
                <c:pt idx="327">
                  <c:v>737467.32312499965</c:v>
                </c:pt>
                <c:pt idx="328">
                  <c:v>737467.32312499965</c:v>
                </c:pt>
                <c:pt idx="329">
                  <c:v>737467.32312499965</c:v>
                </c:pt>
                <c:pt idx="330">
                  <c:v>737467.32312499965</c:v>
                </c:pt>
                <c:pt idx="331">
                  <c:v>737467.32312499965</c:v>
                </c:pt>
                <c:pt idx="332">
                  <c:v>737467.32312499965</c:v>
                </c:pt>
                <c:pt idx="333">
                  <c:v>737467.32312499965</c:v>
                </c:pt>
                <c:pt idx="334">
                  <c:v>737467.32312499965</c:v>
                </c:pt>
                <c:pt idx="335">
                  <c:v>737467.32312499965</c:v>
                </c:pt>
                <c:pt idx="336">
                  <c:v>737467.32312499965</c:v>
                </c:pt>
                <c:pt idx="337">
                  <c:v>737467.32312499965</c:v>
                </c:pt>
                <c:pt idx="338">
                  <c:v>737467.32312499965</c:v>
                </c:pt>
                <c:pt idx="339">
                  <c:v>737467.32312499965</c:v>
                </c:pt>
                <c:pt idx="340">
                  <c:v>737467.32312499965</c:v>
                </c:pt>
                <c:pt idx="341">
                  <c:v>737467.32312499965</c:v>
                </c:pt>
                <c:pt idx="342">
                  <c:v>737467.32312499965</c:v>
                </c:pt>
                <c:pt idx="343">
                  <c:v>737467.32312499965</c:v>
                </c:pt>
                <c:pt idx="344">
                  <c:v>737467.32312499965</c:v>
                </c:pt>
                <c:pt idx="345">
                  <c:v>737467.32312499965</c:v>
                </c:pt>
                <c:pt idx="346">
                  <c:v>737467.32312499965</c:v>
                </c:pt>
                <c:pt idx="347">
                  <c:v>737467.32312499965</c:v>
                </c:pt>
                <c:pt idx="348">
                  <c:v>737467.32312499965</c:v>
                </c:pt>
                <c:pt idx="349">
                  <c:v>737467.32312499965</c:v>
                </c:pt>
                <c:pt idx="350">
                  <c:v>737467.32312499965</c:v>
                </c:pt>
                <c:pt idx="351">
                  <c:v>737467.32312499965</c:v>
                </c:pt>
                <c:pt idx="352">
                  <c:v>737467.32312499965</c:v>
                </c:pt>
                <c:pt idx="353">
                  <c:v>737467.32312499965</c:v>
                </c:pt>
                <c:pt idx="354">
                  <c:v>737467.32312499965</c:v>
                </c:pt>
                <c:pt idx="355">
                  <c:v>737467.32312499965</c:v>
                </c:pt>
                <c:pt idx="356">
                  <c:v>737467.32312499965</c:v>
                </c:pt>
                <c:pt idx="357">
                  <c:v>737467.32312499965</c:v>
                </c:pt>
                <c:pt idx="358">
                  <c:v>737467.32312499965</c:v>
                </c:pt>
                <c:pt idx="359">
                  <c:v>737467.32312499965</c:v>
                </c:pt>
                <c:pt idx="360">
                  <c:v>737467.32312499965</c:v>
                </c:pt>
                <c:pt idx="361">
                  <c:v>737467.32312499965</c:v>
                </c:pt>
                <c:pt idx="362">
                  <c:v>737467.32312499965</c:v>
                </c:pt>
                <c:pt idx="363">
                  <c:v>737467.32312499965</c:v>
                </c:pt>
                <c:pt idx="364">
                  <c:v>737467.32312499965</c:v>
                </c:pt>
                <c:pt idx="365">
                  <c:v>737467.32312499965</c:v>
                </c:pt>
                <c:pt idx="366">
                  <c:v>737467.32312499965</c:v>
                </c:pt>
                <c:pt idx="367">
                  <c:v>737467.32312499965</c:v>
                </c:pt>
                <c:pt idx="368">
                  <c:v>737467.32312499965</c:v>
                </c:pt>
                <c:pt idx="369">
                  <c:v>737467.32312499965</c:v>
                </c:pt>
                <c:pt idx="370">
                  <c:v>737467.32312499965</c:v>
                </c:pt>
                <c:pt idx="371">
                  <c:v>737467.32312499965</c:v>
                </c:pt>
                <c:pt idx="372">
                  <c:v>737467.32312499965</c:v>
                </c:pt>
                <c:pt idx="373">
                  <c:v>737467.32312499965</c:v>
                </c:pt>
                <c:pt idx="374">
                  <c:v>737467.32312499965</c:v>
                </c:pt>
                <c:pt idx="375">
                  <c:v>737467.32312499965</c:v>
                </c:pt>
                <c:pt idx="376">
                  <c:v>737467.32312499965</c:v>
                </c:pt>
                <c:pt idx="377">
                  <c:v>737467.32312499965</c:v>
                </c:pt>
                <c:pt idx="378">
                  <c:v>737467.32312499965</c:v>
                </c:pt>
                <c:pt idx="379">
                  <c:v>737467.32312499965</c:v>
                </c:pt>
                <c:pt idx="380">
                  <c:v>737467.32312499965</c:v>
                </c:pt>
                <c:pt idx="381">
                  <c:v>737467.32312499965</c:v>
                </c:pt>
                <c:pt idx="382">
                  <c:v>737467.32312499965</c:v>
                </c:pt>
                <c:pt idx="383">
                  <c:v>737467.32312499965</c:v>
                </c:pt>
                <c:pt idx="384">
                  <c:v>737467.32312499965</c:v>
                </c:pt>
                <c:pt idx="385">
                  <c:v>737467.32312499965</c:v>
                </c:pt>
                <c:pt idx="386">
                  <c:v>737467.32312499965</c:v>
                </c:pt>
                <c:pt idx="387">
                  <c:v>737467.32312499965</c:v>
                </c:pt>
                <c:pt idx="388">
                  <c:v>737467.32312499965</c:v>
                </c:pt>
                <c:pt idx="389">
                  <c:v>737467.32312499965</c:v>
                </c:pt>
                <c:pt idx="390">
                  <c:v>737467.32312499965</c:v>
                </c:pt>
                <c:pt idx="391">
                  <c:v>737467.32312499965</c:v>
                </c:pt>
                <c:pt idx="392">
                  <c:v>737467.32312499965</c:v>
                </c:pt>
                <c:pt idx="393">
                  <c:v>737467.32312499965</c:v>
                </c:pt>
                <c:pt idx="394">
                  <c:v>737467.32312499965</c:v>
                </c:pt>
                <c:pt idx="395">
                  <c:v>737467.32312499965</c:v>
                </c:pt>
                <c:pt idx="396">
                  <c:v>737467.32312499965</c:v>
                </c:pt>
                <c:pt idx="397">
                  <c:v>737467.32312499965</c:v>
                </c:pt>
                <c:pt idx="398">
                  <c:v>737467.32312499965</c:v>
                </c:pt>
                <c:pt idx="399">
                  <c:v>737467.32312499965</c:v>
                </c:pt>
                <c:pt idx="400">
                  <c:v>737467.32312499965</c:v>
                </c:pt>
                <c:pt idx="401">
                  <c:v>737467.32312499965</c:v>
                </c:pt>
                <c:pt idx="402">
                  <c:v>737467.32312499965</c:v>
                </c:pt>
                <c:pt idx="403">
                  <c:v>737467.32312499965</c:v>
                </c:pt>
                <c:pt idx="404">
                  <c:v>737467.32312499965</c:v>
                </c:pt>
                <c:pt idx="405">
                  <c:v>737467.32312499965</c:v>
                </c:pt>
                <c:pt idx="406">
                  <c:v>737467.32312499965</c:v>
                </c:pt>
                <c:pt idx="407">
                  <c:v>737467.32312499965</c:v>
                </c:pt>
                <c:pt idx="408">
                  <c:v>737467.32312499965</c:v>
                </c:pt>
                <c:pt idx="409">
                  <c:v>737467.32312499965</c:v>
                </c:pt>
                <c:pt idx="410">
                  <c:v>737467.32312499965</c:v>
                </c:pt>
                <c:pt idx="411">
                  <c:v>737467.32312499965</c:v>
                </c:pt>
                <c:pt idx="412">
                  <c:v>737467.32312499965</c:v>
                </c:pt>
                <c:pt idx="413">
                  <c:v>737467.32312499965</c:v>
                </c:pt>
                <c:pt idx="414">
                  <c:v>737467.32312499965</c:v>
                </c:pt>
                <c:pt idx="415">
                  <c:v>737467.32312499965</c:v>
                </c:pt>
                <c:pt idx="416">
                  <c:v>737467.32312499965</c:v>
                </c:pt>
                <c:pt idx="417">
                  <c:v>737467.32312499965</c:v>
                </c:pt>
                <c:pt idx="418">
                  <c:v>737467.32312499965</c:v>
                </c:pt>
                <c:pt idx="419">
                  <c:v>737467.32312499965</c:v>
                </c:pt>
                <c:pt idx="420">
                  <c:v>737467.32312499965</c:v>
                </c:pt>
                <c:pt idx="421">
                  <c:v>737467.32312499965</c:v>
                </c:pt>
                <c:pt idx="422">
                  <c:v>737467.32312499965</c:v>
                </c:pt>
                <c:pt idx="423">
                  <c:v>737467.32312499965</c:v>
                </c:pt>
                <c:pt idx="424">
                  <c:v>737467.32312499965</c:v>
                </c:pt>
                <c:pt idx="425">
                  <c:v>737467.32312499965</c:v>
                </c:pt>
                <c:pt idx="426">
                  <c:v>737467.32312499965</c:v>
                </c:pt>
                <c:pt idx="427">
                  <c:v>737467.32312499965</c:v>
                </c:pt>
                <c:pt idx="428">
                  <c:v>737467.32312499965</c:v>
                </c:pt>
                <c:pt idx="429">
                  <c:v>737467.32312499965</c:v>
                </c:pt>
                <c:pt idx="430">
                  <c:v>737467.32312499965</c:v>
                </c:pt>
                <c:pt idx="431">
                  <c:v>737467.32312499965</c:v>
                </c:pt>
                <c:pt idx="432">
                  <c:v>737467.32312499965</c:v>
                </c:pt>
                <c:pt idx="433">
                  <c:v>737467.32312499965</c:v>
                </c:pt>
                <c:pt idx="434">
                  <c:v>737467.32312499965</c:v>
                </c:pt>
                <c:pt idx="435">
                  <c:v>737467.32312499965</c:v>
                </c:pt>
                <c:pt idx="436">
                  <c:v>737467.32312499965</c:v>
                </c:pt>
                <c:pt idx="437">
                  <c:v>737467.32312499965</c:v>
                </c:pt>
                <c:pt idx="438">
                  <c:v>737467.32312499965</c:v>
                </c:pt>
                <c:pt idx="439">
                  <c:v>737467.32312499965</c:v>
                </c:pt>
                <c:pt idx="440">
                  <c:v>737467.32312499965</c:v>
                </c:pt>
                <c:pt idx="441">
                  <c:v>737467.32312499965</c:v>
                </c:pt>
                <c:pt idx="442">
                  <c:v>737467.32312499965</c:v>
                </c:pt>
                <c:pt idx="443">
                  <c:v>737467.32312499965</c:v>
                </c:pt>
                <c:pt idx="444">
                  <c:v>737467.32312499965</c:v>
                </c:pt>
                <c:pt idx="445">
                  <c:v>737467.32312499965</c:v>
                </c:pt>
                <c:pt idx="446">
                  <c:v>737467.32312499965</c:v>
                </c:pt>
                <c:pt idx="447">
                  <c:v>737467.32312499965</c:v>
                </c:pt>
                <c:pt idx="448">
                  <c:v>737467.32312499965</c:v>
                </c:pt>
                <c:pt idx="449">
                  <c:v>737467.32312499965</c:v>
                </c:pt>
                <c:pt idx="450">
                  <c:v>737467.32312499965</c:v>
                </c:pt>
                <c:pt idx="451">
                  <c:v>737467.32312499965</c:v>
                </c:pt>
                <c:pt idx="452">
                  <c:v>737467.32312499965</c:v>
                </c:pt>
                <c:pt idx="453">
                  <c:v>737467.32312499965</c:v>
                </c:pt>
                <c:pt idx="454">
                  <c:v>737467.32312499965</c:v>
                </c:pt>
                <c:pt idx="455">
                  <c:v>737467.32312499965</c:v>
                </c:pt>
                <c:pt idx="456">
                  <c:v>737467.32312499965</c:v>
                </c:pt>
                <c:pt idx="457">
                  <c:v>737467.32312499965</c:v>
                </c:pt>
                <c:pt idx="458">
                  <c:v>737467.32312499965</c:v>
                </c:pt>
                <c:pt idx="459">
                  <c:v>737467.32312499965</c:v>
                </c:pt>
                <c:pt idx="460">
                  <c:v>737467.32312499965</c:v>
                </c:pt>
                <c:pt idx="461">
                  <c:v>737467.32312499965</c:v>
                </c:pt>
                <c:pt idx="462">
                  <c:v>737467.32312499965</c:v>
                </c:pt>
                <c:pt idx="463">
                  <c:v>737467.32312499965</c:v>
                </c:pt>
                <c:pt idx="464">
                  <c:v>737467.32312499965</c:v>
                </c:pt>
                <c:pt idx="465">
                  <c:v>737467.32312499965</c:v>
                </c:pt>
                <c:pt idx="466">
                  <c:v>737467.32312499965</c:v>
                </c:pt>
                <c:pt idx="467">
                  <c:v>737467.32312499965</c:v>
                </c:pt>
                <c:pt idx="468">
                  <c:v>737467.32312499965</c:v>
                </c:pt>
                <c:pt idx="469">
                  <c:v>737467.32312499965</c:v>
                </c:pt>
                <c:pt idx="470">
                  <c:v>737467.32312499965</c:v>
                </c:pt>
                <c:pt idx="471">
                  <c:v>737467.32312499965</c:v>
                </c:pt>
                <c:pt idx="472">
                  <c:v>737467.32312499965</c:v>
                </c:pt>
                <c:pt idx="473">
                  <c:v>737467.32312499965</c:v>
                </c:pt>
                <c:pt idx="474">
                  <c:v>737467.32312499965</c:v>
                </c:pt>
                <c:pt idx="475">
                  <c:v>737467.32312499965</c:v>
                </c:pt>
                <c:pt idx="476">
                  <c:v>737467.32312499965</c:v>
                </c:pt>
                <c:pt idx="477">
                  <c:v>737467.32312499965</c:v>
                </c:pt>
                <c:pt idx="478">
                  <c:v>737467.32312499965</c:v>
                </c:pt>
                <c:pt idx="479">
                  <c:v>737467.32312499965</c:v>
                </c:pt>
                <c:pt idx="480">
                  <c:v>737467.32312499965</c:v>
                </c:pt>
                <c:pt idx="481">
                  <c:v>737467.32312499965</c:v>
                </c:pt>
                <c:pt idx="482">
                  <c:v>737467.32312499965</c:v>
                </c:pt>
                <c:pt idx="483">
                  <c:v>737467.32312499965</c:v>
                </c:pt>
                <c:pt idx="484">
                  <c:v>737467.32312499965</c:v>
                </c:pt>
                <c:pt idx="485">
                  <c:v>737467.32312499965</c:v>
                </c:pt>
                <c:pt idx="486">
                  <c:v>737467.32312499965</c:v>
                </c:pt>
                <c:pt idx="487">
                  <c:v>737467.32312499965</c:v>
                </c:pt>
                <c:pt idx="488">
                  <c:v>737467.32312499965</c:v>
                </c:pt>
                <c:pt idx="489">
                  <c:v>737467.32312499965</c:v>
                </c:pt>
                <c:pt idx="490">
                  <c:v>737467.32312499965</c:v>
                </c:pt>
                <c:pt idx="491">
                  <c:v>737467.32312499965</c:v>
                </c:pt>
                <c:pt idx="492">
                  <c:v>737467.32312499965</c:v>
                </c:pt>
                <c:pt idx="493">
                  <c:v>737467.32312499965</c:v>
                </c:pt>
                <c:pt idx="494">
                  <c:v>737467.32312499965</c:v>
                </c:pt>
                <c:pt idx="495">
                  <c:v>737467.32312499965</c:v>
                </c:pt>
                <c:pt idx="496">
                  <c:v>737467.32312499965</c:v>
                </c:pt>
                <c:pt idx="497">
                  <c:v>737467.32312499965</c:v>
                </c:pt>
                <c:pt idx="498">
                  <c:v>737467.32312499965</c:v>
                </c:pt>
                <c:pt idx="499">
                  <c:v>737467.32312499965</c:v>
                </c:pt>
                <c:pt idx="500">
                  <c:v>737467.32312499965</c:v>
                </c:pt>
                <c:pt idx="501">
                  <c:v>737467.32312499965</c:v>
                </c:pt>
                <c:pt idx="502">
                  <c:v>737467.32312499965</c:v>
                </c:pt>
                <c:pt idx="503">
                  <c:v>737467.32312499965</c:v>
                </c:pt>
                <c:pt idx="504">
                  <c:v>737467.32312499965</c:v>
                </c:pt>
                <c:pt idx="505">
                  <c:v>737467.32312499965</c:v>
                </c:pt>
                <c:pt idx="506">
                  <c:v>737467.32312499965</c:v>
                </c:pt>
                <c:pt idx="507">
                  <c:v>737467.32312499965</c:v>
                </c:pt>
                <c:pt idx="508">
                  <c:v>737467.32312499965</c:v>
                </c:pt>
                <c:pt idx="509">
                  <c:v>737467.32312499965</c:v>
                </c:pt>
                <c:pt idx="510">
                  <c:v>737467.32312499965</c:v>
                </c:pt>
                <c:pt idx="511">
                  <c:v>737467.32312499965</c:v>
                </c:pt>
                <c:pt idx="512">
                  <c:v>737467.32312499965</c:v>
                </c:pt>
                <c:pt idx="513">
                  <c:v>737467.32312499965</c:v>
                </c:pt>
                <c:pt idx="514">
                  <c:v>737467.32312499965</c:v>
                </c:pt>
                <c:pt idx="515">
                  <c:v>737467.32312499965</c:v>
                </c:pt>
                <c:pt idx="516">
                  <c:v>737467.32312499965</c:v>
                </c:pt>
                <c:pt idx="517">
                  <c:v>737467.32312499965</c:v>
                </c:pt>
                <c:pt idx="518">
                  <c:v>737467.32312499965</c:v>
                </c:pt>
                <c:pt idx="519">
                  <c:v>737467.32312499965</c:v>
                </c:pt>
                <c:pt idx="520">
                  <c:v>737467.32312499965</c:v>
                </c:pt>
                <c:pt idx="521">
                  <c:v>737467.32312499965</c:v>
                </c:pt>
                <c:pt idx="522">
                  <c:v>737467.32312499965</c:v>
                </c:pt>
                <c:pt idx="523">
                  <c:v>737467.32312499965</c:v>
                </c:pt>
                <c:pt idx="524">
                  <c:v>737467.32312499965</c:v>
                </c:pt>
                <c:pt idx="525">
                  <c:v>737467.32312499965</c:v>
                </c:pt>
                <c:pt idx="526">
                  <c:v>737467.32312499965</c:v>
                </c:pt>
                <c:pt idx="527">
                  <c:v>737467.32312499965</c:v>
                </c:pt>
                <c:pt idx="528">
                  <c:v>737467.32312499965</c:v>
                </c:pt>
                <c:pt idx="529">
                  <c:v>737467.32312499965</c:v>
                </c:pt>
                <c:pt idx="530">
                  <c:v>737467.32312499965</c:v>
                </c:pt>
                <c:pt idx="531">
                  <c:v>737467.32312499965</c:v>
                </c:pt>
                <c:pt idx="532">
                  <c:v>737467.32312499965</c:v>
                </c:pt>
                <c:pt idx="533">
                  <c:v>737467.32312499965</c:v>
                </c:pt>
                <c:pt idx="534">
                  <c:v>737467.32312499965</c:v>
                </c:pt>
                <c:pt idx="535">
                  <c:v>737467.32312499965</c:v>
                </c:pt>
                <c:pt idx="536">
                  <c:v>737467.32312499965</c:v>
                </c:pt>
                <c:pt idx="537">
                  <c:v>737467.32312499965</c:v>
                </c:pt>
                <c:pt idx="538">
                  <c:v>737467.32312499965</c:v>
                </c:pt>
                <c:pt idx="539">
                  <c:v>737467.32312499965</c:v>
                </c:pt>
                <c:pt idx="540">
                  <c:v>737467.32312499965</c:v>
                </c:pt>
                <c:pt idx="541">
                  <c:v>737467.32312499965</c:v>
                </c:pt>
                <c:pt idx="542">
                  <c:v>737467.32312499965</c:v>
                </c:pt>
                <c:pt idx="543">
                  <c:v>737467.32312499965</c:v>
                </c:pt>
                <c:pt idx="544">
                  <c:v>737467.32312499965</c:v>
                </c:pt>
                <c:pt idx="545">
                  <c:v>737467.32312499965</c:v>
                </c:pt>
                <c:pt idx="546">
                  <c:v>737467.32312499965</c:v>
                </c:pt>
                <c:pt idx="547">
                  <c:v>737467.32312499965</c:v>
                </c:pt>
                <c:pt idx="548">
                  <c:v>737467.32312499965</c:v>
                </c:pt>
                <c:pt idx="549">
                  <c:v>737467.32312499965</c:v>
                </c:pt>
                <c:pt idx="550">
                  <c:v>737467.32312499965</c:v>
                </c:pt>
                <c:pt idx="551">
                  <c:v>737467.32312499965</c:v>
                </c:pt>
                <c:pt idx="552">
                  <c:v>737467.32312499965</c:v>
                </c:pt>
                <c:pt idx="553">
                  <c:v>737467.32312499965</c:v>
                </c:pt>
                <c:pt idx="554">
                  <c:v>737467.32312499965</c:v>
                </c:pt>
                <c:pt idx="555">
                  <c:v>737467.32312499965</c:v>
                </c:pt>
                <c:pt idx="556">
                  <c:v>737467.32312499965</c:v>
                </c:pt>
                <c:pt idx="557">
                  <c:v>737467.32312499965</c:v>
                </c:pt>
                <c:pt idx="558">
                  <c:v>737467.32312499965</c:v>
                </c:pt>
                <c:pt idx="559">
                  <c:v>737467.32312499965</c:v>
                </c:pt>
                <c:pt idx="560">
                  <c:v>737467.32312499965</c:v>
                </c:pt>
                <c:pt idx="561">
                  <c:v>737467.32312499965</c:v>
                </c:pt>
                <c:pt idx="562">
                  <c:v>737467.32312499965</c:v>
                </c:pt>
                <c:pt idx="563">
                  <c:v>737467.32312499965</c:v>
                </c:pt>
                <c:pt idx="564">
                  <c:v>737467.32312499965</c:v>
                </c:pt>
                <c:pt idx="565">
                  <c:v>737467.32312499965</c:v>
                </c:pt>
                <c:pt idx="566">
                  <c:v>737467.32312499965</c:v>
                </c:pt>
                <c:pt idx="567">
                  <c:v>737467.32312499965</c:v>
                </c:pt>
                <c:pt idx="568">
                  <c:v>737467.32312499965</c:v>
                </c:pt>
                <c:pt idx="569">
                  <c:v>737467.32312499965</c:v>
                </c:pt>
                <c:pt idx="570">
                  <c:v>737467.32312499965</c:v>
                </c:pt>
                <c:pt idx="571">
                  <c:v>737467.32312499965</c:v>
                </c:pt>
                <c:pt idx="572">
                  <c:v>737467.32312499965</c:v>
                </c:pt>
                <c:pt idx="573">
                  <c:v>737467.32312499965</c:v>
                </c:pt>
                <c:pt idx="574">
                  <c:v>737467.32312499965</c:v>
                </c:pt>
                <c:pt idx="575">
                  <c:v>737467.32312499965</c:v>
                </c:pt>
                <c:pt idx="576">
                  <c:v>737467.32312499965</c:v>
                </c:pt>
                <c:pt idx="577">
                  <c:v>737467.32312499965</c:v>
                </c:pt>
                <c:pt idx="578">
                  <c:v>737467.32312499965</c:v>
                </c:pt>
                <c:pt idx="579">
                  <c:v>737467.32312499965</c:v>
                </c:pt>
                <c:pt idx="580">
                  <c:v>737467.32312499965</c:v>
                </c:pt>
                <c:pt idx="581">
                  <c:v>737467.32312499965</c:v>
                </c:pt>
                <c:pt idx="582">
                  <c:v>737467.32312499965</c:v>
                </c:pt>
                <c:pt idx="583">
                  <c:v>737467.32312499965</c:v>
                </c:pt>
                <c:pt idx="584">
                  <c:v>737467.32312499965</c:v>
                </c:pt>
                <c:pt idx="585">
                  <c:v>737467.32312499965</c:v>
                </c:pt>
                <c:pt idx="586">
                  <c:v>737467.32312499965</c:v>
                </c:pt>
                <c:pt idx="587">
                  <c:v>737467.32312499965</c:v>
                </c:pt>
                <c:pt idx="588">
                  <c:v>737467.32312499965</c:v>
                </c:pt>
                <c:pt idx="589">
                  <c:v>737467.32312499965</c:v>
                </c:pt>
                <c:pt idx="590">
                  <c:v>737467.32312499965</c:v>
                </c:pt>
                <c:pt idx="591">
                  <c:v>737467.32312499965</c:v>
                </c:pt>
                <c:pt idx="592">
                  <c:v>737467.32312499965</c:v>
                </c:pt>
                <c:pt idx="593">
                  <c:v>737467.32312499965</c:v>
                </c:pt>
                <c:pt idx="594">
                  <c:v>737467.32312499965</c:v>
                </c:pt>
                <c:pt idx="595">
                  <c:v>737467.32312499965</c:v>
                </c:pt>
                <c:pt idx="596">
                  <c:v>737467.32312499965</c:v>
                </c:pt>
                <c:pt idx="597">
                  <c:v>737467.32312499965</c:v>
                </c:pt>
                <c:pt idx="598">
                  <c:v>737467.32312499965</c:v>
                </c:pt>
                <c:pt idx="599">
                  <c:v>737467.32312499965</c:v>
                </c:pt>
                <c:pt idx="600">
                  <c:v>737467.32312499965</c:v>
                </c:pt>
                <c:pt idx="601">
                  <c:v>737467.32312499965</c:v>
                </c:pt>
                <c:pt idx="602">
                  <c:v>737467.32312499965</c:v>
                </c:pt>
                <c:pt idx="603">
                  <c:v>737467.32312499965</c:v>
                </c:pt>
                <c:pt idx="604">
                  <c:v>737467.32312499965</c:v>
                </c:pt>
                <c:pt idx="605">
                  <c:v>737467.32312499965</c:v>
                </c:pt>
                <c:pt idx="606">
                  <c:v>737467.32312499965</c:v>
                </c:pt>
                <c:pt idx="607">
                  <c:v>737467.32312499965</c:v>
                </c:pt>
                <c:pt idx="608">
                  <c:v>737467.32312499965</c:v>
                </c:pt>
                <c:pt idx="609">
                  <c:v>737467.32312499965</c:v>
                </c:pt>
                <c:pt idx="610">
                  <c:v>737467.32312499965</c:v>
                </c:pt>
                <c:pt idx="611">
                  <c:v>737467.32312499965</c:v>
                </c:pt>
                <c:pt idx="612">
                  <c:v>737467.32312499965</c:v>
                </c:pt>
                <c:pt idx="613">
                  <c:v>737467.32312499965</c:v>
                </c:pt>
                <c:pt idx="614">
                  <c:v>737467.32312499965</c:v>
                </c:pt>
                <c:pt idx="615">
                  <c:v>737467.32312499965</c:v>
                </c:pt>
                <c:pt idx="616">
                  <c:v>737467.32312499965</c:v>
                </c:pt>
                <c:pt idx="617">
                  <c:v>737467.32312499965</c:v>
                </c:pt>
                <c:pt idx="618">
                  <c:v>737467.32312499965</c:v>
                </c:pt>
                <c:pt idx="619">
                  <c:v>737467.32312499965</c:v>
                </c:pt>
                <c:pt idx="620">
                  <c:v>737467.32312499965</c:v>
                </c:pt>
                <c:pt idx="621">
                  <c:v>737467.32312499965</c:v>
                </c:pt>
                <c:pt idx="622">
                  <c:v>737467.32312499965</c:v>
                </c:pt>
                <c:pt idx="623">
                  <c:v>737467.32312499965</c:v>
                </c:pt>
                <c:pt idx="624">
                  <c:v>737467.32312499965</c:v>
                </c:pt>
                <c:pt idx="625">
                  <c:v>737467.32312499965</c:v>
                </c:pt>
                <c:pt idx="626">
                  <c:v>737467.32312499965</c:v>
                </c:pt>
                <c:pt idx="627">
                  <c:v>737467.32312499965</c:v>
                </c:pt>
                <c:pt idx="628">
                  <c:v>737467.32312499965</c:v>
                </c:pt>
                <c:pt idx="629">
                  <c:v>737467.32312499965</c:v>
                </c:pt>
                <c:pt idx="630">
                  <c:v>737467.32312499965</c:v>
                </c:pt>
                <c:pt idx="631">
                  <c:v>737467.32312499965</c:v>
                </c:pt>
                <c:pt idx="632">
                  <c:v>737467.32312499965</c:v>
                </c:pt>
                <c:pt idx="633">
                  <c:v>737467.32312499965</c:v>
                </c:pt>
                <c:pt idx="634">
                  <c:v>737467.32312499965</c:v>
                </c:pt>
                <c:pt idx="635">
                  <c:v>737467.32312499965</c:v>
                </c:pt>
                <c:pt idx="636">
                  <c:v>737467.32312499965</c:v>
                </c:pt>
                <c:pt idx="637">
                  <c:v>737467.32312499965</c:v>
                </c:pt>
                <c:pt idx="638">
                  <c:v>737467.32312499965</c:v>
                </c:pt>
                <c:pt idx="639">
                  <c:v>737467.32312499965</c:v>
                </c:pt>
                <c:pt idx="640">
                  <c:v>737467.32312499965</c:v>
                </c:pt>
                <c:pt idx="641">
                  <c:v>737467.32312499965</c:v>
                </c:pt>
                <c:pt idx="642">
                  <c:v>737467.32312499965</c:v>
                </c:pt>
                <c:pt idx="643">
                  <c:v>737467.32312499965</c:v>
                </c:pt>
                <c:pt idx="644">
                  <c:v>737467.32312499965</c:v>
                </c:pt>
                <c:pt idx="645">
                  <c:v>737467.32312499965</c:v>
                </c:pt>
                <c:pt idx="646">
                  <c:v>737467.32312499965</c:v>
                </c:pt>
                <c:pt idx="647">
                  <c:v>737467.32312499965</c:v>
                </c:pt>
                <c:pt idx="648">
                  <c:v>737467.32312499965</c:v>
                </c:pt>
                <c:pt idx="649">
                  <c:v>737467.32312499965</c:v>
                </c:pt>
                <c:pt idx="650">
                  <c:v>737467.32312499965</c:v>
                </c:pt>
                <c:pt idx="651">
                  <c:v>737467.32312499965</c:v>
                </c:pt>
                <c:pt idx="652">
                  <c:v>737467.32312499965</c:v>
                </c:pt>
                <c:pt idx="653">
                  <c:v>737467.32312499965</c:v>
                </c:pt>
                <c:pt idx="654">
                  <c:v>737467.32312499965</c:v>
                </c:pt>
                <c:pt idx="655">
                  <c:v>737467.32312499965</c:v>
                </c:pt>
                <c:pt idx="656">
                  <c:v>737467.32312499965</c:v>
                </c:pt>
                <c:pt idx="657">
                  <c:v>737467.32312499965</c:v>
                </c:pt>
                <c:pt idx="658">
                  <c:v>737467.32312499965</c:v>
                </c:pt>
                <c:pt idx="659">
                  <c:v>737467.32312499965</c:v>
                </c:pt>
                <c:pt idx="660">
                  <c:v>737467.32312499965</c:v>
                </c:pt>
                <c:pt idx="661">
                  <c:v>737467.32312499965</c:v>
                </c:pt>
                <c:pt idx="662">
                  <c:v>737467.32312499965</c:v>
                </c:pt>
                <c:pt idx="663">
                  <c:v>737467.32312499965</c:v>
                </c:pt>
                <c:pt idx="664">
                  <c:v>737467.32312499965</c:v>
                </c:pt>
                <c:pt idx="665">
                  <c:v>737467.32312499965</c:v>
                </c:pt>
                <c:pt idx="666">
                  <c:v>737467.32312499965</c:v>
                </c:pt>
                <c:pt idx="667">
                  <c:v>737467.32312499965</c:v>
                </c:pt>
                <c:pt idx="668">
                  <c:v>737467.32312499965</c:v>
                </c:pt>
                <c:pt idx="669">
                  <c:v>737467.32312499965</c:v>
                </c:pt>
                <c:pt idx="670">
                  <c:v>737467.32312499965</c:v>
                </c:pt>
                <c:pt idx="671">
                  <c:v>737467.32312499965</c:v>
                </c:pt>
                <c:pt idx="672">
                  <c:v>737467.32312499965</c:v>
                </c:pt>
                <c:pt idx="673">
                  <c:v>737467.32312499965</c:v>
                </c:pt>
                <c:pt idx="674">
                  <c:v>737467.32312499965</c:v>
                </c:pt>
                <c:pt idx="675">
                  <c:v>737467.32312499965</c:v>
                </c:pt>
                <c:pt idx="676">
                  <c:v>737467.32312499965</c:v>
                </c:pt>
                <c:pt idx="677">
                  <c:v>737467.32312499965</c:v>
                </c:pt>
                <c:pt idx="678">
                  <c:v>737467.32312499965</c:v>
                </c:pt>
                <c:pt idx="679">
                  <c:v>737467.32312499965</c:v>
                </c:pt>
                <c:pt idx="680">
                  <c:v>737467.32312499965</c:v>
                </c:pt>
                <c:pt idx="681">
                  <c:v>737467.32312499965</c:v>
                </c:pt>
                <c:pt idx="682">
                  <c:v>737467.32312499965</c:v>
                </c:pt>
                <c:pt idx="683">
                  <c:v>737467.32312499965</c:v>
                </c:pt>
                <c:pt idx="684">
                  <c:v>737467.32312499965</c:v>
                </c:pt>
                <c:pt idx="685">
                  <c:v>737467.32312499965</c:v>
                </c:pt>
                <c:pt idx="686">
                  <c:v>737467.32312499965</c:v>
                </c:pt>
                <c:pt idx="687">
                  <c:v>737467.32312499965</c:v>
                </c:pt>
                <c:pt idx="688">
                  <c:v>737467.32312499965</c:v>
                </c:pt>
                <c:pt idx="689">
                  <c:v>737467.32312499965</c:v>
                </c:pt>
                <c:pt idx="690">
                  <c:v>737467.32312499965</c:v>
                </c:pt>
                <c:pt idx="691">
                  <c:v>737467.32312499965</c:v>
                </c:pt>
                <c:pt idx="692">
                  <c:v>737467.32312499965</c:v>
                </c:pt>
                <c:pt idx="693">
                  <c:v>737467.32312499965</c:v>
                </c:pt>
                <c:pt idx="694">
                  <c:v>737467.32312499965</c:v>
                </c:pt>
                <c:pt idx="695">
                  <c:v>737467.32312499965</c:v>
                </c:pt>
                <c:pt idx="696">
                  <c:v>737467.32312499965</c:v>
                </c:pt>
                <c:pt idx="697">
                  <c:v>737467.32312499965</c:v>
                </c:pt>
                <c:pt idx="698">
                  <c:v>737467.32312499965</c:v>
                </c:pt>
                <c:pt idx="699">
                  <c:v>737467.32312499965</c:v>
                </c:pt>
                <c:pt idx="700">
                  <c:v>737467.32312499965</c:v>
                </c:pt>
                <c:pt idx="701">
                  <c:v>737467.32312499965</c:v>
                </c:pt>
                <c:pt idx="702">
                  <c:v>737467.32312499965</c:v>
                </c:pt>
                <c:pt idx="703">
                  <c:v>737467.32312499965</c:v>
                </c:pt>
                <c:pt idx="704">
                  <c:v>737467.32312499965</c:v>
                </c:pt>
                <c:pt idx="705">
                  <c:v>737467.32312499965</c:v>
                </c:pt>
                <c:pt idx="706">
                  <c:v>737467.32312499965</c:v>
                </c:pt>
                <c:pt idx="707">
                  <c:v>737467.32312499965</c:v>
                </c:pt>
                <c:pt idx="708">
                  <c:v>737467.32312499965</c:v>
                </c:pt>
                <c:pt idx="709">
                  <c:v>737467.32312499965</c:v>
                </c:pt>
                <c:pt idx="710">
                  <c:v>737467.32312499965</c:v>
                </c:pt>
                <c:pt idx="711">
                  <c:v>737467.32312499965</c:v>
                </c:pt>
                <c:pt idx="712">
                  <c:v>737467.32312499965</c:v>
                </c:pt>
                <c:pt idx="713">
                  <c:v>737467.32312499965</c:v>
                </c:pt>
                <c:pt idx="714">
                  <c:v>737467.32312499965</c:v>
                </c:pt>
                <c:pt idx="715">
                  <c:v>737467.32312499965</c:v>
                </c:pt>
                <c:pt idx="716">
                  <c:v>737467.32312499965</c:v>
                </c:pt>
                <c:pt idx="717">
                  <c:v>737467.32312499965</c:v>
                </c:pt>
                <c:pt idx="718">
                  <c:v>737467.32312499965</c:v>
                </c:pt>
                <c:pt idx="719">
                  <c:v>737467.32312499965</c:v>
                </c:pt>
                <c:pt idx="720">
                  <c:v>737467.32312499965</c:v>
                </c:pt>
                <c:pt idx="721">
                  <c:v>737467.32312499965</c:v>
                </c:pt>
                <c:pt idx="722">
                  <c:v>737467.32312499965</c:v>
                </c:pt>
                <c:pt idx="723">
                  <c:v>737467.32312499965</c:v>
                </c:pt>
                <c:pt idx="724">
                  <c:v>737467.32312499965</c:v>
                </c:pt>
                <c:pt idx="725">
                  <c:v>737467.32312499965</c:v>
                </c:pt>
                <c:pt idx="726">
                  <c:v>737467.32312499965</c:v>
                </c:pt>
                <c:pt idx="727">
                  <c:v>737467.32312499965</c:v>
                </c:pt>
                <c:pt idx="728">
                  <c:v>737467.32312499965</c:v>
                </c:pt>
                <c:pt idx="729">
                  <c:v>737467.32312499965</c:v>
                </c:pt>
                <c:pt idx="730">
                  <c:v>737467.32312499965</c:v>
                </c:pt>
                <c:pt idx="731">
                  <c:v>737467.32312499965</c:v>
                </c:pt>
                <c:pt idx="732">
                  <c:v>737467.32312499965</c:v>
                </c:pt>
                <c:pt idx="733">
                  <c:v>737467.32312499965</c:v>
                </c:pt>
                <c:pt idx="734">
                  <c:v>737467.32312499965</c:v>
                </c:pt>
                <c:pt idx="735">
                  <c:v>737467.32312499965</c:v>
                </c:pt>
                <c:pt idx="736">
                  <c:v>737467.32312499965</c:v>
                </c:pt>
                <c:pt idx="737">
                  <c:v>737467.32312499965</c:v>
                </c:pt>
                <c:pt idx="738">
                  <c:v>737467.32312499965</c:v>
                </c:pt>
                <c:pt idx="739">
                  <c:v>737467.32312499965</c:v>
                </c:pt>
                <c:pt idx="740">
                  <c:v>737467.32312499965</c:v>
                </c:pt>
                <c:pt idx="741">
                  <c:v>737467.32312499965</c:v>
                </c:pt>
                <c:pt idx="742">
                  <c:v>737467.32312499965</c:v>
                </c:pt>
                <c:pt idx="743">
                  <c:v>737467.32312499965</c:v>
                </c:pt>
                <c:pt idx="744">
                  <c:v>737467.32312499965</c:v>
                </c:pt>
                <c:pt idx="745">
                  <c:v>737467.32312499965</c:v>
                </c:pt>
                <c:pt idx="746">
                  <c:v>737467.32312499965</c:v>
                </c:pt>
                <c:pt idx="747">
                  <c:v>737467.32312499965</c:v>
                </c:pt>
                <c:pt idx="748">
                  <c:v>737467.32312499965</c:v>
                </c:pt>
                <c:pt idx="749">
                  <c:v>737467.32312499965</c:v>
                </c:pt>
                <c:pt idx="750">
                  <c:v>737467.32312499965</c:v>
                </c:pt>
                <c:pt idx="751">
                  <c:v>737467.32312499965</c:v>
                </c:pt>
                <c:pt idx="752">
                  <c:v>737467.32312499965</c:v>
                </c:pt>
                <c:pt idx="753">
                  <c:v>737467.32312499965</c:v>
                </c:pt>
                <c:pt idx="754">
                  <c:v>737467.32312499965</c:v>
                </c:pt>
                <c:pt idx="755">
                  <c:v>737467.32312499965</c:v>
                </c:pt>
                <c:pt idx="756">
                  <c:v>737467.32312499965</c:v>
                </c:pt>
                <c:pt idx="757">
                  <c:v>737467.32312499965</c:v>
                </c:pt>
                <c:pt idx="758">
                  <c:v>737467.32312499965</c:v>
                </c:pt>
                <c:pt idx="759">
                  <c:v>737467.32312499965</c:v>
                </c:pt>
                <c:pt idx="760">
                  <c:v>737467.32312499965</c:v>
                </c:pt>
                <c:pt idx="761">
                  <c:v>737467.32312499965</c:v>
                </c:pt>
                <c:pt idx="762">
                  <c:v>737467.32312499965</c:v>
                </c:pt>
                <c:pt idx="763">
                  <c:v>737467.32312499965</c:v>
                </c:pt>
                <c:pt idx="764">
                  <c:v>737467.32312499965</c:v>
                </c:pt>
                <c:pt idx="765">
                  <c:v>737467.32312499965</c:v>
                </c:pt>
                <c:pt idx="766">
                  <c:v>737467.32312499965</c:v>
                </c:pt>
                <c:pt idx="767">
                  <c:v>737467.32312499965</c:v>
                </c:pt>
                <c:pt idx="768">
                  <c:v>737467.32312499965</c:v>
                </c:pt>
                <c:pt idx="769">
                  <c:v>737467.32312499965</c:v>
                </c:pt>
                <c:pt idx="770">
                  <c:v>737467.32312499965</c:v>
                </c:pt>
                <c:pt idx="771">
                  <c:v>737467.32312499965</c:v>
                </c:pt>
                <c:pt idx="772">
                  <c:v>737467.32312499965</c:v>
                </c:pt>
                <c:pt idx="773">
                  <c:v>737467.32312499965</c:v>
                </c:pt>
                <c:pt idx="774">
                  <c:v>737467.32312499965</c:v>
                </c:pt>
                <c:pt idx="775">
                  <c:v>737467.32312499965</c:v>
                </c:pt>
                <c:pt idx="776">
                  <c:v>737467.32312499965</c:v>
                </c:pt>
                <c:pt idx="777">
                  <c:v>737467.32312499965</c:v>
                </c:pt>
                <c:pt idx="778">
                  <c:v>737467.32312499965</c:v>
                </c:pt>
                <c:pt idx="779">
                  <c:v>737467.32312499965</c:v>
                </c:pt>
                <c:pt idx="780">
                  <c:v>737467.32312499965</c:v>
                </c:pt>
                <c:pt idx="781">
                  <c:v>737467.32312499965</c:v>
                </c:pt>
                <c:pt idx="782">
                  <c:v>737467.32312499965</c:v>
                </c:pt>
                <c:pt idx="783">
                  <c:v>737467.32312499965</c:v>
                </c:pt>
                <c:pt idx="784">
                  <c:v>737467.32312499965</c:v>
                </c:pt>
                <c:pt idx="785">
                  <c:v>737467.32312499965</c:v>
                </c:pt>
                <c:pt idx="786">
                  <c:v>737467.32312499965</c:v>
                </c:pt>
                <c:pt idx="787">
                  <c:v>737467.32312499965</c:v>
                </c:pt>
                <c:pt idx="788">
                  <c:v>737467.32312499965</c:v>
                </c:pt>
                <c:pt idx="789">
                  <c:v>737467.32312499965</c:v>
                </c:pt>
                <c:pt idx="790">
                  <c:v>737467.32312499965</c:v>
                </c:pt>
                <c:pt idx="791">
                  <c:v>737467.32312499965</c:v>
                </c:pt>
                <c:pt idx="792">
                  <c:v>737467.32312499965</c:v>
                </c:pt>
                <c:pt idx="793">
                  <c:v>737467.32312499965</c:v>
                </c:pt>
                <c:pt idx="794">
                  <c:v>737467.32312499965</c:v>
                </c:pt>
                <c:pt idx="795">
                  <c:v>737467.32312499965</c:v>
                </c:pt>
                <c:pt idx="796">
                  <c:v>737467.32312499965</c:v>
                </c:pt>
                <c:pt idx="797">
                  <c:v>737467.32312499965</c:v>
                </c:pt>
                <c:pt idx="798">
                  <c:v>737467.32312499965</c:v>
                </c:pt>
                <c:pt idx="799">
                  <c:v>737467.32312499965</c:v>
                </c:pt>
                <c:pt idx="800">
                  <c:v>737467.32312499965</c:v>
                </c:pt>
                <c:pt idx="801">
                  <c:v>737467.32312499965</c:v>
                </c:pt>
                <c:pt idx="802">
                  <c:v>737467.32312499965</c:v>
                </c:pt>
                <c:pt idx="803">
                  <c:v>737467.32312499965</c:v>
                </c:pt>
                <c:pt idx="804">
                  <c:v>737467.32312499965</c:v>
                </c:pt>
                <c:pt idx="805">
                  <c:v>737467.32312499965</c:v>
                </c:pt>
                <c:pt idx="806">
                  <c:v>737467.32312499965</c:v>
                </c:pt>
                <c:pt idx="807">
                  <c:v>737467.32312499965</c:v>
                </c:pt>
                <c:pt idx="808">
                  <c:v>737467.32312499965</c:v>
                </c:pt>
                <c:pt idx="809">
                  <c:v>737467.32312499965</c:v>
                </c:pt>
                <c:pt idx="810">
                  <c:v>737467.32312499965</c:v>
                </c:pt>
                <c:pt idx="811">
                  <c:v>737467.32312499965</c:v>
                </c:pt>
                <c:pt idx="812">
                  <c:v>737467.32312499965</c:v>
                </c:pt>
                <c:pt idx="813">
                  <c:v>737467.32312499965</c:v>
                </c:pt>
                <c:pt idx="814">
                  <c:v>737467.32312499965</c:v>
                </c:pt>
                <c:pt idx="815">
                  <c:v>737467.32312499965</c:v>
                </c:pt>
                <c:pt idx="816">
                  <c:v>737467.32312499965</c:v>
                </c:pt>
                <c:pt idx="817">
                  <c:v>737467.32312499965</c:v>
                </c:pt>
                <c:pt idx="818">
                  <c:v>737467.32312499965</c:v>
                </c:pt>
                <c:pt idx="819">
                  <c:v>737467.32312499965</c:v>
                </c:pt>
                <c:pt idx="820">
                  <c:v>737467.32312499965</c:v>
                </c:pt>
                <c:pt idx="821">
                  <c:v>737467.32312499965</c:v>
                </c:pt>
                <c:pt idx="822">
                  <c:v>737467.32312499965</c:v>
                </c:pt>
                <c:pt idx="823">
                  <c:v>737467.32312499965</c:v>
                </c:pt>
                <c:pt idx="824">
                  <c:v>737467.32312499965</c:v>
                </c:pt>
                <c:pt idx="825">
                  <c:v>737467.32312499965</c:v>
                </c:pt>
                <c:pt idx="826">
                  <c:v>737467.32312499965</c:v>
                </c:pt>
                <c:pt idx="827">
                  <c:v>737467.32312499965</c:v>
                </c:pt>
                <c:pt idx="828">
                  <c:v>737467.32312499965</c:v>
                </c:pt>
                <c:pt idx="829">
                  <c:v>737467.32312499965</c:v>
                </c:pt>
                <c:pt idx="830">
                  <c:v>737467.32312499965</c:v>
                </c:pt>
                <c:pt idx="831">
                  <c:v>737467.32312499965</c:v>
                </c:pt>
                <c:pt idx="832">
                  <c:v>737467.32312499965</c:v>
                </c:pt>
                <c:pt idx="833">
                  <c:v>737467.32312499965</c:v>
                </c:pt>
                <c:pt idx="834">
                  <c:v>737467.32312499965</c:v>
                </c:pt>
                <c:pt idx="835">
                  <c:v>737467.32312499965</c:v>
                </c:pt>
                <c:pt idx="836">
                  <c:v>737467.32312499965</c:v>
                </c:pt>
                <c:pt idx="837">
                  <c:v>737467.32312499965</c:v>
                </c:pt>
                <c:pt idx="838">
                  <c:v>737467.32312499965</c:v>
                </c:pt>
                <c:pt idx="839">
                  <c:v>737467.32312499965</c:v>
                </c:pt>
                <c:pt idx="840">
                  <c:v>737467.32312499965</c:v>
                </c:pt>
                <c:pt idx="841">
                  <c:v>737467.32312499965</c:v>
                </c:pt>
                <c:pt idx="842">
                  <c:v>737467.32312499965</c:v>
                </c:pt>
                <c:pt idx="843">
                  <c:v>737467.32312499965</c:v>
                </c:pt>
                <c:pt idx="844">
                  <c:v>737467.32312499965</c:v>
                </c:pt>
                <c:pt idx="845">
                  <c:v>737467.32312499965</c:v>
                </c:pt>
                <c:pt idx="846">
                  <c:v>737467.32312499965</c:v>
                </c:pt>
                <c:pt idx="847">
                  <c:v>737467.32312499965</c:v>
                </c:pt>
                <c:pt idx="848">
                  <c:v>737467.32312499965</c:v>
                </c:pt>
                <c:pt idx="849">
                  <c:v>737467.32312499965</c:v>
                </c:pt>
                <c:pt idx="850">
                  <c:v>737467.32312499965</c:v>
                </c:pt>
                <c:pt idx="851">
                  <c:v>737467.32312499965</c:v>
                </c:pt>
                <c:pt idx="852">
                  <c:v>737467.32312499965</c:v>
                </c:pt>
                <c:pt idx="853">
                  <c:v>737467.32312499965</c:v>
                </c:pt>
                <c:pt idx="854">
                  <c:v>737467.32312499965</c:v>
                </c:pt>
                <c:pt idx="855">
                  <c:v>737467.32312499965</c:v>
                </c:pt>
                <c:pt idx="856">
                  <c:v>737467.32312499965</c:v>
                </c:pt>
                <c:pt idx="857">
                  <c:v>737467.32312499965</c:v>
                </c:pt>
                <c:pt idx="858">
                  <c:v>737467.32312499965</c:v>
                </c:pt>
                <c:pt idx="859">
                  <c:v>737467.32312499965</c:v>
                </c:pt>
                <c:pt idx="860">
                  <c:v>737467.32312499965</c:v>
                </c:pt>
                <c:pt idx="861">
                  <c:v>737467.32312499965</c:v>
                </c:pt>
                <c:pt idx="862">
                  <c:v>737467.32312499965</c:v>
                </c:pt>
                <c:pt idx="863">
                  <c:v>737467.32312499965</c:v>
                </c:pt>
                <c:pt idx="864">
                  <c:v>737467.32312499965</c:v>
                </c:pt>
                <c:pt idx="865">
                  <c:v>737467.32312499965</c:v>
                </c:pt>
                <c:pt idx="866">
                  <c:v>737467.32312499965</c:v>
                </c:pt>
                <c:pt idx="867">
                  <c:v>737467.32312499965</c:v>
                </c:pt>
                <c:pt idx="868">
                  <c:v>737467.32312499965</c:v>
                </c:pt>
                <c:pt idx="869">
                  <c:v>737467.32312499965</c:v>
                </c:pt>
                <c:pt idx="870">
                  <c:v>737467.32312499965</c:v>
                </c:pt>
                <c:pt idx="871">
                  <c:v>737467.32312499965</c:v>
                </c:pt>
                <c:pt idx="872">
                  <c:v>737467.32312499965</c:v>
                </c:pt>
                <c:pt idx="873">
                  <c:v>737467.32312499965</c:v>
                </c:pt>
                <c:pt idx="874">
                  <c:v>737467.32312499965</c:v>
                </c:pt>
                <c:pt idx="875">
                  <c:v>737467.32312499965</c:v>
                </c:pt>
                <c:pt idx="876">
                  <c:v>737467.32312499965</c:v>
                </c:pt>
                <c:pt idx="877">
                  <c:v>737467.32312499965</c:v>
                </c:pt>
                <c:pt idx="878">
                  <c:v>737467.32312499965</c:v>
                </c:pt>
                <c:pt idx="879">
                  <c:v>737467.32312499965</c:v>
                </c:pt>
                <c:pt idx="880">
                  <c:v>737467.32312499965</c:v>
                </c:pt>
                <c:pt idx="881">
                  <c:v>737467.32312499965</c:v>
                </c:pt>
                <c:pt idx="882">
                  <c:v>737467.32312499965</c:v>
                </c:pt>
                <c:pt idx="883">
                  <c:v>737467.32312499965</c:v>
                </c:pt>
                <c:pt idx="884">
                  <c:v>737467.32312499965</c:v>
                </c:pt>
                <c:pt idx="885">
                  <c:v>737467.32312499965</c:v>
                </c:pt>
                <c:pt idx="886">
                  <c:v>737467.32312499965</c:v>
                </c:pt>
                <c:pt idx="887">
                  <c:v>737467.32312499965</c:v>
                </c:pt>
                <c:pt idx="888">
                  <c:v>737467.32312499965</c:v>
                </c:pt>
                <c:pt idx="889">
                  <c:v>737467.32312499965</c:v>
                </c:pt>
                <c:pt idx="890">
                  <c:v>737467.32312499965</c:v>
                </c:pt>
                <c:pt idx="891">
                  <c:v>737467.32312499965</c:v>
                </c:pt>
                <c:pt idx="892">
                  <c:v>737467.32312499965</c:v>
                </c:pt>
                <c:pt idx="893">
                  <c:v>737467.32312499965</c:v>
                </c:pt>
                <c:pt idx="894">
                  <c:v>737467.32312499965</c:v>
                </c:pt>
                <c:pt idx="895">
                  <c:v>737467.32312499965</c:v>
                </c:pt>
                <c:pt idx="896">
                  <c:v>737467.32312499965</c:v>
                </c:pt>
                <c:pt idx="897">
                  <c:v>737467.32312499965</c:v>
                </c:pt>
                <c:pt idx="898">
                  <c:v>737467.32312499965</c:v>
                </c:pt>
                <c:pt idx="899">
                  <c:v>737467.32312499965</c:v>
                </c:pt>
                <c:pt idx="900">
                  <c:v>737467.32312499965</c:v>
                </c:pt>
                <c:pt idx="901">
                  <c:v>737467.32312499965</c:v>
                </c:pt>
                <c:pt idx="902">
                  <c:v>737467.32312499965</c:v>
                </c:pt>
                <c:pt idx="903">
                  <c:v>737467.32312499965</c:v>
                </c:pt>
                <c:pt idx="904">
                  <c:v>737467.32312499965</c:v>
                </c:pt>
                <c:pt idx="905">
                  <c:v>737467.32312499965</c:v>
                </c:pt>
                <c:pt idx="906">
                  <c:v>737467.32312499965</c:v>
                </c:pt>
                <c:pt idx="907">
                  <c:v>737467.32312499965</c:v>
                </c:pt>
                <c:pt idx="908">
                  <c:v>737467.32312499965</c:v>
                </c:pt>
                <c:pt idx="909">
                  <c:v>737467.32312499965</c:v>
                </c:pt>
                <c:pt idx="910">
                  <c:v>737467.32312499965</c:v>
                </c:pt>
                <c:pt idx="911">
                  <c:v>737467.32312499965</c:v>
                </c:pt>
                <c:pt idx="912">
                  <c:v>737467.32312499965</c:v>
                </c:pt>
                <c:pt idx="913">
                  <c:v>737467.32312499965</c:v>
                </c:pt>
                <c:pt idx="914">
                  <c:v>737467.32312499965</c:v>
                </c:pt>
                <c:pt idx="915">
                  <c:v>737467.32312499965</c:v>
                </c:pt>
                <c:pt idx="916">
                  <c:v>737467.32312499965</c:v>
                </c:pt>
                <c:pt idx="917">
                  <c:v>737467.32312499965</c:v>
                </c:pt>
                <c:pt idx="918">
                  <c:v>737467.32312499965</c:v>
                </c:pt>
                <c:pt idx="919">
                  <c:v>737467.32312499965</c:v>
                </c:pt>
                <c:pt idx="920">
                  <c:v>737467.32312499965</c:v>
                </c:pt>
                <c:pt idx="921">
                  <c:v>737467.32312499965</c:v>
                </c:pt>
                <c:pt idx="922">
                  <c:v>737467.32312499965</c:v>
                </c:pt>
                <c:pt idx="923">
                  <c:v>737467.32312499965</c:v>
                </c:pt>
                <c:pt idx="924">
                  <c:v>737467.32312499965</c:v>
                </c:pt>
                <c:pt idx="925">
                  <c:v>737467.32312499965</c:v>
                </c:pt>
                <c:pt idx="926">
                  <c:v>737467.32312499965</c:v>
                </c:pt>
                <c:pt idx="927">
                  <c:v>737467.32312499965</c:v>
                </c:pt>
                <c:pt idx="928">
                  <c:v>737467.32312499965</c:v>
                </c:pt>
                <c:pt idx="929">
                  <c:v>737467.32312499965</c:v>
                </c:pt>
                <c:pt idx="930">
                  <c:v>737467.32312499965</c:v>
                </c:pt>
                <c:pt idx="931">
                  <c:v>737467.32312499965</c:v>
                </c:pt>
                <c:pt idx="932">
                  <c:v>737467.32312499965</c:v>
                </c:pt>
                <c:pt idx="933">
                  <c:v>737467.32312499965</c:v>
                </c:pt>
                <c:pt idx="934">
                  <c:v>737467.32312499965</c:v>
                </c:pt>
                <c:pt idx="935">
                  <c:v>737467.32312499965</c:v>
                </c:pt>
                <c:pt idx="936">
                  <c:v>737467.32312499965</c:v>
                </c:pt>
                <c:pt idx="937">
                  <c:v>737467.32312499965</c:v>
                </c:pt>
                <c:pt idx="938">
                  <c:v>737467.32312499965</c:v>
                </c:pt>
                <c:pt idx="939">
                  <c:v>737467.32312499965</c:v>
                </c:pt>
                <c:pt idx="940">
                  <c:v>737467.32312499965</c:v>
                </c:pt>
                <c:pt idx="941">
                  <c:v>737467.32312499965</c:v>
                </c:pt>
                <c:pt idx="942">
                  <c:v>737467.32312499965</c:v>
                </c:pt>
                <c:pt idx="943">
                  <c:v>737467.32312499965</c:v>
                </c:pt>
                <c:pt idx="944">
                  <c:v>737467.32312499965</c:v>
                </c:pt>
                <c:pt idx="945">
                  <c:v>737467.32312499965</c:v>
                </c:pt>
                <c:pt idx="946">
                  <c:v>737467.32312499965</c:v>
                </c:pt>
                <c:pt idx="947">
                  <c:v>737467.32312499965</c:v>
                </c:pt>
                <c:pt idx="948">
                  <c:v>737467.32312499965</c:v>
                </c:pt>
                <c:pt idx="949">
                  <c:v>737467.32312499965</c:v>
                </c:pt>
                <c:pt idx="950">
                  <c:v>737467.32312499965</c:v>
                </c:pt>
                <c:pt idx="951">
                  <c:v>737467.32312499965</c:v>
                </c:pt>
                <c:pt idx="952">
                  <c:v>737467.32312499965</c:v>
                </c:pt>
                <c:pt idx="953">
                  <c:v>737467.32312499965</c:v>
                </c:pt>
                <c:pt idx="954">
                  <c:v>737467.32312499965</c:v>
                </c:pt>
                <c:pt idx="955">
                  <c:v>737467.32312499965</c:v>
                </c:pt>
                <c:pt idx="956">
                  <c:v>737467.32312499965</c:v>
                </c:pt>
                <c:pt idx="957">
                  <c:v>737467.32312499965</c:v>
                </c:pt>
                <c:pt idx="958">
                  <c:v>737467.32312499965</c:v>
                </c:pt>
                <c:pt idx="959">
                  <c:v>737467.32312499965</c:v>
                </c:pt>
                <c:pt idx="960">
                  <c:v>737467.32312499965</c:v>
                </c:pt>
                <c:pt idx="961">
                  <c:v>737467.32312499965</c:v>
                </c:pt>
                <c:pt idx="962">
                  <c:v>737467.32312499965</c:v>
                </c:pt>
                <c:pt idx="963">
                  <c:v>737467.32312499965</c:v>
                </c:pt>
                <c:pt idx="964">
                  <c:v>737467.32312499965</c:v>
                </c:pt>
                <c:pt idx="965">
                  <c:v>737467.32312499965</c:v>
                </c:pt>
                <c:pt idx="966">
                  <c:v>737467.32312499965</c:v>
                </c:pt>
                <c:pt idx="967">
                  <c:v>737467.32312499965</c:v>
                </c:pt>
                <c:pt idx="968">
                  <c:v>737467.32312499965</c:v>
                </c:pt>
                <c:pt idx="969">
                  <c:v>737467.32312499965</c:v>
                </c:pt>
                <c:pt idx="970">
                  <c:v>737467.32312499965</c:v>
                </c:pt>
                <c:pt idx="971">
                  <c:v>737467.32312499965</c:v>
                </c:pt>
                <c:pt idx="972">
                  <c:v>737467.32312499965</c:v>
                </c:pt>
                <c:pt idx="973">
                  <c:v>737467.32312499965</c:v>
                </c:pt>
                <c:pt idx="974">
                  <c:v>737467.32312499965</c:v>
                </c:pt>
                <c:pt idx="975">
                  <c:v>737467.32312499965</c:v>
                </c:pt>
                <c:pt idx="976">
                  <c:v>737467.32312499965</c:v>
                </c:pt>
                <c:pt idx="977">
                  <c:v>737467.32312499965</c:v>
                </c:pt>
                <c:pt idx="978">
                  <c:v>737467.32312499965</c:v>
                </c:pt>
                <c:pt idx="979">
                  <c:v>737467.32312499965</c:v>
                </c:pt>
                <c:pt idx="980">
                  <c:v>737467.32312499965</c:v>
                </c:pt>
                <c:pt idx="981">
                  <c:v>737467.32312499965</c:v>
                </c:pt>
                <c:pt idx="982">
                  <c:v>737467.32312499965</c:v>
                </c:pt>
                <c:pt idx="983">
                  <c:v>737467.32312499965</c:v>
                </c:pt>
                <c:pt idx="984">
                  <c:v>737467.32312499965</c:v>
                </c:pt>
                <c:pt idx="985">
                  <c:v>737467.32312499965</c:v>
                </c:pt>
                <c:pt idx="986">
                  <c:v>737467.32312499965</c:v>
                </c:pt>
                <c:pt idx="987">
                  <c:v>737467.32312499965</c:v>
                </c:pt>
                <c:pt idx="988">
                  <c:v>737467.32312499965</c:v>
                </c:pt>
                <c:pt idx="989">
                  <c:v>737467.32312499965</c:v>
                </c:pt>
                <c:pt idx="990">
                  <c:v>737467.32312499965</c:v>
                </c:pt>
                <c:pt idx="991">
                  <c:v>737467.32312499965</c:v>
                </c:pt>
                <c:pt idx="992">
                  <c:v>737467.32312499965</c:v>
                </c:pt>
                <c:pt idx="993">
                  <c:v>737467.32312499965</c:v>
                </c:pt>
                <c:pt idx="994">
                  <c:v>737467.32312499965</c:v>
                </c:pt>
                <c:pt idx="995">
                  <c:v>737467.32312499965</c:v>
                </c:pt>
                <c:pt idx="996">
                  <c:v>737467.32312499965</c:v>
                </c:pt>
                <c:pt idx="997">
                  <c:v>737467.32312499965</c:v>
                </c:pt>
                <c:pt idx="998">
                  <c:v>737467.32312499965</c:v>
                </c:pt>
                <c:pt idx="999">
                  <c:v>737467.32312499965</c:v>
                </c:pt>
                <c:pt idx="1000">
                  <c:v>737467.32312499965</c:v>
                </c:pt>
                <c:pt idx="1001">
                  <c:v>737467.32312499965</c:v>
                </c:pt>
                <c:pt idx="1002">
                  <c:v>737467.32312499965</c:v>
                </c:pt>
                <c:pt idx="1003">
                  <c:v>737467.32312499965</c:v>
                </c:pt>
                <c:pt idx="1004">
                  <c:v>737467.32312499965</c:v>
                </c:pt>
                <c:pt idx="1005">
                  <c:v>737467.32312499965</c:v>
                </c:pt>
                <c:pt idx="1006">
                  <c:v>737467.32312499965</c:v>
                </c:pt>
                <c:pt idx="1007">
                  <c:v>737467.32312499965</c:v>
                </c:pt>
                <c:pt idx="1008">
                  <c:v>737467.32312499965</c:v>
                </c:pt>
                <c:pt idx="1009">
                  <c:v>737467.32312499965</c:v>
                </c:pt>
                <c:pt idx="1010">
                  <c:v>737467.32312499965</c:v>
                </c:pt>
                <c:pt idx="1011">
                  <c:v>737467.32312499965</c:v>
                </c:pt>
                <c:pt idx="1012">
                  <c:v>737467.32312499965</c:v>
                </c:pt>
                <c:pt idx="1013">
                  <c:v>737467.32312499965</c:v>
                </c:pt>
                <c:pt idx="1014">
                  <c:v>737467.32312499965</c:v>
                </c:pt>
                <c:pt idx="1015">
                  <c:v>737467.32312499965</c:v>
                </c:pt>
                <c:pt idx="1016">
                  <c:v>737467.32312499965</c:v>
                </c:pt>
                <c:pt idx="1017">
                  <c:v>737467.32312499965</c:v>
                </c:pt>
                <c:pt idx="1018">
                  <c:v>737467.32312499965</c:v>
                </c:pt>
                <c:pt idx="1019">
                  <c:v>737467.32312499965</c:v>
                </c:pt>
                <c:pt idx="1020">
                  <c:v>737467.32312499965</c:v>
                </c:pt>
                <c:pt idx="1021">
                  <c:v>737467.32312499965</c:v>
                </c:pt>
                <c:pt idx="1022">
                  <c:v>737467.32312499965</c:v>
                </c:pt>
                <c:pt idx="1023">
                  <c:v>737467.32312499965</c:v>
                </c:pt>
                <c:pt idx="1024">
                  <c:v>737467.32312499965</c:v>
                </c:pt>
                <c:pt idx="1025">
                  <c:v>737467.32312499965</c:v>
                </c:pt>
                <c:pt idx="1026">
                  <c:v>737467.32312499965</c:v>
                </c:pt>
                <c:pt idx="1027">
                  <c:v>737467.32312499965</c:v>
                </c:pt>
                <c:pt idx="1028">
                  <c:v>737467.32312499965</c:v>
                </c:pt>
                <c:pt idx="1029">
                  <c:v>737467.32312499965</c:v>
                </c:pt>
                <c:pt idx="1030">
                  <c:v>737467.32312499965</c:v>
                </c:pt>
                <c:pt idx="1031">
                  <c:v>737467.32312499965</c:v>
                </c:pt>
                <c:pt idx="1032">
                  <c:v>737467.32312499965</c:v>
                </c:pt>
                <c:pt idx="1033">
                  <c:v>737467.32312499965</c:v>
                </c:pt>
                <c:pt idx="1034">
                  <c:v>737467.32312499965</c:v>
                </c:pt>
                <c:pt idx="1035">
                  <c:v>737467.32312499965</c:v>
                </c:pt>
                <c:pt idx="1036">
                  <c:v>737467.32312499965</c:v>
                </c:pt>
                <c:pt idx="1037">
                  <c:v>737467.32312499965</c:v>
                </c:pt>
                <c:pt idx="1038">
                  <c:v>737467.32312499965</c:v>
                </c:pt>
                <c:pt idx="1039">
                  <c:v>737467.32312499965</c:v>
                </c:pt>
                <c:pt idx="1040">
                  <c:v>737467.32312499965</c:v>
                </c:pt>
                <c:pt idx="1041">
                  <c:v>737467.32312499965</c:v>
                </c:pt>
                <c:pt idx="1042">
                  <c:v>737467.32312499965</c:v>
                </c:pt>
                <c:pt idx="1043">
                  <c:v>737467.32312499965</c:v>
                </c:pt>
                <c:pt idx="1044">
                  <c:v>737467.32312499965</c:v>
                </c:pt>
                <c:pt idx="1045">
                  <c:v>737467.32312499965</c:v>
                </c:pt>
                <c:pt idx="1046">
                  <c:v>737467.32312499965</c:v>
                </c:pt>
                <c:pt idx="1047">
                  <c:v>737467.32312499965</c:v>
                </c:pt>
                <c:pt idx="1048">
                  <c:v>737467.32312499965</c:v>
                </c:pt>
                <c:pt idx="1049">
                  <c:v>737467.32312499965</c:v>
                </c:pt>
                <c:pt idx="1050">
                  <c:v>737467.32312499965</c:v>
                </c:pt>
                <c:pt idx="1051">
                  <c:v>737467.32312499965</c:v>
                </c:pt>
                <c:pt idx="1052">
                  <c:v>737467.32312499965</c:v>
                </c:pt>
                <c:pt idx="1053">
                  <c:v>737467.32312499965</c:v>
                </c:pt>
                <c:pt idx="1054">
                  <c:v>737467.32312499965</c:v>
                </c:pt>
                <c:pt idx="1055">
                  <c:v>737467.32312499965</c:v>
                </c:pt>
                <c:pt idx="1056">
                  <c:v>737467.32312499965</c:v>
                </c:pt>
                <c:pt idx="1057">
                  <c:v>737467.32312499965</c:v>
                </c:pt>
                <c:pt idx="1058">
                  <c:v>737467.32312499965</c:v>
                </c:pt>
                <c:pt idx="1059">
                  <c:v>737467.32312499965</c:v>
                </c:pt>
                <c:pt idx="1060">
                  <c:v>737467.32312499965</c:v>
                </c:pt>
                <c:pt idx="1061">
                  <c:v>737467.32312499965</c:v>
                </c:pt>
                <c:pt idx="1062">
                  <c:v>737467.32312499965</c:v>
                </c:pt>
                <c:pt idx="1063">
                  <c:v>737467.32312499965</c:v>
                </c:pt>
                <c:pt idx="1064">
                  <c:v>737467.32312499965</c:v>
                </c:pt>
                <c:pt idx="1065">
                  <c:v>737467.32312499965</c:v>
                </c:pt>
                <c:pt idx="1066">
                  <c:v>737467.32312499965</c:v>
                </c:pt>
                <c:pt idx="1067">
                  <c:v>737467.32312499965</c:v>
                </c:pt>
                <c:pt idx="1068">
                  <c:v>737467.32312499965</c:v>
                </c:pt>
                <c:pt idx="1069">
                  <c:v>737467.32312499965</c:v>
                </c:pt>
                <c:pt idx="1070">
                  <c:v>737467.32312499965</c:v>
                </c:pt>
                <c:pt idx="1071">
                  <c:v>737467.32312499965</c:v>
                </c:pt>
                <c:pt idx="1072">
                  <c:v>737467.32312499965</c:v>
                </c:pt>
                <c:pt idx="1073">
                  <c:v>737467.32312499965</c:v>
                </c:pt>
                <c:pt idx="1074">
                  <c:v>737467.32312499965</c:v>
                </c:pt>
                <c:pt idx="1075">
                  <c:v>737467.32312499965</c:v>
                </c:pt>
                <c:pt idx="1076">
                  <c:v>737467.32312499965</c:v>
                </c:pt>
                <c:pt idx="1077">
                  <c:v>737467.32312499965</c:v>
                </c:pt>
                <c:pt idx="1078">
                  <c:v>737467.32312499965</c:v>
                </c:pt>
                <c:pt idx="1079">
                  <c:v>737467.32312499965</c:v>
                </c:pt>
                <c:pt idx="1080">
                  <c:v>737467.32312499965</c:v>
                </c:pt>
                <c:pt idx="1081">
                  <c:v>737467.32312499965</c:v>
                </c:pt>
                <c:pt idx="1082">
                  <c:v>737467.32312499965</c:v>
                </c:pt>
                <c:pt idx="1083">
                  <c:v>737467.32312499965</c:v>
                </c:pt>
                <c:pt idx="1084">
                  <c:v>737467.32312499965</c:v>
                </c:pt>
                <c:pt idx="1085">
                  <c:v>737467.32312499965</c:v>
                </c:pt>
                <c:pt idx="1086">
                  <c:v>737467.32312499965</c:v>
                </c:pt>
                <c:pt idx="1087">
                  <c:v>737467.32312499965</c:v>
                </c:pt>
                <c:pt idx="1088">
                  <c:v>737467.32312499965</c:v>
                </c:pt>
                <c:pt idx="1089">
                  <c:v>737467.32312499965</c:v>
                </c:pt>
                <c:pt idx="1090">
                  <c:v>737467.32312499965</c:v>
                </c:pt>
                <c:pt idx="1091">
                  <c:v>737467.32312499965</c:v>
                </c:pt>
                <c:pt idx="1092">
                  <c:v>737467.32312499965</c:v>
                </c:pt>
                <c:pt idx="1093">
                  <c:v>737467.32312499965</c:v>
                </c:pt>
                <c:pt idx="1094">
                  <c:v>737467.32312499965</c:v>
                </c:pt>
                <c:pt idx="1095">
                  <c:v>737467.32312499965</c:v>
                </c:pt>
                <c:pt idx="1096">
                  <c:v>737467.32312499965</c:v>
                </c:pt>
                <c:pt idx="1097">
                  <c:v>737467.32312499965</c:v>
                </c:pt>
                <c:pt idx="1098">
                  <c:v>737467.32312499965</c:v>
                </c:pt>
                <c:pt idx="1099">
                  <c:v>737467.32312499965</c:v>
                </c:pt>
                <c:pt idx="1100">
                  <c:v>737467.32312499965</c:v>
                </c:pt>
                <c:pt idx="1101">
                  <c:v>737467.32312499965</c:v>
                </c:pt>
                <c:pt idx="1102">
                  <c:v>737467.32312499965</c:v>
                </c:pt>
                <c:pt idx="1103">
                  <c:v>737467.32312499965</c:v>
                </c:pt>
                <c:pt idx="1104">
                  <c:v>737467.32312499965</c:v>
                </c:pt>
                <c:pt idx="1105">
                  <c:v>737467.32312499965</c:v>
                </c:pt>
                <c:pt idx="1106">
                  <c:v>737467.32312499965</c:v>
                </c:pt>
                <c:pt idx="1107">
                  <c:v>737467.32312499965</c:v>
                </c:pt>
                <c:pt idx="1108">
                  <c:v>737467.32312499965</c:v>
                </c:pt>
                <c:pt idx="1109">
                  <c:v>737467.32312499965</c:v>
                </c:pt>
                <c:pt idx="1110">
                  <c:v>737467.32312499965</c:v>
                </c:pt>
                <c:pt idx="1111">
                  <c:v>737467.32312499965</c:v>
                </c:pt>
                <c:pt idx="1112">
                  <c:v>737467.32312499965</c:v>
                </c:pt>
                <c:pt idx="1113">
                  <c:v>737467.32312499965</c:v>
                </c:pt>
                <c:pt idx="1114">
                  <c:v>737467.32312499965</c:v>
                </c:pt>
                <c:pt idx="1115">
                  <c:v>737467.32312499965</c:v>
                </c:pt>
                <c:pt idx="1116">
                  <c:v>737467.32312499965</c:v>
                </c:pt>
                <c:pt idx="1117">
                  <c:v>737467.32312499965</c:v>
                </c:pt>
                <c:pt idx="1118">
                  <c:v>737467.32312499965</c:v>
                </c:pt>
                <c:pt idx="1119">
                  <c:v>737467.32312499965</c:v>
                </c:pt>
                <c:pt idx="1120">
                  <c:v>737467.32312499965</c:v>
                </c:pt>
                <c:pt idx="1121">
                  <c:v>737467.32312499965</c:v>
                </c:pt>
                <c:pt idx="1122">
                  <c:v>737467.32312499965</c:v>
                </c:pt>
                <c:pt idx="1123">
                  <c:v>737467.32312499965</c:v>
                </c:pt>
                <c:pt idx="1124">
                  <c:v>737467.32312499965</c:v>
                </c:pt>
                <c:pt idx="1125">
                  <c:v>737467.32312499965</c:v>
                </c:pt>
                <c:pt idx="1126">
                  <c:v>737467.32312499965</c:v>
                </c:pt>
                <c:pt idx="1127">
                  <c:v>737467.32312499965</c:v>
                </c:pt>
                <c:pt idx="1128">
                  <c:v>737467.32312499965</c:v>
                </c:pt>
                <c:pt idx="1129">
                  <c:v>737467.32312499965</c:v>
                </c:pt>
                <c:pt idx="1130">
                  <c:v>737467.32312499965</c:v>
                </c:pt>
                <c:pt idx="1131">
                  <c:v>737467.32312499965</c:v>
                </c:pt>
                <c:pt idx="1132">
                  <c:v>737467.32312499965</c:v>
                </c:pt>
                <c:pt idx="1133">
                  <c:v>737467.32312499965</c:v>
                </c:pt>
                <c:pt idx="1134">
                  <c:v>737467.32312499965</c:v>
                </c:pt>
                <c:pt idx="1135">
                  <c:v>737467.32312499965</c:v>
                </c:pt>
                <c:pt idx="1136">
                  <c:v>737467.32312499965</c:v>
                </c:pt>
                <c:pt idx="1137">
                  <c:v>737467.32312499965</c:v>
                </c:pt>
                <c:pt idx="1138">
                  <c:v>737467.32312499965</c:v>
                </c:pt>
                <c:pt idx="1139">
                  <c:v>737467.32312499965</c:v>
                </c:pt>
                <c:pt idx="1140">
                  <c:v>737467.32312499965</c:v>
                </c:pt>
                <c:pt idx="1141">
                  <c:v>737467.32312499965</c:v>
                </c:pt>
                <c:pt idx="1142">
                  <c:v>737467.32312499965</c:v>
                </c:pt>
                <c:pt idx="1143">
                  <c:v>737467.32312499965</c:v>
                </c:pt>
                <c:pt idx="1144">
                  <c:v>737467.32312499965</c:v>
                </c:pt>
                <c:pt idx="1145">
                  <c:v>737467.32312499965</c:v>
                </c:pt>
                <c:pt idx="1146">
                  <c:v>737467.32312499965</c:v>
                </c:pt>
                <c:pt idx="1147">
                  <c:v>737467.32312499965</c:v>
                </c:pt>
                <c:pt idx="1148">
                  <c:v>737467.32312499965</c:v>
                </c:pt>
                <c:pt idx="1149">
                  <c:v>737467.32312499965</c:v>
                </c:pt>
                <c:pt idx="1150">
                  <c:v>737467.32312499965</c:v>
                </c:pt>
                <c:pt idx="1151">
                  <c:v>737467.32312499965</c:v>
                </c:pt>
                <c:pt idx="1152">
                  <c:v>737467.32312499965</c:v>
                </c:pt>
                <c:pt idx="1153">
                  <c:v>737467.32312499965</c:v>
                </c:pt>
                <c:pt idx="1154">
                  <c:v>737467.32312499965</c:v>
                </c:pt>
                <c:pt idx="1155">
                  <c:v>737467.32312499965</c:v>
                </c:pt>
                <c:pt idx="1156">
                  <c:v>737467.32312499965</c:v>
                </c:pt>
                <c:pt idx="1157">
                  <c:v>737467.32312499965</c:v>
                </c:pt>
                <c:pt idx="1158">
                  <c:v>737467.32312499965</c:v>
                </c:pt>
                <c:pt idx="1159">
                  <c:v>737467.32312499965</c:v>
                </c:pt>
                <c:pt idx="1160">
                  <c:v>737467.32312499965</c:v>
                </c:pt>
                <c:pt idx="1161">
                  <c:v>737467.32312499965</c:v>
                </c:pt>
                <c:pt idx="1162">
                  <c:v>737467.32312499965</c:v>
                </c:pt>
                <c:pt idx="1163">
                  <c:v>737467.32312499965</c:v>
                </c:pt>
                <c:pt idx="1164">
                  <c:v>737467.32312499965</c:v>
                </c:pt>
                <c:pt idx="1165">
                  <c:v>737467.32312499965</c:v>
                </c:pt>
                <c:pt idx="1166">
                  <c:v>737467.32312499965</c:v>
                </c:pt>
                <c:pt idx="1167">
                  <c:v>737467.32312499965</c:v>
                </c:pt>
                <c:pt idx="1168">
                  <c:v>737467.32312499965</c:v>
                </c:pt>
                <c:pt idx="1169">
                  <c:v>737467.32312499965</c:v>
                </c:pt>
                <c:pt idx="1170">
                  <c:v>737467.32312499965</c:v>
                </c:pt>
                <c:pt idx="1171">
                  <c:v>737467.32312499965</c:v>
                </c:pt>
                <c:pt idx="1172">
                  <c:v>737467.32312499965</c:v>
                </c:pt>
                <c:pt idx="1173">
                  <c:v>737467.32312499965</c:v>
                </c:pt>
                <c:pt idx="1174">
                  <c:v>737467.32312499965</c:v>
                </c:pt>
                <c:pt idx="1175">
                  <c:v>737467.32312499965</c:v>
                </c:pt>
                <c:pt idx="1176">
                  <c:v>737467.32312499965</c:v>
                </c:pt>
                <c:pt idx="1177">
                  <c:v>737467.32312499965</c:v>
                </c:pt>
                <c:pt idx="1178">
                  <c:v>737467.32312499965</c:v>
                </c:pt>
                <c:pt idx="1179">
                  <c:v>737467.32312499965</c:v>
                </c:pt>
                <c:pt idx="1180">
                  <c:v>737467.32312499965</c:v>
                </c:pt>
                <c:pt idx="1181">
                  <c:v>737467.32312499965</c:v>
                </c:pt>
                <c:pt idx="1182">
                  <c:v>737467.32312499965</c:v>
                </c:pt>
                <c:pt idx="1183">
                  <c:v>737467.32312499965</c:v>
                </c:pt>
                <c:pt idx="1184">
                  <c:v>737467.32312499965</c:v>
                </c:pt>
                <c:pt idx="1185">
                  <c:v>737467.32312499965</c:v>
                </c:pt>
                <c:pt idx="1186">
                  <c:v>737467.32312499965</c:v>
                </c:pt>
                <c:pt idx="1187">
                  <c:v>737467.32312499965</c:v>
                </c:pt>
                <c:pt idx="1188">
                  <c:v>737467.32312499965</c:v>
                </c:pt>
                <c:pt idx="1189">
                  <c:v>737467.32312499965</c:v>
                </c:pt>
                <c:pt idx="1190">
                  <c:v>737467.32312499965</c:v>
                </c:pt>
                <c:pt idx="1191">
                  <c:v>737467.32312499965</c:v>
                </c:pt>
                <c:pt idx="1192">
                  <c:v>737467.32312499965</c:v>
                </c:pt>
                <c:pt idx="1193">
                  <c:v>737467.32312499965</c:v>
                </c:pt>
                <c:pt idx="1194">
                  <c:v>737467.32312499965</c:v>
                </c:pt>
                <c:pt idx="1195">
                  <c:v>737467.32312499965</c:v>
                </c:pt>
                <c:pt idx="1196">
                  <c:v>737467.32312499965</c:v>
                </c:pt>
                <c:pt idx="1197">
                  <c:v>737467.32312499965</c:v>
                </c:pt>
                <c:pt idx="1198">
                  <c:v>737467.32312499965</c:v>
                </c:pt>
                <c:pt idx="1199">
                  <c:v>737467.32312499965</c:v>
                </c:pt>
                <c:pt idx="1200">
                  <c:v>737467.32312499965</c:v>
                </c:pt>
                <c:pt idx="1201">
                  <c:v>737467.32312499965</c:v>
                </c:pt>
                <c:pt idx="1202">
                  <c:v>737467.32312499965</c:v>
                </c:pt>
                <c:pt idx="1203">
                  <c:v>737467.32312499965</c:v>
                </c:pt>
                <c:pt idx="1204">
                  <c:v>737467.32312499965</c:v>
                </c:pt>
                <c:pt idx="1205">
                  <c:v>737467.32312499965</c:v>
                </c:pt>
                <c:pt idx="1206">
                  <c:v>737467.32312499965</c:v>
                </c:pt>
                <c:pt idx="1207">
                  <c:v>737467.32312499965</c:v>
                </c:pt>
                <c:pt idx="1208">
                  <c:v>737467.32312499965</c:v>
                </c:pt>
                <c:pt idx="1209">
                  <c:v>737467.32312499965</c:v>
                </c:pt>
                <c:pt idx="1210">
                  <c:v>737467.32312499965</c:v>
                </c:pt>
                <c:pt idx="1211">
                  <c:v>737467.32312499965</c:v>
                </c:pt>
                <c:pt idx="1212">
                  <c:v>737467.32312499965</c:v>
                </c:pt>
                <c:pt idx="1213">
                  <c:v>737467.32312499965</c:v>
                </c:pt>
                <c:pt idx="1214">
                  <c:v>737467.32312499965</c:v>
                </c:pt>
                <c:pt idx="1215">
                  <c:v>737467.32312499965</c:v>
                </c:pt>
                <c:pt idx="1216">
                  <c:v>737467.32312499965</c:v>
                </c:pt>
                <c:pt idx="1217">
                  <c:v>737467.32312499965</c:v>
                </c:pt>
                <c:pt idx="1218">
                  <c:v>737467.32312499965</c:v>
                </c:pt>
                <c:pt idx="1219">
                  <c:v>737467.32312499965</c:v>
                </c:pt>
                <c:pt idx="1220">
                  <c:v>737467.32312499965</c:v>
                </c:pt>
                <c:pt idx="1221">
                  <c:v>737467.32312499965</c:v>
                </c:pt>
                <c:pt idx="1222">
                  <c:v>737467.32312499965</c:v>
                </c:pt>
                <c:pt idx="1223">
                  <c:v>737467.32312499965</c:v>
                </c:pt>
                <c:pt idx="1224">
                  <c:v>737467.32312499965</c:v>
                </c:pt>
                <c:pt idx="1225">
                  <c:v>737467.32312499965</c:v>
                </c:pt>
                <c:pt idx="1226">
                  <c:v>737467.32312499965</c:v>
                </c:pt>
                <c:pt idx="1227">
                  <c:v>737467.32312499965</c:v>
                </c:pt>
                <c:pt idx="1228">
                  <c:v>737467.32312499965</c:v>
                </c:pt>
                <c:pt idx="1229">
                  <c:v>737467.32312499965</c:v>
                </c:pt>
                <c:pt idx="1230">
                  <c:v>737467.32312499965</c:v>
                </c:pt>
                <c:pt idx="1231">
                  <c:v>737467.32312499965</c:v>
                </c:pt>
                <c:pt idx="1232">
                  <c:v>737467.32312499965</c:v>
                </c:pt>
                <c:pt idx="1233">
                  <c:v>737467.32312499965</c:v>
                </c:pt>
                <c:pt idx="1234">
                  <c:v>737467.32312499965</c:v>
                </c:pt>
                <c:pt idx="1235">
                  <c:v>737467.32312499965</c:v>
                </c:pt>
                <c:pt idx="1236">
                  <c:v>737467.32312499965</c:v>
                </c:pt>
                <c:pt idx="1237">
                  <c:v>737467.32312499965</c:v>
                </c:pt>
                <c:pt idx="1238">
                  <c:v>737467.32312499965</c:v>
                </c:pt>
                <c:pt idx="1239">
                  <c:v>737467.32312499965</c:v>
                </c:pt>
                <c:pt idx="1240">
                  <c:v>737467.32312499965</c:v>
                </c:pt>
                <c:pt idx="1241">
                  <c:v>737467.32312499965</c:v>
                </c:pt>
                <c:pt idx="1242">
                  <c:v>737467.32312499965</c:v>
                </c:pt>
                <c:pt idx="1243">
                  <c:v>737467.32312499965</c:v>
                </c:pt>
                <c:pt idx="1244">
                  <c:v>737467.32312499965</c:v>
                </c:pt>
                <c:pt idx="1245">
                  <c:v>737467.32312499965</c:v>
                </c:pt>
                <c:pt idx="1246">
                  <c:v>737467.32312499965</c:v>
                </c:pt>
                <c:pt idx="1247">
                  <c:v>737467.32312499965</c:v>
                </c:pt>
                <c:pt idx="1248">
                  <c:v>737467.32312499965</c:v>
                </c:pt>
                <c:pt idx="1249">
                  <c:v>737467.32312499965</c:v>
                </c:pt>
                <c:pt idx="1250">
                  <c:v>737467.32312499965</c:v>
                </c:pt>
                <c:pt idx="1251">
                  <c:v>737467.32312499965</c:v>
                </c:pt>
                <c:pt idx="1252">
                  <c:v>737467.32312499965</c:v>
                </c:pt>
                <c:pt idx="1253">
                  <c:v>737467.32312499965</c:v>
                </c:pt>
                <c:pt idx="1254">
                  <c:v>737467.32312499965</c:v>
                </c:pt>
                <c:pt idx="1255">
                  <c:v>737467.32312499965</c:v>
                </c:pt>
                <c:pt idx="1256">
                  <c:v>737467.32312499965</c:v>
                </c:pt>
                <c:pt idx="1257">
                  <c:v>737467.32312499965</c:v>
                </c:pt>
                <c:pt idx="1258">
                  <c:v>737467.32312499965</c:v>
                </c:pt>
                <c:pt idx="1259">
                  <c:v>737467.32312499965</c:v>
                </c:pt>
                <c:pt idx="1260">
                  <c:v>737467.32312499965</c:v>
                </c:pt>
                <c:pt idx="1261">
                  <c:v>737467.32312499965</c:v>
                </c:pt>
                <c:pt idx="1262">
                  <c:v>737467.32312499965</c:v>
                </c:pt>
                <c:pt idx="1263">
                  <c:v>737467.32312499965</c:v>
                </c:pt>
                <c:pt idx="1264">
                  <c:v>737467.32312499965</c:v>
                </c:pt>
                <c:pt idx="1265">
                  <c:v>737467.32312499965</c:v>
                </c:pt>
                <c:pt idx="1266">
                  <c:v>737467.32312499965</c:v>
                </c:pt>
                <c:pt idx="1267">
                  <c:v>737467.32312499965</c:v>
                </c:pt>
                <c:pt idx="1268">
                  <c:v>737467.32312499965</c:v>
                </c:pt>
                <c:pt idx="1269">
                  <c:v>737467.32312499965</c:v>
                </c:pt>
                <c:pt idx="1270">
                  <c:v>737467.32312499965</c:v>
                </c:pt>
                <c:pt idx="1271">
                  <c:v>737467.32312499965</c:v>
                </c:pt>
                <c:pt idx="1272">
                  <c:v>737467.32312499965</c:v>
                </c:pt>
                <c:pt idx="1273">
                  <c:v>737467.32312499965</c:v>
                </c:pt>
                <c:pt idx="1274">
                  <c:v>737467.32312499965</c:v>
                </c:pt>
                <c:pt idx="1275">
                  <c:v>737467.32312499965</c:v>
                </c:pt>
                <c:pt idx="1276">
                  <c:v>737467.32312499965</c:v>
                </c:pt>
                <c:pt idx="1277">
                  <c:v>737467.32312499965</c:v>
                </c:pt>
                <c:pt idx="1278">
                  <c:v>737467.32312499965</c:v>
                </c:pt>
                <c:pt idx="1279">
                  <c:v>737467.32312499965</c:v>
                </c:pt>
                <c:pt idx="1280">
                  <c:v>737467.32312499965</c:v>
                </c:pt>
                <c:pt idx="1281">
                  <c:v>737467.32312499965</c:v>
                </c:pt>
                <c:pt idx="1282">
                  <c:v>737467.32312499965</c:v>
                </c:pt>
                <c:pt idx="1283">
                  <c:v>737467.32312499965</c:v>
                </c:pt>
                <c:pt idx="1284">
                  <c:v>737467.32312499965</c:v>
                </c:pt>
                <c:pt idx="1285">
                  <c:v>737467.32312499965</c:v>
                </c:pt>
                <c:pt idx="1286">
                  <c:v>737467.32312499965</c:v>
                </c:pt>
                <c:pt idx="1287">
                  <c:v>737467.32312499965</c:v>
                </c:pt>
                <c:pt idx="1288">
                  <c:v>737467.32312499965</c:v>
                </c:pt>
                <c:pt idx="1289">
                  <c:v>737467.32312499965</c:v>
                </c:pt>
                <c:pt idx="1290">
                  <c:v>737467.32312499965</c:v>
                </c:pt>
                <c:pt idx="1291">
                  <c:v>737467.32312499965</c:v>
                </c:pt>
                <c:pt idx="1292">
                  <c:v>737467.32312499965</c:v>
                </c:pt>
                <c:pt idx="1293">
                  <c:v>737467.32312499965</c:v>
                </c:pt>
                <c:pt idx="1294">
                  <c:v>737467.32312499965</c:v>
                </c:pt>
                <c:pt idx="1295">
                  <c:v>737467.32312499965</c:v>
                </c:pt>
                <c:pt idx="1296">
                  <c:v>737467.32312499965</c:v>
                </c:pt>
                <c:pt idx="1297">
                  <c:v>737467.32312499965</c:v>
                </c:pt>
                <c:pt idx="1298">
                  <c:v>737467.32312499965</c:v>
                </c:pt>
                <c:pt idx="1299">
                  <c:v>737467.32312499965</c:v>
                </c:pt>
                <c:pt idx="1300">
                  <c:v>737467.32312499965</c:v>
                </c:pt>
                <c:pt idx="1301">
                  <c:v>737467.32312499965</c:v>
                </c:pt>
                <c:pt idx="1302">
                  <c:v>737467.32312499965</c:v>
                </c:pt>
                <c:pt idx="1303">
                  <c:v>737467.32312499965</c:v>
                </c:pt>
                <c:pt idx="1304">
                  <c:v>737467.32312499965</c:v>
                </c:pt>
                <c:pt idx="1305">
                  <c:v>737467.32312499965</c:v>
                </c:pt>
                <c:pt idx="1306">
                  <c:v>737467.32312499965</c:v>
                </c:pt>
                <c:pt idx="1307">
                  <c:v>737467.32312499965</c:v>
                </c:pt>
                <c:pt idx="1308">
                  <c:v>737467.32312499965</c:v>
                </c:pt>
                <c:pt idx="1309">
                  <c:v>737467.32312499965</c:v>
                </c:pt>
                <c:pt idx="1310">
                  <c:v>737467.32312499965</c:v>
                </c:pt>
                <c:pt idx="1311">
                  <c:v>737467.32312499965</c:v>
                </c:pt>
                <c:pt idx="1312">
                  <c:v>737467.32312499965</c:v>
                </c:pt>
                <c:pt idx="1313">
                  <c:v>737467.32312499965</c:v>
                </c:pt>
                <c:pt idx="1314">
                  <c:v>737467.32312499965</c:v>
                </c:pt>
                <c:pt idx="1315">
                  <c:v>737467.32312499965</c:v>
                </c:pt>
                <c:pt idx="1316">
                  <c:v>737467.32312499965</c:v>
                </c:pt>
                <c:pt idx="1317">
                  <c:v>737467.32312499965</c:v>
                </c:pt>
                <c:pt idx="1318">
                  <c:v>737467.32312499965</c:v>
                </c:pt>
                <c:pt idx="1319">
                  <c:v>737467.32312499965</c:v>
                </c:pt>
                <c:pt idx="1320">
                  <c:v>737467.32312499965</c:v>
                </c:pt>
                <c:pt idx="1321">
                  <c:v>737467.32312499965</c:v>
                </c:pt>
                <c:pt idx="1322">
                  <c:v>737467.32312499965</c:v>
                </c:pt>
                <c:pt idx="1323">
                  <c:v>737467.32312499965</c:v>
                </c:pt>
                <c:pt idx="1324">
                  <c:v>737467.32312499965</c:v>
                </c:pt>
                <c:pt idx="1325">
                  <c:v>737467.32312499965</c:v>
                </c:pt>
                <c:pt idx="1326">
                  <c:v>737467.32312499965</c:v>
                </c:pt>
                <c:pt idx="1327">
                  <c:v>737467.32312499965</c:v>
                </c:pt>
                <c:pt idx="1328">
                  <c:v>737467.32312499965</c:v>
                </c:pt>
                <c:pt idx="1329">
                  <c:v>737467.32312499965</c:v>
                </c:pt>
                <c:pt idx="1330">
                  <c:v>737467.32312499965</c:v>
                </c:pt>
                <c:pt idx="1331">
                  <c:v>737467.32312499965</c:v>
                </c:pt>
                <c:pt idx="1332">
                  <c:v>737467.32312499965</c:v>
                </c:pt>
                <c:pt idx="1333">
                  <c:v>737467.32312499965</c:v>
                </c:pt>
                <c:pt idx="1334">
                  <c:v>737467.32312499965</c:v>
                </c:pt>
                <c:pt idx="1335">
                  <c:v>737467.32312499965</c:v>
                </c:pt>
                <c:pt idx="1336">
                  <c:v>737467.32312499965</c:v>
                </c:pt>
                <c:pt idx="1337">
                  <c:v>737467.32312499965</c:v>
                </c:pt>
                <c:pt idx="1338">
                  <c:v>737467.32312499965</c:v>
                </c:pt>
                <c:pt idx="1339">
                  <c:v>737467.32312499965</c:v>
                </c:pt>
                <c:pt idx="1340">
                  <c:v>737467.32312499965</c:v>
                </c:pt>
                <c:pt idx="1341">
                  <c:v>737467.32312499965</c:v>
                </c:pt>
                <c:pt idx="1342">
                  <c:v>737467.32312499965</c:v>
                </c:pt>
                <c:pt idx="1343">
                  <c:v>737467.32312499965</c:v>
                </c:pt>
                <c:pt idx="1344">
                  <c:v>737467.32312499965</c:v>
                </c:pt>
                <c:pt idx="1345">
                  <c:v>737467.32312499965</c:v>
                </c:pt>
                <c:pt idx="1346">
                  <c:v>737467.32312499965</c:v>
                </c:pt>
                <c:pt idx="1347">
                  <c:v>737467.32312499965</c:v>
                </c:pt>
                <c:pt idx="1348">
                  <c:v>737467.32312499965</c:v>
                </c:pt>
                <c:pt idx="1349">
                  <c:v>737467.32312499965</c:v>
                </c:pt>
                <c:pt idx="1350">
                  <c:v>737467.32312499965</c:v>
                </c:pt>
                <c:pt idx="1351">
                  <c:v>737467.32312499965</c:v>
                </c:pt>
                <c:pt idx="1352">
                  <c:v>737467.32312499965</c:v>
                </c:pt>
                <c:pt idx="1353">
                  <c:v>737467.32312499965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3195822.2823684062</c:v>
                </c:pt>
                <c:pt idx="30">
                  <c:v>3195822.2823684062</c:v>
                </c:pt>
                <c:pt idx="31">
                  <c:v>3195822.2823684062</c:v>
                </c:pt>
                <c:pt idx="32">
                  <c:v>3195822.2823684062</c:v>
                </c:pt>
                <c:pt idx="33">
                  <c:v>3283810.5496485545</c:v>
                </c:pt>
                <c:pt idx="34">
                  <c:v>3283810.5496485545</c:v>
                </c:pt>
                <c:pt idx="35">
                  <c:v>3283810.5496485545</c:v>
                </c:pt>
                <c:pt idx="36">
                  <c:v>3283810.5496485545</c:v>
                </c:pt>
                <c:pt idx="37">
                  <c:v>3283810.5496485545</c:v>
                </c:pt>
                <c:pt idx="38">
                  <c:v>3283810.5496485545</c:v>
                </c:pt>
                <c:pt idx="39">
                  <c:v>3283810.5496485545</c:v>
                </c:pt>
                <c:pt idx="40">
                  <c:v>3283810.5496485545</c:v>
                </c:pt>
                <c:pt idx="41">
                  <c:v>3283810.5496485545</c:v>
                </c:pt>
                <c:pt idx="42">
                  <c:v>3283810.5496485545</c:v>
                </c:pt>
                <c:pt idx="43">
                  <c:v>3283810.5496485545</c:v>
                </c:pt>
                <c:pt idx="44">
                  <c:v>3283810.5496485545</c:v>
                </c:pt>
                <c:pt idx="45">
                  <c:v>3283810.5496485545</c:v>
                </c:pt>
                <c:pt idx="46">
                  <c:v>3283810.5496485545</c:v>
                </c:pt>
                <c:pt idx="47">
                  <c:v>3283810.5496485545</c:v>
                </c:pt>
                <c:pt idx="48">
                  <c:v>3283810.5496485545</c:v>
                </c:pt>
                <c:pt idx="49">
                  <c:v>3283810.5496485545</c:v>
                </c:pt>
                <c:pt idx="50">
                  <c:v>3283810.5496485545</c:v>
                </c:pt>
                <c:pt idx="51">
                  <c:v>3283810.5496485545</c:v>
                </c:pt>
                <c:pt idx="52">
                  <c:v>3283810.5496485545</c:v>
                </c:pt>
                <c:pt idx="53">
                  <c:v>3283810.5496485545</c:v>
                </c:pt>
                <c:pt idx="54">
                  <c:v>3283810.5496485545</c:v>
                </c:pt>
                <c:pt idx="55">
                  <c:v>3283810.5496485545</c:v>
                </c:pt>
                <c:pt idx="56">
                  <c:v>3283810.5496485545</c:v>
                </c:pt>
                <c:pt idx="57">
                  <c:v>3283810.5496485545</c:v>
                </c:pt>
                <c:pt idx="58">
                  <c:v>3283810.5496485545</c:v>
                </c:pt>
                <c:pt idx="59">
                  <c:v>3283810.5496485545</c:v>
                </c:pt>
                <c:pt idx="60">
                  <c:v>3283810.5496485545</c:v>
                </c:pt>
                <c:pt idx="61">
                  <c:v>3283810.5496485545</c:v>
                </c:pt>
                <c:pt idx="62">
                  <c:v>3283810.5496485545</c:v>
                </c:pt>
                <c:pt idx="63">
                  <c:v>3283810.5496485545</c:v>
                </c:pt>
                <c:pt idx="64">
                  <c:v>3283810.5496485545</c:v>
                </c:pt>
                <c:pt idx="65">
                  <c:v>3283810.5496485545</c:v>
                </c:pt>
                <c:pt idx="66">
                  <c:v>3283810.5496485545</c:v>
                </c:pt>
                <c:pt idx="67">
                  <c:v>3283810.5496485545</c:v>
                </c:pt>
                <c:pt idx="68">
                  <c:v>3283810.5496485545</c:v>
                </c:pt>
                <c:pt idx="69">
                  <c:v>3283810.5496485545</c:v>
                </c:pt>
                <c:pt idx="70">
                  <c:v>3283810.5496485545</c:v>
                </c:pt>
                <c:pt idx="71">
                  <c:v>3283810.5496485545</c:v>
                </c:pt>
                <c:pt idx="72">
                  <c:v>3283810.5496485545</c:v>
                </c:pt>
                <c:pt idx="73">
                  <c:v>3283810.5496485545</c:v>
                </c:pt>
                <c:pt idx="74">
                  <c:v>3283810.5496485545</c:v>
                </c:pt>
                <c:pt idx="75">
                  <c:v>3283810.5496485545</c:v>
                </c:pt>
                <c:pt idx="76">
                  <c:v>3283810.5496485545</c:v>
                </c:pt>
                <c:pt idx="77">
                  <c:v>3283810.5496485545</c:v>
                </c:pt>
                <c:pt idx="78">
                  <c:v>3283810.5496485545</c:v>
                </c:pt>
                <c:pt idx="79">
                  <c:v>3283810.5496485545</c:v>
                </c:pt>
                <c:pt idx="80">
                  <c:v>3283810.5496485545</c:v>
                </c:pt>
                <c:pt idx="81">
                  <c:v>3283810.5496485545</c:v>
                </c:pt>
                <c:pt idx="82">
                  <c:v>3283810.5496485545</c:v>
                </c:pt>
                <c:pt idx="83">
                  <c:v>3283810.5496485545</c:v>
                </c:pt>
                <c:pt idx="84">
                  <c:v>3283810.5496485545</c:v>
                </c:pt>
                <c:pt idx="85">
                  <c:v>3283810.5496485545</c:v>
                </c:pt>
                <c:pt idx="86">
                  <c:v>3283810.5496485545</c:v>
                </c:pt>
                <c:pt idx="87">
                  <c:v>3283810.5496485545</c:v>
                </c:pt>
                <c:pt idx="88">
                  <c:v>3283810.5496485545</c:v>
                </c:pt>
                <c:pt idx="89">
                  <c:v>3283810.5496485545</c:v>
                </c:pt>
                <c:pt idx="90">
                  <c:v>3283810.5496485545</c:v>
                </c:pt>
                <c:pt idx="91">
                  <c:v>3283810.5496485545</c:v>
                </c:pt>
                <c:pt idx="92">
                  <c:v>3283810.5496485545</c:v>
                </c:pt>
                <c:pt idx="93">
                  <c:v>3283810.5496485545</c:v>
                </c:pt>
                <c:pt idx="94">
                  <c:v>3283810.5496485545</c:v>
                </c:pt>
                <c:pt idx="95">
                  <c:v>3283810.5496485545</c:v>
                </c:pt>
                <c:pt idx="96">
                  <c:v>3283810.5496485545</c:v>
                </c:pt>
                <c:pt idx="97">
                  <c:v>3283810.5496485545</c:v>
                </c:pt>
                <c:pt idx="98">
                  <c:v>3283810.5496485545</c:v>
                </c:pt>
                <c:pt idx="99">
                  <c:v>3283810.5496485545</c:v>
                </c:pt>
                <c:pt idx="100">
                  <c:v>3283810.5496485545</c:v>
                </c:pt>
                <c:pt idx="101">
                  <c:v>3283810.5496485545</c:v>
                </c:pt>
                <c:pt idx="102">
                  <c:v>3283810.5496485545</c:v>
                </c:pt>
                <c:pt idx="103">
                  <c:v>3283810.5496485545</c:v>
                </c:pt>
                <c:pt idx="104">
                  <c:v>3283810.5496485545</c:v>
                </c:pt>
                <c:pt idx="105">
                  <c:v>3283810.5496485545</c:v>
                </c:pt>
                <c:pt idx="106">
                  <c:v>3283810.5496485545</c:v>
                </c:pt>
                <c:pt idx="107">
                  <c:v>3283810.5496485545</c:v>
                </c:pt>
                <c:pt idx="108">
                  <c:v>3283810.5496485545</c:v>
                </c:pt>
                <c:pt idx="109">
                  <c:v>3283810.5496485545</c:v>
                </c:pt>
                <c:pt idx="110">
                  <c:v>3283810.5496485545</c:v>
                </c:pt>
                <c:pt idx="111">
                  <c:v>3283810.5496485545</c:v>
                </c:pt>
                <c:pt idx="112">
                  <c:v>3283810.5496485545</c:v>
                </c:pt>
                <c:pt idx="113">
                  <c:v>3283810.5496485545</c:v>
                </c:pt>
                <c:pt idx="114">
                  <c:v>3283810.5496485545</c:v>
                </c:pt>
                <c:pt idx="115">
                  <c:v>3283810.5496485545</c:v>
                </c:pt>
                <c:pt idx="116">
                  <c:v>3283810.5496485545</c:v>
                </c:pt>
                <c:pt idx="117">
                  <c:v>3283810.5496485545</c:v>
                </c:pt>
                <c:pt idx="118">
                  <c:v>3283810.5496485545</c:v>
                </c:pt>
                <c:pt idx="119">
                  <c:v>3283810.5496485545</c:v>
                </c:pt>
                <c:pt idx="120">
                  <c:v>3283810.5496485545</c:v>
                </c:pt>
                <c:pt idx="121">
                  <c:v>3283810.5496485545</c:v>
                </c:pt>
                <c:pt idx="122">
                  <c:v>3283810.5496485545</c:v>
                </c:pt>
                <c:pt idx="123">
                  <c:v>3283810.5496485545</c:v>
                </c:pt>
                <c:pt idx="124">
                  <c:v>3283810.5496485545</c:v>
                </c:pt>
                <c:pt idx="125">
                  <c:v>3283810.5496485545</c:v>
                </c:pt>
                <c:pt idx="126">
                  <c:v>3283810.5496485545</c:v>
                </c:pt>
                <c:pt idx="127">
                  <c:v>3283810.5496485545</c:v>
                </c:pt>
                <c:pt idx="128">
                  <c:v>3283810.5496485545</c:v>
                </c:pt>
                <c:pt idx="129">
                  <c:v>3283810.5496485545</c:v>
                </c:pt>
                <c:pt idx="130">
                  <c:v>3283810.5496485545</c:v>
                </c:pt>
                <c:pt idx="131">
                  <c:v>3283810.5496485545</c:v>
                </c:pt>
                <c:pt idx="132">
                  <c:v>3283810.5496485545</c:v>
                </c:pt>
                <c:pt idx="133">
                  <c:v>3283810.5496485545</c:v>
                </c:pt>
                <c:pt idx="134">
                  <c:v>3283810.5496485545</c:v>
                </c:pt>
                <c:pt idx="135">
                  <c:v>3283810.5496485545</c:v>
                </c:pt>
                <c:pt idx="136">
                  <c:v>3283810.5496485545</c:v>
                </c:pt>
                <c:pt idx="137">
                  <c:v>3283810.5496485545</c:v>
                </c:pt>
                <c:pt idx="138">
                  <c:v>3283810.5496485545</c:v>
                </c:pt>
                <c:pt idx="139">
                  <c:v>3283810.5496485545</c:v>
                </c:pt>
                <c:pt idx="140">
                  <c:v>3283810.5496485545</c:v>
                </c:pt>
                <c:pt idx="141">
                  <c:v>3283810.5496485545</c:v>
                </c:pt>
                <c:pt idx="142">
                  <c:v>3283810.5496485545</c:v>
                </c:pt>
                <c:pt idx="143">
                  <c:v>3283810.5496485545</c:v>
                </c:pt>
                <c:pt idx="144">
                  <c:v>3283810.5496485545</c:v>
                </c:pt>
                <c:pt idx="145">
                  <c:v>3283810.5496485545</c:v>
                </c:pt>
                <c:pt idx="146">
                  <c:v>3283810.5496485545</c:v>
                </c:pt>
                <c:pt idx="147">
                  <c:v>3283810.5496485545</c:v>
                </c:pt>
                <c:pt idx="148">
                  <c:v>3283810.5496485545</c:v>
                </c:pt>
                <c:pt idx="149">
                  <c:v>3283810.5496485545</c:v>
                </c:pt>
                <c:pt idx="150">
                  <c:v>3283810.5496485545</c:v>
                </c:pt>
                <c:pt idx="151">
                  <c:v>3283810.5496485545</c:v>
                </c:pt>
                <c:pt idx="152">
                  <c:v>3283810.5496485545</c:v>
                </c:pt>
                <c:pt idx="153">
                  <c:v>3283810.5496485545</c:v>
                </c:pt>
                <c:pt idx="154">
                  <c:v>3283810.5496485545</c:v>
                </c:pt>
                <c:pt idx="155">
                  <c:v>3283810.5496485545</c:v>
                </c:pt>
                <c:pt idx="156">
                  <c:v>3283810.5496485545</c:v>
                </c:pt>
                <c:pt idx="157">
                  <c:v>3283810.5496485545</c:v>
                </c:pt>
                <c:pt idx="158">
                  <c:v>3283810.5496485545</c:v>
                </c:pt>
                <c:pt idx="159">
                  <c:v>3283810.5496485545</c:v>
                </c:pt>
                <c:pt idx="160">
                  <c:v>3283810.5496485545</c:v>
                </c:pt>
                <c:pt idx="161">
                  <c:v>3283810.5496485545</c:v>
                </c:pt>
                <c:pt idx="162">
                  <c:v>3283810.5496485545</c:v>
                </c:pt>
                <c:pt idx="163">
                  <c:v>3283810.5496485545</c:v>
                </c:pt>
                <c:pt idx="164">
                  <c:v>3283810.5496485545</c:v>
                </c:pt>
                <c:pt idx="165">
                  <c:v>3283810.5496485545</c:v>
                </c:pt>
                <c:pt idx="166">
                  <c:v>3283810.5496485545</c:v>
                </c:pt>
                <c:pt idx="167">
                  <c:v>3283810.5496485545</c:v>
                </c:pt>
                <c:pt idx="168">
                  <c:v>3283810.5496485545</c:v>
                </c:pt>
                <c:pt idx="169">
                  <c:v>3283810.5496485545</c:v>
                </c:pt>
                <c:pt idx="170">
                  <c:v>3283810.5496485545</c:v>
                </c:pt>
                <c:pt idx="171">
                  <c:v>3283810.5496485545</c:v>
                </c:pt>
                <c:pt idx="172">
                  <c:v>3283810.5496485545</c:v>
                </c:pt>
                <c:pt idx="173">
                  <c:v>3283810.5496485545</c:v>
                </c:pt>
                <c:pt idx="174">
                  <c:v>3283810.5496485545</c:v>
                </c:pt>
                <c:pt idx="175">
                  <c:v>3283810.5496485545</c:v>
                </c:pt>
                <c:pt idx="176">
                  <c:v>3283810.5496485545</c:v>
                </c:pt>
                <c:pt idx="177">
                  <c:v>3283810.5496485545</c:v>
                </c:pt>
                <c:pt idx="178">
                  <c:v>3283810.5496485545</c:v>
                </c:pt>
                <c:pt idx="179">
                  <c:v>3283810.5496485545</c:v>
                </c:pt>
                <c:pt idx="180">
                  <c:v>3283810.5496485545</c:v>
                </c:pt>
                <c:pt idx="181">
                  <c:v>3283810.5496485545</c:v>
                </c:pt>
                <c:pt idx="182">
                  <c:v>3283810.5496485545</c:v>
                </c:pt>
                <c:pt idx="183">
                  <c:v>3283810.5496485545</c:v>
                </c:pt>
                <c:pt idx="184">
                  <c:v>3283810.5496485545</c:v>
                </c:pt>
                <c:pt idx="185">
                  <c:v>3283810.5496485545</c:v>
                </c:pt>
                <c:pt idx="186">
                  <c:v>3283810.5496485545</c:v>
                </c:pt>
                <c:pt idx="187">
                  <c:v>3283810.5496485545</c:v>
                </c:pt>
                <c:pt idx="188">
                  <c:v>3283810.5496485545</c:v>
                </c:pt>
                <c:pt idx="189">
                  <c:v>3283810.5496485545</c:v>
                </c:pt>
                <c:pt idx="190">
                  <c:v>3283810.5496485545</c:v>
                </c:pt>
                <c:pt idx="191">
                  <c:v>3283810.5496485545</c:v>
                </c:pt>
                <c:pt idx="192">
                  <c:v>3283810.5496485545</c:v>
                </c:pt>
                <c:pt idx="193">
                  <c:v>3283810.5496485545</c:v>
                </c:pt>
                <c:pt idx="194">
                  <c:v>3283810.5496485545</c:v>
                </c:pt>
                <c:pt idx="195">
                  <c:v>3283810.5496485545</c:v>
                </c:pt>
                <c:pt idx="196">
                  <c:v>3283810.5496485545</c:v>
                </c:pt>
                <c:pt idx="197">
                  <c:v>3283810.5496485545</c:v>
                </c:pt>
                <c:pt idx="198">
                  <c:v>3283810.5496485545</c:v>
                </c:pt>
                <c:pt idx="199">
                  <c:v>3283810.5496485545</c:v>
                </c:pt>
                <c:pt idx="200">
                  <c:v>3283810.5496485545</c:v>
                </c:pt>
                <c:pt idx="201">
                  <c:v>3283810.5496485545</c:v>
                </c:pt>
                <c:pt idx="202">
                  <c:v>3283810.5496485545</c:v>
                </c:pt>
                <c:pt idx="203">
                  <c:v>3283810.5496485545</c:v>
                </c:pt>
                <c:pt idx="204">
                  <c:v>3283810.5496485545</c:v>
                </c:pt>
                <c:pt idx="205">
                  <c:v>3283810.5496485545</c:v>
                </c:pt>
                <c:pt idx="206">
                  <c:v>3283810.5496485545</c:v>
                </c:pt>
                <c:pt idx="207">
                  <c:v>3283810.5496485545</c:v>
                </c:pt>
                <c:pt idx="208">
                  <c:v>3283810.5496485545</c:v>
                </c:pt>
                <c:pt idx="209">
                  <c:v>3283810.5496485545</c:v>
                </c:pt>
                <c:pt idx="210">
                  <c:v>3283810.5496485545</c:v>
                </c:pt>
                <c:pt idx="211">
                  <c:v>3283810.5496485545</c:v>
                </c:pt>
                <c:pt idx="212">
                  <c:v>3283810.5496485545</c:v>
                </c:pt>
                <c:pt idx="213">
                  <c:v>3283810.5496485545</c:v>
                </c:pt>
                <c:pt idx="214">
                  <c:v>3283810.5496485545</c:v>
                </c:pt>
                <c:pt idx="215">
                  <c:v>3283810.5496485545</c:v>
                </c:pt>
                <c:pt idx="216">
                  <c:v>3283810.5496485545</c:v>
                </c:pt>
                <c:pt idx="217">
                  <c:v>3283810.5496485545</c:v>
                </c:pt>
                <c:pt idx="218">
                  <c:v>3283810.5496485545</c:v>
                </c:pt>
                <c:pt idx="219">
                  <c:v>3283810.5496485545</c:v>
                </c:pt>
                <c:pt idx="220">
                  <c:v>3283810.5496485545</c:v>
                </c:pt>
                <c:pt idx="221">
                  <c:v>3283810.5496485545</c:v>
                </c:pt>
                <c:pt idx="222">
                  <c:v>3283810.5496485545</c:v>
                </c:pt>
                <c:pt idx="223">
                  <c:v>3283810.5496485545</c:v>
                </c:pt>
                <c:pt idx="224">
                  <c:v>3283810.5496485545</c:v>
                </c:pt>
                <c:pt idx="225">
                  <c:v>3283810.5496485545</c:v>
                </c:pt>
                <c:pt idx="226">
                  <c:v>3283810.5496485545</c:v>
                </c:pt>
                <c:pt idx="227">
                  <c:v>3283810.5496485545</c:v>
                </c:pt>
                <c:pt idx="228">
                  <c:v>3283810.5496485545</c:v>
                </c:pt>
                <c:pt idx="229">
                  <c:v>3283810.5496485545</c:v>
                </c:pt>
                <c:pt idx="230">
                  <c:v>3283810.5496485545</c:v>
                </c:pt>
                <c:pt idx="231">
                  <c:v>3283810.5496485545</c:v>
                </c:pt>
                <c:pt idx="232">
                  <c:v>3283810.5496485545</c:v>
                </c:pt>
                <c:pt idx="233">
                  <c:v>3283810.5496485545</c:v>
                </c:pt>
                <c:pt idx="234">
                  <c:v>3283810.5496485545</c:v>
                </c:pt>
                <c:pt idx="235">
                  <c:v>3283810.5496485545</c:v>
                </c:pt>
                <c:pt idx="236">
                  <c:v>3283810.5496485545</c:v>
                </c:pt>
                <c:pt idx="237">
                  <c:v>3283810.5496485545</c:v>
                </c:pt>
                <c:pt idx="238">
                  <c:v>3283810.5496485545</c:v>
                </c:pt>
                <c:pt idx="239">
                  <c:v>3283810.5496485545</c:v>
                </c:pt>
                <c:pt idx="240">
                  <c:v>3283810.5496485545</c:v>
                </c:pt>
                <c:pt idx="241">
                  <c:v>3283810.5496485545</c:v>
                </c:pt>
                <c:pt idx="242">
                  <c:v>3283810.5496485545</c:v>
                </c:pt>
                <c:pt idx="243">
                  <c:v>3283810.5496485545</c:v>
                </c:pt>
                <c:pt idx="244">
                  <c:v>3283810.5496485545</c:v>
                </c:pt>
                <c:pt idx="245">
                  <c:v>3283810.5496485545</c:v>
                </c:pt>
                <c:pt idx="246">
                  <c:v>3283810.5496485545</c:v>
                </c:pt>
                <c:pt idx="247">
                  <c:v>3283810.5496485545</c:v>
                </c:pt>
                <c:pt idx="248">
                  <c:v>3283810.5496485545</c:v>
                </c:pt>
                <c:pt idx="249">
                  <c:v>3283810.5496485545</c:v>
                </c:pt>
                <c:pt idx="250">
                  <c:v>3283810.5496485545</c:v>
                </c:pt>
                <c:pt idx="251">
                  <c:v>3283810.5496485545</c:v>
                </c:pt>
                <c:pt idx="252">
                  <c:v>3283810.5496485545</c:v>
                </c:pt>
                <c:pt idx="253">
                  <c:v>3283810.5496485545</c:v>
                </c:pt>
                <c:pt idx="254">
                  <c:v>3283810.5496485545</c:v>
                </c:pt>
                <c:pt idx="255">
                  <c:v>3283810.5496485545</c:v>
                </c:pt>
                <c:pt idx="256">
                  <c:v>3283810.5496485545</c:v>
                </c:pt>
                <c:pt idx="257">
                  <c:v>3283810.5496485545</c:v>
                </c:pt>
                <c:pt idx="258">
                  <c:v>3283810.5496485545</c:v>
                </c:pt>
                <c:pt idx="259">
                  <c:v>3283810.5496485545</c:v>
                </c:pt>
                <c:pt idx="260">
                  <c:v>3283810.5496485545</c:v>
                </c:pt>
                <c:pt idx="261">
                  <c:v>3283810.5496485545</c:v>
                </c:pt>
                <c:pt idx="262">
                  <c:v>3283810.5496485545</c:v>
                </c:pt>
                <c:pt idx="263">
                  <c:v>3283810.5496485545</c:v>
                </c:pt>
                <c:pt idx="264">
                  <c:v>3283810.5496485545</c:v>
                </c:pt>
                <c:pt idx="265">
                  <c:v>3283810.5496485545</c:v>
                </c:pt>
                <c:pt idx="266">
                  <c:v>3283810.5496485545</c:v>
                </c:pt>
                <c:pt idx="267">
                  <c:v>3283810.5496485545</c:v>
                </c:pt>
                <c:pt idx="268">
                  <c:v>3283810.5496485545</c:v>
                </c:pt>
                <c:pt idx="269">
                  <c:v>3283810.5496485545</c:v>
                </c:pt>
                <c:pt idx="270">
                  <c:v>3283810.5496485545</c:v>
                </c:pt>
                <c:pt idx="271">
                  <c:v>3283810.5496485545</c:v>
                </c:pt>
                <c:pt idx="272">
                  <c:v>3283810.5496485545</c:v>
                </c:pt>
                <c:pt idx="273">
                  <c:v>3283810.5496485545</c:v>
                </c:pt>
                <c:pt idx="274">
                  <c:v>3283810.5496485545</c:v>
                </c:pt>
                <c:pt idx="275">
                  <c:v>3283810.5496485545</c:v>
                </c:pt>
                <c:pt idx="276">
                  <c:v>3283810.5496485545</c:v>
                </c:pt>
                <c:pt idx="277">
                  <c:v>3283810.5496485545</c:v>
                </c:pt>
                <c:pt idx="278">
                  <c:v>3283810.5496485545</c:v>
                </c:pt>
                <c:pt idx="279">
                  <c:v>3283810.5496485545</c:v>
                </c:pt>
                <c:pt idx="280">
                  <c:v>3283810.5496485545</c:v>
                </c:pt>
                <c:pt idx="281">
                  <c:v>3283810.5496485545</c:v>
                </c:pt>
                <c:pt idx="282">
                  <c:v>3283810.5496485545</c:v>
                </c:pt>
                <c:pt idx="283">
                  <c:v>3283810.5496485545</c:v>
                </c:pt>
                <c:pt idx="284">
                  <c:v>3283810.5496485545</c:v>
                </c:pt>
                <c:pt idx="285">
                  <c:v>3283810.5496485545</c:v>
                </c:pt>
                <c:pt idx="286">
                  <c:v>3283810.5496485545</c:v>
                </c:pt>
                <c:pt idx="287">
                  <c:v>3283810.5496485545</c:v>
                </c:pt>
                <c:pt idx="288">
                  <c:v>3283810.5496485545</c:v>
                </c:pt>
                <c:pt idx="289">
                  <c:v>3283810.5496485545</c:v>
                </c:pt>
                <c:pt idx="290">
                  <c:v>3283810.5496485545</c:v>
                </c:pt>
                <c:pt idx="291">
                  <c:v>3283810.5496485545</c:v>
                </c:pt>
                <c:pt idx="292">
                  <c:v>3283810.5496485545</c:v>
                </c:pt>
                <c:pt idx="293">
                  <c:v>3283810.5496485545</c:v>
                </c:pt>
                <c:pt idx="294">
                  <c:v>3283810.5496485545</c:v>
                </c:pt>
                <c:pt idx="295">
                  <c:v>3283810.5496485545</c:v>
                </c:pt>
                <c:pt idx="296">
                  <c:v>3283810.5496485545</c:v>
                </c:pt>
                <c:pt idx="297">
                  <c:v>3283810.5496485545</c:v>
                </c:pt>
                <c:pt idx="298">
                  <c:v>3283810.5496485545</c:v>
                </c:pt>
                <c:pt idx="299">
                  <c:v>3283810.5496485545</c:v>
                </c:pt>
                <c:pt idx="300">
                  <c:v>3283810.5496485545</c:v>
                </c:pt>
                <c:pt idx="301">
                  <c:v>3283810.5496485545</c:v>
                </c:pt>
                <c:pt idx="302">
                  <c:v>3283810.5496485545</c:v>
                </c:pt>
                <c:pt idx="303">
                  <c:v>3283810.5496485545</c:v>
                </c:pt>
                <c:pt idx="304">
                  <c:v>3283810.5496485545</c:v>
                </c:pt>
                <c:pt idx="305">
                  <c:v>3283810.5496485545</c:v>
                </c:pt>
                <c:pt idx="306">
                  <c:v>3283810.5496485545</c:v>
                </c:pt>
                <c:pt idx="307">
                  <c:v>3283810.5496485545</c:v>
                </c:pt>
                <c:pt idx="308">
                  <c:v>3283810.5496485545</c:v>
                </c:pt>
                <c:pt idx="309">
                  <c:v>3283810.5496485545</c:v>
                </c:pt>
                <c:pt idx="310">
                  <c:v>3283810.5496485545</c:v>
                </c:pt>
                <c:pt idx="311">
                  <c:v>3283810.5496485545</c:v>
                </c:pt>
                <c:pt idx="312">
                  <c:v>3283810.5496485545</c:v>
                </c:pt>
                <c:pt idx="313">
                  <c:v>3283810.5496485545</c:v>
                </c:pt>
                <c:pt idx="314">
                  <c:v>3283810.5496485545</c:v>
                </c:pt>
                <c:pt idx="315">
                  <c:v>3283810.5496485545</c:v>
                </c:pt>
                <c:pt idx="316">
                  <c:v>3283810.5496485545</c:v>
                </c:pt>
                <c:pt idx="317">
                  <c:v>3283810.5496485545</c:v>
                </c:pt>
                <c:pt idx="318">
                  <c:v>3283810.5496485545</c:v>
                </c:pt>
                <c:pt idx="319">
                  <c:v>3283810.5496485545</c:v>
                </c:pt>
                <c:pt idx="320">
                  <c:v>3283810.5496485545</c:v>
                </c:pt>
                <c:pt idx="321">
                  <c:v>3283810.5496485545</c:v>
                </c:pt>
                <c:pt idx="322">
                  <c:v>3283810.5496485545</c:v>
                </c:pt>
                <c:pt idx="323">
                  <c:v>3283810.5496485545</c:v>
                </c:pt>
                <c:pt idx="324">
                  <c:v>3283810.5496485545</c:v>
                </c:pt>
                <c:pt idx="325">
                  <c:v>3283810.5496485545</c:v>
                </c:pt>
                <c:pt idx="326">
                  <c:v>3283810.5496485545</c:v>
                </c:pt>
                <c:pt idx="327">
                  <c:v>3283810.5496485545</c:v>
                </c:pt>
                <c:pt idx="328">
                  <c:v>3283810.5496485545</c:v>
                </c:pt>
                <c:pt idx="329">
                  <c:v>3283810.5496485545</c:v>
                </c:pt>
                <c:pt idx="330">
                  <c:v>3283810.5496485545</c:v>
                </c:pt>
                <c:pt idx="331">
                  <c:v>3283810.5496485545</c:v>
                </c:pt>
                <c:pt idx="332">
                  <c:v>3283810.5496485545</c:v>
                </c:pt>
                <c:pt idx="333">
                  <c:v>3283810.5496485545</c:v>
                </c:pt>
                <c:pt idx="334">
                  <c:v>3283810.5496485545</c:v>
                </c:pt>
                <c:pt idx="335">
                  <c:v>3283810.5496485545</c:v>
                </c:pt>
                <c:pt idx="336">
                  <c:v>3283810.5496485545</c:v>
                </c:pt>
                <c:pt idx="337">
                  <c:v>3283810.5496485545</c:v>
                </c:pt>
                <c:pt idx="338">
                  <c:v>3283810.5496485545</c:v>
                </c:pt>
                <c:pt idx="339">
                  <c:v>3283810.5496485545</c:v>
                </c:pt>
                <c:pt idx="340">
                  <c:v>3283810.5496485545</c:v>
                </c:pt>
                <c:pt idx="341">
                  <c:v>3283810.5496485545</c:v>
                </c:pt>
                <c:pt idx="342">
                  <c:v>3283810.5496485545</c:v>
                </c:pt>
                <c:pt idx="343">
                  <c:v>3283810.5496485545</c:v>
                </c:pt>
                <c:pt idx="344">
                  <c:v>3283810.5496485545</c:v>
                </c:pt>
                <c:pt idx="345">
                  <c:v>3283810.5496485545</c:v>
                </c:pt>
                <c:pt idx="346">
                  <c:v>3283810.5496485545</c:v>
                </c:pt>
                <c:pt idx="347">
                  <c:v>3283810.5496485545</c:v>
                </c:pt>
                <c:pt idx="348">
                  <c:v>3283810.5496485545</c:v>
                </c:pt>
                <c:pt idx="349">
                  <c:v>3283810.5496485545</c:v>
                </c:pt>
                <c:pt idx="350">
                  <c:v>3283810.5496485545</c:v>
                </c:pt>
                <c:pt idx="351">
                  <c:v>3283810.5496485545</c:v>
                </c:pt>
                <c:pt idx="352">
                  <c:v>3283810.5496485545</c:v>
                </c:pt>
                <c:pt idx="353">
                  <c:v>3283810.5496485545</c:v>
                </c:pt>
                <c:pt idx="354">
                  <c:v>3283810.5496485545</c:v>
                </c:pt>
                <c:pt idx="355">
                  <c:v>3283810.5496485545</c:v>
                </c:pt>
                <c:pt idx="356">
                  <c:v>3283810.5496485545</c:v>
                </c:pt>
                <c:pt idx="357">
                  <c:v>3283810.5496485545</c:v>
                </c:pt>
                <c:pt idx="358">
                  <c:v>3283810.5496485545</c:v>
                </c:pt>
                <c:pt idx="359">
                  <c:v>3283810.5496485545</c:v>
                </c:pt>
                <c:pt idx="360">
                  <c:v>3283810.5496485545</c:v>
                </c:pt>
                <c:pt idx="361">
                  <c:v>3283810.5496485545</c:v>
                </c:pt>
                <c:pt idx="362">
                  <c:v>3283810.5496485545</c:v>
                </c:pt>
                <c:pt idx="363">
                  <c:v>3283810.5496485545</c:v>
                </c:pt>
                <c:pt idx="364">
                  <c:v>3283810.5496485545</c:v>
                </c:pt>
                <c:pt idx="365">
                  <c:v>3283810.5496485545</c:v>
                </c:pt>
                <c:pt idx="366">
                  <c:v>3283810.5496485545</c:v>
                </c:pt>
                <c:pt idx="367">
                  <c:v>3283810.5496485545</c:v>
                </c:pt>
                <c:pt idx="368">
                  <c:v>3283810.5496485545</c:v>
                </c:pt>
                <c:pt idx="369">
                  <c:v>3283810.5496485545</c:v>
                </c:pt>
                <c:pt idx="370">
                  <c:v>3283810.5496485545</c:v>
                </c:pt>
                <c:pt idx="371">
                  <c:v>3283810.5496485545</c:v>
                </c:pt>
                <c:pt idx="372">
                  <c:v>3283810.5496485545</c:v>
                </c:pt>
                <c:pt idx="373">
                  <c:v>3283810.5496485545</c:v>
                </c:pt>
                <c:pt idx="374">
                  <c:v>3283810.5496485545</c:v>
                </c:pt>
                <c:pt idx="375">
                  <c:v>3283810.5496485545</c:v>
                </c:pt>
                <c:pt idx="376">
                  <c:v>3283810.5496485545</c:v>
                </c:pt>
                <c:pt idx="377">
                  <c:v>3283810.5496485545</c:v>
                </c:pt>
                <c:pt idx="378">
                  <c:v>3283810.5496485545</c:v>
                </c:pt>
                <c:pt idx="379">
                  <c:v>3283810.5496485545</c:v>
                </c:pt>
                <c:pt idx="380">
                  <c:v>3283810.5496485545</c:v>
                </c:pt>
                <c:pt idx="381">
                  <c:v>3283810.5496485545</c:v>
                </c:pt>
                <c:pt idx="382">
                  <c:v>3283810.5496485545</c:v>
                </c:pt>
                <c:pt idx="383">
                  <c:v>3283810.5496485545</c:v>
                </c:pt>
                <c:pt idx="384">
                  <c:v>3283810.5496485545</c:v>
                </c:pt>
                <c:pt idx="385">
                  <c:v>3283810.5496485545</c:v>
                </c:pt>
                <c:pt idx="386">
                  <c:v>3283810.5496485545</c:v>
                </c:pt>
                <c:pt idx="387">
                  <c:v>3283810.5496485545</c:v>
                </c:pt>
                <c:pt idx="388">
                  <c:v>3283810.5496485545</c:v>
                </c:pt>
                <c:pt idx="389">
                  <c:v>3283810.5496485545</c:v>
                </c:pt>
                <c:pt idx="390">
                  <c:v>3283810.5496485545</c:v>
                </c:pt>
                <c:pt idx="391">
                  <c:v>3283810.5496485545</c:v>
                </c:pt>
                <c:pt idx="392">
                  <c:v>3283810.5496485545</c:v>
                </c:pt>
                <c:pt idx="393">
                  <c:v>3283810.5496485545</c:v>
                </c:pt>
                <c:pt idx="394">
                  <c:v>3283810.5496485545</c:v>
                </c:pt>
                <c:pt idx="395">
                  <c:v>3283810.5496485545</c:v>
                </c:pt>
                <c:pt idx="396">
                  <c:v>3283810.5496485545</c:v>
                </c:pt>
                <c:pt idx="397">
                  <c:v>3283810.5496485545</c:v>
                </c:pt>
                <c:pt idx="398">
                  <c:v>3283810.5496485545</c:v>
                </c:pt>
                <c:pt idx="399">
                  <c:v>3283810.5496485545</c:v>
                </c:pt>
                <c:pt idx="400">
                  <c:v>3283810.5496485545</c:v>
                </c:pt>
                <c:pt idx="401">
                  <c:v>3283810.5496485545</c:v>
                </c:pt>
                <c:pt idx="402">
                  <c:v>3283810.5496485545</c:v>
                </c:pt>
                <c:pt idx="403">
                  <c:v>3283810.5496485545</c:v>
                </c:pt>
                <c:pt idx="404">
                  <c:v>3283810.5496485545</c:v>
                </c:pt>
                <c:pt idx="405">
                  <c:v>3283810.5496485545</c:v>
                </c:pt>
                <c:pt idx="406">
                  <c:v>3283810.5496485545</c:v>
                </c:pt>
                <c:pt idx="407">
                  <c:v>3283810.5496485545</c:v>
                </c:pt>
                <c:pt idx="408">
                  <c:v>3283810.5496485545</c:v>
                </c:pt>
                <c:pt idx="409">
                  <c:v>3283810.5496485545</c:v>
                </c:pt>
                <c:pt idx="410">
                  <c:v>3283810.5496485545</c:v>
                </c:pt>
                <c:pt idx="411">
                  <c:v>3283810.5496485545</c:v>
                </c:pt>
                <c:pt idx="412">
                  <c:v>3283810.5496485545</c:v>
                </c:pt>
                <c:pt idx="413">
                  <c:v>3283810.5496485545</c:v>
                </c:pt>
                <c:pt idx="414">
                  <c:v>3283810.5496485545</c:v>
                </c:pt>
                <c:pt idx="415">
                  <c:v>3283810.5496485545</c:v>
                </c:pt>
                <c:pt idx="416">
                  <c:v>3283810.5496485545</c:v>
                </c:pt>
                <c:pt idx="417">
                  <c:v>3283810.5496485545</c:v>
                </c:pt>
                <c:pt idx="418">
                  <c:v>3283810.5496485545</c:v>
                </c:pt>
                <c:pt idx="419">
                  <c:v>3283810.5496485545</c:v>
                </c:pt>
                <c:pt idx="420">
                  <c:v>3283810.5496485545</c:v>
                </c:pt>
                <c:pt idx="421">
                  <c:v>3283810.5496485545</c:v>
                </c:pt>
                <c:pt idx="422">
                  <c:v>3283810.5496485545</c:v>
                </c:pt>
                <c:pt idx="423">
                  <c:v>3283810.5496485545</c:v>
                </c:pt>
                <c:pt idx="424">
                  <c:v>3283810.5496485545</c:v>
                </c:pt>
                <c:pt idx="425">
                  <c:v>3283810.5496485545</c:v>
                </c:pt>
                <c:pt idx="426">
                  <c:v>3283810.5496485545</c:v>
                </c:pt>
                <c:pt idx="427">
                  <c:v>3283810.5496485545</c:v>
                </c:pt>
                <c:pt idx="428">
                  <c:v>3283810.5496485545</c:v>
                </c:pt>
                <c:pt idx="429">
                  <c:v>3283810.5496485545</c:v>
                </c:pt>
                <c:pt idx="430">
                  <c:v>3283810.5496485545</c:v>
                </c:pt>
                <c:pt idx="431">
                  <c:v>3283810.5496485545</c:v>
                </c:pt>
                <c:pt idx="432">
                  <c:v>3283810.5496485545</c:v>
                </c:pt>
                <c:pt idx="433">
                  <c:v>3283810.5496485545</c:v>
                </c:pt>
                <c:pt idx="434">
                  <c:v>3283810.5496485545</c:v>
                </c:pt>
                <c:pt idx="435">
                  <c:v>3283810.5496485545</c:v>
                </c:pt>
                <c:pt idx="436">
                  <c:v>3283810.5496485545</c:v>
                </c:pt>
                <c:pt idx="437">
                  <c:v>3283810.5496485545</c:v>
                </c:pt>
                <c:pt idx="438">
                  <c:v>3283810.5496485545</c:v>
                </c:pt>
                <c:pt idx="439">
                  <c:v>3283810.5496485545</c:v>
                </c:pt>
                <c:pt idx="440">
                  <c:v>3283810.5496485545</c:v>
                </c:pt>
                <c:pt idx="441">
                  <c:v>3283810.5496485545</c:v>
                </c:pt>
                <c:pt idx="442">
                  <c:v>3283810.5496485545</c:v>
                </c:pt>
                <c:pt idx="443">
                  <c:v>3283810.5496485545</c:v>
                </c:pt>
                <c:pt idx="444">
                  <c:v>3283810.5496485545</c:v>
                </c:pt>
                <c:pt idx="445">
                  <c:v>3283810.5496485545</c:v>
                </c:pt>
                <c:pt idx="446">
                  <c:v>3283810.5496485545</c:v>
                </c:pt>
                <c:pt idx="447">
                  <c:v>3283810.5496485545</c:v>
                </c:pt>
                <c:pt idx="448">
                  <c:v>3283810.5496485545</c:v>
                </c:pt>
                <c:pt idx="449">
                  <c:v>3283810.5496485545</c:v>
                </c:pt>
                <c:pt idx="450">
                  <c:v>3283810.5496485545</c:v>
                </c:pt>
                <c:pt idx="451">
                  <c:v>3283810.5496485545</c:v>
                </c:pt>
                <c:pt idx="452">
                  <c:v>3283810.5496485545</c:v>
                </c:pt>
                <c:pt idx="453">
                  <c:v>3283810.5496485545</c:v>
                </c:pt>
                <c:pt idx="454">
                  <c:v>3283810.5496485545</c:v>
                </c:pt>
                <c:pt idx="455">
                  <c:v>3283810.5496485545</c:v>
                </c:pt>
                <c:pt idx="456">
                  <c:v>3283810.5496485545</c:v>
                </c:pt>
                <c:pt idx="457">
                  <c:v>3283810.5496485545</c:v>
                </c:pt>
                <c:pt idx="458">
                  <c:v>3283810.5496485545</c:v>
                </c:pt>
                <c:pt idx="459">
                  <c:v>3283810.5496485545</c:v>
                </c:pt>
                <c:pt idx="460">
                  <c:v>3283810.5496485545</c:v>
                </c:pt>
                <c:pt idx="461">
                  <c:v>3283810.5496485545</c:v>
                </c:pt>
                <c:pt idx="462">
                  <c:v>3283810.5496485545</c:v>
                </c:pt>
                <c:pt idx="463">
                  <c:v>3283810.5496485545</c:v>
                </c:pt>
                <c:pt idx="464">
                  <c:v>3283810.5496485545</c:v>
                </c:pt>
                <c:pt idx="465">
                  <c:v>3283810.5496485545</c:v>
                </c:pt>
                <c:pt idx="466">
                  <c:v>3283810.5496485545</c:v>
                </c:pt>
                <c:pt idx="467">
                  <c:v>3283810.5496485545</c:v>
                </c:pt>
                <c:pt idx="468">
                  <c:v>3283810.5496485545</c:v>
                </c:pt>
                <c:pt idx="469">
                  <c:v>3283810.5496485545</c:v>
                </c:pt>
                <c:pt idx="470">
                  <c:v>3283810.5496485545</c:v>
                </c:pt>
                <c:pt idx="471">
                  <c:v>3283810.5496485545</c:v>
                </c:pt>
                <c:pt idx="472">
                  <c:v>3283810.5496485545</c:v>
                </c:pt>
                <c:pt idx="473">
                  <c:v>3283810.5496485545</c:v>
                </c:pt>
                <c:pt idx="474">
                  <c:v>3283810.5496485545</c:v>
                </c:pt>
                <c:pt idx="475">
                  <c:v>3283810.5496485545</c:v>
                </c:pt>
                <c:pt idx="476">
                  <c:v>3283810.5496485545</c:v>
                </c:pt>
                <c:pt idx="477">
                  <c:v>3283810.5496485545</c:v>
                </c:pt>
                <c:pt idx="478">
                  <c:v>3283810.5496485545</c:v>
                </c:pt>
                <c:pt idx="479">
                  <c:v>3283810.5496485545</c:v>
                </c:pt>
                <c:pt idx="480">
                  <c:v>3283810.5496485545</c:v>
                </c:pt>
                <c:pt idx="481">
                  <c:v>3283810.5496485545</c:v>
                </c:pt>
                <c:pt idx="482">
                  <c:v>3283810.5496485545</c:v>
                </c:pt>
                <c:pt idx="483">
                  <c:v>3283810.5496485545</c:v>
                </c:pt>
                <c:pt idx="484">
                  <c:v>3283810.5496485545</c:v>
                </c:pt>
                <c:pt idx="485">
                  <c:v>3283810.5496485545</c:v>
                </c:pt>
                <c:pt idx="486">
                  <c:v>3283810.5496485545</c:v>
                </c:pt>
                <c:pt idx="487">
                  <c:v>3283810.5496485545</c:v>
                </c:pt>
                <c:pt idx="488">
                  <c:v>3283810.5496485545</c:v>
                </c:pt>
                <c:pt idx="489">
                  <c:v>3283810.5496485545</c:v>
                </c:pt>
                <c:pt idx="490">
                  <c:v>3283810.5496485545</c:v>
                </c:pt>
                <c:pt idx="491">
                  <c:v>3283810.5496485545</c:v>
                </c:pt>
                <c:pt idx="492">
                  <c:v>3283810.5496485545</c:v>
                </c:pt>
                <c:pt idx="493">
                  <c:v>3283810.5496485545</c:v>
                </c:pt>
                <c:pt idx="494">
                  <c:v>3283810.5496485545</c:v>
                </c:pt>
                <c:pt idx="495">
                  <c:v>3283810.5496485545</c:v>
                </c:pt>
                <c:pt idx="496">
                  <c:v>3283810.5496485545</c:v>
                </c:pt>
                <c:pt idx="497">
                  <c:v>3283810.5496485545</c:v>
                </c:pt>
                <c:pt idx="498">
                  <c:v>3283810.5496485545</c:v>
                </c:pt>
                <c:pt idx="499">
                  <c:v>3283810.5496485545</c:v>
                </c:pt>
                <c:pt idx="500">
                  <c:v>3283810.5496485545</c:v>
                </c:pt>
                <c:pt idx="501">
                  <c:v>3283810.5496485545</c:v>
                </c:pt>
                <c:pt idx="502">
                  <c:v>3283810.5496485545</c:v>
                </c:pt>
                <c:pt idx="503">
                  <c:v>3283810.5496485545</c:v>
                </c:pt>
                <c:pt idx="504">
                  <c:v>3283810.5496485545</c:v>
                </c:pt>
                <c:pt idx="505">
                  <c:v>3283810.5496485545</c:v>
                </c:pt>
                <c:pt idx="506">
                  <c:v>3283810.5496485545</c:v>
                </c:pt>
                <c:pt idx="507">
                  <c:v>3283810.5496485545</c:v>
                </c:pt>
                <c:pt idx="508">
                  <c:v>3283810.5496485545</c:v>
                </c:pt>
                <c:pt idx="509">
                  <c:v>3283810.5496485545</c:v>
                </c:pt>
                <c:pt idx="510">
                  <c:v>3283810.5496485545</c:v>
                </c:pt>
                <c:pt idx="511">
                  <c:v>3283810.5496485545</c:v>
                </c:pt>
                <c:pt idx="512">
                  <c:v>3283810.5496485545</c:v>
                </c:pt>
                <c:pt idx="513">
                  <c:v>3283810.5496485545</c:v>
                </c:pt>
                <c:pt idx="514">
                  <c:v>3283810.5496485545</c:v>
                </c:pt>
                <c:pt idx="515">
                  <c:v>3283810.5496485545</c:v>
                </c:pt>
                <c:pt idx="516">
                  <c:v>3283810.5496485545</c:v>
                </c:pt>
                <c:pt idx="517">
                  <c:v>3283810.5496485545</c:v>
                </c:pt>
                <c:pt idx="518">
                  <c:v>3283810.5496485545</c:v>
                </c:pt>
                <c:pt idx="519">
                  <c:v>3283810.5496485545</c:v>
                </c:pt>
                <c:pt idx="520">
                  <c:v>3283810.5496485545</c:v>
                </c:pt>
                <c:pt idx="521">
                  <c:v>3283810.5496485545</c:v>
                </c:pt>
                <c:pt idx="522">
                  <c:v>3283810.5496485545</c:v>
                </c:pt>
                <c:pt idx="523">
                  <c:v>3283810.5496485545</c:v>
                </c:pt>
                <c:pt idx="524">
                  <c:v>3283810.5496485545</c:v>
                </c:pt>
                <c:pt idx="525">
                  <c:v>3283810.5496485545</c:v>
                </c:pt>
                <c:pt idx="526">
                  <c:v>3283810.5496485545</c:v>
                </c:pt>
                <c:pt idx="527">
                  <c:v>3283810.5496485545</c:v>
                </c:pt>
                <c:pt idx="528">
                  <c:v>3283810.5496485545</c:v>
                </c:pt>
                <c:pt idx="529">
                  <c:v>3283810.5496485545</c:v>
                </c:pt>
                <c:pt idx="530">
                  <c:v>3283810.5496485545</c:v>
                </c:pt>
                <c:pt idx="531">
                  <c:v>3283810.5496485545</c:v>
                </c:pt>
                <c:pt idx="532">
                  <c:v>3283810.5496485545</c:v>
                </c:pt>
                <c:pt idx="533">
                  <c:v>3283810.5496485545</c:v>
                </c:pt>
                <c:pt idx="534">
                  <c:v>3283810.5496485545</c:v>
                </c:pt>
                <c:pt idx="535">
                  <c:v>3283810.5496485545</c:v>
                </c:pt>
                <c:pt idx="536">
                  <c:v>3283810.5496485545</c:v>
                </c:pt>
                <c:pt idx="537">
                  <c:v>3283810.5496485545</c:v>
                </c:pt>
                <c:pt idx="538">
                  <c:v>3283810.5496485545</c:v>
                </c:pt>
                <c:pt idx="539">
                  <c:v>3283810.5496485545</c:v>
                </c:pt>
                <c:pt idx="540">
                  <c:v>3283810.5496485545</c:v>
                </c:pt>
                <c:pt idx="541">
                  <c:v>3283810.5496485545</c:v>
                </c:pt>
                <c:pt idx="542">
                  <c:v>3283810.5496485545</c:v>
                </c:pt>
                <c:pt idx="543">
                  <c:v>3283810.5496485545</c:v>
                </c:pt>
                <c:pt idx="544">
                  <c:v>3283810.5496485545</c:v>
                </c:pt>
                <c:pt idx="545">
                  <c:v>3283810.5496485545</c:v>
                </c:pt>
                <c:pt idx="546">
                  <c:v>3283810.5496485545</c:v>
                </c:pt>
                <c:pt idx="547">
                  <c:v>3283810.5496485545</c:v>
                </c:pt>
                <c:pt idx="548">
                  <c:v>3283810.5496485545</c:v>
                </c:pt>
                <c:pt idx="549">
                  <c:v>3283810.5496485545</c:v>
                </c:pt>
                <c:pt idx="550">
                  <c:v>3283810.5496485545</c:v>
                </c:pt>
                <c:pt idx="551">
                  <c:v>3283810.5496485545</c:v>
                </c:pt>
                <c:pt idx="552">
                  <c:v>3283810.5496485545</c:v>
                </c:pt>
                <c:pt idx="553">
                  <c:v>3283810.5496485545</c:v>
                </c:pt>
                <c:pt idx="554">
                  <c:v>3283810.5496485545</c:v>
                </c:pt>
                <c:pt idx="555">
                  <c:v>3283810.5496485545</c:v>
                </c:pt>
                <c:pt idx="556">
                  <c:v>3283810.5496485545</c:v>
                </c:pt>
                <c:pt idx="557">
                  <c:v>3283810.5496485545</c:v>
                </c:pt>
                <c:pt idx="558">
                  <c:v>3283810.5496485545</c:v>
                </c:pt>
                <c:pt idx="559">
                  <c:v>3283810.5496485545</c:v>
                </c:pt>
                <c:pt idx="560">
                  <c:v>3283810.5496485545</c:v>
                </c:pt>
                <c:pt idx="561">
                  <c:v>3283810.5496485545</c:v>
                </c:pt>
                <c:pt idx="562">
                  <c:v>3283810.5496485545</c:v>
                </c:pt>
                <c:pt idx="563">
                  <c:v>3283810.5496485545</c:v>
                </c:pt>
                <c:pt idx="564">
                  <c:v>3283810.5496485545</c:v>
                </c:pt>
                <c:pt idx="565">
                  <c:v>3283810.5496485545</c:v>
                </c:pt>
                <c:pt idx="566">
                  <c:v>3283810.5496485545</c:v>
                </c:pt>
                <c:pt idx="567">
                  <c:v>3283810.5496485545</c:v>
                </c:pt>
                <c:pt idx="568">
                  <c:v>3283810.5496485545</c:v>
                </c:pt>
                <c:pt idx="569">
                  <c:v>3283810.5496485545</c:v>
                </c:pt>
                <c:pt idx="570">
                  <c:v>3283810.5496485545</c:v>
                </c:pt>
                <c:pt idx="571">
                  <c:v>3283810.5496485545</c:v>
                </c:pt>
                <c:pt idx="572">
                  <c:v>3283810.5496485545</c:v>
                </c:pt>
                <c:pt idx="573">
                  <c:v>3283810.5496485545</c:v>
                </c:pt>
                <c:pt idx="574">
                  <c:v>3283810.5496485545</c:v>
                </c:pt>
                <c:pt idx="575">
                  <c:v>3283810.5496485545</c:v>
                </c:pt>
                <c:pt idx="576">
                  <c:v>3283810.5496485545</c:v>
                </c:pt>
                <c:pt idx="577">
                  <c:v>3283810.5496485545</c:v>
                </c:pt>
                <c:pt idx="578">
                  <c:v>3283810.5496485545</c:v>
                </c:pt>
                <c:pt idx="579">
                  <c:v>3283810.5496485545</c:v>
                </c:pt>
                <c:pt idx="580">
                  <c:v>3283810.5496485545</c:v>
                </c:pt>
                <c:pt idx="581">
                  <c:v>3283810.5496485545</c:v>
                </c:pt>
                <c:pt idx="582">
                  <c:v>3283810.5496485545</c:v>
                </c:pt>
                <c:pt idx="583">
                  <c:v>3283810.5496485545</c:v>
                </c:pt>
                <c:pt idx="584">
                  <c:v>3283810.5496485545</c:v>
                </c:pt>
                <c:pt idx="585">
                  <c:v>3283810.5496485545</c:v>
                </c:pt>
                <c:pt idx="586">
                  <c:v>3283810.5496485545</c:v>
                </c:pt>
                <c:pt idx="587">
                  <c:v>3283810.5496485545</c:v>
                </c:pt>
                <c:pt idx="588">
                  <c:v>3283810.5496485545</c:v>
                </c:pt>
                <c:pt idx="589">
                  <c:v>3283810.5496485545</c:v>
                </c:pt>
                <c:pt idx="590">
                  <c:v>3283810.5496485545</c:v>
                </c:pt>
                <c:pt idx="591">
                  <c:v>3283810.5496485545</c:v>
                </c:pt>
                <c:pt idx="592">
                  <c:v>3283810.5496485545</c:v>
                </c:pt>
                <c:pt idx="593">
                  <c:v>3283810.5496485545</c:v>
                </c:pt>
                <c:pt idx="594">
                  <c:v>3283810.5496485545</c:v>
                </c:pt>
                <c:pt idx="595">
                  <c:v>3283810.5496485545</c:v>
                </c:pt>
                <c:pt idx="596">
                  <c:v>3283810.5496485545</c:v>
                </c:pt>
                <c:pt idx="597">
                  <c:v>3283810.5496485545</c:v>
                </c:pt>
                <c:pt idx="598">
                  <c:v>3283810.5496485545</c:v>
                </c:pt>
                <c:pt idx="599">
                  <c:v>3283810.5496485545</c:v>
                </c:pt>
                <c:pt idx="600">
                  <c:v>3283810.5496485545</c:v>
                </c:pt>
                <c:pt idx="601">
                  <c:v>3283810.5496485545</c:v>
                </c:pt>
                <c:pt idx="602">
                  <c:v>3283810.5496485545</c:v>
                </c:pt>
                <c:pt idx="603">
                  <c:v>3283810.5496485545</c:v>
                </c:pt>
                <c:pt idx="604">
                  <c:v>3283810.5496485545</c:v>
                </c:pt>
                <c:pt idx="605">
                  <c:v>3283810.5496485545</c:v>
                </c:pt>
                <c:pt idx="606">
                  <c:v>3283810.5496485545</c:v>
                </c:pt>
                <c:pt idx="607">
                  <c:v>3283810.5496485545</c:v>
                </c:pt>
                <c:pt idx="608">
                  <c:v>3283810.5496485545</c:v>
                </c:pt>
                <c:pt idx="609">
                  <c:v>3283810.5496485545</c:v>
                </c:pt>
                <c:pt idx="610">
                  <c:v>3283810.5496485545</c:v>
                </c:pt>
                <c:pt idx="611">
                  <c:v>3283810.5496485545</c:v>
                </c:pt>
                <c:pt idx="612">
                  <c:v>3283810.5496485545</c:v>
                </c:pt>
                <c:pt idx="613">
                  <c:v>3283810.5496485545</c:v>
                </c:pt>
                <c:pt idx="614">
                  <c:v>3283810.5496485545</c:v>
                </c:pt>
                <c:pt idx="615">
                  <c:v>3283810.5496485545</c:v>
                </c:pt>
                <c:pt idx="616">
                  <c:v>3283810.5496485545</c:v>
                </c:pt>
                <c:pt idx="617">
                  <c:v>3283810.5496485545</c:v>
                </c:pt>
                <c:pt idx="618">
                  <c:v>3283810.5496485545</c:v>
                </c:pt>
                <c:pt idx="619">
                  <c:v>3283810.5496485545</c:v>
                </c:pt>
                <c:pt idx="620">
                  <c:v>3283810.5496485545</c:v>
                </c:pt>
                <c:pt idx="621">
                  <c:v>3283810.5496485545</c:v>
                </c:pt>
                <c:pt idx="622">
                  <c:v>3283810.5496485545</c:v>
                </c:pt>
                <c:pt idx="623">
                  <c:v>3283810.5496485545</c:v>
                </c:pt>
                <c:pt idx="624">
                  <c:v>3283810.5496485545</c:v>
                </c:pt>
                <c:pt idx="625">
                  <c:v>3283810.5496485545</c:v>
                </c:pt>
                <c:pt idx="626">
                  <c:v>3283810.5496485545</c:v>
                </c:pt>
                <c:pt idx="627">
                  <c:v>3283810.5496485545</c:v>
                </c:pt>
                <c:pt idx="628">
                  <c:v>3283810.5496485545</c:v>
                </c:pt>
                <c:pt idx="629">
                  <c:v>3283810.5496485545</c:v>
                </c:pt>
                <c:pt idx="630">
                  <c:v>3283810.5496485545</c:v>
                </c:pt>
                <c:pt idx="631">
                  <c:v>3283810.5496485545</c:v>
                </c:pt>
                <c:pt idx="632">
                  <c:v>3283810.5496485545</c:v>
                </c:pt>
                <c:pt idx="633">
                  <c:v>3283810.5496485545</c:v>
                </c:pt>
                <c:pt idx="634">
                  <c:v>3283810.5496485545</c:v>
                </c:pt>
                <c:pt idx="635">
                  <c:v>3283810.5496485545</c:v>
                </c:pt>
                <c:pt idx="636">
                  <c:v>3283810.5496485545</c:v>
                </c:pt>
                <c:pt idx="637">
                  <c:v>3283810.5496485545</c:v>
                </c:pt>
                <c:pt idx="638">
                  <c:v>3283810.5496485545</c:v>
                </c:pt>
                <c:pt idx="639">
                  <c:v>3283810.5496485545</c:v>
                </c:pt>
                <c:pt idx="640">
                  <c:v>3283810.5496485545</c:v>
                </c:pt>
                <c:pt idx="641">
                  <c:v>3283810.5496485545</c:v>
                </c:pt>
                <c:pt idx="642">
                  <c:v>3283810.5496485545</c:v>
                </c:pt>
                <c:pt idx="643">
                  <c:v>3283810.5496485545</c:v>
                </c:pt>
                <c:pt idx="644">
                  <c:v>3283810.5496485545</c:v>
                </c:pt>
                <c:pt idx="645">
                  <c:v>3283810.5496485545</c:v>
                </c:pt>
                <c:pt idx="646">
                  <c:v>3283810.5496485545</c:v>
                </c:pt>
                <c:pt idx="647">
                  <c:v>3283810.5496485545</c:v>
                </c:pt>
                <c:pt idx="648">
                  <c:v>3283810.5496485545</c:v>
                </c:pt>
                <c:pt idx="649">
                  <c:v>3283810.5496485545</c:v>
                </c:pt>
                <c:pt idx="650">
                  <c:v>3283810.5496485545</c:v>
                </c:pt>
                <c:pt idx="651">
                  <c:v>3283810.5496485545</c:v>
                </c:pt>
                <c:pt idx="652">
                  <c:v>3283810.5496485545</c:v>
                </c:pt>
                <c:pt idx="653">
                  <c:v>3283810.5496485545</c:v>
                </c:pt>
                <c:pt idx="654">
                  <c:v>3283810.5496485545</c:v>
                </c:pt>
                <c:pt idx="655">
                  <c:v>3283810.5496485545</c:v>
                </c:pt>
                <c:pt idx="656">
                  <c:v>3283810.5496485545</c:v>
                </c:pt>
                <c:pt idx="657">
                  <c:v>3283810.5496485545</c:v>
                </c:pt>
                <c:pt idx="658">
                  <c:v>3283810.5496485545</c:v>
                </c:pt>
                <c:pt idx="659">
                  <c:v>3283810.5496485545</c:v>
                </c:pt>
                <c:pt idx="660">
                  <c:v>3283810.5496485545</c:v>
                </c:pt>
                <c:pt idx="661">
                  <c:v>3283810.5496485545</c:v>
                </c:pt>
                <c:pt idx="662">
                  <c:v>3283810.5496485545</c:v>
                </c:pt>
                <c:pt idx="663">
                  <c:v>3283810.5496485545</c:v>
                </c:pt>
                <c:pt idx="664">
                  <c:v>3283810.5496485545</c:v>
                </c:pt>
                <c:pt idx="665">
                  <c:v>3283810.5496485545</c:v>
                </c:pt>
                <c:pt idx="666">
                  <c:v>3283810.5496485545</c:v>
                </c:pt>
                <c:pt idx="667">
                  <c:v>3283810.5496485545</c:v>
                </c:pt>
                <c:pt idx="668">
                  <c:v>3283810.5496485545</c:v>
                </c:pt>
                <c:pt idx="669">
                  <c:v>3283810.5496485545</c:v>
                </c:pt>
                <c:pt idx="670">
                  <c:v>3283810.5496485545</c:v>
                </c:pt>
                <c:pt idx="671">
                  <c:v>3283810.5496485545</c:v>
                </c:pt>
                <c:pt idx="672">
                  <c:v>3283810.5496485545</c:v>
                </c:pt>
                <c:pt idx="673">
                  <c:v>3283810.5496485545</c:v>
                </c:pt>
                <c:pt idx="674">
                  <c:v>3283810.5496485545</c:v>
                </c:pt>
                <c:pt idx="675">
                  <c:v>3283810.5496485545</c:v>
                </c:pt>
                <c:pt idx="676">
                  <c:v>3283810.5496485545</c:v>
                </c:pt>
                <c:pt idx="677">
                  <c:v>3283810.5496485545</c:v>
                </c:pt>
                <c:pt idx="678">
                  <c:v>3283810.5496485545</c:v>
                </c:pt>
                <c:pt idx="679">
                  <c:v>3283810.5496485545</c:v>
                </c:pt>
                <c:pt idx="680">
                  <c:v>3283810.5496485545</c:v>
                </c:pt>
                <c:pt idx="681">
                  <c:v>3283810.5496485545</c:v>
                </c:pt>
                <c:pt idx="682">
                  <c:v>3283810.5496485545</c:v>
                </c:pt>
                <c:pt idx="683">
                  <c:v>3283810.5496485545</c:v>
                </c:pt>
                <c:pt idx="684">
                  <c:v>3283810.5496485545</c:v>
                </c:pt>
                <c:pt idx="685">
                  <c:v>3283810.5496485545</c:v>
                </c:pt>
                <c:pt idx="686">
                  <c:v>3283810.5496485545</c:v>
                </c:pt>
                <c:pt idx="687">
                  <c:v>3283810.5496485545</c:v>
                </c:pt>
                <c:pt idx="688">
                  <c:v>3283810.5496485545</c:v>
                </c:pt>
                <c:pt idx="689">
                  <c:v>3283810.5496485545</c:v>
                </c:pt>
                <c:pt idx="690">
                  <c:v>3283810.5496485545</c:v>
                </c:pt>
                <c:pt idx="691">
                  <c:v>3283810.5496485545</c:v>
                </c:pt>
                <c:pt idx="692">
                  <c:v>3283810.5496485545</c:v>
                </c:pt>
                <c:pt idx="693">
                  <c:v>3283810.5496485545</c:v>
                </c:pt>
                <c:pt idx="694">
                  <c:v>3283810.5496485545</c:v>
                </c:pt>
                <c:pt idx="695">
                  <c:v>3283810.5496485545</c:v>
                </c:pt>
                <c:pt idx="696">
                  <c:v>3283810.5496485545</c:v>
                </c:pt>
                <c:pt idx="697">
                  <c:v>3283810.5496485545</c:v>
                </c:pt>
                <c:pt idx="698">
                  <c:v>3283810.5496485545</c:v>
                </c:pt>
                <c:pt idx="699">
                  <c:v>3283810.5496485545</c:v>
                </c:pt>
                <c:pt idx="700">
                  <c:v>3283810.5496485545</c:v>
                </c:pt>
                <c:pt idx="701">
                  <c:v>3283810.5496485545</c:v>
                </c:pt>
                <c:pt idx="702">
                  <c:v>3283810.5496485545</c:v>
                </c:pt>
                <c:pt idx="703">
                  <c:v>3283810.5496485545</c:v>
                </c:pt>
                <c:pt idx="704">
                  <c:v>3283810.5496485545</c:v>
                </c:pt>
                <c:pt idx="705">
                  <c:v>3283810.5496485545</c:v>
                </c:pt>
                <c:pt idx="706">
                  <c:v>3283810.5496485545</c:v>
                </c:pt>
                <c:pt idx="707">
                  <c:v>3283810.5496485545</c:v>
                </c:pt>
                <c:pt idx="708">
                  <c:v>3283810.5496485545</c:v>
                </c:pt>
                <c:pt idx="709">
                  <c:v>3283810.5496485545</c:v>
                </c:pt>
                <c:pt idx="710">
                  <c:v>3283810.5496485545</c:v>
                </c:pt>
                <c:pt idx="711">
                  <c:v>3283810.5496485545</c:v>
                </c:pt>
                <c:pt idx="712">
                  <c:v>3283810.5496485545</c:v>
                </c:pt>
                <c:pt idx="713">
                  <c:v>3283810.5496485545</c:v>
                </c:pt>
                <c:pt idx="714">
                  <c:v>3283810.5496485545</c:v>
                </c:pt>
                <c:pt idx="715">
                  <c:v>3283810.5496485545</c:v>
                </c:pt>
                <c:pt idx="716">
                  <c:v>3283810.5496485545</c:v>
                </c:pt>
                <c:pt idx="717">
                  <c:v>3283810.5496485545</c:v>
                </c:pt>
                <c:pt idx="718">
                  <c:v>3283810.5496485545</c:v>
                </c:pt>
                <c:pt idx="719">
                  <c:v>3283810.5496485545</c:v>
                </c:pt>
                <c:pt idx="720">
                  <c:v>3283810.5496485545</c:v>
                </c:pt>
                <c:pt idx="721">
                  <c:v>3283810.5496485545</c:v>
                </c:pt>
                <c:pt idx="722">
                  <c:v>3283810.5496485545</c:v>
                </c:pt>
                <c:pt idx="723">
                  <c:v>3283810.5496485545</c:v>
                </c:pt>
                <c:pt idx="724">
                  <c:v>3283810.5496485545</c:v>
                </c:pt>
                <c:pt idx="725">
                  <c:v>3283810.5496485545</c:v>
                </c:pt>
                <c:pt idx="726">
                  <c:v>3283810.5496485545</c:v>
                </c:pt>
                <c:pt idx="727">
                  <c:v>3283810.5496485545</c:v>
                </c:pt>
                <c:pt idx="728">
                  <c:v>3283810.5496485545</c:v>
                </c:pt>
                <c:pt idx="729">
                  <c:v>3283810.5496485545</c:v>
                </c:pt>
                <c:pt idx="730">
                  <c:v>3283810.5496485545</c:v>
                </c:pt>
                <c:pt idx="731">
                  <c:v>3283810.5496485545</c:v>
                </c:pt>
                <c:pt idx="732">
                  <c:v>3283810.5496485545</c:v>
                </c:pt>
                <c:pt idx="733">
                  <c:v>3283810.5496485545</c:v>
                </c:pt>
                <c:pt idx="734">
                  <c:v>3283810.5496485545</c:v>
                </c:pt>
                <c:pt idx="735">
                  <c:v>3283810.5496485545</c:v>
                </c:pt>
                <c:pt idx="736">
                  <c:v>3283810.5496485545</c:v>
                </c:pt>
                <c:pt idx="737">
                  <c:v>3283810.5496485545</c:v>
                </c:pt>
                <c:pt idx="738">
                  <c:v>3283810.5496485545</c:v>
                </c:pt>
                <c:pt idx="739">
                  <c:v>3283810.5496485545</c:v>
                </c:pt>
                <c:pt idx="740">
                  <c:v>3283810.5496485545</c:v>
                </c:pt>
                <c:pt idx="741">
                  <c:v>3283810.5496485545</c:v>
                </c:pt>
                <c:pt idx="742">
                  <c:v>3283810.5496485545</c:v>
                </c:pt>
                <c:pt idx="743">
                  <c:v>3283810.5496485545</c:v>
                </c:pt>
                <c:pt idx="744">
                  <c:v>3283810.5496485545</c:v>
                </c:pt>
                <c:pt idx="745">
                  <c:v>3283810.5496485545</c:v>
                </c:pt>
                <c:pt idx="746">
                  <c:v>3283810.5496485545</c:v>
                </c:pt>
                <c:pt idx="747">
                  <c:v>3283810.5496485545</c:v>
                </c:pt>
                <c:pt idx="748">
                  <c:v>3283810.5496485545</c:v>
                </c:pt>
                <c:pt idx="749">
                  <c:v>3283810.5496485545</c:v>
                </c:pt>
                <c:pt idx="750">
                  <c:v>3283810.5496485545</c:v>
                </c:pt>
                <c:pt idx="751">
                  <c:v>3283810.5496485545</c:v>
                </c:pt>
                <c:pt idx="752">
                  <c:v>3283810.5496485545</c:v>
                </c:pt>
                <c:pt idx="753">
                  <c:v>3283810.5496485545</c:v>
                </c:pt>
                <c:pt idx="754">
                  <c:v>3283810.5496485545</c:v>
                </c:pt>
                <c:pt idx="755">
                  <c:v>3283810.5496485545</c:v>
                </c:pt>
                <c:pt idx="756">
                  <c:v>3283810.5496485545</c:v>
                </c:pt>
                <c:pt idx="757">
                  <c:v>3283810.5496485545</c:v>
                </c:pt>
                <c:pt idx="758">
                  <c:v>3283810.5496485545</c:v>
                </c:pt>
                <c:pt idx="759">
                  <c:v>3283810.5496485545</c:v>
                </c:pt>
                <c:pt idx="760">
                  <c:v>3283810.5496485545</c:v>
                </c:pt>
                <c:pt idx="761">
                  <c:v>3283810.5496485545</c:v>
                </c:pt>
                <c:pt idx="762">
                  <c:v>3283810.5496485545</c:v>
                </c:pt>
                <c:pt idx="763">
                  <c:v>3283810.5496485545</c:v>
                </c:pt>
                <c:pt idx="764">
                  <c:v>3283810.5496485545</c:v>
                </c:pt>
                <c:pt idx="765">
                  <c:v>3283810.5496485545</c:v>
                </c:pt>
                <c:pt idx="766">
                  <c:v>3283810.5496485545</c:v>
                </c:pt>
                <c:pt idx="767">
                  <c:v>3283810.5496485545</c:v>
                </c:pt>
                <c:pt idx="768">
                  <c:v>3283810.5496485545</c:v>
                </c:pt>
                <c:pt idx="769">
                  <c:v>3283810.5496485545</c:v>
                </c:pt>
                <c:pt idx="770">
                  <c:v>3283810.5496485545</c:v>
                </c:pt>
                <c:pt idx="771">
                  <c:v>3283810.5496485545</c:v>
                </c:pt>
                <c:pt idx="772">
                  <c:v>3283810.5496485545</c:v>
                </c:pt>
                <c:pt idx="773">
                  <c:v>3283810.5496485545</c:v>
                </c:pt>
                <c:pt idx="774">
                  <c:v>3283810.5496485545</c:v>
                </c:pt>
                <c:pt idx="775">
                  <c:v>3283810.5496485545</c:v>
                </c:pt>
                <c:pt idx="776">
                  <c:v>3283810.5496485545</c:v>
                </c:pt>
                <c:pt idx="777">
                  <c:v>3283810.5496485545</c:v>
                </c:pt>
                <c:pt idx="778">
                  <c:v>3283810.5496485545</c:v>
                </c:pt>
                <c:pt idx="779">
                  <c:v>3283810.5496485545</c:v>
                </c:pt>
                <c:pt idx="780">
                  <c:v>3283810.5496485545</c:v>
                </c:pt>
                <c:pt idx="781">
                  <c:v>3283810.5496485545</c:v>
                </c:pt>
                <c:pt idx="782">
                  <c:v>3283810.5496485545</c:v>
                </c:pt>
                <c:pt idx="783">
                  <c:v>3283810.5496485545</c:v>
                </c:pt>
                <c:pt idx="784">
                  <c:v>3283810.5496485545</c:v>
                </c:pt>
                <c:pt idx="785">
                  <c:v>3283810.5496485545</c:v>
                </c:pt>
                <c:pt idx="786">
                  <c:v>3283810.5496485545</c:v>
                </c:pt>
                <c:pt idx="787">
                  <c:v>3283810.5496485545</c:v>
                </c:pt>
                <c:pt idx="788">
                  <c:v>3283810.5496485545</c:v>
                </c:pt>
                <c:pt idx="789">
                  <c:v>3283810.5496485545</c:v>
                </c:pt>
                <c:pt idx="790">
                  <c:v>3283810.5496485545</c:v>
                </c:pt>
                <c:pt idx="791">
                  <c:v>3283810.5496485545</c:v>
                </c:pt>
                <c:pt idx="792">
                  <c:v>3283810.5496485545</c:v>
                </c:pt>
                <c:pt idx="793">
                  <c:v>3283810.5496485545</c:v>
                </c:pt>
                <c:pt idx="794">
                  <c:v>3283810.5496485545</c:v>
                </c:pt>
                <c:pt idx="795">
                  <c:v>3283810.5496485545</c:v>
                </c:pt>
                <c:pt idx="796">
                  <c:v>3283810.5496485545</c:v>
                </c:pt>
                <c:pt idx="797">
                  <c:v>3283810.5496485545</c:v>
                </c:pt>
                <c:pt idx="798">
                  <c:v>3283810.5496485545</c:v>
                </c:pt>
                <c:pt idx="799">
                  <c:v>3283810.5496485545</c:v>
                </c:pt>
                <c:pt idx="800">
                  <c:v>3283810.5496485545</c:v>
                </c:pt>
                <c:pt idx="801">
                  <c:v>3283810.5496485545</c:v>
                </c:pt>
                <c:pt idx="802">
                  <c:v>3283810.5496485545</c:v>
                </c:pt>
                <c:pt idx="803">
                  <c:v>3283810.5496485545</c:v>
                </c:pt>
                <c:pt idx="804">
                  <c:v>3283810.5496485545</c:v>
                </c:pt>
                <c:pt idx="805">
                  <c:v>3283810.5496485545</c:v>
                </c:pt>
                <c:pt idx="806">
                  <c:v>3283810.5496485545</c:v>
                </c:pt>
                <c:pt idx="807">
                  <c:v>3283810.5496485545</c:v>
                </c:pt>
                <c:pt idx="808">
                  <c:v>3283810.5496485545</c:v>
                </c:pt>
                <c:pt idx="809">
                  <c:v>3283810.5496485545</c:v>
                </c:pt>
                <c:pt idx="810">
                  <c:v>3283810.5496485545</c:v>
                </c:pt>
                <c:pt idx="811">
                  <c:v>3283810.5496485545</c:v>
                </c:pt>
                <c:pt idx="812">
                  <c:v>3283810.5496485545</c:v>
                </c:pt>
                <c:pt idx="813">
                  <c:v>3283810.5496485545</c:v>
                </c:pt>
                <c:pt idx="814">
                  <c:v>3283810.5496485545</c:v>
                </c:pt>
                <c:pt idx="815">
                  <c:v>3283810.5496485545</c:v>
                </c:pt>
                <c:pt idx="816">
                  <c:v>3283810.5496485545</c:v>
                </c:pt>
                <c:pt idx="817">
                  <c:v>3283810.5496485545</c:v>
                </c:pt>
                <c:pt idx="818">
                  <c:v>3283810.5496485545</c:v>
                </c:pt>
                <c:pt idx="819">
                  <c:v>3283810.5496485545</c:v>
                </c:pt>
                <c:pt idx="820">
                  <c:v>3283810.5496485545</c:v>
                </c:pt>
                <c:pt idx="821">
                  <c:v>3283810.5496485545</c:v>
                </c:pt>
                <c:pt idx="822">
                  <c:v>3283810.5496485545</c:v>
                </c:pt>
                <c:pt idx="823">
                  <c:v>3283810.5496485545</c:v>
                </c:pt>
                <c:pt idx="824">
                  <c:v>3283810.5496485545</c:v>
                </c:pt>
                <c:pt idx="825">
                  <c:v>3283810.5496485545</c:v>
                </c:pt>
                <c:pt idx="826">
                  <c:v>3283810.5496485545</c:v>
                </c:pt>
                <c:pt idx="827">
                  <c:v>3283810.5496485545</c:v>
                </c:pt>
                <c:pt idx="828">
                  <c:v>3283810.5496485545</c:v>
                </c:pt>
                <c:pt idx="829">
                  <c:v>3283810.5496485545</c:v>
                </c:pt>
                <c:pt idx="830">
                  <c:v>3283810.5496485545</c:v>
                </c:pt>
                <c:pt idx="831">
                  <c:v>3283810.5496485545</c:v>
                </c:pt>
                <c:pt idx="832">
                  <c:v>3283810.5496485545</c:v>
                </c:pt>
                <c:pt idx="833">
                  <c:v>3283810.5496485545</c:v>
                </c:pt>
                <c:pt idx="834">
                  <c:v>3283810.5496485545</c:v>
                </c:pt>
                <c:pt idx="835">
                  <c:v>3283810.5496485545</c:v>
                </c:pt>
                <c:pt idx="836">
                  <c:v>3283810.5496485545</c:v>
                </c:pt>
                <c:pt idx="837">
                  <c:v>3283810.5496485545</c:v>
                </c:pt>
                <c:pt idx="838">
                  <c:v>3283810.5496485545</c:v>
                </c:pt>
                <c:pt idx="839">
                  <c:v>3283810.5496485545</c:v>
                </c:pt>
                <c:pt idx="840">
                  <c:v>3283810.5496485545</c:v>
                </c:pt>
                <c:pt idx="841">
                  <c:v>3283810.5496485545</c:v>
                </c:pt>
                <c:pt idx="842">
                  <c:v>3283810.5496485545</c:v>
                </c:pt>
                <c:pt idx="843">
                  <c:v>3283810.5496485545</c:v>
                </c:pt>
                <c:pt idx="844">
                  <c:v>3283810.5496485545</c:v>
                </c:pt>
                <c:pt idx="845">
                  <c:v>3283810.5496485545</c:v>
                </c:pt>
                <c:pt idx="846">
                  <c:v>3283810.5496485545</c:v>
                </c:pt>
                <c:pt idx="847">
                  <c:v>3283810.5496485545</c:v>
                </c:pt>
                <c:pt idx="848">
                  <c:v>3283810.5496485545</c:v>
                </c:pt>
                <c:pt idx="849">
                  <c:v>3283810.5496485545</c:v>
                </c:pt>
                <c:pt idx="850">
                  <c:v>3283810.5496485545</c:v>
                </c:pt>
                <c:pt idx="851">
                  <c:v>3283810.5496485545</c:v>
                </c:pt>
                <c:pt idx="852">
                  <c:v>3283810.5496485545</c:v>
                </c:pt>
                <c:pt idx="853">
                  <c:v>3283810.5496485545</c:v>
                </c:pt>
                <c:pt idx="854">
                  <c:v>3283810.5496485545</c:v>
                </c:pt>
                <c:pt idx="855">
                  <c:v>3283810.5496485545</c:v>
                </c:pt>
                <c:pt idx="856">
                  <c:v>3283810.5496485545</c:v>
                </c:pt>
                <c:pt idx="857">
                  <c:v>3283810.5496485545</c:v>
                </c:pt>
                <c:pt idx="858">
                  <c:v>3283810.5496485545</c:v>
                </c:pt>
                <c:pt idx="859">
                  <c:v>3283810.5496485545</c:v>
                </c:pt>
                <c:pt idx="860">
                  <c:v>3283810.5496485545</c:v>
                </c:pt>
                <c:pt idx="861">
                  <c:v>3283810.5496485545</c:v>
                </c:pt>
                <c:pt idx="862">
                  <c:v>3283810.5496485545</c:v>
                </c:pt>
                <c:pt idx="863">
                  <c:v>3283810.5496485545</c:v>
                </c:pt>
                <c:pt idx="864">
                  <c:v>3283810.5496485545</c:v>
                </c:pt>
                <c:pt idx="865">
                  <c:v>3283810.5496485545</c:v>
                </c:pt>
                <c:pt idx="866">
                  <c:v>3283810.5496485545</c:v>
                </c:pt>
                <c:pt idx="867">
                  <c:v>3283810.5496485545</c:v>
                </c:pt>
                <c:pt idx="868">
                  <c:v>3283810.5496485545</c:v>
                </c:pt>
                <c:pt idx="869">
                  <c:v>3283810.5496485545</c:v>
                </c:pt>
                <c:pt idx="870">
                  <c:v>3283810.5496485545</c:v>
                </c:pt>
                <c:pt idx="871">
                  <c:v>3283810.5496485545</c:v>
                </c:pt>
                <c:pt idx="872">
                  <c:v>3283810.5496485545</c:v>
                </c:pt>
                <c:pt idx="873">
                  <c:v>3283810.5496485545</c:v>
                </c:pt>
                <c:pt idx="874">
                  <c:v>3283810.5496485545</c:v>
                </c:pt>
                <c:pt idx="875">
                  <c:v>3283810.5496485545</c:v>
                </c:pt>
                <c:pt idx="876">
                  <c:v>3283810.5496485545</c:v>
                </c:pt>
                <c:pt idx="877">
                  <c:v>3283810.5496485545</c:v>
                </c:pt>
                <c:pt idx="878">
                  <c:v>3283810.5496485545</c:v>
                </c:pt>
                <c:pt idx="879">
                  <c:v>3283810.5496485545</c:v>
                </c:pt>
                <c:pt idx="880">
                  <c:v>3283810.5496485545</c:v>
                </c:pt>
                <c:pt idx="881">
                  <c:v>3283810.5496485545</c:v>
                </c:pt>
                <c:pt idx="882">
                  <c:v>3283810.5496485545</c:v>
                </c:pt>
                <c:pt idx="883">
                  <c:v>3283810.5496485545</c:v>
                </c:pt>
                <c:pt idx="884">
                  <c:v>3283810.5496485545</c:v>
                </c:pt>
                <c:pt idx="885">
                  <c:v>3283810.5496485545</c:v>
                </c:pt>
                <c:pt idx="886">
                  <c:v>3283810.5496485545</c:v>
                </c:pt>
                <c:pt idx="887">
                  <c:v>3283810.5496485545</c:v>
                </c:pt>
                <c:pt idx="888">
                  <c:v>3283810.5496485545</c:v>
                </c:pt>
                <c:pt idx="889">
                  <c:v>3283810.5496485545</c:v>
                </c:pt>
                <c:pt idx="890">
                  <c:v>3283810.5496485545</c:v>
                </c:pt>
                <c:pt idx="891">
                  <c:v>3283810.5496485545</c:v>
                </c:pt>
                <c:pt idx="892">
                  <c:v>3283810.5496485545</c:v>
                </c:pt>
                <c:pt idx="893">
                  <c:v>3283810.5496485545</c:v>
                </c:pt>
                <c:pt idx="894">
                  <c:v>3283810.5496485545</c:v>
                </c:pt>
                <c:pt idx="895">
                  <c:v>3283810.5496485545</c:v>
                </c:pt>
                <c:pt idx="896">
                  <c:v>3283810.5496485545</c:v>
                </c:pt>
                <c:pt idx="897">
                  <c:v>3283810.5496485545</c:v>
                </c:pt>
                <c:pt idx="898">
                  <c:v>3283810.5496485545</c:v>
                </c:pt>
                <c:pt idx="899">
                  <c:v>3283810.5496485545</c:v>
                </c:pt>
                <c:pt idx="900">
                  <c:v>3283810.5496485545</c:v>
                </c:pt>
                <c:pt idx="901">
                  <c:v>3283810.5496485545</c:v>
                </c:pt>
                <c:pt idx="902">
                  <c:v>3283810.5496485545</c:v>
                </c:pt>
                <c:pt idx="903">
                  <c:v>3283810.5496485545</c:v>
                </c:pt>
                <c:pt idx="904">
                  <c:v>3283810.5496485545</c:v>
                </c:pt>
                <c:pt idx="905">
                  <c:v>3283810.5496485545</c:v>
                </c:pt>
                <c:pt idx="906">
                  <c:v>3283810.5496485545</c:v>
                </c:pt>
                <c:pt idx="907">
                  <c:v>3283810.5496485545</c:v>
                </c:pt>
                <c:pt idx="908">
                  <c:v>3283810.5496485545</c:v>
                </c:pt>
                <c:pt idx="909">
                  <c:v>3283810.5496485545</c:v>
                </c:pt>
                <c:pt idx="910">
                  <c:v>3283810.5496485545</c:v>
                </c:pt>
                <c:pt idx="911">
                  <c:v>3283810.5496485545</c:v>
                </c:pt>
                <c:pt idx="912">
                  <c:v>3283810.5496485545</c:v>
                </c:pt>
                <c:pt idx="913">
                  <c:v>3283810.5496485545</c:v>
                </c:pt>
                <c:pt idx="914">
                  <c:v>3283810.5496485545</c:v>
                </c:pt>
                <c:pt idx="915">
                  <c:v>3283810.5496485545</c:v>
                </c:pt>
                <c:pt idx="916">
                  <c:v>3283810.5496485545</c:v>
                </c:pt>
                <c:pt idx="917">
                  <c:v>3283810.5496485545</c:v>
                </c:pt>
                <c:pt idx="918">
                  <c:v>3283810.5496485545</c:v>
                </c:pt>
                <c:pt idx="919">
                  <c:v>3283810.5496485545</c:v>
                </c:pt>
                <c:pt idx="920">
                  <c:v>3283810.5496485545</c:v>
                </c:pt>
                <c:pt idx="921">
                  <c:v>3283810.5496485545</c:v>
                </c:pt>
                <c:pt idx="922">
                  <c:v>3283810.5496485545</c:v>
                </c:pt>
                <c:pt idx="923">
                  <c:v>3283810.5496485545</c:v>
                </c:pt>
                <c:pt idx="924">
                  <c:v>3283810.5496485545</c:v>
                </c:pt>
                <c:pt idx="925">
                  <c:v>3283810.5496485545</c:v>
                </c:pt>
                <c:pt idx="926">
                  <c:v>3283810.5496485545</c:v>
                </c:pt>
                <c:pt idx="927">
                  <c:v>3283810.5496485545</c:v>
                </c:pt>
                <c:pt idx="928">
                  <c:v>3283810.5496485545</c:v>
                </c:pt>
                <c:pt idx="929">
                  <c:v>3283810.5496485545</c:v>
                </c:pt>
                <c:pt idx="930">
                  <c:v>3283810.5496485545</c:v>
                </c:pt>
                <c:pt idx="931">
                  <c:v>3283810.5496485545</c:v>
                </c:pt>
                <c:pt idx="932">
                  <c:v>3283810.5496485545</c:v>
                </c:pt>
                <c:pt idx="933">
                  <c:v>3283810.5496485545</c:v>
                </c:pt>
                <c:pt idx="934">
                  <c:v>3283810.5496485545</c:v>
                </c:pt>
                <c:pt idx="935">
                  <c:v>3283810.5496485545</c:v>
                </c:pt>
                <c:pt idx="936">
                  <c:v>3283810.5496485545</c:v>
                </c:pt>
                <c:pt idx="937">
                  <c:v>3283810.5496485545</c:v>
                </c:pt>
                <c:pt idx="938">
                  <c:v>3283810.5496485545</c:v>
                </c:pt>
                <c:pt idx="939">
                  <c:v>3283810.5496485545</c:v>
                </c:pt>
                <c:pt idx="940">
                  <c:v>3283810.5496485545</c:v>
                </c:pt>
                <c:pt idx="941">
                  <c:v>3283810.5496485545</c:v>
                </c:pt>
                <c:pt idx="942">
                  <c:v>3283810.5496485545</c:v>
                </c:pt>
                <c:pt idx="943">
                  <c:v>3283810.5496485545</c:v>
                </c:pt>
                <c:pt idx="944">
                  <c:v>3283810.5496485545</c:v>
                </c:pt>
                <c:pt idx="945">
                  <c:v>3283810.5496485545</c:v>
                </c:pt>
                <c:pt idx="946">
                  <c:v>3283810.5496485545</c:v>
                </c:pt>
                <c:pt idx="947">
                  <c:v>3283810.5496485545</c:v>
                </c:pt>
                <c:pt idx="948">
                  <c:v>3283810.5496485545</c:v>
                </c:pt>
                <c:pt idx="949">
                  <c:v>3283810.5496485545</c:v>
                </c:pt>
                <c:pt idx="950">
                  <c:v>3283810.5496485545</c:v>
                </c:pt>
                <c:pt idx="951">
                  <c:v>3283810.5496485545</c:v>
                </c:pt>
                <c:pt idx="952">
                  <c:v>3283810.5496485545</c:v>
                </c:pt>
                <c:pt idx="953">
                  <c:v>3283810.5496485545</c:v>
                </c:pt>
                <c:pt idx="954">
                  <c:v>3283810.5496485545</c:v>
                </c:pt>
                <c:pt idx="955">
                  <c:v>3283810.5496485545</c:v>
                </c:pt>
                <c:pt idx="956">
                  <c:v>3283810.5496485545</c:v>
                </c:pt>
                <c:pt idx="957">
                  <c:v>3283810.5496485545</c:v>
                </c:pt>
                <c:pt idx="958">
                  <c:v>3283810.5496485545</c:v>
                </c:pt>
                <c:pt idx="959">
                  <c:v>3283810.5496485545</c:v>
                </c:pt>
                <c:pt idx="960">
                  <c:v>3283810.5496485545</c:v>
                </c:pt>
                <c:pt idx="961">
                  <c:v>3283810.5496485545</c:v>
                </c:pt>
                <c:pt idx="962">
                  <c:v>3283810.5496485545</c:v>
                </c:pt>
                <c:pt idx="963">
                  <c:v>3283810.5496485545</c:v>
                </c:pt>
                <c:pt idx="964">
                  <c:v>3283810.5496485545</c:v>
                </c:pt>
                <c:pt idx="965">
                  <c:v>3283810.5496485545</c:v>
                </c:pt>
                <c:pt idx="966">
                  <c:v>3283810.5496485545</c:v>
                </c:pt>
                <c:pt idx="967">
                  <c:v>3283810.5496485545</c:v>
                </c:pt>
                <c:pt idx="968">
                  <c:v>3283810.5496485545</c:v>
                </c:pt>
                <c:pt idx="969">
                  <c:v>3283810.5496485545</c:v>
                </c:pt>
                <c:pt idx="970">
                  <c:v>3283810.5496485545</c:v>
                </c:pt>
                <c:pt idx="971">
                  <c:v>3283810.5496485545</c:v>
                </c:pt>
                <c:pt idx="972">
                  <c:v>3283810.5496485545</c:v>
                </c:pt>
                <c:pt idx="973">
                  <c:v>3283810.5496485545</c:v>
                </c:pt>
                <c:pt idx="974">
                  <c:v>3283810.5496485545</c:v>
                </c:pt>
                <c:pt idx="975">
                  <c:v>3283810.5496485545</c:v>
                </c:pt>
                <c:pt idx="976">
                  <c:v>3283810.5496485545</c:v>
                </c:pt>
                <c:pt idx="977">
                  <c:v>3283810.5496485545</c:v>
                </c:pt>
                <c:pt idx="978">
                  <c:v>3283810.5496485545</c:v>
                </c:pt>
                <c:pt idx="979">
                  <c:v>3283810.5496485545</c:v>
                </c:pt>
                <c:pt idx="980">
                  <c:v>3283810.5496485545</c:v>
                </c:pt>
                <c:pt idx="981">
                  <c:v>3283810.5496485545</c:v>
                </c:pt>
                <c:pt idx="982">
                  <c:v>3283810.5496485545</c:v>
                </c:pt>
                <c:pt idx="983">
                  <c:v>3283810.5496485545</c:v>
                </c:pt>
                <c:pt idx="984">
                  <c:v>3283810.5496485545</c:v>
                </c:pt>
                <c:pt idx="985">
                  <c:v>3283810.5496485545</c:v>
                </c:pt>
                <c:pt idx="986">
                  <c:v>3283810.5496485545</c:v>
                </c:pt>
                <c:pt idx="987">
                  <c:v>3283810.5496485545</c:v>
                </c:pt>
                <c:pt idx="988">
                  <c:v>3283810.5496485545</c:v>
                </c:pt>
                <c:pt idx="989">
                  <c:v>3283810.5496485545</c:v>
                </c:pt>
                <c:pt idx="990">
                  <c:v>3283810.5496485545</c:v>
                </c:pt>
                <c:pt idx="991">
                  <c:v>3283810.5496485545</c:v>
                </c:pt>
                <c:pt idx="992">
                  <c:v>3283810.5496485545</c:v>
                </c:pt>
                <c:pt idx="993">
                  <c:v>3283810.5496485545</c:v>
                </c:pt>
                <c:pt idx="994">
                  <c:v>3283810.5496485545</c:v>
                </c:pt>
                <c:pt idx="995">
                  <c:v>3283810.5496485545</c:v>
                </c:pt>
                <c:pt idx="996">
                  <c:v>3283810.5496485545</c:v>
                </c:pt>
                <c:pt idx="997">
                  <c:v>3283810.5496485545</c:v>
                </c:pt>
                <c:pt idx="998">
                  <c:v>3283810.5496485545</c:v>
                </c:pt>
                <c:pt idx="999">
                  <c:v>3283810.5496485545</c:v>
                </c:pt>
                <c:pt idx="1000">
                  <c:v>3283810.5496485545</c:v>
                </c:pt>
                <c:pt idx="1001">
                  <c:v>3283810.5496485545</c:v>
                </c:pt>
                <c:pt idx="1002">
                  <c:v>3283810.5496485545</c:v>
                </c:pt>
                <c:pt idx="1003">
                  <c:v>3283810.5496485545</c:v>
                </c:pt>
                <c:pt idx="1004">
                  <c:v>3283810.5496485545</c:v>
                </c:pt>
                <c:pt idx="1005">
                  <c:v>3283810.5496485545</c:v>
                </c:pt>
                <c:pt idx="1006">
                  <c:v>3283810.5496485545</c:v>
                </c:pt>
                <c:pt idx="1007">
                  <c:v>3283810.5496485545</c:v>
                </c:pt>
                <c:pt idx="1008">
                  <c:v>3283810.5496485545</c:v>
                </c:pt>
                <c:pt idx="1009">
                  <c:v>3283810.5496485545</c:v>
                </c:pt>
                <c:pt idx="1010">
                  <c:v>3283810.5496485545</c:v>
                </c:pt>
                <c:pt idx="1011">
                  <c:v>3283810.5496485545</c:v>
                </c:pt>
                <c:pt idx="1012">
                  <c:v>3283810.5496485545</c:v>
                </c:pt>
                <c:pt idx="1013">
                  <c:v>3283810.5496485545</c:v>
                </c:pt>
                <c:pt idx="1014">
                  <c:v>3283810.5496485545</c:v>
                </c:pt>
                <c:pt idx="1015">
                  <c:v>3283810.5496485545</c:v>
                </c:pt>
                <c:pt idx="1016">
                  <c:v>3283810.5496485545</c:v>
                </c:pt>
                <c:pt idx="1017">
                  <c:v>3283810.5496485545</c:v>
                </c:pt>
                <c:pt idx="1018">
                  <c:v>3283810.5496485545</c:v>
                </c:pt>
                <c:pt idx="1019">
                  <c:v>3283810.5496485545</c:v>
                </c:pt>
                <c:pt idx="1020">
                  <c:v>3283810.5496485545</c:v>
                </c:pt>
                <c:pt idx="1021">
                  <c:v>3283810.5496485545</c:v>
                </c:pt>
                <c:pt idx="1022">
                  <c:v>3283810.5496485545</c:v>
                </c:pt>
                <c:pt idx="1023">
                  <c:v>3283810.5496485545</c:v>
                </c:pt>
                <c:pt idx="1024">
                  <c:v>3283810.5496485545</c:v>
                </c:pt>
                <c:pt idx="1025">
                  <c:v>3283810.5496485545</c:v>
                </c:pt>
                <c:pt idx="1026">
                  <c:v>3283810.5496485545</c:v>
                </c:pt>
                <c:pt idx="1027">
                  <c:v>3283810.5496485545</c:v>
                </c:pt>
                <c:pt idx="1028">
                  <c:v>3283810.5496485545</c:v>
                </c:pt>
                <c:pt idx="1029">
                  <c:v>3283810.5496485545</c:v>
                </c:pt>
                <c:pt idx="1030">
                  <c:v>3283810.5496485545</c:v>
                </c:pt>
                <c:pt idx="1031">
                  <c:v>3283810.5496485545</c:v>
                </c:pt>
                <c:pt idx="1032">
                  <c:v>3283810.5496485545</c:v>
                </c:pt>
                <c:pt idx="1033">
                  <c:v>3283810.5496485545</c:v>
                </c:pt>
                <c:pt idx="1034">
                  <c:v>3283810.5496485545</c:v>
                </c:pt>
                <c:pt idx="1035">
                  <c:v>3283810.5496485545</c:v>
                </c:pt>
                <c:pt idx="1036">
                  <c:v>3283810.5496485545</c:v>
                </c:pt>
                <c:pt idx="1037">
                  <c:v>3283810.5496485545</c:v>
                </c:pt>
                <c:pt idx="1038">
                  <c:v>3283810.5496485545</c:v>
                </c:pt>
                <c:pt idx="1039">
                  <c:v>3283810.5496485545</c:v>
                </c:pt>
                <c:pt idx="1040">
                  <c:v>3283810.5496485545</c:v>
                </c:pt>
                <c:pt idx="1041">
                  <c:v>3283810.5496485545</c:v>
                </c:pt>
                <c:pt idx="1042">
                  <c:v>3283810.5496485545</c:v>
                </c:pt>
                <c:pt idx="1043">
                  <c:v>3283810.5496485545</c:v>
                </c:pt>
                <c:pt idx="1044">
                  <c:v>3283810.5496485545</c:v>
                </c:pt>
                <c:pt idx="1045">
                  <c:v>3283810.5496485545</c:v>
                </c:pt>
                <c:pt idx="1046">
                  <c:v>3283810.5496485545</c:v>
                </c:pt>
                <c:pt idx="1047">
                  <c:v>3283810.5496485545</c:v>
                </c:pt>
                <c:pt idx="1048">
                  <c:v>3283810.5496485545</c:v>
                </c:pt>
                <c:pt idx="1049">
                  <c:v>3283810.5496485545</c:v>
                </c:pt>
                <c:pt idx="1050">
                  <c:v>3283810.5496485545</c:v>
                </c:pt>
                <c:pt idx="1051">
                  <c:v>3283810.5496485545</c:v>
                </c:pt>
                <c:pt idx="1052">
                  <c:v>3283810.5496485545</c:v>
                </c:pt>
                <c:pt idx="1053">
                  <c:v>3283810.5496485545</c:v>
                </c:pt>
                <c:pt idx="1054">
                  <c:v>3283810.5496485545</c:v>
                </c:pt>
                <c:pt idx="1055">
                  <c:v>3283810.5496485545</c:v>
                </c:pt>
                <c:pt idx="1056">
                  <c:v>3283810.5496485545</c:v>
                </c:pt>
                <c:pt idx="1057">
                  <c:v>3283810.5496485545</c:v>
                </c:pt>
                <c:pt idx="1058">
                  <c:v>3283810.5496485545</c:v>
                </c:pt>
                <c:pt idx="1059">
                  <c:v>3283810.5496485545</c:v>
                </c:pt>
                <c:pt idx="1060">
                  <c:v>3283810.5496485545</c:v>
                </c:pt>
                <c:pt idx="1061">
                  <c:v>3283810.5496485545</c:v>
                </c:pt>
                <c:pt idx="1062">
                  <c:v>3283810.5496485545</c:v>
                </c:pt>
                <c:pt idx="1063">
                  <c:v>3283810.5496485545</c:v>
                </c:pt>
                <c:pt idx="1064">
                  <c:v>3283810.5496485545</c:v>
                </c:pt>
                <c:pt idx="1065">
                  <c:v>3283810.5496485545</c:v>
                </c:pt>
                <c:pt idx="1066">
                  <c:v>3283810.5496485545</c:v>
                </c:pt>
                <c:pt idx="1067">
                  <c:v>3283810.5496485545</c:v>
                </c:pt>
                <c:pt idx="1068">
                  <c:v>3283810.5496485545</c:v>
                </c:pt>
                <c:pt idx="1069">
                  <c:v>3283810.5496485545</c:v>
                </c:pt>
                <c:pt idx="1070">
                  <c:v>3283810.5496485545</c:v>
                </c:pt>
                <c:pt idx="1071">
                  <c:v>3283810.5496485545</c:v>
                </c:pt>
                <c:pt idx="1072">
                  <c:v>3283810.5496485545</c:v>
                </c:pt>
                <c:pt idx="1073">
                  <c:v>3283810.5496485545</c:v>
                </c:pt>
                <c:pt idx="1074">
                  <c:v>3283810.5496485545</c:v>
                </c:pt>
                <c:pt idx="1075">
                  <c:v>3283810.5496485545</c:v>
                </c:pt>
                <c:pt idx="1076">
                  <c:v>3283810.5496485545</c:v>
                </c:pt>
                <c:pt idx="1077">
                  <c:v>3283810.5496485545</c:v>
                </c:pt>
                <c:pt idx="1078">
                  <c:v>3283810.5496485545</c:v>
                </c:pt>
                <c:pt idx="1079">
                  <c:v>3283810.5496485545</c:v>
                </c:pt>
                <c:pt idx="1080">
                  <c:v>3283810.5496485545</c:v>
                </c:pt>
                <c:pt idx="1081">
                  <c:v>3283810.5496485545</c:v>
                </c:pt>
                <c:pt idx="1082">
                  <c:v>3283810.5496485545</c:v>
                </c:pt>
                <c:pt idx="1083">
                  <c:v>3283810.5496485545</c:v>
                </c:pt>
                <c:pt idx="1084">
                  <c:v>3283810.5496485545</c:v>
                </c:pt>
                <c:pt idx="1085">
                  <c:v>3283810.5496485545</c:v>
                </c:pt>
                <c:pt idx="1086">
                  <c:v>3283810.5496485545</c:v>
                </c:pt>
                <c:pt idx="1087">
                  <c:v>3283810.5496485545</c:v>
                </c:pt>
                <c:pt idx="1088">
                  <c:v>3283810.5496485545</c:v>
                </c:pt>
                <c:pt idx="1089">
                  <c:v>3283810.5496485545</c:v>
                </c:pt>
                <c:pt idx="1090">
                  <c:v>3283810.5496485545</c:v>
                </c:pt>
                <c:pt idx="1091">
                  <c:v>3283810.5496485545</c:v>
                </c:pt>
                <c:pt idx="1092">
                  <c:v>3283810.5496485545</c:v>
                </c:pt>
                <c:pt idx="1093">
                  <c:v>3283810.5496485545</c:v>
                </c:pt>
                <c:pt idx="1094">
                  <c:v>3283810.5496485545</c:v>
                </c:pt>
                <c:pt idx="1095">
                  <c:v>3283810.5496485545</c:v>
                </c:pt>
                <c:pt idx="1096">
                  <c:v>3283810.5496485545</c:v>
                </c:pt>
                <c:pt idx="1097">
                  <c:v>3283810.5496485545</c:v>
                </c:pt>
                <c:pt idx="1098">
                  <c:v>3283810.5496485545</c:v>
                </c:pt>
                <c:pt idx="1099">
                  <c:v>3283810.5496485545</c:v>
                </c:pt>
                <c:pt idx="1100">
                  <c:v>3283810.5496485545</c:v>
                </c:pt>
                <c:pt idx="1101">
                  <c:v>3283810.5496485545</c:v>
                </c:pt>
                <c:pt idx="1102">
                  <c:v>3283810.5496485545</c:v>
                </c:pt>
                <c:pt idx="1103">
                  <c:v>3283810.5496485545</c:v>
                </c:pt>
                <c:pt idx="1104">
                  <c:v>3283810.5496485545</c:v>
                </c:pt>
                <c:pt idx="1105">
                  <c:v>3283810.5496485545</c:v>
                </c:pt>
                <c:pt idx="1106">
                  <c:v>3283810.5496485545</c:v>
                </c:pt>
                <c:pt idx="1107">
                  <c:v>3283810.5496485545</c:v>
                </c:pt>
                <c:pt idx="1108">
                  <c:v>3283810.5496485545</c:v>
                </c:pt>
                <c:pt idx="1109">
                  <c:v>3283810.5496485545</c:v>
                </c:pt>
                <c:pt idx="1110">
                  <c:v>3283810.5496485545</c:v>
                </c:pt>
                <c:pt idx="1111">
                  <c:v>3283810.5496485545</c:v>
                </c:pt>
                <c:pt idx="1112">
                  <c:v>3283810.5496485545</c:v>
                </c:pt>
                <c:pt idx="1113">
                  <c:v>3283810.5496485545</c:v>
                </c:pt>
                <c:pt idx="1114">
                  <c:v>3283810.5496485545</c:v>
                </c:pt>
                <c:pt idx="1115">
                  <c:v>3283810.5496485545</c:v>
                </c:pt>
                <c:pt idx="1116">
                  <c:v>3283810.5496485545</c:v>
                </c:pt>
                <c:pt idx="1117">
                  <c:v>3283810.5496485545</c:v>
                </c:pt>
                <c:pt idx="1118">
                  <c:v>3283810.5496485545</c:v>
                </c:pt>
                <c:pt idx="1119">
                  <c:v>3283810.5496485545</c:v>
                </c:pt>
                <c:pt idx="1120">
                  <c:v>3283810.5496485545</c:v>
                </c:pt>
                <c:pt idx="1121">
                  <c:v>3283810.5496485545</c:v>
                </c:pt>
                <c:pt idx="1122">
                  <c:v>3283810.5496485545</c:v>
                </c:pt>
                <c:pt idx="1123">
                  <c:v>3283810.5496485545</c:v>
                </c:pt>
                <c:pt idx="1124">
                  <c:v>3283810.5496485545</c:v>
                </c:pt>
                <c:pt idx="1125">
                  <c:v>3283810.5496485545</c:v>
                </c:pt>
                <c:pt idx="1126">
                  <c:v>3283810.5496485545</c:v>
                </c:pt>
                <c:pt idx="1127">
                  <c:v>3283810.5496485545</c:v>
                </c:pt>
                <c:pt idx="1128">
                  <c:v>3283810.5496485545</c:v>
                </c:pt>
                <c:pt idx="1129">
                  <c:v>3283810.5496485545</c:v>
                </c:pt>
                <c:pt idx="1130">
                  <c:v>3283810.5496485545</c:v>
                </c:pt>
                <c:pt idx="1131">
                  <c:v>3283810.5496485545</c:v>
                </c:pt>
                <c:pt idx="1132">
                  <c:v>3283810.5496485545</c:v>
                </c:pt>
                <c:pt idx="1133">
                  <c:v>3283810.5496485545</c:v>
                </c:pt>
                <c:pt idx="1134">
                  <c:v>3283810.5496485545</c:v>
                </c:pt>
                <c:pt idx="1135">
                  <c:v>3283810.5496485545</c:v>
                </c:pt>
                <c:pt idx="1136">
                  <c:v>3283810.5496485545</c:v>
                </c:pt>
                <c:pt idx="1137">
                  <c:v>3283810.5496485545</c:v>
                </c:pt>
                <c:pt idx="1138">
                  <c:v>3283810.5496485545</c:v>
                </c:pt>
                <c:pt idx="1139">
                  <c:v>3283810.5496485545</c:v>
                </c:pt>
                <c:pt idx="1140">
                  <c:v>3283810.5496485545</c:v>
                </c:pt>
                <c:pt idx="1141">
                  <c:v>3283810.5496485545</c:v>
                </c:pt>
                <c:pt idx="1142">
                  <c:v>3283810.5496485545</c:v>
                </c:pt>
                <c:pt idx="1143">
                  <c:v>3283810.5496485545</c:v>
                </c:pt>
                <c:pt idx="1144">
                  <c:v>3283810.5496485545</c:v>
                </c:pt>
                <c:pt idx="1145">
                  <c:v>3283810.5496485545</c:v>
                </c:pt>
                <c:pt idx="1146">
                  <c:v>3283810.5496485545</c:v>
                </c:pt>
                <c:pt idx="1147">
                  <c:v>3283810.5496485545</c:v>
                </c:pt>
                <c:pt idx="1148">
                  <c:v>3283810.5496485545</c:v>
                </c:pt>
                <c:pt idx="1149">
                  <c:v>3283810.5496485545</c:v>
                </c:pt>
                <c:pt idx="1150">
                  <c:v>3283810.5496485545</c:v>
                </c:pt>
                <c:pt idx="1151">
                  <c:v>3283810.5496485545</c:v>
                </c:pt>
                <c:pt idx="1152">
                  <c:v>3283810.5496485545</c:v>
                </c:pt>
                <c:pt idx="1153">
                  <c:v>3283810.5496485545</c:v>
                </c:pt>
                <c:pt idx="1154">
                  <c:v>3283810.5496485545</c:v>
                </c:pt>
                <c:pt idx="1155">
                  <c:v>3283810.5496485545</c:v>
                </c:pt>
                <c:pt idx="1156">
                  <c:v>3283810.5496485545</c:v>
                </c:pt>
                <c:pt idx="1157">
                  <c:v>3283810.5496485545</c:v>
                </c:pt>
                <c:pt idx="1158">
                  <c:v>3283810.5496485545</c:v>
                </c:pt>
                <c:pt idx="1159">
                  <c:v>3283810.5496485545</c:v>
                </c:pt>
                <c:pt idx="1160">
                  <c:v>3283810.5496485545</c:v>
                </c:pt>
                <c:pt idx="1161">
                  <c:v>3283810.5496485545</c:v>
                </c:pt>
                <c:pt idx="1162">
                  <c:v>3283810.5496485545</c:v>
                </c:pt>
                <c:pt idx="1163">
                  <c:v>3283810.5496485545</c:v>
                </c:pt>
                <c:pt idx="1164">
                  <c:v>3283810.5496485545</c:v>
                </c:pt>
                <c:pt idx="1165">
                  <c:v>3283810.5496485545</c:v>
                </c:pt>
                <c:pt idx="1166">
                  <c:v>3283810.5496485545</c:v>
                </c:pt>
                <c:pt idx="1167">
                  <c:v>3283810.5496485545</c:v>
                </c:pt>
                <c:pt idx="1168">
                  <c:v>3283810.5496485545</c:v>
                </c:pt>
                <c:pt idx="1169">
                  <c:v>3283810.5496485545</c:v>
                </c:pt>
                <c:pt idx="1170">
                  <c:v>3283810.5496485545</c:v>
                </c:pt>
                <c:pt idx="1171">
                  <c:v>3283810.5496485545</c:v>
                </c:pt>
                <c:pt idx="1172">
                  <c:v>3283810.5496485545</c:v>
                </c:pt>
                <c:pt idx="1173">
                  <c:v>3283810.5496485545</c:v>
                </c:pt>
                <c:pt idx="1174">
                  <c:v>3283810.5496485545</c:v>
                </c:pt>
                <c:pt idx="1175">
                  <c:v>3283810.5496485545</c:v>
                </c:pt>
                <c:pt idx="1176">
                  <c:v>3283810.5496485545</c:v>
                </c:pt>
                <c:pt idx="1177">
                  <c:v>3283810.5496485545</c:v>
                </c:pt>
                <c:pt idx="1178">
                  <c:v>3283810.5496485545</c:v>
                </c:pt>
                <c:pt idx="1179">
                  <c:v>3283810.5496485545</c:v>
                </c:pt>
                <c:pt idx="1180">
                  <c:v>3283810.5496485545</c:v>
                </c:pt>
                <c:pt idx="1181">
                  <c:v>3283810.5496485545</c:v>
                </c:pt>
                <c:pt idx="1182">
                  <c:v>3283810.5496485545</c:v>
                </c:pt>
                <c:pt idx="1183">
                  <c:v>3283810.5496485545</c:v>
                </c:pt>
                <c:pt idx="1184">
                  <c:v>3283810.5496485545</c:v>
                </c:pt>
                <c:pt idx="1185">
                  <c:v>3283810.5496485545</c:v>
                </c:pt>
                <c:pt idx="1186">
                  <c:v>3283810.5496485545</c:v>
                </c:pt>
                <c:pt idx="1187">
                  <c:v>3283810.5496485545</c:v>
                </c:pt>
                <c:pt idx="1188">
                  <c:v>3283810.5496485545</c:v>
                </c:pt>
                <c:pt idx="1189">
                  <c:v>3283810.5496485545</c:v>
                </c:pt>
                <c:pt idx="1190">
                  <c:v>3283810.5496485545</c:v>
                </c:pt>
                <c:pt idx="1191">
                  <c:v>3283810.5496485545</c:v>
                </c:pt>
                <c:pt idx="1192">
                  <c:v>3283810.5496485545</c:v>
                </c:pt>
                <c:pt idx="1193">
                  <c:v>3283810.5496485545</c:v>
                </c:pt>
                <c:pt idx="1194">
                  <c:v>3283810.5496485545</c:v>
                </c:pt>
                <c:pt idx="1195">
                  <c:v>3283810.5496485545</c:v>
                </c:pt>
                <c:pt idx="1196">
                  <c:v>3283810.5496485545</c:v>
                </c:pt>
                <c:pt idx="1197">
                  <c:v>3283810.5496485545</c:v>
                </c:pt>
                <c:pt idx="1198">
                  <c:v>3283810.5496485545</c:v>
                </c:pt>
                <c:pt idx="1199">
                  <c:v>3283810.5496485545</c:v>
                </c:pt>
                <c:pt idx="1200">
                  <c:v>3283810.5496485545</c:v>
                </c:pt>
                <c:pt idx="1201">
                  <c:v>3283810.5496485545</c:v>
                </c:pt>
                <c:pt idx="1202">
                  <c:v>3283810.5496485545</c:v>
                </c:pt>
                <c:pt idx="1203">
                  <c:v>3283810.5496485545</c:v>
                </c:pt>
                <c:pt idx="1204">
                  <c:v>3283810.5496485545</c:v>
                </c:pt>
                <c:pt idx="1205">
                  <c:v>3283810.5496485545</c:v>
                </c:pt>
                <c:pt idx="1206">
                  <c:v>3283810.5496485545</c:v>
                </c:pt>
                <c:pt idx="1207">
                  <c:v>3283810.5496485545</c:v>
                </c:pt>
                <c:pt idx="1208">
                  <c:v>3283810.5496485545</c:v>
                </c:pt>
                <c:pt idx="1209">
                  <c:v>3283810.5496485545</c:v>
                </c:pt>
                <c:pt idx="1210">
                  <c:v>3283810.5496485545</c:v>
                </c:pt>
                <c:pt idx="1211">
                  <c:v>3283810.5496485545</c:v>
                </c:pt>
                <c:pt idx="1212">
                  <c:v>3283810.5496485545</c:v>
                </c:pt>
                <c:pt idx="1213">
                  <c:v>3283810.5496485545</c:v>
                </c:pt>
                <c:pt idx="1214">
                  <c:v>3283810.5496485545</c:v>
                </c:pt>
                <c:pt idx="1215">
                  <c:v>3283810.5496485545</c:v>
                </c:pt>
                <c:pt idx="1216">
                  <c:v>3283810.5496485545</c:v>
                </c:pt>
                <c:pt idx="1217">
                  <c:v>3283810.5496485545</c:v>
                </c:pt>
                <c:pt idx="1218">
                  <c:v>3283810.5496485545</c:v>
                </c:pt>
                <c:pt idx="1219">
                  <c:v>3283810.5496485545</c:v>
                </c:pt>
                <c:pt idx="1220">
                  <c:v>3283810.5496485545</c:v>
                </c:pt>
                <c:pt idx="1221">
                  <c:v>3283810.5496485545</c:v>
                </c:pt>
                <c:pt idx="1222">
                  <c:v>3283810.5496485545</c:v>
                </c:pt>
                <c:pt idx="1223">
                  <c:v>3283810.5496485545</c:v>
                </c:pt>
                <c:pt idx="1224">
                  <c:v>3283810.5496485545</c:v>
                </c:pt>
                <c:pt idx="1225">
                  <c:v>3283810.5496485545</c:v>
                </c:pt>
                <c:pt idx="1226">
                  <c:v>3283810.5496485545</c:v>
                </c:pt>
                <c:pt idx="1227">
                  <c:v>3283810.5496485545</c:v>
                </c:pt>
                <c:pt idx="1228">
                  <c:v>3283810.5496485545</c:v>
                </c:pt>
                <c:pt idx="1229">
                  <c:v>3283810.5496485545</c:v>
                </c:pt>
                <c:pt idx="1230">
                  <c:v>3283810.5496485545</c:v>
                </c:pt>
                <c:pt idx="1231">
                  <c:v>3283810.5496485545</c:v>
                </c:pt>
                <c:pt idx="1232">
                  <c:v>3283810.5496485545</c:v>
                </c:pt>
                <c:pt idx="1233">
                  <c:v>3283810.5496485545</c:v>
                </c:pt>
                <c:pt idx="1234">
                  <c:v>3283810.5496485545</c:v>
                </c:pt>
                <c:pt idx="1235">
                  <c:v>3283810.5496485545</c:v>
                </c:pt>
                <c:pt idx="1236">
                  <c:v>3283810.5496485545</c:v>
                </c:pt>
                <c:pt idx="1237">
                  <c:v>3283810.5496485545</c:v>
                </c:pt>
                <c:pt idx="1238">
                  <c:v>3283810.5496485545</c:v>
                </c:pt>
                <c:pt idx="1239">
                  <c:v>3283810.5496485545</c:v>
                </c:pt>
                <c:pt idx="1240">
                  <c:v>3283810.5496485545</c:v>
                </c:pt>
                <c:pt idx="1241">
                  <c:v>3283810.5496485545</c:v>
                </c:pt>
                <c:pt idx="1242">
                  <c:v>3283810.5496485545</c:v>
                </c:pt>
                <c:pt idx="1243">
                  <c:v>3283810.5496485545</c:v>
                </c:pt>
                <c:pt idx="1244">
                  <c:v>3283810.5496485545</c:v>
                </c:pt>
                <c:pt idx="1245">
                  <c:v>3283810.5496485545</c:v>
                </c:pt>
                <c:pt idx="1246">
                  <c:v>3283810.5496485545</c:v>
                </c:pt>
                <c:pt idx="1247">
                  <c:v>3283810.5496485545</c:v>
                </c:pt>
                <c:pt idx="1248">
                  <c:v>3283810.5496485545</c:v>
                </c:pt>
                <c:pt idx="1249">
                  <c:v>3283810.5496485545</c:v>
                </c:pt>
                <c:pt idx="1250">
                  <c:v>3283810.5496485545</c:v>
                </c:pt>
                <c:pt idx="1251">
                  <c:v>3283810.5496485545</c:v>
                </c:pt>
                <c:pt idx="1252">
                  <c:v>3283810.5496485545</c:v>
                </c:pt>
                <c:pt idx="1253">
                  <c:v>3283810.5496485545</c:v>
                </c:pt>
                <c:pt idx="1254">
                  <c:v>3283810.5496485545</c:v>
                </c:pt>
                <c:pt idx="1255">
                  <c:v>3283810.5496485545</c:v>
                </c:pt>
                <c:pt idx="1256">
                  <c:v>3283810.5496485545</c:v>
                </c:pt>
                <c:pt idx="1257">
                  <c:v>3283810.5496485545</c:v>
                </c:pt>
                <c:pt idx="1258">
                  <c:v>3283810.5496485545</c:v>
                </c:pt>
                <c:pt idx="1259">
                  <c:v>3283810.5496485545</c:v>
                </c:pt>
                <c:pt idx="1260">
                  <c:v>3283810.5496485545</c:v>
                </c:pt>
                <c:pt idx="1261">
                  <c:v>3283810.5496485545</c:v>
                </c:pt>
                <c:pt idx="1262">
                  <c:v>3283810.5496485545</c:v>
                </c:pt>
                <c:pt idx="1263">
                  <c:v>3283810.5496485545</c:v>
                </c:pt>
                <c:pt idx="1264">
                  <c:v>3283810.5496485545</c:v>
                </c:pt>
                <c:pt idx="1265">
                  <c:v>3283810.5496485545</c:v>
                </c:pt>
                <c:pt idx="1266">
                  <c:v>3283810.5496485545</c:v>
                </c:pt>
                <c:pt idx="1267">
                  <c:v>3283810.5496485545</c:v>
                </c:pt>
                <c:pt idx="1268">
                  <c:v>3283810.5496485545</c:v>
                </c:pt>
                <c:pt idx="1269">
                  <c:v>3283810.5496485545</c:v>
                </c:pt>
                <c:pt idx="1270">
                  <c:v>3283810.5496485545</c:v>
                </c:pt>
                <c:pt idx="1271">
                  <c:v>3283810.5496485545</c:v>
                </c:pt>
                <c:pt idx="1272">
                  <c:v>3283810.5496485545</c:v>
                </c:pt>
                <c:pt idx="1273">
                  <c:v>3283810.5496485545</c:v>
                </c:pt>
                <c:pt idx="1274">
                  <c:v>3283810.5496485545</c:v>
                </c:pt>
                <c:pt idx="1275">
                  <c:v>3283810.5496485545</c:v>
                </c:pt>
                <c:pt idx="1276">
                  <c:v>3283810.5496485545</c:v>
                </c:pt>
                <c:pt idx="1277">
                  <c:v>3283810.5496485545</c:v>
                </c:pt>
                <c:pt idx="1278">
                  <c:v>3283810.5496485545</c:v>
                </c:pt>
                <c:pt idx="1279">
                  <c:v>3283810.5496485545</c:v>
                </c:pt>
                <c:pt idx="1280">
                  <c:v>3283810.5496485545</c:v>
                </c:pt>
                <c:pt idx="1281">
                  <c:v>3283810.5496485545</c:v>
                </c:pt>
                <c:pt idx="1282">
                  <c:v>3283810.5496485545</c:v>
                </c:pt>
                <c:pt idx="1283">
                  <c:v>3283810.5496485545</c:v>
                </c:pt>
                <c:pt idx="1284">
                  <c:v>3283810.5496485545</c:v>
                </c:pt>
                <c:pt idx="1285">
                  <c:v>3283810.5496485545</c:v>
                </c:pt>
                <c:pt idx="1286">
                  <c:v>3283810.5496485545</c:v>
                </c:pt>
                <c:pt idx="1287">
                  <c:v>3283810.5496485545</c:v>
                </c:pt>
                <c:pt idx="1288">
                  <c:v>3283810.5496485545</c:v>
                </c:pt>
                <c:pt idx="1289">
                  <c:v>3283810.5496485545</c:v>
                </c:pt>
                <c:pt idx="1290">
                  <c:v>3283810.5496485545</c:v>
                </c:pt>
                <c:pt idx="1291">
                  <c:v>3283810.5496485545</c:v>
                </c:pt>
                <c:pt idx="1292">
                  <c:v>3283810.5496485545</c:v>
                </c:pt>
                <c:pt idx="1293">
                  <c:v>3283810.5496485545</c:v>
                </c:pt>
                <c:pt idx="1294">
                  <c:v>3283810.5496485545</c:v>
                </c:pt>
                <c:pt idx="1295">
                  <c:v>3283810.5496485545</c:v>
                </c:pt>
                <c:pt idx="1296">
                  <c:v>3283810.5496485545</c:v>
                </c:pt>
                <c:pt idx="1297">
                  <c:v>3283810.5496485545</c:v>
                </c:pt>
                <c:pt idx="1298">
                  <c:v>3283810.5496485545</c:v>
                </c:pt>
                <c:pt idx="1299">
                  <c:v>3283810.5496485545</c:v>
                </c:pt>
                <c:pt idx="1300">
                  <c:v>3283810.5496485545</c:v>
                </c:pt>
                <c:pt idx="1301">
                  <c:v>3283810.5496485545</c:v>
                </c:pt>
                <c:pt idx="1302">
                  <c:v>3283810.5496485545</c:v>
                </c:pt>
                <c:pt idx="1303">
                  <c:v>3283810.5496485545</c:v>
                </c:pt>
                <c:pt idx="1304">
                  <c:v>3283810.5496485545</c:v>
                </c:pt>
                <c:pt idx="1305">
                  <c:v>3283810.5496485545</c:v>
                </c:pt>
                <c:pt idx="1306">
                  <c:v>3283810.5496485545</c:v>
                </c:pt>
                <c:pt idx="1307">
                  <c:v>3283810.5496485545</c:v>
                </c:pt>
                <c:pt idx="1308">
                  <c:v>3283810.5496485545</c:v>
                </c:pt>
                <c:pt idx="1309">
                  <c:v>3283810.5496485545</c:v>
                </c:pt>
                <c:pt idx="1310">
                  <c:v>3283810.5496485545</c:v>
                </c:pt>
                <c:pt idx="1311">
                  <c:v>3283810.5496485545</c:v>
                </c:pt>
                <c:pt idx="1312">
                  <c:v>3283810.5496485545</c:v>
                </c:pt>
                <c:pt idx="1313">
                  <c:v>3283810.5496485545</c:v>
                </c:pt>
                <c:pt idx="1314">
                  <c:v>3283810.5496485545</c:v>
                </c:pt>
                <c:pt idx="1315">
                  <c:v>3283810.5496485545</c:v>
                </c:pt>
                <c:pt idx="1316">
                  <c:v>3283810.5496485545</c:v>
                </c:pt>
                <c:pt idx="1317">
                  <c:v>3283810.5496485545</c:v>
                </c:pt>
                <c:pt idx="1318">
                  <c:v>3283810.5496485545</c:v>
                </c:pt>
                <c:pt idx="1319">
                  <c:v>3283810.5496485545</c:v>
                </c:pt>
                <c:pt idx="1320">
                  <c:v>3283810.5496485545</c:v>
                </c:pt>
                <c:pt idx="1321">
                  <c:v>3283810.5496485545</c:v>
                </c:pt>
                <c:pt idx="1322">
                  <c:v>3283810.5496485545</c:v>
                </c:pt>
                <c:pt idx="1323">
                  <c:v>3283810.5496485545</c:v>
                </c:pt>
                <c:pt idx="1324">
                  <c:v>3283810.5496485545</c:v>
                </c:pt>
                <c:pt idx="1325">
                  <c:v>3283810.5496485545</c:v>
                </c:pt>
                <c:pt idx="1326">
                  <c:v>3283810.5496485545</c:v>
                </c:pt>
                <c:pt idx="1327">
                  <c:v>3283810.5496485545</c:v>
                </c:pt>
                <c:pt idx="1328">
                  <c:v>3283810.5496485545</c:v>
                </c:pt>
                <c:pt idx="1329">
                  <c:v>3283810.5496485545</c:v>
                </c:pt>
                <c:pt idx="1330">
                  <c:v>3283810.5496485545</c:v>
                </c:pt>
                <c:pt idx="1331">
                  <c:v>3283810.5496485545</c:v>
                </c:pt>
                <c:pt idx="1332">
                  <c:v>3283810.5496485545</c:v>
                </c:pt>
                <c:pt idx="1333">
                  <c:v>3283810.5496485545</c:v>
                </c:pt>
                <c:pt idx="1334">
                  <c:v>3283810.5496485545</c:v>
                </c:pt>
                <c:pt idx="1335">
                  <c:v>3283810.5496485545</c:v>
                </c:pt>
                <c:pt idx="1336">
                  <c:v>3283810.5496485545</c:v>
                </c:pt>
                <c:pt idx="1337">
                  <c:v>3283810.5496485545</c:v>
                </c:pt>
                <c:pt idx="1338">
                  <c:v>3283810.5496485545</c:v>
                </c:pt>
                <c:pt idx="1339">
                  <c:v>3283810.5496485545</c:v>
                </c:pt>
                <c:pt idx="1340">
                  <c:v>3283810.5496485545</c:v>
                </c:pt>
                <c:pt idx="1341">
                  <c:v>3283810.5496485545</c:v>
                </c:pt>
                <c:pt idx="1342">
                  <c:v>3283810.5496485545</c:v>
                </c:pt>
                <c:pt idx="1343">
                  <c:v>3283810.5496485545</c:v>
                </c:pt>
                <c:pt idx="1344">
                  <c:v>3283810.5496485545</c:v>
                </c:pt>
                <c:pt idx="1345">
                  <c:v>3283810.5496485545</c:v>
                </c:pt>
                <c:pt idx="1346">
                  <c:v>3283810.5496485545</c:v>
                </c:pt>
                <c:pt idx="1347">
                  <c:v>3283810.5496485545</c:v>
                </c:pt>
                <c:pt idx="1348">
                  <c:v>3283810.5496485545</c:v>
                </c:pt>
                <c:pt idx="1349">
                  <c:v>3283810.5496485545</c:v>
                </c:pt>
                <c:pt idx="1350">
                  <c:v>3283810.5496485545</c:v>
                </c:pt>
                <c:pt idx="1351">
                  <c:v>3283810.5496485545</c:v>
                </c:pt>
                <c:pt idx="1352">
                  <c:v>3283810.5496485545</c:v>
                </c:pt>
                <c:pt idx="1353">
                  <c:v>3283810.5496485545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7482AD23-3E6E-4D1B-8E40-9FEF74C1CC01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693999768519" createdVersion="8" refreshedVersion="8" minRefreshableVersion="3" recordCount="157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0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d v="2025-12-31T00:00:00"/>
        <s v=""/>
        <d v="2025-09-30T00:00:00"/>
        <d v="2025-11-30T00:00:00"/>
        <d v="2026-01-31T00:00:00"/>
        <d v="2026-02-28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0" maxValue="1.9763820091611706E-3"/>
    </cacheField>
    <cacheField name="FINANCE PAYMENT DATE" numFmtId="0">
      <sharedItems containsNonDate="0" containsDate="1" containsString="0" containsBlank="1" minDate="2025-10-09T00:00:00" maxDate="2026-03-29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3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3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1279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3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3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577.5"/>
    <m/>
    <m/>
    <x v="6"/>
    <n v="82221.369936751435"/>
    <n v="0"/>
    <d v="2026-02-07T00:00:00"/>
    <n v="18577.5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6"/>
    <n v="39223.074507692996"/>
    <m/>
    <d v="2026-03-02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6"/>
    <n v="35569.063385210808"/>
    <n v="0"/>
    <d v="2026-03-03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5.8632268701330759E-4"/>
    <d v="2025-10-10T00:00:00"/>
    <n v="1159.68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500"/>
    <m/>
    <m/>
    <x v="6"/>
    <n v="3018.0739514348784"/>
    <m/>
    <d v="2026-02-05T00:00:00"/>
    <m/>
  </r>
  <r>
    <n v="14"/>
    <x v="14"/>
    <s v="Travel"/>
    <m/>
    <m/>
    <n v="500"/>
    <m/>
    <m/>
    <x v="7"/>
    <n v="3018.073951434878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x="4"/>
        <item x="1"/>
        <item x="5"/>
        <item x="2"/>
        <item x="3"/>
        <item m="1" x="15"/>
        <item m="1" x="12"/>
        <item m="1" x="8"/>
        <item x="6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x="4"/>
        <item x="1"/>
        <item x="5"/>
        <item x="2"/>
        <item x="3"/>
        <item m="1" x="15"/>
        <item m="1" x="12"/>
        <item m="1" x="8"/>
        <item x="6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9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>
    <text>@Johannes Potgieter is a soft handover not an option here, so we able to move the payment date up?</text>
    <mentions>
      <mention mentionpersonId="{7482AD23-3E6E-4D1B-8E40-9FEF74C1CC01}" mentionId="{751F7C8C-54AA-485F-AB48-8667C00EC49B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1" t="s">
        <v>57</v>
      </c>
      <c r="E47" s="741"/>
      <c r="F47" s="742"/>
      <c r="G47" s="67"/>
      <c r="I47" s="68"/>
      <c r="J47" s="68"/>
    </row>
    <row r="48" spans="1:49" ht="14.45" thickBot="1">
      <c r="C48" s="69">
        <v>44014</v>
      </c>
      <c r="D48" s="743"/>
      <c r="E48" s="743"/>
      <c r="F48" s="74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I24" sqref="I24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">
      <c r="B2" s="747" t="s">
        <v>58</v>
      </c>
      <c r="C2" s="747"/>
      <c r="D2" s="747"/>
      <c r="E2" s="747"/>
      <c r="H2" s="748" t="s">
        <v>59</v>
      </c>
      <c r="I2" s="749"/>
      <c r="J2" s="749"/>
      <c r="K2" s="749"/>
      <c r="L2" s="749"/>
      <c r="M2" s="749"/>
      <c r="N2" s="749"/>
      <c r="O2" s="750"/>
    </row>
    <row r="3" spans="2:15">
      <c r="B3" s="681"/>
      <c r="H3" s="751"/>
      <c r="I3" s="752"/>
      <c r="J3" s="752"/>
      <c r="K3" s="752"/>
      <c r="L3" s="752"/>
      <c r="M3" s="752"/>
      <c r="N3" s="752"/>
      <c r="O3" s="753"/>
    </row>
    <row r="4" spans="2:15">
      <c r="B4" s="682" t="s">
        <v>60</v>
      </c>
      <c r="C4" s="683" t="str">
        <f>'Project Plan'!E2</f>
        <v>1 Bolt Ave</v>
      </c>
      <c r="H4" s="751"/>
      <c r="I4" s="752"/>
      <c r="J4" s="752"/>
      <c r="K4" s="752"/>
      <c r="L4" s="752"/>
      <c r="M4" s="752"/>
      <c r="N4" s="752"/>
      <c r="O4" s="753"/>
    </row>
    <row r="5" spans="2:15">
      <c r="B5" s="682" t="s">
        <v>61</v>
      </c>
      <c r="C5" s="683" t="s">
        <v>62</v>
      </c>
      <c r="H5" s="751"/>
      <c r="I5" s="752"/>
      <c r="J5" s="752"/>
      <c r="K5" s="752"/>
      <c r="L5" s="752"/>
      <c r="M5" s="752"/>
      <c r="N5" s="752"/>
      <c r="O5" s="753"/>
    </row>
    <row r="6" spans="2:15">
      <c r="B6" s="682" t="s">
        <v>63</v>
      </c>
      <c r="C6" s="683" t="s">
        <v>64</v>
      </c>
      <c r="H6" s="751"/>
      <c r="I6" s="752"/>
      <c r="J6" s="752"/>
      <c r="K6" s="752"/>
      <c r="L6" s="752"/>
      <c r="M6" s="752"/>
      <c r="N6" s="752"/>
      <c r="O6" s="753"/>
    </row>
    <row r="7" spans="2:15">
      <c r="B7" s="682" t="s">
        <v>65</v>
      </c>
      <c r="C7" s="683" t="s">
        <v>66</v>
      </c>
      <c r="H7" s="751"/>
      <c r="I7" s="752"/>
      <c r="J7" s="752"/>
      <c r="K7" s="752"/>
      <c r="L7" s="752"/>
      <c r="M7" s="752"/>
      <c r="N7" s="752"/>
      <c r="O7" s="753"/>
    </row>
    <row r="8" spans="2:15">
      <c r="B8" s="681"/>
      <c r="H8" s="751"/>
      <c r="I8" s="752"/>
      <c r="J8" s="752"/>
      <c r="K8" s="752"/>
      <c r="L8" s="752"/>
      <c r="M8" s="752"/>
      <c r="N8" s="752"/>
      <c r="O8" s="753"/>
    </row>
    <row r="9" spans="2:15">
      <c r="B9" s="757" t="s">
        <v>67</v>
      </c>
      <c r="C9" s="757"/>
      <c r="D9" s="757"/>
      <c r="E9" s="757"/>
      <c r="H9" s="751"/>
      <c r="I9" s="752"/>
      <c r="J9" s="752"/>
      <c r="K9" s="752"/>
      <c r="L9" s="752"/>
      <c r="M9" s="752"/>
      <c r="N9" s="752"/>
      <c r="O9" s="753"/>
    </row>
    <row r="10" spans="2:15" ht="15" thickBot="1">
      <c r="B10" s="757" t="s">
        <v>68</v>
      </c>
      <c r="C10" s="757"/>
      <c r="D10" s="757"/>
      <c r="E10" s="757"/>
      <c r="H10" s="754"/>
      <c r="I10" s="755"/>
      <c r="J10" s="755"/>
      <c r="K10" s="755"/>
      <c r="L10" s="755"/>
      <c r="M10" s="755"/>
      <c r="N10" s="755"/>
      <c r="O10" s="756"/>
    </row>
    <row r="11" spans="2:15">
      <c r="B11" s="684" t="s">
        <v>69</v>
      </c>
      <c r="C11" s="745" t="s">
        <v>70</v>
      </c>
      <c r="D11" s="745"/>
      <c r="E11" s="745"/>
    </row>
    <row r="12" spans="2:15">
      <c r="B12" s="684" t="s">
        <v>71</v>
      </c>
      <c r="C12" s="745" t="s">
        <v>70</v>
      </c>
      <c r="D12" s="745"/>
      <c r="E12" s="745"/>
    </row>
    <row r="13" spans="2:15">
      <c r="B13" s="684" t="s">
        <v>72</v>
      </c>
      <c r="C13" s="745" t="s">
        <v>70</v>
      </c>
      <c r="D13" s="745"/>
      <c r="E13" s="745"/>
    </row>
    <row r="14" spans="2:15">
      <c r="B14" s="684" t="s">
        <v>73</v>
      </c>
      <c r="C14" s="745" t="s">
        <v>74</v>
      </c>
      <c r="D14" s="745"/>
      <c r="E14" s="745"/>
    </row>
    <row r="15" spans="2:15">
      <c r="B15" s="684" t="s">
        <v>75</v>
      </c>
      <c r="C15" s="745" t="s">
        <v>76</v>
      </c>
      <c r="D15" s="745"/>
      <c r="E15" s="745"/>
    </row>
    <row r="16" spans="2:15" ht="15" customHeight="1">
      <c r="B16" s="684" t="s">
        <v>77</v>
      </c>
      <c r="C16" s="745" t="s">
        <v>78</v>
      </c>
      <c r="D16" s="745"/>
      <c r="E16" s="745"/>
    </row>
    <row r="17" spans="2:5">
      <c r="B17" s="681"/>
    </row>
    <row r="18" spans="2:5">
      <c r="B18" s="746" t="s">
        <v>79</v>
      </c>
      <c r="C18" s="746"/>
      <c r="D18" s="746"/>
      <c r="E18" s="746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B2:E2"/>
    <mergeCell ref="H2:O10"/>
    <mergeCell ref="B9:E9"/>
    <mergeCell ref="B10:E10"/>
    <mergeCell ref="C11:E11"/>
    <mergeCell ref="C14:E14"/>
    <mergeCell ref="C15:E15"/>
    <mergeCell ref="C16:E16"/>
    <mergeCell ref="B18:E18"/>
    <mergeCell ref="C12:E12"/>
    <mergeCell ref="C13:E13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">
      <c r="B2" s="747" t="s">
        <v>87</v>
      </c>
      <c r="C2" s="747"/>
      <c r="D2" s="747"/>
      <c r="E2" s="747"/>
      <c r="H2" s="748" t="s">
        <v>88</v>
      </c>
      <c r="I2" s="749"/>
      <c r="J2" s="749"/>
      <c r="K2" s="749"/>
      <c r="L2" s="749"/>
      <c r="M2" s="749"/>
      <c r="N2" s="749"/>
      <c r="O2" s="750"/>
    </row>
    <row r="3" spans="2:15">
      <c r="B3" s="681"/>
      <c r="H3" s="751"/>
      <c r="I3" s="752"/>
      <c r="J3" s="752"/>
      <c r="K3" s="752"/>
      <c r="L3" s="752"/>
      <c r="M3" s="752"/>
      <c r="N3" s="752"/>
      <c r="O3" s="753"/>
    </row>
    <row r="4" spans="2:15">
      <c r="B4" s="682" t="s">
        <v>60</v>
      </c>
      <c r="C4" s="683" t="str">
        <f>'Project Plan'!E2</f>
        <v>1 Bolt Ave</v>
      </c>
      <c r="H4" s="751"/>
      <c r="I4" s="752"/>
      <c r="J4" s="752"/>
      <c r="K4" s="752"/>
      <c r="L4" s="752"/>
      <c r="M4" s="752"/>
      <c r="N4" s="752"/>
      <c r="O4" s="753"/>
    </row>
    <row r="5" spans="2:15">
      <c r="B5" s="682" t="s">
        <v>89</v>
      </c>
      <c r="C5" s="683"/>
      <c r="H5" s="751"/>
      <c r="I5" s="752"/>
      <c r="J5" s="752"/>
      <c r="K5" s="752"/>
      <c r="L5" s="752"/>
      <c r="M5" s="752"/>
      <c r="N5" s="752"/>
      <c r="O5" s="753"/>
    </row>
    <row r="6" spans="2:15">
      <c r="B6" s="682" t="s">
        <v>63</v>
      </c>
      <c r="C6" s="683" t="s">
        <v>64</v>
      </c>
      <c r="H6" s="751"/>
      <c r="I6" s="752"/>
      <c r="J6" s="752"/>
      <c r="K6" s="752"/>
      <c r="L6" s="752"/>
      <c r="M6" s="752"/>
      <c r="N6" s="752"/>
      <c r="O6" s="753"/>
    </row>
    <row r="7" spans="2:15">
      <c r="B7" s="682" t="s">
        <v>90</v>
      </c>
      <c r="C7" s="683" t="s">
        <v>91</v>
      </c>
      <c r="H7" s="751"/>
      <c r="I7" s="752"/>
      <c r="J7" s="752"/>
      <c r="K7" s="752"/>
      <c r="L7" s="752"/>
      <c r="M7" s="752"/>
      <c r="N7" s="752"/>
      <c r="O7" s="753"/>
    </row>
    <row r="8" spans="2:15">
      <c r="B8" s="682" t="s">
        <v>92</v>
      </c>
      <c r="C8" s="683"/>
      <c r="H8" s="751"/>
      <c r="I8" s="752"/>
      <c r="J8" s="752"/>
      <c r="K8" s="752"/>
      <c r="L8" s="752"/>
      <c r="M8" s="752"/>
      <c r="N8" s="752"/>
      <c r="O8" s="753"/>
    </row>
    <row r="9" spans="2:15">
      <c r="B9" s="681"/>
      <c r="H9" s="751"/>
      <c r="I9" s="752"/>
      <c r="J9" s="752"/>
      <c r="K9" s="752"/>
      <c r="L9" s="752"/>
      <c r="M9" s="752"/>
      <c r="N9" s="752"/>
      <c r="O9" s="753"/>
    </row>
    <row r="10" spans="2:15">
      <c r="B10" s="757" t="s">
        <v>67</v>
      </c>
      <c r="C10" s="757"/>
      <c r="D10" s="757"/>
      <c r="E10" s="757"/>
      <c r="H10" s="751"/>
      <c r="I10" s="752"/>
      <c r="J10" s="752"/>
      <c r="K10" s="752"/>
      <c r="L10" s="752"/>
      <c r="M10" s="752"/>
      <c r="N10" s="752"/>
      <c r="O10" s="753"/>
    </row>
    <row r="11" spans="2:15" ht="15" thickBot="1">
      <c r="B11" s="757" t="s">
        <v>68</v>
      </c>
      <c r="C11" s="757"/>
      <c r="D11" s="757"/>
      <c r="E11" s="757"/>
      <c r="H11" s="754"/>
      <c r="I11" s="755"/>
      <c r="J11" s="755"/>
      <c r="K11" s="755"/>
      <c r="L11" s="755"/>
      <c r="M11" s="755"/>
      <c r="N11" s="755"/>
      <c r="O11" s="756"/>
    </row>
    <row r="12" spans="2:15" ht="26.45">
      <c r="B12" s="684" t="s">
        <v>93</v>
      </c>
      <c r="C12" s="745"/>
      <c r="D12" s="745"/>
      <c r="E12" s="745"/>
    </row>
    <row r="13" spans="2:15">
      <c r="B13" s="684" t="s">
        <v>94</v>
      </c>
      <c r="C13" s="745"/>
      <c r="D13" s="745"/>
      <c r="E13" s="745"/>
    </row>
    <row r="14" spans="2:15">
      <c r="B14" s="684" t="s">
        <v>95</v>
      </c>
      <c r="C14" s="745"/>
      <c r="D14" s="745"/>
      <c r="E14" s="745"/>
    </row>
    <row r="15" spans="2:15">
      <c r="B15" s="684" t="s">
        <v>96</v>
      </c>
      <c r="C15" s="745"/>
      <c r="D15" s="745"/>
      <c r="E15" s="745"/>
    </row>
    <row r="16" spans="2:15" ht="26.45">
      <c r="B16" s="684" t="s">
        <v>97</v>
      </c>
      <c r="C16" s="745"/>
      <c r="D16" s="745"/>
      <c r="E16" s="745"/>
    </row>
    <row r="17" spans="2:5">
      <c r="B17" s="684" t="s">
        <v>98</v>
      </c>
      <c r="C17" s="745"/>
      <c r="D17" s="745"/>
      <c r="E17" s="745"/>
    </row>
    <row r="18" spans="2:5">
      <c r="B18" s="684" t="s">
        <v>99</v>
      </c>
      <c r="C18" s="745"/>
      <c r="D18" s="745"/>
      <c r="E18" s="745"/>
    </row>
    <row r="19" spans="2:5">
      <c r="B19" s="684" t="s">
        <v>100</v>
      </c>
      <c r="C19" s="745"/>
      <c r="D19" s="745"/>
      <c r="E19" s="745"/>
    </row>
    <row r="20" spans="2:5">
      <c r="B20" s="684" t="s">
        <v>101</v>
      </c>
      <c r="C20" s="745"/>
      <c r="D20" s="745"/>
      <c r="E20" s="745"/>
    </row>
    <row r="21" spans="2:5">
      <c r="B21" s="684" t="s">
        <v>102</v>
      </c>
      <c r="C21" s="745"/>
      <c r="D21" s="745"/>
      <c r="E21" s="745"/>
    </row>
    <row r="22" spans="2:5" ht="15" customHeight="1">
      <c r="B22" s="684" t="s">
        <v>77</v>
      </c>
      <c r="C22" s="745"/>
      <c r="D22" s="745"/>
      <c r="E22" s="745"/>
    </row>
    <row r="23" spans="2:5">
      <c r="B23" s="681"/>
    </row>
    <row r="24" spans="2:5">
      <c r="B24" s="746" t="s">
        <v>79</v>
      </c>
      <c r="C24" s="746"/>
      <c r="D24" s="746"/>
      <c r="E24" s="746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.28515625" customWidth="1"/>
    <col min="10" max="10" width="34" customWidth="1"/>
  </cols>
  <sheetData>
    <row r="1" spans="2:14">
      <c r="B1" s="758"/>
      <c r="C1" s="759"/>
      <c r="D1" s="759"/>
      <c r="E1" s="760" t="s">
        <v>103</v>
      </c>
      <c r="F1" s="760"/>
      <c r="G1" s="760"/>
      <c r="H1" s="760"/>
      <c r="I1" s="760"/>
      <c r="J1" s="76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9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9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pane="bottomLeft" activeCell="D18" sqref="D18"/>
      <selection activeCell="D18" sqref="D18"/>
    </sheetView>
  </sheetViews>
  <sheetFormatPr defaultColWidth="8.42578125" defaultRowHeight="13.9"/>
  <cols>
    <col min="1" max="1" width="1.42578125" style="24" customWidth="1"/>
    <col min="2" max="2" width="30.5703125" style="24" bestFit="1" customWidth="1"/>
    <col min="3" max="3" width="19.5703125" style="24" customWidth="1"/>
    <col min="4" max="4" width="33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P17" sqref="P17"/>
    </sheetView>
  </sheetViews>
  <sheetFormatPr defaultColWidth="8.42578125" defaultRowHeight="14.45"/>
  <cols>
    <col min="1" max="1" width="5" style="93" customWidth="1"/>
    <col min="2" max="2" width="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.42578125" style="129" bestFit="1" customWidth="1"/>
    <col min="8" max="8" width="19.28515625" style="129" bestFit="1" customWidth="1"/>
    <col min="9" max="9" width="2" style="129" customWidth="1"/>
    <col min="10" max="10" width="3.28515625" style="93" customWidth="1"/>
    <col min="11" max="11" width="2" style="175" customWidth="1"/>
    <col min="12" max="12" width="29.42578125" style="93" customWidth="1"/>
    <col min="13" max="13" width="2" style="129" customWidth="1"/>
    <col min="14" max="14" width="29.42578125" style="129" customWidth="1"/>
    <col min="15" max="15" width="2" style="129" customWidth="1"/>
    <col min="16" max="16" width="17" style="129" customWidth="1"/>
    <col min="17" max="17" width="2" style="129" customWidth="1"/>
    <col min="18" max="18" width="71.28515625" style="129" customWidth="1"/>
    <col min="19" max="19" width="35.7109375" style="129" customWidth="1"/>
    <col min="20" max="20" width="4.42578125" style="129" customWidth="1"/>
    <col min="21" max="21" width="21" style="93" bestFit="1" customWidth="1"/>
    <col min="22" max="22" width="17" style="93" bestFit="1" customWidth="1"/>
    <col min="23" max="23" width="20.42578125" style="93" bestFit="1" customWidth="1"/>
    <col min="24" max="24" width="16.28515625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" style="129" bestFit="1" customWidth="1"/>
    <col min="29" max="39" width="8.42578125" style="129"/>
    <col min="40" max="40" width="9.42578125" style="129" bestFit="1" customWidth="1"/>
    <col min="41" max="16384" width="8.425781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15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15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3283810.5496485545</v>
      </c>
      <c r="V4" s="701">
        <f>SUMIFS('Expenditure Breakdown'!$Q:$Q,
        'Expenditure Breakdown'!$T:$T, "&gt;"&amp;DATE(2025,8,31),
        'Expenditure Breakdown'!$T:$T, "&lt;="&amp;DATE(2026,8,31))</f>
        <v>2217962.1718750005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3192804.2084169714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2169914.5400000005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2217962.171875</v>
      </c>
      <c r="G5" s="737" t="s">
        <v>177</v>
      </c>
      <c r="H5" s="737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1159442.578125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0.34329393837827699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15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45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15">
      <c r="B13" s="351">
        <v>1</v>
      </c>
      <c r="C13" s="764" t="s">
        <v>193</v>
      </c>
      <c r="D13" s="765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15">
      <c r="B14" s="154">
        <v>2</v>
      </c>
      <c r="C14" s="764" t="s">
        <v>195</v>
      </c>
      <c r="D14" s="765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15">
      <c r="B15" s="351">
        <v>3</v>
      </c>
      <c r="C15" s="764" t="s">
        <v>197</v>
      </c>
      <c r="D15" s="765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15">
      <c r="B16" s="351">
        <v>4</v>
      </c>
      <c r="C16" s="762" t="s">
        <v>198</v>
      </c>
      <c r="D16" s="763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15">
      <c r="B17" s="351">
        <v>5</v>
      </c>
      <c r="C17" s="762" t="s">
        <v>54</v>
      </c>
      <c r="D17" s="763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/>
      <c r="N17" s="138"/>
      <c r="P17" s="733">
        <f>'Project Plan'!K51+7</f>
        <v>46071</v>
      </c>
      <c r="R17" s="378" t="s">
        <v>201</v>
      </c>
      <c r="S17" s="730" t="b">
        <v>1</v>
      </c>
      <c r="T17" s="141"/>
    </row>
    <row r="18" spans="2:20" s="354" customFormat="1" ht="13.15">
      <c r="B18" s="154">
        <v>6</v>
      </c>
      <c r="C18" s="762" t="s">
        <v>202</v>
      </c>
      <c r="D18" s="763"/>
      <c r="E18" s="135">
        <v>0</v>
      </c>
      <c r="F18" s="136">
        <v>93594.2</v>
      </c>
      <c r="H18" s="138">
        <f>H16</f>
        <v>45986</v>
      </c>
      <c r="J18" s="734"/>
      <c r="L18" s="368" t="s">
        <v>203</v>
      </c>
      <c r="M18" s="137"/>
      <c r="N18" s="138">
        <v>46015</v>
      </c>
      <c r="O18" s="137"/>
      <c r="P18" s="731" t="str">
        <f>P16</f>
        <v>16/01/2026</v>
      </c>
      <c r="Q18" s="137"/>
      <c r="R18" s="735"/>
      <c r="S18" s="736" t="b">
        <v>1</v>
      </c>
      <c r="T18" s="734"/>
    </row>
    <row r="19" spans="2:20" s="93" customFormat="1" ht="13.15">
      <c r="B19" s="351">
        <v>7</v>
      </c>
      <c r="C19" s="764" t="s">
        <v>204</v>
      </c>
      <c r="D19" s="765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15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3.15">
      <c r="C24" s="147" t="s">
        <v>207</v>
      </c>
      <c r="D24" s="148"/>
      <c r="F24" s="149"/>
    </row>
    <row r="25" spans="2:20" s="93" customFormat="1" ht="13.15">
      <c r="C25" s="147" t="s">
        <v>208</v>
      </c>
      <c r="D25" s="148"/>
    </row>
    <row r="26" spans="2:20" s="93" customFormat="1" ht="13.15">
      <c r="C26" s="150" t="s">
        <v>209</v>
      </c>
      <c r="D26" s="151"/>
      <c r="L26" s="673"/>
    </row>
    <row r="27" spans="2:20" s="93" customFormat="1" ht="13.15">
      <c r="C27" s="152" t="s">
        <v>210</v>
      </c>
      <c r="D27" s="148"/>
      <c r="L27" s="673"/>
    </row>
    <row r="28" spans="2:20" s="93" customFormat="1" ht="13.15">
      <c r="B28" s="117"/>
      <c r="C28" s="152" t="s">
        <v>211</v>
      </c>
      <c r="D28" s="148"/>
    </row>
    <row r="29" spans="2:20" s="93" customFormat="1" ht="13.15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3.15">
      <c r="B31" s="117"/>
      <c r="F31" s="146"/>
      <c r="N31" s="673"/>
    </row>
    <row r="32" spans="2:20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" bestFit="1" customWidth="1"/>
    <col min="5" max="5" width="10.28515625" customWidth="1"/>
    <col min="6" max="6" width="34" customWidth="1"/>
  </cols>
  <sheetData>
    <row r="1" spans="2:10" ht="15" thickBot="1"/>
    <row r="2" spans="2:10" ht="15.6" thickTop="1" thickBot="1">
      <c r="B2" s="766" t="s">
        <v>217</v>
      </c>
      <c r="C2" s="767"/>
      <c r="D2" s="767"/>
      <c r="E2" s="767"/>
      <c r="F2" s="768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6" t="s">
        <v>227</v>
      </c>
      <c r="C16" s="767"/>
      <c r="D16" s="767"/>
      <c r="E16" s="767"/>
      <c r="F16" s="768"/>
    </row>
    <row r="17" spans="2:6" ht="1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B28" zoomScale="90" zoomScaleNormal="90" workbookViewId="0">
      <selection activeCell="I51" sqref="I51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2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7.42578125" style="112" bestFit="1" customWidth="1"/>
    <col min="13" max="14" width="17.28515625" style="112" customWidth="1"/>
    <col min="15" max="15" width="39.42578125" style="112" bestFit="1" customWidth="1"/>
    <col min="16" max="16" width="1.42578125" style="112" customWidth="1"/>
    <col min="17" max="17" width="5" style="3" customWidth="1"/>
    <col min="18" max="18" width="8.42578125" style="112"/>
    <col min="19" max="19" width="18" style="112" bestFit="1" customWidth="1"/>
    <col min="20" max="22" width="12" style="112" customWidth="1"/>
    <col min="23" max="23" width="8.42578125" style="112"/>
    <col min="24" max="25" width="11" style="112" bestFit="1" customWidth="1"/>
    <col min="26" max="16384" width="8.425781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46056</v>
      </c>
      <c r="O1" s="403">
        <f ca="1">TODAY()</f>
        <v>46056</v>
      </c>
      <c r="Q1" s="3"/>
    </row>
    <row r="2" spans="2:28" ht="15" customHeight="1" thickBot="1">
      <c r="B2" s="176"/>
      <c r="C2" s="177" t="s">
        <v>0</v>
      </c>
      <c r="D2" s="178"/>
      <c r="E2" s="776" t="s">
        <v>234</v>
      </c>
      <c r="F2" s="777"/>
      <c r="G2" s="777"/>
      <c r="H2" s="777"/>
      <c r="I2" s="769" t="s">
        <v>235</v>
      </c>
      <c r="J2" s="770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45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769" t="s">
        <v>237</v>
      </c>
      <c r="J3" s="770"/>
      <c r="K3" s="679">
        <f>K2/5</f>
        <v>14.2</v>
      </c>
      <c r="Q3" s="3"/>
    </row>
    <row r="4" spans="2:28" s="112" customFormat="1" ht="14.45" thickBot="1">
      <c r="B4" s="179"/>
      <c r="C4" s="180" t="s">
        <v>238</v>
      </c>
      <c r="D4" s="178"/>
      <c r="E4" s="778" t="s">
        <v>91</v>
      </c>
      <c r="F4" s="779"/>
      <c r="G4" s="779"/>
      <c r="H4" s="779"/>
      <c r="I4" s="769" t="s">
        <v>239</v>
      </c>
      <c r="J4" s="770"/>
      <c r="K4" s="680">
        <f>E3/K3</f>
        <v>25.774647887323944</v>
      </c>
      <c r="Q4" s="3"/>
    </row>
    <row r="5" spans="2:28" s="112" customFormat="1">
      <c r="B5" s="179"/>
      <c r="C5" s="180" t="s">
        <v>240</v>
      </c>
      <c r="D5" s="178"/>
      <c r="E5" s="778" t="s">
        <v>91</v>
      </c>
      <c r="F5" s="779"/>
      <c r="G5" s="779"/>
      <c r="H5" s="780"/>
      <c r="J5" s="113"/>
      <c r="Q5" s="3"/>
    </row>
    <row r="6" spans="2:28" ht="22.5" customHeight="1" thickBot="1">
      <c r="B6" s="183"/>
      <c r="C6" s="184" t="s">
        <v>241</v>
      </c>
      <c r="D6" s="178"/>
      <c r="E6" s="781">
        <v>3283810.55</v>
      </c>
      <c r="F6" s="782"/>
      <c r="G6" s="782"/>
      <c r="H6" s="783"/>
    </row>
    <row r="7" spans="2:28" s="112" customFormat="1" ht="14.45" thickBot="1">
      <c r="B7" s="167"/>
      <c r="C7" s="727" t="s">
        <v>242</v>
      </c>
      <c r="D7" s="728"/>
      <c r="E7" s="740" t="s">
        <v>54</v>
      </c>
      <c r="F7" s="739"/>
      <c r="G7" s="185"/>
      <c r="J7" s="113"/>
      <c r="Q7" s="3"/>
    </row>
    <row r="8" spans="2:28" ht="30" customHeight="1">
      <c r="B8" s="773" t="s">
        <v>183</v>
      </c>
      <c r="C8" s="774" t="s">
        <v>243</v>
      </c>
      <c r="D8" s="214"/>
      <c r="E8" s="775" t="s">
        <v>244</v>
      </c>
      <c r="F8" s="236" t="s">
        <v>245</v>
      </c>
      <c r="G8" s="775" t="s">
        <v>246</v>
      </c>
      <c r="H8" s="237"/>
      <c r="I8" s="775" t="s">
        <v>247</v>
      </c>
      <c r="J8" s="236" t="s">
        <v>245</v>
      </c>
      <c r="K8" s="775" t="s">
        <v>248</v>
      </c>
      <c r="M8" s="703" t="s">
        <v>109</v>
      </c>
      <c r="N8" s="703" t="s">
        <v>109</v>
      </c>
      <c r="O8" s="771" t="s">
        <v>249</v>
      </c>
      <c r="Z8" s="112"/>
      <c r="AA8" s="112"/>
      <c r="AB8" s="112"/>
    </row>
    <row r="9" spans="2:28">
      <c r="B9" s="773"/>
      <c r="C9" s="774"/>
      <c r="D9" s="214"/>
      <c r="E9" s="775"/>
      <c r="F9" s="126">
        <f>G41-E19</f>
        <v>35</v>
      </c>
      <c r="G9" s="775"/>
      <c r="H9" s="237"/>
      <c r="I9" s="775"/>
      <c r="J9" s="127">
        <f>K41-I19</f>
        <v>101</v>
      </c>
      <c r="K9" s="775"/>
      <c r="M9" s="361">
        <f>AVERAGE(M11,M18,M21,M28,M35,M39,M46,M43)</f>
        <v>0.95997536945812811</v>
      </c>
      <c r="N9" s="361">
        <f ca="1">AVERAGE(N11,N18,N21,N28,N35,N39,N46,N43)</f>
        <v>0.95401409217007238</v>
      </c>
      <c r="O9" s="772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250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251</v>
      </c>
      <c r="C12" s="248" t="s">
        <v>252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253</v>
      </c>
      <c r="T12" s="666" t="s">
        <v>175</v>
      </c>
      <c r="U12" s="666" t="s">
        <v>254</v>
      </c>
      <c r="V12" s="666" t="s">
        <v>255</v>
      </c>
      <c r="X12" s="669">
        <f ca="1">TODAY()</f>
        <v>46056</v>
      </c>
      <c r="Y12" s="669">
        <f ca="1">TODAY()</f>
        <v>46056</v>
      </c>
    </row>
    <row r="13" spans="2:28" s="112" customFormat="1">
      <c r="B13" s="247" t="s">
        <v>256</v>
      </c>
      <c r="C13" s="248" t="s">
        <v>257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258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259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260</v>
      </c>
      <c r="C15" s="248" t="s">
        <v>261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262</v>
      </c>
      <c r="C16" s="248" t="s">
        <v>263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264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265</v>
      </c>
      <c r="C19" s="248" t="s">
        <v>266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22</v>
      </c>
      <c r="V20" s="667">
        <f>K46</f>
        <v>46066</v>
      </c>
    </row>
    <row r="21" spans="2:28" s="114" customFormat="1">
      <c r="B21" s="243">
        <v>3</v>
      </c>
      <c r="C21" s="244" t="s">
        <v>267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268</v>
      </c>
      <c r="C22" s="248" t="s">
        <v>269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270</v>
      </c>
      <c r="C23" s="248" t="s">
        <v>271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272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273</v>
      </c>
      <c r="C24" s="248" t="s">
        <v>274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275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276</v>
      </c>
      <c r="C26" s="248" t="s">
        <v>277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278</v>
      </c>
      <c r="C30" s="248" t="s">
        <v>279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280</v>
      </c>
      <c r="C31" s="248" t="s">
        <v>281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282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283</v>
      </c>
      <c r="C32" s="248" t="s">
        <v>284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7" t="s">
        <v>285</v>
      </c>
      <c r="C33" s="242" t="s">
        <v>286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287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288</v>
      </c>
      <c r="C36" s="248" t="s">
        <v>289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290</v>
      </c>
      <c r="C37" s="248" t="s">
        <v>291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292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293</v>
      </c>
      <c r="C40" s="242" t="s">
        <v>292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294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8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295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296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297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22</v>
      </c>
      <c r="K46" s="245">
        <f>MAX(K47:K52)</f>
        <v>46066</v>
      </c>
      <c r="L46" s="114"/>
      <c r="M46" s="360">
        <f>(J47*M47+J48*M48+J49*M49+J50*M50+J51*M51+J52*M52)/SUM(J47:J52)</f>
        <v>0.7142857142857143</v>
      </c>
      <c r="N46" s="360">
        <f ca="1">(K47*N47+K48*N48+K49*N49+K50*N50+K51*N51+K52*N52)/SUM(K47:K52)</f>
        <v>0.66659549598126888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298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299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300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301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302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46063</v>
      </c>
      <c r="J51" s="250">
        <v>1</v>
      </c>
      <c r="K51" s="252">
        <f>WORKDAY.INTL(I51,J51,1,Data!$C$3:$C$14)</f>
        <v>46064</v>
      </c>
      <c r="M51" s="253">
        <v>0</v>
      </c>
      <c r="N51" s="253">
        <f t="shared" ca="1" si="5"/>
        <v>0</v>
      </c>
      <c r="O51" s="122"/>
      <c r="Y51" s="24"/>
    </row>
    <row r="52" spans="2:28">
      <c r="B52" s="247">
        <v>8.6</v>
      </c>
      <c r="C52" s="242" t="s">
        <v>303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46063</v>
      </c>
      <c r="J52" s="250">
        <v>3</v>
      </c>
      <c r="K52" s="252">
        <f>WORKDAY.INTL(I52,J52,1,Data!$C$3:$C$14)</f>
        <v>46066</v>
      </c>
      <c r="M52" s="253">
        <v>0</v>
      </c>
      <c r="N52" s="253">
        <f t="shared" ca="1" si="5"/>
        <v>0</v>
      </c>
      <c r="O52" s="122" t="s">
        <v>304</v>
      </c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305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84"/>
      <c r="C4" s="784"/>
      <c r="D4" s="784"/>
      <c r="E4" s="411"/>
      <c r="F4" s="219" t="s">
        <v>166</v>
      </c>
      <c r="G4" s="214"/>
      <c r="H4" s="219" t="s">
        <v>167</v>
      </c>
      <c r="I4" s="214"/>
      <c r="J4" s="220" t="s">
        <v>306</v>
      </c>
      <c r="K4" s="112"/>
      <c r="L4" s="112"/>
    </row>
    <row r="5" spans="1:12" ht="14.45" thickBot="1">
      <c r="A5" s="214"/>
      <c r="B5" s="785" t="s">
        <v>307</v>
      </c>
      <c r="C5" s="785"/>
      <c r="D5" s="785"/>
      <c r="E5" s="411"/>
      <c r="F5" s="221">
        <f>SUM(F9:F23)</f>
        <v>2763016.5280978265</v>
      </c>
      <c r="G5" s="216"/>
      <c r="H5" s="221">
        <f>SUM(H9:H23)</f>
        <v>2217962.171875</v>
      </c>
      <c r="I5" s="214"/>
      <c r="J5" s="222">
        <f>SUM(J9:J23)</f>
        <v>545054.35622282617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183</v>
      </c>
      <c r="C7" s="225"/>
      <c r="D7" s="224" t="s">
        <v>142</v>
      </c>
      <c r="E7" s="225"/>
      <c r="F7" s="226" t="s">
        <v>308</v>
      </c>
      <c r="G7" s="227"/>
      <c r="H7" s="226" t="s">
        <v>309</v>
      </c>
      <c r="I7" s="227"/>
      <c r="J7" s="226" t="s">
        <v>310</v>
      </c>
      <c r="K7" s="172"/>
      <c r="L7" s="115" t="s">
        <v>311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1159.68</v>
      </c>
      <c r="I22" s="89"/>
      <c r="J22" s="231">
        <f t="shared" si="0"/>
        <v>5140.32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M1" zoomScale="70" zoomScaleNormal="70" workbookViewId="0">
      <pane ySplit="4" topLeftCell="N136" activePane="bottomLeft" state="frozen"/>
      <selection pane="bottomLeft" activeCell="S142" sqref="S142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1" hidden="1" customWidth="1"/>
    <col min="7" max="7" width="17.42578125" style="24" hidden="1" customWidth="1"/>
    <col min="8" max="8" width="17.42578125" style="112" hidden="1" customWidth="1"/>
    <col min="9" max="9" width="22.42578125" style="349" hidden="1" customWidth="1"/>
    <col min="10" max="10" width="22.42578125" style="349" customWidth="1"/>
    <col min="11" max="12" width="5" style="112" customWidth="1"/>
    <col min="13" max="13" width="25.5703125" style="112" customWidth="1"/>
    <col min="14" max="14" width="52.5703125" style="112" customWidth="1"/>
    <col min="15" max="15" width="15.5703125" style="112" customWidth="1"/>
    <col min="16" max="16" width="13.42578125" style="112" bestFit="1" customWidth="1"/>
    <col min="17" max="17" width="17.42578125" style="112" customWidth="1"/>
    <col min="18" max="18" width="38.5703125" style="112" bestFit="1" customWidth="1"/>
    <col min="19" max="19" width="41.5703125" style="112" bestFit="1" customWidth="1"/>
    <col min="20" max="21" width="17.42578125" style="553" customWidth="1"/>
    <col min="22" max="22" width="17.42578125" style="112" customWidth="1"/>
    <col min="23" max="23" width="17.42578125" style="553" customWidth="1"/>
    <col min="24" max="24" width="21" style="112" customWidth="1"/>
    <col min="25" max="25" width="29.42578125" style="112" bestFit="1" customWidth="1"/>
    <col min="26" max="26" width="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792" t="s">
        <v>313</v>
      </c>
      <c r="C2" s="793"/>
      <c r="D2" s="793"/>
      <c r="E2" s="793"/>
      <c r="F2" s="793"/>
      <c r="G2" s="793"/>
      <c r="H2" s="500"/>
      <c r="I2" s="257">
        <f>SUM(I6:I163)</f>
        <v>2763016.5280978265</v>
      </c>
      <c r="J2" s="257">
        <f>SUM(J6:J163)</f>
        <v>3283810.5522112595</v>
      </c>
      <c r="L2" s="794" t="s">
        <v>314</v>
      </c>
      <c r="M2" s="795"/>
      <c r="N2" s="795"/>
      <c r="O2" s="795"/>
      <c r="P2" s="795"/>
      <c r="Q2" s="795"/>
      <c r="R2" s="796" t="s">
        <v>315</v>
      </c>
      <c r="S2" s="797"/>
      <c r="T2" s="797"/>
      <c r="U2" s="797"/>
      <c r="V2" s="797"/>
      <c r="W2" s="798"/>
      <c r="X2" s="475">
        <f>SUM(X6:X163)</f>
        <v>2217962.171875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316</v>
      </c>
      <c r="C4" s="259" t="s">
        <v>317</v>
      </c>
      <c r="D4" s="259" t="s">
        <v>318</v>
      </c>
      <c r="E4" s="259" t="s">
        <v>319</v>
      </c>
      <c r="F4" s="462" t="s">
        <v>320</v>
      </c>
      <c r="G4" s="260" t="s">
        <v>321</v>
      </c>
      <c r="H4" s="371" t="s">
        <v>322</v>
      </c>
      <c r="I4" s="261" t="s">
        <v>323</v>
      </c>
      <c r="J4" s="261" t="str">
        <f>IF(J2-'Revenue Tracking'!D4&gt;=0, "Total Revenue", "ERROR on REV" )</f>
        <v>Total Revenue</v>
      </c>
      <c r="K4" s="165"/>
      <c r="L4" s="258" t="s">
        <v>316</v>
      </c>
      <c r="M4" s="259" t="s">
        <v>324</v>
      </c>
      <c r="N4" s="259" t="s">
        <v>318</v>
      </c>
      <c r="O4" s="259" t="s">
        <v>319</v>
      </c>
      <c r="P4" s="462" t="s">
        <v>320</v>
      </c>
      <c r="Q4" s="372" t="s">
        <v>325</v>
      </c>
      <c r="R4" s="624" t="s">
        <v>326</v>
      </c>
      <c r="S4" s="625" t="s">
        <v>188</v>
      </c>
      <c r="T4" s="649" t="s">
        <v>189</v>
      </c>
      <c r="U4" s="650" t="s">
        <v>327</v>
      </c>
      <c r="V4" s="372" t="s">
        <v>328</v>
      </c>
      <c r="W4" s="649" t="s">
        <v>329</v>
      </c>
      <c r="X4" s="477" t="s">
        <v>323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330</v>
      </c>
      <c r="D6" s="281" t="s">
        <v>331</v>
      </c>
      <c r="E6" s="282"/>
      <c r="F6" s="435"/>
      <c r="G6" s="390">
        <f>D164</f>
        <v>838063.00000000012</v>
      </c>
      <c r="H6" s="532">
        <f>'Project Plan'!E36+60</f>
        <v>46004</v>
      </c>
      <c r="I6" s="786">
        <f>SUM(G6:G11)</f>
        <v>838063.00000000012</v>
      </c>
      <c r="J6" s="786">
        <f>F164</f>
        <v>1022028.048780488</v>
      </c>
      <c r="K6" s="387"/>
      <c r="L6" s="280">
        <v>1</v>
      </c>
      <c r="M6" s="415" t="s">
        <v>332</v>
      </c>
      <c r="N6" s="281" t="s">
        <v>333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334</v>
      </c>
      <c r="T6" s="671">
        <v>45961</v>
      </c>
      <c r="U6" s="692">
        <v>982465.71707089047</v>
      </c>
      <c r="V6" s="808">
        <f>J6-SUM(U6:U11)</f>
        <v>0</v>
      </c>
      <c r="W6" s="722">
        <v>46009</v>
      </c>
      <c r="X6" s="799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335</v>
      </c>
      <c r="E7" s="389"/>
      <c r="F7" s="456"/>
      <c r="G7" s="314"/>
      <c r="H7" s="533"/>
      <c r="I7" s="787"/>
      <c r="J7" s="787"/>
      <c r="K7" s="287"/>
      <c r="L7" s="310">
        <v>1</v>
      </c>
      <c r="M7" s="312" t="s">
        <v>332</v>
      </c>
      <c r="N7" s="388" t="s">
        <v>336</v>
      </c>
      <c r="O7" s="555"/>
      <c r="P7" s="442"/>
      <c r="Q7" s="314">
        <v>14365.74</v>
      </c>
      <c r="R7" s="591"/>
      <c r="S7" s="628" t="s">
        <v>334</v>
      </c>
      <c r="T7" s="671">
        <v>45961</v>
      </c>
      <c r="U7" s="692">
        <v>20844.553316133472</v>
      </c>
      <c r="V7" s="809"/>
      <c r="W7" s="690">
        <f>W6</f>
        <v>46009</v>
      </c>
      <c r="X7" s="800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87"/>
      <c r="J8" s="787"/>
      <c r="K8" s="287"/>
      <c r="L8" s="310">
        <v>1</v>
      </c>
      <c r="M8" s="312" t="s">
        <v>332</v>
      </c>
      <c r="N8" s="483" t="s">
        <v>337</v>
      </c>
      <c r="O8" s="556"/>
      <c r="P8" s="442"/>
      <c r="Q8" s="314">
        <v>12900</v>
      </c>
      <c r="R8" s="591"/>
      <c r="S8" s="628" t="s">
        <v>334</v>
      </c>
      <c r="T8" s="671">
        <v>45961</v>
      </c>
      <c r="U8" s="692">
        <v>18717.778393464021</v>
      </c>
      <c r="V8" s="809"/>
      <c r="W8" s="690">
        <f>W6</f>
        <v>46009</v>
      </c>
      <c r="X8" s="800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87"/>
      <c r="J9" s="787"/>
      <c r="K9" s="287"/>
      <c r="L9" s="310">
        <v>1</v>
      </c>
      <c r="M9" s="312" t="s">
        <v>332</v>
      </c>
      <c r="N9" s="483" t="s">
        <v>338</v>
      </c>
      <c r="O9" s="556">
        <v>2</v>
      </c>
      <c r="P9" s="442">
        <v>1128.5</v>
      </c>
      <c r="Q9" s="385">
        <f>O9*P9</f>
        <v>2257</v>
      </c>
      <c r="R9" s="592"/>
      <c r="S9" s="629" t="s">
        <v>339</v>
      </c>
      <c r="T9" s="719">
        <v>46022</v>
      </c>
      <c r="U9" s="692">
        <v>0</v>
      </c>
      <c r="V9" s="809"/>
      <c r="W9" s="726">
        <v>46022</v>
      </c>
      <c r="X9" s="800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87"/>
      <c r="J10" s="787"/>
      <c r="K10" s="287"/>
      <c r="L10" s="310">
        <v>1</v>
      </c>
      <c r="M10" s="312" t="s">
        <v>332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809"/>
      <c r="W10" s="576"/>
      <c r="X10" s="800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88"/>
      <c r="J11" s="788"/>
      <c r="K11" s="288"/>
      <c r="L11" s="315">
        <v>1</v>
      </c>
      <c r="M11" s="417" t="s">
        <v>332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810"/>
      <c r="W11" s="577"/>
      <c r="X11" s="801"/>
      <c r="Y11" s="608" t="s">
        <v>340</v>
      </c>
      <c r="Z11" s="609" t="s">
        <v>341</v>
      </c>
    </row>
    <row r="12" spans="1:76" ht="14.4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342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343</v>
      </c>
      <c r="E13" s="364"/>
      <c r="F13" s="454"/>
      <c r="G13" s="295">
        <f>D165</f>
        <v>210000</v>
      </c>
      <c r="H13" s="537">
        <f>'Project Plan'!E22+60</f>
        <v>46004</v>
      </c>
      <c r="I13" s="802">
        <f>SUM(G13:G19)</f>
        <v>210000</v>
      </c>
      <c r="J13" s="802">
        <f>F165</f>
        <v>256097.56097560975</v>
      </c>
      <c r="K13" s="296"/>
      <c r="L13" s="292">
        <v>2</v>
      </c>
      <c r="M13" s="418" t="s">
        <v>344</v>
      </c>
      <c r="N13" s="318" t="s">
        <v>345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334</v>
      </c>
      <c r="T13" s="696">
        <v>45961</v>
      </c>
      <c r="U13" s="694">
        <v>256097.56097560975</v>
      </c>
      <c r="V13" s="811">
        <f>J13-SUM(U13:U19)</f>
        <v>0</v>
      </c>
      <c r="W13" s="723">
        <f>W6</f>
        <v>46009</v>
      </c>
      <c r="X13" s="805">
        <f>SUM(Q13:Q19)</f>
        <v>195738</v>
      </c>
      <c r="Y13" s="610" t="s">
        <v>346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803"/>
      <c r="J14" s="803"/>
      <c r="K14" s="300"/>
      <c r="L14" s="297">
        <v>2</v>
      </c>
      <c r="M14" s="424" t="s">
        <v>344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12"/>
      <c r="W14" s="654"/>
      <c r="X14" s="806"/>
      <c r="Y14" s="610" t="s">
        <v>347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803"/>
      <c r="J15" s="803"/>
      <c r="K15" s="300"/>
      <c r="L15" s="297">
        <v>2</v>
      </c>
      <c r="M15" s="424" t="s">
        <v>344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12"/>
      <c r="W15" s="580"/>
      <c r="X15" s="806"/>
      <c r="Y15" s="610" t="s">
        <v>348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803"/>
      <c r="J16" s="803"/>
      <c r="K16" s="300"/>
      <c r="L16" s="297">
        <v>2</v>
      </c>
      <c r="M16" s="424" t="s">
        <v>344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12"/>
      <c r="W16" s="580"/>
      <c r="X16" s="806"/>
      <c r="Y16" s="610" t="s">
        <v>349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803"/>
      <c r="J17" s="803"/>
      <c r="K17" s="300"/>
      <c r="L17" s="297">
        <v>2</v>
      </c>
      <c r="M17" s="424" t="s">
        <v>344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12"/>
      <c r="W17" s="580"/>
      <c r="X17" s="806"/>
      <c r="Y17" s="610" t="s">
        <v>350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803"/>
      <c r="J18" s="803"/>
      <c r="K18" s="300"/>
      <c r="L18" s="297">
        <v>2</v>
      </c>
      <c r="M18" s="424" t="s">
        <v>344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12"/>
      <c r="W18" s="580"/>
      <c r="X18" s="806"/>
      <c r="Y18" s="610" t="s">
        <v>351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804"/>
      <c r="J19" s="804"/>
      <c r="K19" s="305"/>
      <c r="L19" s="394">
        <v>2</v>
      </c>
      <c r="M19" s="419" t="s">
        <v>344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13"/>
      <c r="W19" s="581"/>
      <c r="X19" s="807"/>
      <c r="Y19" s="610" t="s">
        <v>352</v>
      </c>
      <c r="Z19" s="611">
        <v>0</v>
      </c>
      <c r="AA19" s="655"/>
    </row>
    <row r="20" spans="1:27" ht="14.4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353</v>
      </c>
      <c r="D21" s="326" t="s">
        <v>354</v>
      </c>
      <c r="E21" s="282"/>
      <c r="F21" s="435"/>
      <c r="G21" s="283">
        <f>D166</f>
        <v>146400</v>
      </c>
      <c r="H21" s="540">
        <f>'Project Plan'!E30+30</f>
        <v>45974</v>
      </c>
      <c r="I21" s="786">
        <f>SUM(G21:G26)</f>
        <v>146400</v>
      </c>
      <c r="J21" s="786">
        <f>F166</f>
        <v>178536.58536585365</v>
      </c>
      <c r="K21" s="284"/>
      <c r="L21" s="280">
        <v>3</v>
      </c>
      <c r="M21" s="420" t="s">
        <v>355</v>
      </c>
      <c r="N21" s="326" t="s">
        <v>356</v>
      </c>
      <c r="O21" s="554"/>
      <c r="P21" s="435"/>
      <c r="Q21" s="283">
        <v>69250</v>
      </c>
      <c r="R21" s="598" t="s">
        <v>357</v>
      </c>
      <c r="S21" s="635" t="s">
        <v>358</v>
      </c>
      <c r="T21" s="672">
        <v>45930</v>
      </c>
      <c r="U21" s="692">
        <v>178536.58536585365</v>
      </c>
      <c r="V21" s="808">
        <f>J21-SUM(U21:U26)</f>
        <v>0</v>
      </c>
      <c r="W21" s="704">
        <f>T21+30</f>
        <v>45960</v>
      </c>
      <c r="X21" s="799">
        <f>SUM(Q21:Q26)</f>
        <v>69250</v>
      </c>
      <c r="Y21" s="610" t="s">
        <v>359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87"/>
      <c r="J22" s="787"/>
      <c r="K22" s="287"/>
      <c r="L22" s="310">
        <v>3</v>
      </c>
      <c r="M22" s="421" t="s">
        <v>355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809"/>
      <c r="W22" s="575"/>
      <c r="X22" s="800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87"/>
      <c r="J23" s="787"/>
      <c r="K23" s="287"/>
      <c r="L23" s="310">
        <v>3</v>
      </c>
      <c r="M23" s="421" t="s">
        <v>355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809"/>
      <c r="W23" s="575"/>
      <c r="X23" s="800"/>
      <c r="Y23" s="610" t="s">
        <v>360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87"/>
      <c r="J24" s="787"/>
      <c r="K24" s="287"/>
      <c r="L24" s="310">
        <v>3</v>
      </c>
      <c r="M24" s="421" t="s">
        <v>355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809"/>
      <c r="W24" s="576"/>
      <c r="X24" s="800"/>
      <c r="Y24" s="615" t="s">
        <v>361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87"/>
      <c r="J25" s="787"/>
      <c r="K25" s="287"/>
      <c r="L25" s="310">
        <v>3</v>
      </c>
      <c r="M25" s="421" t="s">
        <v>355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809"/>
      <c r="W25" s="576"/>
      <c r="X25" s="800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88"/>
      <c r="J26" s="788"/>
      <c r="K26" s="288"/>
      <c r="L26" s="315">
        <v>3</v>
      </c>
      <c r="M26" s="422" t="s">
        <v>355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810"/>
      <c r="W26" s="577"/>
      <c r="X26" s="801"/>
      <c r="Y26" s="616" t="s">
        <v>167</v>
      </c>
      <c r="Z26" s="617" t="s">
        <v>362</v>
      </c>
    </row>
    <row r="27" spans="1:27" ht="14.4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342</v>
      </c>
      <c r="Z27" s="619">
        <v>116890.33</v>
      </c>
    </row>
    <row r="28" spans="1:27" ht="14.25" customHeight="1">
      <c r="B28" s="292">
        <v>4</v>
      </c>
      <c r="C28" s="293" t="s">
        <v>346</v>
      </c>
      <c r="D28" s="293" t="s">
        <v>363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2">
        <f>SUM(G28:G42)</f>
        <v>286300</v>
      </c>
      <c r="J28" s="802">
        <f>F167</f>
        <v>349146.3414634146</v>
      </c>
      <c r="K28" s="296"/>
      <c r="L28" s="292">
        <v>4</v>
      </c>
      <c r="M28" s="423" t="s">
        <v>364</v>
      </c>
      <c r="N28" s="293" t="s">
        <v>365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366</v>
      </c>
      <c r="T28" s="696">
        <v>45961</v>
      </c>
      <c r="U28" s="694">
        <v>148263.86931691709</v>
      </c>
      <c r="V28" s="811">
        <f>J28-SUM(U28:U42)</f>
        <v>0</v>
      </c>
      <c r="W28" s="537">
        <v>46003</v>
      </c>
      <c r="X28" s="805">
        <f>SUM(Q28:Q42)</f>
        <v>257154.89999999997</v>
      </c>
      <c r="Y28" s="618" t="s">
        <v>346</v>
      </c>
      <c r="Z28" s="619">
        <v>147954.9</v>
      </c>
    </row>
    <row r="29" spans="1:27" ht="14.25" customHeight="1">
      <c r="B29" s="319">
        <v>4</v>
      </c>
      <c r="C29" s="407"/>
      <c r="D29" s="407" t="s">
        <v>367</v>
      </c>
      <c r="E29" s="393"/>
      <c r="F29" s="450"/>
      <c r="G29" s="644">
        <f>D167-G28</f>
        <v>169260</v>
      </c>
      <c r="H29" s="537">
        <f>H28</f>
        <v>46004</v>
      </c>
      <c r="I29" s="803"/>
      <c r="J29" s="803"/>
      <c r="K29" s="300"/>
      <c r="L29" s="297">
        <v>4</v>
      </c>
      <c r="M29" s="424" t="s">
        <v>364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12"/>
      <c r="W29" s="580"/>
      <c r="X29" s="806"/>
      <c r="Y29" s="618" t="s">
        <v>347</v>
      </c>
      <c r="Z29" s="619">
        <v>93937.5</v>
      </c>
      <c r="AA29" s="655"/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803"/>
      <c r="J30" s="803"/>
      <c r="K30" s="300"/>
      <c r="L30" s="297">
        <v>4</v>
      </c>
      <c r="M30" s="424" t="s">
        <v>364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12"/>
      <c r="W30" s="580"/>
      <c r="X30" s="806"/>
      <c r="Y30" s="618" t="s">
        <v>348</v>
      </c>
      <c r="Z30" s="619">
        <v>227312.5</v>
      </c>
      <c r="AA30" s="655"/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803"/>
      <c r="J31" s="803"/>
      <c r="K31" s="300"/>
      <c r="L31" s="297">
        <v>4</v>
      </c>
      <c r="M31" s="424" t="s">
        <v>364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12"/>
      <c r="W31" s="580"/>
      <c r="X31" s="806"/>
      <c r="Y31" s="618" t="s">
        <v>368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803"/>
      <c r="J32" s="803"/>
      <c r="K32" s="300"/>
      <c r="L32" s="297">
        <v>4</v>
      </c>
      <c r="M32" s="424" t="s">
        <v>364</v>
      </c>
      <c r="N32" s="407" t="s">
        <v>369</v>
      </c>
      <c r="O32" s="569">
        <f>Z28</f>
        <v>147954.9</v>
      </c>
      <c r="P32" s="570">
        <v>0.15</v>
      </c>
      <c r="Q32" s="299">
        <f>$O$32*P32</f>
        <v>22193.234999999997</v>
      </c>
      <c r="R32" s="789" t="s">
        <v>370</v>
      </c>
      <c r="S32" s="633" t="s">
        <v>371</v>
      </c>
      <c r="T32" s="674">
        <f>T92</f>
        <v>45961</v>
      </c>
      <c r="U32" s="694">
        <v>30132.370821974633</v>
      </c>
      <c r="V32" s="812"/>
      <c r="W32" s="538">
        <f>W92</f>
        <v>45939</v>
      </c>
      <c r="X32" s="806"/>
      <c r="Y32" s="618" t="s">
        <v>351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803"/>
      <c r="J33" s="803"/>
      <c r="K33" s="300"/>
      <c r="L33" s="297">
        <v>4</v>
      </c>
      <c r="M33" s="424" t="s">
        <v>364</v>
      </c>
      <c r="N33" s="407" t="s">
        <v>264</v>
      </c>
      <c r="O33" s="560"/>
      <c r="P33" s="570">
        <v>0.15</v>
      </c>
      <c r="Q33" s="299">
        <f t="shared" ref="Q33:Q39" si="2">$O$32*P33</f>
        <v>22193.234999999997</v>
      </c>
      <c r="R33" s="790"/>
      <c r="S33" s="633" t="s">
        <v>372</v>
      </c>
      <c r="T33" s="674">
        <f t="shared" ref="T33:T36" si="3">T93</f>
        <v>45961</v>
      </c>
      <c r="U33" s="694">
        <v>30132.370821974633</v>
      </c>
      <c r="V33" s="812"/>
      <c r="W33" s="538">
        <f t="shared" ref="W33:W39" si="4">W93</f>
        <v>45939</v>
      </c>
      <c r="X33" s="806"/>
      <c r="Y33" s="618" t="s">
        <v>373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803"/>
      <c r="J34" s="803"/>
      <c r="K34" s="300"/>
      <c r="L34" s="297">
        <v>4</v>
      </c>
      <c r="M34" s="424" t="s">
        <v>364</v>
      </c>
      <c r="N34" s="407" t="s">
        <v>374</v>
      </c>
      <c r="O34" s="560"/>
      <c r="P34" s="570">
        <v>0.2</v>
      </c>
      <c r="Q34" s="299">
        <f>$O$32*P34</f>
        <v>29590.98</v>
      </c>
      <c r="R34" s="790"/>
      <c r="S34" s="633" t="s">
        <v>375</v>
      </c>
      <c r="T34" s="674">
        <f t="shared" si="3"/>
        <v>45991</v>
      </c>
      <c r="U34" s="694">
        <v>40176.494429299513</v>
      </c>
      <c r="V34" s="812"/>
      <c r="W34" s="654">
        <f t="shared" si="4"/>
        <v>45999</v>
      </c>
      <c r="X34" s="806"/>
      <c r="Y34" s="618" t="s">
        <v>376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803"/>
      <c r="J35" s="803"/>
      <c r="K35" s="300"/>
      <c r="L35" s="297">
        <v>4</v>
      </c>
      <c r="M35" s="424" t="s">
        <v>364</v>
      </c>
      <c r="N35" s="407" t="s">
        <v>377</v>
      </c>
      <c r="O35" s="560"/>
      <c r="P35" s="570">
        <v>0.2</v>
      </c>
      <c r="Q35" s="299">
        <f t="shared" si="2"/>
        <v>29590.98</v>
      </c>
      <c r="R35" s="790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12"/>
      <c r="W35" s="654">
        <f t="shared" si="4"/>
        <v>46015</v>
      </c>
      <c r="X35" s="806"/>
      <c r="Y35" s="618" t="s">
        <v>378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803"/>
      <c r="J36" s="803"/>
      <c r="K36" s="300"/>
      <c r="L36" s="297">
        <v>4</v>
      </c>
      <c r="M36" s="424" t="s">
        <v>364</v>
      </c>
      <c r="N36" s="407" t="s">
        <v>379</v>
      </c>
      <c r="O36" s="560"/>
      <c r="P36" s="570">
        <v>0.1</v>
      </c>
      <c r="Q36" s="299">
        <f t="shared" si="2"/>
        <v>14795.49</v>
      </c>
      <c r="R36" s="790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12"/>
      <c r="W36" s="654">
        <f>W96</f>
        <v>46015</v>
      </c>
      <c r="X36" s="806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803"/>
      <c r="J37" s="803"/>
      <c r="K37" s="300"/>
      <c r="L37" s="297">
        <v>4</v>
      </c>
      <c r="M37" s="424" t="s">
        <v>364</v>
      </c>
      <c r="N37" s="407" t="s">
        <v>380</v>
      </c>
      <c r="O37" s="560"/>
      <c r="P37" s="570">
        <v>0.1</v>
      </c>
      <c r="Q37" s="299">
        <f t="shared" si="2"/>
        <v>14795.49</v>
      </c>
      <c r="R37" s="790"/>
      <c r="S37" s="633" t="s">
        <v>381</v>
      </c>
      <c r="T37" s="691">
        <v>46022</v>
      </c>
      <c r="U37" s="694">
        <v>20088.247214649757</v>
      </c>
      <c r="V37" s="812"/>
      <c r="W37" s="538">
        <f t="shared" si="4"/>
        <v>46052</v>
      </c>
      <c r="X37" s="806"/>
      <c r="Y37" s="618" t="s">
        <v>359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803"/>
      <c r="J38" s="803"/>
      <c r="K38" s="300"/>
      <c r="L38" s="297">
        <v>4</v>
      </c>
      <c r="M38" s="424" t="s">
        <v>364</v>
      </c>
      <c r="N38" s="407" t="s">
        <v>382</v>
      </c>
      <c r="O38" s="560"/>
      <c r="P38" s="570">
        <v>0.05</v>
      </c>
      <c r="Q38" s="299">
        <f t="shared" si="2"/>
        <v>7397.7449999999999</v>
      </c>
      <c r="R38" s="790"/>
      <c r="S38" s="633" t="s">
        <v>383</v>
      </c>
      <c r="T38" s="691">
        <v>46022</v>
      </c>
      <c r="U38" s="694">
        <v>10044.123607324878</v>
      </c>
      <c r="V38" s="812"/>
      <c r="W38" s="580">
        <f t="shared" si="4"/>
        <v>46058</v>
      </c>
      <c r="X38" s="806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803"/>
      <c r="J39" s="803"/>
      <c r="K39" s="300"/>
      <c r="L39" s="297">
        <v>4</v>
      </c>
      <c r="M39" s="424" t="s">
        <v>364</v>
      </c>
      <c r="N39" s="407" t="s">
        <v>384</v>
      </c>
      <c r="O39" s="560"/>
      <c r="P39" s="570">
        <v>0.05</v>
      </c>
      <c r="Q39" s="299">
        <f t="shared" si="2"/>
        <v>7397.7449999999999</v>
      </c>
      <c r="R39" s="791"/>
      <c r="S39" s="721" t="s">
        <v>385</v>
      </c>
      <c r="T39" s="691">
        <v>46022</v>
      </c>
      <c r="U39" s="694">
        <v>10044.123607324878</v>
      </c>
      <c r="V39" s="812"/>
      <c r="W39" s="580">
        <f t="shared" si="4"/>
        <v>46109</v>
      </c>
      <c r="X39" s="806"/>
      <c r="Y39" s="621" t="s">
        <v>361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803"/>
      <c r="J40" s="803"/>
      <c r="K40" s="300"/>
      <c r="L40" s="297">
        <v>4</v>
      </c>
      <c r="M40" s="424" t="s">
        <v>364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12"/>
      <c r="W40" s="580"/>
      <c r="X40" s="806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803"/>
      <c r="J41" s="803"/>
      <c r="K41" s="300"/>
      <c r="L41" s="297">
        <v>4</v>
      </c>
      <c r="M41" s="424" t="s">
        <v>364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12"/>
      <c r="W41" s="580"/>
      <c r="X41" s="806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804"/>
      <c r="J42" s="804"/>
      <c r="K42" s="305"/>
      <c r="L42" s="301">
        <v>4</v>
      </c>
      <c r="M42" s="425" t="s">
        <v>364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13"/>
      <c r="W42" s="581"/>
      <c r="X42" s="807"/>
      <c r="Y42" s="479"/>
    </row>
    <row r="43" spans="1:26" ht="14.45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386</v>
      </c>
      <c r="D44" s="326" t="s">
        <v>387</v>
      </c>
      <c r="E44" s="282"/>
      <c r="F44" s="435"/>
      <c r="G44" s="283">
        <f>D169-G45</f>
        <v>34000</v>
      </c>
      <c r="H44" s="540">
        <f>H13</f>
        <v>46004</v>
      </c>
      <c r="I44" s="786">
        <f>SUM(G44:G51)</f>
        <v>49000</v>
      </c>
      <c r="J44" s="786">
        <f>F169</f>
        <v>59756.097560975606</v>
      </c>
      <c r="K44" s="284"/>
      <c r="L44" s="280">
        <v>5</v>
      </c>
      <c r="M44" s="420" t="s">
        <v>388</v>
      </c>
      <c r="N44" s="326" t="s">
        <v>389</v>
      </c>
      <c r="O44" s="554"/>
      <c r="P44" s="435"/>
      <c r="Q44" s="283">
        <v>8598.34</v>
      </c>
      <c r="R44" s="598"/>
      <c r="S44" s="635" t="s">
        <v>366</v>
      </c>
      <c r="T44" s="672">
        <v>45961</v>
      </c>
      <c r="U44" s="693">
        <v>11639.593368662485</v>
      </c>
      <c r="V44" s="808">
        <f>J44-SUM(U44:U51)</f>
        <v>1.9763820091611706E-3</v>
      </c>
      <c r="W44" s="704">
        <f>H44</f>
        <v>46004</v>
      </c>
      <c r="X44" s="799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390</v>
      </c>
      <c r="E45" s="448"/>
      <c r="F45" s="449"/>
      <c r="G45" s="314">
        <v>15000</v>
      </c>
      <c r="H45" s="533">
        <v>45961</v>
      </c>
      <c r="I45" s="787"/>
      <c r="J45" s="787"/>
      <c r="K45" s="287"/>
      <c r="L45" s="285">
        <v>5</v>
      </c>
      <c r="M45" s="426" t="s">
        <v>388</v>
      </c>
      <c r="N45" s="286" t="s">
        <v>391</v>
      </c>
      <c r="O45" s="562"/>
      <c r="P45" s="449"/>
      <c r="Q45" s="314">
        <v>22615.5</v>
      </c>
      <c r="R45" s="645" t="s">
        <v>392</v>
      </c>
      <c r="S45" s="628" t="s">
        <v>393</v>
      </c>
      <c r="T45" s="671">
        <v>45930</v>
      </c>
      <c r="U45" s="693">
        <v>31168.850302280833</v>
      </c>
      <c r="V45" s="809"/>
      <c r="W45" s="533">
        <f>T45+30</f>
        <v>45960</v>
      </c>
      <c r="X45" s="800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87"/>
      <c r="J46" s="787"/>
      <c r="K46" s="287"/>
      <c r="L46" s="285">
        <v>5</v>
      </c>
      <c r="M46" s="426" t="s">
        <v>388</v>
      </c>
      <c r="N46" s="312" t="s">
        <v>164</v>
      </c>
      <c r="O46" s="555"/>
      <c r="P46" s="456"/>
      <c r="Q46" s="314">
        <v>11169</v>
      </c>
      <c r="R46" s="591"/>
      <c r="S46" s="628" t="s">
        <v>394</v>
      </c>
      <c r="T46" s="687">
        <v>45961</v>
      </c>
      <c r="U46" s="693">
        <v>15320.089146811048</v>
      </c>
      <c r="V46" s="809"/>
      <c r="W46" s="533">
        <v>45974</v>
      </c>
      <c r="X46" s="800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87"/>
      <c r="J47" s="787"/>
      <c r="K47" s="287"/>
      <c r="L47" s="285">
        <v>5</v>
      </c>
      <c r="M47" s="426" t="s">
        <v>388</v>
      </c>
      <c r="N47" s="312" t="s">
        <v>395</v>
      </c>
      <c r="O47" s="555"/>
      <c r="P47" s="456"/>
      <c r="Q47" s="314">
        <v>206.91</v>
      </c>
      <c r="R47" s="591"/>
      <c r="S47" s="628" t="s">
        <v>396</v>
      </c>
      <c r="T47" s="687">
        <v>45961</v>
      </c>
      <c r="U47" s="693">
        <v>283.81051529829648</v>
      </c>
      <c r="V47" s="809"/>
      <c r="W47" s="690">
        <v>45991</v>
      </c>
      <c r="X47" s="800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87"/>
      <c r="J48" s="787"/>
      <c r="K48" s="287"/>
      <c r="L48" s="310">
        <v>5</v>
      </c>
      <c r="M48" s="426" t="s">
        <v>388</v>
      </c>
      <c r="N48" s="312" t="s">
        <v>397</v>
      </c>
      <c r="O48" s="555"/>
      <c r="P48" s="456"/>
      <c r="Q48" s="314">
        <v>975</v>
      </c>
      <c r="R48" s="591"/>
      <c r="S48" s="628" t="s">
        <v>398</v>
      </c>
      <c r="T48" s="671">
        <v>45930</v>
      </c>
      <c r="U48" s="693">
        <v>1343.752251540926</v>
      </c>
      <c r="V48" s="809"/>
      <c r="W48" s="690">
        <v>45939</v>
      </c>
      <c r="X48" s="800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87"/>
      <c r="J49" s="787"/>
      <c r="K49" s="287"/>
      <c r="L49" s="310">
        <v>5</v>
      </c>
      <c r="M49" s="426" t="s">
        <v>388</v>
      </c>
      <c r="N49" s="386" t="s">
        <v>399</v>
      </c>
      <c r="O49" s="556"/>
      <c r="P49" s="442"/>
      <c r="Q49" s="385">
        <v>1300</v>
      </c>
      <c r="R49" s="592"/>
      <c r="S49" s="629" t="s">
        <v>339</v>
      </c>
      <c r="T49" s="719">
        <v>46022</v>
      </c>
      <c r="U49" s="501">
        <v>0</v>
      </c>
      <c r="V49" s="809"/>
      <c r="W49" s="726">
        <v>46022</v>
      </c>
      <c r="X49" s="800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87"/>
      <c r="J50" s="787"/>
      <c r="K50" s="287"/>
      <c r="L50" s="310">
        <v>5</v>
      </c>
      <c r="M50" s="426" t="s">
        <v>388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809"/>
      <c r="W50" s="576"/>
      <c r="X50" s="800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88"/>
      <c r="J51" s="788"/>
      <c r="K51" s="288"/>
      <c r="L51" s="315">
        <v>5</v>
      </c>
      <c r="M51" s="422" t="s">
        <v>388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810"/>
      <c r="W51" s="577"/>
      <c r="X51" s="801"/>
      <c r="Y51" s="479"/>
    </row>
    <row r="52" spans="1:25" ht="14.4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342</v>
      </c>
      <c r="D53" s="294" t="s">
        <v>400</v>
      </c>
      <c r="E53" s="472"/>
      <c r="F53" s="454"/>
      <c r="G53" s="295">
        <f>D168</f>
        <v>497053.59565217391</v>
      </c>
      <c r="H53" s="538">
        <v>45961</v>
      </c>
      <c r="I53" s="802">
        <f>SUM(G53:G69)</f>
        <v>497053.59565217391</v>
      </c>
      <c r="J53" s="802">
        <f>F168</f>
        <v>606162.92152704136</v>
      </c>
      <c r="K53" s="296"/>
      <c r="L53" s="292">
        <v>6</v>
      </c>
      <c r="M53" s="429" t="s">
        <v>401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11">
        <f>J53-SUM(U53:U69)</f>
        <v>0</v>
      </c>
      <c r="W53" s="579"/>
      <c r="X53" s="805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803"/>
      <c r="J54" s="803"/>
      <c r="K54" s="300"/>
      <c r="L54" s="297">
        <v>6</v>
      </c>
      <c r="M54" s="427" t="s">
        <v>401</v>
      </c>
      <c r="N54" s="441" t="s">
        <v>156</v>
      </c>
      <c r="O54" s="560"/>
      <c r="P54" s="450"/>
      <c r="Q54" s="320">
        <v>130831.95</v>
      </c>
      <c r="R54" s="596" t="s">
        <v>402</v>
      </c>
      <c r="S54" s="633" t="s">
        <v>403</v>
      </c>
      <c r="T54" s="674">
        <v>45991</v>
      </c>
      <c r="U54" s="694">
        <v>320138.65301530325</v>
      </c>
      <c r="V54" s="812"/>
      <c r="W54" s="712">
        <f>T54+30</f>
        <v>46021</v>
      </c>
      <c r="X54" s="806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803"/>
      <c r="J55" s="803"/>
      <c r="K55" s="300"/>
      <c r="L55" s="297">
        <v>6</v>
      </c>
      <c r="M55" s="427" t="s">
        <v>401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12"/>
      <c r="W55" s="580"/>
      <c r="X55" s="806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803"/>
      <c r="J56" s="803"/>
      <c r="K56" s="300"/>
      <c r="L56" s="297">
        <v>6</v>
      </c>
      <c r="M56" s="427" t="s">
        <v>401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12"/>
      <c r="W56" s="580"/>
      <c r="X56" s="806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803"/>
      <c r="J57" s="803"/>
      <c r="K57" s="300"/>
      <c r="L57" s="297">
        <v>6</v>
      </c>
      <c r="M57" s="427" t="s">
        <v>401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12"/>
      <c r="W57" s="580"/>
      <c r="X57" s="806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803"/>
      <c r="J58" s="803"/>
      <c r="K58" s="300"/>
      <c r="L58" s="297">
        <v>6</v>
      </c>
      <c r="M58" s="427" t="s">
        <v>401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12"/>
      <c r="W58" s="580"/>
      <c r="X58" s="806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803"/>
      <c r="J59" s="803"/>
      <c r="K59" s="300"/>
      <c r="L59" s="297">
        <v>6</v>
      </c>
      <c r="M59" s="427" t="s">
        <v>401</v>
      </c>
      <c r="N59" s="407" t="s">
        <v>369</v>
      </c>
      <c r="O59" s="569">
        <f>Z27</f>
        <v>116890.33</v>
      </c>
      <c r="P59" s="570">
        <v>0.15</v>
      </c>
      <c r="Q59" s="299">
        <f>$O$59*P59</f>
        <v>17533.549500000001</v>
      </c>
      <c r="R59" s="789" t="s">
        <v>370</v>
      </c>
      <c r="S59" s="633" t="s">
        <v>371</v>
      </c>
      <c r="T59" s="697">
        <f>T92</f>
        <v>45961</v>
      </c>
      <c r="U59" s="694">
        <v>42903.640276760721</v>
      </c>
      <c r="V59" s="812"/>
      <c r="W59" s="538">
        <f>W92</f>
        <v>45939</v>
      </c>
      <c r="X59" s="806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803"/>
      <c r="J60" s="803"/>
      <c r="K60" s="300"/>
      <c r="L60" s="297">
        <v>6</v>
      </c>
      <c r="M60" s="428" t="s">
        <v>401</v>
      </c>
      <c r="N60" s="407" t="s">
        <v>264</v>
      </c>
      <c r="O60" s="560"/>
      <c r="P60" s="570">
        <v>0.15</v>
      </c>
      <c r="Q60" s="299">
        <f t="shared" ref="Q60:Q66" si="7">$O$59*P60</f>
        <v>17533.549500000001</v>
      </c>
      <c r="R60" s="790"/>
      <c r="S60" s="633" t="s">
        <v>372</v>
      </c>
      <c r="T60" s="697">
        <f t="shared" ref="T60:T63" si="8">T93</f>
        <v>45961</v>
      </c>
      <c r="U60" s="694">
        <v>42903.640276760721</v>
      </c>
      <c r="V60" s="812"/>
      <c r="W60" s="538">
        <f t="shared" ref="W60:W66" si="9">W93</f>
        <v>45939</v>
      </c>
      <c r="X60" s="806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803"/>
      <c r="J61" s="803"/>
      <c r="K61" s="300"/>
      <c r="L61" s="297">
        <v>6</v>
      </c>
      <c r="M61" s="428" t="s">
        <v>401</v>
      </c>
      <c r="N61" s="407" t="s">
        <v>374</v>
      </c>
      <c r="O61" s="560"/>
      <c r="P61" s="570">
        <v>0.2</v>
      </c>
      <c r="Q61" s="299">
        <f>$O$59*P61</f>
        <v>23378.066000000003</v>
      </c>
      <c r="R61" s="790"/>
      <c r="S61" s="633" t="s">
        <v>375</v>
      </c>
      <c r="T61" s="697">
        <f t="shared" si="8"/>
        <v>45991</v>
      </c>
      <c r="U61" s="694">
        <v>57204.853702347631</v>
      </c>
      <c r="V61" s="812"/>
      <c r="W61" s="654">
        <f t="shared" si="9"/>
        <v>45999</v>
      </c>
      <c r="X61" s="806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803"/>
      <c r="J62" s="803"/>
      <c r="K62" s="300"/>
      <c r="L62" s="297">
        <v>6</v>
      </c>
      <c r="M62" s="428" t="s">
        <v>401</v>
      </c>
      <c r="N62" s="407" t="s">
        <v>377</v>
      </c>
      <c r="O62" s="560"/>
      <c r="P62" s="570">
        <v>0.2</v>
      </c>
      <c r="Q62" s="299">
        <f t="shared" si="7"/>
        <v>23378.066000000003</v>
      </c>
      <c r="R62" s="790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12"/>
      <c r="W62" s="654">
        <f t="shared" si="9"/>
        <v>46015</v>
      </c>
      <c r="X62" s="806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803"/>
      <c r="J63" s="803"/>
      <c r="K63" s="300"/>
      <c r="L63" s="297">
        <v>6</v>
      </c>
      <c r="M63" s="428" t="s">
        <v>401</v>
      </c>
      <c r="N63" s="407" t="s">
        <v>379</v>
      </c>
      <c r="O63" s="560"/>
      <c r="P63" s="570">
        <v>0.1</v>
      </c>
      <c r="Q63" s="299">
        <f t="shared" si="7"/>
        <v>11689.033000000001</v>
      </c>
      <c r="R63" s="790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12"/>
      <c r="W63" s="654">
        <f t="shared" si="9"/>
        <v>46015</v>
      </c>
      <c r="X63" s="806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803"/>
      <c r="J64" s="803"/>
      <c r="K64" s="300"/>
      <c r="L64" s="297">
        <v>6</v>
      </c>
      <c r="M64" s="428" t="s">
        <v>401</v>
      </c>
      <c r="N64" s="407" t="s">
        <v>380</v>
      </c>
      <c r="O64" s="560"/>
      <c r="P64" s="570">
        <v>0.1</v>
      </c>
      <c r="Q64" s="299">
        <f t="shared" si="7"/>
        <v>11689.033000000001</v>
      </c>
      <c r="R64" s="790"/>
      <c r="S64" s="633" t="s">
        <v>381</v>
      </c>
      <c r="T64" s="717">
        <v>46022</v>
      </c>
      <c r="U64" s="709">
        <v>28602.426851173816</v>
      </c>
      <c r="V64" s="812"/>
      <c r="W64" s="538">
        <f t="shared" si="9"/>
        <v>46052</v>
      </c>
      <c r="X64" s="806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803"/>
      <c r="J65" s="803"/>
      <c r="K65" s="300"/>
      <c r="L65" s="297">
        <v>6</v>
      </c>
      <c r="M65" s="428" t="s">
        <v>401</v>
      </c>
      <c r="N65" s="407" t="s">
        <v>382</v>
      </c>
      <c r="O65" s="560"/>
      <c r="P65" s="570">
        <v>0.05</v>
      </c>
      <c r="Q65" s="299">
        <f t="shared" si="7"/>
        <v>5844.5165000000006</v>
      </c>
      <c r="R65" s="790"/>
      <c r="S65" s="716" t="s">
        <v>383</v>
      </c>
      <c r="T65" s="717">
        <v>46022</v>
      </c>
      <c r="U65" s="709">
        <v>14301.213425586908</v>
      </c>
      <c r="V65" s="812"/>
      <c r="W65" s="580">
        <f t="shared" si="9"/>
        <v>46058</v>
      </c>
      <c r="X65" s="806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803"/>
      <c r="J66" s="803"/>
      <c r="K66" s="300"/>
      <c r="L66" s="297">
        <v>6</v>
      </c>
      <c r="M66" s="428" t="s">
        <v>401</v>
      </c>
      <c r="N66" s="407" t="s">
        <v>384</v>
      </c>
      <c r="O66" s="560"/>
      <c r="P66" s="570">
        <v>0.05</v>
      </c>
      <c r="Q66" s="299">
        <f t="shared" si="7"/>
        <v>5844.5165000000006</v>
      </c>
      <c r="R66" s="791"/>
      <c r="S66" s="716" t="s">
        <v>385</v>
      </c>
      <c r="T66" s="717">
        <v>46022</v>
      </c>
      <c r="U66" s="709">
        <v>14301.213425586908</v>
      </c>
      <c r="V66" s="812"/>
      <c r="W66" s="580">
        <f t="shared" si="9"/>
        <v>46109</v>
      </c>
      <c r="X66" s="806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803"/>
      <c r="J67" s="803"/>
      <c r="K67" s="300"/>
      <c r="L67" s="297">
        <v>6</v>
      </c>
      <c r="M67" s="428" t="s">
        <v>401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12"/>
      <c r="W67" s="583"/>
      <c r="X67" s="806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803"/>
      <c r="J68" s="803"/>
      <c r="K68" s="300"/>
      <c r="L68" s="297">
        <v>6</v>
      </c>
      <c r="M68" s="428" t="s">
        <v>401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12"/>
      <c r="W68" s="583"/>
      <c r="X68" s="806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804"/>
      <c r="J69" s="804"/>
      <c r="K69" s="305"/>
      <c r="L69" s="301">
        <v>6</v>
      </c>
      <c r="M69" s="430" t="s">
        <v>401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13"/>
      <c r="W69" s="581"/>
      <c r="X69" s="807"/>
      <c r="Y69" s="479"/>
    </row>
    <row r="70" spans="1:25" ht="14.45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404</v>
      </c>
      <c r="D71" s="380"/>
      <c r="E71" s="459"/>
      <c r="F71" s="465"/>
      <c r="G71" s="381"/>
      <c r="H71" s="544"/>
      <c r="I71" s="786">
        <f>SUM(G71:G78)</f>
        <v>0</v>
      </c>
      <c r="J71" s="786">
        <f>F173</f>
        <v>0</v>
      </c>
      <c r="K71" s="284"/>
      <c r="L71" s="379">
        <v>7</v>
      </c>
      <c r="M71" s="308" t="s">
        <v>405</v>
      </c>
      <c r="N71" s="380"/>
      <c r="O71" s="459"/>
      <c r="P71" s="465"/>
      <c r="Q71" s="381"/>
      <c r="R71" s="602"/>
      <c r="S71" s="639"/>
      <c r="T71" s="526"/>
      <c r="U71" s="652"/>
      <c r="V71" s="814">
        <f>J71-SUM(U71:U78)</f>
        <v>0</v>
      </c>
      <c r="W71" s="585"/>
      <c r="X71" s="799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87"/>
      <c r="J72" s="787"/>
      <c r="K72" s="287"/>
      <c r="L72" s="382">
        <v>7</v>
      </c>
      <c r="M72" s="383" t="s">
        <v>405</v>
      </c>
      <c r="N72" s="384"/>
      <c r="O72" s="405"/>
      <c r="P72" s="442"/>
      <c r="Q72" s="385"/>
      <c r="R72" s="592"/>
      <c r="S72" s="629"/>
      <c r="T72" s="517"/>
      <c r="U72" s="502"/>
      <c r="V72" s="815"/>
      <c r="W72" s="576"/>
      <c r="X72" s="800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87"/>
      <c r="J73" s="787"/>
      <c r="K73" s="287"/>
      <c r="L73" s="382">
        <v>7</v>
      </c>
      <c r="M73" s="383" t="s">
        <v>405</v>
      </c>
      <c r="N73" s="384"/>
      <c r="O73" s="405"/>
      <c r="P73" s="442"/>
      <c r="Q73" s="385"/>
      <c r="R73" s="592"/>
      <c r="S73" s="629"/>
      <c r="T73" s="517"/>
      <c r="U73" s="502"/>
      <c r="V73" s="815"/>
      <c r="W73" s="576"/>
      <c r="X73" s="800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87"/>
      <c r="J74" s="787"/>
      <c r="K74" s="287"/>
      <c r="L74" s="382">
        <v>7</v>
      </c>
      <c r="M74" s="383" t="s">
        <v>405</v>
      </c>
      <c r="N74" s="384"/>
      <c r="O74" s="405"/>
      <c r="P74" s="442"/>
      <c r="Q74" s="385"/>
      <c r="R74" s="592"/>
      <c r="S74" s="629"/>
      <c r="T74" s="517"/>
      <c r="U74" s="502"/>
      <c r="V74" s="815"/>
      <c r="W74" s="576"/>
      <c r="X74" s="800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87"/>
      <c r="J75" s="787"/>
      <c r="K75" s="287"/>
      <c r="L75" s="382">
        <v>7</v>
      </c>
      <c r="M75" s="383" t="s">
        <v>405</v>
      </c>
      <c r="N75" s="384"/>
      <c r="O75" s="405"/>
      <c r="P75" s="442"/>
      <c r="Q75" s="385"/>
      <c r="R75" s="592"/>
      <c r="S75" s="629"/>
      <c r="T75" s="517"/>
      <c r="U75" s="502"/>
      <c r="V75" s="815"/>
      <c r="W75" s="576"/>
      <c r="X75" s="800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87"/>
      <c r="J76" s="787"/>
      <c r="K76" s="287"/>
      <c r="L76" s="382">
        <v>7</v>
      </c>
      <c r="M76" s="383" t="s">
        <v>405</v>
      </c>
      <c r="N76" s="384"/>
      <c r="O76" s="556"/>
      <c r="P76" s="442"/>
      <c r="Q76" s="385"/>
      <c r="R76" s="592"/>
      <c r="S76" s="629"/>
      <c r="T76" s="517"/>
      <c r="U76" s="502"/>
      <c r="V76" s="815"/>
      <c r="W76" s="576"/>
      <c r="X76" s="800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87"/>
      <c r="J77" s="787"/>
      <c r="K77" s="287"/>
      <c r="L77" s="382">
        <v>7</v>
      </c>
      <c r="M77" s="383" t="s">
        <v>405</v>
      </c>
      <c r="N77" s="384"/>
      <c r="O77" s="556"/>
      <c r="P77" s="442"/>
      <c r="Q77" s="385"/>
      <c r="R77" s="592"/>
      <c r="S77" s="629"/>
      <c r="T77" s="517"/>
      <c r="U77" s="502"/>
      <c r="V77" s="815"/>
      <c r="W77" s="576"/>
      <c r="X77" s="800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88"/>
      <c r="J78" s="788"/>
      <c r="K78" s="288"/>
      <c r="L78" s="315">
        <v>7</v>
      </c>
      <c r="M78" s="336" t="s">
        <v>405</v>
      </c>
      <c r="N78" s="328"/>
      <c r="O78" s="557"/>
      <c r="P78" s="457"/>
      <c r="Q78" s="329"/>
      <c r="R78" s="593"/>
      <c r="S78" s="630"/>
      <c r="T78" s="518"/>
      <c r="U78" s="503"/>
      <c r="V78" s="816"/>
      <c r="W78" s="577"/>
      <c r="X78" s="801"/>
      <c r="Y78" s="479"/>
    </row>
    <row r="79" spans="1:25" ht="14.45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406</v>
      </c>
      <c r="D80" s="332"/>
      <c r="E80" s="460"/>
      <c r="F80" s="414"/>
      <c r="G80" s="333"/>
      <c r="H80" s="537"/>
      <c r="I80" s="802">
        <f>SUM(G80:G89)</f>
        <v>208000</v>
      </c>
      <c r="J80" s="802">
        <f>F170+F172</f>
        <v>239241.19241192413</v>
      </c>
      <c r="K80" s="296"/>
      <c r="L80" s="331">
        <v>8</v>
      </c>
      <c r="M80" s="423" t="s">
        <v>407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32">
        <f>J80-SUM(U80:U89)</f>
        <v>0</v>
      </c>
      <c r="W80" s="579"/>
      <c r="X80" s="805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408</v>
      </c>
      <c r="E81" s="413"/>
      <c r="F81" s="458"/>
      <c r="G81" s="323">
        <v>48000</v>
      </c>
      <c r="H81" s="538">
        <f>H92</f>
        <v>45937</v>
      </c>
      <c r="I81" s="803"/>
      <c r="J81" s="803"/>
      <c r="K81" s="300"/>
      <c r="L81" s="321">
        <v>8</v>
      </c>
      <c r="M81" s="431" t="s">
        <v>407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33"/>
      <c r="W81" s="580"/>
      <c r="X81" s="806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803"/>
      <c r="J82" s="803"/>
      <c r="K82" s="300"/>
      <c r="L82" s="321">
        <v>8</v>
      </c>
      <c r="M82" s="431" t="s">
        <v>407</v>
      </c>
      <c r="N82" s="334" t="s">
        <v>409</v>
      </c>
      <c r="O82" s="413"/>
      <c r="P82" s="458"/>
      <c r="Q82" s="323">
        <v>44000</v>
      </c>
      <c r="R82" s="596" t="s">
        <v>410</v>
      </c>
      <c r="S82" s="633" t="s">
        <v>411</v>
      </c>
      <c r="T82" s="691">
        <v>45930</v>
      </c>
      <c r="U82" s="694">
        <v>87904.905771395919</v>
      </c>
      <c r="V82" s="833"/>
      <c r="W82" s="654">
        <v>45960</v>
      </c>
      <c r="X82" s="806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803"/>
      <c r="J83" s="803"/>
      <c r="K83" s="300"/>
      <c r="L83" s="321">
        <v>8</v>
      </c>
      <c r="M83" s="431" t="s">
        <v>407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33"/>
      <c r="W83" s="580"/>
      <c r="X83" s="806"/>
      <c r="Y83" s="479"/>
    </row>
    <row r="84" spans="1:25" ht="14.25" customHeight="1">
      <c r="B84" s="321">
        <v>8</v>
      </c>
      <c r="C84" s="322"/>
      <c r="D84" s="334" t="s">
        <v>412</v>
      </c>
      <c r="E84" s="413"/>
      <c r="F84" s="458"/>
      <c r="G84" s="323">
        <v>85000</v>
      </c>
      <c r="H84" s="538">
        <f>H81</f>
        <v>45937</v>
      </c>
      <c r="I84" s="803"/>
      <c r="J84" s="803"/>
      <c r="K84" s="300"/>
      <c r="L84" s="321">
        <v>8</v>
      </c>
      <c r="M84" s="431" t="s">
        <v>407</v>
      </c>
      <c r="N84" s="334" t="s">
        <v>413</v>
      </c>
      <c r="O84" s="686">
        <v>75750</v>
      </c>
      <c r="P84" s="662">
        <v>0.5</v>
      </c>
      <c r="Q84" s="323">
        <v>37875</v>
      </c>
      <c r="R84" s="789" t="s">
        <v>414</v>
      </c>
      <c r="S84" s="633" t="s">
        <v>415</v>
      </c>
      <c r="T84" s="674">
        <v>45961</v>
      </c>
      <c r="U84" s="694">
        <v>75668.143320264106</v>
      </c>
      <c r="V84" s="833"/>
      <c r="W84" s="538">
        <v>45939</v>
      </c>
      <c r="X84" s="806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803"/>
      <c r="J85" s="803"/>
      <c r="K85" s="300"/>
      <c r="L85" s="321">
        <v>8</v>
      </c>
      <c r="M85" s="431" t="s">
        <v>407</v>
      </c>
      <c r="N85" s="334"/>
      <c r="O85" s="563"/>
      <c r="P85" s="662">
        <v>0.5</v>
      </c>
      <c r="Q85" s="323">
        <v>37875</v>
      </c>
      <c r="R85" s="791"/>
      <c r="S85" s="633" t="s">
        <v>415</v>
      </c>
      <c r="T85" s="674">
        <v>45961</v>
      </c>
      <c r="U85" s="694">
        <v>75668.143320264106</v>
      </c>
      <c r="V85" s="833"/>
      <c r="W85" s="538">
        <v>45974</v>
      </c>
      <c r="X85" s="806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803"/>
      <c r="J86" s="803"/>
      <c r="K86" s="300"/>
      <c r="L86" s="321">
        <v>8</v>
      </c>
      <c r="M86" s="431" t="s">
        <v>407</v>
      </c>
      <c r="N86" s="334" t="s">
        <v>416</v>
      </c>
      <c r="O86" s="563"/>
      <c r="P86" s="458"/>
      <c r="Q86" s="323">
        <v>29500</v>
      </c>
      <c r="R86" s="596" t="s">
        <v>417</v>
      </c>
      <c r="S86" s="633" t="s">
        <v>418</v>
      </c>
      <c r="T86" s="674">
        <v>45991</v>
      </c>
      <c r="U86" s="694">
        <v>0</v>
      </c>
      <c r="V86" s="833"/>
      <c r="W86" s="712">
        <v>45980</v>
      </c>
      <c r="X86" s="806"/>
      <c r="Y86" s="479"/>
    </row>
    <row r="87" spans="1:25" ht="14.25" customHeight="1">
      <c r="B87" s="321">
        <v>8</v>
      </c>
      <c r="C87" s="322"/>
      <c r="D87" s="334" t="s">
        <v>419</v>
      </c>
      <c r="E87" s="413"/>
      <c r="F87" s="458"/>
      <c r="G87" s="323">
        <v>75000</v>
      </c>
      <c r="H87" s="542">
        <f>H81</f>
        <v>45937</v>
      </c>
      <c r="I87" s="803"/>
      <c r="J87" s="803"/>
      <c r="K87" s="300"/>
      <c r="L87" s="321">
        <v>8</v>
      </c>
      <c r="M87" s="431" t="s">
        <v>407</v>
      </c>
      <c r="N87" s="334" t="s">
        <v>420</v>
      </c>
      <c r="O87" s="563"/>
      <c r="P87" s="458"/>
      <c r="Q87" s="323">
        <v>71592.3</v>
      </c>
      <c r="R87" s="600" t="s">
        <v>421</v>
      </c>
      <c r="S87" s="637" t="s">
        <v>422</v>
      </c>
      <c r="T87" s="691">
        <v>45991</v>
      </c>
      <c r="U87" s="709">
        <v>0</v>
      </c>
      <c r="V87" s="833"/>
      <c r="W87" s="538">
        <v>45974</v>
      </c>
      <c r="X87" s="806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803"/>
      <c r="J88" s="803"/>
      <c r="K88" s="300"/>
      <c r="L88" s="321">
        <v>8</v>
      </c>
      <c r="M88" s="431" t="s">
        <v>407</v>
      </c>
      <c r="N88" s="334" t="s">
        <v>423</v>
      </c>
      <c r="O88" s="563"/>
      <c r="P88" s="458"/>
      <c r="Q88" s="323">
        <v>-5272.5</v>
      </c>
      <c r="R88" s="600"/>
      <c r="S88" s="637" t="s">
        <v>424</v>
      </c>
      <c r="T88" s="717">
        <v>46053</v>
      </c>
      <c r="U88" s="709"/>
      <c r="V88" s="833"/>
      <c r="W88" s="542">
        <v>46043</v>
      </c>
      <c r="X88" s="806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804"/>
      <c r="J89" s="804"/>
      <c r="K89" s="305"/>
      <c r="L89" s="301">
        <v>8</v>
      </c>
      <c r="M89" s="430" t="s">
        <v>407</v>
      </c>
      <c r="N89" s="303" t="s">
        <v>423</v>
      </c>
      <c r="O89" s="564"/>
      <c r="P89" s="452"/>
      <c r="Q89" s="304">
        <v>10436.700000000001</v>
      </c>
      <c r="R89" s="597"/>
      <c r="S89" s="634" t="s">
        <v>425</v>
      </c>
      <c r="T89" s="724">
        <v>46053</v>
      </c>
      <c r="U89" s="707">
        <v>0</v>
      </c>
      <c r="V89" s="834"/>
      <c r="W89" s="725">
        <v>46031</v>
      </c>
      <c r="X89" s="807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426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427</v>
      </c>
      <c r="D91" s="326" t="s">
        <v>428</v>
      </c>
      <c r="E91" s="313"/>
      <c r="F91" s="435"/>
      <c r="G91" s="623">
        <f>D177</f>
        <v>91500</v>
      </c>
      <c r="H91" s="540">
        <f>H92</f>
        <v>45937</v>
      </c>
      <c r="I91" s="823">
        <f>SUM(G91:G102)</f>
        <v>291000</v>
      </c>
      <c r="J91" s="786">
        <f>F177+F178</f>
        <v>323333.33333333331</v>
      </c>
      <c r="K91" s="287"/>
      <c r="L91" s="310">
        <v>9</v>
      </c>
      <c r="M91" s="421" t="s">
        <v>429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808">
        <f>J91-SUM(U91:U102)</f>
        <v>0</v>
      </c>
      <c r="W91" s="582"/>
      <c r="X91" s="826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430</v>
      </c>
      <c r="E92" s="313"/>
      <c r="F92" s="456"/>
      <c r="G92" s="623">
        <f>D178</f>
        <v>199500</v>
      </c>
      <c r="H92" s="533">
        <f>'Project Plan'!E19-7</f>
        <v>45937</v>
      </c>
      <c r="I92" s="824"/>
      <c r="J92" s="787"/>
      <c r="K92" s="287"/>
      <c r="L92" s="310">
        <v>9</v>
      </c>
      <c r="M92" s="421" t="s">
        <v>429</v>
      </c>
      <c r="N92" s="327" t="s">
        <v>369</v>
      </c>
      <c r="O92" s="572">
        <f>Z30+Z29</f>
        <v>321250</v>
      </c>
      <c r="P92" s="573">
        <v>0.15</v>
      </c>
      <c r="Q92" s="314">
        <f>$O$92*P92</f>
        <v>48187.5</v>
      </c>
      <c r="R92" s="838" t="s">
        <v>370</v>
      </c>
      <c r="S92" s="628" t="s">
        <v>371</v>
      </c>
      <c r="T92" s="699">
        <v>45961</v>
      </c>
      <c r="U92" s="692">
        <v>48499.999999999993</v>
      </c>
      <c r="V92" s="809"/>
      <c r="W92" s="533">
        <v>45939</v>
      </c>
      <c r="X92" s="827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824"/>
      <c r="J93" s="787"/>
      <c r="K93" s="287"/>
      <c r="L93" s="382">
        <v>9</v>
      </c>
      <c r="M93" s="499" t="s">
        <v>429</v>
      </c>
      <c r="N93" s="384" t="s">
        <v>264</v>
      </c>
      <c r="O93" s="556"/>
      <c r="P93" s="571">
        <v>0.15</v>
      </c>
      <c r="Q93" s="314">
        <f t="shared" ref="Q93:Q99" si="12">$O$92*P93</f>
        <v>48187.5</v>
      </c>
      <c r="R93" s="839"/>
      <c r="S93" s="629" t="s">
        <v>372</v>
      </c>
      <c r="T93" s="699">
        <f t="shared" si="10"/>
        <v>45961</v>
      </c>
      <c r="U93" s="692">
        <v>48499.999999999993</v>
      </c>
      <c r="V93" s="809"/>
      <c r="W93" s="534">
        <v>45939</v>
      </c>
      <c r="X93" s="827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824"/>
      <c r="J94" s="787"/>
      <c r="K94" s="287"/>
      <c r="L94" s="382">
        <v>9</v>
      </c>
      <c r="M94" s="499" t="s">
        <v>429</v>
      </c>
      <c r="N94" s="384" t="s">
        <v>374</v>
      </c>
      <c r="O94" s="556"/>
      <c r="P94" s="571">
        <v>0.2</v>
      </c>
      <c r="Q94" s="314">
        <f t="shared" si="12"/>
        <v>64250</v>
      </c>
      <c r="R94" s="839"/>
      <c r="S94" s="629" t="s">
        <v>375</v>
      </c>
      <c r="T94" s="699">
        <v>45991</v>
      </c>
      <c r="U94" s="692">
        <v>64666.666666666664</v>
      </c>
      <c r="V94" s="809"/>
      <c r="W94" s="714">
        <f>'Project Plan'!K21+7</f>
        <v>45999</v>
      </c>
      <c r="X94" s="827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824"/>
      <c r="J95" s="787"/>
      <c r="K95" s="287"/>
      <c r="L95" s="382">
        <v>9</v>
      </c>
      <c r="M95" s="499" t="s">
        <v>429</v>
      </c>
      <c r="N95" s="384" t="s">
        <v>377</v>
      </c>
      <c r="O95" s="556"/>
      <c r="P95" s="571">
        <v>0.2</v>
      </c>
      <c r="Q95" s="314">
        <f t="shared" si="12"/>
        <v>64250</v>
      </c>
      <c r="R95" s="839"/>
      <c r="S95" s="629" t="s">
        <v>431</v>
      </c>
      <c r="T95" s="699">
        <v>46022</v>
      </c>
      <c r="U95" s="692">
        <v>64666.666666666664</v>
      </c>
      <c r="V95" s="809"/>
      <c r="W95" s="714">
        <v>46015</v>
      </c>
      <c r="X95" s="827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824"/>
      <c r="J96" s="787"/>
      <c r="K96" s="287"/>
      <c r="L96" s="382">
        <v>9</v>
      </c>
      <c r="M96" s="499" t="s">
        <v>429</v>
      </c>
      <c r="N96" s="384" t="s">
        <v>379</v>
      </c>
      <c r="O96" s="556"/>
      <c r="P96" s="571">
        <v>0.1</v>
      </c>
      <c r="Q96" s="314">
        <f t="shared" si="12"/>
        <v>32125</v>
      </c>
      <c r="R96" s="839"/>
      <c r="S96" s="629" t="s">
        <v>432</v>
      </c>
      <c r="T96" s="699">
        <v>46022</v>
      </c>
      <c r="U96" s="692">
        <v>32333.333333333332</v>
      </c>
      <c r="V96" s="809"/>
      <c r="W96" s="714">
        <v>46015</v>
      </c>
      <c r="X96" s="827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824"/>
      <c r="J97" s="787"/>
      <c r="K97" s="287"/>
      <c r="L97" s="382">
        <v>9</v>
      </c>
      <c r="M97" s="499" t="s">
        <v>429</v>
      </c>
      <c r="N97" s="384" t="s">
        <v>380</v>
      </c>
      <c r="O97" s="556"/>
      <c r="P97" s="571">
        <v>0.1</v>
      </c>
      <c r="Q97" s="314">
        <f t="shared" si="12"/>
        <v>32125</v>
      </c>
      <c r="R97" s="839"/>
      <c r="S97" s="718" t="s">
        <v>381</v>
      </c>
      <c r="T97" s="719">
        <v>46022</v>
      </c>
      <c r="U97" s="692">
        <v>32333.333333333332</v>
      </c>
      <c r="V97" s="809"/>
      <c r="W97" s="534">
        <f>'Project Plan'!K41+7</f>
        <v>46052</v>
      </c>
      <c r="X97" s="827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824"/>
      <c r="J98" s="787"/>
      <c r="K98" s="287"/>
      <c r="L98" s="382">
        <v>9</v>
      </c>
      <c r="M98" s="499" t="s">
        <v>429</v>
      </c>
      <c r="N98" s="384" t="s">
        <v>382</v>
      </c>
      <c r="O98" s="556"/>
      <c r="P98" s="571">
        <v>0.05</v>
      </c>
      <c r="Q98" s="314">
        <f t="shared" si="12"/>
        <v>16062.5</v>
      </c>
      <c r="R98" s="839"/>
      <c r="S98" s="718" t="s">
        <v>383</v>
      </c>
      <c r="T98" s="719">
        <v>46022</v>
      </c>
      <c r="U98" s="692">
        <v>16166.666666666666</v>
      </c>
      <c r="V98" s="809"/>
      <c r="W98" s="576">
        <f>'Project Plan'!K48+9</f>
        <v>46058</v>
      </c>
      <c r="X98" s="827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824"/>
      <c r="J99" s="787"/>
      <c r="K99" s="287"/>
      <c r="L99" s="382">
        <v>9</v>
      </c>
      <c r="M99" s="499" t="s">
        <v>429</v>
      </c>
      <c r="N99" s="384" t="s">
        <v>384</v>
      </c>
      <c r="O99" s="556"/>
      <c r="P99" s="571">
        <v>0.05</v>
      </c>
      <c r="Q99" s="314">
        <f t="shared" si="12"/>
        <v>16062.5</v>
      </c>
      <c r="R99" s="840"/>
      <c r="S99" s="718" t="s">
        <v>385</v>
      </c>
      <c r="T99" s="719">
        <v>46022</v>
      </c>
      <c r="U99" s="692">
        <v>16166.666666666666</v>
      </c>
      <c r="V99" s="809"/>
      <c r="W99" s="576">
        <f>'Project Plan'!K48+60</f>
        <v>46109</v>
      </c>
      <c r="X99" s="827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824"/>
      <c r="J100" s="787"/>
      <c r="K100" s="287"/>
      <c r="L100" s="382">
        <v>9</v>
      </c>
      <c r="M100" s="499" t="s">
        <v>429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809"/>
      <c r="W100" s="576"/>
      <c r="X100" s="827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824"/>
      <c r="J101" s="787"/>
      <c r="K101" s="287"/>
      <c r="L101" s="382">
        <v>9</v>
      </c>
      <c r="M101" s="499" t="s">
        <v>429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809"/>
      <c r="W101" s="576"/>
      <c r="X101" s="827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825"/>
      <c r="J102" s="788"/>
      <c r="K102" s="363"/>
      <c r="L102" s="315">
        <v>9</v>
      </c>
      <c r="M102" s="439" t="s">
        <v>429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810"/>
      <c r="W102" s="577"/>
      <c r="X102" s="828"/>
      <c r="Y102" s="479"/>
    </row>
    <row r="103" spans="1:25" ht="14.45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433</v>
      </c>
      <c r="D104" s="269" t="s">
        <v>349</v>
      </c>
      <c r="E104" s="270"/>
      <c r="F104" s="467"/>
      <c r="G104" s="337">
        <f>D181</f>
        <v>8500</v>
      </c>
      <c r="H104" s="547">
        <v>45991</v>
      </c>
      <c r="I104" s="817">
        <f>SUM(G104:G118)</f>
        <v>76945.466666666674</v>
      </c>
      <c r="J104" s="817">
        <f>F181+F184+F185+F183+F182</f>
        <v>85494.962962962964</v>
      </c>
      <c r="K104" s="338"/>
      <c r="L104" s="268">
        <v>10</v>
      </c>
      <c r="M104" s="432" t="s">
        <v>434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29">
        <f>J104-SUM(U104:U118)</f>
        <v>0</v>
      </c>
      <c r="W104" s="586"/>
      <c r="X104" s="820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350</v>
      </c>
      <c r="E105" s="341"/>
      <c r="F105" s="468"/>
      <c r="G105" s="342">
        <f>D185</f>
        <v>22285.466666666667</v>
      </c>
      <c r="H105" s="547">
        <v>45991</v>
      </c>
      <c r="I105" s="818"/>
      <c r="J105" s="818"/>
      <c r="K105" s="271"/>
      <c r="L105" s="339">
        <v>10</v>
      </c>
      <c r="M105" s="433" t="s">
        <v>434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30"/>
      <c r="W105" s="587"/>
      <c r="X105" s="821"/>
      <c r="Y105" s="479"/>
    </row>
    <row r="106" spans="1:25" ht="14.25" customHeight="1">
      <c r="B106" s="339">
        <v>10</v>
      </c>
      <c r="C106" s="340"/>
      <c r="D106" s="340" t="s">
        <v>435</v>
      </c>
      <c r="E106" s="341"/>
      <c r="F106" s="468"/>
      <c r="G106" s="342">
        <f>D184</f>
        <v>43200</v>
      </c>
      <c r="H106" s="547">
        <v>45991</v>
      </c>
      <c r="I106" s="818"/>
      <c r="J106" s="818"/>
      <c r="K106" s="271"/>
      <c r="L106" s="339">
        <v>10</v>
      </c>
      <c r="M106" s="433" t="s">
        <v>434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30"/>
      <c r="W106" s="587"/>
      <c r="X106" s="821"/>
      <c r="Y106" s="479"/>
    </row>
    <row r="107" spans="1:25" ht="14.25" customHeight="1">
      <c r="B107" s="339">
        <v>10</v>
      </c>
      <c r="C107" s="340"/>
      <c r="D107" s="340" t="s">
        <v>351</v>
      </c>
      <c r="E107" s="341"/>
      <c r="F107" s="468"/>
      <c r="G107" s="342">
        <f>D183</f>
        <v>2960</v>
      </c>
      <c r="H107" s="547">
        <v>45991</v>
      </c>
      <c r="I107" s="818"/>
      <c r="J107" s="818"/>
      <c r="K107" s="271"/>
      <c r="L107" s="339">
        <v>10</v>
      </c>
      <c r="M107" s="433" t="s">
        <v>434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30"/>
      <c r="W107" s="587"/>
      <c r="X107" s="821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818"/>
      <c r="J108" s="818"/>
      <c r="K108" s="271"/>
      <c r="L108" s="339">
        <v>10</v>
      </c>
      <c r="M108" s="433" t="s">
        <v>434</v>
      </c>
      <c r="N108" s="340" t="s">
        <v>369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35" t="s">
        <v>370</v>
      </c>
      <c r="S108" s="642" t="s">
        <v>371</v>
      </c>
      <c r="T108" s="698">
        <v>45961</v>
      </c>
      <c r="U108" s="711">
        <v>12824.244444444445</v>
      </c>
      <c r="V108" s="830"/>
      <c r="W108" s="548">
        <f>W92</f>
        <v>45939</v>
      </c>
      <c r="X108" s="821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818"/>
      <c r="J109" s="818"/>
      <c r="K109" s="271"/>
      <c r="L109" s="339">
        <v>10</v>
      </c>
      <c r="M109" s="433" t="s">
        <v>434</v>
      </c>
      <c r="N109" s="340" t="s">
        <v>264</v>
      </c>
      <c r="O109" s="567"/>
      <c r="P109" s="574">
        <v>0.15</v>
      </c>
      <c r="Q109" s="342">
        <f t="shared" ref="Q109:Q115" si="14">$O$108*P109</f>
        <v>13859.353499999999</v>
      </c>
      <c r="R109" s="836"/>
      <c r="S109" s="647" t="s">
        <v>372</v>
      </c>
      <c r="T109" s="698">
        <f t="shared" ref="T109:T112" si="15">T93</f>
        <v>45961</v>
      </c>
      <c r="U109" s="711">
        <v>12824.244444444445</v>
      </c>
      <c r="V109" s="830"/>
      <c r="W109" s="548">
        <f t="shared" ref="W109:W115" si="16">W93</f>
        <v>45939</v>
      </c>
      <c r="X109" s="821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818"/>
      <c r="J110" s="818"/>
      <c r="K110" s="271"/>
      <c r="L110" s="339">
        <v>10</v>
      </c>
      <c r="M110" s="433" t="s">
        <v>434</v>
      </c>
      <c r="N110" s="340" t="s">
        <v>374</v>
      </c>
      <c r="O110" s="567"/>
      <c r="P110" s="574">
        <v>0.2</v>
      </c>
      <c r="Q110" s="342">
        <f>$O$108*P110</f>
        <v>18479.138000000003</v>
      </c>
      <c r="R110" s="836"/>
      <c r="S110" s="642" t="s">
        <v>375</v>
      </c>
      <c r="T110" s="698">
        <f t="shared" si="15"/>
        <v>45991</v>
      </c>
      <c r="U110" s="711">
        <v>17098.992592592593</v>
      </c>
      <c r="V110" s="830"/>
      <c r="W110" s="715">
        <f t="shared" si="16"/>
        <v>45999</v>
      </c>
      <c r="X110" s="821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818"/>
      <c r="J111" s="818"/>
      <c r="K111" s="271"/>
      <c r="L111" s="339">
        <v>10</v>
      </c>
      <c r="M111" s="433" t="s">
        <v>434</v>
      </c>
      <c r="N111" s="340" t="s">
        <v>377</v>
      </c>
      <c r="O111" s="567"/>
      <c r="P111" s="574">
        <v>0.2</v>
      </c>
      <c r="Q111" s="342">
        <f t="shared" si="14"/>
        <v>18479.138000000003</v>
      </c>
      <c r="R111" s="836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30"/>
      <c r="W111" s="715">
        <f t="shared" si="16"/>
        <v>46015</v>
      </c>
      <c r="X111" s="821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818"/>
      <c r="J112" s="818"/>
      <c r="K112" s="271"/>
      <c r="L112" s="339">
        <v>10</v>
      </c>
      <c r="M112" s="433" t="s">
        <v>434</v>
      </c>
      <c r="N112" s="340" t="s">
        <v>379</v>
      </c>
      <c r="O112" s="567"/>
      <c r="P112" s="574">
        <v>0.1</v>
      </c>
      <c r="Q112" s="342">
        <f t="shared" si="14"/>
        <v>9239.5690000000013</v>
      </c>
      <c r="R112" s="836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30"/>
      <c r="W112" s="715">
        <f t="shared" si="16"/>
        <v>46015</v>
      </c>
      <c r="X112" s="821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818"/>
      <c r="J113" s="818"/>
      <c r="K113" s="271"/>
      <c r="L113" s="339">
        <v>10</v>
      </c>
      <c r="M113" s="433" t="s">
        <v>434</v>
      </c>
      <c r="N113" s="340" t="s">
        <v>380</v>
      </c>
      <c r="O113" s="567"/>
      <c r="P113" s="574">
        <v>0.1</v>
      </c>
      <c r="Q113" s="342">
        <f t="shared" si="14"/>
        <v>9239.5690000000013</v>
      </c>
      <c r="R113" s="836"/>
      <c r="S113" s="720" t="s">
        <v>381</v>
      </c>
      <c r="T113" s="706">
        <v>46022</v>
      </c>
      <c r="U113" s="711">
        <v>8549.4962962962964</v>
      </c>
      <c r="V113" s="830"/>
      <c r="W113" s="548">
        <f t="shared" si="16"/>
        <v>46052</v>
      </c>
      <c r="X113" s="821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818"/>
      <c r="J114" s="818"/>
      <c r="K114" s="271"/>
      <c r="L114" s="339">
        <v>10</v>
      </c>
      <c r="M114" s="433" t="s">
        <v>434</v>
      </c>
      <c r="N114" s="340" t="s">
        <v>382</v>
      </c>
      <c r="O114" s="567"/>
      <c r="P114" s="574">
        <v>0.05</v>
      </c>
      <c r="Q114" s="342">
        <f t="shared" si="14"/>
        <v>4619.7845000000007</v>
      </c>
      <c r="R114" s="836"/>
      <c r="S114" s="720" t="s">
        <v>383</v>
      </c>
      <c r="T114" s="706">
        <v>46022</v>
      </c>
      <c r="U114" s="711">
        <v>4274.7481481481482</v>
      </c>
      <c r="V114" s="830"/>
      <c r="W114" s="588">
        <f t="shared" si="16"/>
        <v>46058</v>
      </c>
      <c r="X114" s="821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818"/>
      <c r="J115" s="818"/>
      <c r="K115" s="271"/>
      <c r="L115" s="339">
        <v>10</v>
      </c>
      <c r="M115" s="433" t="s">
        <v>434</v>
      </c>
      <c r="N115" s="340" t="s">
        <v>384</v>
      </c>
      <c r="O115" s="567"/>
      <c r="P115" s="574">
        <v>0.05</v>
      </c>
      <c r="Q115" s="342">
        <f t="shared" si="14"/>
        <v>4619.7845000000007</v>
      </c>
      <c r="R115" s="837"/>
      <c r="S115" s="720" t="s">
        <v>385</v>
      </c>
      <c r="T115" s="706">
        <v>46022</v>
      </c>
      <c r="U115" s="711">
        <v>4274.7481481481482</v>
      </c>
      <c r="V115" s="830"/>
      <c r="W115" s="588">
        <f t="shared" si="16"/>
        <v>46109</v>
      </c>
      <c r="X115" s="821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818"/>
      <c r="J116" s="818"/>
      <c r="K116" s="271"/>
      <c r="L116" s="339">
        <v>10</v>
      </c>
      <c r="M116" s="433" t="s">
        <v>434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30"/>
      <c r="W116" s="588"/>
      <c r="X116" s="821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818"/>
      <c r="J117" s="818"/>
      <c r="K117" s="271"/>
      <c r="L117" s="339">
        <v>10</v>
      </c>
      <c r="M117" s="433" t="s">
        <v>434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30"/>
      <c r="W117" s="588"/>
      <c r="X117" s="821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819"/>
      <c r="J118" s="819"/>
      <c r="K118" s="274"/>
      <c r="L118" s="272">
        <v>10</v>
      </c>
      <c r="M118" s="434" t="s">
        <v>434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31"/>
      <c r="W118" s="589"/>
      <c r="X118" s="822"/>
      <c r="Y118" s="479"/>
    </row>
    <row r="119" spans="1:25" ht="14.45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436</v>
      </c>
      <c r="D120" s="350" t="s">
        <v>437</v>
      </c>
      <c r="E120" s="282"/>
      <c r="F120" s="435"/>
      <c r="G120" s="283">
        <v>11000</v>
      </c>
      <c r="H120" s="540">
        <f>H121</f>
        <v>45916</v>
      </c>
      <c r="I120" s="786">
        <f>SUM(G120:G124)</f>
        <v>109300</v>
      </c>
      <c r="J120" s="786">
        <f>F180</f>
        <v>121444.44444444444</v>
      </c>
      <c r="K120" s="284"/>
      <c r="L120" s="280">
        <v>11</v>
      </c>
      <c r="M120" s="350" t="s">
        <v>438</v>
      </c>
      <c r="N120" s="350" t="s">
        <v>437</v>
      </c>
      <c r="O120" s="282"/>
      <c r="P120" s="435"/>
      <c r="Q120" s="283">
        <v>8750</v>
      </c>
      <c r="R120" s="664"/>
      <c r="S120" s="635" t="s">
        <v>439</v>
      </c>
      <c r="T120" s="672">
        <v>46053</v>
      </c>
      <c r="U120" s="502">
        <f>(Q120/$X$120*$J$120)</f>
        <v>72043.314500941618</v>
      </c>
      <c r="V120" s="808">
        <f>J120-SUM(U120:U124)</f>
        <v>0</v>
      </c>
      <c r="W120" s="582">
        <f>T120+7</f>
        <v>46060</v>
      </c>
      <c r="X120" s="799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440</v>
      </c>
      <c r="E121" s="313"/>
      <c r="F121" s="456"/>
      <c r="G121" s="314">
        <v>18300</v>
      </c>
      <c r="H121" s="540">
        <f>'Project Plan'!I12+7</f>
        <v>45916</v>
      </c>
      <c r="I121" s="787"/>
      <c r="J121" s="787"/>
      <c r="K121" s="287"/>
      <c r="L121" s="310">
        <v>11</v>
      </c>
      <c r="M121" s="388" t="s">
        <v>438</v>
      </c>
      <c r="N121" s="312" t="s">
        <v>441</v>
      </c>
      <c r="O121" s="313"/>
      <c r="P121" s="456"/>
      <c r="Q121" s="314">
        <v>0</v>
      </c>
      <c r="R121" s="645"/>
      <c r="S121" s="628" t="s">
        <v>442</v>
      </c>
      <c r="T121" s="687">
        <v>45991</v>
      </c>
      <c r="U121" s="502">
        <f>(Q121/$X$120*$J$120)</f>
        <v>0</v>
      </c>
      <c r="V121" s="809"/>
      <c r="W121" s="690">
        <f>T121</f>
        <v>45991</v>
      </c>
      <c r="X121" s="800"/>
      <c r="Y121" s="479"/>
    </row>
    <row r="122" spans="1:25" ht="15" customHeight="1">
      <c r="B122" s="310">
        <v>11</v>
      </c>
      <c r="C122" s="312"/>
      <c r="D122" s="312" t="s">
        <v>443</v>
      </c>
      <c r="E122" s="313"/>
      <c r="F122" s="456"/>
      <c r="G122" s="314">
        <v>80000</v>
      </c>
      <c r="H122" s="540">
        <f>'Project Plan'!I13+7</f>
        <v>45937</v>
      </c>
      <c r="I122" s="787"/>
      <c r="J122" s="787"/>
      <c r="K122" s="287"/>
      <c r="L122" s="310">
        <v>11</v>
      </c>
      <c r="M122" s="388" t="s">
        <v>438</v>
      </c>
      <c r="N122" s="386" t="s">
        <v>443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809"/>
      <c r="W122" s="575"/>
      <c r="X122" s="800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87"/>
      <c r="J123" s="787"/>
      <c r="K123" s="287"/>
      <c r="L123" s="310">
        <v>11</v>
      </c>
      <c r="M123" s="388" t="s">
        <v>438</v>
      </c>
      <c r="N123" s="386" t="s">
        <v>444</v>
      </c>
      <c r="O123" s="556"/>
      <c r="P123" s="442"/>
      <c r="Q123" s="385">
        <v>6000</v>
      </c>
      <c r="R123" s="592"/>
      <c r="S123" s="629"/>
      <c r="T123" s="516">
        <v>46081</v>
      </c>
      <c r="U123" s="502">
        <f>(Q123/$X$120*$J$120)</f>
        <v>49401.129943502827</v>
      </c>
      <c r="V123" s="809"/>
      <c r="W123" s="576">
        <f>T123+30</f>
        <v>46111</v>
      </c>
      <c r="X123" s="800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88"/>
      <c r="J124" s="788"/>
      <c r="K124" s="288"/>
      <c r="L124" s="315">
        <v>11</v>
      </c>
      <c r="M124" s="417" t="s">
        <v>438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810"/>
      <c r="W124" s="577"/>
      <c r="X124" s="801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445</v>
      </c>
      <c r="D126" s="269" t="s">
        <v>446</v>
      </c>
      <c r="E126" s="270"/>
      <c r="F126" s="467"/>
      <c r="G126" s="337">
        <v>13353.69</v>
      </c>
      <c r="H126" s="547">
        <f>H138</f>
        <v>45991</v>
      </c>
      <c r="I126" s="817">
        <f>SUM(G126:G127)</f>
        <v>13353.69</v>
      </c>
      <c r="J126" s="817">
        <v>0</v>
      </c>
      <c r="K126" s="841"/>
      <c r="L126" s="268">
        <v>12</v>
      </c>
      <c r="M126" s="269" t="s">
        <v>447</v>
      </c>
      <c r="N126" s="269" t="s">
        <v>446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20">
        <f>SUM(Q126:Q127)</f>
        <v>0</v>
      </c>
      <c r="Y126" s="479"/>
    </row>
    <row r="127" spans="1:25" ht="15" customHeight="1" thickBot="1">
      <c r="B127" s="272">
        <v>12</v>
      </c>
      <c r="C127" s="343" t="s">
        <v>445</v>
      </c>
      <c r="D127" s="343"/>
      <c r="E127" s="344"/>
      <c r="F127" s="469"/>
      <c r="G127" s="273"/>
      <c r="H127" s="549"/>
      <c r="I127" s="819"/>
      <c r="J127" s="819"/>
      <c r="K127" s="842"/>
      <c r="L127" s="272">
        <v>12</v>
      </c>
      <c r="M127" s="343" t="s">
        <v>447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22"/>
      <c r="Y127" s="479"/>
    </row>
    <row r="128" spans="1:25" ht="14.4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448</v>
      </c>
      <c r="D129" s="350" t="s">
        <v>449</v>
      </c>
      <c r="E129" s="282"/>
      <c r="F129" s="435"/>
      <c r="G129" s="283">
        <f>D179</f>
        <v>31300.775778985513</v>
      </c>
      <c r="H129" s="540">
        <f>H138</f>
        <v>45991</v>
      </c>
      <c r="I129" s="786">
        <f>SUM(G129:G133)</f>
        <v>31300.775778985513</v>
      </c>
      <c r="J129" s="786">
        <f>F179</f>
        <v>35569.063385210808</v>
      </c>
      <c r="K129" s="284"/>
      <c r="L129" s="280">
        <v>13</v>
      </c>
      <c r="M129" s="350" t="s">
        <v>450</v>
      </c>
      <c r="N129" s="350" t="s">
        <v>451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46081</v>
      </c>
      <c r="U129" s="509">
        <f t="shared" ref="U129:U134" si="17">(Q129/$X$129*$J$129)</f>
        <v>35569.063385210808</v>
      </c>
      <c r="V129" s="808">
        <f>J129-SUM(U129:U134)</f>
        <v>0</v>
      </c>
      <c r="W129" s="582">
        <f>T129+31</f>
        <v>46112</v>
      </c>
      <c r="X129" s="799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87"/>
      <c r="J130" s="787"/>
      <c r="K130" s="287"/>
      <c r="L130" s="310">
        <v>13</v>
      </c>
      <c r="M130" s="388" t="s">
        <v>450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809"/>
      <c r="W130" s="575"/>
      <c r="X130" s="800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87"/>
      <c r="J131" s="787"/>
      <c r="K131" s="287"/>
      <c r="L131" s="310">
        <v>13</v>
      </c>
      <c r="M131" s="388" t="s">
        <v>450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809"/>
      <c r="W131" s="575"/>
      <c r="X131" s="800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87"/>
      <c r="J132" s="787"/>
      <c r="K132" s="287"/>
      <c r="L132" s="310">
        <v>13</v>
      </c>
      <c r="M132" s="388" t="s">
        <v>450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809"/>
      <c r="W132" s="575"/>
      <c r="X132" s="800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87"/>
      <c r="J133" s="787"/>
      <c r="K133" s="287"/>
      <c r="L133" s="310">
        <v>13</v>
      </c>
      <c r="M133" s="388" t="s">
        <v>450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809"/>
      <c r="W133" s="575"/>
      <c r="X133" s="800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88"/>
      <c r="J134" s="788"/>
      <c r="K134" s="363"/>
      <c r="L134" s="315">
        <v>13</v>
      </c>
      <c r="M134" s="417" t="s">
        <v>450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810"/>
      <c r="W134" s="577"/>
      <c r="X134" s="801"/>
      <c r="Y134" s="479"/>
    </row>
    <row r="135" spans="1:25" ht="14.4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452</v>
      </c>
      <c r="D136" s="269" t="s">
        <v>453</v>
      </c>
      <c r="E136" s="270"/>
      <c r="F136" s="467"/>
      <c r="G136" s="337">
        <f>D190</f>
        <v>6300</v>
      </c>
      <c r="H136" s="547">
        <v>45930</v>
      </c>
      <c r="I136" s="817">
        <f>SUM(G136:G147)</f>
        <v>6300</v>
      </c>
      <c r="J136" s="817">
        <f>F190</f>
        <v>7000</v>
      </c>
      <c r="K136" s="338"/>
      <c r="L136" s="268">
        <v>14</v>
      </c>
      <c r="M136" s="432" t="s">
        <v>454</v>
      </c>
      <c r="N136" s="269" t="s">
        <v>376</v>
      </c>
      <c r="O136" s="566"/>
      <c r="P136" s="656"/>
      <c r="Q136" s="661">
        <v>28.56</v>
      </c>
      <c r="R136" s="658"/>
      <c r="S136" s="646" t="s">
        <v>455</v>
      </c>
      <c r="T136" s="688">
        <v>45930</v>
      </c>
      <c r="U136" s="695">
        <v>62.896405919661731</v>
      </c>
      <c r="V136" s="829">
        <f>J136-SUM(U136:U147)</f>
        <v>5.8632268701330759E-4</v>
      </c>
      <c r="W136" s="689">
        <v>45940</v>
      </c>
      <c r="X136" s="843">
        <f>SUM(Q136:Q147)</f>
        <v>1159.68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818"/>
      <c r="J137" s="818"/>
      <c r="K137" s="271"/>
      <c r="L137" s="339">
        <v>14</v>
      </c>
      <c r="M137" s="433" t="s">
        <v>454</v>
      </c>
      <c r="N137" s="340" t="s">
        <v>376</v>
      </c>
      <c r="O137" s="567"/>
      <c r="P137" s="657"/>
      <c r="Q137" s="660">
        <v>37</v>
      </c>
      <c r="R137" s="659"/>
      <c r="S137" s="646" t="s">
        <v>455</v>
      </c>
      <c r="T137" s="706">
        <v>45961</v>
      </c>
      <c r="U137" s="711">
        <v>299.72248585606377</v>
      </c>
      <c r="V137" s="830"/>
      <c r="W137" s="689">
        <v>45967</v>
      </c>
      <c r="X137" s="844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818"/>
      <c r="J138" s="818"/>
      <c r="K138" s="271"/>
      <c r="L138" s="339">
        <v>14</v>
      </c>
      <c r="M138" s="433" t="s">
        <v>454</v>
      </c>
      <c r="N138" s="340" t="s">
        <v>376</v>
      </c>
      <c r="O138" s="567"/>
      <c r="P138" s="468"/>
      <c r="Q138" s="342">
        <v>37</v>
      </c>
      <c r="R138" s="606"/>
      <c r="S138" s="646" t="s">
        <v>455</v>
      </c>
      <c r="T138" s="706">
        <v>45991</v>
      </c>
      <c r="U138" s="711">
        <v>234.90785081991004</v>
      </c>
      <c r="V138" s="830"/>
      <c r="W138" s="689">
        <v>45996</v>
      </c>
      <c r="X138" s="844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818"/>
      <c r="J139" s="818"/>
      <c r="K139" s="271"/>
      <c r="L139" s="339">
        <v>14</v>
      </c>
      <c r="M139" s="433" t="s">
        <v>454</v>
      </c>
      <c r="N139" s="340" t="s">
        <v>376</v>
      </c>
      <c r="O139" s="567"/>
      <c r="P139" s="468"/>
      <c r="Q139" s="342">
        <v>57.12</v>
      </c>
      <c r="R139" s="606"/>
      <c r="S139" s="646" t="s">
        <v>455</v>
      </c>
      <c r="T139" s="706">
        <v>46022</v>
      </c>
      <c r="U139" s="711">
        <v>366.32476821192051</v>
      </c>
      <c r="V139" s="830"/>
      <c r="W139" s="689">
        <v>46030</v>
      </c>
      <c r="X139" s="844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818"/>
      <c r="J140" s="818"/>
      <c r="K140" s="271"/>
      <c r="L140" s="339">
        <v>14</v>
      </c>
      <c r="M140" s="433" t="s">
        <v>454</v>
      </c>
      <c r="N140" s="340" t="s">
        <v>376</v>
      </c>
      <c r="O140" s="567"/>
      <c r="P140" s="468"/>
      <c r="Q140" s="342">
        <v>500</v>
      </c>
      <c r="R140" s="606"/>
      <c r="S140" s="640"/>
      <c r="T140" s="530">
        <v>46053</v>
      </c>
      <c r="U140" s="514">
        <f>(Q140/$X$136*$J$136)</f>
        <v>3018.0739514348784</v>
      </c>
      <c r="V140" s="830"/>
      <c r="W140" s="588">
        <v>46053</v>
      </c>
      <c r="X140" s="844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818"/>
      <c r="J141" s="818"/>
      <c r="K141" s="271"/>
      <c r="L141" s="339">
        <v>14</v>
      </c>
      <c r="M141" s="433" t="s">
        <v>454</v>
      </c>
      <c r="N141" s="340" t="s">
        <v>376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3018.0739514348784</v>
      </c>
      <c r="V141" s="830"/>
      <c r="W141" s="588">
        <v>46086</v>
      </c>
      <c r="X141" s="844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818"/>
      <c r="J142" s="818"/>
      <c r="K142" s="271"/>
      <c r="L142" s="339">
        <v>14</v>
      </c>
      <c r="M142" s="433" t="s">
        <v>454</v>
      </c>
      <c r="N142" s="340" t="s">
        <v>376</v>
      </c>
      <c r="O142" s="567"/>
      <c r="P142" s="468"/>
      <c r="Q142" s="342"/>
      <c r="R142" s="606"/>
      <c r="S142" s="640"/>
      <c r="T142" s="530" t="str">
        <f t="shared" ref="T142:T147" si="18">IF(W142&gt;1,EOMONTH(W142,0),"")</f>
        <v/>
      </c>
      <c r="U142" s="514">
        <f t="shared" ref="U142:U147" si="19">(Q142/$X$136*$J$136)</f>
        <v>0</v>
      </c>
      <c r="V142" s="830"/>
      <c r="W142" s="588"/>
      <c r="X142" s="844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818"/>
      <c r="J143" s="818"/>
      <c r="K143" s="271"/>
      <c r="L143" s="339">
        <v>14</v>
      </c>
      <c r="M143" s="433" t="s">
        <v>454</v>
      </c>
      <c r="N143" s="340" t="s">
        <v>376</v>
      </c>
      <c r="O143" s="567"/>
      <c r="P143" s="468"/>
      <c r="Q143" s="342"/>
      <c r="R143" s="606"/>
      <c r="S143" s="640"/>
      <c r="T143" s="530" t="str">
        <f t="shared" si="18"/>
        <v/>
      </c>
      <c r="U143" s="514">
        <f t="shared" si="19"/>
        <v>0</v>
      </c>
      <c r="V143" s="830"/>
      <c r="W143" s="588"/>
      <c r="X143" s="844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818"/>
      <c r="J144" s="818"/>
      <c r="K144" s="271"/>
      <c r="L144" s="339">
        <v>14</v>
      </c>
      <c r="M144" s="433" t="s">
        <v>454</v>
      </c>
      <c r="N144" s="340" t="s">
        <v>376</v>
      </c>
      <c r="O144" s="567"/>
      <c r="P144" s="468"/>
      <c r="Q144" s="342"/>
      <c r="R144" s="606"/>
      <c r="S144" s="640"/>
      <c r="T144" s="530" t="str">
        <f t="shared" si="18"/>
        <v/>
      </c>
      <c r="U144" s="514">
        <f t="shared" si="19"/>
        <v>0</v>
      </c>
      <c r="V144" s="830"/>
      <c r="W144" s="588"/>
      <c r="X144" s="844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818"/>
      <c r="J145" s="818"/>
      <c r="K145" s="271"/>
      <c r="L145" s="339">
        <v>14</v>
      </c>
      <c r="M145" s="433" t="s">
        <v>454</v>
      </c>
      <c r="N145" s="340" t="s">
        <v>376</v>
      </c>
      <c r="O145" s="567"/>
      <c r="P145" s="468"/>
      <c r="Q145" s="342"/>
      <c r="R145" s="606"/>
      <c r="S145" s="640"/>
      <c r="T145" s="530" t="str">
        <f t="shared" si="18"/>
        <v/>
      </c>
      <c r="U145" s="514">
        <f t="shared" si="19"/>
        <v>0</v>
      </c>
      <c r="V145" s="830"/>
      <c r="W145" s="588"/>
      <c r="X145" s="844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818"/>
      <c r="J146" s="818"/>
      <c r="K146" s="271"/>
      <c r="L146" s="339">
        <v>14</v>
      </c>
      <c r="M146" s="433" t="s">
        <v>454</v>
      </c>
      <c r="N146" s="340"/>
      <c r="O146" s="567"/>
      <c r="P146" s="468"/>
      <c r="Q146" s="342"/>
      <c r="R146" s="606"/>
      <c r="S146" s="642"/>
      <c r="T146" s="530" t="str">
        <f t="shared" si="18"/>
        <v/>
      </c>
      <c r="U146" s="514">
        <f t="shared" si="19"/>
        <v>0</v>
      </c>
      <c r="V146" s="830"/>
      <c r="W146" s="588"/>
      <c r="X146" s="844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819"/>
      <c r="J147" s="819"/>
      <c r="K147" s="274"/>
      <c r="L147" s="272">
        <v>14</v>
      </c>
      <c r="M147" s="434" t="s">
        <v>454</v>
      </c>
      <c r="N147" s="343"/>
      <c r="O147" s="568"/>
      <c r="P147" s="469"/>
      <c r="Q147" s="273"/>
      <c r="R147" s="607"/>
      <c r="S147" s="643"/>
      <c r="T147" s="531" t="str">
        <f t="shared" si="18"/>
        <v/>
      </c>
      <c r="U147" s="515">
        <f t="shared" si="19"/>
        <v>0</v>
      </c>
      <c r="V147" s="831"/>
      <c r="W147" s="589"/>
      <c r="X147" s="845"/>
      <c r="Y147" s="479"/>
    </row>
    <row r="148" spans="1:25" ht="14.4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456</v>
      </c>
      <c r="D149" s="281"/>
      <c r="E149" s="282"/>
      <c r="F149" s="435"/>
      <c r="G149" s="283"/>
      <c r="H149" s="540"/>
      <c r="I149" s="786">
        <f>SUM(G149:G162)</f>
        <v>0</v>
      </c>
      <c r="J149" s="786">
        <f>F187</f>
        <v>0</v>
      </c>
      <c r="K149" s="284"/>
      <c r="L149" s="280">
        <v>15</v>
      </c>
      <c r="M149" s="350" t="s">
        <v>457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808">
        <v>0</v>
      </c>
      <c r="W149" s="582"/>
      <c r="X149" s="799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87"/>
      <c r="J150" s="787"/>
      <c r="K150" s="287"/>
      <c r="L150" s="310">
        <v>15</v>
      </c>
      <c r="M150" s="388" t="s">
        <v>457</v>
      </c>
      <c r="N150" s="312"/>
      <c r="O150" s="555"/>
      <c r="P150" s="456"/>
      <c r="Q150" s="314"/>
      <c r="R150" s="591"/>
      <c r="S150" s="628"/>
      <c r="T150" s="516"/>
      <c r="U150" s="501"/>
      <c r="V150" s="809"/>
      <c r="W150" s="575"/>
      <c r="X150" s="800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87"/>
      <c r="J151" s="787"/>
      <c r="K151" s="287"/>
      <c r="L151" s="310">
        <v>15</v>
      </c>
      <c r="M151" s="388" t="s">
        <v>457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809"/>
      <c r="W151" s="575"/>
      <c r="X151" s="800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87"/>
      <c r="J152" s="787"/>
      <c r="K152" s="287"/>
      <c r="L152" s="310">
        <v>15</v>
      </c>
      <c r="M152" s="388" t="s">
        <v>457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809"/>
      <c r="W152" s="575"/>
      <c r="X152" s="800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87"/>
      <c r="J153" s="787"/>
      <c r="K153" s="287"/>
      <c r="L153" s="310">
        <v>15</v>
      </c>
      <c r="M153" s="388" t="s">
        <v>457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809"/>
      <c r="W153" s="575"/>
      <c r="X153" s="800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87"/>
      <c r="J154" s="787"/>
      <c r="K154" s="287"/>
      <c r="L154" s="310">
        <v>15</v>
      </c>
      <c r="M154" s="388" t="s">
        <v>457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809"/>
      <c r="W154" s="575"/>
      <c r="X154" s="800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87"/>
      <c r="J155" s="787"/>
      <c r="K155" s="287"/>
      <c r="L155" s="310">
        <v>15</v>
      </c>
      <c r="M155" s="388" t="s">
        <v>457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809"/>
      <c r="W155" s="575"/>
      <c r="X155" s="800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87"/>
      <c r="J156" s="787"/>
      <c r="K156" s="287"/>
      <c r="L156" s="310">
        <v>15</v>
      </c>
      <c r="M156" s="388" t="s">
        <v>457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809"/>
      <c r="W156" s="575"/>
      <c r="X156" s="800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87"/>
      <c r="J157" s="787"/>
      <c r="K157" s="287"/>
      <c r="L157" s="310">
        <v>15</v>
      </c>
      <c r="M157" s="388" t="s">
        <v>457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809"/>
      <c r="W157" s="575"/>
      <c r="X157" s="800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87"/>
      <c r="J158" s="787"/>
      <c r="K158" s="287"/>
      <c r="L158" s="310">
        <v>15</v>
      </c>
      <c r="M158" s="388" t="s">
        <v>457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809"/>
      <c r="W158" s="575"/>
      <c r="X158" s="800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87"/>
      <c r="J159" s="787"/>
      <c r="K159" s="287"/>
      <c r="L159" s="310">
        <v>15</v>
      </c>
      <c r="M159" s="388" t="s">
        <v>457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809"/>
      <c r="W159" s="575"/>
      <c r="X159" s="800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87"/>
      <c r="J160" s="787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809"/>
      <c r="W160" s="576"/>
      <c r="X160" s="800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87"/>
      <c r="J161" s="787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809"/>
      <c r="W161" s="576"/>
      <c r="X161" s="800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88"/>
      <c r="J162" s="788"/>
      <c r="K162" s="288"/>
      <c r="L162" s="315">
        <v>16</v>
      </c>
      <c r="M162" s="417" t="s">
        <v>458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810"/>
      <c r="W162" s="577"/>
      <c r="X162" s="801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459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460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461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367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400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387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462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463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464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465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466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467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468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469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470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471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472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473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474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475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476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477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464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478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479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  <mergeCell ref="I126:I127"/>
    <mergeCell ref="J126:J127"/>
    <mergeCell ref="K126:K127"/>
    <mergeCell ref="X126:X127"/>
    <mergeCell ref="V120:V124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90"/>
  </cols>
  <sheetData>
    <row r="1" spans="1:1837">
      <c r="D1" s="186" t="s">
        <v>480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6" t="s">
        <v>481</v>
      </c>
      <c r="B2" s="191"/>
      <c r="C2" s="192" t="s">
        <v>328</v>
      </c>
      <c r="D2" s="192" t="s">
        <v>328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7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7"/>
      <c r="B4" s="194" t="s">
        <v>482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7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7"/>
      <c r="B6" s="198" t="s">
        <v>483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7"/>
      <c r="B7" s="203" t="s">
        <v>484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6" t="s">
        <v>167</v>
      </c>
      <c r="B8" s="191"/>
      <c r="C8" s="192" t="s">
        <v>328</v>
      </c>
      <c r="D8" s="192" t="s">
        <v>328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7"/>
      <c r="B9" s="208" t="s">
        <v>485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7"/>
      <c r="B10" s="208" t="s">
        <v>486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7"/>
      <c r="B11" s="211" t="s">
        <v>487</v>
      </c>
      <c r="C11" s="212">
        <f>'Revenue Tracking'!F5</f>
        <v>2217962.171875</v>
      </c>
      <c r="D11" s="212">
        <f>SUM(F11:AZG11)</f>
        <v>2217962.171875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68349.092000000004</v>
      </c>
      <c r="AJ11" s="213">
        <f>SUMIFS('Expenditure Breakdown'!$Q$6:$Q$170, 'Expenditure Breakdown'!$W$6:$W$170, "&gt;="&amp;AJ1,'Expenditure Breakdown'!$W$6:$W$170, "&lt;"&amp;AK1)</f>
        <v>42674.546000000002</v>
      </c>
      <c r="AK11" s="213">
        <f>SUMIFS('Expenditure Breakdown'!$Q$6:$Q$170, 'Expenditure Breakdown'!$W$6:$W$170, "&gt;="&amp;AK1,'Expenditure Breakdown'!$W$6:$W$170, "&lt;"&amp;AL1)</f>
        <v>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7"/>
      <c r="B12" s="211" t="s">
        <v>488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2093815.4480000001</v>
      </c>
      <c r="AJ12" s="213">
        <f t="shared" si="111"/>
        <v>2136489.9939999999</v>
      </c>
      <c r="AK12" s="213">
        <f t="shared" si="111"/>
        <v>2136489.9939999999</v>
      </c>
      <c r="AL12" s="213">
        <f t="shared" si="111"/>
        <v>2136489.9939999999</v>
      </c>
      <c r="AM12" s="213">
        <f t="shared" si="111"/>
        <v>2136489.9939999999</v>
      </c>
      <c r="AN12" s="213">
        <f t="shared" si="111"/>
        <v>2136989.9939999999</v>
      </c>
      <c r="AO12" s="213">
        <f t="shared" si="111"/>
        <v>2136989.9939999999</v>
      </c>
      <c r="AP12" s="213">
        <f t="shared" si="111"/>
        <v>2136989.9939999999</v>
      </c>
      <c r="AQ12" s="213">
        <f t="shared" si="111"/>
        <v>2170914.54</v>
      </c>
      <c r="AR12" s="213">
        <f t="shared" si="111"/>
        <v>2217962.171875</v>
      </c>
      <c r="AS12" s="213">
        <f t="shared" si="111"/>
        <v>2217962.171875</v>
      </c>
      <c r="AT12" s="213">
        <f t="shared" si="111"/>
        <v>2217962.171875</v>
      </c>
      <c r="AU12" s="213">
        <f t="shared" si="111"/>
        <v>2217962.171875</v>
      </c>
      <c r="AV12" s="213">
        <f t="shared" si="111"/>
        <v>2217962.171875</v>
      </c>
      <c r="AW12" s="213">
        <f t="shared" si="111"/>
        <v>2217962.171875</v>
      </c>
      <c r="AX12" s="213">
        <f t="shared" si="111"/>
        <v>2217962.171875</v>
      </c>
      <c r="AY12" s="213">
        <f t="shared" si="111"/>
        <v>2217962.171875</v>
      </c>
      <c r="AZ12" s="213">
        <f t="shared" si="111"/>
        <v>2217962.171875</v>
      </c>
      <c r="BA12" s="213">
        <f t="shared" si="111"/>
        <v>2217962.171875</v>
      </c>
      <c r="BB12" s="213">
        <f t="shared" si="111"/>
        <v>2217962.171875</v>
      </c>
      <c r="BC12" s="213">
        <f t="shared" si="111"/>
        <v>2217962.171875</v>
      </c>
      <c r="BD12" s="213">
        <f t="shared" si="111"/>
        <v>2217962.171875</v>
      </c>
      <c r="BE12" s="213">
        <f t="shared" si="111"/>
        <v>2217962.171875</v>
      </c>
      <c r="BF12" s="213">
        <f t="shared" si="111"/>
        <v>2217962.171875</v>
      </c>
      <c r="BG12" s="213">
        <f t="shared" si="111"/>
        <v>2217962.171875</v>
      </c>
      <c r="BH12" s="213">
        <f t="shared" si="111"/>
        <v>2217962.171875</v>
      </c>
      <c r="BI12" s="213">
        <f t="shared" si="111"/>
        <v>2217962.171875</v>
      </c>
      <c r="BJ12" s="213">
        <f t="shared" si="111"/>
        <v>2217962.171875</v>
      </c>
      <c r="BK12" s="213">
        <f t="shared" si="111"/>
        <v>2217962.171875</v>
      </c>
      <c r="BL12" s="213">
        <f t="shared" si="111"/>
        <v>2217962.171875</v>
      </c>
      <c r="BM12" s="213">
        <f t="shared" si="111"/>
        <v>2217962.171875</v>
      </c>
      <c r="BN12" s="213">
        <f t="shared" si="111"/>
        <v>2217962.171875</v>
      </c>
      <c r="BO12" s="213">
        <f t="shared" si="111"/>
        <v>2217962.171875</v>
      </c>
      <c r="BP12" s="213">
        <f t="shared" si="111"/>
        <v>2217962.171875</v>
      </c>
      <c r="BQ12" s="213">
        <f t="shared" si="111"/>
        <v>2217962.171875</v>
      </c>
      <c r="BR12" s="213">
        <f t="shared" si="111"/>
        <v>2217962.171875</v>
      </c>
      <c r="BS12" s="213">
        <f t="shared" si="111"/>
        <v>2217962.171875</v>
      </c>
      <c r="BT12" s="213">
        <f t="shared" si="111"/>
        <v>2217962.171875</v>
      </c>
      <c r="BU12" s="213">
        <f t="shared" ref="BU12:EF12" si="112">BT12+BU11</f>
        <v>2217962.171875</v>
      </c>
      <c r="BV12" s="213">
        <f t="shared" si="112"/>
        <v>2217962.171875</v>
      </c>
      <c r="BW12" s="213">
        <f t="shared" si="112"/>
        <v>2217962.171875</v>
      </c>
      <c r="BX12" s="213">
        <f t="shared" si="112"/>
        <v>2217962.171875</v>
      </c>
      <c r="BY12" s="213">
        <f t="shared" si="112"/>
        <v>2217962.171875</v>
      </c>
      <c r="BZ12" s="213">
        <f t="shared" si="112"/>
        <v>2217962.171875</v>
      </c>
      <c r="CA12" s="213">
        <f t="shared" si="112"/>
        <v>2217962.171875</v>
      </c>
      <c r="CB12" s="213">
        <f t="shared" si="112"/>
        <v>2217962.171875</v>
      </c>
      <c r="CC12" s="213">
        <f t="shared" si="112"/>
        <v>2217962.171875</v>
      </c>
      <c r="CD12" s="213">
        <f t="shared" si="112"/>
        <v>2217962.171875</v>
      </c>
      <c r="CE12" s="213">
        <f t="shared" si="112"/>
        <v>2217962.171875</v>
      </c>
      <c r="CF12" s="213">
        <f t="shared" si="112"/>
        <v>2217962.171875</v>
      </c>
      <c r="CG12" s="213">
        <f t="shared" si="112"/>
        <v>2217962.171875</v>
      </c>
      <c r="CH12" s="213">
        <f t="shared" si="112"/>
        <v>2217962.171875</v>
      </c>
      <c r="CI12" s="213">
        <f t="shared" si="112"/>
        <v>2217962.171875</v>
      </c>
      <c r="CJ12" s="213">
        <f t="shared" si="112"/>
        <v>2217962.171875</v>
      </c>
      <c r="CK12" s="213">
        <f t="shared" si="112"/>
        <v>2217962.171875</v>
      </c>
      <c r="CL12" s="213">
        <f t="shared" si="112"/>
        <v>2217962.171875</v>
      </c>
      <c r="CM12" s="213">
        <f t="shared" si="112"/>
        <v>2217962.171875</v>
      </c>
      <c r="CN12" s="213">
        <f t="shared" si="112"/>
        <v>2217962.171875</v>
      </c>
      <c r="CO12" s="213">
        <f t="shared" si="112"/>
        <v>2217962.171875</v>
      </c>
      <c r="CP12" s="213">
        <f t="shared" si="112"/>
        <v>2217962.171875</v>
      </c>
      <c r="CQ12" s="213">
        <f t="shared" si="112"/>
        <v>2217962.171875</v>
      </c>
      <c r="CR12" s="213">
        <f t="shared" si="112"/>
        <v>2217962.171875</v>
      </c>
      <c r="CS12" s="213">
        <f t="shared" si="112"/>
        <v>2217962.171875</v>
      </c>
      <c r="CT12" s="213">
        <f t="shared" si="112"/>
        <v>2217962.171875</v>
      </c>
      <c r="CU12" s="213">
        <f t="shared" si="112"/>
        <v>2217962.171875</v>
      </c>
      <c r="CV12" s="213">
        <f t="shared" si="112"/>
        <v>2217962.171875</v>
      </c>
      <c r="CW12" s="213">
        <f t="shared" si="112"/>
        <v>2217962.171875</v>
      </c>
      <c r="CX12" s="213">
        <f t="shared" si="112"/>
        <v>2217962.171875</v>
      </c>
      <c r="CY12" s="213">
        <f t="shared" si="112"/>
        <v>2217962.171875</v>
      </c>
      <c r="CZ12" s="213">
        <f t="shared" si="112"/>
        <v>2217962.171875</v>
      </c>
      <c r="DA12" s="213">
        <f t="shared" si="112"/>
        <v>2217962.171875</v>
      </c>
      <c r="DB12" s="213">
        <f t="shared" si="112"/>
        <v>2217962.171875</v>
      </c>
      <c r="DC12" s="213">
        <f t="shared" si="112"/>
        <v>2217962.171875</v>
      </c>
      <c r="DD12" s="213">
        <f t="shared" si="112"/>
        <v>2217962.171875</v>
      </c>
      <c r="DE12" s="213">
        <f t="shared" si="112"/>
        <v>2217962.171875</v>
      </c>
      <c r="DF12" s="213">
        <f t="shared" si="112"/>
        <v>2217962.171875</v>
      </c>
      <c r="DG12" s="213">
        <f t="shared" si="112"/>
        <v>2217962.171875</v>
      </c>
      <c r="DH12" s="213">
        <f t="shared" si="112"/>
        <v>2217962.171875</v>
      </c>
      <c r="DI12" s="213">
        <f t="shared" si="112"/>
        <v>2217962.171875</v>
      </c>
      <c r="DJ12" s="213">
        <f t="shared" si="112"/>
        <v>2217962.171875</v>
      </c>
      <c r="DK12" s="213">
        <f t="shared" si="112"/>
        <v>2217962.171875</v>
      </c>
      <c r="DL12" s="213">
        <f t="shared" si="112"/>
        <v>2217962.171875</v>
      </c>
      <c r="DM12" s="213">
        <f t="shared" si="112"/>
        <v>2217962.171875</v>
      </c>
      <c r="DN12" s="213">
        <f t="shared" si="112"/>
        <v>2217962.171875</v>
      </c>
      <c r="DO12" s="213">
        <f t="shared" si="112"/>
        <v>2217962.171875</v>
      </c>
      <c r="DP12" s="213">
        <f t="shared" si="112"/>
        <v>2217962.171875</v>
      </c>
      <c r="DQ12" s="213">
        <f t="shared" si="112"/>
        <v>2217962.171875</v>
      </c>
      <c r="DR12" s="213">
        <f t="shared" si="112"/>
        <v>2217962.171875</v>
      </c>
      <c r="DS12" s="213">
        <f t="shared" si="112"/>
        <v>2217962.171875</v>
      </c>
      <c r="DT12" s="213">
        <f t="shared" si="112"/>
        <v>2217962.171875</v>
      </c>
      <c r="DU12" s="213">
        <f t="shared" si="112"/>
        <v>2217962.171875</v>
      </c>
      <c r="DV12" s="213">
        <f t="shared" si="112"/>
        <v>2217962.171875</v>
      </c>
      <c r="DW12" s="213">
        <f t="shared" si="112"/>
        <v>2217962.171875</v>
      </c>
      <c r="DX12" s="213">
        <f t="shared" si="112"/>
        <v>2217962.171875</v>
      </c>
      <c r="DY12" s="213">
        <f t="shared" si="112"/>
        <v>2217962.171875</v>
      </c>
      <c r="DZ12" s="213">
        <f t="shared" si="112"/>
        <v>2217962.171875</v>
      </c>
      <c r="EA12" s="213">
        <f t="shared" si="112"/>
        <v>2217962.171875</v>
      </c>
      <c r="EB12" s="213">
        <f t="shared" si="112"/>
        <v>2217962.171875</v>
      </c>
      <c r="EC12" s="213">
        <f t="shared" si="112"/>
        <v>2217962.171875</v>
      </c>
      <c r="ED12" s="213">
        <f t="shared" si="112"/>
        <v>2217962.171875</v>
      </c>
      <c r="EE12" s="213">
        <f t="shared" si="112"/>
        <v>2217962.171875</v>
      </c>
      <c r="EF12" s="213">
        <f t="shared" si="112"/>
        <v>2217962.171875</v>
      </c>
      <c r="EG12" s="213">
        <f t="shared" ref="EG12:GR12" si="113">EF12+EG11</f>
        <v>2217962.171875</v>
      </c>
      <c r="EH12" s="213">
        <f t="shared" si="113"/>
        <v>2217962.171875</v>
      </c>
      <c r="EI12" s="213">
        <f t="shared" si="113"/>
        <v>2217962.171875</v>
      </c>
      <c r="EJ12" s="213">
        <f t="shared" si="113"/>
        <v>2217962.171875</v>
      </c>
      <c r="EK12" s="213">
        <f t="shared" si="113"/>
        <v>2217962.171875</v>
      </c>
      <c r="EL12" s="213">
        <f t="shared" si="113"/>
        <v>2217962.171875</v>
      </c>
      <c r="EM12" s="213">
        <f t="shared" si="113"/>
        <v>2217962.171875</v>
      </c>
      <c r="EN12" s="213">
        <f t="shared" si="113"/>
        <v>2217962.171875</v>
      </c>
      <c r="EO12" s="213">
        <f t="shared" si="113"/>
        <v>2217962.171875</v>
      </c>
      <c r="EP12" s="213">
        <f t="shared" si="113"/>
        <v>2217962.171875</v>
      </c>
      <c r="EQ12" s="213">
        <f t="shared" si="113"/>
        <v>2217962.171875</v>
      </c>
      <c r="ER12" s="213">
        <f t="shared" si="113"/>
        <v>2217962.171875</v>
      </c>
      <c r="ES12" s="213">
        <f t="shared" si="113"/>
        <v>2217962.171875</v>
      </c>
      <c r="ET12" s="213">
        <f t="shared" si="113"/>
        <v>2217962.171875</v>
      </c>
      <c r="EU12" s="213">
        <f t="shared" si="113"/>
        <v>2217962.171875</v>
      </c>
      <c r="EV12" s="213">
        <f t="shared" si="113"/>
        <v>2217962.171875</v>
      </c>
      <c r="EW12" s="213">
        <f t="shared" si="113"/>
        <v>2217962.171875</v>
      </c>
      <c r="EX12" s="213">
        <f t="shared" si="113"/>
        <v>2217962.171875</v>
      </c>
      <c r="EY12" s="213">
        <f t="shared" si="113"/>
        <v>2217962.171875</v>
      </c>
      <c r="EZ12" s="213">
        <f t="shared" si="113"/>
        <v>2217962.171875</v>
      </c>
      <c r="FA12" s="213">
        <f t="shared" si="113"/>
        <v>2217962.171875</v>
      </c>
      <c r="FB12" s="213">
        <f t="shared" si="113"/>
        <v>2217962.171875</v>
      </c>
      <c r="FC12" s="213">
        <f t="shared" si="113"/>
        <v>2217962.171875</v>
      </c>
      <c r="FD12" s="213">
        <f t="shared" si="113"/>
        <v>2217962.171875</v>
      </c>
      <c r="FE12" s="213">
        <f t="shared" si="113"/>
        <v>2217962.171875</v>
      </c>
      <c r="FF12" s="213">
        <f t="shared" si="113"/>
        <v>2217962.171875</v>
      </c>
      <c r="FG12" s="213">
        <f t="shared" si="113"/>
        <v>2217962.171875</v>
      </c>
      <c r="FH12" s="213">
        <f t="shared" si="113"/>
        <v>2217962.171875</v>
      </c>
      <c r="FI12" s="213">
        <f t="shared" si="113"/>
        <v>2217962.171875</v>
      </c>
      <c r="FJ12" s="213">
        <f t="shared" si="113"/>
        <v>2217962.171875</v>
      </c>
      <c r="FK12" s="213">
        <f t="shared" si="113"/>
        <v>2217962.171875</v>
      </c>
      <c r="FL12" s="213">
        <f t="shared" si="113"/>
        <v>2217962.171875</v>
      </c>
      <c r="FM12" s="213">
        <f t="shared" si="113"/>
        <v>2217962.171875</v>
      </c>
      <c r="FN12" s="213">
        <f t="shared" si="113"/>
        <v>2217962.171875</v>
      </c>
      <c r="FO12" s="213">
        <f t="shared" si="113"/>
        <v>2217962.171875</v>
      </c>
      <c r="FP12" s="213">
        <f t="shared" si="113"/>
        <v>2217962.171875</v>
      </c>
      <c r="FQ12" s="213">
        <f t="shared" si="113"/>
        <v>2217962.171875</v>
      </c>
      <c r="FR12" s="213">
        <f t="shared" si="113"/>
        <v>2217962.171875</v>
      </c>
      <c r="FS12" s="213">
        <f t="shared" si="113"/>
        <v>2217962.171875</v>
      </c>
      <c r="FT12" s="213">
        <f t="shared" si="113"/>
        <v>2217962.171875</v>
      </c>
      <c r="FU12" s="213">
        <f t="shared" si="113"/>
        <v>2217962.171875</v>
      </c>
      <c r="FV12" s="213">
        <f t="shared" si="113"/>
        <v>2217962.171875</v>
      </c>
      <c r="FW12" s="213">
        <f t="shared" si="113"/>
        <v>2217962.171875</v>
      </c>
      <c r="FX12" s="213">
        <f t="shared" si="113"/>
        <v>2217962.171875</v>
      </c>
      <c r="FY12" s="213">
        <f t="shared" si="113"/>
        <v>2217962.171875</v>
      </c>
      <c r="FZ12" s="213">
        <f t="shared" si="113"/>
        <v>2217962.171875</v>
      </c>
      <c r="GA12" s="213">
        <f t="shared" si="113"/>
        <v>2217962.171875</v>
      </c>
      <c r="GB12" s="213">
        <f t="shared" si="113"/>
        <v>2217962.171875</v>
      </c>
      <c r="GC12" s="213">
        <f t="shared" si="113"/>
        <v>2217962.171875</v>
      </c>
      <c r="GD12" s="213">
        <f t="shared" si="113"/>
        <v>2217962.171875</v>
      </c>
      <c r="GE12" s="213">
        <f t="shared" si="113"/>
        <v>2217962.171875</v>
      </c>
      <c r="GF12" s="213">
        <f t="shared" si="113"/>
        <v>2217962.171875</v>
      </c>
      <c r="GG12" s="213">
        <f t="shared" si="113"/>
        <v>2217962.171875</v>
      </c>
      <c r="GH12" s="213">
        <f t="shared" si="113"/>
        <v>2217962.171875</v>
      </c>
      <c r="GI12" s="213">
        <f t="shared" si="113"/>
        <v>2217962.171875</v>
      </c>
      <c r="GJ12" s="213">
        <f t="shared" si="113"/>
        <v>2217962.171875</v>
      </c>
      <c r="GK12" s="213">
        <f t="shared" si="113"/>
        <v>2217962.171875</v>
      </c>
      <c r="GL12" s="213">
        <f t="shared" si="113"/>
        <v>2217962.171875</v>
      </c>
      <c r="GM12" s="213">
        <f t="shared" si="113"/>
        <v>2217962.171875</v>
      </c>
      <c r="GN12" s="213">
        <f t="shared" si="113"/>
        <v>2217962.171875</v>
      </c>
      <c r="GO12" s="213">
        <f t="shared" si="113"/>
        <v>2217962.171875</v>
      </c>
      <c r="GP12" s="213">
        <f t="shared" si="113"/>
        <v>2217962.171875</v>
      </c>
      <c r="GQ12" s="213">
        <f t="shared" si="113"/>
        <v>2217962.171875</v>
      </c>
      <c r="GR12" s="213">
        <f t="shared" si="113"/>
        <v>2217962.171875</v>
      </c>
      <c r="GS12" s="213">
        <f t="shared" ref="GS12:JD12" si="114">GR12+GS11</f>
        <v>2217962.171875</v>
      </c>
      <c r="GT12" s="213">
        <f t="shared" si="114"/>
        <v>2217962.171875</v>
      </c>
      <c r="GU12" s="213">
        <f t="shared" si="114"/>
        <v>2217962.171875</v>
      </c>
      <c r="GV12" s="213">
        <f t="shared" si="114"/>
        <v>2217962.171875</v>
      </c>
      <c r="GW12" s="213">
        <f t="shared" si="114"/>
        <v>2217962.171875</v>
      </c>
      <c r="GX12" s="213">
        <f t="shared" si="114"/>
        <v>2217962.171875</v>
      </c>
      <c r="GY12" s="213">
        <f t="shared" si="114"/>
        <v>2217962.171875</v>
      </c>
      <c r="GZ12" s="213">
        <f t="shared" si="114"/>
        <v>2217962.171875</v>
      </c>
      <c r="HA12" s="213">
        <f t="shared" si="114"/>
        <v>2217962.171875</v>
      </c>
      <c r="HB12" s="213">
        <f t="shared" si="114"/>
        <v>2217962.171875</v>
      </c>
      <c r="HC12" s="213">
        <f t="shared" si="114"/>
        <v>2217962.171875</v>
      </c>
      <c r="HD12" s="213">
        <f t="shared" si="114"/>
        <v>2217962.171875</v>
      </c>
      <c r="HE12" s="213">
        <f t="shared" si="114"/>
        <v>2217962.171875</v>
      </c>
      <c r="HF12" s="213">
        <f t="shared" si="114"/>
        <v>2217962.171875</v>
      </c>
      <c r="HG12" s="213">
        <f t="shared" si="114"/>
        <v>2217962.171875</v>
      </c>
      <c r="HH12" s="213">
        <f t="shared" si="114"/>
        <v>2217962.171875</v>
      </c>
      <c r="HI12" s="213">
        <f t="shared" si="114"/>
        <v>2217962.171875</v>
      </c>
      <c r="HJ12" s="213">
        <f t="shared" si="114"/>
        <v>2217962.171875</v>
      </c>
      <c r="HK12" s="213">
        <f t="shared" si="114"/>
        <v>2217962.171875</v>
      </c>
      <c r="HL12" s="213">
        <f t="shared" si="114"/>
        <v>2217962.171875</v>
      </c>
      <c r="HM12" s="213">
        <f t="shared" si="114"/>
        <v>2217962.171875</v>
      </c>
      <c r="HN12" s="213">
        <f t="shared" si="114"/>
        <v>2217962.171875</v>
      </c>
      <c r="HO12" s="213">
        <f t="shared" si="114"/>
        <v>2217962.171875</v>
      </c>
      <c r="HP12" s="213">
        <f t="shared" si="114"/>
        <v>2217962.171875</v>
      </c>
      <c r="HQ12" s="213">
        <f t="shared" si="114"/>
        <v>2217962.171875</v>
      </c>
      <c r="HR12" s="213">
        <f t="shared" si="114"/>
        <v>2217962.171875</v>
      </c>
      <c r="HS12" s="213">
        <f t="shared" si="114"/>
        <v>2217962.171875</v>
      </c>
      <c r="HT12" s="213">
        <f t="shared" si="114"/>
        <v>2217962.171875</v>
      </c>
      <c r="HU12" s="213">
        <f t="shared" si="114"/>
        <v>2217962.171875</v>
      </c>
      <c r="HV12" s="213">
        <f t="shared" si="114"/>
        <v>2217962.171875</v>
      </c>
      <c r="HW12" s="213">
        <f t="shared" si="114"/>
        <v>2217962.171875</v>
      </c>
      <c r="HX12" s="213">
        <f t="shared" si="114"/>
        <v>2217962.171875</v>
      </c>
      <c r="HY12" s="213">
        <f t="shared" si="114"/>
        <v>2217962.171875</v>
      </c>
      <c r="HZ12" s="213">
        <f t="shared" si="114"/>
        <v>2217962.171875</v>
      </c>
      <c r="IA12" s="213">
        <f t="shared" si="114"/>
        <v>2217962.171875</v>
      </c>
      <c r="IB12" s="213">
        <f t="shared" si="114"/>
        <v>2217962.171875</v>
      </c>
      <c r="IC12" s="213">
        <f t="shared" si="114"/>
        <v>2217962.171875</v>
      </c>
      <c r="ID12" s="213">
        <f t="shared" si="114"/>
        <v>2217962.171875</v>
      </c>
      <c r="IE12" s="213">
        <f t="shared" si="114"/>
        <v>2217962.171875</v>
      </c>
      <c r="IF12" s="213">
        <f t="shared" si="114"/>
        <v>2217962.171875</v>
      </c>
      <c r="IG12" s="213">
        <f t="shared" si="114"/>
        <v>2217962.171875</v>
      </c>
      <c r="IH12" s="213">
        <f t="shared" si="114"/>
        <v>2217962.171875</v>
      </c>
      <c r="II12" s="213">
        <f t="shared" si="114"/>
        <v>2217962.171875</v>
      </c>
      <c r="IJ12" s="213">
        <f t="shared" si="114"/>
        <v>2217962.171875</v>
      </c>
      <c r="IK12" s="213">
        <f t="shared" si="114"/>
        <v>2217962.171875</v>
      </c>
      <c r="IL12" s="213">
        <f t="shared" si="114"/>
        <v>2217962.171875</v>
      </c>
      <c r="IM12" s="213">
        <f t="shared" si="114"/>
        <v>2217962.171875</v>
      </c>
      <c r="IN12" s="213">
        <f t="shared" si="114"/>
        <v>2217962.171875</v>
      </c>
      <c r="IO12" s="213">
        <f t="shared" si="114"/>
        <v>2217962.171875</v>
      </c>
      <c r="IP12" s="213">
        <f t="shared" si="114"/>
        <v>2217962.171875</v>
      </c>
      <c r="IQ12" s="213">
        <f t="shared" si="114"/>
        <v>2217962.171875</v>
      </c>
      <c r="IR12" s="213">
        <f t="shared" si="114"/>
        <v>2217962.171875</v>
      </c>
      <c r="IS12" s="213">
        <f t="shared" si="114"/>
        <v>2217962.171875</v>
      </c>
      <c r="IT12" s="213">
        <f t="shared" si="114"/>
        <v>2217962.171875</v>
      </c>
      <c r="IU12" s="213">
        <f t="shared" si="114"/>
        <v>2217962.171875</v>
      </c>
      <c r="IV12" s="213">
        <f t="shared" si="114"/>
        <v>2217962.171875</v>
      </c>
      <c r="IW12" s="213">
        <f t="shared" si="114"/>
        <v>2217962.171875</v>
      </c>
      <c r="IX12" s="213">
        <f t="shared" si="114"/>
        <v>2217962.171875</v>
      </c>
      <c r="IY12" s="213">
        <f t="shared" si="114"/>
        <v>2217962.171875</v>
      </c>
      <c r="IZ12" s="213">
        <f t="shared" si="114"/>
        <v>2217962.171875</v>
      </c>
      <c r="JA12" s="213">
        <f t="shared" si="114"/>
        <v>2217962.171875</v>
      </c>
      <c r="JB12" s="213">
        <f t="shared" si="114"/>
        <v>2217962.171875</v>
      </c>
      <c r="JC12" s="213">
        <f t="shared" si="114"/>
        <v>2217962.171875</v>
      </c>
      <c r="JD12" s="213">
        <f t="shared" si="114"/>
        <v>2217962.171875</v>
      </c>
      <c r="JE12" s="213">
        <f t="shared" ref="JE12:LP12" si="115">JD12+JE11</f>
        <v>2217962.171875</v>
      </c>
      <c r="JF12" s="213">
        <f t="shared" si="115"/>
        <v>2217962.171875</v>
      </c>
      <c r="JG12" s="213">
        <f t="shared" si="115"/>
        <v>2217962.171875</v>
      </c>
      <c r="JH12" s="213">
        <f t="shared" si="115"/>
        <v>2217962.171875</v>
      </c>
      <c r="JI12" s="213">
        <f t="shared" si="115"/>
        <v>2217962.171875</v>
      </c>
      <c r="JJ12" s="213">
        <f t="shared" si="115"/>
        <v>2217962.171875</v>
      </c>
      <c r="JK12" s="213">
        <f t="shared" si="115"/>
        <v>2217962.171875</v>
      </c>
      <c r="JL12" s="213">
        <f t="shared" si="115"/>
        <v>2217962.171875</v>
      </c>
      <c r="JM12" s="213">
        <f t="shared" si="115"/>
        <v>2217962.171875</v>
      </c>
      <c r="JN12" s="213">
        <f t="shared" si="115"/>
        <v>2217962.171875</v>
      </c>
      <c r="JO12" s="213">
        <f t="shared" si="115"/>
        <v>2217962.171875</v>
      </c>
      <c r="JP12" s="213">
        <f t="shared" si="115"/>
        <v>2217962.171875</v>
      </c>
      <c r="JQ12" s="213">
        <f t="shared" si="115"/>
        <v>2217962.171875</v>
      </c>
      <c r="JR12" s="213">
        <f t="shared" si="115"/>
        <v>2217962.171875</v>
      </c>
      <c r="JS12" s="213">
        <f t="shared" si="115"/>
        <v>2217962.171875</v>
      </c>
      <c r="JT12" s="213">
        <f t="shared" si="115"/>
        <v>2217962.171875</v>
      </c>
      <c r="JU12" s="213">
        <f t="shared" si="115"/>
        <v>2217962.171875</v>
      </c>
      <c r="JV12" s="213">
        <f t="shared" si="115"/>
        <v>2217962.171875</v>
      </c>
      <c r="JW12" s="213">
        <f t="shared" si="115"/>
        <v>2217962.171875</v>
      </c>
      <c r="JX12" s="213">
        <f t="shared" si="115"/>
        <v>2217962.171875</v>
      </c>
      <c r="JY12" s="213">
        <f t="shared" si="115"/>
        <v>2217962.171875</v>
      </c>
      <c r="JZ12" s="213">
        <f t="shared" si="115"/>
        <v>2217962.171875</v>
      </c>
      <c r="KA12" s="213">
        <f t="shared" si="115"/>
        <v>2217962.171875</v>
      </c>
      <c r="KB12" s="213">
        <f t="shared" si="115"/>
        <v>2217962.171875</v>
      </c>
      <c r="KC12" s="213">
        <f t="shared" si="115"/>
        <v>2217962.171875</v>
      </c>
      <c r="KD12" s="213">
        <f t="shared" si="115"/>
        <v>2217962.171875</v>
      </c>
      <c r="KE12" s="213">
        <f t="shared" si="115"/>
        <v>2217962.171875</v>
      </c>
      <c r="KF12" s="213">
        <f t="shared" si="115"/>
        <v>2217962.171875</v>
      </c>
      <c r="KG12" s="213">
        <f t="shared" si="115"/>
        <v>2217962.171875</v>
      </c>
      <c r="KH12" s="213">
        <f t="shared" si="115"/>
        <v>2217962.171875</v>
      </c>
      <c r="KI12" s="213">
        <f t="shared" si="115"/>
        <v>2217962.171875</v>
      </c>
      <c r="KJ12" s="213">
        <f t="shared" si="115"/>
        <v>2217962.171875</v>
      </c>
      <c r="KK12" s="213">
        <f t="shared" si="115"/>
        <v>2217962.171875</v>
      </c>
      <c r="KL12" s="213">
        <f t="shared" si="115"/>
        <v>2217962.171875</v>
      </c>
      <c r="KM12" s="213">
        <f t="shared" si="115"/>
        <v>2217962.171875</v>
      </c>
      <c r="KN12" s="213">
        <f t="shared" si="115"/>
        <v>2217962.171875</v>
      </c>
      <c r="KO12" s="213">
        <f t="shared" si="115"/>
        <v>2217962.171875</v>
      </c>
      <c r="KP12" s="213">
        <f t="shared" si="115"/>
        <v>2217962.171875</v>
      </c>
      <c r="KQ12" s="213">
        <f t="shared" si="115"/>
        <v>2217962.171875</v>
      </c>
      <c r="KR12" s="213">
        <f t="shared" si="115"/>
        <v>2217962.171875</v>
      </c>
      <c r="KS12" s="213">
        <f t="shared" si="115"/>
        <v>2217962.171875</v>
      </c>
      <c r="KT12" s="213">
        <f t="shared" si="115"/>
        <v>2217962.171875</v>
      </c>
      <c r="KU12" s="213">
        <f t="shared" si="115"/>
        <v>2217962.171875</v>
      </c>
      <c r="KV12" s="213">
        <f t="shared" si="115"/>
        <v>2217962.171875</v>
      </c>
      <c r="KW12" s="213">
        <f t="shared" si="115"/>
        <v>2217962.171875</v>
      </c>
      <c r="KX12" s="213">
        <f t="shared" si="115"/>
        <v>2217962.171875</v>
      </c>
      <c r="KY12" s="213">
        <f t="shared" si="115"/>
        <v>2217962.171875</v>
      </c>
      <c r="KZ12" s="213">
        <f t="shared" si="115"/>
        <v>2217962.171875</v>
      </c>
      <c r="LA12" s="213">
        <f t="shared" si="115"/>
        <v>2217962.171875</v>
      </c>
      <c r="LB12" s="213">
        <f t="shared" si="115"/>
        <v>2217962.171875</v>
      </c>
      <c r="LC12" s="213">
        <f t="shared" si="115"/>
        <v>2217962.171875</v>
      </c>
      <c r="LD12" s="213">
        <f t="shared" si="115"/>
        <v>2217962.171875</v>
      </c>
      <c r="LE12" s="213">
        <f t="shared" si="115"/>
        <v>2217962.171875</v>
      </c>
      <c r="LF12" s="213">
        <f t="shared" si="115"/>
        <v>2217962.171875</v>
      </c>
      <c r="LG12" s="213">
        <f t="shared" si="115"/>
        <v>2217962.171875</v>
      </c>
      <c r="LH12" s="213">
        <f t="shared" si="115"/>
        <v>2217962.171875</v>
      </c>
      <c r="LI12" s="213">
        <f t="shared" si="115"/>
        <v>2217962.171875</v>
      </c>
      <c r="LJ12" s="213">
        <f t="shared" si="115"/>
        <v>2217962.171875</v>
      </c>
      <c r="LK12" s="213">
        <f t="shared" si="115"/>
        <v>2217962.171875</v>
      </c>
      <c r="LL12" s="213">
        <f t="shared" si="115"/>
        <v>2217962.171875</v>
      </c>
      <c r="LM12" s="213">
        <f t="shared" si="115"/>
        <v>2217962.171875</v>
      </c>
      <c r="LN12" s="213">
        <f t="shared" si="115"/>
        <v>2217962.171875</v>
      </c>
      <c r="LO12" s="213">
        <f t="shared" si="115"/>
        <v>2217962.171875</v>
      </c>
      <c r="LP12" s="213">
        <f t="shared" si="115"/>
        <v>2217962.171875</v>
      </c>
      <c r="LQ12" s="213">
        <f t="shared" ref="LQ12:OB12" si="116">LP12+LQ11</f>
        <v>2217962.171875</v>
      </c>
      <c r="LR12" s="213">
        <f t="shared" si="116"/>
        <v>2217962.171875</v>
      </c>
      <c r="LS12" s="213">
        <f t="shared" si="116"/>
        <v>2217962.171875</v>
      </c>
      <c r="LT12" s="213">
        <f t="shared" si="116"/>
        <v>2217962.171875</v>
      </c>
      <c r="LU12" s="213">
        <f t="shared" si="116"/>
        <v>2217962.171875</v>
      </c>
      <c r="LV12" s="213">
        <f t="shared" si="116"/>
        <v>2217962.171875</v>
      </c>
      <c r="LW12" s="213">
        <f t="shared" si="116"/>
        <v>2217962.171875</v>
      </c>
      <c r="LX12" s="213">
        <f t="shared" si="116"/>
        <v>2217962.171875</v>
      </c>
      <c r="LY12" s="213">
        <f t="shared" si="116"/>
        <v>2217962.171875</v>
      </c>
      <c r="LZ12" s="213">
        <f t="shared" si="116"/>
        <v>2217962.171875</v>
      </c>
      <c r="MA12" s="213">
        <f t="shared" si="116"/>
        <v>2217962.171875</v>
      </c>
      <c r="MB12" s="213">
        <f t="shared" si="116"/>
        <v>2217962.171875</v>
      </c>
      <c r="MC12" s="213">
        <f t="shared" si="116"/>
        <v>2217962.171875</v>
      </c>
      <c r="MD12" s="213">
        <f t="shared" si="116"/>
        <v>2217962.171875</v>
      </c>
      <c r="ME12" s="213">
        <f t="shared" si="116"/>
        <v>2217962.171875</v>
      </c>
      <c r="MF12" s="213">
        <f t="shared" si="116"/>
        <v>2217962.171875</v>
      </c>
      <c r="MG12" s="213">
        <f t="shared" si="116"/>
        <v>2217962.171875</v>
      </c>
      <c r="MH12" s="213">
        <f t="shared" si="116"/>
        <v>2217962.171875</v>
      </c>
      <c r="MI12" s="213">
        <f t="shared" si="116"/>
        <v>2217962.171875</v>
      </c>
      <c r="MJ12" s="213">
        <f t="shared" si="116"/>
        <v>2217962.171875</v>
      </c>
      <c r="MK12" s="213">
        <f t="shared" si="116"/>
        <v>2217962.171875</v>
      </c>
      <c r="ML12" s="213">
        <f t="shared" si="116"/>
        <v>2217962.171875</v>
      </c>
      <c r="MM12" s="213">
        <f t="shared" si="116"/>
        <v>2217962.171875</v>
      </c>
      <c r="MN12" s="213">
        <f t="shared" si="116"/>
        <v>2217962.171875</v>
      </c>
      <c r="MO12" s="213">
        <f t="shared" si="116"/>
        <v>2217962.171875</v>
      </c>
      <c r="MP12" s="213">
        <f t="shared" si="116"/>
        <v>2217962.171875</v>
      </c>
      <c r="MQ12" s="213">
        <f t="shared" si="116"/>
        <v>2217962.171875</v>
      </c>
      <c r="MR12" s="213">
        <f t="shared" si="116"/>
        <v>2217962.171875</v>
      </c>
      <c r="MS12" s="213">
        <f t="shared" si="116"/>
        <v>2217962.171875</v>
      </c>
      <c r="MT12" s="213">
        <f t="shared" si="116"/>
        <v>2217962.171875</v>
      </c>
      <c r="MU12" s="213">
        <f t="shared" si="116"/>
        <v>2217962.171875</v>
      </c>
      <c r="MV12" s="213">
        <f t="shared" si="116"/>
        <v>2217962.171875</v>
      </c>
      <c r="MW12" s="213">
        <f t="shared" si="116"/>
        <v>2217962.171875</v>
      </c>
      <c r="MX12" s="213">
        <f t="shared" si="116"/>
        <v>2217962.171875</v>
      </c>
      <c r="MY12" s="213">
        <f t="shared" si="116"/>
        <v>2217962.171875</v>
      </c>
      <c r="MZ12" s="213">
        <f t="shared" si="116"/>
        <v>2217962.171875</v>
      </c>
      <c r="NA12" s="213">
        <f t="shared" si="116"/>
        <v>2217962.171875</v>
      </c>
      <c r="NB12" s="213">
        <f t="shared" si="116"/>
        <v>2217962.171875</v>
      </c>
      <c r="NC12" s="213">
        <f t="shared" si="116"/>
        <v>2217962.171875</v>
      </c>
      <c r="ND12" s="213">
        <f t="shared" si="116"/>
        <v>2217962.171875</v>
      </c>
      <c r="NE12" s="213">
        <f t="shared" si="116"/>
        <v>2217962.171875</v>
      </c>
      <c r="NF12" s="213">
        <f t="shared" si="116"/>
        <v>2217962.171875</v>
      </c>
      <c r="NG12" s="213">
        <f t="shared" si="116"/>
        <v>2217962.171875</v>
      </c>
      <c r="NH12" s="213">
        <f t="shared" si="116"/>
        <v>2217962.171875</v>
      </c>
      <c r="NI12" s="213">
        <f t="shared" si="116"/>
        <v>2217962.171875</v>
      </c>
      <c r="NJ12" s="213">
        <f t="shared" si="116"/>
        <v>2217962.171875</v>
      </c>
      <c r="NK12" s="213">
        <f t="shared" si="116"/>
        <v>2217962.171875</v>
      </c>
      <c r="NL12" s="213">
        <f t="shared" si="116"/>
        <v>2217962.171875</v>
      </c>
      <c r="NM12" s="213">
        <f t="shared" si="116"/>
        <v>2217962.171875</v>
      </c>
      <c r="NN12" s="213">
        <f t="shared" si="116"/>
        <v>2217962.171875</v>
      </c>
      <c r="NO12" s="213">
        <f t="shared" si="116"/>
        <v>2217962.171875</v>
      </c>
      <c r="NP12" s="213">
        <f t="shared" si="116"/>
        <v>2217962.171875</v>
      </c>
      <c r="NQ12" s="213">
        <f t="shared" si="116"/>
        <v>2217962.171875</v>
      </c>
      <c r="NR12" s="213">
        <f t="shared" si="116"/>
        <v>2217962.171875</v>
      </c>
      <c r="NS12" s="213">
        <f t="shared" si="116"/>
        <v>2217962.171875</v>
      </c>
      <c r="NT12" s="213">
        <f t="shared" si="116"/>
        <v>2217962.171875</v>
      </c>
      <c r="NU12" s="213">
        <f t="shared" si="116"/>
        <v>2217962.171875</v>
      </c>
      <c r="NV12" s="213">
        <f t="shared" si="116"/>
        <v>2217962.171875</v>
      </c>
      <c r="NW12" s="213">
        <f t="shared" si="116"/>
        <v>2217962.171875</v>
      </c>
      <c r="NX12" s="213">
        <f t="shared" si="116"/>
        <v>2217962.171875</v>
      </c>
      <c r="NY12" s="213">
        <f t="shared" si="116"/>
        <v>2217962.171875</v>
      </c>
      <c r="NZ12" s="213">
        <f t="shared" si="116"/>
        <v>2217962.171875</v>
      </c>
      <c r="OA12" s="213">
        <f t="shared" si="116"/>
        <v>2217962.171875</v>
      </c>
      <c r="OB12" s="213">
        <f t="shared" si="116"/>
        <v>2217962.171875</v>
      </c>
      <c r="OC12" s="213">
        <f t="shared" ref="OC12:QN12" si="117">OB12+OC11</f>
        <v>2217962.171875</v>
      </c>
      <c r="OD12" s="213">
        <f t="shared" si="117"/>
        <v>2217962.171875</v>
      </c>
      <c r="OE12" s="213">
        <f t="shared" si="117"/>
        <v>2217962.171875</v>
      </c>
      <c r="OF12" s="213">
        <f t="shared" si="117"/>
        <v>2217962.171875</v>
      </c>
      <c r="OG12" s="213">
        <f t="shared" si="117"/>
        <v>2217962.171875</v>
      </c>
      <c r="OH12" s="213">
        <f t="shared" si="117"/>
        <v>2217962.171875</v>
      </c>
      <c r="OI12" s="213">
        <f t="shared" si="117"/>
        <v>2217962.171875</v>
      </c>
      <c r="OJ12" s="213">
        <f t="shared" si="117"/>
        <v>2217962.171875</v>
      </c>
      <c r="OK12" s="213">
        <f t="shared" si="117"/>
        <v>2217962.171875</v>
      </c>
      <c r="OL12" s="213">
        <f t="shared" si="117"/>
        <v>2217962.171875</v>
      </c>
      <c r="OM12" s="213">
        <f t="shared" si="117"/>
        <v>2217962.171875</v>
      </c>
      <c r="ON12" s="213">
        <f t="shared" si="117"/>
        <v>2217962.171875</v>
      </c>
      <c r="OO12" s="213">
        <f t="shared" si="117"/>
        <v>2217962.171875</v>
      </c>
      <c r="OP12" s="213">
        <f t="shared" si="117"/>
        <v>2217962.171875</v>
      </c>
      <c r="OQ12" s="213">
        <f t="shared" si="117"/>
        <v>2217962.171875</v>
      </c>
      <c r="OR12" s="213">
        <f t="shared" si="117"/>
        <v>2217962.171875</v>
      </c>
      <c r="OS12" s="213">
        <f t="shared" si="117"/>
        <v>2217962.171875</v>
      </c>
      <c r="OT12" s="213">
        <f t="shared" si="117"/>
        <v>2217962.171875</v>
      </c>
      <c r="OU12" s="213">
        <f t="shared" si="117"/>
        <v>2217962.171875</v>
      </c>
      <c r="OV12" s="213">
        <f t="shared" si="117"/>
        <v>2217962.171875</v>
      </c>
      <c r="OW12" s="213">
        <f t="shared" si="117"/>
        <v>2217962.171875</v>
      </c>
      <c r="OX12" s="213">
        <f t="shared" si="117"/>
        <v>2217962.171875</v>
      </c>
      <c r="OY12" s="213">
        <f t="shared" si="117"/>
        <v>2217962.171875</v>
      </c>
      <c r="OZ12" s="213">
        <f t="shared" si="117"/>
        <v>2217962.171875</v>
      </c>
      <c r="PA12" s="213">
        <f t="shared" si="117"/>
        <v>2217962.171875</v>
      </c>
      <c r="PB12" s="213">
        <f t="shared" si="117"/>
        <v>2217962.171875</v>
      </c>
      <c r="PC12" s="213">
        <f t="shared" si="117"/>
        <v>2217962.171875</v>
      </c>
      <c r="PD12" s="213">
        <f t="shared" si="117"/>
        <v>2217962.171875</v>
      </c>
      <c r="PE12" s="213">
        <f t="shared" si="117"/>
        <v>2217962.171875</v>
      </c>
      <c r="PF12" s="213">
        <f t="shared" si="117"/>
        <v>2217962.171875</v>
      </c>
      <c r="PG12" s="213">
        <f t="shared" si="117"/>
        <v>2217962.171875</v>
      </c>
      <c r="PH12" s="213">
        <f t="shared" si="117"/>
        <v>2217962.171875</v>
      </c>
      <c r="PI12" s="213">
        <f t="shared" si="117"/>
        <v>2217962.171875</v>
      </c>
      <c r="PJ12" s="213">
        <f t="shared" si="117"/>
        <v>2217962.171875</v>
      </c>
      <c r="PK12" s="213">
        <f t="shared" si="117"/>
        <v>2217962.171875</v>
      </c>
      <c r="PL12" s="213">
        <f t="shared" si="117"/>
        <v>2217962.171875</v>
      </c>
      <c r="PM12" s="213">
        <f t="shared" si="117"/>
        <v>2217962.171875</v>
      </c>
      <c r="PN12" s="213">
        <f t="shared" si="117"/>
        <v>2217962.171875</v>
      </c>
      <c r="PO12" s="213">
        <f t="shared" si="117"/>
        <v>2217962.171875</v>
      </c>
      <c r="PP12" s="213">
        <f t="shared" si="117"/>
        <v>2217962.171875</v>
      </c>
      <c r="PQ12" s="213">
        <f t="shared" si="117"/>
        <v>2217962.171875</v>
      </c>
      <c r="PR12" s="213">
        <f t="shared" si="117"/>
        <v>2217962.171875</v>
      </c>
      <c r="PS12" s="213">
        <f t="shared" si="117"/>
        <v>2217962.171875</v>
      </c>
      <c r="PT12" s="213">
        <f t="shared" si="117"/>
        <v>2217962.171875</v>
      </c>
      <c r="PU12" s="213">
        <f t="shared" si="117"/>
        <v>2217962.171875</v>
      </c>
      <c r="PV12" s="213">
        <f t="shared" si="117"/>
        <v>2217962.171875</v>
      </c>
      <c r="PW12" s="213">
        <f t="shared" si="117"/>
        <v>2217962.171875</v>
      </c>
      <c r="PX12" s="213">
        <f t="shared" si="117"/>
        <v>2217962.171875</v>
      </c>
      <c r="PY12" s="213">
        <f t="shared" si="117"/>
        <v>2217962.171875</v>
      </c>
      <c r="PZ12" s="213">
        <f t="shared" si="117"/>
        <v>2217962.171875</v>
      </c>
      <c r="QA12" s="213">
        <f t="shared" si="117"/>
        <v>2217962.171875</v>
      </c>
      <c r="QB12" s="213">
        <f t="shared" si="117"/>
        <v>2217962.171875</v>
      </c>
      <c r="QC12" s="213">
        <f t="shared" si="117"/>
        <v>2217962.171875</v>
      </c>
      <c r="QD12" s="213">
        <f t="shared" si="117"/>
        <v>2217962.171875</v>
      </c>
      <c r="QE12" s="213">
        <f t="shared" si="117"/>
        <v>2217962.171875</v>
      </c>
      <c r="QF12" s="213">
        <f t="shared" si="117"/>
        <v>2217962.171875</v>
      </c>
      <c r="QG12" s="213">
        <f t="shared" si="117"/>
        <v>2217962.171875</v>
      </c>
      <c r="QH12" s="213">
        <f t="shared" si="117"/>
        <v>2217962.171875</v>
      </c>
      <c r="QI12" s="213">
        <f t="shared" si="117"/>
        <v>2217962.171875</v>
      </c>
      <c r="QJ12" s="213">
        <f t="shared" si="117"/>
        <v>2217962.171875</v>
      </c>
      <c r="QK12" s="213">
        <f t="shared" si="117"/>
        <v>2217962.171875</v>
      </c>
      <c r="QL12" s="213">
        <f t="shared" si="117"/>
        <v>2217962.171875</v>
      </c>
      <c r="QM12" s="213">
        <f t="shared" si="117"/>
        <v>2217962.171875</v>
      </c>
      <c r="QN12" s="213">
        <f t="shared" si="117"/>
        <v>2217962.171875</v>
      </c>
      <c r="QO12" s="213">
        <f t="shared" ref="QO12:SZ12" si="118">QN12+QO11</f>
        <v>2217962.171875</v>
      </c>
      <c r="QP12" s="213">
        <f t="shared" si="118"/>
        <v>2217962.171875</v>
      </c>
      <c r="QQ12" s="213">
        <f t="shared" si="118"/>
        <v>2217962.171875</v>
      </c>
      <c r="QR12" s="213">
        <f t="shared" si="118"/>
        <v>2217962.171875</v>
      </c>
      <c r="QS12" s="213">
        <f t="shared" si="118"/>
        <v>2217962.171875</v>
      </c>
      <c r="QT12" s="213">
        <f t="shared" si="118"/>
        <v>2217962.171875</v>
      </c>
      <c r="QU12" s="213">
        <f t="shared" si="118"/>
        <v>2217962.171875</v>
      </c>
      <c r="QV12" s="213">
        <f t="shared" si="118"/>
        <v>2217962.171875</v>
      </c>
      <c r="QW12" s="213">
        <f t="shared" si="118"/>
        <v>2217962.171875</v>
      </c>
      <c r="QX12" s="213">
        <f t="shared" si="118"/>
        <v>2217962.171875</v>
      </c>
      <c r="QY12" s="213">
        <f t="shared" si="118"/>
        <v>2217962.171875</v>
      </c>
      <c r="QZ12" s="213">
        <f t="shared" si="118"/>
        <v>2217962.171875</v>
      </c>
      <c r="RA12" s="213">
        <f t="shared" si="118"/>
        <v>2217962.171875</v>
      </c>
      <c r="RB12" s="213">
        <f t="shared" si="118"/>
        <v>2217962.171875</v>
      </c>
      <c r="RC12" s="213">
        <f t="shared" si="118"/>
        <v>2217962.171875</v>
      </c>
      <c r="RD12" s="213">
        <f t="shared" si="118"/>
        <v>2217962.171875</v>
      </c>
      <c r="RE12" s="213">
        <f t="shared" si="118"/>
        <v>2217962.171875</v>
      </c>
      <c r="RF12" s="213">
        <f t="shared" si="118"/>
        <v>2217962.171875</v>
      </c>
      <c r="RG12" s="213">
        <f t="shared" si="118"/>
        <v>2217962.171875</v>
      </c>
      <c r="RH12" s="213">
        <f t="shared" si="118"/>
        <v>2217962.171875</v>
      </c>
      <c r="RI12" s="213">
        <f t="shared" si="118"/>
        <v>2217962.171875</v>
      </c>
      <c r="RJ12" s="213">
        <f t="shared" si="118"/>
        <v>2217962.171875</v>
      </c>
      <c r="RK12" s="213">
        <f t="shared" si="118"/>
        <v>2217962.171875</v>
      </c>
      <c r="RL12" s="213">
        <f t="shared" si="118"/>
        <v>2217962.171875</v>
      </c>
      <c r="RM12" s="213">
        <f t="shared" si="118"/>
        <v>2217962.171875</v>
      </c>
      <c r="RN12" s="213">
        <f t="shared" si="118"/>
        <v>2217962.171875</v>
      </c>
      <c r="RO12" s="213">
        <f t="shared" si="118"/>
        <v>2217962.171875</v>
      </c>
      <c r="RP12" s="213">
        <f t="shared" si="118"/>
        <v>2217962.171875</v>
      </c>
      <c r="RQ12" s="213">
        <f t="shared" si="118"/>
        <v>2217962.171875</v>
      </c>
      <c r="RR12" s="213">
        <f t="shared" si="118"/>
        <v>2217962.171875</v>
      </c>
      <c r="RS12" s="213">
        <f t="shared" si="118"/>
        <v>2217962.171875</v>
      </c>
      <c r="RT12" s="213">
        <f t="shared" si="118"/>
        <v>2217962.171875</v>
      </c>
      <c r="RU12" s="213">
        <f t="shared" si="118"/>
        <v>2217962.171875</v>
      </c>
      <c r="RV12" s="213">
        <f t="shared" si="118"/>
        <v>2217962.171875</v>
      </c>
      <c r="RW12" s="213">
        <f t="shared" si="118"/>
        <v>2217962.171875</v>
      </c>
      <c r="RX12" s="213">
        <f t="shared" si="118"/>
        <v>2217962.171875</v>
      </c>
      <c r="RY12" s="213">
        <f t="shared" si="118"/>
        <v>2217962.171875</v>
      </c>
      <c r="RZ12" s="213">
        <f t="shared" si="118"/>
        <v>2217962.171875</v>
      </c>
      <c r="SA12" s="213">
        <f t="shared" si="118"/>
        <v>2217962.171875</v>
      </c>
      <c r="SB12" s="213">
        <f t="shared" si="118"/>
        <v>2217962.171875</v>
      </c>
      <c r="SC12" s="213">
        <f t="shared" si="118"/>
        <v>2217962.171875</v>
      </c>
      <c r="SD12" s="213">
        <f t="shared" si="118"/>
        <v>2217962.171875</v>
      </c>
      <c r="SE12" s="213">
        <f t="shared" si="118"/>
        <v>2217962.171875</v>
      </c>
      <c r="SF12" s="213">
        <f t="shared" si="118"/>
        <v>2217962.171875</v>
      </c>
      <c r="SG12" s="213">
        <f t="shared" si="118"/>
        <v>2217962.171875</v>
      </c>
      <c r="SH12" s="213">
        <f t="shared" si="118"/>
        <v>2217962.171875</v>
      </c>
      <c r="SI12" s="213">
        <f t="shared" si="118"/>
        <v>2217962.171875</v>
      </c>
      <c r="SJ12" s="213">
        <f t="shared" si="118"/>
        <v>2217962.171875</v>
      </c>
      <c r="SK12" s="213">
        <f t="shared" si="118"/>
        <v>2217962.171875</v>
      </c>
      <c r="SL12" s="213">
        <f t="shared" si="118"/>
        <v>2217962.171875</v>
      </c>
      <c r="SM12" s="213">
        <f t="shared" si="118"/>
        <v>2217962.171875</v>
      </c>
      <c r="SN12" s="213">
        <f t="shared" si="118"/>
        <v>2217962.171875</v>
      </c>
      <c r="SO12" s="213">
        <f t="shared" si="118"/>
        <v>2217962.171875</v>
      </c>
      <c r="SP12" s="213">
        <f t="shared" si="118"/>
        <v>2217962.171875</v>
      </c>
      <c r="SQ12" s="213">
        <f t="shared" si="118"/>
        <v>2217962.171875</v>
      </c>
      <c r="SR12" s="213">
        <f t="shared" si="118"/>
        <v>2217962.171875</v>
      </c>
      <c r="SS12" s="213">
        <f t="shared" si="118"/>
        <v>2217962.171875</v>
      </c>
      <c r="ST12" s="213">
        <f t="shared" si="118"/>
        <v>2217962.171875</v>
      </c>
      <c r="SU12" s="213">
        <f t="shared" si="118"/>
        <v>2217962.171875</v>
      </c>
      <c r="SV12" s="213">
        <f t="shared" si="118"/>
        <v>2217962.171875</v>
      </c>
      <c r="SW12" s="213">
        <f t="shared" si="118"/>
        <v>2217962.171875</v>
      </c>
      <c r="SX12" s="213">
        <f t="shared" si="118"/>
        <v>2217962.171875</v>
      </c>
      <c r="SY12" s="213">
        <f t="shared" si="118"/>
        <v>2217962.171875</v>
      </c>
      <c r="SZ12" s="213">
        <f t="shared" si="118"/>
        <v>2217962.171875</v>
      </c>
      <c r="TA12" s="213">
        <f t="shared" ref="TA12:VL12" si="119">SZ12+TA11</f>
        <v>2217962.171875</v>
      </c>
      <c r="TB12" s="213">
        <f t="shared" si="119"/>
        <v>2217962.171875</v>
      </c>
      <c r="TC12" s="213">
        <f t="shared" si="119"/>
        <v>2217962.171875</v>
      </c>
      <c r="TD12" s="213">
        <f t="shared" si="119"/>
        <v>2217962.171875</v>
      </c>
      <c r="TE12" s="213">
        <f t="shared" si="119"/>
        <v>2217962.171875</v>
      </c>
      <c r="TF12" s="213">
        <f t="shared" si="119"/>
        <v>2217962.171875</v>
      </c>
      <c r="TG12" s="213">
        <f t="shared" si="119"/>
        <v>2217962.171875</v>
      </c>
      <c r="TH12" s="213">
        <f t="shared" si="119"/>
        <v>2217962.171875</v>
      </c>
      <c r="TI12" s="213">
        <f t="shared" si="119"/>
        <v>2217962.171875</v>
      </c>
      <c r="TJ12" s="213">
        <f t="shared" si="119"/>
        <v>2217962.171875</v>
      </c>
      <c r="TK12" s="213">
        <f t="shared" si="119"/>
        <v>2217962.171875</v>
      </c>
      <c r="TL12" s="213">
        <f t="shared" si="119"/>
        <v>2217962.171875</v>
      </c>
      <c r="TM12" s="213">
        <f t="shared" si="119"/>
        <v>2217962.171875</v>
      </c>
      <c r="TN12" s="213">
        <f t="shared" si="119"/>
        <v>2217962.171875</v>
      </c>
      <c r="TO12" s="213">
        <f t="shared" si="119"/>
        <v>2217962.171875</v>
      </c>
      <c r="TP12" s="213">
        <f t="shared" si="119"/>
        <v>2217962.171875</v>
      </c>
      <c r="TQ12" s="213">
        <f t="shared" si="119"/>
        <v>2217962.171875</v>
      </c>
      <c r="TR12" s="213">
        <f t="shared" si="119"/>
        <v>2217962.171875</v>
      </c>
      <c r="TS12" s="213">
        <f t="shared" si="119"/>
        <v>2217962.171875</v>
      </c>
      <c r="TT12" s="213">
        <f t="shared" si="119"/>
        <v>2217962.171875</v>
      </c>
      <c r="TU12" s="213">
        <f t="shared" si="119"/>
        <v>2217962.171875</v>
      </c>
      <c r="TV12" s="213">
        <f t="shared" si="119"/>
        <v>2217962.171875</v>
      </c>
      <c r="TW12" s="213">
        <f t="shared" si="119"/>
        <v>2217962.171875</v>
      </c>
      <c r="TX12" s="213">
        <f t="shared" si="119"/>
        <v>2217962.171875</v>
      </c>
      <c r="TY12" s="213">
        <f t="shared" si="119"/>
        <v>2217962.171875</v>
      </c>
      <c r="TZ12" s="213">
        <f t="shared" si="119"/>
        <v>2217962.171875</v>
      </c>
      <c r="UA12" s="213">
        <f t="shared" si="119"/>
        <v>2217962.171875</v>
      </c>
      <c r="UB12" s="213">
        <f t="shared" si="119"/>
        <v>2217962.171875</v>
      </c>
      <c r="UC12" s="213">
        <f t="shared" si="119"/>
        <v>2217962.171875</v>
      </c>
      <c r="UD12" s="213">
        <f t="shared" si="119"/>
        <v>2217962.171875</v>
      </c>
      <c r="UE12" s="213">
        <f t="shared" si="119"/>
        <v>2217962.171875</v>
      </c>
      <c r="UF12" s="213">
        <f t="shared" si="119"/>
        <v>2217962.171875</v>
      </c>
      <c r="UG12" s="213">
        <f t="shared" si="119"/>
        <v>2217962.171875</v>
      </c>
      <c r="UH12" s="213">
        <f t="shared" si="119"/>
        <v>2217962.171875</v>
      </c>
      <c r="UI12" s="213">
        <f t="shared" si="119"/>
        <v>2217962.171875</v>
      </c>
      <c r="UJ12" s="213">
        <f t="shared" si="119"/>
        <v>2217962.171875</v>
      </c>
      <c r="UK12" s="213">
        <f t="shared" si="119"/>
        <v>2217962.171875</v>
      </c>
      <c r="UL12" s="213">
        <f t="shared" si="119"/>
        <v>2217962.171875</v>
      </c>
      <c r="UM12" s="213">
        <f t="shared" si="119"/>
        <v>2217962.171875</v>
      </c>
      <c r="UN12" s="213">
        <f t="shared" si="119"/>
        <v>2217962.171875</v>
      </c>
      <c r="UO12" s="213">
        <f t="shared" si="119"/>
        <v>2217962.171875</v>
      </c>
      <c r="UP12" s="213">
        <f t="shared" si="119"/>
        <v>2217962.171875</v>
      </c>
      <c r="UQ12" s="213">
        <f t="shared" si="119"/>
        <v>2217962.171875</v>
      </c>
      <c r="UR12" s="213">
        <f t="shared" si="119"/>
        <v>2217962.171875</v>
      </c>
      <c r="US12" s="213">
        <f t="shared" si="119"/>
        <v>2217962.171875</v>
      </c>
      <c r="UT12" s="213">
        <f t="shared" si="119"/>
        <v>2217962.171875</v>
      </c>
      <c r="UU12" s="213">
        <f t="shared" si="119"/>
        <v>2217962.171875</v>
      </c>
      <c r="UV12" s="213">
        <f t="shared" si="119"/>
        <v>2217962.171875</v>
      </c>
      <c r="UW12" s="213">
        <f t="shared" si="119"/>
        <v>2217962.171875</v>
      </c>
      <c r="UX12" s="213">
        <f t="shared" si="119"/>
        <v>2217962.171875</v>
      </c>
      <c r="UY12" s="213">
        <f t="shared" si="119"/>
        <v>2217962.171875</v>
      </c>
      <c r="UZ12" s="213">
        <f t="shared" si="119"/>
        <v>2217962.171875</v>
      </c>
      <c r="VA12" s="213">
        <f t="shared" si="119"/>
        <v>2217962.171875</v>
      </c>
      <c r="VB12" s="213">
        <f t="shared" si="119"/>
        <v>2217962.171875</v>
      </c>
      <c r="VC12" s="213">
        <f t="shared" si="119"/>
        <v>2217962.171875</v>
      </c>
      <c r="VD12" s="213">
        <f t="shared" si="119"/>
        <v>2217962.171875</v>
      </c>
      <c r="VE12" s="213">
        <f t="shared" si="119"/>
        <v>2217962.171875</v>
      </c>
      <c r="VF12" s="213">
        <f t="shared" si="119"/>
        <v>2217962.171875</v>
      </c>
      <c r="VG12" s="213">
        <f t="shared" si="119"/>
        <v>2217962.171875</v>
      </c>
      <c r="VH12" s="213">
        <f t="shared" si="119"/>
        <v>2217962.171875</v>
      </c>
      <c r="VI12" s="213">
        <f t="shared" si="119"/>
        <v>2217962.171875</v>
      </c>
      <c r="VJ12" s="213">
        <f t="shared" si="119"/>
        <v>2217962.171875</v>
      </c>
      <c r="VK12" s="213">
        <f t="shared" si="119"/>
        <v>2217962.171875</v>
      </c>
      <c r="VL12" s="213">
        <f t="shared" si="119"/>
        <v>2217962.171875</v>
      </c>
      <c r="VM12" s="213">
        <f t="shared" ref="VM12:XX12" si="120">VL12+VM11</f>
        <v>2217962.171875</v>
      </c>
      <c r="VN12" s="213">
        <f t="shared" si="120"/>
        <v>2217962.171875</v>
      </c>
      <c r="VO12" s="213">
        <f t="shared" si="120"/>
        <v>2217962.171875</v>
      </c>
      <c r="VP12" s="213">
        <f t="shared" si="120"/>
        <v>2217962.171875</v>
      </c>
      <c r="VQ12" s="213">
        <f t="shared" si="120"/>
        <v>2217962.171875</v>
      </c>
      <c r="VR12" s="213">
        <f t="shared" si="120"/>
        <v>2217962.171875</v>
      </c>
      <c r="VS12" s="213">
        <f t="shared" si="120"/>
        <v>2217962.171875</v>
      </c>
      <c r="VT12" s="213">
        <f t="shared" si="120"/>
        <v>2217962.171875</v>
      </c>
      <c r="VU12" s="213">
        <f t="shared" si="120"/>
        <v>2217962.171875</v>
      </c>
      <c r="VV12" s="213">
        <f t="shared" si="120"/>
        <v>2217962.171875</v>
      </c>
      <c r="VW12" s="213">
        <f t="shared" si="120"/>
        <v>2217962.171875</v>
      </c>
      <c r="VX12" s="213">
        <f t="shared" si="120"/>
        <v>2217962.171875</v>
      </c>
      <c r="VY12" s="213">
        <f t="shared" si="120"/>
        <v>2217962.171875</v>
      </c>
      <c r="VZ12" s="213">
        <f t="shared" si="120"/>
        <v>2217962.171875</v>
      </c>
      <c r="WA12" s="213">
        <f t="shared" si="120"/>
        <v>2217962.171875</v>
      </c>
      <c r="WB12" s="213">
        <f t="shared" si="120"/>
        <v>2217962.171875</v>
      </c>
      <c r="WC12" s="213">
        <f t="shared" si="120"/>
        <v>2217962.171875</v>
      </c>
      <c r="WD12" s="213">
        <f t="shared" si="120"/>
        <v>2217962.171875</v>
      </c>
      <c r="WE12" s="213">
        <f t="shared" si="120"/>
        <v>2217962.171875</v>
      </c>
      <c r="WF12" s="213">
        <f t="shared" si="120"/>
        <v>2217962.171875</v>
      </c>
      <c r="WG12" s="213">
        <f t="shared" si="120"/>
        <v>2217962.171875</v>
      </c>
      <c r="WH12" s="213">
        <f t="shared" si="120"/>
        <v>2217962.171875</v>
      </c>
      <c r="WI12" s="213">
        <f t="shared" si="120"/>
        <v>2217962.171875</v>
      </c>
      <c r="WJ12" s="213">
        <f t="shared" si="120"/>
        <v>2217962.171875</v>
      </c>
      <c r="WK12" s="213">
        <f t="shared" si="120"/>
        <v>2217962.171875</v>
      </c>
      <c r="WL12" s="213">
        <f t="shared" si="120"/>
        <v>2217962.171875</v>
      </c>
      <c r="WM12" s="213">
        <f t="shared" si="120"/>
        <v>2217962.171875</v>
      </c>
      <c r="WN12" s="213">
        <f t="shared" si="120"/>
        <v>2217962.171875</v>
      </c>
      <c r="WO12" s="213">
        <f t="shared" si="120"/>
        <v>2217962.171875</v>
      </c>
      <c r="WP12" s="213">
        <f t="shared" si="120"/>
        <v>2217962.171875</v>
      </c>
      <c r="WQ12" s="213">
        <f t="shared" si="120"/>
        <v>2217962.171875</v>
      </c>
      <c r="WR12" s="213">
        <f t="shared" si="120"/>
        <v>2217962.171875</v>
      </c>
      <c r="WS12" s="213">
        <f t="shared" si="120"/>
        <v>2217962.171875</v>
      </c>
      <c r="WT12" s="213">
        <f t="shared" si="120"/>
        <v>2217962.171875</v>
      </c>
      <c r="WU12" s="213">
        <f t="shared" si="120"/>
        <v>2217962.171875</v>
      </c>
      <c r="WV12" s="213">
        <f t="shared" si="120"/>
        <v>2217962.171875</v>
      </c>
      <c r="WW12" s="213">
        <f t="shared" si="120"/>
        <v>2217962.171875</v>
      </c>
      <c r="WX12" s="213">
        <f t="shared" si="120"/>
        <v>2217962.171875</v>
      </c>
      <c r="WY12" s="213">
        <f t="shared" si="120"/>
        <v>2217962.171875</v>
      </c>
      <c r="WZ12" s="213">
        <f t="shared" si="120"/>
        <v>2217962.171875</v>
      </c>
      <c r="XA12" s="213">
        <f t="shared" si="120"/>
        <v>2217962.171875</v>
      </c>
      <c r="XB12" s="213">
        <f t="shared" si="120"/>
        <v>2217962.171875</v>
      </c>
      <c r="XC12" s="213">
        <f t="shared" si="120"/>
        <v>2217962.171875</v>
      </c>
      <c r="XD12" s="213">
        <f t="shared" si="120"/>
        <v>2217962.171875</v>
      </c>
      <c r="XE12" s="213">
        <f t="shared" si="120"/>
        <v>2217962.171875</v>
      </c>
      <c r="XF12" s="213">
        <f t="shared" si="120"/>
        <v>2217962.171875</v>
      </c>
      <c r="XG12" s="213">
        <f t="shared" si="120"/>
        <v>2217962.171875</v>
      </c>
      <c r="XH12" s="213">
        <f t="shared" si="120"/>
        <v>2217962.171875</v>
      </c>
      <c r="XI12" s="213">
        <f t="shared" si="120"/>
        <v>2217962.171875</v>
      </c>
      <c r="XJ12" s="213">
        <f t="shared" si="120"/>
        <v>2217962.171875</v>
      </c>
      <c r="XK12" s="213">
        <f t="shared" si="120"/>
        <v>2217962.171875</v>
      </c>
      <c r="XL12" s="213">
        <f t="shared" si="120"/>
        <v>2217962.171875</v>
      </c>
      <c r="XM12" s="213">
        <f t="shared" si="120"/>
        <v>2217962.171875</v>
      </c>
      <c r="XN12" s="213">
        <f t="shared" si="120"/>
        <v>2217962.171875</v>
      </c>
      <c r="XO12" s="213">
        <f t="shared" si="120"/>
        <v>2217962.171875</v>
      </c>
      <c r="XP12" s="213">
        <f t="shared" si="120"/>
        <v>2217962.171875</v>
      </c>
      <c r="XQ12" s="213">
        <f t="shared" si="120"/>
        <v>2217962.171875</v>
      </c>
      <c r="XR12" s="213">
        <f t="shared" si="120"/>
        <v>2217962.171875</v>
      </c>
      <c r="XS12" s="213">
        <f t="shared" si="120"/>
        <v>2217962.171875</v>
      </c>
      <c r="XT12" s="213">
        <f t="shared" si="120"/>
        <v>2217962.171875</v>
      </c>
      <c r="XU12" s="213">
        <f t="shared" si="120"/>
        <v>2217962.171875</v>
      </c>
      <c r="XV12" s="213">
        <f t="shared" si="120"/>
        <v>2217962.171875</v>
      </c>
      <c r="XW12" s="213">
        <f t="shared" si="120"/>
        <v>2217962.171875</v>
      </c>
      <c r="XX12" s="213">
        <f t="shared" si="120"/>
        <v>2217962.171875</v>
      </c>
      <c r="XY12" s="213">
        <f t="shared" ref="XY12:AAJ12" si="121">XX12+XY11</f>
        <v>2217962.171875</v>
      </c>
      <c r="XZ12" s="213">
        <f t="shared" si="121"/>
        <v>2217962.171875</v>
      </c>
      <c r="YA12" s="213">
        <f t="shared" si="121"/>
        <v>2217962.171875</v>
      </c>
      <c r="YB12" s="213">
        <f t="shared" si="121"/>
        <v>2217962.171875</v>
      </c>
      <c r="YC12" s="213">
        <f t="shared" si="121"/>
        <v>2217962.171875</v>
      </c>
      <c r="YD12" s="213">
        <f t="shared" si="121"/>
        <v>2217962.171875</v>
      </c>
      <c r="YE12" s="213">
        <f t="shared" si="121"/>
        <v>2217962.171875</v>
      </c>
      <c r="YF12" s="213">
        <f t="shared" si="121"/>
        <v>2217962.171875</v>
      </c>
      <c r="YG12" s="213">
        <f t="shared" si="121"/>
        <v>2217962.171875</v>
      </c>
      <c r="YH12" s="213">
        <f t="shared" si="121"/>
        <v>2217962.171875</v>
      </c>
      <c r="YI12" s="213">
        <f t="shared" si="121"/>
        <v>2217962.171875</v>
      </c>
      <c r="YJ12" s="213">
        <f t="shared" si="121"/>
        <v>2217962.171875</v>
      </c>
      <c r="YK12" s="213">
        <f t="shared" si="121"/>
        <v>2217962.171875</v>
      </c>
      <c r="YL12" s="213">
        <f t="shared" si="121"/>
        <v>2217962.171875</v>
      </c>
      <c r="YM12" s="213">
        <f t="shared" si="121"/>
        <v>2217962.171875</v>
      </c>
      <c r="YN12" s="213">
        <f t="shared" si="121"/>
        <v>2217962.171875</v>
      </c>
      <c r="YO12" s="213">
        <f t="shared" si="121"/>
        <v>2217962.171875</v>
      </c>
      <c r="YP12" s="213">
        <f t="shared" si="121"/>
        <v>2217962.171875</v>
      </c>
      <c r="YQ12" s="213">
        <f t="shared" si="121"/>
        <v>2217962.171875</v>
      </c>
      <c r="YR12" s="213">
        <f t="shared" si="121"/>
        <v>2217962.171875</v>
      </c>
      <c r="YS12" s="213">
        <f t="shared" si="121"/>
        <v>2217962.171875</v>
      </c>
      <c r="YT12" s="213">
        <f t="shared" si="121"/>
        <v>2217962.171875</v>
      </c>
      <c r="YU12" s="213">
        <f t="shared" si="121"/>
        <v>2217962.171875</v>
      </c>
      <c r="YV12" s="213">
        <f t="shared" si="121"/>
        <v>2217962.171875</v>
      </c>
      <c r="YW12" s="213">
        <f t="shared" si="121"/>
        <v>2217962.171875</v>
      </c>
      <c r="YX12" s="213">
        <f t="shared" si="121"/>
        <v>2217962.171875</v>
      </c>
      <c r="YY12" s="213">
        <f t="shared" si="121"/>
        <v>2217962.171875</v>
      </c>
      <c r="YZ12" s="213">
        <f t="shared" si="121"/>
        <v>2217962.171875</v>
      </c>
      <c r="ZA12" s="213">
        <f t="shared" si="121"/>
        <v>2217962.171875</v>
      </c>
      <c r="ZB12" s="213">
        <f t="shared" si="121"/>
        <v>2217962.171875</v>
      </c>
      <c r="ZC12" s="213">
        <f t="shared" si="121"/>
        <v>2217962.171875</v>
      </c>
      <c r="ZD12" s="213">
        <f t="shared" si="121"/>
        <v>2217962.171875</v>
      </c>
      <c r="ZE12" s="213">
        <f t="shared" si="121"/>
        <v>2217962.171875</v>
      </c>
      <c r="ZF12" s="213">
        <f t="shared" si="121"/>
        <v>2217962.171875</v>
      </c>
      <c r="ZG12" s="213">
        <f t="shared" si="121"/>
        <v>2217962.171875</v>
      </c>
      <c r="ZH12" s="213">
        <f t="shared" si="121"/>
        <v>2217962.171875</v>
      </c>
      <c r="ZI12" s="213">
        <f t="shared" si="121"/>
        <v>2217962.171875</v>
      </c>
      <c r="ZJ12" s="213">
        <f t="shared" si="121"/>
        <v>2217962.171875</v>
      </c>
      <c r="ZK12" s="213">
        <f t="shared" si="121"/>
        <v>2217962.171875</v>
      </c>
      <c r="ZL12" s="213">
        <f t="shared" si="121"/>
        <v>2217962.171875</v>
      </c>
      <c r="ZM12" s="213">
        <f t="shared" si="121"/>
        <v>2217962.171875</v>
      </c>
      <c r="ZN12" s="213">
        <f t="shared" si="121"/>
        <v>2217962.171875</v>
      </c>
      <c r="ZO12" s="213">
        <f t="shared" si="121"/>
        <v>2217962.171875</v>
      </c>
      <c r="ZP12" s="213">
        <f t="shared" si="121"/>
        <v>2217962.171875</v>
      </c>
      <c r="ZQ12" s="213">
        <f t="shared" si="121"/>
        <v>2217962.171875</v>
      </c>
      <c r="ZR12" s="213">
        <f t="shared" si="121"/>
        <v>2217962.171875</v>
      </c>
      <c r="ZS12" s="213">
        <f t="shared" si="121"/>
        <v>2217962.171875</v>
      </c>
      <c r="ZT12" s="213">
        <f t="shared" si="121"/>
        <v>2217962.171875</v>
      </c>
      <c r="ZU12" s="213">
        <f t="shared" si="121"/>
        <v>2217962.171875</v>
      </c>
      <c r="ZV12" s="213">
        <f t="shared" si="121"/>
        <v>2217962.171875</v>
      </c>
      <c r="ZW12" s="213">
        <f t="shared" si="121"/>
        <v>2217962.171875</v>
      </c>
      <c r="ZX12" s="213">
        <f t="shared" si="121"/>
        <v>2217962.171875</v>
      </c>
      <c r="ZY12" s="213">
        <f t="shared" si="121"/>
        <v>2217962.171875</v>
      </c>
      <c r="ZZ12" s="213">
        <f t="shared" si="121"/>
        <v>2217962.171875</v>
      </c>
      <c r="AAA12" s="213">
        <f t="shared" si="121"/>
        <v>2217962.171875</v>
      </c>
      <c r="AAB12" s="213">
        <f t="shared" si="121"/>
        <v>2217962.171875</v>
      </c>
      <c r="AAC12" s="213">
        <f t="shared" si="121"/>
        <v>2217962.171875</v>
      </c>
      <c r="AAD12" s="213">
        <f t="shared" si="121"/>
        <v>2217962.171875</v>
      </c>
      <c r="AAE12" s="213">
        <f t="shared" si="121"/>
        <v>2217962.171875</v>
      </c>
      <c r="AAF12" s="213">
        <f t="shared" si="121"/>
        <v>2217962.171875</v>
      </c>
      <c r="AAG12" s="213">
        <f t="shared" si="121"/>
        <v>2217962.171875</v>
      </c>
      <c r="AAH12" s="213">
        <f t="shared" si="121"/>
        <v>2217962.171875</v>
      </c>
      <c r="AAI12" s="213">
        <f t="shared" si="121"/>
        <v>2217962.171875</v>
      </c>
      <c r="AAJ12" s="213">
        <f t="shared" si="121"/>
        <v>2217962.171875</v>
      </c>
      <c r="AAK12" s="213">
        <f t="shared" ref="AAK12:ACV12" si="122">AAJ12+AAK11</f>
        <v>2217962.171875</v>
      </c>
      <c r="AAL12" s="213">
        <f t="shared" si="122"/>
        <v>2217962.171875</v>
      </c>
      <c r="AAM12" s="213">
        <f t="shared" si="122"/>
        <v>2217962.171875</v>
      </c>
      <c r="AAN12" s="213">
        <f t="shared" si="122"/>
        <v>2217962.171875</v>
      </c>
      <c r="AAO12" s="213">
        <f t="shared" si="122"/>
        <v>2217962.171875</v>
      </c>
      <c r="AAP12" s="213">
        <f t="shared" si="122"/>
        <v>2217962.171875</v>
      </c>
      <c r="AAQ12" s="213">
        <f t="shared" si="122"/>
        <v>2217962.171875</v>
      </c>
      <c r="AAR12" s="213">
        <f t="shared" si="122"/>
        <v>2217962.171875</v>
      </c>
      <c r="AAS12" s="213">
        <f t="shared" si="122"/>
        <v>2217962.171875</v>
      </c>
      <c r="AAT12" s="213">
        <f t="shared" si="122"/>
        <v>2217962.171875</v>
      </c>
      <c r="AAU12" s="213">
        <f t="shared" si="122"/>
        <v>2217962.171875</v>
      </c>
      <c r="AAV12" s="213">
        <f t="shared" si="122"/>
        <v>2217962.171875</v>
      </c>
      <c r="AAW12" s="213">
        <f t="shared" si="122"/>
        <v>2217962.171875</v>
      </c>
      <c r="AAX12" s="213">
        <f t="shared" si="122"/>
        <v>2217962.171875</v>
      </c>
      <c r="AAY12" s="213">
        <f t="shared" si="122"/>
        <v>2217962.171875</v>
      </c>
      <c r="AAZ12" s="213">
        <f t="shared" si="122"/>
        <v>2217962.171875</v>
      </c>
      <c r="ABA12" s="213">
        <f t="shared" si="122"/>
        <v>2217962.171875</v>
      </c>
      <c r="ABB12" s="213">
        <f t="shared" si="122"/>
        <v>2217962.171875</v>
      </c>
      <c r="ABC12" s="213">
        <f t="shared" si="122"/>
        <v>2217962.171875</v>
      </c>
      <c r="ABD12" s="213">
        <f t="shared" si="122"/>
        <v>2217962.171875</v>
      </c>
      <c r="ABE12" s="213">
        <f t="shared" si="122"/>
        <v>2217962.171875</v>
      </c>
      <c r="ABF12" s="213">
        <f t="shared" si="122"/>
        <v>2217962.171875</v>
      </c>
      <c r="ABG12" s="213">
        <f t="shared" si="122"/>
        <v>2217962.171875</v>
      </c>
      <c r="ABH12" s="213">
        <f t="shared" si="122"/>
        <v>2217962.171875</v>
      </c>
      <c r="ABI12" s="213">
        <f t="shared" si="122"/>
        <v>2217962.171875</v>
      </c>
      <c r="ABJ12" s="213">
        <f t="shared" si="122"/>
        <v>2217962.171875</v>
      </c>
      <c r="ABK12" s="213">
        <f t="shared" si="122"/>
        <v>2217962.171875</v>
      </c>
      <c r="ABL12" s="213">
        <f t="shared" si="122"/>
        <v>2217962.171875</v>
      </c>
      <c r="ABM12" s="213">
        <f t="shared" si="122"/>
        <v>2217962.171875</v>
      </c>
      <c r="ABN12" s="213">
        <f t="shared" si="122"/>
        <v>2217962.171875</v>
      </c>
      <c r="ABO12" s="213">
        <f t="shared" si="122"/>
        <v>2217962.171875</v>
      </c>
      <c r="ABP12" s="213">
        <f t="shared" si="122"/>
        <v>2217962.171875</v>
      </c>
      <c r="ABQ12" s="213">
        <f t="shared" si="122"/>
        <v>2217962.171875</v>
      </c>
      <c r="ABR12" s="213">
        <f t="shared" si="122"/>
        <v>2217962.171875</v>
      </c>
      <c r="ABS12" s="213">
        <f t="shared" si="122"/>
        <v>2217962.171875</v>
      </c>
      <c r="ABT12" s="213">
        <f t="shared" si="122"/>
        <v>2217962.171875</v>
      </c>
      <c r="ABU12" s="213">
        <f t="shared" si="122"/>
        <v>2217962.171875</v>
      </c>
      <c r="ABV12" s="213">
        <f t="shared" si="122"/>
        <v>2217962.171875</v>
      </c>
      <c r="ABW12" s="213">
        <f t="shared" si="122"/>
        <v>2217962.171875</v>
      </c>
      <c r="ABX12" s="213">
        <f t="shared" si="122"/>
        <v>2217962.171875</v>
      </c>
      <c r="ABY12" s="213">
        <f t="shared" si="122"/>
        <v>2217962.171875</v>
      </c>
      <c r="ABZ12" s="213">
        <f t="shared" si="122"/>
        <v>2217962.171875</v>
      </c>
      <c r="ACA12" s="213">
        <f t="shared" si="122"/>
        <v>2217962.171875</v>
      </c>
      <c r="ACB12" s="213">
        <f t="shared" si="122"/>
        <v>2217962.171875</v>
      </c>
      <c r="ACC12" s="213">
        <f t="shared" si="122"/>
        <v>2217962.171875</v>
      </c>
      <c r="ACD12" s="213">
        <f t="shared" si="122"/>
        <v>2217962.171875</v>
      </c>
      <c r="ACE12" s="213">
        <f t="shared" si="122"/>
        <v>2217962.171875</v>
      </c>
      <c r="ACF12" s="213">
        <f t="shared" si="122"/>
        <v>2217962.171875</v>
      </c>
      <c r="ACG12" s="213">
        <f t="shared" si="122"/>
        <v>2217962.171875</v>
      </c>
      <c r="ACH12" s="213">
        <f t="shared" si="122"/>
        <v>2217962.171875</v>
      </c>
      <c r="ACI12" s="213">
        <f t="shared" si="122"/>
        <v>2217962.171875</v>
      </c>
      <c r="ACJ12" s="213">
        <f t="shared" si="122"/>
        <v>2217962.171875</v>
      </c>
      <c r="ACK12" s="213">
        <f t="shared" si="122"/>
        <v>2217962.171875</v>
      </c>
      <c r="ACL12" s="213">
        <f t="shared" si="122"/>
        <v>2217962.171875</v>
      </c>
      <c r="ACM12" s="213">
        <f t="shared" si="122"/>
        <v>2217962.171875</v>
      </c>
      <c r="ACN12" s="213">
        <f t="shared" si="122"/>
        <v>2217962.171875</v>
      </c>
      <c r="ACO12" s="213">
        <f t="shared" si="122"/>
        <v>2217962.171875</v>
      </c>
      <c r="ACP12" s="213">
        <f t="shared" si="122"/>
        <v>2217962.171875</v>
      </c>
      <c r="ACQ12" s="213">
        <f t="shared" si="122"/>
        <v>2217962.171875</v>
      </c>
      <c r="ACR12" s="213">
        <f t="shared" si="122"/>
        <v>2217962.171875</v>
      </c>
      <c r="ACS12" s="213">
        <f t="shared" si="122"/>
        <v>2217962.171875</v>
      </c>
      <c r="ACT12" s="213">
        <f t="shared" si="122"/>
        <v>2217962.171875</v>
      </c>
      <c r="ACU12" s="213">
        <f t="shared" si="122"/>
        <v>2217962.171875</v>
      </c>
      <c r="ACV12" s="213">
        <f t="shared" si="122"/>
        <v>2217962.171875</v>
      </c>
      <c r="ACW12" s="213">
        <f t="shared" ref="ACW12:AFH12" si="123">ACV12+ACW11</f>
        <v>2217962.171875</v>
      </c>
      <c r="ACX12" s="213">
        <f t="shared" si="123"/>
        <v>2217962.171875</v>
      </c>
      <c r="ACY12" s="213">
        <f t="shared" si="123"/>
        <v>2217962.171875</v>
      </c>
      <c r="ACZ12" s="213">
        <f t="shared" si="123"/>
        <v>2217962.171875</v>
      </c>
      <c r="ADA12" s="213">
        <f t="shared" si="123"/>
        <v>2217962.171875</v>
      </c>
      <c r="ADB12" s="213">
        <f t="shared" si="123"/>
        <v>2217962.171875</v>
      </c>
      <c r="ADC12" s="213">
        <f t="shared" si="123"/>
        <v>2217962.171875</v>
      </c>
      <c r="ADD12" s="213">
        <f t="shared" si="123"/>
        <v>2217962.171875</v>
      </c>
      <c r="ADE12" s="213">
        <f t="shared" si="123"/>
        <v>2217962.171875</v>
      </c>
      <c r="ADF12" s="213">
        <f t="shared" si="123"/>
        <v>2217962.171875</v>
      </c>
      <c r="ADG12" s="213">
        <f t="shared" si="123"/>
        <v>2217962.171875</v>
      </c>
      <c r="ADH12" s="213">
        <f t="shared" si="123"/>
        <v>2217962.171875</v>
      </c>
      <c r="ADI12" s="213">
        <f t="shared" si="123"/>
        <v>2217962.171875</v>
      </c>
      <c r="ADJ12" s="213">
        <f t="shared" si="123"/>
        <v>2217962.171875</v>
      </c>
      <c r="ADK12" s="213">
        <f t="shared" si="123"/>
        <v>2217962.171875</v>
      </c>
      <c r="ADL12" s="213">
        <f t="shared" si="123"/>
        <v>2217962.171875</v>
      </c>
      <c r="ADM12" s="213">
        <f t="shared" si="123"/>
        <v>2217962.171875</v>
      </c>
      <c r="ADN12" s="213">
        <f t="shared" si="123"/>
        <v>2217962.171875</v>
      </c>
      <c r="ADO12" s="213">
        <f t="shared" si="123"/>
        <v>2217962.171875</v>
      </c>
      <c r="ADP12" s="213">
        <f t="shared" si="123"/>
        <v>2217962.171875</v>
      </c>
      <c r="ADQ12" s="213">
        <f t="shared" si="123"/>
        <v>2217962.171875</v>
      </c>
      <c r="ADR12" s="213">
        <f t="shared" si="123"/>
        <v>2217962.171875</v>
      </c>
      <c r="ADS12" s="213">
        <f t="shared" si="123"/>
        <v>2217962.171875</v>
      </c>
      <c r="ADT12" s="213">
        <f t="shared" si="123"/>
        <v>2217962.171875</v>
      </c>
      <c r="ADU12" s="213">
        <f t="shared" si="123"/>
        <v>2217962.171875</v>
      </c>
      <c r="ADV12" s="213">
        <f t="shared" si="123"/>
        <v>2217962.171875</v>
      </c>
      <c r="ADW12" s="213">
        <f t="shared" si="123"/>
        <v>2217962.171875</v>
      </c>
      <c r="ADX12" s="213">
        <f t="shared" si="123"/>
        <v>2217962.171875</v>
      </c>
      <c r="ADY12" s="213">
        <f t="shared" si="123"/>
        <v>2217962.171875</v>
      </c>
      <c r="ADZ12" s="213">
        <f t="shared" si="123"/>
        <v>2217962.171875</v>
      </c>
      <c r="AEA12" s="213">
        <f t="shared" si="123"/>
        <v>2217962.171875</v>
      </c>
      <c r="AEB12" s="213">
        <f t="shared" si="123"/>
        <v>2217962.171875</v>
      </c>
      <c r="AEC12" s="213">
        <f t="shared" si="123"/>
        <v>2217962.171875</v>
      </c>
      <c r="AED12" s="213">
        <f t="shared" si="123"/>
        <v>2217962.171875</v>
      </c>
      <c r="AEE12" s="213">
        <f t="shared" si="123"/>
        <v>2217962.171875</v>
      </c>
      <c r="AEF12" s="213">
        <f t="shared" si="123"/>
        <v>2217962.171875</v>
      </c>
      <c r="AEG12" s="213">
        <f t="shared" si="123"/>
        <v>2217962.171875</v>
      </c>
      <c r="AEH12" s="213">
        <f t="shared" si="123"/>
        <v>2217962.171875</v>
      </c>
      <c r="AEI12" s="213">
        <f t="shared" si="123"/>
        <v>2217962.171875</v>
      </c>
      <c r="AEJ12" s="213">
        <f t="shared" si="123"/>
        <v>2217962.171875</v>
      </c>
      <c r="AEK12" s="213">
        <f t="shared" si="123"/>
        <v>2217962.171875</v>
      </c>
      <c r="AEL12" s="213">
        <f t="shared" si="123"/>
        <v>2217962.171875</v>
      </c>
      <c r="AEM12" s="213">
        <f t="shared" si="123"/>
        <v>2217962.171875</v>
      </c>
      <c r="AEN12" s="213">
        <f t="shared" si="123"/>
        <v>2217962.171875</v>
      </c>
      <c r="AEO12" s="213">
        <f t="shared" si="123"/>
        <v>2217962.171875</v>
      </c>
      <c r="AEP12" s="213">
        <f t="shared" si="123"/>
        <v>2217962.171875</v>
      </c>
      <c r="AEQ12" s="213">
        <f t="shared" si="123"/>
        <v>2217962.171875</v>
      </c>
      <c r="AER12" s="213">
        <f t="shared" si="123"/>
        <v>2217962.171875</v>
      </c>
      <c r="AES12" s="213">
        <f t="shared" si="123"/>
        <v>2217962.171875</v>
      </c>
      <c r="AET12" s="213">
        <f t="shared" si="123"/>
        <v>2217962.171875</v>
      </c>
      <c r="AEU12" s="213">
        <f t="shared" si="123"/>
        <v>2217962.171875</v>
      </c>
      <c r="AEV12" s="213">
        <f t="shared" si="123"/>
        <v>2217962.171875</v>
      </c>
      <c r="AEW12" s="213">
        <f t="shared" si="123"/>
        <v>2217962.171875</v>
      </c>
      <c r="AEX12" s="213">
        <f t="shared" si="123"/>
        <v>2217962.171875</v>
      </c>
      <c r="AEY12" s="213">
        <f t="shared" si="123"/>
        <v>2217962.171875</v>
      </c>
      <c r="AEZ12" s="213">
        <f t="shared" si="123"/>
        <v>2217962.171875</v>
      </c>
      <c r="AFA12" s="213">
        <f t="shared" si="123"/>
        <v>2217962.171875</v>
      </c>
      <c r="AFB12" s="213">
        <f t="shared" si="123"/>
        <v>2217962.171875</v>
      </c>
      <c r="AFC12" s="213">
        <f t="shared" si="123"/>
        <v>2217962.171875</v>
      </c>
      <c r="AFD12" s="213">
        <f t="shared" si="123"/>
        <v>2217962.171875</v>
      </c>
      <c r="AFE12" s="213">
        <f t="shared" si="123"/>
        <v>2217962.171875</v>
      </c>
      <c r="AFF12" s="213">
        <f t="shared" si="123"/>
        <v>2217962.171875</v>
      </c>
      <c r="AFG12" s="213">
        <f t="shared" si="123"/>
        <v>2217962.171875</v>
      </c>
      <c r="AFH12" s="213">
        <f t="shared" si="123"/>
        <v>2217962.171875</v>
      </c>
      <c r="AFI12" s="213">
        <f t="shared" ref="AFI12:AHT12" si="124">AFH12+AFI11</f>
        <v>2217962.171875</v>
      </c>
      <c r="AFJ12" s="213">
        <f t="shared" si="124"/>
        <v>2217962.171875</v>
      </c>
      <c r="AFK12" s="213">
        <f t="shared" si="124"/>
        <v>2217962.171875</v>
      </c>
      <c r="AFL12" s="213">
        <f t="shared" si="124"/>
        <v>2217962.171875</v>
      </c>
      <c r="AFM12" s="213">
        <f t="shared" si="124"/>
        <v>2217962.171875</v>
      </c>
      <c r="AFN12" s="213">
        <f t="shared" si="124"/>
        <v>2217962.171875</v>
      </c>
      <c r="AFO12" s="213">
        <f t="shared" si="124"/>
        <v>2217962.171875</v>
      </c>
      <c r="AFP12" s="213">
        <f t="shared" si="124"/>
        <v>2217962.171875</v>
      </c>
      <c r="AFQ12" s="213">
        <f t="shared" si="124"/>
        <v>2217962.171875</v>
      </c>
      <c r="AFR12" s="213">
        <f t="shared" si="124"/>
        <v>2217962.171875</v>
      </c>
      <c r="AFS12" s="213">
        <f t="shared" si="124"/>
        <v>2217962.171875</v>
      </c>
      <c r="AFT12" s="213">
        <f t="shared" si="124"/>
        <v>2217962.171875</v>
      </c>
      <c r="AFU12" s="213">
        <f t="shared" si="124"/>
        <v>2217962.171875</v>
      </c>
      <c r="AFV12" s="213">
        <f t="shared" si="124"/>
        <v>2217962.171875</v>
      </c>
      <c r="AFW12" s="213">
        <f t="shared" si="124"/>
        <v>2217962.171875</v>
      </c>
      <c r="AFX12" s="213">
        <f t="shared" si="124"/>
        <v>2217962.171875</v>
      </c>
      <c r="AFY12" s="213">
        <f t="shared" si="124"/>
        <v>2217962.171875</v>
      </c>
      <c r="AFZ12" s="213">
        <f t="shared" si="124"/>
        <v>2217962.171875</v>
      </c>
      <c r="AGA12" s="213">
        <f t="shared" si="124"/>
        <v>2217962.171875</v>
      </c>
      <c r="AGB12" s="213">
        <f t="shared" si="124"/>
        <v>2217962.171875</v>
      </c>
      <c r="AGC12" s="213">
        <f t="shared" si="124"/>
        <v>2217962.171875</v>
      </c>
      <c r="AGD12" s="213">
        <f t="shared" si="124"/>
        <v>2217962.171875</v>
      </c>
      <c r="AGE12" s="213">
        <f t="shared" si="124"/>
        <v>2217962.171875</v>
      </c>
      <c r="AGF12" s="213">
        <f t="shared" si="124"/>
        <v>2217962.171875</v>
      </c>
      <c r="AGG12" s="213">
        <f t="shared" si="124"/>
        <v>2217962.171875</v>
      </c>
      <c r="AGH12" s="213">
        <f t="shared" si="124"/>
        <v>2217962.171875</v>
      </c>
      <c r="AGI12" s="213">
        <f t="shared" si="124"/>
        <v>2217962.171875</v>
      </c>
      <c r="AGJ12" s="213">
        <f t="shared" si="124"/>
        <v>2217962.171875</v>
      </c>
      <c r="AGK12" s="213">
        <f t="shared" si="124"/>
        <v>2217962.171875</v>
      </c>
      <c r="AGL12" s="213">
        <f t="shared" si="124"/>
        <v>2217962.171875</v>
      </c>
      <c r="AGM12" s="213">
        <f t="shared" si="124"/>
        <v>2217962.171875</v>
      </c>
      <c r="AGN12" s="213">
        <f t="shared" si="124"/>
        <v>2217962.171875</v>
      </c>
      <c r="AGO12" s="213">
        <f t="shared" si="124"/>
        <v>2217962.171875</v>
      </c>
      <c r="AGP12" s="213">
        <f t="shared" si="124"/>
        <v>2217962.171875</v>
      </c>
      <c r="AGQ12" s="213">
        <f t="shared" si="124"/>
        <v>2217962.171875</v>
      </c>
      <c r="AGR12" s="213">
        <f t="shared" si="124"/>
        <v>2217962.171875</v>
      </c>
      <c r="AGS12" s="213">
        <f t="shared" si="124"/>
        <v>2217962.171875</v>
      </c>
      <c r="AGT12" s="213">
        <f t="shared" si="124"/>
        <v>2217962.171875</v>
      </c>
      <c r="AGU12" s="213">
        <f t="shared" si="124"/>
        <v>2217962.171875</v>
      </c>
      <c r="AGV12" s="213">
        <f t="shared" si="124"/>
        <v>2217962.171875</v>
      </c>
      <c r="AGW12" s="213">
        <f t="shared" si="124"/>
        <v>2217962.171875</v>
      </c>
      <c r="AGX12" s="213">
        <f t="shared" si="124"/>
        <v>2217962.171875</v>
      </c>
      <c r="AGY12" s="213">
        <f t="shared" si="124"/>
        <v>2217962.171875</v>
      </c>
      <c r="AGZ12" s="213">
        <f t="shared" si="124"/>
        <v>2217962.171875</v>
      </c>
      <c r="AHA12" s="213">
        <f t="shared" si="124"/>
        <v>2217962.171875</v>
      </c>
      <c r="AHB12" s="213">
        <f t="shared" si="124"/>
        <v>2217962.171875</v>
      </c>
      <c r="AHC12" s="213">
        <f t="shared" si="124"/>
        <v>2217962.171875</v>
      </c>
      <c r="AHD12" s="213">
        <f t="shared" si="124"/>
        <v>2217962.171875</v>
      </c>
      <c r="AHE12" s="213">
        <f t="shared" si="124"/>
        <v>2217962.171875</v>
      </c>
      <c r="AHF12" s="213">
        <f t="shared" si="124"/>
        <v>2217962.171875</v>
      </c>
      <c r="AHG12" s="213">
        <f t="shared" si="124"/>
        <v>2217962.171875</v>
      </c>
      <c r="AHH12" s="213">
        <f t="shared" si="124"/>
        <v>2217962.171875</v>
      </c>
      <c r="AHI12" s="213">
        <f t="shared" si="124"/>
        <v>2217962.171875</v>
      </c>
      <c r="AHJ12" s="213">
        <f t="shared" si="124"/>
        <v>2217962.171875</v>
      </c>
      <c r="AHK12" s="213">
        <f t="shared" si="124"/>
        <v>2217962.171875</v>
      </c>
      <c r="AHL12" s="213">
        <f t="shared" si="124"/>
        <v>2217962.171875</v>
      </c>
      <c r="AHM12" s="213">
        <f t="shared" si="124"/>
        <v>2217962.171875</v>
      </c>
      <c r="AHN12" s="213">
        <f t="shared" si="124"/>
        <v>2217962.171875</v>
      </c>
      <c r="AHO12" s="213">
        <f t="shared" si="124"/>
        <v>2217962.171875</v>
      </c>
      <c r="AHP12" s="213">
        <f t="shared" si="124"/>
        <v>2217962.171875</v>
      </c>
      <c r="AHQ12" s="213">
        <f t="shared" si="124"/>
        <v>2217962.171875</v>
      </c>
      <c r="AHR12" s="213">
        <f t="shared" si="124"/>
        <v>2217962.171875</v>
      </c>
      <c r="AHS12" s="213">
        <f t="shared" si="124"/>
        <v>2217962.171875</v>
      </c>
      <c r="AHT12" s="213">
        <f t="shared" si="124"/>
        <v>2217962.171875</v>
      </c>
      <c r="AHU12" s="213">
        <f t="shared" ref="AHU12:AKF12" si="125">AHT12+AHU11</f>
        <v>2217962.171875</v>
      </c>
      <c r="AHV12" s="213">
        <f t="shared" si="125"/>
        <v>2217962.171875</v>
      </c>
      <c r="AHW12" s="213">
        <f t="shared" si="125"/>
        <v>2217962.171875</v>
      </c>
      <c r="AHX12" s="213">
        <f t="shared" si="125"/>
        <v>2217962.171875</v>
      </c>
      <c r="AHY12" s="213">
        <f t="shared" si="125"/>
        <v>2217962.171875</v>
      </c>
      <c r="AHZ12" s="213">
        <f t="shared" si="125"/>
        <v>2217962.171875</v>
      </c>
      <c r="AIA12" s="213">
        <f t="shared" si="125"/>
        <v>2217962.171875</v>
      </c>
      <c r="AIB12" s="213">
        <f t="shared" si="125"/>
        <v>2217962.171875</v>
      </c>
      <c r="AIC12" s="213">
        <f t="shared" si="125"/>
        <v>2217962.171875</v>
      </c>
      <c r="AID12" s="213">
        <f t="shared" si="125"/>
        <v>2217962.171875</v>
      </c>
      <c r="AIE12" s="213">
        <f t="shared" si="125"/>
        <v>2217962.171875</v>
      </c>
      <c r="AIF12" s="213">
        <f t="shared" si="125"/>
        <v>2217962.171875</v>
      </c>
      <c r="AIG12" s="213">
        <f t="shared" si="125"/>
        <v>2217962.171875</v>
      </c>
      <c r="AIH12" s="213">
        <f t="shared" si="125"/>
        <v>2217962.171875</v>
      </c>
      <c r="AII12" s="213">
        <f t="shared" si="125"/>
        <v>2217962.171875</v>
      </c>
      <c r="AIJ12" s="213">
        <f t="shared" si="125"/>
        <v>2217962.171875</v>
      </c>
      <c r="AIK12" s="213">
        <f t="shared" si="125"/>
        <v>2217962.171875</v>
      </c>
      <c r="AIL12" s="213">
        <f t="shared" si="125"/>
        <v>2217962.171875</v>
      </c>
      <c r="AIM12" s="213">
        <f t="shared" si="125"/>
        <v>2217962.171875</v>
      </c>
      <c r="AIN12" s="213">
        <f t="shared" si="125"/>
        <v>2217962.171875</v>
      </c>
      <c r="AIO12" s="213">
        <f t="shared" si="125"/>
        <v>2217962.171875</v>
      </c>
      <c r="AIP12" s="213">
        <f t="shared" si="125"/>
        <v>2217962.171875</v>
      </c>
      <c r="AIQ12" s="213">
        <f t="shared" si="125"/>
        <v>2217962.171875</v>
      </c>
      <c r="AIR12" s="213">
        <f t="shared" si="125"/>
        <v>2217962.171875</v>
      </c>
      <c r="AIS12" s="213">
        <f t="shared" si="125"/>
        <v>2217962.171875</v>
      </c>
      <c r="AIT12" s="213">
        <f t="shared" si="125"/>
        <v>2217962.171875</v>
      </c>
      <c r="AIU12" s="213">
        <f t="shared" si="125"/>
        <v>2217962.171875</v>
      </c>
      <c r="AIV12" s="213">
        <f t="shared" si="125"/>
        <v>2217962.171875</v>
      </c>
      <c r="AIW12" s="213">
        <f t="shared" si="125"/>
        <v>2217962.171875</v>
      </c>
      <c r="AIX12" s="213">
        <f t="shared" si="125"/>
        <v>2217962.171875</v>
      </c>
      <c r="AIY12" s="213">
        <f t="shared" si="125"/>
        <v>2217962.171875</v>
      </c>
      <c r="AIZ12" s="213">
        <f t="shared" si="125"/>
        <v>2217962.171875</v>
      </c>
      <c r="AJA12" s="213">
        <f t="shared" si="125"/>
        <v>2217962.171875</v>
      </c>
      <c r="AJB12" s="213">
        <f t="shared" si="125"/>
        <v>2217962.171875</v>
      </c>
      <c r="AJC12" s="213">
        <f t="shared" si="125"/>
        <v>2217962.171875</v>
      </c>
      <c r="AJD12" s="213">
        <f t="shared" si="125"/>
        <v>2217962.171875</v>
      </c>
      <c r="AJE12" s="213">
        <f t="shared" si="125"/>
        <v>2217962.171875</v>
      </c>
      <c r="AJF12" s="213">
        <f t="shared" si="125"/>
        <v>2217962.171875</v>
      </c>
      <c r="AJG12" s="213">
        <f t="shared" si="125"/>
        <v>2217962.171875</v>
      </c>
      <c r="AJH12" s="213">
        <f t="shared" si="125"/>
        <v>2217962.171875</v>
      </c>
      <c r="AJI12" s="213">
        <f t="shared" si="125"/>
        <v>2217962.171875</v>
      </c>
      <c r="AJJ12" s="213">
        <f t="shared" si="125"/>
        <v>2217962.171875</v>
      </c>
      <c r="AJK12" s="213">
        <f t="shared" si="125"/>
        <v>2217962.171875</v>
      </c>
      <c r="AJL12" s="213">
        <f t="shared" si="125"/>
        <v>2217962.171875</v>
      </c>
      <c r="AJM12" s="213">
        <f t="shared" si="125"/>
        <v>2217962.171875</v>
      </c>
      <c r="AJN12" s="213">
        <f t="shared" si="125"/>
        <v>2217962.171875</v>
      </c>
      <c r="AJO12" s="213">
        <f t="shared" si="125"/>
        <v>2217962.171875</v>
      </c>
      <c r="AJP12" s="213">
        <f t="shared" si="125"/>
        <v>2217962.171875</v>
      </c>
      <c r="AJQ12" s="213">
        <f t="shared" si="125"/>
        <v>2217962.171875</v>
      </c>
      <c r="AJR12" s="213">
        <f t="shared" si="125"/>
        <v>2217962.171875</v>
      </c>
      <c r="AJS12" s="213">
        <f t="shared" si="125"/>
        <v>2217962.171875</v>
      </c>
      <c r="AJT12" s="213">
        <f t="shared" si="125"/>
        <v>2217962.171875</v>
      </c>
      <c r="AJU12" s="213">
        <f t="shared" si="125"/>
        <v>2217962.171875</v>
      </c>
      <c r="AJV12" s="213">
        <f t="shared" si="125"/>
        <v>2217962.171875</v>
      </c>
      <c r="AJW12" s="213">
        <f t="shared" si="125"/>
        <v>2217962.171875</v>
      </c>
      <c r="AJX12" s="213">
        <f t="shared" si="125"/>
        <v>2217962.171875</v>
      </c>
      <c r="AJY12" s="213">
        <f t="shared" si="125"/>
        <v>2217962.171875</v>
      </c>
      <c r="AJZ12" s="213">
        <f t="shared" si="125"/>
        <v>2217962.171875</v>
      </c>
      <c r="AKA12" s="213">
        <f t="shared" si="125"/>
        <v>2217962.171875</v>
      </c>
      <c r="AKB12" s="213">
        <f t="shared" si="125"/>
        <v>2217962.171875</v>
      </c>
      <c r="AKC12" s="213">
        <f t="shared" si="125"/>
        <v>2217962.171875</v>
      </c>
      <c r="AKD12" s="213">
        <f t="shared" si="125"/>
        <v>2217962.171875</v>
      </c>
      <c r="AKE12" s="213">
        <f t="shared" si="125"/>
        <v>2217962.171875</v>
      </c>
      <c r="AKF12" s="213">
        <f t="shared" si="125"/>
        <v>2217962.171875</v>
      </c>
      <c r="AKG12" s="213">
        <f t="shared" ref="AKG12:AMR12" si="126">AKF12+AKG11</f>
        <v>2217962.171875</v>
      </c>
      <c r="AKH12" s="213">
        <f t="shared" si="126"/>
        <v>2217962.171875</v>
      </c>
      <c r="AKI12" s="213">
        <f t="shared" si="126"/>
        <v>2217962.171875</v>
      </c>
      <c r="AKJ12" s="213">
        <f t="shared" si="126"/>
        <v>2217962.171875</v>
      </c>
      <c r="AKK12" s="213">
        <f t="shared" si="126"/>
        <v>2217962.171875</v>
      </c>
      <c r="AKL12" s="213">
        <f t="shared" si="126"/>
        <v>2217962.171875</v>
      </c>
      <c r="AKM12" s="213">
        <f t="shared" si="126"/>
        <v>2217962.171875</v>
      </c>
      <c r="AKN12" s="213">
        <f t="shared" si="126"/>
        <v>2217962.171875</v>
      </c>
      <c r="AKO12" s="213">
        <f t="shared" si="126"/>
        <v>2217962.171875</v>
      </c>
      <c r="AKP12" s="213">
        <f t="shared" si="126"/>
        <v>2217962.171875</v>
      </c>
      <c r="AKQ12" s="213">
        <f t="shared" si="126"/>
        <v>2217962.171875</v>
      </c>
      <c r="AKR12" s="213">
        <f t="shared" si="126"/>
        <v>2217962.171875</v>
      </c>
      <c r="AKS12" s="213">
        <f t="shared" si="126"/>
        <v>2217962.171875</v>
      </c>
      <c r="AKT12" s="213">
        <f t="shared" si="126"/>
        <v>2217962.171875</v>
      </c>
      <c r="AKU12" s="213">
        <f t="shared" si="126"/>
        <v>2217962.171875</v>
      </c>
      <c r="AKV12" s="213">
        <f t="shared" si="126"/>
        <v>2217962.171875</v>
      </c>
      <c r="AKW12" s="213">
        <f t="shared" si="126"/>
        <v>2217962.171875</v>
      </c>
      <c r="AKX12" s="213">
        <f t="shared" si="126"/>
        <v>2217962.171875</v>
      </c>
      <c r="AKY12" s="213">
        <f t="shared" si="126"/>
        <v>2217962.171875</v>
      </c>
      <c r="AKZ12" s="213">
        <f t="shared" si="126"/>
        <v>2217962.171875</v>
      </c>
      <c r="ALA12" s="213">
        <f t="shared" si="126"/>
        <v>2217962.171875</v>
      </c>
      <c r="ALB12" s="213">
        <f t="shared" si="126"/>
        <v>2217962.171875</v>
      </c>
      <c r="ALC12" s="213">
        <f t="shared" si="126"/>
        <v>2217962.171875</v>
      </c>
      <c r="ALD12" s="213">
        <f t="shared" si="126"/>
        <v>2217962.171875</v>
      </c>
      <c r="ALE12" s="213">
        <f t="shared" si="126"/>
        <v>2217962.171875</v>
      </c>
      <c r="ALF12" s="213">
        <f t="shared" si="126"/>
        <v>2217962.171875</v>
      </c>
      <c r="ALG12" s="213">
        <f t="shared" si="126"/>
        <v>2217962.171875</v>
      </c>
      <c r="ALH12" s="213">
        <f t="shared" si="126"/>
        <v>2217962.171875</v>
      </c>
      <c r="ALI12" s="213">
        <f t="shared" si="126"/>
        <v>2217962.171875</v>
      </c>
      <c r="ALJ12" s="213">
        <f t="shared" si="126"/>
        <v>2217962.171875</v>
      </c>
      <c r="ALK12" s="213">
        <f t="shared" si="126"/>
        <v>2217962.171875</v>
      </c>
      <c r="ALL12" s="213">
        <f t="shared" si="126"/>
        <v>2217962.171875</v>
      </c>
      <c r="ALM12" s="213">
        <f t="shared" si="126"/>
        <v>2217962.171875</v>
      </c>
      <c r="ALN12" s="213">
        <f t="shared" si="126"/>
        <v>2217962.171875</v>
      </c>
      <c r="ALO12" s="213">
        <f t="shared" si="126"/>
        <v>2217962.171875</v>
      </c>
      <c r="ALP12" s="213">
        <f t="shared" si="126"/>
        <v>2217962.171875</v>
      </c>
      <c r="ALQ12" s="213">
        <f t="shared" si="126"/>
        <v>2217962.171875</v>
      </c>
      <c r="ALR12" s="213">
        <f t="shared" si="126"/>
        <v>2217962.171875</v>
      </c>
      <c r="ALS12" s="213">
        <f t="shared" si="126"/>
        <v>2217962.171875</v>
      </c>
      <c r="ALT12" s="213">
        <f t="shared" si="126"/>
        <v>2217962.171875</v>
      </c>
      <c r="ALU12" s="213">
        <f t="shared" si="126"/>
        <v>2217962.171875</v>
      </c>
      <c r="ALV12" s="213">
        <f t="shared" si="126"/>
        <v>2217962.171875</v>
      </c>
      <c r="ALW12" s="213">
        <f t="shared" si="126"/>
        <v>2217962.171875</v>
      </c>
      <c r="ALX12" s="213">
        <f t="shared" si="126"/>
        <v>2217962.171875</v>
      </c>
      <c r="ALY12" s="213">
        <f t="shared" si="126"/>
        <v>2217962.171875</v>
      </c>
      <c r="ALZ12" s="213">
        <f t="shared" si="126"/>
        <v>2217962.171875</v>
      </c>
      <c r="AMA12" s="213">
        <f t="shared" si="126"/>
        <v>2217962.171875</v>
      </c>
      <c r="AMB12" s="213">
        <f t="shared" si="126"/>
        <v>2217962.171875</v>
      </c>
      <c r="AMC12" s="213">
        <f t="shared" si="126"/>
        <v>2217962.171875</v>
      </c>
      <c r="AMD12" s="213">
        <f t="shared" si="126"/>
        <v>2217962.171875</v>
      </c>
      <c r="AME12" s="213">
        <f t="shared" si="126"/>
        <v>2217962.171875</v>
      </c>
      <c r="AMF12" s="213">
        <f t="shared" si="126"/>
        <v>2217962.171875</v>
      </c>
      <c r="AMG12" s="213">
        <f t="shared" si="126"/>
        <v>2217962.171875</v>
      </c>
      <c r="AMH12" s="213">
        <f t="shared" si="126"/>
        <v>2217962.171875</v>
      </c>
      <c r="AMI12" s="213">
        <f t="shared" si="126"/>
        <v>2217962.171875</v>
      </c>
      <c r="AMJ12" s="213">
        <f t="shared" si="126"/>
        <v>2217962.171875</v>
      </c>
      <c r="AMK12" s="213">
        <f t="shared" si="126"/>
        <v>2217962.171875</v>
      </c>
      <c r="AML12" s="213">
        <f t="shared" si="126"/>
        <v>2217962.171875</v>
      </c>
      <c r="AMM12" s="213">
        <f t="shared" si="126"/>
        <v>2217962.171875</v>
      </c>
      <c r="AMN12" s="213">
        <f t="shared" si="126"/>
        <v>2217962.171875</v>
      </c>
      <c r="AMO12" s="213">
        <f t="shared" si="126"/>
        <v>2217962.171875</v>
      </c>
      <c r="AMP12" s="213">
        <f t="shared" si="126"/>
        <v>2217962.171875</v>
      </c>
      <c r="AMQ12" s="213">
        <f t="shared" si="126"/>
        <v>2217962.171875</v>
      </c>
      <c r="AMR12" s="213">
        <f t="shared" si="126"/>
        <v>2217962.171875</v>
      </c>
      <c r="AMS12" s="213">
        <f t="shared" ref="AMS12:APD12" si="127">AMR12+AMS11</f>
        <v>2217962.171875</v>
      </c>
      <c r="AMT12" s="213">
        <f t="shared" si="127"/>
        <v>2217962.171875</v>
      </c>
      <c r="AMU12" s="213">
        <f t="shared" si="127"/>
        <v>2217962.171875</v>
      </c>
      <c r="AMV12" s="213">
        <f t="shared" si="127"/>
        <v>2217962.171875</v>
      </c>
      <c r="AMW12" s="213">
        <f t="shared" si="127"/>
        <v>2217962.171875</v>
      </c>
      <c r="AMX12" s="213">
        <f t="shared" si="127"/>
        <v>2217962.171875</v>
      </c>
      <c r="AMY12" s="213">
        <f t="shared" si="127"/>
        <v>2217962.171875</v>
      </c>
      <c r="AMZ12" s="213">
        <f t="shared" si="127"/>
        <v>2217962.171875</v>
      </c>
      <c r="ANA12" s="213">
        <f t="shared" si="127"/>
        <v>2217962.171875</v>
      </c>
      <c r="ANB12" s="213">
        <f t="shared" si="127"/>
        <v>2217962.171875</v>
      </c>
      <c r="ANC12" s="213">
        <f t="shared" si="127"/>
        <v>2217962.171875</v>
      </c>
      <c r="AND12" s="213">
        <f t="shared" si="127"/>
        <v>2217962.171875</v>
      </c>
      <c r="ANE12" s="213">
        <f t="shared" si="127"/>
        <v>2217962.171875</v>
      </c>
      <c r="ANF12" s="213">
        <f t="shared" si="127"/>
        <v>2217962.171875</v>
      </c>
      <c r="ANG12" s="213">
        <f t="shared" si="127"/>
        <v>2217962.171875</v>
      </c>
      <c r="ANH12" s="213">
        <f t="shared" si="127"/>
        <v>2217962.171875</v>
      </c>
      <c r="ANI12" s="213">
        <f t="shared" si="127"/>
        <v>2217962.171875</v>
      </c>
      <c r="ANJ12" s="213">
        <f t="shared" si="127"/>
        <v>2217962.171875</v>
      </c>
      <c r="ANK12" s="213">
        <f t="shared" si="127"/>
        <v>2217962.171875</v>
      </c>
      <c r="ANL12" s="213">
        <f t="shared" si="127"/>
        <v>2217962.171875</v>
      </c>
      <c r="ANM12" s="213">
        <f t="shared" si="127"/>
        <v>2217962.171875</v>
      </c>
      <c r="ANN12" s="213">
        <f t="shared" si="127"/>
        <v>2217962.171875</v>
      </c>
      <c r="ANO12" s="213">
        <f t="shared" si="127"/>
        <v>2217962.171875</v>
      </c>
      <c r="ANP12" s="213">
        <f t="shared" si="127"/>
        <v>2217962.171875</v>
      </c>
      <c r="ANQ12" s="213">
        <f t="shared" si="127"/>
        <v>2217962.171875</v>
      </c>
      <c r="ANR12" s="213">
        <f t="shared" si="127"/>
        <v>2217962.171875</v>
      </c>
      <c r="ANS12" s="213">
        <f t="shared" si="127"/>
        <v>2217962.171875</v>
      </c>
      <c r="ANT12" s="213">
        <f t="shared" si="127"/>
        <v>2217962.171875</v>
      </c>
      <c r="ANU12" s="213">
        <f t="shared" si="127"/>
        <v>2217962.171875</v>
      </c>
      <c r="ANV12" s="213">
        <f t="shared" si="127"/>
        <v>2217962.171875</v>
      </c>
      <c r="ANW12" s="213">
        <f t="shared" si="127"/>
        <v>2217962.171875</v>
      </c>
      <c r="ANX12" s="213">
        <f t="shared" si="127"/>
        <v>2217962.171875</v>
      </c>
      <c r="ANY12" s="213">
        <f t="shared" si="127"/>
        <v>2217962.171875</v>
      </c>
      <c r="ANZ12" s="213">
        <f t="shared" si="127"/>
        <v>2217962.171875</v>
      </c>
      <c r="AOA12" s="213">
        <f t="shared" si="127"/>
        <v>2217962.171875</v>
      </c>
      <c r="AOB12" s="213">
        <f t="shared" si="127"/>
        <v>2217962.171875</v>
      </c>
      <c r="AOC12" s="213">
        <f t="shared" si="127"/>
        <v>2217962.171875</v>
      </c>
      <c r="AOD12" s="213">
        <f t="shared" si="127"/>
        <v>2217962.171875</v>
      </c>
      <c r="AOE12" s="213">
        <f t="shared" si="127"/>
        <v>2217962.171875</v>
      </c>
      <c r="AOF12" s="213">
        <f t="shared" si="127"/>
        <v>2217962.171875</v>
      </c>
      <c r="AOG12" s="213">
        <f t="shared" si="127"/>
        <v>2217962.171875</v>
      </c>
      <c r="AOH12" s="213">
        <f t="shared" si="127"/>
        <v>2217962.171875</v>
      </c>
      <c r="AOI12" s="213">
        <f t="shared" si="127"/>
        <v>2217962.171875</v>
      </c>
      <c r="AOJ12" s="213">
        <f t="shared" si="127"/>
        <v>2217962.171875</v>
      </c>
      <c r="AOK12" s="213">
        <f t="shared" si="127"/>
        <v>2217962.171875</v>
      </c>
      <c r="AOL12" s="213">
        <f t="shared" si="127"/>
        <v>2217962.171875</v>
      </c>
      <c r="AOM12" s="213">
        <f t="shared" si="127"/>
        <v>2217962.171875</v>
      </c>
      <c r="AON12" s="213">
        <f t="shared" si="127"/>
        <v>2217962.171875</v>
      </c>
      <c r="AOO12" s="213">
        <f t="shared" si="127"/>
        <v>2217962.171875</v>
      </c>
      <c r="AOP12" s="213">
        <f t="shared" si="127"/>
        <v>2217962.171875</v>
      </c>
      <c r="AOQ12" s="213">
        <f t="shared" si="127"/>
        <v>2217962.171875</v>
      </c>
      <c r="AOR12" s="213">
        <f t="shared" si="127"/>
        <v>2217962.171875</v>
      </c>
      <c r="AOS12" s="213">
        <f t="shared" si="127"/>
        <v>2217962.171875</v>
      </c>
      <c r="AOT12" s="213">
        <f t="shared" si="127"/>
        <v>2217962.171875</v>
      </c>
      <c r="AOU12" s="213">
        <f t="shared" si="127"/>
        <v>2217962.171875</v>
      </c>
      <c r="AOV12" s="213">
        <f t="shared" si="127"/>
        <v>2217962.171875</v>
      </c>
      <c r="AOW12" s="213">
        <f t="shared" si="127"/>
        <v>2217962.171875</v>
      </c>
      <c r="AOX12" s="213">
        <f t="shared" si="127"/>
        <v>2217962.171875</v>
      </c>
      <c r="AOY12" s="213">
        <f t="shared" si="127"/>
        <v>2217962.171875</v>
      </c>
      <c r="AOZ12" s="213">
        <f t="shared" si="127"/>
        <v>2217962.171875</v>
      </c>
      <c r="APA12" s="213">
        <f t="shared" si="127"/>
        <v>2217962.171875</v>
      </c>
      <c r="APB12" s="213">
        <f t="shared" si="127"/>
        <v>2217962.171875</v>
      </c>
      <c r="APC12" s="213">
        <f t="shared" si="127"/>
        <v>2217962.171875</v>
      </c>
      <c r="APD12" s="213">
        <f t="shared" si="127"/>
        <v>2217962.171875</v>
      </c>
      <c r="APE12" s="213">
        <f t="shared" ref="APE12:ARP12" si="128">APD12+APE11</f>
        <v>2217962.171875</v>
      </c>
      <c r="APF12" s="213">
        <f t="shared" si="128"/>
        <v>2217962.171875</v>
      </c>
      <c r="APG12" s="213">
        <f t="shared" si="128"/>
        <v>2217962.171875</v>
      </c>
      <c r="APH12" s="213">
        <f t="shared" si="128"/>
        <v>2217962.171875</v>
      </c>
      <c r="API12" s="213">
        <f t="shared" si="128"/>
        <v>2217962.171875</v>
      </c>
      <c r="APJ12" s="213">
        <f t="shared" si="128"/>
        <v>2217962.171875</v>
      </c>
      <c r="APK12" s="213">
        <f t="shared" si="128"/>
        <v>2217962.171875</v>
      </c>
      <c r="APL12" s="213">
        <f t="shared" si="128"/>
        <v>2217962.171875</v>
      </c>
      <c r="APM12" s="213">
        <f t="shared" si="128"/>
        <v>2217962.171875</v>
      </c>
      <c r="APN12" s="213">
        <f t="shared" si="128"/>
        <v>2217962.171875</v>
      </c>
      <c r="APO12" s="213">
        <f t="shared" si="128"/>
        <v>2217962.171875</v>
      </c>
      <c r="APP12" s="213">
        <f t="shared" si="128"/>
        <v>2217962.171875</v>
      </c>
      <c r="APQ12" s="213">
        <f t="shared" si="128"/>
        <v>2217962.171875</v>
      </c>
      <c r="APR12" s="213">
        <f t="shared" si="128"/>
        <v>2217962.171875</v>
      </c>
      <c r="APS12" s="213">
        <f t="shared" si="128"/>
        <v>2217962.171875</v>
      </c>
      <c r="APT12" s="213">
        <f t="shared" si="128"/>
        <v>2217962.171875</v>
      </c>
      <c r="APU12" s="213">
        <f t="shared" si="128"/>
        <v>2217962.171875</v>
      </c>
      <c r="APV12" s="213">
        <f t="shared" si="128"/>
        <v>2217962.171875</v>
      </c>
      <c r="APW12" s="213">
        <f t="shared" si="128"/>
        <v>2217962.171875</v>
      </c>
      <c r="APX12" s="213">
        <f t="shared" si="128"/>
        <v>2217962.171875</v>
      </c>
      <c r="APY12" s="213">
        <f t="shared" si="128"/>
        <v>2217962.171875</v>
      </c>
      <c r="APZ12" s="213">
        <f t="shared" si="128"/>
        <v>2217962.171875</v>
      </c>
      <c r="AQA12" s="213">
        <f t="shared" si="128"/>
        <v>2217962.171875</v>
      </c>
      <c r="AQB12" s="213">
        <f t="shared" si="128"/>
        <v>2217962.171875</v>
      </c>
      <c r="AQC12" s="213">
        <f t="shared" si="128"/>
        <v>2217962.171875</v>
      </c>
      <c r="AQD12" s="213">
        <f t="shared" si="128"/>
        <v>2217962.171875</v>
      </c>
      <c r="AQE12" s="213">
        <f t="shared" si="128"/>
        <v>2217962.171875</v>
      </c>
      <c r="AQF12" s="213">
        <f t="shared" si="128"/>
        <v>2217962.171875</v>
      </c>
      <c r="AQG12" s="213">
        <f t="shared" si="128"/>
        <v>2217962.171875</v>
      </c>
      <c r="AQH12" s="213">
        <f t="shared" si="128"/>
        <v>2217962.171875</v>
      </c>
      <c r="AQI12" s="213">
        <f t="shared" si="128"/>
        <v>2217962.171875</v>
      </c>
      <c r="AQJ12" s="213">
        <f t="shared" si="128"/>
        <v>2217962.171875</v>
      </c>
      <c r="AQK12" s="213">
        <f t="shared" si="128"/>
        <v>2217962.171875</v>
      </c>
      <c r="AQL12" s="213">
        <f t="shared" si="128"/>
        <v>2217962.171875</v>
      </c>
      <c r="AQM12" s="213">
        <f t="shared" si="128"/>
        <v>2217962.171875</v>
      </c>
      <c r="AQN12" s="213">
        <f t="shared" si="128"/>
        <v>2217962.171875</v>
      </c>
      <c r="AQO12" s="213">
        <f t="shared" si="128"/>
        <v>2217962.171875</v>
      </c>
      <c r="AQP12" s="213">
        <f t="shared" si="128"/>
        <v>2217962.171875</v>
      </c>
      <c r="AQQ12" s="213">
        <f t="shared" si="128"/>
        <v>2217962.171875</v>
      </c>
      <c r="AQR12" s="213">
        <f t="shared" si="128"/>
        <v>2217962.171875</v>
      </c>
      <c r="AQS12" s="213">
        <f t="shared" si="128"/>
        <v>2217962.171875</v>
      </c>
      <c r="AQT12" s="213">
        <f t="shared" si="128"/>
        <v>2217962.171875</v>
      </c>
      <c r="AQU12" s="213">
        <f t="shared" si="128"/>
        <v>2217962.171875</v>
      </c>
      <c r="AQV12" s="213">
        <f t="shared" si="128"/>
        <v>2217962.171875</v>
      </c>
      <c r="AQW12" s="213">
        <f t="shared" si="128"/>
        <v>2217962.171875</v>
      </c>
      <c r="AQX12" s="213">
        <f t="shared" si="128"/>
        <v>2217962.171875</v>
      </c>
      <c r="AQY12" s="213">
        <f t="shared" si="128"/>
        <v>2217962.171875</v>
      </c>
      <c r="AQZ12" s="213">
        <f t="shared" si="128"/>
        <v>2217962.171875</v>
      </c>
      <c r="ARA12" s="213">
        <f t="shared" si="128"/>
        <v>2217962.171875</v>
      </c>
      <c r="ARB12" s="213">
        <f t="shared" si="128"/>
        <v>2217962.171875</v>
      </c>
      <c r="ARC12" s="213">
        <f t="shared" si="128"/>
        <v>2217962.171875</v>
      </c>
      <c r="ARD12" s="213">
        <f t="shared" si="128"/>
        <v>2217962.171875</v>
      </c>
      <c r="ARE12" s="213">
        <f t="shared" si="128"/>
        <v>2217962.171875</v>
      </c>
      <c r="ARF12" s="213">
        <f t="shared" si="128"/>
        <v>2217962.171875</v>
      </c>
      <c r="ARG12" s="213">
        <f t="shared" si="128"/>
        <v>2217962.171875</v>
      </c>
      <c r="ARH12" s="213">
        <f t="shared" si="128"/>
        <v>2217962.171875</v>
      </c>
      <c r="ARI12" s="213">
        <f t="shared" si="128"/>
        <v>2217962.171875</v>
      </c>
      <c r="ARJ12" s="213">
        <f t="shared" si="128"/>
        <v>2217962.171875</v>
      </c>
      <c r="ARK12" s="213">
        <f t="shared" si="128"/>
        <v>2217962.171875</v>
      </c>
      <c r="ARL12" s="213">
        <f t="shared" si="128"/>
        <v>2217962.171875</v>
      </c>
      <c r="ARM12" s="213">
        <f t="shared" si="128"/>
        <v>2217962.171875</v>
      </c>
      <c r="ARN12" s="213">
        <f t="shared" si="128"/>
        <v>2217962.171875</v>
      </c>
      <c r="ARO12" s="213">
        <f t="shared" si="128"/>
        <v>2217962.171875</v>
      </c>
      <c r="ARP12" s="213">
        <f t="shared" si="128"/>
        <v>2217962.171875</v>
      </c>
      <c r="ARQ12" s="213">
        <f t="shared" ref="ARQ12:AUB12" si="129">ARP12+ARQ11</f>
        <v>2217962.171875</v>
      </c>
      <c r="ARR12" s="213">
        <f t="shared" si="129"/>
        <v>2217962.171875</v>
      </c>
      <c r="ARS12" s="213">
        <f t="shared" si="129"/>
        <v>2217962.171875</v>
      </c>
      <c r="ART12" s="213">
        <f t="shared" si="129"/>
        <v>2217962.171875</v>
      </c>
      <c r="ARU12" s="213">
        <f t="shared" si="129"/>
        <v>2217962.171875</v>
      </c>
      <c r="ARV12" s="213">
        <f t="shared" si="129"/>
        <v>2217962.171875</v>
      </c>
      <c r="ARW12" s="213">
        <f t="shared" si="129"/>
        <v>2217962.171875</v>
      </c>
      <c r="ARX12" s="213">
        <f t="shared" si="129"/>
        <v>2217962.171875</v>
      </c>
      <c r="ARY12" s="213">
        <f t="shared" si="129"/>
        <v>2217962.171875</v>
      </c>
      <c r="ARZ12" s="213">
        <f t="shared" si="129"/>
        <v>2217962.171875</v>
      </c>
      <c r="ASA12" s="213">
        <f t="shared" si="129"/>
        <v>2217962.171875</v>
      </c>
      <c r="ASB12" s="213">
        <f t="shared" si="129"/>
        <v>2217962.171875</v>
      </c>
      <c r="ASC12" s="213">
        <f t="shared" si="129"/>
        <v>2217962.171875</v>
      </c>
      <c r="ASD12" s="213">
        <f t="shared" si="129"/>
        <v>2217962.171875</v>
      </c>
      <c r="ASE12" s="213">
        <f t="shared" si="129"/>
        <v>2217962.171875</v>
      </c>
      <c r="ASF12" s="213">
        <f t="shared" si="129"/>
        <v>2217962.171875</v>
      </c>
      <c r="ASG12" s="213">
        <f t="shared" si="129"/>
        <v>2217962.171875</v>
      </c>
      <c r="ASH12" s="213">
        <f t="shared" si="129"/>
        <v>2217962.171875</v>
      </c>
      <c r="ASI12" s="213">
        <f t="shared" si="129"/>
        <v>2217962.171875</v>
      </c>
      <c r="ASJ12" s="213">
        <f t="shared" si="129"/>
        <v>2217962.171875</v>
      </c>
      <c r="ASK12" s="213">
        <f t="shared" si="129"/>
        <v>2217962.171875</v>
      </c>
      <c r="ASL12" s="213">
        <f t="shared" si="129"/>
        <v>2217962.171875</v>
      </c>
      <c r="ASM12" s="213">
        <f t="shared" si="129"/>
        <v>2217962.171875</v>
      </c>
      <c r="ASN12" s="213">
        <f t="shared" si="129"/>
        <v>2217962.171875</v>
      </c>
      <c r="ASO12" s="213">
        <f t="shared" si="129"/>
        <v>2217962.171875</v>
      </c>
      <c r="ASP12" s="213">
        <f t="shared" si="129"/>
        <v>2217962.171875</v>
      </c>
      <c r="ASQ12" s="213">
        <f t="shared" si="129"/>
        <v>2217962.171875</v>
      </c>
      <c r="ASR12" s="213">
        <f t="shared" si="129"/>
        <v>2217962.171875</v>
      </c>
      <c r="ASS12" s="213">
        <f t="shared" si="129"/>
        <v>2217962.171875</v>
      </c>
      <c r="AST12" s="213">
        <f t="shared" si="129"/>
        <v>2217962.171875</v>
      </c>
      <c r="ASU12" s="213">
        <f t="shared" si="129"/>
        <v>2217962.171875</v>
      </c>
      <c r="ASV12" s="213">
        <f t="shared" si="129"/>
        <v>2217962.171875</v>
      </c>
      <c r="ASW12" s="213">
        <f t="shared" si="129"/>
        <v>2217962.171875</v>
      </c>
      <c r="ASX12" s="213">
        <f t="shared" si="129"/>
        <v>2217962.171875</v>
      </c>
      <c r="ASY12" s="213">
        <f t="shared" si="129"/>
        <v>2217962.171875</v>
      </c>
      <c r="ASZ12" s="213">
        <f t="shared" si="129"/>
        <v>2217962.171875</v>
      </c>
      <c r="ATA12" s="213">
        <f t="shared" si="129"/>
        <v>2217962.171875</v>
      </c>
      <c r="ATB12" s="213">
        <f t="shared" si="129"/>
        <v>2217962.171875</v>
      </c>
      <c r="ATC12" s="213">
        <f t="shared" si="129"/>
        <v>2217962.171875</v>
      </c>
      <c r="ATD12" s="213">
        <f t="shared" si="129"/>
        <v>2217962.171875</v>
      </c>
      <c r="ATE12" s="213">
        <f t="shared" si="129"/>
        <v>2217962.171875</v>
      </c>
      <c r="ATF12" s="213">
        <f t="shared" si="129"/>
        <v>2217962.171875</v>
      </c>
      <c r="ATG12" s="213">
        <f t="shared" si="129"/>
        <v>2217962.171875</v>
      </c>
      <c r="ATH12" s="213">
        <f t="shared" si="129"/>
        <v>2217962.171875</v>
      </c>
      <c r="ATI12" s="213">
        <f t="shared" si="129"/>
        <v>2217962.171875</v>
      </c>
      <c r="ATJ12" s="213">
        <f t="shared" si="129"/>
        <v>2217962.171875</v>
      </c>
      <c r="ATK12" s="213">
        <f t="shared" si="129"/>
        <v>2217962.171875</v>
      </c>
      <c r="ATL12" s="213">
        <f t="shared" si="129"/>
        <v>2217962.171875</v>
      </c>
      <c r="ATM12" s="213">
        <f t="shared" si="129"/>
        <v>2217962.171875</v>
      </c>
      <c r="ATN12" s="213">
        <f t="shared" si="129"/>
        <v>2217962.171875</v>
      </c>
      <c r="ATO12" s="213">
        <f t="shared" si="129"/>
        <v>2217962.171875</v>
      </c>
      <c r="ATP12" s="213">
        <f t="shared" si="129"/>
        <v>2217962.171875</v>
      </c>
      <c r="ATQ12" s="213">
        <f t="shared" si="129"/>
        <v>2217962.171875</v>
      </c>
      <c r="ATR12" s="213">
        <f t="shared" si="129"/>
        <v>2217962.171875</v>
      </c>
      <c r="ATS12" s="213">
        <f t="shared" si="129"/>
        <v>2217962.171875</v>
      </c>
      <c r="ATT12" s="213">
        <f t="shared" si="129"/>
        <v>2217962.171875</v>
      </c>
      <c r="ATU12" s="213">
        <f t="shared" si="129"/>
        <v>2217962.171875</v>
      </c>
      <c r="ATV12" s="213">
        <f t="shared" si="129"/>
        <v>2217962.171875</v>
      </c>
      <c r="ATW12" s="213">
        <f t="shared" si="129"/>
        <v>2217962.171875</v>
      </c>
      <c r="ATX12" s="213">
        <f t="shared" si="129"/>
        <v>2217962.171875</v>
      </c>
      <c r="ATY12" s="213">
        <f t="shared" si="129"/>
        <v>2217962.171875</v>
      </c>
      <c r="ATZ12" s="213">
        <f t="shared" si="129"/>
        <v>2217962.171875</v>
      </c>
      <c r="AUA12" s="213">
        <f t="shared" si="129"/>
        <v>2217962.171875</v>
      </c>
      <c r="AUB12" s="213">
        <f t="shared" si="129"/>
        <v>2217962.171875</v>
      </c>
      <c r="AUC12" s="213">
        <f t="shared" ref="AUC12:AWN12" si="130">AUB12+AUC11</f>
        <v>2217962.171875</v>
      </c>
      <c r="AUD12" s="213">
        <f t="shared" si="130"/>
        <v>2217962.171875</v>
      </c>
      <c r="AUE12" s="213">
        <f t="shared" si="130"/>
        <v>2217962.171875</v>
      </c>
      <c r="AUF12" s="213">
        <f t="shared" si="130"/>
        <v>2217962.171875</v>
      </c>
      <c r="AUG12" s="213">
        <f t="shared" si="130"/>
        <v>2217962.171875</v>
      </c>
      <c r="AUH12" s="213">
        <f t="shared" si="130"/>
        <v>2217962.171875</v>
      </c>
      <c r="AUI12" s="213">
        <f t="shared" si="130"/>
        <v>2217962.171875</v>
      </c>
      <c r="AUJ12" s="213">
        <f t="shared" si="130"/>
        <v>2217962.171875</v>
      </c>
      <c r="AUK12" s="213">
        <f t="shared" si="130"/>
        <v>2217962.171875</v>
      </c>
      <c r="AUL12" s="213">
        <f t="shared" si="130"/>
        <v>2217962.171875</v>
      </c>
      <c r="AUM12" s="213">
        <f t="shared" si="130"/>
        <v>2217962.171875</v>
      </c>
      <c r="AUN12" s="213">
        <f t="shared" si="130"/>
        <v>2217962.171875</v>
      </c>
      <c r="AUO12" s="213">
        <f t="shared" si="130"/>
        <v>2217962.171875</v>
      </c>
      <c r="AUP12" s="213">
        <f t="shared" si="130"/>
        <v>2217962.171875</v>
      </c>
      <c r="AUQ12" s="213">
        <f t="shared" si="130"/>
        <v>2217962.171875</v>
      </c>
      <c r="AUR12" s="213">
        <f t="shared" si="130"/>
        <v>2217962.171875</v>
      </c>
      <c r="AUS12" s="213">
        <f t="shared" si="130"/>
        <v>2217962.171875</v>
      </c>
      <c r="AUT12" s="213">
        <f t="shared" si="130"/>
        <v>2217962.171875</v>
      </c>
      <c r="AUU12" s="213">
        <f t="shared" si="130"/>
        <v>2217962.171875</v>
      </c>
      <c r="AUV12" s="213">
        <f t="shared" si="130"/>
        <v>2217962.171875</v>
      </c>
      <c r="AUW12" s="213">
        <f t="shared" si="130"/>
        <v>2217962.171875</v>
      </c>
      <c r="AUX12" s="213">
        <f t="shared" si="130"/>
        <v>2217962.171875</v>
      </c>
      <c r="AUY12" s="213">
        <f t="shared" si="130"/>
        <v>2217962.171875</v>
      </c>
      <c r="AUZ12" s="213">
        <f t="shared" si="130"/>
        <v>2217962.171875</v>
      </c>
      <c r="AVA12" s="213">
        <f t="shared" si="130"/>
        <v>2217962.171875</v>
      </c>
      <c r="AVB12" s="213">
        <f t="shared" si="130"/>
        <v>2217962.171875</v>
      </c>
      <c r="AVC12" s="213">
        <f t="shared" si="130"/>
        <v>2217962.171875</v>
      </c>
      <c r="AVD12" s="213">
        <f t="shared" si="130"/>
        <v>2217962.171875</v>
      </c>
      <c r="AVE12" s="213">
        <f t="shared" si="130"/>
        <v>2217962.171875</v>
      </c>
      <c r="AVF12" s="213">
        <f t="shared" si="130"/>
        <v>2217962.171875</v>
      </c>
      <c r="AVG12" s="213">
        <f t="shared" si="130"/>
        <v>2217962.171875</v>
      </c>
      <c r="AVH12" s="213">
        <f t="shared" si="130"/>
        <v>2217962.171875</v>
      </c>
      <c r="AVI12" s="213">
        <f t="shared" si="130"/>
        <v>2217962.171875</v>
      </c>
      <c r="AVJ12" s="213">
        <f t="shared" si="130"/>
        <v>2217962.171875</v>
      </c>
      <c r="AVK12" s="213">
        <f t="shared" si="130"/>
        <v>2217962.171875</v>
      </c>
      <c r="AVL12" s="213">
        <f t="shared" si="130"/>
        <v>2217962.171875</v>
      </c>
      <c r="AVM12" s="213">
        <f t="shared" si="130"/>
        <v>2217962.171875</v>
      </c>
      <c r="AVN12" s="213">
        <f t="shared" si="130"/>
        <v>2217962.171875</v>
      </c>
      <c r="AVO12" s="213">
        <f t="shared" si="130"/>
        <v>2217962.171875</v>
      </c>
      <c r="AVP12" s="213">
        <f t="shared" si="130"/>
        <v>2217962.171875</v>
      </c>
      <c r="AVQ12" s="213">
        <f t="shared" si="130"/>
        <v>2217962.171875</v>
      </c>
      <c r="AVR12" s="213">
        <f t="shared" si="130"/>
        <v>2217962.171875</v>
      </c>
      <c r="AVS12" s="213">
        <f t="shared" si="130"/>
        <v>2217962.171875</v>
      </c>
      <c r="AVT12" s="213">
        <f t="shared" si="130"/>
        <v>2217962.171875</v>
      </c>
      <c r="AVU12" s="213">
        <f t="shared" si="130"/>
        <v>2217962.171875</v>
      </c>
      <c r="AVV12" s="213">
        <f t="shared" si="130"/>
        <v>2217962.171875</v>
      </c>
      <c r="AVW12" s="213">
        <f t="shared" si="130"/>
        <v>2217962.171875</v>
      </c>
      <c r="AVX12" s="213">
        <f t="shared" si="130"/>
        <v>2217962.171875</v>
      </c>
      <c r="AVY12" s="213">
        <f t="shared" si="130"/>
        <v>2217962.171875</v>
      </c>
      <c r="AVZ12" s="213">
        <f t="shared" si="130"/>
        <v>2217962.171875</v>
      </c>
      <c r="AWA12" s="213">
        <f t="shared" si="130"/>
        <v>2217962.171875</v>
      </c>
      <c r="AWB12" s="213">
        <f t="shared" si="130"/>
        <v>2217962.171875</v>
      </c>
      <c r="AWC12" s="213">
        <f t="shared" si="130"/>
        <v>2217962.171875</v>
      </c>
      <c r="AWD12" s="213">
        <f t="shared" si="130"/>
        <v>2217962.171875</v>
      </c>
      <c r="AWE12" s="213">
        <f t="shared" si="130"/>
        <v>2217962.171875</v>
      </c>
      <c r="AWF12" s="213">
        <f t="shared" si="130"/>
        <v>2217962.171875</v>
      </c>
      <c r="AWG12" s="213">
        <f t="shared" si="130"/>
        <v>2217962.171875</v>
      </c>
      <c r="AWH12" s="213">
        <f t="shared" si="130"/>
        <v>2217962.171875</v>
      </c>
      <c r="AWI12" s="213">
        <f t="shared" si="130"/>
        <v>2217962.171875</v>
      </c>
      <c r="AWJ12" s="213">
        <f t="shared" si="130"/>
        <v>2217962.171875</v>
      </c>
      <c r="AWK12" s="213">
        <f t="shared" si="130"/>
        <v>2217962.171875</v>
      </c>
      <c r="AWL12" s="213">
        <f t="shared" si="130"/>
        <v>2217962.171875</v>
      </c>
      <c r="AWM12" s="213">
        <f t="shared" si="130"/>
        <v>2217962.171875</v>
      </c>
      <c r="AWN12" s="213">
        <f t="shared" si="130"/>
        <v>2217962.171875</v>
      </c>
      <c r="AWO12" s="213">
        <f t="shared" ref="AWO12:AYZ12" si="131">AWN12+AWO11</f>
        <v>2217962.171875</v>
      </c>
      <c r="AWP12" s="213">
        <f t="shared" si="131"/>
        <v>2217962.171875</v>
      </c>
      <c r="AWQ12" s="213">
        <f t="shared" si="131"/>
        <v>2217962.171875</v>
      </c>
      <c r="AWR12" s="213">
        <f t="shared" si="131"/>
        <v>2217962.171875</v>
      </c>
      <c r="AWS12" s="213">
        <f t="shared" si="131"/>
        <v>2217962.171875</v>
      </c>
      <c r="AWT12" s="213">
        <f t="shared" si="131"/>
        <v>2217962.171875</v>
      </c>
      <c r="AWU12" s="213">
        <f t="shared" si="131"/>
        <v>2217962.171875</v>
      </c>
      <c r="AWV12" s="213">
        <f t="shared" si="131"/>
        <v>2217962.171875</v>
      </c>
      <c r="AWW12" s="213">
        <f t="shared" si="131"/>
        <v>2217962.171875</v>
      </c>
      <c r="AWX12" s="213">
        <f t="shared" si="131"/>
        <v>2217962.171875</v>
      </c>
      <c r="AWY12" s="213">
        <f t="shared" si="131"/>
        <v>2217962.171875</v>
      </c>
      <c r="AWZ12" s="213">
        <f t="shared" si="131"/>
        <v>2217962.171875</v>
      </c>
      <c r="AXA12" s="213">
        <f t="shared" si="131"/>
        <v>2217962.171875</v>
      </c>
      <c r="AXB12" s="213">
        <f t="shared" si="131"/>
        <v>2217962.171875</v>
      </c>
      <c r="AXC12" s="213">
        <f t="shared" si="131"/>
        <v>2217962.171875</v>
      </c>
      <c r="AXD12" s="213">
        <f t="shared" si="131"/>
        <v>2217962.171875</v>
      </c>
      <c r="AXE12" s="213">
        <f t="shared" si="131"/>
        <v>2217962.171875</v>
      </c>
      <c r="AXF12" s="213">
        <f t="shared" si="131"/>
        <v>2217962.171875</v>
      </c>
      <c r="AXG12" s="213">
        <f t="shared" si="131"/>
        <v>2217962.171875</v>
      </c>
      <c r="AXH12" s="213">
        <f t="shared" si="131"/>
        <v>2217962.171875</v>
      </c>
      <c r="AXI12" s="213">
        <f t="shared" si="131"/>
        <v>2217962.171875</v>
      </c>
      <c r="AXJ12" s="213">
        <f t="shared" si="131"/>
        <v>2217962.171875</v>
      </c>
      <c r="AXK12" s="213">
        <f t="shared" si="131"/>
        <v>2217962.171875</v>
      </c>
      <c r="AXL12" s="213">
        <f t="shared" si="131"/>
        <v>2217962.171875</v>
      </c>
      <c r="AXM12" s="213">
        <f t="shared" si="131"/>
        <v>2217962.171875</v>
      </c>
      <c r="AXN12" s="213">
        <f t="shared" si="131"/>
        <v>2217962.171875</v>
      </c>
      <c r="AXO12" s="213">
        <f t="shared" si="131"/>
        <v>2217962.171875</v>
      </c>
      <c r="AXP12" s="213">
        <f t="shared" si="131"/>
        <v>2217962.171875</v>
      </c>
      <c r="AXQ12" s="213">
        <f t="shared" si="131"/>
        <v>2217962.171875</v>
      </c>
      <c r="AXR12" s="213">
        <f t="shared" si="131"/>
        <v>2217962.171875</v>
      </c>
      <c r="AXS12" s="213">
        <f t="shared" si="131"/>
        <v>2217962.171875</v>
      </c>
      <c r="AXT12" s="213">
        <f t="shared" si="131"/>
        <v>2217962.171875</v>
      </c>
      <c r="AXU12" s="213">
        <f t="shared" si="131"/>
        <v>2217962.171875</v>
      </c>
      <c r="AXV12" s="213">
        <f t="shared" si="131"/>
        <v>2217962.171875</v>
      </c>
      <c r="AXW12" s="213">
        <f t="shared" si="131"/>
        <v>2217962.171875</v>
      </c>
      <c r="AXX12" s="213">
        <f t="shared" si="131"/>
        <v>2217962.171875</v>
      </c>
      <c r="AXY12" s="213">
        <f t="shared" si="131"/>
        <v>2217962.171875</v>
      </c>
      <c r="AXZ12" s="213">
        <f t="shared" si="131"/>
        <v>2217962.171875</v>
      </c>
      <c r="AYA12" s="213">
        <f t="shared" si="131"/>
        <v>2217962.171875</v>
      </c>
      <c r="AYB12" s="213">
        <f t="shared" si="131"/>
        <v>2217962.171875</v>
      </c>
      <c r="AYC12" s="213">
        <f t="shared" si="131"/>
        <v>2217962.171875</v>
      </c>
      <c r="AYD12" s="213">
        <f t="shared" si="131"/>
        <v>2217962.171875</v>
      </c>
      <c r="AYE12" s="213">
        <f t="shared" si="131"/>
        <v>2217962.171875</v>
      </c>
      <c r="AYF12" s="213">
        <f t="shared" si="131"/>
        <v>2217962.171875</v>
      </c>
      <c r="AYG12" s="213">
        <f t="shared" si="131"/>
        <v>2217962.171875</v>
      </c>
      <c r="AYH12" s="213">
        <f t="shared" si="131"/>
        <v>2217962.171875</v>
      </c>
      <c r="AYI12" s="213">
        <f t="shared" si="131"/>
        <v>2217962.171875</v>
      </c>
      <c r="AYJ12" s="213">
        <f t="shared" si="131"/>
        <v>2217962.171875</v>
      </c>
      <c r="AYK12" s="213">
        <f t="shared" si="131"/>
        <v>2217962.171875</v>
      </c>
      <c r="AYL12" s="213">
        <f t="shared" si="131"/>
        <v>2217962.171875</v>
      </c>
      <c r="AYM12" s="213">
        <f t="shared" si="131"/>
        <v>2217962.171875</v>
      </c>
      <c r="AYN12" s="213">
        <f t="shared" si="131"/>
        <v>2217962.171875</v>
      </c>
      <c r="AYO12" s="213">
        <f t="shared" si="131"/>
        <v>2217962.171875</v>
      </c>
      <c r="AYP12" s="213">
        <f t="shared" si="131"/>
        <v>2217962.171875</v>
      </c>
      <c r="AYQ12" s="213">
        <f t="shared" si="131"/>
        <v>2217962.171875</v>
      </c>
      <c r="AYR12" s="213">
        <f t="shared" si="131"/>
        <v>2217962.171875</v>
      </c>
      <c r="AYS12" s="213">
        <f t="shared" si="131"/>
        <v>2217962.171875</v>
      </c>
      <c r="AYT12" s="213">
        <f t="shared" si="131"/>
        <v>2217962.171875</v>
      </c>
      <c r="AYU12" s="213">
        <f t="shared" si="131"/>
        <v>2217962.171875</v>
      </c>
      <c r="AYV12" s="213">
        <f t="shared" si="131"/>
        <v>2217962.171875</v>
      </c>
      <c r="AYW12" s="213">
        <f t="shared" si="131"/>
        <v>2217962.171875</v>
      </c>
      <c r="AYX12" s="213">
        <f t="shared" si="131"/>
        <v>2217962.171875</v>
      </c>
      <c r="AYY12" s="213">
        <f t="shared" si="131"/>
        <v>2217962.171875</v>
      </c>
      <c r="AYZ12" s="213">
        <f t="shared" si="131"/>
        <v>2217962.171875</v>
      </c>
      <c r="AZA12" s="213">
        <f t="shared" ref="AZA12:AZG12" si="132">AYZ12+AZA11</f>
        <v>2217962.171875</v>
      </c>
      <c r="AZB12" s="213">
        <f t="shared" si="132"/>
        <v>2217962.171875</v>
      </c>
      <c r="AZC12" s="213">
        <f t="shared" si="132"/>
        <v>2217962.171875</v>
      </c>
      <c r="AZD12" s="213">
        <f t="shared" si="132"/>
        <v>2217962.171875</v>
      </c>
      <c r="AZE12" s="213">
        <f t="shared" si="132"/>
        <v>2217962.171875</v>
      </c>
      <c r="AZF12" s="213">
        <f t="shared" si="132"/>
        <v>2217962.171875</v>
      </c>
      <c r="AZG12" s="213">
        <f t="shared" si="132"/>
        <v>2217962.171875</v>
      </c>
      <c r="AZH12" s="190"/>
      <c r="AZI12" s="201"/>
    </row>
    <row r="13" spans="1:1837" s="190" customFormat="1">
      <c r="A13" s="84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7"/>
      <c r="B14" s="203" t="s">
        <v>489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697423.5194999997</v>
      </c>
      <c r="AJ14" s="206">
        <f t="shared" si="134"/>
        <v>654748.97349999985</v>
      </c>
      <c r="AK14" s="206">
        <f t="shared" si="134"/>
        <v>654748.97349999985</v>
      </c>
      <c r="AL14" s="206">
        <f t="shared" si="134"/>
        <v>818939.5009999997</v>
      </c>
      <c r="AM14" s="206">
        <f t="shared" si="134"/>
        <v>818939.5009999997</v>
      </c>
      <c r="AN14" s="206">
        <f t="shared" si="134"/>
        <v>818439.5009999997</v>
      </c>
      <c r="AO14" s="206">
        <f t="shared" si="134"/>
        <v>818439.5009999997</v>
      </c>
      <c r="AP14" s="206">
        <f t="shared" si="134"/>
        <v>818439.5009999997</v>
      </c>
      <c r="AQ14" s="206">
        <f t="shared" si="134"/>
        <v>784514.95499999961</v>
      </c>
      <c r="AR14" s="206">
        <f t="shared" si="134"/>
        <v>737467.32312499965</v>
      </c>
      <c r="AS14" s="206">
        <f t="shared" si="134"/>
        <v>737467.32312499965</v>
      </c>
      <c r="AT14" s="206">
        <f t="shared" si="134"/>
        <v>737467.32312499965</v>
      </c>
      <c r="AU14" s="206">
        <f t="shared" si="134"/>
        <v>737467.32312499965</v>
      </c>
      <c r="AV14" s="206">
        <f t="shared" si="134"/>
        <v>737467.32312499965</v>
      </c>
      <c r="AW14" s="206">
        <f t="shared" si="134"/>
        <v>737467.32312499965</v>
      </c>
      <c r="AX14" s="206">
        <f t="shared" si="134"/>
        <v>737467.32312499965</v>
      </c>
      <c r="AY14" s="206">
        <f t="shared" si="134"/>
        <v>737467.32312499965</v>
      </c>
      <c r="AZ14" s="206">
        <f t="shared" si="134"/>
        <v>737467.32312499965</v>
      </c>
      <c r="BA14" s="206">
        <f t="shared" si="134"/>
        <v>737467.32312499965</v>
      </c>
      <c r="BB14" s="206">
        <f t="shared" si="134"/>
        <v>737467.32312499965</v>
      </c>
      <c r="BC14" s="206">
        <f t="shared" si="134"/>
        <v>737467.32312499965</v>
      </c>
      <c r="BD14" s="206">
        <f t="shared" si="134"/>
        <v>737467.32312499965</v>
      </c>
      <c r="BE14" s="206">
        <f t="shared" si="134"/>
        <v>737467.32312499965</v>
      </c>
      <c r="BF14" s="206">
        <f t="shared" si="134"/>
        <v>737467.32312499965</v>
      </c>
      <c r="BG14" s="206">
        <f t="shared" si="134"/>
        <v>737467.32312499965</v>
      </c>
      <c r="BH14" s="206">
        <f t="shared" si="134"/>
        <v>737467.32312499965</v>
      </c>
      <c r="BI14" s="206">
        <f t="shared" si="134"/>
        <v>737467.32312499965</v>
      </c>
      <c r="BJ14" s="206">
        <f t="shared" si="134"/>
        <v>737467.32312499965</v>
      </c>
      <c r="BK14" s="206">
        <f t="shared" si="134"/>
        <v>737467.32312499965</v>
      </c>
      <c r="BL14" s="206">
        <f t="shared" si="134"/>
        <v>737467.32312499965</v>
      </c>
      <c r="BM14" s="206">
        <f t="shared" si="134"/>
        <v>737467.32312499965</v>
      </c>
      <c r="BN14" s="206">
        <f t="shared" si="134"/>
        <v>737467.32312499965</v>
      </c>
      <c r="BO14" s="206">
        <f t="shared" si="134"/>
        <v>737467.32312499965</v>
      </c>
      <c r="BP14" s="206">
        <f t="shared" si="134"/>
        <v>737467.32312499965</v>
      </c>
      <c r="BQ14" s="206">
        <f t="shared" si="134"/>
        <v>737467.32312499965</v>
      </c>
      <c r="BR14" s="206">
        <f t="shared" si="134"/>
        <v>737467.32312499965</v>
      </c>
      <c r="BS14" s="206">
        <f t="shared" si="134"/>
        <v>737467.32312499965</v>
      </c>
      <c r="BT14" s="206">
        <f t="shared" si="134"/>
        <v>737467.32312499965</v>
      </c>
      <c r="BU14" s="206">
        <f t="shared" ref="BU14:EF14" si="135">BU10-BU12</f>
        <v>737467.32312499965</v>
      </c>
      <c r="BV14" s="206">
        <f t="shared" si="135"/>
        <v>737467.32312499965</v>
      </c>
      <c r="BW14" s="206">
        <f t="shared" si="135"/>
        <v>737467.32312499965</v>
      </c>
      <c r="BX14" s="206">
        <f t="shared" si="135"/>
        <v>737467.32312499965</v>
      </c>
      <c r="BY14" s="206">
        <f t="shared" si="135"/>
        <v>737467.32312499965</v>
      </c>
      <c r="BZ14" s="206">
        <f t="shared" si="135"/>
        <v>737467.32312499965</v>
      </c>
      <c r="CA14" s="206">
        <f t="shared" si="135"/>
        <v>737467.32312499965</v>
      </c>
      <c r="CB14" s="206">
        <f t="shared" si="135"/>
        <v>737467.32312499965</v>
      </c>
      <c r="CC14" s="206">
        <f t="shared" si="135"/>
        <v>737467.32312499965</v>
      </c>
      <c r="CD14" s="206">
        <f t="shared" si="135"/>
        <v>737467.32312499965</v>
      </c>
      <c r="CE14" s="206">
        <f t="shared" si="135"/>
        <v>737467.32312499965</v>
      </c>
      <c r="CF14" s="206">
        <f t="shared" si="135"/>
        <v>737467.32312499965</v>
      </c>
      <c r="CG14" s="206">
        <f t="shared" si="135"/>
        <v>737467.32312499965</v>
      </c>
      <c r="CH14" s="206">
        <f t="shared" si="135"/>
        <v>737467.32312499965</v>
      </c>
      <c r="CI14" s="206">
        <f t="shared" si="135"/>
        <v>737467.32312499965</v>
      </c>
      <c r="CJ14" s="206">
        <f t="shared" si="135"/>
        <v>737467.32312499965</v>
      </c>
      <c r="CK14" s="206">
        <f t="shared" si="135"/>
        <v>737467.32312499965</v>
      </c>
      <c r="CL14" s="206">
        <f t="shared" si="135"/>
        <v>737467.32312499965</v>
      </c>
      <c r="CM14" s="206">
        <f t="shared" si="135"/>
        <v>737467.32312499965</v>
      </c>
      <c r="CN14" s="206">
        <f t="shared" si="135"/>
        <v>737467.32312499965</v>
      </c>
      <c r="CO14" s="206">
        <f t="shared" si="135"/>
        <v>737467.32312499965</v>
      </c>
      <c r="CP14" s="206">
        <f t="shared" si="135"/>
        <v>737467.32312499965</v>
      </c>
      <c r="CQ14" s="206">
        <f t="shared" si="135"/>
        <v>737467.32312499965</v>
      </c>
      <c r="CR14" s="206">
        <f t="shared" si="135"/>
        <v>737467.32312499965</v>
      </c>
      <c r="CS14" s="206">
        <f t="shared" si="135"/>
        <v>737467.32312499965</v>
      </c>
      <c r="CT14" s="206">
        <f t="shared" si="135"/>
        <v>737467.32312499965</v>
      </c>
      <c r="CU14" s="206">
        <f t="shared" si="135"/>
        <v>737467.32312499965</v>
      </c>
      <c r="CV14" s="206">
        <f t="shared" si="135"/>
        <v>737467.32312499965</v>
      </c>
      <c r="CW14" s="206">
        <f t="shared" si="135"/>
        <v>737467.32312499965</v>
      </c>
      <c r="CX14" s="206">
        <f t="shared" si="135"/>
        <v>737467.32312499965</v>
      </c>
      <c r="CY14" s="206">
        <f t="shared" si="135"/>
        <v>737467.32312499965</v>
      </c>
      <c r="CZ14" s="206">
        <f t="shared" si="135"/>
        <v>737467.32312499965</v>
      </c>
      <c r="DA14" s="206">
        <f t="shared" si="135"/>
        <v>737467.32312499965</v>
      </c>
      <c r="DB14" s="206">
        <f t="shared" si="135"/>
        <v>737467.32312499965</v>
      </c>
      <c r="DC14" s="206">
        <f t="shared" si="135"/>
        <v>737467.32312499965</v>
      </c>
      <c r="DD14" s="206">
        <f t="shared" si="135"/>
        <v>737467.32312499965</v>
      </c>
      <c r="DE14" s="206">
        <f t="shared" si="135"/>
        <v>737467.32312499965</v>
      </c>
      <c r="DF14" s="206">
        <f t="shared" si="135"/>
        <v>737467.32312499965</v>
      </c>
      <c r="DG14" s="206">
        <f t="shared" si="135"/>
        <v>737467.32312499965</v>
      </c>
      <c r="DH14" s="206">
        <f t="shared" si="135"/>
        <v>737467.32312499965</v>
      </c>
      <c r="DI14" s="206">
        <f t="shared" si="135"/>
        <v>737467.32312499965</v>
      </c>
      <c r="DJ14" s="206">
        <f t="shared" si="135"/>
        <v>737467.32312499965</v>
      </c>
      <c r="DK14" s="206">
        <f t="shared" si="135"/>
        <v>737467.32312499965</v>
      </c>
      <c r="DL14" s="206">
        <f t="shared" si="135"/>
        <v>737467.32312499965</v>
      </c>
      <c r="DM14" s="206">
        <f t="shared" si="135"/>
        <v>737467.32312499965</v>
      </c>
      <c r="DN14" s="206">
        <f t="shared" si="135"/>
        <v>737467.32312499965</v>
      </c>
      <c r="DO14" s="206">
        <f t="shared" si="135"/>
        <v>737467.32312499965</v>
      </c>
      <c r="DP14" s="206">
        <f t="shared" si="135"/>
        <v>737467.32312499965</v>
      </c>
      <c r="DQ14" s="206">
        <f t="shared" si="135"/>
        <v>737467.32312499965</v>
      </c>
      <c r="DR14" s="206">
        <f t="shared" si="135"/>
        <v>737467.32312499965</v>
      </c>
      <c r="DS14" s="206">
        <f t="shared" si="135"/>
        <v>737467.32312499965</v>
      </c>
      <c r="DT14" s="206">
        <f t="shared" si="135"/>
        <v>737467.32312499965</v>
      </c>
      <c r="DU14" s="206">
        <f t="shared" si="135"/>
        <v>737467.32312499965</v>
      </c>
      <c r="DV14" s="206">
        <f t="shared" si="135"/>
        <v>737467.32312499965</v>
      </c>
      <c r="DW14" s="206">
        <f t="shared" si="135"/>
        <v>737467.32312499965</v>
      </c>
      <c r="DX14" s="206">
        <f t="shared" si="135"/>
        <v>737467.32312499965</v>
      </c>
      <c r="DY14" s="206">
        <f t="shared" si="135"/>
        <v>737467.32312499965</v>
      </c>
      <c r="DZ14" s="206">
        <f t="shared" si="135"/>
        <v>737467.32312499965</v>
      </c>
      <c r="EA14" s="206">
        <f t="shared" si="135"/>
        <v>737467.32312499965</v>
      </c>
      <c r="EB14" s="206">
        <f t="shared" si="135"/>
        <v>737467.32312499965</v>
      </c>
      <c r="EC14" s="206">
        <f t="shared" si="135"/>
        <v>737467.32312499965</v>
      </c>
      <c r="ED14" s="206">
        <f t="shared" si="135"/>
        <v>737467.32312499965</v>
      </c>
      <c r="EE14" s="206">
        <f t="shared" si="135"/>
        <v>737467.32312499965</v>
      </c>
      <c r="EF14" s="206">
        <f t="shared" si="135"/>
        <v>737467.32312499965</v>
      </c>
      <c r="EG14" s="206">
        <f t="shared" ref="EG14:GR14" si="136">EG10-EG12</f>
        <v>737467.32312499965</v>
      </c>
      <c r="EH14" s="206">
        <f t="shared" si="136"/>
        <v>737467.32312499965</v>
      </c>
      <c r="EI14" s="206">
        <f t="shared" si="136"/>
        <v>737467.32312499965</v>
      </c>
      <c r="EJ14" s="206">
        <f t="shared" si="136"/>
        <v>737467.32312499965</v>
      </c>
      <c r="EK14" s="206">
        <f t="shared" si="136"/>
        <v>737467.32312499965</v>
      </c>
      <c r="EL14" s="206">
        <f t="shared" si="136"/>
        <v>737467.32312499965</v>
      </c>
      <c r="EM14" s="206">
        <f t="shared" si="136"/>
        <v>737467.32312499965</v>
      </c>
      <c r="EN14" s="206">
        <f t="shared" si="136"/>
        <v>737467.32312499965</v>
      </c>
      <c r="EO14" s="206">
        <f t="shared" si="136"/>
        <v>737467.32312499965</v>
      </c>
      <c r="EP14" s="206">
        <f t="shared" si="136"/>
        <v>737467.32312499965</v>
      </c>
      <c r="EQ14" s="206">
        <f t="shared" si="136"/>
        <v>737467.32312499965</v>
      </c>
      <c r="ER14" s="206">
        <f t="shared" si="136"/>
        <v>737467.32312499965</v>
      </c>
      <c r="ES14" s="206">
        <f t="shared" si="136"/>
        <v>737467.32312499965</v>
      </c>
      <c r="ET14" s="206">
        <f t="shared" si="136"/>
        <v>737467.32312499965</v>
      </c>
      <c r="EU14" s="206">
        <f t="shared" si="136"/>
        <v>737467.32312499965</v>
      </c>
      <c r="EV14" s="206">
        <f t="shared" si="136"/>
        <v>737467.32312499965</v>
      </c>
      <c r="EW14" s="206">
        <f t="shared" si="136"/>
        <v>737467.32312499965</v>
      </c>
      <c r="EX14" s="206">
        <f t="shared" si="136"/>
        <v>737467.32312499965</v>
      </c>
      <c r="EY14" s="206">
        <f t="shared" si="136"/>
        <v>737467.32312499965</v>
      </c>
      <c r="EZ14" s="206">
        <f t="shared" si="136"/>
        <v>737467.32312499965</v>
      </c>
      <c r="FA14" s="206">
        <f t="shared" si="136"/>
        <v>737467.32312499965</v>
      </c>
      <c r="FB14" s="206">
        <f t="shared" si="136"/>
        <v>737467.32312499965</v>
      </c>
      <c r="FC14" s="206">
        <f t="shared" si="136"/>
        <v>737467.32312499965</v>
      </c>
      <c r="FD14" s="206">
        <f t="shared" si="136"/>
        <v>737467.32312499965</v>
      </c>
      <c r="FE14" s="206">
        <f t="shared" si="136"/>
        <v>737467.32312499965</v>
      </c>
      <c r="FF14" s="206">
        <f t="shared" si="136"/>
        <v>737467.32312499965</v>
      </c>
      <c r="FG14" s="206">
        <f t="shared" si="136"/>
        <v>737467.32312499965</v>
      </c>
      <c r="FH14" s="206">
        <f t="shared" si="136"/>
        <v>737467.32312499965</v>
      </c>
      <c r="FI14" s="206">
        <f t="shared" si="136"/>
        <v>737467.32312499965</v>
      </c>
      <c r="FJ14" s="206">
        <f t="shared" si="136"/>
        <v>737467.32312499965</v>
      </c>
      <c r="FK14" s="206">
        <f t="shared" si="136"/>
        <v>737467.32312499965</v>
      </c>
      <c r="FL14" s="206">
        <f t="shared" si="136"/>
        <v>737467.32312499965</v>
      </c>
      <c r="FM14" s="206">
        <f t="shared" si="136"/>
        <v>737467.32312499965</v>
      </c>
      <c r="FN14" s="206">
        <f t="shared" si="136"/>
        <v>737467.32312499965</v>
      </c>
      <c r="FO14" s="206">
        <f t="shared" si="136"/>
        <v>737467.32312499965</v>
      </c>
      <c r="FP14" s="206">
        <f t="shared" si="136"/>
        <v>737467.32312499965</v>
      </c>
      <c r="FQ14" s="206">
        <f t="shared" si="136"/>
        <v>737467.32312499965</v>
      </c>
      <c r="FR14" s="206">
        <f t="shared" si="136"/>
        <v>737467.32312499965</v>
      </c>
      <c r="FS14" s="206">
        <f t="shared" si="136"/>
        <v>737467.32312499965</v>
      </c>
      <c r="FT14" s="206">
        <f t="shared" si="136"/>
        <v>737467.32312499965</v>
      </c>
      <c r="FU14" s="206">
        <f t="shared" si="136"/>
        <v>737467.32312499965</v>
      </c>
      <c r="FV14" s="206">
        <f t="shared" si="136"/>
        <v>737467.32312499965</v>
      </c>
      <c r="FW14" s="206">
        <f t="shared" si="136"/>
        <v>737467.32312499965</v>
      </c>
      <c r="FX14" s="206">
        <f t="shared" si="136"/>
        <v>737467.32312499965</v>
      </c>
      <c r="FY14" s="206">
        <f t="shared" si="136"/>
        <v>737467.32312499965</v>
      </c>
      <c r="FZ14" s="206">
        <f t="shared" si="136"/>
        <v>737467.32312499965</v>
      </c>
      <c r="GA14" s="206">
        <f t="shared" si="136"/>
        <v>737467.32312499965</v>
      </c>
      <c r="GB14" s="206">
        <f t="shared" si="136"/>
        <v>737467.32312499965</v>
      </c>
      <c r="GC14" s="206">
        <f t="shared" si="136"/>
        <v>737467.32312499965</v>
      </c>
      <c r="GD14" s="206">
        <f t="shared" si="136"/>
        <v>737467.32312499965</v>
      </c>
      <c r="GE14" s="206">
        <f t="shared" si="136"/>
        <v>737467.32312499965</v>
      </c>
      <c r="GF14" s="206">
        <f t="shared" si="136"/>
        <v>737467.32312499965</v>
      </c>
      <c r="GG14" s="206">
        <f t="shared" si="136"/>
        <v>737467.32312499965</v>
      </c>
      <c r="GH14" s="206">
        <f t="shared" si="136"/>
        <v>737467.32312499965</v>
      </c>
      <c r="GI14" s="206">
        <f t="shared" si="136"/>
        <v>737467.32312499965</v>
      </c>
      <c r="GJ14" s="206">
        <f t="shared" si="136"/>
        <v>737467.32312499965</v>
      </c>
      <c r="GK14" s="206">
        <f t="shared" si="136"/>
        <v>737467.32312499965</v>
      </c>
      <c r="GL14" s="206">
        <f t="shared" si="136"/>
        <v>737467.32312499965</v>
      </c>
      <c r="GM14" s="206">
        <f t="shared" si="136"/>
        <v>737467.32312499965</v>
      </c>
      <c r="GN14" s="206">
        <f t="shared" si="136"/>
        <v>737467.32312499965</v>
      </c>
      <c r="GO14" s="206">
        <f t="shared" si="136"/>
        <v>737467.32312499965</v>
      </c>
      <c r="GP14" s="206">
        <f t="shared" si="136"/>
        <v>737467.32312499965</v>
      </c>
      <c r="GQ14" s="206">
        <f t="shared" si="136"/>
        <v>737467.32312499965</v>
      </c>
      <c r="GR14" s="206">
        <f t="shared" si="136"/>
        <v>737467.32312499965</v>
      </c>
      <c r="GS14" s="206">
        <f t="shared" ref="GS14:JD14" si="137">GS10-GS12</f>
        <v>737467.32312499965</v>
      </c>
      <c r="GT14" s="206">
        <f t="shared" si="137"/>
        <v>737467.32312499965</v>
      </c>
      <c r="GU14" s="206">
        <f t="shared" si="137"/>
        <v>737467.32312499965</v>
      </c>
      <c r="GV14" s="206">
        <f t="shared" si="137"/>
        <v>737467.32312499965</v>
      </c>
      <c r="GW14" s="206">
        <f t="shared" si="137"/>
        <v>737467.32312499965</v>
      </c>
      <c r="GX14" s="206">
        <f t="shared" si="137"/>
        <v>737467.32312499965</v>
      </c>
      <c r="GY14" s="206">
        <f t="shared" si="137"/>
        <v>737467.32312499965</v>
      </c>
      <c r="GZ14" s="206">
        <f t="shared" si="137"/>
        <v>737467.32312499965</v>
      </c>
      <c r="HA14" s="206">
        <f t="shared" si="137"/>
        <v>737467.32312499965</v>
      </c>
      <c r="HB14" s="206">
        <f t="shared" si="137"/>
        <v>737467.32312499965</v>
      </c>
      <c r="HC14" s="206">
        <f t="shared" si="137"/>
        <v>737467.32312499965</v>
      </c>
      <c r="HD14" s="206">
        <f t="shared" si="137"/>
        <v>737467.32312499965</v>
      </c>
      <c r="HE14" s="206">
        <f t="shared" si="137"/>
        <v>737467.32312499965</v>
      </c>
      <c r="HF14" s="206">
        <f t="shared" si="137"/>
        <v>737467.32312499965</v>
      </c>
      <c r="HG14" s="206">
        <f t="shared" si="137"/>
        <v>737467.32312499965</v>
      </c>
      <c r="HH14" s="206">
        <f t="shared" si="137"/>
        <v>737467.32312499965</v>
      </c>
      <c r="HI14" s="206">
        <f t="shared" si="137"/>
        <v>737467.32312499965</v>
      </c>
      <c r="HJ14" s="206">
        <f t="shared" si="137"/>
        <v>737467.32312499965</v>
      </c>
      <c r="HK14" s="206">
        <f t="shared" si="137"/>
        <v>737467.32312499965</v>
      </c>
      <c r="HL14" s="206">
        <f t="shared" si="137"/>
        <v>737467.32312499965</v>
      </c>
      <c r="HM14" s="206">
        <f t="shared" si="137"/>
        <v>737467.32312499965</v>
      </c>
      <c r="HN14" s="206">
        <f t="shared" si="137"/>
        <v>737467.32312499965</v>
      </c>
      <c r="HO14" s="206">
        <f t="shared" si="137"/>
        <v>737467.32312499965</v>
      </c>
      <c r="HP14" s="206">
        <f t="shared" si="137"/>
        <v>737467.32312499965</v>
      </c>
      <c r="HQ14" s="206">
        <f t="shared" si="137"/>
        <v>737467.32312499965</v>
      </c>
      <c r="HR14" s="206">
        <f t="shared" si="137"/>
        <v>737467.32312499965</v>
      </c>
      <c r="HS14" s="206">
        <f t="shared" si="137"/>
        <v>737467.32312499965</v>
      </c>
      <c r="HT14" s="206">
        <f t="shared" si="137"/>
        <v>737467.32312499965</v>
      </c>
      <c r="HU14" s="206">
        <f t="shared" si="137"/>
        <v>737467.32312499965</v>
      </c>
      <c r="HV14" s="206">
        <f t="shared" si="137"/>
        <v>737467.32312499965</v>
      </c>
      <c r="HW14" s="206">
        <f t="shared" si="137"/>
        <v>737467.32312499965</v>
      </c>
      <c r="HX14" s="206">
        <f t="shared" si="137"/>
        <v>737467.32312499965</v>
      </c>
      <c r="HY14" s="206">
        <f t="shared" si="137"/>
        <v>737467.32312499965</v>
      </c>
      <c r="HZ14" s="206">
        <f t="shared" si="137"/>
        <v>737467.32312499965</v>
      </c>
      <c r="IA14" s="206">
        <f t="shared" si="137"/>
        <v>737467.32312499965</v>
      </c>
      <c r="IB14" s="206">
        <f t="shared" si="137"/>
        <v>737467.32312499965</v>
      </c>
      <c r="IC14" s="206">
        <f t="shared" si="137"/>
        <v>737467.32312499965</v>
      </c>
      <c r="ID14" s="206">
        <f t="shared" si="137"/>
        <v>737467.32312499965</v>
      </c>
      <c r="IE14" s="206">
        <f t="shared" si="137"/>
        <v>737467.32312499965</v>
      </c>
      <c r="IF14" s="206">
        <f t="shared" si="137"/>
        <v>737467.32312499965</v>
      </c>
      <c r="IG14" s="206">
        <f t="shared" si="137"/>
        <v>737467.32312499965</v>
      </c>
      <c r="IH14" s="206">
        <f t="shared" si="137"/>
        <v>737467.32312499965</v>
      </c>
      <c r="II14" s="206">
        <f t="shared" si="137"/>
        <v>737467.32312499965</v>
      </c>
      <c r="IJ14" s="206">
        <f t="shared" si="137"/>
        <v>737467.32312499965</v>
      </c>
      <c r="IK14" s="206">
        <f t="shared" si="137"/>
        <v>737467.32312499965</v>
      </c>
      <c r="IL14" s="206">
        <f t="shared" si="137"/>
        <v>737467.32312499965</v>
      </c>
      <c r="IM14" s="206">
        <f t="shared" si="137"/>
        <v>737467.32312499965</v>
      </c>
      <c r="IN14" s="206">
        <f t="shared" si="137"/>
        <v>737467.32312499965</v>
      </c>
      <c r="IO14" s="206">
        <f t="shared" si="137"/>
        <v>737467.32312499965</v>
      </c>
      <c r="IP14" s="206">
        <f t="shared" si="137"/>
        <v>737467.32312499965</v>
      </c>
      <c r="IQ14" s="206">
        <f t="shared" si="137"/>
        <v>737467.32312499965</v>
      </c>
      <c r="IR14" s="206">
        <f t="shared" si="137"/>
        <v>737467.32312499965</v>
      </c>
      <c r="IS14" s="206">
        <f t="shared" si="137"/>
        <v>737467.32312499965</v>
      </c>
      <c r="IT14" s="206">
        <f t="shared" si="137"/>
        <v>737467.32312499965</v>
      </c>
      <c r="IU14" s="206">
        <f t="shared" si="137"/>
        <v>737467.32312499965</v>
      </c>
      <c r="IV14" s="206">
        <f t="shared" si="137"/>
        <v>737467.32312499965</v>
      </c>
      <c r="IW14" s="206">
        <f t="shared" si="137"/>
        <v>737467.32312499965</v>
      </c>
      <c r="IX14" s="206">
        <f t="shared" si="137"/>
        <v>737467.32312499965</v>
      </c>
      <c r="IY14" s="206">
        <f t="shared" si="137"/>
        <v>737467.32312499965</v>
      </c>
      <c r="IZ14" s="206">
        <f t="shared" si="137"/>
        <v>737467.32312499965</v>
      </c>
      <c r="JA14" s="206">
        <f t="shared" si="137"/>
        <v>737467.32312499965</v>
      </c>
      <c r="JB14" s="206">
        <f t="shared" si="137"/>
        <v>737467.32312499965</v>
      </c>
      <c r="JC14" s="206">
        <f t="shared" si="137"/>
        <v>737467.32312499965</v>
      </c>
      <c r="JD14" s="206">
        <f t="shared" si="137"/>
        <v>737467.32312499965</v>
      </c>
      <c r="JE14" s="206">
        <f t="shared" ref="JE14:LP14" si="138">JE10-JE12</f>
        <v>737467.32312499965</v>
      </c>
      <c r="JF14" s="206">
        <f t="shared" si="138"/>
        <v>737467.32312499965</v>
      </c>
      <c r="JG14" s="206">
        <f t="shared" si="138"/>
        <v>737467.32312499965</v>
      </c>
      <c r="JH14" s="206">
        <f t="shared" si="138"/>
        <v>737467.32312499965</v>
      </c>
      <c r="JI14" s="206">
        <f t="shared" si="138"/>
        <v>737467.32312499965</v>
      </c>
      <c r="JJ14" s="206">
        <f t="shared" si="138"/>
        <v>737467.32312499965</v>
      </c>
      <c r="JK14" s="206">
        <f t="shared" si="138"/>
        <v>737467.32312499965</v>
      </c>
      <c r="JL14" s="206">
        <f t="shared" si="138"/>
        <v>737467.32312499965</v>
      </c>
      <c r="JM14" s="206">
        <f t="shared" si="138"/>
        <v>737467.32312499965</v>
      </c>
      <c r="JN14" s="206">
        <f t="shared" si="138"/>
        <v>737467.32312499965</v>
      </c>
      <c r="JO14" s="206">
        <f t="shared" si="138"/>
        <v>737467.32312499965</v>
      </c>
      <c r="JP14" s="206">
        <f t="shared" si="138"/>
        <v>737467.32312499965</v>
      </c>
      <c r="JQ14" s="206">
        <f t="shared" si="138"/>
        <v>737467.32312499965</v>
      </c>
      <c r="JR14" s="206">
        <f t="shared" si="138"/>
        <v>737467.32312499965</v>
      </c>
      <c r="JS14" s="206">
        <f t="shared" si="138"/>
        <v>737467.32312499965</v>
      </c>
      <c r="JT14" s="206">
        <f t="shared" si="138"/>
        <v>737467.32312499965</v>
      </c>
      <c r="JU14" s="206">
        <f t="shared" si="138"/>
        <v>737467.32312499965</v>
      </c>
      <c r="JV14" s="206">
        <f t="shared" si="138"/>
        <v>737467.32312499965</v>
      </c>
      <c r="JW14" s="206">
        <f t="shared" si="138"/>
        <v>737467.32312499965</v>
      </c>
      <c r="JX14" s="206">
        <f t="shared" si="138"/>
        <v>737467.32312499965</v>
      </c>
      <c r="JY14" s="206">
        <f t="shared" si="138"/>
        <v>737467.32312499965</v>
      </c>
      <c r="JZ14" s="206">
        <f t="shared" si="138"/>
        <v>737467.32312499965</v>
      </c>
      <c r="KA14" s="206">
        <f t="shared" si="138"/>
        <v>737467.32312499965</v>
      </c>
      <c r="KB14" s="206">
        <f t="shared" si="138"/>
        <v>737467.32312499965</v>
      </c>
      <c r="KC14" s="206">
        <f t="shared" si="138"/>
        <v>737467.32312499965</v>
      </c>
      <c r="KD14" s="206">
        <f t="shared" si="138"/>
        <v>737467.32312499965</v>
      </c>
      <c r="KE14" s="206">
        <f t="shared" si="138"/>
        <v>737467.32312499965</v>
      </c>
      <c r="KF14" s="206">
        <f t="shared" si="138"/>
        <v>737467.32312499965</v>
      </c>
      <c r="KG14" s="206">
        <f t="shared" si="138"/>
        <v>737467.32312499965</v>
      </c>
      <c r="KH14" s="206">
        <f t="shared" si="138"/>
        <v>737467.32312499965</v>
      </c>
      <c r="KI14" s="206">
        <f t="shared" si="138"/>
        <v>737467.32312499965</v>
      </c>
      <c r="KJ14" s="206">
        <f t="shared" si="138"/>
        <v>737467.32312499965</v>
      </c>
      <c r="KK14" s="206">
        <f t="shared" si="138"/>
        <v>737467.32312499965</v>
      </c>
      <c r="KL14" s="206">
        <f t="shared" si="138"/>
        <v>737467.32312499965</v>
      </c>
      <c r="KM14" s="206">
        <f t="shared" si="138"/>
        <v>737467.32312499965</v>
      </c>
      <c r="KN14" s="206">
        <f t="shared" si="138"/>
        <v>737467.32312499965</v>
      </c>
      <c r="KO14" s="206">
        <f t="shared" si="138"/>
        <v>737467.32312499965</v>
      </c>
      <c r="KP14" s="206">
        <f t="shared" si="138"/>
        <v>737467.32312499965</v>
      </c>
      <c r="KQ14" s="206">
        <f t="shared" si="138"/>
        <v>737467.32312499965</v>
      </c>
      <c r="KR14" s="206">
        <f t="shared" si="138"/>
        <v>737467.32312499965</v>
      </c>
      <c r="KS14" s="206">
        <f t="shared" si="138"/>
        <v>737467.32312499965</v>
      </c>
      <c r="KT14" s="206">
        <f t="shared" si="138"/>
        <v>737467.32312499965</v>
      </c>
      <c r="KU14" s="206">
        <f t="shared" si="138"/>
        <v>737467.32312499965</v>
      </c>
      <c r="KV14" s="206">
        <f t="shared" si="138"/>
        <v>737467.32312499965</v>
      </c>
      <c r="KW14" s="206">
        <f t="shared" si="138"/>
        <v>737467.32312499965</v>
      </c>
      <c r="KX14" s="206">
        <f t="shared" si="138"/>
        <v>737467.32312499965</v>
      </c>
      <c r="KY14" s="206">
        <f t="shared" si="138"/>
        <v>737467.32312499965</v>
      </c>
      <c r="KZ14" s="206">
        <f t="shared" si="138"/>
        <v>737467.32312499965</v>
      </c>
      <c r="LA14" s="206">
        <f t="shared" si="138"/>
        <v>737467.32312499965</v>
      </c>
      <c r="LB14" s="206">
        <f t="shared" si="138"/>
        <v>737467.32312499965</v>
      </c>
      <c r="LC14" s="206">
        <f t="shared" si="138"/>
        <v>737467.32312499965</v>
      </c>
      <c r="LD14" s="206">
        <f t="shared" si="138"/>
        <v>737467.32312499965</v>
      </c>
      <c r="LE14" s="206">
        <f t="shared" si="138"/>
        <v>737467.32312499965</v>
      </c>
      <c r="LF14" s="206">
        <f t="shared" si="138"/>
        <v>737467.32312499965</v>
      </c>
      <c r="LG14" s="206">
        <f t="shared" si="138"/>
        <v>737467.32312499965</v>
      </c>
      <c r="LH14" s="206">
        <f t="shared" si="138"/>
        <v>737467.32312499965</v>
      </c>
      <c r="LI14" s="206">
        <f t="shared" si="138"/>
        <v>737467.32312499965</v>
      </c>
      <c r="LJ14" s="206">
        <f t="shared" si="138"/>
        <v>737467.32312499965</v>
      </c>
      <c r="LK14" s="206">
        <f t="shared" si="138"/>
        <v>737467.32312499965</v>
      </c>
      <c r="LL14" s="206">
        <f t="shared" si="138"/>
        <v>737467.32312499965</v>
      </c>
      <c r="LM14" s="206">
        <f t="shared" si="138"/>
        <v>737467.32312499965</v>
      </c>
      <c r="LN14" s="206">
        <f t="shared" si="138"/>
        <v>737467.32312499965</v>
      </c>
      <c r="LO14" s="206">
        <f t="shared" si="138"/>
        <v>737467.32312499965</v>
      </c>
      <c r="LP14" s="206">
        <f t="shared" si="138"/>
        <v>737467.32312499965</v>
      </c>
      <c r="LQ14" s="206">
        <f t="shared" ref="LQ14:OB14" si="139">LQ10-LQ12</f>
        <v>737467.32312499965</v>
      </c>
      <c r="LR14" s="206">
        <f t="shared" si="139"/>
        <v>737467.32312499965</v>
      </c>
      <c r="LS14" s="206">
        <f t="shared" si="139"/>
        <v>737467.32312499965</v>
      </c>
      <c r="LT14" s="206">
        <f t="shared" si="139"/>
        <v>737467.32312499965</v>
      </c>
      <c r="LU14" s="206">
        <f t="shared" si="139"/>
        <v>737467.32312499965</v>
      </c>
      <c r="LV14" s="206">
        <f t="shared" si="139"/>
        <v>737467.32312499965</v>
      </c>
      <c r="LW14" s="206">
        <f t="shared" si="139"/>
        <v>737467.32312499965</v>
      </c>
      <c r="LX14" s="206">
        <f t="shared" si="139"/>
        <v>737467.32312499965</v>
      </c>
      <c r="LY14" s="206">
        <f t="shared" si="139"/>
        <v>737467.32312499965</v>
      </c>
      <c r="LZ14" s="206">
        <f t="shared" si="139"/>
        <v>737467.32312499965</v>
      </c>
      <c r="MA14" s="206">
        <f t="shared" si="139"/>
        <v>737467.32312499965</v>
      </c>
      <c r="MB14" s="206">
        <f t="shared" si="139"/>
        <v>737467.32312499965</v>
      </c>
      <c r="MC14" s="206">
        <f t="shared" si="139"/>
        <v>737467.32312499965</v>
      </c>
      <c r="MD14" s="206">
        <f t="shared" si="139"/>
        <v>737467.32312499965</v>
      </c>
      <c r="ME14" s="206">
        <f t="shared" si="139"/>
        <v>737467.32312499965</v>
      </c>
      <c r="MF14" s="206">
        <f t="shared" si="139"/>
        <v>737467.32312499965</v>
      </c>
      <c r="MG14" s="206">
        <f t="shared" si="139"/>
        <v>737467.32312499965</v>
      </c>
      <c r="MH14" s="206">
        <f t="shared" si="139"/>
        <v>737467.32312499965</v>
      </c>
      <c r="MI14" s="206">
        <f t="shared" si="139"/>
        <v>737467.32312499965</v>
      </c>
      <c r="MJ14" s="206">
        <f t="shared" si="139"/>
        <v>737467.32312499965</v>
      </c>
      <c r="MK14" s="206">
        <f t="shared" si="139"/>
        <v>737467.32312499965</v>
      </c>
      <c r="ML14" s="206">
        <f t="shared" si="139"/>
        <v>737467.32312499965</v>
      </c>
      <c r="MM14" s="206">
        <f t="shared" si="139"/>
        <v>737467.32312499965</v>
      </c>
      <c r="MN14" s="206">
        <f t="shared" si="139"/>
        <v>737467.32312499965</v>
      </c>
      <c r="MO14" s="206">
        <f t="shared" si="139"/>
        <v>737467.32312499965</v>
      </c>
      <c r="MP14" s="206">
        <f t="shared" si="139"/>
        <v>737467.32312499965</v>
      </c>
      <c r="MQ14" s="206">
        <f t="shared" si="139"/>
        <v>737467.32312499965</v>
      </c>
      <c r="MR14" s="206">
        <f t="shared" si="139"/>
        <v>737467.32312499965</v>
      </c>
      <c r="MS14" s="206">
        <f t="shared" si="139"/>
        <v>737467.32312499965</v>
      </c>
      <c r="MT14" s="206">
        <f t="shared" si="139"/>
        <v>737467.32312499965</v>
      </c>
      <c r="MU14" s="206">
        <f t="shared" si="139"/>
        <v>737467.32312499965</v>
      </c>
      <c r="MV14" s="206">
        <f t="shared" si="139"/>
        <v>737467.32312499965</v>
      </c>
      <c r="MW14" s="206">
        <f t="shared" si="139"/>
        <v>737467.32312499965</v>
      </c>
      <c r="MX14" s="206">
        <f t="shared" si="139"/>
        <v>737467.32312499965</v>
      </c>
      <c r="MY14" s="206">
        <f t="shared" si="139"/>
        <v>737467.32312499965</v>
      </c>
      <c r="MZ14" s="206">
        <f t="shared" si="139"/>
        <v>737467.32312499965</v>
      </c>
      <c r="NA14" s="206">
        <f t="shared" si="139"/>
        <v>737467.32312499965</v>
      </c>
      <c r="NB14" s="206">
        <f t="shared" si="139"/>
        <v>737467.32312499965</v>
      </c>
      <c r="NC14" s="206">
        <f t="shared" si="139"/>
        <v>737467.32312499965</v>
      </c>
      <c r="ND14" s="206">
        <f t="shared" si="139"/>
        <v>737467.32312499965</v>
      </c>
      <c r="NE14" s="206">
        <f t="shared" si="139"/>
        <v>737467.32312499965</v>
      </c>
      <c r="NF14" s="206">
        <f t="shared" si="139"/>
        <v>737467.32312499965</v>
      </c>
      <c r="NG14" s="206">
        <f t="shared" si="139"/>
        <v>737467.32312499965</v>
      </c>
      <c r="NH14" s="206">
        <f t="shared" si="139"/>
        <v>737467.32312499965</v>
      </c>
      <c r="NI14" s="206">
        <f t="shared" si="139"/>
        <v>737467.32312499965</v>
      </c>
      <c r="NJ14" s="206">
        <f t="shared" si="139"/>
        <v>737467.32312499965</v>
      </c>
      <c r="NK14" s="206">
        <f t="shared" si="139"/>
        <v>737467.32312499965</v>
      </c>
      <c r="NL14" s="206">
        <f t="shared" si="139"/>
        <v>737467.32312499965</v>
      </c>
      <c r="NM14" s="206">
        <f t="shared" si="139"/>
        <v>737467.32312499965</v>
      </c>
      <c r="NN14" s="206">
        <f t="shared" si="139"/>
        <v>737467.32312499965</v>
      </c>
      <c r="NO14" s="206">
        <f t="shared" si="139"/>
        <v>737467.32312499965</v>
      </c>
      <c r="NP14" s="206">
        <f t="shared" si="139"/>
        <v>737467.32312499965</v>
      </c>
      <c r="NQ14" s="206">
        <f t="shared" si="139"/>
        <v>737467.32312499965</v>
      </c>
      <c r="NR14" s="206">
        <f t="shared" si="139"/>
        <v>737467.32312499965</v>
      </c>
      <c r="NS14" s="206">
        <f t="shared" si="139"/>
        <v>737467.32312499965</v>
      </c>
      <c r="NT14" s="206">
        <f t="shared" si="139"/>
        <v>737467.32312499965</v>
      </c>
      <c r="NU14" s="206">
        <f t="shared" si="139"/>
        <v>737467.32312499965</v>
      </c>
      <c r="NV14" s="206">
        <f t="shared" si="139"/>
        <v>737467.32312499965</v>
      </c>
      <c r="NW14" s="206">
        <f t="shared" si="139"/>
        <v>737467.32312499965</v>
      </c>
      <c r="NX14" s="206">
        <f t="shared" si="139"/>
        <v>737467.32312499965</v>
      </c>
      <c r="NY14" s="206">
        <f t="shared" si="139"/>
        <v>737467.32312499965</v>
      </c>
      <c r="NZ14" s="206">
        <f t="shared" si="139"/>
        <v>737467.32312499965</v>
      </c>
      <c r="OA14" s="206">
        <f t="shared" si="139"/>
        <v>737467.32312499965</v>
      </c>
      <c r="OB14" s="206">
        <f t="shared" si="139"/>
        <v>737467.32312499965</v>
      </c>
      <c r="OC14" s="206">
        <f t="shared" ref="OC14:QN14" si="140">OC10-OC12</f>
        <v>737467.32312499965</v>
      </c>
      <c r="OD14" s="206">
        <f t="shared" si="140"/>
        <v>737467.32312499965</v>
      </c>
      <c r="OE14" s="206">
        <f t="shared" si="140"/>
        <v>737467.32312499965</v>
      </c>
      <c r="OF14" s="206">
        <f t="shared" si="140"/>
        <v>737467.32312499965</v>
      </c>
      <c r="OG14" s="206">
        <f t="shared" si="140"/>
        <v>737467.32312499965</v>
      </c>
      <c r="OH14" s="206">
        <f t="shared" si="140"/>
        <v>737467.32312499965</v>
      </c>
      <c r="OI14" s="206">
        <f t="shared" si="140"/>
        <v>737467.32312499965</v>
      </c>
      <c r="OJ14" s="206">
        <f t="shared" si="140"/>
        <v>737467.32312499965</v>
      </c>
      <c r="OK14" s="206">
        <f t="shared" si="140"/>
        <v>737467.32312499965</v>
      </c>
      <c r="OL14" s="206">
        <f t="shared" si="140"/>
        <v>737467.32312499965</v>
      </c>
      <c r="OM14" s="206">
        <f t="shared" si="140"/>
        <v>737467.32312499965</v>
      </c>
      <c r="ON14" s="206">
        <f t="shared" si="140"/>
        <v>737467.32312499965</v>
      </c>
      <c r="OO14" s="206">
        <f t="shared" si="140"/>
        <v>737467.32312499965</v>
      </c>
      <c r="OP14" s="206">
        <f t="shared" si="140"/>
        <v>737467.32312499965</v>
      </c>
      <c r="OQ14" s="206">
        <f t="shared" si="140"/>
        <v>737467.32312499965</v>
      </c>
      <c r="OR14" s="206">
        <f t="shared" si="140"/>
        <v>737467.32312499965</v>
      </c>
      <c r="OS14" s="206">
        <f t="shared" si="140"/>
        <v>737467.32312499965</v>
      </c>
      <c r="OT14" s="206">
        <f t="shared" si="140"/>
        <v>737467.32312499965</v>
      </c>
      <c r="OU14" s="206">
        <f t="shared" si="140"/>
        <v>737467.32312499965</v>
      </c>
      <c r="OV14" s="206">
        <f t="shared" si="140"/>
        <v>737467.32312499965</v>
      </c>
      <c r="OW14" s="206">
        <f t="shared" si="140"/>
        <v>737467.32312499965</v>
      </c>
      <c r="OX14" s="206">
        <f t="shared" si="140"/>
        <v>737467.32312499965</v>
      </c>
      <c r="OY14" s="206">
        <f t="shared" si="140"/>
        <v>737467.32312499965</v>
      </c>
      <c r="OZ14" s="206">
        <f t="shared" si="140"/>
        <v>737467.32312499965</v>
      </c>
      <c r="PA14" s="206">
        <f t="shared" si="140"/>
        <v>737467.32312499965</v>
      </c>
      <c r="PB14" s="206">
        <f t="shared" si="140"/>
        <v>737467.32312499965</v>
      </c>
      <c r="PC14" s="206">
        <f t="shared" si="140"/>
        <v>737467.32312499965</v>
      </c>
      <c r="PD14" s="206">
        <f t="shared" si="140"/>
        <v>737467.32312499965</v>
      </c>
      <c r="PE14" s="206">
        <f t="shared" si="140"/>
        <v>737467.32312499965</v>
      </c>
      <c r="PF14" s="206">
        <f t="shared" si="140"/>
        <v>737467.32312499965</v>
      </c>
      <c r="PG14" s="206">
        <f t="shared" si="140"/>
        <v>737467.32312499965</v>
      </c>
      <c r="PH14" s="206">
        <f t="shared" si="140"/>
        <v>737467.32312499965</v>
      </c>
      <c r="PI14" s="206">
        <f t="shared" si="140"/>
        <v>737467.32312499965</v>
      </c>
      <c r="PJ14" s="206">
        <f t="shared" si="140"/>
        <v>737467.32312499965</v>
      </c>
      <c r="PK14" s="206">
        <f t="shared" si="140"/>
        <v>737467.32312499965</v>
      </c>
      <c r="PL14" s="206">
        <f t="shared" si="140"/>
        <v>737467.32312499965</v>
      </c>
      <c r="PM14" s="206">
        <f t="shared" si="140"/>
        <v>737467.32312499965</v>
      </c>
      <c r="PN14" s="206">
        <f t="shared" si="140"/>
        <v>737467.32312499965</v>
      </c>
      <c r="PO14" s="206">
        <f t="shared" si="140"/>
        <v>737467.32312499965</v>
      </c>
      <c r="PP14" s="206">
        <f t="shared" si="140"/>
        <v>737467.32312499965</v>
      </c>
      <c r="PQ14" s="206">
        <f t="shared" si="140"/>
        <v>737467.32312499965</v>
      </c>
      <c r="PR14" s="206">
        <f t="shared" si="140"/>
        <v>737467.32312499965</v>
      </c>
      <c r="PS14" s="206">
        <f t="shared" si="140"/>
        <v>737467.32312499965</v>
      </c>
      <c r="PT14" s="206">
        <f t="shared" si="140"/>
        <v>737467.32312499965</v>
      </c>
      <c r="PU14" s="206">
        <f t="shared" si="140"/>
        <v>737467.32312499965</v>
      </c>
      <c r="PV14" s="206">
        <f t="shared" si="140"/>
        <v>737467.32312499965</v>
      </c>
      <c r="PW14" s="206">
        <f t="shared" si="140"/>
        <v>737467.32312499965</v>
      </c>
      <c r="PX14" s="206">
        <f t="shared" si="140"/>
        <v>737467.32312499965</v>
      </c>
      <c r="PY14" s="206">
        <f t="shared" si="140"/>
        <v>737467.32312499965</v>
      </c>
      <c r="PZ14" s="206">
        <f t="shared" si="140"/>
        <v>737467.32312499965</v>
      </c>
      <c r="QA14" s="206">
        <f t="shared" si="140"/>
        <v>737467.32312499965</v>
      </c>
      <c r="QB14" s="206">
        <f t="shared" si="140"/>
        <v>737467.32312499965</v>
      </c>
      <c r="QC14" s="206">
        <f t="shared" si="140"/>
        <v>737467.32312499965</v>
      </c>
      <c r="QD14" s="206">
        <f t="shared" si="140"/>
        <v>737467.32312499965</v>
      </c>
      <c r="QE14" s="206">
        <f t="shared" si="140"/>
        <v>737467.32312499965</v>
      </c>
      <c r="QF14" s="206">
        <f t="shared" si="140"/>
        <v>737467.32312499965</v>
      </c>
      <c r="QG14" s="206">
        <f t="shared" si="140"/>
        <v>737467.32312499965</v>
      </c>
      <c r="QH14" s="206">
        <f t="shared" si="140"/>
        <v>737467.32312499965</v>
      </c>
      <c r="QI14" s="206">
        <f t="shared" si="140"/>
        <v>737467.32312499965</v>
      </c>
      <c r="QJ14" s="206">
        <f t="shared" si="140"/>
        <v>737467.32312499965</v>
      </c>
      <c r="QK14" s="206">
        <f t="shared" si="140"/>
        <v>737467.32312499965</v>
      </c>
      <c r="QL14" s="206">
        <f t="shared" si="140"/>
        <v>737467.32312499965</v>
      </c>
      <c r="QM14" s="206">
        <f t="shared" si="140"/>
        <v>737467.32312499965</v>
      </c>
      <c r="QN14" s="206">
        <f t="shared" si="140"/>
        <v>737467.32312499965</v>
      </c>
      <c r="QO14" s="206">
        <f t="shared" ref="QO14:SZ14" si="141">QO10-QO12</f>
        <v>737467.32312499965</v>
      </c>
      <c r="QP14" s="206">
        <f t="shared" si="141"/>
        <v>737467.32312499965</v>
      </c>
      <c r="QQ14" s="206">
        <f t="shared" si="141"/>
        <v>737467.32312499965</v>
      </c>
      <c r="QR14" s="206">
        <f t="shared" si="141"/>
        <v>737467.32312499965</v>
      </c>
      <c r="QS14" s="206">
        <f t="shared" si="141"/>
        <v>737467.32312499965</v>
      </c>
      <c r="QT14" s="206">
        <f t="shared" si="141"/>
        <v>737467.32312499965</v>
      </c>
      <c r="QU14" s="206">
        <f t="shared" si="141"/>
        <v>737467.32312499965</v>
      </c>
      <c r="QV14" s="206">
        <f t="shared" si="141"/>
        <v>737467.32312499965</v>
      </c>
      <c r="QW14" s="206">
        <f t="shared" si="141"/>
        <v>737467.32312499965</v>
      </c>
      <c r="QX14" s="206">
        <f t="shared" si="141"/>
        <v>737467.32312499965</v>
      </c>
      <c r="QY14" s="206">
        <f t="shared" si="141"/>
        <v>737467.32312499965</v>
      </c>
      <c r="QZ14" s="206">
        <f t="shared" si="141"/>
        <v>737467.32312499965</v>
      </c>
      <c r="RA14" s="206">
        <f t="shared" si="141"/>
        <v>737467.32312499965</v>
      </c>
      <c r="RB14" s="206">
        <f t="shared" si="141"/>
        <v>737467.32312499965</v>
      </c>
      <c r="RC14" s="206">
        <f t="shared" si="141"/>
        <v>737467.32312499965</v>
      </c>
      <c r="RD14" s="206">
        <f t="shared" si="141"/>
        <v>737467.32312499965</v>
      </c>
      <c r="RE14" s="206">
        <f t="shared" si="141"/>
        <v>737467.32312499965</v>
      </c>
      <c r="RF14" s="206">
        <f t="shared" si="141"/>
        <v>737467.32312499965</v>
      </c>
      <c r="RG14" s="206">
        <f t="shared" si="141"/>
        <v>737467.32312499965</v>
      </c>
      <c r="RH14" s="206">
        <f t="shared" si="141"/>
        <v>737467.32312499965</v>
      </c>
      <c r="RI14" s="206">
        <f t="shared" si="141"/>
        <v>737467.32312499965</v>
      </c>
      <c r="RJ14" s="206">
        <f t="shared" si="141"/>
        <v>737467.32312499965</v>
      </c>
      <c r="RK14" s="206">
        <f t="shared" si="141"/>
        <v>737467.32312499965</v>
      </c>
      <c r="RL14" s="206">
        <f t="shared" si="141"/>
        <v>737467.32312499965</v>
      </c>
      <c r="RM14" s="206">
        <f t="shared" si="141"/>
        <v>737467.32312499965</v>
      </c>
      <c r="RN14" s="206">
        <f t="shared" si="141"/>
        <v>737467.32312499965</v>
      </c>
      <c r="RO14" s="206">
        <f t="shared" si="141"/>
        <v>737467.32312499965</v>
      </c>
      <c r="RP14" s="206">
        <f t="shared" si="141"/>
        <v>737467.32312499965</v>
      </c>
      <c r="RQ14" s="206">
        <f t="shared" si="141"/>
        <v>737467.32312499965</v>
      </c>
      <c r="RR14" s="206">
        <f t="shared" si="141"/>
        <v>737467.32312499965</v>
      </c>
      <c r="RS14" s="206">
        <f t="shared" si="141"/>
        <v>737467.32312499965</v>
      </c>
      <c r="RT14" s="206">
        <f t="shared" si="141"/>
        <v>737467.32312499965</v>
      </c>
      <c r="RU14" s="206">
        <f t="shared" si="141"/>
        <v>737467.32312499965</v>
      </c>
      <c r="RV14" s="206">
        <f t="shared" si="141"/>
        <v>737467.32312499965</v>
      </c>
      <c r="RW14" s="206">
        <f t="shared" si="141"/>
        <v>737467.32312499965</v>
      </c>
      <c r="RX14" s="206">
        <f t="shared" si="141"/>
        <v>737467.32312499965</v>
      </c>
      <c r="RY14" s="206">
        <f t="shared" si="141"/>
        <v>737467.32312499965</v>
      </c>
      <c r="RZ14" s="206">
        <f t="shared" si="141"/>
        <v>737467.32312499965</v>
      </c>
      <c r="SA14" s="206">
        <f t="shared" si="141"/>
        <v>737467.32312499965</v>
      </c>
      <c r="SB14" s="206">
        <f t="shared" si="141"/>
        <v>737467.32312499965</v>
      </c>
      <c r="SC14" s="206">
        <f t="shared" si="141"/>
        <v>737467.32312499965</v>
      </c>
      <c r="SD14" s="206">
        <f t="shared" si="141"/>
        <v>737467.32312499965</v>
      </c>
      <c r="SE14" s="206">
        <f t="shared" si="141"/>
        <v>737467.32312499965</v>
      </c>
      <c r="SF14" s="206">
        <f t="shared" si="141"/>
        <v>737467.32312499965</v>
      </c>
      <c r="SG14" s="206">
        <f t="shared" si="141"/>
        <v>737467.32312499965</v>
      </c>
      <c r="SH14" s="206">
        <f t="shared" si="141"/>
        <v>737467.32312499965</v>
      </c>
      <c r="SI14" s="206">
        <f t="shared" si="141"/>
        <v>737467.32312499965</v>
      </c>
      <c r="SJ14" s="206">
        <f t="shared" si="141"/>
        <v>737467.32312499965</v>
      </c>
      <c r="SK14" s="206">
        <f t="shared" si="141"/>
        <v>737467.32312499965</v>
      </c>
      <c r="SL14" s="206">
        <f t="shared" si="141"/>
        <v>737467.32312499965</v>
      </c>
      <c r="SM14" s="206">
        <f t="shared" si="141"/>
        <v>737467.32312499965</v>
      </c>
      <c r="SN14" s="206">
        <f t="shared" si="141"/>
        <v>737467.32312499965</v>
      </c>
      <c r="SO14" s="206">
        <f t="shared" si="141"/>
        <v>737467.32312499965</v>
      </c>
      <c r="SP14" s="206">
        <f t="shared" si="141"/>
        <v>737467.32312499965</v>
      </c>
      <c r="SQ14" s="206">
        <f t="shared" si="141"/>
        <v>737467.32312499965</v>
      </c>
      <c r="SR14" s="206">
        <f t="shared" si="141"/>
        <v>737467.32312499965</v>
      </c>
      <c r="SS14" s="206">
        <f t="shared" si="141"/>
        <v>737467.32312499965</v>
      </c>
      <c r="ST14" s="206">
        <f t="shared" si="141"/>
        <v>737467.32312499965</v>
      </c>
      <c r="SU14" s="206">
        <f t="shared" si="141"/>
        <v>737467.32312499965</v>
      </c>
      <c r="SV14" s="206">
        <f t="shared" si="141"/>
        <v>737467.32312499965</v>
      </c>
      <c r="SW14" s="206">
        <f t="shared" si="141"/>
        <v>737467.32312499965</v>
      </c>
      <c r="SX14" s="206">
        <f t="shared" si="141"/>
        <v>737467.32312499965</v>
      </c>
      <c r="SY14" s="206">
        <f t="shared" si="141"/>
        <v>737467.32312499965</v>
      </c>
      <c r="SZ14" s="206">
        <f t="shared" si="141"/>
        <v>737467.32312499965</v>
      </c>
      <c r="TA14" s="206">
        <f t="shared" ref="TA14:VL14" si="142">TA10-TA12</f>
        <v>737467.32312499965</v>
      </c>
      <c r="TB14" s="206">
        <f t="shared" si="142"/>
        <v>737467.32312499965</v>
      </c>
      <c r="TC14" s="206">
        <f t="shared" si="142"/>
        <v>737467.32312499965</v>
      </c>
      <c r="TD14" s="206">
        <f t="shared" si="142"/>
        <v>737467.32312499965</v>
      </c>
      <c r="TE14" s="206">
        <f t="shared" si="142"/>
        <v>737467.32312499965</v>
      </c>
      <c r="TF14" s="206">
        <f t="shared" si="142"/>
        <v>737467.32312499965</v>
      </c>
      <c r="TG14" s="206">
        <f t="shared" si="142"/>
        <v>737467.32312499965</v>
      </c>
      <c r="TH14" s="206">
        <f t="shared" si="142"/>
        <v>737467.32312499965</v>
      </c>
      <c r="TI14" s="206">
        <f t="shared" si="142"/>
        <v>737467.32312499965</v>
      </c>
      <c r="TJ14" s="206">
        <f t="shared" si="142"/>
        <v>737467.32312499965</v>
      </c>
      <c r="TK14" s="206">
        <f t="shared" si="142"/>
        <v>737467.32312499965</v>
      </c>
      <c r="TL14" s="206">
        <f t="shared" si="142"/>
        <v>737467.32312499965</v>
      </c>
      <c r="TM14" s="206">
        <f t="shared" si="142"/>
        <v>737467.32312499965</v>
      </c>
      <c r="TN14" s="206">
        <f t="shared" si="142"/>
        <v>737467.32312499965</v>
      </c>
      <c r="TO14" s="206">
        <f t="shared" si="142"/>
        <v>737467.32312499965</v>
      </c>
      <c r="TP14" s="206">
        <f t="shared" si="142"/>
        <v>737467.32312499965</v>
      </c>
      <c r="TQ14" s="206">
        <f t="shared" si="142"/>
        <v>737467.32312499965</v>
      </c>
      <c r="TR14" s="206">
        <f t="shared" si="142"/>
        <v>737467.32312499965</v>
      </c>
      <c r="TS14" s="206">
        <f t="shared" si="142"/>
        <v>737467.32312499965</v>
      </c>
      <c r="TT14" s="206">
        <f t="shared" si="142"/>
        <v>737467.32312499965</v>
      </c>
      <c r="TU14" s="206">
        <f t="shared" si="142"/>
        <v>737467.32312499965</v>
      </c>
      <c r="TV14" s="206">
        <f t="shared" si="142"/>
        <v>737467.32312499965</v>
      </c>
      <c r="TW14" s="206">
        <f t="shared" si="142"/>
        <v>737467.32312499965</v>
      </c>
      <c r="TX14" s="206">
        <f t="shared" si="142"/>
        <v>737467.32312499965</v>
      </c>
      <c r="TY14" s="206">
        <f t="shared" si="142"/>
        <v>737467.32312499965</v>
      </c>
      <c r="TZ14" s="206">
        <f t="shared" si="142"/>
        <v>737467.32312499965</v>
      </c>
      <c r="UA14" s="206">
        <f t="shared" si="142"/>
        <v>737467.32312499965</v>
      </c>
      <c r="UB14" s="206">
        <f t="shared" si="142"/>
        <v>737467.32312499965</v>
      </c>
      <c r="UC14" s="206">
        <f t="shared" si="142"/>
        <v>737467.32312499965</v>
      </c>
      <c r="UD14" s="206">
        <f t="shared" si="142"/>
        <v>737467.32312499965</v>
      </c>
      <c r="UE14" s="206">
        <f t="shared" si="142"/>
        <v>737467.32312499965</v>
      </c>
      <c r="UF14" s="206">
        <f t="shared" si="142"/>
        <v>737467.32312499965</v>
      </c>
      <c r="UG14" s="206">
        <f t="shared" si="142"/>
        <v>737467.32312499965</v>
      </c>
      <c r="UH14" s="206">
        <f t="shared" si="142"/>
        <v>737467.32312499965</v>
      </c>
      <c r="UI14" s="206">
        <f t="shared" si="142"/>
        <v>737467.32312499965</v>
      </c>
      <c r="UJ14" s="206">
        <f t="shared" si="142"/>
        <v>737467.32312499965</v>
      </c>
      <c r="UK14" s="206">
        <f t="shared" si="142"/>
        <v>737467.32312499965</v>
      </c>
      <c r="UL14" s="206">
        <f t="shared" si="142"/>
        <v>737467.32312499965</v>
      </c>
      <c r="UM14" s="206">
        <f t="shared" si="142"/>
        <v>737467.32312499965</v>
      </c>
      <c r="UN14" s="206">
        <f t="shared" si="142"/>
        <v>737467.32312499965</v>
      </c>
      <c r="UO14" s="206">
        <f t="shared" si="142"/>
        <v>737467.32312499965</v>
      </c>
      <c r="UP14" s="206">
        <f t="shared" si="142"/>
        <v>737467.32312499965</v>
      </c>
      <c r="UQ14" s="206">
        <f t="shared" si="142"/>
        <v>737467.32312499965</v>
      </c>
      <c r="UR14" s="206">
        <f t="shared" si="142"/>
        <v>737467.32312499965</v>
      </c>
      <c r="US14" s="206">
        <f t="shared" si="142"/>
        <v>737467.32312499965</v>
      </c>
      <c r="UT14" s="206">
        <f t="shared" si="142"/>
        <v>737467.32312499965</v>
      </c>
      <c r="UU14" s="206">
        <f t="shared" si="142"/>
        <v>737467.32312499965</v>
      </c>
      <c r="UV14" s="206">
        <f t="shared" si="142"/>
        <v>737467.32312499965</v>
      </c>
      <c r="UW14" s="206">
        <f t="shared" si="142"/>
        <v>737467.32312499965</v>
      </c>
      <c r="UX14" s="206">
        <f t="shared" si="142"/>
        <v>737467.32312499965</v>
      </c>
      <c r="UY14" s="206">
        <f t="shared" si="142"/>
        <v>737467.32312499965</v>
      </c>
      <c r="UZ14" s="206">
        <f t="shared" si="142"/>
        <v>737467.32312499965</v>
      </c>
      <c r="VA14" s="206">
        <f t="shared" si="142"/>
        <v>737467.32312499965</v>
      </c>
      <c r="VB14" s="206">
        <f t="shared" si="142"/>
        <v>737467.32312499965</v>
      </c>
      <c r="VC14" s="206">
        <f t="shared" si="142"/>
        <v>737467.32312499965</v>
      </c>
      <c r="VD14" s="206">
        <f t="shared" si="142"/>
        <v>737467.32312499965</v>
      </c>
      <c r="VE14" s="206">
        <f t="shared" si="142"/>
        <v>737467.32312499965</v>
      </c>
      <c r="VF14" s="206">
        <f t="shared" si="142"/>
        <v>737467.32312499965</v>
      </c>
      <c r="VG14" s="206">
        <f t="shared" si="142"/>
        <v>737467.32312499965</v>
      </c>
      <c r="VH14" s="206">
        <f t="shared" si="142"/>
        <v>737467.32312499965</v>
      </c>
      <c r="VI14" s="206">
        <f t="shared" si="142"/>
        <v>737467.32312499965</v>
      </c>
      <c r="VJ14" s="206">
        <f t="shared" si="142"/>
        <v>737467.32312499965</v>
      </c>
      <c r="VK14" s="206">
        <f t="shared" si="142"/>
        <v>737467.32312499965</v>
      </c>
      <c r="VL14" s="206">
        <f t="shared" si="142"/>
        <v>737467.32312499965</v>
      </c>
      <c r="VM14" s="206">
        <f t="shared" ref="VM14:XX14" si="143">VM10-VM12</f>
        <v>737467.32312499965</v>
      </c>
      <c r="VN14" s="206">
        <f t="shared" si="143"/>
        <v>737467.32312499965</v>
      </c>
      <c r="VO14" s="206">
        <f t="shared" si="143"/>
        <v>737467.32312499965</v>
      </c>
      <c r="VP14" s="206">
        <f t="shared" si="143"/>
        <v>737467.32312499965</v>
      </c>
      <c r="VQ14" s="206">
        <f t="shared" si="143"/>
        <v>737467.32312499965</v>
      </c>
      <c r="VR14" s="206">
        <f t="shared" si="143"/>
        <v>737467.32312499965</v>
      </c>
      <c r="VS14" s="206">
        <f t="shared" si="143"/>
        <v>737467.32312499965</v>
      </c>
      <c r="VT14" s="206">
        <f t="shared" si="143"/>
        <v>737467.32312499965</v>
      </c>
      <c r="VU14" s="206">
        <f t="shared" si="143"/>
        <v>737467.32312499965</v>
      </c>
      <c r="VV14" s="206">
        <f t="shared" si="143"/>
        <v>737467.32312499965</v>
      </c>
      <c r="VW14" s="206">
        <f t="shared" si="143"/>
        <v>737467.32312499965</v>
      </c>
      <c r="VX14" s="206">
        <f t="shared" si="143"/>
        <v>737467.32312499965</v>
      </c>
      <c r="VY14" s="206">
        <f t="shared" si="143"/>
        <v>737467.32312499965</v>
      </c>
      <c r="VZ14" s="206">
        <f t="shared" si="143"/>
        <v>737467.32312499965</v>
      </c>
      <c r="WA14" s="206">
        <f t="shared" si="143"/>
        <v>737467.32312499965</v>
      </c>
      <c r="WB14" s="206">
        <f t="shared" si="143"/>
        <v>737467.32312499965</v>
      </c>
      <c r="WC14" s="206">
        <f t="shared" si="143"/>
        <v>737467.32312499965</v>
      </c>
      <c r="WD14" s="206">
        <f t="shared" si="143"/>
        <v>737467.32312499965</v>
      </c>
      <c r="WE14" s="206">
        <f t="shared" si="143"/>
        <v>737467.32312499965</v>
      </c>
      <c r="WF14" s="206">
        <f t="shared" si="143"/>
        <v>737467.32312499965</v>
      </c>
      <c r="WG14" s="206">
        <f t="shared" si="143"/>
        <v>737467.32312499965</v>
      </c>
      <c r="WH14" s="206">
        <f t="shared" si="143"/>
        <v>737467.32312499965</v>
      </c>
      <c r="WI14" s="206">
        <f t="shared" si="143"/>
        <v>737467.32312499965</v>
      </c>
      <c r="WJ14" s="206">
        <f t="shared" si="143"/>
        <v>737467.32312499965</v>
      </c>
      <c r="WK14" s="206">
        <f t="shared" si="143"/>
        <v>737467.32312499965</v>
      </c>
      <c r="WL14" s="206">
        <f t="shared" si="143"/>
        <v>737467.32312499965</v>
      </c>
      <c r="WM14" s="206">
        <f t="shared" si="143"/>
        <v>737467.32312499965</v>
      </c>
      <c r="WN14" s="206">
        <f t="shared" si="143"/>
        <v>737467.32312499965</v>
      </c>
      <c r="WO14" s="206">
        <f t="shared" si="143"/>
        <v>737467.32312499965</v>
      </c>
      <c r="WP14" s="206">
        <f t="shared" si="143"/>
        <v>737467.32312499965</v>
      </c>
      <c r="WQ14" s="206">
        <f t="shared" si="143"/>
        <v>737467.32312499965</v>
      </c>
      <c r="WR14" s="206">
        <f t="shared" si="143"/>
        <v>737467.32312499965</v>
      </c>
      <c r="WS14" s="206">
        <f t="shared" si="143"/>
        <v>737467.32312499965</v>
      </c>
      <c r="WT14" s="206">
        <f t="shared" si="143"/>
        <v>737467.32312499965</v>
      </c>
      <c r="WU14" s="206">
        <f t="shared" si="143"/>
        <v>737467.32312499965</v>
      </c>
      <c r="WV14" s="206">
        <f t="shared" si="143"/>
        <v>737467.32312499965</v>
      </c>
      <c r="WW14" s="206">
        <f t="shared" si="143"/>
        <v>737467.32312499965</v>
      </c>
      <c r="WX14" s="206">
        <f t="shared" si="143"/>
        <v>737467.32312499965</v>
      </c>
      <c r="WY14" s="206">
        <f t="shared" si="143"/>
        <v>737467.32312499965</v>
      </c>
      <c r="WZ14" s="206">
        <f t="shared" si="143"/>
        <v>737467.32312499965</v>
      </c>
      <c r="XA14" s="206">
        <f t="shared" si="143"/>
        <v>737467.32312499965</v>
      </c>
      <c r="XB14" s="206">
        <f t="shared" si="143"/>
        <v>737467.32312499965</v>
      </c>
      <c r="XC14" s="206">
        <f t="shared" si="143"/>
        <v>737467.32312499965</v>
      </c>
      <c r="XD14" s="206">
        <f t="shared" si="143"/>
        <v>737467.32312499965</v>
      </c>
      <c r="XE14" s="206">
        <f t="shared" si="143"/>
        <v>737467.32312499965</v>
      </c>
      <c r="XF14" s="206">
        <f t="shared" si="143"/>
        <v>737467.32312499965</v>
      </c>
      <c r="XG14" s="206">
        <f t="shared" si="143"/>
        <v>737467.32312499965</v>
      </c>
      <c r="XH14" s="206">
        <f t="shared" si="143"/>
        <v>737467.32312499965</v>
      </c>
      <c r="XI14" s="206">
        <f t="shared" si="143"/>
        <v>737467.32312499965</v>
      </c>
      <c r="XJ14" s="206">
        <f t="shared" si="143"/>
        <v>737467.32312499965</v>
      </c>
      <c r="XK14" s="206">
        <f t="shared" si="143"/>
        <v>737467.32312499965</v>
      </c>
      <c r="XL14" s="206">
        <f t="shared" si="143"/>
        <v>737467.32312499965</v>
      </c>
      <c r="XM14" s="206">
        <f t="shared" si="143"/>
        <v>737467.32312499965</v>
      </c>
      <c r="XN14" s="206">
        <f t="shared" si="143"/>
        <v>737467.32312499965</v>
      </c>
      <c r="XO14" s="206">
        <f t="shared" si="143"/>
        <v>737467.32312499965</v>
      </c>
      <c r="XP14" s="206">
        <f t="shared" si="143"/>
        <v>737467.32312499965</v>
      </c>
      <c r="XQ14" s="206">
        <f t="shared" si="143"/>
        <v>737467.32312499965</v>
      </c>
      <c r="XR14" s="206">
        <f t="shared" si="143"/>
        <v>737467.32312499965</v>
      </c>
      <c r="XS14" s="206">
        <f t="shared" si="143"/>
        <v>737467.32312499965</v>
      </c>
      <c r="XT14" s="206">
        <f t="shared" si="143"/>
        <v>737467.32312499965</v>
      </c>
      <c r="XU14" s="206">
        <f t="shared" si="143"/>
        <v>737467.32312499965</v>
      </c>
      <c r="XV14" s="206">
        <f t="shared" si="143"/>
        <v>737467.32312499965</v>
      </c>
      <c r="XW14" s="206">
        <f t="shared" si="143"/>
        <v>737467.32312499965</v>
      </c>
      <c r="XX14" s="206">
        <f t="shared" si="143"/>
        <v>737467.32312499965</v>
      </c>
      <c r="XY14" s="206">
        <f t="shared" ref="XY14:AAJ14" si="144">XY10-XY12</f>
        <v>737467.32312499965</v>
      </c>
      <c r="XZ14" s="206">
        <f t="shared" si="144"/>
        <v>737467.32312499965</v>
      </c>
      <c r="YA14" s="206">
        <f t="shared" si="144"/>
        <v>737467.32312499965</v>
      </c>
      <c r="YB14" s="206">
        <f t="shared" si="144"/>
        <v>737467.32312499965</v>
      </c>
      <c r="YC14" s="206">
        <f t="shared" si="144"/>
        <v>737467.32312499965</v>
      </c>
      <c r="YD14" s="206">
        <f t="shared" si="144"/>
        <v>737467.32312499965</v>
      </c>
      <c r="YE14" s="206">
        <f t="shared" si="144"/>
        <v>737467.32312499965</v>
      </c>
      <c r="YF14" s="206">
        <f t="shared" si="144"/>
        <v>737467.32312499965</v>
      </c>
      <c r="YG14" s="206">
        <f t="shared" si="144"/>
        <v>737467.32312499965</v>
      </c>
      <c r="YH14" s="206">
        <f t="shared" si="144"/>
        <v>737467.32312499965</v>
      </c>
      <c r="YI14" s="206">
        <f t="shared" si="144"/>
        <v>737467.32312499965</v>
      </c>
      <c r="YJ14" s="206">
        <f t="shared" si="144"/>
        <v>737467.32312499965</v>
      </c>
      <c r="YK14" s="206">
        <f t="shared" si="144"/>
        <v>737467.32312499965</v>
      </c>
      <c r="YL14" s="206">
        <f t="shared" si="144"/>
        <v>737467.32312499965</v>
      </c>
      <c r="YM14" s="206">
        <f t="shared" si="144"/>
        <v>737467.32312499965</v>
      </c>
      <c r="YN14" s="206">
        <f t="shared" si="144"/>
        <v>737467.32312499965</v>
      </c>
      <c r="YO14" s="206">
        <f t="shared" si="144"/>
        <v>737467.32312499965</v>
      </c>
      <c r="YP14" s="206">
        <f t="shared" si="144"/>
        <v>737467.32312499965</v>
      </c>
      <c r="YQ14" s="206">
        <f t="shared" si="144"/>
        <v>737467.32312499965</v>
      </c>
      <c r="YR14" s="206">
        <f t="shared" si="144"/>
        <v>737467.32312499965</v>
      </c>
      <c r="YS14" s="206">
        <f t="shared" si="144"/>
        <v>737467.32312499965</v>
      </c>
      <c r="YT14" s="206">
        <f t="shared" si="144"/>
        <v>737467.32312499965</v>
      </c>
      <c r="YU14" s="206">
        <f t="shared" si="144"/>
        <v>737467.32312499965</v>
      </c>
      <c r="YV14" s="206">
        <f t="shared" si="144"/>
        <v>737467.32312499965</v>
      </c>
      <c r="YW14" s="206">
        <f t="shared" si="144"/>
        <v>737467.32312499965</v>
      </c>
      <c r="YX14" s="206">
        <f t="shared" si="144"/>
        <v>737467.32312499965</v>
      </c>
      <c r="YY14" s="206">
        <f t="shared" si="144"/>
        <v>737467.32312499965</v>
      </c>
      <c r="YZ14" s="206">
        <f t="shared" si="144"/>
        <v>737467.32312499965</v>
      </c>
      <c r="ZA14" s="206">
        <f t="shared" si="144"/>
        <v>737467.32312499965</v>
      </c>
      <c r="ZB14" s="206">
        <f t="shared" si="144"/>
        <v>737467.32312499965</v>
      </c>
      <c r="ZC14" s="206">
        <f t="shared" si="144"/>
        <v>737467.32312499965</v>
      </c>
      <c r="ZD14" s="206">
        <f t="shared" si="144"/>
        <v>737467.32312499965</v>
      </c>
      <c r="ZE14" s="206">
        <f t="shared" si="144"/>
        <v>737467.32312499965</v>
      </c>
      <c r="ZF14" s="206">
        <f t="shared" si="144"/>
        <v>737467.32312499965</v>
      </c>
      <c r="ZG14" s="206">
        <f t="shared" si="144"/>
        <v>737467.32312499965</v>
      </c>
      <c r="ZH14" s="206">
        <f t="shared" si="144"/>
        <v>737467.32312499965</v>
      </c>
      <c r="ZI14" s="206">
        <f t="shared" si="144"/>
        <v>737467.32312499965</v>
      </c>
      <c r="ZJ14" s="206">
        <f t="shared" si="144"/>
        <v>737467.32312499965</v>
      </c>
      <c r="ZK14" s="206">
        <f t="shared" si="144"/>
        <v>737467.32312499965</v>
      </c>
      <c r="ZL14" s="206">
        <f t="shared" si="144"/>
        <v>737467.32312499965</v>
      </c>
      <c r="ZM14" s="206">
        <f t="shared" si="144"/>
        <v>737467.32312499965</v>
      </c>
      <c r="ZN14" s="206">
        <f t="shared" si="144"/>
        <v>737467.32312499965</v>
      </c>
      <c r="ZO14" s="206">
        <f t="shared" si="144"/>
        <v>737467.32312499965</v>
      </c>
      <c r="ZP14" s="206">
        <f t="shared" si="144"/>
        <v>737467.32312499965</v>
      </c>
      <c r="ZQ14" s="206">
        <f t="shared" si="144"/>
        <v>737467.32312499965</v>
      </c>
      <c r="ZR14" s="206">
        <f t="shared" si="144"/>
        <v>737467.32312499965</v>
      </c>
      <c r="ZS14" s="206">
        <f t="shared" si="144"/>
        <v>737467.32312499965</v>
      </c>
      <c r="ZT14" s="206">
        <f t="shared" si="144"/>
        <v>737467.32312499965</v>
      </c>
      <c r="ZU14" s="206">
        <f t="shared" si="144"/>
        <v>737467.32312499965</v>
      </c>
      <c r="ZV14" s="206">
        <f t="shared" si="144"/>
        <v>737467.32312499965</v>
      </c>
      <c r="ZW14" s="206">
        <f t="shared" si="144"/>
        <v>737467.32312499965</v>
      </c>
      <c r="ZX14" s="206">
        <f t="shared" si="144"/>
        <v>737467.32312499965</v>
      </c>
      <c r="ZY14" s="206">
        <f t="shared" si="144"/>
        <v>737467.32312499965</v>
      </c>
      <c r="ZZ14" s="206">
        <f t="shared" si="144"/>
        <v>737467.32312499965</v>
      </c>
      <c r="AAA14" s="206">
        <f t="shared" si="144"/>
        <v>737467.32312499965</v>
      </c>
      <c r="AAB14" s="206">
        <f t="shared" si="144"/>
        <v>737467.32312499965</v>
      </c>
      <c r="AAC14" s="206">
        <f t="shared" si="144"/>
        <v>737467.32312499965</v>
      </c>
      <c r="AAD14" s="206">
        <f t="shared" si="144"/>
        <v>737467.32312499965</v>
      </c>
      <c r="AAE14" s="206">
        <f t="shared" si="144"/>
        <v>737467.32312499965</v>
      </c>
      <c r="AAF14" s="206">
        <f t="shared" si="144"/>
        <v>737467.32312499965</v>
      </c>
      <c r="AAG14" s="206">
        <f t="shared" si="144"/>
        <v>737467.32312499965</v>
      </c>
      <c r="AAH14" s="206">
        <f t="shared" si="144"/>
        <v>737467.32312499965</v>
      </c>
      <c r="AAI14" s="206">
        <f t="shared" si="144"/>
        <v>737467.32312499965</v>
      </c>
      <c r="AAJ14" s="206">
        <f t="shared" si="144"/>
        <v>737467.32312499965</v>
      </c>
      <c r="AAK14" s="206">
        <f t="shared" ref="AAK14:ACV14" si="145">AAK10-AAK12</f>
        <v>737467.32312499965</v>
      </c>
      <c r="AAL14" s="206">
        <f t="shared" si="145"/>
        <v>737467.32312499965</v>
      </c>
      <c r="AAM14" s="206">
        <f t="shared" si="145"/>
        <v>737467.32312499965</v>
      </c>
      <c r="AAN14" s="206">
        <f t="shared" si="145"/>
        <v>737467.32312499965</v>
      </c>
      <c r="AAO14" s="206">
        <f t="shared" si="145"/>
        <v>737467.32312499965</v>
      </c>
      <c r="AAP14" s="206">
        <f t="shared" si="145"/>
        <v>737467.32312499965</v>
      </c>
      <c r="AAQ14" s="206">
        <f t="shared" si="145"/>
        <v>737467.32312499965</v>
      </c>
      <c r="AAR14" s="206">
        <f t="shared" si="145"/>
        <v>737467.32312499965</v>
      </c>
      <c r="AAS14" s="206">
        <f t="shared" si="145"/>
        <v>737467.32312499965</v>
      </c>
      <c r="AAT14" s="206">
        <f t="shared" si="145"/>
        <v>737467.32312499965</v>
      </c>
      <c r="AAU14" s="206">
        <f t="shared" si="145"/>
        <v>737467.32312499965</v>
      </c>
      <c r="AAV14" s="206">
        <f t="shared" si="145"/>
        <v>737467.32312499965</v>
      </c>
      <c r="AAW14" s="206">
        <f t="shared" si="145"/>
        <v>737467.32312499965</v>
      </c>
      <c r="AAX14" s="206">
        <f t="shared" si="145"/>
        <v>737467.32312499965</v>
      </c>
      <c r="AAY14" s="206">
        <f t="shared" si="145"/>
        <v>737467.32312499965</v>
      </c>
      <c r="AAZ14" s="206">
        <f t="shared" si="145"/>
        <v>737467.32312499965</v>
      </c>
      <c r="ABA14" s="206">
        <f t="shared" si="145"/>
        <v>737467.32312499965</v>
      </c>
      <c r="ABB14" s="206">
        <f t="shared" si="145"/>
        <v>737467.32312499965</v>
      </c>
      <c r="ABC14" s="206">
        <f t="shared" si="145"/>
        <v>737467.32312499965</v>
      </c>
      <c r="ABD14" s="206">
        <f t="shared" si="145"/>
        <v>737467.32312499965</v>
      </c>
      <c r="ABE14" s="206">
        <f t="shared" si="145"/>
        <v>737467.32312499965</v>
      </c>
      <c r="ABF14" s="206">
        <f t="shared" si="145"/>
        <v>737467.32312499965</v>
      </c>
      <c r="ABG14" s="206">
        <f t="shared" si="145"/>
        <v>737467.32312499965</v>
      </c>
      <c r="ABH14" s="206">
        <f t="shared" si="145"/>
        <v>737467.32312499965</v>
      </c>
      <c r="ABI14" s="206">
        <f t="shared" si="145"/>
        <v>737467.32312499965</v>
      </c>
      <c r="ABJ14" s="206">
        <f t="shared" si="145"/>
        <v>737467.32312499965</v>
      </c>
      <c r="ABK14" s="206">
        <f t="shared" si="145"/>
        <v>737467.32312499965</v>
      </c>
      <c r="ABL14" s="206">
        <f t="shared" si="145"/>
        <v>737467.32312499965</v>
      </c>
      <c r="ABM14" s="206">
        <f t="shared" si="145"/>
        <v>737467.32312499965</v>
      </c>
      <c r="ABN14" s="206">
        <f t="shared" si="145"/>
        <v>737467.32312499965</v>
      </c>
      <c r="ABO14" s="206">
        <f t="shared" si="145"/>
        <v>737467.32312499965</v>
      </c>
      <c r="ABP14" s="206">
        <f t="shared" si="145"/>
        <v>737467.32312499965</v>
      </c>
      <c r="ABQ14" s="206">
        <f t="shared" si="145"/>
        <v>737467.32312499965</v>
      </c>
      <c r="ABR14" s="206">
        <f t="shared" si="145"/>
        <v>737467.32312499965</v>
      </c>
      <c r="ABS14" s="206">
        <f t="shared" si="145"/>
        <v>737467.32312499965</v>
      </c>
      <c r="ABT14" s="206">
        <f t="shared" si="145"/>
        <v>737467.32312499965</v>
      </c>
      <c r="ABU14" s="206">
        <f t="shared" si="145"/>
        <v>737467.32312499965</v>
      </c>
      <c r="ABV14" s="206">
        <f t="shared" si="145"/>
        <v>737467.32312499965</v>
      </c>
      <c r="ABW14" s="206">
        <f t="shared" si="145"/>
        <v>737467.32312499965</v>
      </c>
      <c r="ABX14" s="206">
        <f t="shared" si="145"/>
        <v>737467.32312499965</v>
      </c>
      <c r="ABY14" s="206">
        <f t="shared" si="145"/>
        <v>737467.32312499965</v>
      </c>
      <c r="ABZ14" s="206">
        <f t="shared" si="145"/>
        <v>737467.32312499965</v>
      </c>
      <c r="ACA14" s="206">
        <f t="shared" si="145"/>
        <v>737467.32312499965</v>
      </c>
      <c r="ACB14" s="206">
        <f t="shared" si="145"/>
        <v>737467.32312499965</v>
      </c>
      <c r="ACC14" s="206">
        <f t="shared" si="145"/>
        <v>737467.32312499965</v>
      </c>
      <c r="ACD14" s="206">
        <f t="shared" si="145"/>
        <v>737467.32312499965</v>
      </c>
      <c r="ACE14" s="206">
        <f t="shared" si="145"/>
        <v>737467.32312499965</v>
      </c>
      <c r="ACF14" s="206">
        <f t="shared" si="145"/>
        <v>737467.32312499965</v>
      </c>
      <c r="ACG14" s="206">
        <f t="shared" si="145"/>
        <v>737467.32312499965</v>
      </c>
      <c r="ACH14" s="206">
        <f t="shared" si="145"/>
        <v>737467.32312499965</v>
      </c>
      <c r="ACI14" s="206">
        <f t="shared" si="145"/>
        <v>737467.32312499965</v>
      </c>
      <c r="ACJ14" s="206">
        <f t="shared" si="145"/>
        <v>737467.32312499965</v>
      </c>
      <c r="ACK14" s="206">
        <f t="shared" si="145"/>
        <v>737467.32312499965</v>
      </c>
      <c r="ACL14" s="206">
        <f t="shared" si="145"/>
        <v>737467.32312499965</v>
      </c>
      <c r="ACM14" s="206">
        <f t="shared" si="145"/>
        <v>737467.32312499965</v>
      </c>
      <c r="ACN14" s="206">
        <f t="shared" si="145"/>
        <v>737467.32312499965</v>
      </c>
      <c r="ACO14" s="206">
        <f t="shared" si="145"/>
        <v>737467.32312499965</v>
      </c>
      <c r="ACP14" s="206">
        <f t="shared" si="145"/>
        <v>737467.32312499965</v>
      </c>
      <c r="ACQ14" s="206">
        <f t="shared" si="145"/>
        <v>737467.32312499965</v>
      </c>
      <c r="ACR14" s="206">
        <f t="shared" si="145"/>
        <v>737467.32312499965</v>
      </c>
      <c r="ACS14" s="206">
        <f t="shared" si="145"/>
        <v>737467.32312499965</v>
      </c>
      <c r="ACT14" s="206">
        <f t="shared" si="145"/>
        <v>737467.32312499965</v>
      </c>
      <c r="ACU14" s="206">
        <f t="shared" si="145"/>
        <v>737467.32312499965</v>
      </c>
      <c r="ACV14" s="206">
        <f t="shared" si="145"/>
        <v>737467.32312499965</v>
      </c>
      <c r="ACW14" s="206">
        <f t="shared" ref="ACW14:AFH14" si="146">ACW10-ACW12</f>
        <v>737467.32312499965</v>
      </c>
      <c r="ACX14" s="206">
        <f t="shared" si="146"/>
        <v>737467.32312499965</v>
      </c>
      <c r="ACY14" s="206">
        <f t="shared" si="146"/>
        <v>737467.32312499965</v>
      </c>
      <c r="ACZ14" s="206">
        <f t="shared" si="146"/>
        <v>737467.32312499965</v>
      </c>
      <c r="ADA14" s="206">
        <f t="shared" si="146"/>
        <v>737467.32312499965</v>
      </c>
      <c r="ADB14" s="206">
        <f t="shared" si="146"/>
        <v>737467.32312499965</v>
      </c>
      <c r="ADC14" s="206">
        <f t="shared" si="146"/>
        <v>737467.32312499965</v>
      </c>
      <c r="ADD14" s="206">
        <f t="shared" si="146"/>
        <v>737467.32312499965</v>
      </c>
      <c r="ADE14" s="206">
        <f t="shared" si="146"/>
        <v>737467.32312499965</v>
      </c>
      <c r="ADF14" s="206">
        <f t="shared" si="146"/>
        <v>737467.32312499965</v>
      </c>
      <c r="ADG14" s="206">
        <f t="shared" si="146"/>
        <v>737467.32312499965</v>
      </c>
      <c r="ADH14" s="206">
        <f t="shared" si="146"/>
        <v>737467.32312499965</v>
      </c>
      <c r="ADI14" s="206">
        <f t="shared" si="146"/>
        <v>737467.32312499965</v>
      </c>
      <c r="ADJ14" s="206">
        <f t="shared" si="146"/>
        <v>737467.32312499965</v>
      </c>
      <c r="ADK14" s="206">
        <f t="shared" si="146"/>
        <v>737467.32312499965</v>
      </c>
      <c r="ADL14" s="206">
        <f t="shared" si="146"/>
        <v>737467.32312499965</v>
      </c>
      <c r="ADM14" s="206">
        <f t="shared" si="146"/>
        <v>737467.32312499965</v>
      </c>
      <c r="ADN14" s="206">
        <f t="shared" si="146"/>
        <v>737467.32312499965</v>
      </c>
      <c r="ADO14" s="206">
        <f t="shared" si="146"/>
        <v>737467.32312499965</v>
      </c>
      <c r="ADP14" s="206">
        <f t="shared" si="146"/>
        <v>737467.32312499965</v>
      </c>
      <c r="ADQ14" s="206">
        <f t="shared" si="146"/>
        <v>737467.32312499965</v>
      </c>
      <c r="ADR14" s="206">
        <f t="shared" si="146"/>
        <v>737467.32312499965</v>
      </c>
      <c r="ADS14" s="206">
        <f t="shared" si="146"/>
        <v>737467.32312499965</v>
      </c>
      <c r="ADT14" s="206">
        <f t="shared" si="146"/>
        <v>737467.32312499965</v>
      </c>
      <c r="ADU14" s="206">
        <f t="shared" si="146"/>
        <v>737467.32312499965</v>
      </c>
      <c r="ADV14" s="206">
        <f t="shared" si="146"/>
        <v>737467.32312499965</v>
      </c>
      <c r="ADW14" s="206">
        <f t="shared" si="146"/>
        <v>737467.32312499965</v>
      </c>
      <c r="ADX14" s="206">
        <f t="shared" si="146"/>
        <v>737467.32312499965</v>
      </c>
      <c r="ADY14" s="206">
        <f t="shared" si="146"/>
        <v>737467.32312499965</v>
      </c>
      <c r="ADZ14" s="206">
        <f t="shared" si="146"/>
        <v>737467.32312499965</v>
      </c>
      <c r="AEA14" s="206">
        <f t="shared" si="146"/>
        <v>737467.32312499965</v>
      </c>
      <c r="AEB14" s="206">
        <f t="shared" si="146"/>
        <v>737467.32312499965</v>
      </c>
      <c r="AEC14" s="206">
        <f t="shared" si="146"/>
        <v>737467.32312499965</v>
      </c>
      <c r="AED14" s="206">
        <f t="shared" si="146"/>
        <v>737467.32312499965</v>
      </c>
      <c r="AEE14" s="206">
        <f t="shared" si="146"/>
        <v>737467.32312499965</v>
      </c>
      <c r="AEF14" s="206">
        <f t="shared" si="146"/>
        <v>737467.32312499965</v>
      </c>
      <c r="AEG14" s="206">
        <f t="shared" si="146"/>
        <v>737467.32312499965</v>
      </c>
      <c r="AEH14" s="206">
        <f t="shared" si="146"/>
        <v>737467.32312499965</v>
      </c>
      <c r="AEI14" s="206">
        <f t="shared" si="146"/>
        <v>737467.32312499965</v>
      </c>
      <c r="AEJ14" s="206">
        <f t="shared" si="146"/>
        <v>737467.32312499965</v>
      </c>
      <c r="AEK14" s="206">
        <f t="shared" si="146"/>
        <v>737467.32312499965</v>
      </c>
      <c r="AEL14" s="206">
        <f t="shared" si="146"/>
        <v>737467.32312499965</v>
      </c>
      <c r="AEM14" s="206">
        <f t="shared" si="146"/>
        <v>737467.32312499965</v>
      </c>
      <c r="AEN14" s="206">
        <f t="shared" si="146"/>
        <v>737467.32312499965</v>
      </c>
      <c r="AEO14" s="206">
        <f t="shared" si="146"/>
        <v>737467.32312499965</v>
      </c>
      <c r="AEP14" s="206">
        <f t="shared" si="146"/>
        <v>737467.32312499965</v>
      </c>
      <c r="AEQ14" s="206">
        <f t="shared" si="146"/>
        <v>737467.32312499965</v>
      </c>
      <c r="AER14" s="206">
        <f t="shared" si="146"/>
        <v>737467.32312499965</v>
      </c>
      <c r="AES14" s="206">
        <f t="shared" si="146"/>
        <v>737467.32312499965</v>
      </c>
      <c r="AET14" s="206">
        <f t="shared" si="146"/>
        <v>737467.32312499965</v>
      </c>
      <c r="AEU14" s="206">
        <f t="shared" si="146"/>
        <v>737467.32312499965</v>
      </c>
      <c r="AEV14" s="206">
        <f t="shared" si="146"/>
        <v>737467.32312499965</v>
      </c>
      <c r="AEW14" s="206">
        <f t="shared" si="146"/>
        <v>737467.32312499965</v>
      </c>
      <c r="AEX14" s="206">
        <f t="shared" si="146"/>
        <v>737467.32312499965</v>
      </c>
      <c r="AEY14" s="206">
        <f t="shared" si="146"/>
        <v>737467.32312499965</v>
      </c>
      <c r="AEZ14" s="206">
        <f t="shared" si="146"/>
        <v>737467.32312499965</v>
      </c>
      <c r="AFA14" s="206">
        <f t="shared" si="146"/>
        <v>737467.32312499965</v>
      </c>
      <c r="AFB14" s="206">
        <f t="shared" si="146"/>
        <v>737467.32312499965</v>
      </c>
      <c r="AFC14" s="206">
        <f t="shared" si="146"/>
        <v>737467.32312499965</v>
      </c>
      <c r="AFD14" s="206">
        <f t="shared" si="146"/>
        <v>737467.32312499965</v>
      </c>
      <c r="AFE14" s="206">
        <f t="shared" si="146"/>
        <v>737467.32312499965</v>
      </c>
      <c r="AFF14" s="206">
        <f t="shared" si="146"/>
        <v>737467.32312499965</v>
      </c>
      <c r="AFG14" s="206">
        <f t="shared" si="146"/>
        <v>737467.32312499965</v>
      </c>
      <c r="AFH14" s="206">
        <f t="shared" si="146"/>
        <v>737467.32312499965</v>
      </c>
      <c r="AFI14" s="206">
        <f t="shared" ref="AFI14:AHT14" si="147">AFI10-AFI12</f>
        <v>737467.32312499965</v>
      </c>
      <c r="AFJ14" s="206">
        <f t="shared" si="147"/>
        <v>737467.32312499965</v>
      </c>
      <c r="AFK14" s="206">
        <f t="shared" si="147"/>
        <v>737467.32312499965</v>
      </c>
      <c r="AFL14" s="206">
        <f t="shared" si="147"/>
        <v>737467.32312499965</v>
      </c>
      <c r="AFM14" s="206">
        <f t="shared" si="147"/>
        <v>737467.32312499965</v>
      </c>
      <c r="AFN14" s="206">
        <f t="shared" si="147"/>
        <v>737467.32312499965</v>
      </c>
      <c r="AFO14" s="206">
        <f t="shared" si="147"/>
        <v>737467.32312499965</v>
      </c>
      <c r="AFP14" s="206">
        <f t="shared" si="147"/>
        <v>737467.32312499965</v>
      </c>
      <c r="AFQ14" s="206">
        <f t="shared" si="147"/>
        <v>737467.32312499965</v>
      </c>
      <c r="AFR14" s="206">
        <f t="shared" si="147"/>
        <v>737467.32312499965</v>
      </c>
      <c r="AFS14" s="206">
        <f t="shared" si="147"/>
        <v>737467.32312499965</v>
      </c>
      <c r="AFT14" s="206">
        <f t="shared" si="147"/>
        <v>737467.32312499965</v>
      </c>
      <c r="AFU14" s="206">
        <f t="shared" si="147"/>
        <v>737467.32312499965</v>
      </c>
      <c r="AFV14" s="206">
        <f t="shared" si="147"/>
        <v>737467.32312499965</v>
      </c>
      <c r="AFW14" s="206">
        <f t="shared" si="147"/>
        <v>737467.32312499965</v>
      </c>
      <c r="AFX14" s="206">
        <f t="shared" si="147"/>
        <v>737467.32312499965</v>
      </c>
      <c r="AFY14" s="206">
        <f t="shared" si="147"/>
        <v>737467.32312499965</v>
      </c>
      <c r="AFZ14" s="206">
        <f t="shared" si="147"/>
        <v>737467.32312499965</v>
      </c>
      <c r="AGA14" s="206">
        <f t="shared" si="147"/>
        <v>737467.32312499965</v>
      </c>
      <c r="AGB14" s="206">
        <f t="shared" si="147"/>
        <v>737467.32312499965</v>
      </c>
      <c r="AGC14" s="206">
        <f t="shared" si="147"/>
        <v>737467.32312499965</v>
      </c>
      <c r="AGD14" s="206">
        <f t="shared" si="147"/>
        <v>737467.32312499965</v>
      </c>
      <c r="AGE14" s="206">
        <f t="shared" si="147"/>
        <v>737467.32312499965</v>
      </c>
      <c r="AGF14" s="206">
        <f t="shared" si="147"/>
        <v>737467.32312499965</v>
      </c>
      <c r="AGG14" s="206">
        <f t="shared" si="147"/>
        <v>737467.32312499965</v>
      </c>
      <c r="AGH14" s="206">
        <f t="shared" si="147"/>
        <v>737467.32312499965</v>
      </c>
      <c r="AGI14" s="206">
        <f t="shared" si="147"/>
        <v>737467.32312499965</v>
      </c>
      <c r="AGJ14" s="206">
        <f t="shared" si="147"/>
        <v>737467.32312499965</v>
      </c>
      <c r="AGK14" s="206">
        <f t="shared" si="147"/>
        <v>737467.32312499965</v>
      </c>
      <c r="AGL14" s="206">
        <f t="shared" si="147"/>
        <v>737467.32312499965</v>
      </c>
      <c r="AGM14" s="206">
        <f t="shared" si="147"/>
        <v>737467.32312499965</v>
      </c>
      <c r="AGN14" s="206">
        <f t="shared" si="147"/>
        <v>737467.32312499965</v>
      </c>
      <c r="AGO14" s="206">
        <f t="shared" si="147"/>
        <v>737467.32312499965</v>
      </c>
      <c r="AGP14" s="206">
        <f t="shared" si="147"/>
        <v>737467.32312499965</v>
      </c>
      <c r="AGQ14" s="206">
        <f t="shared" si="147"/>
        <v>737467.32312499965</v>
      </c>
      <c r="AGR14" s="206">
        <f t="shared" si="147"/>
        <v>737467.32312499965</v>
      </c>
      <c r="AGS14" s="206">
        <f t="shared" si="147"/>
        <v>737467.32312499965</v>
      </c>
      <c r="AGT14" s="206">
        <f t="shared" si="147"/>
        <v>737467.32312499965</v>
      </c>
      <c r="AGU14" s="206">
        <f t="shared" si="147"/>
        <v>737467.32312499965</v>
      </c>
      <c r="AGV14" s="206">
        <f t="shared" si="147"/>
        <v>737467.32312499965</v>
      </c>
      <c r="AGW14" s="206">
        <f t="shared" si="147"/>
        <v>737467.32312499965</v>
      </c>
      <c r="AGX14" s="206">
        <f t="shared" si="147"/>
        <v>737467.32312499965</v>
      </c>
      <c r="AGY14" s="206">
        <f t="shared" si="147"/>
        <v>737467.32312499965</v>
      </c>
      <c r="AGZ14" s="206">
        <f t="shared" si="147"/>
        <v>737467.32312499965</v>
      </c>
      <c r="AHA14" s="206">
        <f t="shared" si="147"/>
        <v>737467.32312499965</v>
      </c>
      <c r="AHB14" s="206">
        <f t="shared" si="147"/>
        <v>737467.32312499965</v>
      </c>
      <c r="AHC14" s="206">
        <f t="shared" si="147"/>
        <v>737467.32312499965</v>
      </c>
      <c r="AHD14" s="206">
        <f t="shared" si="147"/>
        <v>737467.32312499965</v>
      </c>
      <c r="AHE14" s="206">
        <f t="shared" si="147"/>
        <v>737467.32312499965</v>
      </c>
      <c r="AHF14" s="206">
        <f t="shared" si="147"/>
        <v>737467.32312499965</v>
      </c>
      <c r="AHG14" s="206">
        <f t="shared" si="147"/>
        <v>737467.32312499965</v>
      </c>
      <c r="AHH14" s="206">
        <f t="shared" si="147"/>
        <v>737467.32312499965</v>
      </c>
      <c r="AHI14" s="206">
        <f t="shared" si="147"/>
        <v>737467.32312499965</v>
      </c>
      <c r="AHJ14" s="206">
        <f t="shared" si="147"/>
        <v>737467.32312499965</v>
      </c>
      <c r="AHK14" s="206">
        <f t="shared" si="147"/>
        <v>737467.32312499965</v>
      </c>
      <c r="AHL14" s="206">
        <f t="shared" si="147"/>
        <v>737467.32312499965</v>
      </c>
      <c r="AHM14" s="206">
        <f t="shared" si="147"/>
        <v>737467.32312499965</v>
      </c>
      <c r="AHN14" s="206">
        <f t="shared" si="147"/>
        <v>737467.32312499965</v>
      </c>
      <c r="AHO14" s="206">
        <f t="shared" si="147"/>
        <v>737467.32312499965</v>
      </c>
      <c r="AHP14" s="206">
        <f t="shared" si="147"/>
        <v>737467.32312499965</v>
      </c>
      <c r="AHQ14" s="206">
        <f t="shared" si="147"/>
        <v>737467.32312499965</v>
      </c>
      <c r="AHR14" s="206">
        <f t="shared" si="147"/>
        <v>737467.32312499965</v>
      </c>
      <c r="AHS14" s="206">
        <f t="shared" si="147"/>
        <v>737467.32312499965</v>
      </c>
      <c r="AHT14" s="206">
        <f t="shared" si="147"/>
        <v>737467.32312499965</v>
      </c>
      <c r="AHU14" s="206">
        <f t="shared" ref="AHU14:AKF14" si="148">AHU10-AHU12</f>
        <v>737467.32312499965</v>
      </c>
      <c r="AHV14" s="206">
        <f t="shared" si="148"/>
        <v>737467.32312499965</v>
      </c>
      <c r="AHW14" s="206">
        <f t="shared" si="148"/>
        <v>737467.32312499965</v>
      </c>
      <c r="AHX14" s="206">
        <f t="shared" si="148"/>
        <v>737467.32312499965</v>
      </c>
      <c r="AHY14" s="206">
        <f t="shared" si="148"/>
        <v>737467.32312499965</v>
      </c>
      <c r="AHZ14" s="206">
        <f t="shared" si="148"/>
        <v>737467.32312499965</v>
      </c>
      <c r="AIA14" s="206">
        <f t="shared" si="148"/>
        <v>737467.32312499965</v>
      </c>
      <c r="AIB14" s="206">
        <f t="shared" si="148"/>
        <v>737467.32312499965</v>
      </c>
      <c r="AIC14" s="206">
        <f t="shared" si="148"/>
        <v>737467.32312499965</v>
      </c>
      <c r="AID14" s="206">
        <f t="shared" si="148"/>
        <v>737467.32312499965</v>
      </c>
      <c r="AIE14" s="206">
        <f t="shared" si="148"/>
        <v>737467.32312499965</v>
      </c>
      <c r="AIF14" s="206">
        <f t="shared" si="148"/>
        <v>737467.32312499965</v>
      </c>
      <c r="AIG14" s="206">
        <f t="shared" si="148"/>
        <v>737467.32312499965</v>
      </c>
      <c r="AIH14" s="206">
        <f t="shared" si="148"/>
        <v>737467.32312499965</v>
      </c>
      <c r="AII14" s="206">
        <f t="shared" si="148"/>
        <v>737467.32312499965</v>
      </c>
      <c r="AIJ14" s="206">
        <f t="shared" si="148"/>
        <v>737467.32312499965</v>
      </c>
      <c r="AIK14" s="206">
        <f t="shared" si="148"/>
        <v>737467.32312499965</v>
      </c>
      <c r="AIL14" s="206">
        <f t="shared" si="148"/>
        <v>737467.32312499965</v>
      </c>
      <c r="AIM14" s="206">
        <f t="shared" si="148"/>
        <v>737467.32312499965</v>
      </c>
      <c r="AIN14" s="206">
        <f t="shared" si="148"/>
        <v>737467.32312499965</v>
      </c>
      <c r="AIO14" s="206">
        <f t="shared" si="148"/>
        <v>737467.32312499965</v>
      </c>
      <c r="AIP14" s="206">
        <f t="shared" si="148"/>
        <v>737467.32312499965</v>
      </c>
      <c r="AIQ14" s="206">
        <f t="shared" si="148"/>
        <v>737467.32312499965</v>
      </c>
      <c r="AIR14" s="206">
        <f t="shared" si="148"/>
        <v>737467.32312499965</v>
      </c>
      <c r="AIS14" s="206">
        <f t="shared" si="148"/>
        <v>737467.32312499965</v>
      </c>
      <c r="AIT14" s="206">
        <f t="shared" si="148"/>
        <v>737467.32312499965</v>
      </c>
      <c r="AIU14" s="206">
        <f t="shared" si="148"/>
        <v>737467.32312499965</v>
      </c>
      <c r="AIV14" s="206">
        <f t="shared" si="148"/>
        <v>737467.32312499965</v>
      </c>
      <c r="AIW14" s="206">
        <f t="shared" si="148"/>
        <v>737467.32312499965</v>
      </c>
      <c r="AIX14" s="206">
        <f t="shared" si="148"/>
        <v>737467.32312499965</v>
      </c>
      <c r="AIY14" s="206">
        <f t="shared" si="148"/>
        <v>737467.32312499965</v>
      </c>
      <c r="AIZ14" s="206">
        <f t="shared" si="148"/>
        <v>737467.32312499965</v>
      </c>
      <c r="AJA14" s="206">
        <f t="shared" si="148"/>
        <v>737467.32312499965</v>
      </c>
      <c r="AJB14" s="206">
        <f t="shared" si="148"/>
        <v>737467.32312499965</v>
      </c>
      <c r="AJC14" s="206">
        <f t="shared" si="148"/>
        <v>737467.32312499965</v>
      </c>
      <c r="AJD14" s="206">
        <f t="shared" si="148"/>
        <v>737467.32312499965</v>
      </c>
      <c r="AJE14" s="206">
        <f t="shared" si="148"/>
        <v>737467.32312499965</v>
      </c>
      <c r="AJF14" s="206">
        <f t="shared" si="148"/>
        <v>737467.32312499965</v>
      </c>
      <c r="AJG14" s="206">
        <f t="shared" si="148"/>
        <v>737467.32312499965</v>
      </c>
      <c r="AJH14" s="206">
        <f t="shared" si="148"/>
        <v>737467.32312499965</v>
      </c>
      <c r="AJI14" s="206">
        <f t="shared" si="148"/>
        <v>737467.32312499965</v>
      </c>
      <c r="AJJ14" s="206">
        <f t="shared" si="148"/>
        <v>737467.32312499965</v>
      </c>
      <c r="AJK14" s="206">
        <f t="shared" si="148"/>
        <v>737467.32312499965</v>
      </c>
      <c r="AJL14" s="206">
        <f t="shared" si="148"/>
        <v>737467.32312499965</v>
      </c>
      <c r="AJM14" s="206">
        <f t="shared" si="148"/>
        <v>737467.32312499965</v>
      </c>
      <c r="AJN14" s="206">
        <f t="shared" si="148"/>
        <v>737467.32312499965</v>
      </c>
      <c r="AJO14" s="206">
        <f t="shared" si="148"/>
        <v>737467.32312499965</v>
      </c>
      <c r="AJP14" s="206">
        <f t="shared" si="148"/>
        <v>737467.32312499965</v>
      </c>
      <c r="AJQ14" s="206">
        <f t="shared" si="148"/>
        <v>737467.32312499965</v>
      </c>
      <c r="AJR14" s="206">
        <f t="shared" si="148"/>
        <v>737467.32312499965</v>
      </c>
      <c r="AJS14" s="206">
        <f t="shared" si="148"/>
        <v>737467.32312499965</v>
      </c>
      <c r="AJT14" s="206">
        <f t="shared" si="148"/>
        <v>737467.32312499965</v>
      </c>
      <c r="AJU14" s="206">
        <f t="shared" si="148"/>
        <v>737467.32312499965</v>
      </c>
      <c r="AJV14" s="206">
        <f t="shared" si="148"/>
        <v>737467.32312499965</v>
      </c>
      <c r="AJW14" s="206">
        <f t="shared" si="148"/>
        <v>737467.32312499965</v>
      </c>
      <c r="AJX14" s="206">
        <f t="shared" si="148"/>
        <v>737467.32312499965</v>
      </c>
      <c r="AJY14" s="206">
        <f t="shared" si="148"/>
        <v>737467.32312499965</v>
      </c>
      <c r="AJZ14" s="206">
        <f t="shared" si="148"/>
        <v>737467.32312499965</v>
      </c>
      <c r="AKA14" s="206">
        <f t="shared" si="148"/>
        <v>737467.32312499965</v>
      </c>
      <c r="AKB14" s="206">
        <f t="shared" si="148"/>
        <v>737467.32312499965</v>
      </c>
      <c r="AKC14" s="206">
        <f t="shared" si="148"/>
        <v>737467.32312499965</v>
      </c>
      <c r="AKD14" s="206">
        <f t="shared" si="148"/>
        <v>737467.32312499965</v>
      </c>
      <c r="AKE14" s="206">
        <f t="shared" si="148"/>
        <v>737467.32312499965</v>
      </c>
      <c r="AKF14" s="206">
        <f t="shared" si="148"/>
        <v>737467.32312499965</v>
      </c>
      <c r="AKG14" s="206">
        <f t="shared" ref="AKG14:AMR14" si="149">AKG10-AKG12</f>
        <v>737467.32312499965</v>
      </c>
      <c r="AKH14" s="206">
        <f t="shared" si="149"/>
        <v>737467.32312499965</v>
      </c>
      <c r="AKI14" s="206">
        <f t="shared" si="149"/>
        <v>737467.32312499965</v>
      </c>
      <c r="AKJ14" s="206">
        <f t="shared" si="149"/>
        <v>737467.32312499965</v>
      </c>
      <c r="AKK14" s="206">
        <f t="shared" si="149"/>
        <v>737467.32312499965</v>
      </c>
      <c r="AKL14" s="206">
        <f t="shared" si="149"/>
        <v>737467.32312499965</v>
      </c>
      <c r="AKM14" s="206">
        <f t="shared" si="149"/>
        <v>737467.32312499965</v>
      </c>
      <c r="AKN14" s="206">
        <f t="shared" si="149"/>
        <v>737467.32312499965</v>
      </c>
      <c r="AKO14" s="206">
        <f t="shared" si="149"/>
        <v>737467.32312499965</v>
      </c>
      <c r="AKP14" s="206">
        <f t="shared" si="149"/>
        <v>737467.32312499965</v>
      </c>
      <c r="AKQ14" s="206">
        <f t="shared" si="149"/>
        <v>737467.32312499965</v>
      </c>
      <c r="AKR14" s="206">
        <f t="shared" si="149"/>
        <v>737467.32312499965</v>
      </c>
      <c r="AKS14" s="206">
        <f t="shared" si="149"/>
        <v>737467.32312499965</v>
      </c>
      <c r="AKT14" s="206">
        <f t="shared" si="149"/>
        <v>737467.32312499965</v>
      </c>
      <c r="AKU14" s="206">
        <f t="shared" si="149"/>
        <v>737467.32312499965</v>
      </c>
      <c r="AKV14" s="206">
        <f t="shared" si="149"/>
        <v>737467.32312499965</v>
      </c>
      <c r="AKW14" s="206">
        <f t="shared" si="149"/>
        <v>737467.32312499965</v>
      </c>
      <c r="AKX14" s="206">
        <f t="shared" si="149"/>
        <v>737467.32312499965</v>
      </c>
      <c r="AKY14" s="206">
        <f t="shared" si="149"/>
        <v>737467.32312499965</v>
      </c>
      <c r="AKZ14" s="206">
        <f t="shared" si="149"/>
        <v>737467.32312499965</v>
      </c>
      <c r="ALA14" s="206">
        <f t="shared" si="149"/>
        <v>737467.32312499965</v>
      </c>
      <c r="ALB14" s="206">
        <f t="shared" si="149"/>
        <v>737467.32312499965</v>
      </c>
      <c r="ALC14" s="206">
        <f t="shared" si="149"/>
        <v>737467.32312499965</v>
      </c>
      <c r="ALD14" s="206">
        <f t="shared" si="149"/>
        <v>737467.32312499965</v>
      </c>
      <c r="ALE14" s="206">
        <f t="shared" si="149"/>
        <v>737467.32312499965</v>
      </c>
      <c r="ALF14" s="206">
        <f t="shared" si="149"/>
        <v>737467.32312499965</v>
      </c>
      <c r="ALG14" s="206">
        <f t="shared" si="149"/>
        <v>737467.32312499965</v>
      </c>
      <c r="ALH14" s="206">
        <f t="shared" si="149"/>
        <v>737467.32312499965</v>
      </c>
      <c r="ALI14" s="206">
        <f t="shared" si="149"/>
        <v>737467.32312499965</v>
      </c>
      <c r="ALJ14" s="206">
        <f t="shared" si="149"/>
        <v>737467.32312499965</v>
      </c>
      <c r="ALK14" s="206">
        <f t="shared" si="149"/>
        <v>737467.32312499965</v>
      </c>
      <c r="ALL14" s="206">
        <f t="shared" si="149"/>
        <v>737467.32312499965</v>
      </c>
      <c r="ALM14" s="206">
        <f t="shared" si="149"/>
        <v>737467.32312499965</v>
      </c>
      <c r="ALN14" s="206">
        <f t="shared" si="149"/>
        <v>737467.32312499965</v>
      </c>
      <c r="ALO14" s="206">
        <f t="shared" si="149"/>
        <v>737467.32312499965</v>
      </c>
      <c r="ALP14" s="206">
        <f t="shared" si="149"/>
        <v>737467.32312499965</v>
      </c>
      <c r="ALQ14" s="206">
        <f t="shared" si="149"/>
        <v>737467.32312499965</v>
      </c>
      <c r="ALR14" s="206">
        <f t="shared" si="149"/>
        <v>737467.32312499965</v>
      </c>
      <c r="ALS14" s="206">
        <f t="shared" si="149"/>
        <v>737467.32312499965</v>
      </c>
      <c r="ALT14" s="206">
        <f t="shared" si="149"/>
        <v>737467.32312499965</v>
      </c>
      <c r="ALU14" s="206">
        <f t="shared" si="149"/>
        <v>737467.32312499965</v>
      </c>
      <c r="ALV14" s="206">
        <f t="shared" si="149"/>
        <v>737467.32312499965</v>
      </c>
      <c r="ALW14" s="206">
        <f t="shared" si="149"/>
        <v>737467.32312499965</v>
      </c>
      <c r="ALX14" s="206">
        <f t="shared" si="149"/>
        <v>737467.32312499965</v>
      </c>
      <c r="ALY14" s="206">
        <f t="shared" si="149"/>
        <v>737467.32312499965</v>
      </c>
      <c r="ALZ14" s="206">
        <f t="shared" si="149"/>
        <v>737467.32312499965</v>
      </c>
      <c r="AMA14" s="206">
        <f t="shared" si="149"/>
        <v>737467.32312499965</v>
      </c>
      <c r="AMB14" s="206">
        <f t="shared" si="149"/>
        <v>737467.32312499965</v>
      </c>
      <c r="AMC14" s="206">
        <f t="shared" si="149"/>
        <v>737467.32312499965</v>
      </c>
      <c r="AMD14" s="206">
        <f t="shared" si="149"/>
        <v>737467.32312499965</v>
      </c>
      <c r="AME14" s="206">
        <f t="shared" si="149"/>
        <v>737467.32312499965</v>
      </c>
      <c r="AMF14" s="206">
        <f t="shared" si="149"/>
        <v>737467.32312499965</v>
      </c>
      <c r="AMG14" s="206">
        <f t="shared" si="149"/>
        <v>737467.32312499965</v>
      </c>
      <c r="AMH14" s="206">
        <f t="shared" si="149"/>
        <v>737467.32312499965</v>
      </c>
      <c r="AMI14" s="206">
        <f t="shared" si="149"/>
        <v>737467.32312499965</v>
      </c>
      <c r="AMJ14" s="206">
        <f t="shared" si="149"/>
        <v>737467.32312499965</v>
      </c>
      <c r="AMK14" s="206">
        <f t="shared" si="149"/>
        <v>737467.32312499965</v>
      </c>
      <c r="AML14" s="206">
        <f t="shared" si="149"/>
        <v>737467.32312499965</v>
      </c>
      <c r="AMM14" s="206">
        <f t="shared" si="149"/>
        <v>737467.32312499965</v>
      </c>
      <c r="AMN14" s="206">
        <f t="shared" si="149"/>
        <v>737467.32312499965</v>
      </c>
      <c r="AMO14" s="206">
        <f t="shared" si="149"/>
        <v>737467.32312499965</v>
      </c>
      <c r="AMP14" s="206">
        <f t="shared" si="149"/>
        <v>737467.32312499965</v>
      </c>
      <c r="AMQ14" s="206">
        <f t="shared" si="149"/>
        <v>737467.32312499965</v>
      </c>
      <c r="AMR14" s="206">
        <f t="shared" si="149"/>
        <v>737467.32312499965</v>
      </c>
      <c r="AMS14" s="206">
        <f t="shared" ref="AMS14:APD14" si="150">AMS10-AMS12</f>
        <v>737467.32312499965</v>
      </c>
      <c r="AMT14" s="206">
        <f t="shared" si="150"/>
        <v>737467.32312499965</v>
      </c>
      <c r="AMU14" s="206">
        <f t="shared" si="150"/>
        <v>737467.32312499965</v>
      </c>
      <c r="AMV14" s="206">
        <f t="shared" si="150"/>
        <v>737467.32312499965</v>
      </c>
      <c r="AMW14" s="206">
        <f t="shared" si="150"/>
        <v>737467.32312499965</v>
      </c>
      <c r="AMX14" s="206">
        <f t="shared" si="150"/>
        <v>737467.32312499965</v>
      </c>
      <c r="AMY14" s="206">
        <f t="shared" si="150"/>
        <v>737467.32312499965</v>
      </c>
      <c r="AMZ14" s="206">
        <f t="shared" si="150"/>
        <v>737467.32312499965</v>
      </c>
      <c r="ANA14" s="206">
        <f t="shared" si="150"/>
        <v>737467.32312499965</v>
      </c>
      <c r="ANB14" s="206">
        <f t="shared" si="150"/>
        <v>737467.32312499965</v>
      </c>
      <c r="ANC14" s="206">
        <f t="shared" si="150"/>
        <v>737467.32312499965</v>
      </c>
      <c r="AND14" s="206">
        <f t="shared" si="150"/>
        <v>737467.32312499965</v>
      </c>
      <c r="ANE14" s="206">
        <f t="shared" si="150"/>
        <v>737467.32312499965</v>
      </c>
      <c r="ANF14" s="206">
        <f t="shared" si="150"/>
        <v>737467.32312499965</v>
      </c>
      <c r="ANG14" s="206">
        <f t="shared" si="150"/>
        <v>737467.32312499965</v>
      </c>
      <c r="ANH14" s="206">
        <f t="shared" si="150"/>
        <v>737467.32312499965</v>
      </c>
      <c r="ANI14" s="206">
        <f t="shared" si="150"/>
        <v>737467.32312499965</v>
      </c>
      <c r="ANJ14" s="206">
        <f t="shared" si="150"/>
        <v>737467.32312499965</v>
      </c>
      <c r="ANK14" s="206">
        <f t="shared" si="150"/>
        <v>737467.32312499965</v>
      </c>
      <c r="ANL14" s="206">
        <f t="shared" si="150"/>
        <v>737467.32312499965</v>
      </c>
      <c r="ANM14" s="206">
        <f t="shared" si="150"/>
        <v>737467.32312499965</v>
      </c>
      <c r="ANN14" s="206">
        <f t="shared" si="150"/>
        <v>737467.32312499965</v>
      </c>
      <c r="ANO14" s="206">
        <f t="shared" si="150"/>
        <v>737467.32312499965</v>
      </c>
      <c r="ANP14" s="206">
        <f t="shared" si="150"/>
        <v>737467.32312499965</v>
      </c>
      <c r="ANQ14" s="206">
        <f t="shared" si="150"/>
        <v>737467.32312499965</v>
      </c>
      <c r="ANR14" s="206">
        <f t="shared" si="150"/>
        <v>737467.32312499965</v>
      </c>
      <c r="ANS14" s="206">
        <f t="shared" si="150"/>
        <v>737467.32312499965</v>
      </c>
      <c r="ANT14" s="206">
        <f t="shared" si="150"/>
        <v>737467.32312499965</v>
      </c>
      <c r="ANU14" s="206">
        <f t="shared" si="150"/>
        <v>737467.32312499965</v>
      </c>
      <c r="ANV14" s="206">
        <f t="shared" si="150"/>
        <v>737467.32312499965</v>
      </c>
      <c r="ANW14" s="206">
        <f t="shared" si="150"/>
        <v>737467.32312499965</v>
      </c>
      <c r="ANX14" s="206">
        <f t="shared" si="150"/>
        <v>737467.32312499965</v>
      </c>
      <c r="ANY14" s="206">
        <f t="shared" si="150"/>
        <v>737467.32312499965</v>
      </c>
      <c r="ANZ14" s="206">
        <f t="shared" si="150"/>
        <v>737467.32312499965</v>
      </c>
      <c r="AOA14" s="206">
        <f t="shared" si="150"/>
        <v>737467.32312499965</v>
      </c>
      <c r="AOB14" s="206">
        <f t="shared" si="150"/>
        <v>737467.32312499965</v>
      </c>
      <c r="AOC14" s="206">
        <f t="shared" si="150"/>
        <v>737467.32312499965</v>
      </c>
      <c r="AOD14" s="206">
        <f t="shared" si="150"/>
        <v>737467.32312499965</v>
      </c>
      <c r="AOE14" s="206">
        <f t="shared" si="150"/>
        <v>737467.32312499965</v>
      </c>
      <c r="AOF14" s="206">
        <f t="shared" si="150"/>
        <v>737467.32312499965</v>
      </c>
      <c r="AOG14" s="206">
        <f t="shared" si="150"/>
        <v>737467.32312499965</v>
      </c>
      <c r="AOH14" s="206">
        <f t="shared" si="150"/>
        <v>737467.32312499965</v>
      </c>
      <c r="AOI14" s="206">
        <f t="shared" si="150"/>
        <v>737467.32312499965</v>
      </c>
      <c r="AOJ14" s="206">
        <f t="shared" si="150"/>
        <v>737467.32312499965</v>
      </c>
      <c r="AOK14" s="206">
        <f t="shared" si="150"/>
        <v>737467.32312499965</v>
      </c>
      <c r="AOL14" s="206">
        <f t="shared" si="150"/>
        <v>737467.32312499965</v>
      </c>
      <c r="AOM14" s="206">
        <f t="shared" si="150"/>
        <v>737467.32312499965</v>
      </c>
      <c r="AON14" s="206">
        <f t="shared" si="150"/>
        <v>737467.32312499965</v>
      </c>
      <c r="AOO14" s="206">
        <f t="shared" si="150"/>
        <v>737467.32312499965</v>
      </c>
      <c r="AOP14" s="206">
        <f t="shared" si="150"/>
        <v>737467.32312499965</v>
      </c>
      <c r="AOQ14" s="206">
        <f t="shared" si="150"/>
        <v>737467.32312499965</v>
      </c>
      <c r="AOR14" s="206">
        <f t="shared" si="150"/>
        <v>737467.32312499965</v>
      </c>
      <c r="AOS14" s="206">
        <f t="shared" si="150"/>
        <v>737467.32312499965</v>
      </c>
      <c r="AOT14" s="206">
        <f t="shared" si="150"/>
        <v>737467.32312499965</v>
      </c>
      <c r="AOU14" s="206">
        <f t="shared" si="150"/>
        <v>737467.32312499965</v>
      </c>
      <c r="AOV14" s="206">
        <f t="shared" si="150"/>
        <v>737467.32312499965</v>
      </c>
      <c r="AOW14" s="206">
        <f t="shared" si="150"/>
        <v>737467.32312499965</v>
      </c>
      <c r="AOX14" s="206">
        <f t="shared" si="150"/>
        <v>737467.32312499965</v>
      </c>
      <c r="AOY14" s="206">
        <f t="shared" si="150"/>
        <v>737467.32312499965</v>
      </c>
      <c r="AOZ14" s="206">
        <f t="shared" si="150"/>
        <v>737467.32312499965</v>
      </c>
      <c r="APA14" s="206">
        <f t="shared" si="150"/>
        <v>737467.32312499965</v>
      </c>
      <c r="APB14" s="206">
        <f t="shared" si="150"/>
        <v>737467.32312499965</v>
      </c>
      <c r="APC14" s="206">
        <f t="shared" si="150"/>
        <v>737467.32312499965</v>
      </c>
      <c r="APD14" s="206">
        <f t="shared" si="150"/>
        <v>737467.32312499965</v>
      </c>
      <c r="APE14" s="206">
        <f t="shared" ref="APE14:ARP14" si="151">APE10-APE12</f>
        <v>737467.32312499965</v>
      </c>
      <c r="APF14" s="206">
        <f t="shared" si="151"/>
        <v>737467.32312499965</v>
      </c>
      <c r="APG14" s="206">
        <f t="shared" si="151"/>
        <v>737467.32312499965</v>
      </c>
      <c r="APH14" s="206">
        <f t="shared" si="151"/>
        <v>737467.32312499965</v>
      </c>
      <c r="API14" s="206">
        <f t="shared" si="151"/>
        <v>737467.32312499965</v>
      </c>
      <c r="APJ14" s="206">
        <f t="shared" si="151"/>
        <v>737467.32312499965</v>
      </c>
      <c r="APK14" s="206">
        <f t="shared" si="151"/>
        <v>737467.32312499965</v>
      </c>
      <c r="APL14" s="206">
        <f t="shared" si="151"/>
        <v>737467.32312499965</v>
      </c>
      <c r="APM14" s="206">
        <f t="shared" si="151"/>
        <v>737467.32312499965</v>
      </c>
      <c r="APN14" s="206">
        <f t="shared" si="151"/>
        <v>737467.32312499965</v>
      </c>
      <c r="APO14" s="206">
        <f t="shared" si="151"/>
        <v>737467.32312499965</v>
      </c>
      <c r="APP14" s="206">
        <f t="shared" si="151"/>
        <v>737467.32312499965</v>
      </c>
      <c r="APQ14" s="206">
        <f t="shared" si="151"/>
        <v>737467.32312499965</v>
      </c>
      <c r="APR14" s="206">
        <f t="shared" si="151"/>
        <v>737467.32312499965</v>
      </c>
      <c r="APS14" s="206">
        <f t="shared" si="151"/>
        <v>737467.32312499965</v>
      </c>
      <c r="APT14" s="206">
        <f t="shared" si="151"/>
        <v>737467.32312499965</v>
      </c>
      <c r="APU14" s="206">
        <f t="shared" si="151"/>
        <v>737467.32312499965</v>
      </c>
      <c r="APV14" s="206">
        <f t="shared" si="151"/>
        <v>737467.32312499965</v>
      </c>
      <c r="APW14" s="206">
        <f t="shared" si="151"/>
        <v>737467.32312499965</v>
      </c>
      <c r="APX14" s="206">
        <f t="shared" si="151"/>
        <v>737467.32312499965</v>
      </c>
      <c r="APY14" s="206">
        <f t="shared" si="151"/>
        <v>737467.32312499965</v>
      </c>
      <c r="APZ14" s="206">
        <f t="shared" si="151"/>
        <v>737467.32312499965</v>
      </c>
      <c r="AQA14" s="206">
        <f t="shared" si="151"/>
        <v>737467.32312499965</v>
      </c>
      <c r="AQB14" s="206">
        <f t="shared" si="151"/>
        <v>737467.32312499965</v>
      </c>
      <c r="AQC14" s="206">
        <f t="shared" si="151"/>
        <v>737467.32312499965</v>
      </c>
      <c r="AQD14" s="206">
        <f t="shared" si="151"/>
        <v>737467.32312499965</v>
      </c>
      <c r="AQE14" s="206">
        <f t="shared" si="151"/>
        <v>737467.32312499965</v>
      </c>
      <c r="AQF14" s="206">
        <f t="shared" si="151"/>
        <v>737467.32312499965</v>
      </c>
      <c r="AQG14" s="206">
        <f t="shared" si="151"/>
        <v>737467.32312499965</v>
      </c>
      <c r="AQH14" s="206">
        <f t="shared" si="151"/>
        <v>737467.32312499965</v>
      </c>
      <c r="AQI14" s="206">
        <f t="shared" si="151"/>
        <v>737467.32312499965</v>
      </c>
      <c r="AQJ14" s="206">
        <f t="shared" si="151"/>
        <v>737467.32312499965</v>
      </c>
      <c r="AQK14" s="206">
        <f t="shared" si="151"/>
        <v>737467.32312499965</v>
      </c>
      <c r="AQL14" s="206">
        <f t="shared" si="151"/>
        <v>737467.32312499965</v>
      </c>
      <c r="AQM14" s="206">
        <f t="shared" si="151"/>
        <v>737467.32312499965</v>
      </c>
      <c r="AQN14" s="206">
        <f t="shared" si="151"/>
        <v>737467.32312499965</v>
      </c>
      <c r="AQO14" s="206">
        <f t="shared" si="151"/>
        <v>737467.32312499965</v>
      </c>
      <c r="AQP14" s="206">
        <f t="shared" si="151"/>
        <v>737467.32312499965</v>
      </c>
      <c r="AQQ14" s="206">
        <f t="shared" si="151"/>
        <v>737467.32312499965</v>
      </c>
      <c r="AQR14" s="206">
        <f t="shared" si="151"/>
        <v>737467.32312499965</v>
      </c>
      <c r="AQS14" s="206">
        <f t="shared" si="151"/>
        <v>737467.32312499965</v>
      </c>
      <c r="AQT14" s="206">
        <f t="shared" si="151"/>
        <v>737467.32312499965</v>
      </c>
      <c r="AQU14" s="206">
        <f t="shared" si="151"/>
        <v>737467.32312499965</v>
      </c>
      <c r="AQV14" s="206">
        <f t="shared" si="151"/>
        <v>737467.32312499965</v>
      </c>
      <c r="AQW14" s="206">
        <f t="shared" si="151"/>
        <v>737467.32312499965</v>
      </c>
      <c r="AQX14" s="206">
        <f t="shared" si="151"/>
        <v>737467.32312499965</v>
      </c>
      <c r="AQY14" s="206">
        <f t="shared" si="151"/>
        <v>737467.32312499965</v>
      </c>
      <c r="AQZ14" s="206">
        <f t="shared" si="151"/>
        <v>737467.32312499965</v>
      </c>
      <c r="ARA14" s="206">
        <f t="shared" si="151"/>
        <v>737467.32312499965</v>
      </c>
      <c r="ARB14" s="206">
        <f t="shared" si="151"/>
        <v>737467.32312499965</v>
      </c>
      <c r="ARC14" s="206">
        <f t="shared" si="151"/>
        <v>737467.32312499965</v>
      </c>
      <c r="ARD14" s="206">
        <f t="shared" si="151"/>
        <v>737467.32312499965</v>
      </c>
      <c r="ARE14" s="206">
        <f t="shared" si="151"/>
        <v>737467.32312499965</v>
      </c>
      <c r="ARF14" s="206">
        <f t="shared" si="151"/>
        <v>737467.32312499965</v>
      </c>
      <c r="ARG14" s="206">
        <f t="shared" si="151"/>
        <v>737467.32312499965</v>
      </c>
      <c r="ARH14" s="206">
        <f t="shared" si="151"/>
        <v>737467.32312499965</v>
      </c>
      <c r="ARI14" s="206">
        <f t="shared" si="151"/>
        <v>737467.32312499965</v>
      </c>
      <c r="ARJ14" s="206">
        <f t="shared" si="151"/>
        <v>737467.32312499965</v>
      </c>
      <c r="ARK14" s="206">
        <f t="shared" si="151"/>
        <v>737467.32312499965</v>
      </c>
      <c r="ARL14" s="206">
        <f t="shared" si="151"/>
        <v>737467.32312499965</v>
      </c>
      <c r="ARM14" s="206">
        <f t="shared" si="151"/>
        <v>737467.32312499965</v>
      </c>
      <c r="ARN14" s="206">
        <f t="shared" si="151"/>
        <v>737467.32312499965</v>
      </c>
      <c r="ARO14" s="206">
        <f t="shared" si="151"/>
        <v>737467.32312499965</v>
      </c>
      <c r="ARP14" s="206">
        <f t="shared" si="151"/>
        <v>737467.32312499965</v>
      </c>
      <c r="ARQ14" s="206">
        <f t="shared" ref="ARQ14:AUB14" si="152">ARQ10-ARQ12</f>
        <v>737467.32312499965</v>
      </c>
      <c r="ARR14" s="206">
        <f t="shared" si="152"/>
        <v>737467.32312499965</v>
      </c>
      <c r="ARS14" s="206">
        <f t="shared" si="152"/>
        <v>737467.32312499965</v>
      </c>
      <c r="ART14" s="206">
        <f t="shared" si="152"/>
        <v>737467.32312499965</v>
      </c>
      <c r="ARU14" s="206">
        <f t="shared" si="152"/>
        <v>737467.32312499965</v>
      </c>
      <c r="ARV14" s="206">
        <f t="shared" si="152"/>
        <v>737467.32312499965</v>
      </c>
      <c r="ARW14" s="206">
        <f t="shared" si="152"/>
        <v>737467.32312499965</v>
      </c>
      <c r="ARX14" s="206">
        <f t="shared" si="152"/>
        <v>737467.32312499965</v>
      </c>
      <c r="ARY14" s="206">
        <f t="shared" si="152"/>
        <v>737467.32312499965</v>
      </c>
      <c r="ARZ14" s="206">
        <f t="shared" si="152"/>
        <v>737467.32312499965</v>
      </c>
      <c r="ASA14" s="206">
        <f t="shared" si="152"/>
        <v>737467.32312499965</v>
      </c>
      <c r="ASB14" s="206">
        <f t="shared" si="152"/>
        <v>737467.32312499965</v>
      </c>
      <c r="ASC14" s="206">
        <f t="shared" si="152"/>
        <v>737467.32312499965</v>
      </c>
      <c r="ASD14" s="206">
        <f t="shared" si="152"/>
        <v>737467.32312499965</v>
      </c>
      <c r="ASE14" s="206">
        <f t="shared" si="152"/>
        <v>737467.32312499965</v>
      </c>
      <c r="ASF14" s="206">
        <f t="shared" si="152"/>
        <v>737467.32312499965</v>
      </c>
      <c r="ASG14" s="206">
        <f t="shared" si="152"/>
        <v>737467.32312499965</v>
      </c>
      <c r="ASH14" s="206">
        <f t="shared" si="152"/>
        <v>737467.32312499965</v>
      </c>
      <c r="ASI14" s="206">
        <f t="shared" si="152"/>
        <v>737467.32312499965</v>
      </c>
      <c r="ASJ14" s="206">
        <f t="shared" si="152"/>
        <v>737467.32312499965</v>
      </c>
      <c r="ASK14" s="206">
        <f t="shared" si="152"/>
        <v>737467.32312499965</v>
      </c>
      <c r="ASL14" s="206">
        <f t="shared" si="152"/>
        <v>737467.32312499965</v>
      </c>
      <c r="ASM14" s="206">
        <f t="shared" si="152"/>
        <v>737467.32312499965</v>
      </c>
      <c r="ASN14" s="206">
        <f t="shared" si="152"/>
        <v>737467.32312499965</v>
      </c>
      <c r="ASO14" s="206">
        <f t="shared" si="152"/>
        <v>737467.32312499965</v>
      </c>
      <c r="ASP14" s="206">
        <f t="shared" si="152"/>
        <v>737467.32312499965</v>
      </c>
      <c r="ASQ14" s="206">
        <f t="shared" si="152"/>
        <v>737467.32312499965</v>
      </c>
      <c r="ASR14" s="206">
        <f t="shared" si="152"/>
        <v>737467.32312499965</v>
      </c>
      <c r="ASS14" s="206">
        <f t="shared" si="152"/>
        <v>737467.32312499965</v>
      </c>
      <c r="AST14" s="206">
        <f t="shared" si="152"/>
        <v>737467.32312499965</v>
      </c>
      <c r="ASU14" s="206">
        <f t="shared" si="152"/>
        <v>737467.32312499965</v>
      </c>
      <c r="ASV14" s="206">
        <f t="shared" si="152"/>
        <v>737467.32312499965</v>
      </c>
      <c r="ASW14" s="206">
        <f t="shared" si="152"/>
        <v>737467.32312499965</v>
      </c>
      <c r="ASX14" s="206">
        <f t="shared" si="152"/>
        <v>737467.32312499965</v>
      </c>
      <c r="ASY14" s="206">
        <f t="shared" si="152"/>
        <v>737467.32312499965</v>
      </c>
      <c r="ASZ14" s="206">
        <f t="shared" si="152"/>
        <v>737467.32312499965</v>
      </c>
      <c r="ATA14" s="206">
        <f t="shared" si="152"/>
        <v>737467.32312499965</v>
      </c>
      <c r="ATB14" s="206">
        <f t="shared" si="152"/>
        <v>737467.32312499965</v>
      </c>
      <c r="ATC14" s="206">
        <f t="shared" si="152"/>
        <v>737467.32312499965</v>
      </c>
      <c r="ATD14" s="206">
        <f t="shared" si="152"/>
        <v>737467.32312499965</v>
      </c>
      <c r="ATE14" s="206">
        <f t="shared" si="152"/>
        <v>737467.32312499965</v>
      </c>
      <c r="ATF14" s="206">
        <f t="shared" si="152"/>
        <v>737467.32312499965</v>
      </c>
      <c r="ATG14" s="206">
        <f t="shared" si="152"/>
        <v>737467.32312499965</v>
      </c>
      <c r="ATH14" s="206">
        <f t="shared" si="152"/>
        <v>737467.32312499965</v>
      </c>
      <c r="ATI14" s="206">
        <f t="shared" si="152"/>
        <v>737467.32312499965</v>
      </c>
      <c r="ATJ14" s="206">
        <f t="shared" si="152"/>
        <v>737467.32312499965</v>
      </c>
      <c r="ATK14" s="206">
        <f t="shared" si="152"/>
        <v>737467.32312499965</v>
      </c>
      <c r="ATL14" s="206">
        <f t="shared" si="152"/>
        <v>737467.32312499965</v>
      </c>
      <c r="ATM14" s="206">
        <f t="shared" si="152"/>
        <v>737467.32312499965</v>
      </c>
      <c r="ATN14" s="206">
        <f t="shared" si="152"/>
        <v>737467.32312499965</v>
      </c>
      <c r="ATO14" s="206">
        <f t="shared" si="152"/>
        <v>737467.32312499965</v>
      </c>
      <c r="ATP14" s="206">
        <f t="shared" si="152"/>
        <v>737467.32312499965</v>
      </c>
      <c r="ATQ14" s="206">
        <f t="shared" si="152"/>
        <v>737467.32312499965</v>
      </c>
      <c r="ATR14" s="206">
        <f t="shared" si="152"/>
        <v>737467.32312499965</v>
      </c>
      <c r="ATS14" s="206">
        <f t="shared" si="152"/>
        <v>737467.32312499965</v>
      </c>
      <c r="ATT14" s="206">
        <f t="shared" si="152"/>
        <v>737467.32312499965</v>
      </c>
      <c r="ATU14" s="206">
        <f t="shared" si="152"/>
        <v>737467.32312499965</v>
      </c>
      <c r="ATV14" s="206">
        <f t="shared" si="152"/>
        <v>737467.32312499965</v>
      </c>
      <c r="ATW14" s="206">
        <f t="shared" si="152"/>
        <v>737467.32312499965</v>
      </c>
      <c r="ATX14" s="206">
        <f t="shared" si="152"/>
        <v>737467.32312499965</v>
      </c>
      <c r="ATY14" s="206">
        <f t="shared" si="152"/>
        <v>737467.32312499965</v>
      </c>
      <c r="ATZ14" s="206">
        <f t="shared" si="152"/>
        <v>737467.32312499965</v>
      </c>
      <c r="AUA14" s="206">
        <f t="shared" si="152"/>
        <v>737467.32312499965</v>
      </c>
      <c r="AUB14" s="206">
        <f t="shared" si="152"/>
        <v>737467.32312499965</v>
      </c>
      <c r="AUC14" s="206">
        <f t="shared" ref="AUC14:AWN14" si="153">AUC10-AUC12</f>
        <v>737467.32312499965</v>
      </c>
      <c r="AUD14" s="206">
        <f t="shared" si="153"/>
        <v>737467.32312499965</v>
      </c>
      <c r="AUE14" s="206">
        <f t="shared" si="153"/>
        <v>737467.32312499965</v>
      </c>
      <c r="AUF14" s="206">
        <f t="shared" si="153"/>
        <v>737467.32312499965</v>
      </c>
      <c r="AUG14" s="206">
        <f t="shared" si="153"/>
        <v>737467.32312499965</v>
      </c>
      <c r="AUH14" s="206">
        <f t="shared" si="153"/>
        <v>737467.32312499965</v>
      </c>
      <c r="AUI14" s="206">
        <f t="shared" si="153"/>
        <v>737467.32312499965</v>
      </c>
      <c r="AUJ14" s="206">
        <f t="shared" si="153"/>
        <v>737467.32312499965</v>
      </c>
      <c r="AUK14" s="206">
        <f t="shared" si="153"/>
        <v>737467.32312499965</v>
      </c>
      <c r="AUL14" s="206">
        <f t="shared" si="153"/>
        <v>737467.32312499965</v>
      </c>
      <c r="AUM14" s="206">
        <f t="shared" si="153"/>
        <v>737467.32312499965</v>
      </c>
      <c r="AUN14" s="206">
        <f t="shared" si="153"/>
        <v>737467.32312499965</v>
      </c>
      <c r="AUO14" s="206">
        <f t="shared" si="153"/>
        <v>737467.32312499965</v>
      </c>
      <c r="AUP14" s="206">
        <f t="shared" si="153"/>
        <v>737467.32312499965</v>
      </c>
      <c r="AUQ14" s="206">
        <f t="shared" si="153"/>
        <v>737467.32312499965</v>
      </c>
      <c r="AUR14" s="206">
        <f t="shared" si="153"/>
        <v>737467.32312499965</v>
      </c>
      <c r="AUS14" s="206">
        <f t="shared" si="153"/>
        <v>737467.32312499965</v>
      </c>
      <c r="AUT14" s="206">
        <f t="shared" si="153"/>
        <v>737467.32312499965</v>
      </c>
      <c r="AUU14" s="206">
        <f t="shared" si="153"/>
        <v>737467.32312499965</v>
      </c>
      <c r="AUV14" s="206">
        <f t="shared" si="153"/>
        <v>737467.32312499965</v>
      </c>
      <c r="AUW14" s="206">
        <f t="shared" si="153"/>
        <v>737467.32312499965</v>
      </c>
      <c r="AUX14" s="206">
        <f t="shared" si="153"/>
        <v>737467.32312499965</v>
      </c>
      <c r="AUY14" s="206">
        <f t="shared" si="153"/>
        <v>737467.32312499965</v>
      </c>
      <c r="AUZ14" s="206">
        <f t="shared" si="153"/>
        <v>737467.32312499965</v>
      </c>
      <c r="AVA14" s="206">
        <f t="shared" si="153"/>
        <v>737467.32312499965</v>
      </c>
      <c r="AVB14" s="206">
        <f t="shared" si="153"/>
        <v>737467.32312499965</v>
      </c>
      <c r="AVC14" s="206">
        <f t="shared" si="153"/>
        <v>737467.32312499965</v>
      </c>
      <c r="AVD14" s="206">
        <f t="shared" si="153"/>
        <v>737467.32312499965</v>
      </c>
      <c r="AVE14" s="206">
        <f t="shared" si="153"/>
        <v>737467.32312499965</v>
      </c>
      <c r="AVF14" s="206">
        <f t="shared" si="153"/>
        <v>737467.32312499965</v>
      </c>
      <c r="AVG14" s="206">
        <f t="shared" si="153"/>
        <v>737467.32312499965</v>
      </c>
      <c r="AVH14" s="206">
        <f t="shared" si="153"/>
        <v>737467.32312499965</v>
      </c>
      <c r="AVI14" s="206">
        <f t="shared" si="153"/>
        <v>737467.32312499965</v>
      </c>
      <c r="AVJ14" s="206">
        <f t="shared" si="153"/>
        <v>737467.32312499965</v>
      </c>
      <c r="AVK14" s="206">
        <f t="shared" si="153"/>
        <v>737467.32312499965</v>
      </c>
      <c r="AVL14" s="206">
        <f t="shared" si="153"/>
        <v>737467.32312499965</v>
      </c>
      <c r="AVM14" s="206">
        <f t="shared" si="153"/>
        <v>737467.32312499965</v>
      </c>
      <c r="AVN14" s="206">
        <f t="shared" si="153"/>
        <v>737467.32312499965</v>
      </c>
      <c r="AVO14" s="206">
        <f t="shared" si="153"/>
        <v>737467.32312499965</v>
      </c>
      <c r="AVP14" s="206">
        <f t="shared" si="153"/>
        <v>737467.32312499965</v>
      </c>
      <c r="AVQ14" s="206">
        <f t="shared" si="153"/>
        <v>737467.32312499965</v>
      </c>
      <c r="AVR14" s="206">
        <f t="shared" si="153"/>
        <v>737467.32312499965</v>
      </c>
      <c r="AVS14" s="206">
        <f t="shared" si="153"/>
        <v>737467.32312499965</v>
      </c>
      <c r="AVT14" s="206">
        <f t="shared" si="153"/>
        <v>737467.32312499965</v>
      </c>
      <c r="AVU14" s="206">
        <f t="shared" si="153"/>
        <v>737467.32312499965</v>
      </c>
      <c r="AVV14" s="206">
        <f t="shared" si="153"/>
        <v>737467.32312499965</v>
      </c>
      <c r="AVW14" s="206">
        <f t="shared" si="153"/>
        <v>737467.32312499965</v>
      </c>
      <c r="AVX14" s="206">
        <f t="shared" si="153"/>
        <v>737467.32312499965</v>
      </c>
      <c r="AVY14" s="206">
        <f t="shared" si="153"/>
        <v>737467.32312499965</v>
      </c>
      <c r="AVZ14" s="206">
        <f t="shared" si="153"/>
        <v>737467.32312499965</v>
      </c>
      <c r="AWA14" s="206">
        <f t="shared" si="153"/>
        <v>737467.32312499965</v>
      </c>
      <c r="AWB14" s="206">
        <f t="shared" si="153"/>
        <v>737467.32312499965</v>
      </c>
      <c r="AWC14" s="206">
        <f t="shared" si="153"/>
        <v>737467.32312499965</v>
      </c>
      <c r="AWD14" s="206">
        <f t="shared" si="153"/>
        <v>737467.32312499965</v>
      </c>
      <c r="AWE14" s="206">
        <f t="shared" si="153"/>
        <v>737467.32312499965</v>
      </c>
      <c r="AWF14" s="206">
        <f t="shared" si="153"/>
        <v>737467.32312499965</v>
      </c>
      <c r="AWG14" s="206">
        <f t="shared" si="153"/>
        <v>737467.32312499965</v>
      </c>
      <c r="AWH14" s="206">
        <f t="shared" si="153"/>
        <v>737467.32312499965</v>
      </c>
      <c r="AWI14" s="206">
        <f t="shared" si="153"/>
        <v>737467.32312499965</v>
      </c>
      <c r="AWJ14" s="206">
        <f t="shared" si="153"/>
        <v>737467.32312499965</v>
      </c>
      <c r="AWK14" s="206">
        <f t="shared" si="153"/>
        <v>737467.32312499965</v>
      </c>
      <c r="AWL14" s="206">
        <f t="shared" si="153"/>
        <v>737467.32312499965</v>
      </c>
      <c r="AWM14" s="206">
        <f t="shared" si="153"/>
        <v>737467.32312499965</v>
      </c>
      <c r="AWN14" s="206">
        <f t="shared" si="153"/>
        <v>737467.32312499965</v>
      </c>
      <c r="AWO14" s="206">
        <f t="shared" ref="AWO14:AYZ14" si="154">AWO10-AWO12</f>
        <v>737467.32312499965</v>
      </c>
      <c r="AWP14" s="206">
        <f t="shared" si="154"/>
        <v>737467.32312499965</v>
      </c>
      <c r="AWQ14" s="206">
        <f t="shared" si="154"/>
        <v>737467.32312499965</v>
      </c>
      <c r="AWR14" s="206">
        <f t="shared" si="154"/>
        <v>737467.32312499965</v>
      </c>
      <c r="AWS14" s="206">
        <f t="shared" si="154"/>
        <v>737467.32312499965</v>
      </c>
      <c r="AWT14" s="206">
        <f t="shared" si="154"/>
        <v>737467.32312499965</v>
      </c>
      <c r="AWU14" s="206">
        <f t="shared" si="154"/>
        <v>737467.32312499965</v>
      </c>
      <c r="AWV14" s="206">
        <f t="shared" si="154"/>
        <v>737467.32312499965</v>
      </c>
      <c r="AWW14" s="206">
        <f t="shared" si="154"/>
        <v>737467.32312499965</v>
      </c>
      <c r="AWX14" s="206">
        <f t="shared" si="154"/>
        <v>737467.32312499965</v>
      </c>
      <c r="AWY14" s="206">
        <f t="shared" si="154"/>
        <v>737467.32312499965</v>
      </c>
      <c r="AWZ14" s="206">
        <f t="shared" si="154"/>
        <v>737467.32312499965</v>
      </c>
      <c r="AXA14" s="206">
        <f t="shared" si="154"/>
        <v>737467.32312499965</v>
      </c>
      <c r="AXB14" s="206">
        <f t="shared" si="154"/>
        <v>737467.32312499965</v>
      </c>
      <c r="AXC14" s="206">
        <f t="shared" si="154"/>
        <v>737467.32312499965</v>
      </c>
      <c r="AXD14" s="206">
        <f t="shared" si="154"/>
        <v>737467.32312499965</v>
      </c>
      <c r="AXE14" s="206">
        <f t="shared" si="154"/>
        <v>737467.32312499965</v>
      </c>
      <c r="AXF14" s="206">
        <f t="shared" si="154"/>
        <v>737467.32312499965</v>
      </c>
      <c r="AXG14" s="206">
        <f t="shared" si="154"/>
        <v>737467.32312499965</v>
      </c>
      <c r="AXH14" s="206">
        <f t="shared" si="154"/>
        <v>737467.32312499965</v>
      </c>
      <c r="AXI14" s="206">
        <f t="shared" si="154"/>
        <v>737467.32312499965</v>
      </c>
      <c r="AXJ14" s="206">
        <f t="shared" si="154"/>
        <v>737467.32312499965</v>
      </c>
      <c r="AXK14" s="206">
        <f t="shared" si="154"/>
        <v>737467.32312499965</v>
      </c>
      <c r="AXL14" s="206">
        <f t="shared" si="154"/>
        <v>737467.32312499965</v>
      </c>
      <c r="AXM14" s="206">
        <f t="shared" si="154"/>
        <v>737467.32312499965</v>
      </c>
      <c r="AXN14" s="206">
        <f t="shared" si="154"/>
        <v>737467.32312499965</v>
      </c>
      <c r="AXO14" s="206">
        <f t="shared" si="154"/>
        <v>737467.32312499965</v>
      </c>
      <c r="AXP14" s="206">
        <f t="shared" si="154"/>
        <v>737467.32312499965</v>
      </c>
      <c r="AXQ14" s="206">
        <f t="shared" si="154"/>
        <v>737467.32312499965</v>
      </c>
      <c r="AXR14" s="206">
        <f t="shared" si="154"/>
        <v>737467.32312499965</v>
      </c>
      <c r="AXS14" s="206">
        <f t="shared" si="154"/>
        <v>737467.32312499965</v>
      </c>
      <c r="AXT14" s="206">
        <f t="shared" si="154"/>
        <v>737467.32312499965</v>
      </c>
      <c r="AXU14" s="206">
        <f t="shared" si="154"/>
        <v>737467.32312499965</v>
      </c>
      <c r="AXV14" s="206">
        <f t="shared" si="154"/>
        <v>737467.32312499965</v>
      </c>
      <c r="AXW14" s="206">
        <f t="shared" si="154"/>
        <v>737467.32312499965</v>
      </c>
      <c r="AXX14" s="206">
        <f t="shared" si="154"/>
        <v>737467.32312499965</v>
      </c>
      <c r="AXY14" s="206">
        <f t="shared" si="154"/>
        <v>737467.32312499965</v>
      </c>
      <c r="AXZ14" s="206">
        <f t="shared" si="154"/>
        <v>737467.32312499965</v>
      </c>
      <c r="AYA14" s="206">
        <f t="shared" si="154"/>
        <v>737467.32312499965</v>
      </c>
      <c r="AYB14" s="206">
        <f t="shared" si="154"/>
        <v>737467.32312499965</v>
      </c>
      <c r="AYC14" s="206">
        <f t="shared" si="154"/>
        <v>737467.32312499965</v>
      </c>
      <c r="AYD14" s="206">
        <f t="shared" si="154"/>
        <v>737467.32312499965</v>
      </c>
      <c r="AYE14" s="206">
        <f t="shared" si="154"/>
        <v>737467.32312499965</v>
      </c>
      <c r="AYF14" s="206">
        <f t="shared" si="154"/>
        <v>737467.32312499965</v>
      </c>
      <c r="AYG14" s="206">
        <f t="shared" si="154"/>
        <v>737467.32312499965</v>
      </c>
      <c r="AYH14" s="206">
        <f t="shared" si="154"/>
        <v>737467.32312499965</v>
      </c>
      <c r="AYI14" s="206">
        <f t="shared" si="154"/>
        <v>737467.32312499965</v>
      </c>
      <c r="AYJ14" s="206">
        <f t="shared" si="154"/>
        <v>737467.32312499965</v>
      </c>
      <c r="AYK14" s="206">
        <f t="shared" si="154"/>
        <v>737467.32312499965</v>
      </c>
      <c r="AYL14" s="206">
        <f t="shared" si="154"/>
        <v>737467.32312499965</v>
      </c>
      <c r="AYM14" s="206">
        <f t="shared" si="154"/>
        <v>737467.32312499965</v>
      </c>
      <c r="AYN14" s="206">
        <f t="shared" si="154"/>
        <v>737467.32312499965</v>
      </c>
      <c r="AYO14" s="206">
        <f t="shared" si="154"/>
        <v>737467.32312499965</v>
      </c>
      <c r="AYP14" s="206">
        <f t="shared" si="154"/>
        <v>737467.32312499965</v>
      </c>
      <c r="AYQ14" s="206">
        <f t="shared" si="154"/>
        <v>737467.32312499965</v>
      </c>
      <c r="AYR14" s="206">
        <f t="shared" si="154"/>
        <v>737467.32312499965</v>
      </c>
      <c r="AYS14" s="206">
        <f t="shared" si="154"/>
        <v>737467.32312499965</v>
      </c>
      <c r="AYT14" s="206">
        <f t="shared" si="154"/>
        <v>737467.32312499965</v>
      </c>
      <c r="AYU14" s="206">
        <f t="shared" si="154"/>
        <v>737467.32312499965</v>
      </c>
      <c r="AYV14" s="206">
        <f t="shared" si="154"/>
        <v>737467.32312499965</v>
      </c>
      <c r="AYW14" s="206">
        <f t="shared" si="154"/>
        <v>737467.32312499965</v>
      </c>
      <c r="AYX14" s="206">
        <f t="shared" si="154"/>
        <v>737467.32312499965</v>
      </c>
      <c r="AYY14" s="206">
        <f t="shared" si="154"/>
        <v>737467.32312499965</v>
      </c>
      <c r="AYZ14" s="206">
        <f t="shared" si="154"/>
        <v>737467.32312499965</v>
      </c>
      <c r="AZA14" s="206">
        <f t="shared" ref="AZA14:AZG14" si="155">AZA10-AZA12</f>
        <v>737467.32312499965</v>
      </c>
      <c r="AZB14" s="206">
        <f t="shared" si="155"/>
        <v>737467.32312499965</v>
      </c>
      <c r="AZC14" s="206">
        <f t="shared" si="155"/>
        <v>737467.32312499965</v>
      </c>
      <c r="AZD14" s="206">
        <f t="shared" si="155"/>
        <v>737467.32312499965</v>
      </c>
      <c r="AZE14" s="206">
        <f t="shared" si="155"/>
        <v>737467.32312499965</v>
      </c>
      <c r="AZF14" s="206">
        <f t="shared" si="155"/>
        <v>737467.32312499965</v>
      </c>
      <c r="AZG14" s="206">
        <f t="shared" si="155"/>
        <v>737467.32312499965</v>
      </c>
    </row>
    <row r="15" spans="1:1837" s="190" customFormat="1"/>
    <row r="16" spans="1:1837" s="190" customFormat="1">
      <c r="C16" s="192" t="s">
        <v>328</v>
      </c>
      <c r="D16" s="192" t="s">
        <v>328</v>
      </c>
    </row>
    <row r="17" spans="1:1359">
      <c r="A17" s="848"/>
      <c r="B17" s="194" t="s">
        <v>490</v>
      </c>
      <c r="C17" s="373">
        <f>C3-D17</f>
        <v>3.514452837407589E-4</v>
      </c>
      <c r="D17" s="195">
        <f>SUM(F17:AZG17)</f>
        <v>3283810.5496485545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75061.388452376501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87988.267280148517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0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8"/>
      <c r="B18" s="194" t="s">
        <v>491</v>
      </c>
      <c r="C18" s="373">
        <f>D17-D18</f>
        <v>0</v>
      </c>
      <c r="D18" s="195">
        <f>MAX(F18:AZG18)</f>
        <v>3283810.5496485545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3195822.2823684062</v>
      </c>
      <c r="AJ18" s="213">
        <f t="shared" si="156"/>
        <v>3195822.2823684062</v>
      </c>
      <c r="AK18" s="213">
        <f t="shared" si="156"/>
        <v>3195822.2823684062</v>
      </c>
      <c r="AL18" s="213">
        <f t="shared" si="156"/>
        <v>3195822.2823684062</v>
      </c>
      <c r="AM18" s="213">
        <f t="shared" si="156"/>
        <v>3283810.5496485545</v>
      </c>
      <c r="AN18" s="213">
        <f t="shared" si="156"/>
        <v>3283810.5496485545</v>
      </c>
      <c r="AO18" s="213">
        <f t="shared" si="156"/>
        <v>3283810.5496485545</v>
      </c>
      <c r="AP18" s="213">
        <f t="shared" si="156"/>
        <v>3283810.5496485545</v>
      </c>
      <c r="AQ18" s="213">
        <f t="shared" si="156"/>
        <v>3283810.5496485545</v>
      </c>
      <c r="AR18" s="213">
        <f t="shared" si="156"/>
        <v>3283810.5496485545</v>
      </c>
      <c r="AS18" s="213">
        <f t="shared" si="156"/>
        <v>3283810.5496485545</v>
      </c>
      <c r="AT18" s="213">
        <f t="shared" si="156"/>
        <v>3283810.5496485545</v>
      </c>
      <c r="AU18" s="213">
        <f t="shared" si="156"/>
        <v>3283810.5496485545</v>
      </c>
      <c r="AV18" s="213">
        <f t="shared" si="156"/>
        <v>3283810.5496485545</v>
      </c>
      <c r="AW18" s="213">
        <f t="shared" si="156"/>
        <v>3283810.5496485545</v>
      </c>
      <c r="AX18" s="213">
        <f t="shared" si="156"/>
        <v>3283810.5496485545</v>
      </c>
      <c r="AY18" s="213">
        <f t="shared" si="156"/>
        <v>3283810.5496485545</v>
      </c>
      <c r="AZ18" s="213">
        <f t="shared" si="156"/>
        <v>3283810.5496485545</v>
      </c>
      <c r="BA18" s="213">
        <f t="shared" si="156"/>
        <v>3283810.5496485545</v>
      </c>
      <c r="BB18" s="213">
        <f t="shared" si="156"/>
        <v>3283810.5496485545</v>
      </c>
      <c r="BC18" s="213">
        <f t="shared" si="156"/>
        <v>3283810.5496485545</v>
      </c>
      <c r="BD18" s="213">
        <f t="shared" si="156"/>
        <v>3283810.5496485545</v>
      </c>
      <c r="BE18" s="213">
        <f t="shared" si="156"/>
        <v>3283810.5496485545</v>
      </c>
      <c r="BF18" s="213">
        <f t="shared" si="156"/>
        <v>3283810.5496485545</v>
      </c>
      <c r="BG18" s="213">
        <f t="shared" si="156"/>
        <v>3283810.5496485545</v>
      </c>
      <c r="BH18" s="213">
        <f t="shared" si="156"/>
        <v>3283810.5496485545</v>
      </c>
      <c r="BI18" s="213">
        <f t="shared" si="156"/>
        <v>3283810.5496485545</v>
      </c>
      <c r="BJ18" s="213">
        <f t="shared" si="156"/>
        <v>3283810.5496485545</v>
      </c>
      <c r="BK18" s="213">
        <f t="shared" si="156"/>
        <v>3283810.5496485545</v>
      </c>
      <c r="BL18" s="213">
        <f t="shared" si="156"/>
        <v>3283810.5496485545</v>
      </c>
      <c r="BM18" s="213">
        <f t="shared" si="156"/>
        <v>3283810.5496485545</v>
      </c>
      <c r="BN18" s="213">
        <f t="shared" si="156"/>
        <v>3283810.5496485545</v>
      </c>
      <c r="BO18" s="213">
        <f t="shared" si="156"/>
        <v>3283810.5496485545</v>
      </c>
      <c r="BP18" s="213">
        <f t="shared" si="156"/>
        <v>3283810.5496485545</v>
      </c>
      <c r="BQ18" s="213">
        <f t="shared" si="156"/>
        <v>3283810.5496485545</v>
      </c>
      <c r="BR18" s="213">
        <f t="shared" si="156"/>
        <v>3283810.5496485545</v>
      </c>
      <c r="BS18" s="213">
        <f t="shared" si="156"/>
        <v>3283810.5496485545</v>
      </c>
      <c r="BT18" s="213">
        <f t="shared" si="156"/>
        <v>3283810.5496485545</v>
      </c>
      <c r="BU18" s="213">
        <f t="shared" ref="BU18:EF18" si="157">BT18+BU17</f>
        <v>3283810.5496485545</v>
      </c>
      <c r="BV18" s="213">
        <f t="shared" si="157"/>
        <v>3283810.5496485545</v>
      </c>
      <c r="BW18" s="213">
        <f t="shared" si="157"/>
        <v>3283810.5496485545</v>
      </c>
      <c r="BX18" s="213">
        <f t="shared" si="157"/>
        <v>3283810.5496485545</v>
      </c>
      <c r="BY18" s="213">
        <f t="shared" si="157"/>
        <v>3283810.5496485545</v>
      </c>
      <c r="BZ18" s="213">
        <f t="shared" si="157"/>
        <v>3283810.5496485545</v>
      </c>
      <c r="CA18" s="213">
        <f t="shared" si="157"/>
        <v>3283810.5496485545</v>
      </c>
      <c r="CB18" s="213">
        <f t="shared" si="157"/>
        <v>3283810.5496485545</v>
      </c>
      <c r="CC18" s="213">
        <f t="shared" si="157"/>
        <v>3283810.5496485545</v>
      </c>
      <c r="CD18" s="213">
        <f t="shared" si="157"/>
        <v>3283810.5496485545</v>
      </c>
      <c r="CE18" s="213">
        <f t="shared" si="157"/>
        <v>3283810.5496485545</v>
      </c>
      <c r="CF18" s="213">
        <f t="shared" si="157"/>
        <v>3283810.5496485545</v>
      </c>
      <c r="CG18" s="213">
        <f t="shared" si="157"/>
        <v>3283810.5496485545</v>
      </c>
      <c r="CH18" s="213">
        <f t="shared" si="157"/>
        <v>3283810.5496485545</v>
      </c>
      <c r="CI18" s="213">
        <f t="shared" si="157"/>
        <v>3283810.5496485545</v>
      </c>
      <c r="CJ18" s="213">
        <f t="shared" si="157"/>
        <v>3283810.5496485545</v>
      </c>
      <c r="CK18" s="213">
        <f t="shared" si="157"/>
        <v>3283810.5496485545</v>
      </c>
      <c r="CL18" s="213">
        <f t="shared" si="157"/>
        <v>3283810.5496485545</v>
      </c>
      <c r="CM18" s="213">
        <f t="shared" si="157"/>
        <v>3283810.5496485545</v>
      </c>
      <c r="CN18" s="213">
        <f t="shared" si="157"/>
        <v>3283810.5496485545</v>
      </c>
      <c r="CO18" s="213">
        <f t="shared" si="157"/>
        <v>3283810.5496485545</v>
      </c>
      <c r="CP18" s="213">
        <f t="shared" si="157"/>
        <v>3283810.5496485545</v>
      </c>
      <c r="CQ18" s="213">
        <f t="shared" si="157"/>
        <v>3283810.5496485545</v>
      </c>
      <c r="CR18" s="213">
        <f t="shared" si="157"/>
        <v>3283810.5496485545</v>
      </c>
      <c r="CS18" s="213">
        <f t="shared" si="157"/>
        <v>3283810.5496485545</v>
      </c>
      <c r="CT18" s="213">
        <f t="shared" si="157"/>
        <v>3283810.5496485545</v>
      </c>
      <c r="CU18" s="213">
        <f t="shared" si="157"/>
        <v>3283810.5496485545</v>
      </c>
      <c r="CV18" s="213">
        <f t="shared" si="157"/>
        <v>3283810.5496485545</v>
      </c>
      <c r="CW18" s="213">
        <f t="shared" si="157"/>
        <v>3283810.5496485545</v>
      </c>
      <c r="CX18" s="213">
        <f t="shared" si="157"/>
        <v>3283810.5496485545</v>
      </c>
      <c r="CY18" s="213">
        <f t="shared" si="157"/>
        <v>3283810.5496485545</v>
      </c>
      <c r="CZ18" s="213">
        <f t="shared" si="157"/>
        <v>3283810.5496485545</v>
      </c>
      <c r="DA18" s="213">
        <f t="shared" si="157"/>
        <v>3283810.5496485545</v>
      </c>
      <c r="DB18" s="213">
        <f t="shared" si="157"/>
        <v>3283810.5496485545</v>
      </c>
      <c r="DC18" s="213">
        <f t="shared" si="157"/>
        <v>3283810.5496485545</v>
      </c>
      <c r="DD18" s="213">
        <f t="shared" si="157"/>
        <v>3283810.5496485545</v>
      </c>
      <c r="DE18" s="213">
        <f t="shared" si="157"/>
        <v>3283810.5496485545</v>
      </c>
      <c r="DF18" s="213">
        <f t="shared" si="157"/>
        <v>3283810.5496485545</v>
      </c>
      <c r="DG18" s="213">
        <f t="shared" si="157"/>
        <v>3283810.5496485545</v>
      </c>
      <c r="DH18" s="213">
        <f t="shared" si="157"/>
        <v>3283810.5496485545</v>
      </c>
      <c r="DI18" s="213">
        <f t="shared" si="157"/>
        <v>3283810.5496485545</v>
      </c>
      <c r="DJ18" s="213">
        <f t="shared" si="157"/>
        <v>3283810.5496485545</v>
      </c>
      <c r="DK18" s="213">
        <f t="shared" si="157"/>
        <v>3283810.5496485545</v>
      </c>
      <c r="DL18" s="213">
        <f t="shared" si="157"/>
        <v>3283810.5496485545</v>
      </c>
      <c r="DM18" s="213">
        <f t="shared" si="157"/>
        <v>3283810.5496485545</v>
      </c>
      <c r="DN18" s="213">
        <f t="shared" si="157"/>
        <v>3283810.5496485545</v>
      </c>
      <c r="DO18" s="213">
        <f t="shared" si="157"/>
        <v>3283810.5496485545</v>
      </c>
      <c r="DP18" s="213">
        <f t="shared" si="157"/>
        <v>3283810.5496485545</v>
      </c>
      <c r="DQ18" s="213">
        <f t="shared" si="157"/>
        <v>3283810.5496485545</v>
      </c>
      <c r="DR18" s="213">
        <f t="shared" si="157"/>
        <v>3283810.5496485545</v>
      </c>
      <c r="DS18" s="213">
        <f t="shared" si="157"/>
        <v>3283810.5496485545</v>
      </c>
      <c r="DT18" s="213">
        <f t="shared" si="157"/>
        <v>3283810.5496485545</v>
      </c>
      <c r="DU18" s="213">
        <f t="shared" si="157"/>
        <v>3283810.5496485545</v>
      </c>
      <c r="DV18" s="213">
        <f t="shared" si="157"/>
        <v>3283810.5496485545</v>
      </c>
      <c r="DW18" s="213">
        <f t="shared" si="157"/>
        <v>3283810.5496485545</v>
      </c>
      <c r="DX18" s="213">
        <f t="shared" si="157"/>
        <v>3283810.5496485545</v>
      </c>
      <c r="DY18" s="213">
        <f t="shared" si="157"/>
        <v>3283810.5496485545</v>
      </c>
      <c r="DZ18" s="213">
        <f t="shared" si="157"/>
        <v>3283810.5496485545</v>
      </c>
      <c r="EA18" s="213">
        <f t="shared" si="157"/>
        <v>3283810.5496485545</v>
      </c>
      <c r="EB18" s="213">
        <f t="shared" si="157"/>
        <v>3283810.5496485545</v>
      </c>
      <c r="EC18" s="213">
        <f t="shared" si="157"/>
        <v>3283810.5496485545</v>
      </c>
      <c r="ED18" s="213">
        <f t="shared" si="157"/>
        <v>3283810.5496485545</v>
      </c>
      <c r="EE18" s="213">
        <f t="shared" si="157"/>
        <v>3283810.5496485545</v>
      </c>
      <c r="EF18" s="213">
        <f t="shared" si="157"/>
        <v>3283810.5496485545</v>
      </c>
      <c r="EG18" s="213">
        <f t="shared" ref="EG18:GR18" si="158">EF18+EG17</f>
        <v>3283810.5496485545</v>
      </c>
      <c r="EH18" s="213">
        <f t="shared" si="158"/>
        <v>3283810.5496485545</v>
      </c>
      <c r="EI18" s="213">
        <f t="shared" si="158"/>
        <v>3283810.5496485545</v>
      </c>
      <c r="EJ18" s="213">
        <f t="shared" si="158"/>
        <v>3283810.5496485545</v>
      </c>
      <c r="EK18" s="213">
        <f t="shared" si="158"/>
        <v>3283810.5496485545</v>
      </c>
      <c r="EL18" s="213">
        <f t="shared" si="158"/>
        <v>3283810.5496485545</v>
      </c>
      <c r="EM18" s="213">
        <f t="shared" si="158"/>
        <v>3283810.5496485545</v>
      </c>
      <c r="EN18" s="213">
        <f t="shared" si="158"/>
        <v>3283810.5496485545</v>
      </c>
      <c r="EO18" s="213">
        <f t="shared" si="158"/>
        <v>3283810.5496485545</v>
      </c>
      <c r="EP18" s="213">
        <f t="shared" si="158"/>
        <v>3283810.5496485545</v>
      </c>
      <c r="EQ18" s="213">
        <f t="shared" si="158"/>
        <v>3283810.5496485545</v>
      </c>
      <c r="ER18" s="213">
        <f t="shared" si="158"/>
        <v>3283810.5496485545</v>
      </c>
      <c r="ES18" s="213">
        <f t="shared" si="158"/>
        <v>3283810.5496485545</v>
      </c>
      <c r="ET18" s="213">
        <f t="shared" si="158"/>
        <v>3283810.5496485545</v>
      </c>
      <c r="EU18" s="213">
        <f t="shared" si="158"/>
        <v>3283810.5496485545</v>
      </c>
      <c r="EV18" s="213">
        <f t="shared" si="158"/>
        <v>3283810.5496485545</v>
      </c>
      <c r="EW18" s="213">
        <f t="shared" si="158"/>
        <v>3283810.5496485545</v>
      </c>
      <c r="EX18" s="213">
        <f t="shared" si="158"/>
        <v>3283810.5496485545</v>
      </c>
      <c r="EY18" s="213">
        <f t="shared" si="158"/>
        <v>3283810.5496485545</v>
      </c>
      <c r="EZ18" s="213">
        <f t="shared" si="158"/>
        <v>3283810.5496485545</v>
      </c>
      <c r="FA18" s="213">
        <f t="shared" si="158"/>
        <v>3283810.5496485545</v>
      </c>
      <c r="FB18" s="213">
        <f t="shared" si="158"/>
        <v>3283810.5496485545</v>
      </c>
      <c r="FC18" s="213">
        <f t="shared" si="158"/>
        <v>3283810.5496485545</v>
      </c>
      <c r="FD18" s="213">
        <f t="shared" si="158"/>
        <v>3283810.5496485545</v>
      </c>
      <c r="FE18" s="213">
        <f t="shared" si="158"/>
        <v>3283810.5496485545</v>
      </c>
      <c r="FF18" s="213">
        <f t="shared" si="158"/>
        <v>3283810.5496485545</v>
      </c>
      <c r="FG18" s="213">
        <f t="shared" si="158"/>
        <v>3283810.5496485545</v>
      </c>
      <c r="FH18" s="213">
        <f t="shared" si="158"/>
        <v>3283810.5496485545</v>
      </c>
      <c r="FI18" s="213">
        <f t="shared" si="158"/>
        <v>3283810.5496485545</v>
      </c>
      <c r="FJ18" s="213">
        <f t="shared" si="158"/>
        <v>3283810.5496485545</v>
      </c>
      <c r="FK18" s="213">
        <f t="shared" si="158"/>
        <v>3283810.5496485545</v>
      </c>
      <c r="FL18" s="213">
        <f t="shared" si="158"/>
        <v>3283810.5496485545</v>
      </c>
      <c r="FM18" s="213">
        <f t="shared" si="158"/>
        <v>3283810.5496485545</v>
      </c>
      <c r="FN18" s="213">
        <f t="shared" si="158"/>
        <v>3283810.5496485545</v>
      </c>
      <c r="FO18" s="213">
        <f t="shared" si="158"/>
        <v>3283810.5496485545</v>
      </c>
      <c r="FP18" s="213">
        <f t="shared" si="158"/>
        <v>3283810.5496485545</v>
      </c>
      <c r="FQ18" s="213">
        <f t="shared" si="158"/>
        <v>3283810.5496485545</v>
      </c>
      <c r="FR18" s="213">
        <f t="shared" si="158"/>
        <v>3283810.5496485545</v>
      </c>
      <c r="FS18" s="213">
        <f t="shared" si="158"/>
        <v>3283810.5496485545</v>
      </c>
      <c r="FT18" s="213">
        <f t="shared" si="158"/>
        <v>3283810.5496485545</v>
      </c>
      <c r="FU18" s="213">
        <f t="shared" si="158"/>
        <v>3283810.5496485545</v>
      </c>
      <c r="FV18" s="213">
        <f t="shared" si="158"/>
        <v>3283810.5496485545</v>
      </c>
      <c r="FW18" s="213">
        <f t="shared" si="158"/>
        <v>3283810.5496485545</v>
      </c>
      <c r="FX18" s="213">
        <f t="shared" si="158"/>
        <v>3283810.5496485545</v>
      </c>
      <c r="FY18" s="213">
        <f t="shared" si="158"/>
        <v>3283810.5496485545</v>
      </c>
      <c r="FZ18" s="213">
        <f t="shared" si="158"/>
        <v>3283810.5496485545</v>
      </c>
      <c r="GA18" s="213">
        <f t="shared" si="158"/>
        <v>3283810.5496485545</v>
      </c>
      <c r="GB18" s="213">
        <f t="shared" si="158"/>
        <v>3283810.5496485545</v>
      </c>
      <c r="GC18" s="213">
        <f t="shared" si="158"/>
        <v>3283810.5496485545</v>
      </c>
      <c r="GD18" s="213">
        <f t="shared" si="158"/>
        <v>3283810.5496485545</v>
      </c>
      <c r="GE18" s="213">
        <f t="shared" si="158"/>
        <v>3283810.5496485545</v>
      </c>
      <c r="GF18" s="213">
        <f t="shared" si="158"/>
        <v>3283810.5496485545</v>
      </c>
      <c r="GG18" s="213">
        <f t="shared" si="158"/>
        <v>3283810.5496485545</v>
      </c>
      <c r="GH18" s="213">
        <f t="shared" si="158"/>
        <v>3283810.5496485545</v>
      </c>
      <c r="GI18" s="213">
        <f t="shared" si="158"/>
        <v>3283810.5496485545</v>
      </c>
      <c r="GJ18" s="213">
        <f t="shared" si="158"/>
        <v>3283810.5496485545</v>
      </c>
      <c r="GK18" s="213">
        <f t="shared" si="158"/>
        <v>3283810.5496485545</v>
      </c>
      <c r="GL18" s="213">
        <f t="shared" si="158"/>
        <v>3283810.5496485545</v>
      </c>
      <c r="GM18" s="213">
        <f t="shared" si="158"/>
        <v>3283810.5496485545</v>
      </c>
      <c r="GN18" s="213">
        <f t="shared" si="158"/>
        <v>3283810.5496485545</v>
      </c>
      <c r="GO18" s="213">
        <f t="shared" si="158"/>
        <v>3283810.5496485545</v>
      </c>
      <c r="GP18" s="213">
        <f t="shared" si="158"/>
        <v>3283810.5496485545</v>
      </c>
      <c r="GQ18" s="213">
        <f t="shared" si="158"/>
        <v>3283810.5496485545</v>
      </c>
      <c r="GR18" s="213">
        <f t="shared" si="158"/>
        <v>3283810.5496485545</v>
      </c>
      <c r="GS18" s="213">
        <f t="shared" ref="GS18:JD18" si="159">GR18+GS17</f>
        <v>3283810.5496485545</v>
      </c>
      <c r="GT18" s="213">
        <f t="shared" si="159"/>
        <v>3283810.5496485545</v>
      </c>
      <c r="GU18" s="213">
        <f t="shared" si="159"/>
        <v>3283810.5496485545</v>
      </c>
      <c r="GV18" s="213">
        <f t="shared" si="159"/>
        <v>3283810.5496485545</v>
      </c>
      <c r="GW18" s="213">
        <f t="shared" si="159"/>
        <v>3283810.5496485545</v>
      </c>
      <c r="GX18" s="213">
        <f t="shared" si="159"/>
        <v>3283810.5496485545</v>
      </c>
      <c r="GY18" s="213">
        <f t="shared" si="159"/>
        <v>3283810.5496485545</v>
      </c>
      <c r="GZ18" s="213">
        <f t="shared" si="159"/>
        <v>3283810.5496485545</v>
      </c>
      <c r="HA18" s="213">
        <f t="shared" si="159"/>
        <v>3283810.5496485545</v>
      </c>
      <c r="HB18" s="213">
        <f t="shared" si="159"/>
        <v>3283810.5496485545</v>
      </c>
      <c r="HC18" s="213">
        <f t="shared" si="159"/>
        <v>3283810.5496485545</v>
      </c>
      <c r="HD18" s="213">
        <f t="shared" si="159"/>
        <v>3283810.5496485545</v>
      </c>
      <c r="HE18" s="213">
        <f t="shared" si="159"/>
        <v>3283810.5496485545</v>
      </c>
      <c r="HF18" s="213">
        <f t="shared" si="159"/>
        <v>3283810.5496485545</v>
      </c>
      <c r="HG18" s="213">
        <f t="shared" si="159"/>
        <v>3283810.5496485545</v>
      </c>
      <c r="HH18" s="213">
        <f t="shared" si="159"/>
        <v>3283810.5496485545</v>
      </c>
      <c r="HI18" s="213">
        <f t="shared" si="159"/>
        <v>3283810.5496485545</v>
      </c>
      <c r="HJ18" s="213">
        <f t="shared" si="159"/>
        <v>3283810.5496485545</v>
      </c>
      <c r="HK18" s="213">
        <f t="shared" si="159"/>
        <v>3283810.5496485545</v>
      </c>
      <c r="HL18" s="213">
        <f t="shared" si="159"/>
        <v>3283810.5496485545</v>
      </c>
      <c r="HM18" s="213">
        <f t="shared" si="159"/>
        <v>3283810.5496485545</v>
      </c>
      <c r="HN18" s="213">
        <f t="shared" si="159"/>
        <v>3283810.5496485545</v>
      </c>
      <c r="HO18" s="213">
        <f t="shared" si="159"/>
        <v>3283810.5496485545</v>
      </c>
      <c r="HP18" s="213">
        <f t="shared" si="159"/>
        <v>3283810.5496485545</v>
      </c>
      <c r="HQ18" s="213">
        <f t="shared" si="159"/>
        <v>3283810.5496485545</v>
      </c>
      <c r="HR18" s="213">
        <f t="shared" si="159"/>
        <v>3283810.5496485545</v>
      </c>
      <c r="HS18" s="213">
        <f t="shared" si="159"/>
        <v>3283810.5496485545</v>
      </c>
      <c r="HT18" s="213">
        <f t="shared" si="159"/>
        <v>3283810.5496485545</v>
      </c>
      <c r="HU18" s="213">
        <f t="shared" si="159"/>
        <v>3283810.5496485545</v>
      </c>
      <c r="HV18" s="213">
        <f t="shared" si="159"/>
        <v>3283810.5496485545</v>
      </c>
      <c r="HW18" s="213">
        <f t="shared" si="159"/>
        <v>3283810.5496485545</v>
      </c>
      <c r="HX18" s="213">
        <f t="shared" si="159"/>
        <v>3283810.5496485545</v>
      </c>
      <c r="HY18" s="213">
        <f t="shared" si="159"/>
        <v>3283810.5496485545</v>
      </c>
      <c r="HZ18" s="213">
        <f t="shared" si="159"/>
        <v>3283810.5496485545</v>
      </c>
      <c r="IA18" s="213">
        <f t="shared" si="159"/>
        <v>3283810.5496485545</v>
      </c>
      <c r="IB18" s="213">
        <f t="shared" si="159"/>
        <v>3283810.5496485545</v>
      </c>
      <c r="IC18" s="213">
        <f t="shared" si="159"/>
        <v>3283810.5496485545</v>
      </c>
      <c r="ID18" s="213">
        <f t="shared" si="159"/>
        <v>3283810.5496485545</v>
      </c>
      <c r="IE18" s="213">
        <f t="shared" si="159"/>
        <v>3283810.5496485545</v>
      </c>
      <c r="IF18" s="213">
        <f t="shared" si="159"/>
        <v>3283810.5496485545</v>
      </c>
      <c r="IG18" s="213">
        <f t="shared" si="159"/>
        <v>3283810.5496485545</v>
      </c>
      <c r="IH18" s="213">
        <f t="shared" si="159"/>
        <v>3283810.5496485545</v>
      </c>
      <c r="II18" s="213">
        <f t="shared" si="159"/>
        <v>3283810.5496485545</v>
      </c>
      <c r="IJ18" s="213">
        <f t="shared" si="159"/>
        <v>3283810.5496485545</v>
      </c>
      <c r="IK18" s="213">
        <f t="shared" si="159"/>
        <v>3283810.5496485545</v>
      </c>
      <c r="IL18" s="213">
        <f t="shared" si="159"/>
        <v>3283810.5496485545</v>
      </c>
      <c r="IM18" s="213">
        <f t="shared" si="159"/>
        <v>3283810.5496485545</v>
      </c>
      <c r="IN18" s="213">
        <f t="shared" si="159"/>
        <v>3283810.5496485545</v>
      </c>
      <c r="IO18" s="213">
        <f t="shared" si="159"/>
        <v>3283810.5496485545</v>
      </c>
      <c r="IP18" s="213">
        <f t="shared" si="159"/>
        <v>3283810.5496485545</v>
      </c>
      <c r="IQ18" s="213">
        <f t="shared" si="159"/>
        <v>3283810.5496485545</v>
      </c>
      <c r="IR18" s="213">
        <f t="shared" si="159"/>
        <v>3283810.5496485545</v>
      </c>
      <c r="IS18" s="213">
        <f t="shared" si="159"/>
        <v>3283810.5496485545</v>
      </c>
      <c r="IT18" s="213">
        <f t="shared" si="159"/>
        <v>3283810.5496485545</v>
      </c>
      <c r="IU18" s="213">
        <f t="shared" si="159"/>
        <v>3283810.5496485545</v>
      </c>
      <c r="IV18" s="213">
        <f t="shared" si="159"/>
        <v>3283810.5496485545</v>
      </c>
      <c r="IW18" s="213">
        <f t="shared" si="159"/>
        <v>3283810.5496485545</v>
      </c>
      <c r="IX18" s="213">
        <f t="shared" si="159"/>
        <v>3283810.5496485545</v>
      </c>
      <c r="IY18" s="213">
        <f t="shared" si="159"/>
        <v>3283810.5496485545</v>
      </c>
      <c r="IZ18" s="213">
        <f t="shared" si="159"/>
        <v>3283810.5496485545</v>
      </c>
      <c r="JA18" s="213">
        <f t="shared" si="159"/>
        <v>3283810.5496485545</v>
      </c>
      <c r="JB18" s="213">
        <f t="shared" si="159"/>
        <v>3283810.5496485545</v>
      </c>
      <c r="JC18" s="213">
        <f t="shared" si="159"/>
        <v>3283810.5496485545</v>
      </c>
      <c r="JD18" s="213">
        <f t="shared" si="159"/>
        <v>3283810.5496485545</v>
      </c>
      <c r="JE18" s="213">
        <f t="shared" ref="JE18:LP18" si="160">JD18+JE17</f>
        <v>3283810.5496485545</v>
      </c>
      <c r="JF18" s="213">
        <f t="shared" si="160"/>
        <v>3283810.5496485545</v>
      </c>
      <c r="JG18" s="213">
        <f t="shared" si="160"/>
        <v>3283810.5496485545</v>
      </c>
      <c r="JH18" s="213">
        <f t="shared" si="160"/>
        <v>3283810.5496485545</v>
      </c>
      <c r="JI18" s="213">
        <f t="shared" si="160"/>
        <v>3283810.5496485545</v>
      </c>
      <c r="JJ18" s="213">
        <f t="shared" si="160"/>
        <v>3283810.5496485545</v>
      </c>
      <c r="JK18" s="213">
        <f t="shared" si="160"/>
        <v>3283810.5496485545</v>
      </c>
      <c r="JL18" s="213">
        <f t="shared" si="160"/>
        <v>3283810.5496485545</v>
      </c>
      <c r="JM18" s="213">
        <f t="shared" si="160"/>
        <v>3283810.5496485545</v>
      </c>
      <c r="JN18" s="213">
        <f t="shared" si="160"/>
        <v>3283810.5496485545</v>
      </c>
      <c r="JO18" s="213">
        <f t="shared" si="160"/>
        <v>3283810.5496485545</v>
      </c>
      <c r="JP18" s="213">
        <f t="shared" si="160"/>
        <v>3283810.5496485545</v>
      </c>
      <c r="JQ18" s="213">
        <f t="shared" si="160"/>
        <v>3283810.5496485545</v>
      </c>
      <c r="JR18" s="213">
        <f t="shared" si="160"/>
        <v>3283810.5496485545</v>
      </c>
      <c r="JS18" s="213">
        <f t="shared" si="160"/>
        <v>3283810.5496485545</v>
      </c>
      <c r="JT18" s="213">
        <f t="shared" si="160"/>
        <v>3283810.5496485545</v>
      </c>
      <c r="JU18" s="213">
        <f t="shared" si="160"/>
        <v>3283810.5496485545</v>
      </c>
      <c r="JV18" s="213">
        <f t="shared" si="160"/>
        <v>3283810.5496485545</v>
      </c>
      <c r="JW18" s="213">
        <f t="shared" si="160"/>
        <v>3283810.5496485545</v>
      </c>
      <c r="JX18" s="213">
        <f t="shared" si="160"/>
        <v>3283810.5496485545</v>
      </c>
      <c r="JY18" s="213">
        <f t="shared" si="160"/>
        <v>3283810.5496485545</v>
      </c>
      <c r="JZ18" s="213">
        <f t="shared" si="160"/>
        <v>3283810.5496485545</v>
      </c>
      <c r="KA18" s="213">
        <f t="shared" si="160"/>
        <v>3283810.5496485545</v>
      </c>
      <c r="KB18" s="213">
        <f t="shared" si="160"/>
        <v>3283810.5496485545</v>
      </c>
      <c r="KC18" s="213">
        <f t="shared" si="160"/>
        <v>3283810.5496485545</v>
      </c>
      <c r="KD18" s="213">
        <f t="shared" si="160"/>
        <v>3283810.5496485545</v>
      </c>
      <c r="KE18" s="213">
        <f t="shared" si="160"/>
        <v>3283810.5496485545</v>
      </c>
      <c r="KF18" s="213">
        <f t="shared" si="160"/>
        <v>3283810.5496485545</v>
      </c>
      <c r="KG18" s="213">
        <f t="shared" si="160"/>
        <v>3283810.5496485545</v>
      </c>
      <c r="KH18" s="213">
        <f t="shared" si="160"/>
        <v>3283810.5496485545</v>
      </c>
      <c r="KI18" s="213">
        <f t="shared" si="160"/>
        <v>3283810.5496485545</v>
      </c>
      <c r="KJ18" s="213">
        <f t="shared" si="160"/>
        <v>3283810.5496485545</v>
      </c>
      <c r="KK18" s="213">
        <f t="shared" si="160"/>
        <v>3283810.5496485545</v>
      </c>
      <c r="KL18" s="213">
        <f t="shared" si="160"/>
        <v>3283810.5496485545</v>
      </c>
      <c r="KM18" s="213">
        <f t="shared" si="160"/>
        <v>3283810.5496485545</v>
      </c>
      <c r="KN18" s="213">
        <f t="shared" si="160"/>
        <v>3283810.5496485545</v>
      </c>
      <c r="KO18" s="213">
        <f t="shared" si="160"/>
        <v>3283810.5496485545</v>
      </c>
      <c r="KP18" s="213">
        <f t="shared" si="160"/>
        <v>3283810.5496485545</v>
      </c>
      <c r="KQ18" s="213">
        <f t="shared" si="160"/>
        <v>3283810.5496485545</v>
      </c>
      <c r="KR18" s="213">
        <f t="shared" si="160"/>
        <v>3283810.5496485545</v>
      </c>
      <c r="KS18" s="213">
        <f t="shared" si="160"/>
        <v>3283810.5496485545</v>
      </c>
      <c r="KT18" s="213">
        <f t="shared" si="160"/>
        <v>3283810.5496485545</v>
      </c>
      <c r="KU18" s="213">
        <f t="shared" si="160"/>
        <v>3283810.5496485545</v>
      </c>
      <c r="KV18" s="213">
        <f t="shared" si="160"/>
        <v>3283810.5496485545</v>
      </c>
      <c r="KW18" s="213">
        <f t="shared" si="160"/>
        <v>3283810.5496485545</v>
      </c>
      <c r="KX18" s="213">
        <f t="shared" si="160"/>
        <v>3283810.5496485545</v>
      </c>
      <c r="KY18" s="213">
        <f t="shared" si="160"/>
        <v>3283810.5496485545</v>
      </c>
      <c r="KZ18" s="213">
        <f t="shared" si="160"/>
        <v>3283810.5496485545</v>
      </c>
      <c r="LA18" s="213">
        <f t="shared" si="160"/>
        <v>3283810.5496485545</v>
      </c>
      <c r="LB18" s="213">
        <f t="shared" si="160"/>
        <v>3283810.5496485545</v>
      </c>
      <c r="LC18" s="213">
        <f t="shared" si="160"/>
        <v>3283810.5496485545</v>
      </c>
      <c r="LD18" s="213">
        <f t="shared" si="160"/>
        <v>3283810.5496485545</v>
      </c>
      <c r="LE18" s="213">
        <f t="shared" si="160"/>
        <v>3283810.5496485545</v>
      </c>
      <c r="LF18" s="213">
        <f t="shared" si="160"/>
        <v>3283810.5496485545</v>
      </c>
      <c r="LG18" s="213">
        <f t="shared" si="160"/>
        <v>3283810.5496485545</v>
      </c>
      <c r="LH18" s="213">
        <f t="shared" si="160"/>
        <v>3283810.5496485545</v>
      </c>
      <c r="LI18" s="213">
        <f t="shared" si="160"/>
        <v>3283810.5496485545</v>
      </c>
      <c r="LJ18" s="213">
        <f t="shared" si="160"/>
        <v>3283810.5496485545</v>
      </c>
      <c r="LK18" s="213">
        <f t="shared" si="160"/>
        <v>3283810.5496485545</v>
      </c>
      <c r="LL18" s="213">
        <f t="shared" si="160"/>
        <v>3283810.5496485545</v>
      </c>
      <c r="LM18" s="213">
        <f t="shared" si="160"/>
        <v>3283810.5496485545</v>
      </c>
      <c r="LN18" s="213">
        <f t="shared" si="160"/>
        <v>3283810.5496485545</v>
      </c>
      <c r="LO18" s="213">
        <f t="shared" si="160"/>
        <v>3283810.5496485545</v>
      </c>
      <c r="LP18" s="213">
        <f t="shared" si="160"/>
        <v>3283810.5496485545</v>
      </c>
      <c r="LQ18" s="213">
        <f t="shared" ref="LQ18:OB18" si="161">LP18+LQ17</f>
        <v>3283810.5496485545</v>
      </c>
      <c r="LR18" s="213">
        <f t="shared" si="161"/>
        <v>3283810.5496485545</v>
      </c>
      <c r="LS18" s="213">
        <f t="shared" si="161"/>
        <v>3283810.5496485545</v>
      </c>
      <c r="LT18" s="213">
        <f t="shared" si="161"/>
        <v>3283810.5496485545</v>
      </c>
      <c r="LU18" s="213">
        <f t="shared" si="161"/>
        <v>3283810.5496485545</v>
      </c>
      <c r="LV18" s="213">
        <f t="shared" si="161"/>
        <v>3283810.5496485545</v>
      </c>
      <c r="LW18" s="213">
        <f t="shared" si="161"/>
        <v>3283810.5496485545</v>
      </c>
      <c r="LX18" s="213">
        <f t="shared" si="161"/>
        <v>3283810.5496485545</v>
      </c>
      <c r="LY18" s="213">
        <f t="shared" si="161"/>
        <v>3283810.5496485545</v>
      </c>
      <c r="LZ18" s="213">
        <f t="shared" si="161"/>
        <v>3283810.5496485545</v>
      </c>
      <c r="MA18" s="213">
        <f t="shared" si="161"/>
        <v>3283810.5496485545</v>
      </c>
      <c r="MB18" s="213">
        <f t="shared" si="161"/>
        <v>3283810.5496485545</v>
      </c>
      <c r="MC18" s="213">
        <f t="shared" si="161"/>
        <v>3283810.5496485545</v>
      </c>
      <c r="MD18" s="213">
        <f t="shared" si="161"/>
        <v>3283810.5496485545</v>
      </c>
      <c r="ME18" s="213">
        <f t="shared" si="161"/>
        <v>3283810.5496485545</v>
      </c>
      <c r="MF18" s="213">
        <f t="shared" si="161"/>
        <v>3283810.5496485545</v>
      </c>
      <c r="MG18" s="213">
        <f t="shared" si="161"/>
        <v>3283810.5496485545</v>
      </c>
      <c r="MH18" s="213">
        <f t="shared" si="161"/>
        <v>3283810.5496485545</v>
      </c>
      <c r="MI18" s="213">
        <f t="shared" si="161"/>
        <v>3283810.5496485545</v>
      </c>
      <c r="MJ18" s="213">
        <f t="shared" si="161"/>
        <v>3283810.5496485545</v>
      </c>
      <c r="MK18" s="213">
        <f t="shared" si="161"/>
        <v>3283810.5496485545</v>
      </c>
      <c r="ML18" s="213">
        <f t="shared" si="161"/>
        <v>3283810.5496485545</v>
      </c>
      <c r="MM18" s="213">
        <f t="shared" si="161"/>
        <v>3283810.5496485545</v>
      </c>
      <c r="MN18" s="213">
        <f t="shared" si="161"/>
        <v>3283810.5496485545</v>
      </c>
      <c r="MO18" s="213">
        <f t="shared" si="161"/>
        <v>3283810.5496485545</v>
      </c>
      <c r="MP18" s="213">
        <f t="shared" si="161"/>
        <v>3283810.5496485545</v>
      </c>
      <c r="MQ18" s="213">
        <f t="shared" si="161"/>
        <v>3283810.5496485545</v>
      </c>
      <c r="MR18" s="213">
        <f t="shared" si="161"/>
        <v>3283810.5496485545</v>
      </c>
      <c r="MS18" s="213">
        <f t="shared" si="161"/>
        <v>3283810.5496485545</v>
      </c>
      <c r="MT18" s="213">
        <f t="shared" si="161"/>
        <v>3283810.5496485545</v>
      </c>
      <c r="MU18" s="213">
        <f t="shared" si="161"/>
        <v>3283810.5496485545</v>
      </c>
      <c r="MV18" s="213">
        <f t="shared" si="161"/>
        <v>3283810.5496485545</v>
      </c>
      <c r="MW18" s="213">
        <f t="shared" si="161"/>
        <v>3283810.5496485545</v>
      </c>
      <c r="MX18" s="213">
        <f t="shared" si="161"/>
        <v>3283810.5496485545</v>
      </c>
      <c r="MY18" s="213">
        <f t="shared" si="161"/>
        <v>3283810.5496485545</v>
      </c>
      <c r="MZ18" s="213">
        <f t="shared" si="161"/>
        <v>3283810.5496485545</v>
      </c>
      <c r="NA18" s="213">
        <f t="shared" si="161"/>
        <v>3283810.5496485545</v>
      </c>
      <c r="NB18" s="213">
        <f t="shared" si="161"/>
        <v>3283810.5496485545</v>
      </c>
      <c r="NC18" s="213">
        <f t="shared" si="161"/>
        <v>3283810.5496485545</v>
      </c>
      <c r="ND18" s="213">
        <f t="shared" si="161"/>
        <v>3283810.5496485545</v>
      </c>
      <c r="NE18" s="213">
        <f t="shared" si="161"/>
        <v>3283810.5496485545</v>
      </c>
      <c r="NF18" s="213">
        <f t="shared" si="161"/>
        <v>3283810.5496485545</v>
      </c>
      <c r="NG18" s="213">
        <f t="shared" si="161"/>
        <v>3283810.5496485545</v>
      </c>
      <c r="NH18" s="213">
        <f t="shared" si="161"/>
        <v>3283810.5496485545</v>
      </c>
      <c r="NI18" s="213">
        <f t="shared" si="161"/>
        <v>3283810.5496485545</v>
      </c>
      <c r="NJ18" s="213">
        <f t="shared" si="161"/>
        <v>3283810.5496485545</v>
      </c>
      <c r="NK18" s="213">
        <f t="shared" si="161"/>
        <v>3283810.5496485545</v>
      </c>
      <c r="NL18" s="213">
        <f t="shared" si="161"/>
        <v>3283810.5496485545</v>
      </c>
      <c r="NM18" s="213">
        <f t="shared" si="161"/>
        <v>3283810.5496485545</v>
      </c>
      <c r="NN18" s="213">
        <f t="shared" si="161"/>
        <v>3283810.5496485545</v>
      </c>
      <c r="NO18" s="213">
        <f t="shared" si="161"/>
        <v>3283810.5496485545</v>
      </c>
      <c r="NP18" s="213">
        <f t="shared" si="161"/>
        <v>3283810.5496485545</v>
      </c>
      <c r="NQ18" s="213">
        <f t="shared" si="161"/>
        <v>3283810.5496485545</v>
      </c>
      <c r="NR18" s="213">
        <f t="shared" si="161"/>
        <v>3283810.5496485545</v>
      </c>
      <c r="NS18" s="213">
        <f t="shared" si="161"/>
        <v>3283810.5496485545</v>
      </c>
      <c r="NT18" s="213">
        <f t="shared" si="161"/>
        <v>3283810.5496485545</v>
      </c>
      <c r="NU18" s="213">
        <f t="shared" si="161"/>
        <v>3283810.5496485545</v>
      </c>
      <c r="NV18" s="213">
        <f t="shared" si="161"/>
        <v>3283810.5496485545</v>
      </c>
      <c r="NW18" s="213">
        <f t="shared" si="161"/>
        <v>3283810.5496485545</v>
      </c>
      <c r="NX18" s="213">
        <f t="shared" si="161"/>
        <v>3283810.5496485545</v>
      </c>
      <c r="NY18" s="213">
        <f t="shared" si="161"/>
        <v>3283810.5496485545</v>
      </c>
      <c r="NZ18" s="213">
        <f t="shared" si="161"/>
        <v>3283810.5496485545</v>
      </c>
      <c r="OA18" s="213">
        <f t="shared" si="161"/>
        <v>3283810.5496485545</v>
      </c>
      <c r="OB18" s="213">
        <f t="shared" si="161"/>
        <v>3283810.5496485545</v>
      </c>
      <c r="OC18" s="213">
        <f t="shared" ref="OC18:QN18" si="162">OB18+OC17</f>
        <v>3283810.5496485545</v>
      </c>
      <c r="OD18" s="213">
        <f t="shared" si="162"/>
        <v>3283810.5496485545</v>
      </c>
      <c r="OE18" s="213">
        <f t="shared" si="162"/>
        <v>3283810.5496485545</v>
      </c>
      <c r="OF18" s="213">
        <f t="shared" si="162"/>
        <v>3283810.5496485545</v>
      </c>
      <c r="OG18" s="213">
        <f t="shared" si="162"/>
        <v>3283810.5496485545</v>
      </c>
      <c r="OH18" s="213">
        <f t="shared" si="162"/>
        <v>3283810.5496485545</v>
      </c>
      <c r="OI18" s="213">
        <f t="shared" si="162"/>
        <v>3283810.5496485545</v>
      </c>
      <c r="OJ18" s="213">
        <f t="shared" si="162"/>
        <v>3283810.5496485545</v>
      </c>
      <c r="OK18" s="213">
        <f t="shared" si="162"/>
        <v>3283810.5496485545</v>
      </c>
      <c r="OL18" s="213">
        <f t="shared" si="162"/>
        <v>3283810.5496485545</v>
      </c>
      <c r="OM18" s="213">
        <f t="shared" si="162"/>
        <v>3283810.5496485545</v>
      </c>
      <c r="ON18" s="213">
        <f t="shared" si="162"/>
        <v>3283810.5496485545</v>
      </c>
      <c r="OO18" s="213">
        <f t="shared" si="162"/>
        <v>3283810.5496485545</v>
      </c>
      <c r="OP18" s="213">
        <f t="shared" si="162"/>
        <v>3283810.5496485545</v>
      </c>
      <c r="OQ18" s="213">
        <f t="shared" si="162"/>
        <v>3283810.5496485545</v>
      </c>
      <c r="OR18" s="213">
        <f t="shared" si="162"/>
        <v>3283810.5496485545</v>
      </c>
      <c r="OS18" s="213">
        <f t="shared" si="162"/>
        <v>3283810.5496485545</v>
      </c>
      <c r="OT18" s="213">
        <f t="shared" si="162"/>
        <v>3283810.5496485545</v>
      </c>
      <c r="OU18" s="213">
        <f t="shared" si="162"/>
        <v>3283810.5496485545</v>
      </c>
      <c r="OV18" s="213">
        <f t="shared" si="162"/>
        <v>3283810.5496485545</v>
      </c>
      <c r="OW18" s="213">
        <f t="shared" si="162"/>
        <v>3283810.5496485545</v>
      </c>
      <c r="OX18" s="213">
        <f t="shared" si="162"/>
        <v>3283810.5496485545</v>
      </c>
      <c r="OY18" s="213">
        <f t="shared" si="162"/>
        <v>3283810.5496485545</v>
      </c>
      <c r="OZ18" s="213">
        <f t="shared" si="162"/>
        <v>3283810.5496485545</v>
      </c>
      <c r="PA18" s="213">
        <f t="shared" si="162"/>
        <v>3283810.5496485545</v>
      </c>
      <c r="PB18" s="213">
        <f t="shared" si="162"/>
        <v>3283810.5496485545</v>
      </c>
      <c r="PC18" s="213">
        <f t="shared" si="162"/>
        <v>3283810.5496485545</v>
      </c>
      <c r="PD18" s="213">
        <f t="shared" si="162"/>
        <v>3283810.5496485545</v>
      </c>
      <c r="PE18" s="213">
        <f t="shared" si="162"/>
        <v>3283810.5496485545</v>
      </c>
      <c r="PF18" s="213">
        <f t="shared" si="162"/>
        <v>3283810.5496485545</v>
      </c>
      <c r="PG18" s="213">
        <f t="shared" si="162"/>
        <v>3283810.5496485545</v>
      </c>
      <c r="PH18" s="213">
        <f t="shared" si="162"/>
        <v>3283810.5496485545</v>
      </c>
      <c r="PI18" s="213">
        <f t="shared" si="162"/>
        <v>3283810.5496485545</v>
      </c>
      <c r="PJ18" s="213">
        <f t="shared" si="162"/>
        <v>3283810.5496485545</v>
      </c>
      <c r="PK18" s="213">
        <f t="shared" si="162"/>
        <v>3283810.5496485545</v>
      </c>
      <c r="PL18" s="213">
        <f t="shared" si="162"/>
        <v>3283810.5496485545</v>
      </c>
      <c r="PM18" s="213">
        <f t="shared" si="162"/>
        <v>3283810.5496485545</v>
      </c>
      <c r="PN18" s="213">
        <f t="shared" si="162"/>
        <v>3283810.5496485545</v>
      </c>
      <c r="PO18" s="213">
        <f t="shared" si="162"/>
        <v>3283810.5496485545</v>
      </c>
      <c r="PP18" s="213">
        <f t="shared" si="162"/>
        <v>3283810.5496485545</v>
      </c>
      <c r="PQ18" s="213">
        <f t="shared" si="162"/>
        <v>3283810.5496485545</v>
      </c>
      <c r="PR18" s="213">
        <f t="shared" si="162"/>
        <v>3283810.5496485545</v>
      </c>
      <c r="PS18" s="213">
        <f t="shared" si="162"/>
        <v>3283810.5496485545</v>
      </c>
      <c r="PT18" s="213">
        <f t="shared" si="162"/>
        <v>3283810.5496485545</v>
      </c>
      <c r="PU18" s="213">
        <f t="shared" si="162"/>
        <v>3283810.5496485545</v>
      </c>
      <c r="PV18" s="213">
        <f t="shared" si="162"/>
        <v>3283810.5496485545</v>
      </c>
      <c r="PW18" s="213">
        <f t="shared" si="162"/>
        <v>3283810.5496485545</v>
      </c>
      <c r="PX18" s="213">
        <f t="shared" si="162"/>
        <v>3283810.5496485545</v>
      </c>
      <c r="PY18" s="213">
        <f t="shared" si="162"/>
        <v>3283810.5496485545</v>
      </c>
      <c r="PZ18" s="213">
        <f t="shared" si="162"/>
        <v>3283810.5496485545</v>
      </c>
      <c r="QA18" s="213">
        <f t="shared" si="162"/>
        <v>3283810.5496485545</v>
      </c>
      <c r="QB18" s="213">
        <f t="shared" si="162"/>
        <v>3283810.5496485545</v>
      </c>
      <c r="QC18" s="213">
        <f t="shared" si="162"/>
        <v>3283810.5496485545</v>
      </c>
      <c r="QD18" s="213">
        <f t="shared" si="162"/>
        <v>3283810.5496485545</v>
      </c>
      <c r="QE18" s="213">
        <f t="shared" si="162"/>
        <v>3283810.5496485545</v>
      </c>
      <c r="QF18" s="213">
        <f t="shared" si="162"/>
        <v>3283810.5496485545</v>
      </c>
      <c r="QG18" s="213">
        <f t="shared" si="162"/>
        <v>3283810.5496485545</v>
      </c>
      <c r="QH18" s="213">
        <f t="shared" si="162"/>
        <v>3283810.5496485545</v>
      </c>
      <c r="QI18" s="213">
        <f t="shared" si="162"/>
        <v>3283810.5496485545</v>
      </c>
      <c r="QJ18" s="213">
        <f t="shared" si="162"/>
        <v>3283810.5496485545</v>
      </c>
      <c r="QK18" s="213">
        <f t="shared" si="162"/>
        <v>3283810.5496485545</v>
      </c>
      <c r="QL18" s="213">
        <f t="shared" si="162"/>
        <v>3283810.5496485545</v>
      </c>
      <c r="QM18" s="213">
        <f t="shared" si="162"/>
        <v>3283810.5496485545</v>
      </c>
      <c r="QN18" s="213">
        <f t="shared" si="162"/>
        <v>3283810.5496485545</v>
      </c>
      <c r="QO18" s="213">
        <f t="shared" ref="QO18:SZ18" si="163">QN18+QO17</f>
        <v>3283810.5496485545</v>
      </c>
      <c r="QP18" s="213">
        <f t="shared" si="163"/>
        <v>3283810.5496485545</v>
      </c>
      <c r="QQ18" s="213">
        <f t="shared" si="163"/>
        <v>3283810.5496485545</v>
      </c>
      <c r="QR18" s="213">
        <f t="shared" si="163"/>
        <v>3283810.5496485545</v>
      </c>
      <c r="QS18" s="213">
        <f t="shared" si="163"/>
        <v>3283810.5496485545</v>
      </c>
      <c r="QT18" s="213">
        <f t="shared" si="163"/>
        <v>3283810.5496485545</v>
      </c>
      <c r="QU18" s="213">
        <f t="shared" si="163"/>
        <v>3283810.5496485545</v>
      </c>
      <c r="QV18" s="213">
        <f t="shared" si="163"/>
        <v>3283810.5496485545</v>
      </c>
      <c r="QW18" s="213">
        <f t="shared" si="163"/>
        <v>3283810.5496485545</v>
      </c>
      <c r="QX18" s="213">
        <f t="shared" si="163"/>
        <v>3283810.5496485545</v>
      </c>
      <c r="QY18" s="213">
        <f t="shared" si="163"/>
        <v>3283810.5496485545</v>
      </c>
      <c r="QZ18" s="213">
        <f t="shared" si="163"/>
        <v>3283810.5496485545</v>
      </c>
      <c r="RA18" s="213">
        <f t="shared" si="163"/>
        <v>3283810.5496485545</v>
      </c>
      <c r="RB18" s="213">
        <f t="shared" si="163"/>
        <v>3283810.5496485545</v>
      </c>
      <c r="RC18" s="213">
        <f t="shared" si="163"/>
        <v>3283810.5496485545</v>
      </c>
      <c r="RD18" s="213">
        <f t="shared" si="163"/>
        <v>3283810.5496485545</v>
      </c>
      <c r="RE18" s="213">
        <f t="shared" si="163"/>
        <v>3283810.5496485545</v>
      </c>
      <c r="RF18" s="213">
        <f t="shared" si="163"/>
        <v>3283810.5496485545</v>
      </c>
      <c r="RG18" s="213">
        <f t="shared" si="163"/>
        <v>3283810.5496485545</v>
      </c>
      <c r="RH18" s="213">
        <f t="shared" si="163"/>
        <v>3283810.5496485545</v>
      </c>
      <c r="RI18" s="213">
        <f t="shared" si="163"/>
        <v>3283810.5496485545</v>
      </c>
      <c r="RJ18" s="213">
        <f t="shared" si="163"/>
        <v>3283810.5496485545</v>
      </c>
      <c r="RK18" s="213">
        <f t="shared" si="163"/>
        <v>3283810.5496485545</v>
      </c>
      <c r="RL18" s="213">
        <f t="shared" si="163"/>
        <v>3283810.5496485545</v>
      </c>
      <c r="RM18" s="213">
        <f t="shared" si="163"/>
        <v>3283810.5496485545</v>
      </c>
      <c r="RN18" s="213">
        <f t="shared" si="163"/>
        <v>3283810.5496485545</v>
      </c>
      <c r="RO18" s="213">
        <f t="shared" si="163"/>
        <v>3283810.5496485545</v>
      </c>
      <c r="RP18" s="213">
        <f t="shared" si="163"/>
        <v>3283810.5496485545</v>
      </c>
      <c r="RQ18" s="213">
        <f t="shared" si="163"/>
        <v>3283810.5496485545</v>
      </c>
      <c r="RR18" s="213">
        <f t="shared" si="163"/>
        <v>3283810.5496485545</v>
      </c>
      <c r="RS18" s="213">
        <f t="shared" si="163"/>
        <v>3283810.5496485545</v>
      </c>
      <c r="RT18" s="213">
        <f t="shared" si="163"/>
        <v>3283810.5496485545</v>
      </c>
      <c r="RU18" s="213">
        <f t="shared" si="163"/>
        <v>3283810.5496485545</v>
      </c>
      <c r="RV18" s="213">
        <f t="shared" si="163"/>
        <v>3283810.5496485545</v>
      </c>
      <c r="RW18" s="213">
        <f t="shared" si="163"/>
        <v>3283810.5496485545</v>
      </c>
      <c r="RX18" s="213">
        <f t="shared" si="163"/>
        <v>3283810.5496485545</v>
      </c>
      <c r="RY18" s="213">
        <f t="shared" si="163"/>
        <v>3283810.5496485545</v>
      </c>
      <c r="RZ18" s="213">
        <f t="shared" si="163"/>
        <v>3283810.5496485545</v>
      </c>
      <c r="SA18" s="213">
        <f t="shared" si="163"/>
        <v>3283810.5496485545</v>
      </c>
      <c r="SB18" s="213">
        <f t="shared" si="163"/>
        <v>3283810.5496485545</v>
      </c>
      <c r="SC18" s="213">
        <f t="shared" si="163"/>
        <v>3283810.5496485545</v>
      </c>
      <c r="SD18" s="213">
        <f t="shared" si="163"/>
        <v>3283810.5496485545</v>
      </c>
      <c r="SE18" s="213">
        <f t="shared" si="163"/>
        <v>3283810.5496485545</v>
      </c>
      <c r="SF18" s="213">
        <f t="shared" si="163"/>
        <v>3283810.5496485545</v>
      </c>
      <c r="SG18" s="213">
        <f t="shared" si="163"/>
        <v>3283810.5496485545</v>
      </c>
      <c r="SH18" s="213">
        <f t="shared" si="163"/>
        <v>3283810.5496485545</v>
      </c>
      <c r="SI18" s="213">
        <f t="shared" si="163"/>
        <v>3283810.5496485545</v>
      </c>
      <c r="SJ18" s="213">
        <f t="shared" si="163"/>
        <v>3283810.5496485545</v>
      </c>
      <c r="SK18" s="213">
        <f t="shared" si="163"/>
        <v>3283810.5496485545</v>
      </c>
      <c r="SL18" s="213">
        <f t="shared" si="163"/>
        <v>3283810.5496485545</v>
      </c>
      <c r="SM18" s="213">
        <f t="shared" si="163"/>
        <v>3283810.5496485545</v>
      </c>
      <c r="SN18" s="213">
        <f t="shared" si="163"/>
        <v>3283810.5496485545</v>
      </c>
      <c r="SO18" s="213">
        <f t="shared" si="163"/>
        <v>3283810.5496485545</v>
      </c>
      <c r="SP18" s="213">
        <f t="shared" si="163"/>
        <v>3283810.5496485545</v>
      </c>
      <c r="SQ18" s="213">
        <f t="shared" si="163"/>
        <v>3283810.5496485545</v>
      </c>
      <c r="SR18" s="213">
        <f t="shared" si="163"/>
        <v>3283810.5496485545</v>
      </c>
      <c r="SS18" s="213">
        <f t="shared" si="163"/>
        <v>3283810.5496485545</v>
      </c>
      <c r="ST18" s="213">
        <f t="shared" si="163"/>
        <v>3283810.5496485545</v>
      </c>
      <c r="SU18" s="213">
        <f t="shared" si="163"/>
        <v>3283810.5496485545</v>
      </c>
      <c r="SV18" s="213">
        <f t="shared" si="163"/>
        <v>3283810.5496485545</v>
      </c>
      <c r="SW18" s="213">
        <f t="shared" si="163"/>
        <v>3283810.5496485545</v>
      </c>
      <c r="SX18" s="213">
        <f t="shared" si="163"/>
        <v>3283810.5496485545</v>
      </c>
      <c r="SY18" s="213">
        <f t="shared" si="163"/>
        <v>3283810.5496485545</v>
      </c>
      <c r="SZ18" s="213">
        <f t="shared" si="163"/>
        <v>3283810.5496485545</v>
      </c>
      <c r="TA18" s="213">
        <f t="shared" ref="TA18:VL18" si="164">SZ18+TA17</f>
        <v>3283810.5496485545</v>
      </c>
      <c r="TB18" s="213">
        <f t="shared" si="164"/>
        <v>3283810.5496485545</v>
      </c>
      <c r="TC18" s="213">
        <f t="shared" si="164"/>
        <v>3283810.5496485545</v>
      </c>
      <c r="TD18" s="213">
        <f t="shared" si="164"/>
        <v>3283810.5496485545</v>
      </c>
      <c r="TE18" s="213">
        <f t="shared" si="164"/>
        <v>3283810.5496485545</v>
      </c>
      <c r="TF18" s="213">
        <f t="shared" si="164"/>
        <v>3283810.5496485545</v>
      </c>
      <c r="TG18" s="213">
        <f t="shared" si="164"/>
        <v>3283810.5496485545</v>
      </c>
      <c r="TH18" s="213">
        <f t="shared" si="164"/>
        <v>3283810.5496485545</v>
      </c>
      <c r="TI18" s="213">
        <f t="shared" si="164"/>
        <v>3283810.5496485545</v>
      </c>
      <c r="TJ18" s="213">
        <f t="shared" si="164"/>
        <v>3283810.5496485545</v>
      </c>
      <c r="TK18" s="213">
        <f t="shared" si="164"/>
        <v>3283810.5496485545</v>
      </c>
      <c r="TL18" s="213">
        <f t="shared" si="164"/>
        <v>3283810.5496485545</v>
      </c>
      <c r="TM18" s="213">
        <f t="shared" si="164"/>
        <v>3283810.5496485545</v>
      </c>
      <c r="TN18" s="213">
        <f t="shared" si="164"/>
        <v>3283810.5496485545</v>
      </c>
      <c r="TO18" s="213">
        <f t="shared" si="164"/>
        <v>3283810.5496485545</v>
      </c>
      <c r="TP18" s="213">
        <f t="shared" si="164"/>
        <v>3283810.5496485545</v>
      </c>
      <c r="TQ18" s="213">
        <f t="shared" si="164"/>
        <v>3283810.5496485545</v>
      </c>
      <c r="TR18" s="213">
        <f t="shared" si="164"/>
        <v>3283810.5496485545</v>
      </c>
      <c r="TS18" s="213">
        <f t="shared" si="164"/>
        <v>3283810.5496485545</v>
      </c>
      <c r="TT18" s="213">
        <f t="shared" si="164"/>
        <v>3283810.5496485545</v>
      </c>
      <c r="TU18" s="213">
        <f t="shared" si="164"/>
        <v>3283810.5496485545</v>
      </c>
      <c r="TV18" s="213">
        <f t="shared" si="164"/>
        <v>3283810.5496485545</v>
      </c>
      <c r="TW18" s="213">
        <f t="shared" si="164"/>
        <v>3283810.5496485545</v>
      </c>
      <c r="TX18" s="213">
        <f t="shared" si="164"/>
        <v>3283810.5496485545</v>
      </c>
      <c r="TY18" s="213">
        <f t="shared" si="164"/>
        <v>3283810.5496485545</v>
      </c>
      <c r="TZ18" s="213">
        <f t="shared" si="164"/>
        <v>3283810.5496485545</v>
      </c>
      <c r="UA18" s="213">
        <f t="shared" si="164"/>
        <v>3283810.5496485545</v>
      </c>
      <c r="UB18" s="213">
        <f t="shared" si="164"/>
        <v>3283810.5496485545</v>
      </c>
      <c r="UC18" s="213">
        <f t="shared" si="164"/>
        <v>3283810.5496485545</v>
      </c>
      <c r="UD18" s="213">
        <f t="shared" si="164"/>
        <v>3283810.5496485545</v>
      </c>
      <c r="UE18" s="213">
        <f t="shared" si="164"/>
        <v>3283810.5496485545</v>
      </c>
      <c r="UF18" s="213">
        <f t="shared" si="164"/>
        <v>3283810.5496485545</v>
      </c>
      <c r="UG18" s="213">
        <f t="shared" si="164"/>
        <v>3283810.5496485545</v>
      </c>
      <c r="UH18" s="213">
        <f t="shared" si="164"/>
        <v>3283810.5496485545</v>
      </c>
      <c r="UI18" s="213">
        <f t="shared" si="164"/>
        <v>3283810.5496485545</v>
      </c>
      <c r="UJ18" s="213">
        <f t="shared" si="164"/>
        <v>3283810.5496485545</v>
      </c>
      <c r="UK18" s="213">
        <f t="shared" si="164"/>
        <v>3283810.5496485545</v>
      </c>
      <c r="UL18" s="213">
        <f t="shared" si="164"/>
        <v>3283810.5496485545</v>
      </c>
      <c r="UM18" s="213">
        <f t="shared" si="164"/>
        <v>3283810.5496485545</v>
      </c>
      <c r="UN18" s="213">
        <f t="shared" si="164"/>
        <v>3283810.5496485545</v>
      </c>
      <c r="UO18" s="213">
        <f t="shared" si="164"/>
        <v>3283810.5496485545</v>
      </c>
      <c r="UP18" s="213">
        <f t="shared" si="164"/>
        <v>3283810.5496485545</v>
      </c>
      <c r="UQ18" s="213">
        <f t="shared" si="164"/>
        <v>3283810.5496485545</v>
      </c>
      <c r="UR18" s="213">
        <f t="shared" si="164"/>
        <v>3283810.5496485545</v>
      </c>
      <c r="US18" s="213">
        <f t="shared" si="164"/>
        <v>3283810.5496485545</v>
      </c>
      <c r="UT18" s="213">
        <f t="shared" si="164"/>
        <v>3283810.5496485545</v>
      </c>
      <c r="UU18" s="213">
        <f t="shared" si="164"/>
        <v>3283810.5496485545</v>
      </c>
      <c r="UV18" s="213">
        <f t="shared" si="164"/>
        <v>3283810.5496485545</v>
      </c>
      <c r="UW18" s="213">
        <f t="shared" si="164"/>
        <v>3283810.5496485545</v>
      </c>
      <c r="UX18" s="213">
        <f t="shared" si="164"/>
        <v>3283810.5496485545</v>
      </c>
      <c r="UY18" s="213">
        <f t="shared" si="164"/>
        <v>3283810.5496485545</v>
      </c>
      <c r="UZ18" s="213">
        <f t="shared" si="164"/>
        <v>3283810.5496485545</v>
      </c>
      <c r="VA18" s="213">
        <f t="shared" si="164"/>
        <v>3283810.5496485545</v>
      </c>
      <c r="VB18" s="213">
        <f t="shared" si="164"/>
        <v>3283810.5496485545</v>
      </c>
      <c r="VC18" s="213">
        <f t="shared" si="164"/>
        <v>3283810.5496485545</v>
      </c>
      <c r="VD18" s="213">
        <f t="shared" si="164"/>
        <v>3283810.5496485545</v>
      </c>
      <c r="VE18" s="213">
        <f t="shared" si="164"/>
        <v>3283810.5496485545</v>
      </c>
      <c r="VF18" s="213">
        <f t="shared" si="164"/>
        <v>3283810.5496485545</v>
      </c>
      <c r="VG18" s="213">
        <f t="shared" si="164"/>
        <v>3283810.5496485545</v>
      </c>
      <c r="VH18" s="213">
        <f t="shared" si="164"/>
        <v>3283810.5496485545</v>
      </c>
      <c r="VI18" s="213">
        <f t="shared" si="164"/>
        <v>3283810.5496485545</v>
      </c>
      <c r="VJ18" s="213">
        <f t="shared" si="164"/>
        <v>3283810.5496485545</v>
      </c>
      <c r="VK18" s="213">
        <f t="shared" si="164"/>
        <v>3283810.5496485545</v>
      </c>
      <c r="VL18" s="213">
        <f t="shared" si="164"/>
        <v>3283810.5496485545</v>
      </c>
      <c r="VM18" s="213">
        <f t="shared" ref="VM18:XX18" si="165">VL18+VM17</f>
        <v>3283810.5496485545</v>
      </c>
      <c r="VN18" s="213">
        <f t="shared" si="165"/>
        <v>3283810.5496485545</v>
      </c>
      <c r="VO18" s="213">
        <f t="shared" si="165"/>
        <v>3283810.5496485545</v>
      </c>
      <c r="VP18" s="213">
        <f t="shared" si="165"/>
        <v>3283810.5496485545</v>
      </c>
      <c r="VQ18" s="213">
        <f t="shared" si="165"/>
        <v>3283810.5496485545</v>
      </c>
      <c r="VR18" s="213">
        <f t="shared" si="165"/>
        <v>3283810.5496485545</v>
      </c>
      <c r="VS18" s="213">
        <f t="shared" si="165"/>
        <v>3283810.5496485545</v>
      </c>
      <c r="VT18" s="213">
        <f t="shared" si="165"/>
        <v>3283810.5496485545</v>
      </c>
      <c r="VU18" s="213">
        <f t="shared" si="165"/>
        <v>3283810.5496485545</v>
      </c>
      <c r="VV18" s="213">
        <f t="shared" si="165"/>
        <v>3283810.5496485545</v>
      </c>
      <c r="VW18" s="213">
        <f t="shared" si="165"/>
        <v>3283810.5496485545</v>
      </c>
      <c r="VX18" s="213">
        <f t="shared" si="165"/>
        <v>3283810.5496485545</v>
      </c>
      <c r="VY18" s="213">
        <f t="shared" si="165"/>
        <v>3283810.5496485545</v>
      </c>
      <c r="VZ18" s="213">
        <f t="shared" si="165"/>
        <v>3283810.5496485545</v>
      </c>
      <c r="WA18" s="213">
        <f t="shared" si="165"/>
        <v>3283810.5496485545</v>
      </c>
      <c r="WB18" s="213">
        <f t="shared" si="165"/>
        <v>3283810.5496485545</v>
      </c>
      <c r="WC18" s="213">
        <f t="shared" si="165"/>
        <v>3283810.5496485545</v>
      </c>
      <c r="WD18" s="213">
        <f t="shared" si="165"/>
        <v>3283810.5496485545</v>
      </c>
      <c r="WE18" s="213">
        <f t="shared" si="165"/>
        <v>3283810.5496485545</v>
      </c>
      <c r="WF18" s="213">
        <f t="shared" si="165"/>
        <v>3283810.5496485545</v>
      </c>
      <c r="WG18" s="213">
        <f t="shared" si="165"/>
        <v>3283810.5496485545</v>
      </c>
      <c r="WH18" s="213">
        <f t="shared" si="165"/>
        <v>3283810.5496485545</v>
      </c>
      <c r="WI18" s="213">
        <f t="shared" si="165"/>
        <v>3283810.5496485545</v>
      </c>
      <c r="WJ18" s="213">
        <f t="shared" si="165"/>
        <v>3283810.5496485545</v>
      </c>
      <c r="WK18" s="213">
        <f t="shared" si="165"/>
        <v>3283810.5496485545</v>
      </c>
      <c r="WL18" s="213">
        <f t="shared" si="165"/>
        <v>3283810.5496485545</v>
      </c>
      <c r="WM18" s="213">
        <f t="shared" si="165"/>
        <v>3283810.5496485545</v>
      </c>
      <c r="WN18" s="213">
        <f t="shared" si="165"/>
        <v>3283810.5496485545</v>
      </c>
      <c r="WO18" s="213">
        <f t="shared" si="165"/>
        <v>3283810.5496485545</v>
      </c>
      <c r="WP18" s="213">
        <f t="shared" si="165"/>
        <v>3283810.5496485545</v>
      </c>
      <c r="WQ18" s="213">
        <f t="shared" si="165"/>
        <v>3283810.5496485545</v>
      </c>
      <c r="WR18" s="213">
        <f t="shared" si="165"/>
        <v>3283810.5496485545</v>
      </c>
      <c r="WS18" s="213">
        <f t="shared" si="165"/>
        <v>3283810.5496485545</v>
      </c>
      <c r="WT18" s="213">
        <f t="shared" si="165"/>
        <v>3283810.5496485545</v>
      </c>
      <c r="WU18" s="213">
        <f t="shared" si="165"/>
        <v>3283810.5496485545</v>
      </c>
      <c r="WV18" s="213">
        <f t="shared" si="165"/>
        <v>3283810.5496485545</v>
      </c>
      <c r="WW18" s="213">
        <f t="shared" si="165"/>
        <v>3283810.5496485545</v>
      </c>
      <c r="WX18" s="213">
        <f t="shared" si="165"/>
        <v>3283810.5496485545</v>
      </c>
      <c r="WY18" s="213">
        <f t="shared" si="165"/>
        <v>3283810.5496485545</v>
      </c>
      <c r="WZ18" s="213">
        <f t="shared" si="165"/>
        <v>3283810.5496485545</v>
      </c>
      <c r="XA18" s="213">
        <f t="shared" si="165"/>
        <v>3283810.5496485545</v>
      </c>
      <c r="XB18" s="213">
        <f t="shared" si="165"/>
        <v>3283810.5496485545</v>
      </c>
      <c r="XC18" s="213">
        <f t="shared" si="165"/>
        <v>3283810.5496485545</v>
      </c>
      <c r="XD18" s="213">
        <f t="shared" si="165"/>
        <v>3283810.5496485545</v>
      </c>
      <c r="XE18" s="213">
        <f t="shared" si="165"/>
        <v>3283810.5496485545</v>
      </c>
      <c r="XF18" s="213">
        <f t="shared" si="165"/>
        <v>3283810.5496485545</v>
      </c>
      <c r="XG18" s="213">
        <f t="shared" si="165"/>
        <v>3283810.5496485545</v>
      </c>
      <c r="XH18" s="213">
        <f t="shared" si="165"/>
        <v>3283810.5496485545</v>
      </c>
      <c r="XI18" s="213">
        <f t="shared" si="165"/>
        <v>3283810.5496485545</v>
      </c>
      <c r="XJ18" s="213">
        <f t="shared" si="165"/>
        <v>3283810.5496485545</v>
      </c>
      <c r="XK18" s="213">
        <f t="shared" si="165"/>
        <v>3283810.5496485545</v>
      </c>
      <c r="XL18" s="213">
        <f t="shared" si="165"/>
        <v>3283810.5496485545</v>
      </c>
      <c r="XM18" s="213">
        <f t="shared" si="165"/>
        <v>3283810.5496485545</v>
      </c>
      <c r="XN18" s="213">
        <f t="shared" si="165"/>
        <v>3283810.5496485545</v>
      </c>
      <c r="XO18" s="213">
        <f t="shared" si="165"/>
        <v>3283810.5496485545</v>
      </c>
      <c r="XP18" s="213">
        <f t="shared" si="165"/>
        <v>3283810.5496485545</v>
      </c>
      <c r="XQ18" s="213">
        <f t="shared" si="165"/>
        <v>3283810.5496485545</v>
      </c>
      <c r="XR18" s="213">
        <f t="shared" si="165"/>
        <v>3283810.5496485545</v>
      </c>
      <c r="XS18" s="213">
        <f t="shared" si="165"/>
        <v>3283810.5496485545</v>
      </c>
      <c r="XT18" s="213">
        <f t="shared" si="165"/>
        <v>3283810.5496485545</v>
      </c>
      <c r="XU18" s="213">
        <f t="shared" si="165"/>
        <v>3283810.5496485545</v>
      </c>
      <c r="XV18" s="213">
        <f t="shared" si="165"/>
        <v>3283810.5496485545</v>
      </c>
      <c r="XW18" s="213">
        <f t="shared" si="165"/>
        <v>3283810.5496485545</v>
      </c>
      <c r="XX18" s="213">
        <f t="shared" si="165"/>
        <v>3283810.5496485545</v>
      </c>
      <c r="XY18" s="213">
        <f t="shared" ref="XY18:AAJ18" si="166">XX18+XY17</f>
        <v>3283810.5496485545</v>
      </c>
      <c r="XZ18" s="213">
        <f t="shared" si="166"/>
        <v>3283810.5496485545</v>
      </c>
      <c r="YA18" s="213">
        <f t="shared" si="166"/>
        <v>3283810.5496485545</v>
      </c>
      <c r="YB18" s="213">
        <f t="shared" si="166"/>
        <v>3283810.5496485545</v>
      </c>
      <c r="YC18" s="213">
        <f t="shared" si="166"/>
        <v>3283810.5496485545</v>
      </c>
      <c r="YD18" s="213">
        <f t="shared" si="166"/>
        <v>3283810.5496485545</v>
      </c>
      <c r="YE18" s="213">
        <f t="shared" si="166"/>
        <v>3283810.5496485545</v>
      </c>
      <c r="YF18" s="213">
        <f t="shared" si="166"/>
        <v>3283810.5496485545</v>
      </c>
      <c r="YG18" s="213">
        <f t="shared" si="166"/>
        <v>3283810.5496485545</v>
      </c>
      <c r="YH18" s="213">
        <f t="shared" si="166"/>
        <v>3283810.5496485545</v>
      </c>
      <c r="YI18" s="213">
        <f t="shared" si="166"/>
        <v>3283810.5496485545</v>
      </c>
      <c r="YJ18" s="213">
        <f t="shared" si="166"/>
        <v>3283810.5496485545</v>
      </c>
      <c r="YK18" s="213">
        <f t="shared" si="166"/>
        <v>3283810.5496485545</v>
      </c>
      <c r="YL18" s="213">
        <f t="shared" si="166"/>
        <v>3283810.5496485545</v>
      </c>
      <c r="YM18" s="213">
        <f t="shared" si="166"/>
        <v>3283810.5496485545</v>
      </c>
      <c r="YN18" s="213">
        <f t="shared" si="166"/>
        <v>3283810.5496485545</v>
      </c>
      <c r="YO18" s="213">
        <f t="shared" si="166"/>
        <v>3283810.5496485545</v>
      </c>
      <c r="YP18" s="213">
        <f t="shared" si="166"/>
        <v>3283810.5496485545</v>
      </c>
      <c r="YQ18" s="213">
        <f t="shared" si="166"/>
        <v>3283810.5496485545</v>
      </c>
      <c r="YR18" s="213">
        <f t="shared" si="166"/>
        <v>3283810.5496485545</v>
      </c>
      <c r="YS18" s="213">
        <f t="shared" si="166"/>
        <v>3283810.5496485545</v>
      </c>
      <c r="YT18" s="213">
        <f t="shared" si="166"/>
        <v>3283810.5496485545</v>
      </c>
      <c r="YU18" s="213">
        <f t="shared" si="166"/>
        <v>3283810.5496485545</v>
      </c>
      <c r="YV18" s="213">
        <f t="shared" si="166"/>
        <v>3283810.5496485545</v>
      </c>
      <c r="YW18" s="213">
        <f t="shared" si="166"/>
        <v>3283810.5496485545</v>
      </c>
      <c r="YX18" s="213">
        <f t="shared" si="166"/>
        <v>3283810.5496485545</v>
      </c>
      <c r="YY18" s="213">
        <f t="shared" si="166"/>
        <v>3283810.5496485545</v>
      </c>
      <c r="YZ18" s="213">
        <f t="shared" si="166"/>
        <v>3283810.5496485545</v>
      </c>
      <c r="ZA18" s="213">
        <f t="shared" si="166"/>
        <v>3283810.5496485545</v>
      </c>
      <c r="ZB18" s="213">
        <f t="shared" si="166"/>
        <v>3283810.5496485545</v>
      </c>
      <c r="ZC18" s="213">
        <f t="shared" si="166"/>
        <v>3283810.5496485545</v>
      </c>
      <c r="ZD18" s="213">
        <f t="shared" si="166"/>
        <v>3283810.5496485545</v>
      </c>
      <c r="ZE18" s="213">
        <f t="shared" si="166"/>
        <v>3283810.5496485545</v>
      </c>
      <c r="ZF18" s="213">
        <f t="shared" si="166"/>
        <v>3283810.5496485545</v>
      </c>
      <c r="ZG18" s="213">
        <f t="shared" si="166"/>
        <v>3283810.5496485545</v>
      </c>
      <c r="ZH18" s="213">
        <f t="shared" si="166"/>
        <v>3283810.5496485545</v>
      </c>
      <c r="ZI18" s="213">
        <f t="shared" si="166"/>
        <v>3283810.5496485545</v>
      </c>
      <c r="ZJ18" s="213">
        <f t="shared" si="166"/>
        <v>3283810.5496485545</v>
      </c>
      <c r="ZK18" s="213">
        <f t="shared" si="166"/>
        <v>3283810.5496485545</v>
      </c>
      <c r="ZL18" s="213">
        <f t="shared" si="166"/>
        <v>3283810.5496485545</v>
      </c>
      <c r="ZM18" s="213">
        <f t="shared" si="166"/>
        <v>3283810.5496485545</v>
      </c>
      <c r="ZN18" s="213">
        <f t="shared" si="166"/>
        <v>3283810.5496485545</v>
      </c>
      <c r="ZO18" s="213">
        <f t="shared" si="166"/>
        <v>3283810.5496485545</v>
      </c>
      <c r="ZP18" s="213">
        <f t="shared" si="166"/>
        <v>3283810.5496485545</v>
      </c>
      <c r="ZQ18" s="213">
        <f t="shared" si="166"/>
        <v>3283810.5496485545</v>
      </c>
      <c r="ZR18" s="213">
        <f t="shared" si="166"/>
        <v>3283810.5496485545</v>
      </c>
      <c r="ZS18" s="213">
        <f t="shared" si="166"/>
        <v>3283810.5496485545</v>
      </c>
      <c r="ZT18" s="213">
        <f t="shared" si="166"/>
        <v>3283810.5496485545</v>
      </c>
      <c r="ZU18" s="213">
        <f t="shared" si="166"/>
        <v>3283810.5496485545</v>
      </c>
      <c r="ZV18" s="213">
        <f t="shared" si="166"/>
        <v>3283810.5496485545</v>
      </c>
      <c r="ZW18" s="213">
        <f t="shared" si="166"/>
        <v>3283810.5496485545</v>
      </c>
      <c r="ZX18" s="213">
        <f t="shared" si="166"/>
        <v>3283810.5496485545</v>
      </c>
      <c r="ZY18" s="213">
        <f t="shared" si="166"/>
        <v>3283810.5496485545</v>
      </c>
      <c r="ZZ18" s="213">
        <f t="shared" si="166"/>
        <v>3283810.5496485545</v>
      </c>
      <c r="AAA18" s="213">
        <f t="shared" si="166"/>
        <v>3283810.5496485545</v>
      </c>
      <c r="AAB18" s="213">
        <f t="shared" si="166"/>
        <v>3283810.5496485545</v>
      </c>
      <c r="AAC18" s="213">
        <f t="shared" si="166"/>
        <v>3283810.5496485545</v>
      </c>
      <c r="AAD18" s="213">
        <f t="shared" si="166"/>
        <v>3283810.5496485545</v>
      </c>
      <c r="AAE18" s="213">
        <f t="shared" si="166"/>
        <v>3283810.5496485545</v>
      </c>
      <c r="AAF18" s="213">
        <f t="shared" si="166"/>
        <v>3283810.5496485545</v>
      </c>
      <c r="AAG18" s="213">
        <f t="shared" si="166"/>
        <v>3283810.5496485545</v>
      </c>
      <c r="AAH18" s="213">
        <f t="shared" si="166"/>
        <v>3283810.5496485545</v>
      </c>
      <c r="AAI18" s="213">
        <f t="shared" si="166"/>
        <v>3283810.5496485545</v>
      </c>
      <c r="AAJ18" s="213">
        <f t="shared" si="166"/>
        <v>3283810.5496485545</v>
      </c>
      <c r="AAK18" s="213">
        <f t="shared" ref="AAK18:ACV18" si="167">AAJ18+AAK17</f>
        <v>3283810.5496485545</v>
      </c>
      <c r="AAL18" s="213">
        <f t="shared" si="167"/>
        <v>3283810.5496485545</v>
      </c>
      <c r="AAM18" s="213">
        <f t="shared" si="167"/>
        <v>3283810.5496485545</v>
      </c>
      <c r="AAN18" s="213">
        <f t="shared" si="167"/>
        <v>3283810.5496485545</v>
      </c>
      <c r="AAO18" s="213">
        <f t="shared" si="167"/>
        <v>3283810.5496485545</v>
      </c>
      <c r="AAP18" s="213">
        <f t="shared" si="167"/>
        <v>3283810.5496485545</v>
      </c>
      <c r="AAQ18" s="213">
        <f t="shared" si="167"/>
        <v>3283810.5496485545</v>
      </c>
      <c r="AAR18" s="213">
        <f t="shared" si="167"/>
        <v>3283810.5496485545</v>
      </c>
      <c r="AAS18" s="213">
        <f t="shared" si="167"/>
        <v>3283810.5496485545</v>
      </c>
      <c r="AAT18" s="213">
        <f t="shared" si="167"/>
        <v>3283810.5496485545</v>
      </c>
      <c r="AAU18" s="213">
        <f t="shared" si="167"/>
        <v>3283810.5496485545</v>
      </c>
      <c r="AAV18" s="213">
        <f t="shared" si="167"/>
        <v>3283810.5496485545</v>
      </c>
      <c r="AAW18" s="213">
        <f t="shared" si="167"/>
        <v>3283810.5496485545</v>
      </c>
      <c r="AAX18" s="213">
        <f t="shared" si="167"/>
        <v>3283810.5496485545</v>
      </c>
      <c r="AAY18" s="213">
        <f t="shared" si="167"/>
        <v>3283810.5496485545</v>
      </c>
      <c r="AAZ18" s="213">
        <f t="shared" si="167"/>
        <v>3283810.5496485545</v>
      </c>
      <c r="ABA18" s="213">
        <f t="shared" si="167"/>
        <v>3283810.5496485545</v>
      </c>
      <c r="ABB18" s="213">
        <f t="shared" si="167"/>
        <v>3283810.5496485545</v>
      </c>
      <c r="ABC18" s="213">
        <f t="shared" si="167"/>
        <v>3283810.5496485545</v>
      </c>
      <c r="ABD18" s="213">
        <f t="shared" si="167"/>
        <v>3283810.5496485545</v>
      </c>
      <c r="ABE18" s="213">
        <f t="shared" si="167"/>
        <v>3283810.5496485545</v>
      </c>
      <c r="ABF18" s="213">
        <f t="shared" si="167"/>
        <v>3283810.5496485545</v>
      </c>
      <c r="ABG18" s="213">
        <f t="shared" si="167"/>
        <v>3283810.5496485545</v>
      </c>
      <c r="ABH18" s="213">
        <f t="shared" si="167"/>
        <v>3283810.5496485545</v>
      </c>
      <c r="ABI18" s="213">
        <f t="shared" si="167"/>
        <v>3283810.5496485545</v>
      </c>
      <c r="ABJ18" s="213">
        <f t="shared" si="167"/>
        <v>3283810.5496485545</v>
      </c>
      <c r="ABK18" s="213">
        <f t="shared" si="167"/>
        <v>3283810.5496485545</v>
      </c>
      <c r="ABL18" s="213">
        <f t="shared" si="167"/>
        <v>3283810.5496485545</v>
      </c>
      <c r="ABM18" s="213">
        <f t="shared" si="167"/>
        <v>3283810.5496485545</v>
      </c>
      <c r="ABN18" s="213">
        <f t="shared" si="167"/>
        <v>3283810.5496485545</v>
      </c>
      <c r="ABO18" s="213">
        <f t="shared" si="167"/>
        <v>3283810.5496485545</v>
      </c>
      <c r="ABP18" s="213">
        <f t="shared" si="167"/>
        <v>3283810.5496485545</v>
      </c>
      <c r="ABQ18" s="213">
        <f t="shared" si="167"/>
        <v>3283810.5496485545</v>
      </c>
      <c r="ABR18" s="213">
        <f t="shared" si="167"/>
        <v>3283810.5496485545</v>
      </c>
      <c r="ABS18" s="213">
        <f t="shared" si="167"/>
        <v>3283810.5496485545</v>
      </c>
      <c r="ABT18" s="213">
        <f t="shared" si="167"/>
        <v>3283810.5496485545</v>
      </c>
      <c r="ABU18" s="213">
        <f t="shared" si="167"/>
        <v>3283810.5496485545</v>
      </c>
      <c r="ABV18" s="213">
        <f t="shared" si="167"/>
        <v>3283810.5496485545</v>
      </c>
      <c r="ABW18" s="213">
        <f t="shared" si="167"/>
        <v>3283810.5496485545</v>
      </c>
      <c r="ABX18" s="213">
        <f t="shared" si="167"/>
        <v>3283810.5496485545</v>
      </c>
      <c r="ABY18" s="213">
        <f t="shared" si="167"/>
        <v>3283810.5496485545</v>
      </c>
      <c r="ABZ18" s="213">
        <f t="shared" si="167"/>
        <v>3283810.5496485545</v>
      </c>
      <c r="ACA18" s="213">
        <f t="shared" si="167"/>
        <v>3283810.5496485545</v>
      </c>
      <c r="ACB18" s="213">
        <f t="shared" si="167"/>
        <v>3283810.5496485545</v>
      </c>
      <c r="ACC18" s="213">
        <f t="shared" si="167"/>
        <v>3283810.5496485545</v>
      </c>
      <c r="ACD18" s="213">
        <f t="shared" si="167"/>
        <v>3283810.5496485545</v>
      </c>
      <c r="ACE18" s="213">
        <f t="shared" si="167"/>
        <v>3283810.5496485545</v>
      </c>
      <c r="ACF18" s="213">
        <f t="shared" si="167"/>
        <v>3283810.5496485545</v>
      </c>
      <c r="ACG18" s="213">
        <f t="shared" si="167"/>
        <v>3283810.5496485545</v>
      </c>
      <c r="ACH18" s="213">
        <f t="shared" si="167"/>
        <v>3283810.5496485545</v>
      </c>
      <c r="ACI18" s="213">
        <f t="shared" si="167"/>
        <v>3283810.5496485545</v>
      </c>
      <c r="ACJ18" s="213">
        <f t="shared" si="167"/>
        <v>3283810.5496485545</v>
      </c>
      <c r="ACK18" s="213">
        <f t="shared" si="167"/>
        <v>3283810.5496485545</v>
      </c>
      <c r="ACL18" s="213">
        <f t="shared" si="167"/>
        <v>3283810.5496485545</v>
      </c>
      <c r="ACM18" s="213">
        <f t="shared" si="167"/>
        <v>3283810.5496485545</v>
      </c>
      <c r="ACN18" s="213">
        <f t="shared" si="167"/>
        <v>3283810.5496485545</v>
      </c>
      <c r="ACO18" s="213">
        <f t="shared" si="167"/>
        <v>3283810.5496485545</v>
      </c>
      <c r="ACP18" s="213">
        <f t="shared" si="167"/>
        <v>3283810.5496485545</v>
      </c>
      <c r="ACQ18" s="213">
        <f t="shared" si="167"/>
        <v>3283810.5496485545</v>
      </c>
      <c r="ACR18" s="213">
        <f t="shared" si="167"/>
        <v>3283810.5496485545</v>
      </c>
      <c r="ACS18" s="213">
        <f t="shared" si="167"/>
        <v>3283810.5496485545</v>
      </c>
      <c r="ACT18" s="213">
        <f t="shared" si="167"/>
        <v>3283810.5496485545</v>
      </c>
      <c r="ACU18" s="213">
        <f t="shared" si="167"/>
        <v>3283810.5496485545</v>
      </c>
      <c r="ACV18" s="213">
        <f t="shared" si="167"/>
        <v>3283810.5496485545</v>
      </c>
      <c r="ACW18" s="213">
        <f t="shared" ref="ACW18:AFH18" si="168">ACV18+ACW17</f>
        <v>3283810.5496485545</v>
      </c>
      <c r="ACX18" s="213">
        <f t="shared" si="168"/>
        <v>3283810.5496485545</v>
      </c>
      <c r="ACY18" s="213">
        <f t="shared" si="168"/>
        <v>3283810.5496485545</v>
      </c>
      <c r="ACZ18" s="213">
        <f t="shared" si="168"/>
        <v>3283810.5496485545</v>
      </c>
      <c r="ADA18" s="213">
        <f t="shared" si="168"/>
        <v>3283810.5496485545</v>
      </c>
      <c r="ADB18" s="213">
        <f t="shared" si="168"/>
        <v>3283810.5496485545</v>
      </c>
      <c r="ADC18" s="213">
        <f t="shared" si="168"/>
        <v>3283810.5496485545</v>
      </c>
      <c r="ADD18" s="213">
        <f t="shared" si="168"/>
        <v>3283810.5496485545</v>
      </c>
      <c r="ADE18" s="213">
        <f t="shared" si="168"/>
        <v>3283810.5496485545</v>
      </c>
      <c r="ADF18" s="213">
        <f t="shared" si="168"/>
        <v>3283810.5496485545</v>
      </c>
      <c r="ADG18" s="213">
        <f t="shared" si="168"/>
        <v>3283810.5496485545</v>
      </c>
      <c r="ADH18" s="213">
        <f t="shared" si="168"/>
        <v>3283810.5496485545</v>
      </c>
      <c r="ADI18" s="213">
        <f t="shared" si="168"/>
        <v>3283810.5496485545</v>
      </c>
      <c r="ADJ18" s="213">
        <f t="shared" si="168"/>
        <v>3283810.5496485545</v>
      </c>
      <c r="ADK18" s="213">
        <f t="shared" si="168"/>
        <v>3283810.5496485545</v>
      </c>
      <c r="ADL18" s="213">
        <f t="shared" si="168"/>
        <v>3283810.5496485545</v>
      </c>
      <c r="ADM18" s="213">
        <f t="shared" si="168"/>
        <v>3283810.5496485545</v>
      </c>
      <c r="ADN18" s="213">
        <f t="shared" si="168"/>
        <v>3283810.5496485545</v>
      </c>
      <c r="ADO18" s="213">
        <f t="shared" si="168"/>
        <v>3283810.5496485545</v>
      </c>
      <c r="ADP18" s="213">
        <f t="shared" si="168"/>
        <v>3283810.5496485545</v>
      </c>
      <c r="ADQ18" s="213">
        <f t="shared" si="168"/>
        <v>3283810.5496485545</v>
      </c>
      <c r="ADR18" s="213">
        <f t="shared" si="168"/>
        <v>3283810.5496485545</v>
      </c>
      <c r="ADS18" s="213">
        <f t="shared" si="168"/>
        <v>3283810.5496485545</v>
      </c>
      <c r="ADT18" s="213">
        <f t="shared" si="168"/>
        <v>3283810.5496485545</v>
      </c>
      <c r="ADU18" s="213">
        <f t="shared" si="168"/>
        <v>3283810.5496485545</v>
      </c>
      <c r="ADV18" s="213">
        <f t="shared" si="168"/>
        <v>3283810.5496485545</v>
      </c>
      <c r="ADW18" s="213">
        <f t="shared" si="168"/>
        <v>3283810.5496485545</v>
      </c>
      <c r="ADX18" s="213">
        <f t="shared" si="168"/>
        <v>3283810.5496485545</v>
      </c>
      <c r="ADY18" s="213">
        <f t="shared" si="168"/>
        <v>3283810.5496485545</v>
      </c>
      <c r="ADZ18" s="213">
        <f t="shared" si="168"/>
        <v>3283810.5496485545</v>
      </c>
      <c r="AEA18" s="213">
        <f t="shared" si="168"/>
        <v>3283810.5496485545</v>
      </c>
      <c r="AEB18" s="213">
        <f t="shared" si="168"/>
        <v>3283810.5496485545</v>
      </c>
      <c r="AEC18" s="213">
        <f t="shared" si="168"/>
        <v>3283810.5496485545</v>
      </c>
      <c r="AED18" s="213">
        <f t="shared" si="168"/>
        <v>3283810.5496485545</v>
      </c>
      <c r="AEE18" s="213">
        <f t="shared" si="168"/>
        <v>3283810.5496485545</v>
      </c>
      <c r="AEF18" s="213">
        <f t="shared" si="168"/>
        <v>3283810.5496485545</v>
      </c>
      <c r="AEG18" s="213">
        <f t="shared" si="168"/>
        <v>3283810.5496485545</v>
      </c>
      <c r="AEH18" s="213">
        <f t="shared" si="168"/>
        <v>3283810.5496485545</v>
      </c>
      <c r="AEI18" s="213">
        <f t="shared" si="168"/>
        <v>3283810.5496485545</v>
      </c>
      <c r="AEJ18" s="213">
        <f t="shared" si="168"/>
        <v>3283810.5496485545</v>
      </c>
      <c r="AEK18" s="213">
        <f t="shared" si="168"/>
        <v>3283810.5496485545</v>
      </c>
      <c r="AEL18" s="213">
        <f t="shared" si="168"/>
        <v>3283810.5496485545</v>
      </c>
      <c r="AEM18" s="213">
        <f t="shared" si="168"/>
        <v>3283810.5496485545</v>
      </c>
      <c r="AEN18" s="213">
        <f t="shared" si="168"/>
        <v>3283810.5496485545</v>
      </c>
      <c r="AEO18" s="213">
        <f t="shared" si="168"/>
        <v>3283810.5496485545</v>
      </c>
      <c r="AEP18" s="213">
        <f t="shared" si="168"/>
        <v>3283810.5496485545</v>
      </c>
      <c r="AEQ18" s="213">
        <f t="shared" si="168"/>
        <v>3283810.5496485545</v>
      </c>
      <c r="AER18" s="213">
        <f t="shared" si="168"/>
        <v>3283810.5496485545</v>
      </c>
      <c r="AES18" s="213">
        <f t="shared" si="168"/>
        <v>3283810.5496485545</v>
      </c>
      <c r="AET18" s="213">
        <f t="shared" si="168"/>
        <v>3283810.5496485545</v>
      </c>
      <c r="AEU18" s="213">
        <f t="shared" si="168"/>
        <v>3283810.5496485545</v>
      </c>
      <c r="AEV18" s="213">
        <f t="shared" si="168"/>
        <v>3283810.5496485545</v>
      </c>
      <c r="AEW18" s="213">
        <f t="shared" si="168"/>
        <v>3283810.5496485545</v>
      </c>
      <c r="AEX18" s="213">
        <f t="shared" si="168"/>
        <v>3283810.5496485545</v>
      </c>
      <c r="AEY18" s="213">
        <f t="shared" si="168"/>
        <v>3283810.5496485545</v>
      </c>
      <c r="AEZ18" s="213">
        <f t="shared" si="168"/>
        <v>3283810.5496485545</v>
      </c>
      <c r="AFA18" s="213">
        <f t="shared" si="168"/>
        <v>3283810.5496485545</v>
      </c>
      <c r="AFB18" s="213">
        <f t="shared" si="168"/>
        <v>3283810.5496485545</v>
      </c>
      <c r="AFC18" s="213">
        <f t="shared" si="168"/>
        <v>3283810.5496485545</v>
      </c>
      <c r="AFD18" s="213">
        <f t="shared" si="168"/>
        <v>3283810.5496485545</v>
      </c>
      <c r="AFE18" s="213">
        <f t="shared" si="168"/>
        <v>3283810.5496485545</v>
      </c>
      <c r="AFF18" s="213">
        <f t="shared" si="168"/>
        <v>3283810.5496485545</v>
      </c>
      <c r="AFG18" s="213">
        <f t="shared" si="168"/>
        <v>3283810.5496485545</v>
      </c>
      <c r="AFH18" s="213">
        <f t="shared" si="168"/>
        <v>3283810.5496485545</v>
      </c>
      <c r="AFI18" s="213">
        <f t="shared" ref="AFI18:AHT18" si="169">AFH18+AFI17</f>
        <v>3283810.5496485545</v>
      </c>
      <c r="AFJ18" s="213">
        <f t="shared" si="169"/>
        <v>3283810.5496485545</v>
      </c>
      <c r="AFK18" s="213">
        <f t="shared" si="169"/>
        <v>3283810.5496485545</v>
      </c>
      <c r="AFL18" s="213">
        <f t="shared" si="169"/>
        <v>3283810.5496485545</v>
      </c>
      <c r="AFM18" s="213">
        <f t="shared" si="169"/>
        <v>3283810.5496485545</v>
      </c>
      <c r="AFN18" s="213">
        <f t="shared" si="169"/>
        <v>3283810.5496485545</v>
      </c>
      <c r="AFO18" s="213">
        <f t="shared" si="169"/>
        <v>3283810.5496485545</v>
      </c>
      <c r="AFP18" s="213">
        <f t="shared" si="169"/>
        <v>3283810.5496485545</v>
      </c>
      <c r="AFQ18" s="213">
        <f t="shared" si="169"/>
        <v>3283810.5496485545</v>
      </c>
      <c r="AFR18" s="213">
        <f t="shared" si="169"/>
        <v>3283810.5496485545</v>
      </c>
      <c r="AFS18" s="213">
        <f t="shared" si="169"/>
        <v>3283810.5496485545</v>
      </c>
      <c r="AFT18" s="213">
        <f t="shared" si="169"/>
        <v>3283810.5496485545</v>
      </c>
      <c r="AFU18" s="213">
        <f t="shared" si="169"/>
        <v>3283810.5496485545</v>
      </c>
      <c r="AFV18" s="213">
        <f t="shared" si="169"/>
        <v>3283810.5496485545</v>
      </c>
      <c r="AFW18" s="213">
        <f t="shared" si="169"/>
        <v>3283810.5496485545</v>
      </c>
      <c r="AFX18" s="213">
        <f t="shared" si="169"/>
        <v>3283810.5496485545</v>
      </c>
      <c r="AFY18" s="213">
        <f t="shared" si="169"/>
        <v>3283810.5496485545</v>
      </c>
      <c r="AFZ18" s="213">
        <f t="shared" si="169"/>
        <v>3283810.5496485545</v>
      </c>
      <c r="AGA18" s="213">
        <f t="shared" si="169"/>
        <v>3283810.5496485545</v>
      </c>
      <c r="AGB18" s="213">
        <f t="shared" si="169"/>
        <v>3283810.5496485545</v>
      </c>
      <c r="AGC18" s="213">
        <f t="shared" si="169"/>
        <v>3283810.5496485545</v>
      </c>
      <c r="AGD18" s="213">
        <f t="shared" si="169"/>
        <v>3283810.5496485545</v>
      </c>
      <c r="AGE18" s="213">
        <f t="shared" si="169"/>
        <v>3283810.5496485545</v>
      </c>
      <c r="AGF18" s="213">
        <f t="shared" si="169"/>
        <v>3283810.5496485545</v>
      </c>
      <c r="AGG18" s="213">
        <f t="shared" si="169"/>
        <v>3283810.5496485545</v>
      </c>
      <c r="AGH18" s="213">
        <f t="shared" si="169"/>
        <v>3283810.5496485545</v>
      </c>
      <c r="AGI18" s="213">
        <f t="shared" si="169"/>
        <v>3283810.5496485545</v>
      </c>
      <c r="AGJ18" s="213">
        <f t="shared" si="169"/>
        <v>3283810.5496485545</v>
      </c>
      <c r="AGK18" s="213">
        <f t="shared" si="169"/>
        <v>3283810.5496485545</v>
      </c>
      <c r="AGL18" s="213">
        <f t="shared" si="169"/>
        <v>3283810.5496485545</v>
      </c>
      <c r="AGM18" s="213">
        <f t="shared" si="169"/>
        <v>3283810.5496485545</v>
      </c>
      <c r="AGN18" s="213">
        <f t="shared" si="169"/>
        <v>3283810.5496485545</v>
      </c>
      <c r="AGO18" s="213">
        <f t="shared" si="169"/>
        <v>3283810.5496485545</v>
      </c>
      <c r="AGP18" s="213">
        <f t="shared" si="169"/>
        <v>3283810.5496485545</v>
      </c>
      <c r="AGQ18" s="213">
        <f t="shared" si="169"/>
        <v>3283810.5496485545</v>
      </c>
      <c r="AGR18" s="213">
        <f t="shared" si="169"/>
        <v>3283810.5496485545</v>
      </c>
      <c r="AGS18" s="213">
        <f t="shared" si="169"/>
        <v>3283810.5496485545</v>
      </c>
      <c r="AGT18" s="213">
        <f t="shared" si="169"/>
        <v>3283810.5496485545</v>
      </c>
      <c r="AGU18" s="213">
        <f t="shared" si="169"/>
        <v>3283810.5496485545</v>
      </c>
      <c r="AGV18" s="213">
        <f t="shared" si="169"/>
        <v>3283810.5496485545</v>
      </c>
      <c r="AGW18" s="213">
        <f t="shared" si="169"/>
        <v>3283810.5496485545</v>
      </c>
      <c r="AGX18" s="213">
        <f t="shared" si="169"/>
        <v>3283810.5496485545</v>
      </c>
      <c r="AGY18" s="213">
        <f t="shared" si="169"/>
        <v>3283810.5496485545</v>
      </c>
      <c r="AGZ18" s="213">
        <f t="shared" si="169"/>
        <v>3283810.5496485545</v>
      </c>
      <c r="AHA18" s="213">
        <f t="shared" si="169"/>
        <v>3283810.5496485545</v>
      </c>
      <c r="AHB18" s="213">
        <f t="shared" si="169"/>
        <v>3283810.5496485545</v>
      </c>
      <c r="AHC18" s="213">
        <f t="shared" si="169"/>
        <v>3283810.5496485545</v>
      </c>
      <c r="AHD18" s="213">
        <f t="shared" si="169"/>
        <v>3283810.5496485545</v>
      </c>
      <c r="AHE18" s="213">
        <f t="shared" si="169"/>
        <v>3283810.5496485545</v>
      </c>
      <c r="AHF18" s="213">
        <f t="shared" si="169"/>
        <v>3283810.5496485545</v>
      </c>
      <c r="AHG18" s="213">
        <f t="shared" si="169"/>
        <v>3283810.5496485545</v>
      </c>
      <c r="AHH18" s="213">
        <f t="shared" si="169"/>
        <v>3283810.5496485545</v>
      </c>
      <c r="AHI18" s="213">
        <f t="shared" si="169"/>
        <v>3283810.5496485545</v>
      </c>
      <c r="AHJ18" s="213">
        <f t="shared" si="169"/>
        <v>3283810.5496485545</v>
      </c>
      <c r="AHK18" s="213">
        <f t="shared" si="169"/>
        <v>3283810.5496485545</v>
      </c>
      <c r="AHL18" s="213">
        <f t="shared" si="169"/>
        <v>3283810.5496485545</v>
      </c>
      <c r="AHM18" s="213">
        <f t="shared" si="169"/>
        <v>3283810.5496485545</v>
      </c>
      <c r="AHN18" s="213">
        <f t="shared" si="169"/>
        <v>3283810.5496485545</v>
      </c>
      <c r="AHO18" s="213">
        <f t="shared" si="169"/>
        <v>3283810.5496485545</v>
      </c>
      <c r="AHP18" s="213">
        <f t="shared" si="169"/>
        <v>3283810.5496485545</v>
      </c>
      <c r="AHQ18" s="213">
        <f t="shared" si="169"/>
        <v>3283810.5496485545</v>
      </c>
      <c r="AHR18" s="213">
        <f t="shared" si="169"/>
        <v>3283810.5496485545</v>
      </c>
      <c r="AHS18" s="213">
        <f t="shared" si="169"/>
        <v>3283810.5496485545</v>
      </c>
      <c r="AHT18" s="213">
        <f t="shared" si="169"/>
        <v>3283810.5496485545</v>
      </c>
      <c r="AHU18" s="213">
        <f t="shared" ref="AHU18:AKF18" si="170">AHT18+AHU17</f>
        <v>3283810.5496485545</v>
      </c>
      <c r="AHV18" s="213">
        <f t="shared" si="170"/>
        <v>3283810.5496485545</v>
      </c>
      <c r="AHW18" s="213">
        <f t="shared" si="170"/>
        <v>3283810.5496485545</v>
      </c>
      <c r="AHX18" s="213">
        <f t="shared" si="170"/>
        <v>3283810.5496485545</v>
      </c>
      <c r="AHY18" s="213">
        <f t="shared" si="170"/>
        <v>3283810.5496485545</v>
      </c>
      <c r="AHZ18" s="213">
        <f t="shared" si="170"/>
        <v>3283810.5496485545</v>
      </c>
      <c r="AIA18" s="213">
        <f t="shared" si="170"/>
        <v>3283810.5496485545</v>
      </c>
      <c r="AIB18" s="213">
        <f t="shared" si="170"/>
        <v>3283810.5496485545</v>
      </c>
      <c r="AIC18" s="213">
        <f t="shared" si="170"/>
        <v>3283810.5496485545</v>
      </c>
      <c r="AID18" s="213">
        <f t="shared" si="170"/>
        <v>3283810.5496485545</v>
      </c>
      <c r="AIE18" s="213">
        <f t="shared" si="170"/>
        <v>3283810.5496485545</v>
      </c>
      <c r="AIF18" s="213">
        <f t="shared" si="170"/>
        <v>3283810.5496485545</v>
      </c>
      <c r="AIG18" s="213">
        <f t="shared" si="170"/>
        <v>3283810.5496485545</v>
      </c>
      <c r="AIH18" s="213">
        <f t="shared" si="170"/>
        <v>3283810.5496485545</v>
      </c>
      <c r="AII18" s="213">
        <f t="shared" si="170"/>
        <v>3283810.5496485545</v>
      </c>
      <c r="AIJ18" s="213">
        <f t="shared" si="170"/>
        <v>3283810.5496485545</v>
      </c>
      <c r="AIK18" s="213">
        <f t="shared" si="170"/>
        <v>3283810.5496485545</v>
      </c>
      <c r="AIL18" s="213">
        <f t="shared" si="170"/>
        <v>3283810.5496485545</v>
      </c>
      <c r="AIM18" s="213">
        <f t="shared" si="170"/>
        <v>3283810.5496485545</v>
      </c>
      <c r="AIN18" s="213">
        <f t="shared" si="170"/>
        <v>3283810.5496485545</v>
      </c>
      <c r="AIO18" s="213">
        <f t="shared" si="170"/>
        <v>3283810.5496485545</v>
      </c>
      <c r="AIP18" s="213">
        <f t="shared" si="170"/>
        <v>3283810.5496485545</v>
      </c>
      <c r="AIQ18" s="213">
        <f t="shared" si="170"/>
        <v>3283810.5496485545</v>
      </c>
      <c r="AIR18" s="213">
        <f t="shared" si="170"/>
        <v>3283810.5496485545</v>
      </c>
      <c r="AIS18" s="213">
        <f t="shared" si="170"/>
        <v>3283810.5496485545</v>
      </c>
      <c r="AIT18" s="213">
        <f t="shared" si="170"/>
        <v>3283810.5496485545</v>
      </c>
      <c r="AIU18" s="213">
        <f t="shared" si="170"/>
        <v>3283810.5496485545</v>
      </c>
      <c r="AIV18" s="213">
        <f t="shared" si="170"/>
        <v>3283810.5496485545</v>
      </c>
      <c r="AIW18" s="213">
        <f t="shared" si="170"/>
        <v>3283810.5496485545</v>
      </c>
      <c r="AIX18" s="213">
        <f t="shared" si="170"/>
        <v>3283810.5496485545</v>
      </c>
      <c r="AIY18" s="213">
        <f t="shared" si="170"/>
        <v>3283810.5496485545</v>
      </c>
      <c r="AIZ18" s="213">
        <f t="shared" si="170"/>
        <v>3283810.5496485545</v>
      </c>
      <c r="AJA18" s="213">
        <f t="shared" si="170"/>
        <v>3283810.5496485545</v>
      </c>
      <c r="AJB18" s="213">
        <f t="shared" si="170"/>
        <v>3283810.5496485545</v>
      </c>
      <c r="AJC18" s="213">
        <f t="shared" si="170"/>
        <v>3283810.5496485545</v>
      </c>
      <c r="AJD18" s="213">
        <f t="shared" si="170"/>
        <v>3283810.5496485545</v>
      </c>
      <c r="AJE18" s="213">
        <f t="shared" si="170"/>
        <v>3283810.5496485545</v>
      </c>
      <c r="AJF18" s="213">
        <f t="shared" si="170"/>
        <v>3283810.5496485545</v>
      </c>
      <c r="AJG18" s="213">
        <f t="shared" si="170"/>
        <v>3283810.5496485545</v>
      </c>
      <c r="AJH18" s="213">
        <f t="shared" si="170"/>
        <v>3283810.5496485545</v>
      </c>
      <c r="AJI18" s="213">
        <f t="shared" si="170"/>
        <v>3283810.5496485545</v>
      </c>
      <c r="AJJ18" s="213">
        <f t="shared" si="170"/>
        <v>3283810.5496485545</v>
      </c>
      <c r="AJK18" s="213">
        <f t="shared" si="170"/>
        <v>3283810.5496485545</v>
      </c>
      <c r="AJL18" s="213">
        <f t="shared" si="170"/>
        <v>3283810.5496485545</v>
      </c>
      <c r="AJM18" s="213">
        <f t="shared" si="170"/>
        <v>3283810.5496485545</v>
      </c>
      <c r="AJN18" s="213">
        <f t="shared" si="170"/>
        <v>3283810.5496485545</v>
      </c>
      <c r="AJO18" s="213">
        <f t="shared" si="170"/>
        <v>3283810.5496485545</v>
      </c>
      <c r="AJP18" s="213">
        <f t="shared" si="170"/>
        <v>3283810.5496485545</v>
      </c>
      <c r="AJQ18" s="213">
        <f t="shared" si="170"/>
        <v>3283810.5496485545</v>
      </c>
      <c r="AJR18" s="213">
        <f t="shared" si="170"/>
        <v>3283810.5496485545</v>
      </c>
      <c r="AJS18" s="213">
        <f t="shared" si="170"/>
        <v>3283810.5496485545</v>
      </c>
      <c r="AJT18" s="213">
        <f t="shared" si="170"/>
        <v>3283810.5496485545</v>
      </c>
      <c r="AJU18" s="213">
        <f t="shared" si="170"/>
        <v>3283810.5496485545</v>
      </c>
      <c r="AJV18" s="213">
        <f t="shared" si="170"/>
        <v>3283810.5496485545</v>
      </c>
      <c r="AJW18" s="213">
        <f t="shared" si="170"/>
        <v>3283810.5496485545</v>
      </c>
      <c r="AJX18" s="213">
        <f t="shared" si="170"/>
        <v>3283810.5496485545</v>
      </c>
      <c r="AJY18" s="213">
        <f t="shared" si="170"/>
        <v>3283810.5496485545</v>
      </c>
      <c r="AJZ18" s="213">
        <f t="shared" si="170"/>
        <v>3283810.5496485545</v>
      </c>
      <c r="AKA18" s="213">
        <f t="shared" si="170"/>
        <v>3283810.5496485545</v>
      </c>
      <c r="AKB18" s="213">
        <f t="shared" si="170"/>
        <v>3283810.5496485545</v>
      </c>
      <c r="AKC18" s="213">
        <f t="shared" si="170"/>
        <v>3283810.5496485545</v>
      </c>
      <c r="AKD18" s="213">
        <f t="shared" si="170"/>
        <v>3283810.5496485545</v>
      </c>
      <c r="AKE18" s="213">
        <f t="shared" si="170"/>
        <v>3283810.5496485545</v>
      </c>
      <c r="AKF18" s="213">
        <f t="shared" si="170"/>
        <v>3283810.5496485545</v>
      </c>
      <c r="AKG18" s="213">
        <f t="shared" ref="AKG18:AMR18" si="171">AKF18+AKG17</f>
        <v>3283810.5496485545</v>
      </c>
      <c r="AKH18" s="213">
        <f t="shared" si="171"/>
        <v>3283810.5496485545</v>
      </c>
      <c r="AKI18" s="213">
        <f t="shared" si="171"/>
        <v>3283810.5496485545</v>
      </c>
      <c r="AKJ18" s="213">
        <f t="shared" si="171"/>
        <v>3283810.5496485545</v>
      </c>
      <c r="AKK18" s="213">
        <f t="shared" si="171"/>
        <v>3283810.5496485545</v>
      </c>
      <c r="AKL18" s="213">
        <f t="shared" si="171"/>
        <v>3283810.5496485545</v>
      </c>
      <c r="AKM18" s="213">
        <f t="shared" si="171"/>
        <v>3283810.5496485545</v>
      </c>
      <c r="AKN18" s="213">
        <f t="shared" si="171"/>
        <v>3283810.5496485545</v>
      </c>
      <c r="AKO18" s="213">
        <f t="shared" si="171"/>
        <v>3283810.5496485545</v>
      </c>
      <c r="AKP18" s="213">
        <f t="shared" si="171"/>
        <v>3283810.5496485545</v>
      </c>
      <c r="AKQ18" s="213">
        <f t="shared" si="171"/>
        <v>3283810.5496485545</v>
      </c>
      <c r="AKR18" s="213">
        <f t="shared" si="171"/>
        <v>3283810.5496485545</v>
      </c>
      <c r="AKS18" s="213">
        <f t="shared" si="171"/>
        <v>3283810.5496485545</v>
      </c>
      <c r="AKT18" s="213">
        <f t="shared" si="171"/>
        <v>3283810.5496485545</v>
      </c>
      <c r="AKU18" s="213">
        <f t="shared" si="171"/>
        <v>3283810.5496485545</v>
      </c>
      <c r="AKV18" s="213">
        <f t="shared" si="171"/>
        <v>3283810.5496485545</v>
      </c>
      <c r="AKW18" s="213">
        <f t="shared" si="171"/>
        <v>3283810.5496485545</v>
      </c>
      <c r="AKX18" s="213">
        <f t="shared" si="171"/>
        <v>3283810.5496485545</v>
      </c>
      <c r="AKY18" s="213">
        <f t="shared" si="171"/>
        <v>3283810.5496485545</v>
      </c>
      <c r="AKZ18" s="213">
        <f t="shared" si="171"/>
        <v>3283810.5496485545</v>
      </c>
      <c r="ALA18" s="213">
        <f t="shared" si="171"/>
        <v>3283810.5496485545</v>
      </c>
      <c r="ALB18" s="213">
        <f t="shared" si="171"/>
        <v>3283810.5496485545</v>
      </c>
      <c r="ALC18" s="213">
        <f t="shared" si="171"/>
        <v>3283810.5496485545</v>
      </c>
      <c r="ALD18" s="213">
        <f t="shared" si="171"/>
        <v>3283810.5496485545</v>
      </c>
      <c r="ALE18" s="213">
        <f t="shared" si="171"/>
        <v>3283810.5496485545</v>
      </c>
      <c r="ALF18" s="213">
        <f t="shared" si="171"/>
        <v>3283810.5496485545</v>
      </c>
      <c r="ALG18" s="213">
        <f t="shared" si="171"/>
        <v>3283810.5496485545</v>
      </c>
      <c r="ALH18" s="213">
        <f t="shared" si="171"/>
        <v>3283810.5496485545</v>
      </c>
      <c r="ALI18" s="213">
        <f t="shared" si="171"/>
        <v>3283810.5496485545</v>
      </c>
      <c r="ALJ18" s="213">
        <f t="shared" si="171"/>
        <v>3283810.5496485545</v>
      </c>
      <c r="ALK18" s="213">
        <f t="shared" si="171"/>
        <v>3283810.5496485545</v>
      </c>
      <c r="ALL18" s="213">
        <f t="shared" si="171"/>
        <v>3283810.5496485545</v>
      </c>
      <c r="ALM18" s="213">
        <f t="shared" si="171"/>
        <v>3283810.5496485545</v>
      </c>
      <c r="ALN18" s="213">
        <f t="shared" si="171"/>
        <v>3283810.5496485545</v>
      </c>
      <c r="ALO18" s="213">
        <f t="shared" si="171"/>
        <v>3283810.5496485545</v>
      </c>
      <c r="ALP18" s="213">
        <f t="shared" si="171"/>
        <v>3283810.5496485545</v>
      </c>
      <c r="ALQ18" s="213">
        <f t="shared" si="171"/>
        <v>3283810.5496485545</v>
      </c>
      <c r="ALR18" s="213">
        <f t="shared" si="171"/>
        <v>3283810.5496485545</v>
      </c>
      <c r="ALS18" s="213">
        <f t="shared" si="171"/>
        <v>3283810.5496485545</v>
      </c>
      <c r="ALT18" s="213">
        <f t="shared" si="171"/>
        <v>3283810.5496485545</v>
      </c>
      <c r="ALU18" s="213">
        <f t="shared" si="171"/>
        <v>3283810.5496485545</v>
      </c>
      <c r="ALV18" s="213">
        <f t="shared" si="171"/>
        <v>3283810.5496485545</v>
      </c>
      <c r="ALW18" s="213">
        <f t="shared" si="171"/>
        <v>3283810.5496485545</v>
      </c>
      <c r="ALX18" s="213">
        <f t="shared" si="171"/>
        <v>3283810.5496485545</v>
      </c>
      <c r="ALY18" s="213">
        <f t="shared" si="171"/>
        <v>3283810.5496485545</v>
      </c>
      <c r="ALZ18" s="213">
        <f t="shared" si="171"/>
        <v>3283810.5496485545</v>
      </c>
      <c r="AMA18" s="213">
        <f t="shared" si="171"/>
        <v>3283810.5496485545</v>
      </c>
      <c r="AMB18" s="213">
        <f t="shared" si="171"/>
        <v>3283810.5496485545</v>
      </c>
      <c r="AMC18" s="213">
        <f t="shared" si="171"/>
        <v>3283810.5496485545</v>
      </c>
      <c r="AMD18" s="213">
        <f t="shared" si="171"/>
        <v>3283810.5496485545</v>
      </c>
      <c r="AME18" s="213">
        <f t="shared" si="171"/>
        <v>3283810.5496485545</v>
      </c>
      <c r="AMF18" s="213">
        <f t="shared" si="171"/>
        <v>3283810.5496485545</v>
      </c>
      <c r="AMG18" s="213">
        <f t="shared" si="171"/>
        <v>3283810.5496485545</v>
      </c>
      <c r="AMH18" s="213">
        <f t="shared" si="171"/>
        <v>3283810.5496485545</v>
      </c>
      <c r="AMI18" s="213">
        <f t="shared" si="171"/>
        <v>3283810.5496485545</v>
      </c>
      <c r="AMJ18" s="213">
        <f t="shared" si="171"/>
        <v>3283810.5496485545</v>
      </c>
      <c r="AMK18" s="213">
        <f t="shared" si="171"/>
        <v>3283810.5496485545</v>
      </c>
      <c r="AML18" s="213">
        <f t="shared" si="171"/>
        <v>3283810.5496485545</v>
      </c>
      <c r="AMM18" s="213">
        <f t="shared" si="171"/>
        <v>3283810.5496485545</v>
      </c>
      <c r="AMN18" s="213">
        <f t="shared" si="171"/>
        <v>3283810.5496485545</v>
      </c>
      <c r="AMO18" s="213">
        <f t="shared" si="171"/>
        <v>3283810.5496485545</v>
      </c>
      <c r="AMP18" s="213">
        <f t="shared" si="171"/>
        <v>3283810.5496485545</v>
      </c>
      <c r="AMQ18" s="213">
        <f t="shared" si="171"/>
        <v>3283810.5496485545</v>
      </c>
      <c r="AMR18" s="213">
        <f t="shared" si="171"/>
        <v>3283810.5496485545</v>
      </c>
      <c r="AMS18" s="213">
        <f t="shared" ref="AMS18:APD18" si="172">AMR18+AMS17</f>
        <v>3283810.5496485545</v>
      </c>
      <c r="AMT18" s="213">
        <f t="shared" si="172"/>
        <v>3283810.5496485545</v>
      </c>
      <c r="AMU18" s="213">
        <f t="shared" si="172"/>
        <v>3283810.5496485545</v>
      </c>
      <c r="AMV18" s="213">
        <f t="shared" si="172"/>
        <v>3283810.5496485545</v>
      </c>
      <c r="AMW18" s="213">
        <f t="shared" si="172"/>
        <v>3283810.5496485545</v>
      </c>
      <c r="AMX18" s="213">
        <f t="shared" si="172"/>
        <v>3283810.5496485545</v>
      </c>
      <c r="AMY18" s="213">
        <f t="shared" si="172"/>
        <v>3283810.5496485545</v>
      </c>
      <c r="AMZ18" s="213">
        <f t="shared" si="172"/>
        <v>3283810.5496485545</v>
      </c>
      <c r="ANA18" s="213">
        <f t="shared" si="172"/>
        <v>3283810.5496485545</v>
      </c>
      <c r="ANB18" s="213">
        <f t="shared" si="172"/>
        <v>3283810.5496485545</v>
      </c>
      <c r="ANC18" s="213">
        <f t="shared" si="172"/>
        <v>3283810.5496485545</v>
      </c>
      <c r="AND18" s="213">
        <f t="shared" si="172"/>
        <v>3283810.5496485545</v>
      </c>
      <c r="ANE18" s="213">
        <f t="shared" si="172"/>
        <v>3283810.5496485545</v>
      </c>
      <c r="ANF18" s="213">
        <f t="shared" si="172"/>
        <v>3283810.5496485545</v>
      </c>
      <c r="ANG18" s="213">
        <f t="shared" si="172"/>
        <v>3283810.5496485545</v>
      </c>
      <c r="ANH18" s="213">
        <f t="shared" si="172"/>
        <v>3283810.5496485545</v>
      </c>
      <c r="ANI18" s="213">
        <f t="shared" si="172"/>
        <v>3283810.5496485545</v>
      </c>
      <c r="ANJ18" s="213">
        <f t="shared" si="172"/>
        <v>3283810.5496485545</v>
      </c>
      <c r="ANK18" s="213">
        <f t="shared" si="172"/>
        <v>3283810.5496485545</v>
      </c>
      <c r="ANL18" s="213">
        <f t="shared" si="172"/>
        <v>3283810.5496485545</v>
      </c>
      <c r="ANM18" s="213">
        <f t="shared" si="172"/>
        <v>3283810.5496485545</v>
      </c>
      <c r="ANN18" s="213">
        <f t="shared" si="172"/>
        <v>3283810.5496485545</v>
      </c>
      <c r="ANO18" s="213">
        <f t="shared" si="172"/>
        <v>3283810.5496485545</v>
      </c>
      <c r="ANP18" s="213">
        <f t="shared" si="172"/>
        <v>3283810.5496485545</v>
      </c>
      <c r="ANQ18" s="213">
        <f t="shared" si="172"/>
        <v>3283810.5496485545</v>
      </c>
      <c r="ANR18" s="213">
        <f t="shared" si="172"/>
        <v>3283810.5496485545</v>
      </c>
      <c r="ANS18" s="213">
        <f t="shared" si="172"/>
        <v>3283810.5496485545</v>
      </c>
      <c r="ANT18" s="213">
        <f t="shared" si="172"/>
        <v>3283810.5496485545</v>
      </c>
      <c r="ANU18" s="213">
        <f t="shared" si="172"/>
        <v>3283810.5496485545</v>
      </c>
      <c r="ANV18" s="213">
        <f t="shared" si="172"/>
        <v>3283810.5496485545</v>
      </c>
      <c r="ANW18" s="213">
        <f t="shared" si="172"/>
        <v>3283810.5496485545</v>
      </c>
      <c r="ANX18" s="213">
        <f t="shared" si="172"/>
        <v>3283810.5496485545</v>
      </c>
      <c r="ANY18" s="213">
        <f t="shared" si="172"/>
        <v>3283810.5496485545</v>
      </c>
      <c r="ANZ18" s="213">
        <f t="shared" si="172"/>
        <v>3283810.5496485545</v>
      </c>
      <c r="AOA18" s="213">
        <f t="shared" si="172"/>
        <v>3283810.5496485545</v>
      </c>
      <c r="AOB18" s="213">
        <f t="shared" si="172"/>
        <v>3283810.5496485545</v>
      </c>
      <c r="AOC18" s="213">
        <f t="shared" si="172"/>
        <v>3283810.5496485545</v>
      </c>
      <c r="AOD18" s="213">
        <f t="shared" si="172"/>
        <v>3283810.5496485545</v>
      </c>
      <c r="AOE18" s="213">
        <f t="shared" si="172"/>
        <v>3283810.5496485545</v>
      </c>
      <c r="AOF18" s="213">
        <f t="shared" si="172"/>
        <v>3283810.5496485545</v>
      </c>
      <c r="AOG18" s="213">
        <f t="shared" si="172"/>
        <v>3283810.5496485545</v>
      </c>
      <c r="AOH18" s="213">
        <f t="shared" si="172"/>
        <v>3283810.5496485545</v>
      </c>
      <c r="AOI18" s="213">
        <f t="shared" si="172"/>
        <v>3283810.5496485545</v>
      </c>
      <c r="AOJ18" s="213">
        <f t="shared" si="172"/>
        <v>3283810.5496485545</v>
      </c>
      <c r="AOK18" s="213">
        <f t="shared" si="172"/>
        <v>3283810.5496485545</v>
      </c>
      <c r="AOL18" s="213">
        <f t="shared" si="172"/>
        <v>3283810.5496485545</v>
      </c>
      <c r="AOM18" s="213">
        <f t="shared" si="172"/>
        <v>3283810.5496485545</v>
      </c>
      <c r="AON18" s="213">
        <f t="shared" si="172"/>
        <v>3283810.5496485545</v>
      </c>
      <c r="AOO18" s="213">
        <f t="shared" si="172"/>
        <v>3283810.5496485545</v>
      </c>
      <c r="AOP18" s="213">
        <f t="shared" si="172"/>
        <v>3283810.5496485545</v>
      </c>
      <c r="AOQ18" s="213">
        <f t="shared" si="172"/>
        <v>3283810.5496485545</v>
      </c>
      <c r="AOR18" s="213">
        <f t="shared" si="172"/>
        <v>3283810.5496485545</v>
      </c>
      <c r="AOS18" s="213">
        <f t="shared" si="172"/>
        <v>3283810.5496485545</v>
      </c>
      <c r="AOT18" s="213">
        <f t="shared" si="172"/>
        <v>3283810.5496485545</v>
      </c>
      <c r="AOU18" s="213">
        <f t="shared" si="172"/>
        <v>3283810.5496485545</v>
      </c>
      <c r="AOV18" s="213">
        <f t="shared" si="172"/>
        <v>3283810.5496485545</v>
      </c>
      <c r="AOW18" s="213">
        <f t="shared" si="172"/>
        <v>3283810.5496485545</v>
      </c>
      <c r="AOX18" s="213">
        <f t="shared" si="172"/>
        <v>3283810.5496485545</v>
      </c>
      <c r="AOY18" s="213">
        <f t="shared" si="172"/>
        <v>3283810.5496485545</v>
      </c>
      <c r="AOZ18" s="213">
        <f t="shared" si="172"/>
        <v>3283810.5496485545</v>
      </c>
      <c r="APA18" s="213">
        <f t="shared" si="172"/>
        <v>3283810.5496485545</v>
      </c>
      <c r="APB18" s="213">
        <f t="shared" si="172"/>
        <v>3283810.5496485545</v>
      </c>
      <c r="APC18" s="213">
        <f t="shared" si="172"/>
        <v>3283810.5496485545</v>
      </c>
      <c r="APD18" s="213">
        <f t="shared" si="172"/>
        <v>3283810.5496485545</v>
      </c>
      <c r="APE18" s="213">
        <f t="shared" ref="APE18:ARP18" si="173">APD18+APE17</f>
        <v>3283810.5496485545</v>
      </c>
      <c r="APF18" s="213">
        <f t="shared" si="173"/>
        <v>3283810.5496485545</v>
      </c>
      <c r="APG18" s="213">
        <f t="shared" si="173"/>
        <v>3283810.5496485545</v>
      </c>
      <c r="APH18" s="213">
        <f t="shared" si="173"/>
        <v>3283810.5496485545</v>
      </c>
      <c r="API18" s="213">
        <f t="shared" si="173"/>
        <v>3283810.5496485545</v>
      </c>
      <c r="APJ18" s="213">
        <f t="shared" si="173"/>
        <v>3283810.5496485545</v>
      </c>
      <c r="APK18" s="213">
        <f t="shared" si="173"/>
        <v>3283810.5496485545</v>
      </c>
      <c r="APL18" s="213">
        <f t="shared" si="173"/>
        <v>3283810.5496485545</v>
      </c>
      <c r="APM18" s="213">
        <f t="shared" si="173"/>
        <v>3283810.5496485545</v>
      </c>
      <c r="APN18" s="213">
        <f t="shared" si="173"/>
        <v>3283810.5496485545</v>
      </c>
      <c r="APO18" s="213">
        <f t="shared" si="173"/>
        <v>3283810.5496485545</v>
      </c>
      <c r="APP18" s="213">
        <f t="shared" si="173"/>
        <v>3283810.5496485545</v>
      </c>
      <c r="APQ18" s="213">
        <f t="shared" si="173"/>
        <v>3283810.5496485545</v>
      </c>
      <c r="APR18" s="213">
        <f t="shared" si="173"/>
        <v>3283810.5496485545</v>
      </c>
      <c r="APS18" s="213">
        <f t="shared" si="173"/>
        <v>3283810.5496485545</v>
      </c>
      <c r="APT18" s="213">
        <f t="shared" si="173"/>
        <v>3283810.5496485545</v>
      </c>
      <c r="APU18" s="213">
        <f t="shared" si="173"/>
        <v>3283810.5496485545</v>
      </c>
      <c r="APV18" s="213">
        <f t="shared" si="173"/>
        <v>3283810.5496485545</v>
      </c>
      <c r="APW18" s="213">
        <f t="shared" si="173"/>
        <v>3283810.5496485545</v>
      </c>
      <c r="APX18" s="213">
        <f t="shared" si="173"/>
        <v>3283810.5496485545</v>
      </c>
      <c r="APY18" s="213">
        <f t="shared" si="173"/>
        <v>3283810.5496485545</v>
      </c>
      <c r="APZ18" s="213">
        <f t="shared" si="173"/>
        <v>3283810.5496485545</v>
      </c>
      <c r="AQA18" s="213">
        <f t="shared" si="173"/>
        <v>3283810.5496485545</v>
      </c>
      <c r="AQB18" s="213">
        <f t="shared" si="173"/>
        <v>3283810.5496485545</v>
      </c>
      <c r="AQC18" s="213">
        <f t="shared" si="173"/>
        <v>3283810.5496485545</v>
      </c>
      <c r="AQD18" s="213">
        <f t="shared" si="173"/>
        <v>3283810.5496485545</v>
      </c>
      <c r="AQE18" s="213">
        <f t="shared" si="173"/>
        <v>3283810.5496485545</v>
      </c>
      <c r="AQF18" s="213">
        <f t="shared" si="173"/>
        <v>3283810.5496485545</v>
      </c>
      <c r="AQG18" s="213">
        <f t="shared" si="173"/>
        <v>3283810.5496485545</v>
      </c>
      <c r="AQH18" s="213">
        <f t="shared" si="173"/>
        <v>3283810.5496485545</v>
      </c>
      <c r="AQI18" s="213">
        <f t="shared" si="173"/>
        <v>3283810.5496485545</v>
      </c>
      <c r="AQJ18" s="213">
        <f t="shared" si="173"/>
        <v>3283810.5496485545</v>
      </c>
      <c r="AQK18" s="213">
        <f t="shared" si="173"/>
        <v>3283810.5496485545</v>
      </c>
      <c r="AQL18" s="213">
        <f t="shared" si="173"/>
        <v>3283810.5496485545</v>
      </c>
      <c r="AQM18" s="213">
        <f t="shared" si="173"/>
        <v>3283810.5496485545</v>
      </c>
      <c r="AQN18" s="213">
        <f t="shared" si="173"/>
        <v>3283810.5496485545</v>
      </c>
      <c r="AQO18" s="213">
        <f t="shared" si="173"/>
        <v>3283810.5496485545</v>
      </c>
      <c r="AQP18" s="213">
        <f t="shared" si="173"/>
        <v>3283810.5496485545</v>
      </c>
      <c r="AQQ18" s="213">
        <f t="shared" si="173"/>
        <v>3283810.5496485545</v>
      </c>
      <c r="AQR18" s="213">
        <f t="shared" si="173"/>
        <v>3283810.5496485545</v>
      </c>
      <c r="AQS18" s="213">
        <f t="shared" si="173"/>
        <v>3283810.5496485545</v>
      </c>
      <c r="AQT18" s="213">
        <f t="shared" si="173"/>
        <v>3283810.5496485545</v>
      </c>
      <c r="AQU18" s="213">
        <f t="shared" si="173"/>
        <v>3283810.5496485545</v>
      </c>
      <c r="AQV18" s="213">
        <f t="shared" si="173"/>
        <v>3283810.5496485545</v>
      </c>
      <c r="AQW18" s="213">
        <f t="shared" si="173"/>
        <v>3283810.5496485545</v>
      </c>
      <c r="AQX18" s="213">
        <f t="shared" si="173"/>
        <v>3283810.5496485545</v>
      </c>
      <c r="AQY18" s="213">
        <f t="shared" si="173"/>
        <v>3283810.5496485545</v>
      </c>
      <c r="AQZ18" s="213">
        <f t="shared" si="173"/>
        <v>3283810.5496485545</v>
      </c>
      <c r="ARA18" s="213">
        <f t="shared" si="173"/>
        <v>3283810.5496485545</v>
      </c>
      <c r="ARB18" s="213">
        <f t="shared" si="173"/>
        <v>3283810.5496485545</v>
      </c>
      <c r="ARC18" s="213">
        <f t="shared" si="173"/>
        <v>3283810.5496485545</v>
      </c>
      <c r="ARD18" s="213">
        <f t="shared" si="173"/>
        <v>3283810.5496485545</v>
      </c>
      <c r="ARE18" s="213">
        <f t="shared" si="173"/>
        <v>3283810.5496485545</v>
      </c>
      <c r="ARF18" s="213">
        <f t="shared" si="173"/>
        <v>3283810.5496485545</v>
      </c>
      <c r="ARG18" s="213">
        <f t="shared" si="173"/>
        <v>3283810.5496485545</v>
      </c>
      <c r="ARH18" s="213">
        <f t="shared" si="173"/>
        <v>3283810.5496485545</v>
      </c>
      <c r="ARI18" s="213">
        <f t="shared" si="173"/>
        <v>3283810.5496485545</v>
      </c>
      <c r="ARJ18" s="213">
        <f t="shared" si="173"/>
        <v>3283810.5496485545</v>
      </c>
      <c r="ARK18" s="213">
        <f t="shared" si="173"/>
        <v>3283810.5496485545</v>
      </c>
      <c r="ARL18" s="213">
        <f t="shared" si="173"/>
        <v>3283810.5496485545</v>
      </c>
      <c r="ARM18" s="213">
        <f t="shared" si="173"/>
        <v>3283810.5496485545</v>
      </c>
      <c r="ARN18" s="213">
        <f t="shared" si="173"/>
        <v>3283810.5496485545</v>
      </c>
      <c r="ARO18" s="213">
        <f t="shared" si="173"/>
        <v>3283810.5496485545</v>
      </c>
      <c r="ARP18" s="213">
        <f t="shared" si="173"/>
        <v>3283810.5496485545</v>
      </c>
      <c r="ARQ18" s="213">
        <f t="shared" ref="ARQ18:AUB18" si="174">ARP18+ARQ17</f>
        <v>3283810.5496485545</v>
      </c>
      <c r="ARR18" s="213">
        <f t="shared" si="174"/>
        <v>3283810.5496485545</v>
      </c>
      <c r="ARS18" s="213">
        <f t="shared" si="174"/>
        <v>3283810.5496485545</v>
      </c>
      <c r="ART18" s="213">
        <f t="shared" si="174"/>
        <v>3283810.5496485545</v>
      </c>
      <c r="ARU18" s="213">
        <f t="shared" si="174"/>
        <v>3283810.5496485545</v>
      </c>
      <c r="ARV18" s="213">
        <f t="shared" si="174"/>
        <v>3283810.5496485545</v>
      </c>
      <c r="ARW18" s="213">
        <f t="shared" si="174"/>
        <v>3283810.5496485545</v>
      </c>
      <c r="ARX18" s="213">
        <f t="shared" si="174"/>
        <v>3283810.5496485545</v>
      </c>
      <c r="ARY18" s="213">
        <f t="shared" si="174"/>
        <v>3283810.5496485545</v>
      </c>
      <c r="ARZ18" s="213">
        <f t="shared" si="174"/>
        <v>3283810.5496485545</v>
      </c>
      <c r="ASA18" s="213">
        <f t="shared" si="174"/>
        <v>3283810.5496485545</v>
      </c>
      <c r="ASB18" s="213">
        <f t="shared" si="174"/>
        <v>3283810.5496485545</v>
      </c>
      <c r="ASC18" s="213">
        <f t="shared" si="174"/>
        <v>3283810.5496485545</v>
      </c>
      <c r="ASD18" s="213">
        <f t="shared" si="174"/>
        <v>3283810.5496485545</v>
      </c>
      <c r="ASE18" s="213">
        <f t="shared" si="174"/>
        <v>3283810.5496485545</v>
      </c>
      <c r="ASF18" s="213">
        <f t="shared" si="174"/>
        <v>3283810.5496485545</v>
      </c>
      <c r="ASG18" s="213">
        <f t="shared" si="174"/>
        <v>3283810.5496485545</v>
      </c>
      <c r="ASH18" s="213">
        <f t="shared" si="174"/>
        <v>3283810.5496485545</v>
      </c>
      <c r="ASI18" s="213">
        <f t="shared" si="174"/>
        <v>3283810.5496485545</v>
      </c>
      <c r="ASJ18" s="213">
        <f t="shared" si="174"/>
        <v>3283810.5496485545</v>
      </c>
      <c r="ASK18" s="213">
        <f t="shared" si="174"/>
        <v>3283810.5496485545</v>
      </c>
      <c r="ASL18" s="213">
        <f t="shared" si="174"/>
        <v>3283810.5496485545</v>
      </c>
      <c r="ASM18" s="213">
        <f t="shared" si="174"/>
        <v>3283810.5496485545</v>
      </c>
      <c r="ASN18" s="213">
        <f t="shared" si="174"/>
        <v>3283810.5496485545</v>
      </c>
      <c r="ASO18" s="213">
        <f t="shared" si="174"/>
        <v>3283810.5496485545</v>
      </c>
      <c r="ASP18" s="213">
        <f t="shared" si="174"/>
        <v>3283810.5496485545</v>
      </c>
      <c r="ASQ18" s="213">
        <f t="shared" si="174"/>
        <v>3283810.5496485545</v>
      </c>
      <c r="ASR18" s="213">
        <f t="shared" si="174"/>
        <v>3283810.5496485545</v>
      </c>
      <c r="ASS18" s="213">
        <f t="shared" si="174"/>
        <v>3283810.5496485545</v>
      </c>
      <c r="AST18" s="213">
        <f t="shared" si="174"/>
        <v>3283810.5496485545</v>
      </c>
      <c r="ASU18" s="213">
        <f t="shared" si="174"/>
        <v>3283810.5496485545</v>
      </c>
      <c r="ASV18" s="213">
        <f t="shared" si="174"/>
        <v>3283810.5496485545</v>
      </c>
      <c r="ASW18" s="213">
        <f t="shared" si="174"/>
        <v>3283810.5496485545</v>
      </c>
      <c r="ASX18" s="213">
        <f t="shared" si="174"/>
        <v>3283810.5496485545</v>
      </c>
      <c r="ASY18" s="213">
        <f t="shared" si="174"/>
        <v>3283810.5496485545</v>
      </c>
      <c r="ASZ18" s="213">
        <f t="shared" si="174"/>
        <v>3283810.5496485545</v>
      </c>
      <c r="ATA18" s="213">
        <f t="shared" si="174"/>
        <v>3283810.5496485545</v>
      </c>
      <c r="ATB18" s="213">
        <f t="shared" si="174"/>
        <v>3283810.5496485545</v>
      </c>
      <c r="ATC18" s="213">
        <f t="shared" si="174"/>
        <v>3283810.5496485545</v>
      </c>
      <c r="ATD18" s="213">
        <f t="shared" si="174"/>
        <v>3283810.5496485545</v>
      </c>
      <c r="ATE18" s="213">
        <f t="shared" si="174"/>
        <v>3283810.5496485545</v>
      </c>
      <c r="ATF18" s="213">
        <f t="shared" si="174"/>
        <v>3283810.5496485545</v>
      </c>
      <c r="ATG18" s="213">
        <f t="shared" si="174"/>
        <v>3283810.5496485545</v>
      </c>
      <c r="ATH18" s="213">
        <f t="shared" si="174"/>
        <v>3283810.5496485545</v>
      </c>
      <c r="ATI18" s="213">
        <f t="shared" si="174"/>
        <v>3283810.5496485545</v>
      </c>
      <c r="ATJ18" s="213">
        <f t="shared" si="174"/>
        <v>3283810.5496485545</v>
      </c>
      <c r="ATK18" s="213">
        <f t="shared" si="174"/>
        <v>3283810.5496485545</v>
      </c>
      <c r="ATL18" s="213">
        <f t="shared" si="174"/>
        <v>3283810.5496485545</v>
      </c>
      <c r="ATM18" s="213">
        <f t="shared" si="174"/>
        <v>3283810.5496485545</v>
      </c>
      <c r="ATN18" s="213">
        <f t="shared" si="174"/>
        <v>3283810.5496485545</v>
      </c>
      <c r="ATO18" s="213">
        <f t="shared" si="174"/>
        <v>3283810.5496485545</v>
      </c>
      <c r="ATP18" s="213">
        <f t="shared" si="174"/>
        <v>3283810.5496485545</v>
      </c>
      <c r="ATQ18" s="213">
        <f t="shared" si="174"/>
        <v>3283810.5496485545</v>
      </c>
      <c r="ATR18" s="213">
        <f t="shared" si="174"/>
        <v>3283810.5496485545</v>
      </c>
      <c r="ATS18" s="213">
        <f t="shared" si="174"/>
        <v>3283810.5496485545</v>
      </c>
      <c r="ATT18" s="213">
        <f t="shared" si="174"/>
        <v>3283810.5496485545</v>
      </c>
      <c r="ATU18" s="213">
        <f t="shared" si="174"/>
        <v>3283810.5496485545</v>
      </c>
      <c r="ATV18" s="213">
        <f t="shared" si="174"/>
        <v>3283810.5496485545</v>
      </c>
      <c r="ATW18" s="213">
        <f t="shared" si="174"/>
        <v>3283810.5496485545</v>
      </c>
      <c r="ATX18" s="213">
        <f t="shared" si="174"/>
        <v>3283810.5496485545</v>
      </c>
      <c r="ATY18" s="213">
        <f t="shared" si="174"/>
        <v>3283810.5496485545</v>
      </c>
      <c r="ATZ18" s="213">
        <f t="shared" si="174"/>
        <v>3283810.5496485545</v>
      </c>
      <c r="AUA18" s="213">
        <f t="shared" si="174"/>
        <v>3283810.5496485545</v>
      </c>
      <c r="AUB18" s="213">
        <f t="shared" si="174"/>
        <v>3283810.5496485545</v>
      </c>
      <c r="AUC18" s="213">
        <f t="shared" ref="AUC18:AWN18" si="175">AUB18+AUC17</f>
        <v>3283810.5496485545</v>
      </c>
      <c r="AUD18" s="213">
        <f t="shared" si="175"/>
        <v>3283810.5496485545</v>
      </c>
      <c r="AUE18" s="213">
        <f t="shared" si="175"/>
        <v>3283810.5496485545</v>
      </c>
      <c r="AUF18" s="213">
        <f t="shared" si="175"/>
        <v>3283810.5496485545</v>
      </c>
      <c r="AUG18" s="213">
        <f t="shared" si="175"/>
        <v>3283810.5496485545</v>
      </c>
      <c r="AUH18" s="213">
        <f t="shared" si="175"/>
        <v>3283810.5496485545</v>
      </c>
      <c r="AUI18" s="213">
        <f t="shared" si="175"/>
        <v>3283810.5496485545</v>
      </c>
      <c r="AUJ18" s="213">
        <f t="shared" si="175"/>
        <v>3283810.5496485545</v>
      </c>
      <c r="AUK18" s="213">
        <f t="shared" si="175"/>
        <v>3283810.5496485545</v>
      </c>
      <c r="AUL18" s="213">
        <f t="shared" si="175"/>
        <v>3283810.5496485545</v>
      </c>
      <c r="AUM18" s="213">
        <f t="shared" si="175"/>
        <v>3283810.5496485545</v>
      </c>
      <c r="AUN18" s="213">
        <f t="shared" si="175"/>
        <v>3283810.5496485545</v>
      </c>
      <c r="AUO18" s="213">
        <f t="shared" si="175"/>
        <v>3283810.5496485545</v>
      </c>
      <c r="AUP18" s="213">
        <f t="shared" si="175"/>
        <v>3283810.5496485545</v>
      </c>
      <c r="AUQ18" s="213">
        <f t="shared" si="175"/>
        <v>3283810.5496485545</v>
      </c>
      <c r="AUR18" s="213">
        <f t="shared" si="175"/>
        <v>3283810.5496485545</v>
      </c>
      <c r="AUS18" s="213">
        <f t="shared" si="175"/>
        <v>3283810.5496485545</v>
      </c>
      <c r="AUT18" s="213">
        <f t="shared" si="175"/>
        <v>3283810.5496485545</v>
      </c>
      <c r="AUU18" s="213">
        <f t="shared" si="175"/>
        <v>3283810.5496485545</v>
      </c>
      <c r="AUV18" s="213">
        <f t="shared" si="175"/>
        <v>3283810.5496485545</v>
      </c>
      <c r="AUW18" s="213">
        <f t="shared" si="175"/>
        <v>3283810.5496485545</v>
      </c>
      <c r="AUX18" s="213">
        <f t="shared" si="175"/>
        <v>3283810.5496485545</v>
      </c>
      <c r="AUY18" s="213">
        <f t="shared" si="175"/>
        <v>3283810.5496485545</v>
      </c>
      <c r="AUZ18" s="213">
        <f t="shared" si="175"/>
        <v>3283810.5496485545</v>
      </c>
      <c r="AVA18" s="213">
        <f t="shared" si="175"/>
        <v>3283810.5496485545</v>
      </c>
      <c r="AVB18" s="213">
        <f t="shared" si="175"/>
        <v>3283810.5496485545</v>
      </c>
      <c r="AVC18" s="213">
        <f t="shared" si="175"/>
        <v>3283810.5496485545</v>
      </c>
      <c r="AVD18" s="213">
        <f t="shared" si="175"/>
        <v>3283810.5496485545</v>
      </c>
      <c r="AVE18" s="213">
        <f t="shared" si="175"/>
        <v>3283810.5496485545</v>
      </c>
      <c r="AVF18" s="213">
        <f t="shared" si="175"/>
        <v>3283810.5496485545</v>
      </c>
      <c r="AVG18" s="213">
        <f t="shared" si="175"/>
        <v>3283810.5496485545</v>
      </c>
      <c r="AVH18" s="213">
        <f t="shared" si="175"/>
        <v>3283810.5496485545</v>
      </c>
      <c r="AVI18" s="213">
        <f t="shared" si="175"/>
        <v>3283810.5496485545</v>
      </c>
      <c r="AVJ18" s="213">
        <f t="shared" si="175"/>
        <v>3283810.5496485545</v>
      </c>
      <c r="AVK18" s="213">
        <f t="shared" si="175"/>
        <v>3283810.5496485545</v>
      </c>
      <c r="AVL18" s="213">
        <f t="shared" si="175"/>
        <v>3283810.5496485545</v>
      </c>
      <c r="AVM18" s="213">
        <f t="shared" si="175"/>
        <v>3283810.5496485545</v>
      </c>
      <c r="AVN18" s="213">
        <f t="shared" si="175"/>
        <v>3283810.5496485545</v>
      </c>
      <c r="AVO18" s="213">
        <f t="shared" si="175"/>
        <v>3283810.5496485545</v>
      </c>
      <c r="AVP18" s="213">
        <f t="shared" si="175"/>
        <v>3283810.5496485545</v>
      </c>
      <c r="AVQ18" s="213">
        <f t="shared" si="175"/>
        <v>3283810.5496485545</v>
      </c>
      <c r="AVR18" s="213">
        <f t="shared" si="175"/>
        <v>3283810.5496485545</v>
      </c>
      <c r="AVS18" s="213">
        <f t="shared" si="175"/>
        <v>3283810.5496485545</v>
      </c>
      <c r="AVT18" s="213">
        <f t="shared" si="175"/>
        <v>3283810.5496485545</v>
      </c>
      <c r="AVU18" s="213">
        <f t="shared" si="175"/>
        <v>3283810.5496485545</v>
      </c>
      <c r="AVV18" s="213">
        <f t="shared" si="175"/>
        <v>3283810.5496485545</v>
      </c>
      <c r="AVW18" s="213">
        <f t="shared" si="175"/>
        <v>3283810.5496485545</v>
      </c>
      <c r="AVX18" s="213">
        <f t="shared" si="175"/>
        <v>3283810.5496485545</v>
      </c>
      <c r="AVY18" s="213">
        <f t="shared" si="175"/>
        <v>3283810.5496485545</v>
      </c>
      <c r="AVZ18" s="213">
        <f t="shared" si="175"/>
        <v>3283810.5496485545</v>
      </c>
      <c r="AWA18" s="213">
        <f t="shared" si="175"/>
        <v>3283810.5496485545</v>
      </c>
      <c r="AWB18" s="213">
        <f t="shared" si="175"/>
        <v>3283810.5496485545</v>
      </c>
      <c r="AWC18" s="213">
        <f t="shared" si="175"/>
        <v>3283810.5496485545</v>
      </c>
      <c r="AWD18" s="213">
        <f t="shared" si="175"/>
        <v>3283810.5496485545</v>
      </c>
      <c r="AWE18" s="213">
        <f t="shared" si="175"/>
        <v>3283810.5496485545</v>
      </c>
      <c r="AWF18" s="213">
        <f t="shared" si="175"/>
        <v>3283810.5496485545</v>
      </c>
      <c r="AWG18" s="213">
        <f t="shared" si="175"/>
        <v>3283810.5496485545</v>
      </c>
      <c r="AWH18" s="213">
        <f t="shared" si="175"/>
        <v>3283810.5496485545</v>
      </c>
      <c r="AWI18" s="213">
        <f t="shared" si="175"/>
        <v>3283810.5496485545</v>
      </c>
      <c r="AWJ18" s="213">
        <f t="shared" si="175"/>
        <v>3283810.5496485545</v>
      </c>
      <c r="AWK18" s="213">
        <f t="shared" si="175"/>
        <v>3283810.5496485545</v>
      </c>
      <c r="AWL18" s="213">
        <f t="shared" si="175"/>
        <v>3283810.5496485545</v>
      </c>
      <c r="AWM18" s="213">
        <f t="shared" si="175"/>
        <v>3283810.5496485545</v>
      </c>
      <c r="AWN18" s="213">
        <f t="shared" si="175"/>
        <v>3283810.5496485545</v>
      </c>
      <c r="AWO18" s="213">
        <f t="shared" ref="AWO18:AYZ18" si="176">AWN18+AWO17</f>
        <v>3283810.5496485545</v>
      </c>
      <c r="AWP18" s="213">
        <f t="shared" si="176"/>
        <v>3283810.5496485545</v>
      </c>
      <c r="AWQ18" s="213">
        <f t="shared" si="176"/>
        <v>3283810.5496485545</v>
      </c>
      <c r="AWR18" s="213">
        <f t="shared" si="176"/>
        <v>3283810.5496485545</v>
      </c>
      <c r="AWS18" s="213">
        <f t="shared" si="176"/>
        <v>3283810.5496485545</v>
      </c>
      <c r="AWT18" s="213">
        <f t="shared" si="176"/>
        <v>3283810.5496485545</v>
      </c>
      <c r="AWU18" s="213">
        <f t="shared" si="176"/>
        <v>3283810.5496485545</v>
      </c>
      <c r="AWV18" s="213">
        <f t="shared" si="176"/>
        <v>3283810.5496485545</v>
      </c>
      <c r="AWW18" s="213">
        <f t="shared" si="176"/>
        <v>3283810.5496485545</v>
      </c>
      <c r="AWX18" s="213">
        <f t="shared" si="176"/>
        <v>3283810.5496485545</v>
      </c>
      <c r="AWY18" s="213">
        <f t="shared" si="176"/>
        <v>3283810.5496485545</v>
      </c>
      <c r="AWZ18" s="213">
        <f t="shared" si="176"/>
        <v>3283810.5496485545</v>
      </c>
      <c r="AXA18" s="213">
        <f t="shared" si="176"/>
        <v>3283810.5496485545</v>
      </c>
      <c r="AXB18" s="213">
        <f t="shared" si="176"/>
        <v>3283810.5496485545</v>
      </c>
      <c r="AXC18" s="213">
        <f t="shared" si="176"/>
        <v>3283810.5496485545</v>
      </c>
      <c r="AXD18" s="213">
        <f t="shared" si="176"/>
        <v>3283810.5496485545</v>
      </c>
      <c r="AXE18" s="213">
        <f t="shared" si="176"/>
        <v>3283810.5496485545</v>
      </c>
      <c r="AXF18" s="213">
        <f t="shared" si="176"/>
        <v>3283810.5496485545</v>
      </c>
      <c r="AXG18" s="213">
        <f t="shared" si="176"/>
        <v>3283810.5496485545</v>
      </c>
      <c r="AXH18" s="213">
        <f t="shared" si="176"/>
        <v>3283810.5496485545</v>
      </c>
      <c r="AXI18" s="213">
        <f t="shared" si="176"/>
        <v>3283810.5496485545</v>
      </c>
      <c r="AXJ18" s="213">
        <f t="shared" si="176"/>
        <v>3283810.5496485545</v>
      </c>
      <c r="AXK18" s="213">
        <f t="shared" si="176"/>
        <v>3283810.5496485545</v>
      </c>
      <c r="AXL18" s="213">
        <f t="shared" si="176"/>
        <v>3283810.5496485545</v>
      </c>
      <c r="AXM18" s="213">
        <f t="shared" si="176"/>
        <v>3283810.5496485545</v>
      </c>
      <c r="AXN18" s="213">
        <f t="shared" si="176"/>
        <v>3283810.5496485545</v>
      </c>
      <c r="AXO18" s="213">
        <f t="shared" si="176"/>
        <v>3283810.5496485545</v>
      </c>
      <c r="AXP18" s="213">
        <f t="shared" si="176"/>
        <v>3283810.5496485545</v>
      </c>
      <c r="AXQ18" s="213">
        <f t="shared" si="176"/>
        <v>3283810.5496485545</v>
      </c>
      <c r="AXR18" s="213">
        <f t="shared" si="176"/>
        <v>3283810.5496485545</v>
      </c>
      <c r="AXS18" s="213">
        <f t="shared" si="176"/>
        <v>3283810.5496485545</v>
      </c>
      <c r="AXT18" s="213">
        <f t="shared" si="176"/>
        <v>3283810.5496485545</v>
      </c>
      <c r="AXU18" s="213">
        <f t="shared" si="176"/>
        <v>3283810.5496485545</v>
      </c>
      <c r="AXV18" s="213">
        <f t="shared" si="176"/>
        <v>3283810.5496485545</v>
      </c>
      <c r="AXW18" s="213">
        <f t="shared" si="176"/>
        <v>3283810.5496485545</v>
      </c>
      <c r="AXX18" s="213">
        <f t="shared" si="176"/>
        <v>3283810.5496485545</v>
      </c>
      <c r="AXY18" s="213">
        <f t="shared" si="176"/>
        <v>3283810.5496485545</v>
      </c>
      <c r="AXZ18" s="213">
        <f t="shared" si="176"/>
        <v>3283810.5496485545</v>
      </c>
      <c r="AYA18" s="213">
        <f t="shared" si="176"/>
        <v>3283810.5496485545</v>
      </c>
      <c r="AYB18" s="213">
        <f t="shared" si="176"/>
        <v>3283810.5496485545</v>
      </c>
      <c r="AYC18" s="213">
        <f t="shared" si="176"/>
        <v>3283810.5496485545</v>
      </c>
      <c r="AYD18" s="213">
        <f t="shared" si="176"/>
        <v>3283810.5496485545</v>
      </c>
      <c r="AYE18" s="213">
        <f t="shared" si="176"/>
        <v>3283810.5496485545</v>
      </c>
      <c r="AYF18" s="213">
        <f t="shared" si="176"/>
        <v>3283810.5496485545</v>
      </c>
      <c r="AYG18" s="213">
        <f t="shared" si="176"/>
        <v>3283810.5496485545</v>
      </c>
      <c r="AYH18" s="213">
        <f t="shared" si="176"/>
        <v>3283810.5496485545</v>
      </c>
      <c r="AYI18" s="213">
        <f t="shared" si="176"/>
        <v>3283810.5496485545</v>
      </c>
      <c r="AYJ18" s="213">
        <f t="shared" si="176"/>
        <v>3283810.5496485545</v>
      </c>
      <c r="AYK18" s="213">
        <f t="shared" si="176"/>
        <v>3283810.5496485545</v>
      </c>
      <c r="AYL18" s="213">
        <f t="shared" si="176"/>
        <v>3283810.5496485545</v>
      </c>
      <c r="AYM18" s="213">
        <f t="shared" si="176"/>
        <v>3283810.5496485545</v>
      </c>
      <c r="AYN18" s="213">
        <f t="shared" si="176"/>
        <v>3283810.5496485545</v>
      </c>
      <c r="AYO18" s="213">
        <f t="shared" si="176"/>
        <v>3283810.5496485545</v>
      </c>
      <c r="AYP18" s="213">
        <f t="shared" si="176"/>
        <v>3283810.5496485545</v>
      </c>
      <c r="AYQ18" s="213">
        <f t="shared" si="176"/>
        <v>3283810.5496485545</v>
      </c>
      <c r="AYR18" s="213">
        <f t="shared" si="176"/>
        <v>3283810.5496485545</v>
      </c>
      <c r="AYS18" s="213">
        <f t="shared" si="176"/>
        <v>3283810.5496485545</v>
      </c>
      <c r="AYT18" s="213">
        <f t="shared" si="176"/>
        <v>3283810.5496485545</v>
      </c>
      <c r="AYU18" s="213">
        <f t="shared" si="176"/>
        <v>3283810.5496485545</v>
      </c>
      <c r="AYV18" s="213">
        <f t="shared" si="176"/>
        <v>3283810.5496485545</v>
      </c>
      <c r="AYW18" s="213">
        <f t="shared" si="176"/>
        <v>3283810.5496485545</v>
      </c>
      <c r="AYX18" s="213">
        <f t="shared" si="176"/>
        <v>3283810.5496485545</v>
      </c>
      <c r="AYY18" s="213">
        <f t="shared" si="176"/>
        <v>3283810.5496485545</v>
      </c>
      <c r="AYZ18" s="213">
        <f t="shared" si="176"/>
        <v>3283810.5496485545</v>
      </c>
      <c r="AZA18" s="213">
        <f t="shared" ref="AZA18:AZG18" si="177">AYZ18+AZA17</f>
        <v>3283810.5496485545</v>
      </c>
      <c r="AZB18" s="213">
        <f t="shared" si="177"/>
        <v>3283810.5496485545</v>
      </c>
      <c r="AZC18" s="213">
        <f t="shared" si="177"/>
        <v>3283810.5496485545</v>
      </c>
      <c r="AZD18" s="213">
        <f t="shared" si="177"/>
        <v>3283810.5496485545</v>
      </c>
      <c r="AZE18" s="213">
        <f t="shared" si="177"/>
        <v>3283810.5496485545</v>
      </c>
      <c r="AZF18" s="213">
        <f t="shared" si="177"/>
        <v>3283810.5496485545</v>
      </c>
      <c r="AZG18" s="213">
        <f t="shared" si="177"/>
        <v>3283810.5496485545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1" sqref="H11"/>
    </sheetView>
  </sheetViews>
  <sheetFormatPr defaultColWidth="12" defaultRowHeight="14.45"/>
  <cols>
    <col min="1" max="1" width="39.42578125" style="365" bestFit="1" customWidth="1"/>
    <col min="2" max="2" width="17.42578125" style="366" bestFit="1" customWidth="1"/>
    <col min="3" max="3" width="13.42578125" style="365" bestFit="1" customWidth="1"/>
    <col min="4" max="4" width="14.7109375" style="365" bestFit="1" customWidth="1"/>
    <col min="5" max="6" width="13.42578125" style="365" bestFit="1" customWidth="1"/>
    <col min="7" max="7" width="4.7109375" style="365" bestFit="1" customWidth="1"/>
    <col min="8" max="8" width="13.42578125" style="365" bestFit="1" customWidth="1"/>
    <col min="9" max="9" width="10.7109375" style="365" bestFit="1" customWidth="1"/>
    <col min="10" max="10" width="14.7109375" style="365" bestFit="1" customWidth="1"/>
    <col min="11" max="11" width="11" style="365" bestFit="1" customWidth="1"/>
    <col min="12" max="12" width="6" style="365" bestFit="1" customWidth="1"/>
    <col min="13" max="13" width="14.42578125" style="365" bestFit="1" customWidth="1"/>
    <col min="14" max="14" width="13.5703125" style="365" bestFit="1" customWidth="1"/>
    <col min="15" max="18" width="11.42578125" style="365" bestFit="1" customWidth="1"/>
    <col min="19" max="19" width="13.570312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492</v>
      </c>
      <c r="B3" s="670" t="s">
        <v>493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t="s">
        <v>496</v>
      </c>
      <c r="K4"/>
      <c r="L4"/>
      <c r="M4"/>
      <c r="N4"/>
      <c r="O4"/>
      <c r="P4"/>
      <c r="Q4"/>
      <c r="R4"/>
      <c r="S4"/>
      <c r="T4"/>
    </row>
    <row r="5" spans="1:20">
      <c r="A5" s="444" t="s">
        <v>495</v>
      </c>
      <c r="B5" s="370"/>
      <c r="C5" s="370"/>
      <c r="D5" s="370"/>
      <c r="E5" s="370"/>
      <c r="F5" s="370"/>
      <c r="G5" s="370"/>
      <c r="H5" s="370"/>
      <c r="I5" s="370"/>
      <c r="J5" s="370"/>
      <c r="K5"/>
      <c r="L5"/>
      <c r="M5"/>
      <c r="N5"/>
      <c r="O5"/>
      <c r="P5"/>
      <c r="Q5"/>
      <c r="R5"/>
      <c r="S5"/>
      <c r="T5"/>
    </row>
    <row r="6" spans="1:20">
      <c r="A6" s="444" t="s">
        <v>332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>
        <v>1022028.048780488</v>
      </c>
      <c r="K6"/>
      <c r="L6"/>
      <c r="M6"/>
      <c r="N6"/>
      <c r="O6"/>
      <c r="P6"/>
      <c r="Q6"/>
      <c r="R6"/>
      <c r="S6"/>
      <c r="T6"/>
    </row>
    <row r="7" spans="1:20">
      <c r="A7" s="444" t="s">
        <v>344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>
        <v>256097.56097560975</v>
      </c>
      <c r="K7"/>
      <c r="L7"/>
      <c r="M7"/>
      <c r="N7"/>
      <c r="O7"/>
      <c r="P7"/>
      <c r="Q7"/>
      <c r="R7"/>
      <c r="S7"/>
      <c r="T7"/>
    </row>
    <row r="8" spans="1:20">
      <c r="A8" s="444" t="s">
        <v>355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>
        <v>178536.58536585365</v>
      </c>
      <c r="K8"/>
      <c r="L8"/>
      <c r="M8"/>
      <c r="N8"/>
      <c r="O8"/>
      <c r="P8"/>
      <c r="Q8"/>
      <c r="R8"/>
      <c r="S8"/>
      <c r="T8"/>
    </row>
    <row r="9" spans="1:20">
      <c r="A9" s="444" t="s">
        <v>364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>
        <v>349146.34146341466</v>
      </c>
      <c r="K9"/>
      <c r="L9"/>
      <c r="M9"/>
      <c r="N9"/>
      <c r="O9"/>
      <c r="P9"/>
      <c r="Q9"/>
      <c r="R9"/>
      <c r="S9"/>
      <c r="T9"/>
    </row>
    <row r="10" spans="1:20">
      <c r="A10" s="444" t="s">
        <v>388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>
        <v>59756.09558459359</v>
      </c>
      <c r="K10"/>
      <c r="L10"/>
      <c r="M10"/>
      <c r="N10"/>
      <c r="O10"/>
      <c r="P10"/>
      <c r="Q10"/>
      <c r="R10"/>
      <c r="S10"/>
      <c r="T10"/>
    </row>
    <row r="11" spans="1:20">
      <c r="A11" s="444" t="s">
        <v>401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>
        <v>606162.92152704136</v>
      </c>
      <c r="K11"/>
      <c r="L11"/>
      <c r="M11"/>
      <c r="N11"/>
      <c r="O11"/>
      <c r="P11"/>
      <c r="Q11"/>
      <c r="R11"/>
      <c r="S11"/>
      <c r="T11"/>
    </row>
    <row r="12" spans="1:20">
      <c r="A12" s="444" t="s">
        <v>407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>
        <v>239241.19241192413</v>
      </c>
      <c r="K12"/>
      <c r="L12"/>
      <c r="M12"/>
      <c r="N12"/>
      <c r="O12"/>
      <c r="P12"/>
      <c r="Q12"/>
      <c r="R12"/>
      <c r="S12"/>
      <c r="T12"/>
    </row>
    <row r="13" spans="1:20">
      <c r="A13" s="444" t="s">
        <v>429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>
        <v>323333.33333333331</v>
      </c>
      <c r="K13"/>
      <c r="L13"/>
      <c r="M13"/>
      <c r="N13"/>
      <c r="O13"/>
      <c r="P13"/>
      <c r="Q13"/>
      <c r="R13"/>
      <c r="S13"/>
      <c r="T13"/>
    </row>
    <row r="14" spans="1:20">
      <c r="A14" s="444" t="s">
        <v>434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>
        <v>85494.962962962978</v>
      </c>
      <c r="K14"/>
      <c r="L14"/>
      <c r="M14"/>
      <c r="N14"/>
      <c r="O14"/>
      <c r="P14"/>
      <c r="Q14"/>
      <c r="R14"/>
      <c r="S14"/>
      <c r="T14"/>
    </row>
    <row r="15" spans="1:20">
      <c r="A15" s="444" t="s">
        <v>438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121444.44444444444</v>
      </c>
      <c r="I15" s="370"/>
      <c r="J15" s="370">
        <v>121444.44444444444</v>
      </c>
      <c r="K15"/>
      <c r="L15"/>
      <c r="M15"/>
      <c r="N15"/>
      <c r="O15"/>
      <c r="P15"/>
      <c r="Q15"/>
      <c r="R15"/>
      <c r="S15"/>
      <c r="T15"/>
    </row>
    <row r="16" spans="1:20">
      <c r="A16" s="444" t="s">
        <v>450</v>
      </c>
      <c r="B16" s="370">
        <v>0</v>
      </c>
      <c r="C16" s="370"/>
      <c r="D16" s="370"/>
      <c r="E16" s="370"/>
      <c r="F16" s="370"/>
      <c r="G16" s="370"/>
      <c r="H16" s="370">
        <v>35569.063385210808</v>
      </c>
      <c r="I16" s="370"/>
      <c r="J16" s="370">
        <v>35569.063385210808</v>
      </c>
      <c r="K16"/>
      <c r="L16"/>
      <c r="M16"/>
      <c r="N16"/>
      <c r="O16"/>
      <c r="P16"/>
      <c r="Q16"/>
      <c r="R16"/>
      <c r="S16"/>
      <c r="T16"/>
    </row>
    <row r="17" spans="1:20">
      <c r="A17" s="444" t="s">
        <v>454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3018.0739514348784</v>
      </c>
      <c r="I17" s="370">
        <v>3018.0739514348784</v>
      </c>
      <c r="J17" s="370">
        <v>6999.999413677313</v>
      </c>
      <c r="K17"/>
      <c r="L17"/>
      <c r="M17"/>
      <c r="N17"/>
      <c r="O17"/>
      <c r="P17"/>
      <c r="Q17"/>
      <c r="R17"/>
      <c r="S17"/>
      <c r="T17"/>
    </row>
    <row r="18" spans="1:20">
      <c r="A18" s="444" t="s">
        <v>457</v>
      </c>
      <c r="B18" s="370"/>
      <c r="C18" s="370"/>
      <c r="D18" s="370"/>
      <c r="E18" s="370"/>
      <c r="F18" s="370"/>
      <c r="G18" s="370"/>
      <c r="H18" s="370"/>
      <c r="I18" s="370"/>
      <c r="J18" s="370"/>
      <c r="K18"/>
      <c r="L18"/>
      <c r="M18"/>
      <c r="N18"/>
      <c r="O18"/>
      <c r="P18"/>
      <c r="Q18"/>
      <c r="R18"/>
      <c r="S18"/>
      <c r="T18"/>
    </row>
    <row r="19" spans="1:20">
      <c r="A19" s="444" t="s">
        <v>447</v>
      </c>
      <c r="B19" s="370"/>
      <c r="C19" s="370"/>
      <c r="D19" s="370"/>
      <c r="E19" s="370"/>
      <c r="F19" s="370"/>
      <c r="G19" s="370"/>
      <c r="H19" s="370"/>
      <c r="I19" s="370"/>
      <c r="J19" s="370"/>
      <c r="K19"/>
      <c r="L19"/>
      <c r="M19"/>
      <c r="N19"/>
      <c r="O19"/>
      <c r="P19"/>
      <c r="Q19"/>
      <c r="R19"/>
      <c r="S19"/>
      <c r="T19"/>
    </row>
    <row r="20" spans="1:20">
      <c r="A20" s="444" t="s">
        <v>405</v>
      </c>
      <c r="B20" s="370"/>
      <c r="C20" s="370"/>
      <c r="D20" s="370"/>
      <c r="E20" s="370"/>
      <c r="F20" s="370"/>
      <c r="G20" s="370"/>
      <c r="H20" s="370"/>
      <c r="I20" s="370"/>
      <c r="J20" s="370"/>
      <c r="K20"/>
      <c r="L20"/>
      <c r="M20"/>
      <c r="N20"/>
      <c r="O20"/>
      <c r="P20"/>
      <c r="Q20"/>
      <c r="R20"/>
      <c r="S20"/>
      <c r="T20"/>
    </row>
    <row r="21" spans="1:20">
      <c r="A21" s="444" t="s">
        <v>458</v>
      </c>
      <c r="B21" s="370"/>
      <c r="C21" s="370"/>
      <c r="D21" s="370"/>
      <c r="E21" s="370"/>
      <c r="F21" s="370"/>
      <c r="G21" s="370"/>
      <c r="H21" s="370"/>
      <c r="I21" s="370"/>
      <c r="J21" s="370"/>
      <c r="K21"/>
      <c r="L21"/>
      <c r="M21"/>
      <c r="N21"/>
      <c r="O21"/>
      <c r="P21"/>
      <c r="Q21"/>
      <c r="R21"/>
      <c r="S21"/>
      <c r="T21"/>
    </row>
    <row r="22" spans="1:20">
      <c r="A22" s="444" t="s">
        <v>496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160031.58178109012</v>
      </c>
      <c r="I22" s="370">
        <v>3018.0739514348784</v>
      </c>
      <c r="J22" s="370">
        <v>3283810.549648555</v>
      </c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9" sqref="F9"/>
    </sheetView>
  </sheetViews>
  <sheetFormatPr defaultColWidth="8.42578125" defaultRowHeight="14.45"/>
  <cols>
    <col min="1" max="1" width="21.5703125" bestFit="1" customWidth="1"/>
    <col min="2" max="2" width="17.42578125" style="406" bestFit="1" customWidth="1"/>
    <col min="3" max="3" width="13.42578125" style="406" bestFit="1" customWidth="1"/>
    <col min="4" max="4" width="14.7109375" style="406" bestFit="1" customWidth="1"/>
    <col min="5" max="6" width="13.42578125" style="406" bestFit="1" customWidth="1"/>
    <col min="7" max="7" width="11.7109375" style="406" bestFit="1" customWidth="1"/>
    <col min="8" max="8" width="12" style="406" bestFit="1" customWidth="1"/>
    <col min="9" max="9" width="10.5703125" style="406" bestFit="1" customWidth="1"/>
    <col min="10" max="10" width="14.7109375" bestFit="1" customWidth="1"/>
    <col min="11" max="11" width="11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0">
      <c r="A3" s="670" t="s">
        <v>497</v>
      </c>
      <c r="B3" s="670" t="s">
        <v>493</v>
      </c>
      <c r="C3"/>
      <c r="D3"/>
      <c r="E3"/>
      <c r="F3"/>
      <c r="G3"/>
      <c r="H3"/>
      <c r="I3"/>
    </row>
    <row r="4" spans="1:10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t="s">
        <v>496</v>
      </c>
    </row>
    <row r="5" spans="1:10">
      <c r="A5" s="444" t="s">
        <v>495</v>
      </c>
      <c r="B5" s="446"/>
      <c r="C5" s="446"/>
      <c r="D5" s="446"/>
      <c r="E5" s="446"/>
      <c r="F5" s="446"/>
      <c r="G5" s="446"/>
      <c r="H5" s="446"/>
      <c r="I5" s="446"/>
      <c r="J5" s="446"/>
    </row>
    <row r="6" spans="1:10">
      <c r="A6" s="444" t="s">
        <v>332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>
        <v>706622.74</v>
      </c>
    </row>
    <row r="7" spans="1:10">
      <c r="A7" s="444" t="s">
        <v>344</v>
      </c>
      <c r="B7" s="446"/>
      <c r="C7" s="446"/>
      <c r="D7" s="446">
        <v>195738</v>
      </c>
      <c r="E7" s="446"/>
      <c r="F7" s="446"/>
      <c r="G7" s="446"/>
      <c r="H7" s="446"/>
      <c r="I7" s="446"/>
      <c r="J7" s="446">
        <v>195738</v>
      </c>
    </row>
    <row r="8" spans="1:10">
      <c r="A8" s="444" t="s">
        <v>355</v>
      </c>
      <c r="B8" s="446"/>
      <c r="C8" s="446">
        <v>69250</v>
      </c>
      <c r="D8" s="446"/>
      <c r="E8" s="446"/>
      <c r="F8" s="446"/>
      <c r="G8" s="446"/>
      <c r="H8" s="446"/>
      <c r="I8" s="446"/>
      <c r="J8" s="446">
        <v>69250</v>
      </c>
    </row>
    <row r="9" spans="1:10">
      <c r="A9" s="444" t="s">
        <v>364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>
        <v>257154.89999999997</v>
      </c>
    </row>
    <row r="10" spans="1:10">
      <c r="A10" s="444" t="s">
        <v>388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>
        <v>44864.75</v>
      </c>
    </row>
    <row r="11" spans="1:10">
      <c r="A11" s="444" t="s">
        <v>401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>
        <v>247722.28</v>
      </c>
    </row>
    <row r="12" spans="1:10">
      <c r="A12" s="444" t="s">
        <v>407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10436.700000000001</v>
      </c>
      <c r="I12" s="446"/>
      <c r="J12" s="446">
        <v>231279</v>
      </c>
    </row>
    <row r="13" spans="1:10">
      <c r="A13" s="444" t="s">
        <v>429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>
        <v>321250</v>
      </c>
    </row>
    <row r="14" spans="1:10">
      <c r="A14" s="444" t="s">
        <v>434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>
        <v>92395.69</v>
      </c>
    </row>
    <row r="15" spans="1:10">
      <c r="A15" s="444" t="s">
        <v>438</v>
      </c>
      <c r="B15" s="446">
        <v>0</v>
      </c>
      <c r="C15" s="446"/>
      <c r="D15" s="446"/>
      <c r="E15" s="446">
        <v>0</v>
      </c>
      <c r="F15" s="446"/>
      <c r="G15" s="446"/>
      <c r="H15" s="446">
        <v>18577.5</v>
      </c>
      <c r="I15" s="446"/>
      <c r="J15" s="446">
        <v>18577.5</v>
      </c>
    </row>
    <row r="16" spans="1:10">
      <c r="A16" s="444" t="s">
        <v>450</v>
      </c>
      <c r="B16" s="446"/>
      <c r="C16" s="446"/>
      <c r="D16" s="446"/>
      <c r="E16" s="446"/>
      <c r="F16" s="446"/>
      <c r="G16" s="446"/>
      <c r="H16" s="446">
        <v>41047.631874999999</v>
      </c>
      <c r="I16" s="446"/>
      <c r="J16" s="446">
        <v>41047.631874999999</v>
      </c>
    </row>
    <row r="17" spans="1:10">
      <c r="A17" s="444" t="s">
        <v>454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500</v>
      </c>
      <c r="I17" s="446">
        <v>500</v>
      </c>
      <c r="J17" s="446">
        <v>1159.68</v>
      </c>
    </row>
    <row r="18" spans="1:10">
      <c r="A18" s="444" t="s">
        <v>457</v>
      </c>
      <c r="B18" s="446"/>
      <c r="C18" s="446"/>
      <c r="D18" s="446"/>
      <c r="E18" s="446"/>
      <c r="F18" s="446"/>
      <c r="G18" s="446"/>
      <c r="H18" s="446"/>
      <c r="I18" s="446"/>
      <c r="J18" s="446"/>
    </row>
    <row r="19" spans="1:10">
      <c r="A19" s="444" t="s">
        <v>447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>
        <v>0</v>
      </c>
    </row>
    <row r="20" spans="1:10">
      <c r="A20" s="444" t="s">
        <v>405</v>
      </c>
      <c r="B20" s="446"/>
      <c r="C20" s="446"/>
      <c r="D20" s="446"/>
      <c r="E20" s="446"/>
      <c r="F20" s="446"/>
      <c r="G20" s="446"/>
      <c r="H20" s="446"/>
      <c r="I20" s="446"/>
      <c r="J20" s="446"/>
    </row>
    <row r="21" spans="1:10">
      <c r="A21" s="444" t="s">
        <v>458</v>
      </c>
      <c r="B21" s="446"/>
      <c r="C21" s="446"/>
      <c r="D21" s="446"/>
      <c r="E21" s="446"/>
      <c r="F21" s="446"/>
      <c r="G21" s="446"/>
      <c r="H21" s="446"/>
      <c r="I21" s="446"/>
      <c r="J21" s="446"/>
    </row>
    <row r="22" spans="1:10">
      <c r="A22" s="444" t="s">
        <v>496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70561.831875000003</v>
      </c>
      <c r="I22" s="446">
        <v>500</v>
      </c>
      <c r="J22" s="446">
        <v>2227062.171875</v>
      </c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498</v>
      </c>
    </row>
    <row r="2" spans="1:4">
      <c r="A2" s="850"/>
      <c r="B2" s="850"/>
      <c r="C2" s="850"/>
      <c r="D2" s="71"/>
    </row>
    <row r="3" spans="1:4">
      <c r="A3" s="849" t="s">
        <v>499</v>
      </c>
      <c r="B3" s="849"/>
      <c r="C3" s="849"/>
      <c r="D3" s="111">
        <v>0.32</v>
      </c>
    </row>
    <row r="4" spans="1:4">
      <c r="A4" s="849" t="s">
        <v>467</v>
      </c>
      <c r="B4" s="849"/>
      <c r="C4" s="849"/>
      <c r="D4" s="111">
        <v>0.5</v>
      </c>
    </row>
    <row r="5" spans="1:4">
      <c r="A5" s="849" t="s">
        <v>478</v>
      </c>
      <c r="B5" s="849"/>
      <c r="C5" s="849"/>
      <c r="D5" s="111">
        <v>0.15</v>
      </c>
    </row>
    <row r="6" spans="1:4">
      <c r="A6" s="849" t="s">
        <v>500</v>
      </c>
      <c r="B6" s="849"/>
      <c r="C6" s="8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51" t="s">
        <v>501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</row>
    <row r="4" spans="2:14">
      <c r="B4" s="92" t="s">
        <v>105</v>
      </c>
      <c r="C4" s="86"/>
      <c r="D4" s="90" t="s">
        <v>502</v>
      </c>
      <c r="E4" s="95"/>
      <c r="F4" s="90" t="s">
        <v>503</v>
      </c>
      <c r="H4" s="90" t="s">
        <v>504</v>
      </c>
      <c r="I4" s="95"/>
      <c r="J4" s="90" t="s">
        <v>505</v>
      </c>
      <c r="L4" s="90" t="s">
        <v>504</v>
      </c>
      <c r="M4" s="90"/>
      <c r="N4" s="90" t="s">
        <v>506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507</v>
      </c>
      <c r="H7" s="99"/>
      <c r="I7" s="95"/>
      <c r="J7" s="107" t="s">
        <v>507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509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507</v>
      </c>
      <c r="H15" s="99"/>
      <c r="I15" s="95"/>
      <c r="J15" s="107" t="s">
        <v>507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507</v>
      </c>
      <c r="H21" s="99"/>
      <c r="I21" s="95"/>
      <c r="J21" s="107" t="s">
        <v>507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511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507</v>
      </c>
      <c r="H27" s="99"/>
      <c r="I27" s="95"/>
      <c r="J27" s="107" t="s">
        <v>507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507</v>
      </c>
      <c r="H34" s="99"/>
      <c r="I34" s="95"/>
      <c r="J34" s="107" t="s">
        <v>507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519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51" t="s">
        <v>521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</row>
    <row r="4" spans="2:15">
      <c r="B4" s="92" t="s">
        <v>105</v>
      </c>
      <c r="C4" s="86"/>
      <c r="D4" s="90" t="s">
        <v>502</v>
      </c>
      <c r="E4" s="95"/>
      <c r="F4" s="95"/>
      <c r="G4" s="90" t="s">
        <v>522</v>
      </c>
      <c r="H4" s="96"/>
      <c r="J4" s="90" t="s">
        <v>504</v>
      </c>
      <c r="L4" s="90" t="s">
        <v>523</v>
      </c>
      <c r="M4" s="96"/>
      <c r="O4" s="90" t="s">
        <v>504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519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105</v>
      </c>
      <c r="C18" s="86"/>
      <c r="D18" s="90" t="s">
        <v>502</v>
      </c>
      <c r="E18" s="95"/>
      <c r="F18" s="95"/>
      <c r="G18" s="90" t="s">
        <v>525</v>
      </c>
      <c r="H18" s="96"/>
      <c r="J18" s="90" t="s">
        <v>504</v>
      </c>
      <c r="L18" s="90" t="s">
        <v>526</v>
      </c>
      <c r="M18" s="96"/>
      <c r="O18" s="90" t="s">
        <v>504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528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529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519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532</v>
      </c>
      <c r="C32" s="103"/>
      <c r="D32" s="103"/>
    </row>
    <row r="33" spans="2:4" ht="13.9" thickTop="1"/>
    <row r="34" spans="2:4">
      <c r="B34" s="88" t="s">
        <v>502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.28515625" customWidth="1"/>
    <col min="10" max="10" width="19.5703125" bestFit="1" customWidth="1"/>
  </cols>
  <sheetData>
    <row r="1" spans="2:14">
      <c r="B1" s="853" t="str">
        <f>D15</f>
        <v>1 Bolt Ave</v>
      </c>
      <c r="C1" s="853"/>
      <c r="D1" s="853"/>
      <c r="E1" s="852" t="s">
        <v>534</v>
      </c>
      <c r="F1" s="852"/>
      <c r="G1" s="852"/>
      <c r="H1" s="852"/>
      <c r="I1" s="852"/>
      <c r="J1" s="852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535</v>
      </c>
      <c r="D3" s="72" t="s">
        <v>536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82BD4C9-7750-43A0-9F40-C2EC90C0B974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2026-02-03T07:49:17Z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