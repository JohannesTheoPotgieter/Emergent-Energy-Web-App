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793" documentId="13_ncr:1_{5088FDBF-8B60-4138-AFBB-5A720563F8CF}" xr6:coauthVersionLast="47" xr6:coauthVersionMax="47" xr10:uidLastSave="{CFEFFCD1-92FE-492B-BE81-1B6BBB8F415F}"/>
  <bookViews>
    <workbookView xWindow="28680" yWindow="-120" windowWidth="29040" windowHeight="15720" tabRatio="677" firstSheet="1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5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6" i="18" l="1"/>
  <c r="W375" i="18"/>
  <c r="Q335" i="18"/>
  <c r="Q302" i="18"/>
  <c r="H6" i="5"/>
  <c r="Q323" i="18"/>
  <c r="Q321" i="18"/>
  <c r="W178" i="18"/>
  <c r="K121" i="2"/>
  <c r="O168" i="18" l="1"/>
  <c r="F26" i="5" l="1"/>
  <c r="P98" i="18"/>
  <c r="F18" i="5" l="1"/>
  <c r="F17" i="5"/>
  <c r="F19" i="5"/>
  <c r="W190" i="18" l="1"/>
  <c r="W370" i="18"/>
  <c r="W369" i="18"/>
  <c r="W368" i="18"/>
  <c r="Q233" i="18"/>
  <c r="W17" i="18"/>
  <c r="W19" i="18"/>
  <c r="Q16" i="18"/>
  <c r="O219" i="18" l="1"/>
  <c r="AE20" i="18"/>
  <c r="K114" i="2" l="1"/>
  <c r="K107" i="2"/>
  <c r="K106" i="2"/>
  <c r="N106" i="2" s="1"/>
  <c r="K105" i="2"/>
  <c r="N105" i="2" s="1"/>
  <c r="N114" i="2" l="1"/>
  <c r="Q221" i="18"/>
  <c r="Q222" i="18"/>
  <c r="K100" i="2"/>
  <c r="I101" i="2" s="1"/>
  <c r="K101" i="2" s="1"/>
  <c r="X74" i="18"/>
  <c r="H13" i="3" s="1"/>
  <c r="J74" i="18"/>
  <c r="W18" i="18"/>
  <c r="Q18" i="18"/>
  <c r="P136" i="18"/>
  <c r="P139" i="18"/>
  <c r="Q140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369" i="18"/>
  <c r="Q368" i="18"/>
  <c r="K52" i="2"/>
  <c r="N52" i="2" s="1"/>
  <c r="Q273" i="18"/>
  <c r="Q9" i="18"/>
  <c r="Q8" i="18"/>
  <c r="C4" i="19"/>
  <c r="W140" i="18"/>
  <c r="W137" i="18"/>
  <c r="W132" i="18"/>
  <c r="W134" i="18" s="1"/>
  <c r="T134" i="18" s="1"/>
  <c r="I123" i="18"/>
  <c r="F15" i="3" s="1"/>
  <c r="H300" i="18"/>
  <c r="H233" i="18"/>
  <c r="H228" i="18"/>
  <c r="H184" i="18"/>
  <c r="H179" i="18"/>
  <c r="H178" i="18"/>
  <c r="H177" i="18"/>
  <c r="H146" i="18"/>
  <c r="H147" i="18" s="1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 s="1"/>
  <c r="K43" i="2"/>
  <c r="W243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3" i="18"/>
  <c r="Q163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8" i="18"/>
  <c r="Q167" i="18"/>
  <c r="Q176" i="18"/>
  <c r="Q175" i="18"/>
  <c r="Q327" i="18"/>
  <c r="X326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9" i="18"/>
  <c r="Q220" i="18"/>
  <c r="Q223" i="18"/>
  <c r="Q218" i="18"/>
  <c r="T113" i="18"/>
  <c r="T118" i="18" s="1"/>
  <c r="T63" i="18"/>
  <c r="T64" i="18"/>
  <c r="W67" i="18"/>
  <c r="W111" i="18" s="1"/>
  <c r="W116" i="18" s="1"/>
  <c r="O242" i="18"/>
  <c r="Q242" i="18" s="1"/>
  <c r="O236" i="18"/>
  <c r="Q237" i="18" s="1"/>
  <c r="O195" i="18"/>
  <c r="O185" i="18"/>
  <c r="O186" i="18" s="1"/>
  <c r="O207" i="18"/>
  <c r="Q207" i="18" s="1"/>
  <c r="O116" i="18"/>
  <c r="Q117" i="18" s="1"/>
  <c r="O111" i="18"/>
  <c r="Q113" i="18" s="1"/>
  <c r="O67" i="18"/>
  <c r="Q68" i="18" s="1"/>
  <c r="O62" i="18"/>
  <c r="Q63" i="18" s="1"/>
  <c r="AE27" i="18"/>
  <c r="W133" i="18"/>
  <c r="W129" i="18"/>
  <c r="T125" i="18"/>
  <c r="T130" i="18"/>
  <c r="T135" i="18"/>
  <c r="T138" i="18"/>
  <c r="T141" i="18"/>
  <c r="T144" i="18"/>
  <c r="P142" i="18"/>
  <c r="P131" i="18"/>
  <c r="Q131" i="18" s="1"/>
  <c r="P126" i="18"/>
  <c r="Q126" i="18" s="1"/>
  <c r="P133" i="18"/>
  <c r="P128" i="18"/>
  <c r="Q129" i="18" s="1"/>
  <c r="P123" i="18"/>
  <c r="Q123" i="18" s="1"/>
  <c r="P21" i="18"/>
  <c r="Q21" i="18" s="1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 s="1"/>
  <c r="Z38" i="18"/>
  <c r="Z37" i="18"/>
  <c r="T93" i="18"/>
  <c r="T92" i="18"/>
  <c r="T91" i="18"/>
  <c r="T90" i="18"/>
  <c r="T40" i="18"/>
  <c r="O34" i="18"/>
  <c r="Q34" i="18" s="1"/>
  <c r="Q29" i="18"/>
  <c r="Q30" i="18"/>
  <c r="T114" i="18"/>
  <c r="T376" i="18"/>
  <c r="T339" i="18"/>
  <c r="T338" i="18"/>
  <c r="T337" i="18"/>
  <c r="T336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5" i="18"/>
  <c r="T240" i="18"/>
  <c r="J123" i="18"/>
  <c r="J162" i="18"/>
  <c r="I162" i="18"/>
  <c r="F16" i="3" s="1"/>
  <c r="I299" i="18"/>
  <c r="F20" i="3" s="1"/>
  <c r="G15" i="2"/>
  <c r="E14" i="2"/>
  <c r="G14" i="2" s="1"/>
  <c r="E13" i="2"/>
  <c r="G233" i="18"/>
  <c r="Z26" i="18" s="1"/>
  <c r="G230" i="18"/>
  <c r="G229" i="18"/>
  <c r="G228" i="18"/>
  <c r="Z24" i="18" s="1"/>
  <c r="G185" i="18"/>
  <c r="Z23" i="18" s="1"/>
  <c r="AA23" i="18" s="1"/>
  <c r="G184" i="18"/>
  <c r="F184" i="18" s="1"/>
  <c r="G97" i="18"/>
  <c r="I97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 s="1"/>
  <c r="X299" i="18"/>
  <c r="H20" i="3" s="1"/>
  <c r="I284" i="18"/>
  <c r="F19" i="3" s="1"/>
  <c r="I302" i="18"/>
  <c r="F21" i="3" s="1"/>
  <c r="I74" i="18"/>
  <c r="F13" i="3" s="1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 s="1"/>
  <c r="T70" i="18"/>
  <c r="T65" i="18"/>
  <c r="T71" i="18"/>
  <c r="L1" i="6"/>
  <c r="W112" i="18"/>
  <c r="W117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384" i="18"/>
  <c r="P385" i="18" s="1"/>
  <c r="K99" i="2"/>
  <c r="E24" i="13"/>
  <c r="F24" i="13"/>
  <c r="D24" i="13"/>
  <c r="D25" i="14"/>
  <c r="I72" i="2" l="1"/>
  <c r="N70" i="2"/>
  <c r="V302" i="18"/>
  <c r="H21" i="3"/>
  <c r="J21" i="3" s="1"/>
  <c r="Z21" i="18"/>
  <c r="E60" i="2"/>
  <c r="G60" i="2" s="1"/>
  <c r="E62" i="2" s="1"/>
  <c r="N90" i="2"/>
  <c r="I89" i="2"/>
  <c r="K89" i="2" s="1"/>
  <c r="N89" i="2" s="1"/>
  <c r="X284" i="18"/>
  <c r="U294" i="18" s="1"/>
  <c r="Q214" i="18"/>
  <c r="O35" i="18"/>
  <c r="Q35" i="18" s="1"/>
  <c r="C3" i="6"/>
  <c r="F15" i="5"/>
  <c r="Q132" i="18"/>
  <c r="Z20" i="18"/>
  <c r="Q10" i="18"/>
  <c r="X6" i="18" s="1"/>
  <c r="H9" i="3" s="1"/>
  <c r="J9" i="3" s="1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9" i="18"/>
  <c r="Q212" i="18"/>
  <c r="U95" i="18"/>
  <c r="Q67" i="18"/>
  <c r="Q69" i="18"/>
  <c r="U324" i="18"/>
  <c r="Q197" i="18"/>
  <c r="X339" i="18"/>
  <c r="H23" i="3" s="1"/>
  <c r="J23" i="3" s="1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 s="1"/>
  <c r="Q204" i="18"/>
  <c r="U91" i="18"/>
  <c r="Q203" i="18"/>
  <c r="U93" i="18"/>
  <c r="Q118" i="18"/>
  <c r="Q211" i="18"/>
  <c r="U90" i="18"/>
  <c r="I184" i="18"/>
  <c r="F17" i="3" s="1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 s="1"/>
  <c r="U327" i="18"/>
  <c r="U333" i="18"/>
  <c r="U334" i="18"/>
  <c r="U337" i="18"/>
  <c r="JE5" i="6"/>
  <c r="I228" i="18"/>
  <c r="F18" i="3" s="1"/>
  <c r="Z25" i="18"/>
  <c r="X21" i="18"/>
  <c r="Q136" i="18"/>
  <c r="Q137" i="18"/>
  <c r="J2" i="18"/>
  <c r="J4" i="18" s="1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Z4" i="5" s="1"/>
  <c r="Q111" i="18"/>
  <c r="Q202" i="18"/>
  <c r="Q200" i="18"/>
  <c r="U296" i="18" l="1"/>
  <c r="W4" i="5"/>
  <c r="X4" i="5"/>
  <c r="N72" i="2"/>
  <c r="N67" i="2" s="1"/>
  <c r="AB4" i="5"/>
  <c r="U285" i="18"/>
  <c r="U295" i="18"/>
  <c r="H19" i="3"/>
  <c r="J19" i="3" s="1"/>
  <c r="U284" i="18"/>
  <c r="U297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8" i="18"/>
  <c r="Z30" i="18"/>
  <c r="Z31" i="18" s="1"/>
  <c r="Z32" i="18" s="1"/>
  <c r="F5" i="3"/>
  <c r="D5" i="5" s="1"/>
  <c r="C5" i="6" s="1"/>
  <c r="X49" i="18"/>
  <c r="U49" i="18" s="1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4" i="18"/>
  <c r="I2" i="18"/>
  <c r="H16" i="3"/>
  <c r="J16" i="3" s="1"/>
  <c r="U181" i="18"/>
  <c r="U162" i="18"/>
  <c r="U177" i="18"/>
  <c r="X123" i="18"/>
  <c r="U27" i="18"/>
  <c r="U23" i="18"/>
  <c r="H10" i="3"/>
  <c r="J10" i="3" s="1"/>
  <c r="F6" i="6"/>
  <c r="D5" i="6"/>
  <c r="X97" i="18"/>
  <c r="V326" i="18"/>
  <c r="Y4" i="5" l="1"/>
  <c r="T4" i="5"/>
  <c r="V284" i="18"/>
  <c r="U65" i="18"/>
  <c r="U54" i="18"/>
  <c r="D6" i="5"/>
  <c r="J42" i="2"/>
  <c r="U20" i="2" s="1"/>
  <c r="G81" i="2"/>
  <c r="E81" i="2"/>
  <c r="V162" i="18"/>
  <c r="F25" i="3"/>
  <c r="AA4" i="5"/>
  <c r="U240" i="18"/>
  <c r="H18" i="3"/>
  <c r="J18" i="3" s="1"/>
  <c r="U241" i="18"/>
  <c r="U228" i="18"/>
  <c r="U282" i="18"/>
  <c r="U281" i="18"/>
  <c r="U245" i="18"/>
  <c r="U239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 s="1"/>
  <c r="U141" i="18"/>
  <c r="U155" i="18"/>
  <c r="V21" i="18"/>
  <c r="G6" i="6"/>
  <c r="U109" i="18"/>
  <c r="U115" i="18"/>
  <c r="U120" i="18"/>
  <c r="U108" i="18"/>
  <c r="U121" i="18"/>
  <c r="U114" i="18"/>
  <c r="U119" i="18"/>
  <c r="U110" i="18"/>
  <c r="H14" i="3"/>
  <c r="J14" i="3" s="1"/>
  <c r="U97" i="18"/>
  <c r="H17" i="3"/>
  <c r="U224" i="18"/>
  <c r="U193" i="18"/>
  <c r="U217" i="18"/>
  <c r="U225" i="18"/>
  <c r="U194" i="18"/>
  <c r="U216" i="18"/>
  <c r="U184" i="18"/>
  <c r="U226" i="18"/>
  <c r="X2" i="18"/>
  <c r="I104" i="2" l="1"/>
  <c r="N103" i="2"/>
  <c r="D7" i="5"/>
  <c r="G6" i="5"/>
  <c r="V228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191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03" i="18" l="1"/>
  <c r="W204" i="18" s="1"/>
  <c r="W64" i="18" s="1"/>
  <c r="W214" i="18"/>
  <c r="W215" i="18" s="1"/>
  <c r="W192" i="18"/>
  <c r="G110" i="2"/>
  <c r="E120" i="2"/>
  <c r="F9" i="2"/>
  <c r="G98" i="2"/>
  <c r="H20" i="5"/>
  <c r="G123" i="2"/>
  <c r="K122" i="2"/>
  <c r="Q6" i="6"/>
  <c r="W69" i="18" l="1"/>
  <c r="W113" i="18"/>
  <c r="W118" i="18" s="1"/>
  <c r="W238" i="18"/>
  <c r="W244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182" i="18" l="1"/>
  <c r="BI9" i="6"/>
  <c r="AW11" i="6"/>
  <c r="BQ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FT11" i="6" l="1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D11" i="6"/>
  <c r="K12" i="6"/>
  <c r="L12" i="6" s="1"/>
  <c r="M12" i="6" s="1"/>
  <c r="N12" i="6" s="1"/>
  <c r="O12" i="6" s="1"/>
  <c r="P12" i="6" s="1"/>
  <c r="Q12" i="6" s="1"/>
  <c r="R12" i="6" s="1"/>
  <c r="S12" i="6" s="1"/>
  <c r="T12" i="6" s="1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284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<sst xmlns="http://schemas.openxmlformats.org/spreadsheetml/2006/main" count="1567" uniqueCount="846">
  <si>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</si>
  <si>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</si>
  <si>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</si>
  <si>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</si>
  <si>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</si>
  <si>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</si>
  <si>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</si>
  <si>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</si>
  <si>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</si>
  <si>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</si>
  <si>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</si>
  <si>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</si>
  <si>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</si>
  <si>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</si>
  <si>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</si>
  <si>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</si>
  <si>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</si>
  <si>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</si>
  <si>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</si>
  <si>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</si>
  <si>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</si>
  <si>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</si>
  <si>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</si>
  <si>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</si>
  <si>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</si>
  <si>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</si>
  <si>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</si>
  <si>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</si>
  <si>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</si>
  <si>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</si>
  <si>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</si>
  <si>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</si>
  <si>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</si>
  <si>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</si>
  <si>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</si>
  <si>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</si>
  <si>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</si>
  <si>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</si>
  <si>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</si>
  <si>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</si>
  <si>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</si>
  <si>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</si>
  <si>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</si>
  <si>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</si>
  <si>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</si>
  <si>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</si>
  <si>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</si>
  <si>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</si>
  <si>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</si>
  <si>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</si>
  <si>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</si>
  <si>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</si>
  <si>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</si>
  <si>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</si>
  <si>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</si>
  <si>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</si>
  <si>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</si>
  <si>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</si>
  <si>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</si>
  <si>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</si>
  <si>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</si>
  <si>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</si>
  <si>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</si>
  <si>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</si>
  <si>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</si>
  <si>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</si>
  <si>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</si>
  <si>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</si>
  <si>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</si>
  <si>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</si>
  <si>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</si>
  <si>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</si>
  <si>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</si>
  <si>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</si>
  <si>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</si>
  <si>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</si>
  <si>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</si>
  <si>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</si>
  <si>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</si>
  <si>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</si>
  <si>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</si>
  <si>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</si>
  <si>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</si>
  <si>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</si>
  <si>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</si>
  <si>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</si>
  <si>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</si>
  <si>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</si>
  <si>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</si>
  <si>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</si>
  <si>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</si>
  <si>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</si>
  <si>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</si>
  <si>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</si>
  <si>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</si>
  <si>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</si>
  <si>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</si>
  <si>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</si>
  <si>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</si>
  <si>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</si>
  <si>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</si>
  <si>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</si>
  <si>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</si>
  <si>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</si>
  <si>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</si>
  <si>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</si>
  <si>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</si>
  <si>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</si>
  <si>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</si>
  <si>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</si>
  <si>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</si>
  <si>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</si>
  <si>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</si>
  <si>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</si>
  <si>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</si>
  <si>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</si>
  <si>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</si>
  <si>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</si>
  <si>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</si>
  <si>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</si>
  <si>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</si>
  <si>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</si>
  <si>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</si>
  <si>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</si>
  <si>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</si>
  <si>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</si>
  <si>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</si>
  <si>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</si>
  <si>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</si>
  <si>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</si>
  <si>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</si>
  <si>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</si>
  <si>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</si>
  <si>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</si>
  <si>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</si>
  <si>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</si>
  <si>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</si>
  <si>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</si>
  <si>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</si>
  <si>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</si>
  <si>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</si>
  <si>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</si>
  <si>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</si>
  <si>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</si>
  <si>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</si>
  <si>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</si>
  <si>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</si>
  <si>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</si>
  <si>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</si>
  <si>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</si>
  <si>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</si>
  <si>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</si>
  <si>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</si>
  <si>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</si>
  <si>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</si>
  <si>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</si>
  <si>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</si>
  <si>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</si>
  <si>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</si>
  <si>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</si>
  <si>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</si>
  <si>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</si>
  <si>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</si>
  <si>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</si>
  <si>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</si>
  <si>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</si>
  <si>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</si>
  <si>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</si>
  <si>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</si>
  <si>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</si>
  <si>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</si>
  <si>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</si>
  <si>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</si>
  <si>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</si>
  <si>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</si>
  <si>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</si>
  <si>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</si>
  <si>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</si>
  <si>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</si>
  <si>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</si>
  <si>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</si>
  <si>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</si>
  <si>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</si>
  <si>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</si>
  <si>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</si>
  <si>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</si>
  <si>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</si>
  <si>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</si>
  <si>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</si>
  <si>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</si>
  <si>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</si>
  <si>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</si>
  <si>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</si>
  <si>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</si>
  <si>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</si>
  <si>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</si>
  <si>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</si>
  <si>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</si>
  <si>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</si>
  <si>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</si>
  <si>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</si>
  <si>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</si>
  <si>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</si>
  <si>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</si>
  <si>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</si>
  <si>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</si>
  <si>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</si>
  <si>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</si>
  <si>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</si>
  <si>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</si>
  <si>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</si>
  <si>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</si>
  <si>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</si>
  <si>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</si>
  <si>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</si>
  <si>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</si>
  <si>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</si>
  <si>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</si>
  <si>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</si>
  <si>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</si>
  <si>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</si>
  <si>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</si>
  <si>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</si>
  <si>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</si>
  <si>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</si>
  <si>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</si>
  <si>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</si>
  <si>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</si>
  <si>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</si>
  <si>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</si>
  <si>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</si>
  <si>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</si>
  <si>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</si>
  <si>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</si>
  <si>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</si>
  <si>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</si>
  <si>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</si>
  <si>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</si>
  <si>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</si>
  <si>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</si>
  <si>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</si>
  <si>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</si>
  <si>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</si>
  <si>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</si>
  <si>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</si>
  <si>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</si>
  <si>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</si>
  <si>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</si>
  <si>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</si>
  <si>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</si>
  <si>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</si>
  <si>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</si>
  <si>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</si>
  <si>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</si>
  <si>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</si>
  <si>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</si>
  <si>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</si>
  <si>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</si>
  <si>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</si>
  <si>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</si>
  <si>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</si>
  <si>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</si>
  <si>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</si>
  <si>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</si>
  <si>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</si>
  <si>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</si>
  <si>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</si>
  <si>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</si>
  <si>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</si>
  <si>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</si>
  <si>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</si>
  <si>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</si>
  <si>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</si>
  <si>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Confirmed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</si>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</sst>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numFmt numFmtId="173" formatCode="m/d/yyyy"/>
    </dxf>
    <dxf>
      <numFmt numFmtId="173" formatCode="m/d/yyyy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44358492.836446092</c:v>
                </c:pt>
                <c:pt idx="58">
                  <c:v>44731917.216446094</c:v>
                </c:pt>
                <c:pt idx="59">
                  <c:v>44731917.216446094</c:v>
                </c:pt>
                <c:pt idx="60">
                  <c:v>44731917.216446094</c:v>
                </c:pt>
                <c:pt idx="61">
                  <c:v>44734760.216446094</c:v>
                </c:pt>
                <c:pt idx="62">
                  <c:v>45365956.883112758</c:v>
                </c:pt>
                <c:pt idx="63">
                  <c:v>45421758.16311276</c:v>
                </c:pt>
                <c:pt idx="64">
                  <c:v>45421758.16311276</c:v>
                </c:pt>
                <c:pt idx="65">
                  <c:v>45421758.16311276</c:v>
                </c:pt>
                <c:pt idx="66">
                  <c:v>46122457.829779424</c:v>
                </c:pt>
                <c:pt idx="67">
                  <c:v>46122457.829779424</c:v>
                </c:pt>
                <c:pt idx="68">
                  <c:v>46722457.829779424</c:v>
                </c:pt>
                <c:pt idx="69">
                  <c:v>46722457.829779424</c:v>
                </c:pt>
                <c:pt idx="70">
                  <c:v>46804598.496446088</c:v>
                </c:pt>
                <c:pt idx="71">
                  <c:v>46804598.496446088</c:v>
                </c:pt>
                <c:pt idx="72">
                  <c:v>46804598.496446088</c:v>
                </c:pt>
                <c:pt idx="73">
                  <c:v>46804598.496446088</c:v>
                </c:pt>
                <c:pt idx="74">
                  <c:v>46804598.496446088</c:v>
                </c:pt>
                <c:pt idx="75">
                  <c:v>46886739.163112752</c:v>
                </c:pt>
                <c:pt idx="76">
                  <c:v>46886739.163112752</c:v>
                </c:pt>
                <c:pt idx="77">
                  <c:v>46886739.163112752</c:v>
                </c:pt>
                <c:pt idx="78">
                  <c:v>46886739.163112752</c:v>
                </c:pt>
                <c:pt idx="79">
                  <c:v>46968879.829779416</c:v>
                </c:pt>
                <c:pt idx="80">
                  <c:v>46968879.829779416</c:v>
                </c:pt>
                <c:pt idx="81">
                  <c:v>46968879.829779416</c:v>
                </c:pt>
                <c:pt idx="82">
                  <c:v>46968879.829779416</c:v>
                </c:pt>
                <c:pt idx="83">
                  <c:v>46968879.829779416</c:v>
                </c:pt>
                <c:pt idx="84">
                  <c:v>47051020.496446081</c:v>
                </c:pt>
                <c:pt idx="85">
                  <c:v>47051020.496446081</c:v>
                </c:pt>
                <c:pt idx="86">
                  <c:v>47051020.496446081</c:v>
                </c:pt>
                <c:pt idx="87">
                  <c:v>47051020.496446081</c:v>
                </c:pt>
                <c:pt idx="88">
                  <c:v>47133161.163112745</c:v>
                </c:pt>
                <c:pt idx="89">
                  <c:v>47133161.163112745</c:v>
                </c:pt>
                <c:pt idx="90">
                  <c:v>47133161.163112745</c:v>
                </c:pt>
                <c:pt idx="91">
                  <c:v>47133161.163112745</c:v>
                </c:pt>
                <c:pt idx="92">
                  <c:v>47215301.829779409</c:v>
                </c:pt>
                <c:pt idx="93">
                  <c:v>47215301.829779409</c:v>
                </c:pt>
                <c:pt idx="94">
                  <c:v>47215301.829779409</c:v>
                </c:pt>
                <c:pt idx="95">
                  <c:v>47215301.829779409</c:v>
                </c:pt>
                <c:pt idx="96">
                  <c:v>47215301.829779409</c:v>
                </c:pt>
                <c:pt idx="97">
                  <c:v>47597442.496446073</c:v>
                </c:pt>
                <c:pt idx="98">
                  <c:v>47597442.496446073</c:v>
                </c:pt>
                <c:pt idx="99">
                  <c:v>47597442.496446073</c:v>
                </c:pt>
                <c:pt idx="100">
                  <c:v>47597442.496446073</c:v>
                </c:pt>
                <c:pt idx="101">
                  <c:v>47679583.163112737</c:v>
                </c:pt>
                <c:pt idx="102">
                  <c:v>47679583.163112737</c:v>
                </c:pt>
                <c:pt idx="103">
                  <c:v>47679583.163112737</c:v>
                </c:pt>
                <c:pt idx="104">
                  <c:v>47679583.163112737</c:v>
                </c:pt>
                <c:pt idx="105">
                  <c:v>47761723.829779401</c:v>
                </c:pt>
                <c:pt idx="106">
                  <c:v>47761723.829779401</c:v>
                </c:pt>
                <c:pt idx="107">
                  <c:v>47761723.829779401</c:v>
                </c:pt>
                <c:pt idx="108">
                  <c:v>47761723.829779401</c:v>
                </c:pt>
                <c:pt idx="109">
                  <c:v>47843864.496446066</c:v>
                </c:pt>
                <c:pt idx="110">
                  <c:v>47843864.496446066</c:v>
                </c:pt>
                <c:pt idx="111">
                  <c:v>47843864.496446066</c:v>
                </c:pt>
                <c:pt idx="112">
                  <c:v>47843864.496446066</c:v>
                </c:pt>
                <c:pt idx="113">
                  <c:v>47843864.496446066</c:v>
                </c:pt>
                <c:pt idx="114">
                  <c:v>47843864.496446066</c:v>
                </c:pt>
                <c:pt idx="115">
                  <c:v>47843864.496446066</c:v>
                </c:pt>
                <c:pt idx="116">
                  <c:v>47843864.496446066</c:v>
                </c:pt>
                <c:pt idx="117">
                  <c:v>47843864.496446066</c:v>
                </c:pt>
                <c:pt idx="118">
                  <c:v>47843864.496446066</c:v>
                </c:pt>
                <c:pt idx="119">
                  <c:v>47843864.496446066</c:v>
                </c:pt>
                <c:pt idx="120">
                  <c:v>47843864.496446066</c:v>
                </c:pt>
                <c:pt idx="121">
                  <c:v>47843864.496446066</c:v>
                </c:pt>
                <c:pt idx="122">
                  <c:v>47843864.496446066</c:v>
                </c:pt>
                <c:pt idx="123">
                  <c:v>47843864.496446066</c:v>
                </c:pt>
                <c:pt idx="124">
                  <c:v>47843864.496446066</c:v>
                </c:pt>
                <c:pt idx="125">
                  <c:v>47843864.496446066</c:v>
                </c:pt>
                <c:pt idx="126">
                  <c:v>47843864.496446066</c:v>
                </c:pt>
                <c:pt idx="127">
                  <c:v>47843864.496446066</c:v>
                </c:pt>
                <c:pt idx="128">
                  <c:v>47843864.496446066</c:v>
                </c:pt>
                <c:pt idx="129">
                  <c:v>47843864.496446066</c:v>
                </c:pt>
                <c:pt idx="130">
                  <c:v>47843864.496446066</c:v>
                </c:pt>
                <c:pt idx="131">
                  <c:v>47843864.496446066</c:v>
                </c:pt>
                <c:pt idx="132">
                  <c:v>47843864.496446066</c:v>
                </c:pt>
                <c:pt idx="133">
                  <c:v>47843864.496446066</c:v>
                </c:pt>
                <c:pt idx="134">
                  <c:v>47843864.496446066</c:v>
                </c:pt>
                <c:pt idx="135">
                  <c:v>47843864.496446066</c:v>
                </c:pt>
                <c:pt idx="136">
                  <c:v>47843864.496446066</c:v>
                </c:pt>
                <c:pt idx="137">
                  <c:v>47843864.496446066</c:v>
                </c:pt>
                <c:pt idx="138">
                  <c:v>47843864.496446066</c:v>
                </c:pt>
                <c:pt idx="139">
                  <c:v>47843864.496446066</c:v>
                </c:pt>
                <c:pt idx="140">
                  <c:v>47843864.496446066</c:v>
                </c:pt>
                <c:pt idx="141">
                  <c:v>47843864.496446066</c:v>
                </c:pt>
                <c:pt idx="142">
                  <c:v>47843864.496446066</c:v>
                </c:pt>
                <c:pt idx="143">
                  <c:v>47843864.496446066</c:v>
                </c:pt>
                <c:pt idx="144">
                  <c:v>47843864.496446066</c:v>
                </c:pt>
                <c:pt idx="145">
                  <c:v>47843864.496446066</c:v>
                </c:pt>
                <c:pt idx="146">
                  <c:v>47843864.496446066</c:v>
                </c:pt>
                <c:pt idx="147">
                  <c:v>47843864.496446066</c:v>
                </c:pt>
                <c:pt idx="148">
                  <c:v>47843864.496446066</c:v>
                </c:pt>
                <c:pt idx="149">
                  <c:v>47843864.496446066</c:v>
                </c:pt>
                <c:pt idx="150">
                  <c:v>47843864.496446066</c:v>
                </c:pt>
                <c:pt idx="151">
                  <c:v>47843864.496446066</c:v>
                </c:pt>
                <c:pt idx="152">
                  <c:v>47843864.496446066</c:v>
                </c:pt>
                <c:pt idx="153">
                  <c:v>47843864.496446066</c:v>
                </c:pt>
                <c:pt idx="154">
                  <c:v>47843864.496446066</c:v>
                </c:pt>
                <c:pt idx="155">
                  <c:v>47843864.496446066</c:v>
                </c:pt>
                <c:pt idx="156">
                  <c:v>47843864.496446066</c:v>
                </c:pt>
                <c:pt idx="157">
                  <c:v>47843864.496446066</c:v>
                </c:pt>
                <c:pt idx="158">
                  <c:v>47843864.496446066</c:v>
                </c:pt>
                <c:pt idx="159">
                  <c:v>47843864.496446066</c:v>
                </c:pt>
                <c:pt idx="160">
                  <c:v>47843864.496446066</c:v>
                </c:pt>
                <c:pt idx="161">
                  <c:v>47843864.496446066</c:v>
                </c:pt>
                <c:pt idx="162">
                  <c:v>47843864.496446066</c:v>
                </c:pt>
                <c:pt idx="163">
                  <c:v>47843864.496446066</c:v>
                </c:pt>
                <c:pt idx="164">
                  <c:v>47843864.496446066</c:v>
                </c:pt>
                <c:pt idx="165">
                  <c:v>47843864.496446066</c:v>
                </c:pt>
                <c:pt idx="166">
                  <c:v>47843864.496446066</c:v>
                </c:pt>
                <c:pt idx="167">
                  <c:v>47843864.496446066</c:v>
                </c:pt>
                <c:pt idx="168">
                  <c:v>47843864.496446066</c:v>
                </c:pt>
                <c:pt idx="169">
                  <c:v>47843864.496446066</c:v>
                </c:pt>
                <c:pt idx="170">
                  <c:v>47843864.496446066</c:v>
                </c:pt>
                <c:pt idx="171">
                  <c:v>47843864.496446066</c:v>
                </c:pt>
                <c:pt idx="172">
                  <c:v>47843864.496446066</c:v>
                </c:pt>
                <c:pt idx="173">
                  <c:v>47843864.496446066</c:v>
                </c:pt>
                <c:pt idx="174">
                  <c:v>47843864.496446066</c:v>
                </c:pt>
                <c:pt idx="175">
                  <c:v>47843864.496446066</c:v>
                </c:pt>
                <c:pt idx="176">
                  <c:v>47843864.496446066</c:v>
                </c:pt>
                <c:pt idx="177">
                  <c:v>47843864.496446066</c:v>
                </c:pt>
                <c:pt idx="178">
                  <c:v>47843864.496446066</c:v>
                </c:pt>
                <c:pt idx="179">
                  <c:v>47843864.496446066</c:v>
                </c:pt>
                <c:pt idx="180">
                  <c:v>47843864.496446066</c:v>
                </c:pt>
                <c:pt idx="181">
                  <c:v>47843864.496446066</c:v>
                </c:pt>
                <c:pt idx="182">
                  <c:v>47843864.496446066</c:v>
                </c:pt>
                <c:pt idx="183">
                  <c:v>47843864.496446066</c:v>
                </c:pt>
                <c:pt idx="184">
                  <c:v>47843864.496446066</c:v>
                </c:pt>
                <c:pt idx="185">
                  <c:v>47843864.496446066</c:v>
                </c:pt>
                <c:pt idx="186">
                  <c:v>47843864.496446066</c:v>
                </c:pt>
                <c:pt idx="187">
                  <c:v>47843864.496446066</c:v>
                </c:pt>
                <c:pt idx="188">
                  <c:v>47843864.496446066</c:v>
                </c:pt>
                <c:pt idx="189">
                  <c:v>47843864.496446066</c:v>
                </c:pt>
                <c:pt idx="190">
                  <c:v>47843864.496446066</c:v>
                </c:pt>
                <c:pt idx="191">
                  <c:v>47843864.496446066</c:v>
                </c:pt>
                <c:pt idx="192">
                  <c:v>47843864.496446066</c:v>
                </c:pt>
                <c:pt idx="193">
                  <c:v>47843864.496446066</c:v>
                </c:pt>
                <c:pt idx="194">
                  <c:v>47843864.496446066</c:v>
                </c:pt>
                <c:pt idx="195">
                  <c:v>47843864.496446066</c:v>
                </c:pt>
                <c:pt idx="196">
                  <c:v>47843864.496446066</c:v>
                </c:pt>
                <c:pt idx="197">
                  <c:v>47843864.496446066</c:v>
                </c:pt>
                <c:pt idx="198">
                  <c:v>47843864.496446066</c:v>
                </c:pt>
                <c:pt idx="199">
                  <c:v>47843864.496446066</c:v>
                </c:pt>
                <c:pt idx="200">
                  <c:v>47843864.496446066</c:v>
                </c:pt>
                <c:pt idx="201">
                  <c:v>47843864.496446066</c:v>
                </c:pt>
                <c:pt idx="202">
                  <c:v>47843864.496446066</c:v>
                </c:pt>
                <c:pt idx="203">
                  <c:v>47843864.496446066</c:v>
                </c:pt>
                <c:pt idx="204">
                  <c:v>47843864.496446066</c:v>
                </c:pt>
                <c:pt idx="205">
                  <c:v>47843864.496446066</c:v>
                </c:pt>
                <c:pt idx="206">
                  <c:v>47843864.496446066</c:v>
                </c:pt>
                <c:pt idx="207">
                  <c:v>47843864.496446066</c:v>
                </c:pt>
                <c:pt idx="208">
                  <c:v>47843864.496446066</c:v>
                </c:pt>
                <c:pt idx="209">
                  <c:v>47843864.496446066</c:v>
                </c:pt>
                <c:pt idx="210">
                  <c:v>47843864.496446066</c:v>
                </c:pt>
                <c:pt idx="211">
                  <c:v>47843864.496446066</c:v>
                </c:pt>
                <c:pt idx="212">
                  <c:v>47843864.496446066</c:v>
                </c:pt>
                <c:pt idx="213">
                  <c:v>47843864.496446066</c:v>
                </c:pt>
                <c:pt idx="214">
                  <c:v>47843864.496446066</c:v>
                </c:pt>
                <c:pt idx="215">
                  <c:v>47843864.496446066</c:v>
                </c:pt>
                <c:pt idx="216">
                  <c:v>47843864.496446066</c:v>
                </c:pt>
                <c:pt idx="217">
                  <c:v>47843864.496446066</c:v>
                </c:pt>
                <c:pt idx="218">
                  <c:v>47843864.496446066</c:v>
                </c:pt>
                <c:pt idx="219">
                  <c:v>47843864.496446066</c:v>
                </c:pt>
                <c:pt idx="220">
                  <c:v>47843864.496446066</c:v>
                </c:pt>
                <c:pt idx="221">
                  <c:v>47843864.496446066</c:v>
                </c:pt>
                <c:pt idx="222">
                  <c:v>47843864.496446066</c:v>
                </c:pt>
                <c:pt idx="223">
                  <c:v>47843864.496446066</c:v>
                </c:pt>
                <c:pt idx="224">
                  <c:v>47843864.496446066</c:v>
                </c:pt>
                <c:pt idx="225">
                  <c:v>47843864.496446066</c:v>
                </c:pt>
                <c:pt idx="226">
                  <c:v>47843864.496446066</c:v>
                </c:pt>
                <c:pt idx="227">
                  <c:v>47843864.496446066</c:v>
                </c:pt>
                <c:pt idx="228">
                  <c:v>47843864.496446066</c:v>
                </c:pt>
                <c:pt idx="229">
                  <c:v>47843864.496446066</c:v>
                </c:pt>
                <c:pt idx="230">
                  <c:v>47843864.496446066</c:v>
                </c:pt>
                <c:pt idx="231">
                  <c:v>47843864.496446066</c:v>
                </c:pt>
                <c:pt idx="232">
                  <c:v>47843864.496446066</c:v>
                </c:pt>
                <c:pt idx="233">
                  <c:v>47843864.496446066</c:v>
                </c:pt>
                <c:pt idx="234">
                  <c:v>47843864.496446066</c:v>
                </c:pt>
                <c:pt idx="235">
                  <c:v>47843864.496446066</c:v>
                </c:pt>
                <c:pt idx="236">
                  <c:v>47843864.496446066</c:v>
                </c:pt>
                <c:pt idx="237">
                  <c:v>47843864.496446066</c:v>
                </c:pt>
                <c:pt idx="238">
                  <c:v>47843864.496446066</c:v>
                </c:pt>
                <c:pt idx="239">
                  <c:v>47843864.496446066</c:v>
                </c:pt>
                <c:pt idx="240">
                  <c:v>47843864.496446066</c:v>
                </c:pt>
                <c:pt idx="241">
                  <c:v>47843864.496446066</c:v>
                </c:pt>
                <c:pt idx="242">
                  <c:v>47843864.496446066</c:v>
                </c:pt>
                <c:pt idx="243">
                  <c:v>47843864.496446066</c:v>
                </c:pt>
                <c:pt idx="244">
                  <c:v>47843864.496446066</c:v>
                </c:pt>
                <c:pt idx="245">
                  <c:v>47843864.496446066</c:v>
                </c:pt>
                <c:pt idx="246">
                  <c:v>47843864.496446066</c:v>
                </c:pt>
                <c:pt idx="247">
                  <c:v>47843864.496446066</c:v>
                </c:pt>
                <c:pt idx="248">
                  <c:v>47843864.496446066</c:v>
                </c:pt>
                <c:pt idx="249">
                  <c:v>47843864.496446066</c:v>
                </c:pt>
                <c:pt idx="250">
                  <c:v>47843864.496446066</c:v>
                </c:pt>
                <c:pt idx="251">
                  <c:v>47843864.496446066</c:v>
                </c:pt>
                <c:pt idx="252">
                  <c:v>47843864.496446066</c:v>
                </c:pt>
                <c:pt idx="253">
                  <c:v>47843864.496446066</c:v>
                </c:pt>
                <c:pt idx="254">
                  <c:v>47843864.496446066</c:v>
                </c:pt>
                <c:pt idx="255">
                  <c:v>47843864.496446066</c:v>
                </c:pt>
                <c:pt idx="256">
                  <c:v>47843864.496446066</c:v>
                </c:pt>
                <c:pt idx="257">
                  <c:v>47843864.496446066</c:v>
                </c:pt>
                <c:pt idx="258">
                  <c:v>47843864.496446066</c:v>
                </c:pt>
                <c:pt idx="259">
                  <c:v>47843864.496446066</c:v>
                </c:pt>
                <c:pt idx="260">
                  <c:v>47843864.496446066</c:v>
                </c:pt>
                <c:pt idx="261">
                  <c:v>47843864.496446066</c:v>
                </c:pt>
                <c:pt idx="262">
                  <c:v>47843864.496446066</c:v>
                </c:pt>
                <c:pt idx="263">
                  <c:v>47843864.496446066</c:v>
                </c:pt>
                <c:pt idx="264">
                  <c:v>47843864.496446066</c:v>
                </c:pt>
                <c:pt idx="265">
                  <c:v>47843864.496446066</c:v>
                </c:pt>
                <c:pt idx="266">
                  <c:v>47843864.496446066</c:v>
                </c:pt>
                <c:pt idx="267">
                  <c:v>47843864.496446066</c:v>
                </c:pt>
                <c:pt idx="268">
                  <c:v>47843864.496446066</c:v>
                </c:pt>
                <c:pt idx="269">
                  <c:v>47843864.496446066</c:v>
                </c:pt>
                <c:pt idx="270">
                  <c:v>47843864.496446066</c:v>
                </c:pt>
                <c:pt idx="271">
                  <c:v>47843864.496446066</c:v>
                </c:pt>
                <c:pt idx="272">
                  <c:v>47843864.496446066</c:v>
                </c:pt>
                <c:pt idx="273">
                  <c:v>47843864.496446066</c:v>
                </c:pt>
                <c:pt idx="274">
                  <c:v>47843864.496446066</c:v>
                </c:pt>
                <c:pt idx="275">
                  <c:v>47843864.496446066</c:v>
                </c:pt>
                <c:pt idx="276">
                  <c:v>47843864.496446066</c:v>
                </c:pt>
                <c:pt idx="277">
                  <c:v>47843864.496446066</c:v>
                </c:pt>
                <c:pt idx="278">
                  <c:v>47843864.496446066</c:v>
                </c:pt>
                <c:pt idx="279">
                  <c:v>47843864.496446066</c:v>
                </c:pt>
                <c:pt idx="280">
                  <c:v>47843864.496446066</c:v>
                </c:pt>
                <c:pt idx="281">
                  <c:v>47843864.496446066</c:v>
                </c:pt>
                <c:pt idx="282">
                  <c:v>47843864.496446066</c:v>
                </c:pt>
                <c:pt idx="283">
                  <c:v>47843864.496446066</c:v>
                </c:pt>
                <c:pt idx="284">
                  <c:v>47843864.496446066</c:v>
                </c:pt>
                <c:pt idx="285">
                  <c:v>47843864.496446066</c:v>
                </c:pt>
                <c:pt idx="286">
                  <c:v>47843864.496446066</c:v>
                </c:pt>
                <c:pt idx="287">
                  <c:v>47843864.496446066</c:v>
                </c:pt>
                <c:pt idx="288">
                  <c:v>47843864.496446066</c:v>
                </c:pt>
                <c:pt idx="289">
                  <c:v>47843864.496446066</c:v>
                </c:pt>
                <c:pt idx="290">
                  <c:v>47843864.496446066</c:v>
                </c:pt>
                <c:pt idx="291">
                  <c:v>47843864.496446066</c:v>
                </c:pt>
                <c:pt idx="292">
                  <c:v>47843864.496446066</c:v>
                </c:pt>
                <c:pt idx="293">
                  <c:v>47843864.496446066</c:v>
                </c:pt>
                <c:pt idx="294">
                  <c:v>47843864.496446066</c:v>
                </c:pt>
                <c:pt idx="295">
                  <c:v>47843864.496446066</c:v>
                </c:pt>
                <c:pt idx="296">
                  <c:v>47843864.496446066</c:v>
                </c:pt>
                <c:pt idx="297">
                  <c:v>47843864.496446066</c:v>
                </c:pt>
                <c:pt idx="298">
                  <c:v>47843864.496446066</c:v>
                </c:pt>
                <c:pt idx="299">
                  <c:v>47843864.496446066</c:v>
                </c:pt>
                <c:pt idx="300">
                  <c:v>47843864.496446066</c:v>
                </c:pt>
                <c:pt idx="301">
                  <c:v>47843864.496446066</c:v>
                </c:pt>
                <c:pt idx="302">
                  <c:v>47843864.496446066</c:v>
                </c:pt>
                <c:pt idx="303">
                  <c:v>47843864.496446066</c:v>
                </c:pt>
                <c:pt idx="304">
                  <c:v>47843864.496446066</c:v>
                </c:pt>
                <c:pt idx="305">
                  <c:v>47843864.496446066</c:v>
                </c:pt>
                <c:pt idx="306">
                  <c:v>47843864.496446066</c:v>
                </c:pt>
                <c:pt idx="307">
                  <c:v>47843864.496446066</c:v>
                </c:pt>
                <c:pt idx="308">
                  <c:v>47843864.496446066</c:v>
                </c:pt>
                <c:pt idx="309">
                  <c:v>47843864.496446066</c:v>
                </c:pt>
                <c:pt idx="310">
                  <c:v>47843864.496446066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12636757.163553908</c:v>
                </c:pt>
                <c:pt idx="58">
                  <c:v>12263332.783553906</c:v>
                </c:pt>
                <c:pt idx="59">
                  <c:v>12263332.783553906</c:v>
                </c:pt>
                <c:pt idx="60">
                  <c:v>12263332.783553906</c:v>
                </c:pt>
                <c:pt idx="61">
                  <c:v>12260489.783553906</c:v>
                </c:pt>
                <c:pt idx="62">
                  <c:v>11629293.116887242</c:v>
                </c:pt>
                <c:pt idx="63">
                  <c:v>11573491.83688724</c:v>
                </c:pt>
                <c:pt idx="64">
                  <c:v>11573491.83688724</c:v>
                </c:pt>
                <c:pt idx="65">
                  <c:v>11573491.83688724</c:v>
                </c:pt>
                <c:pt idx="66">
                  <c:v>10872792.170220576</c:v>
                </c:pt>
                <c:pt idx="67">
                  <c:v>13872542.170220576</c:v>
                </c:pt>
                <c:pt idx="68">
                  <c:v>13272542.170220576</c:v>
                </c:pt>
                <c:pt idx="69">
                  <c:v>13272542.170220576</c:v>
                </c:pt>
                <c:pt idx="70">
                  <c:v>13190401.503553912</c:v>
                </c:pt>
                <c:pt idx="71">
                  <c:v>13190401.503553912</c:v>
                </c:pt>
                <c:pt idx="72">
                  <c:v>13190401.503553912</c:v>
                </c:pt>
                <c:pt idx="73">
                  <c:v>13190401.503553912</c:v>
                </c:pt>
                <c:pt idx="74">
                  <c:v>13190401.503553912</c:v>
                </c:pt>
                <c:pt idx="75">
                  <c:v>13108260.836887248</c:v>
                </c:pt>
                <c:pt idx="76">
                  <c:v>13108260.836887248</c:v>
                </c:pt>
                <c:pt idx="77">
                  <c:v>13108260.836887248</c:v>
                </c:pt>
                <c:pt idx="78">
                  <c:v>13108260.836887248</c:v>
                </c:pt>
                <c:pt idx="79">
                  <c:v>13026120.170220584</c:v>
                </c:pt>
                <c:pt idx="80">
                  <c:v>13026120.170220584</c:v>
                </c:pt>
                <c:pt idx="81">
                  <c:v>13026120.170220584</c:v>
                </c:pt>
                <c:pt idx="82">
                  <c:v>13026120.170220584</c:v>
                </c:pt>
                <c:pt idx="83">
                  <c:v>13026120.170220584</c:v>
                </c:pt>
                <c:pt idx="84">
                  <c:v>12943979.503553919</c:v>
                </c:pt>
                <c:pt idx="85">
                  <c:v>12943979.503553919</c:v>
                </c:pt>
                <c:pt idx="86">
                  <c:v>12943979.503553919</c:v>
                </c:pt>
                <c:pt idx="87">
                  <c:v>12943979.503553919</c:v>
                </c:pt>
                <c:pt idx="88">
                  <c:v>12861838.836887255</c:v>
                </c:pt>
                <c:pt idx="89">
                  <c:v>12861838.836887255</c:v>
                </c:pt>
                <c:pt idx="90">
                  <c:v>12861838.836887255</c:v>
                </c:pt>
                <c:pt idx="91">
                  <c:v>12861838.836887255</c:v>
                </c:pt>
                <c:pt idx="92">
                  <c:v>12779698.170220591</c:v>
                </c:pt>
                <c:pt idx="93">
                  <c:v>12779698.170220591</c:v>
                </c:pt>
                <c:pt idx="94">
                  <c:v>12779698.170220591</c:v>
                </c:pt>
                <c:pt idx="95">
                  <c:v>12779698.170220591</c:v>
                </c:pt>
                <c:pt idx="96">
                  <c:v>12779698.170220591</c:v>
                </c:pt>
                <c:pt idx="97">
                  <c:v>12397557.503553927</c:v>
                </c:pt>
                <c:pt idx="98">
                  <c:v>12397557.503553927</c:v>
                </c:pt>
                <c:pt idx="99">
                  <c:v>12397557.503553927</c:v>
                </c:pt>
                <c:pt idx="100">
                  <c:v>12397557.503553927</c:v>
                </c:pt>
                <c:pt idx="101">
                  <c:v>12315416.836887263</c:v>
                </c:pt>
                <c:pt idx="102">
                  <c:v>12315416.836887263</c:v>
                </c:pt>
                <c:pt idx="103">
                  <c:v>12315416.836887263</c:v>
                </c:pt>
                <c:pt idx="104">
                  <c:v>12315416.836887263</c:v>
                </c:pt>
                <c:pt idx="105">
                  <c:v>12233276.170220599</c:v>
                </c:pt>
                <c:pt idx="106">
                  <c:v>12233276.170220599</c:v>
                </c:pt>
                <c:pt idx="107">
                  <c:v>12233276.170220599</c:v>
                </c:pt>
                <c:pt idx="108">
                  <c:v>12233276.170220599</c:v>
                </c:pt>
                <c:pt idx="109">
                  <c:v>12151135.503553934</c:v>
                </c:pt>
                <c:pt idx="110">
                  <c:v>12151135.503553934</c:v>
                </c:pt>
                <c:pt idx="111">
                  <c:v>12151135.503553934</c:v>
                </c:pt>
                <c:pt idx="112">
                  <c:v>12151135.503553934</c:v>
                </c:pt>
                <c:pt idx="113">
                  <c:v>12151135.503553934</c:v>
                </c:pt>
                <c:pt idx="114">
                  <c:v>12151135.503553934</c:v>
                </c:pt>
                <c:pt idx="115">
                  <c:v>12151135.503553934</c:v>
                </c:pt>
                <c:pt idx="116">
                  <c:v>12151135.503553934</c:v>
                </c:pt>
                <c:pt idx="117">
                  <c:v>12151135.503553934</c:v>
                </c:pt>
                <c:pt idx="118">
                  <c:v>12151135.503553934</c:v>
                </c:pt>
                <c:pt idx="119">
                  <c:v>12151135.503553934</c:v>
                </c:pt>
                <c:pt idx="120">
                  <c:v>12151135.503553934</c:v>
                </c:pt>
                <c:pt idx="121">
                  <c:v>12151135.503553934</c:v>
                </c:pt>
                <c:pt idx="122">
                  <c:v>12151135.503553934</c:v>
                </c:pt>
                <c:pt idx="123">
                  <c:v>12151135.503553934</c:v>
                </c:pt>
                <c:pt idx="124">
                  <c:v>12151135.503553934</c:v>
                </c:pt>
                <c:pt idx="125">
                  <c:v>12151135.503553934</c:v>
                </c:pt>
                <c:pt idx="126">
                  <c:v>12151135.503553934</c:v>
                </c:pt>
                <c:pt idx="127">
                  <c:v>12151135.503553934</c:v>
                </c:pt>
                <c:pt idx="128">
                  <c:v>12151135.503553934</c:v>
                </c:pt>
                <c:pt idx="129">
                  <c:v>12151135.503553934</c:v>
                </c:pt>
                <c:pt idx="130">
                  <c:v>12151135.503553934</c:v>
                </c:pt>
                <c:pt idx="131">
                  <c:v>12151135.503553934</c:v>
                </c:pt>
                <c:pt idx="132">
                  <c:v>12151135.503553934</c:v>
                </c:pt>
                <c:pt idx="133">
                  <c:v>12151135.503553934</c:v>
                </c:pt>
                <c:pt idx="134">
                  <c:v>12151135.503553934</c:v>
                </c:pt>
                <c:pt idx="135">
                  <c:v>12151135.503553934</c:v>
                </c:pt>
                <c:pt idx="136">
                  <c:v>12151135.503553934</c:v>
                </c:pt>
                <c:pt idx="137">
                  <c:v>12151135.503553934</c:v>
                </c:pt>
                <c:pt idx="138">
                  <c:v>12151135.503553934</c:v>
                </c:pt>
                <c:pt idx="139">
                  <c:v>12151135.503553934</c:v>
                </c:pt>
                <c:pt idx="140">
                  <c:v>12151135.503553934</c:v>
                </c:pt>
                <c:pt idx="141">
                  <c:v>12151135.503553934</c:v>
                </c:pt>
                <c:pt idx="142">
                  <c:v>12151135.503553934</c:v>
                </c:pt>
                <c:pt idx="143">
                  <c:v>12151135.503553934</c:v>
                </c:pt>
                <c:pt idx="144">
                  <c:v>12151135.503553934</c:v>
                </c:pt>
                <c:pt idx="145">
                  <c:v>12151135.503553934</c:v>
                </c:pt>
                <c:pt idx="146">
                  <c:v>12151135.503553934</c:v>
                </c:pt>
                <c:pt idx="147">
                  <c:v>12151135.503553934</c:v>
                </c:pt>
                <c:pt idx="148">
                  <c:v>12151135.503553934</c:v>
                </c:pt>
                <c:pt idx="149">
                  <c:v>12151135.503553934</c:v>
                </c:pt>
                <c:pt idx="150">
                  <c:v>12151135.503553934</c:v>
                </c:pt>
                <c:pt idx="151">
                  <c:v>12151135.503553934</c:v>
                </c:pt>
                <c:pt idx="152">
                  <c:v>12151135.503553934</c:v>
                </c:pt>
                <c:pt idx="153">
                  <c:v>12151135.503553934</c:v>
                </c:pt>
                <c:pt idx="154">
                  <c:v>12151135.503553934</c:v>
                </c:pt>
                <c:pt idx="155">
                  <c:v>12151135.503553934</c:v>
                </c:pt>
                <c:pt idx="156">
                  <c:v>12151135.503553934</c:v>
                </c:pt>
                <c:pt idx="157">
                  <c:v>12151135.503553934</c:v>
                </c:pt>
                <c:pt idx="158">
                  <c:v>12151135.503553934</c:v>
                </c:pt>
                <c:pt idx="159">
                  <c:v>12151135.503553934</c:v>
                </c:pt>
                <c:pt idx="160">
                  <c:v>12151135.503553934</c:v>
                </c:pt>
                <c:pt idx="161">
                  <c:v>12151135.503553934</c:v>
                </c:pt>
                <c:pt idx="162">
                  <c:v>12151135.503553934</c:v>
                </c:pt>
                <c:pt idx="163">
                  <c:v>12151135.503553934</c:v>
                </c:pt>
                <c:pt idx="164">
                  <c:v>12151135.503553934</c:v>
                </c:pt>
                <c:pt idx="165">
                  <c:v>12151135.503553934</c:v>
                </c:pt>
                <c:pt idx="166">
                  <c:v>12151135.503553934</c:v>
                </c:pt>
                <c:pt idx="167">
                  <c:v>12151135.503553934</c:v>
                </c:pt>
                <c:pt idx="168">
                  <c:v>12151135.503553934</c:v>
                </c:pt>
                <c:pt idx="169">
                  <c:v>12151135.503553934</c:v>
                </c:pt>
                <c:pt idx="170">
                  <c:v>12151135.503553934</c:v>
                </c:pt>
                <c:pt idx="171">
                  <c:v>12151135.503553934</c:v>
                </c:pt>
                <c:pt idx="172">
                  <c:v>12151135.503553934</c:v>
                </c:pt>
                <c:pt idx="173">
                  <c:v>12151135.503553934</c:v>
                </c:pt>
                <c:pt idx="174">
                  <c:v>12151135.503553934</c:v>
                </c:pt>
                <c:pt idx="175">
                  <c:v>12151135.503553934</c:v>
                </c:pt>
                <c:pt idx="176">
                  <c:v>12151135.503553934</c:v>
                </c:pt>
                <c:pt idx="177">
                  <c:v>12151135.503553934</c:v>
                </c:pt>
                <c:pt idx="178">
                  <c:v>12151135.503553934</c:v>
                </c:pt>
                <c:pt idx="179">
                  <c:v>12151135.503553934</c:v>
                </c:pt>
                <c:pt idx="180">
                  <c:v>12151135.503553934</c:v>
                </c:pt>
                <c:pt idx="181">
                  <c:v>12151135.503553934</c:v>
                </c:pt>
                <c:pt idx="182">
                  <c:v>12151135.503553934</c:v>
                </c:pt>
                <c:pt idx="183">
                  <c:v>12151135.503553934</c:v>
                </c:pt>
                <c:pt idx="184">
                  <c:v>12151135.503553934</c:v>
                </c:pt>
                <c:pt idx="185">
                  <c:v>12151135.503553934</c:v>
                </c:pt>
                <c:pt idx="186">
                  <c:v>12151135.503553934</c:v>
                </c:pt>
                <c:pt idx="187">
                  <c:v>12151135.503553934</c:v>
                </c:pt>
                <c:pt idx="188">
                  <c:v>12151135.503553934</c:v>
                </c:pt>
                <c:pt idx="189">
                  <c:v>12151135.503553934</c:v>
                </c:pt>
                <c:pt idx="190">
                  <c:v>12151135.503553934</c:v>
                </c:pt>
                <c:pt idx="191">
                  <c:v>12151135.503553934</c:v>
                </c:pt>
                <c:pt idx="192">
                  <c:v>12151135.503553934</c:v>
                </c:pt>
                <c:pt idx="193">
                  <c:v>12151135.503553934</c:v>
                </c:pt>
                <c:pt idx="194">
                  <c:v>12151135.503553934</c:v>
                </c:pt>
                <c:pt idx="195">
                  <c:v>12151135.503553934</c:v>
                </c:pt>
                <c:pt idx="196">
                  <c:v>12151135.503553934</c:v>
                </c:pt>
                <c:pt idx="197">
                  <c:v>12151135.503553934</c:v>
                </c:pt>
                <c:pt idx="198">
                  <c:v>12151135.503553934</c:v>
                </c:pt>
                <c:pt idx="199">
                  <c:v>12151135.503553934</c:v>
                </c:pt>
                <c:pt idx="200">
                  <c:v>12151135.503553934</c:v>
                </c:pt>
                <c:pt idx="201">
                  <c:v>12151135.503553934</c:v>
                </c:pt>
                <c:pt idx="202">
                  <c:v>12151135.503553934</c:v>
                </c:pt>
                <c:pt idx="203">
                  <c:v>12151135.503553934</c:v>
                </c:pt>
                <c:pt idx="204">
                  <c:v>12151135.503553934</c:v>
                </c:pt>
                <c:pt idx="205">
                  <c:v>12151135.503553934</c:v>
                </c:pt>
                <c:pt idx="206">
                  <c:v>12151135.503553934</c:v>
                </c:pt>
                <c:pt idx="207">
                  <c:v>12151135.503553934</c:v>
                </c:pt>
                <c:pt idx="208">
                  <c:v>12151135.503553934</c:v>
                </c:pt>
                <c:pt idx="209">
                  <c:v>12151135.503553934</c:v>
                </c:pt>
                <c:pt idx="210">
                  <c:v>12151135.503553934</c:v>
                </c:pt>
                <c:pt idx="211">
                  <c:v>12151135.503553934</c:v>
                </c:pt>
                <c:pt idx="212">
                  <c:v>12151135.503553934</c:v>
                </c:pt>
                <c:pt idx="213">
                  <c:v>12151135.503553934</c:v>
                </c:pt>
                <c:pt idx="214">
                  <c:v>12151135.503553934</c:v>
                </c:pt>
                <c:pt idx="215">
                  <c:v>12151135.503553934</c:v>
                </c:pt>
                <c:pt idx="216">
                  <c:v>12151135.503553934</c:v>
                </c:pt>
                <c:pt idx="217">
                  <c:v>12151135.503553934</c:v>
                </c:pt>
                <c:pt idx="218">
                  <c:v>12151135.503553934</c:v>
                </c:pt>
                <c:pt idx="219">
                  <c:v>12151135.503553934</c:v>
                </c:pt>
                <c:pt idx="220">
                  <c:v>12151135.503553934</c:v>
                </c:pt>
                <c:pt idx="221">
                  <c:v>12151135.503553934</c:v>
                </c:pt>
                <c:pt idx="222">
                  <c:v>12151135.503553934</c:v>
                </c:pt>
                <c:pt idx="223">
                  <c:v>12151135.503553934</c:v>
                </c:pt>
                <c:pt idx="224">
                  <c:v>12151135.503553934</c:v>
                </c:pt>
                <c:pt idx="225">
                  <c:v>12151135.503553934</c:v>
                </c:pt>
                <c:pt idx="226">
                  <c:v>12151135.503553934</c:v>
                </c:pt>
                <c:pt idx="227">
                  <c:v>12151135.503553934</c:v>
                </c:pt>
                <c:pt idx="228">
                  <c:v>12151135.503553934</c:v>
                </c:pt>
                <c:pt idx="229">
                  <c:v>12151135.503553934</c:v>
                </c:pt>
                <c:pt idx="230">
                  <c:v>12151135.503553934</c:v>
                </c:pt>
                <c:pt idx="231">
                  <c:v>12151135.503553934</c:v>
                </c:pt>
                <c:pt idx="232">
                  <c:v>12151135.503553934</c:v>
                </c:pt>
                <c:pt idx="233">
                  <c:v>12151135.503553934</c:v>
                </c:pt>
                <c:pt idx="234">
                  <c:v>12151135.503553934</c:v>
                </c:pt>
                <c:pt idx="235">
                  <c:v>12151135.503553934</c:v>
                </c:pt>
                <c:pt idx="236">
                  <c:v>12151135.503553934</c:v>
                </c:pt>
                <c:pt idx="237">
                  <c:v>12151135.503553934</c:v>
                </c:pt>
                <c:pt idx="238">
                  <c:v>12151135.503553934</c:v>
                </c:pt>
                <c:pt idx="239">
                  <c:v>12151135.503553934</c:v>
                </c:pt>
                <c:pt idx="240">
                  <c:v>12151135.503553934</c:v>
                </c:pt>
                <c:pt idx="241">
                  <c:v>12151135.503553934</c:v>
                </c:pt>
                <c:pt idx="242">
                  <c:v>12151135.503553934</c:v>
                </c:pt>
                <c:pt idx="243">
                  <c:v>12151135.503553934</c:v>
                </c:pt>
                <c:pt idx="244">
                  <c:v>12151135.503553934</c:v>
                </c:pt>
                <c:pt idx="245">
                  <c:v>12151135.503553934</c:v>
                </c:pt>
                <c:pt idx="246">
                  <c:v>12151135.503553934</c:v>
                </c:pt>
                <c:pt idx="247">
                  <c:v>12151135.503553934</c:v>
                </c:pt>
                <c:pt idx="248">
                  <c:v>12151135.503553934</c:v>
                </c:pt>
                <c:pt idx="249">
                  <c:v>12151135.503553934</c:v>
                </c:pt>
                <c:pt idx="250">
                  <c:v>12151135.503553934</c:v>
                </c:pt>
                <c:pt idx="251">
                  <c:v>12151135.503553934</c:v>
                </c:pt>
                <c:pt idx="252">
                  <c:v>12151135.503553934</c:v>
                </c:pt>
                <c:pt idx="253">
                  <c:v>12151135.503553934</c:v>
                </c:pt>
                <c:pt idx="254">
                  <c:v>12151135.503553934</c:v>
                </c:pt>
                <c:pt idx="255">
                  <c:v>12151135.503553934</c:v>
                </c:pt>
                <c:pt idx="256">
                  <c:v>12151135.503553934</c:v>
                </c:pt>
                <c:pt idx="257">
                  <c:v>12151135.503553934</c:v>
                </c:pt>
                <c:pt idx="258">
                  <c:v>12151135.503553934</c:v>
                </c:pt>
                <c:pt idx="259">
                  <c:v>12151135.503553934</c:v>
                </c:pt>
                <c:pt idx="260">
                  <c:v>12151135.503553934</c:v>
                </c:pt>
                <c:pt idx="261">
                  <c:v>12151135.503553934</c:v>
                </c:pt>
                <c:pt idx="262">
                  <c:v>12151135.503553934</c:v>
                </c:pt>
                <c:pt idx="263">
                  <c:v>12151135.503553934</c:v>
                </c:pt>
                <c:pt idx="264">
                  <c:v>12151135.503553934</c:v>
                </c:pt>
                <c:pt idx="265">
                  <c:v>12151135.503553934</c:v>
                </c:pt>
                <c:pt idx="266">
                  <c:v>12151135.503553934</c:v>
                </c:pt>
                <c:pt idx="267">
                  <c:v>12151135.503553934</c:v>
                </c:pt>
                <c:pt idx="268">
                  <c:v>12151135.503553934</c:v>
                </c:pt>
                <c:pt idx="269">
                  <c:v>12151135.503553934</c:v>
                </c:pt>
                <c:pt idx="270">
                  <c:v>12151135.503553934</c:v>
                </c:pt>
                <c:pt idx="271">
                  <c:v>12151135.503553934</c:v>
                </c:pt>
                <c:pt idx="272">
                  <c:v>12151135.503553934</c:v>
                </c:pt>
                <c:pt idx="273">
                  <c:v>12151135.503553934</c:v>
                </c:pt>
                <c:pt idx="274">
                  <c:v>12151135.503553934</c:v>
                </c:pt>
                <c:pt idx="275">
                  <c:v>12151135.503553934</c:v>
                </c:pt>
                <c:pt idx="276">
                  <c:v>12151135.503553934</c:v>
                </c:pt>
                <c:pt idx="277">
                  <c:v>12151135.503553934</c:v>
                </c:pt>
                <c:pt idx="278">
                  <c:v>12151135.503553934</c:v>
                </c:pt>
                <c:pt idx="279">
                  <c:v>12151135.503553934</c:v>
                </c:pt>
                <c:pt idx="280">
                  <c:v>12151135.503553934</c:v>
                </c:pt>
                <c:pt idx="281">
                  <c:v>12151135.503553934</c:v>
                </c:pt>
                <c:pt idx="282">
                  <c:v>12151135.503553934</c:v>
                </c:pt>
                <c:pt idx="283">
                  <c:v>12151135.503553934</c:v>
                </c:pt>
                <c:pt idx="284">
                  <c:v>12151135.503553934</c:v>
                </c:pt>
                <c:pt idx="285">
                  <c:v>12151135.503553934</c:v>
                </c:pt>
                <c:pt idx="286">
                  <c:v>12151135.503553934</c:v>
                </c:pt>
                <c:pt idx="287">
                  <c:v>12151135.503553934</c:v>
                </c:pt>
                <c:pt idx="288">
                  <c:v>12151135.503553934</c:v>
                </c:pt>
                <c:pt idx="289">
                  <c:v>12151135.503553934</c:v>
                </c:pt>
                <c:pt idx="290">
                  <c:v>12151135.503553934</c:v>
                </c:pt>
                <c:pt idx="291">
                  <c:v>12151135.503553934</c:v>
                </c:pt>
                <c:pt idx="292">
                  <c:v>12151135.503553934</c:v>
                </c:pt>
                <c:pt idx="293">
                  <c:v>12151135.503553934</c:v>
                </c:pt>
                <c:pt idx="294">
                  <c:v>12151135.503553934</c:v>
                </c:pt>
                <c:pt idx="295">
                  <c:v>12151135.503553934</c:v>
                </c:pt>
                <c:pt idx="296">
                  <c:v>12151135.503553934</c:v>
                </c:pt>
                <c:pt idx="297">
                  <c:v>12151135.503553934</c:v>
                </c:pt>
                <c:pt idx="298">
                  <c:v>12151135.503553934</c:v>
                </c:pt>
                <c:pt idx="299">
                  <c:v>12151135.503553934</c:v>
                </c:pt>
                <c:pt idx="300">
                  <c:v>12151135.503553934</c:v>
                </c:pt>
                <c:pt idx="301">
                  <c:v>12151135.503553934</c:v>
                </c:pt>
                <c:pt idx="302">
                  <c:v>12151135.503553934</c:v>
                </c:pt>
                <c:pt idx="303">
                  <c:v>12151135.503553934</c:v>
                </c:pt>
                <c:pt idx="304">
                  <c:v>12151135.503553934</c:v>
                </c:pt>
                <c:pt idx="305">
                  <c:v>12151135.503553934</c:v>
                </c:pt>
                <c:pt idx="306">
                  <c:v>12151135.503553934</c:v>
                </c:pt>
                <c:pt idx="307">
                  <c:v>12151135.503553934</c:v>
                </c:pt>
                <c:pt idx="308">
                  <c:v>12151135.503553934</c:v>
                </c:pt>
                <c:pt idx="309">
                  <c:v>12151135.503553934</c:v>
                </c:pt>
                <c:pt idx="310">
                  <c:v>12151135.503553934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59800831.272943787</c:v>
                </c:pt>
                <c:pt idx="58">
                  <c:v>59800831.272943787</c:v>
                </c:pt>
                <c:pt idx="59">
                  <c:v>59800831.272943787</c:v>
                </c:pt>
                <c:pt idx="60">
                  <c:v>59800831.272943787</c:v>
                </c:pt>
                <c:pt idx="61">
                  <c:v>59800831.272943787</c:v>
                </c:pt>
                <c:pt idx="62">
                  <c:v>59800831.272943787</c:v>
                </c:pt>
                <c:pt idx="63">
                  <c:v>59800831.272943787</c:v>
                </c:pt>
                <c:pt idx="64">
                  <c:v>59800831.272943787</c:v>
                </c:pt>
                <c:pt idx="65">
                  <c:v>59800831.272943787</c:v>
                </c:pt>
                <c:pt idx="66">
                  <c:v>59800831.272943787</c:v>
                </c:pt>
                <c:pt idx="67">
                  <c:v>59800831.272943787</c:v>
                </c:pt>
                <c:pt idx="68">
                  <c:v>59800831.272943787</c:v>
                </c:pt>
                <c:pt idx="69">
                  <c:v>59800831.272943787</c:v>
                </c:pt>
                <c:pt idx="70">
                  <c:v>59800831.272943787</c:v>
                </c:pt>
                <c:pt idx="71">
                  <c:v>59800831.272943787</c:v>
                </c:pt>
                <c:pt idx="72">
                  <c:v>59800831.272943787</c:v>
                </c:pt>
                <c:pt idx="73">
                  <c:v>59800831.272943787</c:v>
                </c:pt>
                <c:pt idx="74">
                  <c:v>59800831.272943787</c:v>
                </c:pt>
                <c:pt idx="75">
                  <c:v>59800831.272943787</c:v>
                </c:pt>
                <c:pt idx="76">
                  <c:v>59800831.272943787</c:v>
                </c:pt>
                <c:pt idx="77">
                  <c:v>59800831.272943787</c:v>
                </c:pt>
                <c:pt idx="78">
                  <c:v>59800831.272943787</c:v>
                </c:pt>
                <c:pt idx="79">
                  <c:v>59800831.272943787</c:v>
                </c:pt>
                <c:pt idx="80">
                  <c:v>59800831.272943787</c:v>
                </c:pt>
                <c:pt idx="81">
                  <c:v>59800831.272943787</c:v>
                </c:pt>
                <c:pt idx="82">
                  <c:v>59800831.272943787</c:v>
                </c:pt>
                <c:pt idx="83">
                  <c:v>59800831.272943787</c:v>
                </c:pt>
                <c:pt idx="84">
                  <c:v>59800831.272943787</c:v>
                </c:pt>
                <c:pt idx="85">
                  <c:v>59800831.272943787</c:v>
                </c:pt>
                <c:pt idx="86">
                  <c:v>59800831.272943787</c:v>
                </c:pt>
                <c:pt idx="87">
                  <c:v>59800831.272943787</c:v>
                </c:pt>
                <c:pt idx="88">
                  <c:v>59800831.272943787</c:v>
                </c:pt>
                <c:pt idx="89">
                  <c:v>59800831.272943787</c:v>
                </c:pt>
                <c:pt idx="90">
                  <c:v>59800831.272943787</c:v>
                </c:pt>
                <c:pt idx="91">
                  <c:v>59800831.272943787</c:v>
                </c:pt>
                <c:pt idx="92">
                  <c:v>59800831.272943787</c:v>
                </c:pt>
                <c:pt idx="93">
                  <c:v>59800831.272943787</c:v>
                </c:pt>
                <c:pt idx="94">
                  <c:v>59800831.272943787</c:v>
                </c:pt>
                <c:pt idx="95">
                  <c:v>59800831.272943787</c:v>
                </c:pt>
                <c:pt idx="96">
                  <c:v>59800831.272943787</c:v>
                </c:pt>
                <c:pt idx="97">
                  <c:v>59800831.272943787</c:v>
                </c:pt>
                <c:pt idx="98">
                  <c:v>59800831.272943787</c:v>
                </c:pt>
                <c:pt idx="99">
                  <c:v>59800831.272943787</c:v>
                </c:pt>
                <c:pt idx="100">
                  <c:v>59800831.272943787</c:v>
                </c:pt>
                <c:pt idx="101">
                  <c:v>59800831.272943787</c:v>
                </c:pt>
                <c:pt idx="102">
                  <c:v>59800831.272943787</c:v>
                </c:pt>
                <c:pt idx="103">
                  <c:v>59800831.272943787</c:v>
                </c:pt>
                <c:pt idx="104">
                  <c:v>59800831.272943787</c:v>
                </c:pt>
                <c:pt idx="105">
                  <c:v>59800831.272943787</c:v>
                </c:pt>
                <c:pt idx="106">
                  <c:v>59800831.272943787</c:v>
                </c:pt>
                <c:pt idx="107">
                  <c:v>59800831.272943787</c:v>
                </c:pt>
                <c:pt idx="108">
                  <c:v>59800831.272943787</c:v>
                </c:pt>
                <c:pt idx="109">
                  <c:v>59800831.272943787</c:v>
                </c:pt>
                <c:pt idx="110">
                  <c:v>59800831.272943787</c:v>
                </c:pt>
                <c:pt idx="111">
                  <c:v>59800831.272943787</c:v>
                </c:pt>
                <c:pt idx="112">
                  <c:v>59800831.272943787</c:v>
                </c:pt>
                <c:pt idx="113">
                  <c:v>59800831.272943787</c:v>
                </c:pt>
                <c:pt idx="114">
                  <c:v>59800831.272943787</c:v>
                </c:pt>
                <c:pt idx="115">
                  <c:v>59800831.272943787</c:v>
                </c:pt>
                <c:pt idx="116">
                  <c:v>59800831.272943787</c:v>
                </c:pt>
                <c:pt idx="117">
                  <c:v>59800831.272943787</c:v>
                </c:pt>
                <c:pt idx="118">
                  <c:v>59800831.272943787</c:v>
                </c:pt>
                <c:pt idx="119">
                  <c:v>59800831.272943787</c:v>
                </c:pt>
                <c:pt idx="120">
                  <c:v>59800831.272943787</c:v>
                </c:pt>
                <c:pt idx="121">
                  <c:v>59800831.272943787</c:v>
                </c:pt>
                <c:pt idx="122">
                  <c:v>59800831.272943787</c:v>
                </c:pt>
                <c:pt idx="123">
                  <c:v>59800831.272943787</c:v>
                </c:pt>
                <c:pt idx="124">
                  <c:v>59800831.272943787</c:v>
                </c:pt>
                <c:pt idx="125">
                  <c:v>59800831.272943787</c:v>
                </c:pt>
                <c:pt idx="126">
                  <c:v>59800831.272943787</c:v>
                </c:pt>
                <c:pt idx="127">
                  <c:v>59800831.272943787</c:v>
                </c:pt>
                <c:pt idx="128">
                  <c:v>59800831.272943787</c:v>
                </c:pt>
                <c:pt idx="129">
                  <c:v>59800831.272943787</c:v>
                </c:pt>
                <c:pt idx="130">
                  <c:v>59800831.272943787</c:v>
                </c:pt>
                <c:pt idx="131">
                  <c:v>59800831.272943787</c:v>
                </c:pt>
                <c:pt idx="132">
                  <c:v>59800831.272943787</c:v>
                </c:pt>
                <c:pt idx="133">
                  <c:v>59800831.272943787</c:v>
                </c:pt>
                <c:pt idx="134">
                  <c:v>59800831.272943787</c:v>
                </c:pt>
                <c:pt idx="135">
                  <c:v>59800831.272943787</c:v>
                </c:pt>
                <c:pt idx="136">
                  <c:v>59800831.272943787</c:v>
                </c:pt>
                <c:pt idx="137">
                  <c:v>59800831.272943787</c:v>
                </c:pt>
                <c:pt idx="138">
                  <c:v>59800831.272943787</c:v>
                </c:pt>
                <c:pt idx="139">
                  <c:v>59800831.272943787</c:v>
                </c:pt>
                <c:pt idx="140">
                  <c:v>59800831.272943787</c:v>
                </c:pt>
                <c:pt idx="141">
                  <c:v>59800831.272943787</c:v>
                </c:pt>
                <c:pt idx="142">
                  <c:v>59800831.272943787</c:v>
                </c:pt>
                <c:pt idx="143">
                  <c:v>59800831.272943787</c:v>
                </c:pt>
                <c:pt idx="144">
                  <c:v>59800831.272943787</c:v>
                </c:pt>
                <c:pt idx="145">
                  <c:v>59800831.272943787</c:v>
                </c:pt>
                <c:pt idx="146">
                  <c:v>59800831.272943787</c:v>
                </c:pt>
                <c:pt idx="147">
                  <c:v>59800831.272943787</c:v>
                </c:pt>
                <c:pt idx="148">
                  <c:v>59800831.272943787</c:v>
                </c:pt>
                <c:pt idx="149">
                  <c:v>59800831.272943787</c:v>
                </c:pt>
                <c:pt idx="150">
                  <c:v>59800831.272943787</c:v>
                </c:pt>
                <c:pt idx="151">
                  <c:v>59800831.272943787</c:v>
                </c:pt>
                <c:pt idx="152">
                  <c:v>59800831.272943787</c:v>
                </c:pt>
                <c:pt idx="153">
                  <c:v>59800831.272943787</c:v>
                </c:pt>
                <c:pt idx="154">
                  <c:v>59800831.272943787</c:v>
                </c:pt>
                <c:pt idx="155">
                  <c:v>59800831.272943787</c:v>
                </c:pt>
                <c:pt idx="156">
                  <c:v>59800831.272943787</c:v>
                </c:pt>
                <c:pt idx="157">
                  <c:v>59800831.272943787</c:v>
                </c:pt>
                <c:pt idx="158">
                  <c:v>59800831.272943787</c:v>
                </c:pt>
                <c:pt idx="159">
                  <c:v>59800831.272943787</c:v>
                </c:pt>
                <c:pt idx="160">
                  <c:v>59800831.272943787</c:v>
                </c:pt>
                <c:pt idx="161">
                  <c:v>59800831.272943787</c:v>
                </c:pt>
                <c:pt idx="162">
                  <c:v>59800831.272943787</c:v>
                </c:pt>
                <c:pt idx="163">
                  <c:v>59800831.272943787</c:v>
                </c:pt>
                <c:pt idx="164">
                  <c:v>59800831.272943787</c:v>
                </c:pt>
                <c:pt idx="165">
                  <c:v>59800831.272943787</c:v>
                </c:pt>
                <c:pt idx="166">
                  <c:v>59800831.272943787</c:v>
                </c:pt>
                <c:pt idx="167">
                  <c:v>59800831.272943787</c:v>
                </c:pt>
                <c:pt idx="168">
                  <c:v>59800831.272943787</c:v>
                </c:pt>
                <c:pt idx="169">
                  <c:v>59800831.272943787</c:v>
                </c:pt>
                <c:pt idx="170">
                  <c:v>59800831.272943787</c:v>
                </c:pt>
                <c:pt idx="171">
                  <c:v>59800831.272943787</c:v>
                </c:pt>
                <c:pt idx="172">
                  <c:v>59800831.272943787</c:v>
                </c:pt>
                <c:pt idx="173">
                  <c:v>59800831.272943787</c:v>
                </c:pt>
                <c:pt idx="174">
                  <c:v>59800831.272943787</c:v>
                </c:pt>
                <c:pt idx="175">
                  <c:v>59800831.272943787</c:v>
                </c:pt>
                <c:pt idx="176">
                  <c:v>59800831.272943787</c:v>
                </c:pt>
                <c:pt idx="177">
                  <c:v>59800831.272943787</c:v>
                </c:pt>
                <c:pt idx="178">
                  <c:v>59800831.272943787</c:v>
                </c:pt>
                <c:pt idx="179">
                  <c:v>59800831.272943787</c:v>
                </c:pt>
                <c:pt idx="180">
                  <c:v>59800831.272943787</c:v>
                </c:pt>
                <c:pt idx="181">
                  <c:v>59800831.272943787</c:v>
                </c:pt>
                <c:pt idx="182">
                  <c:v>59800831.272943787</c:v>
                </c:pt>
                <c:pt idx="183">
                  <c:v>59800831.272943787</c:v>
                </c:pt>
                <c:pt idx="184">
                  <c:v>59800831.272943787</c:v>
                </c:pt>
                <c:pt idx="185">
                  <c:v>59800831.272943787</c:v>
                </c:pt>
                <c:pt idx="186">
                  <c:v>59800831.272943787</c:v>
                </c:pt>
                <c:pt idx="187">
                  <c:v>59800831.272943787</c:v>
                </c:pt>
                <c:pt idx="188">
                  <c:v>59800831.272943787</c:v>
                </c:pt>
                <c:pt idx="189">
                  <c:v>59800831.272943787</c:v>
                </c:pt>
                <c:pt idx="190">
                  <c:v>59800831.272943787</c:v>
                </c:pt>
                <c:pt idx="191">
                  <c:v>59800831.272943787</c:v>
                </c:pt>
                <c:pt idx="192">
                  <c:v>59800831.272943787</c:v>
                </c:pt>
                <c:pt idx="193">
                  <c:v>59800831.272943787</c:v>
                </c:pt>
                <c:pt idx="194">
                  <c:v>59800831.272943787</c:v>
                </c:pt>
                <c:pt idx="195">
                  <c:v>59800831.272943787</c:v>
                </c:pt>
                <c:pt idx="196">
                  <c:v>59800831.272943787</c:v>
                </c:pt>
                <c:pt idx="197">
                  <c:v>59800831.272943787</c:v>
                </c:pt>
                <c:pt idx="198">
                  <c:v>59800831.272943787</c:v>
                </c:pt>
                <c:pt idx="199">
                  <c:v>59800831.272943787</c:v>
                </c:pt>
                <c:pt idx="200">
                  <c:v>59800831.272943787</c:v>
                </c:pt>
                <c:pt idx="201">
                  <c:v>59800831.272943787</c:v>
                </c:pt>
                <c:pt idx="202">
                  <c:v>59800831.272943787</c:v>
                </c:pt>
                <c:pt idx="203">
                  <c:v>59800831.272943787</c:v>
                </c:pt>
                <c:pt idx="204">
                  <c:v>59800831.272943787</c:v>
                </c:pt>
                <c:pt idx="205">
                  <c:v>59800831.272943787</c:v>
                </c:pt>
                <c:pt idx="206">
                  <c:v>59800831.272943787</c:v>
                </c:pt>
                <c:pt idx="207">
                  <c:v>59800831.272943787</c:v>
                </c:pt>
                <c:pt idx="208">
                  <c:v>59800831.272943787</c:v>
                </c:pt>
                <c:pt idx="209">
                  <c:v>59800831.272943787</c:v>
                </c:pt>
                <c:pt idx="210">
                  <c:v>59800831.272943787</c:v>
                </c:pt>
                <c:pt idx="211">
                  <c:v>59800831.272943787</c:v>
                </c:pt>
                <c:pt idx="212">
                  <c:v>59800831.272943787</c:v>
                </c:pt>
                <c:pt idx="213">
                  <c:v>59800831.272943787</c:v>
                </c:pt>
                <c:pt idx="214">
                  <c:v>59800831.272943787</c:v>
                </c:pt>
                <c:pt idx="215">
                  <c:v>59800831.272943787</c:v>
                </c:pt>
                <c:pt idx="216">
                  <c:v>59800831.272943787</c:v>
                </c:pt>
                <c:pt idx="217">
                  <c:v>59800831.272943787</c:v>
                </c:pt>
                <c:pt idx="218">
                  <c:v>59800831.272943787</c:v>
                </c:pt>
                <c:pt idx="219">
                  <c:v>59800831.272943787</c:v>
                </c:pt>
                <c:pt idx="220">
                  <c:v>59800831.272943787</c:v>
                </c:pt>
                <c:pt idx="221">
                  <c:v>59800831.272943787</c:v>
                </c:pt>
                <c:pt idx="222">
                  <c:v>59800831.272943787</c:v>
                </c:pt>
                <c:pt idx="223">
                  <c:v>59800831.272943787</c:v>
                </c:pt>
                <c:pt idx="224">
                  <c:v>59800831.272943787</c:v>
                </c:pt>
                <c:pt idx="225">
                  <c:v>59800831.272943787</c:v>
                </c:pt>
                <c:pt idx="226">
                  <c:v>59800831.272943787</c:v>
                </c:pt>
                <c:pt idx="227">
                  <c:v>59800831.272943787</c:v>
                </c:pt>
                <c:pt idx="228">
                  <c:v>59800831.272943787</c:v>
                </c:pt>
                <c:pt idx="229">
                  <c:v>59800831.272943787</c:v>
                </c:pt>
                <c:pt idx="230">
                  <c:v>59800831.272943787</c:v>
                </c:pt>
                <c:pt idx="231">
                  <c:v>59800831.272943787</c:v>
                </c:pt>
                <c:pt idx="232">
                  <c:v>59800831.272943787</c:v>
                </c:pt>
                <c:pt idx="233">
                  <c:v>59800831.272943787</c:v>
                </c:pt>
                <c:pt idx="234">
                  <c:v>59800831.272943787</c:v>
                </c:pt>
                <c:pt idx="235">
                  <c:v>59800831.272943787</c:v>
                </c:pt>
                <c:pt idx="236">
                  <c:v>59800831.272943787</c:v>
                </c:pt>
                <c:pt idx="237">
                  <c:v>59800831.272943787</c:v>
                </c:pt>
                <c:pt idx="238">
                  <c:v>59800831.272943787</c:v>
                </c:pt>
                <c:pt idx="239">
                  <c:v>59800831.272943787</c:v>
                </c:pt>
                <c:pt idx="240">
                  <c:v>59800831.272943787</c:v>
                </c:pt>
                <c:pt idx="241">
                  <c:v>59800831.272943787</c:v>
                </c:pt>
                <c:pt idx="242">
                  <c:v>59800831.272943787</c:v>
                </c:pt>
                <c:pt idx="243">
                  <c:v>59800831.272943787</c:v>
                </c:pt>
                <c:pt idx="244">
                  <c:v>59800831.272943787</c:v>
                </c:pt>
                <c:pt idx="245">
                  <c:v>59800831.272943787</c:v>
                </c:pt>
                <c:pt idx="246">
                  <c:v>59800831.272943787</c:v>
                </c:pt>
                <c:pt idx="247">
                  <c:v>59800831.272943787</c:v>
                </c:pt>
                <c:pt idx="248">
                  <c:v>59800831.272943787</c:v>
                </c:pt>
                <c:pt idx="249">
                  <c:v>59800831.272943787</c:v>
                </c:pt>
                <c:pt idx="250">
                  <c:v>59800831.272943787</c:v>
                </c:pt>
                <c:pt idx="251">
                  <c:v>59800831.272943787</c:v>
                </c:pt>
                <c:pt idx="252">
                  <c:v>59800831.272943787</c:v>
                </c:pt>
                <c:pt idx="253">
                  <c:v>59800831.272943787</c:v>
                </c:pt>
                <c:pt idx="254">
                  <c:v>59800831.272943787</c:v>
                </c:pt>
                <c:pt idx="255">
                  <c:v>59800831.272943787</c:v>
                </c:pt>
                <c:pt idx="256">
                  <c:v>59800831.272943787</c:v>
                </c:pt>
                <c:pt idx="257">
                  <c:v>59800831.272943787</c:v>
                </c:pt>
                <c:pt idx="258">
                  <c:v>59800831.272943787</c:v>
                </c:pt>
                <c:pt idx="259">
                  <c:v>59800831.272943787</c:v>
                </c:pt>
                <c:pt idx="260">
                  <c:v>59800831.272943787</c:v>
                </c:pt>
                <c:pt idx="261">
                  <c:v>59800831.272943787</c:v>
                </c:pt>
                <c:pt idx="262">
                  <c:v>59800831.272943787</c:v>
                </c:pt>
                <c:pt idx="263">
                  <c:v>59800831.272943787</c:v>
                </c:pt>
                <c:pt idx="264">
                  <c:v>59800831.272943787</c:v>
                </c:pt>
                <c:pt idx="265">
                  <c:v>59800831.272943787</c:v>
                </c:pt>
                <c:pt idx="266">
                  <c:v>59800831.272943787</c:v>
                </c:pt>
                <c:pt idx="267">
                  <c:v>59800831.272943787</c:v>
                </c:pt>
                <c:pt idx="268">
                  <c:v>59800831.272943787</c:v>
                </c:pt>
                <c:pt idx="269">
                  <c:v>59800831.272943787</c:v>
                </c:pt>
                <c:pt idx="270">
                  <c:v>59800831.272943787</c:v>
                </c:pt>
                <c:pt idx="271">
                  <c:v>59800831.272943787</c:v>
                </c:pt>
                <c:pt idx="272">
                  <c:v>59800831.272943787</c:v>
                </c:pt>
                <c:pt idx="273">
                  <c:v>59800831.272943787</c:v>
                </c:pt>
                <c:pt idx="274">
                  <c:v>59800831.272943787</c:v>
                </c:pt>
                <c:pt idx="275">
                  <c:v>59800831.272943787</c:v>
                </c:pt>
                <c:pt idx="276">
                  <c:v>59800831.272943787</c:v>
                </c:pt>
                <c:pt idx="277">
                  <c:v>59800831.272943787</c:v>
                </c:pt>
                <c:pt idx="278">
                  <c:v>59800831.272943787</c:v>
                </c:pt>
                <c:pt idx="279">
                  <c:v>59800831.272943787</c:v>
                </c:pt>
                <c:pt idx="280">
                  <c:v>59800831.272943787</c:v>
                </c:pt>
                <c:pt idx="281">
                  <c:v>59800831.272943787</c:v>
                </c:pt>
                <c:pt idx="282">
                  <c:v>59800831.272943787</c:v>
                </c:pt>
                <c:pt idx="283">
                  <c:v>59800831.272943787</c:v>
                </c:pt>
                <c:pt idx="284">
                  <c:v>59800831.272943787</c:v>
                </c:pt>
                <c:pt idx="285">
                  <c:v>59800831.272943787</c:v>
                </c:pt>
                <c:pt idx="286">
                  <c:v>59800831.272943787</c:v>
                </c:pt>
                <c:pt idx="287">
                  <c:v>59800831.272943787</c:v>
                </c:pt>
                <c:pt idx="288">
                  <c:v>59800831.272943787</c:v>
                </c:pt>
                <c:pt idx="289">
                  <c:v>59800831.272943787</c:v>
                </c:pt>
                <c:pt idx="290">
                  <c:v>59800831.272943787</c:v>
                </c:pt>
                <c:pt idx="291">
                  <c:v>59800831.272943787</c:v>
                </c:pt>
                <c:pt idx="292">
                  <c:v>59800831.272943787</c:v>
                </c:pt>
                <c:pt idx="293">
                  <c:v>59800831.272943787</c:v>
                </c:pt>
                <c:pt idx="294">
                  <c:v>59800831.272943787</c:v>
                </c:pt>
                <c:pt idx="295">
                  <c:v>59800831.272943787</c:v>
                </c:pt>
                <c:pt idx="296">
                  <c:v>59800831.272943787</c:v>
                </c:pt>
                <c:pt idx="297">
                  <c:v>59800831.272943787</c:v>
                </c:pt>
                <c:pt idx="298">
                  <c:v>59800831.272943787</c:v>
                </c:pt>
                <c:pt idx="299">
                  <c:v>59800831.272943787</c:v>
                </c:pt>
                <c:pt idx="300">
                  <c:v>59800831.272943787</c:v>
                </c:pt>
                <c:pt idx="301">
                  <c:v>59800831.272943787</c:v>
                </c:pt>
                <c:pt idx="302">
                  <c:v>59800831.272943787</c:v>
                </c:pt>
                <c:pt idx="303">
                  <c:v>59800831.272943787</c:v>
                </c:pt>
                <c:pt idx="304">
                  <c:v>59800831.272943787</c:v>
                </c:pt>
                <c:pt idx="305">
                  <c:v>59800831.272943787</c:v>
                </c:pt>
                <c:pt idx="306">
                  <c:v>59800831.272943787</c:v>
                </c:pt>
                <c:pt idx="307">
                  <c:v>59800831.272943787</c:v>
                </c:pt>
                <c:pt idx="308">
                  <c:v>59800831.272943787</c:v>
                </c:pt>
                <c:pt idx="309">
                  <c:v>59800831.272943787</c:v>
                </c:pt>
                <c:pt idx="310">
                  <c:v>59800831.272943787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31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30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284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2" t="s">
        <v>57</v>
      </c>
      <c r="E47" s="902"/>
      <c r="F47" s="903"/>
      <c r="G47" s="67"/>
      <c r="I47" s="68"/>
      <c r="J47" s="68"/>
    </row>
    <row r="48" spans="1:49" ht="14.4" thickBot="1">
      <c r="C48" s="69">
        <v>44014</v>
      </c>
      <c r="D48" s="904"/>
      <c r="E48" s="904"/>
      <c r="F48" s="90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R19" sqref="R19"/>
    </sheetView>
  </sheetViews>
  <sheetFormatPr defaultColWidth="8.44140625" defaultRowHeight="14.4"/>
  <cols>
    <col min="1" max="1" width="5.5546875" style="93" customWidth="1"/>
    <col min="2" max="2" width="7.109375" style="129" customWidth="1"/>
    <col min="3" max="3" width="21.886718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2.88671875" style="128" bestFit="1" customWidth="1"/>
    <col min="8" max="8" width="16.5546875" style="128" bestFit="1" customWidth="1"/>
    <col min="9" max="9" width="1.44140625" style="128" customWidth="1"/>
    <col min="10" max="10" width="3.109375" style="93" customWidth="1"/>
    <col min="11" max="11" width="1.44140625" style="165" customWidth="1"/>
    <col min="12" max="12" width="23.88671875" style="93" bestFit="1" customWidth="1"/>
    <col min="13" max="13" width="1.44140625" style="128" customWidth="1"/>
    <col min="14" max="14" width="27.109375" style="128" bestFit="1" customWidth="1"/>
    <col min="15" max="15" width="1.44140625" style="93" customWidth="1"/>
    <col min="16" max="16" width="15.88671875" style="128" bestFit="1" customWidth="1"/>
    <col min="17" max="17" width="5.5546875" style="128" customWidth="1"/>
    <col min="18" max="18" width="33.109375" style="128" bestFit="1" customWidth="1"/>
    <col min="19" max="20" width="13.886718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1093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1093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13531807.922589721</v>
      </c>
      <c r="Z4" s="766">
        <f>SUMIFS('Expenditure Breakdown'!$Q:$Q,
        'Expenditure Breakdown'!$T:$T, "&gt;"&amp;DATE(2025,8,31),
        'Expenditure Breakdown'!$T:$T, "&lt;="&amp;DATE(2026,8,31))</f>
        <v>10813829.064387694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13531300.842589721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10129736.784387695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47843864.496446103</v>
      </c>
      <c r="G5" s="833" t="s">
        <v>76</v>
      </c>
      <c r="H5" s="833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47843864.496446103</v>
      </c>
      <c r="T5" s="730">
        <f>F5-R5</f>
        <v>47843864.496446103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12151135.503553897</v>
      </c>
      <c r="G6" s="834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12151135.503553897</v>
      </c>
      <c r="T6" s="734">
        <f>T4-T5</f>
        <v>12151135.503553897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0.20253580304281851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4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2">
      <c r="B13" s="341">
        <v>1</v>
      </c>
      <c r="C13" s="906" t="s">
        <v>93</v>
      </c>
      <c r="D13" s="907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3.2">
      <c r="B14" s="153">
        <v>2</v>
      </c>
      <c r="C14" s="906" t="s">
        <v>95</v>
      </c>
      <c r="D14" s="907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3.2">
      <c r="B15" s="341">
        <v>3</v>
      </c>
      <c r="C15" s="906" t="s">
        <v>97</v>
      </c>
      <c r="D15" s="907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3.2">
      <c r="B16" s="341">
        <v>4</v>
      </c>
      <c r="C16" s="906" t="s">
        <v>99</v>
      </c>
      <c r="D16" s="907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3.2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5">
        <v>46002</v>
      </c>
      <c r="R17" s="368"/>
      <c r="S17" s="740"/>
      <c r="T17" s="740"/>
      <c r="U17" s="740"/>
      <c r="V17" s="140"/>
    </row>
    <row r="18" spans="2:22" s="93" customFormat="1" ht="13.2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5">
        <v>46002</v>
      </c>
      <c r="R18" s="368"/>
      <c r="S18" s="740"/>
      <c r="T18" s="740"/>
      <c r="U18" s="740"/>
      <c r="V18" s="140"/>
    </row>
    <row r="19" spans="2:22" s="93" customFormat="1" ht="13.2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5">
        <v>46066</v>
      </c>
      <c r="R19" s="368"/>
      <c r="S19" s="740"/>
      <c r="T19" s="740"/>
      <c r="U19" s="740"/>
      <c r="V19" s="140"/>
    </row>
    <row r="20" spans="2:22" s="93" customFormat="1" ht="13.2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3.2">
      <c r="B21" s="341">
        <v>7</v>
      </c>
      <c r="C21" s="906" t="s">
        <v>103</v>
      </c>
      <c r="D21" s="907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104</v>
      </c>
      <c r="C25" s="144" t="s">
        <v>105</v>
      </c>
      <c r="D25" s="144"/>
      <c r="F25" s="145"/>
    </row>
    <row r="26" spans="2:22" s="93" customFormat="1" ht="13.2">
      <c r="C26" s="146" t="s">
        <v>106</v>
      </c>
      <c r="D26" s="147"/>
      <c r="F26" s="148">
        <f>F17+F18+F19</f>
        <v>5999500</v>
      </c>
      <c r="H26" s="116"/>
    </row>
    <row r="27" spans="2:22" s="93" customFormat="1" ht="13.2">
      <c r="C27" s="146" t="s">
        <v>107</v>
      </c>
      <c r="D27" s="147"/>
      <c r="H27" s="741"/>
      <c r="L27" s="834"/>
    </row>
    <row r="28" spans="2:22" s="93" customFormat="1" ht="13.2">
      <c r="C28" s="149" t="s">
        <v>108</v>
      </c>
      <c r="D28" s="150"/>
      <c r="H28" s="116"/>
    </row>
    <row r="29" spans="2:22" s="93" customFormat="1" ht="13.2">
      <c r="C29" s="151" t="s">
        <v>109</v>
      </c>
      <c r="D29" s="147"/>
    </row>
    <row r="30" spans="2:22" s="93" customFormat="1" ht="13.2">
      <c r="B30" s="117"/>
      <c r="C30" s="151" t="s">
        <v>110</v>
      </c>
      <c r="D30" s="147"/>
    </row>
    <row r="31" spans="2:22" s="93" customFormat="1" ht="13.2">
      <c r="B31" s="117"/>
      <c r="C31" s="93" t="s">
        <v>111</v>
      </c>
    </row>
    <row r="32" spans="2:22" s="93" customFormat="1" ht="27.75" customHeight="1">
      <c r="B32" s="117"/>
      <c r="C32" s="152" t="s">
        <v>112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113</v>
      </c>
      <c r="F2" s="83" t="s">
        <v>114</v>
      </c>
    </row>
    <row r="3" spans="3:8">
      <c r="C3" s="79">
        <v>45658</v>
      </c>
      <c r="D3" s="73" t="s">
        <v>115</v>
      </c>
      <c r="F3" s="81" t="s">
        <v>116</v>
      </c>
    </row>
    <row r="4" spans="3:8">
      <c r="C4" s="79">
        <v>45737</v>
      </c>
      <c r="D4" s="73" t="s">
        <v>117</v>
      </c>
      <c r="F4" s="81" t="s">
        <v>118</v>
      </c>
    </row>
    <row r="5" spans="3:8">
      <c r="C5" s="79">
        <v>45765</v>
      </c>
      <c r="D5" s="73" t="s">
        <v>119</v>
      </c>
      <c r="F5" s="81" t="s">
        <v>120</v>
      </c>
    </row>
    <row r="6" spans="3:8" ht="13.8" thickBot="1">
      <c r="C6" s="79">
        <v>45768</v>
      </c>
      <c r="D6" s="73" t="s">
        <v>121</v>
      </c>
      <c r="F6" s="82" t="s">
        <v>122</v>
      </c>
    </row>
    <row r="7" spans="3:8">
      <c r="C7" s="79">
        <v>45774</v>
      </c>
      <c r="D7" s="73" t="s">
        <v>123</v>
      </c>
    </row>
    <row r="8" spans="3:8">
      <c r="C8" s="79">
        <v>45765</v>
      </c>
      <c r="D8" s="73" t="s">
        <v>124</v>
      </c>
    </row>
    <row r="9" spans="3:8">
      <c r="C9" s="79">
        <v>45778</v>
      </c>
      <c r="D9" s="73" t="s">
        <v>125</v>
      </c>
    </row>
    <row r="10" spans="3:8">
      <c r="C10" s="79">
        <v>45824</v>
      </c>
      <c r="D10" s="73" t="s">
        <v>126</v>
      </c>
    </row>
    <row r="11" spans="3:8">
      <c r="C11" s="79">
        <v>45878</v>
      </c>
      <c r="D11" s="73" t="s">
        <v>127</v>
      </c>
    </row>
    <row r="12" spans="3:8">
      <c r="C12" s="79">
        <v>45924</v>
      </c>
      <c r="D12" s="73" t="s">
        <v>128</v>
      </c>
    </row>
    <row r="13" spans="3:8">
      <c r="C13" s="79"/>
      <c r="F13" s="85"/>
      <c r="H13" s="73" t="s">
        <v>129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130</v>
      </c>
    </row>
    <row r="18" spans="3:4">
      <c r="C18" s="79">
        <v>46012</v>
      </c>
      <c r="D18" s="73" t="s">
        <v>130</v>
      </c>
    </row>
    <row r="19" spans="3:4">
      <c r="C19" s="79">
        <v>46013</v>
      </c>
      <c r="D19" s="73" t="s">
        <v>130</v>
      </c>
    </row>
    <row r="20" spans="3:4">
      <c r="C20" s="79">
        <v>46014</v>
      </c>
      <c r="D20" s="73" t="s">
        <v>130</v>
      </c>
    </row>
    <row r="21" spans="3:4">
      <c r="C21" s="79">
        <v>46015</v>
      </c>
      <c r="D21" s="73" t="s">
        <v>130</v>
      </c>
    </row>
    <row r="22" spans="3:4">
      <c r="C22" s="79">
        <v>46016</v>
      </c>
      <c r="D22" s="73" t="s">
        <v>130</v>
      </c>
    </row>
    <row r="23" spans="3:4">
      <c r="C23" s="79">
        <v>46017</v>
      </c>
      <c r="D23" s="73" t="s">
        <v>130</v>
      </c>
    </row>
    <row r="24" spans="3:4">
      <c r="C24" s="79">
        <v>46018</v>
      </c>
      <c r="D24" s="73" t="s">
        <v>130</v>
      </c>
    </row>
    <row r="25" spans="3:4">
      <c r="C25" s="79">
        <v>46019</v>
      </c>
      <c r="D25" s="73" t="s">
        <v>130</v>
      </c>
    </row>
    <row r="26" spans="3:4">
      <c r="C26" s="79">
        <v>46020</v>
      </c>
      <c r="D26" s="73" t="s">
        <v>130</v>
      </c>
    </row>
    <row r="27" spans="3:4">
      <c r="C27" s="79">
        <v>46021</v>
      </c>
      <c r="D27" s="73" t="s">
        <v>130</v>
      </c>
    </row>
    <row r="28" spans="3:4">
      <c r="C28" s="79">
        <v>46022</v>
      </c>
      <c r="D28" s="73" t="s">
        <v>130</v>
      </c>
    </row>
    <row r="29" spans="3:4">
      <c r="C29" s="79">
        <v>46023</v>
      </c>
      <c r="D29" s="73" t="s">
        <v>130</v>
      </c>
    </row>
    <row r="30" spans="3:4">
      <c r="C30" s="79">
        <v>46024</v>
      </c>
      <c r="D30" s="73" t="s">
        <v>130</v>
      </c>
    </row>
    <row r="31" spans="3:4">
      <c r="C31" s="79">
        <v>46025</v>
      </c>
      <c r="D31" s="73" t="s">
        <v>130</v>
      </c>
    </row>
    <row r="32" spans="3:4">
      <c r="C32" s="79">
        <v>46026</v>
      </c>
      <c r="D32" s="73" t="s">
        <v>130</v>
      </c>
    </row>
    <row r="33" spans="3:4">
      <c r="C33" s="79">
        <v>46027</v>
      </c>
      <c r="D33" s="73" t="s">
        <v>130</v>
      </c>
    </row>
    <row r="34" spans="3:4">
      <c r="C34" s="79">
        <v>46028</v>
      </c>
      <c r="D34" s="73" t="s">
        <v>130</v>
      </c>
    </row>
    <row r="35" spans="3:4">
      <c r="C35" s="79">
        <v>46029</v>
      </c>
      <c r="D35" s="73" t="s">
        <v>130</v>
      </c>
    </row>
    <row r="36" spans="3:4">
      <c r="C36" s="79">
        <v>46030</v>
      </c>
      <c r="D36" s="73" t="s">
        <v>130</v>
      </c>
    </row>
    <row r="37" spans="3:4">
      <c r="C37" s="79">
        <v>46031</v>
      </c>
      <c r="D37" s="73" t="s">
        <v>130</v>
      </c>
    </row>
    <row r="38" spans="3:4">
      <c r="C38" s="79">
        <v>46032</v>
      </c>
      <c r="D38" s="73" t="s">
        <v>130</v>
      </c>
    </row>
    <row r="39" spans="3:4">
      <c r="C39" s="79">
        <v>46033</v>
      </c>
      <c r="D39" s="73" t="s">
        <v>130</v>
      </c>
    </row>
    <row r="40" spans="3:4">
      <c r="C40" s="79">
        <v>46034</v>
      </c>
      <c r="D40" s="73" t="s">
        <v>130</v>
      </c>
    </row>
    <row r="41" spans="3:4">
      <c r="C41" s="79">
        <v>46016</v>
      </c>
      <c r="D41" s="73" t="s">
        <v>131</v>
      </c>
    </row>
    <row r="42" spans="3:4" ht="13.8" thickBot="1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D101" zoomScale="85" zoomScaleNormal="85" workbookViewId="0">
      <selection activeCell="P123" sqref="P123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109375" style="112" customWidth="1"/>
    <col min="5" max="5" width="14.109375" style="24" customWidth="1"/>
    <col min="6" max="6" width="11.886718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88671875" style="113" bestFit="1" customWidth="1"/>
    <col min="11" max="11" width="14.1093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109375" style="112" bestFit="1" customWidth="1"/>
    <col min="20" max="20" width="12.88671875" style="112" customWidth="1"/>
    <col min="21" max="21" width="15.44140625" style="112" bestFit="1" customWidth="1"/>
    <col min="22" max="22" width="15.88671875" style="112" hidden="1" customWidth="1"/>
    <col min="23" max="23" width="13" style="112" customWidth="1"/>
    <col min="24" max="24" width="20.88671875" style="112" bestFit="1" customWidth="1"/>
    <col min="25" max="28" width="9.109375" style="24" customWidth="1"/>
    <col min="29" max="30" width="8.44140625" style="24"/>
    <col min="31" max="32" width="9.886718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46083</v>
      </c>
      <c r="O1" s="393">
        <f ca="1">TODAY()</f>
        <v>46083</v>
      </c>
      <c r="Q1" s="3"/>
    </row>
    <row r="2" spans="2:198">
      <c r="B2" s="166"/>
      <c r="C2" s="167" t="s">
        <v>0</v>
      </c>
      <c r="D2" s="168"/>
      <c r="E2" s="915" t="s">
        <v>133</v>
      </c>
      <c r="F2" s="916"/>
      <c r="G2" s="916"/>
      <c r="H2" s="917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135</v>
      </c>
      <c r="D4" s="168"/>
      <c r="E4" s="918" t="s">
        <v>136</v>
      </c>
      <c r="F4" s="919"/>
      <c r="G4" s="919"/>
      <c r="H4" s="920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137</v>
      </c>
      <c r="D5" s="168"/>
      <c r="E5" s="918" t="s">
        <v>138</v>
      </c>
      <c r="F5" s="919"/>
      <c r="G5" s="919"/>
      <c r="H5" s="920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139</v>
      </c>
      <c r="D6" s="168"/>
      <c r="E6" s="921">
        <v>59995000</v>
      </c>
      <c r="F6" s="922"/>
      <c r="G6" s="922"/>
      <c r="H6" s="923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2" t="s">
        <v>140</v>
      </c>
      <c r="D7" s="823"/>
      <c r="E7" s="824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908" t="s">
        <v>84</v>
      </c>
      <c r="C8" s="909" t="s">
        <v>142</v>
      </c>
      <c r="D8" s="205"/>
      <c r="E8" s="910" t="s">
        <v>143</v>
      </c>
      <c r="F8" s="227" t="s">
        <v>144</v>
      </c>
      <c r="G8" s="910" t="s">
        <v>145</v>
      </c>
      <c r="H8" s="228"/>
      <c r="I8" s="910" t="s">
        <v>146</v>
      </c>
      <c r="J8" s="227" t="s">
        <v>144</v>
      </c>
      <c r="K8" s="910" t="s">
        <v>147</v>
      </c>
      <c r="M8" s="400" t="s">
        <v>148</v>
      </c>
      <c r="N8" s="400" t="s">
        <v>149</v>
      </c>
      <c r="O8" s="924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08"/>
      <c r="C9" s="909"/>
      <c r="D9" s="205"/>
      <c r="E9" s="910"/>
      <c r="F9" s="126">
        <f>G108-E19</f>
        <v>160</v>
      </c>
      <c r="G9" s="910"/>
      <c r="H9" s="228"/>
      <c r="I9" s="910"/>
      <c r="J9" s="126">
        <f>K108-I19</f>
        <v>240</v>
      </c>
      <c r="K9" s="910"/>
      <c r="M9" s="351">
        <f>AVERAGE(M11,M18,M32,M42,M58,M67,M74,M81,M88,M98,M110,M117)</f>
        <v>0.96416666666666673</v>
      </c>
      <c r="N9" s="351">
        <f ca="1">AVERAGE(N11,N18,N32,N42,N58,N67,N74,N81,N88,N98,N110,N117)</f>
        <v>0.96395502645502651</v>
      </c>
      <c r="O9" s="925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912" t="s">
        <v>163</v>
      </c>
      <c r="Z18" s="913"/>
      <c r="AA18" s="913"/>
      <c r="AB18" s="914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911">
        <f>M9</f>
        <v>0.96416666666666673</v>
      </c>
      <c r="Z19" s="911"/>
      <c r="AA19" s="911"/>
      <c r="AB19" s="91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911"/>
      <c r="Z20" s="911"/>
      <c r="AA20" s="911"/>
      <c r="AB20" s="91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911"/>
      <c r="Z21" s="911"/>
      <c r="AA21" s="911"/>
      <c r="AB21" s="911"/>
      <c r="AC21" s="121"/>
      <c r="AD21" s="121"/>
      <c r="AE21" s="744">
        <f ca="1">TODAY()</f>
        <v>46083</v>
      </c>
      <c r="AF21" s="744">
        <f ca="1">TODAY()</f>
        <v>46083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911"/>
      <c r="Z22" s="911"/>
      <c r="AA22" s="911"/>
      <c r="AB22" s="911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911"/>
      <c r="Z23" s="911"/>
      <c r="AA23" s="911"/>
      <c r="AB23" s="91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911"/>
      <c r="Z24" s="911"/>
      <c r="AA24" s="911"/>
      <c r="AB24" s="91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911"/>
      <c r="Z25" s="911"/>
      <c r="AA25" s="911"/>
      <c r="AB25" s="91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911"/>
      <c r="Z26" s="911"/>
      <c r="AA26" s="911"/>
      <c r="AB26" s="91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911"/>
      <c r="Z27" s="911"/>
      <c r="AA27" s="911"/>
      <c r="AB27" s="91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85</v>
      </c>
      <c r="V28" s="691">
        <f>F117</f>
        <v>70</v>
      </c>
      <c r="W28" s="692">
        <f>K117</f>
        <v>46091</v>
      </c>
      <c r="X28" s="698">
        <f>M117</f>
        <v>0.57000000000000006</v>
      </c>
      <c r="Y28" s="911"/>
      <c r="Z28" s="911"/>
      <c r="AA28" s="911"/>
      <c r="AB28" s="91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7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8">
        <v>6.1</v>
      </c>
      <c r="C68" s="809" t="s">
        <v>225</v>
      </c>
      <c r="D68" s="810"/>
      <c r="E68" s="811">
        <v>45894</v>
      </c>
      <c r="F68" s="812">
        <v>7</v>
      </c>
      <c r="G68" s="811">
        <f>WORKDAY.INTL(E68,F68,1,Data!$C$3:$C$41)</f>
        <v>45903</v>
      </c>
      <c r="H68" s="813"/>
      <c r="I68" s="811">
        <v>45938</v>
      </c>
      <c r="J68" s="812">
        <v>34</v>
      </c>
      <c r="K68" s="811">
        <f>WORKDAY.INTL(I68,J68,1,Data!$C$3:$C$41)</f>
        <v>45986</v>
      </c>
      <c r="M68" s="814">
        <v>1</v>
      </c>
      <c r="N68" s="814">
        <f ca="1">_xlfn.LET(
  _xlpm.s,VALUE(I68),
  _xlpm.e,VALUE(K68),
  IF(OR(_xlpm.s="",_xlpm.e=""),"", IF(_xlpm.e&lt;=_xlpm.s, IF(TODAY()&gt;=_xlpm.e,1,0), MAX(0,MIN(1,(TODAY()-_xlpm.s)/(_xlpm.e-_xlpm.s)))))
)</f>
        <v>1</v>
      </c>
      <c r="O68" s="815" t="s">
        <v>226</v>
      </c>
      <c r="Q68" s="816"/>
      <c r="R68" s="817"/>
      <c r="S68" s="817"/>
      <c r="T68" s="817"/>
      <c r="U68" s="817"/>
      <c r="V68" s="817"/>
      <c r="W68" s="817"/>
      <c r="X68" s="817"/>
      <c r="Y68" s="817"/>
      <c r="Z68" s="817"/>
      <c r="AA68" s="817"/>
      <c r="AB68" s="817"/>
      <c r="AC68" s="817"/>
      <c r="AD68" s="817"/>
      <c r="AE68" s="817"/>
      <c r="AF68" s="817"/>
      <c r="AG68" s="817"/>
      <c r="AH68" s="817"/>
      <c r="AI68" s="817"/>
      <c r="AJ68" s="817"/>
      <c r="AK68" s="817"/>
      <c r="AL68" s="817"/>
      <c r="AM68" s="817"/>
      <c r="AN68" s="817"/>
      <c r="AO68" s="817"/>
      <c r="AP68" s="817"/>
      <c r="AQ68" s="817"/>
      <c r="AR68" s="817"/>
      <c r="AS68" s="817"/>
      <c r="AT68" s="817"/>
      <c r="AU68" s="817"/>
      <c r="AV68" s="817"/>
      <c r="AW68" s="817"/>
      <c r="AX68" s="817"/>
      <c r="AY68" s="817"/>
      <c r="AZ68" s="817"/>
      <c r="BA68" s="817"/>
      <c r="BB68" s="817"/>
      <c r="BC68" s="817"/>
      <c r="BD68" s="817"/>
      <c r="BE68" s="817"/>
      <c r="BF68" s="817"/>
      <c r="BG68" s="817"/>
      <c r="BH68" s="817"/>
      <c r="BI68" s="817"/>
      <c r="BJ68" s="817"/>
      <c r="BK68" s="817"/>
      <c r="BL68" s="817"/>
      <c r="BM68" s="817"/>
      <c r="BN68" s="817"/>
      <c r="BO68" s="817"/>
      <c r="BP68" s="817"/>
      <c r="BQ68" s="817"/>
      <c r="BR68" s="817"/>
      <c r="BS68" s="817"/>
      <c r="BT68" s="817"/>
      <c r="BU68" s="817"/>
      <c r="BV68" s="817"/>
      <c r="BW68" s="817"/>
      <c r="BX68" s="817"/>
      <c r="BY68" s="817"/>
      <c r="BZ68" s="817"/>
      <c r="CA68" s="817"/>
      <c r="CB68" s="817"/>
      <c r="CC68" s="817"/>
      <c r="CD68" s="817"/>
      <c r="CE68" s="817"/>
      <c r="CF68" s="817"/>
      <c r="CG68" s="817"/>
      <c r="CH68" s="817"/>
      <c r="CI68" s="817"/>
      <c r="CJ68" s="817"/>
      <c r="CK68" s="817"/>
      <c r="CL68" s="817"/>
      <c r="CM68" s="817"/>
      <c r="CN68" s="817"/>
      <c r="CO68" s="817"/>
      <c r="CP68" s="817"/>
      <c r="CQ68" s="817"/>
      <c r="CR68" s="817"/>
      <c r="CS68" s="817"/>
      <c r="CT68" s="817"/>
      <c r="CU68" s="817"/>
      <c r="CV68" s="817"/>
      <c r="CW68" s="817"/>
      <c r="CX68" s="817"/>
      <c r="CY68" s="817"/>
      <c r="CZ68" s="817"/>
      <c r="DA68" s="817"/>
      <c r="DB68" s="817"/>
      <c r="DC68" s="817"/>
      <c r="DD68" s="817"/>
      <c r="DE68" s="817"/>
      <c r="DF68" s="817"/>
      <c r="DG68" s="817"/>
      <c r="DH68" s="817"/>
      <c r="DI68" s="817"/>
      <c r="DJ68" s="817"/>
      <c r="DK68" s="817"/>
      <c r="DL68" s="817"/>
      <c r="DM68" s="817"/>
      <c r="DN68" s="817"/>
      <c r="DO68" s="817"/>
      <c r="DP68" s="817"/>
      <c r="DQ68" s="817"/>
      <c r="DR68" s="817"/>
      <c r="DS68" s="817"/>
      <c r="DT68" s="817"/>
      <c r="DU68" s="817"/>
      <c r="DV68" s="817"/>
      <c r="DW68" s="817"/>
      <c r="DX68" s="817"/>
      <c r="DY68" s="817"/>
      <c r="DZ68" s="817"/>
      <c r="EA68" s="817"/>
      <c r="EB68" s="817"/>
      <c r="EC68" s="817"/>
      <c r="ED68" s="817"/>
      <c r="EE68" s="817"/>
      <c r="EF68" s="817"/>
      <c r="EG68" s="817"/>
      <c r="EH68" s="817"/>
      <c r="EI68" s="817"/>
      <c r="EJ68" s="817"/>
      <c r="EK68" s="817"/>
      <c r="EL68" s="817"/>
      <c r="EM68" s="817"/>
      <c r="EN68" s="817"/>
      <c r="EO68" s="817"/>
      <c r="EP68" s="817"/>
      <c r="EQ68" s="817"/>
      <c r="ER68" s="817"/>
      <c r="ES68" s="817"/>
      <c r="ET68" s="817"/>
      <c r="EU68" s="817"/>
      <c r="EV68" s="817"/>
      <c r="EW68" s="817"/>
      <c r="EX68" s="817"/>
      <c r="EY68" s="817"/>
      <c r="EZ68" s="817"/>
      <c r="FA68" s="817"/>
      <c r="FB68" s="817"/>
      <c r="FC68" s="817"/>
      <c r="FD68" s="817"/>
      <c r="FE68" s="817"/>
      <c r="FF68" s="817"/>
      <c r="FG68" s="817"/>
      <c r="FH68" s="817"/>
      <c r="FI68" s="817"/>
      <c r="FJ68" s="817"/>
      <c r="FK68" s="817"/>
      <c r="FL68" s="817"/>
      <c r="FM68" s="817"/>
      <c r="FN68" s="817"/>
      <c r="FO68" s="817"/>
      <c r="FP68" s="817"/>
      <c r="FQ68" s="817"/>
      <c r="FR68" s="817"/>
      <c r="FS68" s="817"/>
      <c r="FT68" s="817"/>
      <c r="FU68" s="817"/>
      <c r="FV68" s="817"/>
      <c r="FW68" s="817"/>
      <c r="FX68" s="817"/>
      <c r="FY68" s="817"/>
      <c r="FZ68" s="817"/>
      <c r="GA68" s="817"/>
      <c r="GB68" s="817"/>
      <c r="GC68" s="817"/>
      <c r="GD68" s="817"/>
      <c r="GE68" s="817"/>
      <c r="GF68" s="817"/>
      <c r="GG68" s="817"/>
      <c r="GH68" s="817"/>
      <c r="GI68" s="817"/>
      <c r="GJ68" s="817"/>
      <c r="GK68" s="817"/>
      <c r="GL68" s="817"/>
      <c r="GM68" s="817"/>
      <c r="GN68" s="817"/>
      <c r="GO68" s="817"/>
      <c r="GP68" s="817"/>
    </row>
    <row r="69" spans="2:198" s="112" customFormat="1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6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85</v>
      </c>
      <c r="K117" s="688">
        <f>MAX(K118:K125)</f>
        <v>46091</v>
      </c>
      <c r="L117" s="114"/>
      <c r="M117" s="350">
        <f>AVERAGE(M118:M124)</f>
        <v>0.57000000000000006</v>
      </c>
      <c r="N117" s="350">
        <f ca="1">AVERAGE(N118:N124)</f>
        <v>0.56746031746031744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0.97222222222222221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 t="s">
        <v>273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5</v>
      </c>
      <c r="K124" s="240">
        <f>WORKDAY.INTL(I124,J124,1,Data!$C$3:$C$41)</f>
        <v>46091</v>
      </c>
      <c r="M124" s="243">
        <v>0</v>
      </c>
      <c r="N124" s="243">
        <f t="shared" ca="1" si="13"/>
        <v>0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1093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926"/>
      <c r="C4" s="926"/>
      <c r="D4" s="926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4" thickBot="1">
      <c r="A5" s="205"/>
      <c r="B5" s="927" t="s">
        <v>278</v>
      </c>
      <c r="C5" s="927"/>
      <c r="D5" s="927"/>
      <c r="E5" s="402"/>
      <c r="F5" s="212">
        <f>SUM(F9:F23)</f>
        <v>56096452.079139791</v>
      </c>
      <c r="G5" s="207"/>
      <c r="H5" s="212">
        <f>SUM(H9:H23)</f>
        <v>47843864.496446103</v>
      </c>
      <c r="I5" s="205"/>
      <c r="J5" s="213">
        <f>SUM(J9:J23)</f>
        <v>8252587.5826936942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939765.28000000014</v>
      </c>
      <c r="I18" s="89"/>
      <c r="J18" s="222">
        <f t="shared" si="0"/>
        <v>-545461.04666666687</v>
      </c>
      <c r="K18" s="163"/>
      <c r="L18" s="244"/>
    </row>
    <row r="19" spans="1:12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426656</v>
      </c>
      <c r="I19" s="89"/>
      <c r="J19" s="222">
        <f t="shared" si="0"/>
        <v>-6656</v>
      </c>
      <c r="K19" s="163"/>
      <c r="L19" s="244"/>
    </row>
    <row r="20" spans="1:12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301844.08</v>
      </c>
      <c r="I22" s="89"/>
      <c r="J22" s="222">
        <f t="shared" si="0"/>
        <v>-301844.08</v>
      </c>
      <c r="K22" s="163"/>
      <c r="L22" s="244"/>
    </row>
    <row r="23" spans="1:12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abSelected="1" topLeftCell="M1" zoomScale="85" zoomScaleNormal="85" workbookViewId="0">
      <pane ySplit="4" topLeftCell="A182" activePane="bottomLeft" state="frozen"/>
      <selection activeCell="K24" sqref="K24"/>
      <selection pane="bottomLeft" activeCell="M198" sqref="A198:XFD198"/>
    </sheetView>
  </sheetViews>
  <sheetFormatPr defaultColWidth="9.44140625" defaultRowHeight="13.8"/>
  <cols>
    <col min="1" max="1" width="2.44140625" style="112" hidden="1" customWidth="1"/>
    <col min="2" max="2" width="5.88671875" style="24" hidden="1" customWidth="1"/>
    <col min="3" max="3" width="35.5546875" style="24" hidden="1" customWidth="1"/>
    <col min="4" max="4" width="54.109375" style="24" hidden="1" customWidth="1"/>
    <col min="5" max="5" width="7.5546875" style="70" hidden="1" customWidth="1"/>
    <col min="6" max="6" width="14.88671875" style="461" hidden="1" customWidth="1"/>
    <col min="7" max="7" width="16.5546875" style="24" hidden="1" customWidth="1"/>
    <col min="8" max="8" width="16.88671875" style="112" hidden="1" customWidth="1"/>
    <col min="9" max="9" width="20.109375" style="339" hidden="1" customWidth="1"/>
    <col min="10" max="10" width="20.109375" style="339" bestFit="1" customWidth="1"/>
    <col min="11" max="11" width="5.5546875" style="112" customWidth="1"/>
    <col min="12" max="12" width="5.88671875" style="112" bestFit="1" customWidth="1"/>
    <col min="13" max="13" width="23.88671875" style="112" bestFit="1" customWidth="1"/>
    <col min="14" max="14" width="60.88671875" style="112" customWidth="1"/>
    <col min="15" max="15" width="20.88671875" style="112" bestFit="1" customWidth="1"/>
    <col min="16" max="16" width="16.5546875" style="112" bestFit="1" customWidth="1"/>
    <col min="17" max="17" width="16.88671875" style="112" bestFit="1" customWidth="1"/>
    <col min="18" max="18" width="43.88671875" style="112" bestFit="1" customWidth="1"/>
    <col min="19" max="19" width="31.88671875" style="112" customWidth="1"/>
    <col min="20" max="20" width="14.109375" style="112" bestFit="1" customWidth="1"/>
    <col min="21" max="21" width="22.44140625" style="112" customWidth="1"/>
    <col min="22" max="22" width="18.109375" style="112" customWidth="1"/>
    <col min="23" max="23" width="16.88671875" style="112" bestFit="1" customWidth="1"/>
    <col min="24" max="24" width="19.5546875" style="112" bestFit="1" customWidth="1"/>
    <col min="25" max="25" width="27.44140625" style="112" bestFit="1" customWidth="1"/>
    <col min="26" max="26" width="22.88671875" style="112" bestFit="1" customWidth="1"/>
    <col min="27" max="27" width="7.88671875" style="112" bestFit="1" customWidth="1"/>
    <col min="28" max="28" width="88.1093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66" t="s">
        <v>285</v>
      </c>
      <c r="C2" s="867"/>
      <c r="D2" s="867"/>
      <c r="E2" s="867"/>
      <c r="F2" s="867"/>
      <c r="G2" s="867"/>
      <c r="H2" s="752"/>
      <c r="I2" s="247">
        <f>SUM(I6:I377)</f>
        <v>56096452.079139791</v>
      </c>
      <c r="J2" s="247">
        <f>SUM(J6:J377)-5000</f>
        <v>59994999.999999985</v>
      </c>
      <c r="L2" s="868" t="s">
        <v>286</v>
      </c>
      <c r="M2" s="869"/>
      <c r="N2" s="869"/>
      <c r="O2" s="869"/>
      <c r="P2" s="869"/>
      <c r="Q2" s="869"/>
      <c r="R2" s="870" t="s">
        <v>287</v>
      </c>
      <c r="S2" s="871"/>
      <c r="T2" s="871"/>
      <c r="U2" s="871"/>
      <c r="V2" s="871"/>
      <c r="W2" s="872"/>
      <c r="X2" s="468">
        <f>SUM(X6:X377)</f>
        <v>47843864.496446103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60">
        <f>SUM(G6:G19)</f>
        <v>14537831.300000001</v>
      </c>
      <c r="J6" s="860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73" t="s">
        <v>305</v>
      </c>
      <c r="S6" s="608" t="s">
        <v>306</v>
      </c>
      <c r="T6" s="703">
        <v>45869</v>
      </c>
      <c r="U6" s="705">
        <v>1510104.5605359133</v>
      </c>
      <c r="V6" s="863">
        <f>J6-SUM(U6:U19)</f>
        <v>0</v>
      </c>
      <c r="W6" s="523">
        <v>45827</v>
      </c>
      <c r="X6" s="850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61"/>
      <c r="J7" s="861"/>
      <c r="K7" s="277"/>
      <c r="L7" s="300">
        <v>1</v>
      </c>
      <c r="M7" s="302" t="s">
        <v>303</v>
      </c>
      <c r="N7" s="378"/>
      <c r="O7" s="540"/>
      <c r="P7" s="431"/>
      <c r="Q7" s="304"/>
      <c r="R7" s="874"/>
      <c r="S7" s="609"/>
      <c r="T7" s="674" t="s">
        <v>308</v>
      </c>
      <c r="U7" s="679">
        <v>0</v>
      </c>
      <c r="V7" s="864"/>
      <c r="W7" s="560"/>
      <c r="X7" s="851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61"/>
      <c r="J8" s="861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74"/>
      <c r="S8" s="608" t="s">
        <v>310</v>
      </c>
      <c r="T8" s="674">
        <v>45869</v>
      </c>
      <c r="U8" s="679">
        <v>6083790.7724287482</v>
      </c>
      <c r="V8" s="864"/>
      <c r="W8" s="756">
        <v>45925</v>
      </c>
      <c r="X8" s="851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61"/>
      <c r="J9" s="861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74"/>
      <c r="S9" s="608" t="s">
        <v>310</v>
      </c>
      <c r="T9" s="674">
        <v>45869</v>
      </c>
      <c r="U9" s="680">
        <v>0</v>
      </c>
      <c r="V9" s="864"/>
      <c r="W9" s="774">
        <v>45946</v>
      </c>
      <c r="X9" s="851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61"/>
      <c r="J10" s="861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74"/>
      <c r="S10" s="608" t="s">
        <v>310</v>
      </c>
      <c r="T10" s="674">
        <v>45869</v>
      </c>
      <c r="U10" s="680">
        <v>0</v>
      </c>
      <c r="V10" s="864"/>
      <c r="W10" s="774">
        <v>46031</v>
      </c>
      <c r="X10" s="851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61"/>
      <c r="J11" s="861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74"/>
      <c r="S11" s="608" t="s">
        <v>310</v>
      </c>
      <c r="T11" s="674">
        <v>45869</v>
      </c>
      <c r="U11" s="680">
        <v>7497629.4730635975</v>
      </c>
      <c r="V11" s="864"/>
      <c r="W11" s="774">
        <v>46031</v>
      </c>
      <c r="X11" s="851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61"/>
      <c r="J12" s="861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74"/>
      <c r="S12" s="608" t="s">
        <v>310</v>
      </c>
      <c r="T12" s="674">
        <v>45869</v>
      </c>
      <c r="U12" s="680">
        <v>0</v>
      </c>
      <c r="V12" s="864"/>
      <c r="W12" s="774">
        <v>46031</v>
      </c>
      <c r="X12" s="851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61"/>
      <c r="J13" s="861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74"/>
      <c r="S13" s="608" t="s">
        <v>310</v>
      </c>
      <c r="T13" s="674">
        <v>45869</v>
      </c>
      <c r="U13" s="680">
        <v>0</v>
      </c>
      <c r="V13" s="864"/>
      <c r="W13" s="774">
        <v>46037</v>
      </c>
      <c r="X13" s="851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61"/>
      <c r="J14" s="861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74"/>
      <c r="S14" s="608" t="s">
        <v>310</v>
      </c>
      <c r="T14" s="674">
        <v>45869</v>
      </c>
      <c r="U14" s="680">
        <v>0</v>
      </c>
      <c r="V14" s="864"/>
      <c r="W14" s="525">
        <v>46045</v>
      </c>
      <c r="X14" s="851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61"/>
      <c r="J15" s="861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74"/>
      <c r="S15" s="608" t="s">
        <v>310</v>
      </c>
      <c r="T15" s="674">
        <v>45869</v>
      </c>
      <c r="U15" s="680">
        <v>0</v>
      </c>
      <c r="V15" s="864"/>
      <c r="W15" s="525">
        <v>46051</v>
      </c>
      <c r="X15" s="851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61"/>
      <c r="J16" s="861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74"/>
      <c r="S16" s="608" t="s">
        <v>310</v>
      </c>
      <c r="T16" s="674">
        <v>45869</v>
      </c>
      <c r="U16" s="680">
        <v>0</v>
      </c>
      <c r="V16" s="864"/>
      <c r="W16" s="525">
        <v>46051</v>
      </c>
      <c r="X16" s="851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61"/>
      <c r="J17" s="861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75"/>
      <c r="S17" s="608" t="s">
        <v>310</v>
      </c>
      <c r="T17" s="674">
        <v>45869</v>
      </c>
      <c r="U17" s="680">
        <v>9520.7993308744099</v>
      </c>
      <c r="V17" s="864"/>
      <c r="W17" s="525">
        <f>W16</f>
        <v>46051</v>
      </c>
      <c r="X17" s="851"/>
      <c r="Y17" s="472"/>
      <c r="AB17" s="843" t="s">
        <v>313</v>
      </c>
      <c r="AC17" s="843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61"/>
      <c r="J18" s="861"/>
      <c r="K18" s="786"/>
      <c r="L18" s="787">
        <v>1</v>
      </c>
      <c r="M18" s="788" t="s">
        <v>303</v>
      </c>
      <c r="N18" s="788" t="s">
        <v>314</v>
      </c>
      <c r="O18" s="789">
        <v>1</v>
      </c>
      <c r="P18" s="790">
        <v>43292.88</v>
      </c>
      <c r="Q18" s="791">
        <f>P18</f>
        <v>43292.88</v>
      </c>
      <c r="R18" s="797"/>
      <c r="S18" s="798" t="s">
        <v>315</v>
      </c>
      <c r="T18" s="799">
        <v>45900</v>
      </c>
      <c r="U18" s="803">
        <v>0</v>
      </c>
      <c r="V18" s="864"/>
      <c r="W18" s="774">
        <f>W9</f>
        <v>45946</v>
      </c>
      <c r="X18" s="851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62"/>
      <c r="J19" s="862"/>
      <c r="K19" s="278"/>
      <c r="L19" s="792">
        <v>1</v>
      </c>
      <c r="M19" s="793" t="s">
        <v>303</v>
      </c>
      <c r="N19" s="793" t="s">
        <v>314</v>
      </c>
      <c r="O19" s="794">
        <v>1</v>
      </c>
      <c r="P19" s="795">
        <v>-43292.88</v>
      </c>
      <c r="Q19" s="796">
        <f>P19</f>
        <v>-43292.88</v>
      </c>
      <c r="R19" s="800"/>
      <c r="S19" s="801" t="s">
        <v>318</v>
      </c>
      <c r="T19" s="802">
        <v>45991</v>
      </c>
      <c r="U19" s="804">
        <v>0</v>
      </c>
      <c r="V19" s="865"/>
      <c r="W19" s="525">
        <f>W16</f>
        <v>46051</v>
      </c>
      <c r="X19" s="852"/>
      <c r="Y19" s="590" t="s">
        <v>316</v>
      </c>
      <c r="Z19" s="591" t="s">
        <v>317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844">
        <f>SUM(G21:G27)</f>
        <v>2760000</v>
      </c>
      <c r="J21" s="844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58" t="s">
        <v>326</v>
      </c>
      <c r="S21" s="613" t="s">
        <v>327</v>
      </c>
      <c r="T21" s="704">
        <v>45869</v>
      </c>
      <c r="U21" s="706">
        <v>886426.77283851232</v>
      </c>
      <c r="V21" s="853">
        <f>J21-SUM(U21:U27)</f>
        <v>-2.8844410553574562E-4</v>
      </c>
      <c r="W21" s="527">
        <v>45820</v>
      </c>
      <c r="X21" s="847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45"/>
      <c r="J22" s="845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59"/>
      <c r="S22" s="614" t="s">
        <v>330</v>
      </c>
      <c r="T22" s="684">
        <v>45869</v>
      </c>
      <c r="U22" s="681">
        <v>2081126.7475076499</v>
      </c>
      <c r="V22" s="854"/>
      <c r="W22" s="528">
        <v>45855</v>
      </c>
      <c r="X22" s="848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45"/>
      <c r="J23" s="845"/>
      <c r="K23" s="290"/>
      <c r="L23" s="287">
        <v>2</v>
      </c>
      <c r="M23" s="414" t="s">
        <v>324</v>
      </c>
      <c r="N23" s="397"/>
      <c r="O23" s="545"/>
      <c r="P23" s="440"/>
      <c r="Q23" s="467"/>
      <c r="R23" s="859"/>
      <c r="S23" s="614"/>
      <c r="T23" s="514" t="str">
        <f t="shared" si="1"/>
        <v/>
      </c>
      <c r="U23" s="498">
        <f>(Q23/$X$21*$J$21)</f>
        <v>0</v>
      </c>
      <c r="V23" s="854"/>
      <c r="W23" s="565"/>
      <c r="X23" s="848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45"/>
      <c r="J24" s="845"/>
      <c r="K24" s="290"/>
      <c r="L24" s="287">
        <v>2</v>
      </c>
      <c r="M24" s="414" t="s">
        <v>324</v>
      </c>
      <c r="N24" s="397"/>
      <c r="O24" s="652"/>
      <c r="P24" s="440"/>
      <c r="Q24" s="467"/>
      <c r="R24" s="857"/>
      <c r="S24" s="614"/>
      <c r="T24" s="672">
        <v>45900</v>
      </c>
      <c r="U24" s="681">
        <v>14917.189999999999</v>
      </c>
      <c r="V24" s="854"/>
      <c r="W24" s="528">
        <v>45820</v>
      </c>
      <c r="X24" s="848"/>
      <c r="Y24" s="592" t="s">
        <v>335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45"/>
      <c r="J25" s="845"/>
      <c r="K25" s="290"/>
      <c r="L25" s="287">
        <v>2</v>
      </c>
      <c r="M25" s="414" t="s">
        <v>324</v>
      </c>
      <c r="N25" s="819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79">
        <v>0</v>
      </c>
      <c r="V25" s="854"/>
      <c r="W25" s="767">
        <v>46053</v>
      </c>
      <c r="X25" s="848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45"/>
      <c r="J26" s="845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8">
        <v>46053</v>
      </c>
      <c r="U26" s="779">
        <v>0</v>
      </c>
      <c r="V26" s="854"/>
      <c r="W26" s="767">
        <v>46053</v>
      </c>
      <c r="X26" s="848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46"/>
      <c r="J27" s="846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55"/>
      <c r="W27" s="566"/>
      <c r="X27" s="849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60">
        <f>SUM(G29:G47)</f>
        <v>7358785.9097348731</v>
      </c>
      <c r="J29" s="860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873" t="s">
        <v>348</v>
      </c>
      <c r="S29" s="616" t="s">
        <v>349</v>
      </c>
      <c r="T29" s="673">
        <v>45838</v>
      </c>
      <c r="U29" s="678">
        <v>870407.92269117013</v>
      </c>
      <c r="V29" s="863">
        <f>J29-SUM(U29:U47)</f>
        <v>0</v>
      </c>
      <c r="W29" s="700">
        <v>45867</v>
      </c>
      <c r="X29" s="850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61"/>
      <c r="J30" s="861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74"/>
      <c r="S30" s="609" t="s">
        <v>349</v>
      </c>
      <c r="T30" s="674">
        <v>45838</v>
      </c>
      <c r="U30" s="679">
        <v>446616.65263961267</v>
      </c>
      <c r="V30" s="864"/>
      <c r="W30" s="701">
        <v>45867</v>
      </c>
      <c r="X30" s="851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61"/>
      <c r="J31" s="861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74"/>
      <c r="S31" s="609" t="s">
        <v>349</v>
      </c>
      <c r="T31" s="674">
        <v>45838</v>
      </c>
      <c r="U31" s="679">
        <v>378280.16598255851</v>
      </c>
      <c r="V31" s="864"/>
      <c r="W31" s="701">
        <v>45867</v>
      </c>
      <c r="X31" s="851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61"/>
      <c r="J32" s="861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74"/>
      <c r="S32" s="609" t="s">
        <v>349</v>
      </c>
      <c r="T32" s="674">
        <v>45838</v>
      </c>
      <c r="U32" s="679">
        <v>39118.922628135013</v>
      </c>
      <c r="V32" s="864"/>
      <c r="W32" s="701">
        <v>45867</v>
      </c>
      <c r="X32" s="851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61"/>
      <c r="J33" s="861"/>
      <c r="K33" s="277"/>
      <c r="L33" s="300">
        <v>3</v>
      </c>
      <c r="M33" s="411" t="s">
        <v>346</v>
      </c>
      <c r="N33" s="317"/>
      <c r="O33" s="540"/>
      <c r="P33" s="446"/>
      <c r="Q33" s="304"/>
      <c r="R33" s="874"/>
      <c r="S33" s="609"/>
      <c r="T33" s="509"/>
      <c r="U33" s="679">
        <v>0</v>
      </c>
      <c r="V33" s="864"/>
      <c r="W33" s="560"/>
      <c r="X33" s="851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61"/>
      <c r="J34" s="861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74"/>
      <c r="S34" s="609" t="s">
        <v>349</v>
      </c>
      <c r="T34" s="674">
        <v>45838</v>
      </c>
      <c r="U34" s="679">
        <v>87040.79226911701</v>
      </c>
      <c r="V34" s="864"/>
      <c r="W34" s="701">
        <v>45867</v>
      </c>
      <c r="X34" s="851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61"/>
      <c r="J35" s="861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74"/>
      <c r="S35" s="609" t="s">
        <v>349</v>
      </c>
      <c r="T35" s="674">
        <v>45838</v>
      </c>
      <c r="U35" s="679">
        <v>44661.665263961266</v>
      </c>
      <c r="V35" s="864"/>
      <c r="W35" s="701">
        <v>45867</v>
      </c>
      <c r="X35" s="851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61"/>
      <c r="J36" s="861"/>
      <c r="K36" s="277"/>
      <c r="L36" s="300">
        <v>3</v>
      </c>
      <c r="M36" s="411" t="s">
        <v>346</v>
      </c>
      <c r="N36" s="317"/>
      <c r="O36" s="540"/>
      <c r="P36" s="446"/>
      <c r="Q36" s="304"/>
      <c r="R36" s="874"/>
      <c r="S36" s="609"/>
      <c r="T36" s="509"/>
      <c r="U36" s="679">
        <v>0</v>
      </c>
      <c r="V36" s="864"/>
      <c r="W36" s="560"/>
      <c r="X36" s="851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61"/>
      <c r="J37" s="861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75"/>
      <c r="S37" s="609" t="s">
        <v>349</v>
      </c>
      <c r="T37" s="674">
        <v>45838</v>
      </c>
      <c r="U37" s="679">
        <v>33695.16051240552</v>
      </c>
      <c r="V37" s="864"/>
      <c r="W37" s="701">
        <v>45867</v>
      </c>
      <c r="X37" s="851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61"/>
      <c r="J38" s="861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64"/>
      <c r="W38" s="756">
        <v>45930</v>
      </c>
      <c r="X38" s="851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61"/>
      <c r="J39" s="861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64"/>
      <c r="W39" s="756">
        <v>45930</v>
      </c>
      <c r="X39" s="851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61"/>
      <c r="J40" s="861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64"/>
      <c r="W40" s="560"/>
      <c r="X40" s="851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61"/>
      <c r="J41" s="861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76" t="s">
        <v>363</v>
      </c>
      <c r="S41" s="609" t="s">
        <v>364</v>
      </c>
      <c r="T41" s="674">
        <v>45900</v>
      </c>
      <c r="U41" s="679">
        <v>2955079.389574931</v>
      </c>
      <c r="V41" s="864"/>
      <c r="W41" s="524">
        <v>45827</v>
      </c>
      <c r="X41" s="851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61"/>
      <c r="J42" s="861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74"/>
      <c r="S42" s="610" t="s">
        <v>366</v>
      </c>
      <c r="T42" s="670">
        <v>45900</v>
      </c>
      <c r="U42" s="680">
        <v>2955079.389574931</v>
      </c>
      <c r="V42" s="864"/>
      <c r="W42" s="525">
        <v>45930</v>
      </c>
      <c r="X42" s="851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61"/>
      <c r="J43" s="861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74"/>
      <c r="S43" s="609" t="s">
        <v>367</v>
      </c>
      <c r="T43" s="751">
        <v>45930</v>
      </c>
      <c r="U43" s="680">
        <v>0</v>
      </c>
      <c r="V43" s="864"/>
      <c r="W43" s="756">
        <v>45930</v>
      </c>
      <c r="X43" s="851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61"/>
      <c r="J44" s="861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74"/>
      <c r="S44" s="609" t="s">
        <v>368</v>
      </c>
      <c r="T44" s="751">
        <v>45930</v>
      </c>
      <c r="U44" s="680">
        <v>0</v>
      </c>
      <c r="V44" s="864"/>
      <c r="W44" s="756">
        <v>45930</v>
      </c>
      <c r="X44" s="851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61"/>
      <c r="J45" s="861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74"/>
      <c r="S45" s="609" t="s">
        <v>369</v>
      </c>
      <c r="T45" s="670">
        <v>45930</v>
      </c>
      <c r="U45" s="680">
        <v>0</v>
      </c>
      <c r="V45" s="864"/>
      <c r="W45" s="525">
        <v>45930</v>
      </c>
      <c r="X45" s="851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61"/>
      <c r="J46" s="861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74"/>
      <c r="S46" s="609" t="s">
        <v>364</v>
      </c>
      <c r="T46" s="670">
        <v>45838</v>
      </c>
      <c r="U46" s="680">
        <v>70981.606636244833</v>
      </c>
      <c r="V46" s="864"/>
      <c r="W46" s="525">
        <v>45827</v>
      </c>
      <c r="X46" s="851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62"/>
      <c r="J47" s="862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877"/>
      <c r="S47" s="611" t="s">
        <v>366</v>
      </c>
      <c r="T47" s="707">
        <v>45900</v>
      </c>
      <c r="U47" s="714">
        <v>70981.606636244833</v>
      </c>
      <c r="V47" s="865"/>
      <c r="W47" s="526">
        <f>W42</f>
        <v>45930</v>
      </c>
      <c r="X47" s="852"/>
      <c r="Y47" s="600" t="s">
        <v>350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844">
        <f>SUM(G49:G72)</f>
        <v>8057942</v>
      </c>
      <c r="J49" s="844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53">
        <f>J49-SUM(U49:U72)</f>
        <v>-4.7537833452224731E-3</v>
      </c>
      <c r="W49" s="564"/>
      <c r="X49" s="847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845"/>
      <c r="J50" s="845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56" t="s">
        <v>305</v>
      </c>
      <c r="S50" s="614" t="s">
        <v>306</v>
      </c>
      <c r="T50" s="672">
        <v>45838</v>
      </c>
      <c r="U50" s="681">
        <v>465334.01673059782</v>
      </c>
      <c r="V50" s="854"/>
      <c r="W50" s="528">
        <v>45901</v>
      </c>
      <c r="X50" s="848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45"/>
      <c r="J51" s="845"/>
      <c r="K51" s="290"/>
      <c r="L51" s="287">
        <v>4</v>
      </c>
      <c r="M51" s="414" t="s">
        <v>374</v>
      </c>
      <c r="N51" s="397" t="s">
        <v>186</v>
      </c>
      <c r="O51" s="651">
        <v>0.9</v>
      </c>
      <c r="P51" s="440"/>
      <c r="Q51" s="289">
        <f>O51*P50</f>
        <v>2138400</v>
      </c>
      <c r="R51" s="859"/>
      <c r="S51" s="614" t="s">
        <v>377</v>
      </c>
      <c r="T51" s="672">
        <v>45838</v>
      </c>
      <c r="U51" s="681">
        <v>4188006.1505753803</v>
      </c>
      <c r="V51" s="854"/>
      <c r="W51" s="528">
        <v>45901</v>
      </c>
      <c r="X51" s="848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45"/>
      <c r="J52" s="845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56" t="s">
        <v>379</v>
      </c>
      <c r="S52" s="614" t="s">
        <v>380</v>
      </c>
      <c r="T52" s="672">
        <v>45869</v>
      </c>
      <c r="U52" s="681">
        <v>13627.717212616306</v>
      </c>
      <c r="V52" s="854"/>
      <c r="W52" s="528">
        <v>45925</v>
      </c>
      <c r="X52" s="848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45"/>
      <c r="J53" s="845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57"/>
      <c r="S53" s="614" t="s">
        <v>380</v>
      </c>
      <c r="T53" s="672">
        <v>45869</v>
      </c>
      <c r="U53" s="681">
        <v>13627.717212616306</v>
      </c>
      <c r="V53" s="854"/>
      <c r="W53" s="528">
        <f>W52</f>
        <v>45925</v>
      </c>
      <c r="X53" s="848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45"/>
      <c r="J54" s="845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854"/>
      <c r="W54" s="565"/>
      <c r="X54" s="848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45"/>
      <c r="J55" s="845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854"/>
      <c r="W55" s="528">
        <v>45904</v>
      </c>
      <c r="X55" s="848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45"/>
      <c r="J56" s="845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54"/>
      <c r="W56" s="565"/>
      <c r="X56" s="848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845"/>
      <c r="J57" s="845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854"/>
      <c r="W57" s="672">
        <v>45900</v>
      </c>
      <c r="X57" s="848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45"/>
      <c r="J58" s="845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54"/>
      <c r="W58" s="565"/>
      <c r="X58" s="848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45"/>
      <c r="J59" s="845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54"/>
      <c r="W59" s="565"/>
      <c r="X59" s="848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45"/>
      <c r="J60" s="845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54"/>
      <c r="W60" s="565"/>
      <c r="X60" s="848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45"/>
      <c r="J61" s="845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54"/>
      <c r="W61" s="565"/>
      <c r="X61" s="848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45"/>
      <c r="J62" s="845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56" t="s">
        <v>386</v>
      </c>
      <c r="S62" s="614" t="s">
        <v>387</v>
      </c>
      <c r="T62" s="672">
        <v>45838</v>
      </c>
      <c r="U62" s="681">
        <v>269290.51894131815</v>
      </c>
      <c r="V62" s="854"/>
      <c r="W62" s="528">
        <f>W67</f>
        <v>45834</v>
      </c>
      <c r="X62" s="848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45"/>
      <c r="J63" s="845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59"/>
      <c r="S63" s="614" t="s">
        <v>389</v>
      </c>
      <c r="T63" s="672">
        <f t="shared" ref="T63:T64" si="7">T68</f>
        <v>45869</v>
      </c>
      <c r="U63" s="681">
        <v>230622.90667504517</v>
      </c>
      <c r="V63" s="854"/>
      <c r="W63" s="528">
        <f t="shared" ref="W63" si="8">W68</f>
        <v>45904</v>
      </c>
      <c r="X63" s="848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45"/>
      <c r="J64" s="845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59"/>
      <c r="S64" s="614" t="s">
        <v>391</v>
      </c>
      <c r="T64" s="672">
        <f t="shared" si="7"/>
        <v>45900</v>
      </c>
      <c r="U64" s="681">
        <v>71925.973060766104</v>
      </c>
      <c r="V64" s="854"/>
      <c r="W64" s="565">
        <f>W204</f>
        <v>46114</v>
      </c>
      <c r="X64" s="848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45"/>
      <c r="J65" s="845"/>
      <c r="K65" s="290"/>
      <c r="L65" s="287">
        <v>4</v>
      </c>
      <c r="M65" s="414" t="s">
        <v>374</v>
      </c>
      <c r="N65" s="397"/>
      <c r="O65" s="545"/>
      <c r="P65" s="556"/>
      <c r="Q65" s="289"/>
      <c r="R65" s="859"/>
      <c r="S65" s="614"/>
      <c r="T65" s="514" t="str">
        <f t="shared" si="5"/>
        <v/>
      </c>
      <c r="U65" s="498">
        <f>(Q65/$X$49*$J$49)</f>
        <v>0</v>
      </c>
      <c r="V65" s="854"/>
      <c r="W65" s="565"/>
      <c r="X65" s="848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45"/>
      <c r="J66" s="845"/>
      <c r="K66" s="290"/>
      <c r="L66" s="287">
        <v>4</v>
      </c>
      <c r="M66" s="414" t="s">
        <v>374</v>
      </c>
      <c r="N66" s="397"/>
      <c r="O66" s="545"/>
      <c r="P66" s="556"/>
      <c r="Q66" s="289"/>
      <c r="R66" s="859"/>
      <c r="S66" s="614"/>
      <c r="T66" s="514" t="str">
        <f t="shared" si="5"/>
        <v/>
      </c>
      <c r="U66" s="498">
        <f>(Q66/$X$49*$J$49)</f>
        <v>0</v>
      </c>
      <c r="V66" s="854"/>
      <c r="W66" s="565"/>
      <c r="X66" s="848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45"/>
      <c r="J67" s="845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59"/>
      <c r="S67" s="614" t="s">
        <v>387</v>
      </c>
      <c r="T67" s="672">
        <v>45838</v>
      </c>
      <c r="U67" s="681">
        <v>288875.28395523224</v>
      </c>
      <c r="V67" s="854"/>
      <c r="W67" s="528">
        <f>W185</f>
        <v>45834</v>
      </c>
      <c r="X67" s="848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45"/>
      <c r="J68" s="845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59"/>
      <c r="S68" s="614" t="s">
        <v>389</v>
      </c>
      <c r="T68" s="672">
        <v>45869</v>
      </c>
      <c r="U68" s="681">
        <v>247395.48170595756</v>
      </c>
      <c r="V68" s="854"/>
      <c r="W68" s="528">
        <v>45904</v>
      </c>
      <c r="X68" s="848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45"/>
      <c r="J69" s="845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57"/>
      <c r="S69" s="614" t="s">
        <v>391</v>
      </c>
      <c r="T69" s="672">
        <v>45900</v>
      </c>
      <c r="U69" s="681">
        <v>77156.952919730917</v>
      </c>
      <c r="V69" s="854"/>
      <c r="W69" s="565">
        <f>W192</f>
        <v>46114</v>
      </c>
      <c r="X69" s="848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45"/>
      <c r="J70" s="845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54"/>
      <c r="W70" s="565"/>
      <c r="X70" s="848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45"/>
      <c r="J71" s="845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54"/>
      <c r="W71" s="565"/>
      <c r="X71" s="848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46"/>
      <c r="J72" s="846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55"/>
      <c r="W72" s="566"/>
      <c r="X72" s="849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60">
        <f>SUM(G74:G95)</f>
        <v>64000</v>
      </c>
      <c r="J74" s="860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63">
        <f>J74-SUM(U74:U95)</f>
        <v>5.4426000860985368E-4</v>
      </c>
      <c r="W74" s="567"/>
      <c r="X74" s="850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61"/>
      <c r="J75" s="861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64"/>
      <c r="W75" s="524">
        <v>45862</v>
      </c>
      <c r="X75" s="851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61"/>
      <c r="J76" s="861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64"/>
      <c r="W76" s="524">
        <v>45900</v>
      </c>
      <c r="X76" s="851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61"/>
      <c r="J77" s="861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64"/>
      <c r="W77" s="524">
        <v>45900</v>
      </c>
      <c r="X77" s="851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61"/>
      <c r="J78" s="861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64"/>
      <c r="W78" s="524">
        <v>45900</v>
      </c>
      <c r="X78" s="851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61"/>
      <c r="J79" s="861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64"/>
      <c r="W79" s="524">
        <v>45930</v>
      </c>
      <c r="X79" s="851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61"/>
      <c r="J80" s="861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64"/>
      <c r="W80" s="524">
        <f>T80+30</f>
        <v>45899</v>
      </c>
      <c r="X80" s="851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61"/>
      <c r="J81" s="861"/>
      <c r="K81" s="277"/>
      <c r="L81" s="275">
        <v>5</v>
      </c>
      <c r="M81" s="687" t="s">
        <v>397</v>
      </c>
      <c r="N81" s="302" t="s">
        <v>205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64"/>
      <c r="W81" s="756">
        <v>46037</v>
      </c>
      <c r="X81" s="851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61"/>
      <c r="J82" s="861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64"/>
      <c r="W82" s="756">
        <v>46053</v>
      </c>
      <c r="X82" s="851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61"/>
      <c r="J83" s="861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64"/>
      <c r="W83" s="756">
        <v>46053</v>
      </c>
      <c r="X83" s="851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61"/>
      <c r="J84" s="861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64"/>
      <c r="W84" s="524">
        <v>45904</v>
      </c>
      <c r="X84" s="851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61"/>
      <c r="J85" s="861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64"/>
      <c r="W85" s="560"/>
      <c r="X85" s="851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61"/>
      <c r="J86" s="861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64"/>
      <c r="W86" s="524">
        <v>45974</v>
      </c>
      <c r="X86" s="851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61"/>
      <c r="J87" s="861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64"/>
      <c r="W87" s="524">
        <v>45991</v>
      </c>
      <c r="X87" s="851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61"/>
      <c r="J88" s="861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64"/>
      <c r="W88" s="560"/>
      <c r="X88" s="851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61"/>
      <c r="J89" s="861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64"/>
      <c r="W89" s="756">
        <v>46079</v>
      </c>
      <c r="X89" s="851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61"/>
      <c r="J90" s="861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64"/>
      <c r="W90" s="560"/>
      <c r="X90" s="851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61"/>
      <c r="J91" s="861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64"/>
      <c r="W91" s="560"/>
      <c r="X91" s="851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61"/>
      <c r="J92" s="861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64"/>
      <c r="W92" s="560"/>
      <c r="X92" s="851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61"/>
      <c r="J93" s="861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64"/>
      <c r="W93" s="561"/>
      <c r="X93" s="851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61"/>
      <c r="J94" s="861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64"/>
      <c r="W94" s="561"/>
      <c r="X94" s="851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62"/>
      <c r="J95" s="862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65"/>
      <c r="W95" s="562"/>
      <c r="X95" s="852"/>
      <c r="Y95" s="472"/>
    </row>
    <row r="96" spans="1:25" ht="14.4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844">
        <f>SUM(G97:G121)</f>
        <v>2941866.9</v>
      </c>
      <c r="J97" s="844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853">
        <f>J97-SUM(U97:U121)</f>
        <v>2.9870779253542423E-3</v>
      </c>
      <c r="W97" s="564"/>
      <c r="X97" s="847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845"/>
      <c r="J98" s="845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854"/>
      <c r="W98" s="528">
        <v>45901</v>
      </c>
      <c r="X98" s="848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45"/>
      <c r="J99" s="845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854"/>
      <c r="W99" s="565"/>
      <c r="X99" s="848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45"/>
      <c r="J100" s="845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854"/>
      <c r="W100" s="528">
        <v>46051</v>
      </c>
      <c r="X100" s="848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45"/>
      <c r="J101" s="845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854"/>
      <c r="W101" s="565"/>
      <c r="X101" s="848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845"/>
      <c r="J102" s="845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854"/>
      <c r="W102" s="565"/>
      <c r="X102" s="848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45"/>
      <c r="J103" s="845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56" t="s">
        <v>438</v>
      </c>
      <c r="S103" s="614" t="s">
        <v>439</v>
      </c>
      <c r="T103" s="672">
        <v>45869</v>
      </c>
      <c r="U103" s="681">
        <v>586595.33735154092</v>
      </c>
      <c r="V103" s="854"/>
      <c r="W103" s="528">
        <v>45900</v>
      </c>
      <c r="X103" s="848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45"/>
      <c r="J104" s="845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59"/>
      <c r="S104" s="614" t="s">
        <v>441</v>
      </c>
      <c r="T104" s="672">
        <v>45869</v>
      </c>
      <c r="U104" s="681">
        <v>460970.25062994479</v>
      </c>
      <c r="V104" s="854"/>
      <c r="W104" s="528">
        <v>45900</v>
      </c>
      <c r="X104" s="848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845"/>
      <c r="J105" s="845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57"/>
      <c r="S105" s="614" t="s">
        <v>443</v>
      </c>
      <c r="T105" s="672">
        <v>45869</v>
      </c>
      <c r="U105" s="681">
        <v>5915.9975780210725</v>
      </c>
      <c r="V105" s="854"/>
      <c r="W105" s="528">
        <v>45900</v>
      </c>
      <c r="X105" s="848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845"/>
      <c r="J106" s="845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854"/>
      <c r="W106" s="565"/>
      <c r="X106" s="848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45"/>
      <c r="J107" s="845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103</v>
      </c>
      <c r="V107" s="854"/>
      <c r="W107" s="528">
        <v>46029</v>
      </c>
      <c r="X107" s="848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45"/>
      <c r="J108" s="845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854"/>
      <c r="W108" s="565"/>
      <c r="X108" s="848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45"/>
      <c r="J109" s="845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854"/>
      <c r="W109" s="565"/>
      <c r="X109" s="848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845"/>
      <c r="J110" s="845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854"/>
      <c r="W110" s="565"/>
      <c r="X110" s="848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845"/>
      <c r="J111" s="845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56" t="s">
        <v>386</v>
      </c>
      <c r="S111" s="614" t="s">
        <v>387</v>
      </c>
      <c r="T111" s="672">
        <v>45838</v>
      </c>
      <c r="U111" s="681">
        <v>136570.21466011828</v>
      </c>
      <c r="V111" s="854"/>
      <c r="W111" s="528">
        <f>W67</f>
        <v>45834</v>
      </c>
      <c r="X111" s="848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845"/>
      <c r="J112" s="845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59"/>
      <c r="S112" s="614" t="s">
        <v>389</v>
      </c>
      <c r="T112" s="672">
        <v>45869</v>
      </c>
      <c r="U112" s="681">
        <v>107036.01974767643</v>
      </c>
      <c r="V112" s="854"/>
      <c r="W112" s="528">
        <f>W68</f>
        <v>45904</v>
      </c>
      <c r="X112" s="848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45"/>
      <c r="J113" s="845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59"/>
      <c r="S113" s="614" t="s">
        <v>391</v>
      </c>
      <c r="T113" s="672">
        <f>T69</f>
        <v>45900</v>
      </c>
      <c r="U113" s="715">
        <v>39048.034594758567</v>
      </c>
      <c r="V113" s="854"/>
      <c r="W113" s="565">
        <f>W192</f>
        <v>46114</v>
      </c>
      <c r="X113" s="848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45"/>
      <c r="J114" s="845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59"/>
      <c r="S114" s="614"/>
      <c r="T114" s="514" t="str">
        <f t="shared" si="5"/>
        <v/>
      </c>
      <c r="U114" s="498">
        <f>(Q114/$X$97*$J$97)</f>
        <v>0</v>
      </c>
      <c r="V114" s="854"/>
      <c r="W114" s="565"/>
      <c r="X114" s="848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845"/>
      <c r="J115" s="845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59"/>
      <c r="S115" s="614"/>
      <c r="T115" s="514" t="str">
        <f t="shared" si="5"/>
        <v/>
      </c>
      <c r="U115" s="498">
        <f>(Q115/$X$97*$J$97)</f>
        <v>0</v>
      </c>
      <c r="V115" s="854"/>
      <c r="W115" s="565"/>
      <c r="X115" s="848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45"/>
      <c r="J116" s="845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59"/>
      <c r="S116" s="618" t="s">
        <v>387</v>
      </c>
      <c r="T116" s="675">
        <v>45838</v>
      </c>
      <c r="U116" s="682">
        <v>146502.59390812687</v>
      </c>
      <c r="V116" s="854"/>
      <c r="W116" s="528">
        <f>W111</f>
        <v>45834</v>
      </c>
      <c r="X116" s="848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845"/>
      <c r="J117" s="845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59"/>
      <c r="S117" s="618" t="s">
        <v>389</v>
      </c>
      <c r="T117" s="675">
        <v>45869</v>
      </c>
      <c r="U117" s="682">
        <v>114820.45754750744</v>
      </c>
      <c r="V117" s="854"/>
      <c r="W117" s="528">
        <f t="shared" ref="W117:W118" si="14">W112</f>
        <v>45904</v>
      </c>
      <c r="X117" s="848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845"/>
      <c r="J118" s="845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57"/>
      <c r="S118" s="618" t="s">
        <v>391</v>
      </c>
      <c r="T118" s="675">
        <f t="shared" ref="T118" si="15">T113</f>
        <v>45900</v>
      </c>
      <c r="U118" s="716">
        <v>41887.891656195548</v>
      </c>
      <c r="V118" s="854"/>
      <c r="W118" s="565">
        <f t="shared" si="14"/>
        <v>46114</v>
      </c>
      <c r="X118" s="848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45"/>
      <c r="J119" s="845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854"/>
      <c r="W119" s="568"/>
      <c r="X119" s="848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845"/>
      <c r="J120" s="845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854"/>
      <c r="W120" s="568"/>
      <c r="X120" s="848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846"/>
      <c r="J121" s="846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855"/>
      <c r="W121" s="566"/>
      <c r="X121" s="849"/>
      <c r="Y121" s="472"/>
    </row>
    <row r="122" spans="1:25" ht="14.4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60">
        <f>D401</f>
        <v>12030860.6085</v>
      </c>
      <c r="J123" s="860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873" t="s">
        <v>326</v>
      </c>
      <c r="S123" s="620" t="s">
        <v>327</v>
      </c>
      <c r="T123" s="713">
        <v>45900</v>
      </c>
      <c r="U123" s="717">
        <v>312323.78861163039</v>
      </c>
      <c r="V123" s="878">
        <f>J123-SUM(U123:U160)</f>
        <v>7.3705613613128662E-4</v>
      </c>
      <c r="W123" s="529">
        <v>45820</v>
      </c>
      <c r="X123" s="850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61"/>
      <c r="J124" s="861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874"/>
      <c r="S124" s="609" t="s">
        <v>451</v>
      </c>
      <c r="T124" s="670">
        <v>45900</v>
      </c>
      <c r="U124" s="718">
        <v>731174.32693068369</v>
      </c>
      <c r="V124" s="879"/>
      <c r="W124" s="762">
        <v>45960</v>
      </c>
      <c r="X124" s="851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61"/>
      <c r="J125" s="861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874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879"/>
      <c r="W125" s="561"/>
      <c r="X125" s="851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61"/>
      <c r="J126" s="861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74"/>
      <c r="S126" s="610" t="s">
        <v>327</v>
      </c>
      <c r="T126" s="670">
        <v>45991</v>
      </c>
      <c r="U126" s="805">
        <v>1549556.8624156141</v>
      </c>
      <c r="V126" s="879"/>
      <c r="W126" s="525">
        <v>45820</v>
      </c>
      <c r="X126" s="851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61"/>
      <c r="J127" s="861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874"/>
      <c r="S127" s="610" t="s">
        <v>454</v>
      </c>
      <c r="T127" s="781">
        <v>45991</v>
      </c>
      <c r="U127" s="805">
        <v>3615632.678969766</v>
      </c>
      <c r="V127" s="879"/>
      <c r="W127" s="525">
        <v>45988</v>
      </c>
      <c r="X127" s="851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61"/>
      <c r="J128" s="861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74"/>
      <c r="S128" s="610" t="s">
        <v>327</v>
      </c>
      <c r="T128" s="670">
        <v>45991</v>
      </c>
      <c r="U128" s="805">
        <v>133635.84769112332</v>
      </c>
      <c r="V128" s="879"/>
      <c r="W128" s="525">
        <v>45820</v>
      </c>
      <c r="X128" s="851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61"/>
      <c r="J129" s="861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874"/>
      <c r="S129" s="610" t="s">
        <v>454</v>
      </c>
      <c r="T129" s="781">
        <v>45991</v>
      </c>
      <c r="U129" s="805">
        <v>311816.97794595436</v>
      </c>
      <c r="V129" s="879"/>
      <c r="W129" s="525">
        <f>W127</f>
        <v>45988</v>
      </c>
      <c r="X129" s="851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61"/>
      <c r="J130" s="861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874"/>
      <c r="S130" s="610"/>
      <c r="T130" s="510" t="str">
        <f t="shared" si="16"/>
        <v/>
      </c>
      <c r="U130" s="494">
        <f t="shared" si="17"/>
        <v>0</v>
      </c>
      <c r="V130" s="879"/>
      <c r="W130" s="561"/>
      <c r="X130" s="851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61"/>
      <c r="J131" s="861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74"/>
      <c r="S131" s="610" t="s">
        <v>327</v>
      </c>
      <c r="T131" s="670">
        <v>45991</v>
      </c>
      <c r="U131" s="805">
        <v>1252691.1980570836</v>
      </c>
      <c r="V131" s="879"/>
      <c r="W131" s="525">
        <v>45820</v>
      </c>
      <c r="X131" s="851"/>
      <c r="Y131" s="472"/>
    </row>
    <row r="132" spans="2:25" ht="14.25" customHeight="1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61"/>
      <c r="J132" s="861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874"/>
      <c r="S132" s="610" t="s">
        <v>454</v>
      </c>
      <c r="T132" s="781">
        <f t="shared" si="16"/>
        <v>45991</v>
      </c>
      <c r="U132" s="805">
        <v>2915757.6654665284</v>
      </c>
      <c r="V132" s="879"/>
      <c r="W132" s="525">
        <f>W127</f>
        <v>45988</v>
      </c>
      <c r="X132" s="851"/>
      <c r="Y132" s="472"/>
    </row>
    <row r="133" spans="2:25" ht="14.25" customHeight="1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61"/>
      <c r="J133" s="861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74"/>
      <c r="S133" s="610" t="s">
        <v>327</v>
      </c>
      <c r="T133" s="670">
        <v>45991</v>
      </c>
      <c r="U133" s="805">
        <v>103833.41873266298</v>
      </c>
      <c r="V133" s="879"/>
      <c r="W133" s="525">
        <f>W131</f>
        <v>45820</v>
      </c>
      <c r="X133" s="851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61"/>
      <c r="J134" s="861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874"/>
      <c r="S134" s="610" t="s">
        <v>454</v>
      </c>
      <c r="T134" s="781">
        <f t="shared" si="16"/>
        <v>45991</v>
      </c>
      <c r="U134" s="805">
        <v>242277.97704288029</v>
      </c>
      <c r="V134" s="879"/>
      <c r="W134" s="525">
        <f>W132</f>
        <v>45988</v>
      </c>
      <c r="X134" s="851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61"/>
      <c r="J135" s="861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874"/>
      <c r="S135" s="610"/>
      <c r="T135" s="510" t="str">
        <f t="shared" si="16"/>
        <v/>
      </c>
      <c r="U135" s="494">
        <f t="shared" si="17"/>
        <v>0</v>
      </c>
      <c r="V135" s="879"/>
      <c r="W135" s="561"/>
      <c r="X135" s="851"/>
      <c r="Y135" s="472"/>
    </row>
    <row r="136" spans="2:25" ht="14.25" customHeight="1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61"/>
      <c r="J136" s="861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74"/>
      <c r="S136" s="610" t="s">
        <v>327</v>
      </c>
      <c r="T136" s="670">
        <v>45991</v>
      </c>
      <c r="U136" s="805">
        <v>130642.50665592682</v>
      </c>
      <c r="V136" s="879"/>
      <c r="W136" s="525">
        <v>45820</v>
      </c>
      <c r="X136" s="851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61"/>
      <c r="J137" s="861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874"/>
      <c r="S137" s="610" t="s">
        <v>454</v>
      </c>
      <c r="T137" s="781">
        <v>45991</v>
      </c>
      <c r="U137" s="805">
        <v>304832.51553049596</v>
      </c>
      <c r="V137" s="879"/>
      <c r="W137" s="525">
        <f>W127</f>
        <v>45988</v>
      </c>
      <c r="X137" s="851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61"/>
      <c r="J138" s="861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874"/>
      <c r="S138" s="610"/>
      <c r="T138" s="510" t="str">
        <f t="shared" si="16"/>
        <v/>
      </c>
      <c r="U138" s="494">
        <f t="shared" si="17"/>
        <v>0</v>
      </c>
      <c r="V138" s="879"/>
      <c r="W138" s="561"/>
      <c r="X138" s="851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61"/>
      <c r="J139" s="861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74"/>
      <c r="S139" s="610" t="s">
        <v>327</v>
      </c>
      <c r="T139" s="670">
        <v>45991</v>
      </c>
      <c r="U139" s="805">
        <v>49281.151326759806</v>
      </c>
      <c r="V139" s="879"/>
      <c r="W139" s="525">
        <v>45820</v>
      </c>
      <c r="X139" s="851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61"/>
      <c r="J140" s="861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874"/>
      <c r="S140" s="610" t="s">
        <v>454</v>
      </c>
      <c r="T140" s="781">
        <v>45991</v>
      </c>
      <c r="U140" s="805">
        <v>114989.35309577289</v>
      </c>
      <c r="V140" s="879"/>
      <c r="W140" s="525">
        <f>W127</f>
        <v>45988</v>
      </c>
      <c r="X140" s="851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61"/>
      <c r="J141" s="861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874"/>
      <c r="S141" s="610"/>
      <c r="T141" s="510" t="str">
        <f t="shared" si="16"/>
        <v/>
      </c>
      <c r="U141" s="494">
        <f t="shared" si="17"/>
        <v>0</v>
      </c>
      <c r="V141" s="879"/>
      <c r="W141" s="561"/>
      <c r="X141" s="851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61"/>
      <c r="J142" s="861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74"/>
      <c r="S142" s="610" t="s">
        <v>327</v>
      </c>
      <c r="T142" s="670">
        <v>45991</v>
      </c>
      <c r="U142" s="805">
        <v>286664.29393912485</v>
      </c>
      <c r="V142" s="879"/>
      <c r="W142" s="525">
        <v>45820</v>
      </c>
      <c r="X142" s="851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61"/>
      <c r="J143" s="861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875"/>
      <c r="S143" s="610" t="s">
        <v>454</v>
      </c>
      <c r="T143" s="781">
        <v>45991</v>
      </c>
      <c r="U143" s="805">
        <v>608953.23527198925</v>
      </c>
      <c r="V143" s="879"/>
      <c r="W143" s="525">
        <v>45988</v>
      </c>
      <c r="X143" s="851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61"/>
      <c r="J144" s="861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879"/>
      <c r="W144" s="561"/>
      <c r="X144" s="851"/>
      <c r="Y144" s="472"/>
    </row>
    <row r="145" spans="2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61"/>
      <c r="J145" s="861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879"/>
      <c r="W145" s="561"/>
      <c r="X145" s="851"/>
      <c r="Y145" s="472"/>
    </row>
    <row r="146" spans="2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61"/>
      <c r="J146" s="861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879"/>
      <c r="W146" s="561"/>
      <c r="X146" s="851"/>
      <c r="Y146" s="472"/>
    </row>
    <row r="147" spans="2:25" ht="14.25" customHeight="1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61"/>
      <c r="J147" s="861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879"/>
      <c r="W147" s="561"/>
      <c r="X147" s="851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61"/>
      <c r="J148" s="861"/>
      <c r="K148" s="277"/>
      <c r="L148" s="372">
        <v>7</v>
      </c>
      <c r="M148" s="373" t="s">
        <v>449</v>
      </c>
      <c r="N148" s="374"/>
      <c r="O148" s="785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879"/>
      <c r="W148" s="561"/>
      <c r="X148" s="851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61"/>
      <c r="J149" s="861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879"/>
      <c r="W149" s="561"/>
      <c r="X149" s="851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61"/>
      <c r="J150" s="861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879"/>
      <c r="W150" s="561"/>
      <c r="X150" s="851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61"/>
      <c r="J151" s="861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879"/>
      <c r="W151" s="561"/>
      <c r="X151" s="851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61"/>
      <c r="J152" s="861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879"/>
      <c r="W152" s="561"/>
      <c r="X152" s="851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61"/>
      <c r="J153" s="861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879"/>
      <c r="W153" s="561"/>
      <c r="X153" s="851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61"/>
      <c r="J154" s="861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879"/>
      <c r="W154" s="561"/>
      <c r="X154" s="851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61"/>
      <c r="J155" s="861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879"/>
      <c r="W155" s="561"/>
      <c r="X155" s="851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61"/>
      <c r="J156" s="861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879"/>
      <c r="W156" s="561"/>
      <c r="X156" s="851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61"/>
      <c r="J157" s="861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879"/>
      <c r="W157" s="561"/>
      <c r="X157" s="851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61"/>
      <c r="J158" s="861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879"/>
      <c r="W158" s="561"/>
      <c r="X158" s="851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61"/>
      <c r="J159" s="861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879"/>
      <c r="W159" s="561"/>
      <c r="X159" s="851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62"/>
      <c r="J160" s="862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880"/>
      <c r="W160" s="562"/>
      <c r="X160" s="852"/>
      <c r="Y160" s="472"/>
    </row>
    <row r="161" spans="1:25" ht="14.4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844">
        <f>D384+D385+D386</f>
        <v>2015000</v>
      </c>
      <c r="J162" s="844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887">
        <f>J162-SUM(U162:U182)</f>
        <v>47805.181889298838</v>
      </c>
      <c r="W162" s="564"/>
      <c r="X162" s="847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845"/>
      <c r="J163" s="845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888"/>
      <c r="W163" s="528">
        <v>45899</v>
      </c>
      <c r="X163" s="848"/>
      <c r="Y163" s="472"/>
    </row>
    <row r="164" spans="1:25" ht="14.25" customHeight="1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845"/>
      <c r="J164" s="845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888"/>
      <c r="W164" s="528">
        <v>45899</v>
      </c>
      <c r="X164" s="848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845"/>
      <c r="J165" s="845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888"/>
      <c r="W165" s="528">
        <v>45899</v>
      </c>
      <c r="X165" s="848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845"/>
      <c r="J166" s="845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888"/>
      <c r="W166" s="528">
        <v>45900</v>
      </c>
      <c r="X166" s="848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845"/>
      <c r="J167" s="845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56" t="s">
        <v>485</v>
      </c>
      <c r="S167" s="614" t="s">
        <v>486</v>
      </c>
      <c r="T167" s="672">
        <v>45869</v>
      </c>
      <c r="U167" s="681">
        <v>190213.94585806647</v>
      </c>
      <c r="V167" s="888"/>
      <c r="W167" s="528">
        <v>45989</v>
      </c>
      <c r="X167" s="848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845"/>
      <c r="J168" s="845"/>
      <c r="K168" s="290"/>
      <c r="L168" s="311">
        <v>8</v>
      </c>
      <c r="M168" s="420" t="s">
        <v>473</v>
      </c>
      <c r="N168" s="324" t="s">
        <v>487</v>
      </c>
      <c r="O168" s="838">
        <f>O167/2</f>
        <v>188498</v>
      </c>
      <c r="P168" s="685">
        <v>0.5</v>
      </c>
      <c r="Q168" s="313">
        <f>$O$167*P168</f>
        <v>188498</v>
      </c>
      <c r="R168" s="857"/>
      <c r="S168" s="614" t="s">
        <v>486</v>
      </c>
      <c r="T168" s="672">
        <v>45869</v>
      </c>
      <c r="U168" s="681">
        <v>190213.94585806647</v>
      </c>
      <c r="V168" s="888"/>
      <c r="W168" s="528">
        <v>45989</v>
      </c>
      <c r="X168" s="848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845"/>
      <c r="J169" s="845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56" t="s">
        <v>488</v>
      </c>
      <c r="S169" s="614" t="s">
        <v>489</v>
      </c>
      <c r="T169" s="672">
        <v>45838</v>
      </c>
      <c r="U169" s="681">
        <v>311742.46060635644</v>
      </c>
      <c r="V169" s="888"/>
      <c r="W169" s="528">
        <v>45834</v>
      </c>
      <c r="X169" s="848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845"/>
      <c r="J170" s="845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59"/>
      <c r="S170" s="614" t="s">
        <v>489</v>
      </c>
      <c r="T170" s="672">
        <v>45838</v>
      </c>
      <c r="U170" s="681">
        <v>10493.124112514432</v>
      </c>
      <c r="V170" s="888"/>
      <c r="W170" s="528">
        <v>45834</v>
      </c>
      <c r="X170" s="848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845"/>
      <c r="J171" s="845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57"/>
      <c r="S171" s="614" t="s">
        <v>489</v>
      </c>
      <c r="T171" s="672">
        <v>45838</v>
      </c>
      <c r="U171" s="681">
        <v>588.76044261796551</v>
      </c>
      <c r="V171" s="888"/>
      <c r="W171" s="528">
        <v>45834</v>
      </c>
      <c r="X171" s="848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845"/>
      <c r="J172" s="845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888"/>
      <c r="W172" s="528">
        <v>45897</v>
      </c>
      <c r="X172" s="848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845"/>
      <c r="J173" s="845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888"/>
      <c r="W173" s="565"/>
      <c r="X173" s="848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845"/>
      <c r="J174" s="845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888"/>
      <c r="W174" s="565"/>
      <c r="X174" s="848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845"/>
      <c r="J175" s="845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56" t="s">
        <v>496</v>
      </c>
      <c r="S175" s="614" t="s">
        <v>497</v>
      </c>
      <c r="T175" s="672">
        <v>45869</v>
      </c>
      <c r="U175" s="681">
        <v>142672.06408101268</v>
      </c>
      <c r="V175" s="888"/>
      <c r="W175" s="528">
        <v>45855</v>
      </c>
      <c r="X175" s="848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845"/>
      <c r="J176" s="845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57"/>
      <c r="S176" s="614" t="s">
        <v>499</v>
      </c>
      <c r="T176" s="672">
        <v>45900</v>
      </c>
      <c r="U176" s="715">
        <v>139002.42023511391</v>
      </c>
      <c r="V176" s="888"/>
      <c r="W176" s="528">
        <v>45910</v>
      </c>
      <c r="X176" s="848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845"/>
      <c r="J177" s="845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888"/>
      <c r="W177" s="565"/>
      <c r="X177" s="848"/>
      <c r="Y177" s="472"/>
    </row>
    <row r="178" spans="1:25" ht="14.25" customHeight="1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845"/>
      <c r="J178" s="845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 t="s">
        <v>504</v>
      </c>
      <c r="T178" s="672">
        <v>46081</v>
      </c>
      <c r="U178" s="498"/>
      <c r="V178" s="888"/>
      <c r="W178" s="565">
        <f>T178+7</f>
        <v>46088</v>
      </c>
      <c r="X178" s="848"/>
      <c r="Y178" s="472"/>
    </row>
    <row r="179" spans="1:25" ht="14.25" customHeight="1">
      <c r="B179" s="311">
        <v>8</v>
      </c>
      <c r="C179" s="312"/>
      <c r="D179" s="324" t="s">
        <v>505</v>
      </c>
      <c r="E179" s="403"/>
      <c r="F179" s="448"/>
      <c r="G179" s="313">
        <v>600000</v>
      </c>
      <c r="H179" s="565">
        <f>H164</f>
        <v>45899</v>
      </c>
      <c r="I179" s="845"/>
      <c r="J179" s="845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888"/>
      <c r="W179" s="565"/>
      <c r="X179" s="848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845"/>
      <c r="J180" s="845"/>
      <c r="K180" s="290"/>
      <c r="L180" s="311">
        <v>8</v>
      </c>
      <c r="M180" s="420" t="s">
        <v>473</v>
      </c>
      <c r="N180" s="324" t="s">
        <v>506</v>
      </c>
      <c r="O180" s="548"/>
      <c r="P180" s="448"/>
      <c r="Q180" s="313">
        <v>1376.27</v>
      </c>
      <c r="R180" s="579"/>
      <c r="S180" s="842" t="s">
        <v>507</v>
      </c>
      <c r="T180" s="778">
        <v>45961</v>
      </c>
      <c r="U180" s="779">
        <v>1352.2371916952748</v>
      </c>
      <c r="V180" s="888"/>
      <c r="W180" s="767">
        <v>45940</v>
      </c>
      <c r="X180" s="848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845"/>
      <c r="J181" s="845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888"/>
      <c r="W181" s="568"/>
      <c r="X181" s="848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846"/>
      <c r="J182" s="846"/>
      <c r="K182" s="295"/>
      <c r="L182" s="291">
        <v>8</v>
      </c>
      <c r="M182" s="419" t="s">
        <v>473</v>
      </c>
      <c r="N182" s="293" t="s">
        <v>505</v>
      </c>
      <c r="O182" s="549"/>
      <c r="P182" s="442"/>
      <c r="Q182" s="294">
        <v>600000</v>
      </c>
      <c r="R182" s="696"/>
      <c r="S182" s="615" t="s">
        <v>508</v>
      </c>
      <c r="T182" s="712">
        <v>45900</v>
      </c>
      <c r="U182" s="719">
        <v>522600.12083190132</v>
      </c>
      <c r="V182" s="889"/>
      <c r="W182" s="566">
        <f>'Revenue Tracking'!P20+7</f>
        <v>46154</v>
      </c>
      <c r="X182" s="849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509</v>
      </c>
      <c r="D184" s="316" t="s">
        <v>510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881">
        <f>SUM(G184:G226)</f>
        <v>4360411.2369999997</v>
      </c>
      <c r="J184" s="860">
        <f>F391+F392</f>
        <v>5129895.5729411766</v>
      </c>
      <c r="K184" s="277"/>
      <c r="L184" s="300">
        <v>9</v>
      </c>
      <c r="M184" s="411" t="s">
        <v>511</v>
      </c>
      <c r="N184" s="635" t="s">
        <v>512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63">
        <f>J184-SUM(U184:U226)</f>
        <v>2.478407695889473E-3</v>
      </c>
      <c r="W184" s="567"/>
      <c r="X184" s="884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513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882"/>
      <c r="J185" s="861"/>
      <c r="K185" s="277"/>
      <c r="L185" s="300">
        <v>9</v>
      </c>
      <c r="M185" s="411" t="s">
        <v>511</v>
      </c>
      <c r="N185" s="317" t="s">
        <v>514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76" t="s">
        <v>386</v>
      </c>
      <c r="S185" s="609" t="s">
        <v>387</v>
      </c>
      <c r="T185" s="670">
        <v>45838</v>
      </c>
      <c r="U185" s="679">
        <v>326447.90009625664</v>
      </c>
      <c r="V185" s="864"/>
      <c r="W185" s="524">
        <v>45834</v>
      </c>
      <c r="X185" s="885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882"/>
      <c r="J186" s="861"/>
      <c r="K186" s="277"/>
      <c r="L186" s="372">
        <v>9</v>
      </c>
      <c r="M186" s="492" t="s">
        <v>511</v>
      </c>
      <c r="N186" s="374" t="s">
        <v>515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74"/>
      <c r="S186" s="610" t="s">
        <v>389</v>
      </c>
      <c r="T186" s="670">
        <v>45869</v>
      </c>
      <c r="U186" s="680">
        <v>242313.05694970069</v>
      </c>
      <c r="V186" s="864"/>
      <c r="W186" s="525">
        <v>45904</v>
      </c>
      <c r="X186" s="885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82"/>
      <c r="J187" s="861"/>
      <c r="K187" s="277"/>
      <c r="L187" s="372">
        <v>9</v>
      </c>
      <c r="M187" s="492" t="s">
        <v>511</v>
      </c>
      <c r="N187" s="374" t="s">
        <v>516</v>
      </c>
      <c r="O187" s="541"/>
      <c r="P187" s="639">
        <v>0.2</v>
      </c>
      <c r="Q187" s="776">
        <f t="shared" si="20"/>
        <v>480000</v>
      </c>
      <c r="R187" s="874"/>
      <c r="S187" s="610" t="s">
        <v>391</v>
      </c>
      <c r="T187" s="670">
        <v>45900</v>
      </c>
      <c r="U187" s="718">
        <v>242313.04694970069</v>
      </c>
      <c r="V187" s="864"/>
      <c r="W187" s="762">
        <v>45932</v>
      </c>
      <c r="X187" s="885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82"/>
      <c r="J188" s="861"/>
      <c r="K188" s="277"/>
      <c r="L188" s="372">
        <v>9</v>
      </c>
      <c r="M188" s="492" t="s">
        <v>511</v>
      </c>
      <c r="N188" s="374" t="s">
        <v>517</v>
      </c>
      <c r="O188" s="541"/>
      <c r="P188" s="639">
        <v>0.1</v>
      </c>
      <c r="Q188" s="776">
        <f t="shared" si="20"/>
        <v>240000</v>
      </c>
      <c r="R188" s="874"/>
      <c r="S188" s="610" t="s">
        <v>391</v>
      </c>
      <c r="T188" s="670">
        <v>45900</v>
      </c>
      <c r="U188" s="718">
        <v>152833.14847485034</v>
      </c>
      <c r="V188" s="864"/>
      <c r="W188" s="762">
        <v>45932</v>
      </c>
      <c r="X188" s="885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82"/>
      <c r="J189" s="861"/>
      <c r="K189" s="277"/>
      <c r="L189" s="372">
        <v>9</v>
      </c>
      <c r="M189" s="492" t="s">
        <v>511</v>
      </c>
      <c r="N189" s="828" t="s">
        <v>518</v>
      </c>
      <c r="O189" s="829"/>
      <c r="P189" s="830">
        <v>0.2</v>
      </c>
      <c r="Q189" s="831">
        <f t="shared" si="20"/>
        <v>480000</v>
      </c>
      <c r="R189" s="874"/>
      <c r="S189" s="610" t="s">
        <v>519</v>
      </c>
      <c r="T189" s="670">
        <v>46053</v>
      </c>
      <c r="U189" s="805">
        <v>305666.29694970069</v>
      </c>
      <c r="V189" s="864"/>
      <c r="W189" s="525">
        <v>46045</v>
      </c>
      <c r="X189" s="885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82"/>
      <c r="J190" s="861"/>
      <c r="K190" s="277"/>
      <c r="L190" s="372">
        <v>9</v>
      </c>
      <c r="M190" s="492" t="s">
        <v>511</v>
      </c>
      <c r="N190" s="828" t="s">
        <v>520</v>
      </c>
      <c r="O190" s="829"/>
      <c r="P190" s="830">
        <v>0.05</v>
      </c>
      <c r="Q190" s="831">
        <f t="shared" si="20"/>
        <v>120000</v>
      </c>
      <c r="R190" s="874"/>
      <c r="S190" s="610" t="s">
        <v>519</v>
      </c>
      <c r="T190" s="670">
        <v>46053</v>
      </c>
      <c r="U190" s="805">
        <v>76416.574237425171</v>
      </c>
      <c r="V190" s="864"/>
      <c r="W190" s="525">
        <f>W189</f>
        <v>46045</v>
      </c>
      <c r="X190" s="885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82"/>
      <c r="J191" s="861"/>
      <c r="K191" s="277"/>
      <c r="L191" s="372">
        <v>9</v>
      </c>
      <c r="M191" s="492" t="s">
        <v>511</v>
      </c>
      <c r="N191" s="374" t="s">
        <v>521</v>
      </c>
      <c r="O191" s="541"/>
      <c r="P191" s="639">
        <v>0.05</v>
      </c>
      <c r="Q191" s="304">
        <f t="shared" si="20"/>
        <v>120000</v>
      </c>
      <c r="R191" s="874"/>
      <c r="S191" s="610" t="s">
        <v>519</v>
      </c>
      <c r="T191" s="670">
        <v>46053</v>
      </c>
      <c r="U191" s="805">
        <v>76416.574237425171</v>
      </c>
      <c r="V191" s="864"/>
      <c r="W191" s="561">
        <f>'Project Plan'!K110+7</f>
        <v>46084</v>
      </c>
      <c r="X191" s="885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82"/>
      <c r="J192" s="861"/>
      <c r="K192" s="277"/>
      <c r="L192" s="372">
        <v>9</v>
      </c>
      <c r="M192" s="492" t="s">
        <v>511</v>
      </c>
      <c r="N192" s="374" t="s">
        <v>522</v>
      </c>
      <c r="O192" s="541"/>
      <c r="P192" s="639">
        <v>2.5000000000000001E-2</v>
      </c>
      <c r="Q192" s="304">
        <f t="shared" si="20"/>
        <v>60000</v>
      </c>
      <c r="R192" s="874"/>
      <c r="S192" s="610" t="s">
        <v>519</v>
      </c>
      <c r="T192" s="670">
        <v>46053</v>
      </c>
      <c r="U192" s="805">
        <v>38208.287118712586</v>
      </c>
      <c r="V192" s="864"/>
      <c r="W192" s="561">
        <f>W191+30</f>
        <v>46114</v>
      </c>
      <c r="X192" s="885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882"/>
      <c r="J193" s="861"/>
      <c r="K193" s="277"/>
      <c r="L193" s="372">
        <v>9</v>
      </c>
      <c r="M193" s="492" t="s">
        <v>511</v>
      </c>
      <c r="N193" s="374"/>
      <c r="O193" s="541"/>
      <c r="P193" s="640"/>
      <c r="Q193" s="375"/>
      <c r="R193" s="874"/>
      <c r="S193" s="610"/>
      <c r="T193" s="510"/>
      <c r="U193" s="494">
        <f t="shared" ref="U193:U194" si="21">(Q193/$X$184*$J$184)</f>
        <v>0</v>
      </c>
      <c r="V193" s="864"/>
      <c r="W193" s="561"/>
      <c r="X193" s="885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882"/>
      <c r="J194" s="861"/>
      <c r="K194" s="277"/>
      <c r="L194" s="372">
        <v>9</v>
      </c>
      <c r="M194" s="492" t="s">
        <v>511</v>
      </c>
      <c r="N194" s="636" t="s">
        <v>523</v>
      </c>
      <c r="O194" s="541"/>
      <c r="P194" s="640"/>
      <c r="Q194" s="375"/>
      <c r="R194" s="874"/>
      <c r="S194" s="610"/>
      <c r="T194" s="510"/>
      <c r="U194" s="494">
        <f t="shared" si="21"/>
        <v>0</v>
      </c>
      <c r="V194" s="864"/>
      <c r="W194" s="561"/>
      <c r="X194" s="885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82"/>
      <c r="J195" s="861"/>
      <c r="K195" s="277"/>
      <c r="L195" s="372">
        <v>9</v>
      </c>
      <c r="M195" s="492" t="s">
        <v>511</v>
      </c>
      <c r="N195" s="317" t="s">
        <v>514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74"/>
      <c r="S195" s="610" t="s">
        <v>387</v>
      </c>
      <c r="T195" s="670">
        <v>45838</v>
      </c>
      <c r="U195" s="680">
        <v>204029.93756016044</v>
      </c>
      <c r="V195" s="864"/>
      <c r="W195" s="525">
        <f>W185</f>
        <v>45834</v>
      </c>
      <c r="X195" s="885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882"/>
      <c r="J196" s="861"/>
      <c r="K196" s="277"/>
      <c r="L196" s="372">
        <v>9</v>
      </c>
      <c r="M196" s="492" t="s">
        <v>511</v>
      </c>
      <c r="N196" s="374" t="s">
        <v>515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74"/>
      <c r="S196" s="610" t="s">
        <v>389</v>
      </c>
      <c r="T196" s="670">
        <v>45869</v>
      </c>
      <c r="U196" s="680">
        <v>191041.43559356293</v>
      </c>
      <c r="V196" s="864"/>
      <c r="W196" s="525">
        <f>W186</f>
        <v>45904</v>
      </c>
      <c r="X196" s="885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82"/>
      <c r="J197" s="861"/>
      <c r="K197" s="277"/>
      <c r="L197" s="372">
        <v>9</v>
      </c>
      <c r="M197" s="492" t="s">
        <v>511</v>
      </c>
      <c r="N197" s="374" t="s">
        <v>516</v>
      </c>
      <c r="O197" s="541"/>
      <c r="P197" s="638">
        <f t="shared" si="22"/>
        <v>0.2</v>
      </c>
      <c r="Q197" s="720">
        <f t="shared" si="23"/>
        <v>300000</v>
      </c>
      <c r="R197" s="874"/>
      <c r="S197" s="610" t="s">
        <v>391</v>
      </c>
      <c r="T197" s="670">
        <v>45900</v>
      </c>
      <c r="U197" s="718">
        <v>191041.43559356293</v>
      </c>
      <c r="V197" s="864"/>
      <c r="W197" s="525">
        <v>46360</v>
      </c>
      <c r="X197" s="885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82"/>
      <c r="J198" s="861"/>
      <c r="K198" s="277"/>
      <c r="L198" s="372">
        <v>9</v>
      </c>
      <c r="M198" s="492" t="s">
        <v>511</v>
      </c>
      <c r="N198" s="374" t="s">
        <v>517</v>
      </c>
      <c r="O198" s="541"/>
      <c r="P198" s="638">
        <f t="shared" si="22"/>
        <v>0.1</v>
      </c>
      <c r="Q198" s="720">
        <f t="shared" si="23"/>
        <v>150000</v>
      </c>
      <c r="R198" s="874"/>
      <c r="S198" s="610" t="s">
        <v>391</v>
      </c>
      <c r="T198" s="670">
        <v>45900</v>
      </c>
      <c r="U198" s="718">
        <v>95520.717796781464</v>
      </c>
      <c r="V198" s="864"/>
      <c r="W198" s="774">
        <v>46079</v>
      </c>
      <c r="X198" s="885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82"/>
      <c r="J199" s="861"/>
      <c r="K199" s="277"/>
      <c r="L199" s="372">
        <v>9</v>
      </c>
      <c r="M199" s="492" t="s">
        <v>511</v>
      </c>
      <c r="N199" s="374" t="s">
        <v>524</v>
      </c>
      <c r="O199" s="541"/>
      <c r="P199" s="638">
        <v>0.15</v>
      </c>
      <c r="Q199" s="720">
        <f t="shared" si="23"/>
        <v>225000</v>
      </c>
      <c r="R199" s="874"/>
      <c r="S199" s="610" t="s">
        <v>391</v>
      </c>
      <c r="T199" s="670">
        <v>45900</v>
      </c>
      <c r="U199" s="718">
        <v>191041.43559356293</v>
      </c>
      <c r="V199" s="864"/>
      <c r="W199" s="525">
        <v>46009</v>
      </c>
      <c r="X199" s="885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82"/>
      <c r="J200" s="861"/>
      <c r="K200" s="277"/>
      <c r="L200" s="372"/>
      <c r="M200" s="492" t="s">
        <v>511</v>
      </c>
      <c r="N200" s="374" t="s">
        <v>525</v>
      </c>
      <c r="O200" s="541"/>
      <c r="P200" s="638">
        <v>0.05</v>
      </c>
      <c r="Q200" s="720">
        <f>O195*P200</f>
        <v>75000</v>
      </c>
      <c r="R200" s="874"/>
      <c r="S200" s="610" t="s">
        <v>391</v>
      </c>
      <c r="T200" s="670">
        <v>45900</v>
      </c>
      <c r="U200" s="718" t="s">
        <v>103</v>
      </c>
      <c r="V200" s="864"/>
      <c r="W200" s="525">
        <v>46015</v>
      </c>
      <c r="X200" s="885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82"/>
      <c r="J201" s="861"/>
      <c r="K201" s="277"/>
      <c r="L201" s="372">
        <v>9</v>
      </c>
      <c r="M201" s="492" t="s">
        <v>511</v>
      </c>
      <c r="N201" s="374" t="s">
        <v>526</v>
      </c>
      <c r="O201" s="541"/>
      <c r="P201" s="818">
        <v>3.7499999999999999E-2</v>
      </c>
      <c r="Q201" s="720">
        <f t="shared" si="23"/>
        <v>56250</v>
      </c>
      <c r="R201" s="874"/>
      <c r="S201" s="610" t="s">
        <v>391</v>
      </c>
      <c r="T201" s="670">
        <v>45900</v>
      </c>
      <c r="U201" s="718">
        <v>47760.358898390732</v>
      </c>
      <c r="V201" s="864"/>
      <c r="W201" s="525">
        <v>46009</v>
      </c>
      <c r="X201" s="885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82"/>
      <c r="J202" s="861"/>
      <c r="K202" s="277"/>
      <c r="L202" s="372"/>
      <c r="M202" s="492" t="s">
        <v>511</v>
      </c>
      <c r="N202" s="374" t="s">
        <v>527</v>
      </c>
      <c r="O202" s="541"/>
      <c r="P202" s="818">
        <v>1.2500000000000001E-2</v>
      </c>
      <c r="Q202" s="720">
        <f>O195*P202</f>
        <v>18750</v>
      </c>
      <c r="R202" s="874"/>
      <c r="S202" s="610" t="s">
        <v>391</v>
      </c>
      <c r="T202" s="670">
        <v>45900</v>
      </c>
      <c r="U202" s="718">
        <v>0</v>
      </c>
      <c r="V202" s="864"/>
      <c r="W202" s="774">
        <v>46015</v>
      </c>
      <c r="X202" s="885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82"/>
      <c r="J203" s="861"/>
      <c r="K203" s="277"/>
      <c r="L203" s="372">
        <v>9</v>
      </c>
      <c r="M203" s="492" t="s">
        <v>511</v>
      </c>
      <c r="N203" s="374" t="s">
        <v>521</v>
      </c>
      <c r="O203" s="541"/>
      <c r="P203" s="638">
        <f>P191</f>
        <v>0.05</v>
      </c>
      <c r="Q203" s="304">
        <f t="shared" si="23"/>
        <v>75000</v>
      </c>
      <c r="R203" s="874"/>
      <c r="S203" s="610" t="s">
        <v>519</v>
      </c>
      <c r="T203" s="670">
        <v>46053</v>
      </c>
      <c r="U203" s="805">
        <v>47760.358898390732</v>
      </c>
      <c r="V203" s="864"/>
      <c r="W203" s="561">
        <f>W191</f>
        <v>46084</v>
      </c>
      <c r="X203" s="885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82"/>
      <c r="J204" s="861"/>
      <c r="K204" s="277"/>
      <c r="L204" s="372">
        <v>9</v>
      </c>
      <c r="M204" s="492" t="s">
        <v>511</v>
      </c>
      <c r="N204" s="374" t="s">
        <v>522</v>
      </c>
      <c r="O204" s="541"/>
      <c r="P204" s="638">
        <f>P192</f>
        <v>2.5000000000000001E-2</v>
      </c>
      <c r="Q204" s="304">
        <f t="shared" si="23"/>
        <v>37500</v>
      </c>
      <c r="R204" s="874"/>
      <c r="S204" s="610" t="s">
        <v>519</v>
      </c>
      <c r="T204" s="670">
        <v>46053</v>
      </c>
      <c r="U204" s="805">
        <v>23880.179449195366</v>
      </c>
      <c r="V204" s="864"/>
      <c r="W204" s="561">
        <f>W203+30</f>
        <v>46114</v>
      </c>
      <c r="X204" s="885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82"/>
      <c r="J205" s="861"/>
      <c r="K205" s="277"/>
      <c r="L205" s="372">
        <v>9</v>
      </c>
      <c r="M205" s="492" t="s">
        <v>511</v>
      </c>
      <c r="N205" s="374"/>
      <c r="O205" s="541"/>
      <c r="P205" s="557"/>
      <c r="Q205" s="375"/>
      <c r="R205" s="874"/>
      <c r="S205" s="610"/>
      <c r="T205" s="510"/>
      <c r="U205" s="494"/>
      <c r="V205" s="864"/>
      <c r="W205" s="561"/>
      <c r="X205" s="885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882"/>
      <c r="J206" s="861"/>
      <c r="K206" s="277"/>
      <c r="L206" s="372">
        <v>9</v>
      </c>
      <c r="M206" s="492" t="s">
        <v>511</v>
      </c>
      <c r="N206" s="636" t="s">
        <v>528</v>
      </c>
      <c r="O206" s="637"/>
      <c r="P206" s="557"/>
      <c r="Q206" s="375"/>
      <c r="R206" s="874"/>
      <c r="S206" s="610"/>
      <c r="T206" s="510"/>
      <c r="U206" s="494"/>
      <c r="V206" s="864"/>
      <c r="W206" s="561"/>
      <c r="X206" s="885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82"/>
      <c r="J207" s="861"/>
      <c r="K207" s="277"/>
      <c r="L207" s="372">
        <v>9</v>
      </c>
      <c r="M207" s="492" t="s">
        <v>511</v>
      </c>
      <c r="N207" s="317" t="s">
        <v>514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74"/>
      <c r="S207" s="610" t="s">
        <v>387</v>
      </c>
      <c r="T207" s="670">
        <v>45838</v>
      </c>
      <c r="U207" s="680">
        <v>265238.91882820858</v>
      </c>
      <c r="V207" s="864"/>
      <c r="W207" s="525">
        <f>W195</f>
        <v>45834</v>
      </c>
      <c r="X207" s="885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882"/>
      <c r="J208" s="861"/>
      <c r="K208" s="277"/>
      <c r="L208" s="372">
        <v>9</v>
      </c>
      <c r="M208" s="492" t="s">
        <v>511</v>
      </c>
      <c r="N208" s="374" t="s">
        <v>515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74"/>
      <c r="S208" s="610" t="s">
        <v>389</v>
      </c>
      <c r="T208" s="670">
        <v>45869</v>
      </c>
      <c r="U208" s="680">
        <v>248353.86627163179</v>
      </c>
      <c r="V208" s="864"/>
      <c r="W208" s="525">
        <f>W196</f>
        <v>45904</v>
      </c>
      <c r="X208" s="885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82"/>
      <c r="J209" s="861"/>
      <c r="K209" s="277"/>
      <c r="L209" s="372">
        <v>9</v>
      </c>
      <c r="M209" s="492" t="s">
        <v>511</v>
      </c>
      <c r="N209" s="374" t="s">
        <v>529</v>
      </c>
      <c r="O209" s="541"/>
      <c r="P209" s="639">
        <v>0.2</v>
      </c>
      <c r="Q209" s="720">
        <f t="shared" si="24"/>
        <v>390000</v>
      </c>
      <c r="R209" s="874"/>
      <c r="S209" s="610" t="s">
        <v>391</v>
      </c>
      <c r="T209" s="670">
        <v>45900</v>
      </c>
      <c r="U209" s="718">
        <v>248353.86627163179</v>
      </c>
      <c r="V209" s="864"/>
      <c r="W209" s="774">
        <v>45995</v>
      </c>
      <c r="X209" s="885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882"/>
      <c r="J210" s="861"/>
      <c r="K210" s="277"/>
      <c r="L210" s="372">
        <v>9</v>
      </c>
      <c r="M210" s="492" t="s">
        <v>511</v>
      </c>
      <c r="N210" s="374" t="s">
        <v>530</v>
      </c>
      <c r="O210" s="541"/>
      <c r="P210" s="639">
        <v>0.1</v>
      </c>
      <c r="Q210" s="720">
        <f t="shared" si="24"/>
        <v>195000</v>
      </c>
      <c r="R210" s="874"/>
      <c r="S210" s="610" t="s">
        <v>391</v>
      </c>
      <c r="T210" s="670">
        <v>45900</v>
      </c>
      <c r="U210" s="718">
        <v>124176.9331358159</v>
      </c>
      <c r="V210" s="864"/>
      <c r="W210" s="525">
        <v>46009</v>
      </c>
      <c r="X210" s="885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82"/>
      <c r="J211" s="861"/>
      <c r="K211" s="277"/>
      <c r="L211" s="372">
        <v>9</v>
      </c>
      <c r="M211" s="492" t="s">
        <v>511</v>
      </c>
      <c r="N211" s="374" t="s">
        <v>531</v>
      </c>
      <c r="O211" s="541"/>
      <c r="P211" s="639">
        <v>0.1</v>
      </c>
      <c r="Q211" s="720">
        <f t="shared" si="24"/>
        <v>195000</v>
      </c>
      <c r="R211" s="874"/>
      <c r="S211" s="610" t="s">
        <v>391</v>
      </c>
      <c r="T211" s="670">
        <v>45900</v>
      </c>
      <c r="U211" s="718">
        <v>248353.86627163179</v>
      </c>
      <c r="V211" s="864"/>
      <c r="W211" s="774">
        <v>46015</v>
      </c>
      <c r="X211" s="885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882"/>
      <c r="J212" s="861"/>
      <c r="K212" s="277"/>
      <c r="L212" s="372">
        <v>9</v>
      </c>
      <c r="M212" s="492" t="s">
        <v>511</v>
      </c>
      <c r="N212" s="374" t="s">
        <v>531</v>
      </c>
      <c r="O212" s="541"/>
      <c r="P212" s="639">
        <v>0.1</v>
      </c>
      <c r="Q212" s="720">
        <f t="shared" si="24"/>
        <v>195000</v>
      </c>
      <c r="R212" s="874"/>
      <c r="S212" s="610" t="s">
        <v>391</v>
      </c>
      <c r="T212" s="670">
        <v>45900</v>
      </c>
      <c r="U212" s="718"/>
      <c r="V212" s="864"/>
      <c r="W212" s="525">
        <v>46051</v>
      </c>
      <c r="X212" s="885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82"/>
      <c r="J213" s="861"/>
      <c r="K213" s="277"/>
      <c r="L213" s="372">
        <v>9</v>
      </c>
      <c r="M213" s="492" t="s">
        <v>511</v>
      </c>
      <c r="N213" s="374" t="s">
        <v>532</v>
      </c>
      <c r="O213" s="541"/>
      <c r="P213" s="639">
        <v>0.05</v>
      </c>
      <c r="Q213" s="720">
        <f t="shared" si="24"/>
        <v>97500</v>
      </c>
      <c r="R213" s="874"/>
      <c r="S213" s="610" t="s">
        <v>391</v>
      </c>
      <c r="T213" s="670">
        <v>45900</v>
      </c>
      <c r="U213" s="718">
        <v>62088.466567907948</v>
      </c>
      <c r="V213" s="864"/>
      <c r="W213" s="525">
        <v>46052</v>
      </c>
      <c r="X213" s="885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82"/>
      <c r="J214" s="861"/>
      <c r="K214" s="277"/>
      <c r="L214" s="372">
        <v>9</v>
      </c>
      <c r="M214" s="492" t="s">
        <v>511</v>
      </c>
      <c r="N214" s="374" t="s">
        <v>521</v>
      </c>
      <c r="O214" s="541"/>
      <c r="P214" s="639">
        <v>0.05</v>
      </c>
      <c r="Q214" s="304">
        <f t="shared" si="24"/>
        <v>97500</v>
      </c>
      <c r="R214" s="874"/>
      <c r="S214" s="610" t="s">
        <v>519</v>
      </c>
      <c r="T214" s="670">
        <v>46053</v>
      </c>
      <c r="U214" s="805">
        <v>62088.466567907948</v>
      </c>
      <c r="V214" s="864"/>
      <c r="W214" s="561">
        <f>W191</f>
        <v>46084</v>
      </c>
      <c r="X214" s="885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82"/>
      <c r="J215" s="861"/>
      <c r="K215" s="277"/>
      <c r="L215" s="372">
        <v>9</v>
      </c>
      <c r="M215" s="492" t="s">
        <v>511</v>
      </c>
      <c r="N215" s="374" t="s">
        <v>522</v>
      </c>
      <c r="O215" s="541"/>
      <c r="P215" s="639">
        <v>2.5000000000000001E-2</v>
      </c>
      <c r="Q215" s="304">
        <f t="shared" si="24"/>
        <v>48750</v>
      </c>
      <c r="R215" s="875"/>
      <c r="S215" s="610" t="s">
        <v>519</v>
      </c>
      <c r="T215" s="670">
        <v>46053</v>
      </c>
      <c r="U215" s="805">
        <v>31044.233283953974</v>
      </c>
      <c r="V215" s="864"/>
      <c r="W215" s="561">
        <f>W214+39</f>
        <v>46123</v>
      </c>
      <c r="X215" s="885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82"/>
      <c r="J216" s="861"/>
      <c r="K216" s="277"/>
      <c r="L216" s="372">
        <v>9</v>
      </c>
      <c r="M216" s="492" t="s">
        <v>511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64"/>
      <c r="W216" s="561"/>
      <c r="X216" s="885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82"/>
      <c r="J217" s="861"/>
      <c r="K217" s="277"/>
      <c r="L217" s="372">
        <v>9</v>
      </c>
      <c r="M217" s="492" t="s">
        <v>511</v>
      </c>
      <c r="N217" s="636" t="s">
        <v>533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64"/>
      <c r="W217" s="561"/>
      <c r="X217" s="885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82"/>
      <c r="J218" s="861"/>
      <c r="K218" s="277"/>
      <c r="L218" s="372">
        <v>9</v>
      </c>
      <c r="M218" s="492" t="s">
        <v>511</v>
      </c>
      <c r="N218" s="374" t="s">
        <v>514</v>
      </c>
      <c r="O218" s="671">
        <v>2205680</v>
      </c>
      <c r="P218" s="557">
        <v>0.25</v>
      </c>
      <c r="Q218" s="375">
        <f>$O$218*P218</f>
        <v>551420</v>
      </c>
      <c r="R218" s="876" t="s">
        <v>534</v>
      </c>
      <c r="S218" s="610" t="s">
        <v>535</v>
      </c>
      <c r="T218" s="670">
        <v>45869</v>
      </c>
      <c r="U218" s="680">
        <v>351146.89471667493</v>
      </c>
      <c r="V218" s="864"/>
      <c r="W218" s="762">
        <v>45932</v>
      </c>
      <c r="X218" s="885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82"/>
      <c r="J219" s="861"/>
      <c r="K219" s="277"/>
      <c r="L219" s="372">
        <v>9</v>
      </c>
      <c r="M219" s="492" t="s">
        <v>511</v>
      </c>
      <c r="N219" s="374" t="s">
        <v>515</v>
      </c>
      <c r="O219" s="825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74"/>
      <c r="S219" s="610" t="s">
        <v>535</v>
      </c>
      <c r="T219" s="670">
        <v>45869</v>
      </c>
      <c r="U219" s="680">
        <v>351146.89471667493</v>
      </c>
      <c r="V219" s="864"/>
      <c r="W219" s="762">
        <v>45932</v>
      </c>
      <c r="X219" s="885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82"/>
      <c r="J220" s="861"/>
      <c r="K220" s="277"/>
      <c r="L220" s="372">
        <v>9</v>
      </c>
      <c r="M220" s="492" t="s">
        <v>511</v>
      </c>
      <c r="N220" s="374" t="s">
        <v>536</v>
      </c>
      <c r="O220" s="541"/>
      <c r="P220" s="557">
        <v>0.2</v>
      </c>
      <c r="Q220" s="375">
        <f t="shared" si="25"/>
        <v>441136</v>
      </c>
      <c r="R220" s="874"/>
      <c r="S220" s="610" t="s">
        <v>535</v>
      </c>
      <c r="T220" s="670">
        <v>45900</v>
      </c>
      <c r="U220" s="718">
        <v>561835.03154667979</v>
      </c>
      <c r="V220" s="864"/>
      <c r="W220" s="525">
        <v>46009</v>
      </c>
      <c r="X220" s="885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82"/>
      <c r="J221" s="861"/>
      <c r="K221" s="277"/>
      <c r="L221" s="372">
        <v>9</v>
      </c>
      <c r="M221" s="492" t="s">
        <v>511</v>
      </c>
      <c r="N221" s="374"/>
      <c r="O221" s="541"/>
      <c r="P221" s="557">
        <v>0.1</v>
      </c>
      <c r="Q221" s="375">
        <f t="shared" si="25"/>
        <v>220568</v>
      </c>
      <c r="R221" s="874"/>
      <c r="S221" s="610" t="s">
        <v>535</v>
      </c>
      <c r="T221" s="670">
        <v>45900</v>
      </c>
      <c r="U221" s="718"/>
      <c r="V221" s="864"/>
      <c r="W221" s="525">
        <v>46015</v>
      </c>
      <c r="X221" s="885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82"/>
      <c r="J222" s="861"/>
      <c r="K222" s="277"/>
      <c r="L222" s="372">
        <v>9</v>
      </c>
      <c r="M222" s="492" t="s">
        <v>511</v>
      </c>
      <c r="N222" s="374"/>
      <c r="O222" s="541"/>
      <c r="P222" s="557">
        <v>0.1</v>
      </c>
      <c r="Q222" s="375">
        <f t="shared" si="25"/>
        <v>220568</v>
      </c>
      <c r="R222" s="874"/>
      <c r="S222" s="610" t="s">
        <v>535</v>
      </c>
      <c r="T222" s="670">
        <v>45900</v>
      </c>
      <c r="U222" s="718"/>
      <c r="V222" s="864"/>
      <c r="W222" s="525">
        <v>46022</v>
      </c>
      <c r="X222" s="885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82"/>
      <c r="J223" s="861"/>
      <c r="K223" s="277"/>
      <c r="L223" s="372">
        <v>9</v>
      </c>
      <c r="M223" s="492" t="s">
        <v>511</v>
      </c>
      <c r="N223" s="374" t="s">
        <v>522</v>
      </c>
      <c r="O223" s="541"/>
      <c r="P223" s="557">
        <v>0.1</v>
      </c>
      <c r="Q223" s="375">
        <f t="shared" si="25"/>
        <v>220568</v>
      </c>
      <c r="R223" s="875"/>
      <c r="S223" s="610" t="s">
        <v>535</v>
      </c>
      <c r="T223" s="670">
        <v>45900</v>
      </c>
      <c r="U223" s="718">
        <v>123377.38788666995</v>
      </c>
      <c r="V223" s="864"/>
      <c r="W223" s="525">
        <v>46029</v>
      </c>
      <c r="X223" s="885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882"/>
      <c r="J224" s="861"/>
      <c r="K224" s="277"/>
      <c r="L224" s="372">
        <v>9</v>
      </c>
      <c r="M224" s="492" t="s">
        <v>511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64"/>
      <c r="W224" s="561"/>
      <c r="X224" s="885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882"/>
      <c r="J225" s="861"/>
      <c r="K225" s="277"/>
      <c r="L225" s="372">
        <v>9</v>
      </c>
      <c r="M225" s="492" t="s">
        <v>511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64"/>
      <c r="W225" s="561"/>
      <c r="X225" s="885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883"/>
      <c r="J226" s="862"/>
      <c r="K226" s="278"/>
      <c r="L226" s="305">
        <v>9</v>
      </c>
      <c r="M226" s="428" t="s">
        <v>511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65"/>
      <c r="W226" s="562"/>
      <c r="X226" s="886"/>
      <c r="Y226" s="472"/>
    </row>
    <row r="227" spans="1:25" ht="14.4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537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890">
        <f>SUM(G228:G282)</f>
        <v>394304.23333333328</v>
      </c>
      <c r="J228" s="890">
        <f>F395+F398+F399+F397</f>
        <v>463887.33333333331</v>
      </c>
      <c r="K228" s="328"/>
      <c r="L228" s="258">
        <v>10</v>
      </c>
      <c r="M228" s="421" t="s">
        <v>538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896">
        <f>J228-SUM(U228:U282)</f>
        <v>5.9088593116030097E-4</v>
      </c>
      <c r="W228" s="570"/>
      <c r="X228" s="893">
        <f>SUM(Q228:Q282)</f>
        <v>939765.28000000014</v>
      </c>
      <c r="Y228" s="472"/>
    </row>
    <row r="229" spans="1:25" ht="14.25" customHeight="1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891"/>
      <c r="J229" s="891"/>
      <c r="K229" s="261"/>
      <c r="L229" s="329">
        <v>10</v>
      </c>
      <c r="M229" s="422" t="s">
        <v>538</v>
      </c>
      <c r="N229" s="330" t="s">
        <v>539</v>
      </c>
      <c r="O229" s="743">
        <v>82020</v>
      </c>
      <c r="P229" s="742">
        <v>0.5</v>
      </c>
      <c r="Q229" s="332">
        <f>O229*P229</f>
        <v>41010</v>
      </c>
      <c r="R229" s="587" t="s">
        <v>540</v>
      </c>
      <c r="S229" s="622" t="s">
        <v>541</v>
      </c>
      <c r="T229" s="711">
        <v>45900</v>
      </c>
      <c r="U229" s="506">
        <v>0</v>
      </c>
      <c r="V229" s="897"/>
      <c r="W229" s="532">
        <v>45925</v>
      </c>
      <c r="X229" s="894"/>
      <c r="Y229" s="472"/>
    </row>
    <row r="230" spans="1:25" ht="14.25" customHeight="1">
      <c r="B230" s="329">
        <v>10</v>
      </c>
      <c r="C230" s="330"/>
      <c r="D230" s="330" t="s">
        <v>542</v>
      </c>
      <c r="E230" s="331"/>
      <c r="F230" s="458"/>
      <c r="G230" s="332">
        <f>D398</f>
        <v>0</v>
      </c>
      <c r="H230" s="571"/>
      <c r="I230" s="891"/>
      <c r="J230" s="891"/>
      <c r="K230" s="261"/>
      <c r="L230" s="329">
        <v>10</v>
      </c>
      <c r="M230" s="422" t="s">
        <v>538</v>
      </c>
      <c r="N230" s="330"/>
      <c r="O230" s="553"/>
      <c r="P230" s="458"/>
      <c r="Q230" s="332">
        <f>O229*P229</f>
        <v>41010</v>
      </c>
      <c r="R230" s="587"/>
      <c r="S230" s="622" t="s">
        <v>541</v>
      </c>
      <c r="T230" s="676">
        <v>45900</v>
      </c>
      <c r="U230" s="506">
        <v>0</v>
      </c>
      <c r="V230" s="897"/>
      <c r="W230" s="532">
        <v>45967</v>
      </c>
      <c r="X230" s="894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91"/>
      <c r="J231" s="891"/>
      <c r="K231" s="261"/>
      <c r="L231" s="329">
        <v>10</v>
      </c>
      <c r="M231" s="422" t="s">
        <v>538</v>
      </c>
      <c r="N231" s="330"/>
      <c r="O231" s="553"/>
      <c r="P231" s="458"/>
      <c r="Q231" s="332">
        <v>41010</v>
      </c>
      <c r="R231" s="587"/>
      <c r="S231" s="622" t="s">
        <v>543</v>
      </c>
      <c r="T231" s="676">
        <v>45991</v>
      </c>
      <c r="U231" s="506">
        <v>0</v>
      </c>
      <c r="V231" s="897"/>
      <c r="W231" s="532">
        <v>46037</v>
      </c>
      <c r="X231" s="894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891"/>
      <c r="J232" s="891"/>
      <c r="K232" s="261"/>
      <c r="L232" s="329">
        <v>10</v>
      </c>
      <c r="M232" s="422" t="s">
        <v>538</v>
      </c>
      <c r="N232" s="330"/>
      <c r="O232" s="553"/>
      <c r="P232" s="458"/>
      <c r="Q232" s="332">
        <v>41010</v>
      </c>
      <c r="R232" s="587"/>
      <c r="S232" s="622" t="s">
        <v>544</v>
      </c>
      <c r="T232" s="676">
        <v>46022</v>
      </c>
      <c r="U232" s="506">
        <v>0</v>
      </c>
      <c r="V232" s="897"/>
      <c r="W232" s="821">
        <v>46031</v>
      </c>
      <c r="X232" s="894"/>
      <c r="Y232" s="472"/>
    </row>
    <row r="233" spans="1:25" ht="14.25" customHeight="1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891"/>
      <c r="J233" s="891"/>
      <c r="K233" s="261"/>
      <c r="L233" s="329">
        <v>10</v>
      </c>
      <c r="M233" s="422" t="s">
        <v>538</v>
      </c>
      <c r="N233" s="330" t="s">
        <v>545</v>
      </c>
      <c r="O233" s="553"/>
      <c r="P233" s="458"/>
      <c r="Q233" s="332">
        <f>41010+460</f>
        <v>41470</v>
      </c>
      <c r="R233" s="587"/>
      <c r="S233" s="622" t="s">
        <v>546</v>
      </c>
      <c r="T233" s="676">
        <v>46022</v>
      </c>
      <c r="U233" s="827">
        <v>790.55</v>
      </c>
      <c r="V233" s="897"/>
      <c r="W233" s="532">
        <v>46053</v>
      </c>
      <c r="X233" s="894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91"/>
      <c r="J234" s="891"/>
      <c r="K234" s="261"/>
      <c r="L234" s="329">
        <v>10</v>
      </c>
      <c r="M234" s="422" t="s">
        <v>538</v>
      </c>
      <c r="N234" s="330" t="s">
        <v>547</v>
      </c>
      <c r="O234" s="553"/>
      <c r="P234" s="458"/>
      <c r="Q234" s="332">
        <v>460</v>
      </c>
      <c r="R234" s="588"/>
      <c r="S234" s="622" t="s">
        <v>548</v>
      </c>
      <c r="T234" s="676">
        <v>46022</v>
      </c>
      <c r="U234" s="507">
        <v>0</v>
      </c>
      <c r="V234" s="897"/>
      <c r="W234" s="755">
        <v>46031</v>
      </c>
      <c r="X234" s="894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891"/>
      <c r="J235" s="891"/>
      <c r="K235" s="261"/>
      <c r="L235" s="329">
        <v>10</v>
      </c>
      <c r="M235" s="422" t="s">
        <v>538</v>
      </c>
      <c r="N235" s="330" t="s">
        <v>549</v>
      </c>
      <c r="O235" s="553"/>
      <c r="P235" s="458"/>
      <c r="Q235" s="332"/>
      <c r="R235" s="588"/>
      <c r="S235" s="826"/>
      <c r="T235" s="676"/>
      <c r="U235" s="507"/>
      <c r="V235" s="897"/>
      <c r="W235" s="755"/>
      <c r="X235" s="894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91"/>
      <c r="J236" s="891"/>
      <c r="K236" s="261"/>
      <c r="L236" s="329">
        <v>10</v>
      </c>
      <c r="M236" s="422" t="s">
        <v>538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899" t="s">
        <v>386</v>
      </c>
      <c r="S236" s="623" t="s">
        <v>387</v>
      </c>
      <c r="T236" s="676">
        <v>45838</v>
      </c>
      <c r="U236" s="683">
        <v>130552.96794014869</v>
      </c>
      <c r="V236" s="897"/>
      <c r="W236" s="533">
        <v>45834</v>
      </c>
      <c r="X236" s="894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891"/>
      <c r="J237" s="891"/>
      <c r="K237" s="261"/>
      <c r="L237" s="329">
        <v>10</v>
      </c>
      <c r="M237" s="422" t="s">
        <v>538</v>
      </c>
      <c r="N237" s="330" t="s">
        <v>550</v>
      </c>
      <c r="O237" s="553"/>
      <c r="P237" s="559">
        <v>0.4</v>
      </c>
      <c r="Q237" s="332">
        <f>$O$236*P237</f>
        <v>160000</v>
      </c>
      <c r="R237" s="900"/>
      <c r="S237" s="623" t="s">
        <v>389</v>
      </c>
      <c r="T237" s="676">
        <v>45869</v>
      </c>
      <c r="U237" s="683">
        <v>105639.01698453363</v>
      </c>
      <c r="V237" s="897"/>
      <c r="W237" s="533">
        <v>45904</v>
      </c>
      <c r="X237" s="894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91"/>
      <c r="J238" s="891"/>
      <c r="K238" s="261"/>
      <c r="L238" s="329">
        <v>10</v>
      </c>
      <c r="M238" s="422" t="s">
        <v>538</v>
      </c>
      <c r="N238" s="330" t="s">
        <v>551</v>
      </c>
      <c r="O238" s="553"/>
      <c r="P238" s="559">
        <v>0.1</v>
      </c>
      <c r="Q238" s="777">
        <f>$O$236*P238</f>
        <v>40000</v>
      </c>
      <c r="R238" s="900"/>
      <c r="S238" s="623" t="s">
        <v>391</v>
      </c>
      <c r="T238" s="676">
        <v>45900</v>
      </c>
      <c r="U238" s="721">
        <v>16629.772302381578</v>
      </c>
      <c r="V238" s="897"/>
      <c r="W238" s="572">
        <f>W192</f>
        <v>46114</v>
      </c>
      <c r="X238" s="894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91"/>
      <c r="J239" s="891"/>
      <c r="K239" s="261"/>
      <c r="L239" s="329">
        <v>10</v>
      </c>
      <c r="M239" s="422" t="s">
        <v>538</v>
      </c>
      <c r="N239" s="330"/>
      <c r="O239" s="553"/>
      <c r="P239" s="559"/>
      <c r="Q239" s="332"/>
      <c r="R239" s="900"/>
      <c r="S239" s="623"/>
      <c r="T239" s="521"/>
      <c r="U239" s="507">
        <f>(Q239/$X$228*$J$228)</f>
        <v>0</v>
      </c>
      <c r="V239" s="897"/>
      <c r="W239" s="572"/>
      <c r="X239" s="894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891"/>
      <c r="J240" s="891"/>
      <c r="K240" s="261"/>
      <c r="L240" s="329">
        <v>10</v>
      </c>
      <c r="M240" s="422" t="s">
        <v>538</v>
      </c>
      <c r="N240" s="330"/>
      <c r="O240" s="553"/>
      <c r="P240" s="559"/>
      <c r="Q240" s="332"/>
      <c r="R240" s="900"/>
      <c r="S240" s="623"/>
      <c r="T240" s="521" t="str">
        <f t="shared" si="19"/>
        <v/>
      </c>
      <c r="U240" s="507">
        <f>(Q240/$X$228*$J$228)</f>
        <v>0</v>
      </c>
      <c r="V240" s="897"/>
      <c r="W240" s="572"/>
      <c r="X240" s="894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891"/>
      <c r="J241" s="891"/>
      <c r="K241" s="261"/>
      <c r="L241" s="329">
        <v>10</v>
      </c>
      <c r="M241" s="422" t="s">
        <v>538</v>
      </c>
      <c r="N241" s="330"/>
      <c r="O241" s="553"/>
      <c r="P241" s="559"/>
      <c r="Q241" s="332"/>
      <c r="R241" s="900"/>
      <c r="S241" s="623"/>
      <c r="T241" s="521"/>
      <c r="U241" s="507">
        <f>(Q241/$X$228*$J$228)</f>
        <v>0</v>
      </c>
      <c r="V241" s="897"/>
      <c r="W241" s="572"/>
      <c r="X241" s="894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91"/>
      <c r="J242" s="891"/>
      <c r="K242" s="261"/>
      <c r="L242" s="329">
        <v>10</v>
      </c>
      <c r="M242" s="422" t="s">
        <v>538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900"/>
      <c r="S242" s="623" t="s">
        <v>387</v>
      </c>
      <c r="T242" s="676">
        <v>45838</v>
      </c>
      <c r="U242" s="683">
        <v>81595.60496259293</v>
      </c>
      <c r="V242" s="897"/>
      <c r="W242" s="533">
        <v>45834</v>
      </c>
      <c r="X242" s="894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891"/>
      <c r="J243" s="891"/>
      <c r="K243" s="261"/>
      <c r="L243" s="329">
        <v>10</v>
      </c>
      <c r="M243" s="422" t="s">
        <v>538</v>
      </c>
      <c r="N243" s="330" t="s">
        <v>552</v>
      </c>
      <c r="O243" s="553"/>
      <c r="P243" s="559">
        <v>0.4</v>
      </c>
      <c r="Q243" s="332">
        <f t="shared" ref="Q243:Q244" si="26">$O$242*P243</f>
        <v>100000</v>
      </c>
      <c r="R243" s="900"/>
      <c r="S243" s="623" t="s">
        <v>389</v>
      </c>
      <c r="T243" s="676">
        <v>45869</v>
      </c>
      <c r="U243" s="683">
        <v>68657.965615333524</v>
      </c>
      <c r="V243" s="897"/>
      <c r="W243" s="533">
        <f>W237</f>
        <v>45904</v>
      </c>
      <c r="X243" s="894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891"/>
      <c r="J244" s="891"/>
      <c r="K244" s="261"/>
      <c r="L244" s="329">
        <v>10</v>
      </c>
      <c r="M244" s="422" t="s">
        <v>538</v>
      </c>
      <c r="N244" s="330" t="s">
        <v>553</v>
      </c>
      <c r="O244" s="553"/>
      <c r="P244" s="559">
        <v>0.1</v>
      </c>
      <c r="Q244" s="332">
        <f t="shared" si="26"/>
        <v>25000</v>
      </c>
      <c r="R244" s="901"/>
      <c r="S244" s="623" t="s">
        <v>391</v>
      </c>
      <c r="T244" s="676">
        <v>45900</v>
      </c>
      <c r="U244" s="721">
        <v>22162.210188988483</v>
      </c>
      <c r="V244" s="897"/>
      <c r="W244" s="521">
        <f>W192</f>
        <v>46114</v>
      </c>
      <c r="X244" s="894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891"/>
      <c r="J245" s="891"/>
      <c r="K245" s="261"/>
      <c r="L245" s="329">
        <v>10</v>
      </c>
      <c r="M245" s="422" t="s">
        <v>538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897"/>
      <c r="W245" s="572"/>
      <c r="X245" s="894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91"/>
      <c r="J246" s="891"/>
      <c r="K246" s="261"/>
      <c r="L246" s="329">
        <v>10</v>
      </c>
      <c r="M246" s="422" t="s">
        <v>538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6">
        <v>45838</v>
      </c>
      <c r="U246" s="683">
        <v>6788.7543328877318</v>
      </c>
      <c r="V246" s="897"/>
      <c r="W246" s="533">
        <v>45835</v>
      </c>
      <c r="X246" s="894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891"/>
      <c r="J247" s="891"/>
      <c r="K247" s="261"/>
      <c r="L247" s="329">
        <v>10</v>
      </c>
      <c r="M247" s="422" t="s">
        <v>538</v>
      </c>
      <c r="N247" s="330" t="s">
        <v>556</v>
      </c>
      <c r="O247" s="553"/>
      <c r="P247" s="559"/>
      <c r="Q247" s="332">
        <v>10400</v>
      </c>
      <c r="R247" s="588"/>
      <c r="S247" s="623" t="s">
        <v>557</v>
      </c>
      <c r="T247" s="676">
        <v>45869</v>
      </c>
      <c r="U247" s="683">
        <v>6743.2861039946856</v>
      </c>
      <c r="V247" s="897"/>
      <c r="W247" s="533">
        <v>45845</v>
      </c>
      <c r="X247" s="894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891"/>
      <c r="J248" s="891"/>
      <c r="K248" s="261"/>
      <c r="L248" s="329">
        <v>10</v>
      </c>
      <c r="M248" s="422" t="s">
        <v>538</v>
      </c>
      <c r="N248" s="330" t="s">
        <v>558</v>
      </c>
      <c r="O248" s="553"/>
      <c r="P248" s="559"/>
      <c r="Q248" s="332">
        <v>1550</v>
      </c>
      <c r="R248" s="588"/>
      <c r="S248" s="623" t="s">
        <v>559</v>
      </c>
      <c r="T248" s="676">
        <v>45869</v>
      </c>
      <c r="U248" s="683">
        <v>1023.3779770376696</v>
      </c>
      <c r="V248" s="897"/>
      <c r="W248" s="755">
        <v>45901</v>
      </c>
      <c r="X248" s="894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891"/>
      <c r="J249" s="891"/>
      <c r="K249" s="261"/>
      <c r="L249" s="329">
        <v>10</v>
      </c>
      <c r="M249" s="422" t="s">
        <v>538</v>
      </c>
      <c r="N249" s="330" t="s">
        <v>558</v>
      </c>
      <c r="O249" s="553"/>
      <c r="P249" s="559"/>
      <c r="Q249" s="332">
        <v>11850</v>
      </c>
      <c r="R249" s="588"/>
      <c r="S249" s="623" t="s">
        <v>560</v>
      </c>
      <c r="T249" s="676">
        <v>45900</v>
      </c>
      <c r="U249" s="721">
        <v>6908.749169580542</v>
      </c>
      <c r="V249" s="897"/>
      <c r="W249" s="533">
        <v>45890</v>
      </c>
      <c r="X249" s="894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891"/>
      <c r="J250" s="891"/>
      <c r="K250" s="261"/>
      <c r="L250" s="329">
        <v>10</v>
      </c>
      <c r="M250" s="422" t="s">
        <v>538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6">
        <v>45900</v>
      </c>
      <c r="U250" s="721">
        <v>874.52521133930907</v>
      </c>
      <c r="V250" s="897"/>
      <c r="W250" s="755">
        <v>45930</v>
      </c>
      <c r="X250" s="894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891"/>
      <c r="J251" s="891"/>
      <c r="K251" s="261"/>
      <c r="L251" s="329">
        <v>10</v>
      </c>
      <c r="M251" s="422" t="s">
        <v>538</v>
      </c>
      <c r="N251" s="330" t="s">
        <v>563</v>
      </c>
      <c r="O251" s="553"/>
      <c r="P251" s="458"/>
      <c r="Q251" s="332">
        <v>1500</v>
      </c>
      <c r="R251" s="588"/>
      <c r="S251" s="623" t="s">
        <v>564</v>
      </c>
      <c r="T251" s="676">
        <v>45900</v>
      </c>
      <c r="U251" s="721">
        <v>874.52521133930907</v>
      </c>
      <c r="V251" s="897"/>
      <c r="W251" s="755">
        <v>45930</v>
      </c>
      <c r="X251" s="894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891"/>
      <c r="J252" s="891"/>
      <c r="K252" s="261"/>
      <c r="L252" s="329">
        <v>10</v>
      </c>
      <c r="M252" s="422" t="s">
        <v>538</v>
      </c>
      <c r="N252" s="330" t="s">
        <v>565</v>
      </c>
      <c r="O252" s="553"/>
      <c r="P252" s="458"/>
      <c r="Q252" s="332">
        <v>250</v>
      </c>
      <c r="R252" s="588"/>
      <c r="S252" s="623" t="s">
        <v>566</v>
      </c>
      <c r="T252" s="676">
        <v>45838</v>
      </c>
      <c r="U252" s="683">
        <v>163.19120992518586</v>
      </c>
      <c r="V252" s="897"/>
      <c r="W252" s="533">
        <v>45876</v>
      </c>
      <c r="X252" s="894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91"/>
      <c r="J253" s="891"/>
      <c r="K253" s="261"/>
      <c r="L253" s="329">
        <v>10</v>
      </c>
      <c r="M253" s="422" t="s">
        <v>538</v>
      </c>
      <c r="N253" s="330" t="s">
        <v>565</v>
      </c>
      <c r="O253" s="553"/>
      <c r="P253" s="458"/>
      <c r="Q253" s="332">
        <v>2635</v>
      </c>
      <c r="R253" s="588"/>
      <c r="S253" s="623" t="s">
        <v>567</v>
      </c>
      <c r="T253" s="676">
        <v>45930</v>
      </c>
      <c r="U253" s="683">
        <v>0</v>
      </c>
      <c r="V253" s="897"/>
      <c r="W253" s="755">
        <v>45930</v>
      </c>
      <c r="X253" s="894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91"/>
      <c r="J254" s="891"/>
      <c r="K254" s="261"/>
      <c r="L254" s="329">
        <v>10</v>
      </c>
      <c r="M254" s="422" t="s">
        <v>538</v>
      </c>
      <c r="N254" s="330" t="s">
        <v>565</v>
      </c>
      <c r="O254" s="553"/>
      <c r="P254" s="458"/>
      <c r="Q254" s="332">
        <v>1550</v>
      </c>
      <c r="R254" s="588"/>
      <c r="S254" s="623" t="s">
        <v>568</v>
      </c>
      <c r="T254" s="676">
        <v>45930</v>
      </c>
      <c r="U254" s="683">
        <v>0</v>
      </c>
      <c r="V254" s="897"/>
      <c r="W254" s="755">
        <v>45930</v>
      </c>
      <c r="X254" s="894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91"/>
      <c r="J255" s="891"/>
      <c r="K255" s="261"/>
      <c r="L255" s="329">
        <v>10</v>
      </c>
      <c r="M255" s="422" t="s">
        <v>538</v>
      </c>
      <c r="N255" s="330" t="s">
        <v>565</v>
      </c>
      <c r="O255" s="553"/>
      <c r="P255" s="458"/>
      <c r="Q255" s="332">
        <v>1550</v>
      </c>
      <c r="R255" s="588"/>
      <c r="S255" s="623" t="s">
        <v>569</v>
      </c>
      <c r="T255" s="676">
        <v>45930</v>
      </c>
      <c r="U255" s="683">
        <v>0</v>
      </c>
      <c r="V255" s="897"/>
      <c r="W255" s="755">
        <v>45930</v>
      </c>
      <c r="X255" s="894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91"/>
      <c r="J256" s="891"/>
      <c r="K256" s="261"/>
      <c r="L256" s="329">
        <v>10</v>
      </c>
      <c r="M256" s="422" t="s">
        <v>538</v>
      </c>
      <c r="N256" s="330" t="s">
        <v>570</v>
      </c>
      <c r="O256" s="553"/>
      <c r="P256" s="458"/>
      <c r="Q256" s="332">
        <v>595</v>
      </c>
      <c r="R256" s="588"/>
      <c r="S256" s="623" t="s">
        <v>571</v>
      </c>
      <c r="T256" s="676">
        <v>45900</v>
      </c>
      <c r="U256" s="683">
        <v>346.89500049792593</v>
      </c>
      <c r="V256" s="897"/>
      <c r="W256" s="533">
        <v>45901</v>
      </c>
      <c r="X256" s="894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91"/>
      <c r="J257" s="891"/>
      <c r="K257" s="261"/>
      <c r="L257" s="329">
        <v>10</v>
      </c>
      <c r="M257" s="422" t="s">
        <v>538</v>
      </c>
      <c r="N257" s="330" t="s">
        <v>570</v>
      </c>
      <c r="O257" s="553"/>
      <c r="P257" s="458"/>
      <c r="Q257" s="332">
        <v>1250</v>
      </c>
      <c r="R257" s="588"/>
      <c r="S257" s="623" t="s">
        <v>572</v>
      </c>
      <c r="T257" s="676">
        <v>45900</v>
      </c>
      <c r="U257" s="683">
        <v>728.77100944942424</v>
      </c>
      <c r="V257" s="897"/>
      <c r="W257" s="533">
        <v>45901</v>
      </c>
      <c r="X257" s="894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91"/>
      <c r="J258" s="891"/>
      <c r="K258" s="261"/>
      <c r="L258" s="329">
        <v>10</v>
      </c>
      <c r="M258" s="422" t="s">
        <v>538</v>
      </c>
      <c r="N258" s="330" t="s">
        <v>573</v>
      </c>
      <c r="O258" s="553"/>
      <c r="P258" s="458"/>
      <c r="Q258" s="332">
        <v>1500</v>
      </c>
      <c r="R258" s="588"/>
      <c r="S258" s="623" t="s">
        <v>574</v>
      </c>
      <c r="T258" s="754">
        <v>45961</v>
      </c>
      <c r="U258" s="758">
        <v>865.42161616940507</v>
      </c>
      <c r="V258" s="897"/>
      <c r="W258" s="533">
        <v>45974</v>
      </c>
      <c r="X258" s="894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91"/>
      <c r="J259" s="891"/>
      <c r="K259" s="261"/>
      <c r="L259" s="329">
        <v>10</v>
      </c>
      <c r="M259" s="422" t="s">
        <v>538</v>
      </c>
      <c r="N259" s="330" t="s">
        <v>573</v>
      </c>
      <c r="O259" s="553"/>
      <c r="P259" s="458"/>
      <c r="Q259" s="332">
        <v>1500</v>
      </c>
      <c r="R259" s="588"/>
      <c r="S259" s="623" t="s">
        <v>575</v>
      </c>
      <c r="T259" s="754">
        <v>45961</v>
      </c>
      <c r="U259" s="758">
        <v>865.42161616940507</v>
      </c>
      <c r="V259" s="897"/>
      <c r="W259" s="533">
        <v>45974</v>
      </c>
      <c r="X259" s="894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91"/>
      <c r="J260" s="891"/>
      <c r="K260" s="261"/>
      <c r="L260" s="329">
        <v>10</v>
      </c>
      <c r="M260" s="422" t="s">
        <v>538</v>
      </c>
      <c r="N260" s="330" t="s">
        <v>573</v>
      </c>
      <c r="O260" s="553"/>
      <c r="P260" s="458"/>
      <c r="Q260" s="332">
        <v>2550</v>
      </c>
      <c r="R260" s="588"/>
      <c r="S260" s="623" t="s">
        <v>576</v>
      </c>
      <c r="T260" s="754">
        <v>45961</v>
      </c>
      <c r="U260" s="758">
        <v>1471.2167474879886</v>
      </c>
      <c r="V260" s="897"/>
      <c r="W260" s="533">
        <v>45974</v>
      </c>
      <c r="X260" s="894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91"/>
      <c r="J261" s="891"/>
      <c r="K261" s="261"/>
      <c r="L261" s="329">
        <v>10</v>
      </c>
      <c r="M261" s="422" t="s">
        <v>538</v>
      </c>
      <c r="N261" s="330" t="s">
        <v>577</v>
      </c>
      <c r="O261" s="553"/>
      <c r="P261" s="458"/>
      <c r="Q261" s="332">
        <v>1550</v>
      </c>
      <c r="R261" s="783"/>
      <c r="S261" s="623" t="s">
        <v>578</v>
      </c>
      <c r="T261" s="676">
        <v>45991</v>
      </c>
      <c r="U261" s="758">
        <v>1770.4386486937569</v>
      </c>
      <c r="V261" s="897"/>
      <c r="W261" s="533">
        <v>45995</v>
      </c>
      <c r="X261" s="894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91"/>
      <c r="J262" s="891"/>
      <c r="K262" s="261"/>
      <c r="L262" s="329">
        <v>10</v>
      </c>
      <c r="M262" s="422" t="s">
        <v>538</v>
      </c>
      <c r="N262" s="330" t="s">
        <v>579</v>
      </c>
      <c r="O262" s="553"/>
      <c r="P262" s="458"/>
      <c r="Q262" s="332">
        <v>1550</v>
      </c>
      <c r="R262" s="588"/>
      <c r="S262" s="623" t="s">
        <v>580</v>
      </c>
      <c r="T262" s="676">
        <v>45991</v>
      </c>
      <c r="U262" s="758">
        <v>1770.4386486937569</v>
      </c>
      <c r="V262" s="897"/>
      <c r="W262" s="533">
        <v>45995</v>
      </c>
      <c r="X262" s="894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91"/>
      <c r="J263" s="891"/>
      <c r="K263" s="261"/>
      <c r="L263" s="329">
        <v>10</v>
      </c>
      <c r="M263" s="422" t="s">
        <v>538</v>
      </c>
      <c r="N263" s="330" t="s">
        <v>581</v>
      </c>
      <c r="O263" s="553"/>
      <c r="P263" s="458"/>
      <c r="Q263" s="332">
        <v>2635</v>
      </c>
      <c r="R263" s="588"/>
      <c r="S263" s="623" t="s">
        <v>582</v>
      </c>
      <c r="T263" s="676">
        <v>45991</v>
      </c>
      <c r="U263" s="758">
        <v>988.11070277938666</v>
      </c>
      <c r="V263" s="897"/>
      <c r="W263" s="533">
        <v>45995</v>
      </c>
      <c r="X263" s="894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91"/>
      <c r="J264" s="891"/>
      <c r="K264" s="261"/>
      <c r="L264" s="329">
        <v>10</v>
      </c>
      <c r="M264" s="422" t="s">
        <v>538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6">
        <v>46022</v>
      </c>
      <c r="U264" s="758">
        <v>0</v>
      </c>
      <c r="V264" s="897"/>
      <c r="W264" s="755">
        <v>46031</v>
      </c>
      <c r="X264" s="894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91"/>
      <c r="J265" s="891"/>
      <c r="K265" s="261"/>
      <c r="L265" s="329">
        <v>10</v>
      </c>
      <c r="M265" s="422" t="s">
        <v>538</v>
      </c>
      <c r="N265" s="330" t="s">
        <v>585</v>
      </c>
      <c r="O265" s="553"/>
      <c r="P265" s="458"/>
      <c r="Q265" s="332">
        <v>1550</v>
      </c>
      <c r="R265" s="588"/>
      <c r="S265" s="623" t="s">
        <v>586</v>
      </c>
      <c r="T265" s="676">
        <v>46022</v>
      </c>
      <c r="U265" s="758">
        <v>0</v>
      </c>
      <c r="V265" s="897"/>
      <c r="W265" s="755">
        <v>46031</v>
      </c>
      <c r="X265" s="894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91"/>
      <c r="J266" s="891"/>
      <c r="K266" s="261"/>
      <c r="L266" s="329">
        <v>10</v>
      </c>
      <c r="M266" s="422" t="s">
        <v>538</v>
      </c>
      <c r="N266" s="330" t="s">
        <v>587</v>
      </c>
      <c r="O266" s="553"/>
      <c r="P266" s="458"/>
      <c r="Q266" s="332">
        <v>2635</v>
      </c>
      <c r="R266" s="588"/>
      <c r="S266" s="623" t="s">
        <v>588</v>
      </c>
      <c r="T266" s="676">
        <v>46022</v>
      </c>
      <c r="U266" s="758">
        <v>0</v>
      </c>
      <c r="V266" s="897"/>
      <c r="W266" s="755">
        <v>46031</v>
      </c>
      <c r="X266" s="894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91"/>
      <c r="J267" s="891"/>
      <c r="K267" s="261"/>
      <c r="L267" s="329">
        <v>10</v>
      </c>
      <c r="M267" s="422" t="s">
        <v>538</v>
      </c>
      <c r="N267" s="330" t="s">
        <v>589</v>
      </c>
      <c r="O267" s="553"/>
      <c r="P267" s="458"/>
      <c r="Q267" s="332">
        <v>1400</v>
      </c>
      <c r="R267" s="588"/>
      <c r="S267" s="623" t="s">
        <v>590</v>
      </c>
      <c r="T267" s="676">
        <v>46053</v>
      </c>
      <c r="U267" s="758">
        <v>0</v>
      </c>
      <c r="V267" s="897"/>
      <c r="W267" s="533">
        <v>46058</v>
      </c>
      <c r="X267" s="894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91"/>
      <c r="J268" s="891"/>
      <c r="K268" s="261"/>
      <c r="L268" s="329">
        <v>10</v>
      </c>
      <c r="M268" s="422" t="s">
        <v>538</v>
      </c>
      <c r="N268" s="330" t="s">
        <v>589</v>
      </c>
      <c r="O268" s="553"/>
      <c r="P268" s="458"/>
      <c r="Q268" s="332">
        <v>1400</v>
      </c>
      <c r="R268" s="588"/>
      <c r="S268" s="623" t="s">
        <v>591</v>
      </c>
      <c r="T268" s="676">
        <v>46053</v>
      </c>
      <c r="U268" s="758">
        <v>0</v>
      </c>
      <c r="V268" s="897"/>
      <c r="W268" s="533">
        <v>46058</v>
      </c>
      <c r="X268" s="894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91"/>
      <c r="J269" s="891"/>
      <c r="K269" s="261"/>
      <c r="L269" s="329">
        <v>10</v>
      </c>
      <c r="M269" s="422" t="s">
        <v>538</v>
      </c>
      <c r="N269" s="330" t="s">
        <v>589</v>
      </c>
      <c r="O269" s="553"/>
      <c r="P269" s="458"/>
      <c r="Q269" s="332">
        <v>2380</v>
      </c>
      <c r="R269" s="588"/>
      <c r="S269" s="623" t="s">
        <v>592</v>
      </c>
      <c r="T269" s="676">
        <v>46053</v>
      </c>
      <c r="U269" s="758">
        <v>0</v>
      </c>
      <c r="V269" s="897"/>
      <c r="W269" s="533">
        <v>46058</v>
      </c>
      <c r="X269" s="894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891"/>
      <c r="J270" s="891"/>
      <c r="K270" s="261"/>
      <c r="L270" s="329">
        <v>10</v>
      </c>
      <c r="M270" s="422" t="s">
        <v>538</v>
      </c>
      <c r="N270" s="330"/>
      <c r="O270" s="553"/>
      <c r="P270" s="458"/>
      <c r="Q270" s="332"/>
      <c r="R270" s="588"/>
      <c r="S270" s="623"/>
      <c r="T270" s="754"/>
      <c r="U270" s="507"/>
      <c r="V270" s="897"/>
      <c r="W270" s="572"/>
      <c r="X270" s="894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891"/>
      <c r="J271" s="891"/>
      <c r="K271" s="261"/>
      <c r="L271" s="329">
        <v>10</v>
      </c>
      <c r="M271" s="422" t="s">
        <v>538</v>
      </c>
      <c r="N271" s="330" t="s">
        <v>593</v>
      </c>
      <c r="O271" s="553"/>
      <c r="P271" s="458"/>
      <c r="Q271" s="332">
        <v>652.16999999999996</v>
      </c>
      <c r="R271" s="588"/>
      <c r="S271" s="623" t="s">
        <v>594</v>
      </c>
      <c r="T271" s="676">
        <v>45900</v>
      </c>
      <c r="U271" s="683">
        <v>380.22607138610476</v>
      </c>
      <c r="V271" s="897"/>
      <c r="W271" s="533">
        <v>45932</v>
      </c>
      <c r="X271" s="894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91"/>
      <c r="J272" s="891"/>
      <c r="K272" s="261"/>
      <c r="L272" s="329">
        <v>10</v>
      </c>
      <c r="M272" s="422" t="s">
        <v>538</v>
      </c>
      <c r="N272" s="330" t="s">
        <v>595</v>
      </c>
      <c r="O272" s="553"/>
      <c r="P272" s="458"/>
      <c r="Q272" s="332">
        <v>2173.92</v>
      </c>
      <c r="R272" s="588"/>
      <c r="S272" s="623" t="s">
        <v>596</v>
      </c>
      <c r="T272" s="676">
        <v>45930</v>
      </c>
      <c r="U272" s="758">
        <v>1258.8741122956246</v>
      </c>
      <c r="V272" s="897"/>
      <c r="W272" s="533">
        <v>45939</v>
      </c>
      <c r="X272" s="894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91"/>
      <c r="J273" s="891"/>
      <c r="K273" s="261"/>
      <c r="L273" s="329">
        <v>10</v>
      </c>
      <c r="M273" s="422" t="s">
        <v>538</v>
      </c>
      <c r="N273" s="330" t="s">
        <v>597</v>
      </c>
      <c r="O273" s="553"/>
      <c r="P273" s="458"/>
      <c r="Q273" s="332">
        <f>2434.8+652.17</f>
        <v>3086.9700000000003</v>
      </c>
      <c r="R273" s="588"/>
      <c r="S273" s="623" t="s">
        <v>598</v>
      </c>
      <c r="T273" s="754">
        <v>45961</v>
      </c>
      <c r="U273" s="758">
        <v>1781.0203776443125</v>
      </c>
      <c r="V273" s="897"/>
      <c r="W273" s="533">
        <v>45967</v>
      </c>
      <c r="X273" s="894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891"/>
      <c r="J274" s="891"/>
      <c r="K274" s="261"/>
      <c r="L274" s="329">
        <v>10</v>
      </c>
      <c r="M274" s="422" t="s">
        <v>538</v>
      </c>
      <c r="N274" s="330" t="s">
        <v>599</v>
      </c>
      <c r="O274" s="553"/>
      <c r="P274" s="458"/>
      <c r="Q274" s="332">
        <v>2434.8000000000002</v>
      </c>
      <c r="R274" s="588"/>
      <c r="S274" s="623" t="s">
        <v>600</v>
      </c>
      <c r="T274" s="676">
        <v>45991</v>
      </c>
      <c r="U274" s="758">
        <v>1343.363433444877</v>
      </c>
      <c r="V274" s="897"/>
      <c r="W274" s="533">
        <v>45995</v>
      </c>
      <c r="X274" s="894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91"/>
      <c r="J275" s="891"/>
      <c r="K275" s="261"/>
      <c r="L275" s="329">
        <v>10</v>
      </c>
      <c r="M275" s="422" t="s">
        <v>538</v>
      </c>
      <c r="N275" s="330" t="s">
        <v>601</v>
      </c>
      <c r="O275" s="553"/>
      <c r="P275" s="458"/>
      <c r="Q275" s="332">
        <v>1217.4000000000001</v>
      </c>
      <c r="R275" s="588"/>
      <c r="S275" s="623" t="s">
        <v>602</v>
      </c>
      <c r="T275" s="676">
        <v>46022</v>
      </c>
      <c r="U275" s="758">
        <v>608.42503176814455</v>
      </c>
      <c r="V275" s="897"/>
      <c r="W275" s="755">
        <v>46029</v>
      </c>
      <c r="X275" s="894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891"/>
      <c r="J276" s="891"/>
      <c r="K276" s="261"/>
      <c r="L276" s="329">
        <v>10</v>
      </c>
      <c r="M276" s="422" t="s">
        <v>538</v>
      </c>
      <c r="N276" s="330" t="s">
        <v>601</v>
      </c>
      <c r="O276" s="553"/>
      <c r="P276" s="458"/>
      <c r="Q276" s="332">
        <v>608.70000000000005</v>
      </c>
      <c r="R276" s="588"/>
      <c r="S276" s="623" t="s">
        <v>603</v>
      </c>
      <c r="T276" s="676">
        <v>46022</v>
      </c>
      <c r="U276" s="758">
        <v>304.21251588407227</v>
      </c>
      <c r="V276" s="897"/>
      <c r="W276" s="755">
        <v>46029</v>
      </c>
      <c r="X276" s="894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91"/>
      <c r="J277" s="891"/>
      <c r="K277" s="261"/>
      <c r="L277" s="329">
        <v>10</v>
      </c>
      <c r="M277" s="422" t="s">
        <v>538</v>
      </c>
      <c r="N277" s="837" t="s">
        <v>604</v>
      </c>
      <c r="O277" s="553"/>
      <c r="P277" s="458"/>
      <c r="Q277" s="332">
        <v>1826.1</v>
      </c>
      <c r="R277" s="588"/>
      <c r="S277" s="623" t="s">
        <v>605</v>
      </c>
      <c r="T277" s="754">
        <v>46053</v>
      </c>
      <c r="U277" s="507">
        <v>0</v>
      </c>
      <c r="V277" s="897"/>
      <c r="W277" s="533">
        <v>46058</v>
      </c>
      <c r="X277" s="894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91"/>
      <c r="J278" s="891"/>
      <c r="K278" s="261"/>
      <c r="L278" s="329">
        <v>10</v>
      </c>
      <c r="M278" s="422" t="s">
        <v>538</v>
      </c>
      <c r="N278" s="330" t="s">
        <v>604</v>
      </c>
      <c r="O278" s="553"/>
      <c r="P278" s="458"/>
      <c r="Q278" s="332">
        <v>913.05</v>
      </c>
      <c r="R278" s="588"/>
      <c r="S278" s="623" t="s">
        <v>606</v>
      </c>
      <c r="T278" s="754">
        <v>46053</v>
      </c>
      <c r="U278" s="507">
        <v>0</v>
      </c>
      <c r="V278" s="897"/>
      <c r="W278" s="533">
        <v>46058</v>
      </c>
      <c r="X278" s="894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91"/>
      <c r="J279" s="891"/>
      <c r="K279" s="261"/>
      <c r="L279" s="329">
        <v>10</v>
      </c>
      <c r="M279" s="422" t="s">
        <v>538</v>
      </c>
      <c r="N279" s="330" t="s">
        <v>607</v>
      </c>
      <c r="O279" s="553"/>
      <c r="P279" s="458"/>
      <c r="Q279" s="332">
        <v>2434.7800000000002</v>
      </c>
      <c r="R279" s="588"/>
      <c r="S279" s="623" t="s">
        <v>608</v>
      </c>
      <c r="T279" s="676">
        <v>46081</v>
      </c>
      <c r="U279" s="507">
        <v>0</v>
      </c>
      <c r="V279" s="897"/>
      <c r="W279" s="572">
        <v>46088</v>
      </c>
      <c r="X279" s="894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891"/>
      <c r="J280" s="891"/>
      <c r="K280" s="261"/>
      <c r="L280" s="329">
        <v>10</v>
      </c>
      <c r="M280" s="422" t="s">
        <v>538</v>
      </c>
      <c r="N280" s="330" t="s">
        <v>607</v>
      </c>
      <c r="O280" s="553"/>
      <c r="P280" s="458"/>
      <c r="Q280" s="332">
        <v>1217.3900000000001</v>
      </c>
      <c r="R280" s="588"/>
      <c r="S280" s="623" t="s">
        <v>609</v>
      </c>
      <c r="T280" s="676">
        <v>46081</v>
      </c>
      <c r="U280" s="507">
        <v>0</v>
      </c>
      <c r="V280" s="897"/>
      <c r="W280" s="572">
        <v>46088</v>
      </c>
      <c r="X280" s="894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891"/>
      <c r="J281" s="891"/>
      <c r="K281" s="261"/>
      <c r="L281" s="329">
        <v>10</v>
      </c>
      <c r="M281" s="422" t="s">
        <v>538</v>
      </c>
      <c r="N281" s="330"/>
      <c r="O281" s="553"/>
      <c r="P281" s="458"/>
      <c r="Q281" s="332"/>
      <c r="R281" s="588"/>
      <c r="S281" s="623"/>
      <c r="T281" s="521"/>
      <c r="U281" s="507">
        <f t="shared" ref="U281:U282" si="27">(Q281/$X$228*$J$228)</f>
        <v>0</v>
      </c>
      <c r="V281" s="897"/>
      <c r="W281" s="572"/>
      <c r="X281" s="894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892"/>
      <c r="J282" s="892"/>
      <c r="K282" s="264"/>
      <c r="L282" s="329">
        <v>10</v>
      </c>
      <c r="M282" s="423" t="s">
        <v>538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898"/>
      <c r="W282" s="573"/>
      <c r="X282" s="895"/>
      <c r="Y282" s="472"/>
    </row>
    <row r="283" spans="1:25" ht="14.4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610</v>
      </c>
      <c r="D284" s="340" t="s">
        <v>611</v>
      </c>
      <c r="E284" s="272"/>
      <c r="F284" s="424"/>
      <c r="G284" s="273">
        <v>300000</v>
      </c>
      <c r="H284" s="567">
        <v>45991</v>
      </c>
      <c r="I284" s="860">
        <f>SUM(G284:G297)</f>
        <v>420000</v>
      </c>
      <c r="J284" s="860">
        <f>F394</f>
        <v>494117.64705882355</v>
      </c>
      <c r="K284" s="274"/>
      <c r="L284" s="270">
        <v>11</v>
      </c>
      <c r="M284" s="340" t="s">
        <v>612</v>
      </c>
      <c r="N284" s="340" t="s">
        <v>611</v>
      </c>
      <c r="O284" s="272"/>
      <c r="P284" s="424"/>
      <c r="Q284" s="273">
        <v>0</v>
      </c>
      <c r="R284" s="581"/>
      <c r="S284" s="616"/>
      <c r="T284" s="516">
        <v>46081</v>
      </c>
      <c r="U284" s="501">
        <f>(Q284/$X$284*$J$284)-4171.27+2311.1+2367.25</f>
        <v>507.07999999999947</v>
      </c>
      <c r="V284" s="863">
        <f>J284-SUM(U284:U297)</f>
        <v>151363.54601522174</v>
      </c>
      <c r="W284" s="567">
        <v>46112</v>
      </c>
      <c r="X284" s="850">
        <f>SUM(Q284:Q297)</f>
        <v>426656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61"/>
      <c r="J285" s="861"/>
      <c r="K285" s="277"/>
      <c r="L285" s="300">
        <v>11</v>
      </c>
      <c r="M285" s="378" t="s">
        <v>612</v>
      </c>
      <c r="N285" s="832" t="s">
        <v>613</v>
      </c>
      <c r="O285" s="438"/>
      <c r="P285" s="439"/>
      <c r="Q285" s="764">
        <v>35600</v>
      </c>
      <c r="R285" s="581" t="s">
        <v>614</v>
      </c>
      <c r="S285" s="616" t="s">
        <v>615</v>
      </c>
      <c r="T285" s="673">
        <v>46081</v>
      </c>
      <c r="U285" s="501">
        <f t="shared" ref="U285" si="28">(Q285/$X$284*$J$284)-4171.27+2311.1+2367.25</f>
        <v>41736.051900768107</v>
      </c>
      <c r="V285" s="864"/>
      <c r="W285" s="839">
        <v>46079</v>
      </c>
      <c r="X285" s="851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61"/>
      <c r="J286" s="861"/>
      <c r="K286" s="277"/>
      <c r="L286" s="300">
        <v>11</v>
      </c>
      <c r="M286" s="378" t="s">
        <v>612</v>
      </c>
      <c r="N286" s="763" t="s">
        <v>616</v>
      </c>
      <c r="O286" s="438"/>
      <c r="P286" s="439"/>
      <c r="Q286" s="764">
        <v>28400</v>
      </c>
      <c r="R286" s="581" t="s">
        <v>617</v>
      </c>
      <c r="S286" s="616" t="s">
        <v>618</v>
      </c>
      <c r="T286" s="780">
        <v>45991</v>
      </c>
      <c r="U286" s="806">
        <v>21812.49766334868</v>
      </c>
      <c r="V286" s="864"/>
      <c r="W286" s="820">
        <v>45995</v>
      </c>
      <c r="X286" s="851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61"/>
      <c r="J287" s="861"/>
      <c r="K287" s="277"/>
      <c r="L287" s="300">
        <v>11</v>
      </c>
      <c r="M287" s="378" t="s">
        <v>612</v>
      </c>
      <c r="N287" s="763"/>
      <c r="O287" s="438"/>
      <c r="P287" s="439"/>
      <c r="Q287" s="764"/>
      <c r="R287" s="581"/>
      <c r="S287" s="616"/>
      <c r="T287" s="516"/>
      <c r="U287" s="501"/>
      <c r="V287" s="864"/>
      <c r="W287" s="567"/>
      <c r="X287" s="851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61"/>
      <c r="J288" s="861"/>
      <c r="K288" s="277"/>
      <c r="L288" s="300">
        <v>11</v>
      </c>
      <c r="M288" s="378" t="s">
        <v>612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64"/>
      <c r="W288" s="839">
        <v>46053</v>
      </c>
      <c r="X288" s="851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61"/>
      <c r="J289" s="861"/>
      <c r="K289" s="277"/>
      <c r="L289" s="300">
        <v>11</v>
      </c>
      <c r="M289" s="378" t="s">
        <v>612</v>
      </c>
      <c r="N289" s="763"/>
      <c r="O289" s="438"/>
      <c r="P289" s="439"/>
      <c r="Q289" s="764"/>
      <c r="R289" s="581"/>
      <c r="S289" s="616"/>
      <c r="T289" s="516"/>
      <c r="U289" s="501"/>
      <c r="V289" s="864"/>
      <c r="W289" s="567"/>
      <c r="X289" s="851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61"/>
      <c r="J290" s="861"/>
      <c r="K290" s="277"/>
      <c r="L290" s="300">
        <v>11</v>
      </c>
      <c r="M290" s="378" t="s">
        <v>612</v>
      </c>
      <c r="N290" s="763"/>
      <c r="O290" s="438"/>
      <c r="P290" s="439"/>
      <c r="Q290" s="764"/>
      <c r="R290" s="581"/>
      <c r="S290" s="616"/>
      <c r="T290" s="516"/>
      <c r="U290" s="501"/>
      <c r="V290" s="864"/>
      <c r="W290" s="567"/>
      <c r="X290" s="851"/>
      <c r="Y290" s="472"/>
    </row>
    <row r="291" spans="1:25" ht="15" customHeight="1">
      <c r="B291" s="300">
        <v>11</v>
      </c>
      <c r="C291" s="302"/>
      <c r="D291" s="302" t="s">
        <v>619</v>
      </c>
      <c r="E291" s="303"/>
      <c r="F291" s="446"/>
      <c r="G291" s="304">
        <v>40000</v>
      </c>
      <c r="H291" s="524">
        <v>45841</v>
      </c>
      <c r="I291" s="861"/>
      <c r="J291" s="861"/>
      <c r="K291" s="277"/>
      <c r="L291" s="300">
        <v>11</v>
      </c>
      <c r="M291" s="378" t="s">
        <v>612</v>
      </c>
      <c r="N291" s="302" t="s">
        <v>619</v>
      </c>
      <c r="O291" s="303"/>
      <c r="P291" s="446"/>
      <c r="Q291" s="304">
        <v>10400</v>
      </c>
      <c r="R291" s="574" t="s">
        <v>620</v>
      </c>
      <c r="S291" s="609" t="s">
        <v>621</v>
      </c>
      <c r="T291" s="677">
        <v>45838</v>
      </c>
      <c r="U291" s="679">
        <v>12174.422007609013</v>
      </c>
      <c r="V291" s="864"/>
      <c r="W291" s="524">
        <v>45841</v>
      </c>
      <c r="X291" s="851"/>
      <c r="Y291" s="472"/>
    </row>
    <row r="292" spans="1:25" ht="15" customHeight="1">
      <c r="B292" s="300">
        <v>11</v>
      </c>
      <c r="C292" s="302"/>
      <c r="D292" s="302" t="s">
        <v>622</v>
      </c>
      <c r="E292" s="303"/>
      <c r="F292" s="446"/>
      <c r="G292" s="304">
        <v>80000</v>
      </c>
      <c r="H292" s="524">
        <v>45841</v>
      </c>
      <c r="I292" s="861"/>
      <c r="J292" s="861"/>
      <c r="K292" s="277"/>
      <c r="L292" s="300">
        <v>11</v>
      </c>
      <c r="M292" s="378" t="s">
        <v>612</v>
      </c>
      <c r="N292" s="302" t="s">
        <v>622</v>
      </c>
      <c r="O292" s="303"/>
      <c r="P292" s="446"/>
      <c r="Q292" s="304">
        <v>79700</v>
      </c>
      <c r="R292" s="574" t="s">
        <v>623</v>
      </c>
      <c r="S292" s="609" t="s">
        <v>624</v>
      </c>
      <c r="T292" s="674">
        <v>45961</v>
      </c>
      <c r="U292" s="757">
        <v>58776.043794679215</v>
      </c>
      <c r="V292" s="864"/>
      <c r="W292" s="756">
        <v>46031</v>
      </c>
      <c r="X292" s="851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61"/>
      <c r="J293" s="861"/>
      <c r="K293" s="277"/>
      <c r="L293" s="300">
        <v>11</v>
      </c>
      <c r="M293" s="378" t="s">
        <v>612</v>
      </c>
      <c r="N293" s="376" t="s">
        <v>625</v>
      </c>
      <c r="O293" s="395"/>
      <c r="P293" s="431"/>
      <c r="Q293" s="375">
        <v>252556</v>
      </c>
      <c r="R293" s="628" t="s">
        <v>626</v>
      </c>
      <c r="S293" s="610" t="s">
        <v>627</v>
      </c>
      <c r="T293" s="674">
        <v>45869</v>
      </c>
      <c r="U293" s="679">
        <v>184585.6619127203</v>
      </c>
      <c r="V293" s="864"/>
      <c r="W293" s="561">
        <v>46112</v>
      </c>
      <c r="X293" s="851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61"/>
      <c r="J294" s="861"/>
      <c r="K294" s="277"/>
      <c r="L294" s="300">
        <v>11</v>
      </c>
      <c r="M294" s="378" t="s">
        <v>612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64"/>
      <c r="W294" s="561"/>
      <c r="X294" s="851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61"/>
      <c r="J295" s="861"/>
      <c r="K295" s="277"/>
      <c r="L295" s="300">
        <v>11</v>
      </c>
      <c r="M295" s="378" t="s">
        <v>612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64"/>
      <c r="W295" s="561"/>
      <c r="X295" s="851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61"/>
      <c r="J296" s="861"/>
      <c r="K296" s="277"/>
      <c r="L296" s="300">
        <v>11</v>
      </c>
      <c r="M296" s="378" t="s">
        <v>612</v>
      </c>
      <c r="N296" s="376" t="s">
        <v>628</v>
      </c>
      <c r="O296" s="395"/>
      <c r="P296" s="431"/>
      <c r="Q296" s="375">
        <v>10000</v>
      </c>
      <c r="R296" s="628"/>
      <c r="S296" s="610" t="s">
        <v>629</v>
      </c>
      <c r="T296" s="670">
        <v>46081</v>
      </c>
      <c r="U296" s="493">
        <f>(Q296/$X$284*$J$284)</f>
        <v>11581.171882238234</v>
      </c>
      <c r="V296" s="864"/>
      <c r="W296" s="561">
        <v>46112</v>
      </c>
      <c r="X296" s="851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62"/>
      <c r="J297" s="862"/>
      <c r="K297" s="278"/>
      <c r="L297" s="305">
        <v>11</v>
      </c>
      <c r="M297" s="407" t="s">
        <v>612</v>
      </c>
      <c r="N297" s="306" t="s">
        <v>630</v>
      </c>
      <c r="O297" s="542"/>
      <c r="P297" s="447"/>
      <c r="Q297" s="319">
        <v>10000</v>
      </c>
      <c r="R297" s="576"/>
      <c r="S297" s="611" t="s">
        <v>629</v>
      </c>
      <c r="T297" s="707">
        <v>46081</v>
      </c>
      <c r="U297" s="495">
        <f>(Q297/$X$284*$J$284)</f>
        <v>11581.171882238234</v>
      </c>
      <c r="V297" s="865"/>
      <c r="W297" s="562">
        <v>46112</v>
      </c>
      <c r="X297" s="852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631</v>
      </c>
      <c r="D299" s="259"/>
      <c r="E299" s="260"/>
      <c r="F299" s="457"/>
      <c r="G299" s="327"/>
      <c r="H299" s="570"/>
      <c r="I299" s="890">
        <f>SUM(G299:G300)</f>
        <v>205449.89057158865</v>
      </c>
      <c r="J299" s="890">
        <v>0</v>
      </c>
      <c r="K299" s="462"/>
      <c r="L299" s="258">
        <v>12</v>
      </c>
      <c r="M299" s="259" t="s">
        <v>632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893">
        <f>SUM(Q299:Q300)</f>
        <v>0</v>
      </c>
      <c r="Y299" s="472"/>
    </row>
    <row r="300" spans="1:25" ht="15" customHeight="1" thickBot="1">
      <c r="B300" s="262">
        <v>12</v>
      </c>
      <c r="C300" s="333" t="s">
        <v>631</v>
      </c>
      <c r="D300" s="333" t="s">
        <v>633</v>
      </c>
      <c r="E300" s="334"/>
      <c r="F300" s="459"/>
      <c r="G300" s="263">
        <v>205449.89057158865</v>
      </c>
      <c r="H300" s="573">
        <f>H284</f>
        <v>45991</v>
      </c>
      <c r="I300" s="892"/>
      <c r="J300" s="892"/>
      <c r="K300" s="463"/>
      <c r="L300" s="262">
        <v>12</v>
      </c>
      <c r="M300" s="333" t="s">
        <v>632</v>
      </c>
      <c r="N300" s="333" t="s">
        <v>633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895"/>
      <c r="Y300" s="472"/>
    </row>
    <row r="301" spans="1:25" ht="14.4" thickBot="1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634</v>
      </c>
      <c r="D302" s="340" t="s">
        <v>635</v>
      </c>
      <c r="E302" s="272"/>
      <c r="F302" s="424"/>
      <c r="G302" s="273">
        <v>950000</v>
      </c>
      <c r="H302" s="567">
        <v>46022</v>
      </c>
      <c r="I302" s="860">
        <f>SUM(G302:G317)</f>
        <v>950000</v>
      </c>
      <c r="J302" s="860">
        <f>F393</f>
        <v>1079545.4545454546</v>
      </c>
      <c r="K302" s="274"/>
      <c r="L302" s="270">
        <v>13</v>
      </c>
      <c r="M302" s="340" t="s">
        <v>636</v>
      </c>
      <c r="N302" s="340" t="s">
        <v>637</v>
      </c>
      <c r="O302" s="539"/>
      <c r="P302" s="424"/>
      <c r="Q302" s="273">
        <f>985688/12</f>
        <v>82140.666666666672</v>
      </c>
      <c r="R302" s="841"/>
      <c r="S302" s="616" t="s">
        <v>638</v>
      </c>
      <c r="T302" s="673">
        <v>46081</v>
      </c>
      <c r="U302" s="501">
        <v>86896.76</v>
      </c>
      <c r="V302" s="863">
        <f>J302-SUM(U302:U324)</f>
        <v>-3.1437885481864214E-3</v>
      </c>
      <c r="W302" s="567">
        <v>46112</v>
      </c>
      <c r="X302" s="850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61"/>
      <c r="J303" s="861"/>
      <c r="K303" s="277"/>
      <c r="L303" s="275">
        <v>13</v>
      </c>
      <c r="M303" s="763" t="s">
        <v>636</v>
      </c>
      <c r="N303" s="763" t="s">
        <v>637</v>
      </c>
      <c r="O303" s="547"/>
      <c r="P303" s="439"/>
      <c r="Q303" s="764">
        <v>82140.666666666672</v>
      </c>
      <c r="R303" s="841"/>
      <c r="S303" s="616" t="s">
        <v>638</v>
      </c>
      <c r="T303" s="673">
        <v>46081</v>
      </c>
      <c r="U303" s="501">
        <v>86896.76</v>
      </c>
      <c r="V303" s="864"/>
      <c r="W303" s="567">
        <v>46142</v>
      </c>
      <c r="X303" s="851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61"/>
      <c r="J304" s="861"/>
      <c r="K304" s="277"/>
      <c r="L304" s="275">
        <v>13</v>
      </c>
      <c r="M304" s="763" t="s">
        <v>636</v>
      </c>
      <c r="N304" s="763" t="s">
        <v>637</v>
      </c>
      <c r="O304" s="547"/>
      <c r="P304" s="439"/>
      <c r="Q304" s="764">
        <v>82140.666666666672</v>
      </c>
      <c r="R304" s="841"/>
      <c r="S304" s="616" t="s">
        <v>638</v>
      </c>
      <c r="T304" s="673">
        <v>46081</v>
      </c>
      <c r="U304" s="501">
        <v>86896.76</v>
      </c>
      <c r="V304" s="864"/>
      <c r="W304" s="567">
        <v>46173</v>
      </c>
      <c r="X304" s="851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61"/>
      <c r="J305" s="861"/>
      <c r="K305" s="277"/>
      <c r="L305" s="275">
        <v>13</v>
      </c>
      <c r="M305" s="763" t="s">
        <v>636</v>
      </c>
      <c r="N305" s="763" t="s">
        <v>637</v>
      </c>
      <c r="O305" s="547"/>
      <c r="P305" s="439"/>
      <c r="Q305" s="764">
        <v>82140.666666666672</v>
      </c>
      <c r="R305" s="841"/>
      <c r="S305" s="616" t="s">
        <v>638</v>
      </c>
      <c r="T305" s="673">
        <v>46081</v>
      </c>
      <c r="U305" s="501">
        <v>86896.76</v>
      </c>
      <c r="V305" s="864"/>
      <c r="W305" s="567">
        <v>46203</v>
      </c>
      <c r="X305" s="851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61"/>
      <c r="J306" s="861"/>
      <c r="K306" s="277"/>
      <c r="L306" s="275">
        <v>13</v>
      </c>
      <c r="M306" s="763" t="s">
        <v>636</v>
      </c>
      <c r="N306" s="763" t="s">
        <v>637</v>
      </c>
      <c r="O306" s="547"/>
      <c r="P306" s="439"/>
      <c r="Q306" s="764">
        <v>82140.666666666672</v>
      </c>
      <c r="R306" s="841"/>
      <c r="S306" s="616" t="s">
        <v>638</v>
      </c>
      <c r="T306" s="673">
        <v>46081</v>
      </c>
      <c r="U306" s="501">
        <v>86896.76</v>
      </c>
      <c r="V306" s="864"/>
      <c r="W306" s="567">
        <v>46234</v>
      </c>
      <c r="X306" s="851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61"/>
      <c r="J307" s="861"/>
      <c r="K307" s="277"/>
      <c r="L307" s="275">
        <v>13</v>
      </c>
      <c r="M307" s="763" t="s">
        <v>636</v>
      </c>
      <c r="N307" s="763" t="s">
        <v>637</v>
      </c>
      <c r="O307" s="547"/>
      <c r="P307" s="439"/>
      <c r="Q307" s="764">
        <v>82140.666666666672</v>
      </c>
      <c r="R307" s="841"/>
      <c r="S307" s="616" t="s">
        <v>638</v>
      </c>
      <c r="T307" s="673">
        <v>46081</v>
      </c>
      <c r="U307" s="501">
        <v>86896.76</v>
      </c>
      <c r="V307" s="864"/>
      <c r="W307" s="567">
        <v>46265</v>
      </c>
      <c r="X307" s="851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61"/>
      <c r="J308" s="861"/>
      <c r="K308" s="277"/>
      <c r="L308" s="275">
        <v>13</v>
      </c>
      <c r="M308" s="763" t="s">
        <v>636</v>
      </c>
      <c r="N308" s="763" t="s">
        <v>637</v>
      </c>
      <c r="O308" s="547"/>
      <c r="P308" s="439"/>
      <c r="Q308" s="764">
        <v>82140.666666666672</v>
      </c>
      <c r="R308" s="841"/>
      <c r="S308" s="616" t="s">
        <v>638</v>
      </c>
      <c r="T308" s="673">
        <v>46081</v>
      </c>
      <c r="U308" s="501">
        <v>86896.76</v>
      </c>
      <c r="V308" s="864"/>
      <c r="W308" s="567">
        <v>46295</v>
      </c>
      <c r="X308" s="851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61"/>
      <c r="J309" s="861"/>
      <c r="K309" s="277"/>
      <c r="L309" s="275">
        <v>13</v>
      </c>
      <c r="M309" s="763" t="s">
        <v>636</v>
      </c>
      <c r="N309" s="763" t="s">
        <v>637</v>
      </c>
      <c r="O309" s="547"/>
      <c r="P309" s="439"/>
      <c r="Q309" s="764">
        <v>82140.666666666672</v>
      </c>
      <c r="R309" s="841"/>
      <c r="S309" s="616" t="s">
        <v>638</v>
      </c>
      <c r="T309" s="673">
        <v>46081</v>
      </c>
      <c r="U309" s="501">
        <v>86896.76</v>
      </c>
      <c r="V309" s="864"/>
      <c r="W309" s="567">
        <v>46326</v>
      </c>
      <c r="X309" s="851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61"/>
      <c r="J310" s="861"/>
      <c r="K310" s="277"/>
      <c r="L310" s="275">
        <v>13</v>
      </c>
      <c r="M310" s="763" t="s">
        <v>636</v>
      </c>
      <c r="N310" s="763" t="s">
        <v>637</v>
      </c>
      <c r="O310" s="547"/>
      <c r="P310" s="439"/>
      <c r="Q310" s="764">
        <v>82140.666666666672</v>
      </c>
      <c r="R310" s="841"/>
      <c r="S310" s="616" t="s">
        <v>638</v>
      </c>
      <c r="T310" s="673">
        <v>46081</v>
      </c>
      <c r="U310" s="501">
        <v>86896.76</v>
      </c>
      <c r="V310" s="864"/>
      <c r="W310" s="567">
        <v>46356</v>
      </c>
      <c r="X310" s="851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61"/>
      <c r="J311" s="861"/>
      <c r="K311" s="277"/>
      <c r="L311" s="275">
        <v>13</v>
      </c>
      <c r="M311" s="763" t="s">
        <v>636</v>
      </c>
      <c r="N311" s="763" t="s">
        <v>637</v>
      </c>
      <c r="O311" s="547"/>
      <c r="P311" s="439"/>
      <c r="Q311" s="764">
        <v>82140.666666666672</v>
      </c>
      <c r="R311" s="841"/>
      <c r="S311" s="616" t="s">
        <v>638</v>
      </c>
      <c r="T311" s="673">
        <v>46081</v>
      </c>
      <c r="U311" s="501">
        <v>86896.76</v>
      </c>
      <c r="V311" s="864"/>
      <c r="W311" s="567">
        <v>46387</v>
      </c>
      <c r="X311" s="851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61"/>
      <c r="J312" s="861"/>
      <c r="K312" s="277"/>
      <c r="L312" s="275">
        <v>13</v>
      </c>
      <c r="M312" s="763" t="s">
        <v>636</v>
      </c>
      <c r="N312" s="763" t="s">
        <v>637</v>
      </c>
      <c r="O312" s="547"/>
      <c r="P312" s="439"/>
      <c r="Q312" s="764">
        <v>82140.666666666672</v>
      </c>
      <c r="R312" s="841"/>
      <c r="S312" s="616" t="s">
        <v>638</v>
      </c>
      <c r="T312" s="673">
        <v>46081</v>
      </c>
      <c r="U312" s="501">
        <v>86896.76</v>
      </c>
      <c r="V312" s="864"/>
      <c r="W312" s="567">
        <v>46418</v>
      </c>
      <c r="X312" s="851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61"/>
      <c r="J313" s="861"/>
      <c r="K313" s="277"/>
      <c r="L313" s="275">
        <v>13</v>
      </c>
      <c r="M313" s="763" t="s">
        <v>636</v>
      </c>
      <c r="N313" s="763" t="s">
        <v>637</v>
      </c>
      <c r="O313" s="547"/>
      <c r="P313" s="439"/>
      <c r="Q313" s="764">
        <v>82140.666666666672</v>
      </c>
      <c r="R313" s="841"/>
      <c r="S313" s="616" t="s">
        <v>638</v>
      </c>
      <c r="T313" s="673">
        <v>46081</v>
      </c>
      <c r="U313" s="501">
        <v>86896.8</v>
      </c>
      <c r="V313" s="864"/>
      <c r="W313" s="567">
        <v>46443</v>
      </c>
      <c r="X313" s="851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61"/>
      <c r="J314" s="861"/>
      <c r="K314" s="277"/>
      <c r="L314" s="300">
        <v>13</v>
      </c>
      <c r="M314" s="378" t="s">
        <v>636</v>
      </c>
      <c r="N314" s="302" t="s">
        <v>639</v>
      </c>
      <c r="O314" s="540"/>
      <c r="P314" s="446"/>
      <c r="Q314" s="304">
        <v>11372</v>
      </c>
      <c r="R314" s="574"/>
      <c r="S314" s="609" t="s">
        <v>640</v>
      </c>
      <c r="T314" s="674">
        <v>45900</v>
      </c>
      <c r="U314" s="679">
        <v>12657.57114292171</v>
      </c>
      <c r="V314" s="864"/>
      <c r="W314" s="524">
        <v>45900</v>
      </c>
      <c r="X314" s="851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61"/>
      <c r="J315" s="861"/>
      <c r="K315" s="277"/>
      <c r="L315" s="300">
        <v>13</v>
      </c>
      <c r="M315" s="378" t="s">
        <v>636</v>
      </c>
      <c r="N315" s="302" t="s">
        <v>641</v>
      </c>
      <c r="O315" s="540"/>
      <c r="P315" s="446"/>
      <c r="Q315" s="304">
        <v>2843</v>
      </c>
      <c r="R315" s="574"/>
      <c r="S315" s="609" t="s">
        <v>642</v>
      </c>
      <c r="T315" s="674">
        <v>45930</v>
      </c>
      <c r="U315" s="757">
        <v>3164.3927857304275</v>
      </c>
      <c r="V315" s="864"/>
      <c r="W315" s="524">
        <v>45900</v>
      </c>
      <c r="X315" s="851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61"/>
      <c r="J316" s="861"/>
      <c r="K316" s="277"/>
      <c r="L316" s="300">
        <v>13</v>
      </c>
      <c r="M316" s="378" t="s">
        <v>636</v>
      </c>
      <c r="N316" s="302" t="s">
        <v>643</v>
      </c>
      <c r="O316" s="540"/>
      <c r="P316" s="446"/>
      <c r="Q316" s="304">
        <v>2843</v>
      </c>
      <c r="R316" s="574"/>
      <c r="S316" s="609" t="s">
        <v>644</v>
      </c>
      <c r="T316" s="751">
        <v>45961</v>
      </c>
      <c r="U316" s="757">
        <v>3108.9043414431007</v>
      </c>
      <c r="V316" s="864"/>
      <c r="W316" s="524">
        <v>45989</v>
      </c>
      <c r="X316" s="851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61"/>
      <c r="J317" s="861"/>
      <c r="K317" s="277"/>
      <c r="L317" s="300">
        <v>13</v>
      </c>
      <c r="M317" s="378" t="s">
        <v>636</v>
      </c>
      <c r="N317" s="302" t="s">
        <v>645</v>
      </c>
      <c r="O317" s="540"/>
      <c r="P317" s="446"/>
      <c r="Q317" s="304">
        <v>2843</v>
      </c>
      <c r="R317" s="574"/>
      <c r="S317" s="609" t="s">
        <v>646</v>
      </c>
      <c r="T317" s="674">
        <v>45991</v>
      </c>
      <c r="U317" s="757">
        <v>3155.1443414431005</v>
      </c>
      <c r="V317" s="864"/>
      <c r="W317" s="756">
        <v>46021</v>
      </c>
      <c r="X317" s="851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61"/>
      <c r="J318" s="861"/>
      <c r="K318" s="277"/>
      <c r="L318" s="300">
        <v>13</v>
      </c>
      <c r="M318" s="378" t="s">
        <v>636</v>
      </c>
      <c r="N318" s="302" t="s">
        <v>647</v>
      </c>
      <c r="O318" s="541"/>
      <c r="P318" s="431"/>
      <c r="Q318" s="304">
        <v>2843</v>
      </c>
      <c r="R318" s="575"/>
      <c r="S318" s="609" t="s">
        <v>648</v>
      </c>
      <c r="T318" s="781">
        <v>46022</v>
      </c>
      <c r="U318" s="757">
        <v>3118.0250777042997</v>
      </c>
      <c r="V318" s="864"/>
      <c r="W318" s="525">
        <v>46051</v>
      </c>
      <c r="X318" s="851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61"/>
      <c r="J319" s="861"/>
      <c r="K319" s="277"/>
      <c r="L319" s="300">
        <v>13</v>
      </c>
      <c r="M319" s="378" t="s">
        <v>636</v>
      </c>
      <c r="N319" s="302" t="s">
        <v>649</v>
      </c>
      <c r="O319" s="541"/>
      <c r="P319" s="431"/>
      <c r="Q319" s="304">
        <v>2843</v>
      </c>
      <c r="R319" s="575"/>
      <c r="S319" s="609" t="s">
        <v>650</v>
      </c>
      <c r="T319" s="781">
        <v>46053</v>
      </c>
      <c r="U319" s="757">
        <v>2843</v>
      </c>
      <c r="V319" s="864"/>
      <c r="W319" s="774">
        <v>46107</v>
      </c>
      <c r="X319" s="851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61"/>
      <c r="J320" s="861"/>
      <c r="K320" s="277"/>
      <c r="L320" s="300">
        <v>13</v>
      </c>
      <c r="M320" s="378" t="s">
        <v>636</v>
      </c>
      <c r="N320" s="376" t="s">
        <v>651</v>
      </c>
      <c r="O320" s="541"/>
      <c r="P320" s="431"/>
      <c r="Q320" s="375">
        <v>8737.26</v>
      </c>
      <c r="R320" s="575"/>
      <c r="S320" s="609" t="s">
        <v>652</v>
      </c>
      <c r="T320" s="781">
        <v>46053</v>
      </c>
      <c r="U320" s="757">
        <v>8737.26</v>
      </c>
      <c r="V320" s="864"/>
      <c r="W320" s="774">
        <v>46081</v>
      </c>
      <c r="X320" s="851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61"/>
      <c r="J321" s="861"/>
      <c r="K321" s="277"/>
      <c r="L321" s="300">
        <v>13</v>
      </c>
      <c r="M321" s="378" t="s">
        <v>636</v>
      </c>
      <c r="N321" s="376" t="s">
        <v>651</v>
      </c>
      <c r="O321" s="541"/>
      <c r="P321" s="431"/>
      <c r="Q321" s="375">
        <f>-Q320</f>
        <v>-8737.26</v>
      </c>
      <c r="R321" s="575"/>
      <c r="S321" s="609" t="s">
        <v>653</v>
      </c>
      <c r="T321" s="781">
        <v>46081</v>
      </c>
      <c r="U321" s="757">
        <v>0</v>
      </c>
      <c r="V321" s="864"/>
      <c r="W321" s="774">
        <v>46081</v>
      </c>
      <c r="X321" s="851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61"/>
      <c r="J322" s="861"/>
      <c r="K322" s="277"/>
      <c r="L322" s="300">
        <v>13</v>
      </c>
      <c r="M322" s="378" t="s">
        <v>636</v>
      </c>
      <c r="N322" s="376" t="s">
        <v>654</v>
      </c>
      <c r="O322" s="541"/>
      <c r="P322" s="431"/>
      <c r="Q322" s="375">
        <v>2843</v>
      </c>
      <c r="R322" s="575"/>
      <c r="S322" s="610" t="s">
        <v>655</v>
      </c>
      <c r="T322" s="781">
        <v>46081</v>
      </c>
      <c r="U322" s="757">
        <v>0</v>
      </c>
      <c r="V322" s="864"/>
      <c r="W322" s="561">
        <v>46081</v>
      </c>
      <c r="X322" s="851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61"/>
      <c r="J323" s="861"/>
      <c r="K323" s="277"/>
      <c r="L323" s="300">
        <v>13</v>
      </c>
      <c r="M323" s="378" t="s">
        <v>636</v>
      </c>
      <c r="N323" s="376" t="s">
        <v>654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805">
        <v>0</v>
      </c>
      <c r="V323" s="864"/>
      <c r="W323" s="561">
        <v>46081</v>
      </c>
      <c r="X323" s="851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62"/>
      <c r="J324" s="862"/>
      <c r="K324" s="464"/>
      <c r="L324" s="305">
        <v>13</v>
      </c>
      <c r="M324" s="407" t="s">
        <v>636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65"/>
      <c r="W324" s="562"/>
      <c r="X324" s="852"/>
      <c r="Y324" s="472"/>
    </row>
    <row r="325" spans="1:25" ht="14.4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656</v>
      </c>
      <c r="D326" s="259" t="s">
        <v>657</v>
      </c>
      <c r="E326" s="260"/>
      <c r="F326" s="457"/>
      <c r="G326" s="327">
        <v>0</v>
      </c>
      <c r="H326" s="531">
        <v>45817</v>
      </c>
      <c r="I326" s="890">
        <f>SUM(G326:G337)</f>
        <v>0</v>
      </c>
      <c r="J326" s="890">
        <f>F404</f>
        <v>0</v>
      </c>
      <c r="K326" s="328"/>
      <c r="L326" s="258">
        <v>14</v>
      </c>
      <c r="M326" s="421" t="s">
        <v>658</v>
      </c>
      <c r="N326" s="259" t="s">
        <v>659</v>
      </c>
      <c r="O326" s="552"/>
      <c r="P326" s="457"/>
      <c r="Q326" s="327">
        <v>6509.8599999999988</v>
      </c>
      <c r="R326" s="588"/>
      <c r="S326" s="586" t="s">
        <v>660</v>
      </c>
      <c r="T326" s="641">
        <v>45808</v>
      </c>
      <c r="U326" s="507">
        <f t="shared" ref="U326:U337" si="29">(Q326/$X$326*$J$326)</f>
        <v>0</v>
      </c>
      <c r="V326" s="896">
        <f>J326-SUM(U326:U337)</f>
        <v>0</v>
      </c>
      <c r="W326" s="531">
        <v>45817</v>
      </c>
      <c r="X326" s="893">
        <f>SUM(Q326:Q337)</f>
        <v>301844.08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891"/>
      <c r="J327" s="891"/>
      <c r="K327" s="261"/>
      <c r="L327" s="329">
        <v>14</v>
      </c>
      <c r="M327" s="422" t="s">
        <v>658</v>
      </c>
      <c r="N327" s="330" t="s">
        <v>659</v>
      </c>
      <c r="O327" s="553"/>
      <c r="P327" s="458"/>
      <c r="Q327" s="332">
        <f>5408.52+362.32</f>
        <v>5770.84</v>
      </c>
      <c r="R327" s="588"/>
      <c r="S327" s="586" t="s">
        <v>660</v>
      </c>
      <c r="T327" s="676">
        <v>45838</v>
      </c>
      <c r="U327" s="507">
        <f t="shared" si="29"/>
        <v>0</v>
      </c>
      <c r="V327" s="897"/>
      <c r="W327" s="533">
        <v>45842</v>
      </c>
      <c r="X327" s="894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891"/>
      <c r="J328" s="891"/>
      <c r="K328" s="261"/>
      <c r="L328" s="329">
        <v>14</v>
      </c>
      <c r="M328" s="422" t="s">
        <v>658</v>
      </c>
      <c r="N328" s="330" t="s">
        <v>659</v>
      </c>
      <c r="O328" s="553"/>
      <c r="P328" s="458"/>
      <c r="Q328" s="332">
        <v>21295.980000000003</v>
      </c>
      <c r="R328" s="588"/>
      <c r="S328" s="623" t="s">
        <v>660</v>
      </c>
      <c r="T328" s="676">
        <v>45869</v>
      </c>
      <c r="U328" s="507">
        <f t="shared" si="29"/>
        <v>0</v>
      </c>
      <c r="V328" s="897"/>
      <c r="W328" s="533">
        <v>45876</v>
      </c>
      <c r="X328" s="894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891"/>
      <c r="J329" s="891"/>
      <c r="K329" s="261"/>
      <c r="L329" s="329">
        <v>14</v>
      </c>
      <c r="M329" s="422" t="s">
        <v>658</v>
      </c>
      <c r="N329" s="330" t="s">
        <v>659</v>
      </c>
      <c r="O329" s="553"/>
      <c r="P329" s="458"/>
      <c r="Q329" s="332">
        <v>50534.6</v>
      </c>
      <c r="R329" s="588"/>
      <c r="S329" s="623" t="s">
        <v>660</v>
      </c>
      <c r="T329" s="676">
        <v>45900</v>
      </c>
      <c r="U329" s="507">
        <f t="shared" si="29"/>
        <v>0</v>
      </c>
      <c r="V329" s="897"/>
      <c r="W329" s="533">
        <v>45905</v>
      </c>
      <c r="X329" s="894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891"/>
      <c r="J330" s="891"/>
      <c r="K330" s="261"/>
      <c r="L330" s="329">
        <v>14</v>
      </c>
      <c r="M330" s="422" t="s">
        <v>658</v>
      </c>
      <c r="N330" s="330" t="s">
        <v>659</v>
      </c>
      <c r="O330" s="553"/>
      <c r="P330" s="458"/>
      <c r="Q330" s="332">
        <v>32154.959999999999</v>
      </c>
      <c r="R330" s="588"/>
      <c r="S330" s="623" t="s">
        <v>660</v>
      </c>
      <c r="T330" s="754">
        <v>45930</v>
      </c>
      <c r="U330" s="507">
        <f t="shared" si="29"/>
        <v>0</v>
      </c>
      <c r="V330" s="897"/>
      <c r="W330" s="755">
        <v>45940</v>
      </c>
      <c r="X330" s="894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891"/>
      <c r="J331" s="891"/>
      <c r="K331" s="261"/>
      <c r="L331" s="329">
        <v>14</v>
      </c>
      <c r="M331" s="422" t="s">
        <v>658</v>
      </c>
      <c r="N331" s="330" t="s">
        <v>659</v>
      </c>
      <c r="O331" s="553"/>
      <c r="P331" s="458"/>
      <c r="Q331" s="332">
        <v>20629.91</v>
      </c>
      <c r="R331" s="588"/>
      <c r="S331" s="623" t="s">
        <v>660</v>
      </c>
      <c r="T331" s="754">
        <v>45961</v>
      </c>
      <c r="U331" s="507">
        <f t="shared" si="29"/>
        <v>0</v>
      </c>
      <c r="V331" s="897"/>
      <c r="W331" s="755">
        <v>45967</v>
      </c>
      <c r="X331" s="894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891"/>
      <c r="J332" s="891"/>
      <c r="K332" s="261"/>
      <c r="L332" s="329">
        <v>14</v>
      </c>
      <c r="M332" s="422" t="s">
        <v>658</v>
      </c>
      <c r="N332" s="330" t="s">
        <v>659</v>
      </c>
      <c r="O332" s="553"/>
      <c r="P332" s="458"/>
      <c r="Q332" s="332">
        <v>15266.94</v>
      </c>
      <c r="R332" s="588"/>
      <c r="S332" s="623" t="s">
        <v>660</v>
      </c>
      <c r="T332" s="754">
        <v>45991</v>
      </c>
      <c r="U332" s="507">
        <f t="shared" si="29"/>
        <v>0</v>
      </c>
      <c r="V332" s="897"/>
      <c r="W332" s="755">
        <v>45996</v>
      </c>
      <c r="X332" s="894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891"/>
      <c r="J333" s="891"/>
      <c r="K333" s="261"/>
      <c r="L333" s="329">
        <v>14</v>
      </c>
      <c r="M333" s="422" t="s">
        <v>658</v>
      </c>
      <c r="N333" s="330" t="s">
        <v>659</v>
      </c>
      <c r="O333" s="553"/>
      <c r="P333" s="458"/>
      <c r="Q333" s="332">
        <v>59700.29</v>
      </c>
      <c r="R333" s="588"/>
      <c r="S333" s="623" t="s">
        <v>660</v>
      </c>
      <c r="T333" s="754">
        <v>46022</v>
      </c>
      <c r="U333" s="507">
        <f t="shared" si="29"/>
        <v>0</v>
      </c>
      <c r="V333" s="897"/>
      <c r="W333" s="755">
        <v>46030</v>
      </c>
      <c r="X333" s="894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891"/>
      <c r="J334" s="891"/>
      <c r="K334" s="261"/>
      <c r="L334" s="329">
        <v>14</v>
      </c>
      <c r="M334" s="422" t="s">
        <v>658</v>
      </c>
      <c r="N334" s="330" t="s">
        <v>659</v>
      </c>
      <c r="O334" s="553"/>
      <c r="P334" s="458"/>
      <c r="Q334" s="332">
        <v>28655.7</v>
      </c>
      <c r="R334" s="588"/>
      <c r="S334" s="623" t="s">
        <v>660</v>
      </c>
      <c r="T334" s="754">
        <v>46053</v>
      </c>
      <c r="U334" s="507">
        <f t="shared" si="29"/>
        <v>0</v>
      </c>
      <c r="V334" s="897"/>
      <c r="W334" s="755">
        <v>46058</v>
      </c>
      <c r="X334" s="894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891"/>
      <c r="J335" s="891"/>
      <c r="K335" s="261"/>
      <c r="L335" s="329">
        <v>14</v>
      </c>
      <c r="M335" s="422" t="s">
        <v>658</v>
      </c>
      <c r="N335" s="330" t="s">
        <v>659</v>
      </c>
      <c r="O335" s="553"/>
      <c r="P335" s="458"/>
      <c r="Q335" s="332">
        <f>30662.5*2</f>
        <v>61325</v>
      </c>
      <c r="R335" s="588"/>
      <c r="S335" s="623"/>
      <c r="T335" s="521">
        <v>46081</v>
      </c>
      <c r="U335" s="507">
        <f t="shared" si="29"/>
        <v>0</v>
      </c>
      <c r="V335" s="897"/>
      <c r="W335" s="572">
        <v>46086</v>
      </c>
      <c r="X335" s="894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891"/>
      <c r="J336" s="891"/>
      <c r="K336" s="261"/>
      <c r="L336" s="329">
        <v>14</v>
      </c>
      <c r="M336" s="422" t="s">
        <v>658</v>
      </c>
      <c r="N336" s="330"/>
      <c r="O336" s="553"/>
      <c r="P336" s="458"/>
      <c r="Q336" s="332"/>
      <c r="R336" s="588"/>
      <c r="S336" s="623"/>
      <c r="T336" s="521" t="str">
        <f t="shared" ref="T336:T376" si="30">IF(W336&gt;1,EOMONTH(W336,0),"")</f>
        <v/>
      </c>
      <c r="U336" s="507">
        <f t="shared" si="29"/>
        <v>0</v>
      </c>
      <c r="V336" s="897"/>
      <c r="W336" s="572"/>
      <c r="X336" s="894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892"/>
      <c r="J337" s="892"/>
      <c r="K337" s="264"/>
      <c r="L337" s="262">
        <v>14</v>
      </c>
      <c r="M337" s="423" t="s">
        <v>658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898"/>
      <c r="W337" s="573"/>
      <c r="X337" s="895"/>
      <c r="Y337" s="472"/>
    </row>
    <row r="338" spans="1:25" ht="14.4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661</v>
      </c>
      <c r="D339" s="271"/>
      <c r="E339" s="272"/>
      <c r="F339" s="424"/>
      <c r="G339" s="273"/>
      <c r="H339" s="567"/>
      <c r="I339" s="860">
        <v>0</v>
      </c>
      <c r="J339" s="860">
        <v>0</v>
      </c>
      <c r="K339" s="274"/>
      <c r="L339" s="270">
        <v>15</v>
      </c>
      <c r="M339" s="340" t="s">
        <v>662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63"/>
      <c r="W339" s="567"/>
      <c r="X339" s="850">
        <f>SUM(Q339:Q376)</f>
        <v>1611918.93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61"/>
      <c r="J340" s="861"/>
      <c r="K340" s="277"/>
      <c r="L340" s="300">
        <v>15</v>
      </c>
      <c r="M340" s="378" t="s">
        <v>662</v>
      </c>
      <c r="N340" s="302" t="s">
        <v>663</v>
      </c>
      <c r="O340" s="540"/>
      <c r="P340" s="446"/>
      <c r="Q340" s="304"/>
      <c r="R340" s="574"/>
      <c r="S340" s="609"/>
      <c r="T340" s="509"/>
      <c r="U340" s="493"/>
      <c r="V340" s="864"/>
      <c r="W340" s="560"/>
      <c r="X340" s="851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61"/>
      <c r="J341" s="861"/>
      <c r="K341" s="277"/>
      <c r="L341" s="300">
        <v>15</v>
      </c>
      <c r="M341" s="378" t="s">
        <v>662</v>
      </c>
      <c r="N341" s="302" t="s">
        <v>664</v>
      </c>
      <c r="O341" s="540"/>
      <c r="P341" s="446"/>
      <c r="Q341" s="304">
        <v>140.75</v>
      </c>
      <c r="R341" s="574" t="s">
        <v>665</v>
      </c>
      <c r="S341" s="609" t="s">
        <v>666</v>
      </c>
      <c r="T341" s="674">
        <v>46053</v>
      </c>
      <c r="U341" s="493"/>
      <c r="V341" s="864"/>
      <c r="W341" s="524">
        <v>46041</v>
      </c>
      <c r="X341" s="851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61"/>
      <c r="J342" s="861"/>
      <c r="K342" s="277"/>
      <c r="L342" s="300">
        <v>15</v>
      </c>
      <c r="M342" s="378" t="s">
        <v>662</v>
      </c>
      <c r="N342" s="302" t="s">
        <v>664</v>
      </c>
      <c r="O342" s="540"/>
      <c r="P342" s="446"/>
      <c r="Q342" s="304">
        <v>3127.77</v>
      </c>
      <c r="R342" s="574" t="s">
        <v>667</v>
      </c>
      <c r="S342" s="609" t="s">
        <v>668</v>
      </c>
      <c r="T342" s="674">
        <v>45900</v>
      </c>
      <c r="U342" s="493"/>
      <c r="V342" s="864"/>
      <c r="W342" s="524">
        <v>45883</v>
      </c>
      <c r="X342" s="851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61"/>
      <c r="J343" s="861"/>
      <c r="K343" s="277"/>
      <c r="L343" s="300">
        <v>15</v>
      </c>
      <c r="M343" s="378" t="s">
        <v>662</v>
      </c>
      <c r="N343" s="302" t="s">
        <v>664</v>
      </c>
      <c r="O343" s="540"/>
      <c r="P343" s="446"/>
      <c r="Q343" s="304">
        <v>1495.89</v>
      </c>
      <c r="R343" s="574" t="s">
        <v>669</v>
      </c>
      <c r="S343" s="609" t="s">
        <v>670</v>
      </c>
      <c r="T343" s="674">
        <v>45900</v>
      </c>
      <c r="U343" s="493"/>
      <c r="V343" s="864"/>
      <c r="W343" s="701">
        <v>45888</v>
      </c>
      <c r="X343" s="851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61"/>
      <c r="J344" s="861"/>
      <c r="K344" s="277"/>
      <c r="L344" s="300">
        <v>15</v>
      </c>
      <c r="M344" s="378" t="s">
        <v>662</v>
      </c>
      <c r="N344" s="302" t="s">
        <v>664</v>
      </c>
      <c r="O344" s="540"/>
      <c r="P344" s="446"/>
      <c r="Q344" s="304">
        <v>407.97</v>
      </c>
      <c r="R344" s="574" t="s">
        <v>671</v>
      </c>
      <c r="S344" s="609" t="s">
        <v>672</v>
      </c>
      <c r="T344" s="677">
        <v>45900</v>
      </c>
      <c r="U344" s="493"/>
      <c r="V344" s="864"/>
      <c r="W344" s="524">
        <v>45890</v>
      </c>
      <c r="X344" s="851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61"/>
      <c r="J345" s="861"/>
      <c r="K345" s="277"/>
      <c r="L345" s="300">
        <v>15</v>
      </c>
      <c r="M345" s="378" t="s">
        <v>662</v>
      </c>
      <c r="N345" s="302" t="s">
        <v>664</v>
      </c>
      <c r="O345" s="540"/>
      <c r="P345" s="446"/>
      <c r="Q345" s="304">
        <v>951.93</v>
      </c>
      <c r="R345" s="574" t="s">
        <v>673</v>
      </c>
      <c r="S345" s="609" t="s">
        <v>674</v>
      </c>
      <c r="T345" s="674">
        <v>45900</v>
      </c>
      <c r="U345" s="493"/>
      <c r="V345" s="864"/>
      <c r="W345" s="524">
        <v>45901</v>
      </c>
      <c r="X345" s="851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61"/>
      <c r="J346" s="861"/>
      <c r="K346" s="277"/>
      <c r="L346" s="300">
        <v>15</v>
      </c>
      <c r="M346" s="378" t="s">
        <v>662</v>
      </c>
      <c r="N346" s="302" t="s">
        <v>664</v>
      </c>
      <c r="O346" s="540"/>
      <c r="P346" s="446"/>
      <c r="Q346" s="304">
        <v>135.99</v>
      </c>
      <c r="R346" s="574" t="s">
        <v>675</v>
      </c>
      <c r="S346" s="609" t="s">
        <v>676</v>
      </c>
      <c r="T346" s="674">
        <v>45930</v>
      </c>
      <c r="U346" s="493"/>
      <c r="V346" s="864"/>
      <c r="W346" s="524">
        <v>45910</v>
      </c>
      <c r="X346" s="851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61"/>
      <c r="J347" s="861"/>
      <c r="K347" s="277"/>
      <c r="L347" s="300">
        <v>15</v>
      </c>
      <c r="M347" s="378" t="s">
        <v>662</v>
      </c>
      <c r="N347" s="302" t="s">
        <v>664</v>
      </c>
      <c r="O347" s="540"/>
      <c r="P347" s="446"/>
      <c r="Q347" s="304">
        <v>2719.8</v>
      </c>
      <c r="R347" s="574" t="s">
        <v>677</v>
      </c>
      <c r="S347" s="609" t="s">
        <v>678</v>
      </c>
      <c r="T347" s="674">
        <v>45930</v>
      </c>
      <c r="U347" s="493"/>
      <c r="V347" s="864"/>
      <c r="W347" s="524">
        <v>45923</v>
      </c>
      <c r="X347" s="851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61"/>
      <c r="J348" s="861"/>
      <c r="K348" s="277"/>
      <c r="L348" s="300">
        <v>15</v>
      </c>
      <c r="M348" s="378" t="s">
        <v>662</v>
      </c>
      <c r="N348" s="302" t="s">
        <v>664</v>
      </c>
      <c r="O348" s="540"/>
      <c r="P348" s="446"/>
      <c r="Q348" s="304">
        <v>271.98</v>
      </c>
      <c r="R348" s="574" t="s">
        <v>679</v>
      </c>
      <c r="S348" s="609" t="s">
        <v>680</v>
      </c>
      <c r="T348" s="674">
        <v>45930</v>
      </c>
      <c r="U348" s="493"/>
      <c r="V348" s="864"/>
      <c r="W348" s="524">
        <v>45930</v>
      </c>
      <c r="X348" s="851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61"/>
      <c r="J349" s="861"/>
      <c r="K349" s="277"/>
      <c r="L349" s="300">
        <v>15</v>
      </c>
      <c r="M349" s="378" t="s">
        <v>662</v>
      </c>
      <c r="N349" s="302" t="s">
        <v>664</v>
      </c>
      <c r="O349" s="540"/>
      <c r="P349" s="446"/>
      <c r="Q349" s="304">
        <v>271.98</v>
      </c>
      <c r="R349" s="574" t="s">
        <v>681</v>
      </c>
      <c r="S349" s="609" t="s">
        <v>682</v>
      </c>
      <c r="T349" s="674">
        <v>45930</v>
      </c>
      <c r="U349" s="493"/>
      <c r="V349" s="864"/>
      <c r="W349" s="524">
        <v>45930</v>
      </c>
      <c r="X349" s="851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61"/>
      <c r="J350" s="861"/>
      <c r="K350" s="277"/>
      <c r="L350" s="300">
        <v>15</v>
      </c>
      <c r="M350" s="378" t="s">
        <v>662</v>
      </c>
      <c r="N350" s="302" t="s">
        <v>664</v>
      </c>
      <c r="O350" s="540"/>
      <c r="P350" s="446"/>
      <c r="Q350" s="304">
        <v>271.98</v>
      </c>
      <c r="R350" s="574" t="s">
        <v>683</v>
      </c>
      <c r="S350" s="609" t="s">
        <v>684</v>
      </c>
      <c r="T350" s="674">
        <v>45961</v>
      </c>
      <c r="U350" s="493"/>
      <c r="V350" s="864"/>
      <c r="W350" s="524">
        <v>45932</v>
      </c>
      <c r="X350" s="851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61"/>
      <c r="J351" s="861"/>
      <c r="K351" s="277"/>
      <c r="L351" s="300">
        <v>15</v>
      </c>
      <c r="M351" s="378" t="s">
        <v>662</v>
      </c>
      <c r="N351" s="302" t="s">
        <v>685</v>
      </c>
      <c r="O351" s="540"/>
      <c r="P351" s="446"/>
      <c r="Q351" s="304">
        <v>12722.45</v>
      </c>
      <c r="R351" s="574" t="s">
        <v>686</v>
      </c>
      <c r="S351" s="609" t="s">
        <v>687</v>
      </c>
      <c r="T351" s="677">
        <v>45961</v>
      </c>
      <c r="U351" s="493"/>
      <c r="V351" s="864"/>
      <c r="W351" s="756">
        <v>45960</v>
      </c>
      <c r="X351" s="851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61"/>
      <c r="J352" s="861"/>
      <c r="K352" s="277"/>
      <c r="L352" s="300">
        <v>15</v>
      </c>
      <c r="M352" s="378" t="s">
        <v>662</v>
      </c>
      <c r="N352" s="302" t="s">
        <v>685</v>
      </c>
      <c r="O352" s="540"/>
      <c r="P352" s="446"/>
      <c r="Q352" s="304">
        <v>14381.9</v>
      </c>
      <c r="R352" s="574" t="s">
        <v>688</v>
      </c>
      <c r="S352" s="609" t="s">
        <v>689</v>
      </c>
      <c r="T352" s="751">
        <v>45991</v>
      </c>
      <c r="U352" s="493"/>
      <c r="V352" s="864"/>
      <c r="W352" s="756">
        <v>46009</v>
      </c>
      <c r="X352" s="851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61"/>
      <c r="J353" s="861"/>
      <c r="K353" s="277"/>
      <c r="L353" s="300">
        <v>15</v>
      </c>
      <c r="M353" s="378" t="s">
        <v>662</v>
      </c>
      <c r="N353" s="302" t="s">
        <v>685</v>
      </c>
      <c r="O353" s="540"/>
      <c r="P353" s="446"/>
      <c r="Q353" s="304">
        <v>9126.98</v>
      </c>
      <c r="R353" s="574"/>
      <c r="S353" s="609" t="s">
        <v>690</v>
      </c>
      <c r="T353" s="751">
        <v>45991</v>
      </c>
      <c r="U353" s="493"/>
      <c r="V353" s="864"/>
      <c r="W353" s="756">
        <v>45995</v>
      </c>
      <c r="X353" s="851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61"/>
      <c r="J354" s="861"/>
      <c r="K354" s="277"/>
      <c r="L354" s="300">
        <v>15</v>
      </c>
      <c r="M354" s="378" t="s">
        <v>662</v>
      </c>
      <c r="N354" s="302" t="s">
        <v>685</v>
      </c>
      <c r="O354" s="540"/>
      <c r="P354" s="446"/>
      <c r="Q354" s="304">
        <v>1936.03</v>
      </c>
      <c r="R354" s="574" t="s">
        <v>691</v>
      </c>
      <c r="S354" s="609" t="s">
        <v>692</v>
      </c>
      <c r="T354" s="674">
        <v>46053</v>
      </c>
      <c r="U354" s="493"/>
      <c r="V354" s="864"/>
      <c r="W354" s="524">
        <v>46051</v>
      </c>
      <c r="X354" s="851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61"/>
      <c r="J355" s="861"/>
      <c r="K355" s="277"/>
      <c r="L355" s="300">
        <v>15</v>
      </c>
      <c r="M355" s="378" t="s">
        <v>662</v>
      </c>
      <c r="N355" s="302" t="s">
        <v>685</v>
      </c>
      <c r="O355" s="540"/>
      <c r="P355" s="446"/>
      <c r="Q355" s="304">
        <v>5215.6099999999997</v>
      </c>
      <c r="R355" s="574" t="s">
        <v>693</v>
      </c>
      <c r="S355" s="609" t="s">
        <v>694</v>
      </c>
      <c r="T355" s="674">
        <v>46081</v>
      </c>
      <c r="U355" s="493"/>
      <c r="V355" s="864"/>
      <c r="W355" s="560">
        <v>46086</v>
      </c>
      <c r="X355" s="851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61"/>
      <c r="J356" s="861"/>
      <c r="K356" s="277"/>
      <c r="L356" s="300">
        <v>15</v>
      </c>
      <c r="M356" s="378" t="s">
        <v>662</v>
      </c>
      <c r="N356" s="302" t="s">
        <v>685</v>
      </c>
      <c r="O356" s="438"/>
      <c r="P356" s="439"/>
      <c r="Q356" s="764">
        <v>7051.28</v>
      </c>
      <c r="R356" s="574" t="s">
        <v>695</v>
      </c>
      <c r="S356" s="609"/>
      <c r="T356" s="509">
        <v>46112</v>
      </c>
      <c r="U356" s="493"/>
      <c r="V356" s="864"/>
      <c r="W356" s="560">
        <f>T356+7</f>
        <v>46119</v>
      </c>
      <c r="X356" s="851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61"/>
      <c r="J357" s="861"/>
      <c r="K357" s="277"/>
      <c r="L357" s="300">
        <v>15</v>
      </c>
      <c r="M357" s="378" t="s">
        <v>662</v>
      </c>
      <c r="N357" s="302"/>
      <c r="O357" s="540"/>
      <c r="P357" s="446"/>
      <c r="Q357" s="304"/>
      <c r="R357" s="574"/>
      <c r="S357" s="609"/>
      <c r="T357" s="751"/>
      <c r="U357" s="493"/>
      <c r="V357" s="864"/>
      <c r="W357" s="756"/>
      <c r="X357" s="851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61"/>
      <c r="J358" s="861"/>
      <c r="K358" s="277"/>
      <c r="L358" s="300">
        <v>15</v>
      </c>
      <c r="M358" s="378" t="s">
        <v>662</v>
      </c>
      <c r="N358" s="302" t="s">
        <v>696</v>
      </c>
      <c r="O358" s="540"/>
      <c r="P358" s="446"/>
      <c r="Q358" s="304">
        <v>319.08999999999997</v>
      </c>
      <c r="R358" s="574"/>
      <c r="S358" s="609" t="s">
        <v>697</v>
      </c>
      <c r="T358" s="751">
        <v>46022</v>
      </c>
      <c r="U358" s="493"/>
      <c r="V358" s="864"/>
      <c r="W358" s="756">
        <v>46051</v>
      </c>
      <c r="X358" s="851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61"/>
      <c r="J359" s="861"/>
      <c r="K359" s="277"/>
      <c r="L359" s="300">
        <v>15</v>
      </c>
      <c r="M359" s="378" t="s">
        <v>662</v>
      </c>
      <c r="N359" s="302" t="s">
        <v>698</v>
      </c>
      <c r="O359" s="540"/>
      <c r="P359" s="446"/>
      <c r="Q359" s="304">
        <v>1129.28</v>
      </c>
      <c r="R359" s="574"/>
      <c r="S359" s="609" t="s">
        <v>699</v>
      </c>
      <c r="T359" s="751">
        <v>46081</v>
      </c>
      <c r="U359" s="493"/>
      <c r="V359" s="864"/>
      <c r="W359" s="756">
        <v>46066</v>
      </c>
      <c r="X359" s="851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61"/>
      <c r="J360" s="861"/>
      <c r="K360" s="277"/>
      <c r="L360" s="300">
        <v>15</v>
      </c>
      <c r="M360" s="378" t="s">
        <v>662</v>
      </c>
      <c r="N360" s="302"/>
      <c r="O360" s="540"/>
      <c r="P360" s="446"/>
      <c r="Q360" s="304"/>
      <c r="R360" s="574"/>
      <c r="S360" s="609"/>
      <c r="T360" s="751"/>
      <c r="U360" s="493"/>
      <c r="V360" s="864"/>
      <c r="W360" s="756"/>
      <c r="X360" s="851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61"/>
      <c r="J361" s="861"/>
      <c r="K361" s="277"/>
      <c r="L361" s="300">
        <v>15</v>
      </c>
      <c r="M361" s="378" t="s">
        <v>662</v>
      </c>
      <c r="N361" s="302"/>
      <c r="O361" s="540"/>
      <c r="P361" s="446"/>
      <c r="Q361" s="304"/>
      <c r="R361" s="574"/>
      <c r="S361" s="609"/>
      <c r="T361" s="509"/>
      <c r="U361" s="493"/>
      <c r="V361" s="864"/>
      <c r="W361" s="560"/>
      <c r="X361" s="851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61"/>
      <c r="J362" s="861"/>
      <c r="K362" s="277"/>
      <c r="L362" s="300">
        <v>15</v>
      </c>
      <c r="M362" s="378" t="s">
        <v>662</v>
      </c>
      <c r="N362" s="302" t="s">
        <v>208</v>
      </c>
      <c r="O362" s="540"/>
      <c r="P362" s="446"/>
      <c r="Q362" s="304">
        <v>160210.04999999999</v>
      </c>
      <c r="R362" s="574" t="s">
        <v>700</v>
      </c>
      <c r="S362" s="609" t="s">
        <v>701</v>
      </c>
      <c r="T362" s="674">
        <v>45991</v>
      </c>
      <c r="U362" s="493"/>
      <c r="V362" s="864"/>
      <c r="W362" s="524">
        <v>46003</v>
      </c>
      <c r="X362" s="851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61"/>
      <c r="J363" s="861"/>
      <c r="K363" s="277"/>
      <c r="L363" s="300">
        <v>15</v>
      </c>
      <c r="M363" s="378" t="s">
        <v>662</v>
      </c>
      <c r="N363" s="302" t="s">
        <v>702</v>
      </c>
      <c r="O363" s="540"/>
      <c r="P363" s="446"/>
      <c r="Q363" s="304">
        <v>1200</v>
      </c>
      <c r="R363" s="574" t="s">
        <v>703</v>
      </c>
      <c r="S363" s="609" t="s">
        <v>704</v>
      </c>
      <c r="T363" s="751">
        <v>45961</v>
      </c>
      <c r="U363" s="493"/>
      <c r="V363" s="864"/>
      <c r="W363" s="756">
        <v>45946</v>
      </c>
      <c r="X363" s="851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61"/>
      <c r="J364" s="861"/>
      <c r="K364" s="277"/>
      <c r="L364" s="300">
        <v>15</v>
      </c>
      <c r="M364" s="378" t="s">
        <v>662</v>
      </c>
      <c r="N364" s="302" t="s">
        <v>702</v>
      </c>
      <c r="O364" s="540"/>
      <c r="P364" s="446"/>
      <c r="Q364" s="304">
        <v>1200</v>
      </c>
      <c r="R364" s="574" t="s">
        <v>705</v>
      </c>
      <c r="S364" s="609" t="s">
        <v>706</v>
      </c>
      <c r="T364" s="674">
        <v>46022</v>
      </c>
      <c r="U364" s="493"/>
      <c r="V364" s="864"/>
      <c r="W364" s="524">
        <v>46003</v>
      </c>
      <c r="X364" s="851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61"/>
      <c r="J365" s="861"/>
      <c r="K365" s="277"/>
      <c r="L365" s="300">
        <v>15</v>
      </c>
      <c r="M365" s="378" t="s">
        <v>662</v>
      </c>
      <c r="N365" s="302" t="s">
        <v>702</v>
      </c>
      <c r="O365" s="540"/>
      <c r="P365" s="446"/>
      <c r="Q365" s="304">
        <v>1200</v>
      </c>
      <c r="R365" s="574" t="s">
        <v>707</v>
      </c>
      <c r="S365" s="609" t="s">
        <v>708</v>
      </c>
      <c r="T365" s="674">
        <v>46053</v>
      </c>
      <c r="U365" s="493"/>
      <c r="V365" s="864"/>
      <c r="W365" s="560">
        <v>46086</v>
      </c>
      <c r="X365" s="851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61"/>
      <c r="J366" s="861"/>
      <c r="K366" s="277"/>
      <c r="L366" s="300">
        <v>15</v>
      </c>
      <c r="M366" s="378" t="s">
        <v>662</v>
      </c>
      <c r="N366" s="302" t="s">
        <v>702</v>
      </c>
      <c r="O366" s="540"/>
      <c r="P366" s="446"/>
      <c r="Q366" s="304"/>
      <c r="R366" s="574"/>
      <c r="S366" s="609"/>
      <c r="T366" s="509"/>
      <c r="U366" s="493"/>
      <c r="V366" s="864"/>
      <c r="W366" s="560"/>
      <c r="X366" s="851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61"/>
      <c r="J367" s="861"/>
      <c r="K367" s="277"/>
      <c r="L367" s="300">
        <v>15</v>
      </c>
      <c r="M367" s="378" t="s">
        <v>662</v>
      </c>
      <c r="N367" s="302" t="s">
        <v>702</v>
      </c>
      <c r="O367" s="540"/>
      <c r="P367" s="446"/>
      <c r="Q367" s="304"/>
      <c r="R367" s="574"/>
      <c r="S367" s="609"/>
      <c r="T367" s="509"/>
      <c r="U367" s="493"/>
      <c r="V367" s="864"/>
      <c r="W367" s="560"/>
      <c r="X367" s="851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61"/>
      <c r="J368" s="861"/>
      <c r="K368" s="277"/>
      <c r="L368" s="300">
        <v>15</v>
      </c>
      <c r="M368" s="378" t="s">
        <v>662</v>
      </c>
      <c r="N368" s="302" t="s">
        <v>709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46142</v>
      </c>
      <c r="U368" s="493"/>
      <c r="V368" s="864"/>
      <c r="W368" s="560">
        <f>T368</f>
        <v>46142</v>
      </c>
      <c r="X368" s="851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61"/>
      <c r="J369" s="861"/>
      <c r="K369" s="277"/>
      <c r="L369" s="300">
        <v>15</v>
      </c>
      <c r="M369" s="378" t="s">
        <v>662</v>
      </c>
      <c r="N369" s="302" t="s">
        <v>710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46142</v>
      </c>
      <c r="U369" s="493"/>
      <c r="V369" s="864"/>
      <c r="W369" s="560">
        <f>T369</f>
        <v>46142</v>
      </c>
      <c r="X369" s="851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61"/>
      <c r="J370" s="861"/>
      <c r="K370" s="277"/>
      <c r="L370" s="300">
        <v>15</v>
      </c>
      <c r="M370" s="378" t="s">
        <v>662</v>
      </c>
      <c r="N370" s="302" t="s">
        <v>711</v>
      </c>
      <c r="O370" s="540"/>
      <c r="P370" s="446"/>
      <c r="Q370" s="304">
        <v>250000</v>
      </c>
      <c r="R370" s="574"/>
      <c r="S370" s="609"/>
      <c r="T370" s="509">
        <v>46142</v>
      </c>
      <c r="U370" s="493"/>
      <c r="V370" s="864"/>
      <c r="W370" s="560">
        <f>T370</f>
        <v>46142</v>
      </c>
      <c r="X370" s="851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61"/>
      <c r="J371" s="861"/>
      <c r="K371" s="277"/>
      <c r="L371" s="300">
        <v>15</v>
      </c>
      <c r="M371" s="378" t="s">
        <v>662</v>
      </c>
      <c r="N371" s="302"/>
      <c r="O371" s="540"/>
      <c r="P371" s="446"/>
      <c r="Q371" s="304"/>
      <c r="R371" s="574"/>
      <c r="S371" s="609"/>
      <c r="T371" s="509"/>
      <c r="U371" s="493"/>
      <c r="V371" s="864"/>
      <c r="W371" s="560"/>
      <c r="X371" s="851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61"/>
      <c r="J372" s="861"/>
      <c r="K372" s="277"/>
      <c r="L372" s="300">
        <v>15</v>
      </c>
      <c r="M372" s="378" t="s">
        <v>662</v>
      </c>
      <c r="N372" s="302" t="s">
        <v>712</v>
      </c>
      <c r="O372" s="540"/>
      <c r="P372" s="446"/>
      <c r="Q372" s="604">
        <v>0</v>
      </c>
      <c r="R372" s="574"/>
      <c r="S372" s="609"/>
      <c r="T372" s="509"/>
      <c r="U372" s="493"/>
      <c r="V372" s="864"/>
      <c r="W372" s="560"/>
      <c r="X372" s="851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61"/>
      <c r="J373" s="861"/>
      <c r="K373" s="277"/>
      <c r="L373" s="300">
        <v>15</v>
      </c>
      <c r="M373" s="378" t="s">
        <v>662</v>
      </c>
      <c r="N373" s="302" t="s">
        <v>713</v>
      </c>
      <c r="O373" s="540"/>
      <c r="P373" s="446"/>
      <c r="Q373" s="304">
        <v>271125.69</v>
      </c>
      <c r="R373" s="574"/>
      <c r="S373" s="609" t="s">
        <v>714</v>
      </c>
      <c r="T373" s="751">
        <v>46053</v>
      </c>
      <c r="U373" s="493"/>
      <c r="V373" s="864"/>
      <c r="W373" s="524">
        <v>46051</v>
      </c>
      <c r="X373" s="851"/>
      <c r="Y373" s="472"/>
    </row>
    <row r="374" spans="2:25">
      <c r="B374" s="300"/>
      <c r="C374" s="302"/>
      <c r="D374" s="302"/>
      <c r="E374" s="303"/>
      <c r="F374" s="446"/>
      <c r="G374" s="304"/>
      <c r="H374" s="560"/>
      <c r="I374" s="861"/>
      <c r="J374" s="861"/>
      <c r="K374" s="277"/>
      <c r="L374" s="300">
        <v>15</v>
      </c>
      <c r="M374" s="378" t="s">
        <v>662</v>
      </c>
      <c r="N374" s="302" t="s">
        <v>715</v>
      </c>
      <c r="O374" s="540"/>
      <c r="P374" s="446"/>
      <c r="Q374" s="304">
        <v>496745.53</v>
      </c>
      <c r="R374" s="574"/>
      <c r="S374" s="609" t="s">
        <v>716</v>
      </c>
      <c r="T374" s="674">
        <v>46081</v>
      </c>
      <c r="U374" s="493"/>
      <c r="V374" s="864"/>
      <c r="W374" s="756">
        <v>46079</v>
      </c>
      <c r="X374" s="851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61"/>
      <c r="J375" s="861"/>
      <c r="K375" s="277"/>
      <c r="L375" s="300">
        <v>15</v>
      </c>
      <c r="M375" s="378" t="s">
        <v>662</v>
      </c>
      <c r="N375" s="302" t="s">
        <v>717</v>
      </c>
      <c r="O375" s="540"/>
      <c r="P375" s="446"/>
      <c r="Q375" s="304">
        <v>11500</v>
      </c>
      <c r="R375" s="574"/>
      <c r="S375" s="609"/>
      <c r="T375" s="509">
        <v>46112</v>
      </c>
      <c r="U375" s="493"/>
      <c r="V375" s="864"/>
      <c r="W375" s="560">
        <f>T375+30</f>
        <v>46142</v>
      </c>
      <c r="X375" s="851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62"/>
      <c r="J376" s="862"/>
      <c r="K376" s="278"/>
      <c r="L376" s="305">
        <v>15</v>
      </c>
      <c r="M376" s="407" t="s">
        <v>662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65"/>
      <c r="W376" s="562"/>
      <c r="X376" s="852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718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719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720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721</v>
      </c>
      <c r="P383" s="761">
        <v>45982</v>
      </c>
    </row>
    <row r="384" spans="2:25">
      <c r="B384" s="112"/>
      <c r="C384" s="626" t="s">
        <v>722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723</v>
      </c>
      <c r="P384" s="761">
        <f>'Project Plan'!I99</f>
        <v>46006</v>
      </c>
    </row>
    <row r="385" spans="2:75">
      <c r="B385" s="112"/>
      <c r="C385" s="626" t="s">
        <v>724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725</v>
      </c>
      <c r="P385" s="474">
        <f>P384-P383</f>
        <v>24</v>
      </c>
      <c r="BV385" s="24"/>
      <c r="BW385" s="24"/>
    </row>
    <row r="386" spans="2:75">
      <c r="B386" s="112"/>
      <c r="C386" s="626" t="s">
        <v>726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727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728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729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730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731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732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733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734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735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736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737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738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739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740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741</v>
      </c>
      <c r="D403" s="626"/>
      <c r="E403" s="534"/>
      <c r="F403" s="626"/>
      <c r="I403" s="245"/>
      <c r="J403" s="245"/>
    </row>
    <row r="404" spans="3:10" s="112" customFormat="1">
      <c r="C404" s="626" t="s">
        <v>742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  <mergeCell ref="J302:J324"/>
    <mergeCell ref="X302:X324"/>
    <mergeCell ref="I326:I337"/>
    <mergeCell ref="J326:J337"/>
    <mergeCell ref="X326:X337"/>
    <mergeCell ref="V302:V324"/>
    <mergeCell ref="V326:V337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I184:I226"/>
    <mergeCell ref="J184:J226"/>
    <mergeCell ref="X184:X226"/>
    <mergeCell ref="V162:V182"/>
    <mergeCell ref="V184:V226"/>
    <mergeCell ref="R175:R176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74:I95"/>
    <mergeCell ref="J74:J95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743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744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745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9"/>
      <c r="B6" s="189" t="s">
        <v>746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747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748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749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750</v>
      </c>
      <c r="C11" s="203">
        <f>'Revenue Tracking'!F5</f>
        <v>47843864.496446103</v>
      </c>
      <c r="D11" s="203">
        <f>SUM(F11:LD11)</f>
        <v>47843864.496446066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685515.53</v>
      </c>
      <c r="BL11" s="204">
        <f>SUMIFS('Expenditure Breakdown'!$Q$6:$Q$384, 'Expenditure Breakdown'!$W$6:$W$384, "&gt;="&amp;BL1,'Expenditure Breakdown'!$W$6:$W$384, "&lt;"&amp;BM1)</f>
        <v>373424.38</v>
      </c>
      <c r="BM11" s="204">
        <f>SUMIFS('Expenditure Breakdown'!$Q$6:$Q$384, 'Expenditure Breakdown'!$W$6:$W$384, "&gt;="&amp;BM1,'Expenditure Breakdown'!$W$6:$W$384, "&lt;"&amp;BN1)</f>
        <v>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2843</v>
      </c>
      <c r="BP11" s="204">
        <f>SUMIFS('Expenditure Breakdown'!$Q$6:$Q$384, 'Expenditure Breakdown'!$W$6:$W$384, "&gt;="&amp;BP1,'Expenditure Breakdown'!$W$6:$W$384, "&lt;"&amp;BQ1)</f>
        <v>631196.66666666663</v>
      </c>
      <c r="BQ11" s="204">
        <f>SUMIFS('Expenditure Breakdown'!$Q$6:$Q$384, 'Expenditure Breakdown'!$W$6:$W$384, "&gt;="&amp;BQ1,'Expenditure Breakdown'!$W$6:$W$384, "&lt;"&amp;BR1)</f>
        <v>55801.279999999999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700699.66666666674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600000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82140.666666666672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9"/>
      <c r="B12" s="202" t="s">
        <v>751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44358492.836446092</v>
      </c>
      <c r="BL12" s="204">
        <f t="shared" si="26"/>
        <v>44731917.216446094</v>
      </c>
      <c r="BM12" s="204">
        <f t="shared" si="26"/>
        <v>44731917.216446094</v>
      </c>
      <c r="BN12" s="204">
        <f t="shared" si="26"/>
        <v>44731917.216446094</v>
      </c>
      <c r="BO12" s="204">
        <f t="shared" si="26"/>
        <v>44734760.216446094</v>
      </c>
      <c r="BP12" s="204">
        <f t="shared" si="26"/>
        <v>45365956.883112758</v>
      </c>
      <c r="BQ12" s="204">
        <f t="shared" si="26"/>
        <v>45421758.16311276</v>
      </c>
      <c r="BR12" s="204">
        <f t="shared" si="26"/>
        <v>45421758.16311276</v>
      </c>
      <c r="BS12" s="204">
        <f t="shared" si="26"/>
        <v>45421758.16311276</v>
      </c>
      <c r="BT12" s="204">
        <f t="shared" si="26"/>
        <v>46122457.829779424</v>
      </c>
      <c r="BU12" s="204">
        <f t="shared" ref="BU12:EF12" si="27">BT12+BU11</f>
        <v>46122457.829779424</v>
      </c>
      <c r="BV12" s="204">
        <f t="shared" si="27"/>
        <v>46722457.829779424</v>
      </c>
      <c r="BW12" s="204">
        <f t="shared" si="27"/>
        <v>46722457.829779424</v>
      </c>
      <c r="BX12" s="204">
        <f t="shared" si="27"/>
        <v>46804598.496446088</v>
      </c>
      <c r="BY12" s="204">
        <f t="shared" si="27"/>
        <v>46804598.496446088</v>
      </c>
      <c r="BZ12" s="204">
        <f t="shared" si="27"/>
        <v>46804598.496446088</v>
      </c>
      <c r="CA12" s="204">
        <f t="shared" si="27"/>
        <v>46804598.496446088</v>
      </c>
      <c r="CB12" s="204">
        <f t="shared" si="27"/>
        <v>46804598.496446088</v>
      </c>
      <c r="CC12" s="204">
        <f t="shared" si="27"/>
        <v>46886739.163112752</v>
      </c>
      <c r="CD12" s="204">
        <f t="shared" si="27"/>
        <v>46886739.163112752</v>
      </c>
      <c r="CE12" s="204">
        <f t="shared" si="27"/>
        <v>46886739.163112752</v>
      </c>
      <c r="CF12" s="204">
        <f t="shared" si="27"/>
        <v>46886739.163112752</v>
      </c>
      <c r="CG12" s="204">
        <f t="shared" si="27"/>
        <v>46968879.829779416</v>
      </c>
      <c r="CH12" s="204">
        <f t="shared" si="27"/>
        <v>46968879.829779416</v>
      </c>
      <c r="CI12" s="204">
        <f t="shared" si="27"/>
        <v>46968879.829779416</v>
      </c>
      <c r="CJ12" s="204">
        <f t="shared" si="27"/>
        <v>46968879.829779416</v>
      </c>
      <c r="CK12" s="204">
        <f t="shared" si="27"/>
        <v>46968879.829779416</v>
      </c>
      <c r="CL12" s="204">
        <f t="shared" si="27"/>
        <v>47051020.496446081</v>
      </c>
      <c r="CM12" s="204">
        <f t="shared" si="27"/>
        <v>47051020.496446081</v>
      </c>
      <c r="CN12" s="204">
        <f t="shared" si="27"/>
        <v>47051020.496446081</v>
      </c>
      <c r="CO12" s="204">
        <f t="shared" si="27"/>
        <v>47051020.496446081</v>
      </c>
      <c r="CP12" s="204">
        <f t="shared" si="27"/>
        <v>47133161.163112745</v>
      </c>
      <c r="CQ12" s="204">
        <f t="shared" si="27"/>
        <v>47133161.163112745</v>
      </c>
      <c r="CR12" s="204">
        <f t="shared" si="27"/>
        <v>47133161.163112745</v>
      </c>
      <c r="CS12" s="204">
        <f t="shared" si="27"/>
        <v>47133161.163112745</v>
      </c>
      <c r="CT12" s="204">
        <f t="shared" si="27"/>
        <v>47215301.829779409</v>
      </c>
      <c r="CU12" s="204">
        <f t="shared" si="27"/>
        <v>47215301.829779409</v>
      </c>
      <c r="CV12" s="204">
        <f t="shared" si="27"/>
        <v>47215301.829779409</v>
      </c>
      <c r="CW12" s="204">
        <f t="shared" si="27"/>
        <v>47215301.829779409</v>
      </c>
      <c r="CX12" s="204">
        <f t="shared" si="27"/>
        <v>47215301.829779409</v>
      </c>
      <c r="CY12" s="204">
        <f t="shared" si="27"/>
        <v>47597442.496446073</v>
      </c>
      <c r="CZ12" s="204">
        <f t="shared" si="27"/>
        <v>47597442.496446073</v>
      </c>
      <c r="DA12" s="204">
        <f t="shared" si="27"/>
        <v>47597442.496446073</v>
      </c>
      <c r="DB12" s="204">
        <f t="shared" si="27"/>
        <v>47597442.496446073</v>
      </c>
      <c r="DC12" s="204">
        <f t="shared" si="27"/>
        <v>47679583.163112737</v>
      </c>
      <c r="DD12" s="204">
        <f t="shared" si="27"/>
        <v>47679583.163112737</v>
      </c>
      <c r="DE12" s="204">
        <f t="shared" si="27"/>
        <v>47679583.163112737</v>
      </c>
      <c r="DF12" s="204">
        <f t="shared" si="27"/>
        <v>47679583.163112737</v>
      </c>
      <c r="DG12" s="204">
        <f t="shared" si="27"/>
        <v>47761723.829779401</v>
      </c>
      <c r="DH12" s="204">
        <f t="shared" si="27"/>
        <v>47761723.829779401</v>
      </c>
      <c r="DI12" s="204">
        <f t="shared" si="27"/>
        <v>47761723.829779401</v>
      </c>
      <c r="DJ12" s="204">
        <f t="shared" si="27"/>
        <v>47761723.829779401</v>
      </c>
      <c r="DK12" s="204">
        <f t="shared" si="27"/>
        <v>47843864.496446066</v>
      </c>
      <c r="DL12" s="204">
        <f t="shared" si="27"/>
        <v>47843864.496446066</v>
      </c>
      <c r="DM12" s="204">
        <f t="shared" si="27"/>
        <v>47843864.496446066</v>
      </c>
      <c r="DN12" s="204">
        <f t="shared" si="27"/>
        <v>47843864.496446066</v>
      </c>
      <c r="DO12" s="204">
        <f t="shared" si="27"/>
        <v>47843864.496446066</v>
      </c>
      <c r="DP12" s="204">
        <f t="shared" si="27"/>
        <v>47843864.496446066</v>
      </c>
      <c r="DQ12" s="204">
        <f t="shared" si="27"/>
        <v>47843864.496446066</v>
      </c>
      <c r="DR12" s="204">
        <f t="shared" si="27"/>
        <v>47843864.496446066</v>
      </c>
      <c r="DS12" s="204">
        <f t="shared" si="27"/>
        <v>47843864.496446066</v>
      </c>
      <c r="DT12" s="204">
        <f t="shared" si="27"/>
        <v>47843864.496446066</v>
      </c>
      <c r="DU12" s="204">
        <f t="shared" si="27"/>
        <v>47843864.496446066</v>
      </c>
      <c r="DV12" s="204">
        <f t="shared" si="27"/>
        <v>47843864.496446066</v>
      </c>
      <c r="DW12" s="204">
        <f t="shared" si="27"/>
        <v>47843864.496446066</v>
      </c>
      <c r="DX12" s="204">
        <f t="shared" si="27"/>
        <v>47843864.496446066</v>
      </c>
      <c r="DY12" s="204">
        <f t="shared" si="27"/>
        <v>47843864.496446066</v>
      </c>
      <c r="DZ12" s="204">
        <f t="shared" si="27"/>
        <v>47843864.496446066</v>
      </c>
      <c r="EA12" s="204">
        <f t="shared" si="27"/>
        <v>47843864.496446066</v>
      </c>
      <c r="EB12" s="204">
        <f t="shared" si="27"/>
        <v>47843864.496446066</v>
      </c>
      <c r="EC12" s="204">
        <f t="shared" si="27"/>
        <v>47843864.496446066</v>
      </c>
      <c r="ED12" s="204">
        <f t="shared" si="27"/>
        <v>47843864.496446066</v>
      </c>
      <c r="EE12" s="204">
        <f t="shared" si="27"/>
        <v>47843864.496446066</v>
      </c>
      <c r="EF12" s="204">
        <f t="shared" si="27"/>
        <v>47843864.496446066</v>
      </c>
      <c r="EG12" s="204">
        <f t="shared" ref="EG12:GR12" si="28">EF12+EG11</f>
        <v>47843864.496446066</v>
      </c>
      <c r="EH12" s="204">
        <f t="shared" si="28"/>
        <v>47843864.496446066</v>
      </c>
      <c r="EI12" s="204">
        <f t="shared" si="28"/>
        <v>47843864.496446066</v>
      </c>
      <c r="EJ12" s="204">
        <f t="shared" si="28"/>
        <v>47843864.496446066</v>
      </c>
      <c r="EK12" s="204">
        <f t="shared" si="28"/>
        <v>47843864.496446066</v>
      </c>
      <c r="EL12" s="204">
        <f t="shared" si="28"/>
        <v>47843864.496446066</v>
      </c>
      <c r="EM12" s="204">
        <f t="shared" si="28"/>
        <v>47843864.496446066</v>
      </c>
      <c r="EN12" s="204">
        <f t="shared" si="28"/>
        <v>47843864.496446066</v>
      </c>
      <c r="EO12" s="204">
        <f t="shared" si="28"/>
        <v>47843864.496446066</v>
      </c>
      <c r="EP12" s="204">
        <f t="shared" si="28"/>
        <v>47843864.496446066</v>
      </c>
      <c r="EQ12" s="204">
        <f t="shared" si="28"/>
        <v>47843864.496446066</v>
      </c>
      <c r="ER12" s="204">
        <f t="shared" si="28"/>
        <v>47843864.496446066</v>
      </c>
      <c r="ES12" s="204">
        <f t="shared" si="28"/>
        <v>47843864.496446066</v>
      </c>
      <c r="ET12" s="204">
        <f t="shared" si="28"/>
        <v>47843864.496446066</v>
      </c>
      <c r="EU12" s="204">
        <f t="shared" si="28"/>
        <v>47843864.496446066</v>
      </c>
      <c r="EV12" s="204">
        <f t="shared" si="28"/>
        <v>47843864.496446066</v>
      </c>
      <c r="EW12" s="204">
        <f t="shared" si="28"/>
        <v>47843864.496446066</v>
      </c>
      <c r="EX12" s="204">
        <f t="shared" si="28"/>
        <v>47843864.496446066</v>
      </c>
      <c r="EY12" s="204">
        <f t="shared" si="28"/>
        <v>47843864.496446066</v>
      </c>
      <c r="EZ12" s="204">
        <f t="shared" si="28"/>
        <v>47843864.496446066</v>
      </c>
      <c r="FA12" s="204">
        <f t="shared" si="28"/>
        <v>47843864.496446066</v>
      </c>
      <c r="FB12" s="204">
        <f t="shared" si="28"/>
        <v>47843864.496446066</v>
      </c>
      <c r="FC12" s="204">
        <f t="shared" si="28"/>
        <v>47843864.496446066</v>
      </c>
      <c r="FD12" s="204">
        <f t="shared" si="28"/>
        <v>47843864.496446066</v>
      </c>
      <c r="FE12" s="204">
        <f t="shared" si="28"/>
        <v>47843864.496446066</v>
      </c>
      <c r="FF12" s="204">
        <f t="shared" si="28"/>
        <v>47843864.496446066</v>
      </c>
      <c r="FG12" s="204">
        <f t="shared" si="28"/>
        <v>47843864.496446066</v>
      </c>
      <c r="FH12" s="204">
        <f t="shared" si="28"/>
        <v>47843864.496446066</v>
      </c>
      <c r="FI12" s="204">
        <f t="shared" si="28"/>
        <v>47843864.496446066</v>
      </c>
      <c r="FJ12" s="204">
        <f t="shared" si="28"/>
        <v>47843864.496446066</v>
      </c>
      <c r="FK12" s="204">
        <f t="shared" si="28"/>
        <v>47843864.496446066</v>
      </c>
      <c r="FL12" s="204">
        <f t="shared" si="28"/>
        <v>47843864.496446066</v>
      </c>
      <c r="FM12" s="204">
        <f t="shared" si="28"/>
        <v>47843864.496446066</v>
      </c>
      <c r="FN12" s="204">
        <f t="shared" si="28"/>
        <v>47843864.496446066</v>
      </c>
      <c r="FO12" s="204">
        <f t="shared" si="28"/>
        <v>47843864.496446066</v>
      </c>
      <c r="FP12" s="204">
        <f t="shared" si="28"/>
        <v>47843864.496446066</v>
      </c>
      <c r="FQ12" s="204">
        <f t="shared" si="28"/>
        <v>47843864.496446066</v>
      </c>
      <c r="FR12" s="204">
        <f t="shared" si="28"/>
        <v>47843864.496446066</v>
      </c>
      <c r="FS12" s="204">
        <f t="shared" si="28"/>
        <v>47843864.496446066</v>
      </c>
      <c r="FT12" s="204">
        <f t="shared" si="28"/>
        <v>47843864.496446066</v>
      </c>
      <c r="FU12" s="204">
        <f t="shared" si="28"/>
        <v>47843864.496446066</v>
      </c>
      <c r="FV12" s="204">
        <f t="shared" si="28"/>
        <v>47843864.496446066</v>
      </c>
      <c r="FW12" s="204">
        <f t="shared" si="28"/>
        <v>47843864.496446066</v>
      </c>
      <c r="FX12" s="204">
        <f t="shared" si="28"/>
        <v>47843864.496446066</v>
      </c>
      <c r="FY12" s="204">
        <f t="shared" si="28"/>
        <v>47843864.496446066</v>
      </c>
      <c r="FZ12" s="204">
        <f t="shared" si="28"/>
        <v>47843864.496446066</v>
      </c>
      <c r="GA12" s="204">
        <f t="shared" si="28"/>
        <v>47843864.496446066</v>
      </c>
      <c r="GB12" s="204">
        <f t="shared" si="28"/>
        <v>47843864.496446066</v>
      </c>
      <c r="GC12" s="204">
        <f t="shared" si="28"/>
        <v>47843864.496446066</v>
      </c>
      <c r="GD12" s="204">
        <f t="shared" si="28"/>
        <v>47843864.496446066</v>
      </c>
      <c r="GE12" s="204">
        <f t="shared" si="28"/>
        <v>47843864.496446066</v>
      </c>
      <c r="GF12" s="204">
        <f t="shared" si="28"/>
        <v>47843864.496446066</v>
      </c>
      <c r="GG12" s="204">
        <f t="shared" si="28"/>
        <v>47843864.496446066</v>
      </c>
      <c r="GH12" s="204">
        <f t="shared" si="28"/>
        <v>47843864.496446066</v>
      </c>
      <c r="GI12" s="204">
        <f t="shared" si="28"/>
        <v>47843864.496446066</v>
      </c>
      <c r="GJ12" s="204">
        <f t="shared" si="28"/>
        <v>47843864.496446066</v>
      </c>
      <c r="GK12" s="204">
        <f t="shared" si="28"/>
        <v>47843864.496446066</v>
      </c>
      <c r="GL12" s="204">
        <f t="shared" si="28"/>
        <v>47843864.496446066</v>
      </c>
      <c r="GM12" s="204">
        <f t="shared" si="28"/>
        <v>47843864.496446066</v>
      </c>
      <c r="GN12" s="204">
        <f t="shared" si="28"/>
        <v>47843864.496446066</v>
      </c>
      <c r="GO12" s="204">
        <f t="shared" si="28"/>
        <v>47843864.496446066</v>
      </c>
      <c r="GP12" s="204">
        <f t="shared" si="28"/>
        <v>47843864.496446066</v>
      </c>
      <c r="GQ12" s="204">
        <f t="shared" si="28"/>
        <v>47843864.496446066</v>
      </c>
      <c r="GR12" s="204">
        <f t="shared" si="28"/>
        <v>47843864.496446066</v>
      </c>
      <c r="GS12" s="204">
        <f t="shared" ref="GS12:JD12" si="29">GR12+GS11</f>
        <v>47843864.496446066</v>
      </c>
      <c r="GT12" s="204">
        <f t="shared" si="29"/>
        <v>47843864.496446066</v>
      </c>
      <c r="GU12" s="204">
        <f t="shared" si="29"/>
        <v>47843864.496446066</v>
      </c>
      <c r="GV12" s="204">
        <f t="shared" si="29"/>
        <v>47843864.496446066</v>
      </c>
      <c r="GW12" s="204">
        <f t="shared" si="29"/>
        <v>47843864.496446066</v>
      </c>
      <c r="GX12" s="204">
        <f t="shared" si="29"/>
        <v>47843864.496446066</v>
      </c>
      <c r="GY12" s="204">
        <f t="shared" si="29"/>
        <v>47843864.496446066</v>
      </c>
      <c r="GZ12" s="204">
        <f t="shared" si="29"/>
        <v>47843864.496446066</v>
      </c>
      <c r="HA12" s="204">
        <f t="shared" si="29"/>
        <v>47843864.496446066</v>
      </c>
      <c r="HB12" s="204">
        <f t="shared" si="29"/>
        <v>47843864.496446066</v>
      </c>
      <c r="HC12" s="204">
        <f t="shared" si="29"/>
        <v>47843864.496446066</v>
      </c>
      <c r="HD12" s="204">
        <f t="shared" si="29"/>
        <v>47843864.496446066</v>
      </c>
      <c r="HE12" s="204">
        <f t="shared" si="29"/>
        <v>47843864.496446066</v>
      </c>
      <c r="HF12" s="204">
        <f t="shared" si="29"/>
        <v>47843864.496446066</v>
      </c>
      <c r="HG12" s="204">
        <f t="shared" si="29"/>
        <v>47843864.496446066</v>
      </c>
      <c r="HH12" s="204">
        <f t="shared" si="29"/>
        <v>47843864.496446066</v>
      </c>
      <c r="HI12" s="204">
        <f t="shared" si="29"/>
        <v>47843864.496446066</v>
      </c>
      <c r="HJ12" s="204">
        <f t="shared" si="29"/>
        <v>47843864.496446066</v>
      </c>
      <c r="HK12" s="204">
        <f t="shared" si="29"/>
        <v>47843864.496446066</v>
      </c>
      <c r="HL12" s="204">
        <f t="shared" si="29"/>
        <v>47843864.496446066</v>
      </c>
      <c r="HM12" s="204">
        <f t="shared" si="29"/>
        <v>47843864.496446066</v>
      </c>
      <c r="HN12" s="204">
        <f t="shared" si="29"/>
        <v>47843864.496446066</v>
      </c>
      <c r="HO12" s="204">
        <f t="shared" si="29"/>
        <v>47843864.496446066</v>
      </c>
      <c r="HP12" s="204">
        <f t="shared" si="29"/>
        <v>47843864.496446066</v>
      </c>
      <c r="HQ12" s="204">
        <f t="shared" si="29"/>
        <v>47843864.496446066</v>
      </c>
      <c r="HR12" s="204">
        <f t="shared" si="29"/>
        <v>47843864.496446066</v>
      </c>
      <c r="HS12" s="204">
        <f t="shared" si="29"/>
        <v>47843864.496446066</v>
      </c>
      <c r="HT12" s="204">
        <f t="shared" si="29"/>
        <v>47843864.496446066</v>
      </c>
      <c r="HU12" s="204">
        <f t="shared" si="29"/>
        <v>47843864.496446066</v>
      </c>
      <c r="HV12" s="204">
        <f t="shared" si="29"/>
        <v>47843864.496446066</v>
      </c>
      <c r="HW12" s="204">
        <f t="shared" si="29"/>
        <v>47843864.496446066</v>
      </c>
      <c r="HX12" s="204">
        <f t="shared" si="29"/>
        <v>47843864.496446066</v>
      </c>
      <c r="HY12" s="204">
        <f t="shared" si="29"/>
        <v>47843864.496446066</v>
      </c>
      <c r="HZ12" s="204">
        <f t="shared" si="29"/>
        <v>47843864.496446066</v>
      </c>
      <c r="IA12" s="204">
        <f t="shared" si="29"/>
        <v>47843864.496446066</v>
      </c>
      <c r="IB12" s="204">
        <f t="shared" si="29"/>
        <v>47843864.496446066</v>
      </c>
      <c r="IC12" s="204">
        <f t="shared" si="29"/>
        <v>47843864.496446066</v>
      </c>
      <c r="ID12" s="204">
        <f t="shared" si="29"/>
        <v>47843864.496446066</v>
      </c>
      <c r="IE12" s="204">
        <f t="shared" si="29"/>
        <v>47843864.496446066</v>
      </c>
      <c r="IF12" s="204">
        <f t="shared" si="29"/>
        <v>47843864.496446066</v>
      </c>
      <c r="IG12" s="204">
        <f t="shared" si="29"/>
        <v>47843864.496446066</v>
      </c>
      <c r="IH12" s="204">
        <f t="shared" si="29"/>
        <v>47843864.496446066</v>
      </c>
      <c r="II12" s="204">
        <f t="shared" si="29"/>
        <v>47843864.496446066</v>
      </c>
      <c r="IJ12" s="204">
        <f t="shared" si="29"/>
        <v>47843864.496446066</v>
      </c>
      <c r="IK12" s="204">
        <f t="shared" si="29"/>
        <v>47843864.496446066</v>
      </c>
      <c r="IL12" s="204">
        <f t="shared" si="29"/>
        <v>47843864.496446066</v>
      </c>
      <c r="IM12" s="204">
        <f t="shared" si="29"/>
        <v>47843864.496446066</v>
      </c>
      <c r="IN12" s="204">
        <f t="shared" si="29"/>
        <v>47843864.496446066</v>
      </c>
      <c r="IO12" s="204">
        <f t="shared" si="29"/>
        <v>47843864.496446066</v>
      </c>
      <c r="IP12" s="204">
        <f t="shared" si="29"/>
        <v>47843864.496446066</v>
      </c>
      <c r="IQ12" s="204">
        <f t="shared" si="29"/>
        <v>47843864.496446066</v>
      </c>
      <c r="IR12" s="204">
        <f t="shared" si="29"/>
        <v>47843864.496446066</v>
      </c>
      <c r="IS12" s="204">
        <f t="shared" si="29"/>
        <v>47843864.496446066</v>
      </c>
      <c r="IT12" s="204">
        <f t="shared" si="29"/>
        <v>47843864.496446066</v>
      </c>
      <c r="IU12" s="204">
        <f t="shared" si="29"/>
        <v>47843864.496446066</v>
      </c>
      <c r="IV12" s="204">
        <f t="shared" si="29"/>
        <v>47843864.496446066</v>
      </c>
      <c r="IW12" s="204">
        <f t="shared" si="29"/>
        <v>47843864.496446066</v>
      </c>
      <c r="IX12" s="204">
        <f t="shared" si="29"/>
        <v>47843864.496446066</v>
      </c>
      <c r="IY12" s="204">
        <f t="shared" si="29"/>
        <v>47843864.496446066</v>
      </c>
      <c r="IZ12" s="204">
        <f t="shared" si="29"/>
        <v>47843864.496446066</v>
      </c>
      <c r="JA12" s="204">
        <f t="shared" si="29"/>
        <v>47843864.496446066</v>
      </c>
      <c r="JB12" s="204">
        <f t="shared" si="29"/>
        <v>47843864.496446066</v>
      </c>
      <c r="JC12" s="204">
        <f t="shared" si="29"/>
        <v>47843864.496446066</v>
      </c>
      <c r="JD12" s="204">
        <f t="shared" si="29"/>
        <v>47843864.496446066</v>
      </c>
      <c r="JE12" s="204">
        <f t="shared" ref="JE12:LD12" si="30">JD12+JE11</f>
        <v>47843864.496446066</v>
      </c>
      <c r="JF12" s="204">
        <f t="shared" si="30"/>
        <v>47843864.496446066</v>
      </c>
      <c r="JG12" s="204">
        <f t="shared" si="30"/>
        <v>47843864.496446066</v>
      </c>
      <c r="JH12" s="204">
        <f t="shared" si="30"/>
        <v>47843864.496446066</v>
      </c>
      <c r="JI12" s="204">
        <f t="shared" si="30"/>
        <v>47843864.496446066</v>
      </c>
      <c r="JJ12" s="204">
        <f t="shared" si="30"/>
        <v>47843864.496446066</v>
      </c>
      <c r="JK12" s="204">
        <f t="shared" si="30"/>
        <v>47843864.496446066</v>
      </c>
      <c r="JL12" s="204">
        <f t="shared" si="30"/>
        <v>47843864.496446066</v>
      </c>
      <c r="JM12" s="204">
        <f t="shared" si="30"/>
        <v>47843864.496446066</v>
      </c>
      <c r="JN12" s="204">
        <f t="shared" si="30"/>
        <v>47843864.496446066</v>
      </c>
      <c r="JO12" s="204">
        <f t="shared" si="30"/>
        <v>47843864.496446066</v>
      </c>
      <c r="JP12" s="204">
        <f t="shared" si="30"/>
        <v>47843864.496446066</v>
      </c>
      <c r="JQ12" s="204">
        <f t="shared" si="30"/>
        <v>47843864.496446066</v>
      </c>
      <c r="JR12" s="204">
        <f t="shared" si="30"/>
        <v>47843864.496446066</v>
      </c>
      <c r="JS12" s="204">
        <f t="shared" si="30"/>
        <v>47843864.496446066</v>
      </c>
      <c r="JT12" s="204">
        <f t="shared" si="30"/>
        <v>47843864.496446066</v>
      </c>
      <c r="JU12" s="204">
        <f t="shared" si="30"/>
        <v>47843864.496446066</v>
      </c>
      <c r="JV12" s="204">
        <f t="shared" si="30"/>
        <v>47843864.496446066</v>
      </c>
      <c r="JW12" s="204">
        <f t="shared" si="30"/>
        <v>47843864.496446066</v>
      </c>
      <c r="JX12" s="204">
        <f t="shared" si="30"/>
        <v>47843864.496446066</v>
      </c>
      <c r="JY12" s="204">
        <f t="shared" si="30"/>
        <v>47843864.496446066</v>
      </c>
      <c r="JZ12" s="204">
        <f t="shared" si="30"/>
        <v>47843864.496446066</v>
      </c>
      <c r="KA12" s="204">
        <f t="shared" si="30"/>
        <v>47843864.496446066</v>
      </c>
      <c r="KB12" s="204">
        <f t="shared" si="30"/>
        <v>47843864.496446066</v>
      </c>
      <c r="KC12" s="204">
        <f t="shared" si="30"/>
        <v>47843864.496446066</v>
      </c>
      <c r="KD12" s="204">
        <f t="shared" si="30"/>
        <v>47843864.496446066</v>
      </c>
      <c r="KE12" s="204">
        <f t="shared" si="30"/>
        <v>47843864.496446066</v>
      </c>
      <c r="KF12" s="204">
        <f t="shared" si="30"/>
        <v>47843864.496446066</v>
      </c>
      <c r="KG12" s="204">
        <f t="shared" si="30"/>
        <v>47843864.496446066</v>
      </c>
      <c r="KH12" s="204">
        <f t="shared" si="30"/>
        <v>47843864.496446066</v>
      </c>
      <c r="KI12" s="204">
        <f t="shared" si="30"/>
        <v>47843864.496446066</v>
      </c>
      <c r="KJ12" s="204">
        <f t="shared" si="30"/>
        <v>47843864.496446066</v>
      </c>
      <c r="KK12" s="204">
        <f t="shared" si="30"/>
        <v>47843864.496446066</v>
      </c>
      <c r="KL12" s="204">
        <f t="shared" si="30"/>
        <v>47843864.496446066</v>
      </c>
      <c r="KM12" s="204">
        <f t="shared" si="30"/>
        <v>47843864.496446066</v>
      </c>
      <c r="KN12" s="204">
        <f t="shared" si="30"/>
        <v>47843864.496446066</v>
      </c>
      <c r="KO12" s="204">
        <f t="shared" si="30"/>
        <v>47843864.496446066</v>
      </c>
      <c r="KP12" s="204">
        <f t="shared" si="30"/>
        <v>47843864.496446066</v>
      </c>
      <c r="KQ12" s="204">
        <f t="shared" si="30"/>
        <v>47843864.496446066</v>
      </c>
      <c r="KR12" s="204">
        <f t="shared" si="30"/>
        <v>47843864.496446066</v>
      </c>
      <c r="KS12" s="204">
        <f t="shared" si="30"/>
        <v>47843864.496446066</v>
      </c>
      <c r="KT12" s="204">
        <f t="shared" si="30"/>
        <v>47843864.496446066</v>
      </c>
      <c r="KU12" s="204">
        <f t="shared" si="30"/>
        <v>47843864.496446066</v>
      </c>
      <c r="KV12" s="204">
        <f t="shared" si="30"/>
        <v>47843864.496446066</v>
      </c>
      <c r="KW12" s="204">
        <f t="shared" si="30"/>
        <v>47843864.496446066</v>
      </c>
      <c r="KX12" s="204">
        <f t="shared" si="30"/>
        <v>47843864.496446066</v>
      </c>
      <c r="KY12" s="204">
        <f t="shared" si="30"/>
        <v>47843864.496446066</v>
      </c>
      <c r="KZ12" s="204">
        <f t="shared" si="30"/>
        <v>47843864.496446066</v>
      </c>
      <c r="LA12" s="204">
        <f t="shared" si="30"/>
        <v>47843864.496446066</v>
      </c>
      <c r="LB12" s="204">
        <f t="shared" si="30"/>
        <v>47843864.496446066</v>
      </c>
      <c r="LC12" s="204">
        <f t="shared" si="30"/>
        <v>47843864.496446066</v>
      </c>
      <c r="LD12" s="204">
        <f t="shared" si="30"/>
        <v>47843864.496446066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752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12636757.163553908</v>
      </c>
      <c r="BL14" s="197">
        <f t="shared" si="32"/>
        <v>12263332.783553906</v>
      </c>
      <c r="BM14" s="197">
        <f t="shared" si="32"/>
        <v>12263332.783553906</v>
      </c>
      <c r="BN14" s="197">
        <f t="shared" si="32"/>
        <v>12263332.783553906</v>
      </c>
      <c r="BO14" s="197">
        <f t="shared" si="32"/>
        <v>12260489.783553906</v>
      </c>
      <c r="BP14" s="197">
        <f t="shared" si="32"/>
        <v>11629293.116887242</v>
      </c>
      <c r="BQ14" s="197">
        <f t="shared" si="32"/>
        <v>11573491.83688724</v>
      </c>
      <c r="BR14" s="197">
        <f t="shared" si="32"/>
        <v>11573491.83688724</v>
      </c>
      <c r="BS14" s="197">
        <f t="shared" si="32"/>
        <v>11573491.83688724</v>
      </c>
      <c r="BT14" s="197">
        <f t="shared" si="32"/>
        <v>10872792.170220576</v>
      </c>
      <c r="BU14" s="197">
        <f t="shared" ref="BU14:EF14" si="33">BU10-BU12</f>
        <v>13872542.170220576</v>
      </c>
      <c r="BV14" s="197">
        <f t="shared" si="33"/>
        <v>13272542.170220576</v>
      </c>
      <c r="BW14" s="197">
        <f t="shared" si="33"/>
        <v>13272542.170220576</v>
      </c>
      <c r="BX14" s="197">
        <f t="shared" si="33"/>
        <v>13190401.503553912</v>
      </c>
      <c r="BY14" s="197">
        <f t="shared" si="33"/>
        <v>13190401.503553912</v>
      </c>
      <c r="BZ14" s="197">
        <f t="shared" si="33"/>
        <v>13190401.503553912</v>
      </c>
      <c r="CA14" s="197">
        <f t="shared" si="33"/>
        <v>13190401.503553912</v>
      </c>
      <c r="CB14" s="197">
        <f t="shared" si="33"/>
        <v>13190401.503553912</v>
      </c>
      <c r="CC14" s="197">
        <f t="shared" si="33"/>
        <v>13108260.836887248</v>
      </c>
      <c r="CD14" s="197">
        <f t="shared" si="33"/>
        <v>13108260.836887248</v>
      </c>
      <c r="CE14" s="197">
        <f t="shared" si="33"/>
        <v>13108260.836887248</v>
      </c>
      <c r="CF14" s="197">
        <f t="shared" si="33"/>
        <v>13108260.836887248</v>
      </c>
      <c r="CG14" s="197">
        <f t="shared" si="33"/>
        <v>13026120.170220584</v>
      </c>
      <c r="CH14" s="197">
        <f t="shared" si="33"/>
        <v>13026120.170220584</v>
      </c>
      <c r="CI14" s="197">
        <f t="shared" si="33"/>
        <v>13026120.170220584</v>
      </c>
      <c r="CJ14" s="197">
        <f t="shared" si="33"/>
        <v>13026120.170220584</v>
      </c>
      <c r="CK14" s="197">
        <f t="shared" si="33"/>
        <v>13026120.170220584</v>
      </c>
      <c r="CL14" s="197">
        <f t="shared" si="33"/>
        <v>12943979.503553919</v>
      </c>
      <c r="CM14" s="197">
        <f t="shared" si="33"/>
        <v>12943979.503553919</v>
      </c>
      <c r="CN14" s="197">
        <f t="shared" si="33"/>
        <v>12943979.503553919</v>
      </c>
      <c r="CO14" s="197">
        <f t="shared" si="33"/>
        <v>12943979.503553919</v>
      </c>
      <c r="CP14" s="197">
        <f t="shared" si="33"/>
        <v>12861838.836887255</v>
      </c>
      <c r="CQ14" s="197">
        <f t="shared" si="33"/>
        <v>12861838.836887255</v>
      </c>
      <c r="CR14" s="197">
        <f t="shared" si="33"/>
        <v>12861838.836887255</v>
      </c>
      <c r="CS14" s="197">
        <f t="shared" si="33"/>
        <v>12861838.836887255</v>
      </c>
      <c r="CT14" s="197">
        <f t="shared" si="33"/>
        <v>12779698.170220591</v>
      </c>
      <c r="CU14" s="197">
        <f t="shared" si="33"/>
        <v>12779698.170220591</v>
      </c>
      <c r="CV14" s="197">
        <f t="shared" si="33"/>
        <v>12779698.170220591</v>
      </c>
      <c r="CW14" s="197">
        <f t="shared" si="33"/>
        <v>12779698.170220591</v>
      </c>
      <c r="CX14" s="197">
        <f t="shared" si="33"/>
        <v>12779698.170220591</v>
      </c>
      <c r="CY14" s="197">
        <f t="shared" si="33"/>
        <v>12397557.503553927</v>
      </c>
      <c r="CZ14" s="197">
        <f t="shared" si="33"/>
        <v>12397557.503553927</v>
      </c>
      <c r="DA14" s="197">
        <f t="shared" si="33"/>
        <v>12397557.503553927</v>
      </c>
      <c r="DB14" s="197">
        <f t="shared" si="33"/>
        <v>12397557.503553927</v>
      </c>
      <c r="DC14" s="197">
        <f t="shared" si="33"/>
        <v>12315416.836887263</v>
      </c>
      <c r="DD14" s="197">
        <f t="shared" si="33"/>
        <v>12315416.836887263</v>
      </c>
      <c r="DE14" s="197">
        <f t="shared" si="33"/>
        <v>12315416.836887263</v>
      </c>
      <c r="DF14" s="197">
        <f t="shared" si="33"/>
        <v>12315416.836887263</v>
      </c>
      <c r="DG14" s="197">
        <f t="shared" si="33"/>
        <v>12233276.170220599</v>
      </c>
      <c r="DH14" s="197">
        <f t="shared" si="33"/>
        <v>12233276.170220599</v>
      </c>
      <c r="DI14" s="197">
        <f t="shared" si="33"/>
        <v>12233276.170220599</v>
      </c>
      <c r="DJ14" s="197">
        <f t="shared" si="33"/>
        <v>12233276.170220599</v>
      </c>
      <c r="DK14" s="197">
        <f t="shared" si="33"/>
        <v>12151135.503553934</v>
      </c>
      <c r="DL14" s="197">
        <f t="shared" si="33"/>
        <v>12151135.503553934</v>
      </c>
      <c r="DM14" s="197">
        <f t="shared" si="33"/>
        <v>12151135.503553934</v>
      </c>
      <c r="DN14" s="197">
        <f t="shared" si="33"/>
        <v>12151135.503553934</v>
      </c>
      <c r="DO14" s="197">
        <f t="shared" si="33"/>
        <v>12151135.503553934</v>
      </c>
      <c r="DP14" s="197">
        <f t="shared" si="33"/>
        <v>12151135.503553934</v>
      </c>
      <c r="DQ14" s="197">
        <f t="shared" si="33"/>
        <v>12151135.503553934</v>
      </c>
      <c r="DR14" s="197">
        <f t="shared" si="33"/>
        <v>12151135.503553934</v>
      </c>
      <c r="DS14" s="197">
        <f t="shared" si="33"/>
        <v>12151135.503553934</v>
      </c>
      <c r="DT14" s="197">
        <f t="shared" si="33"/>
        <v>12151135.503553934</v>
      </c>
      <c r="DU14" s="197">
        <f t="shared" si="33"/>
        <v>12151135.503553934</v>
      </c>
      <c r="DV14" s="197">
        <f t="shared" si="33"/>
        <v>12151135.503553934</v>
      </c>
      <c r="DW14" s="197">
        <f t="shared" si="33"/>
        <v>12151135.503553934</v>
      </c>
      <c r="DX14" s="197">
        <f t="shared" si="33"/>
        <v>12151135.503553934</v>
      </c>
      <c r="DY14" s="197">
        <f t="shared" si="33"/>
        <v>12151135.503553934</v>
      </c>
      <c r="DZ14" s="197">
        <f t="shared" si="33"/>
        <v>12151135.503553934</v>
      </c>
      <c r="EA14" s="197">
        <f t="shared" si="33"/>
        <v>12151135.503553934</v>
      </c>
      <c r="EB14" s="197">
        <f t="shared" si="33"/>
        <v>12151135.503553934</v>
      </c>
      <c r="EC14" s="197">
        <f t="shared" si="33"/>
        <v>12151135.503553934</v>
      </c>
      <c r="ED14" s="197">
        <f t="shared" si="33"/>
        <v>12151135.503553934</v>
      </c>
      <c r="EE14" s="197">
        <f t="shared" si="33"/>
        <v>12151135.503553934</v>
      </c>
      <c r="EF14" s="197">
        <f t="shared" si="33"/>
        <v>12151135.503553934</v>
      </c>
      <c r="EG14" s="197">
        <f t="shared" ref="EG14:GR14" si="34">EG10-EG12</f>
        <v>12151135.503553934</v>
      </c>
      <c r="EH14" s="197">
        <f t="shared" si="34"/>
        <v>12151135.503553934</v>
      </c>
      <c r="EI14" s="197">
        <f t="shared" si="34"/>
        <v>12151135.503553934</v>
      </c>
      <c r="EJ14" s="197">
        <f t="shared" si="34"/>
        <v>12151135.503553934</v>
      </c>
      <c r="EK14" s="197">
        <f t="shared" si="34"/>
        <v>12151135.503553934</v>
      </c>
      <c r="EL14" s="197">
        <f t="shared" si="34"/>
        <v>12151135.503553934</v>
      </c>
      <c r="EM14" s="197">
        <f t="shared" si="34"/>
        <v>12151135.503553934</v>
      </c>
      <c r="EN14" s="197">
        <f t="shared" si="34"/>
        <v>12151135.503553934</v>
      </c>
      <c r="EO14" s="197">
        <f t="shared" si="34"/>
        <v>12151135.503553934</v>
      </c>
      <c r="EP14" s="197">
        <f t="shared" si="34"/>
        <v>12151135.503553934</v>
      </c>
      <c r="EQ14" s="197">
        <f t="shared" si="34"/>
        <v>12151135.503553934</v>
      </c>
      <c r="ER14" s="197">
        <f t="shared" si="34"/>
        <v>12151135.503553934</v>
      </c>
      <c r="ES14" s="197">
        <f t="shared" si="34"/>
        <v>12151135.503553934</v>
      </c>
      <c r="ET14" s="197">
        <f t="shared" si="34"/>
        <v>12151135.503553934</v>
      </c>
      <c r="EU14" s="197">
        <f t="shared" si="34"/>
        <v>12151135.503553934</v>
      </c>
      <c r="EV14" s="197">
        <f t="shared" si="34"/>
        <v>12151135.503553934</v>
      </c>
      <c r="EW14" s="197">
        <f t="shared" si="34"/>
        <v>12151135.503553934</v>
      </c>
      <c r="EX14" s="197">
        <f t="shared" si="34"/>
        <v>12151135.503553934</v>
      </c>
      <c r="EY14" s="197">
        <f t="shared" si="34"/>
        <v>12151135.503553934</v>
      </c>
      <c r="EZ14" s="197">
        <f t="shared" si="34"/>
        <v>12151135.503553934</v>
      </c>
      <c r="FA14" s="197">
        <f t="shared" si="34"/>
        <v>12151135.503553934</v>
      </c>
      <c r="FB14" s="197">
        <f t="shared" si="34"/>
        <v>12151135.503553934</v>
      </c>
      <c r="FC14" s="197">
        <f t="shared" si="34"/>
        <v>12151135.503553934</v>
      </c>
      <c r="FD14" s="197">
        <f t="shared" si="34"/>
        <v>12151135.503553934</v>
      </c>
      <c r="FE14" s="197">
        <f t="shared" si="34"/>
        <v>12151135.503553934</v>
      </c>
      <c r="FF14" s="197">
        <f t="shared" si="34"/>
        <v>12151135.503553934</v>
      </c>
      <c r="FG14" s="197">
        <f t="shared" si="34"/>
        <v>12151135.503553934</v>
      </c>
      <c r="FH14" s="197">
        <f t="shared" si="34"/>
        <v>12151135.503553934</v>
      </c>
      <c r="FI14" s="197">
        <f t="shared" si="34"/>
        <v>12151135.503553934</v>
      </c>
      <c r="FJ14" s="197">
        <f t="shared" si="34"/>
        <v>12151135.503553934</v>
      </c>
      <c r="FK14" s="197">
        <f t="shared" si="34"/>
        <v>12151135.503553934</v>
      </c>
      <c r="FL14" s="197">
        <f t="shared" si="34"/>
        <v>12151135.503553934</v>
      </c>
      <c r="FM14" s="197">
        <f t="shared" si="34"/>
        <v>12151135.503553934</v>
      </c>
      <c r="FN14" s="197">
        <f t="shared" si="34"/>
        <v>12151135.503553934</v>
      </c>
      <c r="FO14" s="197">
        <f t="shared" si="34"/>
        <v>12151135.503553934</v>
      </c>
      <c r="FP14" s="197">
        <f t="shared" si="34"/>
        <v>12151135.503553934</v>
      </c>
      <c r="FQ14" s="197">
        <f t="shared" si="34"/>
        <v>12151135.503553934</v>
      </c>
      <c r="FR14" s="197">
        <f t="shared" si="34"/>
        <v>12151135.503553934</v>
      </c>
      <c r="FS14" s="197">
        <f t="shared" si="34"/>
        <v>12151135.503553934</v>
      </c>
      <c r="FT14" s="197">
        <f t="shared" si="34"/>
        <v>12151135.503553934</v>
      </c>
      <c r="FU14" s="197">
        <f t="shared" si="34"/>
        <v>12151135.503553934</v>
      </c>
      <c r="FV14" s="197">
        <f t="shared" si="34"/>
        <v>12151135.503553934</v>
      </c>
      <c r="FW14" s="197">
        <f t="shared" si="34"/>
        <v>12151135.503553934</v>
      </c>
      <c r="FX14" s="197">
        <f t="shared" si="34"/>
        <v>12151135.503553934</v>
      </c>
      <c r="FY14" s="197">
        <f t="shared" si="34"/>
        <v>12151135.503553934</v>
      </c>
      <c r="FZ14" s="197">
        <f t="shared" si="34"/>
        <v>12151135.503553934</v>
      </c>
      <c r="GA14" s="197">
        <f t="shared" si="34"/>
        <v>12151135.503553934</v>
      </c>
      <c r="GB14" s="197">
        <f t="shared" si="34"/>
        <v>12151135.503553934</v>
      </c>
      <c r="GC14" s="197">
        <f t="shared" si="34"/>
        <v>12151135.503553934</v>
      </c>
      <c r="GD14" s="197">
        <f t="shared" si="34"/>
        <v>12151135.503553934</v>
      </c>
      <c r="GE14" s="197">
        <f t="shared" si="34"/>
        <v>12151135.503553934</v>
      </c>
      <c r="GF14" s="197">
        <f t="shared" si="34"/>
        <v>12151135.503553934</v>
      </c>
      <c r="GG14" s="197">
        <f t="shared" si="34"/>
        <v>12151135.503553934</v>
      </c>
      <c r="GH14" s="197">
        <f t="shared" si="34"/>
        <v>12151135.503553934</v>
      </c>
      <c r="GI14" s="197">
        <f t="shared" si="34"/>
        <v>12151135.503553934</v>
      </c>
      <c r="GJ14" s="197">
        <f t="shared" si="34"/>
        <v>12151135.503553934</v>
      </c>
      <c r="GK14" s="197">
        <f t="shared" si="34"/>
        <v>12151135.503553934</v>
      </c>
      <c r="GL14" s="197">
        <f t="shared" si="34"/>
        <v>12151135.503553934</v>
      </c>
      <c r="GM14" s="197">
        <f t="shared" si="34"/>
        <v>12151135.503553934</v>
      </c>
      <c r="GN14" s="197">
        <f t="shared" si="34"/>
        <v>12151135.503553934</v>
      </c>
      <c r="GO14" s="197">
        <f t="shared" si="34"/>
        <v>12151135.503553934</v>
      </c>
      <c r="GP14" s="197">
        <f t="shared" si="34"/>
        <v>12151135.503553934</v>
      </c>
      <c r="GQ14" s="197">
        <f t="shared" si="34"/>
        <v>12151135.503553934</v>
      </c>
      <c r="GR14" s="197">
        <f t="shared" si="34"/>
        <v>12151135.503553934</v>
      </c>
      <c r="GS14" s="197">
        <f t="shared" ref="GS14:JD14" si="35">GS10-GS12</f>
        <v>12151135.503553934</v>
      </c>
      <c r="GT14" s="197">
        <f t="shared" si="35"/>
        <v>12151135.503553934</v>
      </c>
      <c r="GU14" s="197">
        <f t="shared" si="35"/>
        <v>12151135.503553934</v>
      </c>
      <c r="GV14" s="197">
        <f t="shared" si="35"/>
        <v>12151135.503553934</v>
      </c>
      <c r="GW14" s="197">
        <f t="shared" si="35"/>
        <v>12151135.503553934</v>
      </c>
      <c r="GX14" s="197">
        <f t="shared" si="35"/>
        <v>12151135.503553934</v>
      </c>
      <c r="GY14" s="197">
        <f t="shared" si="35"/>
        <v>12151135.503553934</v>
      </c>
      <c r="GZ14" s="197">
        <f t="shared" si="35"/>
        <v>12151135.503553934</v>
      </c>
      <c r="HA14" s="197">
        <f t="shared" si="35"/>
        <v>12151135.503553934</v>
      </c>
      <c r="HB14" s="197">
        <f t="shared" si="35"/>
        <v>12151135.503553934</v>
      </c>
      <c r="HC14" s="197">
        <f t="shared" si="35"/>
        <v>12151135.503553934</v>
      </c>
      <c r="HD14" s="197">
        <f t="shared" si="35"/>
        <v>12151135.503553934</v>
      </c>
      <c r="HE14" s="197">
        <f t="shared" si="35"/>
        <v>12151135.503553934</v>
      </c>
      <c r="HF14" s="197">
        <f t="shared" si="35"/>
        <v>12151135.503553934</v>
      </c>
      <c r="HG14" s="197">
        <f t="shared" si="35"/>
        <v>12151135.503553934</v>
      </c>
      <c r="HH14" s="197">
        <f t="shared" si="35"/>
        <v>12151135.503553934</v>
      </c>
      <c r="HI14" s="197">
        <f t="shared" si="35"/>
        <v>12151135.503553934</v>
      </c>
      <c r="HJ14" s="197">
        <f t="shared" si="35"/>
        <v>12151135.503553934</v>
      </c>
      <c r="HK14" s="197">
        <f t="shared" si="35"/>
        <v>12151135.503553934</v>
      </c>
      <c r="HL14" s="197">
        <f t="shared" si="35"/>
        <v>12151135.503553934</v>
      </c>
      <c r="HM14" s="197">
        <f t="shared" si="35"/>
        <v>12151135.503553934</v>
      </c>
      <c r="HN14" s="197">
        <f t="shared" si="35"/>
        <v>12151135.503553934</v>
      </c>
      <c r="HO14" s="197">
        <f t="shared" si="35"/>
        <v>12151135.503553934</v>
      </c>
      <c r="HP14" s="197">
        <f t="shared" si="35"/>
        <v>12151135.503553934</v>
      </c>
      <c r="HQ14" s="197">
        <f t="shared" si="35"/>
        <v>12151135.503553934</v>
      </c>
      <c r="HR14" s="197">
        <f t="shared" si="35"/>
        <v>12151135.503553934</v>
      </c>
      <c r="HS14" s="197">
        <f t="shared" si="35"/>
        <v>12151135.503553934</v>
      </c>
      <c r="HT14" s="197">
        <f t="shared" si="35"/>
        <v>12151135.503553934</v>
      </c>
      <c r="HU14" s="197">
        <f t="shared" si="35"/>
        <v>12151135.503553934</v>
      </c>
      <c r="HV14" s="197">
        <f t="shared" si="35"/>
        <v>12151135.503553934</v>
      </c>
      <c r="HW14" s="197">
        <f t="shared" si="35"/>
        <v>12151135.503553934</v>
      </c>
      <c r="HX14" s="197">
        <f t="shared" si="35"/>
        <v>12151135.503553934</v>
      </c>
      <c r="HY14" s="197">
        <f t="shared" si="35"/>
        <v>12151135.503553934</v>
      </c>
      <c r="HZ14" s="197">
        <f t="shared" si="35"/>
        <v>12151135.503553934</v>
      </c>
      <c r="IA14" s="197">
        <f t="shared" si="35"/>
        <v>12151135.503553934</v>
      </c>
      <c r="IB14" s="197">
        <f t="shared" si="35"/>
        <v>12151135.503553934</v>
      </c>
      <c r="IC14" s="197">
        <f t="shared" si="35"/>
        <v>12151135.503553934</v>
      </c>
      <c r="ID14" s="197">
        <f t="shared" si="35"/>
        <v>12151135.503553934</v>
      </c>
      <c r="IE14" s="197">
        <f t="shared" si="35"/>
        <v>12151135.503553934</v>
      </c>
      <c r="IF14" s="197">
        <f t="shared" si="35"/>
        <v>12151135.503553934</v>
      </c>
      <c r="IG14" s="197">
        <f t="shared" si="35"/>
        <v>12151135.503553934</v>
      </c>
      <c r="IH14" s="197">
        <f t="shared" si="35"/>
        <v>12151135.503553934</v>
      </c>
      <c r="II14" s="197">
        <f t="shared" si="35"/>
        <v>12151135.503553934</v>
      </c>
      <c r="IJ14" s="197">
        <f t="shared" si="35"/>
        <v>12151135.503553934</v>
      </c>
      <c r="IK14" s="197">
        <f t="shared" si="35"/>
        <v>12151135.503553934</v>
      </c>
      <c r="IL14" s="197">
        <f t="shared" si="35"/>
        <v>12151135.503553934</v>
      </c>
      <c r="IM14" s="197">
        <f t="shared" si="35"/>
        <v>12151135.503553934</v>
      </c>
      <c r="IN14" s="197">
        <f t="shared" si="35"/>
        <v>12151135.503553934</v>
      </c>
      <c r="IO14" s="197">
        <f t="shared" si="35"/>
        <v>12151135.503553934</v>
      </c>
      <c r="IP14" s="197">
        <f t="shared" si="35"/>
        <v>12151135.503553934</v>
      </c>
      <c r="IQ14" s="197">
        <f t="shared" si="35"/>
        <v>12151135.503553934</v>
      </c>
      <c r="IR14" s="197">
        <f t="shared" si="35"/>
        <v>12151135.503553934</v>
      </c>
      <c r="IS14" s="197">
        <f t="shared" si="35"/>
        <v>12151135.503553934</v>
      </c>
      <c r="IT14" s="197">
        <f t="shared" si="35"/>
        <v>12151135.503553934</v>
      </c>
      <c r="IU14" s="197">
        <f t="shared" si="35"/>
        <v>12151135.503553934</v>
      </c>
      <c r="IV14" s="197">
        <f t="shared" si="35"/>
        <v>12151135.503553934</v>
      </c>
      <c r="IW14" s="197">
        <f t="shared" si="35"/>
        <v>12151135.503553934</v>
      </c>
      <c r="IX14" s="197">
        <f t="shared" si="35"/>
        <v>12151135.503553934</v>
      </c>
      <c r="IY14" s="197">
        <f t="shared" si="35"/>
        <v>12151135.503553934</v>
      </c>
      <c r="IZ14" s="197">
        <f t="shared" si="35"/>
        <v>12151135.503553934</v>
      </c>
      <c r="JA14" s="197">
        <f t="shared" si="35"/>
        <v>12151135.503553934</v>
      </c>
      <c r="JB14" s="197">
        <f t="shared" si="35"/>
        <v>12151135.503553934</v>
      </c>
      <c r="JC14" s="197">
        <f t="shared" si="35"/>
        <v>12151135.503553934</v>
      </c>
      <c r="JD14" s="197">
        <f t="shared" si="35"/>
        <v>12151135.503553934</v>
      </c>
      <c r="JE14" s="197">
        <f t="shared" ref="JE14:LD14" si="36">JE10-JE12</f>
        <v>12151135.503553934</v>
      </c>
      <c r="JF14" s="197">
        <f t="shared" si="36"/>
        <v>12151135.503553934</v>
      </c>
      <c r="JG14" s="197">
        <f t="shared" si="36"/>
        <v>12151135.503553934</v>
      </c>
      <c r="JH14" s="197">
        <f t="shared" si="36"/>
        <v>12151135.503553934</v>
      </c>
      <c r="JI14" s="197">
        <f t="shared" si="36"/>
        <v>12151135.503553934</v>
      </c>
      <c r="JJ14" s="197">
        <f t="shared" si="36"/>
        <v>12151135.503553934</v>
      </c>
      <c r="JK14" s="197">
        <f t="shared" si="36"/>
        <v>12151135.503553934</v>
      </c>
      <c r="JL14" s="197">
        <f t="shared" si="36"/>
        <v>12151135.503553934</v>
      </c>
      <c r="JM14" s="197">
        <f t="shared" si="36"/>
        <v>12151135.503553934</v>
      </c>
      <c r="JN14" s="197">
        <f t="shared" si="36"/>
        <v>12151135.503553934</v>
      </c>
      <c r="JO14" s="197">
        <f t="shared" si="36"/>
        <v>12151135.503553934</v>
      </c>
      <c r="JP14" s="197">
        <f t="shared" si="36"/>
        <v>12151135.503553934</v>
      </c>
      <c r="JQ14" s="197">
        <f t="shared" si="36"/>
        <v>12151135.503553934</v>
      </c>
      <c r="JR14" s="197">
        <f t="shared" si="36"/>
        <v>12151135.503553934</v>
      </c>
      <c r="JS14" s="197">
        <f t="shared" si="36"/>
        <v>12151135.503553934</v>
      </c>
      <c r="JT14" s="197">
        <f t="shared" si="36"/>
        <v>12151135.503553934</v>
      </c>
      <c r="JU14" s="197">
        <f t="shared" si="36"/>
        <v>12151135.503553934</v>
      </c>
      <c r="JV14" s="197">
        <f t="shared" si="36"/>
        <v>12151135.503553934</v>
      </c>
      <c r="JW14" s="197">
        <f t="shared" si="36"/>
        <v>12151135.503553934</v>
      </c>
      <c r="JX14" s="197">
        <f t="shared" si="36"/>
        <v>12151135.503553934</v>
      </c>
      <c r="JY14" s="197">
        <f t="shared" si="36"/>
        <v>12151135.503553934</v>
      </c>
      <c r="JZ14" s="197">
        <f t="shared" si="36"/>
        <v>12151135.503553934</v>
      </c>
      <c r="KA14" s="197">
        <f t="shared" si="36"/>
        <v>12151135.503553934</v>
      </c>
      <c r="KB14" s="197">
        <f t="shared" si="36"/>
        <v>12151135.503553934</v>
      </c>
      <c r="KC14" s="197">
        <f t="shared" si="36"/>
        <v>12151135.503553934</v>
      </c>
      <c r="KD14" s="197">
        <f t="shared" si="36"/>
        <v>12151135.503553934</v>
      </c>
      <c r="KE14" s="197">
        <f t="shared" si="36"/>
        <v>12151135.503553934</v>
      </c>
      <c r="KF14" s="197">
        <f t="shared" si="36"/>
        <v>12151135.503553934</v>
      </c>
      <c r="KG14" s="197">
        <f t="shared" si="36"/>
        <v>12151135.503553934</v>
      </c>
      <c r="KH14" s="197">
        <f t="shared" si="36"/>
        <v>12151135.503553934</v>
      </c>
      <c r="KI14" s="197">
        <f t="shared" si="36"/>
        <v>12151135.503553934</v>
      </c>
      <c r="KJ14" s="197">
        <f t="shared" si="36"/>
        <v>12151135.503553934</v>
      </c>
      <c r="KK14" s="197">
        <f t="shared" si="36"/>
        <v>12151135.503553934</v>
      </c>
      <c r="KL14" s="197">
        <f t="shared" si="36"/>
        <v>12151135.503553934</v>
      </c>
      <c r="KM14" s="197">
        <f t="shared" si="36"/>
        <v>12151135.503553934</v>
      </c>
      <c r="KN14" s="197">
        <f t="shared" si="36"/>
        <v>12151135.503553934</v>
      </c>
      <c r="KO14" s="197">
        <f t="shared" si="36"/>
        <v>12151135.503553934</v>
      </c>
      <c r="KP14" s="197">
        <f t="shared" si="36"/>
        <v>12151135.503553934</v>
      </c>
      <c r="KQ14" s="197">
        <f t="shared" si="36"/>
        <v>12151135.503553934</v>
      </c>
      <c r="KR14" s="197">
        <f t="shared" si="36"/>
        <v>12151135.503553934</v>
      </c>
      <c r="KS14" s="197">
        <f t="shared" si="36"/>
        <v>12151135.503553934</v>
      </c>
      <c r="KT14" s="197">
        <f t="shared" si="36"/>
        <v>12151135.503553934</v>
      </c>
      <c r="KU14" s="197">
        <f t="shared" si="36"/>
        <v>12151135.503553934</v>
      </c>
      <c r="KV14" s="197">
        <f t="shared" si="36"/>
        <v>12151135.503553934</v>
      </c>
      <c r="KW14" s="197">
        <f t="shared" si="36"/>
        <v>12151135.503553934</v>
      </c>
      <c r="KX14" s="197">
        <f t="shared" si="36"/>
        <v>12151135.503553934</v>
      </c>
      <c r="KY14" s="197">
        <f t="shared" si="36"/>
        <v>12151135.503553934</v>
      </c>
      <c r="KZ14" s="197">
        <f t="shared" si="36"/>
        <v>12151135.503553934</v>
      </c>
      <c r="LA14" s="197">
        <f t="shared" si="36"/>
        <v>12151135.503553934</v>
      </c>
      <c r="LB14" s="197">
        <f t="shared" si="36"/>
        <v>12151135.503553934</v>
      </c>
      <c r="LC14" s="197">
        <f t="shared" si="36"/>
        <v>12151135.503553934</v>
      </c>
      <c r="LD14" s="197">
        <f t="shared" si="36"/>
        <v>12151135.503553934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753</v>
      </c>
      <c r="C17" s="363">
        <f>C3-D17</f>
        <v>194168.72705621272</v>
      </c>
      <c r="D17" s="186">
        <f>SUM(F17:LD17)</f>
        <v>59800831.272943787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1108166.6356652447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30"/>
      <c r="B18" s="185" t="s">
        <v>754</v>
      </c>
      <c r="C18" s="363">
        <f>D17-D18</f>
        <v>0</v>
      </c>
      <c r="D18" s="186">
        <f>MAX(F18:LD18)</f>
        <v>59800831.272943787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59800831.272943787</v>
      </c>
      <c r="BL18" s="204">
        <f t="shared" si="37"/>
        <v>59800831.272943787</v>
      </c>
      <c r="BM18" s="204">
        <f t="shared" si="37"/>
        <v>59800831.272943787</v>
      </c>
      <c r="BN18" s="204">
        <f t="shared" si="37"/>
        <v>59800831.272943787</v>
      </c>
      <c r="BO18" s="204">
        <f t="shared" si="37"/>
        <v>59800831.272943787</v>
      </c>
      <c r="BP18" s="204">
        <f t="shared" si="37"/>
        <v>59800831.272943787</v>
      </c>
      <c r="BQ18" s="204">
        <f t="shared" si="37"/>
        <v>59800831.272943787</v>
      </c>
      <c r="BR18" s="204">
        <f t="shared" si="37"/>
        <v>59800831.272943787</v>
      </c>
      <c r="BS18" s="204">
        <f t="shared" si="37"/>
        <v>59800831.272943787</v>
      </c>
      <c r="BT18" s="204">
        <f t="shared" si="37"/>
        <v>59800831.272943787</v>
      </c>
      <c r="BU18" s="204">
        <f t="shared" ref="BU18:EF18" si="38">BT18+BU17</f>
        <v>59800831.272943787</v>
      </c>
      <c r="BV18" s="204">
        <f t="shared" si="38"/>
        <v>59800831.272943787</v>
      </c>
      <c r="BW18" s="204">
        <f t="shared" si="38"/>
        <v>59800831.272943787</v>
      </c>
      <c r="BX18" s="204">
        <f t="shared" si="38"/>
        <v>59800831.272943787</v>
      </c>
      <c r="BY18" s="204">
        <f t="shared" si="38"/>
        <v>59800831.272943787</v>
      </c>
      <c r="BZ18" s="204">
        <f t="shared" si="38"/>
        <v>59800831.272943787</v>
      </c>
      <c r="CA18" s="204">
        <f t="shared" si="38"/>
        <v>59800831.272943787</v>
      </c>
      <c r="CB18" s="204">
        <f t="shared" si="38"/>
        <v>59800831.272943787</v>
      </c>
      <c r="CC18" s="204">
        <f t="shared" si="38"/>
        <v>59800831.272943787</v>
      </c>
      <c r="CD18" s="204">
        <f t="shared" si="38"/>
        <v>59800831.272943787</v>
      </c>
      <c r="CE18" s="204">
        <f t="shared" si="38"/>
        <v>59800831.272943787</v>
      </c>
      <c r="CF18" s="204">
        <f t="shared" si="38"/>
        <v>59800831.272943787</v>
      </c>
      <c r="CG18" s="204">
        <f t="shared" si="38"/>
        <v>59800831.272943787</v>
      </c>
      <c r="CH18" s="204">
        <f t="shared" si="38"/>
        <v>59800831.272943787</v>
      </c>
      <c r="CI18" s="204">
        <f t="shared" si="38"/>
        <v>59800831.272943787</v>
      </c>
      <c r="CJ18" s="204">
        <f t="shared" si="38"/>
        <v>59800831.272943787</v>
      </c>
      <c r="CK18" s="204">
        <f t="shared" si="38"/>
        <v>59800831.272943787</v>
      </c>
      <c r="CL18" s="204">
        <f t="shared" si="38"/>
        <v>59800831.272943787</v>
      </c>
      <c r="CM18" s="204">
        <f t="shared" si="38"/>
        <v>59800831.272943787</v>
      </c>
      <c r="CN18" s="204">
        <f t="shared" si="38"/>
        <v>59800831.272943787</v>
      </c>
      <c r="CO18" s="204">
        <f t="shared" si="38"/>
        <v>59800831.272943787</v>
      </c>
      <c r="CP18" s="204">
        <f t="shared" si="38"/>
        <v>59800831.272943787</v>
      </c>
      <c r="CQ18" s="204">
        <f t="shared" si="38"/>
        <v>59800831.272943787</v>
      </c>
      <c r="CR18" s="204">
        <f t="shared" si="38"/>
        <v>59800831.272943787</v>
      </c>
      <c r="CS18" s="204">
        <f t="shared" si="38"/>
        <v>59800831.272943787</v>
      </c>
      <c r="CT18" s="204">
        <f t="shared" si="38"/>
        <v>59800831.272943787</v>
      </c>
      <c r="CU18" s="204">
        <f t="shared" si="38"/>
        <v>59800831.272943787</v>
      </c>
      <c r="CV18" s="204">
        <f t="shared" si="38"/>
        <v>59800831.272943787</v>
      </c>
      <c r="CW18" s="204">
        <f t="shared" si="38"/>
        <v>59800831.272943787</v>
      </c>
      <c r="CX18" s="204">
        <f t="shared" si="38"/>
        <v>59800831.272943787</v>
      </c>
      <c r="CY18" s="204">
        <f t="shared" si="38"/>
        <v>59800831.272943787</v>
      </c>
      <c r="CZ18" s="204">
        <f t="shared" si="38"/>
        <v>59800831.272943787</v>
      </c>
      <c r="DA18" s="204">
        <f t="shared" si="38"/>
        <v>59800831.272943787</v>
      </c>
      <c r="DB18" s="204">
        <f t="shared" si="38"/>
        <v>59800831.272943787</v>
      </c>
      <c r="DC18" s="204">
        <f t="shared" si="38"/>
        <v>59800831.272943787</v>
      </c>
      <c r="DD18" s="204">
        <f t="shared" si="38"/>
        <v>59800831.272943787</v>
      </c>
      <c r="DE18" s="204">
        <f t="shared" si="38"/>
        <v>59800831.272943787</v>
      </c>
      <c r="DF18" s="204">
        <f t="shared" si="38"/>
        <v>59800831.272943787</v>
      </c>
      <c r="DG18" s="204">
        <f t="shared" si="38"/>
        <v>59800831.272943787</v>
      </c>
      <c r="DH18" s="204">
        <f t="shared" si="38"/>
        <v>59800831.272943787</v>
      </c>
      <c r="DI18" s="204">
        <f t="shared" si="38"/>
        <v>59800831.272943787</v>
      </c>
      <c r="DJ18" s="204">
        <f t="shared" si="38"/>
        <v>59800831.272943787</v>
      </c>
      <c r="DK18" s="204">
        <f t="shared" si="38"/>
        <v>59800831.272943787</v>
      </c>
      <c r="DL18" s="204">
        <f t="shared" si="38"/>
        <v>59800831.272943787</v>
      </c>
      <c r="DM18" s="204">
        <f t="shared" si="38"/>
        <v>59800831.272943787</v>
      </c>
      <c r="DN18" s="204">
        <f t="shared" si="38"/>
        <v>59800831.272943787</v>
      </c>
      <c r="DO18" s="204">
        <f t="shared" si="38"/>
        <v>59800831.272943787</v>
      </c>
      <c r="DP18" s="204">
        <f t="shared" si="38"/>
        <v>59800831.272943787</v>
      </c>
      <c r="DQ18" s="204">
        <f t="shared" si="38"/>
        <v>59800831.272943787</v>
      </c>
      <c r="DR18" s="204">
        <f t="shared" si="38"/>
        <v>59800831.272943787</v>
      </c>
      <c r="DS18" s="204">
        <f t="shared" si="38"/>
        <v>59800831.272943787</v>
      </c>
      <c r="DT18" s="204">
        <f t="shared" si="38"/>
        <v>59800831.272943787</v>
      </c>
      <c r="DU18" s="204">
        <f t="shared" si="38"/>
        <v>59800831.272943787</v>
      </c>
      <c r="DV18" s="204">
        <f t="shared" si="38"/>
        <v>59800831.272943787</v>
      </c>
      <c r="DW18" s="204">
        <f t="shared" si="38"/>
        <v>59800831.272943787</v>
      </c>
      <c r="DX18" s="204">
        <f t="shared" si="38"/>
        <v>59800831.272943787</v>
      </c>
      <c r="DY18" s="204">
        <f t="shared" si="38"/>
        <v>59800831.272943787</v>
      </c>
      <c r="DZ18" s="204">
        <f t="shared" si="38"/>
        <v>59800831.272943787</v>
      </c>
      <c r="EA18" s="204">
        <f t="shared" si="38"/>
        <v>59800831.272943787</v>
      </c>
      <c r="EB18" s="204">
        <f t="shared" si="38"/>
        <v>59800831.272943787</v>
      </c>
      <c r="EC18" s="204">
        <f t="shared" si="38"/>
        <v>59800831.272943787</v>
      </c>
      <c r="ED18" s="204">
        <f t="shared" si="38"/>
        <v>59800831.272943787</v>
      </c>
      <c r="EE18" s="204">
        <f t="shared" si="38"/>
        <v>59800831.272943787</v>
      </c>
      <c r="EF18" s="204">
        <f t="shared" si="38"/>
        <v>59800831.272943787</v>
      </c>
      <c r="EG18" s="204">
        <f t="shared" ref="EG18:GR18" si="39">EF18+EG17</f>
        <v>59800831.272943787</v>
      </c>
      <c r="EH18" s="204">
        <f t="shared" si="39"/>
        <v>59800831.272943787</v>
      </c>
      <c r="EI18" s="204">
        <f t="shared" si="39"/>
        <v>59800831.272943787</v>
      </c>
      <c r="EJ18" s="204">
        <f t="shared" si="39"/>
        <v>59800831.272943787</v>
      </c>
      <c r="EK18" s="204">
        <f t="shared" si="39"/>
        <v>59800831.272943787</v>
      </c>
      <c r="EL18" s="204">
        <f t="shared" si="39"/>
        <v>59800831.272943787</v>
      </c>
      <c r="EM18" s="204">
        <f t="shared" si="39"/>
        <v>59800831.272943787</v>
      </c>
      <c r="EN18" s="204">
        <f t="shared" si="39"/>
        <v>59800831.272943787</v>
      </c>
      <c r="EO18" s="204">
        <f t="shared" si="39"/>
        <v>59800831.272943787</v>
      </c>
      <c r="EP18" s="204">
        <f t="shared" si="39"/>
        <v>59800831.272943787</v>
      </c>
      <c r="EQ18" s="204">
        <f t="shared" si="39"/>
        <v>59800831.272943787</v>
      </c>
      <c r="ER18" s="204">
        <f t="shared" si="39"/>
        <v>59800831.272943787</v>
      </c>
      <c r="ES18" s="204">
        <f t="shared" si="39"/>
        <v>59800831.272943787</v>
      </c>
      <c r="ET18" s="204">
        <f t="shared" si="39"/>
        <v>59800831.272943787</v>
      </c>
      <c r="EU18" s="204">
        <f t="shared" si="39"/>
        <v>59800831.272943787</v>
      </c>
      <c r="EV18" s="204">
        <f t="shared" si="39"/>
        <v>59800831.272943787</v>
      </c>
      <c r="EW18" s="204">
        <f t="shared" si="39"/>
        <v>59800831.272943787</v>
      </c>
      <c r="EX18" s="204">
        <f t="shared" si="39"/>
        <v>59800831.272943787</v>
      </c>
      <c r="EY18" s="204">
        <f t="shared" si="39"/>
        <v>59800831.272943787</v>
      </c>
      <c r="EZ18" s="204">
        <f t="shared" si="39"/>
        <v>59800831.272943787</v>
      </c>
      <c r="FA18" s="204">
        <f t="shared" si="39"/>
        <v>59800831.272943787</v>
      </c>
      <c r="FB18" s="204">
        <f t="shared" si="39"/>
        <v>59800831.272943787</v>
      </c>
      <c r="FC18" s="204">
        <f t="shared" si="39"/>
        <v>59800831.272943787</v>
      </c>
      <c r="FD18" s="204">
        <f t="shared" si="39"/>
        <v>59800831.272943787</v>
      </c>
      <c r="FE18" s="204">
        <f t="shared" si="39"/>
        <v>59800831.272943787</v>
      </c>
      <c r="FF18" s="204">
        <f t="shared" si="39"/>
        <v>59800831.272943787</v>
      </c>
      <c r="FG18" s="204">
        <f t="shared" si="39"/>
        <v>59800831.272943787</v>
      </c>
      <c r="FH18" s="204">
        <f t="shared" si="39"/>
        <v>59800831.272943787</v>
      </c>
      <c r="FI18" s="204">
        <f t="shared" si="39"/>
        <v>59800831.272943787</v>
      </c>
      <c r="FJ18" s="204">
        <f t="shared" si="39"/>
        <v>59800831.272943787</v>
      </c>
      <c r="FK18" s="204">
        <f t="shared" si="39"/>
        <v>59800831.272943787</v>
      </c>
      <c r="FL18" s="204">
        <f t="shared" si="39"/>
        <v>59800831.272943787</v>
      </c>
      <c r="FM18" s="204">
        <f t="shared" si="39"/>
        <v>59800831.272943787</v>
      </c>
      <c r="FN18" s="204">
        <f t="shared" si="39"/>
        <v>59800831.272943787</v>
      </c>
      <c r="FO18" s="204">
        <f t="shared" si="39"/>
        <v>59800831.272943787</v>
      </c>
      <c r="FP18" s="204">
        <f t="shared" si="39"/>
        <v>59800831.272943787</v>
      </c>
      <c r="FQ18" s="204">
        <f t="shared" si="39"/>
        <v>59800831.272943787</v>
      </c>
      <c r="FR18" s="204">
        <f t="shared" si="39"/>
        <v>59800831.272943787</v>
      </c>
      <c r="FS18" s="204">
        <f t="shared" si="39"/>
        <v>59800831.272943787</v>
      </c>
      <c r="FT18" s="204">
        <f t="shared" si="39"/>
        <v>59800831.272943787</v>
      </c>
      <c r="FU18" s="204">
        <f t="shared" si="39"/>
        <v>59800831.272943787</v>
      </c>
      <c r="FV18" s="204">
        <f t="shared" si="39"/>
        <v>59800831.272943787</v>
      </c>
      <c r="FW18" s="204">
        <f t="shared" si="39"/>
        <v>59800831.272943787</v>
      </c>
      <c r="FX18" s="204">
        <f t="shared" si="39"/>
        <v>59800831.272943787</v>
      </c>
      <c r="FY18" s="204">
        <f t="shared" si="39"/>
        <v>59800831.272943787</v>
      </c>
      <c r="FZ18" s="204">
        <f t="shared" si="39"/>
        <v>59800831.272943787</v>
      </c>
      <c r="GA18" s="204">
        <f t="shared" si="39"/>
        <v>59800831.272943787</v>
      </c>
      <c r="GB18" s="204">
        <f t="shared" si="39"/>
        <v>59800831.272943787</v>
      </c>
      <c r="GC18" s="204">
        <f t="shared" si="39"/>
        <v>59800831.272943787</v>
      </c>
      <c r="GD18" s="204">
        <f t="shared" si="39"/>
        <v>59800831.272943787</v>
      </c>
      <c r="GE18" s="204">
        <f t="shared" si="39"/>
        <v>59800831.272943787</v>
      </c>
      <c r="GF18" s="204">
        <f t="shared" si="39"/>
        <v>59800831.272943787</v>
      </c>
      <c r="GG18" s="204">
        <f t="shared" si="39"/>
        <v>59800831.272943787</v>
      </c>
      <c r="GH18" s="204">
        <f t="shared" si="39"/>
        <v>59800831.272943787</v>
      </c>
      <c r="GI18" s="204">
        <f t="shared" si="39"/>
        <v>59800831.272943787</v>
      </c>
      <c r="GJ18" s="204">
        <f t="shared" si="39"/>
        <v>59800831.272943787</v>
      </c>
      <c r="GK18" s="204">
        <f t="shared" si="39"/>
        <v>59800831.272943787</v>
      </c>
      <c r="GL18" s="204">
        <f t="shared" si="39"/>
        <v>59800831.272943787</v>
      </c>
      <c r="GM18" s="204">
        <f t="shared" si="39"/>
        <v>59800831.272943787</v>
      </c>
      <c r="GN18" s="204">
        <f t="shared" si="39"/>
        <v>59800831.272943787</v>
      </c>
      <c r="GO18" s="204">
        <f t="shared" si="39"/>
        <v>59800831.272943787</v>
      </c>
      <c r="GP18" s="204">
        <f t="shared" si="39"/>
        <v>59800831.272943787</v>
      </c>
      <c r="GQ18" s="204">
        <f t="shared" si="39"/>
        <v>59800831.272943787</v>
      </c>
      <c r="GR18" s="204">
        <f t="shared" si="39"/>
        <v>59800831.272943787</v>
      </c>
      <c r="GS18" s="204">
        <f t="shared" ref="GS18:JD18" si="40">GR18+GS17</f>
        <v>59800831.272943787</v>
      </c>
      <c r="GT18" s="204">
        <f t="shared" si="40"/>
        <v>59800831.272943787</v>
      </c>
      <c r="GU18" s="204">
        <f t="shared" si="40"/>
        <v>59800831.272943787</v>
      </c>
      <c r="GV18" s="204">
        <f t="shared" si="40"/>
        <v>59800831.272943787</v>
      </c>
      <c r="GW18" s="204">
        <f t="shared" si="40"/>
        <v>59800831.272943787</v>
      </c>
      <c r="GX18" s="204">
        <f t="shared" si="40"/>
        <v>59800831.272943787</v>
      </c>
      <c r="GY18" s="204">
        <f t="shared" si="40"/>
        <v>59800831.272943787</v>
      </c>
      <c r="GZ18" s="204">
        <f t="shared" si="40"/>
        <v>59800831.272943787</v>
      </c>
      <c r="HA18" s="204">
        <f t="shared" si="40"/>
        <v>59800831.272943787</v>
      </c>
      <c r="HB18" s="204">
        <f t="shared" si="40"/>
        <v>59800831.272943787</v>
      </c>
      <c r="HC18" s="204">
        <f t="shared" si="40"/>
        <v>59800831.272943787</v>
      </c>
      <c r="HD18" s="204">
        <f t="shared" si="40"/>
        <v>59800831.272943787</v>
      </c>
      <c r="HE18" s="204">
        <f t="shared" si="40"/>
        <v>59800831.272943787</v>
      </c>
      <c r="HF18" s="204">
        <f t="shared" si="40"/>
        <v>59800831.272943787</v>
      </c>
      <c r="HG18" s="204">
        <f t="shared" si="40"/>
        <v>59800831.272943787</v>
      </c>
      <c r="HH18" s="204">
        <f t="shared" si="40"/>
        <v>59800831.272943787</v>
      </c>
      <c r="HI18" s="204">
        <f t="shared" si="40"/>
        <v>59800831.272943787</v>
      </c>
      <c r="HJ18" s="204">
        <f t="shared" si="40"/>
        <v>59800831.272943787</v>
      </c>
      <c r="HK18" s="204">
        <f t="shared" si="40"/>
        <v>59800831.272943787</v>
      </c>
      <c r="HL18" s="204">
        <f t="shared" si="40"/>
        <v>59800831.272943787</v>
      </c>
      <c r="HM18" s="204">
        <f t="shared" si="40"/>
        <v>59800831.272943787</v>
      </c>
      <c r="HN18" s="204">
        <f t="shared" si="40"/>
        <v>59800831.272943787</v>
      </c>
      <c r="HO18" s="204">
        <f t="shared" si="40"/>
        <v>59800831.272943787</v>
      </c>
      <c r="HP18" s="204">
        <f t="shared" si="40"/>
        <v>59800831.272943787</v>
      </c>
      <c r="HQ18" s="204">
        <f t="shared" si="40"/>
        <v>59800831.272943787</v>
      </c>
      <c r="HR18" s="204">
        <f t="shared" si="40"/>
        <v>59800831.272943787</v>
      </c>
      <c r="HS18" s="204">
        <f t="shared" si="40"/>
        <v>59800831.272943787</v>
      </c>
      <c r="HT18" s="204">
        <f t="shared" si="40"/>
        <v>59800831.272943787</v>
      </c>
      <c r="HU18" s="204">
        <f t="shared" si="40"/>
        <v>59800831.272943787</v>
      </c>
      <c r="HV18" s="204">
        <f t="shared" si="40"/>
        <v>59800831.272943787</v>
      </c>
      <c r="HW18" s="204">
        <f t="shared" si="40"/>
        <v>59800831.272943787</v>
      </c>
      <c r="HX18" s="204">
        <f t="shared" si="40"/>
        <v>59800831.272943787</v>
      </c>
      <c r="HY18" s="204">
        <f t="shared" si="40"/>
        <v>59800831.272943787</v>
      </c>
      <c r="HZ18" s="204">
        <f t="shared" si="40"/>
        <v>59800831.272943787</v>
      </c>
      <c r="IA18" s="204">
        <f t="shared" si="40"/>
        <v>59800831.272943787</v>
      </c>
      <c r="IB18" s="204">
        <f t="shared" si="40"/>
        <v>59800831.272943787</v>
      </c>
      <c r="IC18" s="204">
        <f t="shared" si="40"/>
        <v>59800831.272943787</v>
      </c>
      <c r="ID18" s="204">
        <f t="shared" si="40"/>
        <v>59800831.272943787</v>
      </c>
      <c r="IE18" s="204">
        <f t="shared" si="40"/>
        <v>59800831.272943787</v>
      </c>
      <c r="IF18" s="204">
        <f t="shared" si="40"/>
        <v>59800831.272943787</v>
      </c>
      <c r="IG18" s="204">
        <f t="shared" si="40"/>
        <v>59800831.272943787</v>
      </c>
      <c r="IH18" s="204">
        <f t="shared" si="40"/>
        <v>59800831.272943787</v>
      </c>
      <c r="II18" s="204">
        <f t="shared" si="40"/>
        <v>59800831.272943787</v>
      </c>
      <c r="IJ18" s="204">
        <f t="shared" si="40"/>
        <v>59800831.272943787</v>
      </c>
      <c r="IK18" s="204">
        <f t="shared" si="40"/>
        <v>59800831.272943787</v>
      </c>
      <c r="IL18" s="204">
        <f t="shared" si="40"/>
        <v>59800831.272943787</v>
      </c>
      <c r="IM18" s="204">
        <f t="shared" si="40"/>
        <v>59800831.272943787</v>
      </c>
      <c r="IN18" s="204">
        <f t="shared" si="40"/>
        <v>59800831.272943787</v>
      </c>
      <c r="IO18" s="204">
        <f t="shared" si="40"/>
        <v>59800831.272943787</v>
      </c>
      <c r="IP18" s="204">
        <f t="shared" si="40"/>
        <v>59800831.272943787</v>
      </c>
      <c r="IQ18" s="204">
        <f t="shared" si="40"/>
        <v>59800831.272943787</v>
      </c>
      <c r="IR18" s="204">
        <f t="shared" si="40"/>
        <v>59800831.272943787</v>
      </c>
      <c r="IS18" s="204">
        <f t="shared" si="40"/>
        <v>59800831.272943787</v>
      </c>
      <c r="IT18" s="204">
        <f t="shared" si="40"/>
        <v>59800831.272943787</v>
      </c>
      <c r="IU18" s="204">
        <f t="shared" si="40"/>
        <v>59800831.272943787</v>
      </c>
      <c r="IV18" s="204">
        <f t="shared" si="40"/>
        <v>59800831.272943787</v>
      </c>
      <c r="IW18" s="204">
        <f t="shared" si="40"/>
        <v>59800831.272943787</v>
      </c>
      <c r="IX18" s="204">
        <f t="shared" si="40"/>
        <v>59800831.272943787</v>
      </c>
      <c r="IY18" s="204">
        <f t="shared" si="40"/>
        <v>59800831.272943787</v>
      </c>
      <c r="IZ18" s="204">
        <f t="shared" si="40"/>
        <v>59800831.272943787</v>
      </c>
      <c r="JA18" s="204">
        <f t="shared" si="40"/>
        <v>59800831.272943787</v>
      </c>
      <c r="JB18" s="204">
        <f t="shared" si="40"/>
        <v>59800831.272943787</v>
      </c>
      <c r="JC18" s="204">
        <f t="shared" si="40"/>
        <v>59800831.272943787</v>
      </c>
      <c r="JD18" s="204">
        <f t="shared" si="40"/>
        <v>59800831.272943787</v>
      </c>
      <c r="JE18" s="204">
        <f t="shared" ref="JE18:LD18" si="41">JD18+JE17</f>
        <v>59800831.272943787</v>
      </c>
      <c r="JF18" s="204">
        <f t="shared" si="41"/>
        <v>59800831.272943787</v>
      </c>
      <c r="JG18" s="204">
        <f t="shared" si="41"/>
        <v>59800831.272943787</v>
      </c>
      <c r="JH18" s="204">
        <f t="shared" si="41"/>
        <v>59800831.272943787</v>
      </c>
      <c r="JI18" s="204">
        <f t="shared" si="41"/>
        <v>59800831.272943787</v>
      </c>
      <c r="JJ18" s="204">
        <f t="shared" si="41"/>
        <v>59800831.272943787</v>
      </c>
      <c r="JK18" s="204">
        <f t="shared" si="41"/>
        <v>59800831.272943787</v>
      </c>
      <c r="JL18" s="204">
        <f t="shared" si="41"/>
        <v>59800831.272943787</v>
      </c>
      <c r="JM18" s="204">
        <f t="shared" si="41"/>
        <v>59800831.272943787</v>
      </c>
      <c r="JN18" s="204">
        <f t="shared" si="41"/>
        <v>59800831.272943787</v>
      </c>
      <c r="JO18" s="204">
        <f t="shared" si="41"/>
        <v>59800831.272943787</v>
      </c>
      <c r="JP18" s="204">
        <f t="shared" si="41"/>
        <v>59800831.272943787</v>
      </c>
      <c r="JQ18" s="204">
        <f t="shared" si="41"/>
        <v>59800831.272943787</v>
      </c>
      <c r="JR18" s="204">
        <f t="shared" si="41"/>
        <v>59800831.272943787</v>
      </c>
      <c r="JS18" s="204">
        <f t="shared" si="41"/>
        <v>59800831.272943787</v>
      </c>
      <c r="JT18" s="204">
        <f t="shared" si="41"/>
        <v>59800831.272943787</v>
      </c>
      <c r="JU18" s="204">
        <f t="shared" si="41"/>
        <v>59800831.272943787</v>
      </c>
      <c r="JV18" s="204">
        <f t="shared" si="41"/>
        <v>59800831.272943787</v>
      </c>
      <c r="JW18" s="204">
        <f t="shared" si="41"/>
        <v>59800831.272943787</v>
      </c>
      <c r="JX18" s="204">
        <f t="shared" si="41"/>
        <v>59800831.272943787</v>
      </c>
      <c r="JY18" s="204">
        <f t="shared" si="41"/>
        <v>59800831.272943787</v>
      </c>
      <c r="JZ18" s="204">
        <f t="shared" si="41"/>
        <v>59800831.272943787</v>
      </c>
      <c r="KA18" s="204">
        <f t="shared" si="41"/>
        <v>59800831.272943787</v>
      </c>
      <c r="KB18" s="204">
        <f t="shared" si="41"/>
        <v>59800831.272943787</v>
      </c>
      <c r="KC18" s="204">
        <f t="shared" si="41"/>
        <v>59800831.272943787</v>
      </c>
      <c r="KD18" s="204">
        <f t="shared" si="41"/>
        <v>59800831.272943787</v>
      </c>
      <c r="KE18" s="204">
        <f t="shared" si="41"/>
        <v>59800831.272943787</v>
      </c>
      <c r="KF18" s="204">
        <f t="shared" si="41"/>
        <v>59800831.272943787</v>
      </c>
      <c r="KG18" s="204">
        <f t="shared" si="41"/>
        <v>59800831.272943787</v>
      </c>
      <c r="KH18" s="204">
        <f t="shared" si="41"/>
        <v>59800831.272943787</v>
      </c>
      <c r="KI18" s="204">
        <f t="shared" si="41"/>
        <v>59800831.272943787</v>
      </c>
      <c r="KJ18" s="204">
        <f t="shared" si="41"/>
        <v>59800831.272943787</v>
      </c>
      <c r="KK18" s="204">
        <f t="shared" si="41"/>
        <v>59800831.272943787</v>
      </c>
      <c r="KL18" s="204">
        <f t="shared" si="41"/>
        <v>59800831.272943787</v>
      </c>
      <c r="KM18" s="204">
        <f t="shared" si="41"/>
        <v>59800831.272943787</v>
      </c>
      <c r="KN18" s="204">
        <f t="shared" si="41"/>
        <v>59800831.272943787</v>
      </c>
      <c r="KO18" s="204">
        <f t="shared" si="41"/>
        <v>59800831.272943787</v>
      </c>
      <c r="KP18" s="204">
        <f t="shared" si="41"/>
        <v>59800831.272943787</v>
      </c>
      <c r="KQ18" s="204">
        <f t="shared" si="41"/>
        <v>59800831.272943787</v>
      </c>
      <c r="KR18" s="204">
        <f t="shared" si="41"/>
        <v>59800831.272943787</v>
      </c>
      <c r="KS18" s="204">
        <f t="shared" si="41"/>
        <v>59800831.272943787</v>
      </c>
      <c r="KT18" s="204">
        <f t="shared" si="41"/>
        <v>59800831.272943787</v>
      </c>
      <c r="KU18" s="204">
        <f t="shared" si="41"/>
        <v>59800831.272943787</v>
      </c>
      <c r="KV18" s="204">
        <f t="shared" si="41"/>
        <v>59800831.272943787</v>
      </c>
      <c r="KW18" s="204">
        <f t="shared" si="41"/>
        <v>59800831.272943787</v>
      </c>
      <c r="KX18" s="204">
        <f t="shared" si="41"/>
        <v>59800831.272943787</v>
      </c>
      <c r="KY18" s="204">
        <f t="shared" si="41"/>
        <v>59800831.272943787</v>
      </c>
      <c r="KZ18" s="204">
        <f t="shared" si="41"/>
        <v>59800831.272943787</v>
      </c>
      <c r="LA18" s="204">
        <f t="shared" si="41"/>
        <v>59800831.272943787</v>
      </c>
      <c r="LB18" s="204">
        <f t="shared" si="41"/>
        <v>59800831.272943787</v>
      </c>
      <c r="LC18" s="204">
        <f t="shared" si="41"/>
        <v>59800831.272943787</v>
      </c>
      <c r="LD18" s="204">
        <f t="shared" si="41"/>
        <v>59800831.272943787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109375" style="355" bestFit="1" customWidth="1"/>
    <col min="3" max="3" width="10.554687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109375" style="354" bestFit="1" customWidth="1"/>
    <col min="13" max="13" width="14.88671875" style="354" bestFit="1" customWidth="1"/>
    <col min="14" max="14" width="10.5546875" style="354" bestFit="1" customWidth="1"/>
    <col min="15" max="15" width="16" style="354" bestFit="1" customWidth="1"/>
    <col min="16" max="16" width="16.1093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755</v>
      </c>
      <c r="B3" s="433" t="s">
        <v>756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757</v>
      </c>
      <c r="B4" t="s">
        <v>758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759</v>
      </c>
      <c r="P4"/>
      <c r="Q4"/>
      <c r="R4"/>
      <c r="S4"/>
      <c r="T4"/>
    </row>
    <row r="5" spans="1:20">
      <c r="A5" s="434" t="s">
        <v>758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511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538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612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636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658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662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632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759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/>
  </sheetViews>
  <sheetFormatPr defaultRowHeight="14.4"/>
  <cols>
    <col min="1" max="1" width="9" bestFit="1" customWidth="1"/>
    <col min="2" max="2" width="18.109375" bestFit="1" customWidth="1"/>
    <col min="3" max="3" width="33" bestFit="1" customWidth="1"/>
    <col min="5" max="5" width="13.109375" bestFit="1" customWidth="1"/>
    <col min="6" max="7" width="14.5546875" bestFit="1" customWidth="1"/>
    <col min="8" max="8" width="19.88671875" bestFit="1" customWidth="1"/>
    <col min="9" max="9" width="23.44140625" bestFit="1" customWidth="1"/>
    <col min="10" max="10" width="34.88671875" bestFit="1" customWidth="1"/>
    <col min="11" max="11" width="9.109375" bestFit="1" customWidth="1"/>
    <col min="12" max="12" width="26.44140625" bestFit="1" customWidth="1"/>
    <col min="13" max="13" width="12" bestFit="1" customWidth="1"/>
  </cols>
  <sheetData>
    <row r="1" spans="1:13">
      <c r="A1" s="840" t="s">
        <v>760</v>
      </c>
    </row>
    <row r="3" spans="1:13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>
      <c r="A4">
        <v>13</v>
      </c>
      <c r="B4" t="s">
        <v>636</v>
      </c>
      <c r="C4" t="s">
        <v>651</v>
      </c>
      <c r="F4">
        <v>8737.26</v>
      </c>
      <c r="H4" t="s">
        <v>652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636</v>
      </c>
      <c r="C5" t="s">
        <v>649</v>
      </c>
      <c r="F5">
        <v>2843</v>
      </c>
      <c r="H5" t="s">
        <v>650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4140625" defaultRowHeight="14.4"/>
  <cols>
    <col min="1" max="1" width="21.88671875" bestFit="1" customWidth="1"/>
    <col min="2" max="2" width="17.109375" style="396" bestFit="1" customWidth="1"/>
    <col min="3" max="3" width="10.8867187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109375" style="396" bestFit="1" customWidth="1"/>
    <col min="8" max="8" width="13.109375" style="396" bestFit="1" customWidth="1"/>
    <col min="9" max="9" width="14.88671875" style="396" bestFit="1" customWidth="1"/>
    <col min="10" max="10" width="13.109375" bestFit="1" customWidth="1"/>
    <col min="11" max="11" width="4.88671875" bestFit="1" customWidth="1"/>
    <col min="12" max="13" width="14.88671875" bestFit="1" customWidth="1"/>
    <col min="14" max="14" width="13" bestFit="1" customWidth="1"/>
    <col min="15" max="15" width="16" bestFit="1" customWidth="1"/>
    <col min="16" max="16" width="10.10937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761</v>
      </c>
      <c r="B3" s="433" t="s">
        <v>756</v>
      </c>
      <c r="C3"/>
      <c r="D3"/>
      <c r="E3"/>
      <c r="F3"/>
      <c r="G3"/>
      <c r="H3"/>
      <c r="I3"/>
    </row>
    <row r="4" spans="1:16">
      <c r="A4" s="433" t="s">
        <v>757</v>
      </c>
      <c r="B4" t="s">
        <v>758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759</v>
      </c>
    </row>
    <row r="5" spans="1:16">
      <c r="A5" s="434" t="s">
        <v>758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511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538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612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636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658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662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632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759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932" t="s">
        <v>762</v>
      </c>
      <c r="C2" s="932"/>
      <c r="D2" s="932"/>
      <c r="E2" s="932"/>
      <c r="H2" s="933" t="s">
        <v>763</v>
      </c>
      <c r="I2" s="934"/>
      <c r="J2" s="934"/>
      <c r="K2" s="934"/>
      <c r="L2" s="934"/>
      <c r="M2" s="934"/>
      <c r="N2" s="934"/>
      <c r="O2" s="935"/>
    </row>
    <row r="3" spans="2:15">
      <c r="B3" s="768"/>
      <c r="H3" s="936"/>
      <c r="I3" s="937"/>
      <c r="J3" s="937"/>
      <c r="K3" s="937"/>
      <c r="L3" s="937"/>
      <c r="M3" s="937"/>
      <c r="N3" s="937"/>
      <c r="O3" s="938"/>
    </row>
    <row r="4" spans="2:15">
      <c r="B4" s="769" t="s">
        <v>764</v>
      </c>
      <c r="C4" s="770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69" t="s">
        <v>765</v>
      </c>
      <c r="C5" s="770" t="s">
        <v>766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69" t="s">
        <v>767</v>
      </c>
      <c r="C6" s="770" t="s">
        <v>768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69" t="s">
        <v>769</v>
      </c>
      <c r="C7" s="770" t="s">
        <v>770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8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771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" thickBot="1">
      <c r="B10" s="942" t="s">
        <v>772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1" t="s">
        <v>773</v>
      </c>
      <c r="C11" s="931" t="s">
        <v>774</v>
      </c>
      <c r="D11" s="931"/>
      <c r="E11" s="931"/>
    </row>
    <row r="12" spans="2:15">
      <c r="B12" s="771" t="s">
        <v>775</v>
      </c>
      <c r="C12" s="931" t="s">
        <v>774</v>
      </c>
      <c r="D12" s="931"/>
      <c r="E12" s="931"/>
    </row>
    <row r="13" spans="2:15">
      <c r="B13" s="771" t="s">
        <v>776</v>
      </c>
      <c r="C13" s="931" t="s">
        <v>774</v>
      </c>
      <c r="D13" s="931"/>
      <c r="E13" s="931"/>
    </row>
    <row r="14" spans="2:15">
      <c r="B14" s="771" t="s">
        <v>777</v>
      </c>
      <c r="C14" s="931" t="s">
        <v>778</v>
      </c>
      <c r="D14" s="931"/>
      <c r="E14" s="931"/>
    </row>
    <row r="15" spans="2:15">
      <c r="B15" s="771" t="s">
        <v>779</v>
      </c>
      <c r="C15" s="931" t="s">
        <v>780</v>
      </c>
      <c r="D15" s="931"/>
      <c r="E15" s="931"/>
    </row>
    <row r="16" spans="2:15" ht="15" customHeight="1">
      <c r="B16" s="771" t="s">
        <v>781</v>
      </c>
      <c r="C16" s="931" t="s">
        <v>782</v>
      </c>
      <c r="D16" s="931"/>
      <c r="E16" s="931"/>
    </row>
    <row r="17" spans="2:5">
      <c r="B17" s="768"/>
    </row>
    <row r="18" spans="2:5">
      <c r="B18" s="943" t="s">
        <v>783</v>
      </c>
      <c r="C18" s="943"/>
      <c r="D18" s="943"/>
      <c r="E18" s="943"/>
    </row>
    <row r="19" spans="2:5">
      <c r="B19" s="771" t="s">
        <v>784</v>
      </c>
      <c r="C19" s="771" t="s">
        <v>785</v>
      </c>
      <c r="D19" s="771" t="s">
        <v>786</v>
      </c>
      <c r="E19" s="771" t="s">
        <v>787</v>
      </c>
    </row>
    <row r="20" spans="2:5" ht="15" customHeight="1">
      <c r="B20" s="771" t="s">
        <v>788</v>
      </c>
      <c r="C20" s="771" t="s">
        <v>789</v>
      </c>
      <c r="D20" s="772" t="s">
        <v>790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791</v>
      </c>
    </row>
    <row r="2" spans="1:4">
      <c r="A2" s="945"/>
      <c r="B2" s="945"/>
      <c r="C2" s="945"/>
      <c r="D2" s="71"/>
    </row>
    <row r="3" spans="1:4">
      <c r="A3" s="944" t="s">
        <v>792</v>
      </c>
      <c r="B3" s="944"/>
      <c r="C3" s="944"/>
      <c r="D3" s="111">
        <v>0.32</v>
      </c>
    </row>
    <row r="4" spans="1:4">
      <c r="A4" s="944" t="s">
        <v>729</v>
      </c>
      <c r="B4" s="944"/>
      <c r="C4" s="944"/>
      <c r="D4" s="111">
        <v>0.5</v>
      </c>
    </row>
    <row r="5" spans="1:4">
      <c r="A5" s="944" t="s">
        <v>741</v>
      </c>
      <c r="B5" s="944"/>
      <c r="C5" s="944"/>
      <c r="D5" s="111">
        <v>0.15</v>
      </c>
    </row>
    <row r="6" spans="1:4">
      <c r="A6" s="944" t="s">
        <v>793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6" t="s">
        <v>794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795</v>
      </c>
      <c r="C4" s="86"/>
      <c r="D4" s="90" t="s">
        <v>796</v>
      </c>
      <c r="E4" s="95"/>
      <c r="F4" s="90" t="s">
        <v>797</v>
      </c>
      <c r="H4" s="90" t="s">
        <v>798</v>
      </c>
      <c r="I4" s="95"/>
      <c r="J4" s="90" t="s">
        <v>799</v>
      </c>
      <c r="L4" s="90" t="s">
        <v>798</v>
      </c>
      <c r="M4" s="90"/>
      <c r="N4" s="90" t="s">
        <v>800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801</v>
      </c>
      <c r="H7" s="99"/>
      <c r="I7" s="95"/>
      <c r="J7" s="107" t="s">
        <v>801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802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803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804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801</v>
      </c>
      <c r="H15" s="99"/>
      <c r="I15" s="95"/>
      <c r="J15" s="107" t="s">
        <v>801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805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805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804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801</v>
      </c>
      <c r="H21" s="99"/>
      <c r="I21" s="95"/>
      <c r="J21" s="107" t="s">
        <v>801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804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801</v>
      </c>
      <c r="H27" s="99"/>
      <c r="I27" s="95"/>
      <c r="J27" s="107" t="s">
        <v>801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806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804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801</v>
      </c>
      <c r="H34" s="99"/>
      <c r="I34" s="95"/>
      <c r="J34" s="107" t="s">
        <v>801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807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810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811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812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813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814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10937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946" t="s">
        <v>815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795</v>
      </c>
      <c r="C4" s="86"/>
      <c r="D4" s="90" t="s">
        <v>796</v>
      </c>
      <c r="E4" s="95"/>
      <c r="F4" s="95"/>
      <c r="G4" s="90" t="s">
        <v>816</v>
      </c>
      <c r="H4" s="96"/>
      <c r="J4" s="90" t="s">
        <v>798</v>
      </c>
      <c r="L4" s="90" t="s">
        <v>817</v>
      </c>
      <c r="M4" s="96"/>
      <c r="O4" s="90" t="s">
        <v>798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813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795</v>
      </c>
      <c r="C18" s="86"/>
      <c r="D18" s="90" t="s">
        <v>796</v>
      </c>
      <c r="E18" s="95"/>
      <c r="F18" s="95"/>
      <c r="G18" s="90" t="s">
        <v>819</v>
      </c>
      <c r="H18" s="96"/>
      <c r="J18" s="90" t="s">
        <v>798</v>
      </c>
      <c r="L18" s="90" t="s">
        <v>820</v>
      </c>
      <c r="M18" s="96"/>
      <c r="O18" s="90" t="s">
        <v>798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821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822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823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824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825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813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826</v>
      </c>
      <c r="C32" s="103"/>
      <c r="D32" s="103"/>
    </row>
    <row r="33" spans="2:4" ht="13.8" thickTop="1"/>
    <row r="34" spans="2:4">
      <c r="B34" s="88" t="s">
        <v>796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827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828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829</v>
      </c>
      <c r="C3" s="72" t="s">
        <v>830</v>
      </c>
      <c r="D3" s="72" t="s">
        <v>831</v>
      </c>
      <c r="E3" s="78" t="s">
        <v>832</v>
      </c>
      <c r="F3" s="78" t="s">
        <v>833</v>
      </c>
      <c r="G3" s="78" t="s">
        <v>148</v>
      </c>
      <c r="H3" s="78" t="s">
        <v>834</v>
      </c>
      <c r="I3" s="78" t="s">
        <v>787</v>
      </c>
      <c r="J3" s="78" t="s">
        <v>835</v>
      </c>
    </row>
    <row r="4" spans="2:14">
      <c r="B4" s="76" t="s">
        <v>836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837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840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841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842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843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844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845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Detail1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2026-03-02T10:02:03Z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