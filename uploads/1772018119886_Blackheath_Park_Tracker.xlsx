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7" documentId="13_ncr:1_{FE5F7524-D858-4FC3-BA72-44A20322F279}" xr6:coauthVersionLast="47" xr6:coauthVersionMax="47" xr10:uidLastSave="{5830A525-D83C-4940-B5B5-4FD0C02C086F}"/>
  <bookViews>
    <workbookView xWindow="28680" yWindow="-120" windowWidth="29040" windowHeight="15720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/>
  <c r="Q33" i="18"/>
  <c r="Q32" i="18"/>
  <c r="X149" i="18"/>
  <c r="J149" i="18"/>
  <c r="C4" i="22"/>
  <c r="Q30" i="18"/>
  <c r="I23" i="2"/>
  <c r="K23" i="2"/>
  <c r="Q29" i="18"/>
  <c r="H111" i="18"/>
  <c r="H107" i="18"/>
  <c r="W115" i="18"/>
  <c r="W114" i="18"/>
  <c r="W113" i="18"/>
  <c r="W112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6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/>
  <c r="Q28" i="18"/>
  <c r="X28" i="18"/>
  <c r="H12" i="3"/>
  <c r="H93" i="18"/>
  <c r="W122" i="18"/>
  <c r="W35" i="18"/>
  <c r="Q6" i="18"/>
  <c r="X21" i="18"/>
  <c r="H11" i="3"/>
  <c r="Z36" i="18"/>
  <c r="E28" i="18"/>
  <c r="I139" i="18"/>
  <c r="F20" i="3"/>
  <c r="J162" i="18"/>
  <c r="G149" i="18"/>
  <c r="I149" i="18"/>
  <c r="F22" i="3"/>
  <c r="X133" i="18"/>
  <c r="H19" i="3"/>
  <c r="G111" i="18"/>
  <c r="Z18" i="18"/>
  <c r="G110" i="18"/>
  <c r="G107" i="18"/>
  <c r="Z17" i="18"/>
  <c r="G106" i="18"/>
  <c r="G93" i="18"/>
  <c r="G92" i="18"/>
  <c r="Z14" i="18"/>
  <c r="G55" i="18"/>
  <c r="Z12" i="18"/>
  <c r="G46" i="18"/>
  <c r="I46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2" i="18"/>
  <c r="X142" i="18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/>
  <c r="X139" i="18"/>
  <c r="H20" i="3"/>
  <c r="X82" i="18"/>
  <c r="U82" i="18"/>
  <c r="X73" i="18"/>
  <c r="H15" i="3"/>
  <c r="I73" i="18"/>
  <c r="F15" i="3"/>
  <c r="I82" i="18"/>
  <c r="F16" i="3"/>
  <c r="I142" i="18"/>
  <c r="F21" i="3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1" i="18"/>
  <c r="Q65" i="18"/>
  <c r="I133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I31" i="2"/>
  <c r="N30" i="2"/>
  <c r="W46" i="18"/>
  <c r="W61" i="18"/>
  <c r="W34" i="18"/>
  <c r="O34" i="18"/>
  <c r="O93" i="18"/>
  <c r="Q98" i="18"/>
  <c r="V13" i="18"/>
  <c r="K13" i="2"/>
  <c r="M21" i="2"/>
  <c r="V21" i="18"/>
  <c r="H22" i="3"/>
  <c r="U159" i="18"/>
  <c r="K38" i="2"/>
  <c r="N38" i="2"/>
  <c r="V28" i="18"/>
  <c r="N34" i="2"/>
  <c r="K45" i="2"/>
  <c r="K44" i="2"/>
  <c r="J44" i="2"/>
  <c r="I44" i="2"/>
  <c r="U89" i="18"/>
  <c r="U85" i="18"/>
  <c r="U87" i="18"/>
  <c r="U83" i="18"/>
  <c r="Q68" i="18"/>
  <c r="O41" i="18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/>
  <c r="Z40" i="18"/>
  <c r="Z41" i="18"/>
  <c r="U160" i="18"/>
  <c r="H16" i="3"/>
  <c r="U90" i="18"/>
  <c r="U135" i="18"/>
  <c r="I53" i="2"/>
  <c r="K52" i="2"/>
  <c r="W101" i="18"/>
  <c r="D24" i="13"/>
  <c r="E24" i="13"/>
  <c r="C24" i="13"/>
  <c r="U158" i="18"/>
  <c r="U157" i="18"/>
  <c r="J15" i="3"/>
  <c r="I92" i="18"/>
  <c r="F17" i="3"/>
  <c r="J19" i="3"/>
  <c r="J11" i="3"/>
  <c r="J13" i="3"/>
  <c r="J20" i="3"/>
  <c r="Z15" i="18"/>
  <c r="U53" i="18"/>
  <c r="V46" i="18"/>
  <c r="I106" i="18"/>
  <c r="F18" i="3"/>
  <c r="X6" i="18"/>
  <c r="H9" i="3"/>
  <c r="J9" i="3"/>
  <c r="Q95" i="18"/>
  <c r="Q99" i="18"/>
  <c r="U137" i="18"/>
  <c r="J2" i="18"/>
  <c r="J4" i="18"/>
  <c r="Q126" i="18"/>
  <c r="J12" i="3"/>
  <c r="Q125" i="18"/>
  <c r="Z16" i="18"/>
  <c r="U88" i="18"/>
  <c r="I55" i="18"/>
  <c r="F14" i="3"/>
  <c r="J16" i="3"/>
  <c r="M9" i="2"/>
  <c r="U147" i="18"/>
  <c r="H21" i="3"/>
  <c r="J21" i="3"/>
  <c r="U142" i="18"/>
  <c r="U146" i="18"/>
  <c r="U145" i="18"/>
  <c r="U143" i="18"/>
  <c r="U144" i="18"/>
  <c r="N24" i="2"/>
  <c r="I25" i="2"/>
  <c r="N45" i="2"/>
  <c r="N44" i="2"/>
  <c r="G11" i="2"/>
  <c r="H14" i="5"/>
  <c r="H6" i="18"/>
  <c r="F5" i="6"/>
  <c r="F6" i="6"/>
  <c r="N37" i="2"/>
  <c r="N36" i="2" s="1"/>
  <c r="I36" i="2"/>
  <c r="J36" i="2"/>
  <c r="N23" i="2"/>
  <c r="E11" i="2"/>
  <c r="X55" i="18"/>
  <c r="U57" i="18"/>
  <c r="V82" i="18"/>
  <c r="J10" i="3"/>
  <c r="V133" i="18"/>
  <c r="J22" i="3"/>
  <c r="X162" i="18"/>
  <c r="H23" i="3"/>
  <c r="J23" i="3"/>
  <c r="H14" i="3"/>
  <c r="J14" i="3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/>
  <c r="E38" i="2"/>
  <c r="N1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/>
  <c r="I2" i="18"/>
  <c r="X106" i="18"/>
  <c r="U130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4" i="18"/>
  <c r="U92" i="18"/>
  <c r="U102" i="18"/>
  <c r="U103" i="18"/>
  <c r="H17" i="3"/>
  <c r="J17" i="3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N28" i="2" s="1"/>
  <c r="I1" i="6"/>
  <c r="G5" i="6"/>
  <c r="H5" i="6"/>
  <c r="G9" i="6"/>
  <c r="H9" i="6"/>
  <c r="K16" i="2"/>
  <c r="N16" i="2"/>
  <c r="K48" i="2"/>
  <c r="N53" i="2"/>
  <c r="D7" i="5"/>
  <c r="G6" i="5"/>
  <c r="U129" i="18"/>
  <c r="U131" i="18"/>
  <c r="H18" i="3"/>
  <c r="F21" i="2"/>
  <c r="G6" i="6"/>
  <c r="H6" i="6"/>
  <c r="K11" i="2"/>
  <c r="J11" i="2"/>
  <c r="N48" i="2"/>
  <c r="N15" i="2"/>
  <c r="J1" i="6"/>
  <c r="I5" i="6"/>
  <c r="I9" i="6"/>
  <c r="G10" i="6"/>
  <c r="V92" i="18"/>
  <c r="I42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6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1" i="18"/>
  <c r="W128" i="18"/>
  <c r="W68" i="18"/>
  <c r="K1" i="6"/>
  <c r="J5" i="6"/>
  <c r="J9" i="6"/>
  <c r="F5" i="5"/>
  <c r="H25" i="3"/>
  <c r="J6" i="6"/>
  <c r="I10" i="6"/>
  <c r="S19" i="2"/>
  <c r="S21" i="2"/>
  <c r="S22" i="2"/>
  <c r="J9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/>
  <c r="G14" i="6"/>
  <c r="D17" i="6"/>
  <c r="F18" i="6"/>
  <c r="G18" i="6"/>
  <c r="C17" i="6"/>
  <c r="I12" i="6"/>
  <c r="H14" i="6"/>
  <c r="J12" i="6"/>
  <c r="I14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D18" i="6"/>
  <c r="C18" i="6"/>
  <c r="K12" i="6"/>
  <c r="J14" i="6"/>
  <c r="L12" i="6"/>
  <c r="K14" i="6"/>
  <c r="M12" i="6"/>
  <c r="L14" i="6"/>
  <c r="N12" i="6"/>
  <c r="M14" i="6"/>
  <c r="O12" i="6"/>
  <c r="N14" i="6"/>
  <c r="P12" i="6"/>
  <c r="O14" i="6"/>
  <c r="Q12" i="6"/>
  <c r="P14" i="6"/>
  <c r="R12" i="6"/>
  <c r="Q14" i="6"/>
  <c r="S12" i="6"/>
  <c r="R14" i="6"/>
  <c r="T12" i="6"/>
  <c r="S14" i="6"/>
  <c r="U12" i="6"/>
  <c r="T14" i="6"/>
  <c r="V12" i="6"/>
  <c r="U14" i="6"/>
  <c r="W12" i="6"/>
  <c r="V14" i="6"/>
  <c r="X12" i="6"/>
  <c r="W14" i="6"/>
  <c r="Y12" i="6"/>
  <c r="X14" i="6"/>
  <c r="Z12" i="6"/>
  <c r="Y14" i="6"/>
  <c r="AA12" i="6"/>
  <c r="Z14" i="6"/>
  <c r="AB12" i="6"/>
  <c r="AA14" i="6"/>
  <c r="AC12" i="6"/>
  <c r="AB14" i="6"/>
  <c r="AD12" i="6"/>
  <c r="AC14" i="6"/>
  <c r="AE12" i="6"/>
  <c r="AD14" i="6"/>
  <c r="AF12" i="6"/>
  <c r="AE14" i="6"/>
  <c r="AG12" i="6"/>
  <c r="AF14" i="6"/>
  <c r="AH12" i="6"/>
  <c r="AG14" i="6"/>
  <c r="AI12" i="6"/>
  <c r="AH14" i="6"/>
  <c r="AJ12" i="6"/>
  <c r="AI14" i="6"/>
  <c r="AK12" i="6"/>
  <c r="AJ14" i="6"/>
  <c r="AL12" i="6"/>
  <c r="AK14" i="6"/>
  <c r="AM12" i="6"/>
  <c r="AL14" i="6"/>
  <c r="AN12" i="6"/>
  <c r="AM14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U12" i="6"/>
  <c r="AT14" i="6"/>
  <c r="AV12" i="6"/>
  <c r="AU14" i="6"/>
  <c r="AW12" i="6"/>
  <c r="AV14" i="6"/>
  <c r="AX12" i="6"/>
  <c r="AW14" i="6"/>
  <c r="AY12" i="6"/>
  <c r="AX14" i="6"/>
  <c r="AZ12" i="6"/>
  <c r="AY14" i="6"/>
  <c r="BA12" i="6"/>
  <c r="AZ14" i="6"/>
  <c r="BB12" i="6"/>
  <c r="BA14" i="6"/>
  <c r="BC12" i="6"/>
  <c r="BB14" i="6"/>
  <c r="BD12" i="6"/>
  <c r="BC14" i="6"/>
  <c r="BE12" i="6"/>
  <c r="BD14" i="6"/>
  <c r="BF12" i="6"/>
  <c r="BE14" i="6"/>
  <c r="BG12" i="6"/>
  <c r="BF14" i="6"/>
  <c r="BH12" i="6"/>
  <c r="BG14" i="6"/>
  <c r="BI12" i="6"/>
  <c r="BH14" i="6"/>
  <c r="BJ12" i="6"/>
  <c r="BI14" i="6"/>
  <c r="BK12" i="6"/>
  <c r="BJ14" i="6"/>
  <c r="BL12" i="6"/>
  <c r="BK14" i="6"/>
  <c r="BM12" i="6"/>
  <c r="BL14" i="6"/>
  <c r="BN12" i="6"/>
  <c r="BM14" i="6"/>
  <c r="BO12" i="6"/>
  <c r="BN14" i="6"/>
  <c r="BP12" i="6"/>
  <c r="BO14" i="6"/>
  <c r="BQ12" i="6"/>
  <c r="BP14" i="6"/>
  <c r="BR12" i="6"/>
  <c r="BQ14" i="6"/>
  <c r="BS12" i="6"/>
  <c r="BR14" i="6"/>
  <c r="BT12" i="6"/>
  <c r="BS14" i="6"/>
  <c r="BU12" i="6"/>
  <c r="BT14" i="6"/>
  <c r="BV12" i="6"/>
  <c r="BU14" i="6"/>
  <c r="BW12" i="6"/>
  <c r="BV14" i="6"/>
  <c r="BX12" i="6"/>
  <c r="BW14" i="6"/>
  <c r="BY12" i="6"/>
  <c r="BX14" i="6"/>
  <c r="BZ12" i="6"/>
  <c r="BY14" i="6"/>
  <c r="CA12" i="6"/>
  <c r="BZ14" i="6"/>
  <c r="CB12" i="6"/>
  <c r="CA14" i="6"/>
  <c r="CC12" i="6"/>
  <c r="CB14" i="6"/>
  <c r="CD12" i="6"/>
  <c r="CC14" i="6"/>
  <c r="CE12" i="6"/>
  <c r="CD14" i="6"/>
  <c r="CF12" i="6"/>
  <c r="CE14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M12" i="6"/>
  <c r="CL14" i="6"/>
  <c r="CN12" i="6"/>
  <c r="CM14" i="6"/>
  <c r="CO12" i="6"/>
  <c r="CN14" i="6"/>
  <c r="CP12" i="6"/>
  <c r="CO14" i="6"/>
  <c r="CQ12" i="6"/>
  <c r="CP14" i="6"/>
  <c r="CR12" i="6"/>
  <c r="CQ14" i="6"/>
  <c r="CS12" i="6"/>
  <c r="CR14" i="6"/>
  <c r="CT12" i="6"/>
  <c r="CS14" i="6"/>
  <c r="CU12" i="6"/>
  <c r="CT14" i="6"/>
  <c r="CV12" i="6"/>
  <c r="CU14" i="6"/>
  <c r="CW12" i="6"/>
  <c r="CV14" i="6"/>
  <c r="CX12" i="6"/>
  <c r="CW14" i="6"/>
  <c r="CY12" i="6"/>
  <c r="CX14" i="6"/>
  <c r="CZ12" i="6"/>
  <c r="CY14" i="6"/>
  <c r="DA12" i="6"/>
  <c r="CZ14" i="6"/>
  <c r="DB12" i="6"/>
  <c r="DA14" i="6"/>
  <c r="DC12" i="6"/>
  <c r="DB14" i="6"/>
  <c r="DD12" i="6"/>
  <c r="DC14" i="6"/>
  <c r="DE12" i="6"/>
  <c r="DD14" i="6"/>
  <c r="DF12" i="6"/>
  <c r="DE14" i="6"/>
  <c r="DG12" i="6"/>
  <c r="DF14" i="6"/>
  <c r="DH12" i="6"/>
  <c r="DG14" i="6"/>
  <c r="DI12" i="6"/>
  <c r="DH14" i="6"/>
  <c r="DJ12" i="6"/>
  <c r="DI14" i="6"/>
  <c r="DK12" i="6"/>
  <c r="DJ14" i="6"/>
  <c r="DL12" i="6"/>
  <c r="DK14" i="6"/>
  <c r="DM12" i="6"/>
  <c r="DL14" i="6"/>
  <c r="DN12" i="6"/>
  <c r="DM14" i="6"/>
  <c r="DO12" i="6"/>
  <c r="DN14" i="6"/>
  <c r="DP12" i="6"/>
  <c r="DO14" i="6"/>
  <c r="DQ12" i="6"/>
  <c r="DP14" i="6"/>
  <c r="DR12" i="6"/>
  <c r="DQ14" i="6"/>
  <c r="DS12" i="6"/>
  <c r="DR14" i="6"/>
  <c r="DT12" i="6"/>
  <c r="DS14" i="6"/>
  <c r="DU12" i="6"/>
  <c r="DT14" i="6"/>
  <c r="DV12" i="6"/>
  <c r="DU14" i="6"/>
  <c r="DW12" i="6"/>
  <c r="DV14" i="6"/>
  <c r="DX12" i="6"/>
  <c r="DW14" i="6"/>
  <c r="DY12" i="6"/>
  <c r="DX14" i="6"/>
  <c r="DZ12" i="6"/>
  <c r="DY14" i="6"/>
  <c r="EA12" i="6"/>
  <c r="DZ14" i="6"/>
  <c r="EB12" i="6"/>
  <c r="EA14" i="6"/>
  <c r="EC12" i="6"/>
  <c r="EB14" i="6"/>
  <c r="ED12" i="6"/>
  <c r="EC14" i="6"/>
  <c r="EE12" i="6"/>
  <c r="ED14" i="6"/>
  <c r="EF12" i="6"/>
  <c r="EE14" i="6"/>
  <c r="EG12" i="6"/>
  <c r="EF14" i="6"/>
  <c r="EH12" i="6"/>
  <c r="EG14" i="6"/>
  <c r="EI12" i="6"/>
  <c r="EH14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P12" i="6"/>
  <c r="EO14" i="6"/>
  <c r="EQ12" i="6"/>
  <c r="EP14" i="6"/>
  <c r="ER12" i="6"/>
  <c r="EQ14" i="6"/>
  <c r="ES12" i="6"/>
  <c r="ER14" i="6"/>
  <c r="ET12" i="6"/>
  <c r="ES14" i="6"/>
  <c r="EU12" i="6"/>
  <c r="ET14" i="6"/>
  <c r="EV12" i="6"/>
  <c r="EU14" i="6"/>
  <c r="EW12" i="6"/>
  <c r="EV14" i="6"/>
  <c r="EX12" i="6"/>
  <c r="EW14" i="6"/>
  <c r="EY12" i="6"/>
  <c r="EX14" i="6"/>
  <c r="EZ12" i="6"/>
  <c r="EY14" i="6"/>
  <c r="FA12" i="6"/>
  <c r="EZ14" i="6"/>
  <c r="FB12" i="6"/>
  <c r="FA14" i="6"/>
  <c r="FC12" i="6"/>
  <c r="FB14" i="6"/>
  <c r="FD12" i="6"/>
  <c r="FC14" i="6"/>
  <c r="FE12" i="6"/>
  <c r="FD14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L12" i="6"/>
  <c r="FK14" i="6"/>
  <c r="FM12" i="6"/>
  <c r="FL14" i="6"/>
  <c r="FN12" i="6"/>
  <c r="FM14" i="6"/>
  <c r="FO12" i="6"/>
  <c r="FN14" i="6"/>
  <c r="FP12" i="6"/>
  <c r="FO14" i="6"/>
  <c r="FQ12" i="6"/>
  <c r="FP14" i="6"/>
  <c r="FR12" i="6"/>
  <c r="FQ14" i="6"/>
  <c r="FS12" i="6"/>
  <c r="FR14" i="6"/>
  <c r="FT12" i="6"/>
  <c r="FS14" i="6"/>
  <c r="FU12" i="6"/>
  <c r="FT14" i="6"/>
  <c r="FV12" i="6"/>
  <c r="FU14" i="6"/>
  <c r="FW12" i="6"/>
  <c r="FV14" i="6"/>
  <c r="FX12" i="6"/>
  <c r="FW14" i="6"/>
  <c r="FY12" i="6"/>
  <c r="FX14" i="6"/>
  <c r="FZ12" i="6"/>
  <c r="FY14" i="6"/>
  <c r="GA12" i="6"/>
  <c r="FZ14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H12" i="6"/>
  <c r="GG14" i="6"/>
  <c r="GI12" i="6"/>
  <c r="GH14" i="6"/>
  <c r="GJ12" i="6"/>
  <c r="GI14" i="6"/>
  <c r="GK12" i="6"/>
  <c r="GJ14" i="6"/>
  <c r="GL12" i="6"/>
  <c r="GK14" i="6"/>
  <c r="GM12" i="6"/>
  <c r="GL14" i="6"/>
  <c r="GN12" i="6"/>
  <c r="GM14" i="6"/>
  <c r="GO12" i="6"/>
  <c r="GN14" i="6"/>
  <c r="GP12" i="6"/>
  <c r="GO14" i="6"/>
  <c r="GQ12" i="6"/>
  <c r="GP14" i="6"/>
  <c r="GR12" i="6"/>
  <c r="GQ14" i="6"/>
  <c r="GS12" i="6"/>
  <c r="GR14" i="6"/>
  <c r="GT12" i="6"/>
  <c r="GS14" i="6"/>
  <c r="GU12" i="6"/>
  <c r="GT14" i="6"/>
  <c r="GV12" i="6"/>
  <c r="GU14" i="6"/>
  <c r="GW12" i="6"/>
  <c r="GV14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D12" i="6"/>
  <c r="HC14" i="6"/>
  <c r="HE12" i="6"/>
  <c r="HD14" i="6"/>
  <c r="HF12" i="6"/>
  <c r="HE14" i="6"/>
  <c r="HG12" i="6"/>
  <c r="HF14" i="6"/>
  <c r="HH12" i="6"/>
  <c r="HG14" i="6"/>
  <c r="HI12" i="6"/>
  <c r="HH14" i="6"/>
  <c r="HJ12" i="6"/>
  <c r="HI14" i="6"/>
  <c r="HK12" i="6"/>
  <c r="HJ14" i="6"/>
  <c r="HL12" i="6"/>
  <c r="HK14" i="6"/>
  <c r="HM12" i="6"/>
  <c r="HL14" i="6"/>
  <c r="HN12" i="6"/>
  <c r="HM14" i="6"/>
  <c r="HO12" i="6"/>
  <c r="HN14" i="6"/>
  <c r="HP12" i="6"/>
  <c r="HO14" i="6"/>
  <c r="HQ12" i="6"/>
  <c r="HP14" i="6"/>
  <c r="HR12" i="6"/>
  <c r="HQ14" i="6"/>
  <c r="HS12" i="6"/>
  <c r="HR14" i="6"/>
  <c r="HT12" i="6"/>
  <c r="HS14" i="6"/>
  <c r="HU12" i="6"/>
  <c r="HT14" i="6"/>
  <c r="HV12" i="6"/>
  <c r="HU14" i="6"/>
  <c r="HW12" i="6"/>
  <c r="HV14" i="6"/>
  <c r="HX12" i="6"/>
  <c r="HW14" i="6"/>
  <c r="HY12" i="6"/>
  <c r="HX14" i="6"/>
  <c r="HZ12" i="6"/>
  <c r="HY14" i="6"/>
  <c r="IA12" i="6"/>
  <c r="HZ14" i="6"/>
  <c r="IB12" i="6"/>
  <c r="IA14" i="6"/>
  <c r="IC12" i="6"/>
  <c r="IB14" i="6"/>
  <c r="ID12" i="6"/>
  <c r="IC14" i="6"/>
  <c r="IE12" i="6"/>
  <c r="ID14" i="6"/>
  <c r="IF12" i="6"/>
  <c r="IE14" i="6"/>
  <c r="IG12" i="6"/>
  <c r="IF14" i="6"/>
  <c r="IH12" i="6"/>
  <c r="IG14" i="6"/>
  <c r="II12" i="6"/>
  <c r="IH14" i="6"/>
  <c r="IJ12" i="6"/>
  <c r="II14" i="6"/>
  <c r="IK12" i="6"/>
  <c r="IJ14" i="6"/>
  <c r="IL12" i="6"/>
  <c r="IK14" i="6"/>
  <c r="IM12" i="6"/>
  <c r="IL14" i="6"/>
  <c r="IN12" i="6"/>
  <c r="IM14" i="6"/>
  <c r="IO12" i="6"/>
  <c r="IN14" i="6"/>
  <c r="IP12" i="6"/>
  <c r="IO14" i="6"/>
  <c r="IQ12" i="6"/>
  <c r="IP14" i="6"/>
  <c r="IR12" i="6"/>
  <c r="IQ14" i="6"/>
  <c r="IS12" i="6"/>
  <c r="IR14" i="6"/>
  <c r="IT12" i="6"/>
  <c r="IS14" i="6"/>
  <c r="IU12" i="6"/>
  <c r="IT14" i="6"/>
  <c r="IV12" i="6"/>
  <c r="IU14" i="6"/>
  <c r="IW12" i="6"/>
  <c r="IV14" i="6"/>
  <c r="IX12" i="6"/>
  <c r="IW14" i="6"/>
  <c r="IY12" i="6"/>
  <c r="IX14" i="6"/>
  <c r="IZ12" i="6"/>
  <c r="IY14" i="6"/>
  <c r="JA12" i="6"/>
  <c r="IZ14" i="6"/>
  <c r="JB12" i="6"/>
  <c r="JA14" i="6"/>
  <c r="JC12" i="6"/>
  <c r="JB14" i="6"/>
  <c r="JD12" i="6"/>
  <c r="JC14" i="6"/>
  <c r="JE12" i="6"/>
  <c r="JD14" i="6"/>
  <c r="JF12" i="6"/>
  <c r="JE14" i="6"/>
  <c r="JG12" i="6"/>
  <c r="JF14" i="6"/>
  <c r="JH12" i="6"/>
  <c r="JG14" i="6"/>
  <c r="JI12" i="6"/>
  <c r="JH14" i="6"/>
  <c r="JJ12" i="6"/>
  <c r="JI14" i="6"/>
  <c r="JK12" i="6"/>
  <c r="JJ14" i="6"/>
  <c r="JL12" i="6"/>
  <c r="JK14" i="6"/>
  <c r="JM12" i="6"/>
  <c r="JL14" i="6"/>
  <c r="JN12" i="6"/>
  <c r="JM14" i="6"/>
  <c r="JO12" i="6"/>
  <c r="JN14" i="6"/>
  <c r="JP12" i="6"/>
  <c r="JO14" i="6"/>
  <c r="JQ12" i="6"/>
  <c r="JP14" i="6"/>
  <c r="JR12" i="6"/>
  <c r="JQ14" i="6"/>
  <c r="JS12" i="6"/>
  <c r="JR14" i="6"/>
  <c r="JT12" i="6"/>
  <c r="JS14" i="6"/>
  <c r="JU12" i="6"/>
  <c r="JT14" i="6"/>
  <c r="JV12" i="6"/>
  <c r="JU14" i="6"/>
  <c r="JW12" i="6"/>
  <c r="JV14" i="6"/>
  <c r="JX12" i="6"/>
  <c r="JW14" i="6"/>
  <c r="JY12" i="6"/>
  <c r="JX14" i="6"/>
  <c r="JZ12" i="6"/>
  <c r="JY14" i="6"/>
  <c r="KA12" i="6"/>
  <c r="JZ14" i="6"/>
  <c r="KB12" i="6"/>
  <c r="KA14" i="6"/>
  <c r="KC12" i="6"/>
  <c r="KB14" i="6"/>
  <c r="KD12" i="6"/>
  <c r="KC14" i="6"/>
  <c r="KE12" i="6"/>
  <c r="KD14" i="6"/>
  <c r="KF12" i="6"/>
  <c r="KE14" i="6"/>
  <c r="KG12" i="6"/>
  <c r="KF14" i="6"/>
  <c r="KH12" i="6"/>
  <c r="KG14" i="6"/>
  <c r="KI12" i="6"/>
  <c r="KH14" i="6"/>
  <c r="KJ12" i="6"/>
  <c r="KI14" i="6"/>
  <c r="KK12" i="6"/>
  <c r="KJ14" i="6"/>
  <c r="KL12" i="6"/>
  <c r="KK14" i="6"/>
  <c r="KM12" i="6"/>
  <c r="KL14" i="6"/>
  <c r="KN12" i="6"/>
  <c r="KM14" i="6"/>
  <c r="KO12" i="6"/>
  <c r="KN14" i="6"/>
  <c r="KP12" i="6"/>
  <c r="KO14" i="6"/>
  <c r="KQ12" i="6"/>
  <c r="KP14" i="6"/>
  <c r="KR12" i="6"/>
  <c r="KQ14" i="6"/>
  <c r="KS12" i="6"/>
  <c r="KR14" i="6"/>
  <c r="KT12" i="6"/>
  <c r="KS14" i="6"/>
  <c r="KU12" i="6"/>
  <c r="KT14" i="6"/>
  <c r="KV12" i="6"/>
  <c r="KU14" i="6"/>
  <c r="KW12" i="6"/>
  <c r="KV14" i="6"/>
  <c r="KX12" i="6"/>
  <c r="KW14" i="6"/>
  <c r="KY12" i="6"/>
  <c r="KX14" i="6"/>
  <c r="KZ12" i="6"/>
  <c r="KY14" i="6"/>
  <c r="LA12" i="6"/>
  <c r="KZ14" i="6"/>
  <c r="LB12" i="6"/>
  <c r="LA14" i="6"/>
  <c r="LC12" i="6"/>
  <c r="LB14" i="6"/>
  <c r="LD12" i="6"/>
  <c r="LC14" i="6"/>
  <c r="LE12" i="6"/>
  <c r="LD14" i="6"/>
  <c r="LF12" i="6"/>
  <c r="LE14" i="6"/>
  <c r="LG12" i="6"/>
  <c r="LF14" i="6"/>
  <c r="LH12" i="6"/>
  <c r="LG14" i="6"/>
  <c r="LI12" i="6"/>
  <c r="LH14" i="6"/>
  <c r="LJ12" i="6"/>
  <c r="LI14" i="6"/>
  <c r="LK12" i="6"/>
  <c r="LJ14" i="6"/>
  <c r="LL12" i="6"/>
  <c r="LK14" i="6"/>
  <c r="LM12" i="6"/>
  <c r="LL14" i="6"/>
  <c r="LN12" i="6"/>
  <c r="LM14" i="6"/>
  <c r="LO12" i="6"/>
  <c r="LN14" i="6"/>
  <c r="LP12" i="6"/>
  <c r="LO14" i="6"/>
  <c r="LQ12" i="6"/>
  <c r="LP14" i="6"/>
  <c r="LR12" i="6"/>
  <c r="LQ14" i="6"/>
  <c r="LS12" i="6"/>
  <c r="LR14" i="6"/>
  <c r="LT12" i="6"/>
  <c r="LS14" i="6"/>
  <c r="LU12" i="6"/>
  <c r="LT14" i="6"/>
  <c r="LV12" i="6"/>
  <c r="LU14" i="6"/>
  <c r="LW12" i="6"/>
  <c r="LV14" i="6"/>
  <c r="LX12" i="6"/>
  <c r="LW14" i="6"/>
  <c r="LY12" i="6"/>
  <c r="LX14" i="6"/>
  <c r="LZ12" i="6"/>
  <c r="LY14" i="6"/>
  <c r="MA12" i="6"/>
  <c r="LZ14" i="6"/>
  <c r="MB12" i="6"/>
  <c r="MA14" i="6"/>
  <c r="MC12" i="6"/>
  <c r="MB14" i="6"/>
  <c r="MD12" i="6"/>
  <c r="MC14" i="6"/>
  <c r="ME12" i="6"/>
  <c r="MD14" i="6"/>
  <c r="MF12" i="6"/>
  <c r="ME14" i="6"/>
  <c r="MG12" i="6"/>
  <c r="MF14" i="6"/>
  <c r="MH12" i="6"/>
  <c r="MG14" i="6"/>
  <c r="MI12" i="6"/>
  <c r="MH14" i="6"/>
  <c r="MJ12" i="6"/>
  <c r="MI14" i="6"/>
  <c r="MK12" i="6"/>
  <c r="MJ14" i="6"/>
  <c r="ML12" i="6"/>
  <c r="MK14" i="6"/>
  <c r="MM12" i="6"/>
  <c r="ML14" i="6"/>
  <c r="MN12" i="6"/>
  <c r="MM14" i="6"/>
  <c r="MO12" i="6"/>
  <c r="MN14" i="6"/>
  <c r="MP12" i="6"/>
  <c r="MO14" i="6"/>
  <c r="MQ12" i="6"/>
  <c r="MP14" i="6"/>
  <c r="MR12" i="6"/>
  <c r="MQ14" i="6"/>
  <c r="MS12" i="6"/>
  <c r="MR14" i="6"/>
  <c r="MT12" i="6"/>
  <c r="MS14" i="6"/>
  <c r="MU12" i="6"/>
  <c r="MT14" i="6"/>
  <c r="MV12" i="6"/>
  <c r="MU14" i="6"/>
  <c r="MW12" i="6"/>
  <c r="MV14" i="6"/>
  <c r="MX12" i="6"/>
  <c r="MW14" i="6"/>
  <c r="MY12" i="6"/>
  <c r="MX14" i="6"/>
  <c r="MZ12" i="6"/>
  <c r="MY14" i="6"/>
  <c r="NA12" i="6"/>
  <c r="MZ14" i="6"/>
  <c r="NB12" i="6"/>
  <c r="NA14" i="6"/>
  <c r="NC12" i="6"/>
  <c r="NB14" i="6"/>
  <c r="ND12" i="6"/>
  <c r="NC14" i="6"/>
  <c r="NE12" i="6"/>
  <c r="ND14" i="6"/>
  <c r="NF12" i="6"/>
  <c r="NE14" i="6"/>
  <c r="NG12" i="6"/>
  <c r="NF14" i="6"/>
  <c r="NH12" i="6"/>
  <c r="NG14" i="6"/>
  <c r="NI12" i="6"/>
  <c r="NH14" i="6"/>
  <c r="NJ12" i="6"/>
  <c r="NI14" i="6"/>
  <c r="NK12" i="6"/>
  <c r="NJ14" i="6"/>
  <c r="NL12" i="6"/>
  <c r="NK14" i="6"/>
  <c r="NM12" i="6"/>
  <c r="NL14" i="6"/>
  <c r="NN12" i="6"/>
  <c r="NM14" i="6"/>
  <c r="NO12" i="6"/>
  <c r="NN14" i="6"/>
  <c r="NP12" i="6"/>
  <c r="NO14" i="6"/>
  <c r="NQ12" i="6"/>
  <c r="NP14" i="6"/>
  <c r="NR12" i="6"/>
  <c r="NQ14" i="6"/>
  <c r="NS12" i="6"/>
  <c r="NR14" i="6"/>
  <c r="NT12" i="6"/>
  <c r="NS14" i="6"/>
  <c r="NU12" i="6"/>
  <c r="NT14" i="6"/>
  <c r="NV12" i="6"/>
  <c r="NU14" i="6"/>
  <c r="NW12" i="6"/>
  <c r="NV14" i="6"/>
  <c r="NX12" i="6"/>
  <c r="NW14" i="6"/>
  <c r="NY12" i="6"/>
  <c r="NX14" i="6"/>
  <c r="NZ12" i="6"/>
  <c r="NY14" i="6"/>
  <c r="OA12" i="6"/>
  <c r="NZ14" i="6"/>
  <c r="OB12" i="6"/>
  <c r="OA14" i="6"/>
  <c r="OC12" i="6"/>
  <c r="OB14" i="6"/>
  <c r="OD12" i="6"/>
  <c r="OC14" i="6"/>
  <c r="OE12" i="6"/>
  <c r="OD14" i="6"/>
  <c r="OF12" i="6"/>
  <c r="OE14" i="6"/>
  <c r="OG12" i="6"/>
  <c r="OF14" i="6"/>
  <c r="OH12" i="6"/>
  <c r="OG14" i="6"/>
  <c r="OI12" i="6"/>
  <c r="OH14" i="6"/>
  <c r="OJ12" i="6"/>
  <c r="OI14" i="6"/>
  <c r="OK12" i="6"/>
  <c r="OJ14" i="6"/>
  <c r="OL12" i="6"/>
  <c r="OK14" i="6"/>
  <c r="OM12" i="6"/>
  <c r="OL14" i="6"/>
  <c r="ON12" i="6"/>
  <c r="OM14" i="6"/>
  <c r="OO12" i="6"/>
  <c r="ON14" i="6"/>
  <c r="OP12" i="6"/>
  <c r="OO14" i="6"/>
  <c r="OQ12" i="6"/>
  <c r="OP14" i="6"/>
  <c r="OR12" i="6"/>
  <c r="OQ14" i="6"/>
  <c r="OS12" i="6"/>
  <c r="OR14" i="6"/>
  <c r="OT12" i="6"/>
  <c r="OS14" i="6"/>
  <c r="OU12" i="6"/>
  <c r="OT14" i="6"/>
  <c r="OV12" i="6"/>
  <c r="OU14" i="6"/>
  <c r="OW12" i="6"/>
  <c r="OV14" i="6"/>
  <c r="OX12" i="6"/>
  <c r="OW14" i="6"/>
  <c r="OY12" i="6"/>
  <c r="OX14" i="6"/>
  <c r="OZ12" i="6"/>
  <c r="OY14" i="6"/>
  <c r="PA12" i="6"/>
  <c r="OZ14" i="6"/>
  <c r="PB12" i="6"/>
  <c r="PA14" i="6"/>
  <c r="PC12" i="6"/>
  <c r="PB14" i="6"/>
  <c r="PD12" i="6"/>
  <c r="PC14" i="6"/>
  <c r="PE12" i="6"/>
  <c r="PD14" i="6"/>
  <c r="PF12" i="6"/>
  <c r="PE14" i="6"/>
  <c r="PG12" i="6"/>
  <c r="PF14" i="6"/>
  <c r="PH12" i="6"/>
  <c r="PG14" i="6"/>
  <c r="PI12" i="6"/>
  <c r="PH14" i="6"/>
  <c r="PJ12" i="6"/>
  <c r="PI14" i="6"/>
  <c r="PK12" i="6"/>
  <c r="PJ14" i="6"/>
  <c r="PL12" i="6"/>
  <c r="PK14" i="6"/>
  <c r="PM12" i="6"/>
  <c r="PL14" i="6"/>
  <c r="PN12" i="6"/>
  <c r="PM14" i="6"/>
  <c r="PO12" i="6"/>
  <c r="PN14" i="6"/>
  <c r="PP12" i="6"/>
  <c r="PO14" i="6"/>
  <c r="PQ12" i="6"/>
  <c r="PP14" i="6"/>
  <c r="PR12" i="6"/>
  <c r="PQ14" i="6"/>
  <c r="PS12" i="6"/>
  <c r="PR14" i="6"/>
  <c r="PT12" i="6"/>
  <c r="PS14" i="6"/>
  <c r="PU12" i="6"/>
  <c r="PT14" i="6"/>
  <c r="PV12" i="6"/>
  <c r="PU14" i="6"/>
  <c r="PW12" i="6"/>
  <c r="PV14" i="6"/>
  <c r="PX12" i="6"/>
  <c r="PW14" i="6"/>
  <c r="PY12" i="6"/>
  <c r="PX14" i="6"/>
  <c r="PZ12" i="6"/>
  <c r="PY14" i="6"/>
  <c r="QA12" i="6"/>
  <c r="PZ14" i="6"/>
  <c r="QB12" i="6"/>
  <c r="QA14" i="6"/>
  <c r="QC12" i="6"/>
  <c r="QB14" i="6"/>
  <c r="QD12" i="6"/>
  <c r="QC14" i="6"/>
  <c r="QE12" i="6"/>
  <c r="QD14" i="6"/>
  <c r="QF12" i="6"/>
  <c r="QE14" i="6"/>
  <c r="QG12" i="6"/>
  <c r="QF14" i="6"/>
  <c r="QH12" i="6"/>
  <c r="QG14" i="6"/>
  <c r="QI12" i="6"/>
  <c r="QH14" i="6"/>
  <c r="QJ12" i="6"/>
  <c r="QI14" i="6"/>
  <c r="QK12" i="6"/>
  <c r="QJ14" i="6"/>
  <c r="QL12" i="6"/>
  <c r="QK14" i="6"/>
  <c r="QM12" i="6"/>
  <c r="QL14" i="6"/>
  <c r="QN12" i="6"/>
  <c r="QM14" i="6"/>
  <c r="QO12" i="6"/>
  <c r="QN14" i="6"/>
  <c r="QP12" i="6"/>
  <c r="QO14" i="6"/>
  <c r="QQ12" i="6"/>
  <c r="QP14" i="6"/>
  <c r="QR12" i="6"/>
  <c r="QQ14" i="6"/>
  <c r="QS12" i="6"/>
  <c r="QR14" i="6"/>
  <c r="QT12" i="6"/>
  <c r="QS14" i="6"/>
  <c r="QU12" i="6"/>
  <c r="QT14" i="6"/>
  <c r="QV12" i="6"/>
  <c r="QU14" i="6"/>
  <c r="QW12" i="6"/>
  <c r="QV14" i="6"/>
  <c r="QX12" i="6"/>
  <c r="QW14" i="6"/>
  <c r="QY12" i="6"/>
  <c r="QX14" i="6"/>
  <c r="QZ12" i="6"/>
  <c r="QY14" i="6"/>
  <c r="RA12" i="6"/>
  <c r="QZ14" i="6"/>
  <c r="RB12" i="6"/>
  <c r="RA14" i="6"/>
  <c r="RC12" i="6"/>
  <c r="RB14" i="6"/>
  <c r="RD12" i="6"/>
  <c r="RC14" i="6"/>
  <c r="RE12" i="6"/>
  <c r="RD14" i="6"/>
  <c r="RF12" i="6"/>
  <c r="RE14" i="6"/>
  <c r="RG12" i="6"/>
  <c r="RF14" i="6"/>
  <c r="RH12" i="6"/>
  <c r="RG14" i="6"/>
  <c r="RI12" i="6"/>
  <c r="RH14" i="6"/>
  <c r="RJ12" i="6"/>
  <c r="RI14" i="6"/>
  <c r="RK12" i="6"/>
  <c r="RJ14" i="6"/>
  <c r="RL12" i="6"/>
  <c r="RK14" i="6"/>
  <c r="RM12" i="6"/>
  <c r="RL14" i="6"/>
  <c r="RN12" i="6"/>
  <c r="RM14" i="6"/>
  <c r="RO12" i="6"/>
  <c r="RN14" i="6"/>
  <c r="RP12" i="6"/>
  <c r="RO14" i="6"/>
  <c r="RQ12" i="6"/>
  <c r="RP14" i="6"/>
  <c r="RR12" i="6"/>
  <c r="RQ14" i="6"/>
  <c r="RS12" i="6"/>
  <c r="RR14" i="6"/>
  <c r="RT12" i="6"/>
  <c r="RS14" i="6"/>
  <c r="RU12" i="6"/>
  <c r="RT14" i="6"/>
  <c r="RV12" i="6"/>
  <c r="RU14" i="6"/>
  <c r="RW12" i="6"/>
  <c r="RV14" i="6"/>
  <c r="RX12" i="6"/>
  <c r="RW14" i="6"/>
  <c r="RY12" i="6"/>
  <c r="RX14" i="6"/>
  <c r="RZ12" i="6"/>
  <c r="RY14" i="6"/>
  <c r="SA12" i="6"/>
  <c r="RZ14" i="6"/>
  <c r="SB12" i="6"/>
  <c r="SA14" i="6"/>
  <c r="SC12" i="6"/>
  <c r="SB14" i="6"/>
  <c r="SD12" i="6"/>
  <c r="SC14" i="6"/>
  <c r="SE12" i="6"/>
  <c r="SD14" i="6"/>
  <c r="SF12" i="6"/>
  <c r="SE14" i="6"/>
  <c r="SG12" i="6"/>
  <c r="SF14" i="6"/>
  <c r="SH12" i="6"/>
  <c r="SG14" i="6"/>
  <c r="SI12" i="6"/>
  <c r="SH14" i="6"/>
  <c r="SJ12" i="6"/>
  <c r="SI14" i="6"/>
  <c r="SK12" i="6"/>
  <c r="SJ14" i="6"/>
  <c r="SL12" i="6"/>
  <c r="SK14" i="6"/>
  <c r="SM12" i="6"/>
  <c r="SL14" i="6"/>
  <c r="SN12" i="6"/>
  <c r="SM14" i="6"/>
  <c r="SO12" i="6"/>
  <c r="SN14" i="6"/>
  <c r="SP12" i="6"/>
  <c r="SO14" i="6"/>
  <c r="SQ12" i="6"/>
  <c r="SP14" i="6"/>
  <c r="SR12" i="6"/>
  <c r="SQ14" i="6"/>
  <c r="SS12" i="6"/>
  <c r="SR14" i="6"/>
  <c r="ST12" i="6"/>
  <c r="SS14" i="6"/>
  <c r="SU12" i="6"/>
  <c r="ST14" i="6"/>
  <c r="SV12" i="6"/>
  <c r="SU14" i="6"/>
  <c r="SW12" i="6"/>
  <c r="SV14" i="6"/>
  <c r="SX12" i="6"/>
  <c r="SW14" i="6"/>
  <c r="SY12" i="6"/>
  <c r="SX14" i="6"/>
  <c r="SZ12" i="6"/>
  <c r="SY14" i="6"/>
  <c r="TA12" i="6"/>
  <c r="SZ14" i="6"/>
  <c r="TB12" i="6"/>
  <c r="TA14" i="6"/>
  <c r="TC12" i="6"/>
  <c r="TB14" i="6"/>
  <c r="TD12" i="6"/>
  <c r="TC14" i="6"/>
  <c r="TE12" i="6"/>
  <c r="TD14" i="6"/>
  <c r="TF12" i="6"/>
  <c r="TE14" i="6"/>
  <c r="TG12" i="6"/>
  <c r="TF14" i="6"/>
  <c r="TH12" i="6"/>
  <c r="TG14" i="6"/>
  <c r="TI12" i="6"/>
  <c r="TH14" i="6"/>
  <c r="TJ12" i="6"/>
  <c r="TI14" i="6"/>
  <c r="TK12" i="6"/>
  <c r="TJ14" i="6"/>
  <c r="TL12" i="6"/>
  <c r="TK14" i="6"/>
  <c r="TM12" i="6"/>
  <c r="TL14" i="6"/>
  <c r="TN12" i="6"/>
  <c r="TM14" i="6"/>
  <c r="TO12" i="6"/>
  <c r="TN14" i="6"/>
  <c r="TP12" i="6"/>
  <c r="TO14" i="6"/>
  <c r="TQ12" i="6"/>
  <c r="TP14" i="6"/>
  <c r="TR12" i="6"/>
  <c r="TQ14" i="6"/>
  <c r="TS12" i="6"/>
  <c r="TR14" i="6"/>
  <c r="TT12" i="6"/>
  <c r="TS14" i="6"/>
  <c r="TU12" i="6"/>
  <c r="TT14" i="6"/>
  <c r="TV12" i="6"/>
  <c r="TU14" i="6"/>
  <c r="TW12" i="6"/>
  <c r="TV14" i="6"/>
  <c r="TX12" i="6"/>
  <c r="TW14" i="6"/>
  <c r="TY12" i="6"/>
  <c r="TX14" i="6"/>
  <c r="TZ12" i="6"/>
  <c r="TY14" i="6"/>
  <c r="UA12" i="6"/>
  <c r="TZ14" i="6"/>
  <c r="UB12" i="6"/>
  <c r="UA14" i="6"/>
  <c r="UC12" i="6"/>
  <c r="UB14" i="6"/>
  <c r="UD12" i="6"/>
  <c r="UC14" i="6"/>
  <c r="UE12" i="6"/>
  <c r="UD14" i="6"/>
  <c r="UF12" i="6"/>
  <c r="UE14" i="6"/>
  <c r="UG12" i="6"/>
  <c r="UF14" i="6"/>
  <c r="UH12" i="6"/>
  <c r="UG14" i="6"/>
  <c r="UI12" i="6"/>
  <c r="UH14" i="6"/>
  <c r="UJ12" i="6"/>
  <c r="UI14" i="6"/>
  <c r="UK12" i="6"/>
  <c r="UJ14" i="6"/>
  <c r="UL12" i="6"/>
  <c r="UK14" i="6"/>
  <c r="UM12" i="6"/>
  <c r="UL14" i="6"/>
  <c r="UN12" i="6"/>
  <c r="UM14" i="6"/>
  <c r="UO12" i="6"/>
  <c r="UN14" i="6"/>
  <c r="UP12" i="6"/>
  <c r="UO14" i="6"/>
  <c r="UQ12" i="6"/>
  <c r="UP14" i="6"/>
  <c r="UR12" i="6"/>
  <c r="UQ14" i="6"/>
  <c r="US12" i="6"/>
  <c r="UR14" i="6"/>
  <c r="UT12" i="6"/>
  <c r="US14" i="6"/>
  <c r="UU12" i="6"/>
  <c r="UT14" i="6"/>
  <c r="UV12" i="6"/>
  <c r="UU14" i="6"/>
  <c r="UW12" i="6"/>
  <c r="UV14" i="6"/>
  <c r="UX12" i="6"/>
  <c r="UW14" i="6"/>
  <c r="UY12" i="6"/>
  <c r="UX14" i="6"/>
  <c r="UZ12" i="6"/>
  <c r="UY14" i="6"/>
  <c r="VA12" i="6"/>
  <c r="UZ14" i="6"/>
  <c r="VB12" i="6"/>
  <c r="VA14" i="6"/>
  <c r="VC12" i="6"/>
  <c r="VB14" i="6"/>
  <c r="VD12" i="6"/>
  <c r="VC14" i="6"/>
  <c r="VE12" i="6"/>
  <c r="VD14" i="6"/>
  <c r="VF12" i="6"/>
  <c r="VE14" i="6"/>
  <c r="VG12" i="6"/>
  <c r="VF14" i="6"/>
  <c r="VH12" i="6"/>
  <c r="VG14" i="6"/>
  <c r="VI12" i="6"/>
  <c r="VH14" i="6"/>
  <c r="VJ12" i="6"/>
  <c r="VI14" i="6"/>
  <c r="VK12" i="6"/>
  <c r="VJ14" i="6"/>
  <c r="VL12" i="6"/>
  <c r="VK14" i="6"/>
  <c r="VM12" i="6"/>
  <c r="VL14" i="6"/>
  <c r="VN12" i="6"/>
  <c r="VM14" i="6"/>
  <c r="VO12" i="6"/>
  <c r="VN14" i="6"/>
  <c r="VP12" i="6"/>
  <c r="VO14" i="6"/>
  <c r="VQ12" i="6"/>
  <c r="VP14" i="6"/>
  <c r="VR12" i="6"/>
  <c r="VQ14" i="6"/>
  <c r="VS12" i="6"/>
  <c r="VR14" i="6"/>
  <c r="VT12" i="6"/>
  <c r="VS14" i="6"/>
  <c r="VU12" i="6"/>
  <c r="VT14" i="6"/>
  <c r="VV12" i="6"/>
  <c r="VU14" i="6"/>
  <c r="VW12" i="6"/>
  <c r="VV14" i="6"/>
  <c r="VX12" i="6"/>
  <c r="VW14" i="6"/>
  <c r="VY12" i="6"/>
  <c r="VX14" i="6"/>
  <c r="VZ12" i="6"/>
  <c r="VY14" i="6"/>
  <c r="WA12" i="6"/>
  <c r="VZ14" i="6"/>
  <c r="WB12" i="6"/>
  <c r="WA14" i="6"/>
  <c r="WC12" i="6"/>
  <c r="WB14" i="6"/>
  <c r="WD12" i="6"/>
  <c r="WC14" i="6"/>
  <c r="WE12" i="6"/>
  <c r="WD14" i="6"/>
  <c r="WF12" i="6"/>
  <c r="WE14" i="6"/>
  <c r="WG12" i="6"/>
  <c r="WF14" i="6"/>
  <c r="WH12" i="6"/>
  <c r="WG14" i="6"/>
  <c r="WI12" i="6"/>
  <c r="WH14" i="6"/>
  <c r="WJ12" i="6"/>
  <c r="WI14" i="6"/>
  <c r="WK12" i="6"/>
  <c r="WJ14" i="6"/>
  <c r="WL12" i="6"/>
  <c r="WK14" i="6"/>
  <c r="WM12" i="6"/>
  <c r="WL14" i="6"/>
  <c r="WN12" i="6"/>
  <c r="WM14" i="6"/>
  <c r="WO12" i="6"/>
  <c r="WN14" i="6"/>
  <c r="WP12" i="6"/>
  <c r="WO14" i="6"/>
  <c r="WQ12" i="6"/>
  <c r="WP14" i="6"/>
  <c r="WR12" i="6"/>
  <c r="WQ14" i="6"/>
  <c r="WS12" i="6"/>
  <c r="WR14" i="6"/>
  <c r="WT12" i="6"/>
  <c r="WS14" i="6"/>
  <c r="WU12" i="6"/>
  <c r="WT14" i="6"/>
  <c r="WV12" i="6"/>
  <c r="WU14" i="6"/>
  <c r="WW12" i="6"/>
  <c r="WV14" i="6"/>
  <c r="WX12" i="6"/>
  <c r="WW14" i="6"/>
  <c r="WY12" i="6"/>
  <c r="WX14" i="6"/>
  <c r="WZ12" i="6"/>
  <c r="WY14" i="6"/>
  <c r="XA12" i="6"/>
  <c r="WZ14" i="6"/>
  <c r="XB12" i="6"/>
  <c r="XA14" i="6"/>
  <c r="XC12" i="6"/>
  <c r="XB14" i="6"/>
  <c r="XD12" i="6"/>
  <c r="XC14" i="6"/>
  <c r="XE12" i="6"/>
  <c r="XD14" i="6"/>
  <c r="XF12" i="6"/>
  <c r="XE14" i="6"/>
  <c r="XG12" i="6"/>
  <c r="XF14" i="6"/>
  <c r="XH12" i="6"/>
  <c r="XG14" i="6"/>
  <c r="XI12" i="6"/>
  <c r="XH14" i="6"/>
  <c r="XJ12" i="6"/>
  <c r="XI14" i="6"/>
  <c r="XK12" i="6"/>
  <c r="XJ14" i="6"/>
  <c r="XL12" i="6"/>
  <c r="XK14" i="6"/>
  <c r="XM12" i="6"/>
  <c r="XL14" i="6"/>
  <c r="XN12" i="6"/>
  <c r="XM14" i="6"/>
  <c r="XO12" i="6"/>
  <c r="XN14" i="6"/>
  <c r="XP12" i="6"/>
  <c r="XO14" i="6"/>
  <c r="XQ12" i="6"/>
  <c r="XP14" i="6"/>
  <c r="XR12" i="6"/>
  <c r="XQ14" i="6"/>
  <c r="XS12" i="6"/>
  <c r="XR14" i="6"/>
  <c r="XT12" i="6"/>
  <c r="XS14" i="6"/>
  <c r="XU12" i="6"/>
  <c r="XT14" i="6"/>
  <c r="XV12" i="6"/>
  <c r="XU14" i="6"/>
  <c r="XW12" i="6"/>
  <c r="XV14" i="6"/>
  <c r="XX12" i="6"/>
  <c r="XW14" i="6"/>
  <c r="XY12" i="6"/>
  <c r="XX14" i="6"/>
  <c r="XZ12" i="6"/>
  <c r="XY14" i="6"/>
  <c r="YA12" i="6"/>
  <c r="XZ14" i="6"/>
  <c r="YB12" i="6"/>
  <c r="YA14" i="6"/>
  <c r="YC12" i="6"/>
  <c r="YB14" i="6"/>
  <c r="YD12" i="6"/>
  <c r="YC14" i="6"/>
  <c r="YE12" i="6"/>
  <c r="YD14" i="6"/>
  <c r="YF12" i="6"/>
  <c r="YE14" i="6"/>
  <c r="YG12" i="6"/>
  <c r="YF14" i="6"/>
  <c r="YH12" i="6"/>
  <c r="YG14" i="6"/>
  <c r="YI12" i="6"/>
  <c r="YH14" i="6"/>
  <c r="YJ12" i="6"/>
  <c r="YI14" i="6"/>
  <c r="YK12" i="6"/>
  <c r="YJ14" i="6"/>
  <c r="YL12" i="6"/>
  <c r="YK14" i="6"/>
  <c r="YM12" i="6"/>
  <c r="YL14" i="6"/>
  <c r="YN12" i="6"/>
  <c r="YM14" i="6"/>
  <c r="YO12" i="6"/>
  <c r="YN14" i="6"/>
  <c r="YP12" i="6"/>
  <c r="YO14" i="6"/>
  <c r="YQ12" i="6"/>
  <c r="YP14" i="6"/>
  <c r="YR12" i="6"/>
  <c r="YQ14" i="6"/>
  <c r="YS12" i="6"/>
  <c r="YR14" i="6"/>
  <c r="YT12" i="6"/>
  <c r="YS14" i="6"/>
  <c r="YU12" i="6"/>
  <c r="YT14" i="6"/>
  <c r="YV12" i="6"/>
  <c r="YU14" i="6"/>
  <c r="YW12" i="6"/>
  <c r="YV14" i="6"/>
  <c r="YX12" i="6"/>
  <c r="YW14" i="6"/>
  <c r="YY12" i="6"/>
  <c r="YX14" i="6"/>
  <c r="YZ12" i="6"/>
  <c r="YY14" i="6"/>
  <c r="ZA12" i="6"/>
  <c r="YZ14" i="6"/>
  <c r="ZB12" i="6"/>
  <c r="ZA14" i="6"/>
  <c r="ZC12" i="6"/>
  <c r="ZB14" i="6"/>
  <c r="ZD12" i="6"/>
  <c r="ZC14" i="6"/>
  <c r="ZE12" i="6"/>
  <c r="ZD14" i="6"/>
  <c r="ZF12" i="6"/>
  <c r="ZE14" i="6"/>
  <c r="ZG12" i="6"/>
  <c r="ZF14" i="6"/>
  <c r="ZH12" i="6"/>
  <c r="ZG14" i="6"/>
  <c r="ZI12" i="6"/>
  <c r="ZH14" i="6"/>
  <c r="ZJ12" i="6"/>
  <c r="ZI14" i="6"/>
  <c r="ZK12" i="6"/>
  <c r="ZJ14" i="6"/>
  <c r="ZL12" i="6"/>
  <c r="ZK14" i="6"/>
  <c r="ZM12" i="6"/>
  <c r="ZL14" i="6"/>
  <c r="ZN12" i="6"/>
  <c r="ZM14" i="6"/>
  <c r="ZO12" i="6"/>
  <c r="ZN14" i="6"/>
  <c r="ZP12" i="6"/>
  <c r="ZO14" i="6"/>
  <c r="ZQ12" i="6"/>
  <c r="ZP14" i="6"/>
  <c r="ZR12" i="6"/>
  <c r="ZQ14" i="6"/>
  <c r="ZS12" i="6"/>
  <c r="ZR14" i="6"/>
  <c r="ZT12" i="6"/>
  <c r="ZS14" i="6"/>
  <c r="ZU12" i="6"/>
  <c r="ZT14" i="6"/>
  <c r="ZV12" i="6"/>
  <c r="ZU14" i="6"/>
  <c r="ZW12" i="6"/>
  <c r="ZV14" i="6"/>
  <c r="ZX12" i="6"/>
  <c r="ZW14" i="6"/>
  <c r="ZY12" i="6"/>
  <c r="ZX14" i="6"/>
  <c r="ZZ12" i="6"/>
  <c r="ZY14" i="6"/>
  <c r="AAA12" i="6"/>
  <c r="ZZ14" i="6"/>
  <c r="AAB12" i="6"/>
  <c r="AAA14" i="6"/>
  <c r="AAC12" i="6"/>
  <c r="AAB14" i="6"/>
  <c r="AAD12" i="6"/>
  <c r="AAC14" i="6"/>
  <c r="AAE12" i="6"/>
  <c r="AAD14" i="6"/>
  <c r="AAF12" i="6"/>
  <c r="AAE14" i="6"/>
  <c r="AAG12" i="6"/>
  <c r="AAF14" i="6"/>
  <c r="AAH12" i="6"/>
  <c r="AAG14" i="6"/>
  <c r="AAI12" i="6"/>
  <c r="AAH14" i="6"/>
  <c r="AAJ12" i="6"/>
  <c r="AAI14" i="6"/>
  <c r="AAK12" i="6"/>
  <c r="AAJ14" i="6"/>
  <c r="AAL12" i="6"/>
  <c r="AAK14" i="6"/>
  <c r="AAM12" i="6"/>
  <c r="AAL14" i="6"/>
  <c r="AAN12" i="6"/>
  <c r="AAM14" i="6"/>
  <c r="AAO12" i="6"/>
  <c r="AAN14" i="6"/>
  <c r="AAP12" i="6"/>
  <c r="AAO14" i="6"/>
  <c r="AAQ12" i="6"/>
  <c r="AAP14" i="6"/>
  <c r="AAR12" i="6"/>
  <c r="AAQ14" i="6"/>
  <c r="AAS12" i="6"/>
  <c r="AAR14" i="6"/>
  <c r="AAT12" i="6"/>
  <c r="AAS14" i="6"/>
  <c r="AAU12" i="6"/>
  <c r="AAT14" i="6"/>
  <c r="AAV12" i="6"/>
  <c r="AAU14" i="6"/>
  <c r="AAW12" i="6"/>
  <c r="AAV14" i="6"/>
  <c r="AAX12" i="6"/>
  <c r="AAW14" i="6"/>
  <c r="AAY12" i="6"/>
  <c r="AAX14" i="6"/>
  <c r="AAZ12" i="6"/>
  <c r="AAY14" i="6"/>
  <c r="ABA12" i="6"/>
  <c r="AAZ14" i="6"/>
  <c r="ABB12" i="6"/>
  <c r="ABA14" i="6"/>
  <c r="ABC12" i="6"/>
  <c r="ABB14" i="6"/>
  <c r="ABD12" i="6"/>
  <c r="ABC14" i="6"/>
  <c r="ABE12" i="6"/>
  <c r="ABD14" i="6"/>
  <c r="ABF12" i="6"/>
  <c r="ABE14" i="6"/>
  <c r="ABG12" i="6"/>
  <c r="ABF14" i="6"/>
  <c r="ABH12" i="6"/>
  <c r="ABG14" i="6"/>
  <c r="ABI12" i="6"/>
  <c r="ABH14" i="6"/>
  <c r="ABJ12" i="6"/>
  <c r="ABI14" i="6"/>
  <c r="ABK12" i="6"/>
  <c r="ABJ14" i="6"/>
  <c r="ABL12" i="6"/>
  <c r="ABK14" i="6"/>
  <c r="ABM12" i="6"/>
  <c r="ABL14" i="6"/>
  <c r="ABN12" i="6"/>
  <c r="ABM14" i="6"/>
  <c r="ABO12" i="6"/>
  <c r="ABN14" i="6"/>
  <c r="ABP12" i="6"/>
  <c r="ABO14" i="6"/>
  <c r="ABQ12" i="6"/>
  <c r="ABP14" i="6"/>
  <c r="ABR12" i="6"/>
  <c r="ABQ14" i="6"/>
  <c r="ABS12" i="6"/>
  <c r="ABR14" i="6"/>
  <c r="ABT12" i="6"/>
  <c r="ABS14" i="6"/>
  <c r="ABU12" i="6"/>
  <c r="ABT14" i="6"/>
  <c r="ABV12" i="6"/>
  <c r="ABU14" i="6"/>
  <c r="ABW12" i="6"/>
  <c r="ABV14" i="6"/>
  <c r="ABX12" i="6"/>
  <c r="ABW14" i="6"/>
  <c r="ABY12" i="6"/>
  <c r="ABX14" i="6"/>
  <c r="ABZ12" i="6"/>
  <c r="ABY14" i="6"/>
  <c r="ACA12" i="6"/>
  <c r="ABZ14" i="6"/>
  <c r="ACB12" i="6"/>
  <c r="ACA14" i="6"/>
  <c r="ACC12" i="6"/>
  <c r="ACB14" i="6"/>
  <c r="ACD12" i="6"/>
  <c r="ACC14" i="6"/>
  <c r="ACE12" i="6"/>
  <c r="ACD14" i="6"/>
  <c r="ACF12" i="6"/>
  <c r="ACE14" i="6"/>
  <c r="ACG12" i="6"/>
  <c r="ACF14" i="6"/>
  <c r="ACH12" i="6"/>
  <c r="ACG14" i="6"/>
  <c r="ACI12" i="6"/>
  <c r="ACH14" i="6"/>
  <c r="ACJ12" i="6"/>
  <c r="ACI14" i="6"/>
  <c r="ACK12" i="6"/>
  <c r="ACJ14" i="6"/>
  <c r="ACL12" i="6"/>
  <c r="ACK14" i="6"/>
  <c r="ACM12" i="6"/>
  <c r="ACL14" i="6"/>
  <c r="ACN12" i="6"/>
  <c r="ACM14" i="6"/>
  <c r="ACO12" i="6"/>
  <c r="ACN14" i="6"/>
  <c r="ACP12" i="6"/>
  <c r="ACO14" i="6"/>
  <c r="ACQ12" i="6"/>
  <c r="ACP14" i="6"/>
  <c r="ACR12" i="6"/>
  <c r="ACQ14" i="6"/>
  <c r="ACS12" i="6"/>
  <c r="ACR14" i="6"/>
  <c r="ACT12" i="6"/>
  <c r="ACS14" i="6"/>
  <c r="ACU12" i="6"/>
  <c r="ACT14" i="6"/>
  <c r="ACV12" i="6"/>
  <c r="ACU14" i="6"/>
  <c r="ACW12" i="6"/>
  <c r="ACV14" i="6"/>
  <c r="ACX12" i="6"/>
  <c r="ACW14" i="6"/>
  <c r="ACY12" i="6"/>
  <c r="ACX14" i="6"/>
  <c r="ACZ12" i="6"/>
  <c r="ACY14" i="6"/>
  <c r="ADA12" i="6"/>
  <c r="ACZ14" i="6"/>
  <c r="ADB12" i="6"/>
  <c r="ADA14" i="6"/>
  <c r="ADC12" i="6"/>
  <c r="ADB14" i="6"/>
  <c r="ADD12" i="6"/>
  <c r="ADC14" i="6"/>
  <c r="ADE12" i="6"/>
  <c r="ADD14" i="6"/>
  <c r="ADF12" i="6"/>
  <c r="ADE14" i="6"/>
  <c r="ADG12" i="6"/>
  <c r="ADF14" i="6"/>
  <c r="ADH12" i="6"/>
  <c r="ADG14" i="6"/>
  <c r="ADI12" i="6"/>
  <c r="ADH14" i="6"/>
  <c r="ADJ12" i="6"/>
  <c r="ADI14" i="6"/>
  <c r="ADK12" i="6"/>
  <c r="ADJ14" i="6"/>
  <c r="ADL12" i="6"/>
  <c r="ADK14" i="6"/>
  <c r="ADM12" i="6"/>
  <c r="ADL14" i="6"/>
  <c r="ADN12" i="6"/>
  <c r="ADM14" i="6"/>
  <c r="ADO12" i="6"/>
  <c r="ADN14" i="6"/>
  <c r="ADP12" i="6"/>
  <c r="ADO14" i="6"/>
  <c r="ADQ12" i="6"/>
  <c r="ADP14" i="6"/>
  <c r="ADR12" i="6"/>
  <c r="ADQ14" i="6"/>
  <c r="ADS12" i="6"/>
  <c r="ADR14" i="6"/>
  <c r="ADT12" i="6"/>
  <c r="ADS14" i="6"/>
  <c r="ADU12" i="6"/>
  <c r="ADT14" i="6"/>
  <c r="ADV12" i="6"/>
  <c r="ADU14" i="6"/>
  <c r="ADW12" i="6"/>
  <c r="ADV14" i="6"/>
  <c r="ADX12" i="6"/>
  <c r="ADW14" i="6"/>
  <c r="ADY12" i="6"/>
  <c r="ADX14" i="6"/>
  <c r="ADZ12" i="6"/>
  <c r="ADY14" i="6"/>
  <c r="AEA12" i="6"/>
  <c r="ADZ14" i="6"/>
  <c r="AEB12" i="6"/>
  <c r="AEA14" i="6"/>
  <c r="AEC12" i="6"/>
  <c r="AEB14" i="6"/>
  <c r="AED12" i="6"/>
  <c r="AEC14" i="6"/>
  <c r="AEE12" i="6"/>
  <c r="AED14" i="6"/>
  <c r="AEF12" i="6"/>
  <c r="AEE14" i="6"/>
  <c r="AEG12" i="6"/>
  <c r="AEF14" i="6"/>
  <c r="AEH12" i="6"/>
  <c r="AEG14" i="6"/>
  <c r="AEI12" i="6"/>
  <c r="AEH14" i="6"/>
  <c r="AEJ12" i="6"/>
  <c r="AEI14" i="6"/>
  <c r="AEK12" i="6"/>
  <c r="AEJ14" i="6"/>
  <c r="AEL12" i="6"/>
  <c r="AEK14" i="6"/>
  <c r="AEM12" i="6"/>
  <c r="AEL14" i="6"/>
  <c r="AEN12" i="6"/>
  <c r="AEM14" i="6"/>
  <c r="AEO12" i="6"/>
  <c r="AEN14" i="6"/>
  <c r="AEP12" i="6"/>
  <c r="AEO14" i="6"/>
  <c r="AEQ12" i="6"/>
  <c r="AEP14" i="6"/>
  <c r="AER12" i="6"/>
  <c r="AEQ14" i="6"/>
  <c r="AES12" i="6"/>
  <c r="AER14" i="6"/>
  <c r="AET12" i="6"/>
  <c r="AES14" i="6"/>
  <c r="AEU12" i="6"/>
  <c r="AET14" i="6"/>
  <c r="AEV12" i="6"/>
  <c r="AEU14" i="6"/>
  <c r="AEW12" i="6"/>
  <c r="AEV14" i="6"/>
  <c r="AEX12" i="6"/>
  <c r="AEW14" i="6"/>
  <c r="AEY12" i="6"/>
  <c r="AEX14" i="6"/>
  <c r="AEZ12" i="6"/>
  <c r="AEY14" i="6"/>
  <c r="AFA12" i="6"/>
  <c r="AEZ14" i="6"/>
  <c r="AFB12" i="6"/>
  <c r="AFA14" i="6"/>
  <c r="AFC12" i="6"/>
  <c r="AFB14" i="6"/>
  <c r="AFD12" i="6"/>
  <c r="AFC14" i="6"/>
  <c r="AFE12" i="6"/>
  <c r="AFD14" i="6"/>
  <c r="AFF12" i="6"/>
  <c r="AFE14" i="6"/>
  <c r="AFG12" i="6"/>
  <c r="AFF14" i="6"/>
  <c r="AFH12" i="6"/>
  <c r="AFG14" i="6"/>
  <c r="AFI12" i="6"/>
  <c r="AFH14" i="6"/>
  <c r="AFJ12" i="6"/>
  <c r="AFI14" i="6"/>
  <c r="AFK12" i="6"/>
  <c r="AFJ14" i="6"/>
  <c r="AFL12" i="6"/>
  <c r="AFK14" i="6"/>
  <c r="AFM12" i="6"/>
  <c r="AFL14" i="6"/>
  <c r="AFN12" i="6"/>
  <c r="AFM14" i="6"/>
  <c r="AFO12" i="6"/>
  <c r="AFN14" i="6"/>
  <c r="AFP12" i="6"/>
  <c r="AFO14" i="6"/>
  <c r="AFQ12" i="6"/>
  <c r="AFP14" i="6"/>
  <c r="AFR12" i="6"/>
  <c r="AFQ14" i="6"/>
  <c r="AFS12" i="6"/>
  <c r="AFR14" i="6"/>
  <c r="AFT12" i="6"/>
  <c r="AFS14" i="6"/>
  <c r="AFU12" i="6"/>
  <c r="AFT14" i="6"/>
  <c r="AFV12" i="6"/>
  <c r="AFU14" i="6"/>
  <c r="AFW12" i="6"/>
  <c r="AFV14" i="6"/>
  <c r="AFX12" i="6"/>
  <c r="AFW14" i="6"/>
  <c r="AFY12" i="6"/>
  <c r="AFX14" i="6"/>
  <c r="AFZ12" i="6"/>
  <c r="AFY14" i="6"/>
  <c r="AGA12" i="6"/>
  <c r="AFZ14" i="6"/>
  <c r="AGB12" i="6"/>
  <c r="AGA14" i="6"/>
  <c r="AGC12" i="6"/>
  <c r="AGB14" i="6"/>
  <c r="AGD12" i="6"/>
  <c r="AGC14" i="6"/>
  <c r="AGE12" i="6"/>
  <c r="AGD14" i="6"/>
  <c r="AGF12" i="6"/>
  <c r="AGE14" i="6"/>
  <c r="AGG12" i="6"/>
  <c r="AGF14" i="6"/>
  <c r="AGH12" i="6"/>
  <c r="AGG14" i="6"/>
  <c r="AGI12" i="6"/>
  <c r="AGH14" i="6"/>
  <c r="AGJ12" i="6"/>
  <c r="AGI14" i="6"/>
  <c r="AGK12" i="6"/>
  <c r="AGJ14" i="6"/>
  <c r="AGL12" i="6"/>
  <c r="AGK14" i="6"/>
  <c r="AGM12" i="6"/>
  <c r="AGL14" i="6"/>
  <c r="AGN12" i="6"/>
  <c r="AGM14" i="6"/>
  <c r="AGO12" i="6"/>
  <c r="AGN14" i="6"/>
  <c r="AGP12" i="6"/>
  <c r="AGO14" i="6"/>
  <c r="AGQ12" i="6"/>
  <c r="AGP14" i="6"/>
  <c r="AGR12" i="6"/>
  <c r="AGQ14" i="6"/>
  <c r="AGS12" i="6"/>
  <c r="AGR14" i="6"/>
  <c r="AGT12" i="6"/>
  <c r="AGS14" i="6"/>
  <c r="AGU12" i="6"/>
  <c r="AGT14" i="6"/>
  <c r="AGV12" i="6"/>
  <c r="AGU14" i="6"/>
  <c r="AGW12" i="6"/>
  <c r="AGV14" i="6"/>
  <c r="AGX12" i="6"/>
  <c r="AGW14" i="6"/>
  <c r="AGY12" i="6"/>
  <c r="AGX14" i="6"/>
  <c r="AGZ12" i="6"/>
  <c r="AGY14" i="6"/>
  <c r="AHA12" i="6"/>
  <c r="AGZ14" i="6"/>
  <c r="AHB12" i="6"/>
  <c r="AHA14" i="6"/>
  <c r="AHC12" i="6"/>
  <c r="AHB14" i="6"/>
  <c r="AHD12" i="6"/>
  <c r="AHC14" i="6"/>
  <c r="AHE12" i="6"/>
  <c r="AHD14" i="6"/>
  <c r="AHF12" i="6"/>
  <c r="AHE14" i="6"/>
  <c r="AHG12" i="6"/>
  <c r="AHF14" i="6"/>
  <c r="AHH12" i="6"/>
  <c r="AHG14" i="6"/>
  <c r="AHI12" i="6"/>
  <c r="AHH14" i="6"/>
  <c r="AHJ12" i="6"/>
  <c r="AHI14" i="6"/>
  <c r="AHK12" i="6"/>
  <c r="AHJ14" i="6"/>
  <c r="AHL12" i="6"/>
  <c r="AHK14" i="6"/>
  <c r="AHM12" i="6"/>
  <c r="AHL14" i="6"/>
  <c r="AHN12" i="6"/>
  <c r="AHM14" i="6"/>
  <c r="AHO12" i="6"/>
  <c r="AHN14" i="6"/>
  <c r="AHP12" i="6"/>
  <c r="AHO14" i="6"/>
  <c r="AHQ12" i="6"/>
  <c r="AHP14" i="6"/>
  <c r="AHR12" i="6"/>
  <c r="AHQ14" i="6"/>
  <c r="AHS12" i="6"/>
  <c r="AHR14" i="6"/>
  <c r="AHT12" i="6"/>
  <c r="AHS14" i="6"/>
  <c r="AHU12" i="6"/>
  <c r="AHT14" i="6"/>
  <c r="AHV12" i="6"/>
  <c r="AHU14" i="6"/>
  <c r="AHW12" i="6"/>
  <c r="AHV14" i="6"/>
  <c r="AHX12" i="6"/>
  <c r="AHW14" i="6"/>
  <c r="AHY12" i="6"/>
  <c r="AHX14" i="6"/>
  <c r="AHZ12" i="6"/>
  <c r="AHY14" i="6"/>
  <c r="AIA12" i="6"/>
  <c r="AHZ14" i="6"/>
  <c r="AIB12" i="6"/>
  <c r="AIA14" i="6"/>
  <c r="AIC12" i="6"/>
  <c r="AIB14" i="6"/>
  <c r="AID12" i="6"/>
  <c r="AIC14" i="6"/>
  <c r="AIE12" i="6"/>
  <c r="AID14" i="6"/>
  <c r="AIF12" i="6"/>
  <c r="AIE14" i="6"/>
  <c r="AIG12" i="6"/>
  <c r="AIF14" i="6"/>
  <c r="AIH12" i="6"/>
  <c r="AIG14" i="6"/>
  <c r="AII12" i="6"/>
  <c r="AIH14" i="6"/>
  <c r="AIJ12" i="6"/>
  <c r="AII14" i="6"/>
  <c r="AIK12" i="6"/>
  <c r="AIJ14" i="6"/>
  <c r="AIL12" i="6"/>
  <c r="AIK14" i="6"/>
  <c r="AIM12" i="6"/>
  <c r="AIL14" i="6"/>
  <c r="AIN12" i="6"/>
  <c r="AIM14" i="6"/>
  <c r="AIO12" i="6"/>
  <c r="AIN14" i="6"/>
  <c r="AIP12" i="6"/>
  <c r="AIO14" i="6"/>
  <c r="AIQ12" i="6"/>
  <c r="AIP14" i="6"/>
  <c r="AIR12" i="6"/>
  <c r="AIQ14" i="6"/>
  <c r="AIS12" i="6"/>
  <c r="AIR14" i="6"/>
  <c r="AIT12" i="6"/>
  <c r="AIS14" i="6"/>
  <c r="AIU12" i="6"/>
  <c r="AIT14" i="6"/>
  <c r="AIV12" i="6"/>
  <c r="AIU14" i="6"/>
  <c r="AIW12" i="6"/>
  <c r="AIV14" i="6"/>
  <c r="AIX12" i="6"/>
  <c r="AIW14" i="6"/>
  <c r="AIY12" i="6"/>
  <c r="AIX14" i="6"/>
  <c r="AIZ12" i="6"/>
  <c r="AIY14" i="6"/>
  <c r="AJA12" i="6"/>
  <c r="AIZ14" i="6"/>
  <c r="AJB12" i="6"/>
  <c r="AJA14" i="6"/>
  <c r="AJC12" i="6"/>
  <c r="AJB14" i="6"/>
  <c r="AJD12" i="6"/>
  <c r="AJC14" i="6"/>
  <c r="AJE12" i="6"/>
  <c r="AJD14" i="6"/>
  <c r="AJF12" i="6"/>
  <c r="AJE14" i="6"/>
  <c r="AJG12" i="6"/>
  <c r="AJF14" i="6"/>
  <c r="AJH12" i="6"/>
  <c r="AJG14" i="6"/>
  <c r="AJI12" i="6"/>
  <c r="AJH14" i="6"/>
  <c r="AJJ12" i="6"/>
  <c r="AJI14" i="6"/>
  <c r="AJK12" i="6"/>
  <c r="AJJ14" i="6"/>
  <c r="AJL12" i="6"/>
  <c r="AJK14" i="6"/>
  <c r="AJM12" i="6"/>
  <c r="AJL14" i="6"/>
  <c r="AJN12" i="6"/>
  <c r="AJM14" i="6"/>
  <c r="AJO12" i="6"/>
  <c r="AJN14" i="6"/>
  <c r="AJP12" i="6"/>
  <c r="AJO14" i="6"/>
  <c r="AJQ12" i="6"/>
  <c r="AJP14" i="6"/>
  <c r="AJR12" i="6"/>
  <c r="AJQ14" i="6"/>
  <c r="AJS12" i="6"/>
  <c r="AJR14" i="6"/>
  <c r="AJT12" i="6"/>
  <c r="AJS14" i="6"/>
  <c r="AJU12" i="6"/>
  <c r="AJT14" i="6"/>
  <c r="AJV12" i="6"/>
  <c r="AJU14" i="6"/>
  <c r="AJW12" i="6"/>
  <c r="AJV14" i="6"/>
  <c r="AJX12" i="6"/>
  <c r="AJW14" i="6"/>
  <c r="AJY12" i="6"/>
  <c r="AJX14" i="6"/>
  <c r="AJZ12" i="6"/>
  <c r="AJY14" i="6"/>
  <c r="AKA12" i="6"/>
  <c r="AJZ14" i="6"/>
  <c r="AKB12" i="6"/>
  <c r="AKA14" i="6"/>
  <c r="AKC12" i="6"/>
  <c r="AKB14" i="6"/>
  <c r="AKD12" i="6"/>
  <c r="AKC14" i="6"/>
  <c r="AKE12" i="6"/>
  <c r="AKD14" i="6"/>
  <c r="AKF12" i="6"/>
  <c r="AKE14" i="6"/>
  <c r="AKG12" i="6"/>
  <c r="AKF14" i="6"/>
  <c r="AKH12" i="6"/>
  <c r="AKG14" i="6"/>
  <c r="AKI12" i="6"/>
  <c r="AKH14" i="6"/>
  <c r="AKJ12" i="6"/>
  <c r="AKI14" i="6"/>
  <c r="AKK12" i="6"/>
  <c r="AKJ14" i="6"/>
  <c r="AKL12" i="6"/>
  <c r="AKK14" i="6"/>
  <c r="AKM12" i="6"/>
  <c r="AKL14" i="6"/>
  <c r="AKN12" i="6"/>
  <c r="AKM14" i="6"/>
  <c r="AKO12" i="6"/>
  <c r="AKN14" i="6"/>
  <c r="AKP12" i="6"/>
  <c r="AKO14" i="6"/>
  <c r="AKQ12" i="6"/>
  <c r="AKP14" i="6"/>
  <c r="AKR12" i="6"/>
  <c r="AKQ14" i="6"/>
  <c r="AKS12" i="6"/>
  <c r="AKR14" i="6"/>
  <c r="AKT12" i="6"/>
  <c r="AKS14" i="6"/>
  <c r="AKU12" i="6"/>
  <c r="AKT14" i="6"/>
  <c r="AKV12" i="6"/>
  <c r="AKU14" i="6"/>
  <c r="AKW12" i="6"/>
  <c r="AKV14" i="6"/>
  <c r="AKX12" i="6"/>
  <c r="AKW14" i="6"/>
  <c r="AKY12" i="6"/>
  <c r="AKX14" i="6"/>
  <c r="AKZ12" i="6"/>
  <c r="AKY14" i="6"/>
  <c r="ALA12" i="6"/>
  <c r="AKZ14" i="6"/>
  <c r="ALB12" i="6"/>
  <c r="ALA14" i="6"/>
  <c r="ALC12" i="6"/>
  <c r="ALB14" i="6"/>
  <c r="ALD12" i="6"/>
  <c r="ALC14" i="6"/>
  <c r="ALE12" i="6"/>
  <c r="ALD14" i="6"/>
  <c r="ALF12" i="6"/>
  <c r="ALE14" i="6"/>
  <c r="ALG12" i="6"/>
  <c r="ALF14" i="6"/>
  <c r="ALH12" i="6"/>
  <c r="ALG14" i="6"/>
  <c r="ALI12" i="6"/>
  <c r="ALH14" i="6"/>
  <c r="ALJ12" i="6"/>
  <c r="ALI14" i="6"/>
  <c r="ALK12" i="6"/>
  <c r="ALJ14" i="6"/>
  <c r="ALL12" i="6"/>
  <c r="ALK14" i="6"/>
  <c r="ALM12" i="6"/>
  <c r="ALL14" i="6"/>
  <c r="ALN12" i="6"/>
  <c r="ALM14" i="6"/>
  <c r="ALO12" i="6"/>
  <c r="ALN14" i="6"/>
  <c r="ALP12" i="6"/>
  <c r="ALO14" i="6"/>
  <c r="ALQ12" i="6"/>
  <c r="ALP14" i="6"/>
  <c r="ALR12" i="6"/>
  <c r="ALQ14" i="6"/>
  <c r="ALS12" i="6"/>
  <c r="ALR14" i="6"/>
  <c r="ALT12" i="6"/>
  <c r="ALS14" i="6"/>
  <c r="ALU12" i="6"/>
  <c r="ALT14" i="6"/>
  <c r="ALV12" i="6"/>
  <c r="ALU14" i="6"/>
  <c r="ALW12" i="6"/>
  <c r="ALV14" i="6"/>
  <c r="ALX12" i="6"/>
  <c r="ALW14" i="6"/>
  <c r="ALY12" i="6"/>
  <c r="ALX14" i="6"/>
  <c r="ALZ12" i="6"/>
  <c r="ALY14" i="6"/>
  <c r="AMA12" i="6"/>
  <c r="ALZ14" i="6"/>
  <c r="AMB12" i="6"/>
  <c r="AMA14" i="6"/>
  <c r="AMC12" i="6"/>
  <c r="AMB14" i="6"/>
  <c r="AMD12" i="6"/>
  <c r="AMC14" i="6"/>
  <c r="AME12" i="6"/>
  <c r="AMD14" i="6"/>
  <c r="AMF12" i="6"/>
  <c r="AME14" i="6"/>
  <c r="AMG12" i="6"/>
  <c r="AMF14" i="6"/>
  <c r="AMH12" i="6"/>
  <c r="AMG14" i="6"/>
  <c r="AMI12" i="6"/>
  <c r="AMH14" i="6"/>
  <c r="AMJ12" i="6"/>
  <c r="AMI14" i="6"/>
  <c r="AMK12" i="6"/>
  <c r="AMJ14" i="6"/>
  <c r="AML12" i="6"/>
  <c r="AMK14" i="6"/>
  <c r="AMM12" i="6"/>
  <c r="AML14" i="6"/>
  <c r="AMN12" i="6"/>
  <c r="AMM14" i="6"/>
  <c r="AMO12" i="6"/>
  <c r="AMN14" i="6"/>
  <c r="AMP12" i="6"/>
  <c r="AMO14" i="6"/>
  <c r="AMQ12" i="6"/>
  <c r="AMP14" i="6"/>
  <c r="AMR12" i="6"/>
  <c r="AMQ14" i="6"/>
  <c r="AMS12" i="6"/>
  <c r="AMR14" i="6"/>
  <c r="AMT12" i="6"/>
  <c r="AMS14" i="6"/>
  <c r="AMU12" i="6"/>
  <c r="AMT14" i="6"/>
  <c r="AMV12" i="6"/>
  <c r="AMU14" i="6"/>
  <c r="AMW12" i="6"/>
  <c r="AMV14" i="6"/>
  <c r="AMX12" i="6"/>
  <c r="AMW14" i="6"/>
  <c r="AMY12" i="6"/>
  <c r="AMX14" i="6"/>
  <c r="AMZ12" i="6"/>
  <c r="AMY14" i="6"/>
  <c r="ANA12" i="6"/>
  <c r="AMZ14" i="6"/>
  <c r="ANB12" i="6"/>
  <c r="ANA14" i="6"/>
  <c r="ANC12" i="6"/>
  <c r="ANB14" i="6"/>
  <c r="AND12" i="6"/>
  <c r="ANC14" i="6"/>
  <c r="ANE12" i="6"/>
  <c r="AND14" i="6"/>
  <c r="ANF12" i="6"/>
  <c r="ANE14" i="6"/>
  <c r="ANG12" i="6"/>
  <c r="ANF14" i="6"/>
  <c r="ANH12" i="6"/>
  <c r="ANG14" i="6"/>
  <c r="ANI12" i="6"/>
  <c r="ANH14" i="6"/>
  <c r="ANJ12" i="6"/>
  <c r="ANI14" i="6"/>
  <c r="ANK12" i="6"/>
  <c r="ANJ14" i="6"/>
  <c r="ANL12" i="6"/>
  <c r="ANK14" i="6"/>
  <c r="ANM12" i="6"/>
  <c r="ANL14" i="6"/>
  <c r="ANN12" i="6"/>
  <c r="ANM14" i="6"/>
  <c r="ANO12" i="6"/>
  <c r="ANN14" i="6"/>
  <c r="ANP12" i="6"/>
  <c r="ANO14" i="6"/>
  <c r="ANQ12" i="6"/>
  <c r="ANP14" i="6"/>
  <c r="ANR12" i="6"/>
  <c r="ANQ14" i="6"/>
  <c r="ANS12" i="6"/>
  <c r="ANR14" i="6"/>
  <c r="ANT12" i="6"/>
  <c r="ANS14" i="6"/>
  <c r="ANU12" i="6"/>
  <c r="ANT14" i="6"/>
  <c r="ANV12" i="6"/>
  <c r="ANU14" i="6"/>
  <c r="ANW12" i="6"/>
  <c r="ANV14" i="6"/>
  <c r="ANX12" i="6"/>
  <c r="ANW14" i="6"/>
  <c r="ANY12" i="6"/>
  <c r="ANX14" i="6"/>
  <c r="ANZ12" i="6"/>
  <c r="ANY14" i="6"/>
  <c r="AOA12" i="6"/>
  <c r="ANZ14" i="6"/>
  <c r="AOB12" i="6"/>
  <c r="AOA14" i="6"/>
  <c r="AOC12" i="6"/>
  <c r="AOB14" i="6"/>
  <c r="AOD12" i="6"/>
  <c r="AOC14" i="6"/>
  <c r="AOE12" i="6"/>
  <c r="AOD14" i="6"/>
  <c r="AOF12" i="6"/>
  <c r="AOE14" i="6"/>
  <c r="AOG12" i="6"/>
  <c r="AOF14" i="6"/>
  <c r="AOH12" i="6"/>
  <c r="AOG14" i="6"/>
  <c r="AOI12" i="6"/>
  <c r="AOH14" i="6"/>
  <c r="AOJ12" i="6"/>
  <c r="AOI14" i="6"/>
  <c r="AOK12" i="6"/>
  <c r="AOJ14" i="6"/>
  <c r="AOL12" i="6"/>
  <c r="AOK14" i="6"/>
  <c r="AOM12" i="6"/>
  <c r="AOL14" i="6"/>
  <c r="AON12" i="6"/>
  <c r="AOM14" i="6"/>
  <c r="AOO12" i="6"/>
  <c r="AON14" i="6"/>
  <c r="AOP12" i="6"/>
  <c r="AOO14" i="6"/>
  <c r="AOQ12" i="6"/>
  <c r="AOP14" i="6"/>
  <c r="AOR12" i="6"/>
  <c r="AOQ14" i="6"/>
  <c r="AOS12" i="6"/>
  <c r="AOR14" i="6"/>
  <c r="AOT12" i="6"/>
  <c r="AOS14" i="6"/>
  <c r="AOU12" i="6"/>
  <c r="AOT14" i="6"/>
  <c r="AOV12" i="6"/>
  <c r="AOU14" i="6"/>
  <c r="AOW12" i="6"/>
  <c r="AOV14" i="6"/>
  <c r="AOX12" i="6"/>
  <c r="AOW14" i="6"/>
  <c r="AOY12" i="6"/>
  <c r="AOX14" i="6"/>
  <c r="AOZ12" i="6"/>
  <c r="AOY14" i="6"/>
  <c r="APA12" i="6"/>
  <c r="AOZ14" i="6"/>
  <c r="APB12" i="6"/>
  <c r="APA14" i="6"/>
  <c r="APC12" i="6"/>
  <c r="APB14" i="6"/>
  <c r="APD12" i="6"/>
  <c r="APC14" i="6"/>
  <c r="APE12" i="6"/>
  <c r="APD14" i="6"/>
  <c r="APF12" i="6"/>
  <c r="APE14" i="6"/>
  <c r="APG12" i="6"/>
  <c r="APF14" i="6"/>
  <c r="APH12" i="6"/>
  <c r="APG14" i="6"/>
  <c r="API12" i="6"/>
  <c r="APH14" i="6"/>
  <c r="APJ12" i="6"/>
  <c r="API14" i="6"/>
  <c r="APK12" i="6"/>
  <c r="APJ14" i="6"/>
  <c r="APL12" i="6"/>
  <c r="APK14" i="6"/>
  <c r="APM12" i="6"/>
  <c r="APL14" i="6"/>
  <c r="APN12" i="6"/>
  <c r="APM14" i="6"/>
  <c r="APO12" i="6"/>
  <c r="APN14" i="6"/>
  <c r="APP12" i="6"/>
  <c r="APO14" i="6"/>
  <c r="APQ12" i="6"/>
  <c r="APP14" i="6"/>
  <c r="APR12" i="6"/>
  <c r="APQ14" i="6"/>
  <c r="APS12" i="6"/>
  <c r="APR14" i="6"/>
  <c r="APT12" i="6"/>
  <c r="APS14" i="6"/>
  <c r="APU12" i="6"/>
  <c r="APT14" i="6"/>
  <c r="APV12" i="6"/>
  <c r="APU14" i="6"/>
  <c r="APW12" i="6"/>
  <c r="APV14" i="6"/>
  <c r="APX12" i="6"/>
  <c r="APW14" i="6"/>
  <c r="APY12" i="6"/>
  <c r="APX14" i="6"/>
  <c r="APZ12" i="6"/>
  <c r="APY14" i="6"/>
  <c r="AQA12" i="6"/>
  <c r="APZ14" i="6"/>
  <c r="AQB12" i="6"/>
  <c r="AQA14" i="6"/>
  <c r="AQC12" i="6"/>
  <c r="AQB14" i="6"/>
  <c r="AQD12" i="6"/>
  <c r="AQC14" i="6"/>
  <c r="AQE12" i="6"/>
  <c r="AQD14" i="6"/>
  <c r="AQF12" i="6"/>
  <c r="AQE14" i="6"/>
  <c r="AQG12" i="6"/>
  <c r="AQF14" i="6"/>
  <c r="AQH12" i="6"/>
  <c r="AQG14" i="6"/>
  <c r="AQI12" i="6"/>
  <c r="AQH14" i="6"/>
  <c r="AQJ12" i="6"/>
  <c r="AQI14" i="6"/>
  <c r="AQK12" i="6"/>
  <c r="AQJ14" i="6"/>
  <c r="AQL12" i="6"/>
  <c r="AQK14" i="6"/>
  <c r="AQM12" i="6"/>
  <c r="AQL14" i="6"/>
  <c r="AQN12" i="6"/>
  <c r="AQM14" i="6"/>
  <c r="AQO12" i="6"/>
  <c r="AQN14" i="6"/>
  <c r="AQP12" i="6"/>
  <c r="AQO14" i="6"/>
  <c r="AQQ12" i="6"/>
  <c r="AQP14" i="6"/>
  <c r="AQR12" i="6"/>
  <c r="AQQ14" i="6"/>
  <c r="AQS12" i="6"/>
  <c r="AQR14" i="6"/>
  <c r="AQT12" i="6"/>
  <c r="AQS14" i="6"/>
  <c r="AQU12" i="6"/>
  <c r="AQT14" i="6"/>
  <c r="AQV12" i="6"/>
  <c r="AQU14" i="6"/>
  <c r="AQW12" i="6"/>
  <c r="AQV14" i="6"/>
  <c r="AQX12" i="6"/>
  <c r="AQW14" i="6"/>
  <c r="AQY12" i="6"/>
  <c r="AQX14" i="6"/>
  <c r="AQZ12" i="6"/>
  <c r="AQY14" i="6"/>
  <c r="ARA12" i="6"/>
  <c r="AQZ14" i="6"/>
  <c r="ARB12" i="6"/>
  <c r="ARA14" i="6"/>
  <c r="ARC12" i="6"/>
  <c r="ARB14" i="6"/>
  <c r="ARD12" i="6"/>
  <c r="ARC14" i="6"/>
  <c r="ARE12" i="6"/>
  <c r="ARD14" i="6"/>
  <c r="ARF12" i="6"/>
  <c r="ARE14" i="6"/>
  <c r="ARG12" i="6"/>
  <c r="ARF14" i="6"/>
  <c r="ARH12" i="6"/>
  <c r="ARG14" i="6"/>
  <c r="ARI12" i="6"/>
  <c r="ARH14" i="6"/>
  <c r="ARJ12" i="6"/>
  <c r="ARI14" i="6"/>
  <c r="ARK12" i="6"/>
  <c r="ARJ14" i="6"/>
  <c r="ARL12" i="6"/>
  <c r="ARK14" i="6"/>
  <c r="ARM12" i="6"/>
  <c r="ARL14" i="6"/>
  <c r="ARN12" i="6"/>
  <c r="ARM14" i="6"/>
  <c r="ARO12" i="6"/>
  <c r="ARN14" i="6"/>
  <c r="ARP12" i="6"/>
  <c r="ARO14" i="6"/>
  <c r="ARQ12" i="6"/>
  <c r="ARP14" i="6"/>
  <c r="ARR12" i="6"/>
  <c r="ARQ14" i="6"/>
  <c r="ARS12" i="6"/>
  <c r="ARR14" i="6"/>
  <c r="ART12" i="6"/>
  <c r="ARS14" i="6"/>
  <c r="ARU12" i="6"/>
  <c r="ART14" i="6"/>
  <c r="ARV12" i="6"/>
  <c r="ARU14" i="6"/>
  <c r="ARW12" i="6"/>
  <c r="ARV14" i="6"/>
  <c r="ARX12" i="6"/>
  <c r="ARW14" i="6"/>
  <c r="ARY12" i="6"/>
  <c r="ARX14" i="6"/>
  <c r="ARZ12" i="6"/>
  <c r="ARY14" i="6"/>
  <c r="ASA12" i="6"/>
  <c r="ARZ14" i="6"/>
  <c r="ASB12" i="6"/>
  <c r="ASA14" i="6"/>
  <c r="ASC12" i="6"/>
  <c r="ASB14" i="6"/>
  <c r="ASD12" i="6"/>
  <c r="ASC14" i="6"/>
  <c r="ASE12" i="6"/>
  <c r="ASD14" i="6"/>
  <c r="ASF12" i="6"/>
  <c r="ASE14" i="6"/>
  <c r="ASG12" i="6"/>
  <c r="ASF14" i="6"/>
  <c r="ASH12" i="6"/>
  <c r="ASG14" i="6"/>
  <c r="ASI12" i="6"/>
  <c r="ASH14" i="6"/>
  <c r="ASJ12" i="6"/>
  <c r="ASI14" i="6"/>
  <c r="ASK12" i="6"/>
  <c r="ASJ14" i="6"/>
  <c r="ASL12" i="6"/>
  <c r="ASK14" i="6"/>
  <c r="ASM12" i="6"/>
  <c r="ASL14" i="6"/>
  <c r="ASN12" i="6"/>
  <c r="ASM14" i="6"/>
  <c r="ASO12" i="6"/>
  <c r="ASN14" i="6"/>
  <c r="ASP12" i="6"/>
  <c r="ASO14" i="6"/>
  <c r="ASQ12" i="6"/>
  <c r="ASP14" i="6"/>
  <c r="ASR12" i="6"/>
  <c r="ASQ14" i="6"/>
  <c r="ASS12" i="6"/>
  <c r="ASR14" i="6"/>
  <c r="AST12" i="6"/>
  <c r="ASS14" i="6"/>
  <c r="ASU12" i="6"/>
  <c r="AST14" i="6"/>
  <c r="ASV12" i="6"/>
  <c r="ASU14" i="6"/>
  <c r="ASW12" i="6"/>
  <c r="ASV14" i="6"/>
  <c r="ASX12" i="6"/>
  <c r="ASW14" i="6"/>
  <c r="ASY12" i="6"/>
  <c r="ASX14" i="6"/>
  <c r="ASZ12" i="6"/>
  <c r="ASY14" i="6"/>
  <c r="ATA12" i="6"/>
  <c r="ASZ14" i="6"/>
  <c r="ATB12" i="6"/>
  <c r="ATA14" i="6"/>
  <c r="ATC12" i="6"/>
  <c r="ATB14" i="6"/>
  <c r="ATD12" i="6"/>
  <c r="ATC14" i="6"/>
  <c r="ATE12" i="6"/>
  <c r="ATD14" i="6"/>
  <c r="ATF12" i="6"/>
  <c r="ATE14" i="6"/>
  <c r="ATG12" i="6"/>
  <c r="ATF14" i="6"/>
  <c r="ATH12" i="6"/>
  <c r="ATG14" i="6"/>
  <c r="ATI12" i="6"/>
  <c r="ATH14" i="6"/>
  <c r="ATJ12" i="6"/>
  <c r="ATI14" i="6"/>
  <c r="ATK12" i="6"/>
  <c r="ATJ14" i="6"/>
  <c r="ATL12" i="6"/>
  <c r="ATK14" i="6"/>
  <c r="ATM12" i="6"/>
  <c r="ATL14" i="6"/>
  <c r="ATN12" i="6"/>
  <c r="ATM14" i="6"/>
  <c r="ATO12" i="6"/>
  <c r="ATN14" i="6"/>
  <c r="ATP12" i="6"/>
  <c r="ATO14" i="6"/>
  <c r="ATQ12" i="6"/>
  <c r="ATP14" i="6"/>
  <c r="ATR12" i="6"/>
  <c r="ATQ14" i="6"/>
  <c r="ATS12" i="6"/>
  <c r="ATR14" i="6"/>
  <c r="ATT12" i="6"/>
  <c r="ATS14" i="6"/>
  <c r="ATU12" i="6"/>
  <c r="ATT14" i="6"/>
  <c r="ATV12" i="6"/>
  <c r="ATU14" i="6"/>
  <c r="ATW12" i="6"/>
  <c r="ATV14" i="6"/>
  <c r="ATX12" i="6"/>
  <c r="ATW14" i="6"/>
  <c r="ATY12" i="6"/>
  <c r="ATX14" i="6"/>
  <c r="ATZ12" i="6"/>
  <c r="ATY14" i="6"/>
  <c r="AUA12" i="6"/>
  <c r="ATZ14" i="6"/>
  <c r="AUB12" i="6"/>
  <c r="AUA14" i="6"/>
  <c r="AUC12" i="6"/>
  <c r="AUB14" i="6"/>
  <c r="AUD12" i="6"/>
  <c r="AUC14" i="6"/>
  <c r="AUE12" i="6"/>
  <c r="AUD14" i="6"/>
  <c r="AUF12" i="6"/>
  <c r="AUE14" i="6"/>
  <c r="AUG12" i="6"/>
  <c r="AUF14" i="6"/>
  <c r="AUH12" i="6"/>
  <c r="AUG14" i="6"/>
  <c r="AUI12" i="6"/>
  <c r="AUH14" i="6"/>
  <c r="AUJ12" i="6"/>
  <c r="AUI14" i="6"/>
  <c r="AUK12" i="6"/>
  <c r="AUJ14" i="6"/>
  <c r="AUL12" i="6"/>
  <c r="AUK14" i="6"/>
  <c r="AUM12" i="6"/>
  <c r="AUL14" i="6"/>
  <c r="AUN12" i="6"/>
  <c r="AUM14" i="6"/>
  <c r="AUO12" i="6"/>
  <c r="AUN14" i="6"/>
  <c r="AUP12" i="6"/>
  <c r="AUO14" i="6"/>
  <c r="AUQ12" i="6"/>
  <c r="AUP14" i="6"/>
  <c r="AUR12" i="6"/>
  <c r="AUQ14" i="6"/>
  <c r="AUS12" i="6"/>
  <c r="AUR14" i="6"/>
  <c r="AUT12" i="6"/>
  <c r="AUS14" i="6"/>
  <c r="AUU12" i="6"/>
  <c r="AUT14" i="6"/>
  <c r="AUV12" i="6"/>
  <c r="AUU14" i="6"/>
  <c r="AUW12" i="6"/>
  <c r="AUV14" i="6"/>
  <c r="AUX12" i="6"/>
  <c r="AUW14" i="6"/>
  <c r="AUY12" i="6"/>
  <c r="AUX14" i="6"/>
  <c r="AUZ12" i="6"/>
  <c r="AUY14" i="6"/>
  <c r="AVA12" i="6"/>
  <c r="AUZ14" i="6"/>
  <c r="AVB12" i="6"/>
  <c r="AVA14" i="6"/>
  <c r="AVC12" i="6"/>
  <c r="AVB14" i="6"/>
  <c r="AVD12" i="6"/>
  <c r="AVC14" i="6"/>
  <c r="AVE12" i="6"/>
  <c r="AVD14" i="6"/>
  <c r="AVF12" i="6"/>
  <c r="AVE14" i="6"/>
  <c r="AVG12" i="6"/>
  <c r="AVF14" i="6"/>
  <c r="AVH12" i="6"/>
  <c r="AVG14" i="6"/>
  <c r="AVI12" i="6"/>
  <c r="AVH14" i="6"/>
  <c r="AVJ12" i="6"/>
  <c r="AVI14" i="6"/>
  <c r="AVK12" i="6"/>
  <c r="AVJ14" i="6"/>
  <c r="AVL12" i="6"/>
  <c r="AVK14" i="6"/>
  <c r="AVM12" i="6"/>
  <c r="AVL14" i="6"/>
  <c r="AVN12" i="6"/>
  <c r="AVM14" i="6"/>
  <c r="AVO12" i="6"/>
  <c r="AVN14" i="6"/>
  <c r="AVP12" i="6"/>
  <c r="AVO14" i="6"/>
  <c r="AVQ12" i="6"/>
  <c r="AVP14" i="6"/>
  <c r="AVR12" i="6"/>
  <c r="AVQ14" i="6"/>
  <c r="AVS12" i="6"/>
  <c r="AVR14" i="6"/>
  <c r="AVT12" i="6"/>
  <c r="AVS14" i="6"/>
  <c r="AVU12" i="6"/>
  <c r="AVT14" i="6"/>
  <c r="AVV12" i="6"/>
  <c r="AVU14" i="6"/>
  <c r="AVW12" i="6"/>
  <c r="AVV14" i="6"/>
  <c r="AVX12" i="6"/>
  <c r="AVW14" i="6"/>
  <c r="AVY12" i="6"/>
  <c r="AVX14" i="6"/>
  <c r="AVZ12" i="6"/>
  <c r="AVY14" i="6"/>
  <c r="AWA12" i="6"/>
  <c r="AVZ14" i="6"/>
  <c r="AWB12" i="6"/>
  <c r="AWA14" i="6"/>
  <c r="AWC12" i="6"/>
  <c r="AWB14" i="6"/>
  <c r="AWD12" i="6"/>
  <c r="AWC14" i="6"/>
  <c r="AWE12" i="6"/>
  <c r="AWD14" i="6"/>
  <c r="AWF12" i="6"/>
  <c r="AWE14" i="6"/>
  <c r="AWG12" i="6"/>
  <c r="AWF14" i="6"/>
  <c r="AWH12" i="6"/>
  <c r="AWG14" i="6"/>
  <c r="AWI12" i="6"/>
  <c r="AWH14" i="6"/>
  <c r="AWJ12" i="6"/>
  <c r="AWI14" i="6"/>
  <c r="AWK12" i="6"/>
  <c r="AWJ14" i="6"/>
  <c r="AWL12" i="6"/>
  <c r="AWK14" i="6"/>
  <c r="AWM12" i="6"/>
  <c r="AWL14" i="6"/>
  <c r="AWN12" i="6"/>
  <c r="AWM14" i="6"/>
  <c r="AWO12" i="6"/>
  <c r="AWN14" i="6"/>
  <c r="AWP12" i="6"/>
  <c r="AWO14" i="6"/>
  <c r="AWQ12" i="6"/>
  <c r="AWP14" i="6"/>
  <c r="AWR12" i="6"/>
  <c r="AWQ14" i="6"/>
  <c r="AWS12" i="6"/>
  <c r="AWR14" i="6"/>
  <c r="AWT12" i="6"/>
  <c r="AWS14" i="6"/>
  <c r="AWU12" i="6"/>
  <c r="AWT14" i="6"/>
  <c r="AWV12" i="6"/>
  <c r="AWU14" i="6"/>
  <c r="AWW12" i="6"/>
  <c r="AWV14" i="6"/>
  <c r="AWX12" i="6"/>
  <c r="AWW14" i="6"/>
  <c r="AWY12" i="6"/>
  <c r="AWX14" i="6"/>
  <c r="AWZ12" i="6"/>
  <c r="AWY14" i="6"/>
  <c r="AXA12" i="6"/>
  <c r="AWZ14" i="6"/>
  <c r="AXB12" i="6"/>
  <c r="AXA14" i="6"/>
  <c r="AXC12" i="6"/>
  <c r="AXB14" i="6"/>
  <c r="AXD12" i="6"/>
  <c r="AXC14" i="6"/>
  <c r="AXE12" i="6"/>
  <c r="AXD14" i="6"/>
  <c r="AXF12" i="6"/>
  <c r="AXE14" i="6"/>
  <c r="AXG12" i="6"/>
  <c r="AXF14" i="6"/>
  <c r="AXH12" i="6"/>
  <c r="AXG14" i="6"/>
  <c r="AXI12" i="6"/>
  <c r="AXH14" i="6"/>
  <c r="AXJ12" i="6"/>
  <c r="AXI14" i="6"/>
  <c r="AXK12" i="6"/>
  <c r="AXJ14" i="6"/>
  <c r="AXL12" i="6"/>
  <c r="AXK14" i="6"/>
  <c r="AXM12" i="6"/>
  <c r="AXL14" i="6"/>
  <c r="AXN12" i="6"/>
  <c r="AXM14" i="6"/>
  <c r="AXO12" i="6"/>
  <c r="AXN14" i="6"/>
  <c r="AXP12" i="6"/>
  <c r="AXO14" i="6"/>
  <c r="AXQ12" i="6"/>
  <c r="AXP14" i="6"/>
  <c r="AXR12" i="6"/>
  <c r="AXQ14" i="6"/>
  <c r="AXS12" i="6"/>
  <c r="AXR14" i="6"/>
  <c r="AXT12" i="6"/>
  <c r="AXS14" i="6"/>
  <c r="AXU12" i="6"/>
  <c r="AXT14" i="6"/>
  <c r="AXV12" i="6"/>
  <c r="AXU14" i="6"/>
  <c r="AXW12" i="6"/>
  <c r="AXV14" i="6"/>
  <c r="AXX12" i="6"/>
  <c r="AXW14" i="6"/>
  <c r="AXY12" i="6"/>
  <c r="AXX14" i="6"/>
  <c r="AXZ12" i="6"/>
  <c r="AXY14" i="6"/>
  <c r="AYA12" i="6"/>
  <c r="AXZ14" i="6"/>
  <c r="AYB12" i="6"/>
  <c r="AYA14" i="6"/>
  <c r="AYC12" i="6"/>
  <c r="AYB14" i="6"/>
  <c r="AYD12" i="6"/>
  <c r="AYC14" i="6"/>
  <c r="AYE12" i="6"/>
  <c r="AYD14" i="6"/>
  <c r="AYF12" i="6"/>
  <c r="AYE14" i="6"/>
  <c r="AYG12" i="6"/>
  <c r="AYF14" i="6"/>
  <c r="AYH12" i="6"/>
  <c r="AYG14" i="6"/>
  <c r="AYI12" i="6"/>
  <c r="AYH14" i="6"/>
  <c r="AYJ12" i="6"/>
  <c r="AYI14" i="6"/>
  <c r="AYK12" i="6"/>
  <c r="AYJ14" i="6"/>
  <c r="AYL12" i="6"/>
  <c r="AYK14" i="6"/>
  <c r="AYM12" i="6"/>
  <c r="AYL14" i="6"/>
  <c r="AYN12" i="6"/>
  <c r="AYM14" i="6"/>
  <c r="AYO12" i="6"/>
  <c r="AYN14" i="6"/>
  <c r="AYP12" i="6"/>
  <c r="AYO14" i="6"/>
  <c r="AYQ12" i="6"/>
  <c r="AYP14" i="6"/>
  <c r="AYR12" i="6"/>
  <c r="AYQ14" i="6"/>
  <c r="AYS12" i="6"/>
  <c r="AYR14" i="6"/>
  <c r="AYT12" i="6"/>
  <c r="AYS14" i="6"/>
  <c r="AYU12" i="6"/>
  <c r="AYT14" i="6"/>
  <c r="AYV12" i="6"/>
  <c r="AYU14" i="6"/>
  <c r="AYW12" i="6"/>
  <c r="AYV14" i="6"/>
  <c r="AYX12" i="6"/>
  <c r="AYW14" i="6"/>
  <c r="AYY12" i="6"/>
  <c r="AYX14" i="6"/>
  <c r="AYZ12" i="6"/>
  <c r="AYY14" i="6"/>
  <c r="AZA12" i="6"/>
  <c r="AYZ14" i="6"/>
  <c r="AZB12" i="6"/>
  <c r="AZA14" i="6"/>
  <c r="AZC12" i="6"/>
  <c r="AZB14" i="6"/>
  <c r="AZD12" i="6"/>
  <c r="AZC14" i="6"/>
  <c r="AZE12" i="6"/>
  <c r="AZD14" i="6"/>
  <c r="AZF12" i="6"/>
  <c r="AZE14" i="6"/>
  <c r="AZG12" i="6"/>
  <c r="AZG14" i="6"/>
  <c r="AZF14" i="6"/>
  <c r="N40" i="2" l="1"/>
  <c r="N11" i="2"/>
  <c r="N21" i="2"/>
  <c r="N47" i="2"/>
  <c r="N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<sst xmlns="http://schemas.openxmlformats.org/spreadsheetml/2006/main" count="936" uniqueCount="545">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</sst>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1703531.426833069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3" t="s">
        <v>57</v>
      </c>
      <c r="E47" s="773"/>
      <c r="F47" s="774"/>
      <c r="G47" s="67"/>
      <c r="I47" s="68"/>
      <c r="J47" s="68"/>
    </row>
    <row r="48" spans="1:49" ht="14.4" thickBot="1">
      <c r="C48" s="69">
        <v>44014</v>
      </c>
      <c r="D48" s="775"/>
      <c r="E48" s="775"/>
      <c r="F48" s="77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"/>
  <cols>
    <col min="1" max="1" width="6" customWidth="1"/>
    <col min="2" max="2" width="21.10937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79" t="s">
        <v>58</v>
      </c>
      <c r="C2" s="779"/>
      <c r="D2" s="779"/>
      <c r="E2" s="779"/>
      <c r="H2" s="780" t="s">
        <v>59</v>
      </c>
      <c r="I2" s="781"/>
      <c r="J2" s="781"/>
      <c r="K2" s="781"/>
      <c r="L2" s="781"/>
      <c r="M2" s="781"/>
      <c r="N2" s="781"/>
      <c r="O2" s="782"/>
    </row>
    <row r="3" spans="2:15">
      <c r="B3" s="686"/>
      <c r="H3" s="783"/>
      <c r="I3" s="784"/>
      <c r="J3" s="784"/>
      <c r="K3" s="784"/>
      <c r="L3" s="784"/>
      <c r="M3" s="784"/>
      <c r="N3" s="784"/>
      <c r="O3" s="785"/>
    </row>
    <row r="4" spans="2:15">
      <c r="B4" s="687" t="s">
        <v>60</v>
      </c>
      <c r="C4" s="688" t="str">
        <f>'Project Plan'!E2</f>
        <v>Blackheath Park</v>
      </c>
      <c r="H4" s="783"/>
      <c r="I4" s="784"/>
      <c r="J4" s="784"/>
      <c r="K4" s="784"/>
      <c r="L4" s="784"/>
      <c r="M4" s="784"/>
      <c r="N4" s="784"/>
      <c r="O4" s="785"/>
    </row>
    <row r="5" spans="2:15">
      <c r="B5" s="687" t="s">
        <v>61</v>
      </c>
      <c r="C5" s="688" t="s">
        <v>62</v>
      </c>
      <c r="H5" s="783"/>
      <c r="I5" s="784"/>
      <c r="J5" s="784"/>
      <c r="K5" s="784"/>
      <c r="L5" s="784"/>
      <c r="M5" s="784"/>
      <c r="N5" s="784"/>
      <c r="O5" s="785"/>
    </row>
    <row r="6" spans="2:15">
      <c r="B6" s="687" t="s">
        <v>63</v>
      </c>
      <c r="C6" s="688" t="s">
        <v>64</v>
      </c>
      <c r="H6" s="783"/>
      <c r="I6" s="784"/>
      <c r="J6" s="784"/>
      <c r="K6" s="784"/>
      <c r="L6" s="784"/>
      <c r="M6" s="784"/>
      <c r="N6" s="784"/>
      <c r="O6" s="785"/>
    </row>
    <row r="7" spans="2:15">
      <c r="B7" s="687" t="s">
        <v>65</v>
      </c>
      <c r="C7" s="688" t="s">
        <v>66</v>
      </c>
      <c r="H7" s="783"/>
      <c r="I7" s="784"/>
      <c r="J7" s="784"/>
      <c r="K7" s="784"/>
      <c r="L7" s="784"/>
      <c r="M7" s="784"/>
      <c r="N7" s="784"/>
      <c r="O7" s="785"/>
    </row>
    <row r="8" spans="2:15">
      <c r="B8" s="686"/>
      <c r="H8" s="783"/>
      <c r="I8" s="784"/>
      <c r="J8" s="784"/>
      <c r="K8" s="784"/>
      <c r="L8" s="784"/>
      <c r="M8" s="784"/>
      <c r="N8" s="784"/>
      <c r="O8" s="785"/>
    </row>
    <row r="9" spans="2:15">
      <c r="B9" s="789" t="s">
        <v>67</v>
      </c>
      <c r="C9" s="789"/>
      <c r="D9" s="789"/>
      <c r="E9" s="789"/>
      <c r="H9" s="783"/>
      <c r="I9" s="784"/>
      <c r="J9" s="784"/>
      <c r="K9" s="784"/>
      <c r="L9" s="784"/>
      <c r="M9" s="784"/>
      <c r="N9" s="784"/>
      <c r="O9" s="785"/>
    </row>
    <row r="10" spans="2:15" ht="15" thickBot="1">
      <c r="B10" s="789" t="s">
        <v>68</v>
      </c>
      <c r="C10" s="789"/>
      <c r="D10" s="789"/>
      <c r="E10" s="789"/>
      <c r="H10" s="786"/>
      <c r="I10" s="787"/>
      <c r="J10" s="787"/>
      <c r="K10" s="787"/>
      <c r="L10" s="787"/>
      <c r="M10" s="787"/>
      <c r="N10" s="787"/>
      <c r="O10" s="788"/>
    </row>
    <row r="11" spans="2:15">
      <c r="B11" s="689" t="s">
        <v>69</v>
      </c>
      <c r="C11" s="777" t="s">
        <v>70</v>
      </c>
      <c r="D11" s="777"/>
      <c r="E11" s="777"/>
    </row>
    <row r="12" spans="2:15">
      <c r="B12" s="689" t="s">
        <v>71</v>
      </c>
      <c r="C12" s="777" t="s">
        <v>72</v>
      </c>
      <c r="D12" s="777"/>
      <c r="E12" s="777"/>
    </row>
    <row r="13" spans="2:15">
      <c r="B13" s="689" t="s">
        <v>73</v>
      </c>
      <c r="C13" s="777" t="s">
        <v>70</v>
      </c>
      <c r="D13" s="777"/>
      <c r="E13" s="777"/>
    </row>
    <row r="14" spans="2:15">
      <c r="B14" s="689" t="s">
        <v>74</v>
      </c>
      <c r="C14" s="777" t="s">
        <v>72</v>
      </c>
      <c r="D14" s="777"/>
      <c r="E14" s="777"/>
    </row>
    <row r="15" spans="2:15">
      <c r="B15" s="689" t="s">
        <v>75</v>
      </c>
      <c r="C15" s="777" t="s">
        <v>72</v>
      </c>
      <c r="D15" s="777"/>
      <c r="E15" s="777"/>
    </row>
    <row r="16" spans="2:15" ht="15" customHeight="1">
      <c r="B16" s="689" t="s">
        <v>76</v>
      </c>
      <c r="C16" s="777" t="s">
        <v>77</v>
      </c>
      <c r="D16" s="777"/>
      <c r="E16" s="777"/>
    </row>
    <row r="17" spans="2:5">
      <c r="B17" s="686"/>
    </row>
    <row r="18" spans="2:5">
      <c r="B18" s="778" t="s">
        <v>78</v>
      </c>
      <c r="C18" s="778"/>
      <c r="D18" s="778"/>
      <c r="E18" s="778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5.88671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0.33203125" customWidth="1"/>
    <col min="11" max="11" width="75.109375" customWidth="1"/>
  </cols>
  <sheetData>
    <row r="1" spans="2:15">
      <c r="B1" s="790"/>
      <c r="C1" s="791"/>
      <c r="D1" s="791"/>
      <c r="E1" s="791"/>
      <c r="F1" s="792" t="s">
        <v>86</v>
      </c>
      <c r="G1" s="792"/>
      <c r="H1" s="792"/>
      <c r="I1" s="792"/>
      <c r="J1" s="792"/>
      <c r="K1" s="793"/>
      <c r="L1" s="77"/>
      <c r="M1" s="77"/>
      <c r="N1" s="77"/>
      <c r="O1" s="77"/>
    </row>
    <row r="2" spans="2:15" ht="6.75" customHeight="1"/>
    <row r="3" spans="2:15" ht="43.2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88671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E8" sqref="E8:E9"/>
    </sheetView>
  </sheetViews>
  <sheetFormatPr defaultColWidth="8.44140625" defaultRowHeight="13.8"/>
  <cols>
    <col min="1" max="1" width="1.44140625" style="112" customWidth="1"/>
    <col min="2" max="2" width="6.44140625" style="163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0" customWidth="1"/>
    <col min="7" max="7" width="13.5546875" style="64" customWidth="1"/>
    <col min="8" max="8" width="7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5.109375" style="112" bestFit="1" customWidth="1"/>
    <col min="15" max="15" width="39.44140625" style="112" bestFit="1" customWidth="1"/>
    <col min="16" max="16" width="1.44140625" style="112" customWidth="1"/>
    <col min="17" max="17" width="5.109375" style="3" customWidth="1"/>
    <col min="18" max="25" width="8.44140625" style="112"/>
    <col min="26" max="16384" width="8.441406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46078</v>
      </c>
      <c r="O1" s="396">
        <f ca="1">TODAY()</f>
        <v>46078</v>
      </c>
      <c r="Q1" s="3"/>
    </row>
    <row r="2" spans="2:28">
      <c r="B2" s="168"/>
      <c r="C2" s="169" t="s">
        <v>0</v>
      </c>
      <c r="D2" s="170"/>
      <c r="E2" s="794" t="s">
        <v>129</v>
      </c>
      <c r="F2" s="795"/>
      <c r="G2" s="795"/>
      <c r="H2" s="796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97" t="s">
        <v>132</v>
      </c>
      <c r="F4" s="798"/>
      <c r="G4" s="798"/>
      <c r="H4" s="799"/>
      <c r="Q4" s="3"/>
    </row>
    <row r="5" spans="2:28" s="112" customFormat="1">
      <c r="B5" s="171"/>
      <c r="C5" s="172" t="s">
        <v>133</v>
      </c>
      <c r="D5" s="170"/>
      <c r="E5" s="797" t="s">
        <v>134</v>
      </c>
      <c r="F5" s="798"/>
      <c r="G5" s="798"/>
      <c r="H5" s="799"/>
      <c r="J5" s="113"/>
      <c r="Q5" s="3"/>
    </row>
    <row r="6" spans="2:28">
      <c r="B6" s="176"/>
      <c r="C6" s="177" t="s">
        <v>135</v>
      </c>
      <c r="D6" s="170"/>
      <c r="E6" s="800">
        <v>6355349.9168330701</v>
      </c>
      <c r="F6" s="801"/>
      <c r="G6" s="801"/>
      <c r="H6" s="802"/>
      <c r="M6" s="24"/>
      <c r="N6" s="649" t="s">
        <v>136</v>
      </c>
      <c r="O6" s="650">
        <v>45869</v>
      </c>
    </row>
    <row r="7" spans="2:28" s="112" customFormat="1" ht="14.4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806" t="s">
        <v>139</v>
      </c>
      <c r="C8" s="807" t="s">
        <v>140</v>
      </c>
      <c r="D8" s="207"/>
      <c r="E8" s="805" t="s">
        <v>141</v>
      </c>
      <c r="F8" s="229" t="s">
        <v>142</v>
      </c>
      <c r="G8" s="805" t="s">
        <v>143</v>
      </c>
      <c r="H8" s="230"/>
      <c r="I8" s="805" t="s">
        <v>144</v>
      </c>
      <c r="J8" s="229" t="s">
        <v>142</v>
      </c>
      <c r="K8" s="805" t="s">
        <v>145</v>
      </c>
      <c r="M8" s="403" t="s">
        <v>93</v>
      </c>
      <c r="N8" s="676" t="s">
        <v>146</v>
      </c>
      <c r="O8" s="803" t="s">
        <v>147</v>
      </c>
      <c r="Z8" s="112"/>
      <c r="AA8" s="112"/>
      <c r="AB8" s="112"/>
    </row>
    <row r="9" spans="2:28">
      <c r="B9" s="806"/>
      <c r="C9" s="807"/>
      <c r="D9" s="207"/>
      <c r="E9" s="805"/>
      <c r="F9" s="126">
        <f>G42-E19</f>
        <v>85</v>
      </c>
      <c r="G9" s="805"/>
      <c r="H9" s="230"/>
      <c r="I9" s="805"/>
      <c r="J9" s="127">
        <f>K42-I19</f>
        <v>80</v>
      </c>
      <c r="K9" s="805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804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203</v>
      </c>
      <c r="Y52" s="24"/>
    </row>
    <row r="53" spans="2:28">
      <c r="B53" s="240">
        <v>8.6</v>
      </c>
      <c r="C53" s="235" t="s">
        <v>204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205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4140625" defaultRowHeight="14.4"/>
  <cols>
    <col min="1" max="1" width="5.109375" style="93" customWidth="1"/>
    <col min="2" max="2" width="5.1093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12" style="129" bestFit="1" customWidth="1"/>
    <col min="8" max="8" width="19.6640625" style="129" bestFit="1" customWidth="1"/>
    <col min="9" max="9" width="1.6640625" style="129" customWidth="1"/>
    <col min="10" max="10" width="3.44140625" style="93" customWidth="1"/>
    <col min="11" max="11" width="1.6640625" style="167" customWidth="1"/>
    <col min="12" max="12" width="29.44140625" style="93" customWidth="1"/>
    <col min="13" max="13" width="1.6640625" style="129" customWidth="1"/>
    <col min="14" max="14" width="29.44140625" style="129" customWidth="1"/>
    <col min="15" max="15" width="1.44140625" style="93" customWidth="1"/>
    <col min="16" max="16" width="16.88671875" style="129" customWidth="1"/>
    <col min="17" max="17" width="5.109375" style="129" customWidth="1"/>
    <col min="18" max="18" width="112.109375" style="129" bestFit="1" customWidth="1"/>
    <col min="19" max="19" width="4.44140625" style="129" customWidth="1"/>
    <col min="20" max="20" width="14.44140625" style="129" customWidth="1"/>
    <col min="21" max="25" width="15.10937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33203125" style="129" bestFit="1" customWidth="1"/>
    <col min="30" max="16384" width="8.441406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2">
      <c r="B3" s="117"/>
      <c r="D3" s="125" t="s">
        <v>207</v>
      </c>
      <c r="F3" s="125" t="s">
        <v>208</v>
      </c>
      <c r="J3" s="142"/>
      <c r="L3" s="401" t="s">
        <v>209</v>
      </c>
      <c r="N3" s="401" t="s">
        <v>210</v>
      </c>
      <c r="S3" s="142"/>
      <c r="T3" s="684" t="s">
        <v>211</v>
      </c>
      <c r="U3" s="684" t="s">
        <v>212</v>
      </c>
      <c r="V3" s="684" t="s">
        <v>213</v>
      </c>
      <c r="W3" s="684" t="s">
        <v>214</v>
      </c>
      <c r="X3" s="684" t="s">
        <v>215</v>
      </c>
      <c r="Y3" s="684" t="s">
        <v>216</v>
      </c>
    </row>
    <row r="4" spans="1:25" s="93" customFormat="1" ht="13.2">
      <c r="B4" s="344">
        <v>1</v>
      </c>
      <c r="C4" s="345" t="s">
        <v>217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218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1246554.349141004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1247604.9939604136</v>
      </c>
    </row>
    <row r="5" spans="1:25" s="93" customFormat="1" ht="15" customHeight="1">
      <c r="B5" s="344">
        <v>2</v>
      </c>
      <c r="C5" s="345" t="s">
        <v>219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220</v>
      </c>
      <c r="H5" s="684" t="s">
        <v>221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222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223</v>
      </c>
      <c r="S6" s="142"/>
    </row>
    <row r="7" spans="1:25" s="93" customFormat="1" ht="15" customHeight="1" thickBot="1">
      <c r="B7" s="344">
        <v>4</v>
      </c>
      <c r="C7" s="345" t="s">
        <v>224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2">
      <c r="B10" s="128" t="s">
        <v>225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">
      <c r="B12" s="132" t="s">
        <v>139</v>
      </c>
      <c r="C12" s="133" t="s">
        <v>226</v>
      </c>
      <c r="D12" s="134"/>
      <c r="E12" s="132" t="s">
        <v>227</v>
      </c>
      <c r="F12" s="132" t="s">
        <v>228</v>
      </c>
      <c r="H12" s="349" t="s">
        <v>229</v>
      </c>
      <c r="J12" s="142"/>
      <c r="L12" s="158" t="s">
        <v>230</v>
      </c>
      <c r="M12" s="135"/>
      <c r="N12" s="158" t="s">
        <v>231</v>
      </c>
      <c r="O12" s="129"/>
      <c r="P12" s="158" t="s">
        <v>232</v>
      </c>
      <c r="R12" s="370" t="s">
        <v>233</v>
      </c>
      <c r="S12" s="142"/>
    </row>
    <row r="13" spans="1:25" s="93" customFormat="1" ht="13.2">
      <c r="B13" s="344">
        <v>1</v>
      </c>
      <c r="C13" s="810" t="s">
        <v>234</v>
      </c>
      <c r="D13" s="811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235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2">
      <c r="B14" s="155">
        <v>2</v>
      </c>
      <c r="C14" s="810" t="s">
        <v>236</v>
      </c>
      <c r="D14" s="811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237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2">
      <c r="B15" s="344">
        <v>3</v>
      </c>
      <c r="C15" s="810" t="s">
        <v>238</v>
      </c>
      <c r="D15" s="811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237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2">
      <c r="B16" s="344">
        <v>4</v>
      </c>
      <c r="C16" s="808" t="s">
        <v>194</v>
      </c>
      <c r="D16" s="809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239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2">
      <c r="B17" s="344">
        <v>5</v>
      </c>
      <c r="C17" s="808" t="s">
        <v>54</v>
      </c>
      <c r="D17" s="809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240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3.2">
      <c r="B18" s="344">
        <v>6</v>
      </c>
      <c r="C18" s="808" t="s">
        <v>241</v>
      </c>
      <c r="D18" s="809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2">
      <c r="B19" s="344">
        <v>7</v>
      </c>
      <c r="C19" s="810" t="s">
        <v>241</v>
      </c>
      <c r="D19" s="811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2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242</v>
      </c>
      <c r="C23" s="146" t="s">
        <v>243</v>
      </c>
      <c r="D23" s="146"/>
      <c r="F23" s="147"/>
      <c r="L23" s="116">
        <f>F13*1.15</f>
        <v>2558028.3415253102</v>
      </c>
    </row>
    <row r="24" spans="2:19" s="93" customFormat="1" ht="13.2">
      <c r="C24" s="148" t="s">
        <v>244</v>
      </c>
      <c r="D24" s="149"/>
      <c r="F24" s="150"/>
    </row>
    <row r="25" spans="2:19" s="93" customFormat="1" ht="13.2">
      <c r="C25" s="148" t="s">
        <v>245</v>
      </c>
      <c r="D25" s="149"/>
    </row>
    <row r="26" spans="2:19" s="93" customFormat="1" ht="13.2">
      <c r="C26" s="151" t="s">
        <v>246</v>
      </c>
      <c r="D26" s="152"/>
    </row>
    <row r="27" spans="2:19" s="93" customFormat="1" ht="13.2">
      <c r="C27" s="153" t="s">
        <v>247</v>
      </c>
      <c r="D27" s="149"/>
    </row>
    <row r="28" spans="2:19" s="93" customFormat="1" ht="13.2">
      <c r="B28" s="117"/>
      <c r="C28" s="153" t="s">
        <v>248</v>
      </c>
      <c r="D28" s="149"/>
    </row>
    <row r="29" spans="2:19" s="93" customFormat="1" ht="13.2">
      <c r="B29" s="117"/>
      <c r="C29" s="93" t="s">
        <v>249</v>
      </c>
    </row>
    <row r="30" spans="2:19" s="93" customFormat="1" ht="27.75" customHeight="1">
      <c r="B30" s="117"/>
      <c r="C30" s="154" t="s">
        <v>250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812" t="s">
        <v>154</v>
      </c>
      <c r="C2" s="813"/>
      <c r="D2" s="813"/>
      <c r="E2" s="813"/>
      <c r="F2" s="814"/>
      <c r="G2" s="77"/>
      <c r="H2" s="77"/>
      <c r="I2" s="77"/>
      <c r="J2" s="77"/>
    </row>
    <row r="3" spans="2:10" ht="6.75" customHeight="1" thickTop="1"/>
    <row r="4" spans="2:10">
      <c r="B4" s="72" t="s">
        <v>251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252</v>
      </c>
      <c r="C5" s="76"/>
      <c r="D5" s="76"/>
      <c r="E5" s="76"/>
      <c r="F5" s="71"/>
    </row>
    <row r="6" spans="2:10">
      <c r="B6" s="74" t="s">
        <v>253</v>
      </c>
      <c r="C6" s="76"/>
      <c r="D6" s="76"/>
      <c r="E6" s="76"/>
      <c r="F6" s="71"/>
    </row>
    <row r="7" spans="2:10">
      <c r="B7" s="74" t="s">
        <v>254</v>
      </c>
      <c r="C7" s="76"/>
      <c r="D7" s="76"/>
      <c r="E7" s="76"/>
      <c r="F7" s="71"/>
    </row>
    <row r="8" spans="2:10">
      <c r="B8" s="74" t="s">
        <v>255</v>
      </c>
      <c r="C8" s="76"/>
      <c r="D8" s="76"/>
      <c r="E8" s="76"/>
      <c r="F8" s="71"/>
    </row>
    <row r="9" spans="2:10">
      <c r="B9" s="75" t="s">
        <v>256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2" t="s">
        <v>257</v>
      </c>
      <c r="C16" s="813"/>
      <c r="D16" s="813"/>
      <c r="E16" s="813"/>
      <c r="F16" s="814"/>
    </row>
    <row r="17" spans="2:6" ht="15" thickTop="1"/>
    <row r="18" spans="2:6">
      <c r="B18" s="72" t="s">
        <v>251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258</v>
      </c>
      <c r="C19" s="76"/>
      <c r="D19" s="76"/>
      <c r="E19" s="76"/>
      <c r="F19" s="71"/>
    </row>
    <row r="20" spans="2:6">
      <c r="B20" s="74" t="s">
        <v>259</v>
      </c>
      <c r="C20" s="76"/>
      <c r="D20" s="76"/>
      <c r="E20" s="76"/>
      <c r="F20" s="71"/>
    </row>
    <row r="21" spans="2:6">
      <c r="B21" s="74" t="s">
        <v>260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332031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3.8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3.8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281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" thickBot="1">
      <c r="A4" s="207"/>
      <c r="B4" s="815"/>
      <c r="C4" s="815"/>
      <c r="D4" s="815"/>
      <c r="E4" s="405"/>
      <c r="F4" s="212" t="s">
        <v>207</v>
      </c>
      <c r="G4" s="207"/>
      <c r="H4" s="212" t="s">
        <v>208</v>
      </c>
      <c r="I4" s="207"/>
      <c r="J4" s="213" t="s">
        <v>282</v>
      </c>
      <c r="K4" s="112"/>
      <c r="L4" s="112"/>
    </row>
    <row r="5" spans="1:12" ht="14.4" thickBot="1">
      <c r="A5" s="207"/>
      <c r="B5" s="816" t="s">
        <v>283</v>
      </c>
      <c r="C5" s="816"/>
      <c r="D5" s="816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139</v>
      </c>
      <c r="C7" s="218"/>
      <c r="D7" s="217" t="s">
        <v>106</v>
      </c>
      <c r="E7" s="218"/>
      <c r="F7" s="219" t="s">
        <v>284</v>
      </c>
      <c r="G7" s="220"/>
      <c r="H7" s="219" t="s">
        <v>285</v>
      </c>
      <c r="I7" s="220"/>
      <c r="J7" s="219" t="s">
        <v>286</v>
      </c>
      <c r="K7" s="164"/>
      <c r="L7" s="115" t="s">
        <v>287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288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J1" zoomScale="85" zoomScaleNormal="85" workbookViewId="0">
      <pane ySplit="4" topLeftCell="A126" activePane="bottomLeft" state="frozen"/>
      <selection activeCell="X33" sqref="X33"/>
      <selection pane="bottomLeft" activeCell="S144" sqref="S14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66" hidden="1" customWidth="1"/>
    <col min="7" max="7" width="17.44140625" style="24" hidden="1" customWidth="1"/>
    <col min="8" max="8" width="17.44140625" style="112" hidden="1" customWidth="1"/>
    <col min="9" max="9" width="22.44140625" style="342" hidden="1" customWidth="1"/>
    <col min="10" max="10" width="22.44140625" style="342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6.109375" style="112" bestFit="1" customWidth="1"/>
    <col min="19" max="19" width="39.44140625" style="112" bestFit="1" customWidth="1"/>
    <col min="20" max="21" width="17.44140625" style="549" customWidth="1"/>
    <col min="22" max="22" width="17.44140625" style="112" customWidth="1"/>
    <col min="23" max="23" width="17.44140625" style="549" customWidth="1"/>
    <col min="24" max="24" width="21.109375" style="112" customWidth="1"/>
    <col min="25" max="25" width="29.441406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66" t="s">
        <v>289</v>
      </c>
      <c r="C2" s="767"/>
      <c r="D2" s="767"/>
      <c r="E2" s="767"/>
      <c r="F2" s="767"/>
      <c r="G2" s="767"/>
      <c r="H2" s="494"/>
      <c r="I2" s="250">
        <f>SUM(I6:I176)</f>
        <v>5466419.9740652163</v>
      </c>
      <c r="J2" s="250">
        <f>SUM(J6:J176)</f>
        <v>6355349.9168330664</v>
      </c>
      <c r="L2" s="768" t="s">
        <v>290</v>
      </c>
      <c r="M2" s="769"/>
      <c r="N2" s="769"/>
      <c r="O2" s="769"/>
      <c r="P2" s="769"/>
      <c r="Q2" s="769"/>
      <c r="R2" s="770" t="s">
        <v>291</v>
      </c>
      <c r="S2" s="771"/>
      <c r="T2" s="771"/>
      <c r="U2" s="771"/>
      <c r="V2" s="771"/>
      <c r="W2" s="772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292</v>
      </c>
      <c r="C4" s="252" t="s">
        <v>293</v>
      </c>
      <c r="D4" s="252" t="s">
        <v>294</v>
      </c>
      <c r="E4" s="252" t="s">
        <v>295</v>
      </c>
      <c r="F4" s="457" t="s">
        <v>296</v>
      </c>
      <c r="G4" s="253" t="s">
        <v>297</v>
      </c>
      <c r="H4" s="364" t="s">
        <v>298</v>
      </c>
      <c r="I4" s="254" t="s">
        <v>299</v>
      </c>
      <c r="J4" s="254" t="str">
        <f>IF(J2-'Revenue Tracking'!D4&gt;=0, "Total Revenue", "ERROR on REV" )</f>
        <v>ERROR on REV</v>
      </c>
      <c r="K4" s="157"/>
      <c r="L4" s="251" t="s">
        <v>292</v>
      </c>
      <c r="M4" s="252" t="s">
        <v>300</v>
      </c>
      <c r="N4" s="252" t="s">
        <v>294</v>
      </c>
      <c r="O4" s="252" t="s">
        <v>295</v>
      </c>
      <c r="P4" s="457" t="s">
        <v>296</v>
      </c>
      <c r="Q4" s="365" t="s">
        <v>301</v>
      </c>
      <c r="R4" s="622" t="s">
        <v>302</v>
      </c>
      <c r="S4" s="623" t="s">
        <v>230</v>
      </c>
      <c r="T4" s="647" t="s">
        <v>231</v>
      </c>
      <c r="U4" s="648" t="s">
        <v>303</v>
      </c>
      <c r="V4" s="365" t="s">
        <v>304</v>
      </c>
      <c r="W4" s="647" t="s">
        <v>305</v>
      </c>
      <c r="X4" s="472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306</v>
      </c>
      <c r="D6" s="274" t="s">
        <v>307</v>
      </c>
      <c r="E6" s="275"/>
      <c r="F6" s="429"/>
      <c r="G6" s="383">
        <f>D177</f>
        <v>1702080.56</v>
      </c>
      <c r="H6" s="526">
        <f>'Project Plan'!E37+60</f>
        <v>45898</v>
      </c>
      <c r="I6" s="715">
        <f>SUM(G6:G11)</f>
        <v>1702080.56</v>
      </c>
      <c r="J6" s="715">
        <f>F177</f>
        <v>1979163.4418604653</v>
      </c>
      <c r="K6" s="380"/>
      <c r="L6" s="273">
        <v>1</v>
      </c>
      <c r="M6" s="409" t="s">
        <v>308</v>
      </c>
      <c r="N6" s="274" t="s">
        <v>309</v>
      </c>
      <c r="O6" s="646">
        <v>1356</v>
      </c>
      <c r="P6" s="429">
        <v>1168.2</v>
      </c>
      <c r="Q6" s="383">
        <f>O6*P6</f>
        <v>1584079.2</v>
      </c>
      <c r="R6" s="588" t="s">
        <v>310</v>
      </c>
      <c r="S6" s="625" t="s">
        <v>311</v>
      </c>
      <c r="T6" s="653">
        <v>45838</v>
      </c>
      <c r="U6" s="657">
        <v>1979163.4418604653</v>
      </c>
      <c r="V6" s="727">
        <f>J6-SUM(U6:U11)</f>
        <v>0</v>
      </c>
      <c r="W6" s="526">
        <v>45900</v>
      </c>
      <c r="X6" s="718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312</v>
      </c>
      <c r="E7" s="382"/>
      <c r="F7" s="451"/>
      <c r="G7" s="307"/>
      <c r="H7" s="527"/>
      <c r="I7" s="716"/>
      <c r="J7" s="716"/>
      <c r="K7" s="280"/>
      <c r="L7" s="303">
        <v>1</v>
      </c>
      <c r="M7" s="305" t="s">
        <v>308</v>
      </c>
      <c r="N7" s="381" t="s">
        <v>313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314</v>
      </c>
      <c r="T7" s="696">
        <v>45991</v>
      </c>
      <c r="U7" s="657">
        <v>0</v>
      </c>
      <c r="V7" s="728"/>
      <c r="W7" s="707">
        <v>46037</v>
      </c>
      <c r="X7" s="719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16"/>
      <c r="J8" s="716"/>
      <c r="K8" s="280"/>
      <c r="L8" s="303">
        <v>1</v>
      </c>
      <c r="M8" s="305" t="s">
        <v>308</v>
      </c>
      <c r="N8" s="477" t="s">
        <v>315</v>
      </c>
      <c r="O8" s="552"/>
      <c r="P8" s="436"/>
      <c r="Q8" s="307">
        <v>700</v>
      </c>
      <c r="R8" s="589"/>
      <c r="S8" s="626" t="s">
        <v>314</v>
      </c>
      <c r="T8" s="696">
        <v>45991</v>
      </c>
      <c r="U8" s="657">
        <v>0</v>
      </c>
      <c r="V8" s="728"/>
      <c r="W8" s="707">
        <v>46037</v>
      </c>
      <c r="X8" s="719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16"/>
      <c r="J9" s="716"/>
      <c r="K9" s="280"/>
      <c r="L9" s="303">
        <v>1</v>
      </c>
      <c r="M9" s="305" t="s">
        <v>308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28"/>
      <c r="W9" s="574"/>
      <c r="X9" s="719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16"/>
      <c r="J10" s="716"/>
      <c r="K10" s="280"/>
      <c r="L10" s="303">
        <v>1</v>
      </c>
      <c r="M10" s="305" t="s">
        <v>308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28"/>
      <c r="W10" s="574"/>
      <c r="X10" s="719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17"/>
      <c r="J11" s="717"/>
      <c r="K11" s="281"/>
      <c r="L11" s="308">
        <v>1</v>
      </c>
      <c r="M11" s="411" t="s">
        <v>308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29"/>
      <c r="W11" s="575"/>
      <c r="X11" s="720"/>
      <c r="Y11" s="606" t="s">
        <v>316</v>
      </c>
      <c r="Z11" s="607" t="s">
        <v>317</v>
      </c>
    </row>
    <row r="12" spans="1:76" ht="14.4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318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319</v>
      </c>
      <c r="E13" s="357"/>
      <c r="F13" s="449"/>
      <c r="G13" s="288">
        <f>D178</f>
        <v>420000</v>
      </c>
      <c r="H13" s="531">
        <f>'Project Plan'!E22+60</f>
        <v>45898</v>
      </c>
      <c r="I13" s="738">
        <f>SUM(G13:G19)</f>
        <v>420000</v>
      </c>
      <c r="J13" s="738">
        <f>F178</f>
        <v>488372.09302325582</v>
      </c>
      <c r="K13" s="289"/>
      <c r="L13" s="285">
        <v>2</v>
      </c>
      <c r="M13" s="412" t="s">
        <v>320</v>
      </c>
      <c r="N13" s="311" t="s">
        <v>321</v>
      </c>
      <c r="O13" s="555">
        <v>6</v>
      </c>
      <c r="P13" s="449">
        <v>68870.357999999993</v>
      </c>
      <c r="Q13" s="288">
        <v>413222.15</v>
      </c>
      <c r="R13" s="593" t="s">
        <v>310</v>
      </c>
      <c r="S13" s="630" t="s">
        <v>311</v>
      </c>
      <c r="T13" s="654">
        <f>T6</f>
        <v>45838</v>
      </c>
      <c r="U13" s="658">
        <v>488372.09302325582</v>
      </c>
      <c r="V13" s="760">
        <f>J13-SUM(U13:U19)</f>
        <v>0</v>
      </c>
      <c r="W13" s="531">
        <f>W6</f>
        <v>45900</v>
      </c>
      <c r="X13" s="741">
        <f>SUM(Q13:Q19)</f>
        <v>413222.15</v>
      </c>
      <c r="Y13" s="608" t="s">
        <v>322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39"/>
      <c r="J14" s="739"/>
      <c r="K14" s="293"/>
      <c r="L14" s="290">
        <v>2</v>
      </c>
      <c r="M14" s="418" t="s">
        <v>320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1"/>
      <c r="W14" s="578"/>
      <c r="X14" s="742"/>
      <c r="Y14" s="608" t="s">
        <v>323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39"/>
      <c r="J15" s="739"/>
      <c r="K15" s="293"/>
      <c r="L15" s="290">
        <v>2</v>
      </c>
      <c r="M15" s="418" t="s">
        <v>320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1"/>
      <c r="W15" s="578"/>
      <c r="X15" s="742"/>
      <c r="Y15" s="608" t="s">
        <v>324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39"/>
      <c r="J16" s="739"/>
      <c r="K16" s="293"/>
      <c r="L16" s="290">
        <v>2</v>
      </c>
      <c r="M16" s="418" t="s">
        <v>320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1"/>
      <c r="W16" s="578"/>
      <c r="X16" s="742"/>
      <c r="Y16" s="608" t="s">
        <v>325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39"/>
      <c r="J17" s="739"/>
      <c r="K17" s="293"/>
      <c r="L17" s="290">
        <v>2</v>
      </c>
      <c r="M17" s="418" t="s">
        <v>320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1"/>
      <c r="W17" s="578"/>
      <c r="X17" s="742"/>
      <c r="Y17" s="608" t="s">
        <v>326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39"/>
      <c r="J18" s="739"/>
      <c r="K18" s="293"/>
      <c r="L18" s="290">
        <v>2</v>
      </c>
      <c r="M18" s="418" t="s">
        <v>320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1"/>
      <c r="W18" s="578"/>
      <c r="X18" s="742"/>
      <c r="Y18" s="608" t="s">
        <v>327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40"/>
      <c r="J19" s="740"/>
      <c r="K19" s="298"/>
      <c r="L19" s="387">
        <v>2</v>
      </c>
      <c r="M19" s="413" t="s">
        <v>320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2"/>
      <c r="W19" s="579"/>
      <c r="X19" s="743"/>
      <c r="Y19" s="608" t="s">
        <v>328</v>
      </c>
      <c r="Z19" s="609">
        <v>0</v>
      </c>
    </row>
    <row r="20" spans="1:28" ht="14.4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329</v>
      </c>
      <c r="D21" s="319" t="s">
        <v>330</v>
      </c>
      <c r="E21" s="275"/>
      <c r="F21" s="429"/>
      <c r="G21" s="276">
        <f>D179</f>
        <v>320128</v>
      </c>
      <c r="H21" s="534">
        <f>'Project Plan'!E30+30</f>
        <v>45910</v>
      </c>
      <c r="I21" s="715">
        <f>SUM(G21:G26)</f>
        <v>320128</v>
      </c>
      <c r="J21" s="715">
        <f>F179</f>
        <v>372241.86046511628</v>
      </c>
      <c r="K21" s="277"/>
      <c r="L21" s="273">
        <v>3</v>
      </c>
      <c r="M21" s="414" t="s">
        <v>331</v>
      </c>
      <c r="N21" s="319" t="s">
        <v>332</v>
      </c>
      <c r="O21" s="550"/>
      <c r="P21" s="429"/>
      <c r="Q21" s="276">
        <v>161835</v>
      </c>
      <c r="R21" s="596" t="s">
        <v>333</v>
      </c>
      <c r="S21" s="633" t="s">
        <v>334</v>
      </c>
      <c r="T21" s="663">
        <v>45869</v>
      </c>
      <c r="U21" s="657">
        <v>372241.86046511628</v>
      </c>
      <c r="V21" s="727">
        <f>J21-SUM(U21:U26)</f>
        <v>0</v>
      </c>
      <c r="W21" s="534">
        <v>45899</v>
      </c>
      <c r="X21" s="718">
        <f>SUM(Q21:Q26)</f>
        <v>161835</v>
      </c>
      <c r="Y21" s="608" t="s">
        <v>335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16"/>
      <c r="J22" s="716"/>
      <c r="K22" s="280"/>
      <c r="L22" s="303">
        <v>3</v>
      </c>
      <c r="M22" s="415" t="s">
        <v>331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28"/>
      <c r="W22" s="573"/>
      <c r="X22" s="719"/>
      <c r="Y22" s="608" t="s">
        <v>336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16"/>
      <c r="J23" s="716"/>
      <c r="K23" s="280"/>
      <c r="L23" s="303">
        <v>3</v>
      </c>
      <c r="M23" s="415" t="s">
        <v>331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28"/>
      <c r="W23" s="573"/>
      <c r="X23" s="719"/>
      <c r="Y23" s="608" t="s">
        <v>337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16"/>
      <c r="J24" s="716"/>
      <c r="K24" s="280"/>
      <c r="L24" s="303">
        <v>3</v>
      </c>
      <c r="M24" s="415" t="s">
        <v>331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28"/>
      <c r="W24" s="574"/>
      <c r="X24" s="719"/>
      <c r="Y24" s="613" t="s">
        <v>338</v>
      </c>
      <c r="Z24" s="611">
        <f>Z23/'Project Plan'!$E$3/1000</f>
        <v>2.121794930253623</v>
      </c>
      <c r="AB24" s="114" t="s">
        <v>339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16"/>
      <c r="J25" s="716"/>
      <c r="K25" s="280"/>
      <c r="L25" s="303">
        <v>3</v>
      </c>
      <c r="M25" s="415" t="s">
        <v>331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28"/>
      <c r="W25" s="574"/>
      <c r="X25" s="719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17"/>
      <c r="J26" s="717"/>
      <c r="K26" s="281"/>
      <c r="L26" s="308">
        <v>3</v>
      </c>
      <c r="M26" s="416" t="s">
        <v>331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29"/>
      <c r="W26" s="575"/>
      <c r="X26" s="720"/>
      <c r="Y26" s="614" t="s">
        <v>340</v>
      </c>
      <c r="Z26" s="615" t="s">
        <v>341</v>
      </c>
    </row>
    <row r="27" spans="1:28" ht="14.4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322</v>
      </c>
      <c r="D28" s="286" t="s">
        <v>342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38">
        <f>SUM(G28:G44)</f>
        <v>635424.19999999995</v>
      </c>
      <c r="J28" s="738">
        <f>F180</f>
        <v>738865.34883720928</v>
      </c>
      <c r="K28" s="289"/>
      <c r="L28" s="285">
        <v>4</v>
      </c>
      <c r="M28" s="417" t="s">
        <v>343</v>
      </c>
      <c r="N28" s="286" t="s">
        <v>344</v>
      </c>
      <c r="O28" s="547">
        <v>20000</v>
      </c>
      <c r="P28" s="449">
        <v>13.5</v>
      </c>
      <c r="Q28" s="288">
        <f>O28*P28</f>
        <v>270000</v>
      </c>
      <c r="R28" s="593" t="s">
        <v>310</v>
      </c>
      <c r="S28" s="630" t="s">
        <v>311</v>
      </c>
      <c r="T28" s="654">
        <f>T6</f>
        <v>45838</v>
      </c>
      <c r="U28" s="658">
        <v>371547.09388589539</v>
      </c>
      <c r="V28" s="760">
        <f>J28-SUM(U28:U44)</f>
        <v>1.0556925553828478E-4</v>
      </c>
      <c r="W28" s="531">
        <f>W6</f>
        <v>45900</v>
      </c>
      <c r="X28" s="741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345</v>
      </c>
      <c r="E29" s="386"/>
      <c r="F29" s="445"/>
      <c r="G29" s="642">
        <f>D180-G28</f>
        <v>381324.19999999995</v>
      </c>
      <c r="H29" s="532">
        <f>H28</f>
        <v>45898</v>
      </c>
      <c r="I29" s="739"/>
      <c r="J29" s="739"/>
      <c r="K29" s="293"/>
      <c r="L29" s="290">
        <v>4</v>
      </c>
      <c r="M29" s="418" t="s">
        <v>343</v>
      </c>
      <c r="N29" s="400" t="s">
        <v>346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347</v>
      </c>
      <c r="T29" s="677">
        <v>45930</v>
      </c>
      <c r="U29" s="693">
        <v>0</v>
      </c>
      <c r="V29" s="761"/>
      <c r="W29" s="678">
        <v>45930</v>
      </c>
      <c r="X29" s="742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39"/>
      <c r="J30" s="739"/>
      <c r="K30" s="293"/>
      <c r="L30" s="290">
        <v>4</v>
      </c>
      <c r="M30" s="418" t="s">
        <v>343</v>
      </c>
      <c r="N30" s="400" t="s">
        <v>348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349</v>
      </c>
      <c r="T30" s="677">
        <v>45961</v>
      </c>
      <c r="U30" s="693">
        <v>0</v>
      </c>
      <c r="V30" s="761"/>
      <c r="W30" s="532">
        <v>46003</v>
      </c>
      <c r="X30" s="742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39"/>
      <c r="J31" s="739"/>
      <c r="K31" s="293"/>
      <c r="L31" s="290">
        <v>4</v>
      </c>
      <c r="M31" s="418" t="s">
        <v>343</v>
      </c>
      <c r="N31" s="400" t="s">
        <v>348</v>
      </c>
      <c r="O31" s="556"/>
      <c r="P31" s="445"/>
      <c r="Q31" s="292">
        <v>246400</v>
      </c>
      <c r="R31" s="594"/>
      <c r="S31" s="631" t="s">
        <v>350</v>
      </c>
      <c r="T31" s="677">
        <v>45991</v>
      </c>
      <c r="U31" s="693">
        <v>0</v>
      </c>
      <c r="V31" s="761"/>
      <c r="W31" s="678">
        <v>46031</v>
      </c>
      <c r="X31" s="742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39"/>
      <c r="J32" s="739"/>
      <c r="K32" s="293"/>
      <c r="L32" s="290">
        <v>4</v>
      </c>
      <c r="M32" s="418" t="s">
        <v>343</v>
      </c>
      <c r="N32" s="400" t="s">
        <v>351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352</v>
      </c>
      <c r="T32" s="677">
        <v>45991</v>
      </c>
      <c r="U32" s="693">
        <v>0</v>
      </c>
      <c r="V32" s="761"/>
      <c r="W32" s="678">
        <v>45991</v>
      </c>
      <c r="X32" s="742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39"/>
      <c r="J33" s="739"/>
      <c r="K33" s="293"/>
      <c r="L33" s="290">
        <v>4</v>
      </c>
      <c r="M33" s="418" t="s">
        <v>343</v>
      </c>
      <c r="N33" s="400" t="s">
        <v>353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352</v>
      </c>
      <c r="T33" s="677">
        <v>45991</v>
      </c>
      <c r="U33" s="693">
        <v>0</v>
      </c>
      <c r="V33" s="761"/>
      <c r="W33" s="678">
        <v>45991</v>
      </c>
      <c r="X33" s="742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39"/>
      <c r="J34" s="739"/>
      <c r="K34" s="293"/>
      <c r="L34" s="290">
        <v>4</v>
      </c>
      <c r="M34" s="418" t="s">
        <v>343</v>
      </c>
      <c r="N34" s="400" t="s">
        <v>354</v>
      </c>
      <c r="O34" s="567">
        <f>Z28</f>
        <v>356584.25</v>
      </c>
      <c r="P34" s="568">
        <v>0.1</v>
      </c>
      <c r="Q34" s="292">
        <v>35658.43</v>
      </c>
      <c r="R34" s="763"/>
      <c r="S34" s="631" t="s">
        <v>355</v>
      </c>
      <c r="T34" s="665">
        <v>45869</v>
      </c>
      <c r="U34" s="658">
        <v>42048.26138055211</v>
      </c>
      <c r="V34" s="761"/>
      <c r="W34" s="532">
        <f>W93</f>
        <v>45899</v>
      </c>
      <c r="X34" s="742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39"/>
      <c r="J35" s="739"/>
      <c r="K35" s="293"/>
      <c r="L35" s="290">
        <v>4</v>
      </c>
      <c r="M35" s="418" t="s">
        <v>343</v>
      </c>
      <c r="N35" s="400" t="s">
        <v>159</v>
      </c>
      <c r="O35" s="556"/>
      <c r="P35" s="568">
        <v>0.15</v>
      </c>
      <c r="Q35" s="292">
        <v>53487.64</v>
      </c>
      <c r="R35" s="764"/>
      <c r="S35" s="631" t="s">
        <v>355</v>
      </c>
      <c r="T35" s="665">
        <v>45869</v>
      </c>
      <c r="U35" s="658">
        <v>63072.386174850493</v>
      </c>
      <c r="V35" s="761"/>
      <c r="W35" s="532">
        <f t="shared" ref="W35" si="2">W94</f>
        <v>45939</v>
      </c>
      <c r="X35" s="742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39"/>
      <c r="J36" s="739"/>
      <c r="K36" s="293"/>
      <c r="L36" s="290">
        <v>4</v>
      </c>
      <c r="M36" s="418" t="s">
        <v>343</v>
      </c>
      <c r="N36" s="400" t="s">
        <v>356</v>
      </c>
      <c r="O36" s="556"/>
      <c r="P36" s="568">
        <v>0.2</v>
      </c>
      <c r="Q36" s="292">
        <v>71316.850000000006</v>
      </c>
      <c r="R36" s="764"/>
      <c r="S36" s="631" t="s">
        <v>355</v>
      </c>
      <c r="T36" s="665">
        <v>45869</v>
      </c>
      <c r="U36" s="658">
        <v>84096.510969148891</v>
      </c>
      <c r="V36" s="761"/>
      <c r="W36" s="532">
        <v>45974</v>
      </c>
      <c r="X36" s="742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39"/>
      <c r="J37" s="739"/>
      <c r="K37" s="293"/>
      <c r="L37" s="290">
        <v>4</v>
      </c>
      <c r="M37" s="418" t="s">
        <v>343</v>
      </c>
      <c r="N37" s="400" t="s">
        <v>357</v>
      </c>
      <c r="O37" s="556"/>
      <c r="P37" s="568">
        <v>0.25</v>
      </c>
      <c r="Q37" s="292">
        <v>89146.05</v>
      </c>
      <c r="R37" s="764"/>
      <c r="S37" s="631" t="s">
        <v>355</v>
      </c>
      <c r="T37" s="665">
        <v>45869</v>
      </c>
      <c r="U37" s="658">
        <v>51956.323971491947</v>
      </c>
      <c r="V37" s="761"/>
      <c r="W37" s="678">
        <v>45980</v>
      </c>
      <c r="X37" s="742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39"/>
      <c r="J38" s="739"/>
      <c r="K38" s="293"/>
      <c r="L38" s="290">
        <v>4</v>
      </c>
      <c r="M38" s="418" t="s">
        <v>343</v>
      </c>
      <c r="N38" s="400" t="s">
        <v>358</v>
      </c>
      <c r="O38" s="556"/>
      <c r="P38" s="568">
        <v>0.1</v>
      </c>
      <c r="Q38" s="292">
        <v>35658.43</v>
      </c>
      <c r="R38" s="764"/>
      <c r="S38" s="631" t="s">
        <v>355</v>
      </c>
      <c r="T38" s="665">
        <v>45869</v>
      </c>
      <c r="U38" s="658">
        <v>42048.26138055211</v>
      </c>
      <c r="V38" s="761"/>
      <c r="W38" s="678">
        <v>45989</v>
      </c>
      <c r="X38" s="742"/>
      <c r="Y38" s="616" t="s">
        <v>335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39"/>
      <c r="J39" s="739"/>
      <c r="K39" s="293"/>
      <c r="L39" s="290">
        <v>4</v>
      </c>
      <c r="M39" s="418" t="s">
        <v>343</v>
      </c>
      <c r="N39" s="400" t="s">
        <v>359</v>
      </c>
      <c r="O39" s="556"/>
      <c r="P39" s="568">
        <v>0.1</v>
      </c>
      <c r="Q39" s="292">
        <v>35658.43</v>
      </c>
      <c r="R39" s="764"/>
      <c r="S39" s="631" t="s">
        <v>355</v>
      </c>
      <c r="T39" s="665">
        <v>45869</v>
      </c>
      <c r="U39" s="658">
        <v>42048.26138055211</v>
      </c>
      <c r="V39" s="761"/>
      <c r="W39" s="678">
        <v>45989</v>
      </c>
      <c r="X39" s="742"/>
      <c r="Y39" s="616" t="s">
        <v>335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39"/>
      <c r="J40" s="739"/>
      <c r="K40" s="293"/>
      <c r="L40" s="290">
        <v>4</v>
      </c>
      <c r="M40" s="418" t="s">
        <v>343</v>
      </c>
      <c r="N40" s="400" t="s">
        <v>360</v>
      </c>
      <c r="O40" s="556"/>
      <c r="P40" s="568">
        <v>0.05</v>
      </c>
      <c r="Q40" s="292">
        <v>17829.21</v>
      </c>
      <c r="R40" s="764"/>
      <c r="S40" s="631" t="s">
        <v>355</v>
      </c>
      <c r="T40" s="665">
        <v>45869</v>
      </c>
      <c r="U40" s="658">
        <v>21024.12479429839</v>
      </c>
      <c r="V40" s="761"/>
      <c r="W40" s="532">
        <f>W100</f>
        <v>46003</v>
      </c>
      <c r="X40" s="742"/>
      <c r="Y40" s="616" t="s">
        <v>336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39"/>
      <c r="J41" s="739"/>
      <c r="K41" s="293"/>
      <c r="L41" s="290">
        <v>4</v>
      </c>
      <c r="M41" s="418" t="s">
        <v>343</v>
      </c>
      <c r="N41" s="400" t="s">
        <v>361</v>
      </c>
      <c r="O41" s="699">
        <f>Q41+Q68+Q128</f>
        <v>29121.71</v>
      </c>
      <c r="P41" s="568">
        <v>0.05</v>
      </c>
      <c r="Q41" s="292">
        <v>17829.21</v>
      </c>
      <c r="R41" s="765"/>
      <c r="S41" s="631" t="s">
        <v>355</v>
      </c>
      <c r="T41" s="665">
        <v>45869</v>
      </c>
      <c r="U41" s="658">
        <v>21024.12479429839</v>
      </c>
      <c r="V41" s="761"/>
      <c r="W41" s="578">
        <f>W101</f>
        <v>46085</v>
      </c>
      <c r="X41" s="742"/>
      <c r="Y41" s="619" t="s">
        <v>338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39"/>
      <c r="J42" s="739"/>
      <c r="K42" s="293"/>
      <c r="L42" s="290">
        <v>4</v>
      </c>
      <c r="M42" s="418" t="s">
        <v>343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1"/>
      <c r="W42" s="578"/>
      <c r="X42" s="742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39"/>
      <c r="J43" s="739"/>
      <c r="K43" s="293"/>
      <c r="L43" s="290">
        <v>4</v>
      </c>
      <c r="M43" s="418" t="s">
        <v>343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1"/>
      <c r="W43" s="578"/>
      <c r="X43" s="742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40"/>
      <c r="J44" s="740"/>
      <c r="K44" s="298"/>
      <c r="L44" s="294">
        <v>4</v>
      </c>
      <c r="M44" s="419" t="s">
        <v>343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2"/>
      <c r="W44" s="579"/>
      <c r="X44" s="743"/>
      <c r="Y44" s="474"/>
    </row>
    <row r="45" spans="1:26" ht="14.4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362</v>
      </c>
      <c r="D46" s="319" t="s">
        <v>363</v>
      </c>
      <c r="E46" s="275"/>
      <c r="F46" s="429"/>
      <c r="G46" s="276">
        <f>D182-G47</f>
        <v>34000</v>
      </c>
      <c r="H46" s="534">
        <v>45869</v>
      </c>
      <c r="I46" s="715">
        <f>SUM(G46:G53)</f>
        <v>49000</v>
      </c>
      <c r="J46" s="715">
        <f>F182</f>
        <v>56976.744186046511</v>
      </c>
      <c r="K46" s="277"/>
      <c r="L46" s="273">
        <v>5</v>
      </c>
      <c r="M46" s="414" t="s">
        <v>364</v>
      </c>
      <c r="N46" s="319" t="s">
        <v>365</v>
      </c>
      <c r="O46" s="550"/>
      <c r="P46" s="429"/>
      <c r="Q46" s="276">
        <v>8598.34</v>
      </c>
      <c r="R46" s="596" t="s">
        <v>310</v>
      </c>
      <c r="S46" s="633" t="s">
        <v>311</v>
      </c>
      <c r="T46" s="655">
        <f>T6</f>
        <v>45838</v>
      </c>
      <c r="U46" s="660">
        <v>3373.3923102699632</v>
      </c>
      <c r="V46" s="727">
        <f>J46-SUM(U46:U53)</f>
        <v>2.7633971330942586E-3</v>
      </c>
      <c r="W46" s="534">
        <f>W6</f>
        <v>45900</v>
      </c>
      <c r="X46" s="718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366</v>
      </c>
      <c r="E47" s="443"/>
      <c r="F47" s="444"/>
      <c r="G47" s="307">
        <v>15000</v>
      </c>
      <c r="H47" s="527">
        <f>H46</f>
        <v>45869</v>
      </c>
      <c r="I47" s="716"/>
      <c r="J47" s="716"/>
      <c r="K47" s="280"/>
      <c r="L47" s="278">
        <v>5</v>
      </c>
      <c r="M47" s="420" t="s">
        <v>364</v>
      </c>
      <c r="N47" s="279" t="s">
        <v>367</v>
      </c>
      <c r="O47" s="558"/>
      <c r="P47" s="444"/>
      <c r="Q47" s="307">
        <v>21628</v>
      </c>
      <c r="R47" s="643" t="s">
        <v>368</v>
      </c>
      <c r="S47" s="626" t="s">
        <v>369</v>
      </c>
      <c r="T47" s="655">
        <v>45838</v>
      </c>
      <c r="U47" s="660">
        <v>8485.3272709056364</v>
      </c>
      <c r="V47" s="728"/>
      <c r="W47" s="664">
        <v>45867</v>
      </c>
      <c r="X47" s="719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16"/>
      <c r="J48" s="716"/>
      <c r="K48" s="280"/>
      <c r="L48" s="278">
        <v>5</v>
      </c>
      <c r="M48" s="420" t="s">
        <v>364</v>
      </c>
      <c r="N48" s="305" t="s">
        <v>128</v>
      </c>
      <c r="O48" s="551"/>
      <c r="P48" s="451"/>
      <c r="Q48" s="307">
        <v>11169</v>
      </c>
      <c r="R48" s="589"/>
      <c r="S48" s="626" t="s">
        <v>370</v>
      </c>
      <c r="T48" s="655">
        <v>45869</v>
      </c>
      <c r="U48" s="660">
        <v>44834.550955435981</v>
      </c>
      <c r="V48" s="728"/>
      <c r="W48" s="655">
        <v>45869</v>
      </c>
      <c r="X48" s="719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16"/>
      <c r="J49" s="716"/>
      <c r="K49" s="280"/>
      <c r="L49" s="303">
        <v>5</v>
      </c>
      <c r="M49" s="420" t="s">
        <v>364</v>
      </c>
      <c r="N49" s="305" t="s">
        <v>371</v>
      </c>
      <c r="O49" s="551"/>
      <c r="P49" s="451"/>
      <c r="Q49" s="307">
        <v>206.98</v>
      </c>
      <c r="R49" s="589"/>
      <c r="S49" s="626" t="s">
        <v>372</v>
      </c>
      <c r="T49" s="655">
        <v>45869</v>
      </c>
      <c r="U49" s="660">
        <v>283.47088603779565</v>
      </c>
      <c r="V49" s="728"/>
      <c r="W49" s="527">
        <v>45898</v>
      </c>
      <c r="X49" s="719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16"/>
      <c r="J50" s="716"/>
      <c r="K50" s="280"/>
      <c r="L50" s="303">
        <v>5</v>
      </c>
      <c r="M50" s="420" t="s">
        <v>364</v>
      </c>
      <c r="N50" s="379" t="s">
        <v>373</v>
      </c>
      <c r="O50" s="552"/>
      <c r="P50" s="436"/>
      <c r="Q50" s="378">
        <v>2360</v>
      </c>
      <c r="R50" s="590" t="s">
        <v>374</v>
      </c>
      <c r="S50" s="627" t="s">
        <v>375</v>
      </c>
      <c r="T50" s="666">
        <v>45900</v>
      </c>
      <c r="U50" s="682">
        <v>0</v>
      </c>
      <c r="V50" s="728"/>
      <c r="W50" s="528">
        <v>45930</v>
      </c>
      <c r="X50" s="719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16"/>
      <c r="J51" s="716"/>
      <c r="K51" s="280"/>
      <c r="L51" s="303">
        <v>5</v>
      </c>
      <c r="M51" s="420" t="s">
        <v>364</v>
      </c>
      <c r="N51" s="379" t="s">
        <v>376</v>
      </c>
      <c r="O51" s="552"/>
      <c r="P51" s="436"/>
      <c r="Q51" s="378">
        <v>975</v>
      </c>
      <c r="R51" s="590"/>
      <c r="S51" s="627" t="s">
        <v>377</v>
      </c>
      <c r="T51" s="675">
        <v>45930</v>
      </c>
      <c r="U51" s="683">
        <v>0</v>
      </c>
      <c r="V51" s="728"/>
      <c r="W51" s="692">
        <v>45925</v>
      </c>
      <c r="X51" s="719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16"/>
      <c r="J52" s="716"/>
      <c r="K52" s="280"/>
      <c r="L52" s="375"/>
      <c r="M52" s="420" t="s">
        <v>364</v>
      </c>
      <c r="N52" s="379" t="s">
        <v>378</v>
      </c>
      <c r="O52" s="552"/>
      <c r="P52" s="436"/>
      <c r="Q52" s="378">
        <v>850</v>
      </c>
      <c r="R52" s="590"/>
      <c r="S52" s="627" t="s">
        <v>379</v>
      </c>
      <c r="T52" s="675">
        <v>46022</v>
      </c>
      <c r="U52" s="683"/>
      <c r="V52" s="728"/>
      <c r="W52" s="692">
        <v>46022</v>
      </c>
      <c r="X52" s="719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17"/>
      <c r="J53" s="717"/>
      <c r="K53" s="281"/>
      <c r="L53" s="308">
        <v>5</v>
      </c>
      <c r="M53" s="416" t="s">
        <v>364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29"/>
      <c r="W53" s="575"/>
      <c r="X53" s="720"/>
      <c r="Y53" s="474"/>
    </row>
    <row r="54" spans="1:25" ht="14.4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318</v>
      </c>
      <c r="D55" s="287" t="s">
        <v>380</v>
      </c>
      <c r="E55" s="467"/>
      <c r="F55" s="449"/>
      <c r="G55" s="288">
        <f>D181</f>
        <v>918851.93043478252</v>
      </c>
      <c r="H55" s="531">
        <v>45838</v>
      </c>
      <c r="I55" s="738">
        <f>SUM(G55:G71)</f>
        <v>918851.93043478252</v>
      </c>
      <c r="J55" s="738">
        <f>F181</f>
        <v>1134385.0993022006</v>
      </c>
      <c r="K55" s="289"/>
      <c r="L55" s="285">
        <v>6</v>
      </c>
      <c r="M55" s="423" t="s">
        <v>381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0">
        <f>J55-SUM(U55:U71)</f>
        <v>-2.729443134739995E-3</v>
      </c>
      <c r="W55" s="577"/>
      <c r="X55" s="741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39"/>
      <c r="J56" s="739"/>
      <c r="K56" s="293"/>
      <c r="L56" s="290">
        <v>6</v>
      </c>
      <c r="M56" s="421" t="s">
        <v>381</v>
      </c>
      <c r="N56" s="435" t="s">
        <v>120</v>
      </c>
      <c r="O56" s="556"/>
      <c r="P56" s="445"/>
      <c r="Q56" s="313">
        <v>177868.46</v>
      </c>
      <c r="R56" s="594" t="s">
        <v>382</v>
      </c>
      <c r="S56" s="631" t="s">
        <v>383</v>
      </c>
      <c r="T56" s="665">
        <v>45900</v>
      </c>
      <c r="U56" s="658">
        <v>399377.33147836546</v>
      </c>
      <c r="V56" s="761"/>
      <c r="W56" s="532">
        <v>45930</v>
      </c>
      <c r="X56" s="742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39"/>
      <c r="J57" s="739"/>
      <c r="K57" s="293"/>
      <c r="L57" s="290">
        <v>6</v>
      </c>
      <c r="M57" s="421" t="s">
        <v>381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1"/>
      <c r="W57" s="578"/>
      <c r="X57" s="742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39"/>
      <c r="J58" s="739"/>
      <c r="K58" s="293"/>
      <c r="L58" s="290">
        <v>6</v>
      </c>
      <c r="M58" s="421" t="s">
        <v>381</v>
      </c>
      <c r="N58" s="435" t="s">
        <v>384</v>
      </c>
      <c r="O58" s="567">
        <v>148321.32</v>
      </c>
      <c r="P58" s="651">
        <v>0.5</v>
      </c>
      <c r="Q58" s="313">
        <v>70885.66</v>
      </c>
      <c r="R58" s="763" t="s">
        <v>385</v>
      </c>
      <c r="S58" s="631" t="s">
        <v>386</v>
      </c>
      <c r="T58" s="665">
        <v>45961</v>
      </c>
      <c r="U58" s="693">
        <v>162840.03057415099</v>
      </c>
      <c r="V58" s="761"/>
      <c r="W58" s="532">
        <v>45841</v>
      </c>
      <c r="X58" s="742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39"/>
      <c r="J59" s="739"/>
      <c r="K59" s="293"/>
      <c r="L59" s="290">
        <v>6</v>
      </c>
      <c r="M59" s="421" t="s">
        <v>381</v>
      </c>
      <c r="N59" s="435"/>
      <c r="O59" s="556"/>
      <c r="P59" s="651">
        <v>0.5</v>
      </c>
      <c r="Q59" s="313">
        <v>70885.66</v>
      </c>
      <c r="R59" s="765"/>
      <c r="S59" s="631" t="s">
        <v>387</v>
      </c>
      <c r="T59" s="665">
        <v>45961</v>
      </c>
      <c r="U59" s="693">
        <v>162840.040574151</v>
      </c>
      <c r="V59" s="761"/>
      <c r="W59" s="532">
        <v>45989</v>
      </c>
      <c r="X59" s="742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39"/>
      <c r="J60" s="739"/>
      <c r="K60" s="293"/>
      <c r="L60" s="290">
        <v>6</v>
      </c>
      <c r="M60" s="421" t="s">
        <v>381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1"/>
      <c r="W60" s="578"/>
      <c r="X60" s="742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39"/>
      <c r="J61" s="739"/>
      <c r="K61" s="293"/>
      <c r="L61" s="290">
        <v>6</v>
      </c>
      <c r="M61" s="421" t="s">
        <v>381</v>
      </c>
      <c r="N61" s="400" t="s">
        <v>354</v>
      </c>
      <c r="O61" s="567">
        <f>Z27</f>
        <v>182300</v>
      </c>
      <c r="P61" s="568">
        <v>0.1</v>
      </c>
      <c r="Q61" s="292">
        <f>$O$61*P61</f>
        <v>18230</v>
      </c>
      <c r="R61" s="763"/>
      <c r="S61" s="631" t="s">
        <v>355</v>
      </c>
      <c r="T61" s="665">
        <v>45869</v>
      </c>
      <c r="U61" s="658">
        <v>40932.769940497616</v>
      </c>
      <c r="V61" s="761"/>
      <c r="W61" s="532">
        <f>W93</f>
        <v>45899</v>
      </c>
      <c r="X61" s="742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39"/>
      <c r="J62" s="739"/>
      <c r="K62" s="293"/>
      <c r="L62" s="290">
        <v>6</v>
      </c>
      <c r="M62" s="422" t="s">
        <v>381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764"/>
      <c r="S62" s="631" t="s">
        <v>355</v>
      </c>
      <c r="T62" s="665">
        <v>45869</v>
      </c>
      <c r="U62" s="658">
        <v>61399.154910746416</v>
      </c>
      <c r="V62" s="761"/>
      <c r="W62" s="532">
        <f t="shared" ref="W62" si="4">W94</f>
        <v>45939</v>
      </c>
      <c r="X62" s="742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39"/>
      <c r="J63" s="739"/>
      <c r="K63" s="293"/>
      <c r="L63" s="290">
        <v>6</v>
      </c>
      <c r="M63" s="422" t="s">
        <v>381</v>
      </c>
      <c r="N63" s="400" t="s">
        <v>356</v>
      </c>
      <c r="O63" s="556"/>
      <c r="P63" s="568">
        <v>0.2</v>
      </c>
      <c r="Q63" s="292">
        <f>$O$61*P63</f>
        <v>36460</v>
      </c>
      <c r="R63" s="764"/>
      <c r="S63" s="631" t="s">
        <v>355</v>
      </c>
      <c r="T63" s="665">
        <v>45869</v>
      </c>
      <c r="U63" s="658">
        <v>81865.539880995231</v>
      </c>
      <c r="V63" s="761"/>
      <c r="W63" s="532">
        <v>45974</v>
      </c>
      <c r="X63" s="742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39"/>
      <c r="J64" s="739"/>
      <c r="K64" s="293"/>
      <c r="L64" s="290">
        <v>6</v>
      </c>
      <c r="M64" s="422" t="s">
        <v>381</v>
      </c>
      <c r="N64" s="400" t="s">
        <v>357</v>
      </c>
      <c r="O64" s="556"/>
      <c r="P64" s="568">
        <v>0.25</v>
      </c>
      <c r="Q64" s="292">
        <f>$O$61*P64</f>
        <v>45575</v>
      </c>
      <c r="R64" s="764"/>
      <c r="S64" s="631" t="s">
        <v>355</v>
      </c>
      <c r="T64" s="665">
        <v>45869</v>
      </c>
      <c r="U64" s="658">
        <v>102331.92485124404</v>
      </c>
      <c r="V64" s="761"/>
      <c r="W64" s="678">
        <v>45980</v>
      </c>
      <c r="X64" s="742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39"/>
      <c r="J65" s="739"/>
      <c r="K65" s="293"/>
      <c r="L65" s="290">
        <v>6</v>
      </c>
      <c r="M65" s="422" t="s">
        <v>381</v>
      </c>
      <c r="N65" s="400" t="s">
        <v>358</v>
      </c>
      <c r="O65" s="556"/>
      <c r="P65" s="568">
        <v>0.1</v>
      </c>
      <c r="Q65" s="292">
        <f t="shared" si="3"/>
        <v>18230</v>
      </c>
      <c r="R65" s="764"/>
      <c r="S65" s="631" t="s">
        <v>355</v>
      </c>
      <c r="T65" s="665">
        <v>45869</v>
      </c>
      <c r="U65" s="658">
        <v>40932.769940497616</v>
      </c>
      <c r="V65" s="761"/>
      <c r="W65" s="678">
        <v>45989</v>
      </c>
      <c r="X65" s="742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39"/>
      <c r="J66" s="739"/>
      <c r="K66" s="293"/>
      <c r="L66" s="290">
        <v>6</v>
      </c>
      <c r="M66" s="422" t="s">
        <v>381</v>
      </c>
      <c r="N66" s="400" t="s">
        <v>359</v>
      </c>
      <c r="O66" s="556"/>
      <c r="P66" s="568">
        <v>0.1</v>
      </c>
      <c r="Q66" s="292">
        <f t="shared" si="3"/>
        <v>18230</v>
      </c>
      <c r="R66" s="764"/>
      <c r="S66" s="635" t="s">
        <v>355</v>
      </c>
      <c r="T66" s="665">
        <v>45869</v>
      </c>
      <c r="U66" s="669">
        <v>40932.769940497616</v>
      </c>
      <c r="V66" s="761"/>
      <c r="W66" s="678">
        <v>45989</v>
      </c>
      <c r="X66" s="742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39"/>
      <c r="J67" s="739"/>
      <c r="K67" s="293"/>
      <c r="L67" s="290">
        <v>6</v>
      </c>
      <c r="M67" s="422" t="s">
        <v>381</v>
      </c>
      <c r="N67" s="400" t="s">
        <v>360</v>
      </c>
      <c r="O67" s="556"/>
      <c r="P67" s="568">
        <v>0.05</v>
      </c>
      <c r="Q67" s="292">
        <f t="shared" si="3"/>
        <v>9115</v>
      </c>
      <c r="R67" s="764"/>
      <c r="S67" s="635" t="s">
        <v>355</v>
      </c>
      <c r="T67" s="665">
        <v>45869</v>
      </c>
      <c r="U67" s="669">
        <v>20466.384970248808</v>
      </c>
      <c r="V67" s="761"/>
      <c r="W67" s="532">
        <f>W100</f>
        <v>46003</v>
      </c>
      <c r="X67" s="742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39"/>
      <c r="J68" s="739"/>
      <c r="K68" s="293"/>
      <c r="L68" s="290">
        <v>6</v>
      </c>
      <c r="M68" s="422" t="s">
        <v>381</v>
      </c>
      <c r="N68" s="400" t="s">
        <v>361</v>
      </c>
      <c r="O68" s="556"/>
      <c r="P68" s="568">
        <v>0.05</v>
      </c>
      <c r="Q68" s="292">
        <f t="shared" si="3"/>
        <v>9115</v>
      </c>
      <c r="R68" s="765"/>
      <c r="S68" s="635" t="s">
        <v>355</v>
      </c>
      <c r="T68" s="665">
        <v>45869</v>
      </c>
      <c r="U68" s="669">
        <v>20466.384970248808</v>
      </c>
      <c r="V68" s="761"/>
      <c r="W68" s="578">
        <f>W101</f>
        <v>46085</v>
      </c>
      <c r="X68" s="742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39"/>
      <c r="J69" s="739"/>
      <c r="K69" s="293"/>
      <c r="L69" s="290">
        <v>6</v>
      </c>
      <c r="M69" s="422" t="s">
        <v>381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1"/>
      <c r="W69" s="581"/>
      <c r="X69" s="742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39"/>
      <c r="J70" s="739"/>
      <c r="K70" s="293"/>
      <c r="L70" s="290">
        <v>6</v>
      </c>
      <c r="M70" s="422" t="s">
        <v>381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1"/>
      <c r="W70" s="581"/>
      <c r="X70" s="742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40"/>
      <c r="J71" s="740"/>
      <c r="K71" s="298"/>
      <c r="L71" s="294">
        <v>6</v>
      </c>
      <c r="M71" s="424" t="s">
        <v>381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2"/>
      <c r="W71" s="579"/>
      <c r="X71" s="743"/>
      <c r="Y71" s="474"/>
    </row>
    <row r="72" spans="1:25" ht="14.4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388</v>
      </c>
      <c r="D73" s="373"/>
      <c r="E73" s="454"/>
      <c r="F73" s="460"/>
      <c r="G73" s="374"/>
      <c r="H73" s="538"/>
      <c r="I73" s="715">
        <f>SUM(G73:G80)</f>
        <v>0</v>
      </c>
      <c r="J73" s="715">
        <v>0</v>
      </c>
      <c r="K73" s="277"/>
      <c r="L73" s="372">
        <v>7</v>
      </c>
      <c r="M73" s="301" t="s">
        <v>389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57">
        <f>J73-SUM(U73:U80)</f>
        <v>0</v>
      </c>
      <c r="W73" s="583"/>
      <c r="X73" s="718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16"/>
      <c r="J74" s="716"/>
      <c r="K74" s="280"/>
      <c r="L74" s="375">
        <v>7</v>
      </c>
      <c r="M74" s="376" t="s">
        <v>389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58"/>
      <c r="W74" s="574"/>
      <c r="X74" s="719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16"/>
      <c r="J75" s="716"/>
      <c r="K75" s="280"/>
      <c r="L75" s="375">
        <v>7</v>
      </c>
      <c r="M75" s="376" t="s">
        <v>389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58"/>
      <c r="W75" s="574"/>
      <c r="X75" s="719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16"/>
      <c r="J76" s="716"/>
      <c r="K76" s="280"/>
      <c r="L76" s="375">
        <v>7</v>
      </c>
      <c r="M76" s="376" t="s">
        <v>389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58"/>
      <c r="W76" s="574"/>
      <c r="X76" s="719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16"/>
      <c r="J77" s="716"/>
      <c r="K77" s="280"/>
      <c r="L77" s="375">
        <v>7</v>
      </c>
      <c r="M77" s="376" t="s">
        <v>389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58"/>
      <c r="W77" s="574"/>
      <c r="X77" s="719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16"/>
      <c r="J78" s="716"/>
      <c r="K78" s="280"/>
      <c r="L78" s="375">
        <v>7</v>
      </c>
      <c r="M78" s="376" t="s">
        <v>389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58"/>
      <c r="W78" s="574"/>
      <c r="X78" s="719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16"/>
      <c r="J79" s="716"/>
      <c r="K79" s="280"/>
      <c r="L79" s="375">
        <v>7</v>
      </c>
      <c r="M79" s="376" t="s">
        <v>389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58"/>
      <c r="W79" s="574"/>
      <c r="X79" s="719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17"/>
      <c r="J80" s="717"/>
      <c r="K80" s="281"/>
      <c r="L80" s="308">
        <v>7</v>
      </c>
      <c r="M80" s="329" t="s">
        <v>389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59"/>
      <c r="W80" s="575"/>
      <c r="X80" s="720"/>
      <c r="Y80" s="474"/>
    </row>
    <row r="81" spans="1:25" ht="14.4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390</v>
      </c>
      <c r="D82" s="325"/>
      <c r="E82" s="455"/>
      <c r="F82" s="408"/>
      <c r="G82" s="326"/>
      <c r="H82" s="531"/>
      <c r="I82" s="738">
        <f>SUM(G82:G90)</f>
        <v>260000</v>
      </c>
      <c r="J82" s="738">
        <f>F184+F185</f>
        <v>293798.44961240311</v>
      </c>
      <c r="K82" s="289"/>
      <c r="L82" s="324">
        <v>8</v>
      </c>
      <c r="M82" s="417" t="s">
        <v>391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54">
        <f>J82-SUM(U82:U90)</f>
        <v>0</v>
      </c>
      <c r="W82" s="577"/>
      <c r="X82" s="741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392</v>
      </c>
      <c r="E83" s="407"/>
      <c r="F83" s="453"/>
      <c r="G83" s="316">
        <v>80000</v>
      </c>
      <c r="H83" s="532">
        <v>45869</v>
      </c>
      <c r="I83" s="739"/>
      <c r="J83" s="739"/>
      <c r="K83" s="293"/>
      <c r="L83" s="314">
        <v>8</v>
      </c>
      <c r="M83" s="425" t="s">
        <v>391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55"/>
      <c r="W83" s="578"/>
      <c r="X83" s="742"/>
      <c r="Y83" s="474"/>
    </row>
    <row r="84" spans="1:25" ht="14.25" customHeight="1">
      <c r="B84" s="314">
        <v>8</v>
      </c>
      <c r="C84" s="315"/>
      <c r="D84" s="327" t="s">
        <v>393</v>
      </c>
      <c r="E84" s="407"/>
      <c r="F84" s="453"/>
      <c r="G84" s="316">
        <v>85000</v>
      </c>
      <c r="H84" s="532">
        <v>45869</v>
      </c>
      <c r="I84" s="739"/>
      <c r="J84" s="739"/>
      <c r="K84" s="293"/>
      <c r="L84" s="314">
        <v>8</v>
      </c>
      <c r="M84" s="425" t="s">
        <v>391</v>
      </c>
      <c r="N84" s="327" t="s">
        <v>392</v>
      </c>
      <c r="O84" s="407"/>
      <c r="P84" s="453"/>
      <c r="Q84" s="316">
        <v>82302</v>
      </c>
      <c r="R84" s="594" t="s">
        <v>394</v>
      </c>
      <c r="S84" s="631" t="s">
        <v>395</v>
      </c>
      <c r="T84" s="665">
        <v>45900</v>
      </c>
      <c r="U84" s="658">
        <v>293798.44961240311</v>
      </c>
      <c r="V84" s="755"/>
      <c r="W84" s="532">
        <v>45899</v>
      </c>
      <c r="X84" s="742"/>
      <c r="Y84" s="474"/>
    </row>
    <row r="85" spans="1:25" ht="14.25" customHeight="1">
      <c r="B85" s="314">
        <v>8</v>
      </c>
      <c r="C85" s="315"/>
      <c r="D85" s="327" t="s">
        <v>396</v>
      </c>
      <c r="E85" s="407"/>
      <c r="F85" s="453"/>
      <c r="G85" s="316">
        <v>95000</v>
      </c>
      <c r="H85" s="532">
        <v>45869</v>
      </c>
      <c r="I85" s="739"/>
      <c r="J85" s="739"/>
      <c r="K85" s="293"/>
      <c r="L85" s="314">
        <v>8</v>
      </c>
      <c r="M85" s="425" t="s">
        <v>391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55"/>
      <c r="W85" s="578"/>
      <c r="X85" s="742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39"/>
      <c r="J86" s="739"/>
      <c r="K86" s="293"/>
      <c r="L86" s="314">
        <v>8</v>
      </c>
      <c r="M86" s="425" t="s">
        <v>391</v>
      </c>
      <c r="N86" s="327" t="s">
        <v>397</v>
      </c>
      <c r="O86" s="559"/>
      <c r="P86" s="453"/>
      <c r="Q86" s="316">
        <v>10830</v>
      </c>
      <c r="R86" s="594" t="s">
        <v>398</v>
      </c>
      <c r="S86" s="631" t="s">
        <v>399</v>
      </c>
      <c r="T86" s="665">
        <v>45991</v>
      </c>
      <c r="U86" s="500">
        <v>0</v>
      </c>
      <c r="V86" s="755"/>
      <c r="W86" s="678">
        <v>45980</v>
      </c>
      <c r="X86" s="742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39"/>
      <c r="J87" s="739"/>
      <c r="K87" s="293"/>
      <c r="L87" s="314">
        <v>8</v>
      </c>
      <c r="M87" s="425" t="s">
        <v>391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55"/>
      <c r="W87" s="578"/>
      <c r="X87" s="742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39"/>
      <c r="J88" s="739"/>
      <c r="K88" s="293"/>
      <c r="L88" s="314">
        <v>8</v>
      </c>
      <c r="M88" s="425" t="s">
        <v>391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55"/>
      <c r="W88" s="578"/>
      <c r="X88" s="742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39"/>
      <c r="J89" s="739"/>
      <c r="K89" s="293"/>
      <c r="L89" s="314">
        <v>8</v>
      </c>
      <c r="M89" s="425" t="s">
        <v>391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55"/>
      <c r="W89" s="581"/>
      <c r="X89" s="742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40"/>
      <c r="J90" s="740"/>
      <c r="K90" s="298"/>
      <c r="L90" s="294">
        <v>8</v>
      </c>
      <c r="M90" s="424" t="s">
        <v>391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756"/>
      <c r="W90" s="579"/>
      <c r="X90" s="743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400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401</v>
      </c>
      <c r="D92" s="319" t="s">
        <v>402</v>
      </c>
      <c r="E92" s="306"/>
      <c r="F92" s="429"/>
      <c r="G92" s="621">
        <f>D190</f>
        <v>200080</v>
      </c>
      <c r="H92" s="534">
        <v>45991</v>
      </c>
      <c r="I92" s="744">
        <f>SUM(G92:G104)</f>
        <v>636320</v>
      </c>
      <c r="J92" s="715">
        <f>F190+F191</f>
        <v>707022.22222222225</v>
      </c>
      <c r="K92" s="280"/>
      <c r="L92" s="303">
        <v>9</v>
      </c>
      <c r="M92" s="415" t="s">
        <v>403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27">
        <f>J92-SUM(U92:U104)</f>
        <v>0</v>
      </c>
      <c r="W92" s="580"/>
      <c r="X92" s="747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404</v>
      </c>
      <c r="E93" s="306"/>
      <c r="F93" s="451"/>
      <c r="G93" s="621">
        <f>D191</f>
        <v>436240</v>
      </c>
      <c r="H93" s="527">
        <f>'Project Plan'!E19-7</f>
        <v>45873</v>
      </c>
      <c r="I93" s="745"/>
      <c r="J93" s="716"/>
      <c r="K93" s="280"/>
      <c r="L93" s="303">
        <v>9</v>
      </c>
      <c r="M93" s="415" t="s">
        <v>403</v>
      </c>
      <c r="N93" s="320" t="s">
        <v>354</v>
      </c>
      <c r="O93" s="570">
        <f>Z30+Z29</f>
        <v>840000</v>
      </c>
      <c r="P93" s="571">
        <v>0.1</v>
      </c>
      <c r="Q93" s="307">
        <f>$O$93*P93</f>
        <v>84000</v>
      </c>
      <c r="R93" s="753"/>
      <c r="S93" s="626" t="s">
        <v>355</v>
      </c>
      <c r="T93" s="666">
        <v>45869</v>
      </c>
      <c r="U93" s="657">
        <v>70702.222222222234</v>
      </c>
      <c r="V93" s="728"/>
      <c r="W93" s="527">
        <v>45899</v>
      </c>
      <c r="X93" s="748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45"/>
      <c r="J94" s="716"/>
      <c r="K94" s="280"/>
      <c r="L94" s="375">
        <v>9</v>
      </c>
      <c r="M94" s="493" t="s">
        <v>403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734"/>
      <c r="S94" s="627" t="s">
        <v>355</v>
      </c>
      <c r="T94" s="666">
        <v>45869</v>
      </c>
      <c r="U94" s="657">
        <v>106053.33333333333</v>
      </c>
      <c r="V94" s="728"/>
      <c r="W94" s="528">
        <v>45939</v>
      </c>
      <c r="X94" s="748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45"/>
      <c r="J95" s="716"/>
      <c r="K95" s="280"/>
      <c r="L95" s="375">
        <v>9</v>
      </c>
      <c r="M95" s="493" t="s">
        <v>403</v>
      </c>
      <c r="N95" s="377" t="s">
        <v>356</v>
      </c>
      <c r="O95" s="552"/>
      <c r="P95" s="569">
        <v>0.2</v>
      </c>
      <c r="Q95" s="307">
        <f t="shared" si="7"/>
        <v>168000</v>
      </c>
      <c r="R95" s="734"/>
      <c r="S95" s="627" t="s">
        <v>405</v>
      </c>
      <c r="T95" s="675">
        <v>45991</v>
      </c>
      <c r="U95" s="683">
        <v>141404.44444444447</v>
      </c>
      <c r="V95" s="728"/>
      <c r="W95" s="692">
        <v>45980</v>
      </c>
      <c r="X95" s="748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45"/>
      <c r="J96" s="716"/>
      <c r="K96" s="280"/>
      <c r="L96" s="375">
        <v>9</v>
      </c>
      <c r="M96" s="493" t="s">
        <v>403</v>
      </c>
      <c r="N96" s="377" t="s">
        <v>357</v>
      </c>
      <c r="O96" s="552"/>
      <c r="P96" s="569">
        <v>0.25</v>
      </c>
      <c r="Q96" s="307">
        <v>193200</v>
      </c>
      <c r="R96" s="734"/>
      <c r="S96" s="627" t="s">
        <v>406</v>
      </c>
      <c r="T96" s="675">
        <v>45991</v>
      </c>
      <c r="U96" s="683">
        <v>162615.11111111112</v>
      </c>
      <c r="V96" s="728"/>
      <c r="W96" s="692">
        <v>45980</v>
      </c>
      <c r="X96" s="748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45"/>
      <c r="J97" s="716"/>
      <c r="K97" s="280"/>
      <c r="L97" s="375">
        <v>9</v>
      </c>
      <c r="M97" s="493" t="s">
        <v>403</v>
      </c>
      <c r="N97" s="377" t="s">
        <v>357</v>
      </c>
      <c r="O97" s="552"/>
      <c r="P97" s="569"/>
      <c r="Q97" s="307">
        <f>210000-Q96</f>
        <v>16800</v>
      </c>
      <c r="R97" s="734"/>
      <c r="S97" s="627" t="s">
        <v>406</v>
      </c>
      <c r="T97" s="675">
        <v>45991</v>
      </c>
      <c r="U97" s="683">
        <v>14140.444444444445</v>
      </c>
      <c r="V97" s="728"/>
      <c r="W97" s="692">
        <v>45980</v>
      </c>
      <c r="X97" s="748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45"/>
      <c r="J98" s="716"/>
      <c r="K98" s="280"/>
      <c r="L98" s="375">
        <v>9</v>
      </c>
      <c r="M98" s="493" t="s">
        <v>403</v>
      </c>
      <c r="N98" s="377" t="s">
        <v>358</v>
      </c>
      <c r="O98" s="552"/>
      <c r="P98" s="569">
        <v>0.1</v>
      </c>
      <c r="Q98" s="307">
        <f t="shared" si="7"/>
        <v>84000</v>
      </c>
      <c r="R98" s="734"/>
      <c r="S98" s="627" t="s">
        <v>407</v>
      </c>
      <c r="T98" s="675">
        <v>45991</v>
      </c>
      <c r="U98" s="683">
        <v>70702.222222222234</v>
      </c>
      <c r="V98" s="728"/>
      <c r="W98" s="692">
        <v>45989</v>
      </c>
      <c r="X98" s="748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45"/>
      <c r="J99" s="716"/>
      <c r="K99" s="280"/>
      <c r="L99" s="375">
        <v>9</v>
      </c>
      <c r="M99" s="493" t="s">
        <v>403</v>
      </c>
      <c r="N99" s="377" t="s">
        <v>359</v>
      </c>
      <c r="O99" s="552"/>
      <c r="P99" s="569">
        <v>0.1</v>
      </c>
      <c r="Q99" s="307">
        <f t="shared" si="7"/>
        <v>84000</v>
      </c>
      <c r="R99" s="734"/>
      <c r="S99" s="627" t="s">
        <v>408</v>
      </c>
      <c r="T99" s="675">
        <v>45991</v>
      </c>
      <c r="U99" s="683">
        <v>70702.222222222234</v>
      </c>
      <c r="V99" s="728"/>
      <c r="W99" s="574">
        <v>45988</v>
      </c>
      <c r="X99" s="748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45"/>
      <c r="J100" s="716"/>
      <c r="K100" s="280"/>
      <c r="L100" s="375">
        <v>9</v>
      </c>
      <c r="M100" s="493" t="s">
        <v>403</v>
      </c>
      <c r="N100" s="377" t="s">
        <v>360</v>
      </c>
      <c r="O100" s="552"/>
      <c r="P100" s="569">
        <v>0.05</v>
      </c>
      <c r="Q100" s="307">
        <f t="shared" si="7"/>
        <v>42000</v>
      </c>
      <c r="R100" s="734"/>
      <c r="S100" s="627" t="s">
        <v>409</v>
      </c>
      <c r="T100" s="666">
        <v>46022</v>
      </c>
      <c r="U100" s="683">
        <v>35351.111111111117</v>
      </c>
      <c r="V100" s="728"/>
      <c r="W100" s="528">
        <v>46003</v>
      </c>
      <c r="X100" s="748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45"/>
      <c r="J101" s="716"/>
      <c r="K101" s="280"/>
      <c r="L101" s="375">
        <v>9</v>
      </c>
      <c r="M101" s="493" t="s">
        <v>403</v>
      </c>
      <c r="N101" s="377" t="s">
        <v>361</v>
      </c>
      <c r="O101" s="552"/>
      <c r="P101" s="569">
        <v>0.05</v>
      </c>
      <c r="Q101" s="307">
        <f t="shared" si="7"/>
        <v>42000</v>
      </c>
      <c r="R101" s="735"/>
      <c r="S101" s="627" t="s">
        <v>410</v>
      </c>
      <c r="T101" s="675">
        <v>46053</v>
      </c>
      <c r="U101" s="683">
        <v>35351.111111111117</v>
      </c>
      <c r="V101" s="728"/>
      <c r="W101" s="574">
        <f>'Project Plan'!K52+30</f>
        <v>46085</v>
      </c>
      <c r="X101" s="748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45"/>
      <c r="J102" s="716"/>
      <c r="K102" s="280"/>
      <c r="L102" s="375">
        <v>9</v>
      </c>
      <c r="M102" s="493" t="s">
        <v>403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28"/>
      <c r="W102" s="574"/>
      <c r="X102" s="748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45"/>
      <c r="J103" s="716"/>
      <c r="K103" s="280"/>
      <c r="L103" s="375">
        <v>9</v>
      </c>
      <c r="M103" s="493" t="s">
        <v>403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28"/>
      <c r="W103" s="574"/>
      <c r="X103" s="748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46"/>
      <c r="J104" s="717"/>
      <c r="K104" s="356"/>
      <c r="L104" s="308">
        <v>9</v>
      </c>
      <c r="M104" s="433" t="s">
        <v>403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29"/>
      <c r="W104" s="575"/>
      <c r="X104" s="749"/>
      <c r="Y104" s="474"/>
    </row>
    <row r="105" spans="1:25" ht="14.4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411</v>
      </c>
      <c r="D106" s="262" t="s">
        <v>325</v>
      </c>
      <c r="E106" s="263"/>
      <c r="F106" s="462"/>
      <c r="G106" s="330">
        <f>D194</f>
        <v>8500</v>
      </c>
      <c r="H106" s="541">
        <v>45845</v>
      </c>
      <c r="I106" s="721">
        <f>SUM(G106:G131)</f>
        <v>156487.33333333331</v>
      </c>
      <c r="J106" s="721">
        <f>F194+F197+F198+F196</f>
        <v>173874.8148148148</v>
      </c>
      <c r="K106" s="331"/>
      <c r="L106" s="261">
        <v>10</v>
      </c>
      <c r="M106" s="426" t="s">
        <v>412</v>
      </c>
      <c r="N106" s="262" t="s">
        <v>325</v>
      </c>
      <c r="O106" s="564"/>
      <c r="P106" s="462"/>
      <c r="Q106" s="330">
        <v>12508.5</v>
      </c>
      <c r="R106" s="602"/>
      <c r="S106" s="638" t="s">
        <v>413</v>
      </c>
      <c r="T106" s="656">
        <v>45900</v>
      </c>
      <c r="U106" s="483">
        <v>29556.176989436244</v>
      </c>
      <c r="V106" s="730">
        <f>J106-SUM(U106:U131)</f>
        <v>-3.1713130883872509E-3</v>
      </c>
      <c r="W106" s="541">
        <v>45918</v>
      </c>
      <c r="X106" s="724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326</v>
      </c>
      <c r="E107" s="334"/>
      <c r="F107" s="463"/>
      <c r="G107" s="335">
        <f>D198</f>
        <v>42120.666666666664</v>
      </c>
      <c r="H107" s="542">
        <f>H106</f>
        <v>45845</v>
      </c>
      <c r="I107" s="722"/>
      <c r="J107" s="722"/>
      <c r="K107" s="264"/>
      <c r="L107" s="332">
        <v>10</v>
      </c>
      <c r="M107" s="427" t="s">
        <v>412</v>
      </c>
      <c r="N107" s="333" t="s">
        <v>414</v>
      </c>
      <c r="O107" s="565"/>
      <c r="P107" s="463"/>
      <c r="Q107" s="335">
        <v>6400</v>
      </c>
      <c r="R107" s="603"/>
      <c r="S107" s="639" t="s">
        <v>415</v>
      </c>
      <c r="T107" s="652">
        <v>45838</v>
      </c>
      <c r="U107" s="661">
        <v>9662.1722094874967</v>
      </c>
      <c r="V107" s="731"/>
      <c r="W107" s="542">
        <v>45835</v>
      </c>
      <c r="X107" s="725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22"/>
      <c r="J108" s="722"/>
      <c r="K108" s="264"/>
      <c r="L108" s="332">
        <v>10</v>
      </c>
      <c r="M108" s="427" t="s">
        <v>412</v>
      </c>
      <c r="N108" s="333"/>
      <c r="O108" s="565"/>
      <c r="P108" s="463"/>
      <c r="Q108" s="335">
        <v>100</v>
      </c>
      <c r="R108" s="603"/>
      <c r="S108" s="639" t="s">
        <v>416</v>
      </c>
      <c r="T108" s="652">
        <v>45838</v>
      </c>
      <c r="U108" s="662">
        <v>150.97144077324214</v>
      </c>
      <c r="V108" s="731"/>
      <c r="W108" s="542">
        <v>45876</v>
      </c>
      <c r="X108" s="725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22"/>
      <c r="J109" s="722"/>
      <c r="K109" s="264"/>
      <c r="L109" s="332">
        <v>10</v>
      </c>
      <c r="M109" s="427" t="s">
        <v>412</v>
      </c>
      <c r="N109" s="333"/>
      <c r="O109" s="565"/>
      <c r="P109" s="463"/>
      <c r="Q109" s="335">
        <v>5200</v>
      </c>
      <c r="R109" s="603"/>
      <c r="S109" s="639" t="s">
        <v>417</v>
      </c>
      <c r="T109" s="652">
        <v>45869</v>
      </c>
      <c r="U109" s="662">
        <v>12243.047217833948</v>
      </c>
      <c r="V109" s="731"/>
      <c r="W109" s="542">
        <v>45890</v>
      </c>
      <c r="X109" s="725"/>
      <c r="Y109" s="474"/>
    </row>
    <row r="110" spans="1:25" ht="14.25" customHeight="1">
      <c r="B110" s="332">
        <v>10</v>
      </c>
      <c r="C110" s="333"/>
      <c r="D110" s="333" t="s">
        <v>418</v>
      </c>
      <c r="E110" s="334"/>
      <c r="F110" s="463"/>
      <c r="G110" s="335">
        <f>D197</f>
        <v>96000</v>
      </c>
      <c r="H110" s="542">
        <v>45838</v>
      </c>
      <c r="I110" s="722"/>
      <c r="J110" s="722"/>
      <c r="K110" s="264"/>
      <c r="L110" s="332">
        <v>10</v>
      </c>
      <c r="M110" s="427" t="s">
        <v>412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31"/>
      <c r="W110" s="585"/>
      <c r="X110" s="725"/>
      <c r="Y110" s="474"/>
    </row>
    <row r="111" spans="1:25" ht="14.25" customHeight="1">
      <c r="B111" s="332">
        <v>10</v>
      </c>
      <c r="C111" s="333"/>
      <c r="D111" s="333" t="s">
        <v>327</v>
      </c>
      <c r="E111" s="334"/>
      <c r="F111" s="463"/>
      <c r="G111" s="335">
        <f>D196</f>
        <v>9866.6666666666661</v>
      </c>
      <c r="H111" s="542">
        <f>H110</f>
        <v>45838</v>
      </c>
      <c r="I111" s="722"/>
      <c r="J111" s="722"/>
      <c r="K111" s="264"/>
      <c r="L111" s="332">
        <v>10</v>
      </c>
      <c r="M111" s="427" t="s">
        <v>412</v>
      </c>
      <c r="N111" s="333" t="s">
        <v>419</v>
      </c>
      <c r="O111" s="565"/>
      <c r="P111" s="463"/>
      <c r="Q111" s="335">
        <v>620</v>
      </c>
      <c r="R111" s="603"/>
      <c r="S111" s="639" t="s">
        <v>420</v>
      </c>
      <c r="T111" s="652">
        <v>45869</v>
      </c>
      <c r="U111" s="662">
        <v>1459.7479375109704</v>
      </c>
      <c r="V111" s="731"/>
      <c r="W111" s="542">
        <v>45901</v>
      </c>
      <c r="X111" s="725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22"/>
      <c r="J112" s="722"/>
      <c r="K112" s="264"/>
      <c r="L112" s="332">
        <v>10</v>
      </c>
      <c r="M112" s="427" t="s">
        <v>412</v>
      </c>
      <c r="N112" s="333" t="s">
        <v>421</v>
      </c>
      <c r="O112" s="565"/>
      <c r="P112" s="463"/>
      <c r="Q112" s="335">
        <v>600</v>
      </c>
      <c r="R112" s="604"/>
      <c r="S112" s="640" t="s">
        <v>422</v>
      </c>
      <c r="T112" s="667">
        <v>45900</v>
      </c>
      <c r="U112" s="662">
        <v>11750.695154371066</v>
      </c>
      <c r="V112" s="731"/>
      <c r="W112" s="681">
        <f>T112+30</f>
        <v>45930</v>
      </c>
      <c r="X112" s="725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22"/>
      <c r="J113" s="722"/>
      <c r="K113" s="264"/>
      <c r="L113" s="332">
        <v>10</v>
      </c>
      <c r="M113" s="427" t="s">
        <v>412</v>
      </c>
      <c r="N113" s="333"/>
      <c r="O113" s="565"/>
      <c r="P113" s="463"/>
      <c r="Q113" s="335">
        <v>-5400</v>
      </c>
      <c r="R113" s="604"/>
      <c r="S113" s="640" t="s">
        <v>423</v>
      </c>
      <c r="T113" s="667">
        <v>45900</v>
      </c>
      <c r="U113" s="662">
        <v>0</v>
      </c>
      <c r="V113" s="731"/>
      <c r="W113" s="543">
        <f>T113+30</f>
        <v>45930</v>
      </c>
      <c r="X113" s="725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22"/>
      <c r="J114" s="722"/>
      <c r="K114" s="264"/>
      <c r="L114" s="332">
        <v>10</v>
      </c>
      <c r="M114" s="427" t="s">
        <v>412</v>
      </c>
      <c r="N114" s="333"/>
      <c r="O114" s="565"/>
      <c r="P114" s="463"/>
      <c r="Q114" s="335">
        <v>-6400</v>
      </c>
      <c r="R114" s="604"/>
      <c r="S114" s="640" t="s">
        <v>424</v>
      </c>
      <c r="T114" s="667">
        <v>45900</v>
      </c>
      <c r="U114" s="662">
        <v>0</v>
      </c>
      <c r="V114" s="731"/>
      <c r="W114" s="543">
        <f>T114+30</f>
        <v>45930</v>
      </c>
      <c r="X114" s="725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22"/>
      <c r="J115" s="722"/>
      <c r="K115" s="264"/>
      <c r="L115" s="332">
        <v>10</v>
      </c>
      <c r="M115" s="427" t="s">
        <v>412</v>
      </c>
      <c r="N115" s="333"/>
      <c r="O115" s="565"/>
      <c r="P115" s="463"/>
      <c r="Q115" s="335">
        <v>6600</v>
      </c>
      <c r="R115" s="604"/>
      <c r="S115" s="640" t="s">
        <v>425</v>
      </c>
      <c r="T115" s="667">
        <v>45900</v>
      </c>
      <c r="U115" s="662">
        <v>1642.3651543710653</v>
      </c>
      <c r="V115" s="731"/>
      <c r="W115" s="543">
        <f>T115+30</f>
        <v>45930</v>
      </c>
      <c r="X115" s="725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22"/>
      <c r="J116" s="722"/>
      <c r="K116" s="264"/>
      <c r="L116" s="332">
        <v>10</v>
      </c>
      <c r="M116" s="427" t="s">
        <v>412</v>
      </c>
      <c r="N116" s="333" t="s">
        <v>426</v>
      </c>
      <c r="O116" s="565"/>
      <c r="P116" s="463"/>
      <c r="Q116" s="335">
        <v>620</v>
      </c>
      <c r="R116" s="604"/>
      <c r="S116" s="640" t="s">
        <v>427</v>
      </c>
      <c r="T116" s="667">
        <v>45930</v>
      </c>
      <c r="U116" s="680">
        <v>1589.3856332623213</v>
      </c>
      <c r="V116" s="731"/>
      <c r="W116" s="667">
        <v>45930</v>
      </c>
      <c r="X116" s="725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22"/>
      <c r="J117" s="722"/>
      <c r="K117" s="264"/>
      <c r="L117" s="332">
        <v>10</v>
      </c>
      <c r="M117" s="427" t="s">
        <v>412</v>
      </c>
      <c r="N117" s="333" t="s">
        <v>428</v>
      </c>
      <c r="O117" s="565"/>
      <c r="P117" s="463"/>
      <c r="Q117" s="335">
        <v>600</v>
      </c>
      <c r="R117" s="604"/>
      <c r="S117" s="640" t="s">
        <v>429</v>
      </c>
      <c r="T117" s="679">
        <v>45961</v>
      </c>
      <c r="U117" s="680">
        <v>1694.8657342850747</v>
      </c>
      <c r="V117" s="731"/>
      <c r="W117" s="543">
        <v>45974</v>
      </c>
      <c r="X117" s="725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22"/>
      <c r="J118" s="722"/>
      <c r="K118" s="264"/>
      <c r="L118" s="332">
        <v>10</v>
      </c>
      <c r="M118" s="427" t="s">
        <v>412</v>
      </c>
      <c r="N118" s="333" t="s">
        <v>430</v>
      </c>
      <c r="O118" s="565"/>
      <c r="P118" s="463"/>
      <c r="Q118" s="335">
        <v>620</v>
      </c>
      <c r="R118" s="604"/>
      <c r="S118" s="640" t="s">
        <v>431</v>
      </c>
      <c r="T118" s="667">
        <v>45991</v>
      </c>
      <c r="U118" s="680">
        <v>1589.8700654371692</v>
      </c>
      <c r="V118" s="731"/>
      <c r="W118" s="543">
        <v>45995</v>
      </c>
      <c r="X118" s="725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22"/>
      <c r="J119" s="722"/>
      <c r="K119" s="264"/>
      <c r="L119" s="332">
        <v>10</v>
      </c>
      <c r="M119" s="427" t="s">
        <v>412</v>
      </c>
      <c r="N119" s="333" t="s">
        <v>432</v>
      </c>
      <c r="O119" s="565"/>
      <c r="P119" s="463"/>
      <c r="Q119" s="335">
        <v>620</v>
      </c>
      <c r="R119" s="604"/>
      <c r="S119" s="640" t="s">
        <v>433</v>
      </c>
      <c r="T119" s="667">
        <v>46022</v>
      </c>
      <c r="U119" s="680">
        <v>0</v>
      </c>
      <c r="V119" s="731"/>
      <c r="W119" s="681">
        <v>46031</v>
      </c>
      <c r="X119" s="725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22"/>
      <c r="J120" s="722"/>
      <c r="K120" s="264"/>
      <c r="L120" s="332">
        <v>10</v>
      </c>
      <c r="M120" s="427" t="s">
        <v>412</v>
      </c>
      <c r="N120" s="333" t="s">
        <v>434</v>
      </c>
      <c r="O120" s="565"/>
      <c r="P120" s="463"/>
      <c r="Q120" s="335">
        <v>560</v>
      </c>
      <c r="R120" s="604"/>
      <c r="S120" s="640" t="s">
        <v>435</v>
      </c>
      <c r="T120" s="667">
        <v>46053</v>
      </c>
      <c r="U120" s="680">
        <v>0</v>
      </c>
      <c r="V120" s="731"/>
      <c r="W120" s="543">
        <v>46058</v>
      </c>
      <c r="X120" s="725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22"/>
      <c r="J121" s="722"/>
      <c r="K121" s="264"/>
      <c r="L121" s="332">
        <v>10</v>
      </c>
      <c r="M121" s="427" t="s">
        <v>412</v>
      </c>
      <c r="N121" s="333" t="s">
        <v>354</v>
      </c>
      <c r="O121" s="620">
        <f>SUM(Z31:Z37)</f>
        <v>43550</v>
      </c>
      <c r="P121" s="572">
        <v>0.1</v>
      </c>
      <c r="Q121" s="335">
        <v>4355</v>
      </c>
      <c r="R121" s="750"/>
      <c r="S121" s="645" t="s">
        <v>355</v>
      </c>
      <c r="T121" s="667">
        <v>45869</v>
      </c>
      <c r="U121" s="662">
        <v>10253.55204493593</v>
      </c>
      <c r="V121" s="731"/>
      <c r="W121" s="543">
        <f>W93</f>
        <v>45899</v>
      </c>
      <c r="X121" s="725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22"/>
      <c r="J122" s="722"/>
      <c r="K122" s="264"/>
      <c r="L122" s="332">
        <v>10</v>
      </c>
      <c r="M122" s="427" t="s">
        <v>412</v>
      </c>
      <c r="N122" s="333" t="s">
        <v>159</v>
      </c>
      <c r="O122" s="565"/>
      <c r="P122" s="572">
        <v>0.15</v>
      </c>
      <c r="Q122" s="335">
        <v>6532.5</v>
      </c>
      <c r="R122" s="751"/>
      <c r="S122" s="645" t="s">
        <v>355</v>
      </c>
      <c r="T122" s="667">
        <v>45869</v>
      </c>
      <c r="U122" s="662">
        <v>15380.328067403894</v>
      </c>
      <c r="V122" s="731"/>
      <c r="W122" s="543">
        <f>W94</f>
        <v>45939</v>
      </c>
      <c r="X122" s="725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22"/>
      <c r="J123" s="722"/>
      <c r="K123" s="264"/>
      <c r="L123" s="332">
        <v>10</v>
      </c>
      <c r="M123" s="427" t="s">
        <v>412</v>
      </c>
      <c r="N123" s="333" t="s">
        <v>356</v>
      </c>
      <c r="O123" s="565"/>
      <c r="P123" s="572">
        <v>0.2</v>
      </c>
      <c r="Q123" s="335">
        <f t="shared" ref="Q123:Q126" si="9">$O$121*P123</f>
        <v>8710</v>
      </c>
      <c r="R123" s="751"/>
      <c r="S123" s="640" t="s">
        <v>355</v>
      </c>
      <c r="T123" s="667">
        <v>45869</v>
      </c>
      <c r="U123" s="662">
        <v>20507.10408987186</v>
      </c>
      <c r="V123" s="731"/>
      <c r="W123" s="543">
        <v>45974</v>
      </c>
      <c r="X123" s="725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22"/>
      <c r="J124" s="722"/>
      <c r="K124" s="264"/>
      <c r="L124" s="332">
        <v>10</v>
      </c>
      <c r="M124" s="427" t="s">
        <v>412</v>
      </c>
      <c r="N124" s="333" t="s">
        <v>357</v>
      </c>
      <c r="O124" s="565"/>
      <c r="P124" s="572">
        <v>0.25</v>
      </c>
      <c r="Q124" s="335">
        <v>10887.5</v>
      </c>
      <c r="R124" s="751"/>
      <c r="S124" s="640" t="s">
        <v>355</v>
      </c>
      <c r="T124" s="667">
        <v>45869</v>
      </c>
      <c r="U124" s="662">
        <v>25633.880112339826</v>
      </c>
      <c r="V124" s="731"/>
      <c r="W124" s="681">
        <v>45980</v>
      </c>
      <c r="X124" s="725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22"/>
      <c r="J125" s="722"/>
      <c r="K125" s="264"/>
      <c r="L125" s="332">
        <v>10</v>
      </c>
      <c r="M125" s="427" t="s">
        <v>412</v>
      </c>
      <c r="N125" s="333" t="s">
        <v>358</v>
      </c>
      <c r="O125" s="565"/>
      <c r="P125" s="572">
        <v>0.1</v>
      </c>
      <c r="Q125" s="335">
        <f t="shared" si="9"/>
        <v>4355</v>
      </c>
      <c r="R125" s="751"/>
      <c r="S125" s="640" t="s">
        <v>355</v>
      </c>
      <c r="T125" s="667">
        <v>45869</v>
      </c>
      <c r="U125" s="662">
        <v>10253.55204493593</v>
      </c>
      <c r="V125" s="731"/>
      <c r="W125" s="681">
        <v>45989</v>
      </c>
      <c r="X125" s="725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22"/>
      <c r="J126" s="722"/>
      <c r="K126" s="264"/>
      <c r="L126" s="332">
        <v>10</v>
      </c>
      <c r="M126" s="427" t="s">
        <v>412</v>
      </c>
      <c r="N126" s="333" t="s">
        <v>359</v>
      </c>
      <c r="O126" s="565"/>
      <c r="P126" s="572">
        <v>0.1</v>
      </c>
      <c r="Q126" s="335">
        <f t="shared" si="9"/>
        <v>4355</v>
      </c>
      <c r="R126" s="751"/>
      <c r="S126" s="640" t="s">
        <v>355</v>
      </c>
      <c r="T126" s="667">
        <v>45869</v>
      </c>
      <c r="U126" s="662">
        <v>10253.55204493593</v>
      </c>
      <c r="V126" s="731"/>
      <c r="W126" s="681">
        <v>45989</v>
      </c>
      <c r="X126" s="725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22"/>
      <c r="J127" s="722"/>
      <c r="K127" s="264"/>
      <c r="L127" s="332">
        <v>10</v>
      </c>
      <c r="M127" s="427" t="s">
        <v>412</v>
      </c>
      <c r="N127" s="333" t="s">
        <v>360</v>
      </c>
      <c r="O127" s="565"/>
      <c r="P127" s="572">
        <v>0.05</v>
      </c>
      <c r="Q127" s="335">
        <v>2177.5</v>
      </c>
      <c r="R127" s="751"/>
      <c r="S127" s="640" t="s">
        <v>355</v>
      </c>
      <c r="T127" s="667">
        <v>45869</v>
      </c>
      <c r="U127" s="662">
        <v>5126.776022467965</v>
      </c>
      <c r="V127" s="731"/>
      <c r="W127" s="543">
        <f>W100</f>
        <v>46003</v>
      </c>
      <c r="X127" s="725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22"/>
      <c r="J128" s="722"/>
      <c r="K128" s="264"/>
      <c r="L128" s="332">
        <v>10</v>
      </c>
      <c r="M128" s="427" t="s">
        <v>412</v>
      </c>
      <c r="N128" s="333" t="s">
        <v>361</v>
      </c>
      <c r="O128" s="565"/>
      <c r="P128" s="572">
        <v>0.05</v>
      </c>
      <c r="Q128" s="335">
        <v>2177.5</v>
      </c>
      <c r="R128" s="752"/>
      <c r="S128" s="640" t="s">
        <v>355</v>
      </c>
      <c r="T128" s="667">
        <v>45869</v>
      </c>
      <c r="U128" s="662">
        <v>5126.776022467965</v>
      </c>
      <c r="V128" s="731"/>
      <c r="W128" s="586">
        <f>W101</f>
        <v>46085</v>
      </c>
      <c r="X128" s="725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22"/>
      <c r="J129" s="722"/>
      <c r="K129" s="264"/>
      <c r="L129" s="332">
        <v>10</v>
      </c>
      <c r="M129" s="427" t="s">
        <v>412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31"/>
      <c r="W129" s="586"/>
      <c r="X129" s="725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22"/>
      <c r="J130" s="722"/>
      <c r="K130" s="264"/>
      <c r="L130" s="332">
        <v>10</v>
      </c>
      <c r="M130" s="427" t="s">
        <v>412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31"/>
      <c r="W130" s="586"/>
      <c r="X130" s="725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23"/>
      <c r="J131" s="723"/>
      <c r="K131" s="267"/>
      <c r="L131" s="265">
        <v>10</v>
      </c>
      <c r="M131" s="428" t="s">
        <v>412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32"/>
      <c r="W131" s="587"/>
      <c r="X131" s="726"/>
      <c r="Y131" s="474"/>
    </row>
    <row r="132" spans="1:25" ht="14.4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436</v>
      </c>
      <c r="D133" s="343" t="s">
        <v>437</v>
      </c>
      <c r="E133" s="275"/>
      <c r="F133" s="429"/>
      <c r="G133" s="276">
        <v>20008.000000000004</v>
      </c>
      <c r="H133" s="534">
        <v>45894</v>
      </c>
      <c r="I133" s="715">
        <f>SUM(G133:G137)</f>
        <v>290024</v>
      </c>
      <c r="J133" s="715">
        <f>F193</f>
        <v>322248.88888888888</v>
      </c>
      <c r="K133" s="277"/>
      <c r="L133" s="273">
        <v>11</v>
      </c>
      <c r="M133" s="343" t="s">
        <v>438</v>
      </c>
      <c r="N133" s="343" t="s">
        <v>437</v>
      </c>
      <c r="O133" s="275"/>
      <c r="P133" s="429"/>
      <c r="Q133" s="276">
        <v>12250</v>
      </c>
      <c r="R133" s="596"/>
      <c r="S133" s="633" t="s">
        <v>439</v>
      </c>
      <c r="T133" s="663">
        <v>46022</v>
      </c>
      <c r="U133" s="706">
        <v>282226.89760821866</v>
      </c>
      <c r="V133" s="727">
        <f>J133-SUM(U133:U137)</f>
        <v>1.4194645336829126E-3</v>
      </c>
      <c r="W133" s="534">
        <v>46045</v>
      </c>
      <c r="X133" s="718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440</v>
      </c>
      <c r="E134" s="306"/>
      <c r="F134" s="451"/>
      <c r="G134" s="307">
        <v>40016.000000000007</v>
      </c>
      <c r="H134" s="534">
        <v>45894</v>
      </c>
      <c r="I134" s="716"/>
      <c r="J134" s="716"/>
      <c r="K134" s="280"/>
      <c r="L134" s="303">
        <v>11</v>
      </c>
      <c r="M134" s="381" t="s">
        <v>438</v>
      </c>
      <c r="N134" s="305" t="s">
        <v>440</v>
      </c>
      <c r="O134" s="306"/>
      <c r="P134" s="451"/>
      <c r="Q134" s="307">
        <v>7500</v>
      </c>
      <c r="R134" s="643"/>
      <c r="S134" s="626" t="s">
        <v>441</v>
      </c>
      <c r="T134" s="655">
        <v>45869</v>
      </c>
      <c r="U134" s="657">
        <v>13028.368947251152</v>
      </c>
      <c r="V134" s="728"/>
      <c r="W134" s="527">
        <v>45899</v>
      </c>
      <c r="X134" s="719"/>
      <c r="Y134" s="474"/>
    </row>
    <row r="135" spans="1:25" ht="15" customHeight="1">
      <c r="B135" s="303">
        <v>11</v>
      </c>
      <c r="C135" s="305"/>
      <c r="D135" s="305" t="s">
        <v>442</v>
      </c>
      <c r="E135" s="306"/>
      <c r="F135" s="451"/>
      <c r="G135" s="307">
        <v>150000</v>
      </c>
      <c r="H135" s="534">
        <v>45894</v>
      </c>
      <c r="I135" s="716"/>
      <c r="J135" s="716"/>
      <c r="K135" s="280"/>
      <c r="L135" s="303">
        <v>11</v>
      </c>
      <c r="M135" s="381" t="s">
        <v>438</v>
      </c>
      <c r="N135" s="305" t="s">
        <v>442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28"/>
      <c r="W135" s="573"/>
      <c r="X135" s="719"/>
      <c r="Y135" s="474"/>
    </row>
    <row r="136" spans="1:25" ht="15" customHeight="1">
      <c r="B136" s="303">
        <v>11</v>
      </c>
      <c r="C136" s="379"/>
      <c r="D136" s="379" t="s">
        <v>443</v>
      </c>
      <c r="E136" s="398"/>
      <c r="F136" s="436"/>
      <c r="G136" s="378">
        <v>80000</v>
      </c>
      <c r="H136" s="528">
        <v>45894</v>
      </c>
      <c r="I136" s="716"/>
      <c r="J136" s="716"/>
      <c r="K136" s="280"/>
      <c r="L136" s="303">
        <v>11</v>
      </c>
      <c r="M136" s="381" t="s">
        <v>438</v>
      </c>
      <c r="N136" s="379" t="s">
        <v>444</v>
      </c>
      <c r="O136" s="398"/>
      <c r="P136" s="436"/>
      <c r="Q136" s="378">
        <v>8100</v>
      </c>
      <c r="R136" s="590" t="s">
        <v>445</v>
      </c>
      <c r="S136" s="627" t="s">
        <v>446</v>
      </c>
      <c r="T136" s="666">
        <v>45991</v>
      </c>
      <c r="U136" s="683">
        <v>26993.620913954528</v>
      </c>
      <c r="V136" s="728"/>
      <c r="W136" s="692">
        <v>46009</v>
      </c>
      <c r="X136" s="719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17"/>
      <c r="J137" s="717"/>
      <c r="K137" s="281"/>
      <c r="L137" s="308">
        <v>11</v>
      </c>
      <c r="M137" s="411" t="s">
        <v>438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29"/>
      <c r="W137" s="575"/>
      <c r="X137" s="720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447</v>
      </c>
      <c r="D139" s="262"/>
      <c r="E139" s="263"/>
      <c r="F139" s="462"/>
      <c r="G139" s="330"/>
      <c r="H139" s="541"/>
      <c r="I139" s="721">
        <f>SUM(G139:G140)</f>
        <v>0</v>
      </c>
      <c r="J139" s="721">
        <v>0</v>
      </c>
      <c r="K139" s="736"/>
      <c r="L139" s="261">
        <v>12</v>
      </c>
      <c r="M139" s="262" t="s">
        <v>448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24">
        <f>SUM(Q139:Q140)</f>
        <v>0</v>
      </c>
      <c r="Y139" s="474"/>
    </row>
    <row r="140" spans="1:25" ht="15" customHeight="1" thickBot="1">
      <c r="B140" s="265">
        <v>12</v>
      </c>
      <c r="C140" s="336" t="s">
        <v>447</v>
      </c>
      <c r="D140" s="336"/>
      <c r="E140" s="337"/>
      <c r="F140" s="464"/>
      <c r="G140" s="266"/>
      <c r="H140" s="544"/>
      <c r="I140" s="723"/>
      <c r="J140" s="723"/>
      <c r="K140" s="737"/>
      <c r="L140" s="265">
        <v>12</v>
      </c>
      <c r="M140" s="336" t="s">
        <v>448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26"/>
      <c r="Y140" s="474"/>
    </row>
    <row r="141" spans="1:25" ht="14.4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449</v>
      </c>
      <c r="D142" s="343" t="s">
        <v>450</v>
      </c>
      <c r="E142" s="275"/>
      <c r="F142" s="429"/>
      <c r="G142" s="276">
        <v>64103.950297101452</v>
      </c>
      <c r="H142" s="534">
        <v>45900</v>
      </c>
      <c r="I142" s="715">
        <f>SUM(G142:G146)</f>
        <v>64103.950297101452</v>
      </c>
      <c r="J142" s="715">
        <f>F192</f>
        <v>72845.39806488801</v>
      </c>
      <c r="K142" s="277"/>
      <c r="L142" s="273">
        <v>13</v>
      </c>
      <c r="M142" s="343" t="s">
        <v>451</v>
      </c>
      <c r="N142" s="343" t="s">
        <v>452</v>
      </c>
      <c r="O142" s="550"/>
      <c r="P142" s="429"/>
      <c r="Q142" s="276">
        <f>'Project Plan'!$E$6*1.25%</f>
        <v>79441.873960413388</v>
      </c>
      <c r="R142" s="596"/>
      <c r="S142" s="633" t="s">
        <v>544</v>
      </c>
      <c r="T142" s="663">
        <v>46081</v>
      </c>
      <c r="U142" s="503">
        <f t="shared" ref="U142:U147" si="11">(Q142/$X$142*$J$142)</f>
        <v>72845.39806488801</v>
      </c>
      <c r="V142" s="727">
        <f>J142-SUM(U142:U147)</f>
        <v>0</v>
      </c>
      <c r="W142" s="580">
        <v>46112</v>
      </c>
      <c r="X142" s="718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16"/>
      <c r="J143" s="716"/>
      <c r="K143" s="280"/>
      <c r="L143" s="303">
        <v>13</v>
      </c>
      <c r="M143" s="381" t="s">
        <v>451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28"/>
      <c r="W143" s="573"/>
      <c r="X143" s="719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16"/>
      <c r="J144" s="716"/>
      <c r="K144" s="280"/>
      <c r="L144" s="303">
        <v>13</v>
      </c>
      <c r="M144" s="381" t="s">
        <v>451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28"/>
      <c r="W144" s="573"/>
      <c r="X144" s="719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16"/>
      <c r="J145" s="716"/>
      <c r="K145" s="280"/>
      <c r="L145" s="303">
        <v>13</v>
      </c>
      <c r="M145" s="381" t="s">
        <v>451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28"/>
      <c r="W145" s="573"/>
      <c r="X145" s="719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16"/>
      <c r="J146" s="716"/>
      <c r="K146" s="280"/>
      <c r="L146" s="303">
        <v>13</v>
      </c>
      <c r="M146" s="381" t="s">
        <v>451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28"/>
      <c r="W146" s="573"/>
      <c r="X146" s="719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17"/>
      <c r="J147" s="717"/>
      <c r="K147" s="356"/>
      <c r="L147" s="308">
        <v>13</v>
      </c>
      <c r="M147" s="411" t="s">
        <v>451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29"/>
      <c r="W147" s="575"/>
      <c r="X147" s="720"/>
      <c r="Y147" s="474"/>
    </row>
    <row r="148" spans="1:25" ht="14.4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453</v>
      </c>
      <c r="D149" s="262" t="s">
        <v>454</v>
      </c>
      <c r="E149" s="263"/>
      <c r="F149" s="462"/>
      <c r="G149" s="330">
        <f>D203</f>
        <v>14000</v>
      </c>
      <c r="H149" s="541">
        <v>45838</v>
      </c>
      <c r="I149" s="721">
        <f>SUM(G149:G160)</f>
        <v>14000</v>
      </c>
      <c r="J149" s="721">
        <f>F203</f>
        <v>15555.555555555555</v>
      </c>
      <c r="K149" s="331"/>
      <c r="L149" s="261">
        <v>14</v>
      </c>
      <c r="M149" s="426" t="s">
        <v>455</v>
      </c>
      <c r="N149" s="262" t="s">
        <v>456</v>
      </c>
      <c r="O149" s="564"/>
      <c r="P149" s="462"/>
      <c r="Q149" s="330">
        <v>864.48</v>
      </c>
      <c r="R149" s="602"/>
      <c r="S149" s="644" t="s">
        <v>457</v>
      </c>
      <c r="T149" s="656">
        <v>45838</v>
      </c>
      <c r="U149" s="483">
        <v>1709.8990227792133</v>
      </c>
      <c r="V149" s="730">
        <f>J149-SUM(U149:U160)</f>
        <v>-4.9699080955178943E-3</v>
      </c>
      <c r="W149" s="543">
        <v>45842</v>
      </c>
      <c r="X149" s="724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22"/>
      <c r="J150" s="722"/>
      <c r="K150" s="264"/>
      <c r="L150" s="332">
        <v>14</v>
      </c>
      <c r="M150" s="427" t="s">
        <v>455</v>
      </c>
      <c r="N150" s="333" t="s">
        <v>456</v>
      </c>
      <c r="O150" s="565"/>
      <c r="P150" s="463"/>
      <c r="Q150" s="335">
        <v>309.36</v>
      </c>
      <c r="R150" s="604"/>
      <c r="S150" s="644" t="s">
        <v>457</v>
      </c>
      <c r="T150" s="667">
        <v>45869</v>
      </c>
      <c r="U150" s="662">
        <v>4043.2985013317202</v>
      </c>
      <c r="V150" s="731"/>
      <c r="W150" s="543">
        <v>45876</v>
      </c>
      <c r="X150" s="725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22"/>
      <c r="J151" s="722"/>
      <c r="K151" s="264"/>
      <c r="L151" s="332">
        <v>14</v>
      </c>
      <c r="M151" s="427" t="s">
        <v>455</v>
      </c>
      <c r="N151" s="333" t="s">
        <v>456</v>
      </c>
      <c r="O151" s="565"/>
      <c r="P151" s="463"/>
      <c r="Q151" s="335">
        <v>171.36</v>
      </c>
      <c r="R151" s="604"/>
      <c r="S151" s="644" t="s">
        <v>457</v>
      </c>
      <c r="T151" s="667">
        <v>45900</v>
      </c>
      <c r="U151" s="662">
        <v>936.88</v>
      </c>
      <c r="V151" s="731"/>
      <c r="W151" s="543">
        <v>45905</v>
      </c>
      <c r="X151" s="725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22"/>
      <c r="J152" s="722"/>
      <c r="K152" s="264"/>
      <c r="L152" s="332">
        <v>14</v>
      </c>
      <c r="M152" s="427" t="s">
        <v>455</v>
      </c>
      <c r="N152" s="333" t="s">
        <v>456</v>
      </c>
      <c r="O152" s="565"/>
      <c r="P152" s="463"/>
      <c r="Q152" s="335">
        <v>0</v>
      </c>
      <c r="R152" s="604"/>
      <c r="S152" s="644" t="s">
        <v>457</v>
      </c>
      <c r="T152" s="679">
        <v>45930</v>
      </c>
      <c r="U152" s="680">
        <v>0</v>
      </c>
      <c r="V152" s="731"/>
      <c r="W152" s="681">
        <v>45930</v>
      </c>
      <c r="X152" s="725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22"/>
      <c r="J153" s="722"/>
      <c r="K153" s="264"/>
      <c r="L153" s="332">
        <v>14</v>
      </c>
      <c r="M153" s="427" t="s">
        <v>455</v>
      </c>
      <c r="N153" s="333" t="s">
        <v>456</v>
      </c>
      <c r="O153" s="565"/>
      <c r="P153" s="463"/>
      <c r="Q153" s="335">
        <v>0</v>
      </c>
      <c r="R153" s="604"/>
      <c r="S153" s="644" t="s">
        <v>457</v>
      </c>
      <c r="T153" s="679">
        <v>45961</v>
      </c>
      <c r="U153" s="680">
        <v>0</v>
      </c>
      <c r="V153" s="731"/>
      <c r="W153" s="681">
        <v>45961</v>
      </c>
      <c r="X153" s="725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22"/>
      <c r="J154" s="722"/>
      <c r="K154" s="264"/>
      <c r="L154" s="332">
        <v>14</v>
      </c>
      <c r="M154" s="427" t="s">
        <v>455</v>
      </c>
      <c r="N154" s="333" t="s">
        <v>456</v>
      </c>
      <c r="O154" s="565"/>
      <c r="P154" s="463"/>
      <c r="Q154" s="335">
        <v>723.52</v>
      </c>
      <c r="R154" s="604"/>
      <c r="S154" s="644" t="s">
        <v>457</v>
      </c>
      <c r="T154" s="679">
        <v>45991</v>
      </c>
      <c r="U154" s="680">
        <v>3667.5733059893223</v>
      </c>
      <c r="V154" s="731"/>
      <c r="W154" s="681">
        <v>45996</v>
      </c>
      <c r="X154" s="725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22"/>
      <c r="J155" s="722"/>
      <c r="K155" s="264"/>
      <c r="L155" s="332">
        <v>14</v>
      </c>
      <c r="M155" s="427" t="s">
        <v>455</v>
      </c>
      <c r="N155" s="333" t="s">
        <v>456</v>
      </c>
      <c r="O155" s="565"/>
      <c r="P155" s="463"/>
      <c r="Q155" s="335">
        <v>0</v>
      </c>
      <c r="R155" s="604"/>
      <c r="S155" s="644" t="s">
        <v>457</v>
      </c>
      <c r="T155" s="679">
        <v>46022</v>
      </c>
      <c r="U155" s="680">
        <v>0</v>
      </c>
      <c r="V155" s="731"/>
      <c r="W155" s="681">
        <v>46031</v>
      </c>
      <c r="X155" s="725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22"/>
      <c r="J156" s="722"/>
      <c r="K156" s="264"/>
      <c r="L156" s="332">
        <v>14</v>
      </c>
      <c r="M156" s="427" t="s">
        <v>455</v>
      </c>
      <c r="N156" s="333" t="s">
        <v>456</v>
      </c>
      <c r="O156" s="565"/>
      <c r="P156" s="463"/>
      <c r="Q156" s="335">
        <v>0</v>
      </c>
      <c r="R156" s="604"/>
      <c r="S156" s="644" t="s">
        <v>457</v>
      </c>
      <c r="T156" s="679">
        <v>46053</v>
      </c>
      <c r="U156" s="680">
        <v>0</v>
      </c>
      <c r="V156" s="731"/>
      <c r="W156" s="681">
        <f>T156+7</f>
        <v>46060</v>
      </c>
      <c r="X156" s="725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22"/>
      <c r="J157" s="722"/>
      <c r="K157" s="264"/>
      <c r="L157" s="332">
        <v>14</v>
      </c>
      <c r="M157" s="427" t="s">
        <v>455</v>
      </c>
      <c r="N157" s="333" t="s">
        <v>456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31"/>
      <c r="W157" s="586">
        <f t="shared" ref="W157:W158" si="12">T157+7</f>
        <v>46088</v>
      </c>
      <c r="X157" s="725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22"/>
      <c r="J158" s="722"/>
      <c r="K158" s="264"/>
      <c r="L158" s="332">
        <v>14</v>
      </c>
      <c r="M158" s="427" t="s">
        <v>455</v>
      </c>
      <c r="N158" s="333" t="s">
        <v>456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31"/>
      <c r="W158" s="586">
        <f t="shared" si="12"/>
        <v>46119</v>
      </c>
      <c r="X158" s="725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22"/>
      <c r="J159" s="722"/>
      <c r="K159" s="264"/>
      <c r="L159" s="332">
        <v>14</v>
      </c>
      <c r="M159" s="427" t="s">
        <v>455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31"/>
      <c r="W159" s="586"/>
      <c r="X159" s="725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23"/>
      <c r="J160" s="723"/>
      <c r="K160" s="267"/>
      <c r="L160" s="265">
        <v>14</v>
      </c>
      <c r="M160" s="428" t="s">
        <v>455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32"/>
      <c r="W160" s="587"/>
      <c r="X160" s="726"/>
      <c r="Y160" s="474"/>
    </row>
    <row r="161" spans="1:25" ht="14.4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458</v>
      </c>
      <c r="D162" s="274"/>
      <c r="E162" s="275"/>
      <c r="F162" s="429"/>
      <c r="G162" s="276"/>
      <c r="H162" s="534"/>
      <c r="I162" s="715">
        <f>SUM(G162:G175)</f>
        <v>0</v>
      </c>
      <c r="J162" s="715">
        <f>F200</f>
        <v>0</v>
      </c>
      <c r="K162" s="277"/>
      <c r="L162" s="713">
        <v>15</v>
      </c>
      <c r="M162" s="714" t="s">
        <v>459</v>
      </c>
      <c r="N162" s="274" t="s">
        <v>460</v>
      </c>
      <c r="O162" s="698">
        <v>0.5</v>
      </c>
      <c r="P162" s="429">
        <v>30584.07</v>
      </c>
      <c r="Q162" s="276">
        <v>15292.07</v>
      </c>
      <c r="R162" s="733" t="s">
        <v>461</v>
      </c>
      <c r="S162" s="633" t="s">
        <v>462</v>
      </c>
      <c r="T162" s="663">
        <v>46022</v>
      </c>
      <c r="U162" s="503"/>
      <c r="V162" s="727">
        <v>0</v>
      </c>
      <c r="W162" s="700">
        <v>46015</v>
      </c>
      <c r="X162" s="718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16"/>
      <c r="J163" s="716"/>
      <c r="K163" s="280"/>
      <c r="L163" s="278">
        <v>15</v>
      </c>
      <c r="M163" s="711" t="s">
        <v>459</v>
      </c>
      <c r="N163" s="279"/>
      <c r="O163" s="712"/>
      <c r="P163" s="444"/>
      <c r="Q163" s="710">
        <f>-Q162</f>
        <v>-15292.07</v>
      </c>
      <c r="R163" s="734"/>
      <c r="S163" s="633" t="s">
        <v>462</v>
      </c>
      <c r="T163" s="663">
        <v>46053</v>
      </c>
      <c r="U163" s="503"/>
      <c r="V163" s="728"/>
      <c r="W163" s="700">
        <v>46053</v>
      </c>
      <c r="X163" s="719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16"/>
      <c r="J164" s="716"/>
      <c r="K164" s="280"/>
      <c r="L164" s="278">
        <v>15</v>
      </c>
      <c r="M164" s="711" t="s">
        <v>459</v>
      </c>
      <c r="N164" s="279"/>
      <c r="O164" s="712"/>
      <c r="P164" s="444"/>
      <c r="Q164" s="710">
        <v>15292.04</v>
      </c>
      <c r="R164" s="734"/>
      <c r="S164" s="633" t="s">
        <v>462</v>
      </c>
      <c r="T164" s="663">
        <v>46053</v>
      </c>
      <c r="U164" s="503"/>
      <c r="V164" s="728"/>
      <c r="W164" s="700">
        <v>46053</v>
      </c>
      <c r="X164" s="719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16"/>
      <c r="J165" s="716"/>
      <c r="K165" s="280"/>
      <c r="L165" s="303">
        <v>15</v>
      </c>
      <c r="M165" s="381" t="s">
        <v>459</v>
      </c>
      <c r="N165" s="305" t="s">
        <v>463</v>
      </c>
      <c r="O165" s="551"/>
      <c r="P165" s="451"/>
      <c r="Q165" s="307">
        <v>15292.04</v>
      </c>
      <c r="R165" s="735"/>
      <c r="S165" s="633" t="s">
        <v>464</v>
      </c>
      <c r="T165" s="655">
        <v>46053</v>
      </c>
      <c r="U165" s="495"/>
      <c r="V165" s="728"/>
      <c r="W165" s="527">
        <v>46051</v>
      </c>
      <c r="X165" s="719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16"/>
      <c r="J166" s="716"/>
      <c r="K166" s="280"/>
      <c r="L166" s="303">
        <v>15</v>
      </c>
      <c r="M166" s="381" t="s">
        <v>459</v>
      </c>
      <c r="N166" s="305" t="s">
        <v>465</v>
      </c>
      <c r="O166" s="551"/>
      <c r="P166" s="451"/>
      <c r="Q166" s="307">
        <v>6550</v>
      </c>
      <c r="R166" s="589"/>
      <c r="S166" s="626" t="s">
        <v>466</v>
      </c>
      <c r="T166" s="655">
        <v>46053</v>
      </c>
      <c r="U166" s="495"/>
      <c r="V166" s="728"/>
      <c r="W166" s="527">
        <v>46052</v>
      </c>
      <c r="X166" s="719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16"/>
      <c r="J167" s="716"/>
      <c r="K167" s="280"/>
      <c r="L167" s="303">
        <v>15</v>
      </c>
      <c r="M167" s="381" t="s">
        <v>459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28"/>
      <c r="W167" s="573"/>
      <c r="X167" s="719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16"/>
      <c r="J168" s="716"/>
      <c r="K168" s="280"/>
      <c r="L168" s="303">
        <v>15</v>
      </c>
      <c r="M168" s="381" t="s">
        <v>459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28"/>
      <c r="W168" s="573"/>
      <c r="X168" s="719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16"/>
      <c r="J169" s="716"/>
      <c r="K169" s="280"/>
      <c r="L169" s="303">
        <v>15</v>
      </c>
      <c r="M169" s="381" t="s">
        <v>459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28"/>
      <c r="W169" s="573"/>
      <c r="X169" s="719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16"/>
      <c r="J170" s="716"/>
      <c r="K170" s="280"/>
      <c r="L170" s="303">
        <v>15</v>
      </c>
      <c r="M170" s="381" t="s">
        <v>459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28"/>
      <c r="W170" s="573"/>
      <c r="X170" s="719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16"/>
      <c r="J171" s="716"/>
      <c r="K171" s="280"/>
      <c r="L171" s="303">
        <v>15</v>
      </c>
      <c r="M171" s="381" t="s">
        <v>459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28"/>
      <c r="W171" s="573"/>
      <c r="X171" s="719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16"/>
      <c r="J172" s="716"/>
      <c r="K172" s="280"/>
      <c r="L172" s="303">
        <v>15</v>
      </c>
      <c r="M172" s="381" t="s">
        <v>459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28"/>
      <c r="W172" s="573"/>
      <c r="X172" s="719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16"/>
      <c r="J173" s="716"/>
      <c r="K173" s="280"/>
      <c r="L173" s="303">
        <v>15</v>
      </c>
      <c r="M173" s="381" t="s">
        <v>459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28"/>
      <c r="W173" s="573"/>
      <c r="X173" s="719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16"/>
      <c r="J174" s="716"/>
      <c r="K174" s="280"/>
      <c r="L174" s="303">
        <v>15</v>
      </c>
      <c r="M174" s="381" t="s">
        <v>459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28"/>
      <c r="W174" s="573"/>
      <c r="X174" s="719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17"/>
      <c r="J175" s="717"/>
      <c r="K175" s="281"/>
      <c r="L175" s="308">
        <v>15</v>
      </c>
      <c r="M175" s="411" t="s">
        <v>459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29"/>
      <c r="W175" s="575"/>
      <c r="X175" s="720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467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468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469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345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380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363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470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471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472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473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474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475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476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477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478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479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480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481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482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483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484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485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472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486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487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83"/>
  </cols>
  <sheetData>
    <row r="1" spans="1:1837">
      <c r="D1" s="179" t="s">
        <v>488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489</v>
      </c>
      <c r="B2" s="184"/>
      <c r="C2" s="185" t="s">
        <v>304</v>
      </c>
      <c r="D2" s="185" t="s">
        <v>304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217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490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219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491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492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208</v>
      </c>
      <c r="B8" s="184"/>
      <c r="C8" s="185" t="s">
        <v>304</v>
      </c>
      <c r="D8" s="185" t="s">
        <v>304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493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494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495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496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497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1703531.426833069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304</v>
      </c>
      <c r="D16" s="185" t="s">
        <v>304</v>
      </c>
    </row>
    <row r="17" spans="1:1359">
      <c r="A17" s="819"/>
      <c r="B17" s="187" t="s">
        <v>498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499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33203125" defaultRowHeight="14.4"/>
  <cols>
    <col min="1" max="1" width="36" style="358" bestFit="1" customWidth="1"/>
    <col min="2" max="2" width="15.33203125" style="359" bestFit="1" customWidth="1"/>
    <col min="3" max="4" width="13.6640625" style="358" bestFit="1" customWidth="1"/>
    <col min="5" max="5" width="12.33203125" style="358" bestFit="1" customWidth="1"/>
    <col min="6" max="6" width="10.44140625" style="358" bestFit="1" customWidth="1"/>
    <col min="7" max="9" width="12.33203125" style="358" bestFit="1" customWidth="1"/>
    <col min="10" max="10" width="6" style="358" bestFit="1" customWidth="1"/>
    <col min="11" max="12" width="11.109375" style="358" bestFit="1" customWidth="1"/>
    <col min="13" max="13" width="10.44140625" style="358" bestFit="1" customWidth="1"/>
    <col min="14" max="14" width="13.6640625" style="358" bestFit="1" customWidth="1"/>
    <col min="15" max="15" width="14.88671875" style="358" bestFit="1" customWidth="1"/>
    <col min="16" max="18" width="11.44140625" style="358" bestFit="1" customWidth="1"/>
    <col min="19" max="19" width="13.5546875" style="358" bestFit="1" customWidth="1"/>
    <col min="20" max="16384" width="12.332031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500</v>
      </c>
      <c r="B3" s="438" t="s">
        <v>501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504</v>
      </c>
      <c r="O4"/>
      <c r="P4"/>
      <c r="Q4"/>
      <c r="R4"/>
      <c r="S4"/>
      <c r="T4"/>
    </row>
    <row r="5" spans="1:20">
      <c r="A5" s="439" t="s">
        <v>503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308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320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331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343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364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381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391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403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412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438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451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455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459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389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504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4140625" defaultRowHeight="14.4"/>
  <cols>
    <col min="1" max="1" width="20.44140625" bestFit="1" customWidth="1"/>
    <col min="2" max="2" width="15.5546875" style="399" bestFit="1" customWidth="1"/>
    <col min="3" max="3" width="13.6640625" style="399" bestFit="1" customWidth="1"/>
    <col min="4" max="5" width="12.33203125" style="399" bestFit="1" customWidth="1"/>
    <col min="6" max="6" width="11.109375" style="399" bestFit="1" customWidth="1"/>
    <col min="7" max="8" width="12.33203125" style="399" bestFit="1" customWidth="1"/>
    <col min="9" max="9" width="11.109375" style="399" bestFit="1" customWidth="1"/>
    <col min="10" max="10" width="12" bestFit="1" customWidth="1"/>
    <col min="11" max="12" width="11.109375" bestFit="1" customWidth="1"/>
    <col min="13" max="13" width="10.44140625" bestFit="1" customWidth="1"/>
    <col min="14" max="14" width="13.6640625" bestFit="1" customWidth="1"/>
    <col min="15" max="15" width="14.88671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4">
      <c r="A3" s="438" t="s">
        <v>505</v>
      </c>
      <c r="B3" s="438" t="s">
        <v>501</v>
      </c>
      <c r="C3"/>
      <c r="D3"/>
      <c r="E3"/>
      <c r="F3"/>
      <c r="G3"/>
      <c r="H3"/>
      <c r="I3"/>
    </row>
    <row r="4" spans="1:14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504</v>
      </c>
    </row>
    <row r="5" spans="1:14">
      <c r="A5" s="439" t="s">
        <v>503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308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320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331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343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364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381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391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403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412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438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451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455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459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448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389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504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506</v>
      </c>
    </row>
    <row r="2" spans="1:4">
      <c r="A2" s="821"/>
      <c r="B2" s="821"/>
      <c r="C2" s="821"/>
      <c r="D2" s="71"/>
    </row>
    <row r="3" spans="1:4">
      <c r="A3" s="820" t="s">
        <v>507</v>
      </c>
      <c r="B3" s="820"/>
      <c r="C3" s="820"/>
      <c r="D3" s="111">
        <v>0.32</v>
      </c>
    </row>
    <row r="4" spans="1:4">
      <c r="A4" s="820" t="s">
        <v>475</v>
      </c>
      <c r="B4" s="820"/>
      <c r="C4" s="820"/>
      <c r="D4" s="111">
        <v>0.5</v>
      </c>
    </row>
    <row r="5" spans="1:4">
      <c r="A5" s="820" t="s">
        <v>486</v>
      </c>
      <c r="B5" s="820"/>
      <c r="C5" s="820"/>
      <c r="D5" s="111">
        <v>0.15</v>
      </c>
    </row>
    <row r="6" spans="1:4">
      <c r="A6" s="820" t="s">
        <v>508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2" t="s">
        <v>509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510</v>
      </c>
      <c r="E4" s="95"/>
      <c r="F4" s="90" t="s">
        <v>511</v>
      </c>
      <c r="H4" s="90" t="s">
        <v>512</v>
      </c>
      <c r="I4" s="95"/>
      <c r="J4" s="90" t="s">
        <v>513</v>
      </c>
      <c r="L4" s="90" t="s">
        <v>512</v>
      </c>
      <c r="M4" s="90"/>
      <c r="N4" s="90" t="s">
        <v>514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515</v>
      </c>
      <c r="H7" s="99"/>
      <c r="I7" s="95"/>
      <c r="J7" s="107" t="s">
        <v>515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515</v>
      </c>
      <c r="H15" s="99"/>
      <c r="I15" s="95"/>
      <c r="J15" s="107" t="s">
        <v>515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515</v>
      </c>
      <c r="H21" s="99"/>
      <c r="I21" s="95"/>
      <c r="J21" s="107" t="s">
        <v>515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515</v>
      </c>
      <c r="H27" s="99"/>
      <c r="I27" s="95"/>
      <c r="J27" s="107" t="s">
        <v>515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515</v>
      </c>
      <c r="H34" s="99"/>
      <c r="I34" s="95"/>
      <c r="J34" s="107" t="s">
        <v>515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22" t="s">
        <v>528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510</v>
      </c>
      <c r="E4" s="95"/>
      <c r="F4" s="95"/>
      <c r="G4" s="90" t="s">
        <v>529</v>
      </c>
      <c r="H4" s="96"/>
      <c r="J4" s="90" t="s">
        <v>512</v>
      </c>
      <c r="L4" s="90" t="s">
        <v>530</v>
      </c>
      <c r="M4" s="96"/>
      <c r="O4" s="90" t="s">
        <v>512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510</v>
      </c>
      <c r="E18" s="95"/>
      <c r="F18" s="95"/>
      <c r="G18" s="90" t="s">
        <v>532</v>
      </c>
      <c r="H18" s="96"/>
      <c r="J18" s="90" t="s">
        <v>512</v>
      </c>
      <c r="L18" s="90" t="s">
        <v>533</v>
      </c>
      <c r="M18" s="96"/>
      <c r="O18" s="90" t="s">
        <v>512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539</v>
      </c>
      <c r="C32" s="103"/>
      <c r="D32" s="103"/>
    </row>
    <row r="33" spans="2:4" ht="13.8" thickTop="1"/>
    <row r="34" spans="2:4">
      <c r="B34" s="88" t="s">
        <v>510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33203125" bestFit="1" customWidth="1"/>
    <col min="9" max="9" width="10.33203125" customWidth="1"/>
    <col min="10" max="10" width="19.5546875" bestFit="1" customWidth="1"/>
  </cols>
  <sheetData>
    <row r="1" spans="2:14">
      <c r="B1" s="824" t="str">
        <f>D15</f>
        <v>Blackheath Park</v>
      </c>
      <c r="C1" s="824"/>
      <c r="D1" s="824"/>
      <c r="E1" s="823" t="s">
        <v>541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542</v>
      </c>
      <c r="D3" s="72" t="s">
        <v>543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2026-02-25T07:31:12Z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