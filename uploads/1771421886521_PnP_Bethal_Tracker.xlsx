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5" documentId="13_ncr:1_{2473AA54-0E02-4422-B2AA-DE31959F4533}" xr6:coauthVersionLast="47" xr6:coauthVersionMax="47" xr10:uidLastSave="{7D537164-BCCD-4667-AC32-AA6919E2D06B}"/>
  <bookViews>
    <workbookView xWindow="-110" yWindow="-110" windowWidth="19420" windowHeight="11500" tabRatio="576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6" l="1"/>
  <c r="I1" i="6"/>
  <c r="J1" i="6"/>
  <c r="K1" i="6"/>
  <c r="L1" i="6"/>
  <c r="W74" i="18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K9" i="6" l="1"/>
  <c r="K3" i="6"/>
  <c r="K5" i="6"/>
  <c r="K17" i="6"/>
  <c r="L9" i="6"/>
  <c r="J9" i="6"/>
  <c r="J3" i="6"/>
  <c r="J5" i="6"/>
  <c r="J17" i="6"/>
  <c r="J11" i="6"/>
  <c r="N1" i="6"/>
  <c r="H5" i="6"/>
  <c r="H6" i="6" s="1"/>
  <c r="I6" i="6" s="1"/>
  <c r="J6" i="6" s="1"/>
  <c r="K6" i="6" s="1"/>
  <c r="I3" i="6"/>
  <c r="I17" i="6"/>
  <c r="I11" i="6"/>
  <c r="I9" i="6"/>
  <c r="I5" i="6"/>
  <c r="H3" i="6"/>
  <c r="H4" i="6" s="1"/>
  <c r="H18" i="6"/>
  <c r="I18" i="6" s="1"/>
  <c r="J18" i="6" s="1"/>
  <c r="K18" i="6" s="1"/>
  <c r="H11" i="6"/>
  <c r="H12" i="6"/>
  <c r="I12" i="6" s="1"/>
  <c r="J12" i="6" s="1"/>
  <c r="K12" i="6" s="1"/>
  <c r="H9" i="6"/>
  <c r="H10" i="6" s="1"/>
  <c r="K11" i="6"/>
  <c r="H17" i="6"/>
  <c r="H14" i="6" l="1"/>
  <c r="I10" i="6"/>
  <c r="I4" i="6"/>
  <c r="H7" i="6"/>
  <c r="O1" i="6"/>
  <c r="N3" i="6" s="1"/>
  <c r="M3" i="6"/>
  <c r="M9" i="6"/>
  <c r="M5" i="6"/>
  <c r="M17" i="6"/>
  <c r="M11" i="6"/>
  <c r="L11" i="6"/>
  <c r="L12" i="6" s="1"/>
  <c r="M12" i="6" s="1"/>
  <c r="L17" i="6"/>
  <c r="L18" i="6" s="1"/>
  <c r="L5" i="6"/>
  <c r="L3" i="6"/>
  <c r="M18" i="6" l="1"/>
  <c r="J4" i="6"/>
  <c r="I7" i="6"/>
  <c r="N9" i="6"/>
  <c r="N17" i="6"/>
  <c r="P1" i="6"/>
  <c r="O11" i="6" s="1"/>
  <c r="L6" i="6"/>
  <c r="M6" i="6" s="1"/>
  <c r="N11" i="6"/>
  <c r="N12" i="6" s="1"/>
  <c r="I14" i="6"/>
  <c r="J10" i="6"/>
  <c r="N5" i="6"/>
  <c r="O12" i="6" l="1"/>
  <c r="O3" i="6"/>
  <c r="J7" i="6"/>
  <c r="K4" i="6"/>
  <c r="O5" i="6"/>
  <c r="J14" i="6"/>
  <c r="K10" i="6"/>
  <c r="P5" i="6"/>
  <c r="P9" i="6"/>
  <c r="Q1" i="6"/>
  <c r="P11" i="6" s="1"/>
  <c r="O9" i="6"/>
  <c r="O17" i="6"/>
  <c r="N18" i="6"/>
  <c r="N6" i="6"/>
  <c r="O6" i="6" s="1"/>
  <c r="P3" i="6" l="1"/>
  <c r="P17" i="6"/>
  <c r="K7" i="6"/>
  <c r="L4" i="6"/>
  <c r="P6" i="6"/>
  <c r="K14" i="6"/>
  <c r="L10" i="6"/>
  <c r="O18" i="6"/>
  <c r="R1" i="6"/>
  <c r="Q17" i="6" s="1"/>
  <c r="P12" i="6"/>
  <c r="P18" i="6" l="1"/>
  <c r="Q5" i="6"/>
  <c r="Q3" i="6"/>
  <c r="Q11" i="6"/>
  <c r="Q12" i="6" s="1"/>
  <c r="Q6" i="6"/>
  <c r="L7" i="6"/>
  <c r="M4" i="6"/>
  <c r="L14" i="6"/>
  <c r="M10" i="6"/>
  <c r="S1" i="6"/>
  <c r="R3" i="6" s="1"/>
  <c r="Q9" i="6"/>
  <c r="Q18" i="6"/>
  <c r="R11" i="6" l="1"/>
  <c r="R17" i="6"/>
  <c r="R18" i="6" s="1"/>
  <c r="R5" i="6"/>
  <c r="T1" i="6"/>
  <c r="S5" i="6" s="1"/>
  <c r="M7" i="6"/>
  <c r="N4" i="6"/>
  <c r="M14" i="6"/>
  <c r="N10" i="6"/>
  <c r="R9" i="6"/>
  <c r="R6" i="6"/>
  <c r="R12" i="6"/>
  <c r="S17" i="6" l="1"/>
  <c r="S18" i="6" s="1"/>
  <c r="S9" i="6"/>
  <c r="N7" i="6"/>
  <c r="O4" i="6"/>
  <c r="S6" i="6"/>
  <c r="U1" i="6"/>
  <c r="T17" i="6"/>
  <c r="N14" i="6"/>
  <c r="O10" i="6"/>
  <c r="S3" i="6"/>
  <c r="S11" i="6"/>
  <c r="S12" i="6" s="1"/>
  <c r="U3" i="6" l="1"/>
  <c r="V1" i="6"/>
  <c r="U9" i="6" s="1"/>
  <c r="T3" i="6"/>
  <c r="T9" i="6"/>
  <c r="O14" i="6"/>
  <c r="P10" i="6"/>
  <c r="T18" i="6"/>
  <c r="O7" i="6"/>
  <c r="P4" i="6"/>
  <c r="T5" i="6"/>
  <c r="T6" i="6" s="1"/>
  <c r="T11" i="6"/>
  <c r="T12" i="6" s="1"/>
  <c r="U17" i="6" l="1"/>
  <c r="U18" i="6" s="1"/>
  <c r="U11" i="6"/>
  <c r="U12" i="6" s="1"/>
  <c r="Q4" i="6"/>
  <c r="P7" i="6"/>
  <c r="W1" i="6"/>
  <c r="V5" i="6" s="1"/>
  <c r="P14" i="6"/>
  <c r="Q10" i="6"/>
  <c r="U5" i="6"/>
  <c r="U6" i="6" s="1"/>
  <c r="V17" i="6" l="1"/>
  <c r="V18" i="6" s="1"/>
  <c r="V6" i="6"/>
  <c r="Q7" i="6"/>
  <c r="R4" i="6"/>
  <c r="W3" i="6"/>
  <c r="X1" i="6"/>
  <c r="W11" i="6" s="1"/>
  <c r="V3" i="6"/>
  <c r="Q14" i="6"/>
  <c r="R10" i="6"/>
  <c r="V11" i="6"/>
  <c r="V12" i="6" s="1"/>
  <c r="V9" i="6"/>
  <c r="W17" i="6" l="1"/>
  <c r="W18" i="6" s="1"/>
  <c r="W12" i="6"/>
  <c r="W9" i="6"/>
  <c r="R7" i="6"/>
  <c r="S4" i="6"/>
  <c r="R14" i="6"/>
  <c r="S10" i="6"/>
  <c r="X3" i="6"/>
  <c r="X11" i="6"/>
  <c r="Y1" i="6"/>
  <c r="W5" i="6"/>
  <c r="W6" i="6" s="1"/>
  <c r="Z1" i="6" l="1"/>
  <c r="Y9" i="6"/>
  <c r="Y5" i="6"/>
  <c r="Y3" i="6"/>
  <c r="S7" i="6"/>
  <c r="T4" i="6"/>
  <c r="X9" i="6"/>
  <c r="S14" i="6"/>
  <c r="T10" i="6"/>
  <c r="X17" i="6"/>
  <c r="X18" i="6" s="1"/>
  <c r="X5" i="6"/>
  <c r="X6" i="6" s="1"/>
  <c r="Y6" i="6" s="1"/>
  <c r="X12" i="6"/>
  <c r="T14" i="6" l="1"/>
  <c r="U10" i="6"/>
  <c r="AA1" i="6"/>
  <c r="Z9" i="6" s="1"/>
  <c r="Y11" i="6"/>
  <c r="Y12" i="6" s="1"/>
  <c r="Y17" i="6"/>
  <c r="Y18" i="6" s="1"/>
  <c r="T7" i="6"/>
  <c r="U4" i="6"/>
  <c r="Z3" i="6" l="1"/>
  <c r="Z11" i="6"/>
  <c r="Z12" i="6" s="1"/>
  <c r="Z17" i="6"/>
  <c r="Z18" i="6" s="1"/>
  <c r="Z5" i="6"/>
  <c r="Z6" i="6" s="1"/>
  <c r="U7" i="6"/>
  <c r="V4" i="6"/>
  <c r="U14" i="6"/>
  <c r="V10" i="6"/>
  <c r="AB1" i="6"/>
  <c r="AA5" i="6"/>
  <c r="AA6" i="6" s="1"/>
  <c r="AC1" i="6" l="1"/>
  <c r="AA3" i="6"/>
  <c r="V14" i="6"/>
  <c r="W10" i="6"/>
  <c r="AA11" i="6"/>
  <c r="AA12" i="6" s="1"/>
  <c r="AA9" i="6"/>
  <c r="V7" i="6"/>
  <c r="W4" i="6"/>
  <c r="AA17" i="6"/>
  <c r="AA18" i="6" s="1"/>
  <c r="AD1" i="6" l="1"/>
  <c r="W7" i="6"/>
  <c r="X4" i="6"/>
  <c r="AB17" i="6"/>
  <c r="AB18" i="6" s="1"/>
  <c r="AB9" i="6"/>
  <c r="AB3" i="6"/>
  <c r="W14" i="6"/>
  <c r="X10" i="6"/>
  <c r="AB5" i="6"/>
  <c r="AB6" i="6" s="1"/>
  <c r="AB11" i="6"/>
  <c r="AB12" i="6" s="1"/>
  <c r="X14" i="6" l="1"/>
  <c r="Y10" i="6"/>
  <c r="AE1" i="6"/>
  <c r="AD5" i="6" s="1"/>
  <c r="AC3" i="6"/>
  <c r="AC5" i="6"/>
  <c r="AC6" i="6" s="1"/>
  <c r="AC9" i="6"/>
  <c r="AC11" i="6"/>
  <c r="AC12" i="6" s="1"/>
  <c r="AC17" i="6"/>
  <c r="AC18" i="6" s="1"/>
  <c r="Y4" i="6"/>
  <c r="X7" i="6"/>
  <c r="AD3" i="6" l="1"/>
  <c r="AD11" i="6"/>
  <c r="AD12" i="6" s="1"/>
  <c r="AD17" i="6"/>
  <c r="AD18" i="6" s="1"/>
  <c r="AD6" i="6"/>
  <c r="Y14" i="6"/>
  <c r="Z10" i="6"/>
  <c r="AF1" i="6"/>
  <c r="AE17" i="6" s="1"/>
  <c r="AD9" i="6"/>
  <c r="Z4" i="6"/>
  <c r="Y7" i="6"/>
  <c r="AE5" i="6" l="1"/>
  <c r="AE6" i="6" s="1"/>
  <c r="AE18" i="6"/>
  <c r="AE9" i="6"/>
  <c r="AE3" i="6"/>
  <c r="AA4" i="6"/>
  <c r="Z7" i="6"/>
  <c r="Z14" i="6"/>
  <c r="AA10" i="6"/>
  <c r="AE11" i="6"/>
  <c r="AE12" i="6" s="1"/>
  <c r="AG1" i="6"/>
  <c r="AF3" i="6" s="1"/>
  <c r="AA14" i="6" l="1"/>
  <c r="AB10" i="6"/>
  <c r="AH1" i="6"/>
  <c r="AG5" i="6" s="1"/>
  <c r="AF17" i="6"/>
  <c r="AF18" i="6" s="1"/>
  <c r="AA7" i="6"/>
  <c r="AB4" i="6"/>
  <c r="AF5" i="6"/>
  <c r="AF6" i="6" s="1"/>
  <c r="AF9" i="6"/>
  <c r="AF11" i="6"/>
  <c r="AF12" i="6" s="1"/>
  <c r="AG11" i="6" l="1"/>
  <c r="AG17" i="6"/>
  <c r="AG18" i="6" s="1"/>
  <c r="AG9" i="6"/>
  <c r="AG3" i="6"/>
  <c r="AG12" i="6"/>
  <c r="AG6" i="6"/>
  <c r="AB14" i="6"/>
  <c r="AC10" i="6"/>
  <c r="AC4" i="6"/>
  <c r="AB7" i="6"/>
  <c r="AI1" i="6"/>
  <c r="AH5" i="6" s="1"/>
  <c r="AH3" i="6" l="1"/>
  <c r="AC7" i="6"/>
  <c r="AD4" i="6"/>
  <c r="AJ1" i="6"/>
  <c r="AH9" i="6"/>
  <c r="AC14" i="6"/>
  <c r="AD10" i="6"/>
  <c r="AH17" i="6"/>
  <c r="AH18" i="6" s="1"/>
  <c r="AH6" i="6"/>
  <c r="AH11" i="6"/>
  <c r="AH12" i="6" s="1"/>
  <c r="AK1" i="6" l="1"/>
  <c r="AJ11" i="6" s="1"/>
  <c r="AI17" i="6"/>
  <c r="AI18" i="6" s="1"/>
  <c r="AI5" i="6"/>
  <c r="AI6" i="6" s="1"/>
  <c r="AI9" i="6"/>
  <c r="AI11" i="6"/>
  <c r="AI12" i="6" s="1"/>
  <c r="AD14" i="6"/>
  <c r="AE10" i="6"/>
  <c r="AE4" i="6"/>
  <c r="AD7" i="6"/>
  <c r="AI3" i="6"/>
  <c r="AJ12" i="6" l="1"/>
  <c r="AJ5" i="6"/>
  <c r="AJ6" i="6" s="1"/>
  <c r="AF4" i="6"/>
  <c r="AE7" i="6"/>
  <c r="AJ3" i="6"/>
  <c r="AJ17" i="6"/>
  <c r="AJ18" i="6" s="1"/>
  <c r="AE14" i="6"/>
  <c r="AF10" i="6"/>
  <c r="AL1" i="6"/>
  <c r="AK17" i="6" s="1"/>
  <c r="AJ9" i="6"/>
  <c r="AK18" i="6" l="1"/>
  <c r="AK9" i="6"/>
  <c r="AG4" i="6"/>
  <c r="AF7" i="6"/>
  <c r="AL9" i="6"/>
  <c r="AL5" i="6"/>
  <c r="AL11" i="6"/>
  <c r="AL17" i="6"/>
  <c r="AM1" i="6"/>
  <c r="AL3" i="6" s="1"/>
  <c r="AK5" i="6"/>
  <c r="AK6" i="6" s="1"/>
  <c r="AF14" i="6"/>
  <c r="AG10" i="6"/>
  <c r="AK3" i="6"/>
  <c r="AK11" i="6"/>
  <c r="AK12" i="6" s="1"/>
  <c r="AL12" i="6" s="1"/>
  <c r="AL6" i="6" l="1"/>
  <c r="AH4" i="6"/>
  <c r="AG7" i="6"/>
  <c r="AG14" i="6"/>
  <c r="AH10" i="6"/>
  <c r="AN1" i="6"/>
  <c r="AM9" i="6" s="1"/>
  <c r="AL18" i="6"/>
  <c r="AM17" i="6" l="1"/>
  <c r="AM18" i="6" s="1"/>
  <c r="AM5" i="6"/>
  <c r="AM6" i="6" s="1"/>
  <c r="AM3" i="6"/>
  <c r="AH14" i="6"/>
  <c r="AI10" i="6"/>
  <c r="AN17" i="6"/>
  <c r="AN11" i="6"/>
  <c r="AO1" i="6"/>
  <c r="AN5" i="6" s="1"/>
  <c r="AI4" i="6"/>
  <c r="AH7" i="6"/>
  <c r="AM11" i="6"/>
  <c r="AM12" i="6" s="1"/>
  <c r="AN12" i="6" l="1"/>
  <c r="AI14" i="6"/>
  <c r="AJ10" i="6"/>
  <c r="AI7" i="6"/>
  <c r="AJ4" i="6"/>
  <c r="AO3" i="6"/>
  <c r="AO17" i="6"/>
  <c r="AO11" i="6"/>
  <c r="AP1" i="6"/>
  <c r="AO9" i="6" s="1"/>
  <c r="AN6" i="6"/>
  <c r="AN3" i="6"/>
  <c r="AN9" i="6"/>
  <c r="AN18" i="6"/>
  <c r="AJ7" i="6" l="1"/>
  <c r="AK4" i="6"/>
  <c r="AQ1" i="6"/>
  <c r="AP3" i="6" s="1"/>
  <c r="AJ14" i="6"/>
  <c r="AK10" i="6"/>
  <c r="AO5" i="6"/>
  <c r="AO6" i="6" s="1"/>
  <c r="AO18" i="6"/>
  <c r="AO12" i="6"/>
  <c r="AP11" i="6" l="1"/>
  <c r="AP5" i="6"/>
  <c r="AP6" i="6" s="1"/>
  <c r="AP9" i="6"/>
  <c r="AP17" i="6"/>
  <c r="AP18" i="6" s="1"/>
  <c r="AP12" i="6"/>
  <c r="AK14" i="6"/>
  <c r="AL10" i="6"/>
  <c r="AK7" i="6"/>
  <c r="AL4" i="6"/>
  <c r="AR1" i="6"/>
  <c r="AQ17" i="6" s="1"/>
  <c r="AQ9" i="6" l="1"/>
  <c r="AQ11" i="6"/>
  <c r="AQ18" i="6"/>
  <c r="AL14" i="6"/>
  <c r="AM10" i="6"/>
  <c r="AL7" i="6"/>
  <c r="AM4" i="6"/>
  <c r="AR3" i="6"/>
  <c r="AS1" i="6"/>
  <c r="AR9" i="6" s="1"/>
  <c r="AQ5" i="6"/>
  <c r="AQ6" i="6" s="1"/>
  <c r="AQ12" i="6"/>
  <c r="AQ3" i="6"/>
  <c r="AR17" i="6" l="1"/>
  <c r="AR5" i="6"/>
  <c r="AR6" i="6" s="1"/>
  <c r="AM7" i="6"/>
  <c r="AN4" i="6"/>
  <c r="AS11" i="6"/>
  <c r="AS9" i="6"/>
  <c r="AS5" i="6"/>
  <c r="AS3" i="6"/>
  <c r="AS17" i="6"/>
  <c r="AT1" i="6"/>
  <c r="AM14" i="6"/>
  <c r="AN10" i="6"/>
  <c r="AR11" i="6"/>
  <c r="AR12" i="6" s="1"/>
  <c r="AS12" i="6" s="1"/>
  <c r="AR18" i="6"/>
  <c r="AN14" i="6" l="1"/>
  <c r="AO10" i="6"/>
  <c r="AO4" i="6"/>
  <c r="AN7" i="6"/>
  <c r="AS18" i="6"/>
  <c r="AS6" i="6"/>
  <c r="AU1" i="6"/>
  <c r="AT3" i="6" s="1"/>
  <c r="AT11" i="6"/>
  <c r="AT12" i="6" s="1"/>
  <c r="AV1" i="6" l="1"/>
  <c r="AU9" i="6" s="1"/>
  <c r="AU3" i="6"/>
  <c r="AP4" i="6"/>
  <c r="AO7" i="6"/>
  <c r="AT9" i="6"/>
  <c r="AO14" i="6"/>
  <c r="AP10" i="6"/>
  <c r="AT5" i="6"/>
  <c r="AT6" i="6" s="1"/>
  <c r="AT17" i="6"/>
  <c r="AT18" i="6" s="1"/>
  <c r="AU5" i="6" l="1"/>
  <c r="AU6" i="6" s="1"/>
  <c r="AU11" i="6"/>
  <c r="AU12" i="6" s="1"/>
  <c r="AW1" i="6"/>
  <c r="AV3" i="6" s="1"/>
  <c r="AP14" i="6"/>
  <c r="AQ10" i="6"/>
  <c r="AP7" i="6"/>
  <c r="AQ4" i="6"/>
  <c r="AU17" i="6"/>
  <c r="AU18" i="6" s="1"/>
  <c r="AV11" i="6" l="1"/>
  <c r="AV5" i="6"/>
  <c r="AV17" i="6"/>
  <c r="AV18" i="6" s="1"/>
  <c r="AV6" i="6"/>
  <c r="AV12" i="6"/>
  <c r="AQ7" i="6"/>
  <c r="AR4" i="6"/>
  <c r="AQ14" i="6"/>
  <c r="AR10" i="6"/>
  <c r="AX1" i="6"/>
  <c r="AW17" i="6" s="1"/>
  <c r="AW18" i="6" s="1"/>
  <c r="AV9" i="6"/>
  <c r="AW3" i="6" l="1"/>
  <c r="AW9" i="6"/>
  <c r="AR14" i="6"/>
  <c r="AS10" i="6"/>
  <c r="AY1" i="6"/>
  <c r="AX11" i="6" s="1"/>
  <c r="AX3" i="6"/>
  <c r="AR7" i="6"/>
  <c r="AS4" i="6"/>
  <c r="AW11" i="6"/>
  <c r="AW12" i="6" s="1"/>
  <c r="AW5" i="6"/>
  <c r="AW6" i="6" s="1"/>
  <c r="AX12" i="6" l="1"/>
  <c r="AX17" i="6"/>
  <c r="AX18" i="6" s="1"/>
  <c r="AX5" i="6"/>
  <c r="AX6" i="6" s="1"/>
  <c r="AS7" i="6"/>
  <c r="AT4" i="6"/>
  <c r="AS14" i="6"/>
  <c r="AT10" i="6"/>
  <c r="AY3" i="6"/>
  <c r="AZ1" i="6"/>
  <c r="AY9" i="6" s="1"/>
  <c r="AX9" i="6"/>
  <c r="AY11" i="6" l="1"/>
  <c r="AY12" i="6" s="1"/>
  <c r="AY17" i="6"/>
  <c r="AT7" i="6"/>
  <c r="AU4" i="6"/>
  <c r="BA1" i="6"/>
  <c r="AZ17" i="6" s="1"/>
  <c r="AY18" i="6"/>
  <c r="AT14" i="6"/>
  <c r="AU10" i="6"/>
  <c r="AY5" i="6"/>
  <c r="AY6" i="6" s="1"/>
  <c r="AZ5" i="6" l="1"/>
  <c r="AZ6" i="6" s="1"/>
  <c r="AZ11" i="6"/>
  <c r="AZ12" i="6" s="1"/>
  <c r="AZ9" i="6"/>
  <c r="AZ3" i="6"/>
  <c r="AU7" i="6"/>
  <c r="AV4" i="6"/>
  <c r="AZ18" i="6"/>
  <c r="AU14" i="6"/>
  <c r="AV10" i="6"/>
  <c r="BB1" i="6"/>
  <c r="BA5" i="6" s="1"/>
  <c r="BA6" i="6" l="1"/>
  <c r="AV14" i="6"/>
  <c r="AW10" i="6"/>
  <c r="BC1" i="6"/>
  <c r="BB3" i="6" s="1"/>
  <c r="BA3" i="6"/>
  <c r="AW4" i="6"/>
  <c r="AV7" i="6"/>
  <c r="BA9" i="6"/>
  <c r="BA11" i="6"/>
  <c r="BA12" i="6" s="1"/>
  <c r="BA17" i="6"/>
  <c r="BA18" i="6" s="1"/>
  <c r="BB5" i="6" l="1"/>
  <c r="BB6" i="6" s="1"/>
  <c r="BB17" i="6"/>
  <c r="BB18" i="6" s="1"/>
  <c r="AW7" i="6"/>
  <c r="AX4" i="6"/>
  <c r="BD1" i="6"/>
  <c r="BC17" i="6" s="1"/>
  <c r="AW14" i="6"/>
  <c r="AX10" i="6"/>
  <c r="BB9" i="6"/>
  <c r="BB11" i="6"/>
  <c r="BB12" i="6" s="1"/>
  <c r="BC18" i="6" l="1"/>
  <c r="BC3" i="6"/>
  <c r="BC11" i="6"/>
  <c r="BC12" i="6" s="1"/>
  <c r="BC9" i="6"/>
  <c r="AX14" i="6"/>
  <c r="AY10" i="6"/>
  <c r="AX7" i="6"/>
  <c r="AY4" i="6"/>
  <c r="BD3" i="6"/>
  <c r="BE1" i="6"/>
  <c r="BD17" i="6" s="1"/>
  <c r="BD18" i="6" s="1"/>
  <c r="BD5" i="6"/>
  <c r="BC5" i="6"/>
  <c r="BC6" i="6" s="1"/>
  <c r="BD6" i="6" s="1"/>
  <c r="BD11" i="6" l="1"/>
  <c r="BD12" i="6" s="1"/>
  <c r="AY14" i="6"/>
  <c r="AZ10" i="6"/>
  <c r="BF1" i="6"/>
  <c r="BE9" i="6" s="1"/>
  <c r="AY7" i="6"/>
  <c r="AZ4" i="6"/>
  <c r="BD9" i="6"/>
  <c r="BE3" i="6" l="1"/>
  <c r="BE11" i="6"/>
  <c r="BE12" i="6" s="1"/>
  <c r="BE17" i="6"/>
  <c r="BE18" i="6" s="1"/>
  <c r="AZ7" i="6"/>
  <c r="BA4" i="6"/>
  <c r="AZ14" i="6"/>
  <c r="BA10" i="6"/>
  <c r="BF11" i="6"/>
  <c r="BG1" i="6"/>
  <c r="BF3" i="6" s="1"/>
  <c r="BE5" i="6"/>
  <c r="BE6" i="6" s="1"/>
  <c r="BF5" i="6" l="1"/>
  <c r="BF6" i="6" s="1"/>
  <c r="BF17" i="6"/>
  <c r="BF18" i="6" s="1"/>
  <c r="BA14" i="6"/>
  <c r="BB10" i="6"/>
  <c r="BA7" i="6"/>
  <c r="BB4" i="6"/>
  <c r="BH1" i="6"/>
  <c r="BG9" i="6" s="1"/>
  <c r="BF12" i="6"/>
  <c r="BF9" i="6"/>
  <c r="BG3" i="6" l="1"/>
  <c r="BG11" i="6"/>
  <c r="BG12" i="6" s="1"/>
  <c r="BG5" i="6"/>
  <c r="BG6" i="6" s="1"/>
  <c r="BB7" i="6"/>
  <c r="BC4" i="6"/>
  <c r="BB14" i="6"/>
  <c r="BC10" i="6"/>
  <c r="BI1" i="6"/>
  <c r="BH17" i="6" s="1"/>
  <c r="BG17" i="6"/>
  <c r="BG18" i="6" s="1"/>
  <c r="BH9" i="6" l="1"/>
  <c r="BH18" i="6"/>
  <c r="BC14" i="6"/>
  <c r="BD10" i="6"/>
  <c r="BJ1" i="6"/>
  <c r="BI5" i="6" s="1"/>
  <c r="BI3" i="6"/>
  <c r="BH11" i="6"/>
  <c r="BH12" i="6" s="1"/>
  <c r="BC7" i="6"/>
  <c r="BD4" i="6"/>
  <c r="BH3" i="6"/>
  <c r="BH5" i="6"/>
  <c r="BH6" i="6" s="1"/>
  <c r="BI11" i="6" l="1"/>
  <c r="BI12" i="6" s="1"/>
  <c r="BI6" i="6"/>
  <c r="BI17" i="6"/>
  <c r="BI18" i="6" s="1"/>
  <c r="BE4" i="6"/>
  <c r="BD7" i="6"/>
  <c r="BI9" i="6"/>
  <c r="BD14" i="6"/>
  <c r="BE10" i="6"/>
  <c r="BK1" i="6"/>
  <c r="BJ5" i="6" s="1"/>
  <c r="BJ17" i="6" l="1"/>
  <c r="BJ18" i="6" s="1"/>
  <c r="BJ3" i="6"/>
  <c r="BF4" i="6"/>
  <c r="BE7" i="6"/>
  <c r="BJ6" i="6"/>
  <c r="BK5" i="6"/>
  <c r="BK11" i="6"/>
  <c r="BK9" i="6"/>
  <c r="BK3" i="6"/>
  <c r="BL1" i="6"/>
  <c r="BJ11" i="6"/>
  <c r="BJ12" i="6" s="1"/>
  <c r="BJ9" i="6"/>
  <c r="BE14" i="6"/>
  <c r="BF10" i="6"/>
  <c r="BK12" i="6" l="1"/>
  <c r="BK6" i="6"/>
  <c r="BM1" i="6"/>
  <c r="BL5" i="6" s="1"/>
  <c r="BL11" i="6"/>
  <c r="BL12" i="6" s="1"/>
  <c r="BG4" i="6"/>
  <c r="BF7" i="6"/>
  <c r="BF14" i="6"/>
  <c r="BG10" i="6"/>
  <c r="BK17" i="6"/>
  <c r="BK18" i="6" s="1"/>
  <c r="BL17" i="6" l="1"/>
  <c r="BL18" i="6" s="1"/>
  <c r="BL3" i="6"/>
  <c r="BL6" i="6"/>
  <c r="BG14" i="6"/>
  <c r="BH10" i="6"/>
  <c r="BG7" i="6"/>
  <c r="BH4" i="6"/>
  <c r="BN1" i="6"/>
  <c r="BM3" i="6" s="1"/>
  <c r="BM9" i="6"/>
  <c r="BL9" i="6"/>
  <c r="BM11" i="6" l="1"/>
  <c r="BM12" i="6" s="1"/>
  <c r="BH14" i="6"/>
  <c r="BI10" i="6"/>
  <c r="BN9" i="6"/>
  <c r="BO1" i="6"/>
  <c r="BN17" i="6" s="1"/>
  <c r="BN11" i="6"/>
  <c r="BM17" i="6"/>
  <c r="BM18" i="6" s="1"/>
  <c r="BM5" i="6"/>
  <c r="BM6" i="6" s="1"/>
  <c r="BI4" i="6"/>
  <c r="BH7" i="6"/>
  <c r="BN3" i="6" l="1"/>
  <c r="BN18" i="6"/>
  <c r="BI14" i="6"/>
  <c r="BJ10" i="6"/>
  <c r="BI7" i="6"/>
  <c r="BJ4" i="6"/>
  <c r="BN12" i="6"/>
  <c r="BO5" i="6"/>
  <c r="BO3" i="6"/>
  <c r="BP1" i="6"/>
  <c r="BN5" i="6"/>
  <c r="BN6" i="6" s="1"/>
  <c r="BO6" i="6" l="1"/>
  <c r="BJ7" i="6"/>
  <c r="BK4" i="6"/>
  <c r="BQ1" i="6"/>
  <c r="BP17" i="6" s="1"/>
  <c r="BO9" i="6"/>
  <c r="BJ14" i="6"/>
  <c r="BK10" i="6"/>
  <c r="BO11" i="6"/>
  <c r="BO12" i="6" s="1"/>
  <c r="BO17" i="6"/>
  <c r="BO18" i="6" s="1"/>
  <c r="BP5" i="6" l="1"/>
  <c r="BP6" i="6" s="1"/>
  <c r="BP9" i="6"/>
  <c r="BP18" i="6"/>
  <c r="BP3" i="6"/>
  <c r="BK7" i="6"/>
  <c r="BL4" i="6"/>
  <c r="BK14" i="6"/>
  <c r="BL10" i="6"/>
  <c r="BR1" i="6"/>
  <c r="BP11" i="6"/>
  <c r="BP12" i="6" s="1"/>
  <c r="BS1" i="6" l="1"/>
  <c r="BR9" i="6" s="1"/>
  <c r="BM4" i="6"/>
  <c r="BL7" i="6"/>
  <c r="BQ9" i="6"/>
  <c r="BL14" i="6"/>
  <c r="BM10" i="6"/>
  <c r="BQ17" i="6"/>
  <c r="BQ18" i="6" s="1"/>
  <c r="BQ11" i="6"/>
  <c r="BQ12" i="6" s="1"/>
  <c r="BQ5" i="6"/>
  <c r="BQ6" i="6" s="1"/>
  <c r="BQ3" i="6"/>
  <c r="BN4" i="6" l="1"/>
  <c r="BM7" i="6"/>
  <c r="BR17" i="6"/>
  <c r="BR18" i="6" s="1"/>
  <c r="BR3" i="6"/>
  <c r="BR11" i="6"/>
  <c r="BR12" i="6" s="1"/>
  <c r="BT1" i="6"/>
  <c r="BS3" i="6" s="1"/>
  <c r="BR5" i="6"/>
  <c r="BR6" i="6" s="1"/>
  <c r="BM14" i="6"/>
  <c r="BN10" i="6"/>
  <c r="BS5" i="6" l="1"/>
  <c r="BS6" i="6" s="1"/>
  <c r="BU1" i="6"/>
  <c r="BT5" i="6" s="1"/>
  <c r="BS9" i="6"/>
  <c r="BO4" i="6"/>
  <c r="BN7" i="6"/>
  <c r="BS11" i="6"/>
  <c r="BS12" i="6" s="1"/>
  <c r="BN14" i="6"/>
  <c r="BO10" i="6"/>
  <c r="BS17" i="6"/>
  <c r="BS18" i="6" s="1"/>
  <c r="BT3" i="6" l="1"/>
  <c r="BT6" i="6"/>
  <c r="BT9" i="6"/>
  <c r="BT11" i="6"/>
  <c r="BT12" i="6" s="1"/>
  <c r="BO14" i="6"/>
  <c r="BP10" i="6"/>
  <c r="BT17" i="6"/>
  <c r="BT18" i="6" s="1"/>
  <c r="BO7" i="6"/>
  <c r="BP4" i="6"/>
  <c r="BV1" i="6"/>
  <c r="BU5" i="6" s="1"/>
  <c r="BU6" i="6" s="1"/>
  <c r="BU3" i="6" l="1"/>
  <c r="BU17" i="6"/>
  <c r="BU18" i="6" s="1"/>
  <c r="BP14" i="6"/>
  <c r="BQ10" i="6"/>
  <c r="BP7" i="6"/>
  <c r="BQ4" i="6"/>
  <c r="BV17" i="6"/>
  <c r="BW1" i="6"/>
  <c r="BV9" i="6" s="1"/>
  <c r="BU9" i="6"/>
  <c r="BU11" i="6"/>
  <c r="BU12" i="6" s="1"/>
  <c r="BV5" i="6" l="1"/>
  <c r="BV6" i="6" s="1"/>
  <c r="BV11" i="6"/>
  <c r="BV12" i="6" s="1"/>
  <c r="BV18" i="6"/>
  <c r="BQ7" i="6"/>
  <c r="BR4" i="6"/>
  <c r="BQ14" i="6"/>
  <c r="BR10" i="6"/>
  <c r="BX1" i="6"/>
  <c r="BW5" i="6" s="1"/>
  <c r="BW6" i="6" s="1"/>
  <c r="BV3" i="6"/>
  <c r="BW3" i="6" l="1"/>
  <c r="BR14" i="6"/>
  <c r="BS10" i="6"/>
  <c r="BW9" i="6"/>
  <c r="BR7" i="6"/>
  <c r="BS4" i="6"/>
  <c r="BX11" i="6"/>
  <c r="BY1" i="6"/>
  <c r="BW17" i="6"/>
  <c r="BW18" i="6" s="1"/>
  <c r="BW11" i="6"/>
  <c r="BW12" i="6" s="1"/>
  <c r="BX12" i="6" l="1"/>
  <c r="BS7" i="6"/>
  <c r="BT4" i="6"/>
  <c r="BZ1" i="6"/>
  <c r="BY5" i="6" s="1"/>
  <c r="BX5" i="6"/>
  <c r="BX6" i="6" s="1"/>
  <c r="BS14" i="6"/>
  <c r="BT10" i="6"/>
  <c r="BX3" i="6"/>
  <c r="BX9" i="6"/>
  <c r="BX17" i="6"/>
  <c r="BX18" i="6" s="1"/>
  <c r="BY11" i="6" l="1"/>
  <c r="BY12" i="6" s="1"/>
  <c r="BY3" i="6"/>
  <c r="BY9" i="6"/>
  <c r="BT14" i="6"/>
  <c r="BU10" i="6"/>
  <c r="BU4" i="6"/>
  <c r="BT7" i="6"/>
  <c r="BY6" i="6"/>
  <c r="CA1" i="6"/>
  <c r="BY17" i="6"/>
  <c r="BY18" i="6" s="1"/>
  <c r="CB1" i="6" l="1"/>
  <c r="CA17" i="6" s="1"/>
  <c r="BU7" i="6"/>
  <c r="BV4" i="6"/>
  <c r="BZ5" i="6"/>
  <c r="BZ6" i="6" s="1"/>
  <c r="BU14" i="6"/>
  <c r="BV10" i="6"/>
  <c r="BZ3" i="6"/>
  <c r="BZ9" i="6"/>
  <c r="BZ11" i="6"/>
  <c r="BZ12" i="6" s="1"/>
  <c r="BZ17" i="6"/>
  <c r="BZ18" i="6" s="1"/>
  <c r="CA18" i="6" l="1"/>
  <c r="CA11" i="6"/>
  <c r="CA12" i="6" s="1"/>
  <c r="CA5" i="6"/>
  <c r="CA6" i="6" s="1"/>
  <c r="CC1" i="6"/>
  <c r="CB11" i="6" s="1"/>
  <c r="BV14" i="6"/>
  <c r="BW10" i="6"/>
  <c r="CA3" i="6"/>
  <c r="CA9" i="6"/>
  <c r="BV7" i="6"/>
  <c r="BW4" i="6"/>
  <c r="CB3" i="6" l="1"/>
  <c r="CB17" i="6"/>
  <c r="CB18" i="6" s="1"/>
  <c r="CB12" i="6"/>
  <c r="CB9" i="6"/>
  <c r="BW14" i="6"/>
  <c r="BX10" i="6"/>
  <c r="CC17" i="6"/>
  <c r="CD1" i="6"/>
  <c r="CC11" i="6" s="1"/>
  <c r="BW7" i="6"/>
  <c r="BX4" i="6"/>
  <c r="CB5" i="6"/>
  <c r="CB6" i="6" s="1"/>
  <c r="BX7" i="6" l="1"/>
  <c r="BY4" i="6"/>
  <c r="BX14" i="6"/>
  <c r="BY10" i="6"/>
  <c r="CE1" i="6"/>
  <c r="CD11" i="6" s="1"/>
  <c r="CC18" i="6"/>
  <c r="CC3" i="6"/>
  <c r="CC5" i="6"/>
  <c r="CC6" i="6" s="1"/>
  <c r="CC12" i="6"/>
  <c r="CC9" i="6"/>
  <c r="CD17" i="6" l="1"/>
  <c r="CD18" i="6" s="1"/>
  <c r="CD5" i="6"/>
  <c r="CD6" i="6" s="1"/>
  <c r="BY14" i="6"/>
  <c r="BZ10" i="6"/>
  <c r="CF1" i="6"/>
  <c r="CE17" i="6" s="1"/>
  <c r="BY7" i="6"/>
  <c r="BZ4" i="6"/>
  <c r="CD12" i="6"/>
  <c r="CD3" i="6"/>
  <c r="CD9" i="6"/>
  <c r="CE3" i="6" l="1"/>
  <c r="CE9" i="6"/>
  <c r="CE5" i="6"/>
  <c r="CE6" i="6" s="1"/>
  <c r="CE18" i="6"/>
  <c r="BZ7" i="6"/>
  <c r="CA4" i="6"/>
  <c r="BZ14" i="6"/>
  <c r="CA10" i="6"/>
  <c r="CF5" i="6"/>
  <c r="CG1" i="6"/>
  <c r="CF17" i="6" s="1"/>
  <c r="CE11" i="6"/>
  <c r="CE12" i="6" s="1"/>
  <c r="CF3" i="6" l="1"/>
  <c r="CF11" i="6"/>
  <c r="CF12" i="6" s="1"/>
  <c r="CA14" i="6"/>
  <c r="CB10" i="6"/>
  <c r="CH1" i="6"/>
  <c r="CA7" i="6"/>
  <c r="CB4" i="6"/>
  <c r="CF9" i="6"/>
  <c r="CF18" i="6"/>
  <c r="CF6" i="6"/>
  <c r="CI1" i="6" l="1"/>
  <c r="CG5" i="6"/>
  <c r="CG6" i="6" s="1"/>
  <c r="CG9" i="6"/>
  <c r="CG3" i="6"/>
  <c r="CG17" i="6"/>
  <c r="CG18" i="6" s="1"/>
  <c r="CC4" i="6"/>
  <c r="CB7" i="6"/>
  <c r="CB14" i="6"/>
  <c r="CC10" i="6"/>
  <c r="CG11" i="6"/>
  <c r="CG12" i="6" s="1"/>
  <c r="CJ1" i="6" l="1"/>
  <c r="CI5" i="6" s="1"/>
  <c r="CH11" i="6"/>
  <c r="CH12" i="6" s="1"/>
  <c r="CD4" i="6"/>
  <c r="CC7" i="6"/>
  <c r="CH17" i="6"/>
  <c r="CH18" i="6" s="1"/>
  <c r="CC14" i="6"/>
  <c r="CD10" i="6"/>
  <c r="CH9" i="6"/>
  <c r="CH5" i="6"/>
  <c r="CH6" i="6" s="1"/>
  <c r="CH3" i="6"/>
  <c r="CI11" i="6" l="1"/>
  <c r="CI12" i="6" s="1"/>
  <c r="CI6" i="6"/>
  <c r="CI9" i="6"/>
  <c r="CI17" i="6"/>
  <c r="CI18" i="6" s="1"/>
  <c r="CI3" i="6"/>
  <c r="CD14" i="6"/>
  <c r="CE10" i="6"/>
  <c r="CE4" i="6"/>
  <c r="CD7" i="6"/>
  <c r="CK1" i="6"/>
  <c r="CJ9" i="6" s="1"/>
  <c r="CJ11" i="6" l="1"/>
  <c r="CJ12" i="6" s="1"/>
  <c r="CJ17" i="6"/>
  <c r="CJ18" i="6" s="1"/>
  <c r="CJ3" i="6"/>
  <c r="CE7" i="6"/>
  <c r="CF4" i="6"/>
  <c r="CL1" i="6"/>
  <c r="CK11" i="6" s="1"/>
  <c r="CK12" i="6" s="1"/>
  <c r="CE14" i="6"/>
  <c r="CF10" i="6"/>
  <c r="CJ5" i="6"/>
  <c r="CJ6" i="6" s="1"/>
  <c r="CK3" i="6" l="1"/>
  <c r="CK9" i="6"/>
  <c r="CK17" i="6"/>
  <c r="CK18" i="6" s="1"/>
  <c r="CF14" i="6"/>
  <c r="CG10" i="6"/>
  <c r="CF7" i="6"/>
  <c r="CG4" i="6"/>
  <c r="CL17" i="6"/>
  <c r="CM1" i="6"/>
  <c r="CL3" i="6" s="1"/>
  <c r="CK5" i="6"/>
  <c r="CK6" i="6" s="1"/>
  <c r="CL9" i="6" l="1"/>
  <c r="CG7" i="6"/>
  <c r="CH4" i="6"/>
  <c r="CM5" i="6"/>
  <c r="CM3" i="6"/>
  <c r="CM17" i="6"/>
  <c r="CN1" i="6"/>
  <c r="CM11" i="6" s="1"/>
  <c r="CG14" i="6"/>
  <c r="CH10" i="6"/>
  <c r="CL5" i="6"/>
  <c r="CL6" i="6" s="1"/>
  <c r="CL18" i="6"/>
  <c r="CL11" i="6"/>
  <c r="CL12" i="6" s="1"/>
  <c r="CM9" i="6" l="1"/>
  <c r="CM6" i="6"/>
  <c r="CM12" i="6"/>
  <c r="CM18" i="6"/>
  <c r="CH14" i="6"/>
  <c r="CI10" i="6"/>
  <c r="CH7" i="6"/>
  <c r="CI4" i="6"/>
  <c r="CN3" i="6"/>
  <c r="CO1" i="6"/>
  <c r="CN17" i="6" s="1"/>
  <c r="CN9" i="6" l="1"/>
  <c r="CI7" i="6"/>
  <c r="CJ4" i="6"/>
  <c r="CP1" i="6"/>
  <c r="CO3" i="6" s="1"/>
  <c r="CI14" i="6"/>
  <c r="CJ10" i="6"/>
  <c r="CN5" i="6"/>
  <c r="CN6" i="6" s="1"/>
  <c r="CN18" i="6"/>
  <c r="CN11" i="6"/>
  <c r="CN12" i="6" s="1"/>
  <c r="CO17" i="6" l="1"/>
  <c r="CO18" i="6" s="1"/>
  <c r="CQ1" i="6"/>
  <c r="CP3" i="6" s="1"/>
  <c r="CO9" i="6"/>
  <c r="CO5" i="6"/>
  <c r="CO6" i="6" s="1"/>
  <c r="CJ14" i="6"/>
  <c r="CK10" i="6"/>
  <c r="CO11" i="6"/>
  <c r="CO12" i="6" s="1"/>
  <c r="CK4" i="6"/>
  <c r="CJ7" i="6"/>
  <c r="CP17" i="6" l="1"/>
  <c r="CP18" i="6" s="1"/>
  <c r="CP5" i="6"/>
  <c r="CP6" i="6" s="1"/>
  <c r="CL4" i="6"/>
  <c r="CK7" i="6"/>
  <c r="CR1" i="6"/>
  <c r="CQ11" i="6" s="1"/>
  <c r="CP9" i="6"/>
  <c r="CK14" i="6"/>
  <c r="CL10" i="6"/>
  <c r="CP11" i="6"/>
  <c r="CP12" i="6" s="1"/>
  <c r="CQ12" i="6" l="1"/>
  <c r="CQ9" i="6"/>
  <c r="CQ3" i="6"/>
  <c r="CL14" i="6"/>
  <c r="CM10" i="6"/>
  <c r="CM4" i="6"/>
  <c r="CL7" i="6"/>
  <c r="CS1" i="6"/>
  <c r="CR5" i="6" s="1"/>
  <c r="CQ17" i="6"/>
  <c r="CQ18" i="6" s="1"/>
  <c r="CQ5" i="6"/>
  <c r="CQ6" i="6" s="1"/>
  <c r="CR6" i="6" l="1"/>
  <c r="CR9" i="6"/>
  <c r="CR11" i="6"/>
  <c r="CR12" i="6" s="1"/>
  <c r="CR17" i="6"/>
  <c r="CR18" i="6" s="1"/>
  <c r="CM14" i="6"/>
  <c r="CN10" i="6"/>
  <c r="CM7" i="6"/>
  <c r="CN4" i="6"/>
  <c r="CT1" i="6"/>
  <c r="CS5" i="6" s="1"/>
  <c r="CR3" i="6"/>
  <c r="CU1" i="6" l="1"/>
  <c r="CT5" i="6" s="1"/>
  <c r="CN14" i="6"/>
  <c r="CO10" i="6"/>
  <c r="CS17" i="6"/>
  <c r="CS18" i="6" s="1"/>
  <c r="CS3" i="6"/>
  <c r="CS11" i="6"/>
  <c r="CS12" i="6" s="1"/>
  <c r="CS9" i="6"/>
  <c r="CN7" i="6"/>
  <c r="CO4" i="6"/>
  <c r="CS6" i="6"/>
  <c r="CO7" i="6" l="1"/>
  <c r="CP4" i="6"/>
  <c r="CV1" i="6"/>
  <c r="CU17" i="6" s="1"/>
  <c r="CU5" i="6"/>
  <c r="CT9" i="6"/>
  <c r="CT3" i="6"/>
  <c r="CT11" i="6"/>
  <c r="CT12" i="6" s="1"/>
  <c r="CO14" i="6"/>
  <c r="CP10" i="6"/>
  <c r="CT17" i="6"/>
  <c r="CT18" i="6" s="1"/>
  <c r="CT6" i="6"/>
  <c r="CU3" i="6" l="1"/>
  <c r="CU9" i="6"/>
  <c r="CU11" i="6"/>
  <c r="CU12" i="6" s="1"/>
  <c r="CU18" i="6"/>
  <c r="CP14" i="6"/>
  <c r="CQ10" i="6"/>
  <c r="CP7" i="6"/>
  <c r="CQ4" i="6"/>
  <c r="CU6" i="6"/>
  <c r="CW1" i="6"/>
  <c r="CV5" i="6" s="1"/>
  <c r="CV9" i="6" l="1"/>
  <c r="CV6" i="6"/>
  <c r="CQ7" i="6"/>
  <c r="CR4" i="6"/>
  <c r="CW5" i="6"/>
  <c r="CW11" i="6"/>
  <c r="CW17" i="6"/>
  <c r="CX1" i="6"/>
  <c r="CW3" i="6" s="1"/>
  <c r="CV11" i="6"/>
  <c r="CV12" i="6" s="1"/>
  <c r="CQ14" i="6"/>
  <c r="CR10" i="6"/>
  <c r="CV3" i="6"/>
  <c r="CV17" i="6"/>
  <c r="CV18" i="6" s="1"/>
  <c r="CW9" i="6" l="1"/>
  <c r="CW18" i="6"/>
  <c r="CR14" i="6"/>
  <c r="CS10" i="6"/>
  <c r="CS4" i="6"/>
  <c r="CR7" i="6"/>
  <c r="CW12" i="6"/>
  <c r="CX11" i="6"/>
  <c r="CX9" i="6"/>
  <c r="CY1" i="6"/>
  <c r="CW6" i="6"/>
  <c r="CX12" i="6" l="1"/>
  <c r="CZ1" i="6"/>
  <c r="CY11" i="6" s="1"/>
  <c r="CT4" i="6"/>
  <c r="CS7" i="6"/>
  <c r="CX17" i="6"/>
  <c r="CX18" i="6" s="1"/>
  <c r="CS14" i="6"/>
  <c r="CT10" i="6"/>
  <c r="CX3" i="6"/>
  <c r="CX5" i="6"/>
  <c r="CX6" i="6" s="1"/>
  <c r="CY9" i="6" l="1"/>
  <c r="CY17" i="6"/>
  <c r="CY18" i="6" s="1"/>
  <c r="CY5" i="6"/>
  <c r="CY6" i="6" s="1"/>
  <c r="CY3" i="6"/>
  <c r="CT14" i="6"/>
  <c r="CU10" i="6"/>
  <c r="DA1" i="6"/>
  <c r="CZ11" i="6" s="1"/>
  <c r="CT7" i="6"/>
  <c r="CU4" i="6"/>
  <c r="CY12" i="6"/>
  <c r="CZ5" i="6" l="1"/>
  <c r="CZ6" i="6" s="1"/>
  <c r="CZ3" i="6"/>
  <c r="DB1" i="6"/>
  <c r="DA17" i="6"/>
  <c r="DA11" i="6"/>
  <c r="DA5" i="6"/>
  <c r="CU7" i="6"/>
  <c r="CV4" i="6"/>
  <c r="CU14" i="6"/>
  <c r="CV10" i="6"/>
  <c r="CZ9" i="6"/>
  <c r="CZ12" i="6"/>
  <c r="CZ17" i="6"/>
  <c r="CZ18" i="6" s="1"/>
  <c r="DA6" i="6" l="1"/>
  <c r="DA18" i="6"/>
  <c r="DA12" i="6"/>
  <c r="DC1" i="6"/>
  <c r="DB3" i="6" s="1"/>
  <c r="CV14" i="6"/>
  <c r="CW10" i="6"/>
  <c r="DA9" i="6"/>
  <c r="DA3" i="6"/>
  <c r="CV7" i="6"/>
  <c r="CW4" i="6"/>
  <c r="DB5" i="6" l="1"/>
  <c r="DB6" i="6" s="1"/>
  <c r="DB17" i="6"/>
  <c r="DB18" i="6" s="1"/>
  <c r="DB11" i="6"/>
  <c r="DB12" i="6" s="1"/>
  <c r="DB9" i="6"/>
  <c r="CW7" i="6"/>
  <c r="CX4" i="6"/>
  <c r="CW14" i="6"/>
  <c r="CX10" i="6"/>
  <c r="DD1" i="6"/>
  <c r="DC17" i="6" s="1"/>
  <c r="DC18" i="6" s="1"/>
  <c r="DC3" i="6" l="1"/>
  <c r="DC9" i="6"/>
  <c r="CX7" i="6"/>
  <c r="CY4" i="6"/>
  <c r="DC11" i="6"/>
  <c r="DC12" i="6" s="1"/>
  <c r="CX14" i="6"/>
  <c r="CY10" i="6"/>
  <c r="DE1" i="6"/>
  <c r="DD9" i="6" s="1"/>
  <c r="DC5" i="6"/>
  <c r="DC6" i="6" s="1"/>
  <c r="DD11" i="6" l="1"/>
  <c r="DD12" i="6" s="1"/>
  <c r="CY7" i="6"/>
  <c r="CZ4" i="6"/>
  <c r="DD17" i="6"/>
  <c r="DD18" i="6" s="1"/>
  <c r="CY14" i="6"/>
  <c r="CZ10" i="6"/>
  <c r="DF1" i="6"/>
  <c r="DE3" i="6" s="1"/>
  <c r="DD5" i="6"/>
  <c r="DD6" i="6" s="1"/>
  <c r="DD3" i="6"/>
  <c r="DE5" i="6" l="1"/>
  <c r="DE6" i="6" s="1"/>
  <c r="DA4" i="6"/>
  <c r="CZ7" i="6"/>
  <c r="CZ14" i="6"/>
  <c r="DA10" i="6"/>
  <c r="DG1" i="6"/>
  <c r="DF17" i="6" s="1"/>
  <c r="DF11" i="6"/>
  <c r="DE9" i="6"/>
  <c r="DE11" i="6"/>
  <c r="DE12" i="6" s="1"/>
  <c r="DE17" i="6"/>
  <c r="DE18" i="6" s="1"/>
  <c r="DF5" i="6" l="1"/>
  <c r="DF6" i="6" s="1"/>
  <c r="DF12" i="6"/>
  <c r="DF18" i="6"/>
  <c r="DA14" i="6"/>
  <c r="DB10" i="6"/>
  <c r="DA7" i="6"/>
  <c r="DB4" i="6"/>
  <c r="DG11" i="6"/>
  <c r="DG12" i="6" s="1"/>
  <c r="DG9" i="6"/>
  <c r="DG5" i="6"/>
  <c r="DH1" i="6"/>
  <c r="DF3" i="6"/>
  <c r="DF9" i="6"/>
  <c r="DG6" i="6" l="1"/>
  <c r="DB7" i="6"/>
  <c r="DC4" i="6"/>
  <c r="DI1" i="6"/>
  <c r="DH5" i="6" s="1"/>
  <c r="DH6" i="6" s="1"/>
  <c r="DB14" i="6"/>
  <c r="DC10" i="6"/>
  <c r="DG17" i="6"/>
  <c r="DG18" i="6" s="1"/>
  <c r="DG3" i="6"/>
  <c r="DH17" i="6" l="1"/>
  <c r="DH9" i="6"/>
  <c r="DH11" i="6"/>
  <c r="DH12" i="6" s="1"/>
  <c r="DH18" i="6"/>
  <c r="DC14" i="6"/>
  <c r="DD10" i="6"/>
  <c r="DC7" i="6"/>
  <c r="DD4" i="6"/>
  <c r="DJ1" i="6"/>
  <c r="DI17" i="6" s="1"/>
  <c r="DI18" i="6" s="1"/>
  <c r="DH3" i="6"/>
  <c r="DI3" i="6" l="1"/>
  <c r="DI5" i="6"/>
  <c r="DI6" i="6" s="1"/>
  <c r="DD7" i="6"/>
  <c r="DE4" i="6"/>
  <c r="DK1" i="6"/>
  <c r="DJ9" i="6" s="1"/>
  <c r="DD14" i="6"/>
  <c r="DE10" i="6"/>
  <c r="DI9" i="6"/>
  <c r="DI11" i="6"/>
  <c r="DI12" i="6" s="1"/>
  <c r="DJ5" i="6" l="1"/>
  <c r="DJ6" i="6" s="1"/>
  <c r="DJ17" i="6"/>
  <c r="DJ18" i="6" s="1"/>
  <c r="DJ11" i="6"/>
  <c r="DJ12" i="6" s="1"/>
  <c r="DE14" i="6"/>
  <c r="DF10" i="6"/>
  <c r="DE7" i="6"/>
  <c r="DF4" i="6"/>
  <c r="DL1" i="6"/>
  <c r="DK11" i="6" s="1"/>
  <c r="DJ3" i="6"/>
  <c r="DK12" i="6" l="1"/>
  <c r="DF7" i="6"/>
  <c r="DG4" i="6"/>
  <c r="DL9" i="6"/>
  <c r="DL5" i="6"/>
  <c r="DL3" i="6"/>
  <c r="DL17" i="6"/>
  <c r="DL11" i="6"/>
  <c r="DM1" i="6"/>
  <c r="DF14" i="6"/>
  <c r="DG10" i="6"/>
  <c r="DK17" i="6"/>
  <c r="DK18" i="6" s="1"/>
  <c r="DK3" i="6"/>
  <c r="DK5" i="6"/>
  <c r="DK6" i="6" s="1"/>
  <c r="DL6" i="6" s="1"/>
  <c r="DK9" i="6"/>
  <c r="DL18" i="6" l="1"/>
  <c r="DG7" i="6"/>
  <c r="DH4" i="6"/>
  <c r="DG14" i="6"/>
  <c r="DH10" i="6"/>
  <c r="DM3" i="6"/>
  <c r="DM17" i="6"/>
  <c r="DM5" i="6"/>
  <c r="DM6" i="6" s="1"/>
  <c r="DN1" i="6"/>
  <c r="DM11" i="6" s="1"/>
  <c r="DL12" i="6"/>
  <c r="DM12" i="6" l="1"/>
  <c r="DH14" i="6"/>
  <c r="DI10" i="6"/>
  <c r="DO1" i="6"/>
  <c r="DN17" i="6" s="1"/>
  <c r="DI4" i="6"/>
  <c r="DH7" i="6"/>
  <c r="DM9" i="6"/>
  <c r="DM18" i="6"/>
  <c r="DN9" i="6" l="1"/>
  <c r="DN3" i="6"/>
  <c r="DN18" i="6"/>
  <c r="DN11" i="6"/>
  <c r="DN12" i="6" s="1"/>
  <c r="DI14" i="6"/>
  <c r="DJ10" i="6"/>
  <c r="DJ4" i="6"/>
  <c r="DI7" i="6"/>
  <c r="DP1" i="6"/>
  <c r="DO9" i="6" s="1"/>
  <c r="DN5" i="6"/>
  <c r="DN6" i="6" s="1"/>
  <c r="DO11" i="6" l="1"/>
  <c r="DO5" i="6"/>
  <c r="DO17" i="6"/>
  <c r="DO12" i="6"/>
  <c r="DO6" i="6"/>
  <c r="DJ7" i="6"/>
  <c r="DK4" i="6"/>
  <c r="DP9" i="6"/>
  <c r="DQ1" i="6"/>
  <c r="DP3" i="6" s="1"/>
  <c r="DJ14" i="6"/>
  <c r="DK10" i="6"/>
  <c r="DO3" i="6"/>
  <c r="DO18" i="6"/>
  <c r="DP17" i="6" l="1"/>
  <c r="DP5" i="6"/>
  <c r="DP11" i="6"/>
  <c r="DP12" i="6" s="1"/>
  <c r="DK14" i="6"/>
  <c r="DL10" i="6"/>
  <c r="DK7" i="6"/>
  <c r="DL4" i="6"/>
  <c r="DP6" i="6"/>
  <c r="DP18" i="6"/>
  <c r="DR1" i="6"/>
  <c r="DQ3" i="6" s="1"/>
  <c r="DQ5" i="6" l="1"/>
  <c r="DQ11" i="6"/>
  <c r="DQ9" i="6"/>
  <c r="DL14" i="6"/>
  <c r="DM10" i="6"/>
  <c r="DQ6" i="6"/>
  <c r="DR9" i="6"/>
  <c r="DR3" i="6"/>
  <c r="DS1" i="6"/>
  <c r="DR5" i="6" s="1"/>
  <c r="DM4" i="6"/>
  <c r="DL7" i="6"/>
  <c r="DQ17" i="6"/>
  <c r="DQ18" i="6" s="1"/>
  <c r="DQ12" i="6"/>
  <c r="DR11" i="6" l="1"/>
  <c r="DR17" i="6"/>
  <c r="DR18" i="6" s="1"/>
  <c r="DR12" i="6"/>
  <c r="DR6" i="6"/>
  <c r="DM7" i="6"/>
  <c r="DN4" i="6"/>
  <c r="DM14" i="6"/>
  <c r="DN10" i="6"/>
  <c r="DT1" i="6"/>
  <c r="DS9" i="6" s="1"/>
  <c r="DS11" i="6" l="1"/>
  <c r="DS5" i="6"/>
  <c r="DN14" i="6"/>
  <c r="DO10" i="6"/>
  <c r="DU1" i="6"/>
  <c r="DT3" i="6" s="1"/>
  <c r="DN7" i="6"/>
  <c r="DO4" i="6"/>
  <c r="DS17" i="6"/>
  <c r="DS18" i="6" s="1"/>
  <c r="DS6" i="6"/>
  <c r="DS12" i="6"/>
  <c r="DS3" i="6"/>
  <c r="DT17" i="6" l="1"/>
  <c r="DT11" i="6"/>
  <c r="DT12" i="6" s="1"/>
  <c r="DT18" i="6"/>
  <c r="DV1" i="6"/>
  <c r="DU17" i="6" s="1"/>
  <c r="DT5" i="6"/>
  <c r="DT6" i="6" s="1"/>
  <c r="DT9" i="6"/>
  <c r="DO7" i="6"/>
  <c r="DP4" i="6"/>
  <c r="DO14" i="6"/>
  <c r="DP10" i="6"/>
  <c r="DU5" i="6" l="1"/>
  <c r="DU11" i="6"/>
  <c r="DU12" i="6" s="1"/>
  <c r="DU3" i="6"/>
  <c r="DU9" i="6"/>
  <c r="DU6" i="6"/>
  <c r="DP14" i="6"/>
  <c r="DQ10" i="6"/>
  <c r="DQ4" i="6"/>
  <c r="DP7" i="6"/>
  <c r="DU18" i="6"/>
  <c r="DW1" i="6"/>
  <c r="DV17" i="6" s="1"/>
  <c r="DV9" i="6" l="1"/>
  <c r="DV18" i="6"/>
  <c r="DX1" i="6"/>
  <c r="DW17" i="6" s="1"/>
  <c r="DR4" i="6"/>
  <c r="DQ7" i="6"/>
  <c r="DV3" i="6"/>
  <c r="DQ14" i="6"/>
  <c r="DR10" i="6"/>
  <c r="DV11" i="6"/>
  <c r="DV12" i="6" s="1"/>
  <c r="DV5" i="6"/>
  <c r="DV6" i="6" s="1"/>
  <c r="DW11" i="6" l="1"/>
  <c r="DW12" i="6" s="1"/>
  <c r="DR7" i="6"/>
  <c r="DS4" i="6"/>
  <c r="DY1" i="6"/>
  <c r="DX3" i="6"/>
  <c r="DX17" i="6"/>
  <c r="DW5" i="6"/>
  <c r="DW6" i="6" s="1"/>
  <c r="DW3" i="6"/>
  <c r="DW9" i="6"/>
  <c r="DR14" i="6"/>
  <c r="DS10" i="6"/>
  <c r="DW18" i="6"/>
  <c r="DZ1" i="6" l="1"/>
  <c r="DY3" i="6" s="1"/>
  <c r="DY9" i="6"/>
  <c r="DX11" i="6"/>
  <c r="DX12" i="6" s="1"/>
  <c r="DX18" i="6"/>
  <c r="DS14" i="6"/>
  <c r="DT10" i="6"/>
  <c r="DX9" i="6"/>
  <c r="DS7" i="6"/>
  <c r="DT4" i="6"/>
  <c r="DX5" i="6"/>
  <c r="DX6" i="6" s="1"/>
  <c r="DY11" i="6" l="1"/>
  <c r="DY12" i="6" s="1"/>
  <c r="DY17" i="6"/>
  <c r="DY18" i="6" s="1"/>
  <c r="DY5" i="6"/>
  <c r="DY6" i="6" s="1"/>
  <c r="DT7" i="6"/>
  <c r="DU4" i="6"/>
  <c r="EA1" i="6"/>
  <c r="DZ9" i="6" s="1"/>
  <c r="DT14" i="6"/>
  <c r="DU10" i="6"/>
  <c r="DU7" i="6" l="1"/>
  <c r="DV4" i="6"/>
  <c r="DU14" i="6"/>
  <c r="DV10" i="6"/>
  <c r="EB1" i="6"/>
  <c r="EA17" i="6" s="1"/>
  <c r="DZ11" i="6"/>
  <c r="DZ12" i="6" s="1"/>
  <c r="DZ3" i="6"/>
  <c r="DZ17" i="6"/>
  <c r="DZ18" i="6" s="1"/>
  <c r="DZ5" i="6"/>
  <c r="DZ6" i="6" s="1"/>
  <c r="EA3" i="6" l="1"/>
  <c r="EA18" i="6"/>
  <c r="EA9" i="6"/>
  <c r="DV14" i="6"/>
  <c r="DW10" i="6"/>
  <c r="EC1" i="6"/>
  <c r="EB11" i="6" s="1"/>
  <c r="DV7" i="6"/>
  <c r="DW4" i="6"/>
  <c r="EA5" i="6"/>
  <c r="EA6" i="6" s="1"/>
  <c r="EA11" i="6"/>
  <c r="EA12" i="6" s="1"/>
  <c r="EB17" i="6" l="1"/>
  <c r="EB18" i="6" s="1"/>
  <c r="EB9" i="6"/>
  <c r="EB12" i="6"/>
  <c r="DW7" i="6"/>
  <c r="DX4" i="6"/>
  <c r="DW14" i="6"/>
  <c r="DX10" i="6"/>
  <c r="EC11" i="6"/>
  <c r="EC3" i="6"/>
  <c r="ED1" i="6"/>
  <c r="EC5" i="6" s="1"/>
  <c r="EB5" i="6"/>
  <c r="EB6" i="6" s="1"/>
  <c r="EB3" i="6"/>
  <c r="EC6" i="6" l="1"/>
  <c r="DX14" i="6"/>
  <c r="DY10" i="6"/>
  <c r="EE1" i="6"/>
  <c r="ED3" i="6" s="1"/>
  <c r="DX7" i="6"/>
  <c r="DY4" i="6"/>
  <c r="EC17" i="6"/>
  <c r="EC18" i="6" s="1"/>
  <c r="EC12" i="6"/>
  <c r="EC9" i="6"/>
  <c r="ED5" i="6" l="1"/>
  <c r="ED6" i="6" s="1"/>
  <c r="ED11" i="6"/>
  <c r="ED17" i="6"/>
  <c r="ED18" i="6" s="1"/>
  <c r="ED12" i="6"/>
  <c r="ED9" i="6"/>
  <c r="DZ4" i="6"/>
  <c r="DY7" i="6"/>
  <c r="DY14" i="6"/>
  <c r="DZ10" i="6"/>
  <c r="EF1" i="6"/>
  <c r="EE11" i="6" s="1"/>
  <c r="EE5" i="6" l="1"/>
  <c r="EE6" i="6" s="1"/>
  <c r="DZ14" i="6"/>
  <c r="EA10" i="6"/>
  <c r="EF17" i="6"/>
  <c r="EF3" i="6"/>
  <c r="EF11" i="6"/>
  <c r="EG1" i="6"/>
  <c r="EF9" i="6" s="1"/>
  <c r="EE9" i="6"/>
  <c r="DZ7" i="6"/>
  <c r="EA4" i="6"/>
  <c r="EE3" i="6"/>
  <c r="EE12" i="6"/>
  <c r="EE17" i="6"/>
  <c r="EE18" i="6" s="1"/>
  <c r="EF18" i="6" s="1"/>
  <c r="EF5" i="6" l="1"/>
  <c r="EF6" i="6" s="1"/>
  <c r="EF12" i="6"/>
  <c r="EA14" i="6"/>
  <c r="EB10" i="6"/>
  <c r="EA7" i="6"/>
  <c r="EB4" i="6"/>
  <c r="EH1" i="6"/>
  <c r="EG9" i="6" s="1"/>
  <c r="EG3" i="6"/>
  <c r="EB7" i="6" l="1"/>
  <c r="EC4" i="6"/>
  <c r="EI1" i="6"/>
  <c r="EH3" i="6" s="1"/>
  <c r="EG5" i="6"/>
  <c r="EG6" i="6" s="1"/>
  <c r="EB14" i="6"/>
  <c r="EC10" i="6"/>
  <c r="EG17" i="6"/>
  <c r="EG18" i="6" s="1"/>
  <c r="EG11" i="6"/>
  <c r="EG12" i="6" s="1"/>
  <c r="EH11" i="6" l="1"/>
  <c r="EH12" i="6" s="1"/>
  <c r="EJ1" i="6"/>
  <c r="EI5" i="6"/>
  <c r="EI17" i="6"/>
  <c r="EI11" i="6"/>
  <c r="EH9" i="6"/>
  <c r="EH5" i="6"/>
  <c r="EH6" i="6" s="1"/>
  <c r="EI6" i="6" s="1"/>
  <c r="EC14" i="6"/>
  <c r="ED10" i="6"/>
  <c r="EH17" i="6"/>
  <c r="EH18" i="6" s="1"/>
  <c r="EC7" i="6"/>
  <c r="ED4" i="6"/>
  <c r="EI18" i="6" l="1"/>
  <c r="EI12" i="6"/>
  <c r="ED14" i="6"/>
  <c r="EE10" i="6"/>
  <c r="EK1" i="6"/>
  <c r="EJ11" i="6" s="1"/>
  <c r="EJ12" i="6" s="1"/>
  <c r="EI3" i="6"/>
  <c r="ED7" i="6"/>
  <c r="EE4" i="6"/>
  <c r="EI9" i="6"/>
  <c r="EJ9" i="6" l="1"/>
  <c r="EJ3" i="6"/>
  <c r="EE7" i="6"/>
  <c r="EF4" i="6"/>
  <c r="EE14" i="6"/>
  <c r="EF10" i="6"/>
  <c r="EK17" i="6"/>
  <c r="EK11" i="6"/>
  <c r="EK12" i="6" s="1"/>
  <c r="EL1" i="6"/>
  <c r="EJ17" i="6"/>
  <c r="EJ18" i="6" s="1"/>
  <c r="EJ5" i="6"/>
  <c r="EJ6" i="6" s="1"/>
  <c r="EF14" i="6" l="1"/>
  <c r="EG10" i="6"/>
  <c r="EK18" i="6"/>
  <c r="EL11" i="6"/>
  <c r="EL12" i="6" s="1"/>
  <c r="EL17" i="6"/>
  <c r="EL9" i="6"/>
  <c r="EL3" i="6"/>
  <c r="EL5" i="6"/>
  <c r="EM1" i="6"/>
  <c r="EF7" i="6"/>
  <c r="EG4" i="6"/>
  <c r="EK9" i="6"/>
  <c r="EK3" i="6"/>
  <c r="EK5" i="6"/>
  <c r="EK6" i="6" s="1"/>
  <c r="EL6" i="6" l="1"/>
  <c r="EG7" i="6"/>
  <c r="EH4" i="6"/>
  <c r="EL18" i="6"/>
  <c r="EG14" i="6"/>
  <c r="EH10" i="6"/>
  <c r="EN1" i="6"/>
  <c r="EM5" i="6" s="1"/>
  <c r="EM6" i="6" s="1"/>
  <c r="EM11" i="6" l="1"/>
  <c r="EM12" i="6" s="1"/>
  <c r="EH7" i="6"/>
  <c r="EI4" i="6"/>
  <c r="EH14" i="6"/>
  <c r="EI10" i="6"/>
  <c r="EN5" i="6"/>
  <c r="EN6" i="6" s="1"/>
  <c r="EN11" i="6"/>
  <c r="EN12" i="6" s="1"/>
  <c r="EO1" i="6"/>
  <c r="EN9" i="6" s="1"/>
  <c r="EM3" i="6"/>
  <c r="EM17" i="6"/>
  <c r="EM18" i="6" s="1"/>
  <c r="EM9" i="6"/>
  <c r="EI14" i="6" l="1"/>
  <c r="EJ10" i="6"/>
  <c r="EP1" i="6"/>
  <c r="EI7" i="6"/>
  <c r="EJ4" i="6"/>
  <c r="EN17" i="6"/>
  <c r="EN18" i="6" s="1"/>
  <c r="EN3" i="6"/>
  <c r="EQ1" i="6" l="1"/>
  <c r="EP9" i="6"/>
  <c r="EP17" i="6"/>
  <c r="EP3" i="6"/>
  <c r="EO9" i="6"/>
  <c r="EO5" i="6"/>
  <c r="EO6" i="6" s="1"/>
  <c r="EO3" i="6"/>
  <c r="EJ7" i="6"/>
  <c r="EK4" i="6"/>
  <c r="EJ14" i="6"/>
  <c r="EK10" i="6"/>
  <c r="EO11" i="6"/>
  <c r="EO12" i="6" s="1"/>
  <c r="EO17" i="6"/>
  <c r="EO18" i="6" s="1"/>
  <c r="EP18" i="6" s="1"/>
  <c r="EK14" i="6" l="1"/>
  <c r="EL10" i="6"/>
  <c r="EK7" i="6"/>
  <c r="EL4" i="6"/>
  <c r="ER1" i="6"/>
  <c r="EQ9" i="6" s="1"/>
  <c r="EP5" i="6"/>
  <c r="EP6" i="6" s="1"/>
  <c r="EP11" i="6"/>
  <c r="EP12" i="6" s="1"/>
  <c r="EQ6" i="6" l="1"/>
  <c r="EQ17" i="6"/>
  <c r="EQ18" i="6" s="1"/>
  <c r="EQ5" i="6"/>
  <c r="EM4" i="6"/>
  <c r="EL7" i="6"/>
  <c r="EQ3" i="6"/>
  <c r="EL14" i="6"/>
  <c r="EM10" i="6"/>
  <c r="ER11" i="6"/>
  <c r="ER5" i="6"/>
  <c r="ES1" i="6"/>
  <c r="ER3" i="6"/>
  <c r="ER9" i="6"/>
  <c r="EQ11" i="6"/>
  <c r="EQ12" i="6" s="1"/>
  <c r="ER12" i="6" l="1"/>
  <c r="ER6" i="6"/>
  <c r="EM14" i="6"/>
  <c r="EN10" i="6"/>
  <c r="ES17" i="6"/>
  <c r="ES9" i="6"/>
  <c r="ES3" i="6"/>
  <c r="ET1" i="6"/>
  <c r="ES5" i="6" s="1"/>
  <c r="ES6" i="6" s="1"/>
  <c r="EM7" i="6"/>
  <c r="EN4" i="6"/>
  <c r="ER17" i="6"/>
  <c r="ER18" i="6" s="1"/>
  <c r="ES11" i="6" l="1"/>
  <c r="ES12" i="6" s="1"/>
  <c r="EN7" i="6"/>
  <c r="EO4" i="6"/>
  <c r="EN14" i="6"/>
  <c r="EO10" i="6"/>
  <c r="ES18" i="6"/>
  <c r="EU1" i="6"/>
  <c r="ET9" i="6" s="1"/>
  <c r="ET11" i="6" l="1"/>
  <c r="ET12" i="6" s="1"/>
  <c r="ET5" i="6"/>
  <c r="ET6" i="6" s="1"/>
  <c r="EV1" i="6"/>
  <c r="EU9" i="6" s="1"/>
  <c r="EP4" i="6"/>
  <c r="EO7" i="6"/>
  <c r="EO14" i="6"/>
  <c r="EP10" i="6"/>
  <c r="ET17" i="6"/>
  <c r="ET18" i="6" s="1"/>
  <c r="ET3" i="6"/>
  <c r="EU3" i="6" l="1"/>
  <c r="EU11" i="6"/>
  <c r="EU12" i="6" s="1"/>
  <c r="EU17" i="6"/>
  <c r="EU18" i="6" s="1"/>
  <c r="EU5" i="6"/>
  <c r="EU6" i="6" s="1"/>
  <c r="EP14" i="6"/>
  <c r="EQ10" i="6"/>
  <c r="EP7" i="6"/>
  <c r="EQ4" i="6"/>
  <c r="EW1" i="6"/>
  <c r="EV5" i="6" s="1"/>
  <c r="EV6" i="6" s="1"/>
  <c r="EV17" i="6"/>
  <c r="EV18" i="6" l="1"/>
  <c r="EV3" i="6"/>
  <c r="EV9" i="6"/>
  <c r="EQ14" i="6"/>
  <c r="ER10" i="6"/>
  <c r="EX1" i="6"/>
  <c r="EW11" i="6" s="1"/>
  <c r="ER4" i="6"/>
  <c r="EQ7" i="6"/>
  <c r="EV11" i="6"/>
  <c r="EV12" i="6" s="1"/>
  <c r="EW3" i="6" l="1"/>
  <c r="EW9" i="6"/>
  <c r="EW17" i="6"/>
  <c r="EW18" i="6" s="1"/>
  <c r="EW12" i="6"/>
  <c r="ER14" i="6"/>
  <c r="ES10" i="6"/>
  <c r="ER7" i="6"/>
  <c r="ES4" i="6"/>
  <c r="EY1" i="6"/>
  <c r="EX3" i="6" s="1"/>
  <c r="EW5" i="6"/>
  <c r="EW6" i="6" s="1"/>
  <c r="EX11" i="6" l="1"/>
  <c r="EX17" i="6"/>
  <c r="EX5" i="6"/>
  <c r="ES7" i="6"/>
  <c r="ET4" i="6"/>
  <c r="EX6" i="6"/>
  <c r="EY9" i="6"/>
  <c r="EY17" i="6"/>
  <c r="EZ1" i="6"/>
  <c r="EY11" i="6" s="1"/>
  <c r="ES14" i="6"/>
  <c r="ET10" i="6"/>
  <c r="EX9" i="6"/>
  <c r="EX12" i="6"/>
  <c r="EX18" i="6"/>
  <c r="EY3" i="6" l="1"/>
  <c r="EY5" i="6"/>
  <c r="EY6" i="6" s="1"/>
  <c r="EY18" i="6"/>
  <c r="EY12" i="6"/>
  <c r="ET14" i="6"/>
  <c r="EU10" i="6"/>
  <c r="ET7" i="6"/>
  <c r="EU4" i="6"/>
  <c r="FA1" i="6"/>
  <c r="EZ5" i="6" s="1"/>
  <c r="EZ17" i="6" l="1"/>
  <c r="EZ18" i="6" s="1"/>
  <c r="EU7" i="6"/>
  <c r="EV4" i="6"/>
  <c r="EZ6" i="6"/>
  <c r="EZ3" i="6"/>
  <c r="EU14" i="6"/>
  <c r="EV10" i="6"/>
  <c r="EZ9" i="6"/>
  <c r="FB1" i="6"/>
  <c r="EZ11" i="6"/>
  <c r="EZ12" i="6" s="1"/>
  <c r="FC1" i="6" l="1"/>
  <c r="FB5" i="6"/>
  <c r="EV14" i="6"/>
  <c r="EW10" i="6"/>
  <c r="FA5" i="6"/>
  <c r="FA6" i="6" s="1"/>
  <c r="FB6" i="6" s="1"/>
  <c r="FA9" i="6"/>
  <c r="FA3" i="6"/>
  <c r="EV7" i="6"/>
  <c r="EW4" i="6"/>
  <c r="FA17" i="6"/>
  <c r="FA18" i="6" s="1"/>
  <c r="FA11" i="6"/>
  <c r="FA12" i="6" s="1"/>
  <c r="FD1" i="6" l="1"/>
  <c r="FC17" i="6" s="1"/>
  <c r="EX4" i="6"/>
  <c r="EW7" i="6"/>
  <c r="FB3" i="6"/>
  <c r="FB9" i="6"/>
  <c r="FB11" i="6"/>
  <c r="FB12" i="6" s="1"/>
  <c r="FB17" i="6"/>
  <c r="FB18" i="6" s="1"/>
  <c r="EW14" i="6"/>
  <c r="EX10" i="6"/>
  <c r="FC18" i="6" l="1"/>
  <c r="FC5" i="6"/>
  <c r="FC6" i="6" s="1"/>
  <c r="FC11" i="6"/>
  <c r="FC12" i="6" s="1"/>
  <c r="FC9" i="6"/>
  <c r="FC3" i="6"/>
  <c r="EX7" i="6"/>
  <c r="EY4" i="6"/>
  <c r="EX14" i="6"/>
  <c r="EY10" i="6"/>
  <c r="FE1" i="6"/>
  <c r="FD11" i="6" s="1"/>
  <c r="FD12" i="6" s="1"/>
  <c r="FD5" i="6"/>
  <c r="FD6" i="6" s="1"/>
  <c r="FD9" i="6" l="1"/>
  <c r="FD17" i="6"/>
  <c r="FD18" i="6" s="1"/>
  <c r="EY14" i="6"/>
  <c r="EZ10" i="6"/>
  <c r="EY7" i="6"/>
  <c r="EZ4" i="6"/>
  <c r="FE3" i="6"/>
  <c r="FE11" i="6"/>
  <c r="FE12" i="6" s="1"/>
  <c r="FF1" i="6"/>
  <c r="FE9" i="6" s="1"/>
  <c r="FD3" i="6"/>
  <c r="FE5" i="6" l="1"/>
  <c r="FE6" i="6" s="1"/>
  <c r="EZ7" i="6"/>
  <c r="FA4" i="6"/>
  <c r="EZ14" i="6"/>
  <c r="FA10" i="6"/>
  <c r="FF3" i="6"/>
  <c r="FF17" i="6"/>
  <c r="FF5" i="6"/>
  <c r="FF6" i="6" s="1"/>
  <c r="FF11" i="6"/>
  <c r="FF12" i="6" s="1"/>
  <c r="FG1" i="6"/>
  <c r="FE17" i="6"/>
  <c r="FE18" i="6" s="1"/>
  <c r="FA14" i="6" l="1"/>
  <c r="FB10" i="6"/>
  <c r="FF18" i="6"/>
  <c r="FG3" i="6"/>
  <c r="FG17" i="6"/>
  <c r="FG11" i="6"/>
  <c r="FG12" i="6" s="1"/>
  <c r="FG5" i="6"/>
  <c r="FG6" i="6" s="1"/>
  <c r="FG9" i="6"/>
  <c r="FH1" i="6"/>
  <c r="FA7" i="6"/>
  <c r="FB4" i="6"/>
  <c r="FF9" i="6"/>
  <c r="FB7" i="6" l="1"/>
  <c r="FC4" i="6"/>
  <c r="FG18" i="6"/>
  <c r="FB14" i="6"/>
  <c r="FC10" i="6"/>
  <c r="FI1" i="6"/>
  <c r="FH11" i="6" s="1"/>
  <c r="FH12" i="6" s="1"/>
  <c r="FH9" i="6" l="1"/>
  <c r="FC7" i="6"/>
  <c r="FD4" i="6"/>
  <c r="FC14" i="6"/>
  <c r="FD10" i="6"/>
  <c r="FI3" i="6"/>
  <c r="FI17" i="6"/>
  <c r="FJ1" i="6"/>
  <c r="FI11" i="6" s="1"/>
  <c r="FI12" i="6" s="1"/>
  <c r="FH17" i="6"/>
  <c r="FH18" i="6" s="1"/>
  <c r="FH5" i="6"/>
  <c r="FH6" i="6" s="1"/>
  <c r="FH3" i="6"/>
  <c r="FI9" i="6" l="1"/>
  <c r="FK1" i="6"/>
  <c r="FJ5" i="6" s="1"/>
  <c r="FD7" i="6"/>
  <c r="FE4" i="6"/>
  <c r="FD14" i="6"/>
  <c r="FE10" i="6"/>
  <c r="FI5" i="6"/>
  <c r="FI6" i="6" s="1"/>
  <c r="FI18" i="6"/>
  <c r="FJ6" i="6" l="1"/>
  <c r="FL1" i="6"/>
  <c r="FK17" i="6" s="1"/>
  <c r="FJ17" i="6"/>
  <c r="FJ18" i="6" s="1"/>
  <c r="FE14" i="6"/>
  <c r="FF10" i="6"/>
  <c r="FJ9" i="6"/>
  <c r="FJ3" i="6"/>
  <c r="FJ11" i="6"/>
  <c r="FJ12" i="6" s="1"/>
  <c r="FF4" i="6"/>
  <c r="FE7" i="6"/>
  <c r="FK18" i="6" l="1"/>
  <c r="FK11" i="6"/>
  <c r="FK12" i="6" s="1"/>
  <c r="FF7" i="6"/>
  <c r="FG4" i="6"/>
  <c r="FM1" i="6"/>
  <c r="FL3" i="6" s="1"/>
  <c r="FL17" i="6"/>
  <c r="FK5" i="6"/>
  <c r="FK6" i="6" s="1"/>
  <c r="FK3" i="6"/>
  <c r="FK9" i="6"/>
  <c r="FF14" i="6"/>
  <c r="FG10" i="6"/>
  <c r="FG14" i="6" l="1"/>
  <c r="FH10" i="6"/>
  <c r="FL9" i="6"/>
  <c r="FG7" i="6"/>
  <c r="FH4" i="6"/>
  <c r="FN1" i="6"/>
  <c r="FM17" i="6" s="1"/>
  <c r="FL5" i="6"/>
  <c r="FL6" i="6" s="1"/>
  <c r="FL11" i="6"/>
  <c r="FL12" i="6" s="1"/>
  <c r="FL18" i="6"/>
  <c r="FM11" i="6" l="1"/>
  <c r="FM12" i="6" s="1"/>
  <c r="FM18" i="6"/>
  <c r="FI4" i="6"/>
  <c r="FH7" i="6"/>
  <c r="FO1" i="6"/>
  <c r="FN9" i="6" s="1"/>
  <c r="FM3" i="6"/>
  <c r="FH14" i="6"/>
  <c r="FI10" i="6"/>
  <c r="FM9" i="6"/>
  <c r="FM5" i="6"/>
  <c r="FM6" i="6" s="1"/>
  <c r="FN17" i="6" l="1"/>
  <c r="FN18" i="6" s="1"/>
  <c r="FN11" i="6"/>
  <c r="FN12" i="6" s="1"/>
  <c r="FN3" i="6"/>
  <c r="FI14" i="6"/>
  <c r="FJ10" i="6"/>
  <c r="FJ4" i="6"/>
  <c r="FI7" i="6"/>
  <c r="FO9" i="6"/>
  <c r="FO3" i="6"/>
  <c r="FO17" i="6"/>
  <c r="FP1" i="6"/>
  <c r="FN5" i="6"/>
  <c r="FN6" i="6" s="1"/>
  <c r="FO18" i="6" l="1"/>
  <c r="FK4" i="6"/>
  <c r="FJ7" i="6"/>
  <c r="FQ1" i="6"/>
  <c r="FP3" i="6" s="1"/>
  <c r="FJ14" i="6"/>
  <c r="FK10" i="6"/>
  <c r="FO11" i="6"/>
  <c r="FO12" i="6" s="1"/>
  <c r="FO5" i="6"/>
  <c r="FO6" i="6" s="1"/>
  <c r="FP17" i="6" l="1"/>
  <c r="FP9" i="6"/>
  <c r="FP5" i="6"/>
  <c r="FP6" i="6" s="1"/>
  <c r="FP11" i="6"/>
  <c r="FP12" i="6" s="1"/>
  <c r="FK14" i="6"/>
  <c r="FL10" i="6"/>
  <c r="FK7" i="6"/>
  <c r="FL4" i="6"/>
  <c r="FR1" i="6"/>
  <c r="FQ11" i="6" s="1"/>
  <c r="FP18" i="6"/>
  <c r="FQ17" i="6" l="1"/>
  <c r="FQ18" i="6" s="1"/>
  <c r="FQ5" i="6"/>
  <c r="FQ6" i="6" s="1"/>
  <c r="FS1" i="6"/>
  <c r="FR9" i="6" s="1"/>
  <c r="FL14" i="6"/>
  <c r="FM10" i="6"/>
  <c r="FL7" i="6"/>
  <c r="FM4" i="6"/>
  <c r="FQ9" i="6"/>
  <c r="FQ12" i="6"/>
  <c r="FQ3" i="6"/>
  <c r="FR11" i="6" l="1"/>
  <c r="FR12" i="6" s="1"/>
  <c r="FR5" i="6"/>
  <c r="FR6" i="6" s="1"/>
  <c r="FM7" i="6"/>
  <c r="FN4" i="6"/>
  <c r="FT1" i="6"/>
  <c r="FS17" i="6" s="1"/>
  <c r="FR17" i="6"/>
  <c r="FR18" i="6" s="1"/>
  <c r="FR3" i="6"/>
  <c r="FM14" i="6"/>
  <c r="FN10" i="6"/>
  <c r="FS9" i="6" l="1"/>
  <c r="FS3" i="6"/>
  <c r="FS18" i="6"/>
  <c r="FN7" i="6"/>
  <c r="FO4" i="6"/>
  <c r="FN14" i="6"/>
  <c r="FO10" i="6"/>
  <c r="FT5" i="6"/>
  <c r="FU1" i="6"/>
  <c r="FT17" i="6" s="1"/>
  <c r="FS11" i="6"/>
  <c r="FS12" i="6" s="1"/>
  <c r="FS5" i="6"/>
  <c r="FS6" i="6" s="1"/>
  <c r="FT6" i="6" l="1"/>
  <c r="FT9" i="6"/>
  <c r="FT11" i="6"/>
  <c r="FT12" i="6" s="1"/>
  <c r="FV1" i="6"/>
  <c r="FU9" i="6"/>
  <c r="FU3" i="6"/>
  <c r="FU5" i="6"/>
  <c r="FU6" i="6" s="1"/>
  <c r="FU17" i="6"/>
  <c r="FU11" i="6"/>
  <c r="FO7" i="6"/>
  <c r="FP4" i="6"/>
  <c r="FO14" i="6"/>
  <c r="FP10" i="6"/>
  <c r="FT3" i="6"/>
  <c r="FT18" i="6"/>
  <c r="FU12" i="6" l="1"/>
  <c r="FP14" i="6"/>
  <c r="FQ10" i="6"/>
  <c r="FU18" i="6"/>
  <c r="FW1" i="6"/>
  <c r="FV9" i="6"/>
  <c r="FV17" i="6"/>
  <c r="FP7" i="6"/>
  <c r="FQ4" i="6"/>
  <c r="FQ7" i="6" l="1"/>
  <c r="FR4" i="6"/>
  <c r="FV18" i="6"/>
  <c r="FQ14" i="6"/>
  <c r="FR10" i="6"/>
  <c r="FW17" i="6"/>
  <c r="FW11" i="6"/>
  <c r="FW9" i="6"/>
  <c r="FX1" i="6"/>
  <c r="FW5" i="6" s="1"/>
  <c r="FV3" i="6"/>
  <c r="FV5" i="6"/>
  <c r="FV6" i="6" s="1"/>
  <c r="FV11" i="6"/>
  <c r="FV12" i="6" s="1"/>
  <c r="FW6" i="6" l="1"/>
  <c r="FW3" i="6"/>
  <c r="FW12" i="6"/>
  <c r="FR14" i="6"/>
  <c r="FS10" i="6"/>
  <c r="FW18" i="6"/>
  <c r="FS4" i="6"/>
  <c r="FR7" i="6"/>
  <c r="FX5" i="6"/>
  <c r="FX6" i="6" s="1"/>
  <c r="FY1" i="6"/>
  <c r="FS7" i="6" l="1"/>
  <c r="FT4" i="6"/>
  <c r="FZ1" i="6"/>
  <c r="FY17" i="6" s="1"/>
  <c r="FX3" i="6"/>
  <c r="FS14" i="6"/>
  <c r="FT10" i="6"/>
  <c r="FX9" i="6"/>
  <c r="FX11" i="6"/>
  <c r="FX12" i="6" s="1"/>
  <c r="FX17" i="6"/>
  <c r="FX18" i="6" s="1"/>
  <c r="FY3" i="6" l="1"/>
  <c r="FY11" i="6"/>
  <c r="FY12" i="6" s="1"/>
  <c r="FY9" i="6"/>
  <c r="FY18" i="6"/>
  <c r="FY5" i="6"/>
  <c r="FY6" i="6" s="1"/>
  <c r="FT7" i="6"/>
  <c r="FU4" i="6"/>
  <c r="FT14" i="6"/>
  <c r="FU10" i="6"/>
  <c r="GA1" i="6"/>
  <c r="FZ17" i="6" s="1"/>
  <c r="FZ9" i="6" l="1"/>
  <c r="FU14" i="6"/>
  <c r="FV10" i="6"/>
  <c r="GB1" i="6"/>
  <c r="FZ5" i="6"/>
  <c r="FZ6" i="6" s="1"/>
  <c r="FV4" i="6"/>
  <c r="FU7" i="6"/>
  <c r="FZ3" i="6"/>
  <c r="FZ11" i="6"/>
  <c r="FZ12" i="6" s="1"/>
  <c r="FZ18" i="6"/>
  <c r="GC1" i="6" l="1"/>
  <c r="GB9" i="6" s="1"/>
  <c r="GA5" i="6"/>
  <c r="GA6" i="6" s="1"/>
  <c r="GA9" i="6"/>
  <c r="GA11" i="6"/>
  <c r="GA12" i="6" s="1"/>
  <c r="GA3" i="6"/>
  <c r="FV7" i="6"/>
  <c r="FW4" i="6"/>
  <c r="FV14" i="6"/>
  <c r="FW10" i="6"/>
  <c r="GA17" i="6"/>
  <c r="GA18" i="6" s="1"/>
  <c r="GB18" i="6" l="1"/>
  <c r="GB17" i="6"/>
  <c r="FW7" i="6"/>
  <c r="FX4" i="6"/>
  <c r="GC9" i="6"/>
  <c r="GC11" i="6"/>
  <c r="GC5" i="6"/>
  <c r="GC17" i="6"/>
  <c r="GC18" i="6" s="1"/>
  <c r="GD1" i="6"/>
  <c r="GC3" i="6" s="1"/>
  <c r="GB11" i="6"/>
  <c r="GB12" i="6" s="1"/>
  <c r="GB5" i="6"/>
  <c r="GB6" i="6" s="1"/>
  <c r="GB3" i="6"/>
  <c r="FW14" i="6"/>
  <c r="FX10" i="6"/>
  <c r="GC6" i="6" l="1"/>
  <c r="GC12" i="6"/>
  <c r="FX14" i="6"/>
  <c r="FY10" i="6"/>
  <c r="FX7" i="6"/>
  <c r="FY4" i="6"/>
  <c r="GE1" i="6"/>
  <c r="GD5" i="6" s="1"/>
  <c r="GD6" i="6" s="1"/>
  <c r="GD3" i="6" l="1"/>
  <c r="GD17" i="6"/>
  <c r="GD18" i="6" s="1"/>
  <c r="FY7" i="6"/>
  <c r="FZ4" i="6"/>
  <c r="GF1" i="6"/>
  <c r="GE17" i="6" s="1"/>
  <c r="GE18" i="6" s="1"/>
  <c r="FY14" i="6"/>
  <c r="FZ10" i="6"/>
  <c r="GD11" i="6"/>
  <c r="GD12" i="6" s="1"/>
  <c r="GD9" i="6"/>
  <c r="GE11" i="6" l="1"/>
  <c r="GE12" i="6" s="1"/>
  <c r="GE9" i="6"/>
  <c r="GE3" i="6"/>
  <c r="FZ14" i="6"/>
  <c r="GA10" i="6"/>
  <c r="FZ7" i="6"/>
  <c r="GA4" i="6"/>
  <c r="GG1" i="6"/>
  <c r="GE5" i="6"/>
  <c r="GE6" i="6" s="1"/>
  <c r="GH1" i="6" l="1"/>
  <c r="GG5" i="6" s="1"/>
  <c r="GA14" i="6"/>
  <c r="GB10" i="6"/>
  <c r="GF11" i="6"/>
  <c r="GF12" i="6" s="1"/>
  <c r="GA7" i="6"/>
  <c r="GB4" i="6"/>
  <c r="GF5" i="6"/>
  <c r="GF6" i="6" s="1"/>
  <c r="GF3" i="6"/>
  <c r="GF17" i="6"/>
  <c r="GF18" i="6" s="1"/>
  <c r="GF9" i="6"/>
  <c r="GG6" i="6" l="1"/>
  <c r="GG3" i="6"/>
  <c r="GG9" i="6"/>
  <c r="GG11" i="6"/>
  <c r="GG12" i="6" s="1"/>
  <c r="GG17" i="6"/>
  <c r="GG18" i="6" s="1"/>
  <c r="GB7" i="6"/>
  <c r="GC4" i="6"/>
  <c r="GI1" i="6"/>
  <c r="GB14" i="6"/>
  <c r="GC10" i="6"/>
  <c r="GJ1" i="6" l="1"/>
  <c r="GI5" i="6" s="1"/>
  <c r="GH9" i="6"/>
  <c r="GH17" i="6"/>
  <c r="GH18" i="6" s="1"/>
  <c r="GD4" i="6"/>
  <c r="GC7" i="6"/>
  <c r="GH11" i="6"/>
  <c r="GH12" i="6" s="1"/>
  <c r="GH3" i="6"/>
  <c r="GH5" i="6"/>
  <c r="GH6" i="6" s="1"/>
  <c r="GC14" i="6"/>
  <c r="GD10" i="6"/>
  <c r="GI6" i="6" l="1"/>
  <c r="GI17" i="6"/>
  <c r="GI18" i="6" s="1"/>
  <c r="GI3" i="6"/>
  <c r="GI11" i="6"/>
  <c r="GI12" i="6" s="1"/>
  <c r="GI9" i="6"/>
  <c r="GD7" i="6"/>
  <c r="GE4" i="6"/>
  <c r="GK1" i="6"/>
  <c r="GJ9" i="6" s="1"/>
  <c r="GD14" i="6"/>
  <c r="GE10" i="6"/>
  <c r="GJ3" i="6" l="1"/>
  <c r="GL1" i="6"/>
  <c r="GK11" i="6"/>
  <c r="GK3" i="6"/>
  <c r="GK9" i="6"/>
  <c r="GJ17" i="6"/>
  <c r="GJ18" i="6" s="1"/>
  <c r="GJ11" i="6"/>
  <c r="GJ12" i="6" s="1"/>
  <c r="GK12" i="6" s="1"/>
  <c r="GJ5" i="6"/>
  <c r="GJ6" i="6" s="1"/>
  <c r="GE14" i="6"/>
  <c r="GF10" i="6"/>
  <c r="GE7" i="6"/>
  <c r="GF4" i="6"/>
  <c r="GF7" i="6" l="1"/>
  <c r="GG4" i="6"/>
  <c r="GF14" i="6"/>
  <c r="GG10" i="6"/>
  <c r="GM1" i="6"/>
  <c r="GL5" i="6" s="1"/>
  <c r="GK17" i="6"/>
  <c r="GK18" i="6" s="1"/>
  <c r="GK5" i="6"/>
  <c r="GK6" i="6" s="1"/>
  <c r="GL3" i="6" l="1"/>
  <c r="GL17" i="6"/>
  <c r="GL18" i="6" s="1"/>
  <c r="GL6" i="6"/>
  <c r="GG14" i="6"/>
  <c r="GH10" i="6"/>
  <c r="GM5" i="6"/>
  <c r="GM6" i="6" s="1"/>
  <c r="GM17" i="6"/>
  <c r="GN1" i="6"/>
  <c r="GM11" i="6" s="1"/>
  <c r="GG7" i="6"/>
  <c r="GH4" i="6"/>
  <c r="GL11" i="6"/>
  <c r="GL12" i="6" s="1"/>
  <c r="GL9" i="6"/>
  <c r="GM18" i="6" l="1"/>
  <c r="GM3" i="6"/>
  <c r="GM12" i="6"/>
  <c r="GH7" i="6"/>
  <c r="GI4" i="6"/>
  <c r="GI10" i="6"/>
  <c r="GH14" i="6"/>
  <c r="GN5" i="6"/>
  <c r="GN6" i="6" s="1"/>
  <c r="GO1" i="6"/>
  <c r="GN11" i="6" s="1"/>
  <c r="GM9" i="6"/>
  <c r="GN17" i="6" l="1"/>
  <c r="GN18" i="6" s="1"/>
  <c r="GN9" i="6"/>
  <c r="GJ4" i="6"/>
  <c r="GI7" i="6"/>
  <c r="GI14" i="6"/>
  <c r="GJ10" i="6"/>
  <c r="GN12" i="6"/>
  <c r="GO11" i="6"/>
  <c r="GO9" i="6"/>
  <c r="GO5" i="6"/>
  <c r="GO6" i="6" s="1"/>
  <c r="GP1" i="6"/>
  <c r="GN3" i="6"/>
  <c r="GJ14" i="6" l="1"/>
  <c r="GK10" i="6"/>
  <c r="GQ1" i="6"/>
  <c r="GP9" i="6"/>
  <c r="GP11" i="6"/>
  <c r="GP3" i="6"/>
  <c r="GP5" i="6"/>
  <c r="GP6" i="6" s="1"/>
  <c r="GO3" i="6"/>
  <c r="GO12" i="6"/>
  <c r="GO17" i="6"/>
  <c r="GO18" i="6" s="1"/>
  <c r="GJ7" i="6"/>
  <c r="GK4" i="6"/>
  <c r="GL4" i="6" l="1"/>
  <c r="GK7" i="6"/>
  <c r="GR1" i="6"/>
  <c r="GQ17" i="6" s="1"/>
  <c r="GP12" i="6"/>
  <c r="GK14" i="6"/>
  <c r="GL10" i="6"/>
  <c r="GP17" i="6"/>
  <c r="GP18" i="6" s="1"/>
  <c r="GQ11" i="6" l="1"/>
  <c r="GQ18" i="6"/>
  <c r="GQ5" i="6"/>
  <c r="GQ6" i="6" s="1"/>
  <c r="GQ9" i="6"/>
  <c r="GQ3" i="6"/>
  <c r="GL14" i="6"/>
  <c r="GM10" i="6"/>
  <c r="GQ12" i="6"/>
  <c r="GS1" i="6"/>
  <c r="GR3" i="6" s="1"/>
  <c r="GM4" i="6"/>
  <c r="GL7" i="6"/>
  <c r="GR9" i="6" l="1"/>
  <c r="GR17" i="6"/>
  <c r="GR18" i="6" s="1"/>
  <c r="GR5" i="6"/>
  <c r="GR6" i="6" s="1"/>
  <c r="GM7" i="6"/>
  <c r="GN4" i="6"/>
  <c r="GM14" i="6"/>
  <c r="GN10" i="6"/>
  <c r="GS9" i="6"/>
  <c r="GT1" i="6"/>
  <c r="GR11" i="6"/>
  <c r="GR12" i="6" s="1"/>
  <c r="GN14" i="6" l="1"/>
  <c r="GO10" i="6"/>
  <c r="GU1" i="6"/>
  <c r="GT11" i="6" s="1"/>
  <c r="GS11" i="6"/>
  <c r="GS12" i="6" s="1"/>
  <c r="GN7" i="6"/>
  <c r="GO4" i="6"/>
  <c r="GS17" i="6"/>
  <c r="GS18" i="6" s="1"/>
  <c r="GS5" i="6"/>
  <c r="GS6" i="6" s="1"/>
  <c r="GS3" i="6"/>
  <c r="GT3" i="6" l="1"/>
  <c r="GT5" i="6"/>
  <c r="GT6" i="6" s="1"/>
  <c r="GT12" i="6"/>
  <c r="GT9" i="6"/>
  <c r="GT17" i="6"/>
  <c r="GT18" i="6" s="1"/>
  <c r="GO7" i="6"/>
  <c r="GP4" i="6"/>
  <c r="GO14" i="6"/>
  <c r="GP10" i="6"/>
  <c r="GV1" i="6"/>
  <c r="GU3" i="6" s="1"/>
  <c r="GU17" i="6" l="1"/>
  <c r="GU18" i="6" s="1"/>
  <c r="GU9" i="6"/>
  <c r="GP14" i="6"/>
  <c r="GQ10" i="6"/>
  <c r="GW1" i="6"/>
  <c r="GV9" i="6"/>
  <c r="GV3" i="6"/>
  <c r="GV17" i="6"/>
  <c r="GV11" i="6"/>
  <c r="GP7" i="6"/>
  <c r="GQ4" i="6"/>
  <c r="GU5" i="6"/>
  <c r="GU6" i="6" s="1"/>
  <c r="GU11" i="6"/>
  <c r="GU12" i="6" s="1"/>
  <c r="GX1" i="6" l="1"/>
  <c r="GW17" i="6"/>
  <c r="GW9" i="6"/>
  <c r="GW5" i="6"/>
  <c r="GW3" i="6"/>
  <c r="GV18" i="6"/>
  <c r="GV12" i="6"/>
  <c r="GV5" i="6"/>
  <c r="GV6" i="6" s="1"/>
  <c r="GW6" i="6" s="1"/>
  <c r="GQ7" i="6"/>
  <c r="GR4" i="6"/>
  <c r="GQ14" i="6"/>
  <c r="GR10" i="6"/>
  <c r="GW18" i="6" l="1"/>
  <c r="GR14" i="6"/>
  <c r="GS10" i="6"/>
  <c r="GR7" i="6"/>
  <c r="GS4" i="6"/>
  <c r="GX5" i="6"/>
  <c r="GX6" i="6" s="1"/>
  <c r="GX17" i="6"/>
  <c r="GX9" i="6"/>
  <c r="GY1" i="6"/>
  <c r="GW11" i="6"/>
  <c r="GW12" i="6" s="1"/>
  <c r="GS7" i="6" l="1"/>
  <c r="GT4" i="6"/>
  <c r="GY17" i="6"/>
  <c r="GZ1" i="6"/>
  <c r="GY5" i="6" s="1"/>
  <c r="GY6" i="6" s="1"/>
  <c r="GS14" i="6"/>
  <c r="GT10" i="6"/>
  <c r="GX11" i="6"/>
  <c r="GX12" i="6" s="1"/>
  <c r="GX18" i="6"/>
  <c r="GX3" i="6"/>
  <c r="GY3" i="6" l="1"/>
  <c r="GY9" i="6"/>
  <c r="GT14" i="6"/>
  <c r="GU10" i="6"/>
  <c r="GT7" i="6"/>
  <c r="GU4" i="6"/>
  <c r="GZ9" i="6"/>
  <c r="GZ3" i="6"/>
  <c r="GZ5" i="6"/>
  <c r="GZ6" i="6" s="1"/>
  <c r="HA1" i="6"/>
  <c r="GZ17" i="6" s="1"/>
  <c r="GY18" i="6"/>
  <c r="GY11" i="6"/>
  <c r="GY12" i="6" s="1"/>
  <c r="GZ18" i="6" l="1"/>
  <c r="HB1" i="6"/>
  <c r="HA5" i="6" s="1"/>
  <c r="HA6" i="6" s="1"/>
  <c r="GU14" i="6"/>
  <c r="GV10" i="6"/>
  <c r="GU7" i="6"/>
  <c r="GV4" i="6"/>
  <c r="GZ11" i="6"/>
  <c r="GZ12" i="6" s="1"/>
  <c r="HA3" i="6" l="1"/>
  <c r="HA17" i="6"/>
  <c r="HA18" i="6" s="1"/>
  <c r="HA11" i="6"/>
  <c r="HA12" i="6" s="1"/>
  <c r="HA9" i="6"/>
  <c r="GV7" i="6"/>
  <c r="GW4" i="6"/>
  <c r="GV14" i="6"/>
  <c r="GW10" i="6"/>
  <c r="HC1" i="6"/>
  <c r="HB17" i="6" s="1"/>
  <c r="HB3" i="6" l="1"/>
  <c r="GW14" i="6"/>
  <c r="GX10" i="6"/>
  <c r="HD1" i="6"/>
  <c r="HC9" i="6" s="1"/>
  <c r="HC11" i="6"/>
  <c r="GW7" i="6"/>
  <c r="GX4" i="6"/>
  <c r="HB11" i="6"/>
  <c r="HB12" i="6" s="1"/>
  <c r="HB9" i="6"/>
  <c r="HB18" i="6"/>
  <c r="HB5" i="6"/>
  <c r="HB6" i="6" s="1"/>
  <c r="HC3" i="6" l="1"/>
  <c r="HC5" i="6"/>
  <c r="HC6" i="6" s="1"/>
  <c r="HC12" i="6"/>
  <c r="HE1" i="6"/>
  <c r="HD9" i="6" s="1"/>
  <c r="HC17" i="6"/>
  <c r="HC18" i="6" s="1"/>
  <c r="GX7" i="6"/>
  <c r="GY4" i="6"/>
  <c r="GX14" i="6"/>
  <c r="GY10" i="6"/>
  <c r="HD11" i="6" l="1"/>
  <c r="HD5" i="6"/>
  <c r="HD17" i="6"/>
  <c r="HD18" i="6" s="1"/>
  <c r="HD3" i="6"/>
  <c r="HD6" i="6"/>
  <c r="HD12" i="6"/>
  <c r="GY7" i="6"/>
  <c r="GZ4" i="6"/>
  <c r="GY14" i="6"/>
  <c r="GZ10" i="6"/>
  <c r="HF1" i="6"/>
  <c r="HE9" i="6" s="1"/>
  <c r="HE11" i="6" l="1"/>
  <c r="HE5" i="6"/>
  <c r="HE6" i="6" s="1"/>
  <c r="HE3" i="6"/>
  <c r="HE17" i="6"/>
  <c r="HE18" i="6" s="1"/>
  <c r="GZ14" i="6"/>
  <c r="HA10" i="6"/>
  <c r="GZ7" i="6"/>
  <c r="HA4" i="6"/>
  <c r="HG1" i="6"/>
  <c r="HF5" i="6" s="1"/>
  <c r="HF6" i="6" s="1"/>
  <c r="HE12" i="6"/>
  <c r="HF11" i="6" l="1"/>
  <c r="HF12" i="6" s="1"/>
  <c r="HF3" i="6"/>
  <c r="HF9" i="6"/>
  <c r="HH1" i="6"/>
  <c r="HA14" i="6"/>
  <c r="HB10" i="6"/>
  <c r="HB4" i="6"/>
  <c r="HA7" i="6"/>
  <c r="HF17" i="6"/>
  <c r="HF18" i="6" s="1"/>
  <c r="HI1" i="6" l="1"/>
  <c r="HH17" i="6" s="1"/>
  <c r="HG5" i="6"/>
  <c r="HG6" i="6" s="1"/>
  <c r="HG9" i="6"/>
  <c r="HG11" i="6"/>
  <c r="HG12" i="6" s="1"/>
  <c r="HG3" i="6"/>
  <c r="HG17" i="6"/>
  <c r="HG18" i="6" s="1"/>
  <c r="HB7" i="6"/>
  <c r="HC4" i="6"/>
  <c r="HB14" i="6"/>
  <c r="HC10" i="6"/>
  <c r="HH18" i="6" l="1"/>
  <c r="HC7" i="6"/>
  <c r="HD4" i="6"/>
  <c r="HH3" i="6"/>
  <c r="HH11" i="6"/>
  <c r="HH12" i="6" s="1"/>
  <c r="HH9" i="6"/>
  <c r="HJ1" i="6"/>
  <c r="HI3" i="6" s="1"/>
  <c r="HC14" i="6"/>
  <c r="HD10" i="6"/>
  <c r="HH5" i="6"/>
  <c r="HH6" i="6" s="1"/>
  <c r="HI5" i="6" l="1"/>
  <c r="HI6" i="6" s="1"/>
  <c r="HD7" i="6"/>
  <c r="HE4" i="6"/>
  <c r="HD14" i="6"/>
  <c r="HE10" i="6"/>
  <c r="HI11" i="6"/>
  <c r="HI12" i="6" s="1"/>
  <c r="HK1" i="6"/>
  <c r="HJ11" i="6" s="1"/>
  <c r="HI9" i="6"/>
  <c r="HI17" i="6"/>
  <c r="HI18" i="6" s="1"/>
  <c r="HJ3" i="6" l="1"/>
  <c r="HJ12" i="6"/>
  <c r="HJ9" i="6"/>
  <c r="HE7" i="6"/>
  <c r="HF4" i="6"/>
  <c r="HJ17" i="6"/>
  <c r="HJ18" i="6" s="1"/>
  <c r="HE14" i="6"/>
  <c r="HF10" i="6"/>
  <c r="HL1" i="6"/>
  <c r="HK5" i="6" s="1"/>
  <c r="HJ5" i="6"/>
  <c r="HJ6" i="6" s="1"/>
  <c r="HK6" i="6" l="1"/>
  <c r="HK17" i="6"/>
  <c r="HK18" i="6" s="1"/>
  <c r="HK3" i="6"/>
  <c r="HM1" i="6"/>
  <c r="HL5" i="6" s="1"/>
  <c r="HK11" i="6"/>
  <c r="HK12" i="6" s="1"/>
  <c r="HF7" i="6"/>
  <c r="HG4" i="6"/>
  <c r="HK9" i="6"/>
  <c r="HF14" i="6"/>
  <c r="HG10" i="6"/>
  <c r="HL17" i="6" l="1"/>
  <c r="HL18" i="6" s="1"/>
  <c r="HL9" i="6"/>
  <c r="HL3" i="6"/>
  <c r="HG7" i="6"/>
  <c r="HH4" i="6"/>
  <c r="HG14" i="6"/>
  <c r="HH10" i="6"/>
  <c r="HM5" i="6"/>
  <c r="HN1" i="6"/>
  <c r="HM3" i="6" s="1"/>
  <c r="HL6" i="6"/>
  <c r="HL11" i="6"/>
  <c r="HL12" i="6" s="1"/>
  <c r="HM6" i="6" l="1"/>
  <c r="HO1" i="6"/>
  <c r="HH7" i="6"/>
  <c r="HI4" i="6"/>
  <c r="HM9" i="6"/>
  <c r="HM11" i="6"/>
  <c r="HM12" i="6" s="1"/>
  <c r="HH14" i="6"/>
  <c r="HI10" i="6"/>
  <c r="HM17" i="6"/>
  <c r="HM18" i="6" s="1"/>
  <c r="HP1" i="6" l="1"/>
  <c r="HO11" i="6" s="1"/>
  <c r="HN17" i="6"/>
  <c r="HN18" i="6" s="1"/>
  <c r="HN3" i="6"/>
  <c r="HN5" i="6"/>
  <c r="HN6" i="6" s="1"/>
  <c r="HN11" i="6"/>
  <c r="HN12" i="6" s="1"/>
  <c r="HI14" i="6"/>
  <c r="HJ10" i="6"/>
  <c r="HN9" i="6"/>
  <c r="HJ4" i="6"/>
  <c r="HI7" i="6"/>
  <c r="HO12" i="6" l="1"/>
  <c r="HO9" i="6"/>
  <c r="HO17" i="6"/>
  <c r="HO18" i="6" s="1"/>
  <c r="HO5" i="6"/>
  <c r="HO6" i="6" s="1"/>
  <c r="HJ14" i="6"/>
  <c r="HK10" i="6"/>
  <c r="HQ1" i="6"/>
  <c r="HP3" i="6" s="1"/>
  <c r="HO3" i="6"/>
  <c r="HJ7" i="6"/>
  <c r="HK4" i="6"/>
  <c r="HP5" i="6" l="1"/>
  <c r="HP6" i="6" s="1"/>
  <c r="HK14" i="6"/>
  <c r="HL10" i="6"/>
  <c r="HR1" i="6"/>
  <c r="HQ3" i="6" s="1"/>
  <c r="HP11" i="6"/>
  <c r="HP12" i="6" s="1"/>
  <c r="HP17" i="6"/>
  <c r="HP18" i="6" s="1"/>
  <c r="HK7" i="6"/>
  <c r="HL4" i="6"/>
  <c r="HP9" i="6"/>
  <c r="HQ11" i="6" l="1"/>
  <c r="HQ5" i="6"/>
  <c r="HQ17" i="6"/>
  <c r="HQ18" i="6" s="1"/>
  <c r="HQ12" i="6"/>
  <c r="HQ6" i="6"/>
  <c r="HL7" i="6"/>
  <c r="HM4" i="6"/>
  <c r="HL14" i="6"/>
  <c r="HM10" i="6"/>
  <c r="HR11" i="6"/>
  <c r="HR12" i="6" s="1"/>
  <c r="HS1" i="6"/>
  <c r="HR17" i="6" s="1"/>
  <c r="HR18" i="6" s="1"/>
  <c r="HR5" i="6"/>
  <c r="HR6" i="6" s="1"/>
  <c r="HQ9" i="6"/>
  <c r="HR9" i="6" l="1"/>
  <c r="HR3" i="6"/>
  <c r="HM7" i="6"/>
  <c r="HN4" i="6"/>
  <c r="HS17" i="6"/>
  <c r="HS18" i="6" s="1"/>
  <c r="HS9" i="6"/>
  <c r="HS5" i="6"/>
  <c r="HS6" i="6" s="1"/>
  <c r="HS11" i="6"/>
  <c r="HS12" i="6" s="1"/>
  <c r="HT1" i="6"/>
  <c r="HS3" i="6" s="1"/>
  <c r="HM14" i="6"/>
  <c r="HN10" i="6"/>
  <c r="HN14" i="6" l="1"/>
  <c r="HO10" i="6"/>
  <c r="HN7" i="6"/>
  <c r="HO4" i="6"/>
  <c r="HU1" i="6"/>
  <c r="HT17" i="6" s="1"/>
  <c r="HT18" i="6" s="1"/>
  <c r="HT5" i="6" l="1"/>
  <c r="HT6" i="6" s="1"/>
  <c r="HT9" i="6"/>
  <c r="HT3" i="6"/>
  <c r="HT11" i="6"/>
  <c r="HT12" i="6" s="1"/>
  <c r="HO7" i="6"/>
  <c r="HP4" i="6"/>
  <c r="HO14" i="6"/>
  <c r="HP10" i="6"/>
  <c r="HV1" i="6"/>
  <c r="HU5" i="6" s="1"/>
  <c r="HU6" i="6" s="1"/>
  <c r="HU9" i="6" l="1"/>
  <c r="HU11" i="6"/>
  <c r="HU12" i="6" s="1"/>
  <c r="HP14" i="6"/>
  <c r="HQ10" i="6"/>
  <c r="HW1" i="6"/>
  <c r="HP7" i="6"/>
  <c r="HQ4" i="6"/>
  <c r="HU3" i="6"/>
  <c r="HU17" i="6"/>
  <c r="HU18" i="6" s="1"/>
  <c r="HX1" i="6" l="1"/>
  <c r="HW5" i="6" s="1"/>
  <c r="HV11" i="6"/>
  <c r="HV12" i="6" s="1"/>
  <c r="HV3" i="6"/>
  <c r="HV9" i="6"/>
  <c r="HV5" i="6"/>
  <c r="HV6" i="6" s="1"/>
  <c r="HR4" i="6"/>
  <c r="HQ7" i="6"/>
  <c r="HQ14" i="6"/>
  <c r="HR10" i="6"/>
  <c r="HV17" i="6"/>
  <c r="HV18" i="6" s="1"/>
  <c r="HW9" i="6" l="1"/>
  <c r="HW17" i="6"/>
  <c r="HW18" i="6" s="1"/>
  <c r="HR14" i="6"/>
  <c r="HS10" i="6"/>
  <c r="HY1" i="6"/>
  <c r="HX5" i="6" s="1"/>
  <c r="HR7" i="6"/>
  <c r="HS4" i="6"/>
  <c r="HW3" i="6"/>
  <c r="HW6" i="6"/>
  <c r="HW11" i="6"/>
  <c r="HW12" i="6" s="1"/>
  <c r="HX3" i="6" l="1"/>
  <c r="HS7" i="6"/>
  <c r="HT4" i="6"/>
  <c r="HS14" i="6"/>
  <c r="HT10" i="6"/>
  <c r="HY17" i="6"/>
  <c r="HY11" i="6"/>
  <c r="HY9" i="6"/>
  <c r="HY5" i="6"/>
  <c r="HZ1" i="6"/>
  <c r="HX6" i="6"/>
  <c r="HX11" i="6"/>
  <c r="HX12" i="6" s="1"/>
  <c r="HX17" i="6"/>
  <c r="HX18" i="6" s="1"/>
  <c r="HX9" i="6"/>
  <c r="HY18" i="6" l="1"/>
  <c r="HY12" i="6"/>
  <c r="HY6" i="6"/>
  <c r="IA1" i="6"/>
  <c r="HZ9" i="6" s="1"/>
  <c r="HU4" i="6"/>
  <c r="HT7" i="6"/>
  <c r="HT14" i="6"/>
  <c r="HU10" i="6"/>
  <c r="HY3" i="6"/>
  <c r="HZ5" i="6" l="1"/>
  <c r="HZ17" i="6"/>
  <c r="HZ18" i="6" s="1"/>
  <c r="HZ11" i="6"/>
  <c r="HZ12" i="6" s="1"/>
  <c r="HZ3" i="6"/>
  <c r="HU14" i="6"/>
  <c r="HV10" i="6"/>
  <c r="HZ6" i="6"/>
  <c r="HV4" i="6"/>
  <c r="HU7" i="6"/>
  <c r="IB1" i="6"/>
  <c r="IA3" i="6" s="1"/>
  <c r="IA5" i="6"/>
  <c r="IA9" i="6" l="1"/>
  <c r="IA17" i="6"/>
  <c r="IA18" i="6" s="1"/>
  <c r="HV7" i="6"/>
  <c r="HW4" i="6"/>
  <c r="IA6" i="6"/>
  <c r="IC1" i="6"/>
  <c r="IB3" i="6" s="1"/>
  <c r="IB9" i="6"/>
  <c r="HV14" i="6"/>
  <c r="HW10" i="6"/>
  <c r="IA11" i="6"/>
  <c r="IA12" i="6" s="1"/>
  <c r="IB17" i="6" l="1"/>
  <c r="IB18" i="6" s="1"/>
  <c r="IB11" i="6"/>
  <c r="IB12" i="6" s="1"/>
  <c r="HW7" i="6"/>
  <c r="HX4" i="6"/>
  <c r="HW14" i="6"/>
  <c r="HX10" i="6"/>
  <c r="ID1" i="6"/>
  <c r="IC11" i="6" s="1"/>
  <c r="IB5" i="6"/>
  <c r="IB6" i="6" s="1"/>
  <c r="IC3" i="6" l="1"/>
  <c r="HX14" i="6"/>
  <c r="HY10" i="6"/>
  <c r="IC5" i="6"/>
  <c r="IC6" i="6" s="1"/>
  <c r="HY4" i="6"/>
  <c r="HX7" i="6"/>
  <c r="IC12" i="6"/>
  <c r="IC9" i="6"/>
  <c r="IE1" i="6"/>
  <c r="ID5" i="6" s="1"/>
  <c r="IC17" i="6"/>
  <c r="IC18" i="6" s="1"/>
  <c r="ID6" i="6" l="1"/>
  <c r="HY7" i="6"/>
  <c r="HZ4" i="6"/>
  <c r="IF1" i="6"/>
  <c r="IE9" i="6" s="1"/>
  <c r="ID3" i="6"/>
  <c r="HY14" i="6"/>
  <c r="HZ10" i="6"/>
  <c r="ID9" i="6"/>
  <c r="ID17" i="6"/>
  <c r="ID18" i="6" s="1"/>
  <c r="ID11" i="6"/>
  <c r="ID12" i="6" s="1"/>
  <c r="IE3" i="6" l="1"/>
  <c r="HZ14" i="6"/>
  <c r="IA10" i="6"/>
  <c r="HZ7" i="6"/>
  <c r="IA4" i="6"/>
  <c r="IE5" i="6"/>
  <c r="IE6" i="6" s="1"/>
  <c r="IG1" i="6"/>
  <c r="IF9" i="6" s="1"/>
  <c r="IE11" i="6"/>
  <c r="IE12" i="6" s="1"/>
  <c r="IE17" i="6"/>
  <c r="IE18" i="6" s="1"/>
  <c r="IF5" i="6" l="1"/>
  <c r="IF6" i="6" s="1"/>
  <c r="IA7" i="6"/>
  <c r="IB4" i="6"/>
  <c r="IH1" i="6"/>
  <c r="IG5" i="6" s="1"/>
  <c r="IA14" i="6"/>
  <c r="IB10" i="6"/>
  <c r="IF3" i="6"/>
  <c r="IF17" i="6"/>
  <c r="IF18" i="6" s="1"/>
  <c r="IF11" i="6"/>
  <c r="IF12" i="6" s="1"/>
  <c r="IG6" i="6" l="1"/>
  <c r="IG11" i="6"/>
  <c r="IG12" i="6" s="1"/>
  <c r="IG3" i="6"/>
  <c r="IG9" i="6"/>
  <c r="IB14" i="6"/>
  <c r="IC10" i="6"/>
  <c r="IB7" i="6"/>
  <c r="IC4" i="6"/>
  <c r="II1" i="6"/>
  <c r="IH11" i="6" s="1"/>
  <c r="IH12" i="6" s="1"/>
  <c r="IH5" i="6"/>
  <c r="IH6" i="6" s="1"/>
  <c r="IH17" i="6"/>
  <c r="IG17" i="6"/>
  <c r="IG18" i="6" s="1"/>
  <c r="IH18" i="6" s="1"/>
  <c r="IH9" i="6" l="1"/>
  <c r="IC14" i="6"/>
  <c r="ID10" i="6"/>
  <c r="IJ1" i="6"/>
  <c r="II3" i="6" s="1"/>
  <c r="II17" i="6"/>
  <c r="II18" i="6" s="1"/>
  <c r="IC7" i="6"/>
  <c r="ID4" i="6"/>
  <c r="IH3" i="6"/>
  <c r="II9" i="6" l="1"/>
  <c r="II5" i="6"/>
  <c r="II6" i="6" s="1"/>
  <c r="ID7" i="6"/>
  <c r="IE4" i="6"/>
  <c r="ID14" i="6"/>
  <c r="IE10" i="6"/>
  <c r="IJ11" i="6"/>
  <c r="IJ5" i="6"/>
  <c r="IJ6" i="6" s="1"/>
  <c r="IJ3" i="6"/>
  <c r="IK1" i="6"/>
  <c r="IJ9" i="6" s="1"/>
  <c r="II11" i="6"/>
  <c r="II12" i="6" s="1"/>
  <c r="IJ12" i="6" l="1"/>
  <c r="IL1" i="6"/>
  <c r="IK5" i="6"/>
  <c r="IK6" i="6" s="1"/>
  <c r="IK17" i="6"/>
  <c r="IK11" i="6"/>
  <c r="IE7" i="6"/>
  <c r="IF4" i="6"/>
  <c r="IE14" i="6"/>
  <c r="IF10" i="6"/>
  <c r="IJ17" i="6"/>
  <c r="IJ18" i="6" s="1"/>
  <c r="IK18" i="6" l="1"/>
  <c r="IM1" i="6"/>
  <c r="IL3" i="6" s="1"/>
  <c r="IL11" i="6"/>
  <c r="IL5" i="6"/>
  <c r="IL6" i="6" s="1"/>
  <c r="IF14" i="6"/>
  <c r="IG10" i="6"/>
  <c r="IK3" i="6"/>
  <c r="IK12" i="6"/>
  <c r="IK9" i="6"/>
  <c r="IF7" i="6"/>
  <c r="IG4" i="6"/>
  <c r="IL9" i="6" l="1"/>
  <c r="IH4" i="6"/>
  <c r="IG7" i="6"/>
  <c r="IL12" i="6"/>
  <c r="IM9" i="6"/>
  <c r="IM3" i="6"/>
  <c r="IM17" i="6"/>
  <c r="IM5" i="6"/>
  <c r="IM6" i="6" s="1"/>
  <c r="IM11" i="6"/>
  <c r="IN1" i="6"/>
  <c r="IL17" i="6"/>
  <c r="IL18" i="6" s="1"/>
  <c r="IG14" i="6"/>
  <c r="IH10" i="6"/>
  <c r="IM18" i="6" l="1"/>
  <c r="IH14" i="6"/>
  <c r="II10" i="6"/>
  <c r="IM12" i="6"/>
  <c r="IN3" i="6"/>
  <c r="IN17" i="6"/>
  <c r="IN18" i="6" s="1"/>
  <c r="IN9" i="6"/>
  <c r="IN5" i="6"/>
  <c r="IN6" i="6" s="1"/>
  <c r="IO1" i="6"/>
  <c r="IN11" i="6" s="1"/>
  <c r="IH7" i="6"/>
  <c r="II4" i="6"/>
  <c r="II7" i="6" l="1"/>
  <c r="IJ4" i="6"/>
  <c r="IN12" i="6"/>
  <c r="II14" i="6"/>
  <c r="IJ10" i="6"/>
  <c r="IP1" i="6"/>
  <c r="IO5" i="6" s="1"/>
  <c r="IO6" i="6" s="1"/>
  <c r="IO9" i="6" l="1"/>
  <c r="IO3" i="6"/>
  <c r="IO11" i="6"/>
  <c r="IO12" i="6" s="1"/>
  <c r="IJ7" i="6"/>
  <c r="IK4" i="6"/>
  <c r="IJ14" i="6"/>
  <c r="IK10" i="6"/>
  <c r="IQ1" i="6"/>
  <c r="IP9" i="6" s="1"/>
  <c r="IO17" i="6"/>
  <c r="IO18" i="6" s="1"/>
  <c r="IR1" i="6" l="1"/>
  <c r="IQ11" i="6" s="1"/>
  <c r="IQ17" i="6"/>
  <c r="IQ3" i="6"/>
  <c r="IP11" i="6"/>
  <c r="IP12" i="6" s="1"/>
  <c r="IK7" i="6"/>
  <c r="IL4" i="6"/>
  <c r="IK14" i="6"/>
  <c r="IL10" i="6"/>
  <c r="IP17" i="6"/>
  <c r="IP18" i="6" s="1"/>
  <c r="IQ18" i="6" s="1"/>
  <c r="IP5" i="6"/>
  <c r="IP6" i="6" s="1"/>
  <c r="IP3" i="6"/>
  <c r="IQ12" i="6" l="1"/>
  <c r="IL14" i="6"/>
  <c r="IM10" i="6"/>
  <c r="IS1" i="6"/>
  <c r="IR5" i="6" s="1"/>
  <c r="IL7" i="6"/>
  <c r="IM4" i="6"/>
  <c r="IQ5" i="6"/>
  <c r="IQ6" i="6" s="1"/>
  <c r="IQ9" i="6"/>
  <c r="IR11" i="6" l="1"/>
  <c r="IR12" i="6" s="1"/>
  <c r="IR9" i="6"/>
  <c r="IR3" i="6"/>
  <c r="IR6" i="6"/>
  <c r="IM7" i="6"/>
  <c r="IN4" i="6"/>
  <c r="IM14" i="6"/>
  <c r="IN10" i="6"/>
  <c r="IS17" i="6"/>
  <c r="IT1" i="6"/>
  <c r="IS3" i="6" s="1"/>
  <c r="IR17" i="6"/>
  <c r="IR18" i="6" s="1"/>
  <c r="IS18" i="6" l="1"/>
  <c r="IN14" i="6"/>
  <c r="IO10" i="6"/>
  <c r="IU1" i="6"/>
  <c r="IT3" i="6" s="1"/>
  <c r="IT5" i="6"/>
  <c r="IT17" i="6"/>
  <c r="IT18" i="6" s="1"/>
  <c r="IN7" i="6"/>
  <c r="IO4" i="6"/>
  <c r="IS9" i="6"/>
  <c r="IS5" i="6"/>
  <c r="IS6" i="6" s="1"/>
  <c r="IS11" i="6"/>
  <c r="IS12" i="6" s="1"/>
  <c r="IT6" i="6" l="1"/>
  <c r="IV1" i="6"/>
  <c r="IU17" i="6"/>
  <c r="IU18" i="6" s="1"/>
  <c r="IU9" i="6"/>
  <c r="IU5" i="6"/>
  <c r="IU6" i="6" s="1"/>
  <c r="IU3" i="6"/>
  <c r="IU11" i="6"/>
  <c r="IT9" i="6"/>
  <c r="IP4" i="6"/>
  <c r="IO7" i="6"/>
  <c r="IO14" i="6"/>
  <c r="IP10" i="6"/>
  <c r="IT11" i="6"/>
  <c r="IT12" i="6" s="1"/>
  <c r="IU12" i="6" l="1"/>
  <c r="IW1" i="6"/>
  <c r="IV5" i="6" s="1"/>
  <c r="IV6" i="6" s="1"/>
  <c r="IP7" i="6"/>
  <c r="IQ4" i="6"/>
  <c r="IP14" i="6"/>
  <c r="IQ10" i="6"/>
  <c r="IV3" i="6" l="1"/>
  <c r="IV9" i="6"/>
  <c r="IV11" i="6"/>
  <c r="IV12" i="6" s="1"/>
  <c r="IV17" i="6"/>
  <c r="IV18" i="6" s="1"/>
  <c r="IQ14" i="6"/>
  <c r="IR10" i="6"/>
  <c r="IQ7" i="6"/>
  <c r="IR4" i="6"/>
  <c r="IX1" i="6"/>
  <c r="IW17" i="6" s="1"/>
  <c r="IW3" i="6"/>
  <c r="IW18" i="6" l="1"/>
  <c r="IW11" i="6"/>
  <c r="IW12" i="6" s="1"/>
  <c r="IR7" i="6"/>
  <c r="IS4" i="6"/>
  <c r="IW5" i="6"/>
  <c r="IW6" i="6" s="1"/>
  <c r="IR14" i="6"/>
  <c r="IS10" i="6"/>
  <c r="IX3" i="6"/>
  <c r="IX17" i="6"/>
  <c r="IX18" i="6" s="1"/>
  <c r="IY1" i="6"/>
  <c r="IX11" i="6" s="1"/>
  <c r="IX12" i="6" s="1"/>
  <c r="IX9" i="6"/>
  <c r="IW9" i="6"/>
  <c r="IZ1" i="6" l="1"/>
  <c r="IY11" i="6"/>
  <c r="IY12" i="6" s="1"/>
  <c r="IS7" i="6"/>
  <c r="IT4" i="6"/>
  <c r="IS14" i="6"/>
  <c r="IT10" i="6"/>
  <c r="IX5" i="6"/>
  <c r="IX6" i="6" s="1"/>
  <c r="JA1" i="6" l="1"/>
  <c r="IZ11" i="6" s="1"/>
  <c r="IZ12" i="6" s="1"/>
  <c r="IY17" i="6"/>
  <c r="IY18" i="6" s="1"/>
  <c r="IT14" i="6"/>
  <c r="IU10" i="6"/>
  <c r="IY3" i="6"/>
  <c r="IY9" i="6"/>
  <c r="IY5" i="6"/>
  <c r="IY6" i="6" s="1"/>
  <c r="IT7" i="6"/>
  <c r="IU4" i="6"/>
  <c r="IZ5" i="6" l="1"/>
  <c r="IZ6" i="6" s="1"/>
  <c r="IZ9" i="6"/>
  <c r="IZ3" i="6"/>
  <c r="IZ17" i="6"/>
  <c r="IZ18" i="6" s="1"/>
  <c r="IU14" i="6"/>
  <c r="IV10" i="6"/>
  <c r="IU7" i="6"/>
  <c r="IV4" i="6"/>
  <c r="JB1" i="6"/>
  <c r="JA17" i="6" s="1"/>
  <c r="JA18" i="6" l="1"/>
  <c r="JC1" i="6"/>
  <c r="JB9" i="6" s="1"/>
  <c r="JB5" i="6"/>
  <c r="JB3" i="6"/>
  <c r="IV14" i="6"/>
  <c r="IW10" i="6"/>
  <c r="JA9" i="6"/>
  <c r="JA5" i="6"/>
  <c r="JA6" i="6" s="1"/>
  <c r="JB6" i="6" s="1"/>
  <c r="JA11" i="6"/>
  <c r="JA12" i="6" s="1"/>
  <c r="IV7" i="6"/>
  <c r="IW4" i="6"/>
  <c r="JA3" i="6"/>
  <c r="IX4" i="6" l="1"/>
  <c r="IW7" i="6"/>
  <c r="JD1" i="6"/>
  <c r="JC17" i="6"/>
  <c r="JC3" i="6"/>
  <c r="JC5" i="6"/>
  <c r="JC6" i="6" s="1"/>
  <c r="JB17" i="6"/>
  <c r="JB18" i="6" s="1"/>
  <c r="JB11" i="6"/>
  <c r="JB12" i="6" s="1"/>
  <c r="IW14" i="6"/>
  <c r="IX10" i="6"/>
  <c r="JE1" i="6" l="1"/>
  <c r="JC9" i="6"/>
  <c r="IX14" i="6"/>
  <c r="IY10" i="6"/>
  <c r="JC18" i="6"/>
  <c r="IX7" i="6"/>
  <c r="IY4" i="6"/>
  <c r="JC11" i="6"/>
  <c r="JC12" i="6" s="1"/>
  <c r="JF1" i="6" l="1"/>
  <c r="JE9" i="6" s="1"/>
  <c r="JD9" i="6"/>
  <c r="JD11" i="6"/>
  <c r="JD12" i="6" s="1"/>
  <c r="IY7" i="6"/>
  <c r="IZ4" i="6"/>
  <c r="JD17" i="6"/>
  <c r="JD18" i="6" s="1"/>
  <c r="JD5" i="6"/>
  <c r="JD6" i="6" s="1"/>
  <c r="JD3" i="6"/>
  <c r="IY14" i="6"/>
  <c r="IZ10" i="6"/>
  <c r="JE5" i="6" l="1"/>
  <c r="JE6" i="6" s="1"/>
  <c r="JE17" i="6"/>
  <c r="JE18" i="6" s="1"/>
  <c r="JE11" i="6"/>
  <c r="JE12" i="6" s="1"/>
  <c r="IZ7" i="6"/>
  <c r="JA4" i="6"/>
  <c r="JE3" i="6"/>
  <c r="JG1" i="6"/>
  <c r="IZ14" i="6"/>
  <c r="JA10" i="6"/>
  <c r="JA7" i="6" l="1"/>
  <c r="JB4" i="6"/>
  <c r="JH1" i="6"/>
  <c r="JG5" i="6" s="1"/>
  <c r="JF11" i="6"/>
  <c r="JF12" i="6" s="1"/>
  <c r="JF3" i="6"/>
  <c r="JF17" i="6"/>
  <c r="JF18" i="6" s="1"/>
  <c r="JF9" i="6"/>
  <c r="JF5" i="6"/>
  <c r="JF6" i="6" s="1"/>
  <c r="JA14" i="6"/>
  <c r="JB10" i="6"/>
  <c r="JG17" i="6" l="1"/>
  <c r="JG18" i="6" s="1"/>
  <c r="JG9" i="6"/>
  <c r="JG11" i="6"/>
  <c r="JG12" i="6" s="1"/>
  <c r="JG6" i="6"/>
  <c r="JC4" i="6"/>
  <c r="JB7" i="6"/>
  <c r="JB14" i="6"/>
  <c r="JC10" i="6"/>
  <c r="JI1" i="6"/>
  <c r="JH9" i="6" s="1"/>
  <c r="JG3" i="6"/>
  <c r="JH3" i="6" l="1"/>
  <c r="JH17" i="6"/>
  <c r="JH18" i="6" s="1"/>
  <c r="JH11" i="6"/>
  <c r="JH12" i="6" s="1"/>
  <c r="JC14" i="6"/>
  <c r="JD10" i="6"/>
  <c r="JJ1" i="6"/>
  <c r="JI17" i="6" s="1"/>
  <c r="JI18" i="6" s="1"/>
  <c r="JH5" i="6"/>
  <c r="JH6" i="6" s="1"/>
  <c r="JC7" i="6"/>
  <c r="JD4" i="6"/>
  <c r="JI5" i="6" l="1"/>
  <c r="JI11" i="6"/>
  <c r="JI12" i="6" s="1"/>
  <c r="JE4" i="6"/>
  <c r="JD7" i="6"/>
  <c r="JI9" i="6"/>
  <c r="JD14" i="6"/>
  <c r="JE10" i="6"/>
  <c r="JI6" i="6"/>
  <c r="JJ6" i="6" s="1"/>
  <c r="JJ11" i="6"/>
  <c r="JJ9" i="6"/>
  <c r="JK1" i="6"/>
  <c r="JJ5" i="6"/>
  <c r="JJ3" i="6"/>
  <c r="JJ17" i="6"/>
  <c r="JJ18" i="6" s="1"/>
  <c r="JI3" i="6"/>
  <c r="JJ12" i="6" l="1"/>
  <c r="JE14" i="6"/>
  <c r="JF10" i="6"/>
  <c r="JL1" i="6"/>
  <c r="JK3" i="6" s="1"/>
  <c r="JE7" i="6"/>
  <c r="JF4" i="6"/>
  <c r="JK5" i="6" l="1"/>
  <c r="JK6" i="6" s="1"/>
  <c r="JK9" i="6"/>
  <c r="JK11" i="6"/>
  <c r="JK12" i="6" s="1"/>
  <c r="JF7" i="6"/>
  <c r="JG4" i="6"/>
  <c r="JF14" i="6"/>
  <c r="JG10" i="6"/>
  <c r="JL11" i="6"/>
  <c r="JL12" i="6" s="1"/>
  <c r="JM1" i="6"/>
  <c r="JL17" i="6" s="1"/>
  <c r="JK17" i="6"/>
  <c r="JK18" i="6" s="1"/>
  <c r="JL9" i="6" l="1"/>
  <c r="JG14" i="6"/>
  <c r="JH10" i="6"/>
  <c r="JL18" i="6"/>
  <c r="JN1" i="6"/>
  <c r="JM9" i="6" s="1"/>
  <c r="JM3" i="6"/>
  <c r="JM5" i="6"/>
  <c r="JM17" i="6"/>
  <c r="JG7" i="6"/>
  <c r="JH4" i="6"/>
  <c r="JL3" i="6"/>
  <c r="JL5" i="6"/>
  <c r="JL6" i="6" s="1"/>
  <c r="JO1" i="6" l="1"/>
  <c r="JN17" i="6" s="1"/>
  <c r="JH7" i="6"/>
  <c r="JI4" i="6"/>
  <c r="JM18" i="6"/>
  <c r="JH14" i="6"/>
  <c r="JI10" i="6"/>
  <c r="JM11" i="6"/>
  <c r="JM12" i="6" s="1"/>
  <c r="JM6" i="6"/>
  <c r="JN11" i="6" l="1"/>
  <c r="JN12" i="6" s="1"/>
  <c r="JI7" i="6"/>
  <c r="JJ4" i="6"/>
  <c r="JP1" i="6"/>
  <c r="JO9" i="6" s="1"/>
  <c r="JN5" i="6"/>
  <c r="JN6" i="6" s="1"/>
  <c r="JI14" i="6"/>
  <c r="JJ10" i="6"/>
  <c r="JN3" i="6"/>
  <c r="JN18" i="6"/>
  <c r="JN9" i="6"/>
  <c r="JO5" i="6" l="1"/>
  <c r="JO3" i="6"/>
  <c r="JO17" i="6"/>
  <c r="JO18" i="6" s="1"/>
  <c r="JO11" i="6"/>
  <c r="JO12" i="6" s="1"/>
  <c r="JO6" i="6"/>
  <c r="JJ14" i="6"/>
  <c r="JK10" i="6"/>
  <c r="JJ7" i="6"/>
  <c r="JK4" i="6"/>
  <c r="JQ1" i="6"/>
  <c r="JP9" i="6" s="1"/>
  <c r="JP17" i="6" l="1"/>
  <c r="JP18" i="6" s="1"/>
  <c r="JK7" i="6"/>
  <c r="JL4" i="6"/>
  <c r="JR1" i="6"/>
  <c r="JQ17" i="6"/>
  <c r="JQ5" i="6"/>
  <c r="JQ11" i="6"/>
  <c r="JQ9" i="6"/>
  <c r="JQ3" i="6"/>
  <c r="JP5" i="6"/>
  <c r="JP6" i="6" s="1"/>
  <c r="JK14" i="6"/>
  <c r="JL10" i="6"/>
  <c r="JP11" i="6"/>
  <c r="JP12" i="6" s="1"/>
  <c r="JP3" i="6"/>
  <c r="JQ6" i="6" l="1"/>
  <c r="JQ12" i="6"/>
  <c r="JL14" i="6"/>
  <c r="JM10" i="6"/>
  <c r="JS1" i="6"/>
  <c r="JR3" i="6"/>
  <c r="JR5" i="6"/>
  <c r="JR6" i="6" s="1"/>
  <c r="JL7" i="6"/>
  <c r="JM4" i="6"/>
  <c r="JQ18" i="6"/>
  <c r="JT1" i="6" l="1"/>
  <c r="JS9" i="6"/>
  <c r="JS3" i="6"/>
  <c r="JS5" i="6"/>
  <c r="JS6" i="6" s="1"/>
  <c r="JS17" i="6"/>
  <c r="JS11" i="6"/>
  <c r="JR9" i="6"/>
  <c r="JN4" i="6"/>
  <c r="JM7" i="6"/>
  <c r="JM14" i="6"/>
  <c r="JN10" i="6"/>
  <c r="JR11" i="6"/>
  <c r="JR12" i="6" s="1"/>
  <c r="JR17" i="6"/>
  <c r="JR18" i="6" s="1"/>
  <c r="JS18" i="6" s="1"/>
  <c r="JS12" i="6" l="1"/>
  <c r="JN14" i="6"/>
  <c r="JO10" i="6"/>
  <c r="JO4" i="6"/>
  <c r="JN7" i="6"/>
  <c r="JT17" i="6"/>
  <c r="JT18" i="6" s="1"/>
  <c r="JT3" i="6"/>
  <c r="JT5" i="6"/>
  <c r="JT6" i="6" s="1"/>
  <c r="JU1" i="6"/>
  <c r="JO7" i="6" l="1"/>
  <c r="JP4" i="6"/>
  <c r="JV1" i="6"/>
  <c r="JU17" i="6" s="1"/>
  <c r="JU18" i="6" s="1"/>
  <c r="JO14" i="6"/>
  <c r="JP10" i="6"/>
  <c r="JT9" i="6"/>
  <c r="JT11" i="6"/>
  <c r="JT12" i="6" s="1"/>
  <c r="JU9" i="6" l="1"/>
  <c r="JU11" i="6"/>
  <c r="JU12" i="6" s="1"/>
  <c r="JP14" i="6"/>
  <c r="JQ10" i="6"/>
  <c r="JU3" i="6"/>
  <c r="JP7" i="6"/>
  <c r="JQ4" i="6"/>
  <c r="JW1" i="6"/>
  <c r="JV17" i="6" s="1"/>
  <c r="JV18" i="6" s="1"/>
  <c r="JU5" i="6"/>
  <c r="JU6" i="6" s="1"/>
  <c r="JV11" i="6" l="1"/>
  <c r="JV12" i="6" s="1"/>
  <c r="JV9" i="6"/>
  <c r="JX1" i="6"/>
  <c r="JW3" i="6"/>
  <c r="JW9" i="6"/>
  <c r="JW11" i="6"/>
  <c r="JQ14" i="6"/>
  <c r="JR10" i="6"/>
  <c r="JV3" i="6"/>
  <c r="JV5" i="6"/>
  <c r="JV6" i="6" s="1"/>
  <c r="JQ7" i="6"/>
  <c r="JR4" i="6"/>
  <c r="JW12" i="6" l="1"/>
  <c r="JR7" i="6"/>
  <c r="JS4" i="6"/>
  <c r="JY1" i="6"/>
  <c r="JX11" i="6" s="1"/>
  <c r="JX12" i="6" s="1"/>
  <c r="JR14" i="6"/>
  <c r="JS10" i="6"/>
  <c r="JW17" i="6"/>
  <c r="JW18" i="6" s="1"/>
  <c r="JW5" i="6"/>
  <c r="JW6" i="6" s="1"/>
  <c r="JX5" i="6" l="1"/>
  <c r="JX6" i="6" s="1"/>
  <c r="JX3" i="6"/>
  <c r="JX17" i="6"/>
  <c r="JX18" i="6" s="1"/>
  <c r="JS14" i="6"/>
  <c r="JT10" i="6"/>
  <c r="JS7" i="6"/>
  <c r="JT4" i="6"/>
  <c r="JZ1" i="6"/>
  <c r="JY3" i="6" s="1"/>
  <c r="JX9" i="6"/>
  <c r="JY11" i="6" l="1"/>
  <c r="JY12" i="6" s="1"/>
  <c r="JT7" i="6"/>
  <c r="JU4" i="6"/>
  <c r="KA1" i="6"/>
  <c r="JZ5" i="6" s="1"/>
  <c r="JZ9" i="6"/>
  <c r="JY5" i="6"/>
  <c r="JY6" i="6" s="1"/>
  <c r="JT14" i="6"/>
  <c r="JU10" i="6"/>
  <c r="JY9" i="6"/>
  <c r="JY17" i="6"/>
  <c r="JY18" i="6" s="1"/>
  <c r="JZ3" i="6" l="1"/>
  <c r="JZ11" i="6"/>
  <c r="JZ12" i="6" s="1"/>
  <c r="JZ17" i="6"/>
  <c r="JZ18" i="6" s="1"/>
  <c r="JU14" i="6"/>
  <c r="JV10" i="6"/>
  <c r="JV4" i="6"/>
  <c r="JU7" i="6"/>
  <c r="JZ6" i="6"/>
  <c r="KB1" i="6"/>
  <c r="KA11" i="6" s="1"/>
  <c r="KA12" i="6" s="1"/>
  <c r="KA3" i="6"/>
  <c r="KA5" i="6"/>
  <c r="KA9" i="6"/>
  <c r="KA17" i="6"/>
  <c r="KA18" i="6" l="1"/>
  <c r="KA6" i="6"/>
  <c r="JV14" i="6"/>
  <c r="JW10" i="6"/>
  <c r="JV7" i="6"/>
  <c r="JW4" i="6"/>
  <c r="KB3" i="6"/>
  <c r="KB17" i="6"/>
  <c r="KB18" i="6" s="1"/>
  <c r="KC1" i="6"/>
  <c r="KB9" i="6" s="1"/>
  <c r="JX4" i="6" l="1"/>
  <c r="JW7" i="6"/>
  <c r="KD1" i="6"/>
  <c r="KC11" i="6"/>
  <c r="KC17" i="6"/>
  <c r="KC18" i="6" s="1"/>
  <c r="KC9" i="6"/>
  <c r="KC3" i="6"/>
  <c r="KC5" i="6"/>
  <c r="JW14" i="6"/>
  <c r="JX10" i="6"/>
  <c r="KB11" i="6"/>
  <c r="KB12" i="6" s="1"/>
  <c r="KB5" i="6"/>
  <c r="KB6" i="6" s="1"/>
  <c r="KC6" i="6" l="1"/>
  <c r="KC12" i="6"/>
  <c r="KE1" i="6"/>
  <c r="KD3" i="6" s="1"/>
  <c r="KD5" i="6"/>
  <c r="KD6" i="6" s="1"/>
  <c r="KD17" i="6"/>
  <c r="KD18" i="6" s="1"/>
  <c r="JX14" i="6"/>
  <c r="JY10" i="6"/>
  <c r="JX7" i="6"/>
  <c r="JY4" i="6"/>
  <c r="KF1" i="6" l="1"/>
  <c r="KE3" i="6" s="1"/>
  <c r="KD9" i="6"/>
  <c r="JY7" i="6"/>
  <c r="JZ4" i="6"/>
  <c r="JY14" i="6"/>
  <c r="JZ10" i="6"/>
  <c r="KD11" i="6"/>
  <c r="KD12" i="6" s="1"/>
  <c r="KE5" i="6" l="1"/>
  <c r="KE6" i="6" s="1"/>
  <c r="KE17" i="6"/>
  <c r="KE18" i="6" s="1"/>
  <c r="JZ14" i="6"/>
  <c r="KA10" i="6"/>
  <c r="KE9" i="6"/>
  <c r="KF3" i="6"/>
  <c r="D3" i="6" s="1"/>
  <c r="KF17" i="6"/>
  <c r="D17" i="6" s="1"/>
  <c r="KF11" i="6"/>
  <c r="D11" i="6" s="1"/>
  <c r="KF5" i="6"/>
  <c r="D5" i="6" s="1"/>
  <c r="KF9" i="6"/>
  <c r="KE11" i="6"/>
  <c r="KE12" i="6" s="1"/>
  <c r="JZ7" i="6"/>
  <c r="KA4" i="6"/>
  <c r="KF12" i="6" l="1"/>
  <c r="D9" i="6"/>
  <c r="KA7" i="6"/>
  <c r="KB4" i="6"/>
  <c r="C17" i="6"/>
  <c r="KA14" i="6"/>
  <c r="KB10" i="6"/>
  <c r="KF18" i="6"/>
  <c r="D18" i="6" s="1"/>
  <c r="C18" i="6" s="1"/>
  <c r="KF6" i="6"/>
  <c r="KB14" i="6" l="1"/>
  <c r="KC10" i="6"/>
  <c r="KB7" i="6"/>
  <c r="KC4" i="6"/>
  <c r="KC7" i="6" l="1"/>
  <c r="KD4" i="6"/>
  <c r="KC14" i="6"/>
  <c r="KD10" i="6"/>
  <c r="KD14" i="6" l="1"/>
  <c r="KE10" i="6"/>
  <c r="KD7" i="6"/>
  <c r="KE4" i="6"/>
  <c r="KF4" i="6" l="1"/>
  <c r="KF7" i="6" s="1"/>
  <c r="KE7" i="6"/>
  <c r="KE14" i="6"/>
  <c r="KF10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<sst xmlns="http://schemas.openxmlformats.org/spreadsheetml/2006/main" count="799" uniqueCount="460">
  <si>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</si>
  <si>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</si>
  <si>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</si>
  <si>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</si>
  <si>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</si>
  <si>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</si>
  <si>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</si>
  <si>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</si>
  <si>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</si>
  <si>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</si>
  <si>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</si>
  <si>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</si>
  <si>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</si>
  <si>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</si>
  <si>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</si>
  <si>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</si>
  <si>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</si>
  <si>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</si>
  <si>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</si>
  <si>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</si>
  <si>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</si>
  <si>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</si>
  <si>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</si>
  <si>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</si>
  <si>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</si>
  <si>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</si>
  <si>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</si>
  <si>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</si>
  <si>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</si>
  <si>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</si>
  <si>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</si>
  <si>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</si>
  <si>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</si>
  <si>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</si>
  <si>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</si>
  <si>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</si>
  <si>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</si>
  <si>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</si>
  <si>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</si>
  <si>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</si>
  <si>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</si>
  <si>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</si>
  <si>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</si>
  <si>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</si>
  <si>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</si>
  <si>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</si>
  <si>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</si>
  <si>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</si>
  <si>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</si>
  <si>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</si>
  <si>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</si>
  <si>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</si>
  <si>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</si>
  <si>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</si>
  <si>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</si>
  <si>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</si>
  <si>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</si>
  <si>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</si>
  <si>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</si>
  <si>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</si>
  <si>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</si>
  <si>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</si>
  <si>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</si>
  <si>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</si>
  <si>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</si>
  <si>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</si>
  <si>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</si>
  <si>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</si>
  <si>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</si>
  <si>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</si>
  <si>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</si>
  <si>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</si>
  <si>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</si>
  <si>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</si>
  <si>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</si>
  <si>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</si>
  <si>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</si>
  <si>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</si>
  <si>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</si>
  <si>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</si>
  <si>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</si>
  <si>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</si>
  <si>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</si>
  <si>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</si>
  <si>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JKM620N-66HL4M-BDV</t>
  </si>
  <si>
    <t>DC Cable Red &amp; Black</t>
  </si>
  <si>
    <t xml:space="preserve">DC cable </t>
  </si>
  <si>
    <t>Inverters</t>
  </si>
  <si>
    <t xml:space="preserve">Herholdts </t>
  </si>
  <si>
    <t xml:space="preserve">Sungrow 125kW and 2 X 25kW Hybrid inverter </t>
  </si>
  <si>
    <t>Mounting Structure</t>
  </si>
  <si>
    <t>Schletter</t>
  </si>
  <si>
    <t>420kWp IBR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</si>
  <si>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</si>
  <si>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</si>
  <si>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</si>
  <si>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</si>
  <si>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</si>
  <si>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</si>
  <si>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</si>
  <si>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25kWh Sungrow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</si>
  <si>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</si>
  <si>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</si>
  <si>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</si>
  <si>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</si>
  <si>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</si>
  <si>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</si>
  <si>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</si>
  <si>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</si>
  <si>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</si>
  <si>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</si>
  <si>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</si>
  <si>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</si>
  <si>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</si>
  <si>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</si>
  <si>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</si>
  <si>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</si>
  <si>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</si>
  <si>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</si>
  <si>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</si>
  <si>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</si>
  <si>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PnP Bethal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</si>
  <si>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</si>
  <si>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</si>
  <si>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</si>
  <si>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</si>
  <si>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</si>
  <si>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</si>
  <si>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</si>
  <si>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Eon Van Rensburg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</si>
  <si>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</si>
  <si>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</si>
  <si>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</si>
  <si>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</si>
  <si>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</si>
  <si>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</si>
  <si>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</si>
  <si>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</si>
  <si>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</si>
  <si>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</si>
  <si>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</si>
  <si>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</si>
  <si>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</si>
  <si>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</si>
  <si>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</si>
  <si>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</si>
  <si>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</si>
  <si>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</si>
  <si>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Deposit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</si>
  <si>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</si>
  <si>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</si>
  <si>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</si>
  <si>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</si>
  <si>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</si>
  <si>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</si>
  <si>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</si>
  <si>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</si>
  <si>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</si>
  <si>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</si>
  <si>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</si>
  <si>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</si>
  <si>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</si>
  <si>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</si>
  <si>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</si>
  <si>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</si>
  <si>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</si>
  <si>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</si>
  <si>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</si>
  <si>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BESS Delivery</t>
  </si>
  <si>
    <t>3.5</t>
  </si>
  <si>
    <t>AC Works - BESS</t>
  </si>
  <si>
    <t>3.6</t>
  </si>
  <si>
    <t>AC Tie-In - BESS</t>
  </si>
  <si>
    <t>3.7</t>
  </si>
  <si>
    <t>AC Works - Solar</t>
  </si>
  <si>
    <t>3.8</t>
  </si>
  <si>
    <t>AC Tie-In - Solar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</si>
  <si>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</si>
  <si>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</si>
  <si>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</si>
  <si>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</si>
  <si>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</si>
  <si>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</si>
  <si>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</si>
  <si>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</si>
  <si>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</si>
  <si>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</si>
  <si>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</si>
  <si>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</si>
  <si>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</si>
  <si>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</si>
  <si>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</si>
  <si>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</si>
  <si>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Solar Commissioning</t>
  </si>
  <si>
    <t>6.2</t>
  </si>
  <si>
    <t>BESS Commissioning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</si>
  <si>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</si>
  <si>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</si>
  <si>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</si>
  <si>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</si>
  <si>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</si>
  <si>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</si>
  <si>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</si>
  <si>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</si>
  <si>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</si>
  <si>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</si>
  <si>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</si>
  <si>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</si>
  <si>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</si>
  <si>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</si>
  <si>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</si>
  <si>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</si>
  <si>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</si>
  <si>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</si>
  <si>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</si>
  <si>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</si>
  <si>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</si>
  <si>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</si>
  <si>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</si>
  <si>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</si>
  <si>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</si>
  <si>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</si>
  <si>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</si>
  <si>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</si>
  <si>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</si>
  <si>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</si>
  <si>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</si>
  <si>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</si>
  <si>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</si>
  <si>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</si>
  <si>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</si>
  <si>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</si>
  <si>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</si>
  <si>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</si>
  <si>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</si>
  <si>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</si>
  <si>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We have a SSEG requirment from Standard Bank. Causing delays</t>
  </si>
  <si>
    <t>Delivery of Panels</t>
  </si>
  <si>
    <t>Delivery of Inverters</t>
  </si>
  <si>
    <t>Delivery of BESS</t>
  </si>
  <si>
    <t>Practical Completion Solar</t>
  </si>
  <si>
    <t>Practical Completion BESS</t>
  </si>
  <si>
    <t>Handover Solar</t>
  </si>
  <si>
    <t>Handover BESS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</si>
  <si>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</si>
  <si>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</si>
  <si>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</si>
  <si>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</si>
  <si>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</si>
  <si>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</si>
  <si>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</si>
  <si>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</si>
  <si>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</si>
  <si>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</si>
  <si>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</si>
  <si>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</si>
  <si>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</si>
  <si>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</si>
  <si>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</si>
  <si>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</si>
  <si>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</si>
  <si>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</si>
  <si>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</si>
  <si>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</si>
  <si>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</si>
  <si>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</si>
  <si>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</si>
  <si>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</si>
  <si>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</si>
  <si>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</si>
  <si>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</si>
  <si>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</si>
  <si>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</si>
  <si>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</si>
  <si>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</si>
  <si>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</si>
  <si>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</si>
  <si>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</si>
  <si>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</si>
  <si>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</si>
  <si>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</si>
  <si>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</si>
  <si>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</si>
  <si>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</si>
  <si>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</si>
  <si>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</si>
  <si>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TBC - 610W as placeholder</t>
  </si>
  <si>
    <t>Delivery Budget</t>
  </si>
  <si>
    <t>BUDGET</t>
  </si>
  <si>
    <t>Installer Allocation</t>
  </si>
  <si>
    <t>AC Equipment</t>
  </si>
  <si>
    <t>Inverter Budget - Sungrow 125kW</t>
  </si>
  <si>
    <t>2. Inverters</t>
  </si>
  <si>
    <t>DC Equipment</t>
  </si>
  <si>
    <t>Sungrow 125kW</t>
  </si>
  <si>
    <t>AC Labour</t>
  </si>
  <si>
    <t>Sungrow Wifi Comunication Module For Battery Inverter</t>
  </si>
  <si>
    <t>DC Labour</t>
  </si>
  <si>
    <t xml:space="preserve">Sungrow 25kW 3P Hybrid inverter </t>
  </si>
  <si>
    <t>Offloading</t>
  </si>
  <si>
    <t xml:space="preserve">Sungrow warranty extension to 10 years on the 125kW </t>
  </si>
  <si>
    <t>Scaffolding</t>
  </si>
  <si>
    <t xml:space="preserve">Sungrow warranty extension to 10 years on the 25 kW Hybrid inverter 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</si>
  <si>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</si>
  <si>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</si>
  <si>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</si>
  <si>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</si>
  <si>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</si>
  <si>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</si>
  <si>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</si>
  <si>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</si>
  <si>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</si>
  <si>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</si>
  <si>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</si>
  <si>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</si>
  <si>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</si>
  <si>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</si>
  <si>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</si>
  <si>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</si>
  <si>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</si>
  <si>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</si>
  <si>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</si>
  <si>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</si>
  <si>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BESS Installation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</si>
  <si>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</si>
  <si>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</si>
  <si>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</si>
  <si>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</si>
  <si>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</si>
  <si>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</si>
  <si>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</si>
  <si>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</si>
  <si>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</si>
  <si>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</si>
  <si>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</si>
  <si>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APEX Controller</t>
  </si>
  <si>
    <t>AC Equipment Budget</t>
  </si>
  <si>
    <t>6. AC Equipment</t>
  </si>
  <si>
    <t>Auto Change over Switch</t>
  </si>
  <si>
    <t>BESS</t>
  </si>
  <si>
    <t>Sungrow 50kW with104kWh</t>
  </si>
  <si>
    <t>7.BESS</t>
  </si>
  <si>
    <t>Sungrow SBH Battery Parallel box + Acessory Box</t>
  </si>
  <si>
    <t>Ps and Gs</t>
  </si>
  <si>
    <t xml:space="preserve">Sungrow 25kWh HV LFP Battery </t>
  </si>
  <si>
    <t xml:space="preserve">Installation </t>
  </si>
  <si>
    <t>Sungrow battery box</t>
  </si>
  <si>
    <t>AC+DC Equipment</t>
  </si>
  <si>
    <t xml:space="preserve">BESS Installation </t>
  </si>
  <si>
    <t>Inverter Cables</t>
  </si>
  <si>
    <t>Main Gateway Cable (Tie-In)</t>
  </si>
  <si>
    <t xml:space="preserve">Product Add On </t>
  </si>
  <si>
    <t>Walkways</t>
  </si>
  <si>
    <t xml:space="preserve">8. Product Add On </t>
  </si>
  <si>
    <t>Water Points</t>
  </si>
  <si>
    <t>Water Points - Deposit</t>
  </si>
  <si>
    <t>Water Points - Balance</t>
  </si>
  <si>
    <t>Cat Ladders</t>
  </si>
  <si>
    <t>Cat Ladders - Deposit</t>
  </si>
  <si>
    <t>Cat Ladders - Balance</t>
  </si>
  <si>
    <t>Aircon for the inverter room x 2 (battery room + Grid-tied room)</t>
  </si>
  <si>
    <t>Aircon for the inverter room x 2 (battery room + Grid-tied room) - Deposit</t>
  </si>
  <si>
    <t>Aircon for the inverter room x 2 (battery room + Grid-tied room) - Balance</t>
  </si>
  <si>
    <t xml:space="preserve">Automatic change over switch </t>
  </si>
  <si>
    <t>Sungrow warranty extension to 10 years on the 125kW string inverter and the 25kW hybrid inverter.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</si>
  <si>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</si>
  <si>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</si>
  <si>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</si>
  <si>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</si>
  <si>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</si>
  <si>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</si>
  <si>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</si>
  <si>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</si>
  <si>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</si>
  <si>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</si>
  <si>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</si>
  <si>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</si>
  <si>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</si>
  <si>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 - Outside of CoCT</t>
  </si>
  <si>
    <t>Red Team Inspection</t>
  </si>
  <si>
    <t>Lightning Risk Assessment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</si>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</sst>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1647842.7428508946</c:v>
                </c:pt>
                <c:pt idx="7">
                  <c:v>1647842.7428508946</c:v>
                </c:pt>
                <c:pt idx="8">
                  <c:v>1647842.7428508946</c:v>
                </c:pt>
                <c:pt idx="9">
                  <c:v>1647842.7428508946</c:v>
                </c:pt>
                <c:pt idx="10">
                  <c:v>2471764.1142763421</c:v>
                </c:pt>
                <c:pt idx="11">
                  <c:v>3089705.1428454276</c:v>
                </c:pt>
                <c:pt idx="12">
                  <c:v>3089705.1428454276</c:v>
                </c:pt>
                <c:pt idx="13">
                  <c:v>3089705.1428454276</c:v>
                </c:pt>
                <c:pt idx="14">
                  <c:v>3089705.1428454276</c:v>
                </c:pt>
                <c:pt idx="15">
                  <c:v>4737547.8856963217</c:v>
                </c:pt>
                <c:pt idx="16">
                  <c:v>4840538.057124503</c:v>
                </c:pt>
                <c:pt idx="17">
                  <c:v>4840538.057124503</c:v>
                </c:pt>
                <c:pt idx="18">
                  <c:v>4840538.057124503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49400</c:v>
                </c:pt>
                <c:pt idx="8">
                  <c:v>49400</c:v>
                </c:pt>
                <c:pt idx="9">
                  <c:v>110400</c:v>
                </c:pt>
                <c:pt idx="10">
                  <c:v>268812.41263285035</c:v>
                </c:pt>
                <c:pt idx="11">
                  <c:v>471307.49834694079</c:v>
                </c:pt>
                <c:pt idx="12">
                  <c:v>472707.49834694079</c:v>
                </c:pt>
                <c:pt idx="13">
                  <c:v>472707.49834694079</c:v>
                </c:pt>
                <c:pt idx="14">
                  <c:v>631119.9109797912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1599842.7428508946</c:v>
                </c:pt>
                <c:pt idx="7">
                  <c:v>1598442.7428508946</c:v>
                </c:pt>
                <c:pt idx="8">
                  <c:v>1598442.7428508946</c:v>
                </c:pt>
                <c:pt idx="9">
                  <c:v>1537442.7428508946</c:v>
                </c:pt>
                <c:pt idx="10">
                  <c:v>2202951.7016434916</c:v>
                </c:pt>
                <c:pt idx="11">
                  <c:v>2618397.644498487</c:v>
                </c:pt>
                <c:pt idx="12">
                  <c:v>2616997.644498487</c:v>
                </c:pt>
                <c:pt idx="13">
                  <c:v>2616997.644498487</c:v>
                </c:pt>
                <c:pt idx="14">
                  <c:v>2458585.2318656365</c:v>
                </c:pt>
                <c:pt idx="15">
                  <c:v>2412802.0946102501</c:v>
                </c:pt>
                <c:pt idx="16">
                  <c:v>2514392.2660384313</c:v>
                </c:pt>
                <c:pt idx="17">
                  <c:v>2514392.2660384313</c:v>
                </c:pt>
                <c:pt idx="18">
                  <c:v>1368979.8534055809</c:v>
                </c:pt>
                <c:pt idx="19">
                  <c:v>1653372.8676901236</c:v>
                </c:pt>
                <c:pt idx="20">
                  <c:v>1651972.8676901236</c:v>
                </c:pt>
                <c:pt idx="21">
                  <c:v>1620290.3851635535</c:v>
                </c:pt>
                <c:pt idx="22">
                  <c:v>1620290.3851635535</c:v>
                </c:pt>
                <c:pt idx="23">
                  <c:v>1620290.3851635535</c:v>
                </c:pt>
                <c:pt idx="24">
                  <c:v>1620290.3851635535</c:v>
                </c:pt>
                <c:pt idx="25">
                  <c:v>1620290.3851635535</c:v>
                </c:pt>
                <c:pt idx="26">
                  <c:v>1620290.3851635535</c:v>
                </c:pt>
                <c:pt idx="27">
                  <c:v>1620290.3851635535</c:v>
                </c:pt>
                <c:pt idx="28">
                  <c:v>1620290.3851635535</c:v>
                </c:pt>
                <c:pt idx="29">
                  <c:v>1620290.3851635535</c:v>
                </c:pt>
                <c:pt idx="30">
                  <c:v>1620290.3851635535</c:v>
                </c:pt>
                <c:pt idx="31">
                  <c:v>1620290.3851635535</c:v>
                </c:pt>
                <c:pt idx="32">
                  <c:v>1620290.3851635535</c:v>
                </c:pt>
                <c:pt idx="33">
                  <c:v>1620290.3851635535</c:v>
                </c:pt>
                <c:pt idx="34">
                  <c:v>1620290.3851635535</c:v>
                </c:pt>
                <c:pt idx="35">
                  <c:v>1620290.3851635535</c:v>
                </c:pt>
                <c:pt idx="36">
                  <c:v>1620290.3851635535</c:v>
                </c:pt>
                <c:pt idx="37">
                  <c:v>1620290.3851635535</c:v>
                </c:pt>
                <c:pt idx="38">
                  <c:v>1620290.3851635535</c:v>
                </c:pt>
                <c:pt idx="39">
                  <c:v>1620290.3851635535</c:v>
                </c:pt>
                <c:pt idx="40">
                  <c:v>1620290.3851635535</c:v>
                </c:pt>
                <c:pt idx="41">
                  <c:v>1620290.3851635535</c:v>
                </c:pt>
                <c:pt idx="42">
                  <c:v>1620290.3851635535</c:v>
                </c:pt>
                <c:pt idx="43">
                  <c:v>1620290.3851635535</c:v>
                </c:pt>
                <c:pt idx="44">
                  <c:v>1620290.3851635535</c:v>
                </c:pt>
                <c:pt idx="45">
                  <c:v>1620290.3851635535</c:v>
                </c:pt>
                <c:pt idx="46">
                  <c:v>1620290.3851635535</c:v>
                </c:pt>
                <c:pt idx="47">
                  <c:v>1620290.3851635535</c:v>
                </c:pt>
                <c:pt idx="48">
                  <c:v>1620290.3851635535</c:v>
                </c:pt>
                <c:pt idx="49">
                  <c:v>1620290.3851635535</c:v>
                </c:pt>
                <c:pt idx="50">
                  <c:v>1620290.3851635535</c:v>
                </c:pt>
                <c:pt idx="51">
                  <c:v>1620290.3851635535</c:v>
                </c:pt>
                <c:pt idx="52">
                  <c:v>1620290.3851635535</c:v>
                </c:pt>
                <c:pt idx="53">
                  <c:v>1620290.3851635535</c:v>
                </c:pt>
                <c:pt idx="54">
                  <c:v>1620290.3851635535</c:v>
                </c:pt>
                <c:pt idx="55">
                  <c:v>1620290.3851635535</c:v>
                </c:pt>
                <c:pt idx="56">
                  <c:v>1620290.3851635535</c:v>
                </c:pt>
                <c:pt idx="57">
                  <c:v>1620290.3851635535</c:v>
                </c:pt>
                <c:pt idx="58">
                  <c:v>1620290.3851635535</c:v>
                </c:pt>
                <c:pt idx="59">
                  <c:v>1620290.3851635535</c:v>
                </c:pt>
                <c:pt idx="60">
                  <c:v>1620290.3851635535</c:v>
                </c:pt>
                <c:pt idx="61">
                  <c:v>1620290.3851635535</c:v>
                </c:pt>
                <c:pt idx="62">
                  <c:v>1620290.3851635535</c:v>
                </c:pt>
                <c:pt idx="63">
                  <c:v>1620290.3851635535</c:v>
                </c:pt>
                <c:pt idx="64">
                  <c:v>1620290.3851635535</c:v>
                </c:pt>
                <c:pt idx="65">
                  <c:v>1620290.3851635535</c:v>
                </c:pt>
                <c:pt idx="66">
                  <c:v>1620290.3851635535</c:v>
                </c:pt>
                <c:pt idx="67">
                  <c:v>1620290.3851635535</c:v>
                </c:pt>
                <c:pt idx="68">
                  <c:v>1620290.3851635535</c:v>
                </c:pt>
                <c:pt idx="69">
                  <c:v>1620290.3851635535</c:v>
                </c:pt>
                <c:pt idx="70">
                  <c:v>1620290.3851635535</c:v>
                </c:pt>
                <c:pt idx="71">
                  <c:v>1620290.3851635535</c:v>
                </c:pt>
                <c:pt idx="72">
                  <c:v>1620290.3851635535</c:v>
                </c:pt>
                <c:pt idx="73">
                  <c:v>1620290.3851635535</c:v>
                </c:pt>
                <c:pt idx="74">
                  <c:v>1620290.3851635535</c:v>
                </c:pt>
                <c:pt idx="75">
                  <c:v>1620290.3851635535</c:v>
                </c:pt>
                <c:pt idx="76">
                  <c:v>1620290.3851635535</c:v>
                </c:pt>
                <c:pt idx="77">
                  <c:v>1620290.3851635535</c:v>
                </c:pt>
                <c:pt idx="78">
                  <c:v>1620290.3851635535</c:v>
                </c:pt>
                <c:pt idx="79">
                  <c:v>1620290.3851635535</c:v>
                </c:pt>
                <c:pt idx="80">
                  <c:v>1620290.3851635535</c:v>
                </c:pt>
                <c:pt idx="81">
                  <c:v>1620290.3851635535</c:v>
                </c:pt>
                <c:pt idx="82">
                  <c:v>1620290.3851635535</c:v>
                </c:pt>
                <c:pt idx="83">
                  <c:v>1620290.3851635535</c:v>
                </c:pt>
                <c:pt idx="84">
                  <c:v>1620290.3851635535</c:v>
                </c:pt>
                <c:pt idx="85">
                  <c:v>1620290.3851635535</c:v>
                </c:pt>
                <c:pt idx="86">
                  <c:v>1620290.3851635535</c:v>
                </c:pt>
                <c:pt idx="87">
                  <c:v>1620290.3851635535</c:v>
                </c:pt>
                <c:pt idx="88">
                  <c:v>1620290.3851635535</c:v>
                </c:pt>
                <c:pt idx="89">
                  <c:v>1620290.3851635535</c:v>
                </c:pt>
                <c:pt idx="90">
                  <c:v>1620290.3851635535</c:v>
                </c:pt>
                <c:pt idx="91">
                  <c:v>1620290.3851635535</c:v>
                </c:pt>
                <c:pt idx="92">
                  <c:v>1620290.3851635535</c:v>
                </c:pt>
                <c:pt idx="93">
                  <c:v>1620290.3851635535</c:v>
                </c:pt>
                <c:pt idx="94">
                  <c:v>1620290.3851635535</c:v>
                </c:pt>
                <c:pt idx="95">
                  <c:v>1620290.3851635535</c:v>
                </c:pt>
                <c:pt idx="96">
                  <c:v>1620290.3851635535</c:v>
                </c:pt>
                <c:pt idx="97">
                  <c:v>1620290.3851635535</c:v>
                </c:pt>
                <c:pt idx="98">
                  <c:v>1620290.3851635535</c:v>
                </c:pt>
                <c:pt idx="99">
                  <c:v>1620290.3851635535</c:v>
                </c:pt>
                <c:pt idx="100">
                  <c:v>1620290.3851635535</c:v>
                </c:pt>
                <c:pt idx="101">
                  <c:v>1620290.3851635535</c:v>
                </c:pt>
                <c:pt idx="102">
                  <c:v>1620290.3851635535</c:v>
                </c:pt>
                <c:pt idx="103">
                  <c:v>1620290.3851635535</c:v>
                </c:pt>
                <c:pt idx="104">
                  <c:v>1620290.3851635535</c:v>
                </c:pt>
                <c:pt idx="105">
                  <c:v>1620290.3851635535</c:v>
                </c:pt>
                <c:pt idx="106">
                  <c:v>1620290.3851635535</c:v>
                </c:pt>
                <c:pt idx="107">
                  <c:v>1620290.3851635535</c:v>
                </c:pt>
                <c:pt idx="108">
                  <c:v>1620290.3851635535</c:v>
                </c:pt>
                <c:pt idx="109">
                  <c:v>1620290.3851635535</c:v>
                </c:pt>
                <c:pt idx="110">
                  <c:v>1620290.3851635535</c:v>
                </c:pt>
                <c:pt idx="111">
                  <c:v>1620290.3851635535</c:v>
                </c:pt>
                <c:pt idx="112">
                  <c:v>1620290.3851635535</c:v>
                </c:pt>
                <c:pt idx="113">
                  <c:v>1620290.3851635535</c:v>
                </c:pt>
                <c:pt idx="114">
                  <c:v>1620290.3851635535</c:v>
                </c:pt>
                <c:pt idx="115">
                  <c:v>1620290.3851635535</c:v>
                </c:pt>
                <c:pt idx="116">
                  <c:v>1620290.3851635535</c:v>
                </c:pt>
                <c:pt idx="117">
                  <c:v>1620290.3851635535</c:v>
                </c:pt>
                <c:pt idx="118">
                  <c:v>1620290.3851635535</c:v>
                </c:pt>
                <c:pt idx="119">
                  <c:v>1620290.3851635535</c:v>
                </c:pt>
                <c:pt idx="120">
                  <c:v>1620290.3851635535</c:v>
                </c:pt>
                <c:pt idx="121">
                  <c:v>1620290.3851635535</c:v>
                </c:pt>
                <c:pt idx="122">
                  <c:v>1620290.3851635535</c:v>
                </c:pt>
                <c:pt idx="123">
                  <c:v>1620290.3851635535</c:v>
                </c:pt>
                <c:pt idx="124">
                  <c:v>1620290.3851635535</c:v>
                </c:pt>
                <c:pt idx="125">
                  <c:v>1620290.3851635535</c:v>
                </c:pt>
                <c:pt idx="126">
                  <c:v>1620290.3851635535</c:v>
                </c:pt>
                <c:pt idx="127">
                  <c:v>1620290.3851635535</c:v>
                </c:pt>
                <c:pt idx="128">
                  <c:v>1620290.3851635535</c:v>
                </c:pt>
                <c:pt idx="129">
                  <c:v>1620290.3851635535</c:v>
                </c:pt>
                <c:pt idx="130">
                  <c:v>1620290.3851635535</c:v>
                </c:pt>
                <c:pt idx="131">
                  <c:v>1620290.3851635535</c:v>
                </c:pt>
                <c:pt idx="132">
                  <c:v>1620290.3851635535</c:v>
                </c:pt>
                <c:pt idx="133">
                  <c:v>1620290.3851635535</c:v>
                </c:pt>
                <c:pt idx="134">
                  <c:v>1620290.3851635535</c:v>
                </c:pt>
                <c:pt idx="135">
                  <c:v>1620290.3851635535</c:v>
                </c:pt>
                <c:pt idx="136">
                  <c:v>1620290.3851635535</c:v>
                </c:pt>
                <c:pt idx="137">
                  <c:v>1620290.3851635535</c:v>
                </c:pt>
                <c:pt idx="138">
                  <c:v>1620290.3851635535</c:v>
                </c:pt>
                <c:pt idx="139">
                  <c:v>1620290.3851635535</c:v>
                </c:pt>
                <c:pt idx="140">
                  <c:v>1620290.3851635535</c:v>
                </c:pt>
                <c:pt idx="141">
                  <c:v>1620290.3851635535</c:v>
                </c:pt>
                <c:pt idx="142">
                  <c:v>1620290.3851635535</c:v>
                </c:pt>
                <c:pt idx="143">
                  <c:v>1620290.3851635535</c:v>
                </c:pt>
                <c:pt idx="144">
                  <c:v>1620290.3851635535</c:v>
                </c:pt>
                <c:pt idx="145">
                  <c:v>1620290.3851635535</c:v>
                </c:pt>
                <c:pt idx="146">
                  <c:v>1620290.3851635535</c:v>
                </c:pt>
                <c:pt idx="147">
                  <c:v>1620290.3851635535</c:v>
                </c:pt>
                <c:pt idx="148">
                  <c:v>1620290.3851635535</c:v>
                </c:pt>
                <c:pt idx="149">
                  <c:v>1620290.3851635535</c:v>
                </c:pt>
                <c:pt idx="150">
                  <c:v>1620290.3851635535</c:v>
                </c:pt>
                <c:pt idx="151">
                  <c:v>1620290.3851635535</c:v>
                </c:pt>
                <c:pt idx="152">
                  <c:v>1620290.3851635535</c:v>
                </c:pt>
                <c:pt idx="153">
                  <c:v>1620290.3851635535</c:v>
                </c:pt>
                <c:pt idx="154">
                  <c:v>1620290.3851635535</c:v>
                </c:pt>
                <c:pt idx="155">
                  <c:v>1620290.3851635535</c:v>
                </c:pt>
                <c:pt idx="156">
                  <c:v>1620290.3851635535</c:v>
                </c:pt>
                <c:pt idx="157">
                  <c:v>1620290.3851635535</c:v>
                </c:pt>
                <c:pt idx="158">
                  <c:v>1620290.3851635535</c:v>
                </c:pt>
                <c:pt idx="159">
                  <c:v>1620290.3851635535</c:v>
                </c:pt>
                <c:pt idx="160">
                  <c:v>1620290.3851635535</c:v>
                </c:pt>
                <c:pt idx="161">
                  <c:v>1620290.3851635535</c:v>
                </c:pt>
                <c:pt idx="162">
                  <c:v>1620290.3851635535</c:v>
                </c:pt>
                <c:pt idx="163">
                  <c:v>1620290.3851635535</c:v>
                </c:pt>
                <c:pt idx="164">
                  <c:v>1620290.3851635535</c:v>
                </c:pt>
                <c:pt idx="165">
                  <c:v>1620290.3851635535</c:v>
                </c:pt>
                <c:pt idx="166">
                  <c:v>1620290.3851635535</c:v>
                </c:pt>
                <c:pt idx="167">
                  <c:v>1620290.3851635535</c:v>
                </c:pt>
                <c:pt idx="168">
                  <c:v>1620290.3851635535</c:v>
                </c:pt>
                <c:pt idx="169">
                  <c:v>1620290.3851635535</c:v>
                </c:pt>
                <c:pt idx="170">
                  <c:v>1620290.3851635535</c:v>
                </c:pt>
                <c:pt idx="171">
                  <c:v>1620290.3851635535</c:v>
                </c:pt>
                <c:pt idx="172">
                  <c:v>1620290.3851635535</c:v>
                </c:pt>
                <c:pt idx="173">
                  <c:v>1620290.3851635535</c:v>
                </c:pt>
                <c:pt idx="174">
                  <c:v>1620290.3851635535</c:v>
                </c:pt>
                <c:pt idx="175">
                  <c:v>1620290.3851635535</c:v>
                </c:pt>
                <c:pt idx="176">
                  <c:v>1620290.3851635535</c:v>
                </c:pt>
                <c:pt idx="177">
                  <c:v>1620290.3851635535</c:v>
                </c:pt>
                <c:pt idx="178">
                  <c:v>1620290.3851635535</c:v>
                </c:pt>
                <c:pt idx="179">
                  <c:v>1620290.3851635535</c:v>
                </c:pt>
                <c:pt idx="180">
                  <c:v>1620290.3851635535</c:v>
                </c:pt>
                <c:pt idx="181">
                  <c:v>1620290.3851635535</c:v>
                </c:pt>
                <c:pt idx="182">
                  <c:v>1620290.3851635535</c:v>
                </c:pt>
                <c:pt idx="183">
                  <c:v>1620290.3851635535</c:v>
                </c:pt>
                <c:pt idx="184">
                  <c:v>1620290.3851635535</c:v>
                </c:pt>
                <c:pt idx="185">
                  <c:v>1620290.3851635535</c:v>
                </c:pt>
                <c:pt idx="186">
                  <c:v>1620290.3851635535</c:v>
                </c:pt>
                <c:pt idx="187">
                  <c:v>1620290.3851635535</c:v>
                </c:pt>
                <c:pt idx="188">
                  <c:v>1620290.3851635535</c:v>
                </c:pt>
                <c:pt idx="189">
                  <c:v>1620290.3851635535</c:v>
                </c:pt>
                <c:pt idx="190">
                  <c:v>1620290.3851635535</c:v>
                </c:pt>
                <c:pt idx="191">
                  <c:v>1620290.3851635535</c:v>
                </c:pt>
                <c:pt idx="192">
                  <c:v>1620290.3851635535</c:v>
                </c:pt>
                <c:pt idx="193">
                  <c:v>1620290.3851635535</c:v>
                </c:pt>
                <c:pt idx="194">
                  <c:v>1620290.3851635535</c:v>
                </c:pt>
                <c:pt idx="195">
                  <c:v>1620290.3851635535</c:v>
                </c:pt>
                <c:pt idx="196">
                  <c:v>1620290.3851635535</c:v>
                </c:pt>
                <c:pt idx="197">
                  <c:v>1620290.3851635535</c:v>
                </c:pt>
                <c:pt idx="198">
                  <c:v>1620290.3851635535</c:v>
                </c:pt>
                <c:pt idx="199">
                  <c:v>1620290.3851635535</c:v>
                </c:pt>
                <c:pt idx="200">
                  <c:v>1620290.3851635535</c:v>
                </c:pt>
                <c:pt idx="201">
                  <c:v>1620290.3851635535</c:v>
                </c:pt>
                <c:pt idx="202">
                  <c:v>1620290.3851635535</c:v>
                </c:pt>
                <c:pt idx="203">
                  <c:v>1620290.3851635535</c:v>
                </c:pt>
                <c:pt idx="204">
                  <c:v>1620290.3851635535</c:v>
                </c:pt>
                <c:pt idx="205">
                  <c:v>1620290.3851635535</c:v>
                </c:pt>
                <c:pt idx="206">
                  <c:v>1620290.3851635535</c:v>
                </c:pt>
                <c:pt idx="207">
                  <c:v>1620290.3851635535</c:v>
                </c:pt>
                <c:pt idx="208">
                  <c:v>1620290.3851635535</c:v>
                </c:pt>
                <c:pt idx="209">
                  <c:v>1620290.3851635535</c:v>
                </c:pt>
                <c:pt idx="210">
                  <c:v>1620290.3851635535</c:v>
                </c:pt>
                <c:pt idx="211">
                  <c:v>1620290.3851635535</c:v>
                </c:pt>
                <c:pt idx="212">
                  <c:v>1620290.3851635535</c:v>
                </c:pt>
                <c:pt idx="213">
                  <c:v>1620290.3851635535</c:v>
                </c:pt>
                <c:pt idx="214">
                  <c:v>1620290.3851635535</c:v>
                </c:pt>
                <c:pt idx="215">
                  <c:v>1620290.3851635535</c:v>
                </c:pt>
                <c:pt idx="216">
                  <c:v>1620290.3851635535</c:v>
                </c:pt>
                <c:pt idx="217">
                  <c:v>1620290.3851635535</c:v>
                </c:pt>
                <c:pt idx="218">
                  <c:v>1620290.3851635535</c:v>
                </c:pt>
                <c:pt idx="219">
                  <c:v>1620290.3851635535</c:v>
                </c:pt>
                <c:pt idx="220">
                  <c:v>1620290.3851635535</c:v>
                </c:pt>
                <c:pt idx="221">
                  <c:v>1620290.3851635535</c:v>
                </c:pt>
                <c:pt idx="222">
                  <c:v>1620290.3851635535</c:v>
                </c:pt>
                <c:pt idx="223">
                  <c:v>1620290.3851635535</c:v>
                </c:pt>
                <c:pt idx="224">
                  <c:v>1620290.3851635535</c:v>
                </c:pt>
                <c:pt idx="225">
                  <c:v>1620290.3851635535</c:v>
                </c:pt>
                <c:pt idx="226">
                  <c:v>1620290.3851635535</c:v>
                </c:pt>
                <c:pt idx="227">
                  <c:v>1620290.3851635535</c:v>
                </c:pt>
                <c:pt idx="228">
                  <c:v>1620290.3851635535</c:v>
                </c:pt>
                <c:pt idx="229">
                  <c:v>1620290.3851635535</c:v>
                </c:pt>
                <c:pt idx="230">
                  <c:v>1620290.3851635535</c:v>
                </c:pt>
                <c:pt idx="231">
                  <c:v>1620290.3851635535</c:v>
                </c:pt>
                <c:pt idx="232">
                  <c:v>1620290.3851635535</c:v>
                </c:pt>
                <c:pt idx="233">
                  <c:v>1620290.3851635535</c:v>
                </c:pt>
                <c:pt idx="234">
                  <c:v>1620290.3851635535</c:v>
                </c:pt>
                <c:pt idx="235">
                  <c:v>1620290.3851635535</c:v>
                </c:pt>
                <c:pt idx="236">
                  <c:v>1620290.3851635535</c:v>
                </c:pt>
                <c:pt idx="237">
                  <c:v>1620290.3851635535</c:v>
                </c:pt>
                <c:pt idx="238">
                  <c:v>1620290.3851635535</c:v>
                </c:pt>
                <c:pt idx="239">
                  <c:v>1620290.3851635535</c:v>
                </c:pt>
                <c:pt idx="240">
                  <c:v>1620290.3851635535</c:v>
                </c:pt>
                <c:pt idx="241">
                  <c:v>1620290.3851635535</c:v>
                </c:pt>
                <c:pt idx="242">
                  <c:v>1620290.3851635535</c:v>
                </c:pt>
                <c:pt idx="243">
                  <c:v>1620290.3851635535</c:v>
                </c:pt>
                <c:pt idx="244">
                  <c:v>1620290.3851635535</c:v>
                </c:pt>
                <c:pt idx="245">
                  <c:v>1620290.3851635535</c:v>
                </c:pt>
                <c:pt idx="246">
                  <c:v>1620290.3851635535</c:v>
                </c:pt>
                <c:pt idx="247">
                  <c:v>1620290.3851635535</c:v>
                </c:pt>
                <c:pt idx="248">
                  <c:v>1620290.3851635535</c:v>
                </c:pt>
                <c:pt idx="249">
                  <c:v>1620290.3851635535</c:v>
                </c:pt>
                <c:pt idx="250">
                  <c:v>1620290.3851635535</c:v>
                </c:pt>
                <c:pt idx="251">
                  <c:v>1620290.3851635535</c:v>
                </c:pt>
                <c:pt idx="252">
                  <c:v>1620290.3851635535</c:v>
                </c:pt>
                <c:pt idx="253">
                  <c:v>1620290.3851635535</c:v>
                </c:pt>
                <c:pt idx="254">
                  <c:v>1620290.3851635535</c:v>
                </c:pt>
                <c:pt idx="255">
                  <c:v>1620290.3851635535</c:v>
                </c:pt>
                <c:pt idx="256">
                  <c:v>1620290.3851635535</c:v>
                </c:pt>
                <c:pt idx="257">
                  <c:v>1620290.3851635535</c:v>
                </c:pt>
                <c:pt idx="258">
                  <c:v>1620290.3851635535</c:v>
                </c:pt>
                <c:pt idx="259">
                  <c:v>1620290.3851635535</c:v>
                </c:pt>
                <c:pt idx="260">
                  <c:v>1620290.3851635535</c:v>
                </c:pt>
                <c:pt idx="261">
                  <c:v>1620290.3851635535</c:v>
                </c:pt>
                <c:pt idx="262">
                  <c:v>1620290.3851635535</c:v>
                </c:pt>
                <c:pt idx="263">
                  <c:v>1620290.3851635535</c:v>
                </c:pt>
                <c:pt idx="264">
                  <c:v>1620290.3851635535</c:v>
                </c:pt>
                <c:pt idx="265">
                  <c:v>1620290.3851635535</c:v>
                </c:pt>
                <c:pt idx="266">
                  <c:v>1620290.3851635535</c:v>
                </c:pt>
                <c:pt idx="267">
                  <c:v>1620290.3851635535</c:v>
                </c:pt>
                <c:pt idx="268">
                  <c:v>1620290.3851635535</c:v>
                </c:pt>
                <c:pt idx="269">
                  <c:v>1620290.3851635535</c:v>
                </c:pt>
                <c:pt idx="270">
                  <c:v>1620290.3851635535</c:v>
                </c:pt>
                <c:pt idx="271">
                  <c:v>1620290.3851635535</c:v>
                </c:pt>
                <c:pt idx="272">
                  <c:v>1620290.3851635535</c:v>
                </c:pt>
                <c:pt idx="273">
                  <c:v>1620290.3851635535</c:v>
                </c:pt>
                <c:pt idx="274">
                  <c:v>1620290.3851635535</c:v>
                </c:pt>
                <c:pt idx="275">
                  <c:v>1620290.3851635535</c:v>
                </c:pt>
                <c:pt idx="276">
                  <c:v>1620290.3851635535</c:v>
                </c:pt>
                <c:pt idx="277">
                  <c:v>1620290.3851635535</c:v>
                </c:pt>
                <c:pt idx="278">
                  <c:v>1620290.3851635535</c:v>
                </c:pt>
                <c:pt idx="279">
                  <c:v>1620290.3851635535</c:v>
                </c:pt>
                <c:pt idx="280">
                  <c:v>1620290.3851635535</c:v>
                </c:pt>
                <c:pt idx="281">
                  <c:v>1620290.3851635535</c:v>
                </c:pt>
                <c:pt idx="282">
                  <c:v>1620290.3851635535</c:v>
                </c:pt>
                <c:pt idx="283">
                  <c:v>1620290.3851635535</c:v>
                </c:pt>
                <c:pt idx="284">
                  <c:v>1620290.3851635535</c:v>
                </c:pt>
                <c:pt idx="285">
                  <c:v>1620290.3851635535</c:v>
                </c:pt>
                <c:pt idx="286">
                  <c:v>1620290.3851635535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D7" sqref="D7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565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10000</v>
      </c>
      <c r="F4" s="602"/>
      <c r="G4" s="1"/>
    </row>
    <row r="5" spans="1:7">
      <c r="A5" s="126"/>
      <c r="B5" s="602" t="s">
        <v>87</v>
      </c>
      <c r="C5" s="602" t="s">
        <v>88</v>
      </c>
      <c r="D5" s="602" t="s">
        <v>89</v>
      </c>
      <c r="E5" s="605">
        <v>3</v>
      </c>
      <c r="F5" s="602"/>
      <c r="G5" s="1"/>
    </row>
    <row r="6" spans="1:7">
      <c r="A6" s="126"/>
      <c r="B6" s="602" t="s">
        <v>90</v>
      </c>
      <c r="C6" s="602" t="s">
        <v>91</v>
      </c>
      <c r="D6" s="602" t="s">
        <v>92</v>
      </c>
      <c r="E6" s="605"/>
      <c r="F6" s="602"/>
      <c r="G6" s="1"/>
    </row>
    <row r="7" spans="1:7">
      <c r="A7" s="126"/>
      <c r="B7" s="602" t="s">
        <v>93</v>
      </c>
      <c r="C7" s="602"/>
      <c r="D7" s="602"/>
      <c r="E7" s="605"/>
      <c r="F7" s="602"/>
      <c r="G7" s="1"/>
    </row>
    <row r="8" spans="1:7">
      <c r="A8" s="126"/>
      <c r="B8" s="602" t="s">
        <v>94</v>
      </c>
      <c r="C8" s="602"/>
      <c r="D8" s="602"/>
      <c r="E8" s="605"/>
      <c r="F8" s="602"/>
      <c r="G8" s="1"/>
    </row>
    <row r="9" spans="1:7">
      <c r="A9" s="126"/>
      <c r="B9" s="602" t="s">
        <v>95</v>
      </c>
      <c r="C9" s="602"/>
      <c r="D9" s="602"/>
      <c r="E9" s="605"/>
      <c r="F9" s="602"/>
      <c r="G9" s="1"/>
    </row>
    <row r="10" spans="1:7">
      <c r="A10" s="126"/>
      <c r="B10" s="602" t="s">
        <v>96</v>
      </c>
      <c r="C10" s="602"/>
      <c r="D10" s="602"/>
      <c r="E10" s="605"/>
      <c r="F10" s="602"/>
      <c r="G10" s="1"/>
    </row>
    <row r="11" spans="1:7">
      <c r="A11" s="126"/>
      <c r="B11" s="602" t="s">
        <v>97</v>
      </c>
      <c r="C11" s="602"/>
      <c r="D11" s="602"/>
      <c r="E11" s="605"/>
      <c r="F11" s="602"/>
      <c r="G11" s="1"/>
    </row>
    <row r="12" spans="1:7">
      <c r="A12" s="126"/>
      <c r="B12" s="602" t="s">
        <v>98</v>
      </c>
      <c r="C12" s="602"/>
      <c r="D12" s="602"/>
      <c r="E12" s="605"/>
      <c r="F12" s="602"/>
      <c r="G12" s="1"/>
    </row>
    <row r="13" spans="1:7">
      <c r="A13" s="126"/>
      <c r="B13" s="602" t="s">
        <v>99</v>
      </c>
      <c r="C13" s="602" t="s">
        <v>88</v>
      </c>
      <c r="D13" s="602" t="s">
        <v>100</v>
      </c>
      <c r="E13" s="605">
        <v>4</v>
      </c>
      <c r="F13" s="602"/>
      <c r="G13" s="1"/>
    </row>
    <row r="14" spans="1:7">
      <c r="A14" s="126"/>
      <c r="B14" s="602" t="s">
        <v>101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102</v>
      </c>
      <c r="C23" s="26"/>
      <c r="D23" s="26"/>
      <c r="E23" s="26"/>
      <c r="F23" s="26"/>
      <c r="G23" s="26"/>
    </row>
    <row r="24" spans="1:7">
      <c r="A24" s="26"/>
      <c r="B24" s="603" t="s">
        <v>103</v>
      </c>
      <c r="C24" s="26"/>
      <c r="D24" s="26"/>
      <c r="E24" s="26"/>
      <c r="F24" s="26"/>
    </row>
    <row r="25" spans="1:7">
      <c r="A25" s="26"/>
      <c r="B25" s="603" t="s">
        <v>104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105</v>
      </c>
      <c r="C27" s="26"/>
      <c r="D27" s="26"/>
      <c r="E27" s="26"/>
      <c r="F27" s="26"/>
    </row>
    <row r="28" spans="1:7">
      <c r="A28" s="26"/>
      <c r="B28" s="603" t="s">
        <v>91</v>
      </c>
      <c r="C28" s="26"/>
      <c r="D28" s="26"/>
      <c r="E28" s="26"/>
      <c r="F28" s="26"/>
    </row>
    <row r="29" spans="1:7">
      <c r="A29" s="26"/>
      <c r="B29" s="603" t="s">
        <v>106</v>
      </c>
      <c r="C29" s="26"/>
      <c r="D29" s="26"/>
      <c r="E29" s="26"/>
      <c r="F29" s="26"/>
    </row>
    <row r="30" spans="1:7">
      <c r="A30" s="26"/>
      <c r="B30" s="603" t="s">
        <v>107</v>
      </c>
      <c r="C30" s="26"/>
      <c r="D30" s="26"/>
      <c r="E30" s="26"/>
      <c r="F30" s="26"/>
    </row>
    <row r="31" spans="1:7">
      <c r="A31" s="26"/>
      <c r="B31" s="603" t="s">
        <v>88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108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109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110</v>
      </c>
      <c r="C5" s="12"/>
      <c r="D5" s="12"/>
      <c r="E5" s="12"/>
      <c r="F5" s="7" t="s">
        <v>111</v>
      </c>
    </row>
    <row r="6" spans="2:10">
      <c r="B6" s="10" t="s">
        <v>112</v>
      </c>
      <c r="C6" s="12"/>
      <c r="D6" s="12"/>
      <c r="E6" s="12"/>
      <c r="F6" s="7" t="s">
        <v>111</v>
      </c>
    </row>
    <row r="7" spans="2:10">
      <c r="B7" s="10" t="s">
        <v>113</v>
      </c>
      <c r="C7" s="12"/>
      <c r="D7" s="12"/>
      <c r="E7" s="12"/>
      <c r="F7" s="7" t="s">
        <v>111</v>
      </c>
    </row>
    <row r="8" spans="2:10">
      <c r="B8" s="10" t="s">
        <v>114</v>
      </c>
      <c r="C8" s="12"/>
      <c r="D8" s="12"/>
      <c r="E8" s="12"/>
      <c r="F8" s="7" t="s">
        <v>111</v>
      </c>
    </row>
    <row r="9" spans="2:10">
      <c r="B9" s="11" t="s">
        <v>115</v>
      </c>
      <c r="C9" s="11"/>
      <c r="D9" s="11"/>
      <c r="E9" s="11"/>
      <c r="F9" s="7" t="s">
        <v>116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117</v>
      </c>
      <c r="C16" s="655"/>
      <c r="D16" s="655"/>
      <c r="E16" s="655"/>
      <c r="F16" s="656"/>
    </row>
    <row r="17" spans="2:6" ht="15" thickTop="1"/>
    <row r="18" spans="2:6">
      <c r="B18" s="8" t="s">
        <v>109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118</v>
      </c>
      <c r="C20" s="12"/>
      <c r="D20" s="12"/>
      <c r="E20" s="12"/>
      <c r="F20" s="7"/>
    </row>
    <row r="21" spans="2:6">
      <c r="B21" s="10" t="s">
        <v>119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5429687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453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120</v>
      </c>
      <c r="D2" s="90"/>
      <c r="E2" s="566" t="s">
        <v>121</v>
      </c>
      <c r="F2" s="567"/>
      <c r="G2" s="567"/>
      <c r="H2" s="568"/>
      <c r="I2" s="657" t="s">
        <v>122</v>
      </c>
      <c r="J2" s="658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123</v>
      </c>
      <c r="D3" s="90"/>
      <c r="E3" s="312">
        <v>420</v>
      </c>
      <c r="F3" s="93"/>
      <c r="G3" s="94"/>
      <c r="H3" s="94"/>
      <c r="I3" s="657" t="s">
        <v>124</v>
      </c>
      <c r="J3" s="658"/>
      <c r="K3" s="587">
        <f>K2/5</f>
        <v>6.4</v>
      </c>
      <c r="Q3" s="1"/>
    </row>
    <row r="4" spans="2:28" s="26" customFormat="1" ht="14.5" thickBot="1">
      <c r="B4" s="91"/>
      <c r="C4" s="92" t="s">
        <v>125</v>
      </c>
      <c r="D4" s="90"/>
      <c r="E4" s="565" t="s">
        <v>126</v>
      </c>
      <c r="F4" s="94"/>
      <c r="G4" s="94"/>
      <c r="H4" s="94"/>
      <c r="I4" s="657" t="s">
        <v>127</v>
      </c>
      <c r="J4" s="658"/>
      <c r="K4" s="588">
        <f>E3/K3</f>
        <v>65.625</v>
      </c>
      <c r="Q4" s="1"/>
    </row>
    <row r="5" spans="2:28" s="26" customFormat="1">
      <c r="B5" s="91"/>
      <c r="C5" s="92" t="s">
        <v>128</v>
      </c>
      <c r="D5" s="90"/>
      <c r="E5" s="565" t="s">
        <v>129</v>
      </c>
      <c r="F5" s="94"/>
      <c r="G5" s="94"/>
      <c r="H5" s="94"/>
      <c r="Q5" s="1"/>
    </row>
    <row r="6" spans="2:28">
      <c r="B6" s="95"/>
      <c r="C6" s="96" t="s">
        <v>130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131</v>
      </c>
      <c r="E7" s="627" t="s">
        <v>132</v>
      </c>
      <c r="F7" s="80"/>
      <c r="G7" s="97"/>
      <c r="J7" s="27"/>
      <c r="Q7" s="1"/>
    </row>
    <row r="8" spans="2:28" ht="30" customHeight="1">
      <c r="B8" s="661" t="s">
        <v>133</v>
      </c>
      <c r="C8" s="662" t="s">
        <v>134</v>
      </c>
      <c r="D8" s="126"/>
      <c r="E8" s="663" t="s">
        <v>135</v>
      </c>
      <c r="F8" s="148" t="s">
        <v>136</v>
      </c>
      <c r="G8" s="663" t="s">
        <v>137</v>
      </c>
      <c r="H8" s="149"/>
      <c r="I8" s="663" t="s">
        <v>138</v>
      </c>
      <c r="J8" s="148" t="s">
        <v>136</v>
      </c>
      <c r="K8" s="663" t="s">
        <v>139</v>
      </c>
      <c r="M8" s="584" t="s">
        <v>44</v>
      </c>
      <c r="N8" s="585" t="s">
        <v>140</v>
      </c>
      <c r="O8" s="659" t="s">
        <v>141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50</v>
      </c>
      <c r="K9" s="663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0"/>
      <c r="S9" s="586">
        <f ca="1">TODAY()</f>
        <v>46071</v>
      </c>
      <c r="T9" s="586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142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143</v>
      </c>
      <c r="C12" s="158" t="s">
        <v>144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145</v>
      </c>
      <c r="T12" s="537" t="s">
        <v>146</v>
      </c>
      <c r="U12" s="537" t="s">
        <v>136</v>
      </c>
      <c r="V12" s="537" t="s">
        <v>147</v>
      </c>
    </row>
    <row r="13" spans="2:28" s="26" customFormat="1">
      <c r="B13" s="157"/>
      <c r="C13" s="158" t="s">
        <v>148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149</v>
      </c>
      <c r="C14" s="158" t="s">
        <v>150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151</v>
      </c>
      <c r="C15" s="158" t="s">
        <v>152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153</v>
      </c>
      <c r="C16" s="158" t="s">
        <v>154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155</v>
      </c>
      <c r="C17" s="158" t="s">
        <v>156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157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158</v>
      </c>
      <c r="C20" s="158" t="s">
        <v>159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160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161</v>
      </c>
      <c r="C23" s="158" t="s">
        <v>162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163</v>
      </c>
      <c r="C24" s="158" t="s">
        <v>164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165</v>
      </c>
      <c r="C25" s="158" t="s">
        <v>166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167</v>
      </c>
      <c r="C26" s="158" t="s">
        <v>168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169</v>
      </c>
      <c r="C27" s="158" t="s">
        <v>170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171</v>
      </c>
      <c r="C28" s="158" t="s">
        <v>172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173</v>
      </c>
      <c r="C29" s="158" t="s">
        <v>174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175</v>
      </c>
      <c r="C30" s="158" t="s">
        <v>176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177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178</v>
      </c>
      <c r="C34" s="158" t="s">
        <v>179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180</v>
      </c>
      <c r="C35" s="158" t="s">
        <v>181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182</v>
      </c>
      <c r="C36" s="158" t="s">
        <v>183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184</v>
      </c>
      <c r="C37" s="154" t="s">
        <v>185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186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187</v>
      </c>
      <c r="C40" s="158" t="s">
        <v>188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189</v>
      </c>
      <c r="C41" s="158" t="s">
        <v>190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191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192</v>
      </c>
      <c r="C44" s="154" t="s">
        <v>193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194</v>
      </c>
      <c r="C45" s="154" t="s">
        <v>195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196</v>
      </c>
      <c r="C46" s="154" t="s">
        <v>197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198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199</v>
      </c>
      <c r="C49" s="154" t="s">
        <v>200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201</v>
      </c>
      <c r="C50" s="154" t="s">
        <v>202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203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204</v>
      </c>
      <c r="C53" s="154" t="s">
        <v>205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206</v>
      </c>
      <c r="C54" s="154" t="s">
        <v>207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208</v>
      </c>
      <c r="C55" s="154" t="s">
        <v>209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L20" sqref="L20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210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211</v>
      </c>
      <c r="U2" s="624" t="s">
        <v>212</v>
      </c>
      <c r="V2" s="624" t="s">
        <v>213</v>
      </c>
      <c r="W2" s="624" t="s">
        <v>214</v>
      </c>
    </row>
    <row r="3" spans="1:41" s="24" customFormat="1" ht="13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219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146</v>
      </c>
      <c r="Q4" s="44"/>
      <c r="S4" s="53"/>
    </row>
    <row r="5" spans="1:41" s="24" customFormat="1" ht="15" customHeight="1">
      <c r="B5" s="256">
        <v>2</v>
      </c>
      <c r="C5" s="257" t="s">
        <v>220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221</v>
      </c>
      <c r="H5" s="636" t="s">
        <v>222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223</v>
      </c>
      <c r="D6" s="258">
        <f>+D4-D5</f>
        <v>657491.95600767108</v>
      </c>
      <c r="E6" s="259"/>
      <c r="F6" s="258">
        <f>+F4-F5</f>
        <v>1620290.3851635535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224</v>
      </c>
      <c r="S6" s="53"/>
    </row>
    <row r="7" spans="1:41" s="24" customFormat="1" ht="15" customHeight="1" thickBot="1">
      <c r="B7" s="256">
        <v>4</v>
      </c>
      <c r="C7" s="257" t="s">
        <v>225</v>
      </c>
      <c r="D7" s="260">
        <f>+D6/D4</f>
        <v>0.15960065579320015</v>
      </c>
      <c r="E7" s="259"/>
      <c r="F7" s="260">
        <f>+F6/F4</f>
        <v>0.31464951707424732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226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133</v>
      </c>
      <c r="C12" s="47" t="s">
        <v>227</v>
      </c>
      <c r="D12" s="48"/>
      <c r="E12" s="46" t="s">
        <v>228</v>
      </c>
      <c r="F12" s="46" t="s">
        <v>229</v>
      </c>
      <c r="H12" s="261" t="s">
        <v>230</v>
      </c>
      <c r="J12" s="53"/>
      <c r="L12" s="78" t="s">
        <v>231</v>
      </c>
      <c r="M12" s="49"/>
      <c r="N12" s="78" t="s">
        <v>232</v>
      </c>
      <c r="O12" s="49"/>
      <c r="P12" s="78" t="s">
        <v>233</v>
      </c>
      <c r="R12" s="279" t="s">
        <v>234</v>
      </c>
      <c r="S12" s="53"/>
    </row>
    <row r="13" spans="1:41" s="24" customFormat="1" ht="13">
      <c r="B13" s="589">
        <v>1</v>
      </c>
      <c r="C13" s="664" t="s">
        <v>235</v>
      </c>
      <c r="D13" s="665"/>
      <c r="E13" s="590">
        <v>0.4</v>
      </c>
      <c r="F13" s="591">
        <f>$D$4*E13</f>
        <v>1647842.7428508946</v>
      </c>
      <c r="G13" s="592"/>
      <c r="H13" s="593">
        <v>46081</v>
      </c>
      <c r="I13" s="594"/>
      <c r="J13" s="595"/>
      <c r="K13" s="594"/>
      <c r="L13" s="596"/>
      <c r="M13" s="594"/>
      <c r="N13" s="593"/>
      <c r="O13" s="597"/>
      <c r="P13" s="598">
        <v>46081</v>
      </c>
      <c r="R13" s="86" t="s">
        <v>236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237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64" t="s">
        <v>238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66" t="s">
        <v>239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66" t="s">
        <v>240</v>
      </c>
      <c r="D17" s="667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66" t="s">
        <v>241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66" t="s">
        <v>242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66" t="s">
        <v>243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66" t="s">
        <v>244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244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244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244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245</v>
      </c>
      <c r="C28" s="57" t="s">
        <v>246</v>
      </c>
      <c r="D28" s="57"/>
      <c r="F28" s="58"/>
      <c r="H28" s="30"/>
    </row>
    <row r="29" spans="2:19" s="24" customFormat="1" ht="12.5">
      <c r="C29" s="59" t="s">
        <v>247</v>
      </c>
      <c r="D29" s="60"/>
      <c r="F29" s="61"/>
    </row>
    <row r="30" spans="2:19" s="24" customFormat="1" ht="12.5">
      <c r="C30" s="59" t="s">
        <v>248</v>
      </c>
      <c r="D30" s="60"/>
    </row>
    <row r="31" spans="2:19" s="24" customFormat="1" ht="12.5">
      <c r="C31" s="62" t="s">
        <v>249</v>
      </c>
      <c r="D31" s="63"/>
    </row>
    <row r="32" spans="2:19" s="24" customFormat="1" ht="12.5">
      <c r="C32" s="64" t="s">
        <v>250</v>
      </c>
      <c r="D32" s="60"/>
    </row>
    <row r="33" spans="2:14" s="24" customFormat="1" ht="12.5">
      <c r="B33" s="31"/>
      <c r="C33" s="64" t="s">
        <v>251</v>
      </c>
      <c r="D33" s="60"/>
    </row>
    <row r="34" spans="2:14" s="24" customFormat="1" ht="12.5">
      <c r="B34" s="31"/>
      <c r="C34" s="24" t="s">
        <v>252</v>
      </c>
    </row>
    <row r="35" spans="2:14" s="24" customFormat="1" ht="27.75" customHeight="1">
      <c r="B35" s="31"/>
      <c r="C35" s="65" t="s">
        <v>253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133</v>
      </c>
      <c r="C45" s="47" t="s">
        <v>227</v>
      </c>
      <c r="D45" s="48"/>
      <c r="E45" s="46" t="s">
        <v>228</v>
      </c>
      <c r="F45" s="46" t="s">
        <v>229</v>
      </c>
    </row>
    <row r="46" spans="2:14" s="24" customFormat="1" ht="12.75" hidden="1" customHeight="1">
      <c r="B46" s="66">
        <v>1</v>
      </c>
      <c r="C46" s="67" t="s">
        <v>254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237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238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255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256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257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5" thickBot="1">
      <c r="A5" s="126"/>
      <c r="B5" s="669" t="s">
        <v>260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133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abSelected="1" topLeftCell="J1" zoomScale="51" zoomScaleNormal="85" workbookViewId="0">
      <pane ySplit="4" topLeftCell="A58" activePane="bottomLeft" state="frozen"/>
      <selection activeCell="X33" sqref="X33"/>
      <selection pane="bottomLeft" activeCell="N126" sqref="N12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266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267</v>
      </c>
      <c r="M2" s="720"/>
      <c r="N2" s="720"/>
      <c r="O2" s="720"/>
      <c r="P2" s="720"/>
      <c r="Q2" s="720"/>
      <c r="R2" s="721" t="s">
        <v>268</v>
      </c>
      <c r="S2" s="722"/>
      <c r="T2" s="722"/>
      <c r="U2" s="722"/>
      <c r="V2" s="722"/>
      <c r="W2" s="723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Total Revenue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6" t="s">
        <v>279</v>
      </c>
      <c r="S4" s="497" t="s">
        <v>231</v>
      </c>
      <c r="T4" s="521" t="s">
        <v>232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285</v>
      </c>
      <c r="N6" s="186" t="s">
        <v>286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46163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287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285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285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285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285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285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288</v>
      </c>
      <c r="Z11" s="486" t="s">
        <v>289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290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87</v>
      </c>
      <c r="D13" s="223" t="s">
        <v>291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292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323590</v>
      </c>
      <c r="Y13" s="608" t="s">
        <v>293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292</v>
      </c>
      <c r="N14" s="309" t="s">
        <v>294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715"/>
      <c r="W14" s="458">
        <f>T14+30</f>
        <v>46142</v>
      </c>
      <c r="X14" s="700"/>
      <c r="Y14" s="608" t="s">
        <v>295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292</v>
      </c>
      <c r="N15" s="309" t="s">
        <v>296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715"/>
      <c r="W15" s="458">
        <f>W14</f>
        <v>46142</v>
      </c>
      <c r="X15" s="700"/>
      <c r="Y15" s="608" t="s">
        <v>297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292</v>
      </c>
      <c r="N16" s="309" t="s">
        <v>298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715"/>
      <c r="W16" s="458">
        <f>T16+30</f>
        <v>46142</v>
      </c>
      <c r="X16" s="700"/>
      <c r="Y16" s="608" t="s">
        <v>299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292</v>
      </c>
      <c r="N17" s="309" t="s">
        <v>300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715"/>
      <c r="W17" s="458">
        <f>W15</f>
        <v>46142</v>
      </c>
      <c r="X17" s="700"/>
      <c r="Y17" s="608" t="s">
        <v>301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292</v>
      </c>
      <c r="N18" s="309" t="s">
        <v>302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715"/>
      <c r="W18" s="458">
        <f>T18+30</f>
        <v>46172</v>
      </c>
      <c r="X18" s="700"/>
      <c r="Y18" s="608" t="s">
        <v>303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292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304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305</v>
      </c>
      <c r="Z20" s="487">
        <v>0</v>
      </c>
      <c r="AA20" s="526"/>
    </row>
    <row r="21" spans="1:27" ht="14.25" customHeight="1">
      <c r="B21" s="185">
        <v>3</v>
      </c>
      <c r="C21" s="213" t="s">
        <v>306</v>
      </c>
      <c r="D21" s="231" t="s">
        <v>307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308</v>
      </c>
      <c r="N21" s="231" t="s">
        <v>309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46142</v>
      </c>
      <c r="X21" s="670">
        <f>SUM(Q21:Q26)</f>
        <v>111074</v>
      </c>
      <c r="Y21" s="608" t="s">
        <v>310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308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257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308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311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308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312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308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308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216</v>
      </c>
      <c r="Z26" s="491" t="s">
        <v>313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293</v>
      </c>
      <c r="D28" s="198" t="s">
        <v>314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315</v>
      </c>
      <c r="N28" s="198" t="s">
        <v>316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46142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315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315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315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318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315</v>
      </c>
      <c r="N32" s="309" t="s">
        <v>319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46112</v>
      </c>
      <c r="U32" s="401">
        <f t="shared" si="4"/>
        <v>13349.333512522921</v>
      </c>
      <c r="V32" s="715"/>
      <c r="W32" s="458">
        <f>W96</f>
        <v>46110</v>
      </c>
      <c r="X32" s="700"/>
      <c r="Y32" s="611" t="s">
        <v>320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315</v>
      </c>
      <c r="N33" s="309" t="s">
        <v>157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46112</v>
      </c>
      <c r="U33" s="401">
        <f t="shared" si="4"/>
        <v>20024.000268784381</v>
      </c>
      <c r="V33" s="715"/>
      <c r="W33" s="458">
        <f t="shared" ref="W33:W39" si="9">W97</f>
        <v>46110</v>
      </c>
      <c r="X33" s="700"/>
      <c r="Y33" s="611" t="s">
        <v>321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315</v>
      </c>
      <c r="N34" s="309" t="s">
        <v>322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46141</v>
      </c>
      <c r="X34" s="700"/>
      <c r="Y34" s="611" t="s">
        <v>323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315</v>
      </c>
      <c r="N35" s="309" t="s">
        <v>324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46142</v>
      </c>
      <c r="U35" s="401">
        <f t="shared" si="4"/>
        <v>33373.333781307301</v>
      </c>
      <c r="V35" s="715"/>
      <c r="W35" s="458">
        <f t="shared" si="9"/>
        <v>46135</v>
      </c>
      <c r="X35" s="700"/>
      <c r="Y35" s="611" t="s">
        <v>305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315</v>
      </c>
      <c r="N36" s="309" t="s">
        <v>325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46173</v>
      </c>
      <c r="U36" s="401">
        <f t="shared" si="4"/>
        <v>13349.333512522921</v>
      </c>
      <c r="V36" s="715"/>
      <c r="W36" s="458">
        <f t="shared" si="9"/>
        <v>46160</v>
      </c>
      <c r="X36" s="700"/>
      <c r="Y36" s="611" t="s">
        <v>310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315</v>
      </c>
      <c r="N37" s="309" t="s">
        <v>326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46173</v>
      </c>
      <c r="U37" s="401">
        <f t="shared" si="4"/>
        <v>13349.333512522921</v>
      </c>
      <c r="V37" s="715"/>
      <c r="W37" s="458">
        <f t="shared" si="9"/>
        <v>46161</v>
      </c>
      <c r="X37" s="700"/>
      <c r="Y37" s="611" t="s">
        <v>310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315</v>
      </c>
      <c r="N38" s="309" t="s">
        <v>327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46173</v>
      </c>
      <c r="U38" s="401">
        <f t="shared" si="4"/>
        <v>6674.6667562614603</v>
      </c>
      <c r="V38" s="715"/>
      <c r="W38" s="458">
        <f t="shared" si="9"/>
        <v>46161</v>
      </c>
      <c r="X38" s="700"/>
      <c r="Y38" s="611" t="s">
        <v>257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315</v>
      </c>
      <c r="N39" s="309" t="s">
        <v>328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46203</v>
      </c>
      <c r="U39" s="401">
        <f t="shared" si="4"/>
        <v>6674.6667562614603</v>
      </c>
      <c r="V39" s="715"/>
      <c r="W39" s="458">
        <f t="shared" si="9"/>
        <v>46184</v>
      </c>
      <c r="X39" s="700"/>
      <c r="Y39" s="612" t="s">
        <v>312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315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315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315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329</v>
      </c>
      <c r="D44" s="231" t="s">
        <v>330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331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332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331</v>
      </c>
      <c r="N45" s="191" t="s">
        <v>332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83"/>
      <c r="W45" s="453">
        <v>46081</v>
      </c>
      <c r="X45" s="671"/>
    </row>
    <row r="46" spans="1:26" ht="14.25" customHeight="1">
      <c r="B46" s="190">
        <v>5</v>
      </c>
      <c r="C46" s="214"/>
      <c r="D46" s="288" t="s">
        <v>333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331</v>
      </c>
      <c r="N46" s="217" t="s">
        <v>333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83"/>
      <c r="W46" s="453">
        <f>W45</f>
        <v>46081</v>
      </c>
      <c r="X46" s="671"/>
    </row>
    <row r="47" spans="1:26" ht="14.25" customHeight="1">
      <c r="B47" s="215">
        <v>5</v>
      </c>
      <c r="C47" s="216"/>
      <c r="D47" s="217" t="s">
        <v>334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331</v>
      </c>
      <c r="N47" s="217" t="s">
        <v>335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83"/>
      <c r="W47" s="453">
        <f>T47+30</f>
        <v>46142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331</v>
      </c>
      <c r="N48" s="288" t="s">
        <v>296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83"/>
      <c r="W48" s="453">
        <f>T48+30</f>
        <v>46142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331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331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290</v>
      </c>
      <c r="D52" s="199" t="s">
        <v>336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337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337</v>
      </c>
      <c r="N53" s="342" t="s">
        <v>101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715"/>
      <c r="W53" s="458">
        <f>T53+30</f>
        <v>46142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337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337</v>
      </c>
      <c r="N55" s="342" t="s">
        <v>338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715"/>
      <c r="W55" s="458">
        <f>W53</f>
        <v>46142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337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337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337</v>
      </c>
      <c r="N58" s="309" t="s">
        <v>319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46112</v>
      </c>
      <c r="U58" s="401">
        <f t="shared" si="11"/>
        <v>20734.831615816678</v>
      </c>
      <c r="V58" s="715"/>
      <c r="W58" s="458">
        <f>W96</f>
        <v>46110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337</v>
      </c>
      <c r="N59" s="309" t="s">
        <v>157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46112</v>
      </c>
      <c r="U59" s="401">
        <f t="shared" si="11"/>
        <v>31102.247423725014</v>
      </c>
      <c r="V59" s="715"/>
      <c r="W59" s="458">
        <f t="shared" ref="W59:W65" si="13">W97</f>
        <v>46110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337</v>
      </c>
      <c r="N60" s="309" t="s">
        <v>322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46141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337</v>
      </c>
      <c r="N61" s="309" t="s">
        <v>324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46142</v>
      </c>
      <c r="U61" s="401">
        <f t="shared" si="11"/>
        <v>51837.079039541684</v>
      </c>
      <c r="V61" s="715"/>
      <c r="W61" s="458">
        <f t="shared" si="13"/>
        <v>46135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337</v>
      </c>
      <c r="N62" s="309" t="s">
        <v>325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46173</v>
      </c>
      <c r="U62" s="401">
        <f t="shared" si="11"/>
        <v>20734.831615816678</v>
      </c>
      <c r="V62" s="715"/>
      <c r="W62" s="458">
        <f t="shared" si="13"/>
        <v>46160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337</v>
      </c>
      <c r="N63" s="309" t="s">
        <v>326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46173</v>
      </c>
      <c r="U63" s="406">
        <f t="shared" si="11"/>
        <v>20734.831615816678</v>
      </c>
      <c r="V63" s="715"/>
      <c r="W63" s="458">
        <f t="shared" si="13"/>
        <v>46161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337</v>
      </c>
      <c r="N64" s="309" t="s">
        <v>327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46173</v>
      </c>
      <c r="U64" s="406">
        <f t="shared" si="11"/>
        <v>10367.415807908339</v>
      </c>
      <c r="V64" s="715"/>
      <c r="W64" s="458">
        <f t="shared" si="13"/>
        <v>46161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337</v>
      </c>
      <c r="N65" s="309" t="s">
        <v>328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46203</v>
      </c>
      <c r="U65" s="406">
        <f t="shared" si="11"/>
        <v>10367.415807908339</v>
      </c>
      <c r="V65" s="715"/>
      <c r="W65" s="458">
        <f t="shared" si="13"/>
        <v>46184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337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337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337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339</v>
      </c>
      <c r="D70" s="282" t="s">
        <v>340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341</v>
      </c>
      <c r="N70" s="282" t="s">
        <v>340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711">
        <f>J70-SUM(U70:U77)</f>
        <v>0</v>
      </c>
      <c r="W70" s="463"/>
      <c r="X70" s="670">
        <f>SUM(Q70:Q77)</f>
        <v>603900</v>
      </c>
    </row>
    <row r="71" spans="1:24" ht="14.25" customHeight="1">
      <c r="B71" s="284">
        <v>7</v>
      </c>
      <c r="C71" s="285"/>
      <c r="D71" s="286" t="s">
        <v>342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341</v>
      </c>
      <c r="N71" s="286" t="s">
        <v>342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712"/>
      <c r="W71" s="454"/>
      <c r="X71" s="671"/>
    </row>
    <row r="72" spans="1:24" ht="14.25" customHeight="1">
      <c r="B72" s="284">
        <v>7</v>
      </c>
      <c r="C72" s="285"/>
      <c r="D72" s="286" t="s">
        <v>343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341</v>
      </c>
      <c r="N72" s="286" t="s">
        <v>344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712"/>
      <c r="W72" s="454">
        <f>T72+30</f>
        <v>46142</v>
      </c>
      <c r="X72" s="671"/>
    </row>
    <row r="73" spans="1:24" ht="14.25" customHeight="1">
      <c r="B73" s="284">
        <v>7</v>
      </c>
      <c r="C73" s="285"/>
      <c r="D73" s="286" t="s">
        <v>345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341</v>
      </c>
      <c r="N73" s="286" t="s">
        <v>346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712"/>
      <c r="W73" s="454">
        <f>T73+30</f>
        <v>46142</v>
      </c>
      <c r="X73" s="671"/>
    </row>
    <row r="74" spans="1:24" ht="14.25" customHeight="1">
      <c r="B74" s="284">
        <v>7</v>
      </c>
      <c r="C74" s="285"/>
      <c r="D74" s="286" t="s">
        <v>347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341</v>
      </c>
      <c r="N74" s="286" t="s">
        <v>348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712"/>
      <c r="W74" s="454">
        <f>T74</f>
        <v>46142</v>
      </c>
      <c r="X74" s="671"/>
    </row>
    <row r="75" spans="1:24" ht="14.25" customHeight="1">
      <c r="B75" s="284">
        <v>7</v>
      </c>
      <c r="C75" s="285"/>
      <c r="D75" s="286" t="s">
        <v>349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341</v>
      </c>
      <c r="N75" s="286"/>
      <c r="O75" s="434"/>
      <c r="P75" s="343"/>
      <c r="Q75" s="287"/>
      <c r="R75" s="470"/>
      <c r="S75" s="501"/>
      <c r="T75" s="412" t="str">
        <f t="shared" ref="T75:T139" si="15">IF(W75&gt;1,EOMONTH(W75,0),"")</f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350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341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341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351</v>
      </c>
      <c r="D79" s="237" t="s">
        <v>352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353</v>
      </c>
      <c r="N79" s="237" t="s">
        <v>352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08">
        <f>J79-SUM(U79:U93)</f>
        <v>0</v>
      </c>
      <c r="W79" s="457">
        <f>T79+30</f>
        <v>46142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354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353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353</v>
      </c>
      <c r="N81" s="239" t="s">
        <v>355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353</v>
      </c>
      <c r="N82" s="239" t="s">
        <v>356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357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353</v>
      </c>
      <c r="N83" s="239" t="s">
        <v>358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353</v>
      </c>
      <c r="N84" s="239" t="s">
        <v>359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360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353</v>
      </c>
      <c r="N85" s="239" t="s">
        <v>361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353</v>
      </c>
      <c r="N86" s="239" t="s">
        <v>362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.15" customHeight="1">
      <c r="B87" s="226">
        <v>8</v>
      </c>
      <c r="C87" s="227"/>
      <c r="D87" s="239" t="s">
        <v>363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353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.15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353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296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353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353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364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353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353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353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365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366</v>
      </c>
      <c r="D95" s="231" t="s">
        <v>367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368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369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368</v>
      </c>
      <c r="N96" s="232" t="s">
        <v>319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46112</v>
      </c>
      <c r="U96" s="397">
        <f t="shared" si="20"/>
        <v>37075.555555555555</v>
      </c>
      <c r="V96" s="683"/>
      <c r="W96" s="453">
        <f>'Project Plan'!I20+7</f>
        <v>46110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368</v>
      </c>
      <c r="N97" s="286" t="s">
        <v>157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46112</v>
      </c>
      <c r="U97" s="397">
        <f t="shared" si="20"/>
        <v>55613.333333333321</v>
      </c>
      <c r="V97" s="683"/>
      <c r="W97" s="454">
        <f>'Project Plan'!I20+7</f>
        <v>46110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368</v>
      </c>
      <c r="N98" s="286" t="s">
        <v>322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46141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368</v>
      </c>
      <c r="N99" s="286" t="s">
        <v>324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46142</v>
      </c>
      <c r="U99" s="397">
        <f t="shared" si="20"/>
        <v>92688.888888888876</v>
      </c>
      <c r="V99" s="683"/>
      <c r="W99" s="454">
        <f>'Project Plan'!K32+7</f>
        <v>46135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368</v>
      </c>
      <c r="N100" s="286" t="s">
        <v>325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46173</v>
      </c>
      <c r="U100" s="397">
        <f t="shared" si="20"/>
        <v>37075.555555555555</v>
      </c>
      <c r="V100" s="683"/>
      <c r="W100" s="454">
        <f>'Project Plan'!K43+7</f>
        <v>46160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368</v>
      </c>
      <c r="N101" s="286" t="s">
        <v>326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46173</v>
      </c>
      <c r="U101" s="397">
        <f t="shared" si="20"/>
        <v>37075.555555555555</v>
      </c>
      <c r="V101" s="683"/>
      <c r="W101" s="454">
        <f>'Project Plan'!K50+7</f>
        <v>46161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368</v>
      </c>
      <c r="N102" s="286" t="s">
        <v>327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46173</v>
      </c>
      <c r="U102" s="397">
        <f t="shared" si="20"/>
        <v>18537.777777777777</v>
      </c>
      <c r="V102" s="683"/>
      <c r="W102" s="454">
        <f>'Project Plan'!K50+7</f>
        <v>46161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368</v>
      </c>
      <c r="N103" s="286" t="s">
        <v>328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46203</v>
      </c>
      <c r="U103" s="397">
        <f t="shared" si="20"/>
        <v>18537.777777777777</v>
      </c>
      <c r="V103" s="683"/>
      <c r="W103" s="454">
        <f>'Project Plan'!K50+30</f>
        <v>46184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368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368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368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370</v>
      </c>
      <c r="D108" s="174" t="s">
        <v>299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371</v>
      </c>
      <c r="N108" s="174" t="s">
        <v>372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46112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301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371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372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371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303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371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371</v>
      </c>
      <c r="N112" s="245" t="s">
        <v>319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46112</v>
      </c>
      <c r="U112" s="409">
        <f t="shared" si="22"/>
        <v>2579.892968219413</v>
      </c>
      <c r="V112" s="686"/>
      <c r="W112" s="466">
        <f>W96</f>
        <v>46110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371</v>
      </c>
      <c r="N113" s="245" t="s">
        <v>157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46112</v>
      </c>
      <c r="U113" s="409">
        <f t="shared" si="22"/>
        <v>3869.839452329119</v>
      </c>
      <c r="V113" s="686"/>
      <c r="W113" s="466">
        <f t="shared" ref="W113:W119" si="25">W97</f>
        <v>46110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371</v>
      </c>
      <c r="N114" s="245" t="s">
        <v>322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46141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371</v>
      </c>
      <c r="N115" s="245" t="s">
        <v>324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46142</v>
      </c>
      <c r="U115" s="409">
        <f t="shared" si="22"/>
        <v>6449.732420548532</v>
      </c>
      <c r="V115" s="686"/>
      <c r="W115" s="466">
        <f t="shared" si="25"/>
        <v>46135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371</v>
      </c>
      <c r="N116" s="245" t="s">
        <v>325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46173</v>
      </c>
      <c r="U116" s="409">
        <f t="shared" si="22"/>
        <v>2579.892968219413</v>
      </c>
      <c r="V116" s="686"/>
      <c r="W116" s="466">
        <f t="shared" si="25"/>
        <v>46160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371</v>
      </c>
      <c r="N117" s="245" t="s">
        <v>326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46173</v>
      </c>
      <c r="U117" s="409">
        <f t="shared" si="22"/>
        <v>2579.892968219413</v>
      </c>
      <c r="V117" s="686"/>
      <c r="W117" s="466">
        <f t="shared" si="25"/>
        <v>46161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371</v>
      </c>
      <c r="N118" s="245" t="s">
        <v>327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46173</v>
      </c>
      <c r="U118" s="409">
        <f t="shared" si="22"/>
        <v>1289.9464841097065</v>
      </c>
      <c r="V118" s="686"/>
      <c r="W118" s="466">
        <f t="shared" si="25"/>
        <v>46161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371</v>
      </c>
      <c r="N119" s="245" t="s">
        <v>328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46203</v>
      </c>
      <c r="U119" s="409">
        <f t="shared" si="22"/>
        <v>1289.9464841097065</v>
      </c>
      <c r="V119" s="686"/>
      <c r="W119" s="466">
        <f t="shared" si="25"/>
        <v>46184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371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371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371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373</v>
      </c>
      <c r="D124" s="255" t="s">
        <v>374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375</v>
      </c>
      <c r="N124" s="255" t="s">
        <v>374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46167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376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375</v>
      </c>
      <c r="N125" s="217" t="s">
        <v>377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375</v>
      </c>
      <c r="N126" s="217" t="s">
        <v>378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378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375</v>
      </c>
      <c r="N127" s="288" t="s">
        <v>379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380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375</v>
      </c>
      <c r="N128" s="221" t="s">
        <v>380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84"/>
      <c r="W128" s="455">
        <v>46081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381</v>
      </c>
      <c r="D130" s="174" t="s">
        <v>382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383</v>
      </c>
      <c r="N130" s="174" t="s">
        <v>382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381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383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384</v>
      </c>
      <c r="D133" s="255" t="s">
        <v>385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386</v>
      </c>
      <c r="N133" s="255" t="s">
        <v>387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386</v>
      </c>
      <c r="N134" s="217" t="s">
        <v>388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386</v>
      </c>
      <c r="N135" s="217" t="s">
        <v>389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386</v>
      </c>
      <c r="N136" s="217" t="s">
        <v>390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386</v>
      </c>
      <c r="N137" s="217" t="s">
        <v>391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386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392</v>
      </c>
      <c r="D140" s="174" t="s">
        <v>393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394</v>
      </c>
      <c r="N140" s="174" t="s">
        <v>395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46088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394</v>
      </c>
      <c r="N141" s="245" t="s">
        <v>395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86"/>
      <c r="W141" s="466">
        <f>T141+7</f>
        <v>46119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394</v>
      </c>
      <c r="N142" s="245" t="s">
        <v>395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86"/>
      <c r="W142" s="466">
        <f>T142+7</f>
        <v>46149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394</v>
      </c>
      <c r="N143" s="245" t="s">
        <v>395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86"/>
      <c r="W143" s="466">
        <f>T143+7</f>
        <v>46180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394</v>
      </c>
      <c r="N144" s="245" t="s">
        <v>395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394</v>
      </c>
      <c r="N145" s="245" t="s">
        <v>395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394</v>
      </c>
      <c r="N146" s="245" t="s">
        <v>395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394</v>
      </c>
      <c r="N147" s="245" t="s">
        <v>395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394</v>
      </c>
      <c r="N148" s="245" t="s">
        <v>395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394</v>
      </c>
      <c r="N149" s="245" t="s">
        <v>395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394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394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396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397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397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397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397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397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397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397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397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397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397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397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397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398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399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400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317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336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401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402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403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404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405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406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407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408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409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410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411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412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413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414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415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416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417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404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418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419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G16" activePane="bottomRight" state="frozen"/>
      <selection pane="topRight" activeCell="X33" sqref="X33"/>
      <selection pane="bottomLeft" activeCell="X33" sqref="X33"/>
      <selection pane="bottomRight" activeCell="H1" sqref="H1:M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420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L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>L1+7</f>
        <v>46083</v>
      </c>
      <c r="N1" s="101">
        <f t="shared" ref="J1:BT1" si="1">M1+7</f>
        <v>46090</v>
      </c>
      <c r="O1" s="101">
        <f t="shared" si="1"/>
        <v>46097</v>
      </c>
      <c r="P1" s="101">
        <f t="shared" si="1"/>
        <v>46104</v>
      </c>
      <c r="Q1" s="101">
        <f t="shared" si="1"/>
        <v>46111</v>
      </c>
      <c r="R1" s="101">
        <f t="shared" si="1"/>
        <v>46118</v>
      </c>
      <c r="S1" s="101">
        <f t="shared" si="1"/>
        <v>46125</v>
      </c>
      <c r="T1" s="101">
        <f t="shared" si="1"/>
        <v>46132</v>
      </c>
      <c r="U1" s="101">
        <f t="shared" si="1"/>
        <v>46139</v>
      </c>
      <c r="V1" s="101">
        <f t="shared" si="1"/>
        <v>46146</v>
      </c>
      <c r="W1" s="101">
        <f t="shared" si="1"/>
        <v>46153</v>
      </c>
      <c r="X1" s="101">
        <f t="shared" si="1"/>
        <v>46160</v>
      </c>
      <c r="Y1" s="101">
        <f t="shared" si="1"/>
        <v>46167</v>
      </c>
      <c r="Z1" s="101">
        <f t="shared" si="1"/>
        <v>46174</v>
      </c>
      <c r="AA1" s="101">
        <f t="shared" si="1"/>
        <v>46181</v>
      </c>
      <c r="AB1" s="101">
        <f t="shared" si="1"/>
        <v>46188</v>
      </c>
      <c r="AC1" s="101">
        <f t="shared" si="1"/>
        <v>46195</v>
      </c>
      <c r="AD1" s="101">
        <f>AC1+7</f>
        <v>46202</v>
      </c>
      <c r="AE1" s="101">
        <f t="shared" si="1"/>
        <v>46209</v>
      </c>
      <c r="AF1" s="101">
        <f t="shared" si="1"/>
        <v>46216</v>
      </c>
      <c r="AG1" s="101">
        <f t="shared" si="1"/>
        <v>46223</v>
      </c>
      <c r="AH1" s="101">
        <f t="shared" si="1"/>
        <v>46230</v>
      </c>
      <c r="AI1" s="101">
        <f t="shared" si="1"/>
        <v>46237</v>
      </c>
      <c r="AJ1" s="101">
        <f t="shared" si="1"/>
        <v>46244</v>
      </c>
      <c r="AK1" s="101">
        <f t="shared" si="1"/>
        <v>46251</v>
      </c>
      <c r="AL1" s="101">
        <f t="shared" si="1"/>
        <v>46258</v>
      </c>
      <c r="AM1" s="101">
        <f t="shared" si="1"/>
        <v>46265</v>
      </c>
      <c r="AN1" s="101">
        <f t="shared" si="1"/>
        <v>46272</v>
      </c>
      <c r="AO1" s="101">
        <f t="shared" si="1"/>
        <v>46279</v>
      </c>
      <c r="AP1" s="101">
        <f t="shared" si="1"/>
        <v>46286</v>
      </c>
      <c r="AQ1" s="101">
        <f t="shared" si="1"/>
        <v>46293</v>
      </c>
      <c r="AR1" s="101">
        <f t="shared" si="1"/>
        <v>46300</v>
      </c>
      <c r="AS1" s="101">
        <f t="shared" si="1"/>
        <v>46307</v>
      </c>
      <c r="AT1" s="101">
        <f t="shared" si="1"/>
        <v>46314</v>
      </c>
      <c r="AU1" s="101">
        <f t="shared" si="1"/>
        <v>46321</v>
      </c>
      <c r="AV1" s="101">
        <f t="shared" si="1"/>
        <v>46328</v>
      </c>
      <c r="AW1" s="101">
        <f t="shared" si="1"/>
        <v>46335</v>
      </c>
      <c r="AX1" s="101">
        <f t="shared" si="1"/>
        <v>46342</v>
      </c>
      <c r="AY1" s="101">
        <f t="shared" si="1"/>
        <v>46349</v>
      </c>
      <c r="AZ1" s="101">
        <f t="shared" si="1"/>
        <v>46356</v>
      </c>
      <c r="BA1" s="101">
        <f t="shared" si="1"/>
        <v>46363</v>
      </c>
      <c r="BB1" s="101">
        <f t="shared" si="1"/>
        <v>46370</v>
      </c>
      <c r="BC1" s="101">
        <f t="shared" si="1"/>
        <v>46377</v>
      </c>
      <c r="BD1" s="101">
        <f t="shared" si="1"/>
        <v>46384</v>
      </c>
      <c r="BE1" s="101">
        <f t="shared" si="1"/>
        <v>46391</v>
      </c>
      <c r="BF1" s="101">
        <f t="shared" si="1"/>
        <v>46398</v>
      </c>
      <c r="BG1" s="101">
        <f t="shared" si="1"/>
        <v>46405</v>
      </c>
      <c r="BH1" s="101">
        <f t="shared" si="1"/>
        <v>46412</v>
      </c>
      <c r="BI1" s="101">
        <f t="shared" si="1"/>
        <v>46419</v>
      </c>
      <c r="BJ1" s="101">
        <f t="shared" si="1"/>
        <v>46426</v>
      </c>
      <c r="BK1" s="101">
        <f t="shared" si="1"/>
        <v>46433</v>
      </c>
      <c r="BL1" s="101">
        <f t="shared" si="1"/>
        <v>46440</v>
      </c>
      <c r="BM1" s="101">
        <f t="shared" si="1"/>
        <v>46447</v>
      </c>
      <c r="BN1" s="101">
        <f t="shared" si="1"/>
        <v>46454</v>
      </c>
      <c r="BO1" s="101">
        <f t="shared" si="1"/>
        <v>46461</v>
      </c>
      <c r="BP1" s="101">
        <f t="shared" si="1"/>
        <v>46468</v>
      </c>
      <c r="BQ1" s="101">
        <f t="shared" si="1"/>
        <v>46475</v>
      </c>
      <c r="BR1" s="101">
        <f t="shared" si="1"/>
        <v>46482</v>
      </c>
      <c r="BS1" s="101">
        <f t="shared" si="1"/>
        <v>46489</v>
      </c>
      <c r="BT1" s="101">
        <f t="shared" si="1"/>
        <v>46496</v>
      </c>
      <c r="BU1" s="101">
        <f t="shared" ref="BU1:EF1" si="2">BT1+7</f>
        <v>46503</v>
      </c>
      <c r="BV1" s="101">
        <f t="shared" si="2"/>
        <v>46510</v>
      </c>
      <c r="BW1" s="101">
        <f t="shared" si="2"/>
        <v>46517</v>
      </c>
      <c r="BX1" s="101">
        <f t="shared" si="2"/>
        <v>46524</v>
      </c>
      <c r="BY1" s="101">
        <f t="shared" si="2"/>
        <v>46531</v>
      </c>
      <c r="BZ1" s="101">
        <f t="shared" si="2"/>
        <v>46538</v>
      </c>
      <c r="CA1" s="101">
        <f t="shared" si="2"/>
        <v>46545</v>
      </c>
      <c r="CB1" s="101">
        <f t="shared" si="2"/>
        <v>46552</v>
      </c>
      <c r="CC1" s="101">
        <f t="shared" si="2"/>
        <v>46559</v>
      </c>
      <c r="CD1" s="101">
        <f t="shared" si="2"/>
        <v>46566</v>
      </c>
      <c r="CE1" s="101">
        <f t="shared" si="2"/>
        <v>46573</v>
      </c>
      <c r="CF1" s="101">
        <f t="shared" si="2"/>
        <v>46580</v>
      </c>
      <c r="CG1" s="101">
        <f t="shared" si="2"/>
        <v>46587</v>
      </c>
      <c r="CH1" s="101">
        <f t="shared" si="2"/>
        <v>46594</v>
      </c>
      <c r="CI1" s="101">
        <f t="shared" si="2"/>
        <v>46601</v>
      </c>
      <c r="CJ1" s="101">
        <f t="shared" si="2"/>
        <v>46608</v>
      </c>
      <c r="CK1" s="101">
        <f t="shared" si="2"/>
        <v>46615</v>
      </c>
      <c r="CL1" s="101">
        <f t="shared" si="2"/>
        <v>46622</v>
      </c>
      <c r="CM1" s="101">
        <f t="shared" si="2"/>
        <v>46629</v>
      </c>
      <c r="CN1" s="101">
        <f t="shared" si="2"/>
        <v>46636</v>
      </c>
      <c r="CO1" s="101">
        <f t="shared" si="2"/>
        <v>46643</v>
      </c>
      <c r="CP1" s="101">
        <f t="shared" si="2"/>
        <v>46650</v>
      </c>
      <c r="CQ1" s="101">
        <f t="shared" si="2"/>
        <v>46657</v>
      </c>
      <c r="CR1" s="101">
        <f t="shared" si="2"/>
        <v>46664</v>
      </c>
      <c r="CS1" s="101">
        <f t="shared" si="2"/>
        <v>46671</v>
      </c>
      <c r="CT1" s="101">
        <f t="shared" si="2"/>
        <v>46678</v>
      </c>
      <c r="CU1" s="101">
        <f t="shared" si="2"/>
        <v>46685</v>
      </c>
      <c r="CV1" s="101">
        <f t="shared" si="2"/>
        <v>46692</v>
      </c>
      <c r="CW1" s="101">
        <f t="shared" si="2"/>
        <v>46699</v>
      </c>
      <c r="CX1" s="101">
        <f t="shared" si="2"/>
        <v>46706</v>
      </c>
      <c r="CY1" s="101">
        <f t="shared" si="2"/>
        <v>46713</v>
      </c>
      <c r="CZ1" s="101">
        <f t="shared" si="2"/>
        <v>46720</v>
      </c>
      <c r="DA1" s="101">
        <f t="shared" si="2"/>
        <v>46727</v>
      </c>
      <c r="DB1" s="101">
        <f t="shared" si="2"/>
        <v>46734</v>
      </c>
      <c r="DC1" s="101">
        <f t="shared" si="2"/>
        <v>46741</v>
      </c>
      <c r="DD1" s="101">
        <f t="shared" si="2"/>
        <v>46748</v>
      </c>
      <c r="DE1" s="101">
        <f t="shared" si="2"/>
        <v>46755</v>
      </c>
      <c r="DF1" s="101">
        <f t="shared" si="2"/>
        <v>46762</v>
      </c>
      <c r="DG1" s="101">
        <f t="shared" si="2"/>
        <v>46769</v>
      </c>
      <c r="DH1" s="101">
        <f t="shared" si="2"/>
        <v>46776</v>
      </c>
      <c r="DI1" s="101">
        <f t="shared" si="2"/>
        <v>46783</v>
      </c>
      <c r="DJ1" s="101">
        <f t="shared" si="2"/>
        <v>46790</v>
      </c>
      <c r="DK1" s="101">
        <f t="shared" si="2"/>
        <v>46797</v>
      </c>
      <c r="DL1" s="101">
        <f t="shared" si="2"/>
        <v>46804</v>
      </c>
      <c r="DM1" s="101">
        <f t="shared" si="2"/>
        <v>46811</v>
      </c>
      <c r="DN1" s="101">
        <f t="shared" si="2"/>
        <v>46818</v>
      </c>
      <c r="DO1" s="101">
        <f t="shared" si="2"/>
        <v>46825</v>
      </c>
      <c r="DP1" s="101">
        <f t="shared" si="2"/>
        <v>46832</v>
      </c>
      <c r="DQ1" s="101">
        <f t="shared" si="2"/>
        <v>46839</v>
      </c>
      <c r="DR1" s="101">
        <f t="shared" si="2"/>
        <v>46846</v>
      </c>
      <c r="DS1" s="101">
        <f t="shared" si="2"/>
        <v>46853</v>
      </c>
      <c r="DT1" s="101">
        <f t="shared" si="2"/>
        <v>46860</v>
      </c>
      <c r="DU1" s="101">
        <f t="shared" si="2"/>
        <v>46867</v>
      </c>
      <c r="DV1" s="101">
        <f t="shared" si="2"/>
        <v>46874</v>
      </c>
      <c r="DW1" s="101">
        <f t="shared" si="2"/>
        <v>46881</v>
      </c>
      <c r="DX1" s="101">
        <f t="shared" si="2"/>
        <v>46888</v>
      </c>
      <c r="DY1" s="101">
        <f t="shared" si="2"/>
        <v>46895</v>
      </c>
      <c r="DZ1" s="101">
        <f t="shared" si="2"/>
        <v>46902</v>
      </c>
      <c r="EA1" s="101">
        <f t="shared" si="2"/>
        <v>46909</v>
      </c>
      <c r="EB1" s="101">
        <f t="shared" si="2"/>
        <v>46916</v>
      </c>
      <c r="EC1" s="101">
        <f t="shared" si="2"/>
        <v>46923</v>
      </c>
      <c r="ED1" s="101">
        <f t="shared" si="2"/>
        <v>46930</v>
      </c>
      <c r="EE1" s="101">
        <f t="shared" si="2"/>
        <v>46937</v>
      </c>
      <c r="EF1" s="101">
        <f t="shared" si="2"/>
        <v>46944</v>
      </c>
      <c r="EG1" s="101">
        <f t="shared" ref="EG1:GR1" si="3">EF1+7</f>
        <v>46951</v>
      </c>
      <c r="EH1" s="101">
        <f t="shared" si="3"/>
        <v>46958</v>
      </c>
      <c r="EI1" s="101">
        <f t="shared" si="3"/>
        <v>46965</v>
      </c>
      <c r="EJ1" s="101">
        <f t="shared" si="3"/>
        <v>46972</v>
      </c>
      <c r="EK1" s="101">
        <f t="shared" si="3"/>
        <v>46979</v>
      </c>
      <c r="EL1" s="101">
        <f t="shared" si="3"/>
        <v>46986</v>
      </c>
      <c r="EM1" s="101">
        <f t="shared" si="3"/>
        <v>46993</v>
      </c>
      <c r="EN1" s="101">
        <f t="shared" si="3"/>
        <v>47000</v>
      </c>
      <c r="EO1" s="101">
        <f t="shared" si="3"/>
        <v>47007</v>
      </c>
      <c r="EP1" s="101">
        <f t="shared" si="3"/>
        <v>47014</v>
      </c>
      <c r="EQ1" s="101">
        <f t="shared" si="3"/>
        <v>47021</v>
      </c>
      <c r="ER1" s="101">
        <f t="shared" si="3"/>
        <v>47028</v>
      </c>
      <c r="ES1" s="101">
        <f t="shared" si="3"/>
        <v>47035</v>
      </c>
      <c r="ET1" s="101">
        <f t="shared" si="3"/>
        <v>47042</v>
      </c>
      <c r="EU1" s="101">
        <f t="shared" si="3"/>
        <v>47049</v>
      </c>
      <c r="EV1" s="101">
        <f t="shared" si="3"/>
        <v>47056</v>
      </c>
      <c r="EW1" s="101">
        <f t="shared" si="3"/>
        <v>47063</v>
      </c>
      <c r="EX1" s="101">
        <f t="shared" si="3"/>
        <v>47070</v>
      </c>
      <c r="EY1" s="101">
        <f t="shared" si="3"/>
        <v>47077</v>
      </c>
      <c r="EZ1" s="101">
        <f t="shared" si="3"/>
        <v>47084</v>
      </c>
      <c r="FA1" s="101">
        <f t="shared" si="3"/>
        <v>47091</v>
      </c>
      <c r="FB1" s="101">
        <f t="shared" si="3"/>
        <v>47098</v>
      </c>
      <c r="FC1" s="101">
        <f t="shared" si="3"/>
        <v>47105</v>
      </c>
      <c r="FD1" s="101">
        <f t="shared" si="3"/>
        <v>47112</v>
      </c>
      <c r="FE1" s="101">
        <f t="shared" si="3"/>
        <v>47119</v>
      </c>
      <c r="FF1" s="101">
        <f t="shared" si="3"/>
        <v>47126</v>
      </c>
      <c r="FG1" s="101">
        <f t="shared" si="3"/>
        <v>47133</v>
      </c>
      <c r="FH1" s="101">
        <f t="shared" si="3"/>
        <v>47140</v>
      </c>
      <c r="FI1" s="101">
        <f t="shared" si="3"/>
        <v>47147</v>
      </c>
      <c r="FJ1" s="101">
        <f t="shared" si="3"/>
        <v>47154</v>
      </c>
      <c r="FK1" s="101">
        <f t="shared" si="3"/>
        <v>47161</v>
      </c>
      <c r="FL1" s="101">
        <f t="shared" si="3"/>
        <v>47168</v>
      </c>
      <c r="FM1" s="101">
        <f t="shared" si="3"/>
        <v>47175</v>
      </c>
      <c r="FN1" s="101">
        <f t="shared" si="3"/>
        <v>47182</v>
      </c>
      <c r="FO1" s="101">
        <f t="shared" si="3"/>
        <v>47189</v>
      </c>
      <c r="FP1" s="101">
        <f t="shared" si="3"/>
        <v>47196</v>
      </c>
      <c r="FQ1" s="101">
        <f t="shared" si="3"/>
        <v>47203</v>
      </c>
      <c r="FR1" s="101">
        <f t="shared" si="3"/>
        <v>47210</v>
      </c>
      <c r="FS1" s="101">
        <f t="shared" si="3"/>
        <v>47217</v>
      </c>
      <c r="FT1" s="101">
        <f t="shared" si="3"/>
        <v>47224</v>
      </c>
      <c r="FU1" s="101">
        <f t="shared" si="3"/>
        <v>47231</v>
      </c>
      <c r="FV1" s="101">
        <f t="shared" si="3"/>
        <v>47238</v>
      </c>
      <c r="FW1" s="101">
        <f t="shared" si="3"/>
        <v>47245</v>
      </c>
      <c r="FX1" s="101">
        <f t="shared" si="3"/>
        <v>47252</v>
      </c>
      <c r="FY1" s="101">
        <f t="shared" si="3"/>
        <v>47259</v>
      </c>
      <c r="FZ1" s="101">
        <f t="shared" si="3"/>
        <v>47266</v>
      </c>
      <c r="GA1" s="101">
        <f t="shared" si="3"/>
        <v>47273</v>
      </c>
      <c r="GB1" s="101">
        <f t="shared" si="3"/>
        <v>47280</v>
      </c>
      <c r="GC1" s="101">
        <f t="shared" si="3"/>
        <v>47287</v>
      </c>
      <c r="GD1" s="101">
        <f t="shared" si="3"/>
        <v>47294</v>
      </c>
      <c r="GE1" s="101">
        <f t="shared" si="3"/>
        <v>47301</v>
      </c>
      <c r="GF1" s="101">
        <f t="shared" si="3"/>
        <v>47308</v>
      </c>
      <c r="GG1" s="101">
        <f t="shared" si="3"/>
        <v>47315</v>
      </c>
      <c r="GH1" s="101">
        <f t="shared" si="3"/>
        <v>47322</v>
      </c>
      <c r="GI1" s="101">
        <f t="shared" si="3"/>
        <v>47329</v>
      </c>
      <c r="GJ1" s="101">
        <f t="shared" si="3"/>
        <v>47336</v>
      </c>
      <c r="GK1" s="101">
        <f t="shared" si="3"/>
        <v>47343</v>
      </c>
      <c r="GL1" s="101">
        <f t="shared" si="3"/>
        <v>47350</v>
      </c>
      <c r="GM1" s="101">
        <f t="shared" si="3"/>
        <v>47357</v>
      </c>
      <c r="GN1" s="101">
        <f t="shared" si="3"/>
        <v>47364</v>
      </c>
      <c r="GO1" s="101">
        <f t="shared" si="3"/>
        <v>47371</v>
      </c>
      <c r="GP1" s="101">
        <f t="shared" si="3"/>
        <v>47378</v>
      </c>
      <c r="GQ1" s="101">
        <f t="shared" si="3"/>
        <v>47385</v>
      </c>
      <c r="GR1" s="101">
        <f t="shared" si="3"/>
        <v>47392</v>
      </c>
      <c r="GS1" s="101">
        <f t="shared" ref="GS1:JD1" si="4">GR1+7</f>
        <v>47399</v>
      </c>
      <c r="GT1" s="101">
        <f t="shared" si="4"/>
        <v>47406</v>
      </c>
      <c r="GU1" s="101">
        <f t="shared" si="4"/>
        <v>47413</v>
      </c>
      <c r="GV1" s="101">
        <f t="shared" si="4"/>
        <v>47420</v>
      </c>
      <c r="GW1" s="101">
        <f t="shared" si="4"/>
        <v>47427</v>
      </c>
      <c r="GX1" s="101">
        <f t="shared" si="4"/>
        <v>47434</v>
      </c>
      <c r="GY1" s="101">
        <f t="shared" si="4"/>
        <v>47441</v>
      </c>
      <c r="GZ1" s="101">
        <f t="shared" si="4"/>
        <v>47448</v>
      </c>
      <c r="HA1" s="101">
        <f t="shared" si="4"/>
        <v>47455</v>
      </c>
      <c r="HB1" s="101">
        <f t="shared" si="4"/>
        <v>47462</v>
      </c>
      <c r="HC1" s="101">
        <f t="shared" si="4"/>
        <v>47469</v>
      </c>
      <c r="HD1" s="101">
        <f t="shared" si="4"/>
        <v>47476</v>
      </c>
      <c r="HE1" s="101">
        <f t="shared" si="4"/>
        <v>47483</v>
      </c>
      <c r="HF1" s="101">
        <f t="shared" si="4"/>
        <v>47490</v>
      </c>
      <c r="HG1" s="101">
        <f t="shared" si="4"/>
        <v>47497</v>
      </c>
      <c r="HH1" s="101">
        <f t="shared" si="4"/>
        <v>47504</v>
      </c>
      <c r="HI1" s="101">
        <f t="shared" si="4"/>
        <v>47511</v>
      </c>
      <c r="HJ1" s="101">
        <f t="shared" si="4"/>
        <v>47518</v>
      </c>
      <c r="HK1" s="101">
        <f t="shared" si="4"/>
        <v>47525</v>
      </c>
      <c r="HL1" s="101">
        <f t="shared" si="4"/>
        <v>47532</v>
      </c>
      <c r="HM1" s="101">
        <f t="shared" si="4"/>
        <v>47539</v>
      </c>
      <c r="HN1" s="101">
        <f t="shared" si="4"/>
        <v>47546</v>
      </c>
      <c r="HO1" s="101">
        <f t="shared" si="4"/>
        <v>47553</v>
      </c>
      <c r="HP1" s="101">
        <f t="shared" si="4"/>
        <v>47560</v>
      </c>
      <c r="HQ1" s="101">
        <f t="shared" si="4"/>
        <v>47567</v>
      </c>
      <c r="HR1" s="101">
        <f t="shared" si="4"/>
        <v>47574</v>
      </c>
      <c r="HS1" s="101">
        <f t="shared" si="4"/>
        <v>47581</v>
      </c>
      <c r="HT1" s="101">
        <f t="shared" si="4"/>
        <v>47588</v>
      </c>
      <c r="HU1" s="101">
        <f t="shared" si="4"/>
        <v>47595</v>
      </c>
      <c r="HV1" s="101">
        <f t="shared" si="4"/>
        <v>47602</v>
      </c>
      <c r="HW1" s="101">
        <f t="shared" si="4"/>
        <v>47609</v>
      </c>
      <c r="HX1" s="101">
        <f t="shared" si="4"/>
        <v>47616</v>
      </c>
      <c r="HY1" s="101">
        <f t="shared" si="4"/>
        <v>47623</v>
      </c>
      <c r="HZ1" s="101">
        <f t="shared" si="4"/>
        <v>47630</v>
      </c>
      <c r="IA1" s="101">
        <f t="shared" si="4"/>
        <v>47637</v>
      </c>
      <c r="IB1" s="101">
        <f t="shared" si="4"/>
        <v>47644</v>
      </c>
      <c r="IC1" s="101">
        <f t="shared" si="4"/>
        <v>47651</v>
      </c>
      <c r="ID1" s="101">
        <f t="shared" si="4"/>
        <v>47658</v>
      </c>
      <c r="IE1" s="101">
        <f t="shared" si="4"/>
        <v>47665</v>
      </c>
      <c r="IF1" s="101">
        <f t="shared" si="4"/>
        <v>47672</v>
      </c>
      <c r="IG1" s="101">
        <f t="shared" si="4"/>
        <v>47679</v>
      </c>
      <c r="IH1" s="101">
        <f t="shared" si="4"/>
        <v>47686</v>
      </c>
      <c r="II1" s="101">
        <f t="shared" si="4"/>
        <v>47693</v>
      </c>
      <c r="IJ1" s="101">
        <f t="shared" si="4"/>
        <v>47700</v>
      </c>
      <c r="IK1" s="101">
        <f t="shared" si="4"/>
        <v>47707</v>
      </c>
      <c r="IL1" s="101">
        <f t="shared" si="4"/>
        <v>47714</v>
      </c>
      <c r="IM1" s="101">
        <f t="shared" si="4"/>
        <v>47721</v>
      </c>
      <c r="IN1" s="101">
        <f t="shared" si="4"/>
        <v>47728</v>
      </c>
      <c r="IO1" s="101">
        <f t="shared" si="4"/>
        <v>47735</v>
      </c>
      <c r="IP1" s="101">
        <f t="shared" si="4"/>
        <v>47742</v>
      </c>
      <c r="IQ1" s="101">
        <f t="shared" si="4"/>
        <v>47749</v>
      </c>
      <c r="IR1" s="101">
        <f t="shared" si="4"/>
        <v>47756</v>
      </c>
      <c r="IS1" s="101">
        <f t="shared" si="4"/>
        <v>47763</v>
      </c>
      <c r="IT1" s="101">
        <f t="shared" si="4"/>
        <v>47770</v>
      </c>
      <c r="IU1" s="101">
        <f t="shared" si="4"/>
        <v>47777</v>
      </c>
      <c r="IV1" s="101">
        <f t="shared" si="4"/>
        <v>47784</v>
      </c>
      <c r="IW1" s="101">
        <f t="shared" si="4"/>
        <v>47791</v>
      </c>
      <c r="IX1" s="101">
        <f t="shared" si="4"/>
        <v>47798</v>
      </c>
      <c r="IY1" s="101">
        <f t="shared" si="4"/>
        <v>47805</v>
      </c>
      <c r="IZ1" s="101">
        <f t="shared" si="4"/>
        <v>47812</v>
      </c>
      <c r="JA1" s="101">
        <f t="shared" si="4"/>
        <v>47819</v>
      </c>
      <c r="JB1" s="101">
        <f t="shared" si="4"/>
        <v>47826</v>
      </c>
      <c r="JC1" s="101">
        <f t="shared" si="4"/>
        <v>47833</v>
      </c>
      <c r="JD1" s="101">
        <f t="shared" si="4"/>
        <v>47840</v>
      </c>
      <c r="JE1" s="101">
        <f t="shared" ref="JE1:KF1" si="5">JD1+7</f>
        <v>47847</v>
      </c>
      <c r="JF1" s="101">
        <f t="shared" si="5"/>
        <v>47854</v>
      </c>
      <c r="JG1" s="101">
        <f t="shared" si="5"/>
        <v>47861</v>
      </c>
      <c r="JH1" s="101">
        <f t="shared" si="5"/>
        <v>47868</v>
      </c>
      <c r="JI1" s="101">
        <f t="shared" si="5"/>
        <v>47875</v>
      </c>
      <c r="JJ1" s="101">
        <f t="shared" si="5"/>
        <v>47882</v>
      </c>
      <c r="JK1" s="101">
        <f t="shared" si="5"/>
        <v>47889</v>
      </c>
      <c r="JL1" s="101">
        <f t="shared" si="5"/>
        <v>47896</v>
      </c>
      <c r="JM1" s="101">
        <f t="shared" si="5"/>
        <v>47903</v>
      </c>
      <c r="JN1" s="101">
        <f t="shared" si="5"/>
        <v>47910</v>
      </c>
      <c r="JO1" s="101">
        <f t="shared" si="5"/>
        <v>47917</v>
      </c>
      <c r="JP1" s="101">
        <f t="shared" si="5"/>
        <v>47924</v>
      </c>
      <c r="JQ1" s="101">
        <f t="shared" si="5"/>
        <v>47931</v>
      </c>
      <c r="JR1" s="101">
        <f t="shared" si="5"/>
        <v>47938</v>
      </c>
      <c r="JS1" s="101">
        <f t="shared" si="5"/>
        <v>47945</v>
      </c>
      <c r="JT1" s="101">
        <f t="shared" si="5"/>
        <v>47952</v>
      </c>
      <c r="JU1" s="101">
        <f t="shared" si="5"/>
        <v>47959</v>
      </c>
      <c r="JV1" s="101">
        <f t="shared" si="5"/>
        <v>47966</v>
      </c>
      <c r="JW1" s="101">
        <f t="shared" si="5"/>
        <v>47973</v>
      </c>
      <c r="JX1" s="101">
        <f t="shared" si="5"/>
        <v>47980</v>
      </c>
      <c r="JY1" s="101">
        <f t="shared" si="5"/>
        <v>47987</v>
      </c>
      <c r="JZ1" s="101">
        <f t="shared" si="5"/>
        <v>47994</v>
      </c>
      <c r="KA1" s="101">
        <f t="shared" si="5"/>
        <v>48001</v>
      </c>
      <c r="KB1" s="101">
        <f t="shared" si="5"/>
        <v>48008</v>
      </c>
      <c r="KC1" s="101">
        <f t="shared" si="5"/>
        <v>48015</v>
      </c>
      <c r="KD1" s="101">
        <f t="shared" si="5"/>
        <v>48022</v>
      </c>
      <c r="KE1" s="101">
        <f t="shared" si="5"/>
        <v>48029</v>
      </c>
      <c r="KF1" s="101">
        <f t="shared" si="5"/>
        <v>48036</v>
      </c>
    </row>
    <row r="2" spans="1:770" s="102" customFormat="1">
      <c r="A2" s="724" t="s">
        <v>421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219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1647842.7428508946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422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6">H4+I3</f>
        <v>0</v>
      </c>
      <c r="J4" s="109">
        <f t="shared" si="6"/>
        <v>0</v>
      </c>
      <c r="K4" s="109">
        <f t="shared" si="6"/>
        <v>0</v>
      </c>
      <c r="L4" s="109">
        <f t="shared" si="6"/>
        <v>1647842.7428508946</v>
      </c>
      <c r="M4" s="109">
        <f t="shared" si="6"/>
        <v>3089705.1428454276</v>
      </c>
      <c r="N4" s="109">
        <f t="shared" si="6"/>
        <v>3089705.1428454276</v>
      </c>
      <c r="O4" s="109">
        <f t="shared" si="6"/>
        <v>3089705.1428454276</v>
      </c>
      <c r="P4" s="109">
        <f t="shared" si="6"/>
        <v>3089705.1428454276</v>
      </c>
      <c r="Q4" s="109">
        <f t="shared" si="6"/>
        <v>4737547.8856963217</v>
      </c>
      <c r="R4" s="109">
        <f t="shared" si="6"/>
        <v>4840538.057124503</v>
      </c>
      <c r="S4" s="109">
        <f t="shared" si="6"/>
        <v>4840538.057124503</v>
      </c>
      <c r="T4" s="109">
        <f t="shared" si="6"/>
        <v>5149508.5714090457</v>
      </c>
      <c r="U4" s="109">
        <f t="shared" si="6"/>
        <v>5149508.5714090457</v>
      </c>
      <c r="V4" s="109">
        <f t="shared" si="6"/>
        <v>5149508.5714090457</v>
      </c>
      <c r="W4" s="109">
        <f t="shared" si="6"/>
        <v>5149508.5714090457</v>
      </c>
      <c r="X4" s="109">
        <f t="shared" si="6"/>
        <v>5149508.5714090457</v>
      </c>
      <c r="Y4" s="109">
        <f t="shared" si="6"/>
        <v>5149508.5714090457</v>
      </c>
      <c r="Z4" s="109">
        <f t="shared" si="6"/>
        <v>5149508.5714090457</v>
      </c>
      <c r="AA4" s="109">
        <f t="shared" si="6"/>
        <v>5149508.5714090457</v>
      </c>
      <c r="AB4" s="109">
        <f t="shared" si="6"/>
        <v>5149508.5714090457</v>
      </c>
      <c r="AC4" s="109">
        <f t="shared" si="6"/>
        <v>5149508.5714090457</v>
      </c>
      <c r="AD4" s="109">
        <f>AC4+AD3</f>
        <v>5149508.5714090457</v>
      </c>
      <c r="AE4" s="109">
        <f t="shared" si="6"/>
        <v>5149508.5714090457</v>
      </c>
      <c r="AF4" s="109">
        <f t="shared" si="6"/>
        <v>5149508.5714090457</v>
      </c>
      <c r="AG4" s="109">
        <f t="shared" si="6"/>
        <v>5149508.5714090457</v>
      </c>
      <c r="AH4" s="109">
        <f t="shared" si="6"/>
        <v>5149508.5714090457</v>
      </c>
      <c r="AI4" s="109">
        <f t="shared" si="6"/>
        <v>5149508.5714090457</v>
      </c>
      <c r="AJ4" s="109">
        <f t="shared" si="6"/>
        <v>5149508.5714090457</v>
      </c>
      <c r="AK4" s="109">
        <f t="shared" si="6"/>
        <v>5149508.5714090457</v>
      </c>
      <c r="AL4" s="109">
        <f t="shared" si="6"/>
        <v>5149508.5714090457</v>
      </c>
      <c r="AM4" s="109">
        <f t="shared" si="6"/>
        <v>5149508.5714090457</v>
      </c>
      <c r="AN4" s="109">
        <f t="shared" si="6"/>
        <v>5149508.5714090457</v>
      </c>
      <c r="AO4" s="109">
        <f t="shared" si="6"/>
        <v>5149508.5714090457</v>
      </c>
      <c r="AP4" s="109">
        <f t="shared" si="6"/>
        <v>5149508.5714090457</v>
      </c>
      <c r="AQ4" s="109">
        <f t="shared" si="6"/>
        <v>5149508.5714090457</v>
      </c>
      <c r="AR4" s="109">
        <f t="shared" si="6"/>
        <v>5149508.5714090457</v>
      </c>
      <c r="AS4" s="109">
        <f t="shared" si="6"/>
        <v>5149508.5714090457</v>
      </c>
      <c r="AT4" s="109">
        <f t="shared" si="6"/>
        <v>5149508.5714090457</v>
      </c>
      <c r="AU4" s="109">
        <f t="shared" si="6"/>
        <v>5149508.5714090457</v>
      </c>
      <c r="AV4" s="109">
        <f t="shared" si="6"/>
        <v>5149508.5714090457</v>
      </c>
      <c r="AW4" s="109">
        <f t="shared" si="6"/>
        <v>5149508.5714090457</v>
      </c>
      <c r="AX4" s="109">
        <f t="shared" si="6"/>
        <v>5149508.5714090457</v>
      </c>
      <c r="AY4" s="109">
        <f t="shared" si="6"/>
        <v>5149508.5714090457</v>
      </c>
      <c r="AZ4" s="109">
        <f t="shared" si="6"/>
        <v>5149508.5714090457</v>
      </c>
      <c r="BA4" s="109">
        <f t="shared" si="6"/>
        <v>5149508.5714090457</v>
      </c>
      <c r="BB4" s="109">
        <f t="shared" si="6"/>
        <v>5149508.5714090457</v>
      </c>
      <c r="BC4" s="109">
        <f t="shared" si="6"/>
        <v>5149508.5714090457</v>
      </c>
      <c r="BD4" s="109">
        <f t="shared" si="6"/>
        <v>5149508.5714090457</v>
      </c>
      <c r="BE4" s="109">
        <f t="shared" si="6"/>
        <v>5149508.5714090457</v>
      </c>
      <c r="BF4" s="109">
        <f t="shared" si="6"/>
        <v>5149508.5714090457</v>
      </c>
      <c r="BG4" s="109">
        <f t="shared" si="6"/>
        <v>5149508.5714090457</v>
      </c>
      <c r="BH4" s="109">
        <f t="shared" si="6"/>
        <v>5149508.5714090457</v>
      </c>
      <c r="BI4" s="109">
        <f t="shared" si="6"/>
        <v>5149508.5714090457</v>
      </c>
      <c r="BJ4" s="109">
        <f t="shared" si="6"/>
        <v>5149508.5714090457</v>
      </c>
      <c r="BK4" s="109">
        <f t="shared" si="6"/>
        <v>5149508.5714090457</v>
      </c>
      <c r="BL4" s="109">
        <f t="shared" si="6"/>
        <v>5149508.5714090457</v>
      </c>
      <c r="BM4" s="109">
        <f t="shared" si="6"/>
        <v>5149508.5714090457</v>
      </c>
      <c r="BN4" s="109">
        <f t="shared" si="6"/>
        <v>5149508.5714090457</v>
      </c>
      <c r="BO4" s="109">
        <f t="shared" si="6"/>
        <v>5149508.5714090457</v>
      </c>
      <c r="BP4" s="109">
        <f t="shared" si="6"/>
        <v>5149508.5714090457</v>
      </c>
      <c r="BQ4" s="109">
        <f t="shared" si="6"/>
        <v>5149508.5714090457</v>
      </c>
      <c r="BR4" s="109">
        <f t="shared" si="6"/>
        <v>5149508.5714090457</v>
      </c>
      <c r="BS4" s="109">
        <f t="shared" si="6"/>
        <v>5149508.5714090457</v>
      </c>
      <c r="BT4" s="109">
        <f t="shared" si="6"/>
        <v>5149508.5714090457</v>
      </c>
      <c r="BU4" s="109">
        <f t="shared" ref="BU4:EF4" si="7">BT4+BU3</f>
        <v>5149508.5714090457</v>
      </c>
      <c r="BV4" s="109">
        <f t="shared" si="7"/>
        <v>5149508.5714090457</v>
      </c>
      <c r="BW4" s="109">
        <f t="shared" si="7"/>
        <v>5149508.5714090457</v>
      </c>
      <c r="BX4" s="109">
        <f t="shared" si="7"/>
        <v>5149508.5714090457</v>
      </c>
      <c r="BY4" s="109">
        <f t="shared" si="7"/>
        <v>5149508.5714090457</v>
      </c>
      <c r="BZ4" s="109">
        <f t="shared" si="7"/>
        <v>5149508.5714090457</v>
      </c>
      <c r="CA4" s="109">
        <f t="shared" si="7"/>
        <v>5149508.5714090457</v>
      </c>
      <c r="CB4" s="109">
        <f t="shared" si="7"/>
        <v>5149508.5714090457</v>
      </c>
      <c r="CC4" s="109">
        <f t="shared" si="7"/>
        <v>5149508.5714090457</v>
      </c>
      <c r="CD4" s="109">
        <f t="shared" si="7"/>
        <v>5149508.5714090457</v>
      </c>
      <c r="CE4" s="109">
        <f t="shared" si="7"/>
        <v>5149508.5714090457</v>
      </c>
      <c r="CF4" s="109">
        <f t="shared" si="7"/>
        <v>5149508.5714090457</v>
      </c>
      <c r="CG4" s="109">
        <f t="shared" si="7"/>
        <v>5149508.5714090457</v>
      </c>
      <c r="CH4" s="109">
        <f t="shared" si="7"/>
        <v>5149508.5714090457</v>
      </c>
      <c r="CI4" s="109">
        <f t="shared" si="7"/>
        <v>5149508.5714090457</v>
      </c>
      <c r="CJ4" s="109">
        <f t="shared" si="7"/>
        <v>5149508.5714090457</v>
      </c>
      <c r="CK4" s="109">
        <f t="shared" si="7"/>
        <v>5149508.5714090457</v>
      </c>
      <c r="CL4" s="109">
        <f t="shared" si="7"/>
        <v>5149508.5714090457</v>
      </c>
      <c r="CM4" s="109">
        <f t="shared" si="7"/>
        <v>5149508.5714090457</v>
      </c>
      <c r="CN4" s="109">
        <f t="shared" si="7"/>
        <v>5149508.5714090457</v>
      </c>
      <c r="CO4" s="109">
        <f t="shared" si="7"/>
        <v>5149508.5714090457</v>
      </c>
      <c r="CP4" s="109">
        <f t="shared" si="7"/>
        <v>5149508.5714090457</v>
      </c>
      <c r="CQ4" s="109">
        <f t="shared" si="7"/>
        <v>5149508.5714090457</v>
      </c>
      <c r="CR4" s="109">
        <f t="shared" si="7"/>
        <v>5149508.5714090457</v>
      </c>
      <c r="CS4" s="109">
        <f t="shared" si="7"/>
        <v>5149508.5714090457</v>
      </c>
      <c r="CT4" s="109">
        <f t="shared" si="7"/>
        <v>5149508.5714090457</v>
      </c>
      <c r="CU4" s="109">
        <f t="shared" si="7"/>
        <v>5149508.5714090457</v>
      </c>
      <c r="CV4" s="109">
        <f t="shared" si="7"/>
        <v>5149508.5714090457</v>
      </c>
      <c r="CW4" s="109">
        <f t="shared" si="7"/>
        <v>5149508.5714090457</v>
      </c>
      <c r="CX4" s="109">
        <f t="shared" si="7"/>
        <v>5149508.5714090457</v>
      </c>
      <c r="CY4" s="109">
        <f t="shared" si="7"/>
        <v>5149508.5714090457</v>
      </c>
      <c r="CZ4" s="109">
        <f t="shared" si="7"/>
        <v>5149508.5714090457</v>
      </c>
      <c r="DA4" s="109">
        <f t="shared" si="7"/>
        <v>5149508.5714090457</v>
      </c>
      <c r="DB4" s="109">
        <f t="shared" si="7"/>
        <v>5149508.5714090457</v>
      </c>
      <c r="DC4" s="109">
        <f t="shared" si="7"/>
        <v>5149508.5714090457</v>
      </c>
      <c r="DD4" s="109">
        <f t="shared" si="7"/>
        <v>5149508.5714090457</v>
      </c>
      <c r="DE4" s="109">
        <f t="shared" si="7"/>
        <v>5149508.5714090457</v>
      </c>
      <c r="DF4" s="109">
        <f t="shared" si="7"/>
        <v>5149508.5714090457</v>
      </c>
      <c r="DG4" s="109">
        <f t="shared" si="7"/>
        <v>5149508.5714090457</v>
      </c>
      <c r="DH4" s="109">
        <f t="shared" si="7"/>
        <v>5149508.5714090457</v>
      </c>
      <c r="DI4" s="109">
        <f t="shared" si="7"/>
        <v>5149508.5714090457</v>
      </c>
      <c r="DJ4" s="109">
        <f t="shared" si="7"/>
        <v>5149508.5714090457</v>
      </c>
      <c r="DK4" s="109">
        <f t="shared" si="7"/>
        <v>5149508.5714090457</v>
      </c>
      <c r="DL4" s="109">
        <f t="shared" si="7"/>
        <v>5149508.5714090457</v>
      </c>
      <c r="DM4" s="109">
        <f t="shared" si="7"/>
        <v>5149508.5714090457</v>
      </c>
      <c r="DN4" s="109">
        <f t="shared" si="7"/>
        <v>5149508.5714090457</v>
      </c>
      <c r="DO4" s="109">
        <f t="shared" si="7"/>
        <v>5149508.5714090457</v>
      </c>
      <c r="DP4" s="109">
        <f t="shared" si="7"/>
        <v>5149508.5714090457</v>
      </c>
      <c r="DQ4" s="109">
        <f t="shared" si="7"/>
        <v>5149508.5714090457</v>
      </c>
      <c r="DR4" s="109">
        <f t="shared" si="7"/>
        <v>5149508.5714090457</v>
      </c>
      <c r="DS4" s="109">
        <f t="shared" si="7"/>
        <v>5149508.5714090457</v>
      </c>
      <c r="DT4" s="109">
        <f t="shared" si="7"/>
        <v>5149508.5714090457</v>
      </c>
      <c r="DU4" s="109">
        <f t="shared" si="7"/>
        <v>5149508.5714090457</v>
      </c>
      <c r="DV4" s="109">
        <f t="shared" si="7"/>
        <v>5149508.5714090457</v>
      </c>
      <c r="DW4" s="109">
        <f t="shared" si="7"/>
        <v>5149508.5714090457</v>
      </c>
      <c r="DX4" s="109">
        <f t="shared" si="7"/>
        <v>5149508.5714090457</v>
      </c>
      <c r="DY4" s="109">
        <f t="shared" si="7"/>
        <v>5149508.5714090457</v>
      </c>
      <c r="DZ4" s="109">
        <f t="shared" si="7"/>
        <v>5149508.5714090457</v>
      </c>
      <c r="EA4" s="109">
        <f t="shared" si="7"/>
        <v>5149508.5714090457</v>
      </c>
      <c r="EB4" s="109">
        <f t="shared" si="7"/>
        <v>5149508.5714090457</v>
      </c>
      <c r="EC4" s="109">
        <f t="shared" si="7"/>
        <v>5149508.5714090457</v>
      </c>
      <c r="ED4" s="109">
        <f t="shared" si="7"/>
        <v>5149508.5714090457</v>
      </c>
      <c r="EE4" s="109">
        <f t="shared" si="7"/>
        <v>5149508.5714090457</v>
      </c>
      <c r="EF4" s="109">
        <f t="shared" si="7"/>
        <v>5149508.5714090457</v>
      </c>
      <c r="EG4" s="109">
        <f t="shared" ref="EG4:GR4" si="8">EF4+EG3</f>
        <v>5149508.5714090457</v>
      </c>
      <c r="EH4" s="109">
        <f t="shared" si="8"/>
        <v>5149508.5714090457</v>
      </c>
      <c r="EI4" s="109">
        <f t="shared" si="8"/>
        <v>5149508.5714090457</v>
      </c>
      <c r="EJ4" s="109">
        <f t="shared" si="8"/>
        <v>5149508.5714090457</v>
      </c>
      <c r="EK4" s="109">
        <f t="shared" si="8"/>
        <v>5149508.5714090457</v>
      </c>
      <c r="EL4" s="109">
        <f t="shared" si="8"/>
        <v>5149508.5714090457</v>
      </c>
      <c r="EM4" s="109">
        <f t="shared" si="8"/>
        <v>5149508.5714090457</v>
      </c>
      <c r="EN4" s="109">
        <f t="shared" si="8"/>
        <v>5149508.5714090457</v>
      </c>
      <c r="EO4" s="109">
        <f t="shared" si="8"/>
        <v>5149508.5714090457</v>
      </c>
      <c r="EP4" s="109">
        <f t="shared" si="8"/>
        <v>5149508.5714090457</v>
      </c>
      <c r="EQ4" s="109">
        <f t="shared" si="8"/>
        <v>5149508.5714090457</v>
      </c>
      <c r="ER4" s="109">
        <f t="shared" si="8"/>
        <v>5149508.5714090457</v>
      </c>
      <c r="ES4" s="109">
        <f t="shared" si="8"/>
        <v>5149508.5714090457</v>
      </c>
      <c r="ET4" s="109">
        <f t="shared" si="8"/>
        <v>5149508.5714090457</v>
      </c>
      <c r="EU4" s="109">
        <f t="shared" si="8"/>
        <v>5149508.5714090457</v>
      </c>
      <c r="EV4" s="109">
        <f t="shared" si="8"/>
        <v>5149508.5714090457</v>
      </c>
      <c r="EW4" s="109">
        <f t="shared" si="8"/>
        <v>5149508.5714090457</v>
      </c>
      <c r="EX4" s="109">
        <f t="shared" si="8"/>
        <v>5149508.5714090457</v>
      </c>
      <c r="EY4" s="109">
        <f t="shared" si="8"/>
        <v>5149508.5714090457</v>
      </c>
      <c r="EZ4" s="109">
        <f t="shared" si="8"/>
        <v>5149508.5714090457</v>
      </c>
      <c r="FA4" s="109">
        <f t="shared" si="8"/>
        <v>5149508.5714090457</v>
      </c>
      <c r="FB4" s="109">
        <f t="shared" si="8"/>
        <v>5149508.5714090457</v>
      </c>
      <c r="FC4" s="109">
        <f t="shared" si="8"/>
        <v>5149508.5714090457</v>
      </c>
      <c r="FD4" s="109">
        <f t="shared" si="8"/>
        <v>5149508.5714090457</v>
      </c>
      <c r="FE4" s="109">
        <f t="shared" si="8"/>
        <v>5149508.5714090457</v>
      </c>
      <c r="FF4" s="109">
        <f t="shared" si="8"/>
        <v>5149508.5714090457</v>
      </c>
      <c r="FG4" s="109">
        <f t="shared" si="8"/>
        <v>5149508.5714090457</v>
      </c>
      <c r="FH4" s="109">
        <f t="shared" si="8"/>
        <v>5149508.5714090457</v>
      </c>
      <c r="FI4" s="109">
        <f t="shared" si="8"/>
        <v>5149508.5714090457</v>
      </c>
      <c r="FJ4" s="109">
        <f t="shared" si="8"/>
        <v>5149508.5714090457</v>
      </c>
      <c r="FK4" s="109">
        <f t="shared" si="8"/>
        <v>5149508.5714090457</v>
      </c>
      <c r="FL4" s="109">
        <f t="shared" si="8"/>
        <v>5149508.5714090457</v>
      </c>
      <c r="FM4" s="109">
        <f t="shared" si="8"/>
        <v>5149508.5714090457</v>
      </c>
      <c r="FN4" s="109">
        <f t="shared" si="8"/>
        <v>5149508.5714090457</v>
      </c>
      <c r="FO4" s="109">
        <f t="shared" si="8"/>
        <v>5149508.5714090457</v>
      </c>
      <c r="FP4" s="109">
        <f t="shared" si="8"/>
        <v>5149508.5714090457</v>
      </c>
      <c r="FQ4" s="109">
        <f t="shared" si="8"/>
        <v>5149508.5714090457</v>
      </c>
      <c r="FR4" s="109">
        <f t="shared" si="8"/>
        <v>5149508.5714090457</v>
      </c>
      <c r="FS4" s="109">
        <f t="shared" si="8"/>
        <v>5149508.5714090457</v>
      </c>
      <c r="FT4" s="109">
        <f t="shared" si="8"/>
        <v>5149508.5714090457</v>
      </c>
      <c r="FU4" s="109">
        <f t="shared" si="8"/>
        <v>5149508.5714090457</v>
      </c>
      <c r="FV4" s="109">
        <f t="shared" si="8"/>
        <v>5149508.5714090457</v>
      </c>
      <c r="FW4" s="109">
        <f t="shared" si="8"/>
        <v>5149508.5714090457</v>
      </c>
      <c r="FX4" s="109">
        <f t="shared" si="8"/>
        <v>5149508.5714090457</v>
      </c>
      <c r="FY4" s="109">
        <f t="shared" si="8"/>
        <v>5149508.5714090457</v>
      </c>
      <c r="FZ4" s="109">
        <f t="shared" si="8"/>
        <v>5149508.5714090457</v>
      </c>
      <c r="GA4" s="109">
        <f t="shared" si="8"/>
        <v>5149508.5714090457</v>
      </c>
      <c r="GB4" s="109">
        <f t="shared" si="8"/>
        <v>5149508.5714090457</v>
      </c>
      <c r="GC4" s="109">
        <f t="shared" si="8"/>
        <v>5149508.5714090457</v>
      </c>
      <c r="GD4" s="109">
        <f t="shared" si="8"/>
        <v>5149508.5714090457</v>
      </c>
      <c r="GE4" s="109">
        <f t="shared" si="8"/>
        <v>5149508.5714090457</v>
      </c>
      <c r="GF4" s="109">
        <f t="shared" si="8"/>
        <v>5149508.5714090457</v>
      </c>
      <c r="GG4" s="109">
        <f t="shared" si="8"/>
        <v>5149508.5714090457</v>
      </c>
      <c r="GH4" s="109">
        <f t="shared" si="8"/>
        <v>5149508.5714090457</v>
      </c>
      <c r="GI4" s="109">
        <f t="shared" si="8"/>
        <v>5149508.5714090457</v>
      </c>
      <c r="GJ4" s="109">
        <f t="shared" si="8"/>
        <v>5149508.5714090457</v>
      </c>
      <c r="GK4" s="109">
        <f t="shared" si="8"/>
        <v>5149508.5714090457</v>
      </c>
      <c r="GL4" s="109">
        <f t="shared" si="8"/>
        <v>5149508.5714090457</v>
      </c>
      <c r="GM4" s="109">
        <f t="shared" si="8"/>
        <v>5149508.5714090457</v>
      </c>
      <c r="GN4" s="109">
        <f t="shared" si="8"/>
        <v>5149508.5714090457</v>
      </c>
      <c r="GO4" s="109">
        <f t="shared" si="8"/>
        <v>5149508.5714090457</v>
      </c>
      <c r="GP4" s="109">
        <f t="shared" si="8"/>
        <v>5149508.5714090457</v>
      </c>
      <c r="GQ4" s="109">
        <f t="shared" si="8"/>
        <v>5149508.5714090457</v>
      </c>
      <c r="GR4" s="109">
        <f t="shared" si="8"/>
        <v>5149508.5714090457</v>
      </c>
      <c r="GS4" s="109">
        <f t="shared" ref="GS4:JD4" si="9">GR4+GS3</f>
        <v>5149508.5714090457</v>
      </c>
      <c r="GT4" s="109">
        <f t="shared" si="9"/>
        <v>5149508.5714090457</v>
      </c>
      <c r="GU4" s="109">
        <f t="shared" si="9"/>
        <v>5149508.5714090457</v>
      </c>
      <c r="GV4" s="109">
        <f t="shared" si="9"/>
        <v>5149508.5714090457</v>
      </c>
      <c r="GW4" s="109">
        <f t="shared" si="9"/>
        <v>5149508.5714090457</v>
      </c>
      <c r="GX4" s="109">
        <f t="shared" si="9"/>
        <v>5149508.5714090457</v>
      </c>
      <c r="GY4" s="109">
        <f t="shared" si="9"/>
        <v>5149508.5714090457</v>
      </c>
      <c r="GZ4" s="109">
        <f t="shared" si="9"/>
        <v>5149508.5714090457</v>
      </c>
      <c r="HA4" s="109">
        <f t="shared" si="9"/>
        <v>5149508.5714090457</v>
      </c>
      <c r="HB4" s="109">
        <f t="shared" si="9"/>
        <v>5149508.5714090457</v>
      </c>
      <c r="HC4" s="109">
        <f t="shared" si="9"/>
        <v>5149508.5714090457</v>
      </c>
      <c r="HD4" s="109">
        <f t="shared" si="9"/>
        <v>5149508.5714090457</v>
      </c>
      <c r="HE4" s="109">
        <f t="shared" si="9"/>
        <v>5149508.5714090457</v>
      </c>
      <c r="HF4" s="109">
        <f t="shared" si="9"/>
        <v>5149508.5714090457</v>
      </c>
      <c r="HG4" s="109">
        <f t="shared" si="9"/>
        <v>5149508.5714090457</v>
      </c>
      <c r="HH4" s="109">
        <f t="shared" si="9"/>
        <v>5149508.5714090457</v>
      </c>
      <c r="HI4" s="109">
        <f t="shared" si="9"/>
        <v>5149508.5714090457</v>
      </c>
      <c r="HJ4" s="109">
        <f t="shared" si="9"/>
        <v>5149508.5714090457</v>
      </c>
      <c r="HK4" s="109">
        <f t="shared" si="9"/>
        <v>5149508.5714090457</v>
      </c>
      <c r="HL4" s="109">
        <f t="shared" si="9"/>
        <v>5149508.5714090457</v>
      </c>
      <c r="HM4" s="109">
        <f t="shared" si="9"/>
        <v>5149508.5714090457</v>
      </c>
      <c r="HN4" s="109">
        <f t="shared" si="9"/>
        <v>5149508.5714090457</v>
      </c>
      <c r="HO4" s="109">
        <f t="shared" si="9"/>
        <v>5149508.5714090457</v>
      </c>
      <c r="HP4" s="109">
        <f t="shared" si="9"/>
        <v>5149508.5714090457</v>
      </c>
      <c r="HQ4" s="109">
        <f t="shared" si="9"/>
        <v>5149508.5714090457</v>
      </c>
      <c r="HR4" s="109">
        <f t="shared" si="9"/>
        <v>5149508.5714090457</v>
      </c>
      <c r="HS4" s="109">
        <f t="shared" si="9"/>
        <v>5149508.5714090457</v>
      </c>
      <c r="HT4" s="109">
        <f t="shared" si="9"/>
        <v>5149508.5714090457</v>
      </c>
      <c r="HU4" s="109">
        <f t="shared" si="9"/>
        <v>5149508.5714090457</v>
      </c>
      <c r="HV4" s="109">
        <f t="shared" si="9"/>
        <v>5149508.5714090457</v>
      </c>
      <c r="HW4" s="109">
        <f t="shared" si="9"/>
        <v>5149508.5714090457</v>
      </c>
      <c r="HX4" s="109">
        <f t="shared" si="9"/>
        <v>5149508.5714090457</v>
      </c>
      <c r="HY4" s="109">
        <f t="shared" si="9"/>
        <v>5149508.5714090457</v>
      </c>
      <c r="HZ4" s="109">
        <f t="shared" si="9"/>
        <v>5149508.5714090457</v>
      </c>
      <c r="IA4" s="109">
        <f t="shared" si="9"/>
        <v>5149508.5714090457</v>
      </c>
      <c r="IB4" s="109">
        <f t="shared" si="9"/>
        <v>5149508.5714090457</v>
      </c>
      <c r="IC4" s="109">
        <f t="shared" si="9"/>
        <v>5149508.5714090457</v>
      </c>
      <c r="ID4" s="109">
        <f t="shared" si="9"/>
        <v>5149508.5714090457</v>
      </c>
      <c r="IE4" s="109">
        <f t="shared" si="9"/>
        <v>5149508.5714090457</v>
      </c>
      <c r="IF4" s="109">
        <f t="shared" si="9"/>
        <v>5149508.5714090457</v>
      </c>
      <c r="IG4" s="109">
        <f t="shared" si="9"/>
        <v>5149508.5714090457</v>
      </c>
      <c r="IH4" s="109">
        <f t="shared" si="9"/>
        <v>5149508.5714090457</v>
      </c>
      <c r="II4" s="109">
        <f t="shared" si="9"/>
        <v>5149508.5714090457</v>
      </c>
      <c r="IJ4" s="109">
        <f t="shared" si="9"/>
        <v>5149508.5714090457</v>
      </c>
      <c r="IK4" s="109">
        <f t="shared" si="9"/>
        <v>5149508.5714090457</v>
      </c>
      <c r="IL4" s="109">
        <f t="shared" si="9"/>
        <v>5149508.5714090457</v>
      </c>
      <c r="IM4" s="109">
        <f t="shared" si="9"/>
        <v>5149508.5714090457</v>
      </c>
      <c r="IN4" s="109">
        <f t="shared" si="9"/>
        <v>5149508.5714090457</v>
      </c>
      <c r="IO4" s="109">
        <f t="shared" si="9"/>
        <v>5149508.5714090457</v>
      </c>
      <c r="IP4" s="109">
        <f t="shared" si="9"/>
        <v>5149508.5714090457</v>
      </c>
      <c r="IQ4" s="109">
        <f t="shared" si="9"/>
        <v>5149508.5714090457</v>
      </c>
      <c r="IR4" s="109">
        <f t="shared" si="9"/>
        <v>5149508.5714090457</v>
      </c>
      <c r="IS4" s="109">
        <f t="shared" si="9"/>
        <v>5149508.5714090457</v>
      </c>
      <c r="IT4" s="109">
        <f t="shared" si="9"/>
        <v>5149508.5714090457</v>
      </c>
      <c r="IU4" s="109">
        <f t="shared" si="9"/>
        <v>5149508.5714090457</v>
      </c>
      <c r="IV4" s="109">
        <f t="shared" si="9"/>
        <v>5149508.5714090457</v>
      </c>
      <c r="IW4" s="109">
        <f t="shared" si="9"/>
        <v>5149508.5714090457</v>
      </c>
      <c r="IX4" s="109">
        <f t="shared" si="9"/>
        <v>5149508.5714090457</v>
      </c>
      <c r="IY4" s="109">
        <f t="shared" si="9"/>
        <v>5149508.5714090457</v>
      </c>
      <c r="IZ4" s="109">
        <f t="shared" si="9"/>
        <v>5149508.5714090457</v>
      </c>
      <c r="JA4" s="109">
        <f t="shared" si="9"/>
        <v>5149508.5714090457</v>
      </c>
      <c r="JB4" s="109">
        <f t="shared" si="9"/>
        <v>5149508.5714090457</v>
      </c>
      <c r="JC4" s="109">
        <f t="shared" si="9"/>
        <v>5149508.5714090457</v>
      </c>
      <c r="JD4" s="109">
        <f t="shared" si="9"/>
        <v>5149508.5714090457</v>
      </c>
      <c r="JE4" s="109">
        <f t="shared" ref="JE4:KF4" si="10">JD4+JE3</f>
        <v>5149508.5714090457</v>
      </c>
      <c r="JF4" s="109">
        <f t="shared" si="10"/>
        <v>5149508.5714090457</v>
      </c>
      <c r="JG4" s="109">
        <f t="shared" si="10"/>
        <v>5149508.5714090457</v>
      </c>
      <c r="JH4" s="109">
        <f t="shared" si="10"/>
        <v>5149508.5714090457</v>
      </c>
      <c r="JI4" s="109">
        <f t="shared" si="10"/>
        <v>5149508.5714090457</v>
      </c>
      <c r="JJ4" s="109">
        <f t="shared" si="10"/>
        <v>5149508.5714090457</v>
      </c>
      <c r="JK4" s="109">
        <f t="shared" si="10"/>
        <v>5149508.5714090457</v>
      </c>
      <c r="JL4" s="109">
        <f t="shared" si="10"/>
        <v>5149508.5714090457</v>
      </c>
      <c r="JM4" s="109">
        <f t="shared" si="10"/>
        <v>5149508.5714090457</v>
      </c>
      <c r="JN4" s="109">
        <f t="shared" si="10"/>
        <v>5149508.5714090457</v>
      </c>
      <c r="JO4" s="109">
        <f t="shared" si="10"/>
        <v>5149508.5714090457</v>
      </c>
      <c r="JP4" s="109">
        <f t="shared" si="10"/>
        <v>5149508.5714090457</v>
      </c>
      <c r="JQ4" s="109">
        <f t="shared" si="10"/>
        <v>5149508.5714090457</v>
      </c>
      <c r="JR4" s="109">
        <f t="shared" si="10"/>
        <v>5149508.5714090457</v>
      </c>
      <c r="JS4" s="109">
        <f t="shared" si="10"/>
        <v>5149508.5714090457</v>
      </c>
      <c r="JT4" s="109">
        <f t="shared" si="10"/>
        <v>5149508.5714090457</v>
      </c>
      <c r="JU4" s="109">
        <f t="shared" si="10"/>
        <v>5149508.5714090457</v>
      </c>
      <c r="JV4" s="109">
        <f t="shared" si="10"/>
        <v>5149508.5714090457</v>
      </c>
      <c r="JW4" s="109">
        <f t="shared" si="10"/>
        <v>5149508.5714090457</v>
      </c>
      <c r="JX4" s="109">
        <f t="shared" si="10"/>
        <v>5149508.5714090457</v>
      </c>
      <c r="JY4" s="109">
        <f t="shared" si="10"/>
        <v>5149508.5714090457</v>
      </c>
      <c r="JZ4" s="109">
        <f t="shared" si="10"/>
        <v>5149508.5714090457</v>
      </c>
      <c r="KA4" s="109">
        <f t="shared" si="10"/>
        <v>5149508.5714090457</v>
      </c>
      <c r="KB4" s="109">
        <f t="shared" si="10"/>
        <v>5149508.5714090457</v>
      </c>
      <c r="KC4" s="109">
        <f t="shared" si="10"/>
        <v>5149508.5714090457</v>
      </c>
      <c r="KD4" s="109">
        <f t="shared" si="10"/>
        <v>5149508.5714090457</v>
      </c>
      <c r="KE4" s="109">
        <f t="shared" si="10"/>
        <v>5149508.5714090457</v>
      </c>
      <c r="KF4" s="109">
        <f t="shared" si="10"/>
        <v>5149508.5714090457</v>
      </c>
    </row>
    <row r="5" spans="1:770" s="114" customFormat="1">
      <c r="A5" s="725"/>
      <c r="B5" s="110" t="s">
        <v>220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423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1">H6+I5</f>
        <v>0</v>
      </c>
      <c r="J6" s="112">
        <f t="shared" si="11"/>
        <v>0</v>
      </c>
      <c r="K6" s="112">
        <f t="shared" si="11"/>
        <v>0</v>
      </c>
      <c r="L6" s="112">
        <f t="shared" si="11"/>
        <v>89500</v>
      </c>
      <c r="M6" s="112">
        <f t="shared" si="11"/>
        <v>89500</v>
      </c>
      <c r="N6" s="112">
        <f t="shared" si="11"/>
        <v>89500</v>
      </c>
      <c r="O6" s="112">
        <f t="shared" si="11"/>
        <v>215760.8</v>
      </c>
      <c r="P6" s="112">
        <f t="shared" si="11"/>
        <v>633376.80000000005</v>
      </c>
      <c r="Q6" s="112">
        <f t="shared" si="11"/>
        <v>1419133.9111111113</v>
      </c>
      <c r="R6" s="112">
        <f t="shared" si="11"/>
        <v>2038514.6371980677</v>
      </c>
      <c r="S6" s="112">
        <f t="shared" si="11"/>
        <v>2038514.6371980677</v>
      </c>
      <c r="T6" s="112">
        <f t="shared" si="11"/>
        <v>3319900.388076087</v>
      </c>
      <c r="U6" s="112">
        <f t="shared" si="11"/>
        <v>3462114.9011195651</v>
      </c>
      <c r="V6" s="112">
        <f t="shared" si="11"/>
        <v>3462114.9011195651</v>
      </c>
      <c r="W6" s="112">
        <f t="shared" si="11"/>
        <v>3462114.9011195651</v>
      </c>
      <c r="X6" s="112">
        <f t="shared" si="11"/>
        <v>3462114.9011195651</v>
      </c>
      <c r="Y6" s="112">
        <f t="shared" si="11"/>
        <v>3462114.9011195651</v>
      </c>
      <c r="Z6" s="112">
        <f t="shared" si="11"/>
        <v>3462114.9011195651</v>
      </c>
      <c r="AA6" s="112">
        <f t="shared" si="11"/>
        <v>3462114.9011195651</v>
      </c>
      <c r="AB6" s="112">
        <f t="shared" si="11"/>
        <v>3462114.9011195651</v>
      </c>
      <c r="AC6" s="112">
        <f t="shared" si="11"/>
        <v>3462114.9011195651</v>
      </c>
      <c r="AD6" s="112">
        <f>AC6+AD5</f>
        <v>3462114.9011195651</v>
      </c>
      <c r="AE6" s="112">
        <f t="shared" si="11"/>
        <v>3462114.9011195651</v>
      </c>
      <c r="AF6" s="112">
        <f t="shared" si="11"/>
        <v>3462114.9011195651</v>
      </c>
      <c r="AG6" s="112">
        <f t="shared" si="11"/>
        <v>3462114.9011195651</v>
      </c>
      <c r="AH6" s="112">
        <f t="shared" si="11"/>
        <v>3462114.9011195651</v>
      </c>
      <c r="AI6" s="112">
        <f t="shared" si="11"/>
        <v>3462114.9011195651</v>
      </c>
      <c r="AJ6" s="112">
        <f t="shared" si="11"/>
        <v>3462114.9011195651</v>
      </c>
      <c r="AK6" s="112">
        <f t="shared" si="11"/>
        <v>3462114.9011195651</v>
      </c>
      <c r="AL6" s="112">
        <f t="shared" si="11"/>
        <v>3462114.9011195651</v>
      </c>
      <c r="AM6" s="112">
        <f t="shared" si="11"/>
        <v>3462114.9011195651</v>
      </c>
      <c r="AN6" s="112">
        <f t="shared" si="11"/>
        <v>3462114.9011195651</v>
      </c>
      <c r="AO6" s="112">
        <f t="shared" si="11"/>
        <v>3462114.9011195651</v>
      </c>
      <c r="AP6" s="112">
        <f t="shared" si="11"/>
        <v>3462114.9011195651</v>
      </c>
      <c r="AQ6" s="112">
        <f t="shared" si="11"/>
        <v>3462114.9011195651</v>
      </c>
      <c r="AR6" s="112">
        <f t="shared" si="11"/>
        <v>3462114.9011195651</v>
      </c>
      <c r="AS6" s="112">
        <f t="shared" si="11"/>
        <v>3462114.9011195651</v>
      </c>
      <c r="AT6" s="112">
        <f t="shared" si="11"/>
        <v>3462114.9011195651</v>
      </c>
      <c r="AU6" s="112">
        <f t="shared" si="11"/>
        <v>3462114.9011195651</v>
      </c>
      <c r="AV6" s="112">
        <f t="shared" si="11"/>
        <v>3462114.9011195651</v>
      </c>
      <c r="AW6" s="112">
        <f t="shared" si="11"/>
        <v>3462114.9011195651</v>
      </c>
      <c r="AX6" s="112">
        <f t="shared" si="11"/>
        <v>3462114.9011195651</v>
      </c>
      <c r="AY6" s="112">
        <f t="shared" si="11"/>
        <v>3462114.9011195651</v>
      </c>
      <c r="AZ6" s="112">
        <f t="shared" si="11"/>
        <v>3462114.9011195651</v>
      </c>
      <c r="BA6" s="112">
        <f t="shared" si="11"/>
        <v>3462114.9011195651</v>
      </c>
      <c r="BB6" s="112">
        <f t="shared" si="11"/>
        <v>3462114.9011195651</v>
      </c>
      <c r="BC6" s="112">
        <f t="shared" si="11"/>
        <v>3462114.9011195651</v>
      </c>
      <c r="BD6" s="112">
        <f t="shared" si="11"/>
        <v>3462114.9011195651</v>
      </c>
      <c r="BE6" s="112">
        <f t="shared" si="11"/>
        <v>3462114.9011195651</v>
      </c>
      <c r="BF6" s="112">
        <f t="shared" si="11"/>
        <v>3462114.9011195651</v>
      </c>
      <c r="BG6" s="112">
        <f t="shared" si="11"/>
        <v>3462114.9011195651</v>
      </c>
      <c r="BH6" s="112">
        <f t="shared" si="11"/>
        <v>3462114.9011195651</v>
      </c>
      <c r="BI6" s="112">
        <f t="shared" si="11"/>
        <v>3462114.9011195651</v>
      </c>
      <c r="BJ6" s="112">
        <f t="shared" si="11"/>
        <v>3462114.9011195651</v>
      </c>
      <c r="BK6" s="112">
        <f t="shared" si="11"/>
        <v>3462114.9011195651</v>
      </c>
      <c r="BL6" s="112">
        <f t="shared" si="11"/>
        <v>3462114.9011195651</v>
      </c>
      <c r="BM6" s="112">
        <f t="shared" si="11"/>
        <v>3462114.9011195651</v>
      </c>
      <c r="BN6" s="112">
        <f t="shared" si="11"/>
        <v>3462114.9011195651</v>
      </c>
      <c r="BO6" s="112">
        <f t="shared" si="11"/>
        <v>3462114.9011195651</v>
      </c>
      <c r="BP6" s="112">
        <f t="shared" si="11"/>
        <v>3462114.9011195651</v>
      </c>
      <c r="BQ6" s="112">
        <f t="shared" si="11"/>
        <v>3462114.9011195651</v>
      </c>
      <c r="BR6" s="112">
        <f t="shared" si="11"/>
        <v>3462114.9011195651</v>
      </c>
      <c r="BS6" s="112">
        <f t="shared" si="11"/>
        <v>3462114.9011195651</v>
      </c>
      <c r="BT6" s="112">
        <f t="shared" si="11"/>
        <v>3462114.9011195651</v>
      </c>
      <c r="BU6" s="112">
        <f t="shared" ref="BU6:EF6" si="12">BT6+BU5</f>
        <v>3462114.9011195651</v>
      </c>
      <c r="BV6" s="112">
        <f t="shared" si="12"/>
        <v>3462114.9011195651</v>
      </c>
      <c r="BW6" s="112">
        <f t="shared" si="12"/>
        <v>3462114.9011195651</v>
      </c>
      <c r="BX6" s="112">
        <f t="shared" si="12"/>
        <v>3462114.9011195651</v>
      </c>
      <c r="BY6" s="112">
        <f t="shared" si="12"/>
        <v>3462114.9011195651</v>
      </c>
      <c r="BZ6" s="112">
        <f t="shared" si="12"/>
        <v>3462114.9011195651</v>
      </c>
      <c r="CA6" s="112">
        <f t="shared" si="12"/>
        <v>3462114.9011195651</v>
      </c>
      <c r="CB6" s="112">
        <f t="shared" si="12"/>
        <v>3462114.9011195651</v>
      </c>
      <c r="CC6" s="112">
        <f t="shared" si="12"/>
        <v>3462114.9011195651</v>
      </c>
      <c r="CD6" s="112">
        <f t="shared" si="12"/>
        <v>3462114.9011195651</v>
      </c>
      <c r="CE6" s="112">
        <f t="shared" si="12"/>
        <v>3462114.9011195651</v>
      </c>
      <c r="CF6" s="112">
        <f t="shared" si="12"/>
        <v>3462114.9011195651</v>
      </c>
      <c r="CG6" s="112">
        <f t="shared" si="12"/>
        <v>3462114.9011195651</v>
      </c>
      <c r="CH6" s="112">
        <f t="shared" si="12"/>
        <v>3462114.9011195651</v>
      </c>
      <c r="CI6" s="112">
        <f t="shared" si="12"/>
        <v>3462114.9011195651</v>
      </c>
      <c r="CJ6" s="112">
        <f t="shared" si="12"/>
        <v>3462114.9011195651</v>
      </c>
      <c r="CK6" s="112">
        <f t="shared" si="12"/>
        <v>3462114.9011195651</v>
      </c>
      <c r="CL6" s="112">
        <f t="shared" si="12"/>
        <v>3462114.9011195651</v>
      </c>
      <c r="CM6" s="112">
        <f t="shared" si="12"/>
        <v>3462114.9011195651</v>
      </c>
      <c r="CN6" s="112">
        <f t="shared" si="12"/>
        <v>3462114.9011195651</v>
      </c>
      <c r="CO6" s="112">
        <f t="shared" si="12"/>
        <v>3462114.9011195651</v>
      </c>
      <c r="CP6" s="112">
        <f t="shared" si="12"/>
        <v>3462114.9011195651</v>
      </c>
      <c r="CQ6" s="112">
        <f t="shared" si="12"/>
        <v>3462114.9011195651</v>
      </c>
      <c r="CR6" s="112">
        <f t="shared" si="12"/>
        <v>3462114.9011195651</v>
      </c>
      <c r="CS6" s="112">
        <f t="shared" si="12"/>
        <v>3462114.9011195651</v>
      </c>
      <c r="CT6" s="112">
        <f t="shared" si="12"/>
        <v>3462114.9011195651</v>
      </c>
      <c r="CU6" s="112">
        <f t="shared" si="12"/>
        <v>3462114.9011195651</v>
      </c>
      <c r="CV6" s="112">
        <f t="shared" si="12"/>
        <v>3462114.9011195651</v>
      </c>
      <c r="CW6" s="112">
        <f t="shared" si="12"/>
        <v>3462114.9011195651</v>
      </c>
      <c r="CX6" s="112">
        <f t="shared" si="12"/>
        <v>3462114.9011195651</v>
      </c>
      <c r="CY6" s="112">
        <f t="shared" si="12"/>
        <v>3462114.9011195651</v>
      </c>
      <c r="CZ6" s="112">
        <f t="shared" si="12"/>
        <v>3462114.9011195651</v>
      </c>
      <c r="DA6" s="112">
        <f t="shared" si="12"/>
        <v>3462114.9011195651</v>
      </c>
      <c r="DB6" s="112">
        <f t="shared" si="12"/>
        <v>3462114.9011195651</v>
      </c>
      <c r="DC6" s="112">
        <f t="shared" si="12"/>
        <v>3462114.9011195651</v>
      </c>
      <c r="DD6" s="112">
        <f t="shared" si="12"/>
        <v>3462114.9011195651</v>
      </c>
      <c r="DE6" s="112">
        <f t="shared" si="12"/>
        <v>3462114.9011195651</v>
      </c>
      <c r="DF6" s="112">
        <f t="shared" si="12"/>
        <v>3462114.9011195651</v>
      </c>
      <c r="DG6" s="112">
        <f t="shared" si="12"/>
        <v>3462114.9011195651</v>
      </c>
      <c r="DH6" s="112">
        <f t="shared" si="12"/>
        <v>3462114.9011195651</v>
      </c>
      <c r="DI6" s="112">
        <f t="shared" si="12"/>
        <v>3462114.9011195651</v>
      </c>
      <c r="DJ6" s="112">
        <f t="shared" si="12"/>
        <v>3462114.9011195651</v>
      </c>
      <c r="DK6" s="112">
        <f t="shared" si="12"/>
        <v>3462114.9011195651</v>
      </c>
      <c r="DL6" s="112">
        <f t="shared" si="12"/>
        <v>3462114.9011195651</v>
      </c>
      <c r="DM6" s="112">
        <f t="shared" si="12"/>
        <v>3462114.9011195651</v>
      </c>
      <c r="DN6" s="112">
        <f t="shared" si="12"/>
        <v>3462114.9011195651</v>
      </c>
      <c r="DO6" s="112">
        <f t="shared" si="12"/>
        <v>3462114.9011195651</v>
      </c>
      <c r="DP6" s="112">
        <f t="shared" si="12"/>
        <v>3462114.9011195651</v>
      </c>
      <c r="DQ6" s="112">
        <f t="shared" si="12"/>
        <v>3462114.9011195651</v>
      </c>
      <c r="DR6" s="112">
        <f t="shared" si="12"/>
        <v>3462114.9011195651</v>
      </c>
      <c r="DS6" s="112">
        <f t="shared" si="12"/>
        <v>3462114.9011195651</v>
      </c>
      <c r="DT6" s="112">
        <f t="shared" si="12"/>
        <v>3462114.9011195651</v>
      </c>
      <c r="DU6" s="112">
        <f t="shared" si="12"/>
        <v>3462114.9011195651</v>
      </c>
      <c r="DV6" s="112">
        <f t="shared" si="12"/>
        <v>3462114.9011195651</v>
      </c>
      <c r="DW6" s="112">
        <f t="shared" si="12"/>
        <v>3462114.9011195651</v>
      </c>
      <c r="DX6" s="112">
        <f t="shared" si="12"/>
        <v>3462114.9011195651</v>
      </c>
      <c r="DY6" s="112">
        <f t="shared" si="12"/>
        <v>3462114.9011195651</v>
      </c>
      <c r="DZ6" s="112">
        <f t="shared" si="12"/>
        <v>3462114.9011195651</v>
      </c>
      <c r="EA6" s="112">
        <f t="shared" si="12"/>
        <v>3462114.9011195651</v>
      </c>
      <c r="EB6" s="112">
        <f t="shared" si="12"/>
        <v>3462114.9011195651</v>
      </c>
      <c r="EC6" s="112">
        <f t="shared" si="12"/>
        <v>3462114.9011195651</v>
      </c>
      <c r="ED6" s="112">
        <f t="shared" si="12"/>
        <v>3462114.9011195651</v>
      </c>
      <c r="EE6" s="112">
        <f t="shared" si="12"/>
        <v>3462114.9011195651</v>
      </c>
      <c r="EF6" s="112">
        <f t="shared" si="12"/>
        <v>3462114.9011195651</v>
      </c>
      <c r="EG6" s="112">
        <f t="shared" ref="EG6:GR6" si="13">EF6+EG5</f>
        <v>3462114.9011195651</v>
      </c>
      <c r="EH6" s="112">
        <f t="shared" si="13"/>
        <v>3462114.9011195651</v>
      </c>
      <c r="EI6" s="112">
        <f t="shared" si="13"/>
        <v>3462114.9011195651</v>
      </c>
      <c r="EJ6" s="112">
        <f t="shared" si="13"/>
        <v>3462114.9011195651</v>
      </c>
      <c r="EK6" s="112">
        <f t="shared" si="13"/>
        <v>3462114.9011195651</v>
      </c>
      <c r="EL6" s="112">
        <f t="shared" si="13"/>
        <v>3462114.9011195651</v>
      </c>
      <c r="EM6" s="112">
        <f t="shared" si="13"/>
        <v>3462114.9011195651</v>
      </c>
      <c r="EN6" s="112">
        <f t="shared" si="13"/>
        <v>3462114.9011195651</v>
      </c>
      <c r="EO6" s="112">
        <f t="shared" si="13"/>
        <v>3462114.9011195651</v>
      </c>
      <c r="EP6" s="112">
        <f t="shared" si="13"/>
        <v>3462114.9011195651</v>
      </c>
      <c r="EQ6" s="112">
        <f t="shared" si="13"/>
        <v>3462114.9011195651</v>
      </c>
      <c r="ER6" s="112">
        <f t="shared" si="13"/>
        <v>3462114.9011195651</v>
      </c>
      <c r="ES6" s="112">
        <f t="shared" si="13"/>
        <v>3462114.9011195651</v>
      </c>
      <c r="ET6" s="112">
        <f t="shared" si="13"/>
        <v>3462114.9011195651</v>
      </c>
      <c r="EU6" s="112">
        <f t="shared" si="13"/>
        <v>3462114.9011195651</v>
      </c>
      <c r="EV6" s="112">
        <f t="shared" si="13"/>
        <v>3462114.9011195651</v>
      </c>
      <c r="EW6" s="112">
        <f t="shared" si="13"/>
        <v>3462114.9011195651</v>
      </c>
      <c r="EX6" s="112">
        <f t="shared" si="13"/>
        <v>3462114.9011195651</v>
      </c>
      <c r="EY6" s="112">
        <f t="shared" si="13"/>
        <v>3462114.9011195651</v>
      </c>
      <c r="EZ6" s="112">
        <f t="shared" si="13"/>
        <v>3462114.9011195651</v>
      </c>
      <c r="FA6" s="112">
        <f t="shared" si="13"/>
        <v>3462114.9011195651</v>
      </c>
      <c r="FB6" s="112">
        <f t="shared" si="13"/>
        <v>3462114.9011195651</v>
      </c>
      <c r="FC6" s="112">
        <f t="shared" si="13"/>
        <v>3462114.9011195651</v>
      </c>
      <c r="FD6" s="112">
        <f t="shared" si="13"/>
        <v>3462114.9011195651</v>
      </c>
      <c r="FE6" s="112">
        <f t="shared" si="13"/>
        <v>3462114.9011195651</v>
      </c>
      <c r="FF6" s="112">
        <f t="shared" si="13"/>
        <v>3462114.9011195651</v>
      </c>
      <c r="FG6" s="112">
        <f t="shared" si="13"/>
        <v>3462114.9011195651</v>
      </c>
      <c r="FH6" s="112">
        <f t="shared" si="13"/>
        <v>3462114.9011195651</v>
      </c>
      <c r="FI6" s="112">
        <f t="shared" si="13"/>
        <v>3462114.9011195651</v>
      </c>
      <c r="FJ6" s="112">
        <f t="shared" si="13"/>
        <v>3462114.9011195651</v>
      </c>
      <c r="FK6" s="112">
        <f t="shared" si="13"/>
        <v>3462114.9011195651</v>
      </c>
      <c r="FL6" s="112">
        <f t="shared" si="13"/>
        <v>3462114.9011195651</v>
      </c>
      <c r="FM6" s="112">
        <f t="shared" si="13"/>
        <v>3462114.9011195651</v>
      </c>
      <c r="FN6" s="112">
        <f t="shared" si="13"/>
        <v>3462114.9011195651</v>
      </c>
      <c r="FO6" s="112">
        <f t="shared" si="13"/>
        <v>3462114.9011195651</v>
      </c>
      <c r="FP6" s="112">
        <f t="shared" si="13"/>
        <v>3462114.9011195651</v>
      </c>
      <c r="FQ6" s="112">
        <f t="shared" si="13"/>
        <v>3462114.9011195651</v>
      </c>
      <c r="FR6" s="112">
        <f t="shared" si="13"/>
        <v>3462114.9011195651</v>
      </c>
      <c r="FS6" s="112">
        <f t="shared" si="13"/>
        <v>3462114.9011195651</v>
      </c>
      <c r="FT6" s="112">
        <f t="shared" si="13"/>
        <v>3462114.9011195651</v>
      </c>
      <c r="FU6" s="112">
        <f t="shared" si="13"/>
        <v>3462114.9011195651</v>
      </c>
      <c r="FV6" s="112">
        <f t="shared" si="13"/>
        <v>3462114.9011195651</v>
      </c>
      <c r="FW6" s="112">
        <f t="shared" si="13"/>
        <v>3462114.9011195651</v>
      </c>
      <c r="FX6" s="112">
        <f t="shared" si="13"/>
        <v>3462114.9011195651</v>
      </c>
      <c r="FY6" s="112">
        <f t="shared" si="13"/>
        <v>3462114.9011195651</v>
      </c>
      <c r="FZ6" s="112">
        <f t="shared" si="13"/>
        <v>3462114.9011195651</v>
      </c>
      <c r="GA6" s="112">
        <f t="shared" si="13"/>
        <v>3462114.9011195651</v>
      </c>
      <c r="GB6" s="112">
        <f t="shared" si="13"/>
        <v>3462114.9011195651</v>
      </c>
      <c r="GC6" s="112">
        <f t="shared" si="13"/>
        <v>3462114.9011195651</v>
      </c>
      <c r="GD6" s="112">
        <f t="shared" si="13"/>
        <v>3462114.9011195651</v>
      </c>
      <c r="GE6" s="112">
        <f t="shared" si="13"/>
        <v>3462114.9011195651</v>
      </c>
      <c r="GF6" s="112">
        <f t="shared" si="13"/>
        <v>3462114.9011195651</v>
      </c>
      <c r="GG6" s="112">
        <f t="shared" si="13"/>
        <v>3462114.9011195651</v>
      </c>
      <c r="GH6" s="112">
        <f t="shared" si="13"/>
        <v>3462114.9011195651</v>
      </c>
      <c r="GI6" s="112">
        <f t="shared" si="13"/>
        <v>3462114.9011195651</v>
      </c>
      <c r="GJ6" s="112">
        <f t="shared" si="13"/>
        <v>3462114.9011195651</v>
      </c>
      <c r="GK6" s="112">
        <f t="shared" si="13"/>
        <v>3462114.9011195651</v>
      </c>
      <c r="GL6" s="112">
        <f t="shared" si="13"/>
        <v>3462114.9011195651</v>
      </c>
      <c r="GM6" s="112">
        <f t="shared" si="13"/>
        <v>3462114.9011195651</v>
      </c>
      <c r="GN6" s="112">
        <f t="shared" si="13"/>
        <v>3462114.9011195651</v>
      </c>
      <c r="GO6" s="112">
        <f t="shared" si="13"/>
        <v>3462114.9011195651</v>
      </c>
      <c r="GP6" s="112">
        <f t="shared" si="13"/>
        <v>3462114.9011195651</v>
      </c>
      <c r="GQ6" s="112">
        <f t="shared" si="13"/>
        <v>3462114.9011195651</v>
      </c>
      <c r="GR6" s="112">
        <f t="shared" si="13"/>
        <v>3462114.9011195651</v>
      </c>
      <c r="GS6" s="112">
        <f t="shared" ref="GS6:JD6" si="14">GR6+GS5</f>
        <v>3462114.9011195651</v>
      </c>
      <c r="GT6" s="112">
        <f t="shared" si="14"/>
        <v>3462114.9011195651</v>
      </c>
      <c r="GU6" s="112">
        <f t="shared" si="14"/>
        <v>3462114.9011195651</v>
      </c>
      <c r="GV6" s="112">
        <f t="shared" si="14"/>
        <v>3462114.9011195651</v>
      </c>
      <c r="GW6" s="112">
        <f t="shared" si="14"/>
        <v>3462114.9011195651</v>
      </c>
      <c r="GX6" s="112">
        <f t="shared" si="14"/>
        <v>3462114.9011195651</v>
      </c>
      <c r="GY6" s="112">
        <f t="shared" si="14"/>
        <v>3462114.9011195651</v>
      </c>
      <c r="GZ6" s="112">
        <f t="shared" si="14"/>
        <v>3462114.9011195651</v>
      </c>
      <c r="HA6" s="112">
        <f t="shared" si="14"/>
        <v>3462114.9011195651</v>
      </c>
      <c r="HB6" s="112">
        <f t="shared" si="14"/>
        <v>3462114.9011195651</v>
      </c>
      <c r="HC6" s="112">
        <f t="shared" si="14"/>
        <v>3462114.9011195651</v>
      </c>
      <c r="HD6" s="112">
        <f t="shared" si="14"/>
        <v>3462114.9011195651</v>
      </c>
      <c r="HE6" s="112">
        <f t="shared" si="14"/>
        <v>3462114.9011195651</v>
      </c>
      <c r="HF6" s="112">
        <f t="shared" si="14"/>
        <v>3462114.9011195651</v>
      </c>
      <c r="HG6" s="112">
        <f t="shared" si="14"/>
        <v>3462114.9011195651</v>
      </c>
      <c r="HH6" s="112">
        <f t="shared" si="14"/>
        <v>3462114.9011195651</v>
      </c>
      <c r="HI6" s="112">
        <f t="shared" si="14"/>
        <v>3462114.9011195651</v>
      </c>
      <c r="HJ6" s="112">
        <f t="shared" si="14"/>
        <v>3462114.9011195651</v>
      </c>
      <c r="HK6" s="112">
        <f t="shared" si="14"/>
        <v>3462114.9011195651</v>
      </c>
      <c r="HL6" s="112">
        <f t="shared" si="14"/>
        <v>3462114.9011195651</v>
      </c>
      <c r="HM6" s="112">
        <f t="shared" si="14"/>
        <v>3462114.9011195651</v>
      </c>
      <c r="HN6" s="112">
        <f t="shared" si="14"/>
        <v>3462114.9011195651</v>
      </c>
      <c r="HO6" s="112">
        <f t="shared" si="14"/>
        <v>3462114.9011195651</v>
      </c>
      <c r="HP6" s="112">
        <f t="shared" si="14"/>
        <v>3462114.9011195651</v>
      </c>
      <c r="HQ6" s="112">
        <f t="shared" si="14"/>
        <v>3462114.9011195651</v>
      </c>
      <c r="HR6" s="112">
        <f t="shared" si="14"/>
        <v>3462114.9011195651</v>
      </c>
      <c r="HS6" s="112">
        <f t="shared" si="14"/>
        <v>3462114.9011195651</v>
      </c>
      <c r="HT6" s="112">
        <f t="shared" si="14"/>
        <v>3462114.9011195651</v>
      </c>
      <c r="HU6" s="112">
        <f t="shared" si="14"/>
        <v>3462114.9011195651</v>
      </c>
      <c r="HV6" s="112">
        <f t="shared" si="14"/>
        <v>3462114.9011195651</v>
      </c>
      <c r="HW6" s="112">
        <f t="shared" si="14"/>
        <v>3462114.9011195651</v>
      </c>
      <c r="HX6" s="112">
        <f t="shared" si="14"/>
        <v>3462114.9011195651</v>
      </c>
      <c r="HY6" s="112">
        <f t="shared" si="14"/>
        <v>3462114.9011195651</v>
      </c>
      <c r="HZ6" s="112">
        <f t="shared" si="14"/>
        <v>3462114.9011195651</v>
      </c>
      <c r="IA6" s="112">
        <f t="shared" si="14"/>
        <v>3462114.9011195651</v>
      </c>
      <c r="IB6" s="112">
        <f t="shared" si="14"/>
        <v>3462114.9011195651</v>
      </c>
      <c r="IC6" s="112">
        <f t="shared" si="14"/>
        <v>3462114.9011195651</v>
      </c>
      <c r="ID6" s="112">
        <f t="shared" si="14"/>
        <v>3462114.9011195651</v>
      </c>
      <c r="IE6" s="112">
        <f t="shared" si="14"/>
        <v>3462114.9011195651</v>
      </c>
      <c r="IF6" s="112">
        <f t="shared" si="14"/>
        <v>3462114.9011195651</v>
      </c>
      <c r="IG6" s="112">
        <f t="shared" si="14"/>
        <v>3462114.9011195651</v>
      </c>
      <c r="IH6" s="112">
        <f t="shared" si="14"/>
        <v>3462114.9011195651</v>
      </c>
      <c r="II6" s="112">
        <f t="shared" si="14"/>
        <v>3462114.9011195651</v>
      </c>
      <c r="IJ6" s="112">
        <f t="shared" si="14"/>
        <v>3462114.9011195651</v>
      </c>
      <c r="IK6" s="112">
        <f t="shared" si="14"/>
        <v>3462114.9011195651</v>
      </c>
      <c r="IL6" s="112">
        <f t="shared" si="14"/>
        <v>3462114.9011195651</v>
      </c>
      <c r="IM6" s="112">
        <f t="shared" si="14"/>
        <v>3462114.9011195651</v>
      </c>
      <c r="IN6" s="112">
        <f t="shared" si="14"/>
        <v>3462114.9011195651</v>
      </c>
      <c r="IO6" s="112">
        <f t="shared" si="14"/>
        <v>3462114.9011195651</v>
      </c>
      <c r="IP6" s="112">
        <f t="shared" si="14"/>
        <v>3462114.9011195651</v>
      </c>
      <c r="IQ6" s="112">
        <f t="shared" si="14"/>
        <v>3462114.9011195651</v>
      </c>
      <c r="IR6" s="112">
        <f t="shared" si="14"/>
        <v>3462114.9011195651</v>
      </c>
      <c r="IS6" s="112">
        <f t="shared" si="14"/>
        <v>3462114.9011195651</v>
      </c>
      <c r="IT6" s="112">
        <f t="shared" si="14"/>
        <v>3462114.9011195651</v>
      </c>
      <c r="IU6" s="112">
        <f t="shared" si="14"/>
        <v>3462114.9011195651</v>
      </c>
      <c r="IV6" s="112">
        <f t="shared" si="14"/>
        <v>3462114.9011195651</v>
      </c>
      <c r="IW6" s="112">
        <f t="shared" si="14"/>
        <v>3462114.9011195651</v>
      </c>
      <c r="IX6" s="112">
        <f t="shared" si="14"/>
        <v>3462114.9011195651</v>
      </c>
      <c r="IY6" s="112">
        <f t="shared" si="14"/>
        <v>3462114.9011195651</v>
      </c>
      <c r="IZ6" s="112">
        <f t="shared" si="14"/>
        <v>3462114.9011195651</v>
      </c>
      <c r="JA6" s="112">
        <f t="shared" si="14"/>
        <v>3462114.9011195651</v>
      </c>
      <c r="JB6" s="112">
        <f t="shared" si="14"/>
        <v>3462114.9011195651</v>
      </c>
      <c r="JC6" s="112">
        <f t="shared" si="14"/>
        <v>3462114.9011195651</v>
      </c>
      <c r="JD6" s="112">
        <f t="shared" si="14"/>
        <v>3462114.9011195651</v>
      </c>
      <c r="JE6" s="112">
        <f t="shared" ref="JE6:KF6" si="15">JD6+JE5</f>
        <v>3462114.9011195651</v>
      </c>
      <c r="JF6" s="112">
        <f t="shared" si="15"/>
        <v>3462114.9011195651</v>
      </c>
      <c r="JG6" s="112">
        <f t="shared" si="15"/>
        <v>3462114.9011195651</v>
      </c>
      <c r="JH6" s="112">
        <f t="shared" si="15"/>
        <v>3462114.9011195651</v>
      </c>
      <c r="JI6" s="112">
        <f t="shared" si="15"/>
        <v>3462114.9011195651</v>
      </c>
      <c r="JJ6" s="112">
        <f t="shared" si="15"/>
        <v>3462114.9011195651</v>
      </c>
      <c r="JK6" s="112">
        <f t="shared" si="15"/>
        <v>3462114.9011195651</v>
      </c>
      <c r="JL6" s="112">
        <f t="shared" si="15"/>
        <v>3462114.9011195651</v>
      </c>
      <c r="JM6" s="112">
        <f t="shared" si="15"/>
        <v>3462114.9011195651</v>
      </c>
      <c r="JN6" s="112">
        <f t="shared" si="15"/>
        <v>3462114.9011195651</v>
      </c>
      <c r="JO6" s="112">
        <f t="shared" si="15"/>
        <v>3462114.9011195651</v>
      </c>
      <c r="JP6" s="112">
        <f t="shared" si="15"/>
        <v>3462114.9011195651</v>
      </c>
      <c r="JQ6" s="112">
        <f t="shared" si="15"/>
        <v>3462114.9011195651</v>
      </c>
      <c r="JR6" s="112">
        <f t="shared" si="15"/>
        <v>3462114.9011195651</v>
      </c>
      <c r="JS6" s="112">
        <f t="shared" si="15"/>
        <v>3462114.9011195651</v>
      </c>
      <c r="JT6" s="112">
        <f t="shared" si="15"/>
        <v>3462114.9011195651</v>
      </c>
      <c r="JU6" s="112">
        <f t="shared" si="15"/>
        <v>3462114.9011195651</v>
      </c>
      <c r="JV6" s="112">
        <f t="shared" si="15"/>
        <v>3462114.9011195651</v>
      </c>
      <c r="JW6" s="112">
        <f t="shared" si="15"/>
        <v>3462114.9011195651</v>
      </c>
      <c r="JX6" s="112">
        <f t="shared" si="15"/>
        <v>3462114.9011195651</v>
      </c>
      <c r="JY6" s="112">
        <f t="shared" si="15"/>
        <v>3462114.9011195651</v>
      </c>
      <c r="JZ6" s="112">
        <f t="shared" si="15"/>
        <v>3462114.9011195651</v>
      </c>
      <c r="KA6" s="112">
        <f t="shared" si="15"/>
        <v>3462114.9011195651</v>
      </c>
      <c r="KB6" s="112">
        <f t="shared" si="15"/>
        <v>3462114.9011195651</v>
      </c>
      <c r="KC6" s="112">
        <f t="shared" si="15"/>
        <v>3462114.9011195651</v>
      </c>
      <c r="KD6" s="112">
        <f t="shared" si="15"/>
        <v>3462114.9011195651</v>
      </c>
      <c r="KE6" s="112">
        <f t="shared" si="15"/>
        <v>3462114.9011195651</v>
      </c>
      <c r="KF6" s="112">
        <f t="shared" si="15"/>
        <v>3462114.9011195651</v>
      </c>
      <c r="KG6" s="102"/>
      <c r="KH6" s="113"/>
    </row>
    <row r="7" spans="1:770">
      <c r="A7" s="725"/>
      <c r="B7" s="115" t="s">
        <v>424</v>
      </c>
      <c r="C7" s="116"/>
      <c r="D7" s="116"/>
      <c r="E7" s="117"/>
      <c r="F7" s="118">
        <f t="shared" ref="F7:H7" si="16">F4-F6</f>
        <v>0</v>
      </c>
      <c r="G7" s="118">
        <f t="shared" si="16"/>
        <v>0</v>
      </c>
      <c r="H7" s="118">
        <f t="shared" si="16"/>
        <v>0</v>
      </c>
      <c r="I7" s="118">
        <f t="shared" ref="I7:BT7" si="17">I4-I6</f>
        <v>0</v>
      </c>
      <c r="J7" s="118">
        <f t="shared" si="17"/>
        <v>0</v>
      </c>
      <c r="K7" s="118">
        <f t="shared" si="17"/>
        <v>0</v>
      </c>
      <c r="L7" s="118">
        <f t="shared" si="17"/>
        <v>1558342.7428508946</v>
      </c>
      <c r="M7" s="118">
        <f t="shared" si="17"/>
        <v>3000205.1428454276</v>
      </c>
      <c r="N7" s="118">
        <f t="shared" si="17"/>
        <v>3000205.1428454276</v>
      </c>
      <c r="O7" s="118">
        <f t="shared" si="17"/>
        <v>2873944.3428454278</v>
      </c>
      <c r="P7" s="118">
        <f t="shared" si="17"/>
        <v>2456328.3428454278</v>
      </c>
      <c r="Q7" s="118">
        <f t="shared" si="17"/>
        <v>3318413.9745852104</v>
      </c>
      <c r="R7" s="118">
        <f t="shared" si="17"/>
        <v>2802023.4199264352</v>
      </c>
      <c r="S7" s="118">
        <f t="shared" si="17"/>
        <v>2802023.4199264352</v>
      </c>
      <c r="T7" s="118">
        <f t="shared" si="17"/>
        <v>1829608.1833329587</v>
      </c>
      <c r="U7" s="118">
        <f t="shared" si="17"/>
        <v>1687393.6702894806</v>
      </c>
      <c r="V7" s="118">
        <f t="shared" si="17"/>
        <v>1687393.6702894806</v>
      </c>
      <c r="W7" s="118">
        <f t="shared" si="17"/>
        <v>1687393.6702894806</v>
      </c>
      <c r="X7" s="118">
        <f t="shared" si="17"/>
        <v>1687393.6702894806</v>
      </c>
      <c r="Y7" s="118">
        <f t="shared" si="17"/>
        <v>1687393.6702894806</v>
      </c>
      <c r="Z7" s="118">
        <f t="shared" si="17"/>
        <v>1687393.6702894806</v>
      </c>
      <c r="AA7" s="118">
        <f t="shared" si="17"/>
        <v>1687393.6702894806</v>
      </c>
      <c r="AB7" s="118">
        <f t="shared" si="17"/>
        <v>1687393.6702894806</v>
      </c>
      <c r="AC7" s="118">
        <f t="shared" si="17"/>
        <v>1687393.6702894806</v>
      </c>
      <c r="AD7" s="118">
        <f t="shared" si="17"/>
        <v>1687393.6702894806</v>
      </c>
      <c r="AE7" s="118">
        <f t="shared" si="17"/>
        <v>1687393.6702894806</v>
      </c>
      <c r="AF7" s="118">
        <f t="shared" si="17"/>
        <v>1687393.6702894806</v>
      </c>
      <c r="AG7" s="118">
        <f t="shared" si="17"/>
        <v>1687393.6702894806</v>
      </c>
      <c r="AH7" s="118">
        <f t="shared" si="17"/>
        <v>1687393.6702894806</v>
      </c>
      <c r="AI7" s="118">
        <f t="shared" si="17"/>
        <v>1687393.6702894806</v>
      </c>
      <c r="AJ7" s="118">
        <f t="shared" si="17"/>
        <v>1687393.6702894806</v>
      </c>
      <c r="AK7" s="118">
        <f t="shared" si="17"/>
        <v>1687393.6702894806</v>
      </c>
      <c r="AL7" s="118">
        <f t="shared" si="17"/>
        <v>1687393.6702894806</v>
      </c>
      <c r="AM7" s="118">
        <f t="shared" si="17"/>
        <v>1687393.6702894806</v>
      </c>
      <c r="AN7" s="118">
        <f t="shared" si="17"/>
        <v>1687393.6702894806</v>
      </c>
      <c r="AO7" s="118">
        <f t="shared" si="17"/>
        <v>1687393.6702894806</v>
      </c>
      <c r="AP7" s="118">
        <f t="shared" si="17"/>
        <v>1687393.6702894806</v>
      </c>
      <c r="AQ7" s="118">
        <f t="shared" si="17"/>
        <v>1687393.6702894806</v>
      </c>
      <c r="AR7" s="118">
        <f t="shared" si="17"/>
        <v>1687393.6702894806</v>
      </c>
      <c r="AS7" s="118">
        <f t="shared" si="17"/>
        <v>1687393.6702894806</v>
      </c>
      <c r="AT7" s="118">
        <f t="shared" si="17"/>
        <v>1687393.6702894806</v>
      </c>
      <c r="AU7" s="118">
        <f t="shared" si="17"/>
        <v>1687393.6702894806</v>
      </c>
      <c r="AV7" s="118">
        <f t="shared" si="17"/>
        <v>1687393.6702894806</v>
      </c>
      <c r="AW7" s="118">
        <f t="shared" si="17"/>
        <v>1687393.6702894806</v>
      </c>
      <c r="AX7" s="118">
        <f t="shared" si="17"/>
        <v>1687393.6702894806</v>
      </c>
      <c r="AY7" s="118">
        <f t="shared" si="17"/>
        <v>1687393.6702894806</v>
      </c>
      <c r="AZ7" s="118">
        <f t="shared" si="17"/>
        <v>1687393.6702894806</v>
      </c>
      <c r="BA7" s="118">
        <f t="shared" si="17"/>
        <v>1687393.6702894806</v>
      </c>
      <c r="BB7" s="118">
        <f t="shared" si="17"/>
        <v>1687393.6702894806</v>
      </c>
      <c r="BC7" s="118">
        <f t="shared" si="17"/>
        <v>1687393.6702894806</v>
      </c>
      <c r="BD7" s="118">
        <f t="shared" si="17"/>
        <v>1687393.6702894806</v>
      </c>
      <c r="BE7" s="118">
        <f t="shared" si="17"/>
        <v>1687393.6702894806</v>
      </c>
      <c r="BF7" s="118">
        <f t="shared" si="17"/>
        <v>1687393.6702894806</v>
      </c>
      <c r="BG7" s="118">
        <f t="shared" si="17"/>
        <v>1687393.6702894806</v>
      </c>
      <c r="BH7" s="118">
        <f t="shared" si="17"/>
        <v>1687393.6702894806</v>
      </c>
      <c r="BI7" s="118">
        <f t="shared" si="17"/>
        <v>1687393.6702894806</v>
      </c>
      <c r="BJ7" s="118">
        <f t="shared" si="17"/>
        <v>1687393.6702894806</v>
      </c>
      <c r="BK7" s="118">
        <f t="shared" si="17"/>
        <v>1687393.6702894806</v>
      </c>
      <c r="BL7" s="118">
        <f t="shared" si="17"/>
        <v>1687393.6702894806</v>
      </c>
      <c r="BM7" s="118">
        <f t="shared" si="17"/>
        <v>1687393.6702894806</v>
      </c>
      <c r="BN7" s="118">
        <f t="shared" si="17"/>
        <v>1687393.6702894806</v>
      </c>
      <c r="BO7" s="118">
        <f t="shared" si="17"/>
        <v>1687393.6702894806</v>
      </c>
      <c r="BP7" s="118">
        <f t="shared" si="17"/>
        <v>1687393.6702894806</v>
      </c>
      <c r="BQ7" s="118">
        <f t="shared" si="17"/>
        <v>1687393.6702894806</v>
      </c>
      <c r="BR7" s="118">
        <f t="shared" si="17"/>
        <v>1687393.6702894806</v>
      </c>
      <c r="BS7" s="118">
        <f t="shared" si="17"/>
        <v>1687393.6702894806</v>
      </c>
      <c r="BT7" s="118">
        <f t="shared" si="17"/>
        <v>1687393.6702894806</v>
      </c>
      <c r="BU7" s="118">
        <f t="shared" ref="BU7:EF7" si="18">BU4-BU6</f>
        <v>1687393.6702894806</v>
      </c>
      <c r="BV7" s="118">
        <f t="shared" si="18"/>
        <v>1687393.6702894806</v>
      </c>
      <c r="BW7" s="118">
        <f t="shared" si="18"/>
        <v>1687393.6702894806</v>
      </c>
      <c r="BX7" s="118">
        <f t="shared" si="18"/>
        <v>1687393.6702894806</v>
      </c>
      <c r="BY7" s="118">
        <f t="shared" si="18"/>
        <v>1687393.6702894806</v>
      </c>
      <c r="BZ7" s="118">
        <f t="shared" si="18"/>
        <v>1687393.6702894806</v>
      </c>
      <c r="CA7" s="118">
        <f t="shared" si="18"/>
        <v>1687393.6702894806</v>
      </c>
      <c r="CB7" s="118">
        <f t="shared" si="18"/>
        <v>1687393.6702894806</v>
      </c>
      <c r="CC7" s="118">
        <f t="shared" si="18"/>
        <v>1687393.6702894806</v>
      </c>
      <c r="CD7" s="118">
        <f t="shared" si="18"/>
        <v>1687393.6702894806</v>
      </c>
      <c r="CE7" s="118">
        <f t="shared" si="18"/>
        <v>1687393.6702894806</v>
      </c>
      <c r="CF7" s="118">
        <f t="shared" si="18"/>
        <v>1687393.6702894806</v>
      </c>
      <c r="CG7" s="118">
        <f t="shared" si="18"/>
        <v>1687393.6702894806</v>
      </c>
      <c r="CH7" s="118">
        <f t="shared" si="18"/>
        <v>1687393.6702894806</v>
      </c>
      <c r="CI7" s="118">
        <f t="shared" si="18"/>
        <v>1687393.6702894806</v>
      </c>
      <c r="CJ7" s="118">
        <f t="shared" si="18"/>
        <v>1687393.6702894806</v>
      </c>
      <c r="CK7" s="118">
        <f t="shared" si="18"/>
        <v>1687393.6702894806</v>
      </c>
      <c r="CL7" s="118">
        <f t="shared" si="18"/>
        <v>1687393.6702894806</v>
      </c>
      <c r="CM7" s="118">
        <f t="shared" si="18"/>
        <v>1687393.6702894806</v>
      </c>
      <c r="CN7" s="118">
        <f t="shared" si="18"/>
        <v>1687393.6702894806</v>
      </c>
      <c r="CO7" s="118">
        <f t="shared" si="18"/>
        <v>1687393.6702894806</v>
      </c>
      <c r="CP7" s="118">
        <f t="shared" si="18"/>
        <v>1687393.6702894806</v>
      </c>
      <c r="CQ7" s="118">
        <f t="shared" si="18"/>
        <v>1687393.6702894806</v>
      </c>
      <c r="CR7" s="118">
        <f t="shared" si="18"/>
        <v>1687393.6702894806</v>
      </c>
      <c r="CS7" s="118">
        <f t="shared" si="18"/>
        <v>1687393.6702894806</v>
      </c>
      <c r="CT7" s="118">
        <f t="shared" si="18"/>
        <v>1687393.6702894806</v>
      </c>
      <c r="CU7" s="118">
        <f t="shared" si="18"/>
        <v>1687393.6702894806</v>
      </c>
      <c r="CV7" s="118">
        <f t="shared" si="18"/>
        <v>1687393.6702894806</v>
      </c>
      <c r="CW7" s="118">
        <f t="shared" si="18"/>
        <v>1687393.6702894806</v>
      </c>
      <c r="CX7" s="118">
        <f t="shared" si="18"/>
        <v>1687393.6702894806</v>
      </c>
      <c r="CY7" s="118">
        <f t="shared" si="18"/>
        <v>1687393.6702894806</v>
      </c>
      <c r="CZ7" s="118">
        <f t="shared" si="18"/>
        <v>1687393.6702894806</v>
      </c>
      <c r="DA7" s="118">
        <f t="shared" si="18"/>
        <v>1687393.6702894806</v>
      </c>
      <c r="DB7" s="118">
        <f t="shared" si="18"/>
        <v>1687393.6702894806</v>
      </c>
      <c r="DC7" s="118">
        <f t="shared" si="18"/>
        <v>1687393.6702894806</v>
      </c>
      <c r="DD7" s="118">
        <f t="shared" si="18"/>
        <v>1687393.6702894806</v>
      </c>
      <c r="DE7" s="118">
        <f t="shared" si="18"/>
        <v>1687393.6702894806</v>
      </c>
      <c r="DF7" s="118">
        <f t="shared" si="18"/>
        <v>1687393.6702894806</v>
      </c>
      <c r="DG7" s="118">
        <f t="shared" si="18"/>
        <v>1687393.6702894806</v>
      </c>
      <c r="DH7" s="118">
        <f t="shared" si="18"/>
        <v>1687393.6702894806</v>
      </c>
      <c r="DI7" s="118">
        <f t="shared" si="18"/>
        <v>1687393.6702894806</v>
      </c>
      <c r="DJ7" s="118">
        <f t="shared" si="18"/>
        <v>1687393.6702894806</v>
      </c>
      <c r="DK7" s="118">
        <f t="shared" si="18"/>
        <v>1687393.6702894806</v>
      </c>
      <c r="DL7" s="118">
        <f t="shared" si="18"/>
        <v>1687393.6702894806</v>
      </c>
      <c r="DM7" s="118">
        <f t="shared" si="18"/>
        <v>1687393.6702894806</v>
      </c>
      <c r="DN7" s="118">
        <f t="shared" si="18"/>
        <v>1687393.6702894806</v>
      </c>
      <c r="DO7" s="118">
        <f t="shared" si="18"/>
        <v>1687393.6702894806</v>
      </c>
      <c r="DP7" s="118">
        <f t="shared" si="18"/>
        <v>1687393.6702894806</v>
      </c>
      <c r="DQ7" s="118">
        <f t="shared" si="18"/>
        <v>1687393.6702894806</v>
      </c>
      <c r="DR7" s="118">
        <f t="shared" si="18"/>
        <v>1687393.6702894806</v>
      </c>
      <c r="DS7" s="118">
        <f t="shared" si="18"/>
        <v>1687393.6702894806</v>
      </c>
      <c r="DT7" s="118">
        <f t="shared" si="18"/>
        <v>1687393.6702894806</v>
      </c>
      <c r="DU7" s="118">
        <f t="shared" si="18"/>
        <v>1687393.6702894806</v>
      </c>
      <c r="DV7" s="118">
        <f t="shared" si="18"/>
        <v>1687393.6702894806</v>
      </c>
      <c r="DW7" s="118">
        <f t="shared" si="18"/>
        <v>1687393.6702894806</v>
      </c>
      <c r="DX7" s="118">
        <f t="shared" si="18"/>
        <v>1687393.6702894806</v>
      </c>
      <c r="DY7" s="118">
        <f t="shared" si="18"/>
        <v>1687393.6702894806</v>
      </c>
      <c r="DZ7" s="118">
        <f t="shared" si="18"/>
        <v>1687393.6702894806</v>
      </c>
      <c r="EA7" s="118">
        <f t="shared" si="18"/>
        <v>1687393.6702894806</v>
      </c>
      <c r="EB7" s="118">
        <f t="shared" si="18"/>
        <v>1687393.6702894806</v>
      </c>
      <c r="EC7" s="118">
        <f t="shared" si="18"/>
        <v>1687393.6702894806</v>
      </c>
      <c r="ED7" s="118">
        <f t="shared" si="18"/>
        <v>1687393.6702894806</v>
      </c>
      <c r="EE7" s="118">
        <f t="shared" si="18"/>
        <v>1687393.6702894806</v>
      </c>
      <c r="EF7" s="118">
        <f t="shared" si="18"/>
        <v>1687393.6702894806</v>
      </c>
      <c r="EG7" s="118">
        <f t="shared" ref="EG7:GR7" si="19">EG4-EG6</f>
        <v>1687393.6702894806</v>
      </c>
      <c r="EH7" s="118">
        <f t="shared" si="19"/>
        <v>1687393.6702894806</v>
      </c>
      <c r="EI7" s="118">
        <f t="shared" si="19"/>
        <v>1687393.6702894806</v>
      </c>
      <c r="EJ7" s="118">
        <f t="shared" si="19"/>
        <v>1687393.6702894806</v>
      </c>
      <c r="EK7" s="118">
        <f t="shared" si="19"/>
        <v>1687393.6702894806</v>
      </c>
      <c r="EL7" s="118">
        <f t="shared" si="19"/>
        <v>1687393.6702894806</v>
      </c>
      <c r="EM7" s="118">
        <f t="shared" si="19"/>
        <v>1687393.6702894806</v>
      </c>
      <c r="EN7" s="118">
        <f t="shared" si="19"/>
        <v>1687393.6702894806</v>
      </c>
      <c r="EO7" s="118">
        <f t="shared" si="19"/>
        <v>1687393.6702894806</v>
      </c>
      <c r="EP7" s="118">
        <f t="shared" si="19"/>
        <v>1687393.6702894806</v>
      </c>
      <c r="EQ7" s="118">
        <f t="shared" si="19"/>
        <v>1687393.6702894806</v>
      </c>
      <c r="ER7" s="118">
        <f t="shared" si="19"/>
        <v>1687393.6702894806</v>
      </c>
      <c r="ES7" s="118">
        <f t="shared" si="19"/>
        <v>1687393.6702894806</v>
      </c>
      <c r="ET7" s="118">
        <f t="shared" si="19"/>
        <v>1687393.6702894806</v>
      </c>
      <c r="EU7" s="118">
        <f t="shared" si="19"/>
        <v>1687393.6702894806</v>
      </c>
      <c r="EV7" s="118">
        <f t="shared" si="19"/>
        <v>1687393.6702894806</v>
      </c>
      <c r="EW7" s="118">
        <f t="shared" si="19"/>
        <v>1687393.6702894806</v>
      </c>
      <c r="EX7" s="118">
        <f t="shared" si="19"/>
        <v>1687393.6702894806</v>
      </c>
      <c r="EY7" s="118">
        <f t="shared" si="19"/>
        <v>1687393.6702894806</v>
      </c>
      <c r="EZ7" s="118">
        <f t="shared" si="19"/>
        <v>1687393.6702894806</v>
      </c>
      <c r="FA7" s="118">
        <f t="shared" si="19"/>
        <v>1687393.6702894806</v>
      </c>
      <c r="FB7" s="118">
        <f t="shared" si="19"/>
        <v>1687393.6702894806</v>
      </c>
      <c r="FC7" s="118">
        <f t="shared" si="19"/>
        <v>1687393.6702894806</v>
      </c>
      <c r="FD7" s="118">
        <f t="shared" si="19"/>
        <v>1687393.6702894806</v>
      </c>
      <c r="FE7" s="118">
        <f t="shared" si="19"/>
        <v>1687393.6702894806</v>
      </c>
      <c r="FF7" s="118">
        <f t="shared" si="19"/>
        <v>1687393.6702894806</v>
      </c>
      <c r="FG7" s="118">
        <f t="shared" si="19"/>
        <v>1687393.6702894806</v>
      </c>
      <c r="FH7" s="118">
        <f t="shared" si="19"/>
        <v>1687393.6702894806</v>
      </c>
      <c r="FI7" s="118">
        <f t="shared" si="19"/>
        <v>1687393.6702894806</v>
      </c>
      <c r="FJ7" s="118">
        <f t="shared" si="19"/>
        <v>1687393.6702894806</v>
      </c>
      <c r="FK7" s="118">
        <f t="shared" si="19"/>
        <v>1687393.6702894806</v>
      </c>
      <c r="FL7" s="118">
        <f t="shared" si="19"/>
        <v>1687393.6702894806</v>
      </c>
      <c r="FM7" s="118">
        <f t="shared" si="19"/>
        <v>1687393.6702894806</v>
      </c>
      <c r="FN7" s="118">
        <f t="shared" si="19"/>
        <v>1687393.6702894806</v>
      </c>
      <c r="FO7" s="118">
        <f t="shared" si="19"/>
        <v>1687393.6702894806</v>
      </c>
      <c r="FP7" s="118">
        <f t="shared" si="19"/>
        <v>1687393.6702894806</v>
      </c>
      <c r="FQ7" s="118">
        <f t="shared" si="19"/>
        <v>1687393.6702894806</v>
      </c>
      <c r="FR7" s="118">
        <f t="shared" si="19"/>
        <v>1687393.6702894806</v>
      </c>
      <c r="FS7" s="118">
        <f t="shared" si="19"/>
        <v>1687393.6702894806</v>
      </c>
      <c r="FT7" s="118">
        <f t="shared" si="19"/>
        <v>1687393.6702894806</v>
      </c>
      <c r="FU7" s="118">
        <f t="shared" si="19"/>
        <v>1687393.6702894806</v>
      </c>
      <c r="FV7" s="118">
        <f t="shared" si="19"/>
        <v>1687393.6702894806</v>
      </c>
      <c r="FW7" s="118">
        <f t="shared" si="19"/>
        <v>1687393.6702894806</v>
      </c>
      <c r="FX7" s="118">
        <f t="shared" si="19"/>
        <v>1687393.6702894806</v>
      </c>
      <c r="FY7" s="118">
        <f t="shared" si="19"/>
        <v>1687393.6702894806</v>
      </c>
      <c r="FZ7" s="118">
        <f t="shared" si="19"/>
        <v>1687393.6702894806</v>
      </c>
      <c r="GA7" s="118">
        <f t="shared" si="19"/>
        <v>1687393.6702894806</v>
      </c>
      <c r="GB7" s="118">
        <f t="shared" si="19"/>
        <v>1687393.6702894806</v>
      </c>
      <c r="GC7" s="118">
        <f t="shared" si="19"/>
        <v>1687393.6702894806</v>
      </c>
      <c r="GD7" s="118">
        <f t="shared" si="19"/>
        <v>1687393.6702894806</v>
      </c>
      <c r="GE7" s="118">
        <f t="shared" si="19"/>
        <v>1687393.6702894806</v>
      </c>
      <c r="GF7" s="118">
        <f t="shared" si="19"/>
        <v>1687393.6702894806</v>
      </c>
      <c r="GG7" s="118">
        <f t="shared" si="19"/>
        <v>1687393.6702894806</v>
      </c>
      <c r="GH7" s="118">
        <f t="shared" si="19"/>
        <v>1687393.6702894806</v>
      </c>
      <c r="GI7" s="118">
        <f t="shared" si="19"/>
        <v>1687393.6702894806</v>
      </c>
      <c r="GJ7" s="118">
        <f t="shared" si="19"/>
        <v>1687393.6702894806</v>
      </c>
      <c r="GK7" s="118">
        <f t="shared" si="19"/>
        <v>1687393.6702894806</v>
      </c>
      <c r="GL7" s="118">
        <f t="shared" si="19"/>
        <v>1687393.6702894806</v>
      </c>
      <c r="GM7" s="118">
        <f t="shared" si="19"/>
        <v>1687393.6702894806</v>
      </c>
      <c r="GN7" s="118">
        <f t="shared" si="19"/>
        <v>1687393.6702894806</v>
      </c>
      <c r="GO7" s="118">
        <f t="shared" si="19"/>
        <v>1687393.6702894806</v>
      </c>
      <c r="GP7" s="118">
        <f t="shared" si="19"/>
        <v>1687393.6702894806</v>
      </c>
      <c r="GQ7" s="118">
        <f t="shared" si="19"/>
        <v>1687393.6702894806</v>
      </c>
      <c r="GR7" s="118">
        <f t="shared" si="19"/>
        <v>1687393.6702894806</v>
      </c>
      <c r="GS7" s="118">
        <f t="shared" ref="GS7:JD7" si="20">GS4-GS6</f>
        <v>1687393.6702894806</v>
      </c>
      <c r="GT7" s="118">
        <f t="shared" si="20"/>
        <v>1687393.6702894806</v>
      </c>
      <c r="GU7" s="118">
        <f t="shared" si="20"/>
        <v>1687393.6702894806</v>
      </c>
      <c r="GV7" s="118">
        <f t="shared" si="20"/>
        <v>1687393.6702894806</v>
      </c>
      <c r="GW7" s="118">
        <f t="shared" si="20"/>
        <v>1687393.6702894806</v>
      </c>
      <c r="GX7" s="118">
        <f t="shared" si="20"/>
        <v>1687393.6702894806</v>
      </c>
      <c r="GY7" s="118">
        <f t="shared" si="20"/>
        <v>1687393.6702894806</v>
      </c>
      <c r="GZ7" s="118">
        <f t="shared" si="20"/>
        <v>1687393.6702894806</v>
      </c>
      <c r="HA7" s="118">
        <f t="shared" si="20"/>
        <v>1687393.6702894806</v>
      </c>
      <c r="HB7" s="118">
        <f t="shared" si="20"/>
        <v>1687393.6702894806</v>
      </c>
      <c r="HC7" s="118">
        <f t="shared" si="20"/>
        <v>1687393.6702894806</v>
      </c>
      <c r="HD7" s="118">
        <f t="shared" si="20"/>
        <v>1687393.6702894806</v>
      </c>
      <c r="HE7" s="118">
        <f t="shared" si="20"/>
        <v>1687393.6702894806</v>
      </c>
      <c r="HF7" s="118">
        <f t="shared" si="20"/>
        <v>1687393.6702894806</v>
      </c>
      <c r="HG7" s="118">
        <f t="shared" si="20"/>
        <v>1687393.6702894806</v>
      </c>
      <c r="HH7" s="118">
        <f t="shared" si="20"/>
        <v>1687393.6702894806</v>
      </c>
      <c r="HI7" s="118">
        <f t="shared" si="20"/>
        <v>1687393.6702894806</v>
      </c>
      <c r="HJ7" s="118">
        <f t="shared" si="20"/>
        <v>1687393.6702894806</v>
      </c>
      <c r="HK7" s="118">
        <f t="shared" si="20"/>
        <v>1687393.6702894806</v>
      </c>
      <c r="HL7" s="118">
        <f t="shared" si="20"/>
        <v>1687393.6702894806</v>
      </c>
      <c r="HM7" s="118">
        <f t="shared" si="20"/>
        <v>1687393.6702894806</v>
      </c>
      <c r="HN7" s="118">
        <f t="shared" si="20"/>
        <v>1687393.6702894806</v>
      </c>
      <c r="HO7" s="118">
        <f t="shared" si="20"/>
        <v>1687393.6702894806</v>
      </c>
      <c r="HP7" s="118">
        <f t="shared" si="20"/>
        <v>1687393.6702894806</v>
      </c>
      <c r="HQ7" s="118">
        <f t="shared" si="20"/>
        <v>1687393.6702894806</v>
      </c>
      <c r="HR7" s="118">
        <f t="shared" si="20"/>
        <v>1687393.6702894806</v>
      </c>
      <c r="HS7" s="118">
        <f t="shared" si="20"/>
        <v>1687393.6702894806</v>
      </c>
      <c r="HT7" s="118">
        <f t="shared" si="20"/>
        <v>1687393.6702894806</v>
      </c>
      <c r="HU7" s="118">
        <f t="shared" si="20"/>
        <v>1687393.6702894806</v>
      </c>
      <c r="HV7" s="118">
        <f t="shared" si="20"/>
        <v>1687393.6702894806</v>
      </c>
      <c r="HW7" s="118">
        <f t="shared" si="20"/>
        <v>1687393.6702894806</v>
      </c>
      <c r="HX7" s="118">
        <f t="shared" si="20"/>
        <v>1687393.6702894806</v>
      </c>
      <c r="HY7" s="118">
        <f t="shared" si="20"/>
        <v>1687393.6702894806</v>
      </c>
      <c r="HZ7" s="118">
        <f t="shared" si="20"/>
        <v>1687393.6702894806</v>
      </c>
      <c r="IA7" s="118">
        <f t="shared" si="20"/>
        <v>1687393.6702894806</v>
      </c>
      <c r="IB7" s="118">
        <f t="shared" si="20"/>
        <v>1687393.6702894806</v>
      </c>
      <c r="IC7" s="118">
        <f t="shared" si="20"/>
        <v>1687393.6702894806</v>
      </c>
      <c r="ID7" s="118">
        <f t="shared" si="20"/>
        <v>1687393.6702894806</v>
      </c>
      <c r="IE7" s="118">
        <f t="shared" si="20"/>
        <v>1687393.6702894806</v>
      </c>
      <c r="IF7" s="118">
        <f t="shared" si="20"/>
        <v>1687393.6702894806</v>
      </c>
      <c r="IG7" s="118">
        <f t="shared" si="20"/>
        <v>1687393.6702894806</v>
      </c>
      <c r="IH7" s="118">
        <f t="shared" si="20"/>
        <v>1687393.6702894806</v>
      </c>
      <c r="II7" s="118">
        <f t="shared" si="20"/>
        <v>1687393.6702894806</v>
      </c>
      <c r="IJ7" s="118">
        <f t="shared" si="20"/>
        <v>1687393.6702894806</v>
      </c>
      <c r="IK7" s="118">
        <f t="shared" si="20"/>
        <v>1687393.6702894806</v>
      </c>
      <c r="IL7" s="118">
        <f t="shared" si="20"/>
        <v>1687393.6702894806</v>
      </c>
      <c r="IM7" s="118">
        <f t="shared" si="20"/>
        <v>1687393.6702894806</v>
      </c>
      <c r="IN7" s="118">
        <f t="shared" si="20"/>
        <v>1687393.6702894806</v>
      </c>
      <c r="IO7" s="118">
        <f t="shared" si="20"/>
        <v>1687393.6702894806</v>
      </c>
      <c r="IP7" s="118">
        <f t="shared" si="20"/>
        <v>1687393.6702894806</v>
      </c>
      <c r="IQ7" s="118">
        <f t="shared" si="20"/>
        <v>1687393.6702894806</v>
      </c>
      <c r="IR7" s="118">
        <f t="shared" si="20"/>
        <v>1687393.6702894806</v>
      </c>
      <c r="IS7" s="118">
        <f t="shared" si="20"/>
        <v>1687393.6702894806</v>
      </c>
      <c r="IT7" s="118">
        <f t="shared" si="20"/>
        <v>1687393.6702894806</v>
      </c>
      <c r="IU7" s="118">
        <f t="shared" si="20"/>
        <v>1687393.6702894806</v>
      </c>
      <c r="IV7" s="118">
        <f t="shared" si="20"/>
        <v>1687393.6702894806</v>
      </c>
      <c r="IW7" s="118">
        <f t="shared" si="20"/>
        <v>1687393.6702894806</v>
      </c>
      <c r="IX7" s="118">
        <f t="shared" si="20"/>
        <v>1687393.6702894806</v>
      </c>
      <c r="IY7" s="118">
        <f t="shared" si="20"/>
        <v>1687393.6702894806</v>
      </c>
      <c r="IZ7" s="118">
        <f t="shared" si="20"/>
        <v>1687393.6702894806</v>
      </c>
      <c r="JA7" s="118">
        <f t="shared" si="20"/>
        <v>1687393.6702894806</v>
      </c>
      <c r="JB7" s="118">
        <f t="shared" si="20"/>
        <v>1687393.6702894806</v>
      </c>
      <c r="JC7" s="118">
        <f t="shared" si="20"/>
        <v>1687393.6702894806</v>
      </c>
      <c r="JD7" s="118">
        <f t="shared" si="20"/>
        <v>1687393.6702894806</v>
      </c>
      <c r="JE7" s="118">
        <f t="shared" ref="JE7:KF7" si="21">JE4-JE6</f>
        <v>1687393.6702894806</v>
      </c>
      <c r="JF7" s="118">
        <f t="shared" si="21"/>
        <v>1687393.6702894806</v>
      </c>
      <c r="JG7" s="118">
        <f t="shared" si="21"/>
        <v>1687393.6702894806</v>
      </c>
      <c r="JH7" s="118">
        <f t="shared" si="21"/>
        <v>1687393.6702894806</v>
      </c>
      <c r="JI7" s="118">
        <f t="shared" si="21"/>
        <v>1687393.6702894806</v>
      </c>
      <c r="JJ7" s="118">
        <f t="shared" si="21"/>
        <v>1687393.6702894806</v>
      </c>
      <c r="JK7" s="118">
        <f t="shared" si="21"/>
        <v>1687393.6702894806</v>
      </c>
      <c r="JL7" s="118">
        <f t="shared" si="21"/>
        <v>1687393.6702894806</v>
      </c>
      <c r="JM7" s="118">
        <f t="shared" si="21"/>
        <v>1687393.6702894806</v>
      </c>
      <c r="JN7" s="118">
        <f t="shared" si="21"/>
        <v>1687393.6702894806</v>
      </c>
      <c r="JO7" s="118">
        <f t="shared" si="21"/>
        <v>1687393.6702894806</v>
      </c>
      <c r="JP7" s="118">
        <f t="shared" si="21"/>
        <v>1687393.6702894806</v>
      </c>
      <c r="JQ7" s="118">
        <f t="shared" si="21"/>
        <v>1687393.6702894806</v>
      </c>
      <c r="JR7" s="118">
        <f t="shared" si="21"/>
        <v>1687393.6702894806</v>
      </c>
      <c r="JS7" s="118">
        <f t="shared" si="21"/>
        <v>1687393.6702894806</v>
      </c>
      <c r="JT7" s="118">
        <f t="shared" si="21"/>
        <v>1687393.6702894806</v>
      </c>
      <c r="JU7" s="118">
        <f t="shared" si="21"/>
        <v>1687393.6702894806</v>
      </c>
      <c r="JV7" s="118">
        <f t="shared" si="21"/>
        <v>1687393.6702894806</v>
      </c>
      <c r="JW7" s="118">
        <f t="shared" si="21"/>
        <v>1687393.6702894806</v>
      </c>
      <c r="JX7" s="118">
        <f t="shared" si="21"/>
        <v>1687393.6702894806</v>
      </c>
      <c r="JY7" s="118">
        <f t="shared" si="21"/>
        <v>1687393.6702894806</v>
      </c>
      <c r="JZ7" s="118">
        <f t="shared" si="21"/>
        <v>1687393.6702894806</v>
      </c>
      <c r="KA7" s="118">
        <f t="shared" si="21"/>
        <v>1687393.6702894806</v>
      </c>
      <c r="KB7" s="118">
        <f t="shared" si="21"/>
        <v>1687393.6702894806</v>
      </c>
      <c r="KC7" s="118">
        <f t="shared" si="21"/>
        <v>1687393.6702894806</v>
      </c>
      <c r="KD7" s="118">
        <f t="shared" si="21"/>
        <v>1687393.6702894806</v>
      </c>
      <c r="KE7" s="118">
        <f t="shared" si="21"/>
        <v>1687393.6702894806</v>
      </c>
      <c r="KF7" s="118">
        <f t="shared" si="21"/>
        <v>1687393.6702894806</v>
      </c>
    </row>
    <row r="8" spans="1:770" s="102" customFormat="1">
      <c r="A8" s="724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425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1647842.7428508946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1647842.7428508946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426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2">H10+I9</f>
        <v>0</v>
      </c>
      <c r="J10" s="122">
        <f t="shared" si="22"/>
        <v>0</v>
      </c>
      <c r="K10" s="122">
        <f t="shared" si="22"/>
        <v>0</v>
      </c>
      <c r="L10" s="122">
        <f t="shared" si="22"/>
        <v>1647842.7428508946</v>
      </c>
      <c r="M10" s="122">
        <f t="shared" si="22"/>
        <v>1647842.7428508946</v>
      </c>
      <c r="N10" s="122">
        <f t="shared" si="22"/>
        <v>1647842.7428508946</v>
      </c>
      <c r="O10" s="122">
        <f t="shared" si="22"/>
        <v>1647842.7428508946</v>
      </c>
      <c r="P10" s="122">
        <f t="shared" si="22"/>
        <v>2471764.1142763421</v>
      </c>
      <c r="Q10" s="122">
        <f t="shared" si="22"/>
        <v>3089705.1428454276</v>
      </c>
      <c r="R10" s="122">
        <f t="shared" si="22"/>
        <v>3089705.1428454276</v>
      </c>
      <c r="S10" s="122">
        <f t="shared" si="22"/>
        <v>3089705.1428454276</v>
      </c>
      <c r="T10" s="122">
        <f t="shared" si="22"/>
        <v>3089705.1428454276</v>
      </c>
      <c r="U10" s="122">
        <f t="shared" si="22"/>
        <v>4737547.8856963217</v>
      </c>
      <c r="V10" s="122">
        <f t="shared" si="22"/>
        <v>4840538.057124503</v>
      </c>
      <c r="W10" s="122">
        <f t="shared" si="22"/>
        <v>4840538.057124503</v>
      </c>
      <c r="X10" s="122">
        <f t="shared" si="22"/>
        <v>4840538.057124503</v>
      </c>
      <c r="Y10" s="122">
        <f t="shared" si="22"/>
        <v>5149508.5714090457</v>
      </c>
      <c r="Z10" s="122">
        <f t="shared" si="22"/>
        <v>5149508.5714090457</v>
      </c>
      <c r="AA10" s="122">
        <f t="shared" si="22"/>
        <v>5149508.5714090457</v>
      </c>
      <c r="AB10" s="122">
        <f t="shared" si="22"/>
        <v>5149508.5714090457</v>
      </c>
      <c r="AC10" s="122">
        <f t="shared" si="22"/>
        <v>5149508.5714090457</v>
      </c>
      <c r="AD10" s="122">
        <f>AC10+AD9</f>
        <v>5149508.5714090457</v>
      </c>
      <c r="AE10" s="122">
        <f t="shared" si="22"/>
        <v>5149508.5714090457</v>
      </c>
      <c r="AF10" s="122">
        <f t="shared" si="22"/>
        <v>5149508.5714090457</v>
      </c>
      <c r="AG10" s="122">
        <f t="shared" si="22"/>
        <v>5149508.5714090457</v>
      </c>
      <c r="AH10" s="122">
        <f t="shared" si="22"/>
        <v>5149508.5714090457</v>
      </c>
      <c r="AI10" s="122">
        <f t="shared" si="22"/>
        <v>5149508.5714090457</v>
      </c>
      <c r="AJ10" s="122">
        <f t="shared" si="22"/>
        <v>5149508.5714090457</v>
      </c>
      <c r="AK10" s="122">
        <f t="shared" si="22"/>
        <v>5149508.5714090457</v>
      </c>
      <c r="AL10" s="122">
        <f t="shared" si="22"/>
        <v>5149508.5714090457</v>
      </c>
      <c r="AM10" s="122">
        <f t="shared" si="22"/>
        <v>5149508.5714090457</v>
      </c>
      <c r="AN10" s="122">
        <f t="shared" si="22"/>
        <v>5149508.5714090457</v>
      </c>
      <c r="AO10" s="122">
        <f t="shared" si="22"/>
        <v>5149508.5714090457</v>
      </c>
      <c r="AP10" s="122">
        <f t="shared" si="22"/>
        <v>5149508.5714090457</v>
      </c>
      <c r="AQ10" s="122">
        <f t="shared" si="22"/>
        <v>5149508.5714090457</v>
      </c>
      <c r="AR10" s="122">
        <f t="shared" si="22"/>
        <v>5149508.5714090457</v>
      </c>
      <c r="AS10" s="122">
        <f t="shared" si="22"/>
        <v>5149508.5714090457</v>
      </c>
      <c r="AT10" s="122">
        <f t="shared" si="22"/>
        <v>5149508.5714090457</v>
      </c>
      <c r="AU10" s="122">
        <f t="shared" si="22"/>
        <v>5149508.5714090457</v>
      </c>
      <c r="AV10" s="122">
        <f t="shared" si="22"/>
        <v>5149508.5714090457</v>
      </c>
      <c r="AW10" s="122">
        <f t="shared" si="22"/>
        <v>5149508.5714090457</v>
      </c>
      <c r="AX10" s="122">
        <f t="shared" si="22"/>
        <v>5149508.5714090457</v>
      </c>
      <c r="AY10" s="122">
        <f t="shared" si="22"/>
        <v>5149508.5714090457</v>
      </c>
      <c r="AZ10" s="122">
        <f t="shared" si="22"/>
        <v>5149508.5714090457</v>
      </c>
      <c r="BA10" s="122">
        <f t="shared" si="22"/>
        <v>5149508.5714090457</v>
      </c>
      <c r="BB10" s="122">
        <f t="shared" si="22"/>
        <v>5149508.5714090457</v>
      </c>
      <c r="BC10" s="122">
        <f t="shared" si="22"/>
        <v>5149508.5714090457</v>
      </c>
      <c r="BD10" s="122">
        <f t="shared" si="22"/>
        <v>5149508.5714090457</v>
      </c>
      <c r="BE10" s="122">
        <f t="shared" si="22"/>
        <v>5149508.5714090457</v>
      </c>
      <c r="BF10" s="122">
        <f t="shared" si="22"/>
        <v>5149508.5714090457</v>
      </c>
      <c r="BG10" s="122">
        <f t="shared" si="22"/>
        <v>5149508.5714090457</v>
      </c>
      <c r="BH10" s="122">
        <f t="shared" si="22"/>
        <v>5149508.5714090457</v>
      </c>
      <c r="BI10" s="122">
        <f t="shared" si="22"/>
        <v>5149508.5714090457</v>
      </c>
      <c r="BJ10" s="122">
        <f t="shared" si="22"/>
        <v>5149508.5714090457</v>
      </c>
      <c r="BK10" s="122">
        <f t="shared" si="22"/>
        <v>5149508.5714090457</v>
      </c>
      <c r="BL10" s="122">
        <f t="shared" si="22"/>
        <v>5149508.5714090457</v>
      </c>
      <c r="BM10" s="122">
        <f t="shared" si="22"/>
        <v>5149508.5714090457</v>
      </c>
      <c r="BN10" s="122">
        <f t="shared" si="22"/>
        <v>5149508.5714090457</v>
      </c>
      <c r="BO10" s="122">
        <f t="shared" si="22"/>
        <v>5149508.5714090457</v>
      </c>
      <c r="BP10" s="122">
        <f t="shared" si="22"/>
        <v>5149508.5714090457</v>
      </c>
      <c r="BQ10" s="122">
        <f t="shared" si="22"/>
        <v>5149508.5714090457</v>
      </c>
      <c r="BR10" s="122">
        <f t="shared" si="22"/>
        <v>5149508.5714090457</v>
      </c>
      <c r="BS10" s="122">
        <f t="shared" si="22"/>
        <v>5149508.5714090457</v>
      </c>
      <c r="BT10" s="122">
        <f t="shared" si="22"/>
        <v>5149508.5714090457</v>
      </c>
      <c r="BU10" s="122">
        <f t="shared" ref="BU10:EF10" si="23">BT10+BU9</f>
        <v>5149508.5714090457</v>
      </c>
      <c r="BV10" s="122">
        <f t="shared" si="23"/>
        <v>5149508.5714090457</v>
      </c>
      <c r="BW10" s="122">
        <f t="shared" si="23"/>
        <v>5149508.5714090457</v>
      </c>
      <c r="BX10" s="122">
        <f t="shared" si="23"/>
        <v>5149508.5714090457</v>
      </c>
      <c r="BY10" s="122">
        <f t="shared" si="23"/>
        <v>5149508.5714090457</v>
      </c>
      <c r="BZ10" s="122">
        <f t="shared" si="23"/>
        <v>5149508.5714090457</v>
      </c>
      <c r="CA10" s="122">
        <f t="shared" si="23"/>
        <v>5149508.5714090457</v>
      </c>
      <c r="CB10" s="122">
        <f t="shared" si="23"/>
        <v>5149508.5714090457</v>
      </c>
      <c r="CC10" s="122">
        <f t="shared" si="23"/>
        <v>5149508.5714090457</v>
      </c>
      <c r="CD10" s="122">
        <f t="shared" si="23"/>
        <v>5149508.5714090457</v>
      </c>
      <c r="CE10" s="122">
        <f t="shared" si="23"/>
        <v>5149508.5714090457</v>
      </c>
      <c r="CF10" s="122">
        <f t="shared" si="23"/>
        <v>5149508.5714090457</v>
      </c>
      <c r="CG10" s="122">
        <f t="shared" si="23"/>
        <v>5149508.5714090457</v>
      </c>
      <c r="CH10" s="122">
        <f t="shared" si="23"/>
        <v>5149508.5714090457</v>
      </c>
      <c r="CI10" s="122">
        <f t="shared" si="23"/>
        <v>5149508.5714090457</v>
      </c>
      <c r="CJ10" s="122">
        <f t="shared" si="23"/>
        <v>5149508.5714090457</v>
      </c>
      <c r="CK10" s="122">
        <f t="shared" si="23"/>
        <v>5149508.5714090457</v>
      </c>
      <c r="CL10" s="122">
        <f t="shared" si="23"/>
        <v>5149508.5714090457</v>
      </c>
      <c r="CM10" s="122">
        <f t="shared" si="23"/>
        <v>5149508.5714090457</v>
      </c>
      <c r="CN10" s="122">
        <f t="shared" si="23"/>
        <v>5149508.5714090457</v>
      </c>
      <c r="CO10" s="122">
        <f t="shared" si="23"/>
        <v>5149508.5714090457</v>
      </c>
      <c r="CP10" s="122">
        <f t="shared" si="23"/>
        <v>5149508.5714090457</v>
      </c>
      <c r="CQ10" s="122">
        <f t="shared" si="23"/>
        <v>5149508.5714090457</v>
      </c>
      <c r="CR10" s="122">
        <f t="shared" si="23"/>
        <v>5149508.5714090457</v>
      </c>
      <c r="CS10" s="122">
        <f t="shared" si="23"/>
        <v>5149508.5714090457</v>
      </c>
      <c r="CT10" s="122">
        <f t="shared" si="23"/>
        <v>5149508.5714090457</v>
      </c>
      <c r="CU10" s="122">
        <f t="shared" si="23"/>
        <v>5149508.5714090457</v>
      </c>
      <c r="CV10" s="122">
        <f t="shared" si="23"/>
        <v>5149508.5714090457</v>
      </c>
      <c r="CW10" s="122">
        <f t="shared" si="23"/>
        <v>5149508.5714090457</v>
      </c>
      <c r="CX10" s="122">
        <f t="shared" si="23"/>
        <v>5149508.5714090457</v>
      </c>
      <c r="CY10" s="122">
        <f t="shared" si="23"/>
        <v>5149508.5714090457</v>
      </c>
      <c r="CZ10" s="122">
        <f t="shared" si="23"/>
        <v>5149508.5714090457</v>
      </c>
      <c r="DA10" s="122">
        <f t="shared" si="23"/>
        <v>5149508.5714090457</v>
      </c>
      <c r="DB10" s="122">
        <f t="shared" si="23"/>
        <v>5149508.5714090457</v>
      </c>
      <c r="DC10" s="122">
        <f t="shared" si="23"/>
        <v>5149508.5714090457</v>
      </c>
      <c r="DD10" s="122">
        <f t="shared" si="23"/>
        <v>5149508.5714090457</v>
      </c>
      <c r="DE10" s="122">
        <f t="shared" si="23"/>
        <v>5149508.5714090457</v>
      </c>
      <c r="DF10" s="122">
        <f t="shared" si="23"/>
        <v>5149508.5714090457</v>
      </c>
      <c r="DG10" s="122">
        <f t="shared" si="23"/>
        <v>5149508.5714090457</v>
      </c>
      <c r="DH10" s="122">
        <f t="shared" si="23"/>
        <v>5149508.5714090457</v>
      </c>
      <c r="DI10" s="122">
        <f t="shared" si="23"/>
        <v>5149508.5714090457</v>
      </c>
      <c r="DJ10" s="122">
        <f t="shared" si="23"/>
        <v>5149508.5714090457</v>
      </c>
      <c r="DK10" s="122">
        <f t="shared" si="23"/>
        <v>5149508.5714090457</v>
      </c>
      <c r="DL10" s="122">
        <f t="shared" si="23"/>
        <v>5149508.5714090457</v>
      </c>
      <c r="DM10" s="122">
        <f t="shared" si="23"/>
        <v>5149508.5714090457</v>
      </c>
      <c r="DN10" s="122">
        <f t="shared" si="23"/>
        <v>5149508.5714090457</v>
      </c>
      <c r="DO10" s="122">
        <f t="shared" si="23"/>
        <v>5149508.5714090457</v>
      </c>
      <c r="DP10" s="122">
        <f t="shared" si="23"/>
        <v>5149508.5714090457</v>
      </c>
      <c r="DQ10" s="122">
        <f t="shared" si="23"/>
        <v>5149508.5714090457</v>
      </c>
      <c r="DR10" s="122">
        <f t="shared" si="23"/>
        <v>5149508.5714090457</v>
      </c>
      <c r="DS10" s="122">
        <f t="shared" si="23"/>
        <v>5149508.5714090457</v>
      </c>
      <c r="DT10" s="122">
        <f t="shared" si="23"/>
        <v>5149508.5714090457</v>
      </c>
      <c r="DU10" s="122">
        <f t="shared" si="23"/>
        <v>5149508.5714090457</v>
      </c>
      <c r="DV10" s="122">
        <f t="shared" si="23"/>
        <v>5149508.5714090457</v>
      </c>
      <c r="DW10" s="122">
        <f t="shared" si="23"/>
        <v>5149508.5714090457</v>
      </c>
      <c r="DX10" s="122">
        <f t="shared" si="23"/>
        <v>5149508.5714090457</v>
      </c>
      <c r="DY10" s="122">
        <f t="shared" si="23"/>
        <v>5149508.5714090457</v>
      </c>
      <c r="DZ10" s="122">
        <f t="shared" si="23"/>
        <v>5149508.5714090457</v>
      </c>
      <c r="EA10" s="122">
        <f t="shared" si="23"/>
        <v>5149508.5714090457</v>
      </c>
      <c r="EB10" s="122">
        <f t="shared" si="23"/>
        <v>5149508.5714090457</v>
      </c>
      <c r="EC10" s="122">
        <f t="shared" si="23"/>
        <v>5149508.5714090457</v>
      </c>
      <c r="ED10" s="122">
        <f t="shared" si="23"/>
        <v>5149508.5714090457</v>
      </c>
      <c r="EE10" s="122">
        <f t="shared" si="23"/>
        <v>5149508.5714090457</v>
      </c>
      <c r="EF10" s="122">
        <f t="shared" si="23"/>
        <v>5149508.5714090457</v>
      </c>
      <c r="EG10" s="122">
        <f t="shared" ref="EG10:GR10" si="24">EF10+EG9</f>
        <v>5149508.5714090457</v>
      </c>
      <c r="EH10" s="122">
        <f t="shared" si="24"/>
        <v>5149508.5714090457</v>
      </c>
      <c r="EI10" s="122">
        <f t="shared" si="24"/>
        <v>5149508.5714090457</v>
      </c>
      <c r="EJ10" s="122">
        <f t="shared" si="24"/>
        <v>5149508.5714090457</v>
      </c>
      <c r="EK10" s="122">
        <f t="shared" si="24"/>
        <v>5149508.5714090457</v>
      </c>
      <c r="EL10" s="122">
        <f t="shared" si="24"/>
        <v>5149508.5714090457</v>
      </c>
      <c r="EM10" s="122">
        <f t="shared" si="24"/>
        <v>5149508.5714090457</v>
      </c>
      <c r="EN10" s="122">
        <f t="shared" si="24"/>
        <v>5149508.5714090457</v>
      </c>
      <c r="EO10" s="122">
        <f t="shared" si="24"/>
        <v>5149508.5714090457</v>
      </c>
      <c r="EP10" s="122">
        <f t="shared" si="24"/>
        <v>5149508.5714090457</v>
      </c>
      <c r="EQ10" s="122">
        <f t="shared" si="24"/>
        <v>5149508.5714090457</v>
      </c>
      <c r="ER10" s="122">
        <f t="shared" si="24"/>
        <v>5149508.5714090457</v>
      </c>
      <c r="ES10" s="122">
        <f t="shared" si="24"/>
        <v>5149508.5714090457</v>
      </c>
      <c r="ET10" s="122">
        <f t="shared" si="24"/>
        <v>5149508.5714090457</v>
      </c>
      <c r="EU10" s="122">
        <f t="shared" si="24"/>
        <v>5149508.5714090457</v>
      </c>
      <c r="EV10" s="122">
        <f t="shared" si="24"/>
        <v>5149508.5714090457</v>
      </c>
      <c r="EW10" s="122">
        <f t="shared" si="24"/>
        <v>5149508.5714090457</v>
      </c>
      <c r="EX10" s="122">
        <f t="shared" si="24"/>
        <v>5149508.5714090457</v>
      </c>
      <c r="EY10" s="122">
        <f t="shared" si="24"/>
        <v>5149508.5714090457</v>
      </c>
      <c r="EZ10" s="122">
        <f t="shared" si="24"/>
        <v>5149508.5714090457</v>
      </c>
      <c r="FA10" s="122">
        <f t="shared" si="24"/>
        <v>5149508.5714090457</v>
      </c>
      <c r="FB10" s="122">
        <f t="shared" si="24"/>
        <v>5149508.5714090457</v>
      </c>
      <c r="FC10" s="122">
        <f t="shared" si="24"/>
        <v>5149508.5714090457</v>
      </c>
      <c r="FD10" s="122">
        <f t="shared" si="24"/>
        <v>5149508.5714090457</v>
      </c>
      <c r="FE10" s="122">
        <f t="shared" si="24"/>
        <v>5149508.5714090457</v>
      </c>
      <c r="FF10" s="122">
        <f t="shared" si="24"/>
        <v>5149508.5714090457</v>
      </c>
      <c r="FG10" s="122">
        <f t="shared" si="24"/>
        <v>5149508.5714090457</v>
      </c>
      <c r="FH10" s="122">
        <f t="shared" si="24"/>
        <v>5149508.5714090457</v>
      </c>
      <c r="FI10" s="122">
        <f t="shared" si="24"/>
        <v>5149508.5714090457</v>
      </c>
      <c r="FJ10" s="122">
        <f t="shared" si="24"/>
        <v>5149508.5714090457</v>
      </c>
      <c r="FK10" s="122">
        <f t="shared" si="24"/>
        <v>5149508.5714090457</v>
      </c>
      <c r="FL10" s="122">
        <f t="shared" si="24"/>
        <v>5149508.5714090457</v>
      </c>
      <c r="FM10" s="122">
        <f t="shared" si="24"/>
        <v>5149508.5714090457</v>
      </c>
      <c r="FN10" s="122">
        <f t="shared" si="24"/>
        <v>5149508.5714090457</v>
      </c>
      <c r="FO10" s="122">
        <f t="shared" si="24"/>
        <v>5149508.5714090457</v>
      </c>
      <c r="FP10" s="122">
        <f t="shared" si="24"/>
        <v>5149508.5714090457</v>
      </c>
      <c r="FQ10" s="122">
        <f t="shared" si="24"/>
        <v>5149508.5714090457</v>
      </c>
      <c r="FR10" s="122">
        <f t="shared" si="24"/>
        <v>5149508.5714090457</v>
      </c>
      <c r="FS10" s="122">
        <f t="shared" si="24"/>
        <v>5149508.5714090457</v>
      </c>
      <c r="FT10" s="122">
        <f t="shared" si="24"/>
        <v>5149508.5714090457</v>
      </c>
      <c r="FU10" s="122">
        <f t="shared" si="24"/>
        <v>5149508.5714090457</v>
      </c>
      <c r="FV10" s="122">
        <f t="shared" si="24"/>
        <v>5149508.5714090457</v>
      </c>
      <c r="FW10" s="122">
        <f t="shared" si="24"/>
        <v>5149508.5714090457</v>
      </c>
      <c r="FX10" s="122">
        <f t="shared" si="24"/>
        <v>5149508.5714090457</v>
      </c>
      <c r="FY10" s="122">
        <f t="shared" si="24"/>
        <v>5149508.5714090457</v>
      </c>
      <c r="FZ10" s="122">
        <f t="shared" si="24"/>
        <v>5149508.5714090457</v>
      </c>
      <c r="GA10" s="122">
        <f t="shared" si="24"/>
        <v>5149508.5714090457</v>
      </c>
      <c r="GB10" s="122">
        <f t="shared" si="24"/>
        <v>5149508.5714090457</v>
      </c>
      <c r="GC10" s="122">
        <f t="shared" si="24"/>
        <v>5149508.5714090457</v>
      </c>
      <c r="GD10" s="122">
        <f t="shared" si="24"/>
        <v>5149508.5714090457</v>
      </c>
      <c r="GE10" s="122">
        <f t="shared" si="24"/>
        <v>5149508.5714090457</v>
      </c>
      <c r="GF10" s="122">
        <f t="shared" si="24"/>
        <v>5149508.5714090457</v>
      </c>
      <c r="GG10" s="122">
        <f t="shared" si="24"/>
        <v>5149508.5714090457</v>
      </c>
      <c r="GH10" s="122">
        <f t="shared" si="24"/>
        <v>5149508.5714090457</v>
      </c>
      <c r="GI10" s="122">
        <f t="shared" si="24"/>
        <v>5149508.5714090457</v>
      </c>
      <c r="GJ10" s="122">
        <f t="shared" si="24"/>
        <v>5149508.5714090457</v>
      </c>
      <c r="GK10" s="122">
        <f t="shared" si="24"/>
        <v>5149508.5714090457</v>
      </c>
      <c r="GL10" s="122">
        <f t="shared" si="24"/>
        <v>5149508.5714090457</v>
      </c>
      <c r="GM10" s="122">
        <f t="shared" si="24"/>
        <v>5149508.5714090457</v>
      </c>
      <c r="GN10" s="122">
        <f t="shared" si="24"/>
        <v>5149508.5714090457</v>
      </c>
      <c r="GO10" s="122">
        <f t="shared" si="24"/>
        <v>5149508.5714090457</v>
      </c>
      <c r="GP10" s="122">
        <f t="shared" si="24"/>
        <v>5149508.5714090457</v>
      </c>
      <c r="GQ10" s="122">
        <f t="shared" si="24"/>
        <v>5149508.5714090457</v>
      </c>
      <c r="GR10" s="122">
        <f t="shared" si="24"/>
        <v>5149508.5714090457</v>
      </c>
      <c r="GS10" s="122">
        <f t="shared" ref="GS10:JD10" si="25">GR10+GS9</f>
        <v>5149508.5714090457</v>
      </c>
      <c r="GT10" s="122">
        <f t="shared" si="25"/>
        <v>5149508.5714090457</v>
      </c>
      <c r="GU10" s="122">
        <f t="shared" si="25"/>
        <v>5149508.5714090457</v>
      </c>
      <c r="GV10" s="122">
        <f t="shared" si="25"/>
        <v>5149508.5714090457</v>
      </c>
      <c r="GW10" s="122">
        <f t="shared" si="25"/>
        <v>5149508.5714090457</v>
      </c>
      <c r="GX10" s="122">
        <f t="shared" si="25"/>
        <v>5149508.5714090457</v>
      </c>
      <c r="GY10" s="122">
        <f t="shared" si="25"/>
        <v>5149508.5714090457</v>
      </c>
      <c r="GZ10" s="122">
        <f t="shared" si="25"/>
        <v>5149508.5714090457</v>
      </c>
      <c r="HA10" s="122">
        <f t="shared" si="25"/>
        <v>5149508.5714090457</v>
      </c>
      <c r="HB10" s="122">
        <f t="shared" si="25"/>
        <v>5149508.5714090457</v>
      </c>
      <c r="HC10" s="122">
        <f t="shared" si="25"/>
        <v>5149508.5714090457</v>
      </c>
      <c r="HD10" s="122">
        <f t="shared" si="25"/>
        <v>5149508.5714090457</v>
      </c>
      <c r="HE10" s="122">
        <f t="shared" si="25"/>
        <v>5149508.5714090457</v>
      </c>
      <c r="HF10" s="122">
        <f t="shared" si="25"/>
        <v>5149508.5714090457</v>
      </c>
      <c r="HG10" s="122">
        <f t="shared" si="25"/>
        <v>5149508.5714090457</v>
      </c>
      <c r="HH10" s="122">
        <f t="shared" si="25"/>
        <v>5149508.5714090457</v>
      </c>
      <c r="HI10" s="122">
        <f t="shared" si="25"/>
        <v>5149508.5714090457</v>
      </c>
      <c r="HJ10" s="122">
        <f t="shared" si="25"/>
        <v>5149508.5714090457</v>
      </c>
      <c r="HK10" s="122">
        <f t="shared" si="25"/>
        <v>5149508.5714090457</v>
      </c>
      <c r="HL10" s="122">
        <f t="shared" si="25"/>
        <v>5149508.5714090457</v>
      </c>
      <c r="HM10" s="122">
        <f t="shared" si="25"/>
        <v>5149508.5714090457</v>
      </c>
      <c r="HN10" s="122">
        <f t="shared" si="25"/>
        <v>5149508.5714090457</v>
      </c>
      <c r="HO10" s="122">
        <f t="shared" si="25"/>
        <v>5149508.5714090457</v>
      </c>
      <c r="HP10" s="122">
        <f t="shared" si="25"/>
        <v>5149508.5714090457</v>
      </c>
      <c r="HQ10" s="122">
        <f t="shared" si="25"/>
        <v>5149508.5714090457</v>
      </c>
      <c r="HR10" s="122">
        <f t="shared" si="25"/>
        <v>5149508.5714090457</v>
      </c>
      <c r="HS10" s="122">
        <f t="shared" si="25"/>
        <v>5149508.5714090457</v>
      </c>
      <c r="HT10" s="122">
        <f t="shared" si="25"/>
        <v>5149508.5714090457</v>
      </c>
      <c r="HU10" s="122">
        <f t="shared" si="25"/>
        <v>5149508.5714090457</v>
      </c>
      <c r="HV10" s="122">
        <f t="shared" si="25"/>
        <v>5149508.5714090457</v>
      </c>
      <c r="HW10" s="122">
        <f t="shared" si="25"/>
        <v>5149508.5714090457</v>
      </c>
      <c r="HX10" s="122">
        <f t="shared" si="25"/>
        <v>5149508.5714090457</v>
      </c>
      <c r="HY10" s="122">
        <f t="shared" si="25"/>
        <v>5149508.5714090457</v>
      </c>
      <c r="HZ10" s="122">
        <f t="shared" si="25"/>
        <v>5149508.5714090457</v>
      </c>
      <c r="IA10" s="122">
        <f t="shared" si="25"/>
        <v>5149508.5714090457</v>
      </c>
      <c r="IB10" s="122">
        <f t="shared" si="25"/>
        <v>5149508.5714090457</v>
      </c>
      <c r="IC10" s="122">
        <f t="shared" si="25"/>
        <v>5149508.5714090457</v>
      </c>
      <c r="ID10" s="122">
        <f t="shared" si="25"/>
        <v>5149508.5714090457</v>
      </c>
      <c r="IE10" s="122">
        <f t="shared" si="25"/>
        <v>5149508.5714090457</v>
      </c>
      <c r="IF10" s="122">
        <f t="shared" si="25"/>
        <v>5149508.5714090457</v>
      </c>
      <c r="IG10" s="122">
        <f t="shared" si="25"/>
        <v>5149508.5714090457</v>
      </c>
      <c r="IH10" s="122">
        <f t="shared" si="25"/>
        <v>5149508.5714090457</v>
      </c>
      <c r="II10" s="122">
        <f t="shared" si="25"/>
        <v>5149508.5714090457</v>
      </c>
      <c r="IJ10" s="122">
        <f t="shared" si="25"/>
        <v>5149508.5714090457</v>
      </c>
      <c r="IK10" s="122">
        <f t="shared" si="25"/>
        <v>5149508.5714090457</v>
      </c>
      <c r="IL10" s="122">
        <f t="shared" si="25"/>
        <v>5149508.5714090457</v>
      </c>
      <c r="IM10" s="122">
        <f t="shared" si="25"/>
        <v>5149508.5714090457</v>
      </c>
      <c r="IN10" s="122">
        <f t="shared" si="25"/>
        <v>5149508.5714090457</v>
      </c>
      <c r="IO10" s="122">
        <f t="shared" si="25"/>
        <v>5149508.5714090457</v>
      </c>
      <c r="IP10" s="122">
        <f t="shared" si="25"/>
        <v>5149508.5714090457</v>
      </c>
      <c r="IQ10" s="122">
        <f t="shared" si="25"/>
        <v>5149508.5714090457</v>
      </c>
      <c r="IR10" s="122">
        <f t="shared" si="25"/>
        <v>5149508.5714090457</v>
      </c>
      <c r="IS10" s="122">
        <f t="shared" si="25"/>
        <v>5149508.5714090457</v>
      </c>
      <c r="IT10" s="122">
        <f t="shared" si="25"/>
        <v>5149508.5714090457</v>
      </c>
      <c r="IU10" s="122">
        <f t="shared" si="25"/>
        <v>5149508.5714090457</v>
      </c>
      <c r="IV10" s="122">
        <f t="shared" si="25"/>
        <v>5149508.5714090457</v>
      </c>
      <c r="IW10" s="122">
        <f t="shared" si="25"/>
        <v>5149508.5714090457</v>
      </c>
      <c r="IX10" s="122">
        <f t="shared" si="25"/>
        <v>5149508.5714090457</v>
      </c>
      <c r="IY10" s="122">
        <f t="shared" si="25"/>
        <v>5149508.5714090457</v>
      </c>
      <c r="IZ10" s="122">
        <f t="shared" si="25"/>
        <v>5149508.5714090457</v>
      </c>
      <c r="JA10" s="122">
        <f t="shared" si="25"/>
        <v>5149508.5714090457</v>
      </c>
      <c r="JB10" s="122">
        <f t="shared" si="25"/>
        <v>5149508.5714090457</v>
      </c>
      <c r="JC10" s="122">
        <f t="shared" si="25"/>
        <v>5149508.5714090457</v>
      </c>
      <c r="JD10" s="122">
        <f t="shared" si="25"/>
        <v>5149508.5714090457</v>
      </c>
      <c r="JE10" s="122">
        <f t="shared" ref="JE10:KF10" si="26">JD10+JE9</f>
        <v>5149508.5714090457</v>
      </c>
      <c r="JF10" s="122">
        <f t="shared" si="26"/>
        <v>5149508.5714090457</v>
      </c>
      <c r="JG10" s="122">
        <f t="shared" si="26"/>
        <v>5149508.5714090457</v>
      </c>
      <c r="JH10" s="122">
        <f t="shared" si="26"/>
        <v>5149508.5714090457</v>
      </c>
      <c r="JI10" s="122">
        <f t="shared" si="26"/>
        <v>5149508.5714090457</v>
      </c>
      <c r="JJ10" s="122">
        <f t="shared" si="26"/>
        <v>5149508.5714090457</v>
      </c>
      <c r="JK10" s="122">
        <f t="shared" si="26"/>
        <v>5149508.5714090457</v>
      </c>
      <c r="JL10" s="122">
        <f t="shared" si="26"/>
        <v>5149508.5714090457</v>
      </c>
      <c r="JM10" s="122">
        <f t="shared" si="26"/>
        <v>5149508.5714090457</v>
      </c>
      <c r="JN10" s="122">
        <f t="shared" si="26"/>
        <v>5149508.5714090457</v>
      </c>
      <c r="JO10" s="122">
        <f t="shared" si="26"/>
        <v>5149508.5714090457</v>
      </c>
      <c r="JP10" s="122">
        <f t="shared" si="26"/>
        <v>5149508.5714090457</v>
      </c>
      <c r="JQ10" s="122">
        <f t="shared" si="26"/>
        <v>5149508.5714090457</v>
      </c>
      <c r="JR10" s="122">
        <f t="shared" si="26"/>
        <v>5149508.5714090457</v>
      </c>
      <c r="JS10" s="122">
        <f t="shared" si="26"/>
        <v>5149508.5714090457</v>
      </c>
      <c r="JT10" s="122">
        <f t="shared" si="26"/>
        <v>5149508.5714090457</v>
      </c>
      <c r="JU10" s="122">
        <f t="shared" si="26"/>
        <v>5149508.5714090457</v>
      </c>
      <c r="JV10" s="122">
        <f t="shared" si="26"/>
        <v>5149508.5714090457</v>
      </c>
      <c r="JW10" s="122">
        <f t="shared" si="26"/>
        <v>5149508.5714090457</v>
      </c>
      <c r="JX10" s="122">
        <f t="shared" si="26"/>
        <v>5149508.5714090457</v>
      </c>
      <c r="JY10" s="122">
        <f t="shared" si="26"/>
        <v>5149508.5714090457</v>
      </c>
      <c r="JZ10" s="122">
        <f t="shared" si="26"/>
        <v>5149508.5714090457</v>
      </c>
      <c r="KA10" s="122">
        <f t="shared" si="26"/>
        <v>5149508.5714090457</v>
      </c>
      <c r="KB10" s="122">
        <f t="shared" si="26"/>
        <v>5149508.5714090457</v>
      </c>
      <c r="KC10" s="122">
        <f t="shared" si="26"/>
        <v>5149508.5714090457</v>
      </c>
      <c r="KD10" s="122">
        <f t="shared" si="26"/>
        <v>5149508.5714090457</v>
      </c>
      <c r="KE10" s="122">
        <f t="shared" si="26"/>
        <v>5149508.5714090457</v>
      </c>
      <c r="KF10" s="122">
        <f t="shared" si="26"/>
        <v>5149508.5714090457</v>
      </c>
    </row>
    <row r="11" spans="1:770" s="114" customFormat="1">
      <c r="A11" s="725"/>
      <c r="B11" s="123" t="s">
        <v>427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202495.08571409044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1693625.8801062803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428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7">H12+I11</f>
        <v>0</v>
      </c>
      <c r="J12" s="125">
        <f t="shared" si="27"/>
        <v>0</v>
      </c>
      <c r="K12" s="125">
        <f t="shared" si="27"/>
        <v>0</v>
      </c>
      <c r="L12" s="125">
        <f t="shared" si="27"/>
        <v>48000</v>
      </c>
      <c r="M12" s="125">
        <f t="shared" si="27"/>
        <v>49400</v>
      </c>
      <c r="N12" s="125">
        <f t="shared" si="27"/>
        <v>49400</v>
      </c>
      <c r="O12" s="125">
        <f t="shared" si="27"/>
        <v>110400</v>
      </c>
      <c r="P12" s="125">
        <f t="shared" si="27"/>
        <v>268812.41263285035</v>
      </c>
      <c r="Q12" s="125">
        <f t="shared" si="27"/>
        <v>471307.49834694079</v>
      </c>
      <c r="R12" s="125">
        <f t="shared" si="27"/>
        <v>472707.49834694079</v>
      </c>
      <c r="S12" s="125">
        <f t="shared" si="27"/>
        <v>472707.49834694079</v>
      </c>
      <c r="T12" s="125">
        <f t="shared" si="27"/>
        <v>631119.9109797912</v>
      </c>
      <c r="U12" s="125">
        <f t="shared" si="27"/>
        <v>2324745.7910860716</v>
      </c>
      <c r="V12" s="125">
        <f t="shared" si="27"/>
        <v>2326145.7910860716</v>
      </c>
      <c r="W12" s="125">
        <f t="shared" si="27"/>
        <v>2326145.7910860716</v>
      </c>
      <c r="X12" s="125">
        <f t="shared" si="27"/>
        <v>3471558.2037189221</v>
      </c>
      <c r="Y12" s="125">
        <f t="shared" si="27"/>
        <v>3496135.7037189221</v>
      </c>
      <c r="Z12" s="125">
        <f t="shared" si="27"/>
        <v>3497535.7037189221</v>
      </c>
      <c r="AA12" s="125">
        <f t="shared" si="27"/>
        <v>3529218.1862454922</v>
      </c>
      <c r="AB12" s="125">
        <f t="shared" si="27"/>
        <v>3529218.1862454922</v>
      </c>
      <c r="AC12" s="125">
        <f t="shared" si="27"/>
        <v>3529218.1862454922</v>
      </c>
      <c r="AD12" s="125">
        <f>AC12+AD11</f>
        <v>3529218.1862454922</v>
      </c>
      <c r="AE12" s="125">
        <f t="shared" si="27"/>
        <v>3529218.1862454922</v>
      </c>
      <c r="AF12" s="125">
        <f t="shared" si="27"/>
        <v>3529218.1862454922</v>
      </c>
      <c r="AG12" s="125">
        <f t="shared" si="27"/>
        <v>3529218.1862454922</v>
      </c>
      <c r="AH12" s="125">
        <f t="shared" si="27"/>
        <v>3529218.1862454922</v>
      </c>
      <c r="AI12" s="125">
        <f t="shared" si="27"/>
        <v>3529218.1862454922</v>
      </c>
      <c r="AJ12" s="125">
        <f t="shared" si="27"/>
        <v>3529218.1862454922</v>
      </c>
      <c r="AK12" s="125">
        <f t="shared" si="27"/>
        <v>3529218.1862454922</v>
      </c>
      <c r="AL12" s="125">
        <f t="shared" si="27"/>
        <v>3529218.1862454922</v>
      </c>
      <c r="AM12" s="125">
        <f t="shared" si="27"/>
        <v>3529218.1862454922</v>
      </c>
      <c r="AN12" s="125">
        <f t="shared" si="27"/>
        <v>3529218.1862454922</v>
      </c>
      <c r="AO12" s="125">
        <f t="shared" si="27"/>
        <v>3529218.1862454922</v>
      </c>
      <c r="AP12" s="125">
        <f t="shared" si="27"/>
        <v>3529218.1862454922</v>
      </c>
      <c r="AQ12" s="125">
        <f t="shared" si="27"/>
        <v>3529218.1862454922</v>
      </c>
      <c r="AR12" s="125">
        <f t="shared" si="27"/>
        <v>3529218.1862454922</v>
      </c>
      <c r="AS12" s="125">
        <f t="shared" si="27"/>
        <v>3529218.1862454922</v>
      </c>
      <c r="AT12" s="125">
        <f t="shared" si="27"/>
        <v>3529218.1862454922</v>
      </c>
      <c r="AU12" s="125">
        <f t="shared" si="27"/>
        <v>3529218.1862454922</v>
      </c>
      <c r="AV12" s="125">
        <f t="shared" si="27"/>
        <v>3529218.1862454922</v>
      </c>
      <c r="AW12" s="125">
        <f t="shared" si="27"/>
        <v>3529218.1862454922</v>
      </c>
      <c r="AX12" s="125">
        <f t="shared" si="27"/>
        <v>3529218.1862454922</v>
      </c>
      <c r="AY12" s="125">
        <f t="shared" si="27"/>
        <v>3529218.1862454922</v>
      </c>
      <c r="AZ12" s="125">
        <f t="shared" si="27"/>
        <v>3529218.1862454922</v>
      </c>
      <c r="BA12" s="125">
        <f t="shared" si="27"/>
        <v>3529218.1862454922</v>
      </c>
      <c r="BB12" s="125">
        <f t="shared" si="27"/>
        <v>3529218.1862454922</v>
      </c>
      <c r="BC12" s="125">
        <f t="shared" si="27"/>
        <v>3529218.1862454922</v>
      </c>
      <c r="BD12" s="125">
        <f t="shared" si="27"/>
        <v>3529218.1862454922</v>
      </c>
      <c r="BE12" s="125">
        <f t="shared" si="27"/>
        <v>3529218.1862454922</v>
      </c>
      <c r="BF12" s="125">
        <f t="shared" si="27"/>
        <v>3529218.1862454922</v>
      </c>
      <c r="BG12" s="125">
        <f t="shared" si="27"/>
        <v>3529218.1862454922</v>
      </c>
      <c r="BH12" s="125">
        <f t="shared" si="27"/>
        <v>3529218.1862454922</v>
      </c>
      <c r="BI12" s="125">
        <f t="shared" si="27"/>
        <v>3529218.1862454922</v>
      </c>
      <c r="BJ12" s="125">
        <f t="shared" si="27"/>
        <v>3529218.1862454922</v>
      </c>
      <c r="BK12" s="125">
        <f t="shared" si="27"/>
        <v>3529218.1862454922</v>
      </c>
      <c r="BL12" s="125">
        <f t="shared" si="27"/>
        <v>3529218.1862454922</v>
      </c>
      <c r="BM12" s="125">
        <f t="shared" si="27"/>
        <v>3529218.1862454922</v>
      </c>
      <c r="BN12" s="125">
        <f t="shared" si="27"/>
        <v>3529218.1862454922</v>
      </c>
      <c r="BO12" s="125">
        <f t="shared" si="27"/>
        <v>3529218.1862454922</v>
      </c>
      <c r="BP12" s="125">
        <f t="shared" si="27"/>
        <v>3529218.1862454922</v>
      </c>
      <c r="BQ12" s="125">
        <f t="shared" si="27"/>
        <v>3529218.1862454922</v>
      </c>
      <c r="BR12" s="125">
        <f t="shared" si="27"/>
        <v>3529218.1862454922</v>
      </c>
      <c r="BS12" s="125">
        <f t="shared" si="27"/>
        <v>3529218.1862454922</v>
      </c>
      <c r="BT12" s="125">
        <f t="shared" si="27"/>
        <v>3529218.1862454922</v>
      </c>
      <c r="BU12" s="125">
        <f t="shared" ref="BU12:EF12" si="28">BT12+BU11</f>
        <v>3529218.1862454922</v>
      </c>
      <c r="BV12" s="125">
        <f t="shared" si="28"/>
        <v>3529218.1862454922</v>
      </c>
      <c r="BW12" s="125">
        <f t="shared" si="28"/>
        <v>3529218.1862454922</v>
      </c>
      <c r="BX12" s="125">
        <f t="shared" si="28"/>
        <v>3529218.1862454922</v>
      </c>
      <c r="BY12" s="125">
        <f t="shared" si="28"/>
        <v>3529218.1862454922</v>
      </c>
      <c r="BZ12" s="125">
        <f t="shared" si="28"/>
        <v>3529218.1862454922</v>
      </c>
      <c r="CA12" s="125">
        <f t="shared" si="28"/>
        <v>3529218.1862454922</v>
      </c>
      <c r="CB12" s="125">
        <f t="shared" si="28"/>
        <v>3529218.1862454922</v>
      </c>
      <c r="CC12" s="125">
        <f t="shared" si="28"/>
        <v>3529218.1862454922</v>
      </c>
      <c r="CD12" s="125">
        <f t="shared" si="28"/>
        <v>3529218.1862454922</v>
      </c>
      <c r="CE12" s="125">
        <f t="shared" si="28"/>
        <v>3529218.1862454922</v>
      </c>
      <c r="CF12" s="125">
        <f t="shared" si="28"/>
        <v>3529218.1862454922</v>
      </c>
      <c r="CG12" s="125">
        <f t="shared" si="28"/>
        <v>3529218.1862454922</v>
      </c>
      <c r="CH12" s="125">
        <f t="shared" si="28"/>
        <v>3529218.1862454922</v>
      </c>
      <c r="CI12" s="125">
        <f t="shared" si="28"/>
        <v>3529218.1862454922</v>
      </c>
      <c r="CJ12" s="125">
        <f t="shared" si="28"/>
        <v>3529218.1862454922</v>
      </c>
      <c r="CK12" s="125">
        <f t="shared" si="28"/>
        <v>3529218.1862454922</v>
      </c>
      <c r="CL12" s="125">
        <f t="shared" si="28"/>
        <v>3529218.1862454922</v>
      </c>
      <c r="CM12" s="125">
        <f t="shared" si="28"/>
        <v>3529218.1862454922</v>
      </c>
      <c r="CN12" s="125">
        <f t="shared" si="28"/>
        <v>3529218.1862454922</v>
      </c>
      <c r="CO12" s="125">
        <f t="shared" si="28"/>
        <v>3529218.1862454922</v>
      </c>
      <c r="CP12" s="125">
        <f t="shared" si="28"/>
        <v>3529218.1862454922</v>
      </c>
      <c r="CQ12" s="125">
        <f t="shared" si="28"/>
        <v>3529218.1862454922</v>
      </c>
      <c r="CR12" s="125">
        <f t="shared" si="28"/>
        <v>3529218.1862454922</v>
      </c>
      <c r="CS12" s="125">
        <f t="shared" si="28"/>
        <v>3529218.1862454922</v>
      </c>
      <c r="CT12" s="125">
        <f t="shared" si="28"/>
        <v>3529218.1862454922</v>
      </c>
      <c r="CU12" s="125">
        <f t="shared" si="28"/>
        <v>3529218.1862454922</v>
      </c>
      <c r="CV12" s="125">
        <f t="shared" si="28"/>
        <v>3529218.1862454922</v>
      </c>
      <c r="CW12" s="125">
        <f t="shared" si="28"/>
        <v>3529218.1862454922</v>
      </c>
      <c r="CX12" s="125">
        <f t="shared" si="28"/>
        <v>3529218.1862454922</v>
      </c>
      <c r="CY12" s="125">
        <f t="shared" si="28"/>
        <v>3529218.1862454922</v>
      </c>
      <c r="CZ12" s="125">
        <f t="shared" si="28"/>
        <v>3529218.1862454922</v>
      </c>
      <c r="DA12" s="125">
        <f t="shared" si="28"/>
        <v>3529218.1862454922</v>
      </c>
      <c r="DB12" s="125">
        <f t="shared" si="28"/>
        <v>3529218.1862454922</v>
      </c>
      <c r="DC12" s="125">
        <f t="shared" si="28"/>
        <v>3529218.1862454922</v>
      </c>
      <c r="DD12" s="125">
        <f t="shared" si="28"/>
        <v>3529218.1862454922</v>
      </c>
      <c r="DE12" s="125">
        <f t="shared" si="28"/>
        <v>3529218.1862454922</v>
      </c>
      <c r="DF12" s="125">
        <f t="shared" si="28"/>
        <v>3529218.1862454922</v>
      </c>
      <c r="DG12" s="125">
        <f t="shared" si="28"/>
        <v>3529218.1862454922</v>
      </c>
      <c r="DH12" s="125">
        <f t="shared" si="28"/>
        <v>3529218.1862454922</v>
      </c>
      <c r="DI12" s="125">
        <f t="shared" si="28"/>
        <v>3529218.1862454922</v>
      </c>
      <c r="DJ12" s="125">
        <f t="shared" si="28"/>
        <v>3529218.1862454922</v>
      </c>
      <c r="DK12" s="125">
        <f t="shared" si="28"/>
        <v>3529218.1862454922</v>
      </c>
      <c r="DL12" s="125">
        <f t="shared" si="28"/>
        <v>3529218.1862454922</v>
      </c>
      <c r="DM12" s="125">
        <f t="shared" si="28"/>
        <v>3529218.1862454922</v>
      </c>
      <c r="DN12" s="125">
        <f t="shared" si="28"/>
        <v>3529218.1862454922</v>
      </c>
      <c r="DO12" s="125">
        <f t="shared" si="28"/>
        <v>3529218.1862454922</v>
      </c>
      <c r="DP12" s="125">
        <f t="shared" si="28"/>
        <v>3529218.1862454922</v>
      </c>
      <c r="DQ12" s="125">
        <f t="shared" si="28"/>
        <v>3529218.1862454922</v>
      </c>
      <c r="DR12" s="125">
        <f t="shared" si="28"/>
        <v>3529218.1862454922</v>
      </c>
      <c r="DS12" s="125">
        <f t="shared" si="28"/>
        <v>3529218.1862454922</v>
      </c>
      <c r="DT12" s="125">
        <f t="shared" si="28"/>
        <v>3529218.1862454922</v>
      </c>
      <c r="DU12" s="125">
        <f t="shared" si="28"/>
        <v>3529218.1862454922</v>
      </c>
      <c r="DV12" s="125">
        <f t="shared" si="28"/>
        <v>3529218.1862454922</v>
      </c>
      <c r="DW12" s="125">
        <f t="shared" si="28"/>
        <v>3529218.1862454922</v>
      </c>
      <c r="DX12" s="125">
        <f t="shared" si="28"/>
        <v>3529218.1862454922</v>
      </c>
      <c r="DY12" s="125">
        <f t="shared" si="28"/>
        <v>3529218.1862454922</v>
      </c>
      <c r="DZ12" s="125">
        <f t="shared" si="28"/>
        <v>3529218.1862454922</v>
      </c>
      <c r="EA12" s="125">
        <f t="shared" si="28"/>
        <v>3529218.1862454922</v>
      </c>
      <c r="EB12" s="125">
        <f t="shared" si="28"/>
        <v>3529218.1862454922</v>
      </c>
      <c r="EC12" s="125">
        <f t="shared" si="28"/>
        <v>3529218.1862454922</v>
      </c>
      <c r="ED12" s="125">
        <f t="shared" si="28"/>
        <v>3529218.1862454922</v>
      </c>
      <c r="EE12" s="125">
        <f t="shared" si="28"/>
        <v>3529218.1862454922</v>
      </c>
      <c r="EF12" s="125">
        <f t="shared" si="28"/>
        <v>3529218.1862454922</v>
      </c>
      <c r="EG12" s="125">
        <f t="shared" ref="EG12:GR12" si="29">EF12+EG11</f>
        <v>3529218.1862454922</v>
      </c>
      <c r="EH12" s="125">
        <f t="shared" si="29"/>
        <v>3529218.1862454922</v>
      </c>
      <c r="EI12" s="125">
        <f t="shared" si="29"/>
        <v>3529218.1862454922</v>
      </c>
      <c r="EJ12" s="125">
        <f t="shared" si="29"/>
        <v>3529218.1862454922</v>
      </c>
      <c r="EK12" s="125">
        <f t="shared" si="29"/>
        <v>3529218.1862454922</v>
      </c>
      <c r="EL12" s="125">
        <f t="shared" si="29"/>
        <v>3529218.1862454922</v>
      </c>
      <c r="EM12" s="125">
        <f t="shared" si="29"/>
        <v>3529218.1862454922</v>
      </c>
      <c r="EN12" s="125">
        <f t="shared" si="29"/>
        <v>3529218.1862454922</v>
      </c>
      <c r="EO12" s="125">
        <f t="shared" si="29"/>
        <v>3529218.1862454922</v>
      </c>
      <c r="EP12" s="125">
        <f t="shared" si="29"/>
        <v>3529218.1862454922</v>
      </c>
      <c r="EQ12" s="125">
        <f t="shared" si="29"/>
        <v>3529218.1862454922</v>
      </c>
      <c r="ER12" s="125">
        <f t="shared" si="29"/>
        <v>3529218.1862454922</v>
      </c>
      <c r="ES12" s="125">
        <f t="shared" si="29"/>
        <v>3529218.1862454922</v>
      </c>
      <c r="ET12" s="125">
        <f t="shared" si="29"/>
        <v>3529218.1862454922</v>
      </c>
      <c r="EU12" s="125">
        <f t="shared" si="29"/>
        <v>3529218.1862454922</v>
      </c>
      <c r="EV12" s="125">
        <f t="shared" si="29"/>
        <v>3529218.1862454922</v>
      </c>
      <c r="EW12" s="125">
        <f t="shared" si="29"/>
        <v>3529218.1862454922</v>
      </c>
      <c r="EX12" s="125">
        <f t="shared" si="29"/>
        <v>3529218.1862454922</v>
      </c>
      <c r="EY12" s="125">
        <f t="shared" si="29"/>
        <v>3529218.1862454922</v>
      </c>
      <c r="EZ12" s="125">
        <f t="shared" si="29"/>
        <v>3529218.1862454922</v>
      </c>
      <c r="FA12" s="125">
        <f t="shared" si="29"/>
        <v>3529218.1862454922</v>
      </c>
      <c r="FB12" s="125">
        <f t="shared" si="29"/>
        <v>3529218.1862454922</v>
      </c>
      <c r="FC12" s="125">
        <f t="shared" si="29"/>
        <v>3529218.1862454922</v>
      </c>
      <c r="FD12" s="125">
        <f t="shared" si="29"/>
        <v>3529218.1862454922</v>
      </c>
      <c r="FE12" s="125">
        <f t="shared" si="29"/>
        <v>3529218.1862454922</v>
      </c>
      <c r="FF12" s="125">
        <f t="shared" si="29"/>
        <v>3529218.1862454922</v>
      </c>
      <c r="FG12" s="125">
        <f t="shared" si="29"/>
        <v>3529218.1862454922</v>
      </c>
      <c r="FH12" s="125">
        <f t="shared" si="29"/>
        <v>3529218.1862454922</v>
      </c>
      <c r="FI12" s="125">
        <f t="shared" si="29"/>
        <v>3529218.1862454922</v>
      </c>
      <c r="FJ12" s="125">
        <f t="shared" si="29"/>
        <v>3529218.1862454922</v>
      </c>
      <c r="FK12" s="125">
        <f t="shared" si="29"/>
        <v>3529218.1862454922</v>
      </c>
      <c r="FL12" s="125">
        <f t="shared" si="29"/>
        <v>3529218.1862454922</v>
      </c>
      <c r="FM12" s="125">
        <f t="shared" si="29"/>
        <v>3529218.1862454922</v>
      </c>
      <c r="FN12" s="125">
        <f t="shared" si="29"/>
        <v>3529218.1862454922</v>
      </c>
      <c r="FO12" s="125">
        <f t="shared" si="29"/>
        <v>3529218.1862454922</v>
      </c>
      <c r="FP12" s="125">
        <f t="shared" si="29"/>
        <v>3529218.1862454922</v>
      </c>
      <c r="FQ12" s="125">
        <f t="shared" si="29"/>
        <v>3529218.1862454922</v>
      </c>
      <c r="FR12" s="125">
        <f t="shared" si="29"/>
        <v>3529218.1862454922</v>
      </c>
      <c r="FS12" s="125">
        <f t="shared" si="29"/>
        <v>3529218.1862454922</v>
      </c>
      <c r="FT12" s="125">
        <f t="shared" si="29"/>
        <v>3529218.1862454922</v>
      </c>
      <c r="FU12" s="125">
        <f t="shared" si="29"/>
        <v>3529218.1862454922</v>
      </c>
      <c r="FV12" s="125">
        <f t="shared" si="29"/>
        <v>3529218.1862454922</v>
      </c>
      <c r="FW12" s="125">
        <f t="shared" si="29"/>
        <v>3529218.1862454922</v>
      </c>
      <c r="FX12" s="125">
        <f t="shared" si="29"/>
        <v>3529218.1862454922</v>
      </c>
      <c r="FY12" s="125">
        <f t="shared" si="29"/>
        <v>3529218.1862454922</v>
      </c>
      <c r="FZ12" s="125">
        <f t="shared" si="29"/>
        <v>3529218.1862454922</v>
      </c>
      <c r="GA12" s="125">
        <f t="shared" si="29"/>
        <v>3529218.1862454922</v>
      </c>
      <c r="GB12" s="125">
        <f t="shared" si="29"/>
        <v>3529218.1862454922</v>
      </c>
      <c r="GC12" s="125">
        <f t="shared" si="29"/>
        <v>3529218.1862454922</v>
      </c>
      <c r="GD12" s="125">
        <f t="shared" si="29"/>
        <v>3529218.1862454922</v>
      </c>
      <c r="GE12" s="125">
        <f t="shared" si="29"/>
        <v>3529218.1862454922</v>
      </c>
      <c r="GF12" s="125">
        <f t="shared" si="29"/>
        <v>3529218.1862454922</v>
      </c>
      <c r="GG12" s="125">
        <f t="shared" si="29"/>
        <v>3529218.1862454922</v>
      </c>
      <c r="GH12" s="125">
        <f t="shared" si="29"/>
        <v>3529218.1862454922</v>
      </c>
      <c r="GI12" s="125">
        <f t="shared" si="29"/>
        <v>3529218.1862454922</v>
      </c>
      <c r="GJ12" s="125">
        <f t="shared" si="29"/>
        <v>3529218.1862454922</v>
      </c>
      <c r="GK12" s="125">
        <f t="shared" si="29"/>
        <v>3529218.1862454922</v>
      </c>
      <c r="GL12" s="125">
        <f t="shared" si="29"/>
        <v>3529218.1862454922</v>
      </c>
      <c r="GM12" s="125">
        <f t="shared" si="29"/>
        <v>3529218.1862454922</v>
      </c>
      <c r="GN12" s="125">
        <f t="shared" si="29"/>
        <v>3529218.1862454922</v>
      </c>
      <c r="GO12" s="125">
        <f t="shared" si="29"/>
        <v>3529218.1862454922</v>
      </c>
      <c r="GP12" s="125">
        <f t="shared" si="29"/>
        <v>3529218.1862454922</v>
      </c>
      <c r="GQ12" s="125">
        <f t="shared" si="29"/>
        <v>3529218.1862454922</v>
      </c>
      <c r="GR12" s="125">
        <f t="shared" si="29"/>
        <v>3529218.1862454922</v>
      </c>
      <c r="GS12" s="125">
        <f t="shared" ref="GS12:JD12" si="30">GR12+GS11</f>
        <v>3529218.1862454922</v>
      </c>
      <c r="GT12" s="125">
        <f t="shared" si="30"/>
        <v>3529218.1862454922</v>
      </c>
      <c r="GU12" s="125">
        <f t="shared" si="30"/>
        <v>3529218.1862454922</v>
      </c>
      <c r="GV12" s="125">
        <f t="shared" si="30"/>
        <v>3529218.1862454922</v>
      </c>
      <c r="GW12" s="125">
        <f t="shared" si="30"/>
        <v>3529218.1862454922</v>
      </c>
      <c r="GX12" s="125">
        <f t="shared" si="30"/>
        <v>3529218.1862454922</v>
      </c>
      <c r="GY12" s="125">
        <f t="shared" si="30"/>
        <v>3529218.1862454922</v>
      </c>
      <c r="GZ12" s="125">
        <f t="shared" si="30"/>
        <v>3529218.1862454922</v>
      </c>
      <c r="HA12" s="125">
        <f t="shared" si="30"/>
        <v>3529218.1862454922</v>
      </c>
      <c r="HB12" s="125">
        <f t="shared" si="30"/>
        <v>3529218.1862454922</v>
      </c>
      <c r="HC12" s="125">
        <f t="shared" si="30"/>
        <v>3529218.1862454922</v>
      </c>
      <c r="HD12" s="125">
        <f t="shared" si="30"/>
        <v>3529218.1862454922</v>
      </c>
      <c r="HE12" s="125">
        <f t="shared" si="30"/>
        <v>3529218.1862454922</v>
      </c>
      <c r="HF12" s="125">
        <f t="shared" si="30"/>
        <v>3529218.1862454922</v>
      </c>
      <c r="HG12" s="125">
        <f t="shared" si="30"/>
        <v>3529218.1862454922</v>
      </c>
      <c r="HH12" s="125">
        <f t="shared" si="30"/>
        <v>3529218.1862454922</v>
      </c>
      <c r="HI12" s="125">
        <f t="shared" si="30"/>
        <v>3529218.1862454922</v>
      </c>
      <c r="HJ12" s="125">
        <f t="shared" si="30"/>
        <v>3529218.1862454922</v>
      </c>
      <c r="HK12" s="125">
        <f t="shared" si="30"/>
        <v>3529218.1862454922</v>
      </c>
      <c r="HL12" s="125">
        <f t="shared" si="30"/>
        <v>3529218.1862454922</v>
      </c>
      <c r="HM12" s="125">
        <f t="shared" si="30"/>
        <v>3529218.1862454922</v>
      </c>
      <c r="HN12" s="125">
        <f t="shared" si="30"/>
        <v>3529218.1862454922</v>
      </c>
      <c r="HO12" s="125">
        <f t="shared" si="30"/>
        <v>3529218.1862454922</v>
      </c>
      <c r="HP12" s="125">
        <f t="shared" si="30"/>
        <v>3529218.1862454922</v>
      </c>
      <c r="HQ12" s="125">
        <f t="shared" si="30"/>
        <v>3529218.1862454922</v>
      </c>
      <c r="HR12" s="125">
        <f t="shared" si="30"/>
        <v>3529218.1862454922</v>
      </c>
      <c r="HS12" s="125">
        <f t="shared" si="30"/>
        <v>3529218.1862454922</v>
      </c>
      <c r="HT12" s="125">
        <f t="shared" si="30"/>
        <v>3529218.1862454922</v>
      </c>
      <c r="HU12" s="125">
        <f t="shared" si="30"/>
        <v>3529218.1862454922</v>
      </c>
      <c r="HV12" s="125">
        <f t="shared" si="30"/>
        <v>3529218.1862454922</v>
      </c>
      <c r="HW12" s="125">
        <f t="shared" si="30"/>
        <v>3529218.1862454922</v>
      </c>
      <c r="HX12" s="125">
        <f t="shared" si="30"/>
        <v>3529218.1862454922</v>
      </c>
      <c r="HY12" s="125">
        <f t="shared" si="30"/>
        <v>3529218.1862454922</v>
      </c>
      <c r="HZ12" s="125">
        <f t="shared" si="30"/>
        <v>3529218.1862454922</v>
      </c>
      <c r="IA12" s="125">
        <f t="shared" si="30"/>
        <v>3529218.1862454922</v>
      </c>
      <c r="IB12" s="125">
        <f t="shared" si="30"/>
        <v>3529218.1862454922</v>
      </c>
      <c r="IC12" s="125">
        <f t="shared" si="30"/>
        <v>3529218.1862454922</v>
      </c>
      <c r="ID12" s="125">
        <f t="shared" si="30"/>
        <v>3529218.1862454922</v>
      </c>
      <c r="IE12" s="125">
        <f t="shared" si="30"/>
        <v>3529218.1862454922</v>
      </c>
      <c r="IF12" s="125">
        <f t="shared" si="30"/>
        <v>3529218.1862454922</v>
      </c>
      <c r="IG12" s="125">
        <f t="shared" si="30"/>
        <v>3529218.1862454922</v>
      </c>
      <c r="IH12" s="125">
        <f t="shared" si="30"/>
        <v>3529218.1862454922</v>
      </c>
      <c r="II12" s="125">
        <f t="shared" si="30"/>
        <v>3529218.1862454922</v>
      </c>
      <c r="IJ12" s="125">
        <f t="shared" si="30"/>
        <v>3529218.1862454922</v>
      </c>
      <c r="IK12" s="125">
        <f t="shared" si="30"/>
        <v>3529218.1862454922</v>
      </c>
      <c r="IL12" s="125">
        <f t="shared" si="30"/>
        <v>3529218.1862454922</v>
      </c>
      <c r="IM12" s="125">
        <f t="shared" si="30"/>
        <v>3529218.1862454922</v>
      </c>
      <c r="IN12" s="125">
        <f t="shared" si="30"/>
        <v>3529218.1862454922</v>
      </c>
      <c r="IO12" s="125">
        <f t="shared" si="30"/>
        <v>3529218.1862454922</v>
      </c>
      <c r="IP12" s="125">
        <f t="shared" si="30"/>
        <v>3529218.1862454922</v>
      </c>
      <c r="IQ12" s="125">
        <f t="shared" si="30"/>
        <v>3529218.1862454922</v>
      </c>
      <c r="IR12" s="125">
        <f t="shared" si="30"/>
        <v>3529218.1862454922</v>
      </c>
      <c r="IS12" s="125">
        <f t="shared" si="30"/>
        <v>3529218.1862454922</v>
      </c>
      <c r="IT12" s="125">
        <f t="shared" si="30"/>
        <v>3529218.1862454922</v>
      </c>
      <c r="IU12" s="125">
        <f t="shared" si="30"/>
        <v>3529218.1862454922</v>
      </c>
      <c r="IV12" s="125">
        <f t="shared" si="30"/>
        <v>3529218.1862454922</v>
      </c>
      <c r="IW12" s="125">
        <f t="shared" si="30"/>
        <v>3529218.1862454922</v>
      </c>
      <c r="IX12" s="125">
        <f t="shared" si="30"/>
        <v>3529218.1862454922</v>
      </c>
      <c r="IY12" s="125">
        <f t="shared" si="30"/>
        <v>3529218.1862454922</v>
      </c>
      <c r="IZ12" s="125">
        <f t="shared" si="30"/>
        <v>3529218.1862454922</v>
      </c>
      <c r="JA12" s="125">
        <f t="shared" si="30"/>
        <v>3529218.1862454922</v>
      </c>
      <c r="JB12" s="125">
        <f t="shared" si="30"/>
        <v>3529218.1862454922</v>
      </c>
      <c r="JC12" s="125">
        <f t="shared" si="30"/>
        <v>3529218.1862454922</v>
      </c>
      <c r="JD12" s="125">
        <f t="shared" si="30"/>
        <v>3529218.1862454922</v>
      </c>
      <c r="JE12" s="125">
        <f t="shared" ref="JE12:KF12" si="31">JD12+JE11</f>
        <v>3529218.1862454922</v>
      </c>
      <c r="JF12" s="125">
        <f t="shared" si="31"/>
        <v>3529218.1862454922</v>
      </c>
      <c r="JG12" s="125">
        <f t="shared" si="31"/>
        <v>3529218.1862454922</v>
      </c>
      <c r="JH12" s="125">
        <f t="shared" si="31"/>
        <v>3529218.1862454922</v>
      </c>
      <c r="JI12" s="125">
        <f t="shared" si="31"/>
        <v>3529218.1862454922</v>
      </c>
      <c r="JJ12" s="125">
        <f t="shared" si="31"/>
        <v>3529218.1862454922</v>
      </c>
      <c r="JK12" s="125">
        <f t="shared" si="31"/>
        <v>3529218.1862454922</v>
      </c>
      <c r="JL12" s="125">
        <f t="shared" si="31"/>
        <v>3529218.1862454922</v>
      </c>
      <c r="JM12" s="125">
        <f t="shared" si="31"/>
        <v>3529218.1862454922</v>
      </c>
      <c r="JN12" s="125">
        <f t="shared" si="31"/>
        <v>3529218.1862454922</v>
      </c>
      <c r="JO12" s="125">
        <f t="shared" si="31"/>
        <v>3529218.1862454922</v>
      </c>
      <c r="JP12" s="125">
        <f t="shared" si="31"/>
        <v>3529218.1862454922</v>
      </c>
      <c r="JQ12" s="125">
        <f t="shared" si="31"/>
        <v>3529218.1862454922</v>
      </c>
      <c r="JR12" s="125">
        <f t="shared" si="31"/>
        <v>3529218.1862454922</v>
      </c>
      <c r="JS12" s="125">
        <f t="shared" si="31"/>
        <v>3529218.1862454922</v>
      </c>
      <c r="JT12" s="125">
        <f t="shared" si="31"/>
        <v>3529218.1862454922</v>
      </c>
      <c r="JU12" s="125">
        <f t="shared" si="31"/>
        <v>3529218.1862454922</v>
      </c>
      <c r="JV12" s="125">
        <f t="shared" si="31"/>
        <v>3529218.1862454922</v>
      </c>
      <c r="JW12" s="125">
        <f t="shared" si="31"/>
        <v>3529218.1862454922</v>
      </c>
      <c r="JX12" s="125">
        <f t="shared" si="31"/>
        <v>3529218.1862454922</v>
      </c>
      <c r="JY12" s="125">
        <f t="shared" si="31"/>
        <v>3529218.1862454922</v>
      </c>
      <c r="JZ12" s="125">
        <f t="shared" si="31"/>
        <v>3529218.1862454922</v>
      </c>
      <c r="KA12" s="125">
        <f t="shared" si="31"/>
        <v>3529218.1862454922</v>
      </c>
      <c r="KB12" s="125">
        <f t="shared" si="31"/>
        <v>3529218.1862454922</v>
      </c>
      <c r="KC12" s="125">
        <f t="shared" si="31"/>
        <v>3529218.1862454922</v>
      </c>
      <c r="KD12" s="125">
        <f t="shared" si="31"/>
        <v>3529218.1862454922</v>
      </c>
      <c r="KE12" s="125">
        <f t="shared" si="31"/>
        <v>3529218.1862454922</v>
      </c>
      <c r="KF12" s="125">
        <f t="shared" si="31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429</v>
      </c>
      <c r="C14" s="116"/>
      <c r="D14" s="116"/>
      <c r="E14" s="117"/>
      <c r="F14" s="118">
        <f t="shared" ref="F14:H14" si="32">F10-F12</f>
        <v>0</v>
      </c>
      <c r="G14" s="118">
        <f t="shared" si="32"/>
        <v>0</v>
      </c>
      <c r="H14" s="118">
        <f t="shared" si="32"/>
        <v>0</v>
      </c>
      <c r="I14" s="118">
        <f t="shared" ref="I14:BT14" si="33">I10-I12</f>
        <v>0</v>
      </c>
      <c r="J14" s="118">
        <f t="shared" si="33"/>
        <v>0</v>
      </c>
      <c r="K14" s="118">
        <f t="shared" si="33"/>
        <v>0</v>
      </c>
      <c r="L14" s="118">
        <f t="shared" si="33"/>
        <v>1599842.7428508946</v>
      </c>
      <c r="M14" s="118">
        <f t="shared" si="33"/>
        <v>1598442.7428508946</v>
      </c>
      <c r="N14" s="118">
        <f t="shared" si="33"/>
        <v>1598442.7428508946</v>
      </c>
      <c r="O14" s="118">
        <f t="shared" si="33"/>
        <v>1537442.7428508946</v>
      </c>
      <c r="P14" s="118">
        <f t="shared" si="33"/>
        <v>2202951.7016434916</v>
      </c>
      <c r="Q14" s="118">
        <f t="shared" si="33"/>
        <v>2618397.644498487</v>
      </c>
      <c r="R14" s="118">
        <f t="shared" si="33"/>
        <v>2616997.644498487</v>
      </c>
      <c r="S14" s="118">
        <f t="shared" si="33"/>
        <v>2616997.644498487</v>
      </c>
      <c r="T14" s="118">
        <f t="shared" si="33"/>
        <v>2458585.2318656365</v>
      </c>
      <c r="U14" s="118">
        <f t="shared" si="33"/>
        <v>2412802.0946102501</v>
      </c>
      <c r="V14" s="118">
        <f t="shared" si="33"/>
        <v>2514392.2660384313</v>
      </c>
      <c r="W14" s="118">
        <f t="shared" si="33"/>
        <v>2514392.2660384313</v>
      </c>
      <c r="X14" s="118">
        <f t="shared" si="33"/>
        <v>1368979.8534055809</v>
      </c>
      <c r="Y14" s="118">
        <f t="shared" si="33"/>
        <v>1653372.8676901236</v>
      </c>
      <c r="Z14" s="118">
        <f t="shared" si="33"/>
        <v>1651972.8676901236</v>
      </c>
      <c r="AA14" s="118">
        <f t="shared" si="33"/>
        <v>1620290.3851635535</v>
      </c>
      <c r="AB14" s="118">
        <f t="shared" si="33"/>
        <v>1620290.3851635535</v>
      </c>
      <c r="AC14" s="118">
        <f t="shared" si="33"/>
        <v>1620290.3851635535</v>
      </c>
      <c r="AD14" s="118">
        <f t="shared" si="33"/>
        <v>1620290.3851635535</v>
      </c>
      <c r="AE14" s="118">
        <f t="shared" si="33"/>
        <v>1620290.3851635535</v>
      </c>
      <c r="AF14" s="118">
        <f t="shared" si="33"/>
        <v>1620290.3851635535</v>
      </c>
      <c r="AG14" s="118">
        <f t="shared" si="33"/>
        <v>1620290.3851635535</v>
      </c>
      <c r="AH14" s="118">
        <f t="shared" si="33"/>
        <v>1620290.3851635535</v>
      </c>
      <c r="AI14" s="118">
        <f t="shared" si="33"/>
        <v>1620290.3851635535</v>
      </c>
      <c r="AJ14" s="118">
        <f t="shared" si="33"/>
        <v>1620290.3851635535</v>
      </c>
      <c r="AK14" s="118">
        <f t="shared" si="33"/>
        <v>1620290.3851635535</v>
      </c>
      <c r="AL14" s="118">
        <f t="shared" si="33"/>
        <v>1620290.3851635535</v>
      </c>
      <c r="AM14" s="118">
        <f t="shared" si="33"/>
        <v>1620290.3851635535</v>
      </c>
      <c r="AN14" s="118">
        <f t="shared" si="33"/>
        <v>1620290.3851635535</v>
      </c>
      <c r="AO14" s="118">
        <f t="shared" si="33"/>
        <v>1620290.3851635535</v>
      </c>
      <c r="AP14" s="118">
        <f t="shared" si="33"/>
        <v>1620290.3851635535</v>
      </c>
      <c r="AQ14" s="118">
        <f t="shared" si="33"/>
        <v>1620290.3851635535</v>
      </c>
      <c r="AR14" s="118">
        <f t="shared" si="33"/>
        <v>1620290.3851635535</v>
      </c>
      <c r="AS14" s="118">
        <f t="shared" si="33"/>
        <v>1620290.3851635535</v>
      </c>
      <c r="AT14" s="118">
        <f t="shared" si="33"/>
        <v>1620290.3851635535</v>
      </c>
      <c r="AU14" s="118">
        <f t="shared" si="33"/>
        <v>1620290.3851635535</v>
      </c>
      <c r="AV14" s="118">
        <f t="shared" si="33"/>
        <v>1620290.3851635535</v>
      </c>
      <c r="AW14" s="118">
        <f t="shared" si="33"/>
        <v>1620290.3851635535</v>
      </c>
      <c r="AX14" s="118">
        <f t="shared" si="33"/>
        <v>1620290.3851635535</v>
      </c>
      <c r="AY14" s="118">
        <f t="shared" si="33"/>
        <v>1620290.3851635535</v>
      </c>
      <c r="AZ14" s="118">
        <f t="shared" si="33"/>
        <v>1620290.3851635535</v>
      </c>
      <c r="BA14" s="118">
        <f t="shared" si="33"/>
        <v>1620290.3851635535</v>
      </c>
      <c r="BB14" s="118">
        <f t="shared" si="33"/>
        <v>1620290.3851635535</v>
      </c>
      <c r="BC14" s="118">
        <f t="shared" si="33"/>
        <v>1620290.3851635535</v>
      </c>
      <c r="BD14" s="118">
        <f t="shared" si="33"/>
        <v>1620290.3851635535</v>
      </c>
      <c r="BE14" s="118">
        <f t="shared" si="33"/>
        <v>1620290.3851635535</v>
      </c>
      <c r="BF14" s="118">
        <f t="shared" si="33"/>
        <v>1620290.3851635535</v>
      </c>
      <c r="BG14" s="118">
        <f t="shared" si="33"/>
        <v>1620290.3851635535</v>
      </c>
      <c r="BH14" s="118">
        <f t="shared" si="33"/>
        <v>1620290.3851635535</v>
      </c>
      <c r="BI14" s="118">
        <f t="shared" si="33"/>
        <v>1620290.3851635535</v>
      </c>
      <c r="BJ14" s="118">
        <f t="shared" si="33"/>
        <v>1620290.3851635535</v>
      </c>
      <c r="BK14" s="118">
        <f t="shared" si="33"/>
        <v>1620290.3851635535</v>
      </c>
      <c r="BL14" s="118">
        <f t="shared" si="33"/>
        <v>1620290.3851635535</v>
      </c>
      <c r="BM14" s="118">
        <f t="shared" si="33"/>
        <v>1620290.3851635535</v>
      </c>
      <c r="BN14" s="118">
        <f t="shared" si="33"/>
        <v>1620290.3851635535</v>
      </c>
      <c r="BO14" s="118">
        <f t="shared" si="33"/>
        <v>1620290.3851635535</v>
      </c>
      <c r="BP14" s="118">
        <f t="shared" si="33"/>
        <v>1620290.3851635535</v>
      </c>
      <c r="BQ14" s="118">
        <f t="shared" si="33"/>
        <v>1620290.3851635535</v>
      </c>
      <c r="BR14" s="118">
        <f t="shared" si="33"/>
        <v>1620290.3851635535</v>
      </c>
      <c r="BS14" s="118">
        <f t="shared" si="33"/>
        <v>1620290.3851635535</v>
      </c>
      <c r="BT14" s="118">
        <f t="shared" si="33"/>
        <v>1620290.3851635535</v>
      </c>
      <c r="BU14" s="118">
        <f t="shared" ref="BU14:EF14" si="34">BU10-BU12</f>
        <v>1620290.3851635535</v>
      </c>
      <c r="BV14" s="118">
        <f t="shared" si="34"/>
        <v>1620290.3851635535</v>
      </c>
      <c r="BW14" s="118">
        <f t="shared" si="34"/>
        <v>1620290.3851635535</v>
      </c>
      <c r="BX14" s="118">
        <f t="shared" si="34"/>
        <v>1620290.3851635535</v>
      </c>
      <c r="BY14" s="118">
        <f t="shared" si="34"/>
        <v>1620290.3851635535</v>
      </c>
      <c r="BZ14" s="118">
        <f t="shared" si="34"/>
        <v>1620290.3851635535</v>
      </c>
      <c r="CA14" s="118">
        <f t="shared" si="34"/>
        <v>1620290.3851635535</v>
      </c>
      <c r="CB14" s="118">
        <f t="shared" si="34"/>
        <v>1620290.3851635535</v>
      </c>
      <c r="CC14" s="118">
        <f t="shared" si="34"/>
        <v>1620290.3851635535</v>
      </c>
      <c r="CD14" s="118">
        <f t="shared" si="34"/>
        <v>1620290.3851635535</v>
      </c>
      <c r="CE14" s="118">
        <f t="shared" si="34"/>
        <v>1620290.3851635535</v>
      </c>
      <c r="CF14" s="118">
        <f t="shared" si="34"/>
        <v>1620290.3851635535</v>
      </c>
      <c r="CG14" s="118">
        <f t="shared" si="34"/>
        <v>1620290.3851635535</v>
      </c>
      <c r="CH14" s="118">
        <f t="shared" si="34"/>
        <v>1620290.3851635535</v>
      </c>
      <c r="CI14" s="118">
        <f t="shared" si="34"/>
        <v>1620290.3851635535</v>
      </c>
      <c r="CJ14" s="118">
        <f t="shared" si="34"/>
        <v>1620290.3851635535</v>
      </c>
      <c r="CK14" s="118">
        <f t="shared" si="34"/>
        <v>1620290.3851635535</v>
      </c>
      <c r="CL14" s="118">
        <f t="shared" si="34"/>
        <v>1620290.3851635535</v>
      </c>
      <c r="CM14" s="118">
        <f t="shared" si="34"/>
        <v>1620290.3851635535</v>
      </c>
      <c r="CN14" s="118">
        <f t="shared" si="34"/>
        <v>1620290.3851635535</v>
      </c>
      <c r="CO14" s="118">
        <f t="shared" si="34"/>
        <v>1620290.3851635535</v>
      </c>
      <c r="CP14" s="118">
        <f t="shared" si="34"/>
        <v>1620290.3851635535</v>
      </c>
      <c r="CQ14" s="118">
        <f t="shared" si="34"/>
        <v>1620290.3851635535</v>
      </c>
      <c r="CR14" s="118">
        <f t="shared" si="34"/>
        <v>1620290.3851635535</v>
      </c>
      <c r="CS14" s="118">
        <f t="shared" si="34"/>
        <v>1620290.3851635535</v>
      </c>
      <c r="CT14" s="118">
        <f t="shared" si="34"/>
        <v>1620290.3851635535</v>
      </c>
      <c r="CU14" s="118">
        <f t="shared" si="34"/>
        <v>1620290.3851635535</v>
      </c>
      <c r="CV14" s="118">
        <f t="shared" si="34"/>
        <v>1620290.3851635535</v>
      </c>
      <c r="CW14" s="118">
        <f t="shared" si="34"/>
        <v>1620290.3851635535</v>
      </c>
      <c r="CX14" s="118">
        <f t="shared" si="34"/>
        <v>1620290.3851635535</v>
      </c>
      <c r="CY14" s="118">
        <f t="shared" si="34"/>
        <v>1620290.3851635535</v>
      </c>
      <c r="CZ14" s="118">
        <f t="shared" si="34"/>
        <v>1620290.3851635535</v>
      </c>
      <c r="DA14" s="118">
        <f t="shared" si="34"/>
        <v>1620290.3851635535</v>
      </c>
      <c r="DB14" s="118">
        <f t="shared" si="34"/>
        <v>1620290.3851635535</v>
      </c>
      <c r="DC14" s="118">
        <f t="shared" si="34"/>
        <v>1620290.3851635535</v>
      </c>
      <c r="DD14" s="118">
        <f t="shared" si="34"/>
        <v>1620290.3851635535</v>
      </c>
      <c r="DE14" s="118">
        <f t="shared" si="34"/>
        <v>1620290.3851635535</v>
      </c>
      <c r="DF14" s="118">
        <f t="shared" si="34"/>
        <v>1620290.3851635535</v>
      </c>
      <c r="DG14" s="118">
        <f t="shared" si="34"/>
        <v>1620290.3851635535</v>
      </c>
      <c r="DH14" s="118">
        <f t="shared" si="34"/>
        <v>1620290.3851635535</v>
      </c>
      <c r="DI14" s="118">
        <f t="shared" si="34"/>
        <v>1620290.3851635535</v>
      </c>
      <c r="DJ14" s="118">
        <f t="shared" si="34"/>
        <v>1620290.3851635535</v>
      </c>
      <c r="DK14" s="118">
        <f t="shared" si="34"/>
        <v>1620290.3851635535</v>
      </c>
      <c r="DL14" s="118">
        <f t="shared" si="34"/>
        <v>1620290.3851635535</v>
      </c>
      <c r="DM14" s="118">
        <f t="shared" si="34"/>
        <v>1620290.3851635535</v>
      </c>
      <c r="DN14" s="118">
        <f t="shared" si="34"/>
        <v>1620290.3851635535</v>
      </c>
      <c r="DO14" s="118">
        <f t="shared" si="34"/>
        <v>1620290.3851635535</v>
      </c>
      <c r="DP14" s="118">
        <f t="shared" si="34"/>
        <v>1620290.3851635535</v>
      </c>
      <c r="DQ14" s="118">
        <f t="shared" si="34"/>
        <v>1620290.3851635535</v>
      </c>
      <c r="DR14" s="118">
        <f t="shared" si="34"/>
        <v>1620290.3851635535</v>
      </c>
      <c r="DS14" s="118">
        <f t="shared" si="34"/>
        <v>1620290.3851635535</v>
      </c>
      <c r="DT14" s="118">
        <f t="shared" si="34"/>
        <v>1620290.3851635535</v>
      </c>
      <c r="DU14" s="118">
        <f t="shared" si="34"/>
        <v>1620290.3851635535</v>
      </c>
      <c r="DV14" s="118">
        <f t="shared" si="34"/>
        <v>1620290.3851635535</v>
      </c>
      <c r="DW14" s="118">
        <f t="shared" si="34"/>
        <v>1620290.3851635535</v>
      </c>
      <c r="DX14" s="118">
        <f t="shared" si="34"/>
        <v>1620290.3851635535</v>
      </c>
      <c r="DY14" s="118">
        <f t="shared" si="34"/>
        <v>1620290.3851635535</v>
      </c>
      <c r="DZ14" s="118">
        <f t="shared" si="34"/>
        <v>1620290.3851635535</v>
      </c>
      <c r="EA14" s="118">
        <f t="shared" si="34"/>
        <v>1620290.3851635535</v>
      </c>
      <c r="EB14" s="118">
        <f t="shared" si="34"/>
        <v>1620290.3851635535</v>
      </c>
      <c r="EC14" s="118">
        <f t="shared" si="34"/>
        <v>1620290.3851635535</v>
      </c>
      <c r="ED14" s="118">
        <f t="shared" si="34"/>
        <v>1620290.3851635535</v>
      </c>
      <c r="EE14" s="118">
        <f t="shared" si="34"/>
        <v>1620290.3851635535</v>
      </c>
      <c r="EF14" s="118">
        <f t="shared" si="34"/>
        <v>1620290.3851635535</v>
      </c>
      <c r="EG14" s="118">
        <f t="shared" ref="EG14:GR14" si="35">EG10-EG12</f>
        <v>1620290.3851635535</v>
      </c>
      <c r="EH14" s="118">
        <f t="shared" si="35"/>
        <v>1620290.3851635535</v>
      </c>
      <c r="EI14" s="118">
        <f t="shared" si="35"/>
        <v>1620290.3851635535</v>
      </c>
      <c r="EJ14" s="118">
        <f t="shared" si="35"/>
        <v>1620290.3851635535</v>
      </c>
      <c r="EK14" s="118">
        <f t="shared" si="35"/>
        <v>1620290.3851635535</v>
      </c>
      <c r="EL14" s="118">
        <f t="shared" si="35"/>
        <v>1620290.3851635535</v>
      </c>
      <c r="EM14" s="118">
        <f t="shared" si="35"/>
        <v>1620290.3851635535</v>
      </c>
      <c r="EN14" s="118">
        <f t="shared" si="35"/>
        <v>1620290.3851635535</v>
      </c>
      <c r="EO14" s="118">
        <f t="shared" si="35"/>
        <v>1620290.3851635535</v>
      </c>
      <c r="EP14" s="118">
        <f t="shared" si="35"/>
        <v>1620290.3851635535</v>
      </c>
      <c r="EQ14" s="118">
        <f t="shared" si="35"/>
        <v>1620290.3851635535</v>
      </c>
      <c r="ER14" s="118">
        <f t="shared" si="35"/>
        <v>1620290.3851635535</v>
      </c>
      <c r="ES14" s="118">
        <f t="shared" si="35"/>
        <v>1620290.3851635535</v>
      </c>
      <c r="ET14" s="118">
        <f t="shared" si="35"/>
        <v>1620290.3851635535</v>
      </c>
      <c r="EU14" s="118">
        <f t="shared" si="35"/>
        <v>1620290.3851635535</v>
      </c>
      <c r="EV14" s="118">
        <f t="shared" si="35"/>
        <v>1620290.3851635535</v>
      </c>
      <c r="EW14" s="118">
        <f t="shared" si="35"/>
        <v>1620290.3851635535</v>
      </c>
      <c r="EX14" s="118">
        <f t="shared" si="35"/>
        <v>1620290.3851635535</v>
      </c>
      <c r="EY14" s="118">
        <f t="shared" si="35"/>
        <v>1620290.3851635535</v>
      </c>
      <c r="EZ14" s="118">
        <f t="shared" si="35"/>
        <v>1620290.3851635535</v>
      </c>
      <c r="FA14" s="118">
        <f t="shared" si="35"/>
        <v>1620290.3851635535</v>
      </c>
      <c r="FB14" s="118">
        <f t="shared" si="35"/>
        <v>1620290.3851635535</v>
      </c>
      <c r="FC14" s="118">
        <f t="shared" si="35"/>
        <v>1620290.3851635535</v>
      </c>
      <c r="FD14" s="118">
        <f t="shared" si="35"/>
        <v>1620290.3851635535</v>
      </c>
      <c r="FE14" s="118">
        <f t="shared" si="35"/>
        <v>1620290.3851635535</v>
      </c>
      <c r="FF14" s="118">
        <f t="shared" si="35"/>
        <v>1620290.3851635535</v>
      </c>
      <c r="FG14" s="118">
        <f t="shared" si="35"/>
        <v>1620290.3851635535</v>
      </c>
      <c r="FH14" s="118">
        <f t="shared" si="35"/>
        <v>1620290.3851635535</v>
      </c>
      <c r="FI14" s="118">
        <f t="shared" si="35"/>
        <v>1620290.3851635535</v>
      </c>
      <c r="FJ14" s="118">
        <f t="shared" si="35"/>
        <v>1620290.3851635535</v>
      </c>
      <c r="FK14" s="118">
        <f t="shared" si="35"/>
        <v>1620290.3851635535</v>
      </c>
      <c r="FL14" s="118">
        <f t="shared" si="35"/>
        <v>1620290.3851635535</v>
      </c>
      <c r="FM14" s="118">
        <f t="shared" si="35"/>
        <v>1620290.3851635535</v>
      </c>
      <c r="FN14" s="118">
        <f t="shared" si="35"/>
        <v>1620290.3851635535</v>
      </c>
      <c r="FO14" s="118">
        <f t="shared" si="35"/>
        <v>1620290.3851635535</v>
      </c>
      <c r="FP14" s="118">
        <f t="shared" si="35"/>
        <v>1620290.3851635535</v>
      </c>
      <c r="FQ14" s="118">
        <f t="shared" si="35"/>
        <v>1620290.3851635535</v>
      </c>
      <c r="FR14" s="118">
        <f t="shared" si="35"/>
        <v>1620290.3851635535</v>
      </c>
      <c r="FS14" s="118">
        <f t="shared" si="35"/>
        <v>1620290.3851635535</v>
      </c>
      <c r="FT14" s="118">
        <f t="shared" si="35"/>
        <v>1620290.3851635535</v>
      </c>
      <c r="FU14" s="118">
        <f t="shared" si="35"/>
        <v>1620290.3851635535</v>
      </c>
      <c r="FV14" s="118">
        <f t="shared" si="35"/>
        <v>1620290.3851635535</v>
      </c>
      <c r="FW14" s="118">
        <f t="shared" si="35"/>
        <v>1620290.3851635535</v>
      </c>
      <c r="FX14" s="118">
        <f t="shared" si="35"/>
        <v>1620290.3851635535</v>
      </c>
      <c r="FY14" s="118">
        <f t="shared" si="35"/>
        <v>1620290.3851635535</v>
      </c>
      <c r="FZ14" s="118">
        <f t="shared" si="35"/>
        <v>1620290.3851635535</v>
      </c>
      <c r="GA14" s="118">
        <f t="shared" si="35"/>
        <v>1620290.3851635535</v>
      </c>
      <c r="GB14" s="118">
        <f t="shared" si="35"/>
        <v>1620290.3851635535</v>
      </c>
      <c r="GC14" s="118">
        <f t="shared" si="35"/>
        <v>1620290.3851635535</v>
      </c>
      <c r="GD14" s="118">
        <f t="shared" si="35"/>
        <v>1620290.3851635535</v>
      </c>
      <c r="GE14" s="118">
        <f t="shared" si="35"/>
        <v>1620290.3851635535</v>
      </c>
      <c r="GF14" s="118">
        <f t="shared" si="35"/>
        <v>1620290.3851635535</v>
      </c>
      <c r="GG14" s="118">
        <f t="shared" si="35"/>
        <v>1620290.3851635535</v>
      </c>
      <c r="GH14" s="118">
        <f t="shared" si="35"/>
        <v>1620290.3851635535</v>
      </c>
      <c r="GI14" s="118">
        <f t="shared" si="35"/>
        <v>1620290.3851635535</v>
      </c>
      <c r="GJ14" s="118">
        <f t="shared" si="35"/>
        <v>1620290.3851635535</v>
      </c>
      <c r="GK14" s="118">
        <f t="shared" si="35"/>
        <v>1620290.3851635535</v>
      </c>
      <c r="GL14" s="118">
        <f t="shared" si="35"/>
        <v>1620290.3851635535</v>
      </c>
      <c r="GM14" s="118">
        <f t="shared" si="35"/>
        <v>1620290.3851635535</v>
      </c>
      <c r="GN14" s="118">
        <f t="shared" si="35"/>
        <v>1620290.3851635535</v>
      </c>
      <c r="GO14" s="118">
        <f t="shared" si="35"/>
        <v>1620290.3851635535</v>
      </c>
      <c r="GP14" s="118">
        <f t="shared" si="35"/>
        <v>1620290.3851635535</v>
      </c>
      <c r="GQ14" s="118">
        <f t="shared" si="35"/>
        <v>1620290.3851635535</v>
      </c>
      <c r="GR14" s="118">
        <f t="shared" si="35"/>
        <v>1620290.3851635535</v>
      </c>
      <c r="GS14" s="118">
        <f t="shared" ref="GS14:JD14" si="36">GS10-GS12</f>
        <v>1620290.3851635535</v>
      </c>
      <c r="GT14" s="118">
        <f t="shared" si="36"/>
        <v>1620290.3851635535</v>
      </c>
      <c r="GU14" s="118">
        <f t="shared" si="36"/>
        <v>1620290.3851635535</v>
      </c>
      <c r="GV14" s="118">
        <f t="shared" si="36"/>
        <v>1620290.3851635535</v>
      </c>
      <c r="GW14" s="118">
        <f t="shared" si="36"/>
        <v>1620290.3851635535</v>
      </c>
      <c r="GX14" s="118">
        <f t="shared" si="36"/>
        <v>1620290.3851635535</v>
      </c>
      <c r="GY14" s="118">
        <f t="shared" si="36"/>
        <v>1620290.3851635535</v>
      </c>
      <c r="GZ14" s="118">
        <f t="shared" si="36"/>
        <v>1620290.3851635535</v>
      </c>
      <c r="HA14" s="118">
        <f t="shared" si="36"/>
        <v>1620290.3851635535</v>
      </c>
      <c r="HB14" s="118">
        <f t="shared" si="36"/>
        <v>1620290.3851635535</v>
      </c>
      <c r="HC14" s="118">
        <f t="shared" si="36"/>
        <v>1620290.3851635535</v>
      </c>
      <c r="HD14" s="118">
        <f t="shared" si="36"/>
        <v>1620290.3851635535</v>
      </c>
      <c r="HE14" s="118">
        <f t="shared" si="36"/>
        <v>1620290.3851635535</v>
      </c>
      <c r="HF14" s="118">
        <f t="shared" si="36"/>
        <v>1620290.3851635535</v>
      </c>
      <c r="HG14" s="118">
        <f t="shared" si="36"/>
        <v>1620290.3851635535</v>
      </c>
      <c r="HH14" s="118">
        <f t="shared" si="36"/>
        <v>1620290.3851635535</v>
      </c>
      <c r="HI14" s="118">
        <f t="shared" si="36"/>
        <v>1620290.3851635535</v>
      </c>
      <c r="HJ14" s="118">
        <f t="shared" si="36"/>
        <v>1620290.3851635535</v>
      </c>
      <c r="HK14" s="118">
        <f t="shared" si="36"/>
        <v>1620290.3851635535</v>
      </c>
      <c r="HL14" s="118">
        <f t="shared" si="36"/>
        <v>1620290.3851635535</v>
      </c>
      <c r="HM14" s="118">
        <f t="shared" si="36"/>
        <v>1620290.3851635535</v>
      </c>
      <c r="HN14" s="118">
        <f t="shared" si="36"/>
        <v>1620290.3851635535</v>
      </c>
      <c r="HO14" s="118">
        <f t="shared" si="36"/>
        <v>1620290.3851635535</v>
      </c>
      <c r="HP14" s="118">
        <f t="shared" si="36"/>
        <v>1620290.3851635535</v>
      </c>
      <c r="HQ14" s="118">
        <f t="shared" si="36"/>
        <v>1620290.3851635535</v>
      </c>
      <c r="HR14" s="118">
        <f t="shared" si="36"/>
        <v>1620290.3851635535</v>
      </c>
      <c r="HS14" s="118">
        <f t="shared" si="36"/>
        <v>1620290.3851635535</v>
      </c>
      <c r="HT14" s="118">
        <f t="shared" si="36"/>
        <v>1620290.3851635535</v>
      </c>
      <c r="HU14" s="118">
        <f t="shared" si="36"/>
        <v>1620290.3851635535</v>
      </c>
      <c r="HV14" s="118">
        <f t="shared" si="36"/>
        <v>1620290.3851635535</v>
      </c>
      <c r="HW14" s="118">
        <f t="shared" si="36"/>
        <v>1620290.3851635535</v>
      </c>
      <c r="HX14" s="118">
        <f t="shared" si="36"/>
        <v>1620290.3851635535</v>
      </c>
      <c r="HY14" s="118">
        <f t="shared" si="36"/>
        <v>1620290.3851635535</v>
      </c>
      <c r="HZ14" s="118">
        <f t="shared" si="36"/>
        <v>1620290.3851635535</v>
      </c>
      <c r="IA14" s="118">
        <f t="shared" si="36"/>
        <v>1620290.3851635535</v>
      </c>
      <c r="IB14" s="118">
        <f t="shared" si="36"/>
        <v>1620290.3851635535</v>
      </c>
      <c r="IC14" s="118">
        <f t="shared" si="36"/>
        <v>1620290.3851635535</v>
      </c>
      <c r="ID14" s="118">
        <f t="shared" si="36"/>
        <v>1620290.3851635535</v>
      </c>
      <c r="IE14" s="118">
        <f t="shared" si="36"/>
        <v>1620290.3851635535</v>
      </c>
      <c r="IF14" s="118">
        <f t="shared" si="36"/>
        <v>1620290.3851635535</v>
      </c>
      <c r="IG14" s="118">
        <f t="shared" si="36"/>
        <v>1620290.3851635535</v>
      </c>
      <c r="IH14" s="118">
        <f t="shared" si="36"/>
        <v>1620290.3851635535</v>
      </c>
      <c r="II14" s="118">
        <f t="shared" si="36"/>
        <v>1620290.3851635535</v>
      </c>
      <c r="IJ14" s="118">
        <f t="shared" si="36"/>
        <v>1620290.3851635535</v>
      </c>
      <c r="IK14" s="118">
        <f t="shared" si="36"/>
        <v>1620290.3851635535</v>
      </c>
      <c r="IL14" s="118">
        <f t="shared" si="36"/>
        <v>1620290.3851635535</v>
      </c>
      <c r="IM14" s="118">
        <f t="shared" si="36"/>
        <v>1620290.3851635535</v>
      </c>
      <c r="IN14" s="118">
        <f t="shared" si="36"/>
        <v>1620290.3851635535</v>
      </c>
      <c r="IO14" s="118">
        <f t="shared" si="36"/>
        <v>1620290.3851635535</v>
      </c>
      <c r="IP14" s="118">
        <f t="shared" si="36"/>
        <v>1620290.3851635535</v>
      </c>
      <c r="IQ14" s="118">
        <f t="shared" si="36"/>
        <v>1620290.3851635535</v>
      </c>
      <c r="IR14" s="118">
        <f t="shared" si="36"/>
        <v>1620290.3851635535</v>
      </c>
      <c r="IS14" s="118">
        <f t="shared" si="36"/>
        <v>1620290.3851635535</v>
      </c>
      <c r="IT14" s="118">
        <f t="shared" si="36"/>
        <v>1620290.3851635535</v>
      </c>
      <c r="IU14" s="118">
        <f t="shared" si="36"/>
        <v>1620290.3851635535</v>
      </c>
      <c r="IV14" s="118">
        <f t="shared" si="36"/>
        <v>1620290.3851635535</v>
      </c>
      <c r="IW14" s="118">
        <f t="shared" si="36"/>
        <v>1620290.3851635535</v>
      </c>
      <c r="IX14" s="118">
        <f t="shared" si="36"/>
        <v>1620290.3851635535</v>
      </c>
      <c r="IY14" s="118">
        <f t="shared" si="36"/>
        <v>1620290.3851635535</v>
      </c>
      <c r="IZ14" s="118">
        <f t="shared" si="36"/>
        <v>1620290.3851635535</v>
      </c>
      <c r="JA14" s="118">
        <f t="shared" si="36"/>
        <v>1620290.3851635535</v>
      </c>
      <c r="JB14" s="118">
        <f t="shared" si="36"/>
        <v>1620290.3851635535</v>
      </c>
      <c r="JC14" s="118">
        <f t="shared" si="36"/>
        <v>1620290.3851635535</v>
      </c>
      <c r="JD14" s="118">
        <f t="shared" si="36"/>
        <v>1620290.3851635535</v>
      </c>
      <c r="JE14" s="118">
        <f t="shared" ref="JE14:KF14" si="37">JE10-JE12</f>
        <v>1620290.3851635535</v>
      </c>
      <c r="JF14" s="118">
        <f t="shared" si="37"/>
        <v>1620290.3851635535</v>
      </c>
      <c r="JG14" s="118">
        <f t="shared" si="37"/>
        <v>1620290.3851635535</v>
      </c>
      <c r="JH14" s="118">
        <f t="shared" si="37"/>
        <v>1620290.3851635535</v>
      </c>
      <c r="JI14" s="118">
        <f t="shared" si="37"/>
        <v>1620290.3851635535</v>
      </c>
      <c r="JJ14" s="118">
        <f t="shared" si="37"/>
        <v>1620290.3851635535</v>
      </c>
      <c r="JK14" s="118">
        <f t="shared" si="37"/>
        <v>1620290.3851635535</v>
      </c>
      <c r="JL14" s="118">
        <f t="shared" si="37"/>
        <v>1620290.3851635535</v>
      </c>
      <c r="JM14" s="118">
        <f t="shared" si="37"/>
        <v>1620290.3851635535</v>
      </c>
      <c r="JN14" s="118">
        <f t="shared" si="37"/>
        <v>1620290.3851635535</v>
      </c>
      <c r="JO14" s="118">
        <f t="shared" si="37"/>
        <v>1620290.3851635535</v>
      </c>
      <c r="JP14" s="118">
        <f t="shared" si="37"/>
        <v>1620290.3851635535</v>
      </c>
      <c r="JQ14" s="118">
        <f t="shared" si="37"/>
        <v>1620290.3851635535</v>
      </c>
      <c r="JR14" s="118">
        <f t="shared" si="37"/>
        <v>1620290.3851635535</v>
      </c>
      <c r="JS14" s="118">
        <f t="shared" si="37"/>
        <v>1620290.3851635535</v>
      </c>
      <c r="JT14" s="118">
        <f t="shared" si="37"/>
        <v>1620290.3851635535</v>
      </c>
      <c r="JU14" s="118">
        <f t="shared" si="37"/>
        <v>1620290.3851635535</v>
      </c>
      <c r="JV14" s="118">
        <f t="shared" si="37"/>
        <v>1620290.3851635535</v>
      </c>
      <c r="JW14" s="118">
        <f t="shared" si="37"/>
        <v>1620290.3851635535</v>
      </c>
      <c r="JX14" s="118">
        <f t="shared" si="37"/>
        <v>1620290.3851635535</v>
      </c>
      <c r="JY14" s="118">
        <f t="shared" si="37"/>
        <v>1620290.3851635535</v>
      </c>
      <c r="JZ14" s="118">
        <f t="shared" si="37"/>
        <v>1620290.3851635535</v>
      </c>
      <c r="KA14" s="118">
        <f t="shared" si="37"/>
        <v>1620290.3851635535</v>
      </c>
      <c r="KB14" s="118">
        <f t="shared" si="37"/>
        <v>1620290.3851635535</v>
      </c>
      <c r="KC14" s="118">
        <f t="shared" si="37"/>
        <v>1620290.3851635535</v>
      </c>
      <c r="KD14" s="118">
        <f t="shared" si="37"/>
        <v>1620290.3851635535</v>
      </c>
      <c r="KE14" s="118">
        <f t="shared" si="37"/>
        <v>1620290.3851635535</v>
      </c>
      <c r="KF14" s="118">
        <f t="shared" si="37"/>
        <v>1620290.3851635535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26"/>
      <c r="B17" s="106" t="s">
        <v>430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431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8">H18+I17</f>
        <v>0</v>
      </c>
      <c r="J18" s="125">
        <f t="shared" si="38"/>
        <v>0</v>
      </c>
      <c r="K18" s="125">
        <f t="shared" si="38"/>
        <v>0</v>
      </c>
      <c r="L18" s="125">
        <f t="shared" si="38"/>
        <v>1555.5555555555557</v>
      </c>
      <c r="M18" s="125">
        <f t="shared" si="38"/>
        <v>1555.5555555555557</v>
      </c>
      <c r="N18" s="125">
        <f t="shared" si="38"/>
        <v>1555.5555555555557</v>
      </c>
      <c r="O18" s="125">
        <f t="shared" si="38"/>
        <v>1555.5555555555557</v>
      </c>
      <c r="P18" s="125">
        <f t="shared" si="38"/>
        <v>1555.5555555555557</v>
      </c>
      <c r="Q18" s="125">
        <f t="shared" si="38"/>
        <v>3212059.2883593123</v>
      </c>
      <c r="R18" s="125">
        <f t="shared" si="38"/>
        <v>3212059.2883593123</v>
      </c>
      <c r="S18" s="125">
        <f t="shared" si="38"/>
        <v>3212059.2883593123</v>
      </c>
      <c r="T18" s="125">
        <f t="shared" si="38"/>
        <v>3212059.2883593123</v>
      </c>
      <c r="U18" s="125">
        <f t="shared" si="38"/>
        <v>3877402.1033368469</v>
      </c>
      <c r="V18" s="125">
        <f t="shared" si="38"/>
        <v>3877402.1033368469</v>
      </c>
      <c r="W18" s="125">
        <f t="shared" si="38"/>
        <v>3877402.1033368469</v>
      </c>
      <c r="X18" s="125">
        <f t="shared" si="38"/>
        <v>3877402.1033368469</v>
      </c>
      <c r="Y18" s="125">
        <f t="shared" si="38"/>
        <v>4082737.0503011793</v>
      </c>
      <c r="Z18" s="125">
        <f t="shared" si="38"/>
        <v>4082737.0503011793</v>
      </c>
      <c r="AA18" s="125">
        <f t="shared" si="38"/>
        <v>4082737.0503011793</v>
      </c>
      <c r="AB18" s="125">
        <f t="shared" si="38"/>
        <v>4082737.0503011793</v>
      </c>
      <c r="AC18" s="125">
        <f t="shared" si="38"/>
        <v>4082737.0503011793</v>
      </c>
      <c r="AD18" s="125">
        <f>AC18+AD17</f>
        <v>4119606.8571272367</v>
      </c>
      <c r="AE18" s="125">
        <f t="shared" si="38"/>
        <v>4119606.8571272367</v>
      </c>
      <c r="AF18" s="125">
        <f t="shared" si="38"/>
        <v>4119606.8571272367</v>
      </c>
      <c r="AG18" s="125">
        <f t="shared" si="38"/>
        <v>4119606.8571272367</v>
      </c>
      <c r="AH18" s="125">
        <f t="shared" si="38"/>
        <v>4119606.8571272367</v>
      </c>
      <c r="AI18" s="125">
        <f t="shared" si="38"/>
        <v>4119606.8571272367</v>
      </c>
      <c r="AJ18" s="125">
        <f t="shared" si="38"/>
        <v>4119606.8571272367</v>
      </c>
      <c r="AK18" s="125">
        <f t="shared" si="38"/>
        <v>4119606.8571272367</v>
      </c>
      <c r="AL18" s="125">
        <f t="shared" si="38"/>
        <v>4119606.8571272367</v>
      </c>
      <c r="AM18" s="125">
        <f t="shared" si="38"/>
        <v>4119606.8571272367</v>
      </c>
      <c r="AN18" s="125">
        <f t="shared" si="38"/>
        <v>4119606.8571272367</v>
      </c>
      <c r="AO18" s="125">
        <f t="shared" si="38"/>
        <v>4119606.8571272367</v>
      </c>
      <c r="AP18" s="125">
        <f t="shared" si="38"/>
        <v>4119606.8571272367</v>
      </c>
      <c r="AQ18" s="125">
        <f t="shared" si="38"/>
        <v>4119606.8571272367</v>
      </c>
      <c r="AR18" s="125">
        <f t="shared" si="38"/>
        <v>4119606.8571272367</v>
      </c>
      <c r="AS18" s="125">
        <f t="shared" si="38"/>
        <v>4119606.8571272367</v>
      </c>
      <c r="AT18" s="125">
        <f t="shared" si="38"/>
        <v>4119606.8571272367</v>
      </c>
      <c r="AU18" s="125">
        <f t="shared" si="38"/>
        <v>4119606.8571272367</v>
      </c>
      <c r="AV18" s="125">
        <f t="shared" si="38"/>
        <v>4119606.8571272367</v>
      </c>
      <c r="AW18" s="125">
        <f t="shared" si="38"/>
        <v>4119606.8571272367</v>
      </c>
      <c r="AX18" s="125">
        <f t="shared" si="38"/>
        <v>4119606.8571272367</v>
      </c>
      <c r="AY18" s="125">
        <f t="shared" si="38"/>
        <v>4119606.8571272367</v>
      </c>
      <c r="AZ18" s="125">
        <f t="shared" si="38"/>
        <v>4119606.8571272367</v>
      </c>
      <c r="BA18" s="125">
        <f t="shared" si="38"/>
        <v>4119606.8571272367</v>
      </c>
      <c r="BB18" s="125">
        <f t="shared" si="38"/>
        <v>4119606.8571272367</v>
      </c>
      <c r="BC18" s="125">
        <f t="shared" si="38"/>
        <v>4119606.8571272367</v>
      </c>
      <c r="BD18" s="125">
        <f t="shared" si="38"/>
        <v>4119606.8571272367</v>
      </c>
      <c r="BE18" s="125">
        <f t="shared" si="38"/>
        <v>4119606.8571272367</v>
      </c>
      <c r="BF18" s="125">
        <f t="shared" si="38"/>
        <v>4119606.8571272367</v>
      </c>
      <c r="BG18" s="125">
        <f t="shared" si="38"/>
        <v>4119606.8571272367</v>
      </c>
      <c r="BH18" s="125">
        <f t="shared" si="38"/>
        <v>4119606.8571272367</v>
      </c>
      <c r="BI18" s="125">
        <f t="shared" si="38"/>
        <v>4119606.8571272367</v>
      </c>
      <c r="BJ18" s="125">
        <f t="shared" si="38"/>
        <v>4119606.8571272367</v>
      </c>
      <c r="BK18" s="125">
        <f t="shared" si="38"/>
        <v>4119606.8571272367</v>
      </c>
      <c r="BL18" s="125">
        <f t="shared" si="38"/>
        <v>4119606.8571272367</v>
      </c>
      <c r="BM18" s="125">
        <f t="shared" si="38"/>
        <v>4119606.8571272367</v>
      </c>
      <c r="BN18" s="125">
        <f t="shared" si="38"/>
        <v>4119606.8571272367</v>
      </c>
      <c r="BO18" s="125">
        <f t="shared" si="38"/>
        <v>4119606.8571272367</v>
      </c>
      <c r="BP18" s="125">
        <f t="shared" si="38"/>
        <v>4119606.8571272367</v>
      </c>
      <c r="BQ18" s="125">
        <f t="shared" si="38"/>
        <v>4119606.8571272367</v>
      </c>
      <c r="BR18" s="125">
        <f t="shared" si="38"/>
        <v>4119606.8571272367</v>
      </c>
      <c r="BS18" s="125">
        <f t="shared" si="38"/>
        <v>4119606.8571272367</v>
      </c>
      <c r="BT18" s="125">
        <f t="shared" si="38"/>
        <v>4119606.8571272367</v>
      </c>
      <c r="BU18" s="125">
        <f t="shared" ref="BU18:EF18" si="39">BT18+BU17</f>
        <v>4119606.8571272367</v>
      </c>
      <c r="BV18" s="125">
        <f t="shared" si="39"/>
        <v>4119606.8571272367</v>
      </c>
      <c r="BW18" s="125">
        <f t="shared" si="39"/>
        <v>4119606.8571272367</v>
      </c>
      <c r="BX18" s="125">
        <f t="shared" si="39"/>
        <v>4119606.8571272367</v>
      </c>
      <c r="BY18" s="125">
        <f t="shared" si="39"/>
        <v>4119606.8571272367</v>
      </c>
      <c r="BZ18" s="125">
        <f t="shared" si="39"/>
        <v>4119606.8571272367</v>
      </c>
      <c r="CA18" s="125">
        <f t="shared" si="39"/>
        <v>4119606.8571272367</v>
      </c>
      <c r="CB18" s="125">
        <f t="shared" si="39"/>
        <v>4119606.8571272367</v>
      </c>
      <c r="CC18" s="125">
        <f t="shared" si="39"/>
        <v>4119606.8571272367</v>
      </c>
      <c r="CD18" s="125">
        <f t="shared" si="39"/>
        <v>4119606.8571272367</v>
      </c>
      <c r="CE18" s="125">
        <f t="shared" si="39"/>
        <v>4119606.8571272367</v>
      </c>
      <c r="CF18" s="125">
        <f t="shared" si="39"/>
        <v>4119606.8571272367</v>
      </c>
      <c r="CG18" s="125">
        <f t="shared" si="39"/>
        <v>4119606.8571272367</v>
      </c>
      <c r="CH18" s="125">
        <f t="shared" si="39"/>
        <v>4119606.8571272367</v>
      </c>
      <c r="CI18" s="125">
        <f t="shared" si="39"/>
        <v>4119606.8571272367</v>
      </c>
      <c r="CJ18" s="125">
        <f t="shared" si="39"/>
        <v>4119606.8571272367</v>
      </c>
      <c r="CK18" s="125">
        <f t="shared" si="39"/>
        <v>4119606.8571272367</v>
      </c>
      <c r="CL18" s="125">
        <f t="shared" si="39"/>
        <v>4119606.8571272367</v>
      </c>
      <c r="CM18" s="125">
        <f t="shared" si="39"/>
        <v>4119606.8571272367</v>
      </c>
      <c r="CN18" s="125">
        <f t="shared" si="39"/>
        <v>4119606.8571272367</v>
      </c>
      <c r="CO18" s="125">
        <f t="shared" si="39"/>
        <v>4119606.8571272367</v>
      </c>
      <c r="CP18" s="125">
        <f t="shared" si="39"/>
        <v>4119606.8571272367</v>
      </c>
      <c r="CQ18" s="125">
        <f t="shared" si="39"/>
        <v>4119606.8571272367</v>
      </c>
      <c r="CR18" s="125">
        <f t="shared" si="39"/>
        <v>4119606.8571272367</v>
      </c>
      <c r="CS18" s="125">
        <f t="shared" si="39"/>
        <v>4119606.8571272367</v>
      </c>
      <c r="CT18" s="125">
        <f t="shared" si="39"/>
        <v>4119606.8571272367</v>
      </c>
      <c r="CU18" s="125">
        <f t="shared" si="39"/>
        <v>4119606.8571272367</v>
      </c>
      <c r="CV18" s="125">
        <f t="shared" si="39"/>
        <v>4119606.8571272367</v>
      </c>
      <c r="CW18" s="125">
        <f t="shared" si="39"/>
        <v>4119606.8571272367</v>
      </c>
      <c r="CX18" s="125">
        <f t="shared" si="39"/>
        <v>4119606.8571272367</v>
      </c>
      <c r="CY18" s="125">
        <f t="shared" si="39"/>
        <v>4119606.8571272367</v>
      </c>
      <c r="CZ18" s="125">
        <f t="shared" si="39"/>
        <v>4119606.8571272367</v>
      </c>
      <c r="DA18" s="125">
        <f t="shared" si="39"/>
        <v>4119606.8571272367</v>
      </c>
      <c r="DB18" s="125">
        <f t="shared" si="39"/>
        <v>4119606.8571272367</v>
      </c>
      <c r="DC18" s="125">
        <f t="shared" si="39"/>
        <v>4119606.8571272367</v>
      </c>
      <c r="DD18" s="125">
        <f t="shared" si="39"/>
        <v>4119606.8571272367</v>
      </c>
      <c r="DE18" s="125">
        <f t="shared" si="39"/>
        <v>4119606.8571272367</v>
      </c>
      <c r="DF18" s="125">
        <f t="shared" si="39"/>
        <v>4119606.8571272367</v>
      </c>
      <c r="DG18" s="125">
        <f t="shared" si="39"/>
        <v>4119606.8571272367</v>
      </c>
      <c r="DH18" s="125">
        <f t="shared" si="39"/>
        <v>4119606.8571272367</v>
      </c>
      <c r="DI18" s="125">
        <f t="shared" si="39"/>
        <v>4119606.8571272367</v>
      </c>
      <c r="DJ18" s="125">
        <f t="shared" si="39"/>
        <v>4119606.8571272367</v>
      </c>
      <c r="DK18" s="125">
        <f t="shared" si="39"/>
        <v>4119606.8571272367</v>
      </c>
      <c r="DL18" s="125">
        <f t="shared" si="39"/>
        <v>4119606.8571272367</v>
      </c>
      <c r="DM18" s="125">
        <f t="shared" si="39"/>
        <v>4119606.8571272367</v>
      </c>
      <c r="DN18" s="125">
        <f t="shared" si="39"/>
        <v>4119606.8571272367</v>
      </c>
      <c r="DO18" s="125">
        <f t="shared" si="39"/>
        <v>4119606.8571272367</v>
      </c>
      <c r="DP18" s="125">
        <f t="shared" si="39"/>
        <v>4119606.8571272367</v>
      </c>
      <c r="DQ18" s="125">
        <f t="shared" si="39"/>
        <v>4119606.8571272367</v>
      </c>
      <c r="DR18" s="125">
        <f t="shared" si="39"/>
        <v>4119606.8571272367</v>
      </c>
      <c r="DS18" s="125">
        <f t="shared" si="39"/>
        <v>4119606.8571272367</v>
      </c>
      <c r="DT18" s="125">
        <f t="shared" si="39"/>
        <v>4119606.8571272367</v>
      </c>
      <c r="DU18" s="125">
        <f t="shared" si="39"/>
        <v>4119606.8571272367</v>
      </c>
      <c r="DV18" s="125">
        <f t="shared" si="39"/>
        <v>4119606.8571272367</v>
      </c>
      <c r="DW18" s="125">
        <f t="shared" si="39"/>
        <v>4119606.8571272367</v>
      </c>
      <c r="DX18" s="125">
        <f t="shared" si="39"/>
        <v>4119606.8571272367</v>
      </c>
      <c r="DY18" s="125">
        <f t="shared" si="39"/>
        <v>4119606.8571272367</v>
      </c>
      <c r="DZ18" s="125">
        <f t="shared" si="39"/>
        <v>4119606.8571272367</v>
      </c>
      <c r="EA18" s="125">
        <f t="shared" si="39"/>
        <v>4119606.8571272367</v>
      </c>
      <c r="EB18" s="125">
        <f t="shared" si="39"/>
        <v>4119606.8571272367</v>
      </c>
      <c r="EC18" s="125">
        <f t="shared" si="39"/>
        <v>4119606.8571272367</v>
      </c>
      <c r="ED18" s="125">
        <f t="shared" si="39"/>
        <v>4119606.8571272367</v>
      </c>
      <c r="EE18" s="125">
        <f t="shared" si="39"/>
        <v>4119606.8571272367</v>
      </c>
      <c r="EF18" s="125">
        <f t="shared" si="39"/>
        <v>4119606.8571272367</v>
      </c>
      <c r="EG18" s="125">
        <f t="shared" ref="EG18:GR18" si="40">EF18+EG17</f>
        <v>4119606.8571272367</v>
      </c>
      <c r="EH18" s="125">
        <f t="shared" si="40"/>
        <v>4119606.8571272367</v>
      </c>
      <c r="EI18" s="125">
        <f t="shared" si="40"/>
        <v>4119606.8571272367</v>
      </c>
      <c r="EJ18" s="125">
        <f t="shared" si="40"/>
        <v>4119606.8571272367</v>
      </c>
      <c r="EK18" s="125">
        <f t="shared" si="40"/>
        <v>4119606.8571272367</v>
      </c>
      <c r="EL18" s="125">
        <f t="shared" si="40"/>
        <v>4119606.8571272367</v>
      </c>
      <c r="EM18" s="125">
        <f t="shared" si="40"/>
        <v>4119606.8571272367</v>
      </c>
      <c r="EN18" s="125">
        <f t="shared" si="40"/>
        <v>4119606.8571272367</v>
      </c>
      <c r="EO18" s="125">
        <f t="shared" si="40"/>
        <v>4119606.8571272367</v>
      </c>
      <c r="EP18" s="125">
        <f t="shared" si="40"/>
        <v>4119606.8571272367</v>
      </c>
      <c r="EQ18" s="125">
        <f t="shared" si="40"/>
        <v>4119606.8571272367</v>
      </c>
      <c r="ER18" s="125">
        <f t="shared" si="40"/>
        <v>4119606.8571272367</v>
      </c>
      <c r="ES18" s="125">
        <f t="shared" si="40"/>
        <v>4119606.8571272367</v>
      </c>
      <c r="ET18" s="125">
        <f t="shared" si="40"/>
        <v>4119606.8571272367</v>
      </c>
      <c r="EU18" s="125">
        <f t="shared" si="40"/>
        <v>4119606.8571272367</v>
      </c>
      <c r="EV18" s="125">
        <f t="shared" si="40"/>
        <v>4119606.8571272367</v>
      </c>
      <c r="EW18" s="125">
        <f t="shared" si="40"/>
        <v>4119606.8571272367</v>
      </c>
      <c r="EX18" s="125">
        <f t="shared" si="40"/>
        <v>4119606.8571272367</v>
      </c>
      <c r="EY18" s="125">
        <f t="shared" si="40"/>
        <v>4119606.8571272367</v>
      </c>
      <c r="EZ18" s="125">
        <f t="shared" si="40"/>
        <v>4119606.8571272367</v>
      </c>
      <c r="FA18" s="125">
        <f t="shared" si="40"/>
        <v>4119606.8571272367</v>
      </c>
      <c r="FB18" s="125">
        <f t="shared" si="40"/>
        <v>4119606.8571272367</v>
      </c>
      <c r="FC18" s="125">
        <f t="shared" si="40"/>
        <v>4119606.8571272367</v>
      </c>
      <c r="FD18" s="125">
        <f t="shared" si="40"/>
        <v>4119606.8571272367</v>
      </c>
      <c r="FE18" s="125">
        <f t="shared" si="40"/>
        <v>4119606.8571272367</v>
      </c>
      <c r="FF18" s="125">
        <f t="shared" si="40"/>
        <v>4119606.8571272367</v>
      </c>
      <c r="FG18" s="125">
        <f t="shared" si="40"/>
        <v>4119606.8571272367</v>
      </c>
      <c r="FH18" s="125">
        <f t="shared" si="40"/>
        <v>4119606.8571272367</v>
      </c>
      <c r="FI18" s="125">
        <f t="shared" si="40"/>
        <v>4119606.8571272367</v>
      </c>
      <c r="FJ18" s="125">
        <f t="shared" si="40"/>
        <v>4119606.8571272367</v>
      </c>
      <c r="FK18" s="125">
        <f t="shared" si="40"/>
        <v>4119606.8571272367</v>
      </c>
      <c r="FL18" s="125">
        <f t="shared" si="40"/>
        <v>4119606.8571272367</v>
      </c>
      <c r="FM18" s="125">
        <f t="shared" si="40"/>
        <v>4119606.8571272367</v>
      </c>
      <c r="FN18" s="125">
        <f t="shared" si="40"/>
        <v>4119606.8571272367</v>
      </c>
      <c r="FO18" s="125">
        <f t="shared" si="40"/>
        <v>4119606.8571272367</v>
      </c>
      <c r="FP18" s="125">
        <f t="shared" si="40"/>
        <v>4119606.8571272367</v>
      </c>
      <c r="FQ18" s="125">
        <f t="shared" si="40"/>
        <v>4119606.8571272367</v>
      </c>
      <c r="FR18" s="125">
        <f t="shared" si="40"/>
        <v>4119606.8571272367</v>
      </c>
      <c r="FS18" s="125">
        <f t="shared" si="40"/>
        <v>4119606.8571272367</v>
      </c>
      <c r="FT18" s="125">
        <f t="shared" si="40"/>
        <v>4119606.8571272367</v>
      </c>
      <c r="FU18" s="125">
        <f t="shared" si="40"/>
        <v>4119606.8571272367</v>
      </c>
      <c r="FV18" s="125">
        <f t="shared" si="40"/>
        <v>4119606.8571272367</v>
      </c>
      <c r="FW18" s="125">
        <f t="shared" si="40"/>
        <v>4119606.8571272367</v>
      </c>
      <c r="FX18" s="125">
        <f t="shared" si="40"/>
        <v>4119606.8571272367</v>
      </c>
      <c r="FY18" s="125">
        <f t="shared" si="40"/>
        <v>4119606.8571272367</v>
      </c>
      <c r="FZ18" s="125">
        <f t="shared" si="40"/>
        <v>4119606.8571272367</v>
      </c>
      <c r="GA18" s="125">
        <f t="shared" si="40"/>
        <v>4119606.8571272367</v>
      </c>
      <c r="GB18" s="125">
        <f t="shared" si="40"/>
        <v>4119606.8571272367</v>
      </c>
      <c r="GC18" s="125">
        <f t="shared" si="40"/>
        <v>4119606.8571272367</v>
      </c>
      <c r="GD18" s="125">
        <f t="shared" si="40"/>
        <v>4119606.8571272367</v>
      </c>
      <c r="GE18" s="125">
        <f t="shared" si="40"/>
        <v>4119606.8571272367</v>
      </c>
      <c r="GF18" s="125">
        <f t="shared" si="40"/>
        <v>4119606.8571272367</v>
      </c>
      <c r="GG18" s="125">
        <f t="shared" si="40"/>
        <v>4119606.8571272367</v>
      </c>
      <c r="GH18" s="125">
        <f t="shared" si="40"/>
        <v>4119606.8571272367</v>
      </c>
      <c r="GI18" s="125">
        <f t="shared" si="40"/>
        <v>4119606.8571272367</v>
      </c>
      <c r="GJ18" s="125">
        <f t="shared" si="40"/>
        <v>4119606.8571272367</v>
      </c>
      <c r="GK18" s="125">
        <f t="shared" si="40"/>
        <v>4119606.8571272367</v>
      </c>
      <c r="GL18" s="125">
        <f t="shared" si="40"/>
        <v>4119606.8571272367</v>
      </c>
      <c r="GM18" s="125">
        <f t="shared" si="40"/>
        <v>4119606.8571272367</v>
      </c>
      <c r="GN18" s="125">
        <f t="shared" si="40"/>
        <v>4119606.8571272367</v>
      </c>
      <c r="GO18" s="125">
        <f t="shared" si="40"/>
        <v>4119606.8571272367</v>
      </c>
      <c r="GP18" s="125">
        <f t="shared" si="40"/>
        <v>4119606.8571272367</v>
      </c>
      <c r="GQ18" s="125">
        <f t="shared" si="40"/>
        <v>4119606.8571272367</v>
      </c>
      <c r="GR18" s="125">
        <f t="shared" si="40"/>
        <v>4119606.8571272367</v>
      </c>
      <c r="GS18" s="125">
        <f t="shared" ref="GS18:JD18" si="41">GR18+GS17</f>
        <v>4119606.8571272367</v>
      </c>
      <c r="GT18" s="125">
        <f t="shared" si="41"/>
        <v>4119606.8571272367</v>
      </c>
      <c r="GU18" s="125">
        <f t="shared" si="41"/>
        <v>4119606.8571272367</v>
      </c>
      <c r="GV18" s="125">
        <f t="shared" si="41"/>
        <v>4119606.8571272367</v>
      </c>
      <c r="GW18" s="125">
        <f t="shared" si="41"/>
        <v>4119606.8571272367</v>
      </c>
      <c r="GX18" s="125">
        <f t="shared" si="41"/>
        <v>4119606.8571272367</v>
      </c>
      <c r="GY18" s="125">
        <f t="shared" si="41"/>
        <v>4119606.8571272367</v>
      </c>
      <c r="GZ18" s="125">
        <f t="shared" si="41"/>
        <v>4119606.8571272367</v>
      </c>
      <c r="HA18" s="125">
        <f t="shared" si="41"/>
        <v>4119606.8571272367</v>
      </c>
      <c r="HB18" s="125">
        <f t="shared" si="41"/>
        <v>4119606.8571272367</v>
      </c>
      <c r="HC18" s="125">
        <f t="shared" si="41"/>
        <v>4119606.8571272367</v>
      </c>
      <c r="HD18" s="125">
        <f t="shared" si="41"/>
        <v>4119606.8571272367</v>
      </c>
      <c r="HE18" s="125">
        <f t="shared" si="41"/>
        <v>4119606.8571272367</v>
      </c>
      <c r="HF18" s="125">
        <f t="shared" si="41"/>
        <v>4119606.8571272367</v>
      </c>
      <c r="HG18" s="125">
        <f t="shared" si="41"/>
        <v>4119606.8571272367</v>
      </c>
      <c r="HH18" s="125">
        <f t="shared" si="41"/>
        <v>4119606.8571272367</v>
      </c>
      <c r="HI18" s="125">
        <f t="shared" si="41"/>
        <v>4119606.8571272367</v>
      </c>
      <c r="HJ18" s="125">
        <f t="shared" si="41"/>
        <v>4119606.8571272367</v>
      </c>
      <c r="HK18" s="125">
        <f t="shared" si="41"/>
        <v>4119606.8571272367</v>
      </c>
      <c r="HL18" s="125">
        <f t="shared" si="41"/>
        <v>4119606.8571272367</v>
      </c>
      <c r="HM18" s="125">
        <f t="shared" si="41"/>
        <v>4119606.8571272367</v>
      </c>
      <c r="HN18" s="125">
        <f t="shared" si="41"/>
        <v>4119606.8571272367</v>
      </c>
      <c r="HO18" s="125">
        <f t="shared" si="41"/>
        <v>4119606.8571272367</v>
      </c>
      <c r="HP18" s="125">
        <f t="shared" si="41"/>
        <v>4119606.8571272367</v>
      </c>
      <c r="HQ18" s="125">
        <f t="shared" si="41"/>
        <v>4119606.8571272367</v>
      </c>
      <c r="HR18" s="125">
        <f t="shared" si="41"/>
        <v>4119606.8571272367</v>
      </c>
      <c r="HS18" s="125">
        <f t="shared" si="41"/>
        <v>4119606.8571272367</v>
      </c>
      <c r="HT18" s="125">
        <f t="shared" si="41"/>
        <v>4119606.8571272367</v>
      </c>
      <c r="HU18" s="125">
        <f t="shared" si="41"/>
        <v>4119606.8571272367</v>
      </c>
      <c r="HV18" s="125">
        <f t="shared" si="41"/>
        <v>4119606.8571272367</v>
      </c>
      <c r="HW18" s="125">
        <f t="shared" si="41"/>
        <v>4119606.8571272367</v>
      </c>
      <c r="HX18" s="125">
        <f t="shared" si="41"/>
        <v>4119606.8571272367</v>
      </c>
      <c r="HY18" s="125">
        <f t="shared" si="41"/>
        <v>4119606.8571272367</v>
      </c>
      <c r="HZ18" s="125">
        <f t="shared" si="41"/>
        <v>4119606.8571272367</v>
      </c>
      <c r="IA18" s="125">
        <f t="shared" si="41"/>
        <v>4119606.8571272367</v>
      </c>
      <c r="IB18" s="125">
        <f t="shared" si="41"/>
        <v>4119606.8571272367</v>
      </c>
      <c r="IC18" s="125">
        <f t="shared" si="41"/>
        <v>4119606.8571272367</v>
      </c>
      <c r="ID18" s="125">
        <f t="shared" si="41"/>
        <v>4119606.8571272367</v>
      </c>
      <c r="IE18" s="125">
        <f t="shared" si="41"/>
        <v>4119606.8571272367</v>
      </c>
      <c r="IF18" s="125">
        <f t="shared" si="41"/>
        <v>4119606.8571272367</v>
      </c>
      <c r="IG18" s="125">
        <f t="shared" si="41"/>
        <v>4119606.8571272367</v>
      </c>
      <c r="IH18" s="125">
        <f t="shared" si="41"/>
        <v>4119606.8571272367</v>
      </c>
      <c r="II18" s="125">
        <f t="shared" si="41"/>
        <v>4119606.8571272367</v>
      </c>
      <c r="IJ18" s="125">
        <f t="shared" si="41"/>
        <v>4119606.8571272367</v>
      </c>
      <c r="IK18" s="125">
        <f t="shared" si="41"/>
        <v>4119606.8571272367</v>
      </c>
      <c r="IL18" s="125">
        <f t="shared" si="41"/>
        <v>4119606.8571272367</v>
      </c>
      <c r="IM18" s="125">
        <f t="shared" si="41"/>
        <v>4119606.8571272367</v>
      </c>
      <c r="IN18" s="125">
        <f t="shared" si="41"/>
        <v>4119606.8571272367</v>
      </c>
      <c r="IO18" s="125">
        <f t="shared" si="41"/>
        <v>4119606.8571272367</v>
      </c>
      <c r="IP18" s="125">
        <f t="shared" si="41"/>
        <v>4119606.8571272367</v>
      </c>
      <c r="IQ18" s="125">
        <f t="shared" si="41"/>
        <v>4119606.8571272367</v>
      </c>
      <c r="IR18" s="125">
        <f t="shared" si="41"/>
        <v>4119606.8571272367</v>
      </c>
      <c r="IS18" s="125">
        <f t="shared" si="41"/>
        <v>4119606.8571272367</v>
      </c>
      <c r="IT18" s="125">
        <f t="shared" si="41"/>
        <v>4119606.8571272367</v>
      </c>
      <c r="IU18" s="125">
        <f t="shared" si="41"/>
        <v>4119606.8571272367</v>
      </c>
      <c r="IV18" s="125">
        <f t="shared" si="41"/>
        <v>4119606.8571272367</v>
      </c>
      <c r="IW18" s="125">
        <f t="shared" si="41"/>
        <v>4119606.8571272367</v>
      </c>
      <c r="IX18" s="125">
        <f t="shared" si="41"/>
        <v>4119606.8571272367</v>
      </c>
      <c r="IY18" s="125">
        <f t="shared" si="41"/>
        <v>4119606.8571272367</v>
      </c>
      <c r="IZ18" s="125">
        <f t="shared" si="41"/>
        <v>4119606.8571272367</v>
      </c>
      <c r="JA18" s="125">
        <f t="shared" si="41"/>
        <v>4119606.8571272367</v>
      </c>
      <c r="JB18" s="125">
        <f t="shared" si="41"/>
        <v>4119606.8571272367</v>
      </c>
      <c r="JC18" s="125">
        <f t="shared" si="41"/>
        <v>4119606.8571272367</v>
      </c>
      <c r="JD18" s="125">
        <f t="shared" si="41"/>
        <v>4119606.8571272367</v>
      </c>
      <c r="JE18" s="125">
        <f t="shared" ref="JE18:KF18" si="42">JD18+JE17</f>
        <v>4119606.8571272367</v>
      </c>
      <c r="JF18" s="125">
        <f t="shared" si="42"/>
        <v>4119606.8571272367</v>
      </c>
      <c r="JG18" s="125">
        <f t="shared" si="42"/>
        <v>4119606.8571272367</v>
      </c>
      <c r="JH18" s="125">
        <f t="shared" si="42"/>
        <v>4119606.8571272367</v>
      </c>
      <c r="JI18" s="125">
        <f t="shared" si="42"/>
        <v>4119606.8571272367</v>
      </c>
      <c r="JJ18" s="125">
        <f t="shared" si="42"/>
        <v>4119606.8571272367</v>
      </c>
      <c r="JK18" s="125">
        <f t="shared" si="42"/>
        <v>4119606.8571272367</v>
      </c>
      <c r="JL18" s="125">
        <f t="shared" si="42"/>
        <v>4119606.8571272367</v>
      </c>
      <c r="JM18" s="125">
        <f t="shared" si="42"/>
        <v>4119606.8571272367</v>
      </c>
      <c r="JN18" s="125">
        <f t="shared" si="42"/>
        <v>4119606.8571272367</v>
      </c>
      <c r="JO18" s="125">
        <f t="shared" si="42"/>
        <v>4119606.8571272367</v>
      </c>
      <c r="JP18" s="125">
        <f t="shared" si="42"/>
        <v>4119606.8571272367</v>
      </c>
      <c r="JQ18" s="125">
        <f t="shared" si="42"/>
        <v>4119606.8571272367</v>
      </c>
      <c r="JR18" s="125">
        <f t="shared" si="42"/>
        <v>4119606.8571272367</v>
      </c>
      <c r="JS18" s="125">
        <f t="shared" si="42"/>
        <v>4119606.8571272367</v>
      </c>
      <c r="JT18" s="125">
        <f t="shared" si="42"/>
        <v>4119606.8571272367</v>
      </c>
      <c r="JU18" s="125">
        <f t="shared" si="42"/>
        <v>4119606.8571272367</v>
      </c>
      <c r="JV18" s="125">
        <f t="shared" si="42"/>
        <v>4119606.8571272367</v>
      </c>
      <c r="JW18" s="125">
        <f t="shared" si="42"/>
        <v>4119606.8571272367</v>
      </c>
      <c r="JX18" s="125">
        <f t="shared" si="42"/>
        <v>4119606.8571272367</v>
      </c>
      <c r="JY18" s="125">
        <f t="shared" si="42"/>
        <v>4119606.8571272367</v>
      </c>
      <c r="JZ18" s="125">
        <f t="shared" si="42"/>
        <v>4119606.8571272367</v>
      </c>
      <c r="KA18" s="125">
        <f t="shared" si="42"/>
        <v>4119606.8571272367</v>
      </c>
      <c r="KB18" s="125">
        <f t="shared" si="42"/>
        <v>4119606.8571272367</v>
      </c>
      <c r="KC18" s="125">
        <f t="shared" si="42"/>
        <v>4119606.8571272367</v>
      </c>
      <c r="KD18" s="125">
        <f t="shared" si="42"/>
        <v>4119606.8571272367</v>
      </c>
      <c r="KE18" s="125">
        <f t="shared" si="42"/>
        <v>4119606.8571272367</v>
      </c>
      <c r="KF18" s="125">
        <f t="shared" si="42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432</v>
      </c>
      <c r="B3" s="540" t="s">
        <v>433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434</v>
      </c>
      <c r="B4" t="s">
        <v>435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436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435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292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308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331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337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353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368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371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375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386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394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383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341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436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8164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437</v>
      </c>
      <c r="B3" s="540" t="s">
        <v>433</v>
      </c>
      <c r="C3"/>
      <c r="D3"/>
      <c r="E3"/>
      <c r="F3"/>
      <c r="G3"/>
      <c r="H3"/>
      <c r="I3"/>
    </row>
    <row r="4" spans="1:9">
      <c r="A4" s="540" t="s">
        <v>434</v>
      </c>
      <c r="B4" t="s">
        <v>435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436</v>
      </c>
    </row>
    <row r="5" spans="1:9">
      <c r="A5" s="345" t="s">
        <v>435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285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292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308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315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331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337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353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368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371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375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386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394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397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383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341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436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438</v>
      </c>
      <c r="F2" s="19" t="s">
        <v>439</v>
      </c>
    </row>
    <row r="3" spans="3:8">
      <c r="C3" s="15">
        <v>45658</v>
      </c>
      <c r="D3" s="9" t="s">
        <v>440</v>
      </c>
      <c r="F3" s="17" t="s">
        <v>441</v>
      </c>
    </row>
    <row r="4" spans="3:8">
      <c r="C4" s="15">
        <v>45737</v>
      </c>
      <c r="D4" s="9" t="s">
        <v>442</v>
      </c>
      <c r="F4" s="17" t="s">
        <v>443</v>
      </c>
    </row>
    <row r="5" spans="3:8">
      <c r="C5" s="15">
        <v>45765</v>
      </c>
      <c r="D5" s="9" t="s">
        <v>444</v>
      </c>
      <c r="F5" s="17" t="s">
        <v>445</v>
      </c>
    </row>
    <row r="6" spans="3:8" ht="13" thickBot="1">
      <c r="C6" s="15">
        <v>45768</v>
      </c>
      <c r="D6" s="9" t="s">
        <v>446</v>
      </c>
      <c r="F6" s="18" t="s">
        <v>447</v>
      </c>
    </row>
    <row r="7" spans="3:8">
      <c r="C7" s="15">
        <v>45774</v>
      </c>
      <c r="D7" s="9" t="s">
        <v>448</v>
      </c>
    </row>
    <row r="8" spans="3:8">
      <c r="C8" s="15">
        <v>45765</v>
      </c>
      <c r="D8" s="9" t="s">
        <v>449</v>
      </c>
    </row>
    <row r="9" spans="3:8">
      <c r="C9" s="15">
        <v>45778</v>
      </c>
      <c r="D9" s="9" t="s">
        <v>450</v>
      </c>
    </row>
    <row r="10" spans="3:8">
      <c r="C10" s="15">
        <v>45824</v>
      </c>
      <c r="D10" s="9" t="s">
        <v>451</v>
      </c>
    </row>
    <row r="11" spans="3:8">
      <c r="C11" s="15">
        <v>45878</v>
      </c>
      <c r="D11" s="9" t="s">
        <v>452</v>
      </c>
    </row>
    <row r="12" spans="3:8">
      <c r="C12" s="15">
        <v>45924</v>
      </c>
      <c r="D12" s="9" t="s">
        <v>453</v>
      </c>
    </row>
    <row r="13" spans="3:8">
      <c r="C13" s="15">
        <v>46007</v>
      </c>
      <c r="D13" s="9" t="s">
        <v>454</v>
      </c>
      <c r="F13" s="20"/>
      <c r="H13" s="9" t="s">
        <v>455</v>
      </c>
    </row>
    <row r="14" spans="3:8">
      <c r="C14" s="15">
        <v>46016</v>
      </c>
      <c r="D14" s="9" t="s">
        <v>456</v>
      </c>
    </row>
    <row r="15" spans="3:8">
      <c r="C15" s="15">
        <v>46017</v>
      </c>
      <c r="D15" s="9" t="s">
        <v>457</v>
      </c>
    </row>
    <row r="16" spans="3:8">
      <c r="C16" s="15">
        <v>46006</v>
      </c>
      <c r="D16" s="9" t="s">
        <v>458</v>
      </c>
    </row>
    <row r="17" spans="3:4">
      <c r="C17" s="15">
        <v>46007</v>
      </c>
      <c r="D17" s="9" t="s">
        <v>458</v>
      </c>
    </row>
    <row r="18" spans="3:4">
      <c r="C18" s="15">
        <v>46008</v>
      </c>
      <c r="D18" s="9" t="s">
        <v>458</v>
      </c>
    </row>
    <row r="19" spans="3:4">
      <c r="C19" s="15">
        <v>46009</v>
      </c>
      <c r="D19" s="9" t="s">
        <v>458</v>
      </c>
    </row>
    <row r="20" spans="3:4">
      <c r="C20" s="15">
        <v>46010</v>
      </c>
      <c r="D20" s="9" t="s">
        <v>458</v>
      </c>
    </row>
    <row r="21" spans="3:4">
      <c r="C21" s="15">
        <v>46011</v>
      </c>
      <c r="D21" s="9" t="s">
        <v>458</v>
      </c>
    </row>
    <row r="22" spans="3:4">
      <c r="C22" s="15">
        <v>46012</v>
      </c>
      <c r="D22" s="9" t="s">
        <v>458</v>
      </c>
    </row>
    <row r="23" spans="3:4">
      <c r="C23" s="15">
        <v>46013</v>
      </c>
      <c r="D23" s="9" t="s">
        <v>458</v>
      </c>
    </row>
    <row r="24" spans="3:4">
      <c r="C24" s="15">
        <v>46014</v>
      </c>
      <c r="D24" s="9" t="s">
        <v>458</v>
      </c>
    </row>
    <row r="25" spans="3:4">
      <c r="C25" s="15">
        <v>46015</v>
      </c>
      <c r="D25" s="9" t="s">
        <v>458</v>
      </c>
    </row>
    <row r="26" spans="3:4">
      <c r="C26" s="15">
        <v>46016</v>
      </c>
      <c r="D26" s="9" t="s">
        <v>458</v>
      </c>
    </row>
    <row r="27" spans="3:4">
      <c r="C27" s="15">
        <v>46017</v>
      </c>
      <c r="D27" s="9" t="s">
        <v>458</v>
      </c>
    </row>
    <row r="28" spans="3:4">
      <c r="C28" s="15">
        <v>46018</v>
      </c>
      <c r="D28" s="9" t="s">
        <v>458</v>
      </c>
    </row>
    <row r="29" spans="3:4">
      <c r="C29" s="15">
        <v>46019</v>
      </c>
      <c r="D29" s="9" t="s">
        <v>458</v>
      </c>
    </row>
    <row r="30" spans="3:4">
      <c r="C30" s="15">
        <v>46020</v>
      </c>
      <c r="D30" s="9" t="s">
        <v>458</v>
      </c>
    </row>
    <row r="31" spans="3:4">
      <c r="C31" s="15">
        <v>46021</v>
      </c>
      <c r="D31" s="9" t="s">
        <v>458</v>
      </c>
    </row>
    <row r="32" spans="3:4">
      <c r="C32" s="15">
        <v>46022</v>
      </c>
      <c r="D32" s="9" t="s">
        <v>458</v>
      </c>
    </row>
    <row r="33" spans="3:4">
      <c r="C33" s="15">
        <v>46023</v>
      </c>
      <c r="D33" s="9" t="s">
        <v>458</v>
      </c>
    </row>
    <row r="34" spans="3:4">
      <c r="C34" s="15">
        <v>46024</v>
      </c>
      <c r="D34" s="9" t="s">
        <v>458</v>
      </c>
    </row>
    <row r="35" spans="3:4">
      <c r="C35" s="15">
        <v>46025</v>
      </c>
      <c r="D35" s="9" t="s">
        <v>458</v>
      </c>
    </row>
    <row r="36" spans="3:4">
      <c r="C36" s="15">
        <v>46026</v>
      </c>
      <c r="D36" s="9" t="s">
        <v>458</v>
      </c>
    </row>
    <row r="37" spans="3:4">
      <c r="C37" s="15">
        <v>46027</v>
      </c>
      <c r="D37" s="9" t="s">
        <v>458</v>
      </c>
    </row>
    <row r="38" spans="3:4">
      <c r="C38" s="15">
        <v>46028</v>
      </c>
      <c r="D38" s="9" t="s">
        <v>458</v>
      </c>
    </row>
    <row r="39" spans="3:4">
      <c r="C39" s="15">
        <v>46029</v>
      </c>
      <c r="D39" s="9" t="s">
        <v>458</v>
      </c>
    </row>
    <row r="40" spans="3:4">
      <c r="C40" s="15">
        <v>46030</v>
      </c>
      <c r="D40" s="9" t="s">
        <v>458</v>
      </c>
    </row>
    <row r="41" spans="3:4">
      <c r="C41" s="15"/>
      <c r="D41" s="9" t="s">
        <v>458</v>
      </c>
    </row>
    <row r="42" spans="3:4">
      <c r="C42" s="15"/>
      <c r="D42" s="9" t="s">
        <v>458</v>
      </c>
    </row>
    <row r="43" spans="3:4">
      <c r="C43" s="15"/>
      <c r="D43" s="9" t="s">
        <v>458</v>
      </c>
    </row>
    <row r="44" spans="3:4">
      <c r="C44" s="15"/>
      <c r="D44" s="9" t="s">
        <v>458</v>
      </c>
    </row>
    <row r="45" spans="3:4">
      <c r="C45" s="15"/>
      <c r="D45" s="9" t="s">
        <v>458</v>
      </c>
    </row>
    <row r="46" spans="3:4">
      <c r="C46" s="15"/>
      <c r="D46" s="9" t="s">
        <v>458</v>
      </c>
    </row>
    <row r="47" spans="3:4">
      <c r="C47" s="15"/>
      <c r="D47" s="9" t="s">
        <v>458</v>
      </c>
    </row>
    <row r="48" spans="3:4">
      <c r="C48" s="15"/>
      <c r="D48" s="9" t="s">
        <v>458</v>
      </c>
    </row>
    <row r="49" spans="3:4">
      <c r="C49" s="15">
        <v>46102</v>
      </c>
      <c r="D49" s="9" t="s">
        <v>442</v>
      </c>
    </row>
    <row r="50" spans="3:4">
      <c r="C50" s="15">
        <v>46115</v>
      </c>
      <c r="D50" s="9" t="s">
        <v>444</v>
      </c>
    </row>
    <row r="51" spans="3:4">
      <c r="C51" s="15">
        <v>46118</v>
      </c>
      <c r="D51" s="9" t="s">
        <v>446</v>
      </c>
    </row>
    <row r="52" spans="3:4">
      <c r="C52" s="15">
        <v>46139</v>
      </c>
      <c r="D52" s="9" t="s">
        <v>448</v>
      </c>
    </row>
    <row r="53" spans="3:4">
      <c r="C53" s="15">
        <v>46143</v>
      </c>
      <c r="D53" s="9" t="s">
        <v>450</v>
      </c>
    </row>
    <row r="54" spans="3:4">
      <c r="C54" s="15">
        <v>46189</v>
      </c>
      <c r="D54" s="9" t="s">
        <v>451</v>
      </c>
    </row>
    <row r="55" spans="3:4">
      <c r="C55" s="15">
        <v>46243</v>
      </c>
      <c r="D55" s="9" t="s">
        <v>452</v>
      </c>
    </row>
    <row r="56" spans="3:4">
      <c r="C56" s="15">
        <v>46244</v>
      </c>
      <c r="D56" s="9" t="s">
        <v>459</v>
      </c>
    </row>
    <row r="57" spans="3:4">
      <c r="C57" s="15">
        <v>46289</v>
      </c>
      <c r="D57" s="9" t="s">
        <v>453</v>
      </c>
    </row>
    <row r="58" spans="3:4">
      <c r="C58" s="15">
        <v>46372</v>
      </c>
      <c r="D58" s="9" t="s">
        <v>454</v>
      </c>
    </row>
    <row r="59" spans="3:4">
      <c r="C59" s="15">
        <v>46381</v>
      </c>
      <c r="D59" s="9" t="s">
        <v>456</v>
      </c>
    </row>
    <row r="60" spans="3:4" ht="13" thickBot="1">
      <c r="C60" s="16">
        <v>46382</v>
      </c>
      <c r="D60" s="9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9acfecf2-4047-4d7b-9ec8-592b51a52bf7"/>
    <ds:schemaRef ds:uri="ab964f2b-203c-4425-a556-91316bb05fea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2026-02-18T11:59:59Z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