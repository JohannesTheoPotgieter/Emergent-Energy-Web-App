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2" documentId="6_{E157CBFA-00D7-4F4F-B939-4A387270890B}" xr6:coauthVersionLast="47" xr6:coauthVersionMax="47" xr10:uidLastSave="{E8C45DAF-699C-42DF-AFEE-4A6B3791AD9B}"/>
  <bookViews>
    <workbookView minimized="1" xWindow="1400" yWindow="1490" windowWidth="14400" windowHeight="8180" tabRatio="878" firstSheet="7" activeTab="7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6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98" i="18"/>
  <c r="W163" i="18" s="1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W66" i="18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W39" i="18"/>
  <c r="JQ11" i="6" s="1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<sst xmlns="http://schemas.openxmlformats.org/spreadsheetml/2006/main" count="871" uniqueCount="500">
  <si>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</si>
  <si>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</si>
  <si>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</si>
  <si>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</si>
  <si>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</si>
  <si>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</si>
  <si>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</si>
  <si>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</si>
  <si>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</si>
  <si>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</si>
  <si>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</si>
  <si>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</si>
  <si>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</si>
  <si>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</si>
  <si>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</si>
  <si>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</si>
  <si>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</si>
  <si>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</si>
  <si>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</si>
  <si>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</si>
  <si>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</si>
  <si>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</si>
  <si>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</si>
  <si>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</si>
  <si>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</si>
  <si>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</si>
  <si>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</si>
  <si>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</si>
  <si>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</si>
  <si>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</si>
  <si>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</si>
  <si>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</si>
  <si>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</si>
  <si>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</si>
  <si>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</si>
  <si>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</si>
  <si>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</si>
  <si>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</si>
  <si>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</si>
  <si>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</si>
  <si>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</si>
  <si>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</si>
  <si>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</si>
  <si>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</si>
  <si>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</si>
  <si>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</si>
  <si>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</si>
  <si>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</si>
  <si>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</si>
  <si>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</si>
  <si>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</si>
  <si>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</si>
  <si>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</si>
  <si>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</si>
  <si>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</si>
  <si>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</si>
  <si>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</si>
  <si>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</si>
  <si>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</si>
  <si>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</si>
  <si>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</si>
  <si>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</si>
  <si>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</si>
  <si>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</si>
  <si>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</si>
  <si>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</si>
  <si>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</si>
  <si>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</si>
  <si>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</si>
  <si>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</si>
  <si>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</si>
  <si>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</si>
  <si>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</si>
  <si>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</si>
  <si>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</si>
  <si>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</si>
  <si>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</si>
  <si>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</si>
  <si>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</si>
  <si>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</si>
  <si>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</si>
  <si>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</si>
  <si>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</si>
  <si>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</si>
  <si>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</si>
  <si>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</si>
  <si>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</si>
  <si>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</si>
  <si>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</si>
  <si>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</si>
  <si>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</si>
  <si>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</si>
  <si>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</si>
  <si>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</si>
  <si>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</si>
  <si>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</si>
  <si>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</si>
  <si>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</si>
  <si>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</si>
  <si>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</si>
  <si>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</si>
  <si>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</si>
  <si>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</si>
  <si>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</si>
  <si>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</si>
  <si>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</si>
  <si>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</si>
  <si>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</si>
  <si>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</si>
  <si>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</si>
  <si>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</si>
  <si>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</si>
  <si>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</si>
  <si>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</si>
  <si>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</si>
  <si>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</si>
  <si>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</si>
  <si>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</si>
  <si>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</si>
  <si>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</si>
  <si>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</si>
  <si>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</si>
  <si>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</si>
  <si>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</si>
  <si>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</si>
  <si>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</si>
  <si>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</si>
  <si>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</si>
  <si>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</si>
  <si>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</si>
  <si>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</si>
  <si>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</si>
  <si>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</si>
  <si>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</si>
  <si>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</si>
  <si>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</si>
  <si>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</si>
  <si>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</si>
  <si>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</si>
  <si>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</si>
  <si>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</si>
  <si>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</si>
  <si>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</si>
  <si>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</si>
  <si>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</si>
  <si>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</si>
  <si>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</si>
  <si>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</si>
  <si>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</si>
  <si>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</si>
  <si>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</si>
  <si>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</si>
  <si>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</si>
  <si>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</si>
  <si>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</si>
  <si>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</si>
  <si>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</si>
  <si>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</si>
  <si>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</si>
  <si>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</si>
  <si>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</si>
  <si>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</si>
  <si>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</si>
  <si>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</si>
  <si>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</si>
  <si>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</si>
  <si>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</si>
  <si>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</si>
  <si>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</si>
  <si>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</si>
  <si>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</si>
  <si>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</si>
  <si>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</si>
  <si>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</si>
  <si>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</si>
  <si>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</si>
  <si>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</si>
  <si>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</si>
  <si>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</si>
  <si>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</si>
  <si>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</si>
  <si>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</si>
  <si>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</si>
  <si>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</si>
  <si>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</si>
  <si>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</si>
  <si>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</si>
  <si>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</si>
  <si>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</si>
  <si>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</si>
  <si>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</si>
  <si>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</si>
  <si>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</si>
  <si>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</si>
  <si>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</si>
  <si>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</si>
  <si>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</si>
  <si>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</si>
  <si>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</si>
  <si>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</si>
  <si>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</si>
  <si>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</si>
  <si>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</si>
  <si>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</si>
  <si>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</si>
  <si>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</si>
  <si>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</si>
  <si>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</si>
  <si>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</si>
  <si>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</si>
  <si>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</si>
  <si>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</si>
  <si>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</si>
  <si>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</si>
  <si>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</si>
  <si>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</si>
  <si>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</si>
  <si>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</si>
  <si>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</si>
  <si>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</si>
  <si>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</si>
  <si>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</si>
  <si>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</si>
  <si>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</si>
  <si>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</si>
  <si>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</si>
  <si>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</si>
  <si>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</si>
  <si>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</si>
  <si>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</si>
  <si>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</si>
  <si>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</si>
  <si>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</si>
  <si>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</si>
  <si>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</si>
  <si>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</si>
  <si>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</si>
  <si>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</si>
  <si>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</si>
  <si>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</si>
  <si>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</si>
  <si>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</si>
  <si>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</si>
  <si>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</si>
  <si>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</si>
  <si>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</si>
  <si>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</si>
  <si>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</si>
  <si>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</si>
  <si>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</si>
  <si>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</si>
  <si>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</si>
  <si>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</si>
  <si>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</si>
  <si>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</si>
  <si>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</si>
  <si>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</si>
  <si>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</si>
  <si>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</si>
  <si>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</si>
  <si>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</si>
  <si>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</si>
  <si>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</si>
  <si>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</si>
  <si>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</si>
  <si>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</si>
  <si>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</si>
  <si>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</si>
  <si>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</si>
  <si>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</si>
  <si>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</si>
  <si>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</si>
  <si>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</si>
  <si>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</si>
  <si>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</si>
  <si>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</si>
  <si>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</si>
  <si>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</si>
  <si>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</si>
  <si>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</si>
  <si>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</si>
  <si>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</si>
  <si>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</si>
  <si>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</si>
  <si>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</si>
  <si>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</si>
  <si>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</si>
  <si>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</si>
  <si>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</si>
  <si>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</si>
  <si>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</si>
  <si>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</si>
  <si>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</si>
  <si>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</si>
  <si>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</si>
  <si>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</si>
  <si>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</si>
  <si>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</si>
  <si>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</si>
  <si>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</si>
  <si>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</si>
  <si>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</si>
  <si>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</si>
  <si>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</si>
  <si>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</si>
  <si>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</si>
  <si>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</si>
  <si>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</si>
  <si>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</si>
  <si>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</si>
  <si>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</si>
  <si>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</si>
  <si>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</si>
  <si>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</si>
  <si>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</si>
  <si>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</si>
  <si>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</si>
  <si>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</si>
  <si>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</si>
  <si>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</si>
  <si>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</si>
  <si>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</si>
  <si>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</si>
  <si>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</si>
  <si>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</si>
  <si>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</si>
  <si>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</si>
  <si>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</si>
  <si>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</si>
  <si>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</si>
  <si>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</si>
  <si>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</si>
  <si>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</si>
  <si>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</si>
  <si>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</si>
  <si>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</si>
  <si>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</si>
  <si>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</si>
  <si>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</si>
  <si>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</si>
  <si>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</si>
  <si>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</si>
  <si>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</si>
  <si>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</si>
  <si>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</si>
  <si>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</si>
  <si>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</si>
  <si>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</si>
  <si>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</si>
  <si>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</si>
  <si>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Modification of inverter cage</t>
  </si>
  <si>
    <t>PO4574-MAROC-20260126 - RV Approved</t>
  </si>
  <si>
    <t>The Engineering Hub INV/2026/01/0253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</si>
  <si>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</si>
  <si>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</si>
  <si>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</si>
  <si>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</si>
  <si>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</si>
  <si>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</si>
  <si>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</si>
  <si>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</si>
  <si>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</si>
  <si>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</si>
  <si>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</si>
  <si>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</si>
  <si>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</si>
  <si>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</si>
  <si>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</si>
  <si>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</si>
  <si>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</si>
  <si>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</si>
  <si>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JerryG &amp; Sons INV25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</si>
  <si>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</si>
  <si>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</si>
  <si>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</si>
  <si>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</si>
  <si>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</si>
  <si>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</si>
  <si>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</si>
  <si>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</si>
  <si>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</si>
  <si>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</si>
  <si>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</si>
  <si>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</si>
  <si>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</si>
  <si>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</si>
  <si>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</si>
  <si>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</si>
  <si>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</si>
  <si>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</si>
  <si>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</si>
  <si>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</si>
  <si>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</si>
  <si>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</si>
  <si>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</si>
  <si>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</si>
  <si>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</si>
  <si>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</si>
  <si>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</si>
  <si>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</si>
  <si>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</si>
  <si>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</si>
  <si>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</si>
  <si>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</si>
  <si>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Delays and standing time - VO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</si>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</sst>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1612924.845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424181.15500000003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5723958337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6-01-31T00:00:00"/>
        <d v="2025-08-31T00:00:00"/>
        <d v="2025-11-30T00:00:00"/>
        <d v="2025-12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9T00:00:00"/>
    <m/>
  </r>
  <r>
    <n v="4"/>
    <x v="4"/>
    <s v="Handover Document Complete"/>
    <m/>
    <n v="0.05"/>
    <n v="1921.7065"/>
    <m/>
    <s v="Greenway Solar - INV0001424"/>
    <x v="3"/>
    <n v="3617.834470189664"/>
    <m/>
    <d v="2026-02-05T00:00:00"/>
    <m/>
  </r>
  <r>
    <n v="4"/>
    <x v="4"/>
    <s v="End of Defects Period"/>
    <m/>
    <n v="0.05"/>
    <n v="1921.7065"/>
    <m/>
    <s v="Greenway Solar - INV0001424"/>
    <x v="3"/>
    <n v="3617.834470189664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9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2-05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44450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s v="Modification of inverter cage"/>
    <m/>
    <m/>
    <n v="6089"/>
    <s v="PO4574-MAROC-20260126 - RV Approved"/>
    <s v="The Engineering Hub INV/2026/01/0253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9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9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2-05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1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10"/>
    <m/>
    <m/>
    <d v="2025-11-28T00:00:00"/>
    <m/>
  </r>
  <r>
    <n v="10"/>
    <x v="10"/>
    <s v="Security - December"/>
    <m/>
    <m/>
    <n v="41230"/>
    <m/>
    <s v="JerryG&amp; Sons INV23"/>
    <x v="11"/>
    <m/>
    <m/>
    <d v="2026-01-09T00:00:00"/>
    <m/>
  </r>
  <r>
    <n v="10"/>
    <x v="10"/>
    <s v="Security - January"/>
    <m/>
    <m/>
    <n v="33900"/>
    <m/>
    <s v="JerryG &amp; Sons INV25"/>
    <x v="8"/>
    <m/>
    <m/>
    <d v="2026-01-29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9T00:00:00"/>
    <m/>
  </r>
  <r>
    <n v="10"/>
    <x v="10"/>
    <s v="Handover Document Complete"/>
    <m/>
    <n v="0.05"/>
    <n v="2354.9"/>
    <m/>
    <s v="Greenway Solar - INV0001424"/>
    <x v="3"/>
    <n v="1509.8025065554809"/>
    <m/>
    <d v="2026-02-05T00:00:00"/>
    <m/>
  </r>
  <r>
    <n v="10"/>
    <x v="10"/>
    <s v="End of Defects Period"/>
    <m/>
    <n v="0.05"/>
    <n v="2354.9"/>
    <m/>
    <s v="Greenway Solar - INV0001424"/>
    <x v="3"/>
    <n v="1509.8025065554809"/>
    <m/>
    <d v="2026-03-07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9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10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9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 - VO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3-07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1" t="s">
        <v>57</v>
      </c>
      <c r="E47" s="711"/>
      <c r="F47" s="712"/>
      <c r="G47" s="67"/>
      <c r="I47" s="68"/>
      <c r="J47" s="68"/>
    </row>
    <row r="48" spans="1:49" ht="14.45" thickBot="1">
      <c r="C48" s="69">
        <v>44014</v>
      </c>
      <c r="D48" s="713"/>
      <c r="E48" s="713"/>
      <c r="F48" s="71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715" t="s">
        <v>58</v>
      </c>
      <c r="C2" s="716"/>
      <c r="D2" s="716"/>
      <c r="E2" s="716"/>
      <c r="F2" s="71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5" t="s">
        <v>69</v>
      </c>
      <c r="C16" s="716"/>
      <c r="D16" s="716"/>
      <c r="E16" s="716"/>
      <c r="F16" s="71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720" t="s">
        <v>73</v>
      </c>
      <c r="C2" s="720"/>
      <c r="D2" s="720"/>
      <c r="E2" s="720"/>
      <c r="H2" s="721" t="s">
        <v>74</v>
      </c>
      <c r="I2" s="722"/>
      <c r="J2" s="722"/>
      <c r="K2" s="722"/>
      <c r="L2" s="722"/>
      <c r="M2" s="722"/>
      <c r="N2" s="722"/>
      <c r="O2" s="723"/>
    </row>
    <row r="3" spans="2:15">
      <c r="B3" s="679"/>
      <c r="H3" s="724"/>
      <c r="I3" s="725"/>
      <c r="J3" s="725"/>
      <c r="K3" s="725"/>
      <c r="L3" s="725"/>
      <c r="M3" s="725"/>
      <c r="N3" s="725"/>
      <c r="O3" s="726"/>
    </row>
    <row r="4" spans="2:15">
      <c r="B4" s="680" t="s">
        <v>75</v>
      </c>
      <c r="C4" s="681" t="str">
        <f>'Project Plan'!E2</f>
        <v>Marikana Old Church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0" t="s">
        <v>76</v>
      </c>
      <c r="C5" s="681" t="s">
        <v>77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0" t="s">
        <v>78</v>
      </c>
      <c r="C6" s="681" t="s">
        <v>79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0" t="s">
        <v>80</v>
      </c>
      <c r="C7" s="681" t="s">
        <v>81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79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82</v>
      </c>
      <c r="C9" s="730"/>
      <c r="D9" s="730"/>
      <c r="E9" s="73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4"/>
      <c r="I9" s="725"/>
      <c r="J9" s="725"/>
      <c r="K9" s="725"/>
      <c r="L9" s="725"/>
      <c r="M9" s="725"/>
      <c r="N9" s="725"/>
      <c r="O9" s="726"/>
    </row>
    <row r="10" spans="2:15" ht="15" thickBot="1">
      <c r="B10" s="730" t="s">
        <v>83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2" t="s">
        <v>84</v>
      </c>
      <c r="C11" s="718" t="s">
        <v>85</v>
      </c>
      <c r="D11" s="718"/>
      <c r="E11" s="718"/>
    </row>
    <row r="12" spans="2:15">
      <c r="B12" s="682" t="s">
        <v>86</v>
      </c>
      <c r="C12" s="718" t="s">
        <v>85</v>
      </c>
      <c r="D12" s="718"/>
      <c r="E12" s="718"/>
    </row>
    <row r="13" spans="2:15">
      <c r="B13" s="682" t="s">
        <v>87</v>
      </c>
      <c r="C13" s="718" t="s">
        <v>85</v>
      </c>
      <c r="D13" s="718"/>
      <c r="E13" s="718"/>
    </row>
    <row r="14" spans="2:15">
      <c r="B14" s="682" t="s">
        <v>88</v>
      </c>
      <c r="C14" s="718" t="s">
        <v>89</v>
      </c>
      <c r="D14" s="718"/>
      <c r="E14" s="718"/>
    </row>
    <row r="15" spans="2:15">
      <c r="B15" s="682" t="s">
        <v>90</v>
      </c>
      <c r="C15" s="718" t="s">
        <v>91</v>
      </c>
      <c r="D15" s="718"/>
      <c r="E15" s="718"/>
    </row>
    <row r="16" spans="2:15" ht="15" customHeight="1">
      <c r="B16" s="682" t="s">
        <v>92</v>
      </c>
      <c r="C16" s="718" t="s">
        <v>93</v>
      </c>
      <c r="D16" s="718"/>
      <c r="E16" s="718"/>
    </row>
    <row r="17" spans="2:5">
      <c r="B17" s="679"/>
    </row>
    <row r="18" spans="2:5">
      <c r="B18" s="719" t="s">
        <v>94</v>
      </c>
      <c r="C18" s="719"/>
      <c r="D18" s="719"/>
      <c r="E18" s="719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2578125" defaultRowHeight="14.45"/>
  <cols>
    <col min="1" max="1" width="5.28515625" style="93" customWidth="1"/>
    <col min="2" max="2" width="5.285156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7109375" style="129" bestFit="1" customWidth="1"/>
    <col min="8" max="8" width="15.42578125" style="129" customWidth="1"/>
    <col min="9" max="9" width="1.7109375" style="129" customWidth="1"/>
    <col min="10" max="10" width="3.7109375" style="93" customWidth="1"/>
    <col min="11" max="11" width="1.7109375" style="175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8.28515625" style="129" bestFit="1" customWidth="1"/>
    <col min="17" max="17" width="14.7109375" style="129" bestFit="1" customWidth="1"/>
    <col min="18" max="18" width="19" style="129" customWidth="1"/>
    <col min="19" max="19" width="15.5703125" style="93" bestFit="1" customWidth="1"/>
    <col min="20" max="20" width="18.28515625" style="129" bestFit="1" customWidth="1"/>
    <col min="21" max="21" width="14.7109375" style="93" bestFit="1" customWidth="1"/>
    <col min="22" max="23" width="8.42578125" style="93"/>
    <col min="24" max="24" width="5.285156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2.95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115</v>
      </c>
      <c r="H5" s="93" t="s">
        <v>116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117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118</v>
      </c>
    </row>
    <row r="7" spans="1:21" s="93" customFormat="1" ht="15" customHeight="1" thickBot="1">
      <c r="B7" s="352">
        <v>4</v>
      </c>
      <c r="C7" s="353" t="s">
        <v>119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120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121</v>
      </c>
      <c r="C12" s="132" t="s">
        <v>122</v>
      </c>
      <c r="D12" s="133"/>
      <c r="E12" s="131" t="s">
        <v>123</v>
      </c>
      <c r="F12" s="131" t="s">
        <v>124</v>
      </c>
      <c r="H12" s="357" t="s">
        <v>125</v>
      </c>
      <c r="J12" s="141"/>
      <c r="L12" s="166" t="s">
        <v>126</v>
      </c>
      <c r="M12" s="134"/>
      <c r="N12" s="166" t="s">
        <v>127</v>
      </c>
      <c r="O12" s="129"/>
      <c r="P12" s="166" t="s">
        <v>128</v>
      </c>
      <c r="R12" s="379" t="s">
        <v>129</v>
      </c>
    </row>
    <row r="13" spans="1:21" s="93" customFormat="1" ht="12.95">
      <c r="B13" s="352">
        <v>1</v>
      </c>
      <c r="C13" s="733" t="s">
        <v>130</v>
      </c>
      <c r="D13" s="734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131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6">
      <c r="B14" s="154">
        <v>2</v>
      </c>
      <c r="C14" s="733" t="s">
        <v>132</v>
      </c>
      <c r="D14" s="734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131</v>
      </c>
      <c r="N14" s="138">
        <v>45778</v>
      </c>
      <c r="O14" s="129"/>
      <c r="P14" s="138">
        <v>45842</v>
      </c>
      <c r="R14" s="380"/>
    </row>
    <row r="15" spans="1:21" s="93" customFormat="1" ht="12.6">
      <c r="B15" s="352">
        <v>3</v>
      </c>
      <c r="C15" s="733" t="s">
        <v>133</v>
      </c>
      <c r="D15" s="734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131</v>
      </c>
      <c r="N15" s="138">
        <v>45778</v>
      </c>
      <c r="O15" s="129"/>
      <c r="P15" s="138">
        <v>45842</v>
      </c>
      <c r="R15" s="380"/>
    </row>
    <row r="16" spans="1:21" s="93" customFormat="1" ht="12.6">
      <c r="B16" s="352">
        <v>4</v>
      </c>
      <c r="C16" s="731" t="s">
        <v>134</v>
      </c>
      <c r="D16" s="732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131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2.6">
      <c r="B17" s="352">
        <v>5</v>
      </c>
      <c r="C17" s="731" t="s">
        <v>135</v>
      </c>
      <c r="D17" s="732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131</v>
      </c>
      <c r="N17" s="138">
        <v>45778</v>
      </c>
      <c r="O17" s="129"/>
      <c r="P17" s="138">
        <v>45954</v>
      </c>
      <c r="R17" s="380"/>
    </row>
    <row r="18" spans="2:18" s="93" customFormat="1" ht="12.6">
      <c r="B18" s="352">
        <v>6</v>
      </c>
      <c r="C18" s="731" t="s">
        <v>54</v>
      </c>
      <c r="D18" s="732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131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2.6">
      <c r="B19" s="352">
        <v>7</v>
      </c>
      <c r="C19" s="733" t="s">
        <v>136</v>
      </c>
      <c r="D19" s="73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2.95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137</v>
      </c>
      <c r="C23" s="145" t="s">
        <v>138</v>
      </c>
      <c r="D23" s="145"/>
      <c r="F23" s="146"/>
    </row>
    <row r="24" spans="2:18" s="93" customFormat="1" ht="12.6">
      <c r="C24" s="147" t="s">
        <v>139</v>
      </c>
      <c r="D24" s="148"/>
      <c r="F24" s="149"/>
    </row>
    <row r="25" spans="2:18" s="93" customFormat="1" ht="12.6">
      <c r="C25" s="147" t="s">
        <v>140</v>
      </c>
      <c r="D25" s="148"/>
    </row>
    <row r="26" spans="2:18" s="93" customFormat="1" ht="12.6">
      <c r="C26" s="150" t="s">
        <v>141</v>
      </c>
      <c r="D26" s="151"/>
    </row>
    <row r="27" spans="2:18" s="93" customFormat="1" ht="12.6">
      <c r="C27" s="152" t="s">
        <v>142</v>
      </c>
      <c r="D27" s="148"/>
    </row>
    <row r="28" spans="2:18" s="93" customFormat="1" ht="12.6">
      <c r="B28" s="117"/>
      <c r="C28" s="152" t="s">
        <v>143</v>
      </c>
      <c r="D28" s="148"/>
    </row>
    <row r="29" spans="2:18" s="93" customFormat="1" ht="12.6">
      <c r="B29" s="117"/>
      <c r="C29" s="93" t="s">
        <v>144</v>
      </c>
    </row>
    <row r="30" spans="2:18" s="93" customFormat="1" ht="27.75" customHeight="1">
      <c r="B30" s="117"/>
      <c r="C30" s="153" t="s">
        <v>145</v>
      </c>
      <c r="D30" s="153"/>
      <c r="F30" s="149"/>
    </row>
    <row r="31" spans="2:18" s="93" customFormat="1" ht="12.6">
      <c r="B31" s="117"/>
      <c r="F31" s="146"/>
    </row>
    <row r="32" spans="2:18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121</v>
      </c>
      <c r="C40" s="132" t="s">
        <v>122</v>
      </c>
      <c r="D40" s="133"/>
      <c r="E40" s="131" t="s">
        <v>123</v>
      </c>
      <c r="F40" s="131" t="s">
        <v>124</v>
      </c>
    </row>
    <row r="41" spans="2:6" s="93" customFormat="1" ht="12.75" hidden="1" customHeight="1">
      <c r="B41" s="154">
        <v>1</v>
      </c>
      <c r="C41" s="155" t="s">
        <v>146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132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133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147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148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D6" sqref="D6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28515625" style="112" customWidth="1"/>
    <col min="14" max="14" width="10.7109375" style="112" bestFit="1" customWidth="1"/>
    <col min="15" max="15" width="39.42578125" style="112" bestFit="1" customWidth="1"/>
    <col min="16" max="16" width="1.42578125" style="112" customWidth="1"/>
    <col min="17" max="17" width="5.285156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46064</v>
      </c>
      <c r="O1" s="405">
        <f ca="1">TODAY()</f>
        <v>46064</v>
      </c>
      <c r="Q1" s="3"/>
    </row>
    <row r="2" spans="2:28">
      <c r="B2" s="176"/>
      <c r="C2" s="177" t="s">
        <v>0</v>
      </c>
      <c r="D2" s="178"/>
      <c r="E2" s="735" t="s">
        <v>149</v>
      </c>
      <c r="F2" s="736"/>
      <c r="G2" s="736"/>
      <c r="H2" s="737"/>
      <c r="N2" s="406">
        <v>0</v>
      </c>
      <c r="O2" s="406">
        <v>1</v>
      </c>
    </row>
    <row r="3" spans="2:28" s="112" customFormat="1">
      <c r="B3" s="179"/>
      <c r="C3" s="180" t="s">
        <v>150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151</v>
      </c>
      <c r="D4" s="178"/>
      <c r="E4" s="738" t="s">
        <v>81</v>
      </c>
      <c r="F4" s="739"/>
      <c r="G4" s="739"/>
      <c r="H4" s="740"/>
      <c r="J4" s="113"/>
      <c r="Q4" s="3"/>
    </row>
    <row r="5" spans="2:28" s="112" customFormat="1">
      <c r="B5" s="179"/>
      <c r="C5" s="180" t="s">
        <v>152</v>
      </c>
      <c r="D5" s="178"/>
      <c r="E5" s="738" t="s">
        <v>153</v>
      </c>
      <c r="F5" s="739"/>
      <c r="G5" s="739"/>
      <c r="H5" s="740"/>
      <c r="J5" s="113"/>
      <c r="Q5" s="3"/>
    </row>
    <row r="6" spans="2:28">
      <c r="B6" s="184"/>
      <c r="C6" s="185" t="s">
        <v>154</v>
      </c>
      <c r="D6" s="178"/>
      <c r="E6" s="741">
        <v>2037106</v>
      </c>
      <c r="F6" s="742"/>
      <c r="G6" s="742"/>
      <c r="H6" s="743"/>
    </row>
    <row r="7" spans="2:28" s="112" customFormat="1">
      <c r="B7" s="167"/>
      <c r="C7" s="706" t="s">
        <v>155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47" t="s">
        <v>121</v>
      </c>
      <c r="C8" s="748" t="s">
        <v>156</v>
      </c>
      <c r="D8" s="215"/>
      <c r="E8" s="746" t="s">
        <v>157</v>
      </c>
      <c r="F8" s="237" t="s">
        <v>158</v>
      </c>
      <c r="G8" s="746" t="s">
        <v>159</v>
      </c>
      <c r="H8" s="238"/>
      <c r="I8" s="746" t="s">
        <v>160</v>
      </c>
      <c r="J8" s="237" t="s">
        <v>158</v>
      </c>
      <c r="K8" s="746" t="s">
        <v>161</v>
      </c>
      <c r="M8" s="412" t="s">
        <v>60</v>
      </c>
      <c r="N8" s="674" t="s">
        <v>162</v>
      </c>
      <c r="O8" s="744" t="s">
        <v>163</v>
      </c>
      <c r="Z8" s="112"/>
      <c r="AA8" s="112"/>
      <c r="AB8" s="112"/>
    </row>
    <row r="9" spans="2:28">
      <c r="B9" s="747"/>
      <c r="C9" s="748"/>
      <c r="D9" s="215"/>
      <c r="E9" s="746"/>
      <c r="F9" s="126">
        <f>G41-E19</f>
        <v>33</v>
      </c>
      <c r="G9" s="746"/>
      <c r="H9" s="238"/>
      <c r="I9" s="746"/>
      <c r="J9" s="127">
        <f>K41-I19</f>
        <v>77</v>
      </c>
      <c r="K9" s="746"/>
      <c r="M9" s="362">
        <f>AVERAGE(M11,M18,M21,M28,M35,M39,M46,M43)</f>
        <v>0.97685185185185186</v>
      </c>
      <c r="N9" s="362">
        <f ca="1">AVERAGE(N11,N18,N21,N28,N35,N39,N46,N43)</f>
        <v>1</v>
      </c>
      <c r="O9" s="74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164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165</v>
      </c>
      <c r="C12" s="249" t="s">
        <v>166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167</v>
      </c>
      <c r="C13" s="249" t="s">
        <v>168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169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170</v>
      </c>
      <c r="C15" s="249" t="s">
        <v>171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172</v>
      </c>
      <c r="C16" s="249" t="s">
        <v>173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174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175</v>
      </c>
      <c r="C19" s="249" t="s">
        <v>176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177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178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179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180</v>
      </c>
      <c r="C22" s="249" t="s">
        <v>181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182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183</v>
      </c>
      <c r="C23" s="249" t="s">
        <v>184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185</v>
      </c>
      <c r="C24" s="249" t="s">
        <v>186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187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188</v>
      </c>
      <c r="C26" s="249" t="s">
        <v>189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190</v>
      </c>
      <c r="C29" s="249" t="s">
        <v>191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190</v>
      </c>
      <c r="C30" s="249" t="s">
        <v>192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193</v>
      </c>
      <c r="C31" s="249" t="s">
        <v>194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195</v>
      </c>
      <c r="C32" s="249" t="s">
        <v>196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195</v>
      </c>
      <c r="C33" s="243" t="s">
        <v>197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198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199</v>
      </c>
      <c r="C36" s="249" t="s">
        <v>200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201</v>
      </c>
      <c r="C37" s="249" t="s">
        <v>202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203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204</v>
      </c>
      <c r="C40" s="243" t="s">
        <v>203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205</v>
      </c>
      <c r="C41" s="243" t="s">
        <v>206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207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208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209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0.81481481481481477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210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211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212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213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214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5"/>
        <v>1</v>
      </c>
      <c r="O51" s="122" t="s">
        <v>215</v>
      </c>
      <c r="Y51" s="24"/>
    </row>
    <row r="52" spans="2:28">
      <c r="B52" s="248">
        <v>8.6</v>
      </c>
      <c r="C52" s="243" t="s">
        <v>216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217</v>
      </c>
      <c r="F2" s="83" t="s">
        <v>218</v>
      </c>
    </row>
    <row r="3" spans="3:8">
      <c r="C3" s="79">
        <v>45658</v>
      </c>
      <c r="D3" s="73" t="s">
        <v>219</v>
      </c>
      <c r="F3" s="81" t="s">
        <v>220</v>
      </c>
    </row>
    <row r="4" spans="3:8">
      <c r="C4" s="79">
        <v>45737</v>
      </c>
      <c r="D4" s="73" t="s">
        <v>221</v>
      </c>
      <c r="F4" s="81" t="s">
        <v>222</v>
      </c>
    </row>
    <row r="5" spans="3:8">
      <c r="C5" s="79">
        <v>45765</v>
      </c>
      <c r="D5" s="73" t="s">
        <v>223</v>
      </c>
      <c r="F5" s="81" t="s">
        <v>224</v>
      </c>
    </row>
    <row r="6" spans="3:8" ht="12.95" thickBot="1">
      <c r="C6" s="79">
        <v>45768</v>
      </c>
      <c r="D6" s="73" t="s">
        <v>225</v>
      </c>
      <c r="F6" s="82" t="s">
        <v>226</v>
      </c>
    </row>
    <row r="7" spans="3:8">
      <c r="C7" s="79">
        <v>45774</v>
      </c>
      <c r="D7" s="73" t="s">
        <v>227</v>
      </c>
    </row>
    <row r="8" spans="3:8">
      <c r="C8" s="79">
        <v>45765</v>
      </c>
      <c r="D8" s="73" t="s">
        <v>228</v>
      </c>
    </row>
    <row r="9" spans="3:8">
      <c r="C9" s="79">
        <v>45778</v>
      </c>
      <c r="D9" s="73" t="s">
        <v>229</v>
      </c>
    </row>
    <row r="10" spans="3:8">
      <c r="C10" s="79">
        <v>45824</v>
      </c>
      <c r="D10" s="73" t="s">
        <v>230</v>
      </c>
    </row>
    <row r="11" spans="3:8">
      <c r="C11" s="79">
        <v>45878</v>
      </c>
      <c r="D11" s="73" t="s">
        <v>231</v>
      </c>
    </row>
    <row r="12" spans="3:8">
      <c r="C12" s="79">
        <v>45924</v>
      </c>
      <c r="D12" s="73" t="s">
        <v>232</v>
      </c>
    </row>
    <row r="13" spans="3:8">
      <c r="C13" s="79">
        <v>46007</v>
      </c>
      <c r="D13" s="73" t="s">
        <v>233</v>
      </c>
      <c r="F13" s="85"/>
      <c r="H13" s="73" t="s">
        <v>234</v>
      </c>
    </row>
    <row r="14" spans="3:8">
      <c r="C14" s="79">
        <v>46016</v>
      </c>
      <c r="D14" s="73" t="s">
        <v>235</v>
      </c>
    </row>
    <row r="15" spans="3:8" ht="12.95" thickBot="1">
      <c r="C15" s="80">
        <v>46017</v>
      </c>
      <c r="D1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H7" sqref="H7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710937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9"/>
      <c r="C4" s="749"/>
      <c r="D4" s="749"/>
      <c r="E4" s="414"/>
      <c r="F4" s="220" t="s">
        <v>102</v>
      </c>
      <c r="G4" s="215"/>
      <c r="H4" s="220" t="s">
        <v>103</v>
      </c>
      <c r="I4" s="215"/>
      <c r="J4" s="221" t="s">
        <v>238</v>
      </c>
      <c r="K4" s="112"/>
      <c r="L4" s="112"/>
    </row>
    <row r="5" spans="1:12" ht="14.45" thickBot="1">
      <c r="A5" s="215"/>
      <c r="B5" s="750" t="s">
        <v>239</v>
      </c>
      <c r="C5" s="750"/>
      <c r="D5" s="750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121</v>
      </c>
      <c r="C7" s="226"/>
      <c r="D7" s="225" t="s">
        <v>240</v>
      </c>
      <c r="E7" s="226"/>
      <c r="F7" s="227" t="s">
        <v>241</v>
      </c>
      <c r="G7" s="228"/>
      <c r="H7" s="227" t="s">
        <v>242</v>
      </c>
      <c r="I7" s="228"/>
      <c r="J7" s="227" t="s">
        <v>243</v>
      </c>
      <c r="K7" s="172"/>
      <c r="L7" s="115" t="s">
        <v>244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M1" zoomScale="85" zoomScaleNormal="85" workbookViewId="0">
      <pane ySplit="4" topLeftCell="P150" activePane="bottomLeft" state="frozen"/>
      <selection pane="bottomLeft" activeCell="S152" sqref="S152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5703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28515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7109375" style="112" customWidth="1"/>
    <col min="17" max="17" width="17.42578125" style="112" customWidth="1"/>
    <col min="18" max="18" width="49.7109375" style="112" bestFit="1" customWidth="1"/>
    <col min="19" max="19" width="38" style="112" bestFit="1" customWidth="1"/>
    <col min="20" max="23" width="17.42578125" style="112" customWidth="1"/>
    <col min="24" max="24" width="21.28515625" style="112" customWidth="1"/>
    <col min="25" max="25" width="29.42578125" style="112" bestFit="1" customWidth="1"/>
    <col min="26" max="26" width="24.7109375" style="112" bestFit="1" customWidth="1"/>
    <col min="27" max="76" width="17.710937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91" t="s">
        <v>246</v>
      </c>
      <c r="C2" s="792"/>
      <c r="D2" s="792"/>
      <c r="E2" s="792"/>
      <c r="F2" s="792"/>
      <c r="G2" s="792"/>
      <c r="H2" s="673"/>
      <c r="I2" s="258">
        <f>SUM(I6:I166)</f>
        <v>1814310.4740773505</v>
      </c>
      <c r="J2" s="258">
        <f>SUM(J6:J166)</f>
        <v>2037105.6725337615</v>
      </c>
      <c r="L2" s="793" t="s">
        <v>247</v>
      </c>
      <c r="M2" s="794"/>
      <c r="N2" s="794"/>
      <c r="O2" s="794"/>
      <c r="P2" s="794"/>
      <c r="Q2" s="794"/>
      <c r="R2" s="795" t="s">
        <v>248</v>
      </c>
      <c r="S2" s="796"/>
      <c r="T2" s="796"/>
      <c r="U2" s="796"/>
      <c r="V2" s="796"/>
      <c r="W2" s="797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6" thickBot="1">
      <c r="A4" s="165"/>
      <c r="B4" s="259" t="s">
        <v>249</v>
      </c>
      <c r="C4" s="260" t="s">
        <v>250</v>
      </c>
      <c r="D4" s="260" t="s">
        <v>251</v>
      </c>
      <c r="E4" s="260" t="s">
        <v>252</v>
      </c>
      <c r="F4" s="466" t="s">
        <v>253</v>
      </c>
      <c r="G4" s="261" t="s">
        <v>254</v>
      </c>
      <c r="H4" s="372" t="s">
        <v>255</v>
      </c>
      <c r="I4" s="262" t="s">
        <v>256</v>
      </c>
      <c r="J4" s="262" t="str">
        <f>IF(J2-'Revenue Tracking'!D4&gt;=0, "Total Revenue", "ERROR on REV" )</f>
        <v>ERROR on REV</v>
      </c>
      <c r="K4" s="165"/>
      <c r="L4" s="259" t="s">
        <v>249</v>
      </c>
      <c r="M4" s="260" t="s">
        <v>257</v>
      </c>
      <c r="N4" s="260" t="s">
        <v>251</v>
      </c>
      <c r="O4" s="260" t="s">
        <v>252</v>
      </c>
      <c r="P4" s="466" t="s">
        <v>253</v>
      </c>
      <c r="Q4" s="374" t="s">
        <v>258</v>
      </c>
      <c r="R4" s="620" t="s">
        <v>259</v>
      </c>
      <c r="S4" s="621" t="s">
        <v>126</v>
      </c>
      <c r="T4" s="372" t="s">
        <v>127</v>
      </c>
      <c r="U4" s="373" t="s">
        <v>260</v>
      </c>
      <c r="V4" s="374" t="s">
        <v>261</v>
      </c>
      <c r="W4" s="372" t="s">
        <v>255</v>
      </c>
      <c r="X4" s="481" t="s">
        <v>256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262</v>
      </c>
      <c r="D6" s="282" t="s">
        <v>263</v>
      </c>
      <c r="E6" s="283"/>
      <c r="F6" s="438"/>
      <c r="G6" s="392">
        <f>D167</f>
        <v>388725.5</v>
      </c>
      <c r="H6" s="534">
        <v>45867</v>
      </c>
      <c r="I6" s="751">
        <f>SUM(G6:G11)</f>
        <v>388725.5</v>
      </c>
      <c r="J6" s="751">
        <f>F167</f>
        <v>462768.45238095237</v>
      </c>
      <c r="K6" s="389"/>
      <c r="L6" s="281">
        <v>1</v>
      </c>
      <c r="M6" s="418" t="s">
        <v>264</v>
      </c>
      <c r="N6" s="282" t="s">
        <v>265</v>
      </c>
      <c r="O6" s="549">
        <v>283</v>
      </c>
      <c r="P6" s="438">
        <f>620*1.99</f>
        <v>1233.8</v>
      </c>
      <c r="Q6" s="392">
        <v>349165.4</v>
      </c>
      <c r="R6" s="586" t="s">
        <v>266</v>
      </c>
      <c r="S6" s="630" t="s">
        <v>267</v>
      </c>
      <c r="T6" s="662">
        <v>45838</v>
      </c>
      <c r="U6" s="664">
        <v>462768.45238095237</v>
      </c>
      <c r="V6" s="763">
        <f>J6-SUM(U6:U11)</f>
        <v>0</v>
      </c>
      <c r="W6" s="534">
        <v>45867</v>
      </c>
      <c r="X6" s="754">
        <f>SUM(Q6:Q11)</f>
        <v>349165.4</v>
      </c>
      <c r="Y6" s="483"/>
    </row>
    <row r="7" spans="1:76" ht="15" customHeight="1">
      <c r="B7" s="311">
        <v>1</v>
      </c>
      <c r="C7" s="419"/>
      <c r="D7" s="390" t="s">
        <v>268</v>
      </c>
      <c r="E7" s="391"/>
      <c r="F7" s="460"/>
      <c r="G7" s="315"/>
      <c r="H7" s="572"/>
      <c r="I7" s="752"/>
      <c r="J7" s="752"/>
      <c r="K7" s="288"/>
      <c r="L7" s="311">
        <v>1</v>
      </c>
      <c r="M7" s="313" t="s">
        <v>264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64"/>
      <c r="W7" s="572"/>
      <c r="X7" s="755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52"/>
      <c r="J8" s="752"/>
      <c r="K8" s="288"/>
      <c r="L8" s="311">
        <v>1</v>
      </c>
      <c r="M8" s="313" t="s">
        <v>264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64"/>
      <c r="W8" s="572"/>
      <c r="X8" s="755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52"/>
      <c r="J9" s="752"/>
      <c r="K9" s="288"/>
      <c r="L9" s="311">
        <v>1</v>
      </c>
      <c r="M9" s="313" t="s">
        <v>264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64"/>
      <c r="W9" s="573"/>
      <c r="X9" s="755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52"/>
      <c r="J10" s="752"/>
      <c r="K10" s="288"/>
      <c r="L10" s="311">
        <v>1</v>
      </c>
      <c r="M10" s="313" t="s">
        <v>264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64"/>
      <c r="W10" s="573"/>
      <c r="X10" s="755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53"/>
      <c r="J11" s="753"/>
      <c r="K11" s="289"/>
      <c r="L11" s="316">
        <v>1</v>
      </c>
      <c r="M11" s="420" t="s">
        <v>264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65"/>
      <c r="W11" s="574"/>
      <c r="X11" s="756"/>
      <c r="Y11" s="604" t="s">
        <v>269</v>
      </c>
      <c r="Z11" s="605" t="s">
        <v>270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271</v>
      </c>
      <c r="Z12" s="607">
        <f>G53</f>
        <v>282181.81739130436</v>
      </c>
    </row>
    <row r="13" spans="1:76" ht="14.25" customHeight="1">
      <c r="B13" s="293">
        <v>2</v>
      </c>
      <c r="C13" s="319" t="s">
        <v>272</v>
      </c>
      <c r="D13" s="319" t="s">
        <v>273</v>
      </c>
      <c r="E13" s="365"/>
      <c r="F13" s="458"/>
      <c r="G13" s="296">
        <f>D168</f>
        <v>160000</v>
      </c>
      <c r="H13" s="537">
        <v>45867</v>
      </c>
      <c r="I13" s="782">
        <f>SUM(G13:G19)</f>
        <v>160000</v>
      </c>
      <c r="J13" s="782">
        <f>F168</f>
        <v>190476.19047619047</v>
      </c>
      <c r="K13" s="297"/>
      <c r="L13" s="293">
        <v>2</v>
      </c>
      <c r="M13" s="421" t="s">
        <v>274</v>
      </c>
      <c r="N13" s="319" t="s">
        <v>275</v>
      </c>
      <c r="O13" s="554">
        <v>2</v>
      </c>
      <c r="P13" s="458">
        <v>68870</v>
      </c>
      <c r="Q13" s="296">
        <v>137740.70000000001</v>
      </c>
      <c r="R13" s="591" t="s">
        <v>266</v>
      </c>
      <c r="S13" s="627" t="s">
        <v>267</v>
      </c>
      <c r="T13" s="663">
        <v>45838</v>
      </c>
      <c r="U13" s="667">
        <v>190476.19047619047</v>
      </c>
      <c r="V13" s="773">
        <f>J13-SUM(U13:U19)</f>
        <v>0</v>
      </c>
      <c r="W13" s="537">
        <v>45867</v>
      </c>
      <c r="X13" s="785">
        <f>SUM(Q13:Q19)</f>
        <v>137740.70000000001</v>
      </c>
      <c r="Y13" s="606" t="s">
        <v>276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83"/>
      <c r="J14" s="783"/>
      <c r="K14" s="301"/>
      <c r="L14" s="298">
        <v>2</v>
      </c>
      <c r="M14" s="427" t="s">
        <v>274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774"/>
      <c r="W14" s="577"/>
      <c r="X14" s="786"/>
      <c r="Y14" s="606" t="s">
        <v>277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83"/>
      <c r="J15" s="783"/>
      <c r="K15" s="301"/>
      <c r="L15" s="298">
        <v>2</v>
      </c>
      <c r="M15" s="427" t="s">
        <v>274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774"/>
      <c r="W15" s="577"/>
      <c r="X15" s="786"/>
      <c r="Y15" s="606" t="s">
        <v>278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83"/>
      <c r="J16" s="783"/>
      <c r="K16" s="301"/>
      <c r="L16" s="298">
        <v>2</v>
      </c>
      <c r="M16" s="427" t="s">
        <v>274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774"/>
      <c r="W16" s="577"/>
      <c r="X16" s="786"/>
      <c r="Y16" s="606" t="s">
        <v>279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83"/>
      <c r="J17" s="783"/>
      <c r="K17" s="301"/>
      <c r="L17" s="298">
        <v>2</v>
      </c>
      <c r="M17" s="427" t="s">
        <v>274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774"/>
      <c r="W17" s="577"/>
      <c r="X17" s="786"/>
      <c r="Y17" s="606" t="s">
        <v>280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83"/>
      <c r="J18" s="783"/>
      <c r="K18" s="301"/>
      <c r="L18" s="298">
        <v>2</v>
      </c>
      <c r="M18" s="427" t="s">
        <v>274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774"/>
      <c r="W18" s="577"/>
      <c r="X18" s="786"/>
      <c r="Y18" s="606" t="s">
        <v>281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84"/>
      <c r="J19" s="784"/>
      <c r="K19" s="306"/>
      <c r="L19" s="396">
        <v>2</v>
      </c>
      <c r="M19" s="422" t="s">
        <v>274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775"/>
      <c r="W19" s="578"/>
      <c r="X19" s="787"/>
      <c r="Y19" s="606" t="s">
        <v>282</v>
      </c>
      <c r="Z19" s="607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283</v>
      </c>
      <c r="D21" s="327" t="s">
        <v>284</v>
      </c>
      <c r="E21" s="283"/>
      <c r="F21" s="438"/>
      <c r="G21" s="284">
        <f>D169</f>
        <v>142681.5</v>
      </c>
      <c r="H21" s="539">
        <v>45867</v>
      </c>
      <c r="I21" s="751">
        <f>SUM(G21:G26)</f>
        <v>142681.5</v>
      </c>
      <c r="J21" s="751">
        <f>F169</f>
        <v>169858.92857142858</v>
      </c>
      <c r="K21" s="285"/>
      <c r="L21" s="281">
        <v>3</v>
      </c>
      <c r="M21" s="423" t="s">
        <v>285</v>
      </c>
      <c r="N21" s="327" t="s">
        <v>286</v>
      </c>
      <c r="O21" s="549"/>
      <c r="P21" s="438"/>
      <c r="Q21" s="284">
        <v>43754.2</v>
      </c>
      <c r="R21" s="594" t="s">
        <v>287</v>
      </c>
      <c r="S21" s="630" t="s">
        <v>288</v>
      </c>
      <c r="T21" s="661">
        <v>45838</v>
      </c>
      <c r="U21" s="658">
        <v>148640.83064999999</v>
      </c>
      <c r="V21" s="763">
        <f>J21-SUM(U21:U26)</f>
        <v>-2.078571415040642E-3</v>
      </c>
      <c r="W21" s="539">
        <v>45867</v>
      </c>
      <c r="X21" s="754">
        <f>SUM(Q21:Q26)</f>
        <v>43754.2</v>
      </c>
      <c r="Y21" s="606" t="s">
        <v>289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52"/>
      <c r="J22" s="752"/>
      <c r="K22" s="288"/>
      <c r="L22" s="311">
        <v>3</v>
      </c>
      <c r="M22" s="424" t="s">
        <v>285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64"/>
      <c r="W22" s="572"/>
      <c r="X22" s="755"/>
      <c r="Y22" s="606" t="s">
        <v>148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52"/>
      <c r="J23" s="752"/>
      <c r="K23" s="288"/>
      <c r="L23" s="311">
        <v>3</v>
      </c>
      <c r="M23" s="424" t="s">
        <v>285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64"/>
      <c r="W23" s="572"/>
      <c r="X23" s="755"/>
      <c r="Y23" s="606" t="s">
        <v>290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52"/>
      <c r="J24" s="752"/>
      <c r="K24" s="288"/>
      <c r="L24" s="311">
        <v>3</v>
      </c>
      <c r="M24" s="424" t="s">
        <v>285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64"/>
      <c r="W24" s="573"/>
      <c r="X24" s="755"/>
      <c r="Y24" s="611" t="s">
        <v>291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52"/>
      <c r="J25" s="752"/>
      <c r="K25" s="288"/>
      <c r="L25" s="311">
        <v>3</v>
      </c>
      <c r="M25" s="424" t="s">
        <v>285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64"/>
      <c r="W25" s="573"/>
      <c r="X25" s="755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53"/>
      <c r="J26" s="753"/>
      <c r="K26" s="289"/>
      <c r="L26" s="316">
        <v>3</v>
      </c>
      <c r="M26" s="425" t="s">
        <v>285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65"/>
      <c r="W26" s="574"/>
      <c r="X26" s="756"/>
      <c r="Y26" s="612" t="s">
        <v>103</v>
      </c>
      <c r="Z26" s="613" t="s">
        <v>292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276</v>
      </c>
      <c r="D28" s="294" t="s">
        <v>293</v>
      </c>
      <c r="E28" s="365">
        <f>G28/14*1.15</f>
        <v>4870.25</v>
      </c>
      <c r="F28" s="458"/>
      <c r="G28" s="296">
        <v>59290</v>
      </c>
      <c r="H28" s="537">
        <v>45867</v>
      </c>
      <c r="I28" s="782">
        <f>SUM(G28:G42)</f>
        <v>145542.5</v>
      </c>
      <c r="J28" s="782">
        <f>F170</f>
        <v>173264.88095238095</v>
      </c>
      <c r="K28" s="297"/>
      <c r="L28" s="293">
        <v>4</v>
      </c>
      <c r="M28" s="426" t="s">
        <v>294</v>
      </c>
      <c r="N28" s="294" t="s">
        <v>295</v>
      </c>
      <c r="O28" s="546">
        <v>4000</v>
      </c>
      <c r="P28" s="458">
        <v>13.4</v>
      </c>
      <c r="Q28" s="296">
        <f>O28*P28</f>
        <v>53600</v>
      </c>
      <c r="R28" s="591" t="s">
        <v>266</v>
      </c>
      <c r="S28" s="627" t="s">
        <v>267</v>
      </c>
      <c r="T28" s="663">
        <v>45838</v>
      </c>
      <c r="U28" s="667">
        <v>100908.19154858767</v>
      </c>
      <c r="V28" s="773">
        <f>J28-SUM(U28:U42)</f>
        <v>0</v>
      </c>
      <c r="W28" s="537">
        <v>45867</v>
      </c>
      <c r="X28" s="785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296</v>
      </c>
      <c r="E29" s="395"/>
      <c r="F29" s="454"/>
      <c r="G29" s="639">
        <f>D170-G28</f>
        <v>86252.5</v>
      </c>
      <c r="H29" s="537">
        <v>45867</v>
      </c>
      <c r="I29" s="783"/>
      <c r="J29" s="783"/>
      <c r="K29" s="301"/>
      <c r="L29" s="298">
        <v>4</v>
      </c>
      <c r="M29" s="427" t="s">
        <v>294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774"/>
      <c r="W29" s="577"/>
      <c r="X29" s="786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83"/>
      <c r="J30" s="783"/>
      <c r="K30" s="301"/>
      <c r="L30" s="298">
        <v>4</v>
      </c>
      <c r="M30" s="427" t="s">
        <v>294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774"/>
      <c r="W30" s="577"/>
      <c r="X30" s="786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83"/>
      <c r="J31" s="783"/>
      <c r="K31" s="301"/>
      <c r="L31" s="298">
        <v>4</v>
      </c>
      <c r="M31" s="427" t="s">
        <v>294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774"/>
      <c r="W31" s="577"/>
      <c r="X31" s="786"/>
      <c r="Y31" s="614" t="s">
        <v>297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83"/>
      <c r="J32" s="783"/>
      <c r="K32" s="301"/>
      <c r="L32" s="298">
        <v>4</v>
      </c>
      <c r="M32" s="427" t="s">
        <v>294</v>
      </c>
      <c r="N32" s="409" t="s">
        <v>298</v>
      </c>
      <c r="O32" s="566">
        <f>Z28</f>
        <v>38434.129999999997</v>
      </c>
      <c r="P32" s="567">
        <v>0.1</v>
      </c>
      <c r="Q32" s="300">
        <f>$O$32*P32</f>
        <v>3843.413</v>
      </c>
      <c r="R32" s="776" t="s">
        <v>299</v>
      </c>
      <c r="S32" s="628" t="s">
        <v>300</v>
      </c>
      <c r="T32" s="653">
        <v>45808</v>
      </c>
      <c r="U32" s="657">
        <v>7235.668940379328</v>
      </c>
      <c r="V32" s="774"/>
      <c r="W32" s="538">
        <f>W91</f>
        <v>45813</v>
      </c>
      <c r="X32" s="786"/>
      <c r="Y32" s="614" t="s">
        <v>301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83"/>
      <c r="J33" s="783"/>
      <c r="K33" s="301"/>
      <c r="L33" s="298">
        <v>4</v>
      </c>
      <c r="M33" s="427" t="s">
        <v>294</v>
      </c>
      <c r="N33" s="409" t="s">
        <v>174</v>
      </c>
      <c r="O33" s="555"/>
      <c r="P33" s="567">
        <v>0.15</v>
      </c>
      <c r="Q33" s="300">
        <f t="shared" ref="Q33:Q39" si="3">$O$32*P33</f>
        <v>5765.1194999999998</v>
      </c>
      <c r="R33" s="777"/>
      <c r="S33" s="628" t="s">
        <v>302</v>
      </c>
      <c r="T33" s="653">
        <v>45838</v>
      </c>
      <c r="U33" s="657">
        <v>10853.50341056899</v>
      </c>
      <c r="V33" s="774"/>
      <c r="W33" s="538">
        <f t="shared" ref="W33:W39" si="4">W92</f>
        <v>45869</v>
      </c>
      <c r="X33" s="786"/>
      <c r="Y33" s="614" t="s">
        <v>303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83"/>
      <c r="J34" s="783"/>
      <c r="K34" s="301"/>
      <c r="L34" s="298">
        <v>4</v>
      </c>
      <c r="M34" s="427" t="s">
        <v>294</v>
      </c>
      <c r="N34" s="409" t="s">
        <v>304</v>
      </c>
      <c r="O34" s="555"/>
      <c r="P34" s="567">
        <v>0.2</v>
      </c>
      <c r="Q34" s="300">
        <f t="shared" si="3"/>
        <v>7686.826</v>
      </c>
      <c r="R34" s="777"/>
      <c r="S34" s="628" t="s">
        <v>305</v>
      </c>
      <c r="T34" s="653">
        <v>45869</v>
      </c>
      <c r="U34" s="657">
        <v>14471.337880758656</v>
      </c>
      <c r="V34" s="774"/>
      <c r="W34" s="538">
        <f t="shared" si="4"/>
        <v>45954</v>
      </c>
      <c r="X34" s="786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83"/>
      <c r="J35" s="783"/>
      <c r="K35" s="301"/>
      <c r="L35" s="298">
        <v>4</v>
      </c>
      <c r="M35" s="427" t="s">
        <v>294</v>
      </c>
      <c r="N35" s="409" t="s">
        <v>306</v>
      </c>
      <c r="O35" s="555"/>
      <c r="P35" s="567">
        <v>0.25</v>
      </c>
      <c r="Q35" s="300">
        <f t="shared" si="3"/>
        <v>9608.5324999999993</v>
      </c>
      <c r="R35" s="777"/>
      <c r="S35" s="628" t="s">
        <v>305</v>
      </c>
      <c r="T35" s="653">
        <v>45869</v>
      </c>
      <c r="U35" s="657">
        <v>18089.17235094832</v>
      </c>
      <c r="V35" s="774"/>
      <c r="W35" s="538">
        <f t="shared" si="4"/>
        <v>45954</v>
      </c>
      <c r="X35" s="786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83"/>
      <c r="J36" s="783"/>
      <c r="K36" s="301"/>
      <c r="L36" s="298">
        <v>4</v>
      </c>
      <c r="M36" s="427" t="s">
        <v>294</v>
      </c>
      <c r="N36" s="409" t="s">
        <v>134</v>
      </c>
      <c r="O36" s="555"/>
      <c r="P36" s="567">
        <v>0.1</v>
      </c>
      <c r="Q36" s="300">
        <f t="shared" si="3"/>
        <v>3843.413</v>
      </c>
      <c r="R36" s="777"/>
      <c r="S36" s="628" t="s">
        <v>305</v>
      </c>
      <c r="T36" s="653">
        <v>45869</v>
      </c>
      <c r="U36" s="657">
        <v>7235.668940379328</v>
      </c>
      <c r="V36" s="774"/>
      <c r="W36" s="689">
        <f t="shared" si="4"/>
        <v>45960</v>
      </c>
      <c r="X36" s="786"/>
      <c r="Y36" s="614" t="s">
        <v>289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83"/>
      <c r="J37" s="783"/>
      <c r="K37" s="301"/>
      <c r="L37" s="298">
        <v>4</v>
      </c>
      <c r="M37" s="427" t="s">
        <v>294</v>
      </c>
      <c r="N37" s="409" t="s">
        <v>307</v>
      </c>
      <c r="O37" s="555"/>
      <c r="P37" s="567">
        <v>0.1</v>
      </c>
      <c r="Q37" s="300">
        <f t="shared" si="3"/>
        <v>3843.413</v>
      </c>
      <c r="R37" s="777"/>
      <c r="S37" s="628" t="s">
        <v>305</v>
      </c>
      <c r="T37" s="653">
        <v>45869</v>
      </c>
      <c r="U37" s="657">
        <v>7235.668940379328</v>
      </c>
      <c r="V37" s="774"/>
      <c r="W37" s="538">
        <v>46051</v>
      </c>
      <c r="X37" s="786"/>
      <c r="Y37" s="614" t="s">
        <v>289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83"/>
      <c r="J38" s="783"/>
      <c r="K38" s="301"/>
      <c r="L38" s="298">
        <v>4</v>
      </c>
      <c r="M38" s="427" t="s">
        <v>294</v>
      </c>
      <c r="N38" s="409" t="s">
        <v>308</v>
      </c>
      <c r="O38" s="555"/>
      <c r="P38" s="567">
        <v>0.05</v>
      </c>
      <c r="Q38" s="300">
        <f t="shared" si="3"/>
        <v>1921.7065</v>
      </c>
      <c r="R38" s="777"/>
      <c r="S38" s="628" t="s">
        <v>305</v>
      </c>
      <c r="T38" s="653">
        <v>45869</v>
      </c>
      <c r="U38" s="657">
        <v>3617.834470189664</v>
      </c>
      <c r="V38" s="774"/>
      <c r="W38" s="538">
        <f t="shared" si="4"/>
        <v>46058</v>
      </c>
      <c r="X38" s="786"/>
      <c r="Y38" s="614" t="s">
        <v>148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83"/>
      <c r="J39" s="783"/>
      <c r="K39" s="301"/>
      <c r="L39" s="298">
        <v>4</v>
      </c>
      <c r="M39" s="427" t="s">
        <v>294</v>
      </c>
      <c r="N39" s="409" t="s">
        <v>309</v>
      </c>
      <c r="O39" s="555"/>
      <c r="P39" s="567">
        <v>0.05</v>
      </c>
      <c r="Q39" s="300">
        <f t="shared" si="3"/>
        <v>1921.7065</v>
      </c>
      <c r="R39" s="778"/>
      <c r="S39" s="628" t="s">
        <v>305</v>
      </c>
      <c r="T39" s="653">
        <v>45869</v>
      </c>
      <c r="U39" s="657">
        <v>3617.834470189664</v>
      </c>
      <c r="V39" s="774"/>
      <c r="W39" s="577">
        <f t="shared" si="4"/>
        <v>46088</v>
      </c>
      <c r="X39" s="786"/>
      <c r="Y39" s="617" t="s">
        <v>291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83"/>
      <c r="J40" s="783"/>
      <c r="K40" s="301"/>
      <c r="L40" s="298">
        <v>4</v>
      </c>
      <c r="M40" s="427" t="s">
        <v>294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774"/>
      <c r="W40" s="577"/>
      <c r="X40" s="786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83"/>
      <c r="J41" s="783"/>
      <c r="K41" s="301"/>
      <c r="L41" s="298">
        <v>4</v>
      </c>
      <c r="M41" s="427" t="s">
        <v>294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774"/>
      <c r="W41" s="577"/>
      <c r="X41" s="786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84"/>
      <c r="J42" s="784"/>
      <c r="K42" s="306"/>
      <c r="L42" s="302">
        <v>4</v>
      </c>
      <c r="M42" s="428" t="s">
        <v>294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775"/>
      <c r="W42" s="578"/>
      <c r="X42" s="787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310</v>
      </c>
      <c r="D44" s="327" t="s">
        <v>311</v>
      </c>
      <c r="E44" s="283"/>
      <c r="F44" s="438"/>
      <c r="G44" s="284">
        <f>D172-G45</f>
        <v>34000</v>
      </c>
      <c r="H44" s="539">
        <v>45855</v>
      </c>
      <c r="I44" s="751">
        <f>SUM(G44:G51)</f>
        <v>49000</v>
      </c>
      <c r="J44" s="751">
        <f>F172</f>
        <v>58333.333333333336</v>
      </c>
      <c r="K44" s="285"/>
      <c r="L44" s="281">
        <v>5</v>
      </c>
      <c r="M44" s="423" t="s">
        <v>312</v>
      </c>
      <c r="N44" s="327" t="s">
        <v>313</v>
      </c>
      <c r="O44" s="549"/>
      <c r="P44" s="438"/>
      <c r="Q44" s="284">
        <v>8598.35</v>
      </c>
      <c r="R44" s="594" t="s">
        <v>266</v>
      </c>
      <c r="S44" s="630" t="s">
        <v>314</v>
      </c>
      <c r="T44" s="652">
        <v>45808</v>
      </c>
      <c r="U44" s="658">
        <v>12861.724492523281</v>
      </c>
      <c r="V44" s="763">
        <f>J44-SUM(U44:U51)</f>
        <v>-5.4447088768938556E-4</v>
      </c>
      <c r="W44" s="539">
        <v>45855</v>
      </c>
      <c r="X44" s="754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315</v>
      </c>
      <c r="E45" s="452"/>
      <c r="F45" s="453"/>
      <c r="G45" s="315">
        <v>15000</v>
      </c>
      <c r="H45" s="535">
        <v>45806</v>
      </c>
      <c r="I45" s="752"/>
      <c r="J45" s="752"/>
      <c r="K45" s="288"/>
      <c r="L45" s="286">
        <v>5</v>
      </c>
      <c r="M45" s="429" t="s">
        <v>312</v>
      </c>
      <c r="N45" s="287" t="s">
        <v>316</v>
      </c>
      <c r="O45" s="557"/>
      <c r="P45" s="453"/>
      <c r="Q45" s="315">
        <v>13695</v>
      </c>
      <c r="R45" s="587" t="s">
        <v>317</v>
      </c>
      <c r="S45" s="623" t="s">
        <v>318</v>
      </c>
      <c r="T45" s="641">
        <v>45777</v>
      </c>
      <c r="U45" s="650">
        <v>20024.439152776038</v>
      </c>
      <c r="V45" s="764"/>
      <c r="W45" s="535">
        <v>45806</v>
      </c>
      <c r="X45" s="755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52"/>
      <c r="J46" s="752"/>
      <c r="K46" s="288"/>
      <c r="L46" s="286">
        <v>5</v>
      </c>
      <c r="M46" s="429" t="s">
        <v>312</v>
      </c>
      <c r="N46" s="287"/>
      <c r="O46" s="557"/>
      <c r="P46" s="453"/>
      <c r="Q46" s="315">
        <v>214.29</v>
      </c>
      <c r="R46" s="587"/>
      <c r="S46" s="623" t="s">
        <v>319</v>
      </c>
      <c r="T46" s="641">
        <v>45838</v>
      </c>
      <c r="U46" s="659">
        <v>4340.6433450978848</v>
      </c>
      <c r="V46" s="764"/>
      <c r="W46" s="669">
        <v>45867</v>
      </c>
      <c r="X46" s="755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52"/>
      <c r="J47" s="752"/>
      <c r="K47" s="288"/>
      <c r="L47" s="286">
        <v>5</v>
      </c>
      <c r="M47" s="429" t="s">
        <v>312</v>
      </c>
      <c r="N47" s="313" t="s">
        <v>320</v>
      </c>
      <c r="O47" s="550"/>
      <c r="P47" s="460"/>
      <c r="Q47" s="315">
        <v>11169</v>
      </c>
      <c r="R47" s="587"/>
      <c r="S47" s="623" t="s">
        <v>321</v>
      </c>
      <c r="T47" s="641">
        <v>45838</v>
      </c>
      <c r="U47" s="659">
        <v>17786.689120809511</v>
      </c>
      <c r="V47" s="764"/>
      <c r="W47" s="535">
        <f>T47</f>
        <v>45838</v>
      </c>
      <c r="X47" s="755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52"/>
      <c r="J48" s="752"/>
      <c r="K48" s="288"/>
      <c r="L48" s="311">
        <v>5</v>
      </c>
      <c r="M48" s="429" t="s">
        <v>312</v>
      </c>
      <c r="N48" s="313" t="s">
        <v>322</v>
      </c>
      <c r="O48" s="550"/>
      <c r="P48" s="460"/>
      <c r="Q48" s="315">
        <v>2250.5</v>
      </c>
      <c r="R48" s="587" t="s">
        <v>323</v>
      </c>
      <c r="S48" s="623" t="s">
        <v>324</v>
      </c>
      <c r="T48" s="651">
        <v>45808</v>
      </c>
      <c r="U48" s="659">
        <v>3319.8377665975031</v>
      </c>
      <c r="V48" s="764"/>
      <c r="W48" s="535">
        <v>45799</v>
      </c>
      <c r="X48" s="755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52"/>
      <c r="J49" s="752"/>
      <c r="K49" s="288"/>
      <c r="L49" s="311">
        <v>5</v>
      </c>
      <c r="M49" s="429" t="s">
        <v>312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64"/>
      <c r="W49" s="573"/>
      <c r="X49" s="755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52"/>
      <c r="J50" s="752"/>
      <c r="K50" s="288"/>
      <c r="L50" s="311">
        <v>5</v>
      </c>
      <c r="M50" s="429" t="s">
        <v>312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64"/>
      <c r="W50" s="573"/>
      <c r="X50" s="755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53"/>
      <c r="J51" s="753"/>
      <c r="K51" s="289"/>
      <c r="L51" s="316">
        <v>5</v>
      </c>
      <c r="M51" s="425" t="s">
        <v>312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65"/>
      <c r="W51" s="574"/>
      <c r="X51" s="756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271</v>
      </c>
      <c r="D53" s="295" t="s">
        <v>325</v>
      </c>
      <c r="E53" s="476"/>
      <c r="F53" s="458"/>
      <c r="G53" s="296">
        <f>D171</f>
        <v>282181.81739130436</v>
      </c>
      <c r="H53" s="538">
        <v>45898</v>
      </c>
      <c r="I53" s="782">
        <f>SUM(G53:G69)</f>
        <v>282181.81739130436</v>
      </c>
      <c r="J53" s="782">
        <f>F171</f>
        <v>335930.73498964804</v>
      </c>
      <c r="K53" s="297"/>
      <c r="L53" s="293">
        <v>6</v>
      </c>
      <c r="M53" s="432" t="s">
        <v>326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773">
        <f>J53-SUM(U53:U69)</f>
        <v>-2.4396576918661594E-4</v>
      </c>
      <c r="W53" s="576"/>
      <c r="X53" s="785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83"/>
      <c r="J54" s="783"/>
      <c r="K54" s="301"/>
      <c r="L54" s="298">
        <v>6</v>
      </c>
      <c r="M54" s="430" t="s">
        <v>326</v>
      </c>
      <c r="N54" s="444" t="s">
        <v>327</v>
      </c>
      <c r="O54" s="555"/>
      <c r="P54" s="454"/>
      <c r="Q54" s="321">
        <v>99292.77</v>
      </c>
      <c r="R54" s="592" t="s">
        <v>328</v>
      </c>
      <c r="S54" s="628" t="s">
        <v>329</v>
      </c>
      <c r="T54" s="653">
        <v>45869</v>
      </c>
      <c r="U54" s="657">
        <v>119778.54493572797</v>
      </c>
      <c r="V54" s="774"/>
      <c r="W54" s="538">
        <v>45899</v>
      </c>
      <c r="X54" s="786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83"/>
      <c r="J55" s="783"/>
      <c r="K55" s="301"/>
      <c r="L55" s="298">
        <v>6</v>
      </c>
      <c r="M55" s="430" t="s">
        <v>326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774"/>
      <c r="W55" s="577"/>
      <c r="X55" s="786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83"/>
      <c r="J56" s="783"/>
      <c r="K56" s="301"/>
      <c r="L56" s="298">
        <v>6</v>
      </c>
      <c r="M56" s="430" t="s">
        <v>326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774"/>
      <c r="W56" s="577"/>
      <c r="X56" s="786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83"/>
      <c r="J57" s="783"/>
      <c r="K57" s="301"/>
      <c r="L57" s="298">
        <v>6</v>
      </c>
      <c r="M57" s="430" t="s">
        <v>326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774"/>
      <c r="W57" s="577"/>
      <c r="X57" s="786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83"/>
      <c r="J58" s="783"/>
      <c r="K58" s="301"/>
      <c r="L58" s="298">
        <v>6</v>
      </c>
      <c r="M58" s="430" t="s">
        <v>326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774"/>
      <c r="W58" s="577"/>
      <c r="X58" s="786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83"/>
      <c r="J59" s="783"/>
      <c r="K59" s="301"/>
      <c r="L59" s="298">
        <v>6</v>
      </c>
      <c r="M59" s="430" t="s">
        <v>326</v>
      </c>
      <c r="N59" s="409" t="s">
        <v>298</v>
      </c>
      <c r="O59" s="566">
        <f>Z27</f>
        <v>178056.12</v>
      </c>
      <c r="P59" s="567">
        <v>0.1</v>
      </c>
      <c r="Q59" s="300">
        <f>$O$59*P59</f>
        <v>17805.612000000001</v>
      </c>
      <c r="R59" s="776" t="s">
        <v>299</v>
      </c>
      <c r="S59" s="628" t="s">
        <v>300</v>
      </c>
      <c r="T59" s="653">
        <v>45808</v>
      </c>
      <c r="U59" s="657">
        <v>21761.295102978322</v>
      </c>
      <c r="V59" s="774"/>
      <c r="W59" s="538">
        <f>W91</f>
        <v>45813</v>
      </c>
      <c r="X59" s="786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83"/>
      <c r="J60" s="783"/>
      <c r="K60" s="301"/>
      <c r="L60" s="298">
        <v>6</v>
      </c>
      <c r="M60" s="431" t="s">
        <v>326</v>
      </c>
      <c r="N60" s="409" t="s">
        <v>174</v>
      </c>
      <c r="O60" s="555"/>
      <c r="P60" s="567">
        <v>0.15</v>
      </c>
      <c r="Q60" s="300">
        <f t="shared" ref="Q60:Q66" si="7">$O$59*P60</f>
        <v>26708.417999999998</v>
      </c>
      <c r="R60" s="777"/>
      <c r="S60" s="628" t="s">
        <v>302</v>
      </c>
      <c r="T60" s="653">
        <v>45838</v>
      </c>
      <c r="U60" s="657">
        <v>32641.942654467482</v>
      </c>
      <c r="V60" s="774"/>
      <c r="W60" s="538">
        <f t="shared" ref="W60:W66" si="8">W92</f>
        <v>45869</v>
      </c>
      <c r="X60" s="786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83"/>
      <c r="J61" s="783"/>
      <c r="K61" s="301"/>
      <c r="L61" s="298">
        <v>6</v>
      </c>
      <c r="M61" s="431" t="s">
        <v>326</v>
      </c>
      <c r="N61" s="409" t="s">
        <v>304</v>
      </c>
      <c r="O61" s="555"/>
      <c r="P61" s="567">
        <v>0.2</v>
      </c>
      <c r="Q61" s="300">
        <f t="shared" si="7"/>
        <v>35611.224000000002</v>
      </c>
      <c r="R61" s="777"/>
      <c r="S61" s="628" t="s">
        <v>305</v>
      </c>
      <c r="T61" s="653">
        <v>45869</v>
      </c>
      <c r="U61" s="657">
        <v>43133.054010784013</v>
      </c>
      <c r="V61" s="774"/>
      <c r="W61" s="538">
        <f t="shared" si="8"/>
        <v>45954</v>
      </c>
      <c r="X61" s="786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83"/>
      <c r="J62" s="783"/>
      <c r="K62" s="301"/>
      <c r="L62" s="298">
        <v>6</v>
      </c>
      <c r="M62" s="431" t="s">
        <v>326</v>
      </c>
      <c r="N62" s="409" t="s">
        <v>306</v>
      </c>
      <c r="O62" s="555"/>
      <c r="P62" s="567">
        <v>0.25</v>
      </c>
      <c r="Q62" s="300">
        <f t="shared" si="7"/>
        <v>44514.03</v>
      </c>
      <c r="R62" s="777"/>
      <c r="S62" s="628" t="s">
        <v>305</v>
      </c>
      <c r="T62" s="653">
        <v>45869</v>
      </c>
      <c r="U62" s="657">
        <v>53916.317513480011</v>
      </c>
      <c r="V62" s="774"/>
      <c r="W62" s="538">
        <f t="shared" si="8"/>
        <v>45954</v>
      </c>
      <c r="X62" s="786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83"/>
      <c r="J63" s="783"/>
      <c r="K63" s="301"/>
      <c r="L63" s="298">
        <v>6</v>
      </c>
      <c r="M63" s="431" t="s">
        <v>326</v>
      </c>
      <c r="N63" s="409" t="s">
        <v>134</v>
      </c>
      <c r="O63" s="555"/>
      <c r="P63" s="567">
        <v>0.1</v>
      </c>
      <c r="Q63" s="300">
        <f t="shared" si="7"/>
        <v>17805.612000000001</v>
      </c>
      <c r="R63" s="777"/>
      <c r="S63" s="628" t="s">
        <v>305</v>
      </c>
      <c r="T63" s="653">
        <v>45869</v>
      </c>
      <c r="U63" s="657">
        <v>21566.527005392007</v>
      </c>
      <c r="V63" s="774"/>
      <c r="W63" s="689">
        <f t="shared" si="8"/>
        <v>45960</v>
      </c>
      <c r="X63" s="786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83"/>
      <c r="J64" s="783"/>
      <c r="K64" s="301"/>
      <c r="L64" s="298">
        <v>6</v>
      </c>
      <c r="M64" s="431" t="s">
        <v>326</v>
      </c>
      <c r="N64" s="409" t="s">
        <v>307</v>
      </c>
      <c r="O64" s="555"/>
      <c r="P64" s="567">
        <v>0.1</v>
      </c>
      <c r="Q64" s="300">
        <f t="shared" si="7"/>
        <v>17805.612000000001</v>
      </c>
      <c r="R64" s="777"/>
      <c r="S64" s="632" t="s">
        <v>305</v>
      </c>
      <c r="T64" s="653">
        <v>45869</v>
      </c>
      <c r="U64" s="670">
        <v>21566.527005392007</v>
      </c>
      <c r="V64" s="774"/>
      <c r="W64" s="538">
        <v>46051</v>
      </c>
      <c r="X64" s="786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83"/>
      <c r="J65" s="783"/>
      <c r="K65" s="301"/>
      <c r="L65" s="298">
        <v>6</v>
      </c>
      <c r="M65" s="431" t="s">
        <v>326</v>
      </c>
      <c r="N65" s="409" t="s">
        <v>308</v>
      </c>
      <c r="O65" s="555"/>
      <c r="P65" s="567">
        <v>0.05</v>
      </c>
      <c r="Q65" s="300">
        <f t="shared" si="7"/>
        <v>8902.8060000000005</v>
      </c>
      <c r="R65" s="777"/>
      <c r="S65" s="632" t="s">
        <v>305</v>
      </c>
      <c r="T65" s="653">
        <v>45869</v>
      </c>
      <c r="U65" s="670">
        <v>10783.263502696003</v>
      </c>
      <c r="V65" s="774"/>
      <c r="W65" s="538">
        <f t="shared" si="8"/>
        <v>46058</v>
      </c>
      <c r="X65" s="786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83"/>
      <c r="J66" s="783"/>
      <c r="K66" s="301"/>
      <c r="L66" s="298">
        <v>6</v>
      </c>
      <c r="M66" s="431" t="s">
        <v>326</v>
      </c>
      <c r="N66" s="409" t="s">
        <v>309</v>
      </c>
      <c r="O66" s="555"/>
      <c r="P66" s="567">
        <v>0.05</v>
      </c>
      <c r="Q66" s="300">
        <f t="shared" si="7"/>
        <v>8902.8060000000005</v>
      </c>
      <c r="R66" s="778"/>
      <c r="S66" s="632" t="s">
        <v>305</v>
      </c>
      <c r="T66" s="653">
        <v>45869</v>
      </c>
      <c r="U66" s="670">
        <v>10783.263502696003</v>
      </c>
      <c r="V66" s="774"/>
      <c r="W66" s="577">
        <f t="shared" si="8"/>
        <v>46088</v>
      </c>
      <c r="X66" s="786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83"/>
      <c r="J67" s="783"/>
      <c r="K67" s="301"/>
      <c r="L67" s="298">
        <v>6</v>
      </c>
      <c r="M67" s="431" t="s">
        <v>326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774"/>
      <c r="W67" s="580"/>
      <c r="X67" s="786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83"/>
      <c r="J68" s="783"/>
      <c r="K68" s="301"/>
      <c r="L68" s="298">
        <v>6</v>
      </c>
      <c r="M68" s="431" t="s">
        <v>326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774"/>
      <c r="W68" s="580"/>
      <c r="X68" s="786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84"/>
      <c r="J69" s="784"/>
      <c r="K69" s="306"/>
      <c r="L69" s="302">
        <v>6</v>
      </c>
      <c r="M69" s="433" t="s">
        <v>326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775"/>
      <c r="W69" s="578"/>
      <c r="X69" s="787"/>
      <c r="Y69" s="483"/>
    </row>
    <row r="70" spans="1:25" ht="14.45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330</v>
      </c>
      <c r="D71" s="382"/>
      <c r="E71" s="463"/>
      <c r="F71" s="469"/>
      <c r="G71" s="383"/>
      <c r="H71" s="582"/>
      <c r="I71" s="751">
        <f>SUM(G71:G78)</f>
        <v>0</v>
      </c>
      <c r="J71" s="751">
        <v>0</v>
      </c>
      <c r="K71" s="285"/>
      <c r="L71" s="381">
        <v>7</v>
      </c>
      <c r="M71" s="309" t="s">
        <v>331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788">
        <f>J71-SUM(U71:U78)</f>
        <v>0</v>
      </c>
      <c r="W71" s="582"/>
      <c r="X71" s="754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52"/>
      <c r="J72" s="752"/>
      <c r="K72" s="288"/>
      <c r="L72" s="384">
        <v>7</v>
      </c>
      <c r="M72" s="385" t="s">
        <v>331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789"/>
      <c r="W72" s="573"/>
      <c r="X72" s="755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52"/>
      <c r="J73" s="752"/>
      <c r="K73" s="288"/>
      <c r="L73" s="384">
        <v>7</v>
      </c>
      <c r="M73" s="385" t="s">
        <v>331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789"/>
      <c r="W73" s="573"/>
      <c r="X73" s="755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52"/>
      <c r="J74" s="752"/>
      <c r="K74" s="288"/>
      <c r="L74" s="384">
        <v>7</v>
      </c>
      <c r="M74" s="385" t="s">
        <v>331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789"/>
      <c r="W74" s="573"/>
      <c r="X74" s="755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52"/>
      <c r="J75" s="752"/>
      <c r="K75" s="288"/>
      <c r="L75" s="384">
        <v>7</v>
      </c>
      <c r="M75" s="385" t="s">
        <v>331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789"/>
      <c r="W75" s="573"/>
      <c r="X75" s="755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52"/>
      <c r="J76" s="752"/>
      <c r="K76" s="288"/>
      <c r="L76" s="384">
        <v>7</v>
      </c>
      <c r="M76" s="385" t="s">
        <v>331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789"/>
      <c r="W76" s="573"/>
      <c r="X76" s="755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52"/>
      <c r="J77" s="752"/>
      <c r="K77" s="288"/>
      <c r="L77" s="384">
        <v>7</v>
      </c>
      <c r="M77" s="385" t="s">
        <v>331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789"/>
      <c r="W77" s="573"/>
      <c r="X77" s="755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53"/>
      <c r="J78" s="753"/>
      <c r="K78" s="289"/>
      <c r="L78" s="316">
        <v>7</v>
      </c>
      <c r="M78" s="337" t="s">
        <v>331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790"/>
      <c r="W78" s="574"/>
      <c r="X78" s="756"/>
      <c r="Y78" s="483"/>
    </row>
    <row r="79" spans="1:25" ht="14.45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332</v>
      </c>
      <c r="D80" s="333"/>
      <c r="E80" s="464"/>
      <c r="F80" s="417"/>
      <c r="G80" s="334"/>
      <c r="H80" s="576"/>
      <c r="I80" s="782">
        <f>D174</f>
        <v>0</v>
      </c>
      <c r="J80" s="782">
        <f>F174</f>
        <v>0</v>
      </c>
      <c r="K80" s="297"/>
      <c r="L80" s="332">
        <v>8</v>
      </c>
      <c r="M80" s="426" t="s">
        <v>333</v>
      </c>
      <c r="N80" s="333" t="s">
        <v>334</v>
      </c>
      <c r="O80" s="561"/>
      <c r="P80" s="417"/>
      <c r="Q80" s="334">
        <v>695</v>
      </c>
      <c r="R80" s="591" t="s">
        <v>335</v>
      </c>
      <c r="S80" s="627" t="s">
        <v>336</v>
      </c>
      <c r="T80" s="685">
        <v>45961</v>
      </c>
      <c r="U80" s="507"/>
      <c r="V80" s="804">
        <f>J80-SUM(U80:U88)</f>
        <v>0</v>
      </c>
      <c r="W80" s="690">
        <f>T80</f>
        <v>45961</v>
      </c>
      <c r="X80" s="785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83"/>
      <c r="J81" s="783"/>
      <c r="K81" s="301"/>
      <c r="L81" s="322">
        <v>8</v>
      </c>
      <c r="M81" s="434" t="s">
        <v>333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805"/>
      <c r="W81" s="577"/>
      <c r="X81" s="786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83"/>
      <c r="J82" s="783"/>
      <c r="K82" s="301"/>
      <c r="L82" s="322">
        <v>8</v>
      </c>
      <c r="M82" s="434" t="s">
        <v>333</v>
      </c>
      <c r="N82" s="335" t="s">
        <v>337</v>
      </c>
      <c r="O82" s="416"/>
      <c r="P82" s="462"/>
      <c r="Q82" s="324">
        <v>69652</v>
      </c>
      <c r="R82" s="592" t="s">
        <v>338</v>
      </c>
      <c r="S82" s="628" t="s">
        <v>339</v>
      </c>
      <c r="T82" s="653">
        <v>45838</v>
      </c>
      <c r="U82" s="508"/>
      <c r="V82" s="805"/>
      <c r="W82" s="538">
        <v>45869</v>
      </c>
      <c r="X82" s="786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83"/>
      <c r="J83" s="783"/>
      <c r="K83" s="301"/>
      <c r="L83" s="322">
        <v>8</v>
      </c>
      <c r="M83" s="434" t="s">
        <v>333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805"/>
      <c r="W83" s="577"/>
      <c r="X83" s="786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83"/>
      <c r="J84" s="783"/>
      <c r="K84" s="301"/>
      <c r="L84" s="322">
        <v>8</v>
      </c>
      <c r="M84" s="434" t="s">
        <v>333</v>
      </c>
      <c r="N84" s="335" t="s">
        <v>340</v>
      </c>
      <c r="O84" s="671">
        <v>0.75</v>
      </c>
      <c r="P84" s="462">
        <v>59495</v>
      </c>
      <c r="Q84" s="324">
        <f>O84*P84</f>
        <v>44621.25</v>
      </c>
      <c r="R84" s="776" t="s">
        <v>341</v>
      </c>
      <c r="S84" s="628" t="s">
        <v>342</v>
      </c>
      <c r="T84" s="653">
        <v>45930</v>
      </c>
      <c r="U84" s="508"/>
      <c r="V84" s="805"/>
      <c r="W84" s="538">
        <v>45932</v>
      </c>
      <c r="X84" s="786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83"/>
      <c r="J85" s="783"/>
      <c r="K85" s="301"/>
      <c r="L85" s="322">
        <v>8</v>
      </c>
      <c r="M85" s="434" t="s">
        <v>333</v>
      </c>
      <c r="N85" s="335"/>
      <c r="O85" s="671">
        <v>0.25</v>
      </c>
      <c r="P85" s="462"/>
      <c r="Q85" s="324">
        <f>P84*O85</f>
        <v>14873.75</v>
      </c>
      <c r="R85" s="778"/>
      <c r="S85" s="628" t="s">
        <v>343</v>
      </c>
      <c r="T85" s="686">
        <v>45961</v>
      </c>
      <c r="U85" s="508"/>
      <c r="V85" s="805"/>
      <c r="W85" s="689">
        <v>45961</v>
      </c>
      <c r="X85" s="786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83"/>
      <c r="J86" s="783"/>
      <c r="K86" s="301"/>
      <c r="L86" s="322">
        <v>8</v>
      </c>
      <c r="M86" s="434" t="s">
        <v>333</v>
      </c>
      <c r="N86" s="335" t="s">
        <v>344</v>
      </c>
      <c r="O86" s="558"/>
      <c r="P86" s="462"/>
      <c r="Q86" s="324">
        <v>6483.33</v>
      </c>
      <c r="R86" s="592" t="s">
        <v>345</v>
      </c>
      <c r="S86" s="628" t="s">
        <v>346</v>
      </c>
      <c r="T86" s="676">
        <v>45930</v>
      </c>
      <c r="U86" s="508"/>
      <c r="V86" s="805"/>
      <c r="W86" s="689">
        <v>45943</v>
      </c>
      <c r="X86" s="786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83"/>
      <c r="J87" s="783"/>
      <c r="K87" s="301"/>
      <c r="L87" s="322">
        <v>8</v>
      </c>
      <c r="M87" s="434" t="s">
        <v>333</v>
      </c>
      <c r="N87" s="335" t="s">
        <v>347</v>
      </c>
      <c r="O87" s="558"/>
      <c r="P87" s="462"/>
      <c r="Q87" s="324">
        <v>2036</v>
      </c>
      <c r="R87" s="596" t="s">
        <v>348</v>
      </c>
      <c r="S87" s="632" t="s">
        <v>349</v>
      </c>
      <c r="T87" s="687">
        <v>45961</v>
      </c>
      <c r="U87" s="513"/>
      <c r="V87" s="805"/>
      <c r="W87" s="692">
        <f>T87</f>
        <v>45961</v>
      </c>
      <c r="X87" s="786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84"/>
      <c r="J88" s="784"/>
      <c r="K88" s="306"/>
      <c r="L88" s="302">
        <v>8</v>
      </c>
      <c r="M88" s="433" t="s">
        <v>333</v>
      </c>
      <c r="N88" s="304" t="s">
        <v>350</v>
      </c>
      <c r="O88" s="559"/>
      <c r="P88" s="456"/>
      <c r="Q88" s="305">
        <v>6089</v>
      </c>
      <c r="R88" s="593" t="s">
        <v>351</v>
      </c>
      <c r="S88" s="629" t="s">
        <v>352</v>
      </c>
      <c r="T88" s="710">
        <v>46053</v>
      </c>
      <c r="U88" s="509"/>
      <c r="V88" s="806"/>
      <c r="W88" s="578">
        <v>46081</v>
      </c>
      <c r="X88" s="787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353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354</v>
      </c>
      <c r="D90" s="327" t="s">
        <v>355</v>
      </c>
      <c r="E90" s="314"/>
      <c r="F90" s="438"/>
      <c r="G90" s="619">
        <f>D180</f>
        <v>43875</v>
      </c>
      <c r="H90" s="535">
        <v>45812</v>
      </c>
      <c r="I90" s="798">
        <f>SUM(G90:G101)</f>
        <v>138375</v>
      </c>
      <c r="J90" s="751">
        <f>F180+F181</f>
        <v>162794.11764705883</v>
      </c>
      <c r="K90" s="288"/>
      <c r="L90" s="311">
        <v>9</v>
      </c>
      <c r="M90" s="424" t="s">
        <v>356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63">
        <f>J90-SUM(U90:U101)</f>
        <v>0</v>
      </c>
      <c r="W90" s="579"/>
      <c r="X90" s="801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357</v>
      </c>
      <c r="E91" s="314"/>
      <c r="F91" s="460"/>
      <c r="G91" s="619">
        <f>D181</f>
        <v>94500</v>
      </c>
      <c r="H91" s="535">
        <v>45813</v>
      </c>
      <c r="I91" s="799"/>
      <c r="J91" s="752"/>
      <c r="K91" s="288"/>
      <c r="L91" s="311">
        <v>9</v>
      </c>
      <c r="M91" s="424" t="s">
        <v>356</v>
      </c>
      <c r="N91" s="328" t="s">
        <v>298</v>
      </c>
      <c r="O91" s="569">
        <f>Z29+Z30</f>
        <v>206171.2</v>
      </c>
      <c r="P91" s="570">
        <v>0.1</v>
      </c>
      <c r="Q91" s="315">
        <f>$O$91*P91</f>
        <v>20617.120000000003</v>
      </c>
      <c r="R91" s="771" t="s">
        <v>299</v>
      </c>
      <c r="S91" s="623" t="s">
        <v>300</v>
      </c>
      <c r="T91" s="641">
        <v>45808</v>
      </c>
      <c r="U91" s="659">
        <v>16279.411764705883</v>
      </c>
      <c r="V91" s="764"/>
      <c r="W91" s="535">
        <v>45813</v>
      </c>
      <c r="X91" s="80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99"/>
      <c r="J92" s="752"/>
      <c r="K92" s="288"/>
      <c r="L92" s="384">
        <v>9</v>
      </c>
      <c r="M92" s="502" t="s">
        <v>356</v>
      </c>
      <c r="N92" s="386" t="s">
        <v>174</v>
      </c>
      <c r="O92" s="551"/>
      <c r="P92" s="568">
        <v>0.15</v>
      </c>
      <c r="Q92" s="315">
        <f t="shared" ref="Q92:Q98" si="10">$O$91*P92</f>
        <v>30925.68</v>
      </c>
      <c r="R92" s="807"/>
      <c r="S92" s="624" t="s">
        <v>302</v>
      </c>
      <c r="T92" s="656">
        <v>45838</v>
      </c>
      <c r="U92" s="665">
        <v>24419.117647058822</v>
      </c>
      <c r="V92" s="764"/>
      <c r="W92" s="536">
        <v>45869</v>
      </c>
      <c r="X92" s="80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99"/>
      <c r="J93" s="752"/>
      <c r="K93" s="288"/>
      <c r="L93" s="384">
        <v>9</v>
      </c>
      <c r="M93" s="502" t="s">
        <v>356</v>
      </c>
      <c r="N93" s="386" t="s">
        <v>304</v>
      </c>
      <c r="O93" s="551"/>
      <c r="P93" s="568">
        <v>0.2</v>
      </c>
      <c r="Q93" s="315">
        <f t="shared" si="10"/>
        <v>41234.240000000005</v>
      </c>
      <c r="R93" s="807"/>
      <c r="S93" s="624" t="s">
        <v>305</v>
      </c>
      <c r="T93" s="656">
        <v>45900</v>
      </c>
      <c r="U93" s="665">
        <v>32558.823529411766</v>
      </c>
      <c r="V93" s="764"/>
      <c r="W93" s="536">
        <v>45954</v>
      </c>
      <c r="X93" s="80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99"/>
      <c r="J94" s="752"/>
      <c r="K94" s="288"/>
      <c r="L94" s="384">
        <v>9</v>
      </c>
      <c r="M94" s="502" t="s">
        <v>356</v>
      </c>
      <c r="N94" s="386" t="s">
        <v>306</v>
      </c>
      <c r="O94" s="675"/>
      <c r="P94" s="568">
        <v>0.25</v>
      </c>
      <c r="Q94" s="315">
        <f t="shared" si="10"/>
        <v>51542.8</v>
      </c>
      <c r="R94" s="807"/>
      <c r="S94" s="624" t="s">
        <v>305</v>
      </c>
      <c r="T94" s="693">
        <v>45961</v>
      </c>
      <c r="U94" s="694">
        <v>40698.529411764706</v>
      </c>
      <c r="V94" s="764"/>
      <c r="W94" s="536">
        <v>45954</v>
      </c>
      <c r="X94" s="80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99"/>
      <c r="J95" s="752"/>
      <c r="K95" s="288"/>
      <c r="L95" s="384">
        <v>9</v>
      </c>
      <c r="M95" s="502" t="s">
        <v>356</v>
      </c>
      <c r="N95" s="386" t="s">
        <v>134</v>
      </c>
      <c r="O95" s="551"/>
      <c r="P95" s="568">
        <v>0.1</v>
      </c>
      <c r="Q95" s="315">
        <f t="shared" si="10"/>
        <v>20617.120000000003</v>
      </c>
      <c r="R95" s="807"/>
      <c r="S95" s="624" t="s">
        <v>305</v>
      </c>
      <c r="T95" s="693">
        <v>45961</v>
      </c>
      <c r="U95" s="694">
        <v>16279.411764705883</v>
      </c>
      <c r="V95" s="764"/>
      <c r="W95" s="688">
        <v>45960</v>
      </c>
      <c r="X95" s="80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99"/>
      <c r="J96" s="752"/>
      <c r="K96" s="288"/>
      <c r="L96" s="384">
        <v>9</v>
      </c>
      <c r="M96" s="502" t="s">
        <v>356</v>
      </c>
      <c r="N96" s="386" t="s">
        <v>307</v>
      </c>
      <c r="O96" s="551"/>
      <c r="P96" s="568">
        <v>0.1</v>
      </c>
      <c r="Q96" s="315">
        <f t="shared" si="10"/>
        <v>20617.120000000003</v>
      </c>
      <c r="R96" s="807"/>
      <c r="S96" s="624" t="s">
        <v>305</v>
      </c>
      <c r="T96" s="693">
        <v>45961</v>
      </c>
      <c r="U96" s="694">
        <v>16279.411764705883</v>
      </c>
      <c r="V96" s="764"/>
      <c r="W96" s="536">
        <v>46051</v>
      </c>
      <c r="X96" s="80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99"/>
      <c r="J97" s="752"/>
      <c r="K97" s="288"/>
      <c r="L97" s="384">
        <v>9</v>
      </c>
      <c r="M97" s="502" t="s">
        <v>356</v>
      </c>
      <c r="N97" s="386" t="s">
        <v>308</v>
      </c>
      <c r="O97" s="551"/>
      <c r="P97" s="568">
        <v>0.05</v>
      </c>
      <c r="Q97" s="315">
        <f t="shared" si="10"/>
        <v>10308.560000000001</v>
      </c>
      <c r="R97" s="807"/>
      <c r="S97" s="624" t="s">
        <v>305</v>
      </c>
      <c r="T97" s="693">
        <v>45961</v>
      </c>
      <c r="U97" s="694">
        <v>8139.7058823529414</v>
      </c>
      <c r="V97" s="764"/>
      <c r="W97" s="536">
        <f>W96+7</f>
        <v>46058</v>
      </c>
      <c r="X97" s="80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99"/>
      <c r="J98" s="752"/>
      <c r="K98" s="288"/>
      <c r="L98" s="384">
        <v>9</v>
      </c>
      <c r="M98" s="502" t="s">
        <v>356</v>
      </c>
      <c r="N98" s="386" t="s">
        <v>309</v>
      </c>
      <c r="O98" s="551"/>
      <c r="P98" s="568">
        <v>0.05</v>
      </c>
      <c r="Q98" s="315">
        <f t="shared" si="10"/>
        <v>10308.560000000001</v>
      </c>
      <c r="R98" s="772"/>
      <c r="S98" s="624" t="s">
        <v>305</v>
      </c>
      <c r="T98" s="693">
        <v>45961</v>
      </c>
      <c r="U98" s="694">
        <v>8139.7058823529414</v>
      </c>
      <c r="V98" s="764"/>
      <c r="W98" s="573">
        <f>W97+30</f>
        <v>46088</v>
      </c>
      <c r="X98" s="80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99"/>
      <c r="J99" s="752"/>
      <c r="K99" s="288"/>
      <c r="L99" s="384">
        <v>9</v>
      </c>
      <c r="M99" s="502" t="s">
        <v>356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64"/>
      <c r="W99" s="573"/>
      <c r="X99" s="80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99"/>
      <c r="J100" s="752"/>
      <c r="K100" s="288"/>
      <c r="L100" s="384">
        <v>9</v>
      </c>
      <c r="M100" s="502" t="s">
        <v>356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64"/>
      <c r="W100" s="573"/>
      <c r="X100" s="80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800"/>
      <c r="J101" s="753"/>
      <c r="K101" s="364"/>
      <c r="L101" s="316">
        <v>9</v>
      </c>
      <c r="M101" s="442" t="s">
        <v>356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65"/>
      <c r="W101" s="574"/>
      <c r="X101" s="803"/>
      <c r="Y101" s="483"/>
    </row>
    <row r="102" spans="1:25" ht="14.45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358</v>
      </c>
      <c r="D103" s="270" t="s">
        <v>279</v>
      </c>
      <c r="E103" s="271"/>
      <c r="F103" s="471"/>
      <c r="G103" s="338">
        <f>D184</f>
        <v>8500</v>
      </c>
      <c r="H103" s="541">
        <v>45928</v>
      </c>
      <c r="I103" s="757">
        <f>SUM(G103:G123)</f>
        <v>45648.600000000006</v>
      </c>
      <c r="J103" s="757">
        <f>F184+F187+F188+F186</f>
        <v>53704.23529411765</v>
      </c>
      <c r="K103" s="339"/>
      <c r="L103" s="269">
        <v>10</v>
      </c>
      <c r="M103" s="435" t="s">
        <v>359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68">
        <f>J103-SUM(U103:U123)</f>
        <v>1.4691192045575008E-3</v>
      </c>
      <c r="W103" s="583"/>
      <c r="X103" s="761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66"/>
      <c r="J104" s="766"/>
      <c r="K104" s="272"/>
      <c r="L104" s="340">
        <v>10</v>
      </c>
      <c r="M104" s="655" t="s">
        <v>359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69"/>
      <c r="W104" s="583"/>
      <c r="X104" s="767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66"/>
      <c r="J105" s="766"/>
      <c r="K105" s="272"/>
      <c r="L105" s="340">
        <v>10</v>
      </c>
      <c r="M105" s="655" t="s">
        <v>359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69"/>
      <c r="W105" s="583"/>
      <c r="X105" s="767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66"/>
      <c r="J106" s="766"/>
      <c r="K106" s="272"/>
      <c r="L106" s="340">
        <v>10</v>
      </c>
      <c r="M106" s="655" t="s">
        <v>359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69"/>
      <c r="W106" s="583"/>
      <c r="X106" s="767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66"/>
      <c r="J107" s="766"/>
      <c r="K107" s="272"/>
      <c r="L107" s="340">
        <v>10</v>
      </c>
      <c r="M107" s="655" t="s">
        <v>359</v>
      </c>
      <c r="N107" s="341" t="s">
        <v>360</v>
      </c>
      <c r="O107" s="564"/>
      <c r="P107" s="472"/>
      <c r="Q107" s="343">
        <v>48560</v>
      </c>
      <c r="R107" s="600" t="s">
        <v>361</v>
      </c>
      <c r="S107" s="635" t="s">
        <v>362</v>
      </c>
      <c r="T107" s="672">
        <v>45930</v>
      </c>
      <c r="U107" s="644">
        <v>23508.185062852594</v>
      </c>
      <c r="V107" s="769"/>
      <c r="W107" s="541">
        <v>45932</v>
      </c>
      <c r="X107" s="767"/>
      <c r="Y107" s="483"/>
    </row>
    <row r="108" spans="1:25" ht="14.25" customHeight="1">
      <c r="B108" s="340">
        <v>10</v>
      </c>
      <c r="C108" s="341"/>
      <c r="D108" s="341" t="s">
        <v>280</v>
      </c>
      <c r="E108" s="342"/>
      <c r="F108" s="472"/>
      <c r="G108" s="343">
        <f>D188</f>
        <v>16748.600000000002</v>
      </c>
      <c r="H108" s="541">
        <v>45933</v>
      </c>
      <c r="I108" s="766"/>
      <c r="J108" s="766"/>
      <c r="K108" s="272"/>
      <c r="L108" s="340">
        <v>10</v>
      </c>
      <c r="M108" s="436" t="s">
        <v>359</v>
      </c>
      <c r="N108" s="341" t="s">
        <v>363</v>
      </c>
      <c r="O108" s="564"/>
      <c r="P108" s="472"/>
      <c r="Q108" s="343">
        <v>41230</v>
      </c>
      <c r="R108" s="601"/>
      <c r="S108" s="636" t="s">
        <v>364</v>
      </c>
      <c r="T108" s="691">
        <v>45961</v>
      </c>
      <c r="U108" s="695">
        <v>0</v>
      </c>
      <c r="V108" s="769"/>
      <c r="W108" s="699">
        <v>45967</v>
      </c>
      <c r="X108" s="767"/>
      <c r="Y108" s="483"/>
    </row>
    <row r="109" spans="1:25" ht="14.25" customHeight="1">
      <c r="B109" s="340">
        <v>10</v>
      </c>
      <c r="C109" s="341"/>
      <c r="D109" s="341" t="s">
        <v>365</v>
      </c>
      <c r="E109" s="342"/>
      <c r="F109" s="472"/>
      <c r="G109" s="343">
        <f>D187</f>
        <v>20400</v>
      </c>
      <c r="H109" s="541">
        <v>45934</v>
      </c>
      <c r="I109" s="766"/>
      <c r="J109" s="766"/>
      <c r="K109" s="272"/>
      <c r="L109" s="340">
        <v>10</v>
      </c>
      <c r="M109" s="436" t="s">
        <v>359</v>
      </c>
      <c r="N109" s="341" t="s">
        <v>366</v>
      </c>
      <c r="O109" s="564"/>
      <c r="P109" s="472"/>
      <c r="Q109" s="343">
        <v>39900</v>
      </c>
      <c r="R109" s="601"/>
      <c r="S109" s="636" t="s">
        <v>367</v>
      </c>
      <c r="T109" s="702">
        <v>45991</v>
      </c>
      <c r="U109" s="516"/>
      <c r="V109" s="769"/>
      <c r="W109" s="699">
        <v>45989</v>
      </c>
      <c r="X109" s="767"/>
      <c r="Y109" s="483"/>
    </row>
    <row r="110" spans="1:25" ht="14.25" customHeight="1">
      <c r="B110" s="340">
        <v>10</v>
      </c>
      <c r="C110" s="341"/>
      <c r="D110" s="341" t="s">
        <v>281</v>
      </c>
      <c r="E110" s="342"/>
      <c r="F110" s="472"/>
      <c r="G110" s="343">
        <f>D186</f>
        <v>0</v>
      </c>
      <c r="H110" s="541">
        <v>45935</v>
      </c>
      <c r="I110" s="766"/>
      <c r="J110" s="766"/>
      <c r="K110" s="272"/>
      <c r="L110" s="340">
        <v>10</v>
      </c>
      <c r="M110" s="436" t="s">
        <v>359</v>
      </c>
      <c r="N110" s="341" t="s">
        <v>368</v>
      </c>
      <c r="O110" s="564"/>
      <c r="P110" s="472"/>
      <c r="Q110" s="343">
        <v>41230</v>
      </c>
      <c r="R110" s="601"/>
      <c r="S110" s="636" t="s">
        <v>369</v>
      </c>
      <c r="T110" s="702">
        <v>46022</v>
      </c>
      <c r="U110" s="516"/>
      <c r="V110" s="769"/>
      <c r="W110" s="704">
        <v>46031</v>
      </c>
      <c r="X110" s="767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66"/>
      <c r="J111" s="766"/>
      <c r="K111" s="272"/>
      <c r="L111" s="340">
        <v>10</v>
      </c>
      <c r="M111" s="436" t="s">
        <v>359</v>
      </c>
      <c r="N111" s="341" t="s">
        <v>370</v>
      </c>
      <c r="O111" s="564"/>
      <c r="P111" s="472"/>
      <c r="Q111" s="343">
        <v>33900</v>
      </c>
      <c r="R111" s="602"/>
      <c r="S111" s="637" t="s">
        <v>371</v>
      </c>
      <c r="T111" s="654">
        <v>46053</v>
      </c>
      <c r="U111" s="517"/>
      <c r="V111" s="769"/>
      <c r="W111" s="542">
        <v>46051</v>
      </c>
      <c r="X111" s="767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66"/>
      <c r="J112" s="766"/>
      <c r="K112" s="272"/>
      <c r="L112" s="340">
        <v>10</v>
      </c>
      <c r="M112" s="436" t="s">
        <v>359</v>
      </c>
      <c r="N112" s="341"/>
      <c r="O112" s="564"/>
      <c r="P112" s="472"/>
      <c r="Q112" s="343"/>
      <c r="R112" s="602"/>
      <c r="S112" s="637"/>
      <c r="T112" s="532"/>
      <c r="U112" s="517"/>
      <c r="V112" s="769"/>
      <c r="W112" s="584"/>
      <c r="X112" s="767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66"/>
      <c r="J113" s="766"/>
      <c r="K113" s="272"/>
      <c r="L113" s="340">
        <v>10</v>
      </c>
      <c r="M113" s="436" t="s">
        <v>359</v>
      </c>
      <c r="N113" s="341" t="s">
        <v>298</v>
      </c>
      <c r="O113" s="618">
        <f>SUM(Z31:Z37)</f>
        <v>47098</v>
      </c>
      <c r="P113" s="571">
        <v>0.1</v>
      </c>
      <c r="Q113" s="343">
        <f>$O$113*P113</f>
        <v>4709.8</v>
      </c>
      <c r="R113" s="779" t="s">
        <v>299</v>
      </c>
      <c r="S113" s="637" t="s">
        <v>300</v>
      </c>
      <c r="T113" s="654">
        <v>45808</v>
      </c>
      <c r="U113" s="660">
        <v>1610.0536441471907</v>
      </c>
      <c r="V113" s="769"/>
      <c r="W113" s="542">
        <f t="shared" ref="W113:W120" si="14">W91</f>
        <v>45813</v>
      </c>
      <c r="X113" s="767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66"/>
      <c r="J114" s="766"/>
      <c r="K114" s="272"/>
      <c r="L114" s="340">
        <v>10</v>
      </c>
      <c r="M114" s="436" t="s">
        <v>359</v>
      </c>
      <c r="N114" s="341" t="s">
        <v>174</v>
      </c>
      <c r="O114" s="564"/>
      <c r="P114" s="571">
        <v>0.15</v>
      </c>
      <c r="Q114" s="343">
        <f t="shared" ref="Q114:Q120" si="15">$O$113*P114</f>
        <v>7064.7</v>
      </c>
      <c r="R114" s="780"/>
      <c r="S114" s="637" t="s">
        <v>302</v>
      </c>
      <c r="T114" s="654">
        <v>45838</v>
      </c>
      <c r="U114" s="660">
        <v>5938.9575196664427</v>
      </c>
      <c r="V114" s="769"/>
      <c r="W114" s="542">
        <f t="shared" si="14"/>
        <v>45869</v>
      </c>
      <c r="X114" s="767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66"/>
      <c r="J115" s="766"/>
      <c r="K115" s="272"/>
      <c r="L115" s="340">
        <v>10</v>
      </c>
      <c r="M115" s="436" t="s">
        <v>359</v>
      </c>
      <c r="N115" s="341" t="s">
        <v>304</v>
      </c>
      <c r="O115" s="564"/>
      <c r="P115" s="571">
        <v>0.2</v>
      </c>
      <c r="Q115" s="343">
        <f t="shared" si="15"/>
        <v>9419.6</v>
      </c>
      <c r="R115" s="780"/>
      <c r="S115" s="637" t="s">
        <v>305</v>
      </c>
      <c r="T115" s="653">
        <v>45869</v>
      </c>
      <c r="U115" s="660">
        <v>6039.2100262219237</v>
      </c>
      <c r="V115" s="769"/>
      <c r="W115" s="542">
        <f t="shared" si="14"/>
        <v>45954</v>
      </c>
      <c r="X115" s="767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66"/>
      <c r="J116" s="766"/>
      <c r="K116" s="272"/>
      <c r="L116" s="340">
        <v>10</v>
      </c>
      <c r="M116" s="436" t="s">
        <v>359</v>
      </c>
      <c r="N116" s="341" t="s">
        <v>306</v>
      </c>
      <c r="O116" s="564"/>
      <c r="P116" s="571">
        <v>0.25</v>
      </c>
      <c r="Q116" s="343">
        <f t="shared" si="15"/>
        <v>11774.5</v>
      </c>
      <c r="R116" s="780"/>
      <c r="S116" s="637" t="s">
        <v>305</v>
      </c>
      <c r="T116" s="653">
        <v>45869</v>
      </c>
      <c r="U116" s="660">
        <v>7549.012532777404</v>
      </c>
      <c r="V116" s="769"/>
      <c r="W116" s="542">
        <f t="shared" si="14"/>
        <v>45954</v>
      </c>
      <c r="X116" s="767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66"/>
      <c r="J117" s="766"/>
      <c r="K117" s="272"/>
      <c r="L117" s="340">
        <v>10</v>
      </c>
      <c r="M117" s="436" t="s">
        <v>359</v>
      </c>
      <c r="N117" s="341" t="s">
        <v>134</v>
      </c>
      <c r="O117" s="564"/>
      <c r="P117" s="571">
        <v>0.1</v>
      </c>
      <c r="Q117" s="343">
        <f t="shared" si="15"/>
        <v>4709.8</v>
      </c>
      <c r="R117" s="780"/>
      <c r="S117" s="637" t="s">
        <v>305</v>
      </c>
      <c r="T117" s="653">
        <v>45869</v>
      </c>
      <c r="U117" s="660">
        <v>3019.6050131109619</v>
      </c>
      <c r="V117" s="769"/>
      <c r="W117" s="647">
        <f t="shared" si="14"/>
        <v>45960</v>
      </c>
      <c r="X117" s="767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66"/>
      <c r="J118" s="766"/>
      <c r="K118" s="272"/>
      <c r="L118" s="340">
        <v>10</v>
      </c>
      <c r="M118" s="436" t="s">
        <v>359</v>
      </c>
      <c r="N118" s="341" t="s">
        <v>307</v>
      </c>
      <c r="O118" s="564"/>
      <c r="P118" s="571">
        <v>0.1</v>
      </c>
      <c r="Q118" s="343">
        <f t="shared" si="15"/>
        <v>4709.8</v>
      </c>
      <c r="R118" s="780"/>
      <c r="S118" s="637" t="s">
        <v>305</v>
      </c>
      <c r="T118" s="653">
        <v>45869</v>
      </c>
      <c r="U118" s="660">
        <v>3019.6050131109619</v>
      </c>
      <c r="V118" s="769"/>
      <c r="W118" s="542">
        <f t="shared" si="14"/>
        <v>46051</v>
      </c>
      <c r="X118" s="767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66"/>
      <c r="J119" s="766"/>
      <c r="K119" s="272"/>
      <c r="L119" s="340">
        <v>10</v>
      </c>
      <c r="M119" s="436" t="s">
        <v>359</v>
      </c>
      <c r="N119" s="341" t="s">
        <v>308</v>
      </c>
      <c r="O119" s="564"/>
      <c r="P119" s="571">
        <v>0.05</v>
      </c>
      <c r="Q119" s="343">
        <f t="shared" si="15"/>
        <v>2354.9</v>
      </c>
      <c r="R119" s="780"/>
      <c r="S119" s="637" t="s">
        <v>305</v>
      </c>
      <c r="T119" s="653">
        <v>45869</v>
      </c>
      <c r="U119" s="660">
        <v>1509.8025065554809</v>
      </c>
      <c r="V119" s="769"/>
      <c r="W119" s="542">
        <f t="shared" si="14"/>
        <v>46058</v>
      </c>
      <c r="X119" s="767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66"/>
      <c r="J120" s="766"/>
      <c r="K120" s="272"/>
      <c r="L120" s="340">
        <v>10</v>
      </c>
      <c r="M120" s="436" t="s">
        <v>359</v>
      </c>
      <c r="N120" s="341" t="s">
        <v>309</v>
      </c>
      <c r="O120" s="564"/>
      <c r="P120" s="571">
        <v>0.05</v>
      </c>
      <c r="Q120" s="343">
        <f t="shared" si="15"/>
        <v>2354.9</v>
      </c>
      <c r="R120" s="781"/>
      <c r="S120" s="637" t="s">
        <v>305</v>
      </c>
      <c r="T120" s="653">
        <v>45869</v>
      </c>
      <c r="U120" s="660">
        <v>1509.8025065554809</v>
      </c>
      <c r="V120" s="769"/>
      <c r="W120" s="584">
        <f t="shared" si="14"/>
        <v>46088</v>
      </c>
      <c r="X120" s="767"/>
      <c r="Y120" s="483"/>
    </row>
    <row r="121" spans="1:25" ht="14.1" customHeight="1">
      <c r="B121" s="340">
        <v>10</v>
      </c>
      <c r="C121" s="341"/>
      <c r="D121" s="341"/>
      <c r="E121" s="342"/>
      <c r="F121" s="472"/>
      <c r="G121" s="343"/>
      <c r="H121" s="584"/>
      <c r="I121" s="766"/>
      <c r="J121" s="766"/>
      <c r="K121" s="272"/>
      <c r="L121" s="340">
        <v>10</v>
      </c>
      <c r="M121" s="436" t="s">
        <v>359</v>
      </c>
      <c r="N121" s="341"/>
      <c r="O121" s="564"/>
      <c r="P121" s="472"/>
      <c r="Q121" s="343"/>
      <c r="R121" s="602"/>
      <c r="S121" s="637"/>
      <c r="T121" s="532"/>
      <c r="U121" s="517"/>
      <c r="V121" s="769"/>
      <c r="W121" s="584"/>
      <c r="X121" s="767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66"/>
      <c r="J122" s="766"/>
      <c r="K122" s="272"/>
      <c r="L122" s="340">
        <v>10</v>
      </c>
      <c r="M122" s="436" t="s">
        <v>359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69"/>
      <c r="W122" s="584"/>
      <c r="X122" s="767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58"/>
      <c r="J123" s="758"/>
      <c r="K123" s="275"/>
      <c r="L123" s="273">
        <v>10</v>
      </c>
      <c r="M123" s="437" t="s">
        <v>359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70"/>
      <c r="W123" s="585"/>
      <c r="X123" s="762"/>
      <c r="Y123" s="483"/>
    </row>
    <row r="124" spans="1:25" ht="14.45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8"/>
      <c r="G125" s="284">
        <v>11000</v>
      </c>
      <c r="H125" s="649">
        <v>45756</v>
      </c>
      <c r="I125" s="751">
        <f>SUM(G125:G129)</f>
        <v>29000</v>
      </c>
      <c r="J125" s="751">
        <f>F183</f>
        <v>34117.647058823532</v>
      </c>
      <c r="K125" s="285"/>
      <c r="L125" s="281">
        <v>11</v>
      </c>
      <c r="M125" s="351" t="s">
        <v>374</v>
      </c>
      <c r="N125" s="351" t="s">
        <v>373</v>
      </c>
      <c r="O125" s="283"/>
      <c r="P125" s="438"/>
      <c r="Q125" s="284">
        <v>4805.78</v>
      </c>
      <c r="R125" s="594"/>
      <c r="S125" s="630" t="s">
        <v>375</v>
      </c>
      <c r="T125" s="661">
        <v>45869</v>
      </c>
      <c r="U125" s="658">
        <v>12380.696005192576</v>
      </c>
      <c r="V125" s="763">
        <f>J125-SUM(U125:U129)</f>
        <v>-4.3605987593764439E-3</v>
      </c>
      <c r="W125" s="539">
        <v>45991</v>
      </c>
      <c r="X125" s="754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376</v>
      </c>
      <c r="E126" s="314"/>
      <c r="F126" s="460"/>
      <c r="G126" s="315">
        <v>18000</v>
      </c>
      <c r="H126" s="649">
        <v>45757</v>
      </c>
      <c r="I126" s="752"/>
      <c r="J126" s="752"/>
      <c r="K126" s="288"/>
      <c r="L126" s="311">
        <v>11</v>
      </c>
      <c r="M126" s="390" t="s">
        <v>374</v>
      </c>
      <c r="N126" s="313" t="s">
        <v>376</v>
      </c>
      <c r="O126" s="314"/>
      <c r="P126" s="460"/>
      <c r="Q126" s="315">
        <v>7811.75</v>
      </c>
      <c r="R126" s="587" t="s">
        <v>377</v>
      </c>
      <c r="S126" s="623" t="s">
        <v>378</v>
      </c>
      <c r="T126" s="648">
        <v>45777</v>
      </c>
      <c r="U126" s="650">
        <v>10741.62561736938</v>
      </c>
      <c r="V126" s="764"/>
      <c r="W126" s="649">
        <v>45757</v>
      </c>
      <c r="X126" s="755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52"/>
      <c r="J127" s="752"/>
      <c r="K127" s="288"/>
      <c r="L127" s="311">
        <v>11</v>
      </c>
      <c r="M127" s="390" t="s">
        <v>374</v>
      </c>
      <c r="N127" s="313" t="s">
        <v>379</v>
      </c>
      <c r="O127" s="314"/>
      <c r="P127" s="460"/>
      <c r="Q127" s="315">
        <v>6000</v>
      </c>
      <c r="R127" s="587"/>
      <c r="S127" s="623" t="s">
        <v>380</v>
      </c>
      <c r="T127" s="641">
        <v>45961</v>
      </c>
      <c r="U127" s="650">
        <v>10995.329796860335</v>
      </c>
      <c r="V127" s="764"/>
      <c r="W127" s="649">
        <v>45989</v>
      </c>
      <c r="X127" s="755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52"/>
      <c r="J128" s="752"/>
      <c r="K128" s="288"/>
      <c r="L128" s="311">
        <v>11</v>
      </c>
      <c r="M128" s="390" t="s">
        <v>374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64"/>
      <c r="W128" s="573"/>
      <c r="X128" s="755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53"/>
      <c r="J129" s="753"/>
      <c r="K129" s="289"/>
      <c r="L129" s="316">
        <v>11</v>
      </c>
      <c r="M129" s="420" t="s">
        <v>374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65"/>
      <c r="W129" s="574"/>
      <c r="X129" s="756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381</v>
      </c>
      <c r="D131" s="270" t="s">
        <v>382</v>
      </c>
      <c r="E131" s="271"/>
      <c r="F131" s="471"/>
      <c r="G131" s="338">
        <v>40755.219229831288</v>
      </c>
      <c r="H131" s="649">
        <v>45762</v>
      </c>
      <c r="I131" s="757">
        <f>SUM(G131:G132)</f>
        <v>48906.263075797542</v>
      </c>
      <c r="J131" s="757">
        <v>0</v>
      </c>
      <c r="K131" s="759"/>
      <c r="L131" s="269">
        <v>12</v>
      </c>
      <c r="M131" s="270" t="s">
        <v>383</v>
      </c>
      <c r="N131" s="270" t="s">
        <v>382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61">
        <f>SUM(Q131:Q132)</f>
        <v>0</v>
      </c>
      <c r="Y131" s="483"/>
    </row>
    <row r="132" spans="1:25" ht="15" customHeight="1" thickBot="1">
      <c r="B132" s="273">
        <v>12</v>
      </c>
      <c r="C132" s="344" t="s">
        <v>381</v>
      </c>
      <c r="D132" s="344" t="s">
        <v>384</v>
      </c>
      <c r="E132" s="345"/>
      <c r="F132" s="473"/>
      <c r="G132" s="274">
        <v>8151.0438459662582</v>
      </c>
      <c r="H132" s="649">
        <v>45763</v>
      </c>
      <c r="I132" s="758"/>
      <c r="J132" s="758"/>
      <c r="K132" s="760"/>
      <c r="L132" s="273">
        <v>12</v>
      </c>
      <c r="M132" s="344" t="s">
        <v>383</v>
      </c>
      <c r="N132" s="344" t="s">
        <v>384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62"/>
      <c r="Y132" s="483"/>
    </row>
    <row r="133" spans="1:25" ht="14.45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385</v>
      </c>
      <c r="D134" s="351" t="s">
        <v>386</v>
      </c>
      <c r="E134" s="283"/>
      <c r="F134" s="438"/>
      <c r="G134" s="284">
        <v>17264.436467391304</v>
      </c>
      <c r="H134" s="649">
        <v>45765</v>
      </c>
      <c r="I134" s="751">
        <f>SUM(G134:G138)</f>
        <v>81274.293610248453</v>
      </c>
      <c r="J134" s="751">
        <f>F182</f>
        <v>92357.151829827781</v>
      </c>
      <c r="K134" s="285"/>
      <c r="L134" s="281">
        <v>13</v>
      </c>
      <c r="M134" s="351" t="s">
        <v>387</v>
      </c>
      <c r="N134" s="351" t="s">
        <v>388</v>
      </c>
      <c r="O134" s="549"/>
      <c r="P134" s="438"/>
      <c r="Q134" s="284">
        <f>'Project Plan'!$E$6*1.25%</f>
        <v>25463.825000000001</v>
      </c>
      <c r="R134" s="594"/>
      <c r="S134" s="630" t="s">
        <v>389</v>
      </c>
      <c r="T134" s="697">
        <v>45961</v>
      </c>
      <c r="U134" s="696">
        <v>92357.151829827781</v>
      </c>
      <c r="V134" s="763">
        <f>J134-SUM(U134:U139)</f>
        <v>0</v>
      </c>
      <c r="W134" s="705">
        <v>45989</v>
      </c>
      <c r="X134" s="754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390</v>
      </c>
      <c r="E135" s="314"/>
      <c r="F135" s="460"/>
      <c r="G135" s="315">
        <v>9714.2857142857138</v>
      </c>
      <c r="H135" s="649">
        <v>45766</v>
      </c>
      <c r="I135" s="752"/>
      <c r="J135" s="752"/>
      <c r="K135" s="288"/>
      <c r="L135" s="311">
        <v>13</v>
      </c>
      <c r="M135" s="390" t="s">
        <v>387</v>
      </c>
      <c r="N135" s="313" t="s">
        <v>390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64"/>
      <c r="W135" s="572"/>
      <c r="X135" s="755"/>
      <c r="Y135" s="483"/>
    </row>
    <row r="136" spans="1:25" ht="15.75" customHeight="1">
      <c r="B136" s="311">
        <v>13</v>
      </c>
      <c r="C136" s="313"/>
      <c r="D136" s="313" t="s">
        <v>391</v>
      </c>
      <c r="E136" s="314"/>
      <c r="F136" s="460"/>
      <c r="G136" s="315">
        <v>28900</v>
      </c>
      <c r="H136" s="649">
        <v>45767</v>
      </c>
      <c r="I136" s="752"/>
      <c r="J136" s="752"/>
      <c r="K136" s="288"/>
      <c r="L136" s="311">
        <v>13</v>
      </c>
      <c r="M136" s="390" t="s">
        <v>387</v>
      </c>
      <c r="N136" s="313" t="s">
        <v>391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64"/>
      <c r="W136" s="572"/>
      <c r="X136" s="755"/>
      <c r="Y136" s="483"/>
    </row>
    <row r="137" spans="1:25" ht="15.75" customHeight="1">
      <c r="B137" s="311">
        <v>13</v>
      </c>
      <c r="C137" s="313"/>
      <c r="D137" s="313" t="s">
        <v>392</v>
      </c>
      <c r="E137" s="314"/>
      <c r="F137" s="460"/>
      <c r="G137" s="315">
        <v>12628.571428571428</v>
      </c>
      <c r="H137" s="649">
        <v>45768</v>
      </c>
      <c r="I137" s="752"/>
      <c r="J137" s="752"/>
      <c r="K137" s="288"/>
      <c r="L137" s="311">
        <v>13</v>
      </c>
      <c r="M137" s="390" t="s">
        <v>387</v>
      </c>
      <c r="N137" s="313" t="s">
        <v>392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64"/>
      <c r="W137" s="572"/>
      <c r="X137" s="755"/>
      <c r="Y137" s="483"/>
    </row>
    <row r="138" spans="1:25" ht="15.75" customHeight="1">
      <c r="B138" s="311">
        <v>13</v>
      </c>
      <c r="C138" s="313"/>
      <c r="D138" s="313" t="s">
        <v>393</v>
      </c>
      <c r="E138" s="314"/>
      <c r="F138" s="460"/>
      <c r="G138" s="315">
        <v>12767</v>
      </c>
      <c r="H138" s="649">
        <v>45769</v>
      </c>
      <c r="I138" s="752"/>
      <c r="J138" s="752"/>
      <c r="K138" s="288"/>
      <c r="L138" s="311">
        <v>13</v>
      </c>
      <c r="M138" s="390" t="s">
        <v>387</v>
      </c>
      <c r="N138" s="313" t="s">
        <v>393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64"/>
      <c r="W138" s="572"/>
      <c r="X138" s="755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53"/>
      <c r="J139" s="753"/>
      <c r="K139" s="364"/>
      <c r="L139" s="316">
        <v>13</v>
      </c>
      <c r="M139" s="420" t="s">
        <v>387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65"/>
      <c r="W139" s="574"/>
      <c r="X139" s="756"/>
      <c r="Y139" s="483"/>
    </row>
    <row r="140" spans="1:25" ht="14.45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394</v>
      </c>
      <c r="D141" s="270" t="s">
        <v>395</v>
      </c>
      <c r="E141" s="271"/>
      <c r="F141" s="471"/>
      <c r="G141" s="338">
        <v>2975</v>
      </c>
      <c r="H141" s="646">
        <v>45747</v>
      </c>
      <c r="I141" s="757">
        <f>SUM(G141:G152)</f>
        <v>2975</v>
      </c>
      <c r="J141" s="757">
        <f>F193</f>
        <v>3500</v>
      </c>
      <c r="K141" s="339"/>
      <c r="L141" s="269">
        <v>14</v>
      </c>
      <c r="M141" s="435" t="s">
        <v>396</v>
      </c>
      <c r="N141" s="270" t="s">
        <v>397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68">
        <f>J141-SUM(U141:U152)</f>
        <v>-1.809397583201644E-3</v>
      </c>
      <c r="W141" s="646">
        <v>45747</v>
      </c>
      <c r="X141" s="761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66"/>
      <c r="J142" s="766"/>
      <c r="K142" s="272"/>
      <c r="L142" s="340">
        <v>14</v>
      </c>
      <c r="M142" s="436" t="s">
        <v>396</v>
      </c>
      <c r="N142" s="341" t="s">
        <v>397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69"/>
      <c r="W142" s="647">
        <v>45777</v>
      </c>
      <c r="X142" s="767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66"/>
      <c r="J143" s="766"/>
      <c r="K143" s="272"/>
      <c r="L143" s="340">
        <v>14</v>
      </c>
      <c r="M143" s="436" t="s">
        <v>396</v>
      </c>
      <c r="N143" s="341" t="s">
        <v>397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69"/>
      <c r="W143" s="542">
        <v>45808</v>
      </c>
      <c r="X143" s="767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66"/>
      <c r="J144" s="766"/>
      <c r="K144" s="272"/>
      <c r="L144" s="340">
        <v>14</v>
      </c>
      <c r="M144" s="436" t="s">
        <v>396</v>
      </c>
      <c r="N144" s="341" t="s">
        <v>397</v>
      </c>
      <c r="O144" s="564"/>
      <c r="P144" s="472"/>
      <c r="Q144" s="343">
        <v>3959.0099999999998</v>
      </c>
      <c r="R144" s="602"/>
      <c r="S144" s="637" t="s">
        <v>398</v>
      </c>
      <c r="T144" s="654">
        <v>45838</v>
      </c>
      <c r="U144" s="660">
        <v>1391.3566709944059</v>
      </c>
      <c r="V144" s="769"/>
      <c r="W144" s="542">
        <v>45842</v>
      </c>
      <c r="X144" s="767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66"/>
      <c r="J145" s="766"/>
      <c r="K145" s="272"/>
      <c r="L145" s="340">
        <v>14</v>
      </c>
      <c r="M145" s="436" t="s">
        <v>396</v>
      </c>
      <c r="N145" s="341" t="s">
        <v>397</v>
      </c>
      <c r="O145" s="564"/>
      <c r="P145" s="472"/>
      <c r="Q145" s="343">
        <v>0</v>
      </c>
      <c r="R145" s="602"/>
      <c r="S145" s="637" t="s">
        <v>398</v>
      </c>
      <c r="T145" s="654">
        <v>45869</v>
      </c>
      <c r="U145" s="660">
        <v>0</v>
      </c>
      <c r="V145" s="769"/>
      <c r="W145" s="542">
        <v>45869</v>
      </c>
      <c r="X145" s="767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66"/>
      <c r="J146" s="766"/>
      <c r="K146" s="272"/>
      <c r="L146" s="340">
        <v>14</v>
      </c>
      <c r="M146" s="436" t="s">
        <v>396</v>
      </c>
      <c r="N146" s="341" t="s">
        <v>397</v>
      </c>
      <c r="O146" s="564"/>
      <c r="P146" s="472"/>
      <c r="Q146" s="343">
        <v>1476.4900000000002</v>
      </c>
      <c r="R146" s="602"/>
      <c r="S146" s="637" t="s">
        <v>398</v>
      </c>
      <c r="T146" s="654">
        <v>45900</v>
      </c>
      <c r="U146" s="660">
        <v>612.61513840317707</v>
      </c>
      <c r="V146" s="769"/>
      <c r="W146" s="542">
        <v>45905</v>
      </c>
      <c r="X146" s="767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66"/>
      <c r="J147" s="766"/>
      <c r="K147" s="272"/>
      <c r="L147" s="340">
        <v>14</v>
      </c>
      <c r="M147" s="436" t="s">
        <v>396</v>
      </c>
      <c r="N147" s="341" t="s">
        <v>397</v>
      </c>
      <c r="O147" s="564"/>
      <c r="P147" s="472"/>
      <c r="Q147" s="343">
        <v>0</v>
      </c>
      <c r="R147" s="602"/>
      <c r="S147" s="637" t="s">
        <v>398</v>
      </c>
      <c r="T147" s="643">
        <v>45930</v>
      </c>
      <c r="U147" s="645">
        <v>0</v>
      </c>
      <c r="V147" s="769"/>
      <c r="W147" s="647">
        <v>45930</v>
      </c>
      <c r="X147" s="767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66"/>
      <c r="J148" s="766"/>
      <c r="K148" s="272"/>
      <c r="L148" s="340">
        <v>14</v>
      </c>
      <c r="M148" s="436" t="s">
        <v>396</v>
      </c>
      <c r="N148" s="341" t="s">
        <v>397</v>
      </c>
      <c r="O148" s="564"/>
      <c r="P148" s="472"/>
      <c r="Q148" s="343">
        <v>0</v>
      </c>
      <c r="R148" s="602"/>
      <c r="S148" s="637" t="s">
        <v>398</v>
      </c>
      <c r="T148" s="643">
        <v>45961</v>
      </c>
      <c r="U148" s="645">
        <v>0</v>
      </c>
      <c r="V148" s="769"/>
      <c r="W148" s="647">
        <v>45961</v>
      </c>
      <c r="X148" s="767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66"/>
      <c r="J149" s="766"/>
      <c r="K149" s="272"/>
      <c r="L149" s="340">
        <v>14</v>
      </c>
      <c r="M149" s="436" t="s">
        <v>396</v>
      </c>
      <c r="N149" s="341" t="s">
        <v>397</v>
      </c>
      <c r="O149" s="564"/>
      <c r="P149" s="472"/>
      <c r="Q149" s="343">
        <v>0</v>
      </c>
      <c r="R149" s="602"/>
      <c r="S149" s="637" t="s">
        <v>398</v>
      </c>
      <c r="T149" s="643">
        <v>45991</v>
      </c>
      <c r="U149" s="645">
        <v>1496.03</v>
      </c>
      <c r="V149" s="769"/>
      <c r="W149" s="647">
        <v>45996</v>
      </c>
      <c r="X149" s="767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66"/>
      <c r="J150" s="766"/>
      <c r="K150" s="272"/>
      <c r="L150" s="340">
        <v>14</v>
      </c>
      <c r="M150" s="436" t="s">
        <v>396</v>
      </c>
      <c r="N150" s="341" t="s">
        <v>397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69"/>
      <c r="W150" s="584"/>
      <c r="X150" s="767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66"/>
      <c r="J151" s="766"/>
      <c r="K151" s="272"/>
      <c r="L151" s="340">
        <v>14</v>
      </c>
      <c r="M151" s="436" t="s">
        <v>396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69"/>
      <c r="W151" s="584"/>
      <c r="X151" s="767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58"/>
      <c r="J152" s="758"/>
      <c r="K152" s="275"/>
      <c r="L152" s="273">
        <v>14</v>
      </c>
      <c r="M152" s="437" t="s">
        <v>396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70"/>
      <c r="W152" s="585"/>
      <c r="X152" s="762"/>
      <c r="Y152" s="483"/>
    </row>
    <row r="153" spans="1:25" ht="14.45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399</v>
      </c>
      <c r="D154" s="282" t="s">
        <v>400</v>
      </c>
      <c r="E154" s="283"/>
      <c r="F154" s="438"/>
      <c r="G154" s="284">
        <f>D190</f>
        <v>300000</v>
      </c>
      <c r="H154" s="584">
        <v>45996</v>
      </c>
      <c r="I154" s="751">
        <f>SUM(G154:G165)</f>
        <v>300000</v>
      </c>
      <c r="J154" s="751">
        <f>F190</f>
        <v>300000</v>
      </c>
      <c r="K154" s="285"/>
      <c r="L154" s="281">
        <v>15</v>
      </c>
      <c r="M154" s="351" t="s">
        <v>401</v>
      </c>
      <c r="N154" s="282"/>
      <c r="O154" s="283"/>
      <c r="P154" s="438"/>
      <c r="Q154" s="284"/>
      <c r="R154" s="594"/>
      <c r="S154" s="630"/>
      <c r="T154" s="526"/>
      <c r="U154" s="511"/>
      <c r="V154" s="763">
        <f>J154-SUM(U154:U165)</f>
        <v>0</v>
      </c>
      <c r="W154" s="579"/>
      <c r="X154" s="754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52"/>
      <c r="J155" s="752"/>
      <c r="K155" s="288"/>
      <c r="L155" s="311">
        <v>15</v>
      </c>
      <c r="M155" s="390" t="s">
        <v>401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64"/>
      <c r="W155" s="572"/>
      <c r="X155" s="755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52"/>
      <c r="J156" s="752"/>
      <c r="K156" s="288"/>
      <c r="L156" s="311">
        <v>15</v>
      </c>
      <c r="M156" s="390" t="s">
        <v>401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64"/>
      <c r="W156" s="572"/>
      <c r="X156" s="755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52"/>
      <c r="J157" s="752"/>
      <c r="K157" s="288"/>
      <c r="L157" s="311">
        <v>15</v>
      </c>
      <c r="M157" s="390" t="s">
        <v>401</v>
      </c>
      <c r="N157" s="313" t="s">
        <v>402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64"/>
      <c r="W157" s="572"/>
      <c r="X157" s="755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52"/>
      <c r="J158" s="752"/>
      <c r="K158" s="288"/>
      <c r="L158" s="311">
        <v>15</v>
      </c>
      <c r="M158" s="390" t="s">
        <v>401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64"/>
      <c r="W158" s="572"/>
      <c r="X158" s="755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52"/>
      <c r="J159" s="752"/>
      <c r="K159" s="288"/>
      <c r="L159" s="311">
        <v>15</v>
      </c>
      <c r="M159" s="390" t="s">
        <v>401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64"/>
      <c r="W159" s="572"/>
      <c r="X159" s="755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52"/>
      <c r="J160" s="752"/>
      <c r="K160" s="288"/>
      <c r="L160" s="311">
        <v>15</v>
      </c>
      <c r="M160" s="390" t="s">
        <v>401</v>
      </c>
      <c r="N160" s="313" t="s">
        <v>403</v>
      </c>
      <c r="O160" s="550"/>
      <c r="P160" s="460"/>
      <c r="Q160" s="315">
        <v>0</v>
      </c>
      <c r="R160" s="587"/>
      <c r="S160" s="623"/>
      <c r="T160" s="519"/>
      <c r="U160" s="503"/>
      <c r="V160" s="764"/>
      <c r="W160" s="572"/>
      <c r="X160" s="755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52"/>
      <c r="J161" s="752"/>
      <c r="K161" s="288"/>
      <c r="L161" s="311">
        <v>15</v>
      </c>
      <c r="M161" s="390" t="s">
        <v>401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64"/>
      <c r="W161" s="572"/>
      <c r="X161" s="755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52"/>
      <c r="J162" s="752"/>
      <c r="K162" s="288"/>
      <c r="L162" s="311">
        <v>15</v>
      </c>
      <c r="M162" s="390" t="s">
        <v>401</v>
      </c>
      <c r="N162" s="313" t="s">
        <v>404</v>
      </c>
      <c r="O162" s="315">
        <v>24898</v>
      </c>
      <c r="P162" s="570">
        <v>0.5</v>
      </c>
      <c r="Q162" s="315">
        <f>O162*P162</f>
        <v>12449</v>
      </c>
      <c r="R162" s="771" t="s">
        <v>405</v>
      </c>
      <c r="S162" s="623" t="s">
        <v>406</v>
      </c>
      <c r="T162" s="641">
        <v>45961</v>
      </c>
      <c r="U162" s="503"/>
      <c r="V162" s="764"/>
      <c r="W162" s="535">
        <v>45967</v>
      </c>
      <c r="X162" s="755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52"/>
      <c r="J163" s="752"/>
      <c r="K163" s="288"/>
      <c r="L163" s="311">
        <v>15</v>
      </c>
      <c r="M163" s="390" t="s">
        <v>401</v>
      </c>
      <c r="N163" s="313"/>
      <c r="O163" s="550"/>
      <c r="P163" s="570">
        <v>0.5</v>
      </c>
      <c r="Q163" s="315">
        <f>O162*P163</f>
        <v>12449</v>
      </c>
      <c r="R163" s="772"/>
      <c r="S163" s="623" t="s">
        <v>406</v>
      </c>
      <c r="T163" s="641">
        <v>45961</v>
      </c>
      <c r="U163" s="503"/>
      <c r="V163" s="764"/>
      <c r="W163" s="572">
        <f>W98</f>
        <v>46088</v>
      </c>
      <c r="X163" s="755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52"/>
      <c r="J164" s="752"/>
      <c r="K164" s="288"/>
      <c r="L164" s="311">
        <v>15</v>
      </c>
      <c r="M164" s="390" t="s">
        <v>401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64"/>
      <c r="W164" s="572"/>
      <c r="X164" s="755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53"/>
      <c r="J165" s="753"/>
      <c r="K165" s="289"/>
      <c r="L165" s="316">
        <v>15</v>
      </c>
      <c r="M165" s="420" t="s">
        <v>401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65"/>
      <c r="W165" s="574"/>
      <c r="X165" s="756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407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408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409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296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325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311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410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411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412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413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414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415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416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417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418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419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420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421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422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423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424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425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412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426</v>
      </c>
      <c r="D192" s="640"/>
      <c r="E192" s="544"/>
      <c r="F192" s="640"/>
      <c r="I192" s="256"/>
      <c r="J192" s="256"/>
    </row>
    <row r="193" spans="3:10" s="112" customFormat="1">
      <c r="C193" s="640" t="s">
        <v>427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I125:I129"/>
    <mergeCell ref="J125:J129"/>
    <mergeCell ref="X125:X129"/>
    <mergeCell ref="I131:I132"/>
    <mergeCell ref="J131:J132"/>
    <mergeCell ref="K131:K132"/>
    <mergeCell ref="X131:X132"/>
    <mergeCell ref="V125:V1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bottomRight" activeCell="AX35" sqref="AX3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428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429</v>
      </c>
      <c r="B2" s="192"/>
      <c r="C2" s="193" t="s">
        <v>261</v>
      </c>
      <c r="D2" s="193" t="s">
        <v>261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09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09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09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8" t="s">
        <v>103</v>
      </c>
      <c r="B8" s="192"/>
      <c r="C8" s="193" t="s">
        <v>261</v>
      </c>
      <c r="D8" s="193" t="s">
        <v>261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433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09"/>
      <c r="B11" s="212" t="s">
        <v>435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35936.972500000003</v>
      </c>
      <c r="BM11" s="214">
        <f>SUMIFS('Expenditure Breakdown'!$Q$6:$Q$173, 'Expenditure Breakdown'!$W$6:$W$173, "&gt;="&amp;BM1,'Expenditure Breakdown'!$W$6:$W$173, "&lt;"&amp;BN1)</f>
        <v>0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09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1612924.845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424181.15500000003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261</v>
      </c>
      <c r="D16" s="193" t="s">
        <v>261</v>
      </c>
    </row>
    <row r="17" spans="1:316">
      <c r="A17" s="810"/>
      <c r="B17" s="195" t="s">
        <v>438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0"/>
      <c r="B18" s="195" t="s">
        <v>439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8515625" defaultRowHeight="14.45"/>
  <cols>
    <col min="1" max="1" width="39.42578125" style="366" bestFit="1" customWidth="1"/>
    <col min="2" max="2" width="17.28515625" style="367" bestFit="1" customWidth="1"/>
    <col min="3" max="4" width="12" style="366" bestFit="1" customWidth="1"/>
    <col min="5" max="5" width="14.85546875" style="366" bestFit="1" customWidth="1"/>
    <col min="6" max="7" width="13.28515625" style="366" bestFit="1" customWidth="1"/>
    <col min="8" max="8" width="12" style="366" bestFit="1" customWidth="1"/>
    <col min="9" max="9" width="13.28515625" style="366" bestFit="1" customWidth="1"/>
    <col min="10" max="11" width="11.7109375" style="366" bestFit="1" customWidth="1"/>
    <col min="12" max="12" width="4.85546875" style="366" bestFit="1" customWidth="1"/>
    <col min="13" max="13" width="10.5703125" style="366" bestFit="1" customWidth="1"/>
    <col min="14" max="14" width="14.85546875" style="366" bestFit="1" customWidth="1"/>
    <col min="15" max="15" width="14.7109375" style="366" bestFit="1" customWidth="1"/>
    <col min="16" max="18" width="11.42578125" style="366" bestFit="1" customWidth="1"/>
    <col min="19" max="19" width="13.5703125" style="366" bestFit="1" customWidth="1"/>
    <col min="20" max="16384" width="12.2851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440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264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274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285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294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312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326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356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359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374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387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396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401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383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4" width="12" style="408" bestFit="1" customWidth="1"/>
    <col min="5" max="6" width="13.28515625" style="408" bestFit="1" customWidth="1"/>
    <col min="7" max="8" width="12" style="408" bestFit="1" customWidth="1"/>
    <col min="9" max="9" width="13.28515625" style="408" bestFit="1" customWidth="1"/>
    <col min="10" max="11" width="12" bestFit="1" customWidth="1"/>
    <col min="12" max="12" width="10.7109375" bestFit="1" customWidth="1"/>
    <col min="13" max="13" width="12" bestFit="1" customWidth="1"/>
    <col min="14" max="14" width="14.85546875" bestFit="1" customWidth="1"/>
    <col min="15" max="15" width="14.7109375" bestFit="1" customWidth="1"/>
    <col min="16" max="16" width="10.710937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445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264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274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285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294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312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326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333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>
        <v>6089</v>
      </c>
      <c r="N12" s="450">
        <v>144450.33000000002</v>
      </c>
      <c r="O12" s="450"/>
    </row>
    <row r="13" spans="1:15">
      <c r="A13" s="448" t="s">
        <v>356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359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33900</v>
      </c>
      <c r="N14" s="450">
        <v>251918</v>
      </c>
    </row>
    <row r="15" spans="1:15">
      <c r="A15" s="448" t="s">
        <v>374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387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396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401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383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331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39989</v>
      </c>
      <c r="N21" s="450">
        <v>1612924.845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446</v>
      </c>
    </row>
    <row r="2" spans="1:4">
      <c r="A2" s="812"/>
      <c r="B2" s="812"/>
      <c r="C2" s="812"/>
      <c r="D2" s="71"/>
    </row>
    <row r="3" spans="1:4">
      <c r="A3" s="811" t="s">
        <v>447</v>
      </c>
      <c r="B3" s="811"/>
      <c r="C3" s="811"/>
      <c r="D3" s="111">
        <v>0.32</v>
      </c>
    </row>
    <row r="4" spans="1:4">
      <c r="A4" s="811" t="s">
        <v>415</v>
      </c>
      <c r="B4" s="811"/>
      <c r="C4" s="811"/>
      <c r="D4" s="111">
        <v>0.5</v>
      </c>
    </row>
    <row r="5" spans="1:4">
      <c r="A5" s="811" t="s">
        <v>426</v>
      </c>
      <c r="B5" s="811"/>
      <c r="C5" s="811"/>
      <c r="D5" s="111">
        <v>0.15</v>
      </c>
    </row>
    <row r="6" spans="1:4">
      <c r="A6" s="811" t="s">
        <v>448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13" t="s">
        <v>449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2.95">
      <c r="B4" s="92" t="s">
        <v>450</v>
      </c>
      <c r="C4" s="86"/>
      <c r="D4" s="90" t="s">
        <v>451</v>
      </c>
      <c r="E4" s="95"/>
      <c r="F4" s="90" t="s">
        <v>452</v>
      </c>
      <c r="H4" s="90" t="s">
        <v>453</v>
      </c>
      <c r="I4" s="95"/>
      <c r="J4" s="90" t="s">
        <v>454</v>
      </c>
      <c r="L4" s="90" t="s">
        <v>453</v>
      </c>
      <c r="M4" s="90"/>
      <c r="N4" s="90" t="s">
        <v>455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456</v>
      </c>
      <c r="H7" s="99"/>
      <c r="I7" s="95"/>
      <c r="J7" s="107" t="s">
        <v>456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272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272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456</v>
      </c>
      <c r="H15" s="99"/>
      <c r="I15" s="95"/>
      <c r="J15" s="107" t="s">
        <v>456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460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456</v>
      </c>
      <c r="H21" s="99"/>
      <c r="I21" s="95"/>
      <c r="J21" s="107" t="s">
        <v>456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461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456</v>
      </c>
      <c r="H27" s="99"/>
      <c r="I27" s="95"/>
      <c r="J27" s="107" t="s">
        <v>456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456</v>
      </c>
      <c r="H34" s="99"/>
      <c r="I34" s="95"/>
      <c r="J34" s="107" t="s">
        <v>456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2.95">
      <c r="B4" s="92" t="s">
        <v>450</v>
      </c>
      <c r="C4" s="86"/>
      <c r="D4" s="90" t="s">
        <v>451</v>
      </c>
      <c r="E4" s="95"/>
      <c r="F4" s="95"/>
      <c r="G4" s="90" t="s">
        <v>472</v>
      </c>
      <c r="H4" s="96"/>
      <c r="J4" s="90" t="s">
        <v>453</v>
      </c>
      <c r="L4" s="90" t="s">
        <v>473</v>
      </c>
      <c r="M4" s="96"/>
      <c r="O4" s="90" t="s">
        <v>453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271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276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277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278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450</v>
      </c>
      <c r="C18" s="86"/>
      <c r="D18" s="90" t="s">
        <v>451</v>
      </c>
      <c r="E18" s="95"/>
      <c r="F18" s="95"/>
      <c r="G18" s="90" t="s">
        <v>475</v>
      </c>
      <c r="H18" s="96"/>
      <c r="J18" s="90" t="s">
        <v>453</v>
      </c>
      <c r="L18" s="90" t="s">
        <v>476</v>
      </c>
      <c r="M18" s="96"/>
      <c r="O18" s="90" t="s">
        <v>453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2.95" thickTop="1"/>
    <row r="34" spans="2:4">
      <c r="B34" s="88" t="s">
        <v>451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28515625" bestFit="1" customWidth="1"/>
  </cols>
  <sheetData>
    <row r="1" spans="2:14">
      <c r="B1" s="815" t="str">
        <f>D15</f>
        <v>Marikana Old Church</v>
      </c>
      <c r="C1" s="815"/>
      <c r="D1" s="815"/>
      <c r="E1" s="814" t="s">
        <v>484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319F1D31-CCCC-4408-A6B1-D31C49C31AD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2026-02-11T06:18:33Z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