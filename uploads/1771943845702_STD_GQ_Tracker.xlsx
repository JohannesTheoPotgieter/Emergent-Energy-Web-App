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62" documentId="13_ncr:1_{05C1900B-2265-4E6B-84E8-B007B25CDB64}" xr6:coauthVersionLast="47" xr6:coauthVersionMax="47" xr10:uidLastSave="{69B1601F-CF4F-4FD5-B65B-864016663A1B}"/>
  <bookViews>
    <workbookView minimized="1" xWindow="-28425" yWindow="1620" windowWidth="19380" windowHeight="11235" tabRatio="761" firstSheet="7" activeTab="7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Plan'!$B$72:$G$77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01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5" l="1"/>
  <c r="F28" i="5"/>
  <c r="U85" i="18"/>
  <c r="U169" i="18"/>
  <c r="U146" i="18"/>
  <c r="U92" i="18"/>
  <c r="W92" i="18"/>
  <c r="Q85" i="18"/>
  <c r="W85" i="18"/>
  <c r="Q33" i="18"/>
  <c r="S41" i="18"/>
  <c r="S43" i="18"/>
  <c r="S42" i="18"/>
  <c r="S71" i="18"/>
  <c r="S121" i="18"/>
  <c r="S70" i="18"/>
  <c r="S120" i="18"/>
  <c r="S69" i="18"/>
  <c r="S119" i="18"/>
  <c r="S40" i="18"/>
  <c r="S68" i="18"/>
  <c r="S118" i="18"/>
  <c r="H6" i="5"/>
  <c r="W27" i="18"/>
  <c r="W39" i="18"/>
  <c r="S117" i="18"/>
  <c r="T39" i="18"/>
  <c r="S39" i="18"/>
  <c r="T67" i="18"/>
  <c r="S67" i="18"/>
  <c r="W117" i="18"/>
  <c r="W67" i="18"/>
  <c r="K57" i="2"/>
  <c r="I58" i="2"/>
  <c r="W32" i="18"/>
  <c r="M49" i="2"/>
  <c r="W28" i="18"/>
  <c r="W135" i="18"/>
  <c r="W156" i="18"/>
  <c r="W29" i="18"/>
  <c r="S84" i="2"/>
  <c r="K42" i="2"/>
  <c r="N42" i="2"/>
  <c r="K43" i="2"/>
  <c r="N43" i="2"/>
  <c r="E47" i="2"/>
  <c r="G47" i="2"/>
  <c r="E46" i="2"/>
  <c r="G46" i="2"/>
  <c r="M39" i="2"/>
  <c r="K41" i="2"/>
  <c r="N41" i="2"/>
  <c r="K38" i="2"/>
  <c r="N38" i="2"/>
  <c r="K35" i="2"/>
  <c r="N35" i="2"/>
  <c r="W26" i="18"/>
  <c r="K36" i="2"/>
  <c r="N36" i="2"/>
  <c r="W24" i="18"/>
  <c r="Q21" i="18"/>
  <c r="X21" i="18"/>
  <c r="H11" i="3"/>
  <c r="K14" i="2"/>
  <c r="I28" i="2"/>
  <c r="E28" i="5"/>
  <c r="O113" i="18"/>
  <c r="Q117" i="18"/>
  <c r="O35" i="18"/>
  <c r="Q42" i="18"/>
  <c r="Q39" i="18"/>
  <c r="Q116" i="18"/>
  <c r="N14" i="2"/>
  <c r="K39" i="2"/>
  <c r="N39" i="2"/>
  <c r="I50" i="2"/>
  <c r="K50" i="2"/>
  <c r="K49" i="2"/>
  <c r="I32" i="2"/>
  <c r="K21" i="2"/>
  <c r="I20" i="2"/>
  <c r="K12" i="2"/>
  <c r="I16" i="2"/>
  <c r="E6" i="2"/>
  <c r="T90" i="18"/>
  <c r="T88" i="18"/>
  <c r="F170" i="18"/>
  <c r="J21" i="18"/>
  <c r="J85" i="18"/>
  <c r="I132" i="18"/>
  <c r="F20" i="3"/>
  <c r="G88" i="18"/>
  <c r="I85" i="18"/>
  <c r="F16" i="3"/>
  <c r="I13" i="2"/>
  <c r="G6" i="18"/>
  <c r="G13" i="18"/>
  <c r="C4" i="24"/>
  <c r="C7" i="23"/>
  <c r="C4" i="23"/>
  <c r="T55" i="18"/>
  <c r="T54" i="18"/>
  <c r="H57" i="18"/>
  <c r="G12" i="2"/>
  <c r="K44" i="2"/>
  <c r="N44" i="2"/>
  <c r="I26" i="2"/>
  <c r="K33" i="2"/>
  <c r="N33" i="2"/>
  <c r="E50" i="2"/>
  <c r="G50" i="2"/>
  <c r="K53" i="2"/>
  <c r="N53" i="2"/>
  <c r="K27" i="2"/>
  <c r="N27" i="2"/>
  <c r="K51" i="2"/>
  <c r="N51" i="2"/>
  <c r="M66" i="2"/>
  <c r="M61" i="2"/>
  <c r="M55" i="2"/>
  <c r="M23" i="2"/>
  <c r="X126" i="18"/>
  <c r="H19" i="3"/>
  <c r="G1" i="6"/>
  <c r="H1" i="6"/>
  <c r="Q113" i="18"/>
  <c r="O96" i="18"/>
  <c r="Q99" i="18"/>
  <c r="Q100" i="18"/>
  <c r="O63" i="18"/>
  <c r="W129" i="18"/>
  <c r="T122" i="18"/>
  <c r="T123" i="18"/>
  <c r="T124" i="18"/>
  <c r="T125" i="18"/>
  <c r="T130" i="18"/>
  <c r="T131" i="18"/>
  <c r="T133" i="18"/>
  <c r="T134" i="18"/>
  <c r="T141" i="18"/>
  <c r="T147" i="18"/>
  <c r="T148" i="18"/>
  <c r="T149" i="18"/>
  <c r="T150" i="18"/>
  <c r="T151" i="18"/>
  <c r="T152" i="18"/>
  <c r="T153" i="18"/>
  <c r="T154" i="18"/>
  <c r="T155" i="18"/>
  <c r="T30" i="18"/>
  <c r="X13" i="18"/>
  <c r="G135" i="18"/>
  <c r="T75" i="2"/>
  <c r="S75" i="2"/>
  <c r="S87" i="2"/>
  <c r="S86" i="2"/>
  <c r="S85" i="2"/>
  <c r="S83" i="2"/>
  <c r="S82" i="2"/>
  <c r="S81" i="2"/>
  <c r="S80" i="2"/>
  <c r="S79" i="2"/>
  <c r="X48" i="18"/>
  <c r="AO13" i="5"/>
  <c r="G112" i="18"/>
  <c r="Z18" i="18"/>
  <c r="J109" i="18"/>
  <c r="T166" i="18"/>
  <c r="T165" i="18"/>
  <c r="T164" i="18"/>
  <c r="T163" i="18"/>
  <c r="T162" i="18"/>
  <c r="T161" i="18"/>
  <c r="T160" i="18"/>
  <c r="T159" i="18"/>
  <c r="T158" i="18"/>
  <c r="T157" i="18"/>
  <c r="T112" i="18"/>
  <c r="T111" i="18"/>
  <c r="T110" i="18"/>
  <c r="T108" i="18"/>
  <c r="T107" i="18"/>
  <c r="T105" i="18"/>
  <c r="T95" i="18"/>
  <c r="T94" i="18"/>
  <c r="T75" i="18"/>
  <c r="T74" i="18"/>
  <c r="T73" i="18"/>
  <c r="T72" i="18"/>
  <c r="T62" i="18"/>
  <c r="T61" i="18"/>
  <c r="T60" i="18"/>
  <c r="T59" i="18"/>
  <c r="T57" i="18"/>
  <c r="T56" i="18"/>
  <c r="T47" i="18"/>
  <c r="T46" i="18"/>
  <c r="T45" i="18"/>
  <c r="T44" i="18"/>
  <c r="T34" i="18"/>
  <c r="J76" i="18"/>
  <c r="V76" i="18"/>
  <c r="X85" i="18"/>
  <c r="G142" i="18"/>
  <c r="I142" i="18"/>
  <c r="F22" i="3"/>
  <c r="G111" i="18"/>
  <c r="G110" i="18"/>
  <c r="Z17" i="18"/>
  <c r="G109" i="18"/>
  <c r="G96" i="18"/>
  <c r="Z15" i="18"/>
  <c r="G95" i="18"/>
  <c r="Z14" i="18"/>
  <c r="G57" i="18"/>
  <c r="G48" i="18"/>
  <c r="I48" i="18"/>
  <c r="F13" i="3"/>
  <c r="G32" i="18"/>
  <c r="Z13" i="18"/>
  <c r="G21" i="18"/>
  <c r="I13" i="18"/>
  <c r="F10" i="3"/>
  <c r="Y33" i="18"/>
  <c r="Y32" i="18"/>
  <c r="Y31" i="18"/>
  <c r="Y30" i="18"/>
  <c r="J142" i="18"/>
  <c r="J135" i="18"/>
  <c r="J126" i="18"/>
  <c r="J95" i="18"/>
  <c r="J57" i="18"/>
  <c r="J48" i="18"/>
  <c r="J3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5" i="18"/>
  <c r="H23" i="3"/>
  <c r="I155" i="18"/>
  <c r="F23" i="3"/>
  <c r="X132" i="18"/>
  <c r="H20" i="3"/>
  <c r="X76" i="18"/>
  <c r="H15" i="3"/>
  <c r="J15" i="3"/>
  <c r="I76" i="18"/>
  <c r="F15" i="3"/>
  <c r="O1" i="2"/>
  <c r="N1" i="2"/>
  <c r="G25" i="3"/>
  <c r="E53" i="5"/>
  <c r="E54" i="5"/>
  <c r="I126" i="18"/>
  <c r="F19" i="3"/>
  <c r="Z42" i="18"/>
  <c r="Z43" i="18"/>
  <c r="Q68" i="18"/>
  <c r="Q69" i="18"/>
  <c r="Q70" i="18"/>
  <c r="Q71" i="18"/>
  <c r="Q101" i="18"/>
  <c r="Q102" i="18"/>
  <c r="Q103" i="18"/>
  <c r="Q104" i="18"/>
  <c r="K45" i="2"/>
  <c r="N45" i="2"/>
  <c r="I6" i="18"/>
  <c r="I21" i="18"/>
  <c r="F11" i="3"/>
  <c r="I31" i="18"/>
  <c r="F12" i="3"/>
  <c r="I135" i="18"/>
  <c r="F21" i="3"/>
  <c r="H10" i="3"/>
  <c r="X6" i="18"/>
  <c r="Q97" i="18"/>
  <c r="Q96" i="18"/>
  <c r="Q98" i="18"/>
  <c r="Q43" i="18"/>
  <c r="Q37" i="18"/>
  <c r="Q35" i="18"/>
  <c r="Q40" i="18"/>
  <c r="Q41" i="18"/>
  <c r="Q38" i="18"/>
  <c r="Q36" i="18"/>
  <c r="Q64" i="18"/>
  <c r="Q65" i="18"/>
  <c r="Q63" i="18"/>
  <c r="X57" i="18"/>
  <c r="U55" i="18"/>
  <c r="U48" i="18"/>
  <c r="Q114" i="18"/>
  <c r="X135" i="18"/>
  <c r="U128" i="18"/>
  <c r="U130" i="18"/>
  <c r="U127" i="18"/>
  <c r="V126" i="18"/>
  <c r="H13" i="3"/>
  <c r="U54" i="18"/>
  <c r="X142" i="18"/>
  <c r="T48" i="18"/>
  <c r="F9" i="3"/>
  <c r="H9" i="3"/>
  <c r="H21" i="3"/>
  <c r="K46" i="2"/>
  <c r="N46" i="2"/>
  <c r="V135" i="18"/>
  <c r="I47" i="2"/>
  <c r="K52" i="2"/>
  <c r="N52" i="2"/>
  <c r="G21" i="2"/>
  <c r="G20" i="2"/>
  <c r="F20" i="2"/>
  <c r="E24" i="2"/>
  <c r="G24" i="2"/>
  <c r="E25" i="2"/>
  <c r="G25" i="2"/>
  <c r="E27" i="2"/>
  <c r="E20" i="2"/>
  <c r="E32" i="2"/>
  <c r="E44" i="2"/>
  <c r="G44" i="2"/>
  <c r="G32" i="2"/>
  <c r="E33" i="2"/>
  <c r="G33" i="2"/>
  <c r="E51" i="2"/>
  <c r="H21" i="18"/>
  <c r="T80" i="2"/>
  <c r="W63" i="18"/>
  <c r="W35" i="18"/>
  <c r="W113" i="18"/>
  <c r="W114" i="18"/>
  <c r="W36" i="18"/>
  <c r="W64" i="18"/>
  <c r="T64" i="18"/>
  <c r="T36" i="18"/>
  <c r="T63" i="18"/>
  <c r="T35" i="18"/>
  <c r="K62" i="2"/>
  <c r="N61" i="2"/>
  <c r="I63" i="2"/>
  <c r="I67" i="2"/>
  <c r="K67" i="2"/>
  <c r="T37" i="18"/>
  <c r="T65" i="18"/>
  <c r="F3" i="6"/>
  <c r="K47" i="2"/>
  <c r="T38" i="18"/>
  <c r="W116" i="18"/>
  <c r="T66" i="18"/>
  <c r="F9" i="6"/>
  <c r="F10" i="6"/>
  <c r="G9" i="6"/>
  <c r="Q66" i="18"/>
  <c r="Q67" i="18"/>
  <c r="H16" i="3"/>
  <c r="J23" i="3"/>
  <c r="V48" i="18"/>
  <c r="Q115" i="18"/>
  <c r="J20" i="3"/>
  <c r="X95" i="18"/>
  <c r="J21" i="3"/>
  <c r="X31" i="18"/>
  <c r="U44" i="18"/>
  <c r="Q118" i="18"/>
  <c r="J13" i="3"/>
  <c r="J10" i="3"/>
  <c r="J9" i="3"/>
  <c r="J19" i="3"/>
  <c r="J16" i="3"/>
  <c r="J11" i="3"/>
  <c r="H14" i="3"/>
  <c r="U61" i="18"/>
  <c r="U62" i="18"/>
  <c r="U59" i="18"/>
  <c r="U72" i="18"/>
  <c r="U60" i="18"/>
  <c r="U57" i="18"/>
  <c r="U73" i="18"/>
  <c r="U58" i="18"/>
  <c r="U74" i="18"/>
  <c r="N21" i="2"/>
  <c r="N20" i="2"/>
  <c r="K20" i="2"/>
  <c r="U105" i="18"/>
  <c r="U106" i="18"/>
  <c r="U95" i="18"/>
  <c r="U107" i="18"/>
  <c r="U90" i="18"/>
  <c r="U88" i="18"/>
  <c r="J2" i="18"/>
  <c r="J4" i="18"/>
  <c r="V21" i="18"/>
  <c r="H17" i="3"/>
  <c r="U31" i="18"/>
  <c r="H12" i="3"/>
  <c r="U45" i="18"/>
  <c r="Z12" i="18"/>
  <c r="I57" i="18"/>
  <c r="F14" i="3"/>
  <c r="J14" i="3"/>
  <c r="U149" i="18"/>
  <c r="U150" i="18"/>
  <c r="U153" i="18"/>
  <c r="U147" i="18"/>
  <c r="U151" i="18"/>
  <c r="I95" i="18"/>
  <c r="F17" i="3"/>
  <c r="U152" i="18"/>
  <c r="X109" i="18"/>
  <c r="Z16" i="18"/>
  <c r="I109" i="18"/>
  <c r="F18" i="3"/>
  <c r="I1" i="6"/>
  <c r="G3" i="6"/>
  <c r="U148" i="18"/>
  <c r="K28" i="2"/>
  <c r="N28" i="2"/>
  <c r="H22" i="3"/>
  <c r="J22" i="3"/>
  <c r="L31" i="5"/>
  <c r="N12" i="2"/>
  <c r="I17" i="2"/>
  <c r="K16" i="2"/>
  <c r="N16" i="2"/>
  <c r="Q119" i="18"/>
  <c r="N26" i="2"/>
  <c r="I24" i="2"/>
  <c r="E16" i="2"/>
  <c r="E13" i="2"/>
  <c r="I49" i="2"/>
  <c r="N50" i="2"/>
  <c r="N49" i="2"/>
  <c r="K58" i="2"/>
  <c r="I59" i="2"/>
  <c r="K32" i="2"/>
  <c r="K30" i="2"/>
  <c r="N32" i="2"/>
  <c r="I30" i="2"/>
  <c r="T82" i="2"/>
  <c r="K17" i="2"/>
  <c r="N17" i="2"/>
  <c r="I18" i="2"/>
  <c r="N57" i="2"/>
  <c r="J9" i="2"/>
  <c r="V84" i="2"/>
  <c r="V83" i="2"/>
  <c r="G10" i="6"/>
  <c r="I69" i="2"/>
  <c r="I68" i="2"/>
  <c r="I66" i="2"/>
  <c r="T87" i="2"/>
  <c r="N67" i="2"/>
  <c r="F4" i="6"/>
  <c r="E28" i="2"/>
  <c r="G28" i="2"/>
  <c r="G27" i="2"/>
  <c r="G23" i="2"/>
  <c r="I64" i="2"/>
  <c r="K63" i="2"/>
  <c r="G51" i="2"/>
  <c r="E49" i="2"/>
  <c r="K13" i="2"/>
  <c r="C3" i="6"/>
  <c r="V85" i="18"/>
  <c r="U46" i="18"/>
  <c r="U34" i="18"/>
  <c r="Z24" i="18"/>
  <c r="Z25" i="18"/>
  <c r="Z26" i="18"/>
  <c r="V142" i="18"/>
  <c r="X2" i="18"/>
  <c r="V57" i="18"/>
  <c r="J17" i="3"/>
  <c r="J1" i="6"/>
  <c r="I9" i="6"/>
  <c r="H3" i="6"/>
  <c r="H9" i="6"/>
  <c r="H10" i="6"/>
  <c r="I3" i="6"/>
  <c r="J12" i="3"/>
  <c r="U123" i="18"/>
  <c r="U109" i="18"/>
  <c r="U112" i="18"/>
  <c r="H18" i="3"/>
  <c r="J18" i="3"/>
  <c r="U110" i="18"/>
  <c r="U111" i="18"/>
  <c r="U122" i="18"/>
  <c r="V95" i="18"/>
  <c r="J20" i="2"/>
  <c r="V80" i="2"/>
  <c r="V31" i="18"/>
  <c r="I2" i="18"/>
  <c r="F5" i="3"/>
  <c r="D5" i="5"/>
  <c r="K18" i="2"/>
  <c r="N18" i="2"/>
  <c r="J30" i="2"/>
  <c r="U82" i="2"/>
  <c r="V82" i="2"/>
  <c r="T84" i="2"/>
  <c r="T83" i="2"/>
  <c r="J49" i="2"/>
  <c r="E45" i="2"/>
  <c r="G49" i="2"/>
  <c r="F49" i="2"/>
  <c r="K69" i="2"/>
  <c r="N69" i="2"/>
  <c r="W103" i="18"/>
  <c r="W102" i="18"/>
  <c r="H95" i="18"/>
  <c r="G4" i="6"/>
  <c r="K64" i="2"/>
  <c r="K61" i="2"/>
  <c r="K59" i="2"/>
  <c r="I15" i="2"/>
  <c r="N13" i="2"/>
  <c r="K68" i="2"/>
  <c r="N68" i="2"/>
  <c r="I61" i="2"/>
  <c r="T86" i="2"/>
  <c r="G13" i="2"/>
  <c r="G16" i="2"/>
  <c r="E26" i="2"/>
  <c r="E23" i="2"/>
  <c r="F23" i="2"/>
  <c r="E17" i="2"/>
  <c r="K24" i="2"/>
  <c r="I10" i="6"/>
  <c r="H5" i="3"/>
  <c r="F5" i="5"/>
  <c r="C11" i="6"/>
  <c r="V109" i="18"/>
  <c r="D6" i="5"/>
  <c r="C5" i="6"/>
  <c r="F25" i="3"/>
  <c r="K1" i="6"/>
  <c r="J9" i="6"/>
  <c r="J10" i="6"/>
  <c r="J3" i="6"/>
  <c r="M20" i="2"/>
  <c r="M9" i="2"/>
  <c r="U80" i="2"/>
  <c r="J5" i="3"/>
  <c r="V86" i="2"/>
  <c r="J61" i="2"/>
  <c r="U86" i="2"/>
  <c r="F4" i="5"/>
  <c r="F54" i="5"/>
  <c r="I25" i="2"/>
  <c r="N24" i="2"/>
  <c r="G45" i="2"/>
  <c r="G30" i="2"/>
  <c r="E30" i="2"/>
  <c r="U84" i="2"/>
  <c r="U83" i="2"/>
  <c r="H4" i="6"/>
  <c r="H110" i="18"/>
  <c r="H112" i="18"/>
  <c r="H111" i="18"/>
  <c r="H109" i="18"/>
  <c r="W41" i="18"/>
  <c r="W69" i="18"/>
  <c r="W119" i="18"/>
  <c r="W121" i="18"/>
  <c r="E18" i="2"/>
  <c r="G18" i="2"/>
  <c r="G17" i="2"/>
  <c r="G11" i="2"/>
  <c r="F11" i="2"/>
  <c r="E11" i="2"/>
  <c r="K66" i="2"/>
  <c r="N66" i="2"/>
  <c r="K15" i="2"/>
  <c r="K11" i="2"/>
  <c r="I11" i="2"/>
  <c r="T79" i="2"/>
  <c r="W42" i="18"/>
  <c r="W70" i="18"/>
  <c r="W120" i="18"/>
  <c r="I23" i="13"/>
  <c r="I24" i="13"/>
  <c r="U171" i="18"/>
  <c r="U173" i="18"/>
  <c r="H25" i="3"/>
  <c r="D7" i="5"/>
  <c r="G6" i="5"/>
  <c r="L1" i="6"/>
  <c r="K3" i="6"/>
  <c r="K9" i="6"/>
  <c r="K10" i="6"/>
  <c r="I4" i="6"/>
  <c r="T121" i="18"/>
  <c r="T43" i="18"/>
  <c r="T71" i="18"/>
  <c r="T70" i="18"/>
  <c r="T42" i="18"/>
  <c r="T120" i="18"/>
  <c r="T69" i="18"/>
  <c r="T41" i="18"/>
  <c r="T119" i="18"/>
  <c r="K25" i="2"/>
  <c r="K23" i="2"/>
  <c r="N25" i="2"/>
  <c r="N23" i="2"/>
  <c r="I23" i="2"/>
  <c r="T81" i="2"/>
  <c r="H32" i="18"/>
  <c r="H96" i="18"/>
  <c r="H88" i="18"/>
  <c r="F30" i="2"/>
  <c r="E56" i="2"/>
  <c r="F49" i="5"/>
  <c r="F48" i="5"/>
  <c r="F52" i="5"/>
  <c r="F50" i="5"/>
  <c r="F51" i="5"/>
  <c r="J11" i="2"/>
  <c r="U79" i="2"/>
  <c r="V79" i="2"/>
  <c r="C9" i="6"/>
  <c r="F6" i="5"/>
  <c r="F7" i="5"/>
  <c r="N15" i="2"/>
  <c r="J66" i="2"/>
  <c r="U87" i="2"/>
  <c r="V87" i="2"/>
  <c r="M1" i="6"/>
  <c r="L9" i="6"/>
  <c r="H48" i="18"/>
  <c r="H49" i="18"/>
  <c r="V81" i="2"/>
  <c r="J23" i="2"/>
  <c r="U81" i="2"/>
  <c r="I56" i="2"/>
  <c r="W98" i="18"/>
  <c r="E55" i="2"/>
  <c r="G56" i="2"/>
  <c r="J4" i="6"/>
  <c r="H90" i="18"/>
  <c r="H85" i="18"/>
  <c r="F53" i="5"/>
  <c r="M3" i="6"/>
  <c r="N1" i="6"/>
  <c r="M9" i="6"/>
  <c r="L3" i="6"/>
  <c r="L10" i="6"/>
  <c r="W37" i="18"/>
  <c r="W115" i="18"/>
  <c r="W65" i="18"/>
  <c r="K4" i="6"/>
  <c r="G55" i="2"/>
  <c r="E57" i="2"/>
  <c r="G57" i="2"/>
  <c r="I55" i="2"/>
  <c r="T85" i="2"/>
  <c r="K56" i="2"/>
  <c r="M10" i="6"/>
  <c r="O1" i="6"/>
  <c r="N3" i="6"/>
  <c r="N9" i="6"/>
  <c r="N10" i="6"/>
  <c r="F9" i="2"/>
  <c r="E58" i="2"/>
  <c r="L4" i="6"/>
  <c r="K55" i="2"/>
  <c r="N56" i="2"/>
  <c r="N55" i="2"/>
  <c r="N9" i="2"/>
  <c r="H126" i="18"/>
  <c r="F55" i="2"/>
  <c r="P1" i="6"/>
  <c r="O9" i="6"/>
  <c r="O10" i="6"/>
  <c r="M4" i="6"/>
  <c r="G58" i="2"/>
  <c r="E59" i="2"/>
  <c r="G59" i="2"/>
  <c r="E62" i="2"/>
  <c r="K2" i="2"/>
  <c r="K3" i="2"/>
  <c r="K4" i="2"/>
  <c r="J55" i="2"/>
  <c r="U85" i="2"/>
  <c r="W101" i="18"/>
  <c r="V85" i="2"/>
  <c r="H128" i="18"/>
  <c r="Q1" i="6"/>
  <c r="P3" i="6"/>
  <c r="P9" i="6"/>
  <c r="P10" i="6"/>
  <c r="O3" i="6"/>
  <c r="W68" i="18"/>
  <c r="W118" i="18"/>
  <c r="W40" i="18"/>
  <c r="E61" i="2"/>
  <c r="G62" i="2"/>
  <c r="N4" i="6"/>
  <c r="R1" i="6"/>
  <c r="Q3" i="6"/>
  <c r="O4" i="6"/>
  <c r="F11" i="6"/>
  <c r="F12" i="6"/>
  <c r="K11" i="6"/>
  <c r="L11" i="6"/>
  <c r="J11" i="6"/>
  <c r="O11" i="6"/>
  <c r="N11" i="6"/>
  <c r="G11" i="6"/>
  <c r="I11" i="6"/>
  <c r="Q11" i="6"/>
  <c r="H11" i="6"/>
  <c r="P11" i="6"/>
  <c r="M11" i="6"/>
  <c r="T40" i="18"/>
  <c r="T68" i="18"/>
  <c r="G61" i="2"/>
  <c r="F61" i="2"/>
  <c r="E63" i="2"/>
  <c r="Q9" i="6"/>
  <c r="Q10" i="6"/>
  <c r="S1" i="6"/>
  <c r="R9" i="6"/>
  <c r="R3" i="6"/>
  <c r="G63" i="2"/>
  <c r="E64" i="2"/>
  <c r="G64" i="2"/>
  <c r="E67" i="2"/>
  <c r="G12" i="6"/>
  <c r="F14" i="6"/>
  <c r="R17" i="6"/>
  <c r="Q17" i="6"/>
  <c r="P17" i="6"/>
  <c r="K17" i="6"/>
  <c r="J17" i="6"/>
  <c r="F17" i="6"/>
  <c r="F18" i="6"/>
  <c r="N17" i="6"/>
  <c r="H17" i="6"/>
  <c r="Y4" i="5"/>
  <c r="O17" i="6"/>
  <c r="L17" i="6"/>
  <c r="W4" i="5"/>
  <c r="I17" i="6"/>
  <c r="G17" i="6"/>
  <c r="U4" i="5"/>
  <c r="T4" i="5"/>
  <c r="M17" i="6"/>
  <c r="X4" i="5"/>
  <c r="V4" i="5"/>
  <c r="P4" i="6"/>
  <c r="T1" i="6"/>
  <c r="S9" i="6"/>
  <c r="S3" i="6"/>
  <c r="S11" i="6"/>
  <c r="R11" i="6"/>
  <c r="R10" i="6"/>
  <c r="G18" i="6"/>
  <c r="H18" i="6"/>
  <c r="I18" i="6"/>
  <c r="J18" i="6"/>
  <c r="K18" i="6"/>
  <c r="L18" i="6"/>
  <c r="M18" i="6"/>
  <c r="N18" i="6"/>
  <c r="O18" i="6"/>
  <c r="P18" i="6"/>
  <c r="Q18" i="6"/>
  <c r="R18" i="6"/>
  <c r="Q4" i="6"/>
  <c r="H12" i="6"/>
  <c r="G14" i="6"/>
  <c r="E66" i="2"/>
  <c r="G67" i="2"/>
  <c r="S10" i="6"/>
  <c r="U1" i="6"/>
  <c r="T9" i="6"/>
  <c r="S17" i="6"/>
  <c r="S18" i="6"/>
  <c r="E68" i="2"/>
  <c r="G68" i="2"/>
  <c r="E69" i="2"/>
  <c r="G69" i="2"/>
  <c r="G66" i="2"/>
  <c r="R4" i="6"/>
  <c r="I12" i="6"/>
  <c r="H14" i="6"/>
  <c r="V1" i="6"/>
  <c r="U9" i="6"/>
  <c r="U11" i="6"/>
  <c r="U17" i="6"/>
  <c r="T10" i="6"/>
  <c r="T17" i="6"/>
  <c r="T18" i="6"/>
  <c r="T11" i="6"/>
  <c r="T3" i="6"/>
  <c r="J12" i="6"/>
  <c r="I14" i="6"/>
  <c r="S4" i="6"/>
  <c r="H135" i="18"/>
  <c r="H142" i="18"/>
  <c r="F66" i="2"/>
  <c r="H132" i="18"/>
  <c r="U10" i="6"/>
  <c r="U18" i="6"/>
  <c r="W1" i="6"/>
  <c r="V9" i="6"/>
  <c r="V10" i="6"/>
  <c r="V3" i="6"/>
  <c r="V11" i="6"/>
  <c r="V17" i="6"/>
  <c r="U3" i="6"/>
  <c r="I5" i="6"/>
  <c r="J5" i="6"/>
  <c r="M5" i="6"/>
  <c r="U5" i="6"/>
  <c r="O5" i="6"/>
  <c r="S5" i="6"/>
  <c r="L5" i="6"/>
  <c r="F5" i="6"/>
  <c r="V5" i="6"/>
  <c r="H5" i="6"/>
  <c r="T5" i="6"/>
  <c r="P5" i="6"/>
  <c r="Q5" i="6"/>
  <c r="R5" i="6"/>
  <c r="G5" i="6"/>
  <c r="K5" i="6"/>
  <c r="N5" i="6"/>
  <c r="T4" i="6"/>
  <c r="K12" i="6"/>
  <c r="J14" i="6"/>
  <c r="X1" i="6"/>
  <c r="W9" i="6"/>
  <c r="W10" i="6"/>
  <c r="W3" i="6"/>
  <c r="W11" i="6"/>
  <c r="W17" i="6"/>
  <c r="V18" i="6"/>
  <c r="K14" i="6"/>
  <c r="L12" i="6"/>
  <c r="U4" i="6"/>
  <c r="F6" i="6"/>
  <c r="W18" i="6"/>
  <c r="Y1" i="6"/>
  <c r="X9" i="6"/>
  <c r="X10" i="6"/>
  <c r="X3" i="6"/>
  <c r="W5" i="6"/>
  <c r="G6" i="6"/>
  <c r="F7" i="6"/>
  <c r="V4" i="6"/>
  <c r="L14" i="6"/>
  <c r="M12" i="6"/>
  <c r="X5" i="6"/>
  <c r="X17" i="6"/>
  <c r="X18" i="6"/>
  <c r="X11" i="6"/>
  <c r="Z1" i="6"/>
  <c r="Y9" i="6"/>
  <c r="Y10" i="6"/>
  <c r="Y11" i="6"/>
  <c r="Y17" i="6"/>
  <c r="Y5" i="6"/>
  <c r="N12" i="6"/>
  <c r="M14" i="6"/>
  <c r="W4" i="6"/>
  <c r="H6" i="6"/>
  <c r="G7" i="6"/>
  <c r="Y18" i="6"/>
  <c r="AA1" i="6"/>
  <c r="Z9" i="6"/>
  <c r="Z10" i="6"/>
  <c r="Z11" i="6"/>
  <c r="Z17" i="6"/>
  <c r="Z5" i="6"/>
  <c r="Y3" i="6"/>
  <c r="N14" i="6"/>
  <c r="O12" i="6"/>
  <c r="I6" i="6"/>
  <c r="H7" i="6"/>
  <c r="X4" i="6"/>
  <c r="AB1" i="6"/>
  <c r="AA9" i="6"/>
  <c r="AA10" i="6"/>
  <c r="AA3" i="6"/>
  <c r="AA11" i="6"/>
  <c r="AA17" i="6"/>
  <c r="AA5" i="6"/>
  <c r="Z3" i="6"/>
  <c r="Z18" i="6"/>
  <c r="Y4" i="6"/>
  <c r="J6" i="6"/>
  <c r="I7" i="6"/>
  <c r="O14" i="6"/>
  <c r="P12" i="6"/>
  <c r="AA18" i="6"/>
  <c r="AC1" i="6"/>
  <c r="P14" i="6"/>
  <c r="Q12" i="6"/>
  <c r="K6" i="6"/>
  <c r="J7" i="6"/>
  <c r="Z4" i="6"/>
  <c r="AD1" i="6"/>
  <c r="AC9" i="6"/>
  <c r="AC3" i="6"/>
  <c r="AC11" i="6"/>
  <c r="AC17" i="6"/>
  <c r="AC5" i="6"/>
  <c r="AB5" i="6"/>
  <c r="AB17" i="6"/>
  <c r="AB18" i="6"/>
  <c r="AB11" i="6"/>
  <c r="AB3" i="6"/>
  <c r="AB9" i="6"/>
  <c r="AB10" i="6"/>
  <c r="AA4" i="6"/>
  <c r="L6" i="6"/>
  <c r="K7" i="6"/>
  <c r="Q14" i="6"/>
  <c r="R12" i="6"/>
  <c r="AC10" i="6"/>
  <c r="AC18" i="6"/>
  <c r="AE1" i="6"/>
  <c r="AD9" i="6"/>
  <c r="AD3" i="6"/>
  <c r="AD11" i="6"/>
  <c r="AD17" i="6"/>
  <c r="AD5" i="6"/>
  <c r="R14" i="6"/>
  <c r="S12" i="6"/>
  <c r="M6" i="6"/>
  <c r="L7" i="6"/>
  <c r="AB4" i="6"/>
  <c r="AD10" i="6"/>
  <c r="AF1" i="6"/>
  <c r="AE3" i="6"/>
  <c r="AD18" i="6"/>
  <c r="AC4" i="6"/>
  <c r="N6" i="6"/>
  <c r="M7" i="6"/>
  <c r="S14" i="6"/>
  <c r="T12" i="6"/>
  <c r="AG1" i="6"/>
  <c r="AF3" i="6"/>
  <c r="AF9" i="6"/>
  <c r="AF11" i="6"/>
  <c r="AF17" i="6"/>
  <c r="AF5" i="6"/>
  <c r="AE5" i="6"/>
  <c r="AE17" i="6"/>
  <c r="AE18" i="6"/>
  <c r="AE11" i="6"/>
  <c r="AE9" i="6"/>
  <c r="AE10" i="6"/>
  <c r="U12" i="6"/>
  <c r="T14" i="6"/>
  <c r="O6" i="6"/>
  <c r="N7" i="6"/>
  <c r="AD4" i="6"/>
  <c r="AF18" i="6"/>
  <c r="AF10" i="6"/>
  <c r="AH1" i="6"/>
  <c r="AG3" i="6"/>
  <c r="AG9" i="6"/>
  <c r="AG10" i="6"/>
  <c r="AG11" i="6"/>
  <c r="AG17" i="6"/>
  <c r="AG18" i="6"/>
  <c r="AG5" i="6"/>
  <c r="AE4" i="6"/>
  <c r="P6" i="6"/>
  <c r="O7" i="6"/>
  <c r="U14" i="6"/>
  <c r="V12" i="6"/>
  <c r="AI1" i="6"/>
  <c r="AH3" i="6"/>
  <c r="AH9" i="6"/>
  <c r="AH10" i="6"/>
  <c r="AH11" i="6"/>
  <c r="AH17" i="6"/>
  <c r="AH18" i="6"/>
  <c r="AH5" i="6"/>
  <c r="W12" i="6"/>
  <c r="V14" i="6"/>
  <c r="Q6" i="6"/>
  <c r="P7" i="6"/>
  <c r="AF4" i="6"/>
  <c r="AJ1" i="6"/>
  <c r="AI3" i="6"/>
  <c r="AI9" i="6"/>
  <c r="AI10" i="6"/>
  <c r="AI11" i="6"/>
  <c r="AI17" i="6"/>
  <c r="AI18" i="6"/>
  <c r="AI5" i="6"/>
  <c r="AG4" i="6"/>
  <c r="R6" i="6"/>
  <c r="Q7" i="6"/>
  <c r="W14" i="6"/>
  <c r="X12" i="6"/>
  <c r="AK1" i="6"/>
  <c r="AJ3" i="6"/>
  <c r="AJ9" i="6"/>
  <c r="AJ10" i="6"/>
  <c r="AJ11" i="6"/>
  <c r="AJ17" i="6"/>
  <c r="AJ18" i="6"/>
  <c r="AJ5" i="6"/>
  <c r="Y12" i="6"/>
  <c r="X14" i="6"/>
  <c r="S6" i="6"/>
  <c r="R7" i="6"/>
  <c r="AH4" i="6"/>
  <c r="AL1" i="6"/>
  <c r="AK9" i="6"/>
  <c r="AK10" i="6"/>
  <c r="AK3" i="6"/>
  <c r="AI4" i="6"/>
  <c r="T6" i="6"/>
  <c r="S7" i="6"/>
  <c r="Y14" i="6"/>
  <c r="Z12" i="6"/>
  <c r="AK5" i="6"/>
  <c r="AK17" i="6"/>
  <c r="AK18" i="6"/>
  <c r="AK11" i="6"/>
  <c r="AM1" i="6"/>
  <c r="AL3" i="6"/>
  <c r="AL9" i="6"/>
  <c r="AL10" i="6"/>
  <c r="AL11" i="6"/>
  <c r="AL17" i="6"/>
  <c r="AL5" i="6"/>
  <c r="Z14" i="6"/>
  <c r="AA12" i="6"/>
  <c r="U6" i="6"/>
  <c r="T7" i="6"/>
  <c r="AJ4" i="6"/>
  <c r="AN1" i="6"/>
  <c r="AM3" i="6"/>
  <c r="AM9" i="6"/>
  <c r="AM10" i="6"/>
  <c r="AL18" i="6"/>
  <c r="AK4" i="6"/>
  <c r="V6" i="6"/>
  <c r="U7" i="6"/>
  <c r="AA14" i="6"/>
  <c r="AB12" i="6"/>
  <c r="AN3" i="6"/>
  <c r="AN9" i="6"/>
  <c r="AN10" i="6"/>
  <c r="AO1" i="6"/>
  <c r="AN11" i="6"/>
  <c r="AN17" i="6"/>
  <c r="AN5" i="6"/>
  <c r="AM5" i="6"/>
  <c r="AM17" i="6"/>
  <c r="AM18" i="6"/>
  <c r="AM11" i="6"/>
  <c r="AC12" i="6"/>
  <c r="AB14" i="6"/>
  <c r="W6" i="6"/>
  <c r="V7" i="6"/>
  <c r="AL4" i="6"/>
  <c r="AN18" i="6"/>
  <c r="AP1" i="6"/>
  <c r="AO9" i="6"/>
  <c r="AO10" i="6"/>
  <c r="AO11" i="6"/>
  <c r="AO17" i="6"/>
  <c r="AO18" i="6"/>
  <c r="AO5" i="6"/>
  <c r="AM4" i="6"/>
  <c r="X6" i="6"/>
  <c r="W7" i="6"/>
  <c r="AD12" i="6"/>
  <c r="AC14" i="6"/>
  <c r="AQ1" i="6"/>
  <c r="AP9" i="6"/>
  <c r="AP10" i="6"/>
  <c r="AO3" i="6"/>
  <c r="AD14" i="6"/>
  <c r="AE12" i="6"/>
  <c r="Y6" i="6"/>
  <c r="X7" i="6"/>
  <c r="AN4" i="6"/>
  <c r="AP3" i="6"/>
  <c r="AP5" i="6"/>
  <c r="AP17" i="6"/>
  <c r="AP18" i="6"/>
  <c r="AP11" i="6"/>
  <c r="AR1" i="6"/>
  <c r="AQ9" i="6"/>
  <c r="AQ10" i="6"/>
  <c r="AQ11" i="6"/>
  <c r="AQ17" i="6"/>
  <c r="AQ5" i="6"/>
  <c r="AO4" i="6"/>
  <c r="Z6" i="6"/>
  <c r="Y7" i="6"/>
  <c r="AE14" i="6"/>
  <c r="AF12" i="6"/>
  <c r="AQ18" i="6"/>
  <c r="AR9" i="6"/>
  <c r="AR10" i="6"/>
  <c r="AS1" i="6"/>
  <c r="AR3" i="6"/>
  <c r="AR11" i="6"/>
  <c r="AR17" i="6"/>
  <c r="AR18" i="6"/>
  <c r="AR5" i="6"/>
  <c r="AQ3" i="6"/>
  <c r="AF14" i="6"/>
  <c r="AG12" i="6"/>
  <c r="AA6" i="6"/>
  <c r="Z7" i="6"/>
  <c r="AP4" i="6"/>
  <c r="AT1" i="6"/>
  <c r="AS3" i="6"/>
  <c r="AS9" i="6"/>
  <c r="AS10" i="6"/>
  <c r="AS11" i="6"/>
  <c r="AS17" i="6"/>
  <c r="AS18" i="6"/>
  <c r="AS5" i="6"/>
  <c r="AQ4" i="6"/>
  <c r="AB6" i="6"/>
  <c r="AA7" i="6"/>
  <c r="AH12" i="6"/>
  <c r="AG14" i="6"/>
  <c r="AU1" i="6"/>
  <c r="AT3" i="6"/>
  <c r="AH14" i="6"/>
  <c r="AI12" i="6"/>
  <c r="AC6" i="6"/>
  <c r="AB7" i="6"/>
  <c r="AR4" i="6"/>
  <c r="AT5" i="6"/>
  <c r="AT17" i="6"/>
  <c r="AT18" i="6"/>
  <c r="AT11" i="6"/>
  <c r="AV1" i="6"/>
  <c r="AU9" i="6"/>
  <c r="AU11" i="6"/>
  <c r="AU17" i="6"/>
  <c r="AU5" i="6"/>
  <c r="AT9" i="6"/>
  <c r="AT10" i="6"/>
  <c r="AS4" i="6"/>
  <c r="AD6" i="6"/>
  <c r="AC7" i="6"/>
  <c r="AJ12" i="6"/>
  <c r="AI14" i="6"/>
  <c r="AU10" i="6"/>
  <c r="AW1" i="6"/>
  <c r="AV9" i="6"/>
  <c r="AV10" i="6"/>
  <c r="AV11" i="6"/>
  <c r="AV17" i="6"/>
  <c r="AV5" i="6"/>
  <c r="AU3" i="6"/>
  <c r="AU18" i="6"/>
  <c r="AJ14" i="6"/>
  <c r="AK12" i="6"/>
  <c r="AE6" i="6"/>
  <c r="AD7" i="6"/>
  <c r="AT4" i="6"/>
  <c r="AV18" i="6"/>
  <c r="AX1" i="6"/>
  <c r="AW9" i="6"/>
  <c r="AW10" i="6"/>
  <c r="AW3" i="6"/>
  <c r="AW11" i="6"/>
  <c r="AW17" i="6"/>
  <c r="AW5" i="6"/>
  <c r="AV3" i="6"/>
  <c r="AU4" i="6"/>
  <c r="AF6" i="6"/>
  <c r="AE7" i="6"/>
  <c r="AL12" i="6"/>
  <c r="AK14" i="6"/>
  <c r="AX3" i="6"/>
  <c r="AX9" i="6"/>
  <c r="AX10" i="6"/>
  <c r="AY1" i="6"/>
  <c r="AX11" i="6"/>
  <c r="AW18" i="6"/>
  <c r="AL14" i="6"/>
  <c r="AM12" i="6"/>
  <c r="AG6" i="6"/>
  <c r="AF7" i="6"/>
  <c r="AV4" i="6"/>
  <c r="AX5" i="6"/>
  <c r="AX17" i="6"/>
  <c r="AX18" i="6"/>
  <c r="AZ1" i="6"/>
  <c r="AY9" i="6"/>
  <c r="AY10" i="6"/>
  <c r="AY11" i="6"/>
  <c r="AY17" i="6"/>
  <c r="AY5" i="6"/>
  <c r="AW4" i="6"/>
  <c r="AH6" i="6"/>
  <c r="AG7" i="6"/>
  <c r="AN12" i="6"/>
  <c r="AM14" i="6"/>
  <c r="AY18" i="6"/>
  <c r="BA1" i="6"/>
  <c r="AZ3" i="6"/>
  <c r="AZ9" i="6"/>
  <c r="AZ10" i="6"/>
  <c r="AZ11" i="6"/>
  <c r="AZ17" i="6"/>
  <c r="AZ5" i="6"/>
  <c r="AY3" i="6"/>
  <c r="AO12" i="6"/>
  <c r="AN14" i="6"/>
  <c r="AI6" i="6"/>
  <c r="AH7" i="6"/>
  <c r="AX4" i="6"/>
  <c r="AZ18" i="6"/>
  <c r="BB1" i="6"/>
  <c r="BA3" i="6"/>
  <c r="BA9" i="6"/>
  <c r="BA10" i="6"/>
  <c r="BA11" i="6"/>
  <c r="BA17" i="6"/>
  <c r="BA5" i="6"/>
  <c r="AY4" i="6"/>
  <c r="AJ6" i="6"/>
  <c r="AI7" i="6"/>
  <c r="AP12" i="6"/>
  <c r="AO14" i="6"/>
  <c r="BA18" i="6"/>
  <c r="BC1" i="6"/>
  <c r="BB9" i="6"/>
  <c r="BB10" i="6"/>
  <c r="AP14" i="6"/>
  <c r="AQ12" i="6"/>
  <c r="AK6" i="6"/>
  <c r="AJ7" i="6"/>
  <c r="AZ4" i="6"/>
  <c r="BB5" i="6"/>
  <c r="BB17" i="6"/>
  <c r="BB18" i="6"/>
  <c r="BB11" i="6"/>
  <c r="BB3" i="6"/>
  <c r="BD1" i="6"/>
  <c r="BC17" i="6"/>
  <c r="BC5" i="6"/>
  <c r="BA4" i="6"/>
  <c r="AL6" i="6"/>
  <c r="AK7" i="6"/>
  <c r="AR12" i="6"/>
  <c r="AQ14" i="6"/>
  <c r="BE1" i="6"/>
  <c r="BD9" i="6"/>
  <c r="BD11" i="6"/>
  <c r="BD17" i="6"/>
  <c r="BD5" i="6"/>
  <c r="BC11" i="6"/>
  <c r="BC9" i="6"/>
  <c r="BC10" i="6"/>
  <c r="BD10" i="6"/>
  <c r="BC3" i="6"/>
  <c r="BC18" i="6"/>
  <c r="AR14" i="6"/>
  <c r="AS12" i="6"/>
  <c r="AM6" i="6"/>
  <c r="AL7" i="6"/>
  <c r="BB4" i="6"/>
  <c r="BD18" i="6"/>
  <c r="BF1" i="6"/>
  <c r="BE9" i="6"/>
  <c r="BE10" i="6"/>
  <c r="BE3" i="6"/>
  <c r="BE11" i="6"/>
  <c r="BE17" i="6"/>
  <c r="BE5" i="6"/>
  <c r="BD3" i="6"/>
  <c r="BC4" i="6"/>
  <c r="AN6" i="6"/>
  <c r="AM7" i="6"/>
  <c r="AT12" i="6"/>
  <c r="AS14" i="6"/>
  <c r="BF3" i="6"/>
  <c r="BG1" i="6"/>
  <c r="BE18" i="6"/>
  <c r="AU12" i="6"/>
  <c r="AT14" i="6"/>
  <c r="AO6" i="6"/>
  <c r="AN7" i="6"/>
  <c r="BD4" i="6"/>
  <c r="BH1" i="6"/>
  <c r="BG9" i="6"/>
  <c r="BG11" i="6"/>
  <c r="BG17" i="6"/>
  <c r="BG5" i="6"/>
  <c r="BF5" i="6"/>
  <c r="BF17" i="6"/>
  <c r="BF18" i="6"/>
  <c r="BF11" i="6"/>
  <c r="BF9" i="6"/>
  <c r="BF10" i="6"/>
  <c r="BE4" i="6"/>
  <c r="AP6" i="6"/>
  <c r="AO7" i="6"/>
  <c r="AU14" i="6"/>
  <c r="AV12" i="6"/>
  <c r="BG10" i="6"/>
  <c r="BG18" i="6"/>
  <c r="BI1" i="6"/>
  <c r="BH3" i="6"/>
  <c r="BH9" i="6"/>
  <c r="BH10" i="6"/>
  <c r="BH11" i="6"/>
  <c r="BH17" i="6"/>
  <c r="BH18" i="6"/>
  <c r="BH5" i="6"/>
  <c r="BG3" i="6"/>
  <c r="AW12" i="6"/>
  <c r="AV14" i="6"/>
  <c r="AQ6" i="6"/>
  <c r="AP7" i="6"/>
  <c r="BF4" i="6"/>
  <c r="BJ1" i="6"/>
  <c r="BI3" i="6"/>
  <c r="BI9" i="6"/>
  <c r="BI10" i="6"/>
  <c r="BI11" i="6"/>
  <c r="BI17" i="6"/>
  <c r="BI18" i="6"/>
  <c r="BI5" i="6"/>
  <c r="BG4" i="6"/>
  <c r="AR6" i="6"/>
  <c r="AQ7" i="6"/>
  <c r="AW14" i="6"/>
  <c r="AX12" i="6"/>
  <c r="BK1" i="6"/>
  <c r="BJ3" i="6"/>
  <c r="BJ9" i="6"/>
  <c r="BJ10" i="6"/>
  <c r="BJ11" i="6"/>
  <c r="AX14" i="6"/>
  <c r="AY12" i="6"/>
  <c r="AS6" i="6"/>
  <c r="AR7" i="6"/>
  <c r="BH4" i="6"/>
  <c r="BL1" i="6"/>
  <c r="BK11" i="6"/>
  <c r="BK17" i="6"/>
  <c r="BK5" i="6"/>
  <c r="BJ5" i="6"/>
  <c r="BJ17" i="6"/>
  <c r="BJ18" i="6"/>
  <c r="BI4" i="6"/>
  <c r="AT6" i="6"/>
  <c r="AS7" i="6"/>
  <c r="AY14" i="6"/>
  <c r="AZ12" i="6"/>
  <c r="BK18" i="6"/>
  <c r="BM1" i="6"/>
  <c r="BL9" i="6"/>
  <c r="BL11" i="6"/>
  <c r="BL17" i="6"/>
  <c r="BL18" i="6"/>
  <c r="BL5" i="6"/>
  <c r="BK3" i="6"/>
  <c r="BK9" i="6"/>
  <c r="BK10" i="6"/>
  <c r="AZ14" i="6"/>
  <c r="BA12" i="6"/>
  <c r="AU6" i="6"/>
  <c r="AT7" i="6"/>
  <c r="BJ4" i="6"/>
  <c r="BL10" i="6"/>
  <c r="BN1" i="6"/>
  <c r="BM3" i="6"/>
  <c r="BM9" i="6"/>
  <c r="BM10" i="6"/>
  <c r="BM11" i="6"/>
  <c r="BM17" i="6"/>
  <c r="BM18" i="6"/>
  <c r="BM5" i="6"/>
  <c r="BL3" i="6"/>
  <c r="BK4" i="6"/>
  <c r="AV6" i="6"/>
  <c r="AU7" i="6"/>
  <c r="BB12" i="6"/>
  <c r="BA14" i="6"/>
  <c r="BO1" i="6"/>
  <c r="BN3" i="6"/>
  <c r="BN9" i="6"/>
  <c r="BN10" i="6"/>
  <c r="BN11" i="6"/>
  <c r="BN17" i="6"/>
  <c r="BN18" i="6"/>
  <c r="BN5" i="6"/>
  <c r="BC12" i="6"/>
  <c r="BB14" i="6"/>
  <c r="AW6" i="6"/>
  <c r="AV7" i="6"/>
  <c r="BL4" i="6"/>
  <c r="BP1" i="6"/>
  <c r="BO3" i="6"/>
  <c r="BO9" i="6"/>
  <c r="BO10" i="6"/>
  <c r="BO11" i="6"/>
  <c r="BO17" i="6"/>
  <c r="BO18" i="6"/>
  <c r="BO5" i="6"/>
  <c r="BM4" i="6"/>
  <c r="AX6" i="6"/>
  <c r="AW7" i="6"/>
  <c r="BD12" i="6"/>
  <c r="BC14" i="6"/>
  <c r="BQ1" i="6"/>
  <c r="BP9" i="6"/>
  <c r="BP10" i="6"/>
  <c r="BP3" i="6"/>
  <c r="BP11" i="6"/>
  <c r="BP17" i="6"/>
  <c r="BP18" i="6"/>
  <c r="BP5" i="6"/>
  <c r="BD14" i="6"/>
  <c r="BE12" i="6"/>
  <c r="AY6" i="6"/>
  <c r="AX7" i="6"/>
  <c r="BN4" i="6"/>
  <c r="BR1" i="6"/>
  <c r="BQ3" i="6"/>
  <c r="BQ9" i="6"/>
  <c r="BQ10" i="6"/>
  <c r="BQ11" i="6"/>
  <c r="BQ17" i="6"/>
  <c r="BQ18" i="6"/>
  <c r="BQ5" i="6"/>
  <c r="BO4" i="6"/>
  <c r="AZ6" i="6"/>
  <c r="AY7" i="6"/>
  <c r="BF12" i="6"/>
  <c r="BE14" i="6"/>
  <c r="BS1" i="6"/>
  <c r="BR9" i="6"/>
  <c r="BR10" i="6"/>
  <c r="BR11" i="6"/>
  <c r="BR17" i="6"/>
  <c r="BR18" i="6"/>
  <c r="BR5" i="6"/>
  <c r="BF14" i="6"/>
  <c r="BG12" i="6"/>
  <c r="BA6" i="6"/>
  <c r="AZ7" i="6"/>
  <c r="BP4" i="6"/>
  <c r="BT1" i="6"/>
  <c r="BS3" i="6"/>
  <c r="BS9" i="6"/>
  <c r="BS10" i="6"/>
  <c r="BS11" i="6"/>
  <c r="BS17" i="6"/>
  <c r="BS18" i="6"/>
  <c r="BS5" i="6"/>
  <c r="BR3" i="6"/>
  <c r="BQ4" i="6"/>
  <c r="BB6" i="6"/>
  <c r="BA7" i="6"/>
  <c r="BG14" i="6"/>
  <c r="BH12" i="6"/>
  <c r="BU1" i="6"/>
  <c r="BT3" i="6"/>
  <c r="BT9" i="6"/>
  <c r="BT10" i="6"/>
  <c r="BT11" i="6"/>
  <c r="BT17" i="6"/>
  <c r="BT18" i="6"/>
  <c r="BT5" i="6"/>
  <c r="BH14" i="6"/>
  <c r="BI12" i="6"/>
  <c r="BC6" i="6"/>
  <c r="BB7" i="6"/>
  <c r="BR4" i="6"/>
  <c r="BV1" i="6"/>
  <c r="BU3" i="6"/>
  <c r="BU9" i="6"/>
  <c r="BU10" i="6"/>
  <c r="BU11" i="6"/>
  <c r="BU17" i="6"/>
  <c r="BU18" i="6"/>
  <c r="BU5" i="6"/>
  <c r="BS4" i="6"/>
  <c r="BD6" i="6"/>
  <c r="BC7" i="6"/>
  <c r="BI14" i="6"/>
  <c r="BJ12" i="6"/>
  <c r="BW1" i="6"/>
  <c r="BV9" i="6"/>
  <c r="BV10" i="6"/>
  <c r="BJ14" i="6"/>
  <c r="BK12" i="6"/>
  <c r="BE6" i="6"/>
  <c r="BD7" i="6"/>
  <c r="BT4" i="6"/>
  <c r="BV5" i="6"/>
  <c r="BV17" i="6"/>
  <c r="BV18" i="6"/>
  <c r="BV11" i="6"/>
  <c r="BX1" i="6"/>
  <c r="BW3" i="6"/>
  <c r="BW9" i="6"/>
  <c r="BW10" i="6"/>
  <c r="BW11" i="6"/>
  <c r="BW17" i="6"/>
  <c r="BW5" i="6"/>
  <c r="BV3" i="6"/>
  <c r="BU4" i="6"/>
  <c r="BF6" i="6"/>
  <c r="BE7" i="6"/>
  <c r="BL12" i="6"/>
  <c r="BK14" i="6"/>
  <c r="BW18" i="6"/>
  <c r="BY1" i="6"/>
  <c r="BX9" i="6"/>
  <c r="BX10" i="6"/>
  <c r="BX3" i="6"/>
  <c r="BX11" i="6"/>
  <c r="BX17" i="6"/>
  <c r="BX5" i="6"/>
  <c r="BL14" i="6"/>
  <c r="BM12" i="6"/>
  <c r="BG6" i="6"/>
  <c r="BF7" i="6"/>
  <c r="BV4" i="6"/>
  <c r="BZ1" i="6"/>
  <c r="BY3" i="6"/>
  <c r="BX18" i="6"/>
  <c r="BW4" i="6"/>
  <c r="BH6" i="6"/>
  <c r="BG7" i="6"/>
  <c r="BN12" i="6"/>
  <c r="BM14" i="6"/>
  <c r="BY5" i="6"/>
  <c r="BY17" i="6"/>
  <c r="BY18" i="6"/>
  <c r="BY11" i="6"/>
  <c r="BY9" i="6"/>
  <c r="BY10" i="6"/>
  <c r="CA1" i="6"/>
  <c r="BZ3" i="6"/>
  <c r="BZ9" i="6"/>
  <c r="BZ11" i="6"/>
  <c r="BZ17" i="6"/>
  <c r="BZ5" i="6"/>
  <c r="BN14" i="6"/>
  <c r="BO12" i="6"/>
  <c r="BI6" i="6"/>
  <c r="BH7" i="6"/>
  <c r="BX4" i="6"/>
  <c r="BZ18" i="6"/>
  <c r="BZ10" i="6"/>
  <c r="CB1" i="6"/>
  <c r="CA9" i="6"/>
  <c r="CA11" i="6"/>
  <c r="CA17" i="6"/>
  <c r="CA5" i="6"/>
  <c r="BY4" i="6"/>
  <c r="BJ6" i="6"/>
  <c r="BI7" i="6"/>
  <c r="BP12" i="6"/>
  <c r="BO14" i="6"/>
  <c r="CA18" i="6"/>
  <c r="CB3" i="6"/>
  <c r="CC1" i="6"/>
  <c r="CB9" i="6"/>
  <c r="CB11" i="6"/>
  <c r="CB17" i="6"/>
  <c r="CB5" i="6"/>
  <c r="CA3" i="6"/>
  <c r="CA10" i="6"/>
  <c r="BP14" i="6"/>
  <c r="BQ12" i="6"/>
  <c r="BK6" i="6"/>
  <c r="BJ7" i="6"/>
  <c r="BZ4" i="6"/>
  <c r="CB18" i="6"/>
  <c r="CB10" i="6"/>
  <c r="CD1" i="6"/>
  <c r="CC3" i="6"/>
  <c r="CC9" i="6"/>
  <c r="CC10" i="6"/>
  <c r="CC11" i="6"/>
  <c r="CC17" i="6"/>
  <c r="CC18" i="6"/>
  <c r="CC5" i="6"/>
  <c r="CA4" i="6"/>
  <c r="BL6" i="6"/>
  <c r="BK7" i="6"/>
  <c r="BR12" i="6"/>
  <c r="BQ14" i="6"/>
  <c r="CE1" i="6"/>
  <c r="CD9" i="6"/>
  <c r="CD10" i="6"/>
  <c r="CD11" i="6"/>
  <c r="CD17" i="6"/>
  <c r="CD18" i="6"/>
  <c r="CD5" i="6"/>
  <c r="BR14" i="6"/>
  <c r="BS12" i="6"/>
  <c r="BM6" i="6"/>
  <c r="BL7" i="6"/>
  <c r="CB4" i="6"/>
  <c r="CF1" i="6"/>
  <c r="CE9" i="6"/>
  <c r="CE10" i="6"/>
  <c r="CE3" i="6"/>
  <c r="CE11" i="6"/>
  <c r="CE17" i="6"/>
  <c r="CE18" i="6"/>
  <c r="CE5" i="6"/>
  <c r="CD3" i="6"/>
  <c r="CC4" i="6"/>
  <c r="BN6" i="6"/>
  <c r="BM7" i="6"/>
  <c r="BT12" i="6"/>
  <c r="BS14" i="6"/>
  <c r="CG1" i="6"/>
  <c r="CF3" i="6"/>
  <c r="CF9" i="6"/>
  <c r="CF10" i="6"/>
  <c r="CF11" i="6"/>
  <c r="CF17" i="6"/>
  <c r="CF18" i="6"/>
  <c r="CF5" i="6"/>
  <c r="BT14" i="6"/>
  <c r="BU12" i="6"/>
  <c r="BO6" i="6"/>
  <c r="BN7" i="6"/>
  <c r="CD4" i="6"/>
  <c r="CH1" i="6"/>
  <c r="CG9" i="6"/>
  <c r="CG10" i="6"/>
  <c r="CG3" i="6"/>
  <c r="CG11" i="6"/>
  <c r="CG17" i="6"/>
  <c r="CG18" i="6"/>
  <c r="CG5" i="6"/>
  <c r="CE4" i="6"/>
  <c r="BP6" i="6"/>
  <c r="BO7" i="6"/>
  <c r="BU14" i="6"/>
  <c r="BV12" i="6"/>
  <c r="CI1" i="6"/>
  <c r="CH9" i="6"/>
  <c r="CH10" i="6"/>
  <c r="CH11" i="6"/>
  <c r="CH17" i="6"/>
  <c r="CH18" i="6"/>
  <c r="CH5" i="6"/>
  <c r="BV14" i="6"/>
  <c r="BW12" i="6"/>
  <c r="BQ6" i="6"/>
  <c r="BP7" i="6"/>
  <c r="CF4" i="6"/>
  <c r="CJ1" i="6"/>
  <c r="CI3" i="6"/>
  <c r="CI9" i="6"/>
  <c r="CI10" i="6"/>
  <c r="CI11" i="6"/>
  <c r="CI17" i="6"/>
  <c r="CI18" i="6"/>
  <c r="CI5" i="6"/>
  <c r="CH3" i="6"/>
  <c r="CG4" i="6"/>
  <c r="BR6" i="6"/>
  <c r="BQ7" i="6"/>
  <c r="BX12" i="6"/>
  <c r="BW14" i="6"/>
  <c r="CK1" i="6"/>
  <c r="CJ3" i="6"/>
  <c r="CJ11" i="6"/>
  <c r="CJ17" i="6"/>
  <c r="CJ18" i="6"/>
  <c r="CJ5" i="6"/>
  <c r="BY12" i="6"/>
  <c r="BX14" i="6"/>
  <c r="BS6" i="6"/>
  <c r="BR7" i="6"/>
  <c r="CH4" i="6"/>
  <c r="CL1" i="6"/>
  <c r="CK9" i="6"/>
  <c r="CK3" i="6"/>
  <c r="CK11" i="6"/>
  <c r="CK17" i="6"/>
  <c r="CK18" i="6"/>
  <c r="CK5" i="6"/>
  <c r="CJ9" i="6"/>
  <c r="CJ10" i="6"/>
  <c r="CI4" i="6"/>
  <c r="BT6" i="6"/>
  <c r="BS7" i="6"/>
  <c r="BZ12" i="6"/>
  <c r="BY14" i="6"/>
  <c r="CK10" i="6"/>
  <c r="CM1" i="6"/>
  <c r="CL9" i="6"/>
  <c r="CL10" i="6"/>
  <c r="CL11" i="6"/>
  <c r="CL17" i="6"/>
  <c r="CL18" i="6"/>
  <c r="CL5" i="6"/>
  <c r="BZ14" i="6"/>
  <c r="CA12" i="6"/>
  <c r="BU6" i="6"/>
  <c r="BT7" i="6"/>
  <c r="CJ4" i="6"/>
  <c r="CN1" i="6"/>
  <c r="CM9" i="6"/>
  <c r="CM10" i="6"/>
  <c r="CM3" i="6"/>
  <c r="CM11" i="6"/>
  <c r="CM17" i="6"/>
  <c r="CM18" i="6"/>
  <c r="CM5" i="6"/>
  <c r="CL3" i="6"/>
  <c r="CK4" i="6"/>
  <c r="BV6" i="6"/>
  <c r="BU7" i="6"/>
  <c r="CA14" i="6"/>
  <c r="CB12" i="6"/>
  <c r="CO1" i="6"/>
  <c r="CN3" i="6"/>
  <c r="CN9" i="6"/>
  <c r="CN10" i="6"/>
  <c r="CN11" i="6"/>
  <c r="CN17" i="6"/>
  <c r="CN18" i="6"/>
  <c r="CN5" i="6"/>
  <c r="CB14" i="6"/>
  <c r="CC12" i="6"/>
  <c r="BW6" i="6"/>
  <c r="BV7" i="6"/>
  <c r="CL4" i="6"/>
  <c r="CP1" i="6"/>
  <c r="CO9" i="6"/>
  <c r="CO10" i="6"/>
  <c r="CO3" i="6"/>
  <c r="CO11" i="6"/>
  <c r="CO17" i="6"/>
  <c r="CO18" i="6"/>
  <c r="CO5" i="6"/>
  <c r="CM4" i="6"/>
  <c r="BX6" i="6"/>
  <c r="BW7" i="6"/>
  <c r="CD12" i="6"/>
  <c r="CC14" i="6"/>
  <c r="CQ1" i="6"/>
  <c r="CP3" i="6"/>
  <c r="CP9" i="6"/>
  <c r="CP10" i="6"/>
  <c r="CP11" i="6"/>
  <c r="CP17" i="6"/>
  <c r="CP18" i="6"/>
  <c r="CP5" i="6"/>
  <c r="CE12" i="6"/>
  <c r="CD14" i="6"/>
  <c r="BY6" i="6"/>
  <c r="BX7" i="6"/>
  <c r="CN4" i="6"/>
  <c r="CR1" i="6"/>
  <c r="CQ9" i="6"/>
  <c r="CQ10" i="6"/>
  <c r="CQ3" i="6"/>
  <c r="CQ11" i="6"/>
  <c r="CQ17" i="6"/>
  <c r="CQ18" i="6"/>
  <c r="CQ5" i="6"/>
  <c r="CO4" i="6"/>
  <c r="BZ6" i="6"/>
  <c r="BY7" i="6"/>
  <c r="CF12" i="6"/>
  <c r="CE14" i="6"/>
  <c r="CS1" i="6"/>
  <c r="CR9" i="6"/>
  <c r="CR10" i="6"/>
  <c r="CR3" i="6"/>
  <c r="CR11" i="6"/>
  <c r="CR17" i="6"/>
  <c r="CR18" i="6"/>
  <c r="CR5" i="6"/>
  <c r="CF14" i="6"/>
  <c r="CG12" i="6"/>
  <c r="CA6" i="6"/>
  <c r="BZ7" i="6"/>
  <c r="CP4" i="6"/>
  <c r="CT1" i="6"/>
  <c r="CS9" i="6"/>
  <c r="CS10" i="6"/>
  <c r="CS11" i="6"/>
  <c r="CS17" i="6"/>
  <c r="CS18" i="6"/>
  <c r="CS5" i="6"/>
  <c r="CQ4" i="6"/>
  <c r="CB6" i="6"/>
  <c r="CA7" i="6"/>
  <c r="CG14" i="6"/>
  <c r="CH12" i="6"/>
  <c r="CU1" i="6"/>
  <c r="CT3" i="6"/>
  <c r="CT9" i="6"/>
  <c r="CT10" i="6"/>
  <c r="CT11" i="6"/>
  <c r="CT17" i="6"/>
  <c r="CT18" i="6"/>
  <c r="CT5" i="6"/>
  <c r="CS3" i="6"/>
  <c r="CH14" i="6"/>
  <c r="CI12" i="6"/>
  <c r="CC6" i="6"/>
  <c r="CB7" i="6"/>
  <c r="CR4" i="6"/>
  <c r="CV1" i="6"/>
  <c r="CU9" i="6"/>
  <c r="CU10" i="6"/>
  <c r="CU11" i="6"/>
  <c r="CU17" i="6"/>
  <c r="CU18" i="6"/>
  <c r="CU5" i="6"/>
  <c r="CS4" i="6"/>
  <c r="CD6" i="6"/>
  <c r="CC7" i="6"/>
  <c r="CJ12" i="6"/>
  <c r="CI14" i="6"/>
  <c r="CW1" i="6"/>
  <c r="CV9" i="6"/>
  <c r="CV10" i="6"/>
  <c r="CV11" i="6"/>
  <c r="CV17" i="6"/>
  <c r="CV18" i="6"/>
  <c r="CV5" i="6"/>
  <c r="CU3" i="6"/>
  <c r="CJ14" i="6"/>
  <c r="CK12" i="6"/>
  <c r="CE6" i="6"/>
  <c r="CD7" i="6"/>
  <c r="CT4" i="6"/>
  <c r="CX1" i="6"/>
  <c r="CW9" i="6"/>
  <c r="CW10" i="6"/>
  <c r="CW3" i="6"/>
  <c r="CW11" i="6"/>
  <c r="CW17" i="6"/>
  <c r="CW18" i="6"/>
  <c r="CW5" i="6"/>
  <c r="CV3" i="6"/>
  <c r="CU4" i="6"/>
  <c r="CF6" i="6"/>
  <c r="CE7" i="6"/>
  <c r="CL12" i="6"/>
  <c r="CK14" i="6"/>
  <c r="CY1" i="6"/>
  <c r="CX3" i="6"/>
  <c r="CX9" i="6"/>
  <c r="CX10" i="6"/>
  <c r="CX11" i="6"/>
  <c r="CX17" i="6"/>
  <c r="CX18" i="6"/>
  <c r="CX5" i="6"/>
  <c r="CM12" i="6"/>
  <c r="CL14" i="6"/>
  <c r="CG6" i="6"/>
  <c r="CF7" i="6"/>
  <c r="CV4" i="6"/>
  <c r="CY3" i="6"/>
  <c r="CZ1" i="6"/>
  <c r="CY11" i="6"/>
  <c r="CY17" i="6"/>
  <c r="CY18" i="6"/>
  <c r="CY5" i="6"/>
  <c r="CW4" i="6"/>
  <c r="CH6" i="6"/>
  <c r="CG7" i="6"/>
  <c r="CN12" i="6"/>
  <c r="CM14" i="6"/>
  <c r="CZ9" i="6"/>
  <c r="DA1" i="6"/>
  <c r="CZ11" i="6"/>
  <c r="CZ17" i="6"/>
  <c r="CZ18" i="6"/>
  <c r="CZ5" i="6"/>
  <c r="CY9" i="6"/>
  <c r="CY10" i="6"/>
  <c r="CN14" i="6"/>
  <c r="CO12" i="6"/>
  <c r="CI6" i="6"/>
  <c r="CH7" i="6"/>
  <c r="CX4" i="6"/>
  <c r="CZ10" i="6"/>
  <c r="DB1" i="6"/>
  <c r="DA11" i="6"/>
  <c r="DA17" i="6"/>
  <c r="DA18" i="6"/>
  <c r="DA5" i="6"/>
  <c r="CZ3" i="6"/>
  <c r="CY4" i="6"/>
  <c r="CJ6" i="6"/>
  <c r="CI7" i="6"/>
  <c r="CO14" i="6"/>
  <c r="CP12" i="6"/>
  <c r="DC1" i="6"/>
  <c r="DB11" i="6"/>
  <c r="DB17" i="6"/>
  <c r="DB18" i="6"/>
  <c r="DB5" i="6"/>
  <c r="DA3" i="6"/>
  <c r="DA9" i="6"/>
  <c r="DA10" i="6"/>
  <c r="CQ12" i="6"/>
  <c r="CP14" i="6"/>
  <c r="CK6" i="6"/>
  <c r="CJ7" i="6"/>
  <c r="CZ4" i="6"/>
  <c r="DD1" i="6"/>
  <c r="DC3" i="6"/>
  <c r="DC9" i="6"/>
  <c r="DC11" i="6"/>
  <c r="DC17" i="6"/>
  <c r="DC18" i="6"/>
  <c r="DC5" i="6"/>
  <c r="DB3" i="6"/>
  <c r="DB9" i="6"/>
  <c r="DB10" i="6"/>
  <c r="DA4" i="6"/>
  <c r="CL6" i="6"/>
  <c r="CK7" i="6"/>
  <c r="CQ14" i="6"/>
  <c r="CR12" i="6"/>
  <c r="DC10" i="6"/>
  <c r="DE1" i="6"/>
  <c r="DD3" i="6"/>
  <c r="DD9" i="6"/>
  <c r="DD10" i="6"/>
  <c r="DD11" i="6"/>
  <c r="DD17" i="6"/>
  <c r="DD18" i="6"/>
  <c r="DD5" i="6"/>
  <c r="CS12" i="6"/>
  <c r="CR14" i="6"/>
  <c r="CM6" i="6"/>
  <c r="CL7" i="6"/>
  <c r="DB4" i="6"/>
  <c r="DF1" i="6"/>
  <c r="DE3" i="6"/>
  <c r="DE9" i="6"/>
  <c r="DE10" i="6"/>
  <c r="DE11" i="6"/>
  <c r="DE17" i="6"/>
  <c r="DE18" i="6"/>
  <c r="DE5" i="6"/>
  <c r="DC4" i="6"/>
  <c r="CN6" i="6"/>
  <c r="CM7" i="6"/>
  <c r="CT12" i="6"/>
  <c r="CS14" i="6"/>
  <c r="DG1" i="6"/>
  <c r="DF3" i="6"/>
  <c r="DF9" i="6"/>
  <c r="DF10" i="6"/>
  <c r="DF11" i="6"/>
  <c r="DF17" i="6"/>
  <c r="DF18" i="6"/>
  <c r="DF5" i="6"/>
  <c r="CT14" i="6"/>
  <c r="CU12" i="6"/>
  <c r="CO6" i="6"/>
  <c r="CN7" i="6"/>
  <c r="DD4" i="6"/>
  <c r="DH1" i="6"/>
  <c r="DG9" i="6"/>
  <c r="DG10" i="6"/>
  <c r="DG11" i="6"/>
  <c r="DG17" i="6"/>
  <c r="DG18" i="6"/>
  <c r="DG5" i="6"/>
  <c r="DE4" i="6"/>
  <c r="CP6" i="6"/>
  <c r="CO7" i="6"/>
  <c r="CU14" i="6"/>
  <c r="CV12" i="6"/>
  <c r="DI1" i="6"/>
  <c r="DH3" i="6"/>
  <c r="DH9" i="6"/>
  <c r="DH10" i="6"/>
  <c r="DH11" i="6"/>
  <c r="DH17" i="6"/>
  <c r="DH18" i="6"/>
  <c r="DH5" i="6"/>
  <c r="DG3" i="6"/>
  <c r="CV14" i="6"/>
  <c r="CW12" i="6"/>
  <c r="CQ6" i="6"/>
  <c r="CP7" i="6"/>
  <c r="DF4" i="6"/>
  <c r="DJ1" i="6"/>
  <c r="DI11" i="6"/>
  <c r="DI17" i="6"/>
  <c r="DI18" i="6"/>
  <c r="DI5" i="6"/>
  <c r="DG4" i="6"/>
  <c r="CR6" i="6"/>
  <c r="CQ7" i="6"/>
  <c r="CX12" i="6"/>
  <c r="CW14" i="6"/>
  <c r="DK1" i="6"/>
  <c r="DI9" i="6"/>
  <c r="DI10" i="6"/>
  <c r="DI3" i="6"/>
  <c r="CY12" i="6"/>
  <c r="CX14" i="6"/>
  <c r="CS6" i="6"/>
  <c r="CR7" i="6"/>
  <c r="DH4" i="6"/>
  <c r="DL1" i="6"/>
  <c r="DK11" i="6"/>
  <c r="DK9" i="6"/>
  <c r="DK3" i="6"/>
  <c r="DK17" i="6"/>
  <c r="DK5" i="6"/>
  <c r="DJ5" i="6"/>
  <c r="DJ17" i="6"/>
  <c r="DJ18" i="6"/>
  <c r="DJ11" i="6"/>
  <c r="DJ3" i="6"/>
  <c r="DJ9" i="6"/>
  <c r="DJ10" i="6"/>
  <c r="DI4" i="6"/>
  <c r="CT6" i="6"/>
  <c r="CS7" i="6"/>
  <c r="CZ12" i="6"/>
  <c r="CY14" i="6"/>
  <c r="DK10" i="6"/>
  <c r="DK18" i="6"/>
  <c r="DM1" i="6"/>
  <c r="DL3" i="6"/>
  <c r="DL9" i="6"/>
  <c r="DL10" i="6"/>
  <c r="DL11" i="6"/>
  <c r="DL17" i="6"/>
  <c r="DL18" i="6"/>
  <c r="DL5" i="6"/>
  <c r="DJ4" i="6"/>
  <c r="CZ14" i="6"/>
  <c r="DA12" i="6"/>
  <c r="CU6" i="6"/>
  <c r="CT7" i="6"/>
  <c r="DN1" i="6"/>
  <c r="CV6" i="6"/>
  <c r="CU7" i="6"/>
  <c r="DB12" i="6"/>
  <c r="DA14" i="6"/>
  <c r="DK4" i="6"/>
  <c r="DO1" i="6"/>
  <c r="DN3" i="6"/>
  <c r="DN9" i="6"/>
  <c r="DN11" i="6"/>
  <c r="DN17" i="6"/>
  <c r="DN5" i="6"/>
  <c r="DM5" i="6"/>
  <c r="DM17" i="6"/>
  <c r="DM18" i="6"/>
  <c r="DM11" i="6"/>
  <c r="DM3" i="6"/>
  <c r="DM9" i="6"/>
  <c r="DM10" i="6"/>
  <c r="DL4" i="6"/>
  <c r="DC12" i="6"/>
  <c r="DB14" i="6"/>
  <c r="CW6" i="6"/>
  <c r="CV7" i="6"/>
  <c r="DN10" i="6"/>
  <c r="DN18" i="6"/>
  <c r="DP1" i="6"/>
  <c r="DO9" i="6"/>
  <c r="DO3" i="6"/>
  <c r="DO11" i="6"/>
  <c r="DO17" i="6"/>
  <c r="DO5" i="6"/>
  <c r="CX6" i="6"/>
  <c r="CW7" i="6"/>
  <c r="DC14" i="6"/>
  <c r="DD12" i="6"/>
  <c r="DM4" i="6"/>
  <c r="DQ1" i="6"/>
  <c r="DP3" i="6"/>
  <c r="DP9" i="6"/>
  <c r="DP11" i="6"/>
  <c r="DP17" i="6"/>
  <c r="DO18" i="6"/>
  <c r="DO10" i="6"/>
  <c r="DN4" i="6"/>
  <c r="DD14" i="6"/>
  <c r="DE12" i="6"/>
  <c r="CY6" i="6"/>
  <c r="CX7" i="6"/>
  <c r="DR1" i="6"/>
  <c r="DQ9" i="6"/>
  <c r="DQ11" i="6"/>
  <c r="DQ17" i="6"/>
  <c r="DQ5" i="6"/>
  <c r="DP10" i="6"/>
  <c r="DP18" i="6"/>
  <c r="DP5" i="6"/>
  <c r="CZ6" i="6"/>
  <c r="CY7" i="6"/>
  <c r="DF12" i="6"/>
  <c r="DE14" i="6"/>
  <c r="DO4" i="6"/>
  <c r="DS1" i="6"/>
  <c r="DR9" i="6"/>
  <c r="DQ18" i="6"/>
  <c r="DQ10" i="6"/>
  <c r="DQ3" i="6"/>
  <c r="DP4" i="6"/>
  <c r="DG12" i="6"/>
  <c r="DF14" i="6"/>
  <c r="DA6" i="6"/>
  <c r="CZ7" i="6"/>
  <c r="DR10" i="6"/>
  <c r="DR5" i="6"/>
  <c r="DR17" i="6"/>
  <c r="DR18" i="6"/>
  <c r="DR11" i="6"/>
  <c r="DR3" i="6"/>
  <c r="DT1" i="6"/>
  <c r="DS9" i="6"/>
  <c r="DS3" i="6"/>
  <c r="DS11" i="6"/>
  <c r="DS17" i="6"/>
  <c r="DS5" i="6"/>
  <c r="DB6" i="6"/>
  <c r="DA7" i="6"/>
  <c r="DH12" i="6"/>
  <c r="DG14" i="6"/>
  <c r="DQ4" i="6"/>
  <c r="DS10" i="6"/>
  <c r="DS18" i="6"/>
  <c r="DU1" i="6"/>
  <c r="DT9" i="6"/>
  <c r="DT3" i="6"/>
  <c r="DT11" i="6"/>
  <c r="DT17" i="6"/>
  <c r="DT18" i="6"/>
  <c r="DT5" i="6"/>
  <c r="DR4" i="6"/>
  <c r="DI12" i="6"/>
  <c r="DH14" i="6"/>
  <c r="DC6" i="6"/>
  <c r="DB7" i="6"/>
  <c r="DT10" i="6"/>
  <c r="DV1" i="6"/>
  <c r="DU9" i="6"/>
  <c r="DU11" i="6"/>
  <c r="DU17" i="6"/>
  <c r="DU18" i="6"/>
  <c r="DU5" i="6"/>
  <c r="DD6" i="6"/>
  <c r="DC7" i="6"/>
  <c r="DJ12" i="6"/>
  <c r="DI14" i="6"/>
  <c r="DS4" i="6"/>
  <c r="DU10" i="6"/>
  <c r="DW1" i="6"/>
  <c r="DV9" i="6"/>
  <c r="DV3" i="6"/>
  <c r="DV11" i="6"/>
  <c r="DV17" i="6"/>
  <c r="DV18" i="6"/>
  <c r="DV5" i="6"/>
  <c r="DU3" i="6"/>
  <c r="DJ14" i="6"/>
  <c r="DK12" i="6"/>
  <c r="DT4" i="6"/>
  <c r="DE6" i="6"/>
  <c r="DD7" i="6"/>
  <c r="DV10" i="6"/>
  <c r="DX1" i="6"/>
  <c r="DW3" i="6"/>
  <c r="DW9" i="6"/>
  <c r="DW11" i="6"/>
  <c r="DW17" i="6"/>
  <c r="DW18" i="6"/>
  <c r="DW5" i="6"/>
  <c r="DF6" i="6"/>
  <c r="DE7" i="6"/>
  <c r="DU4" i="6"/>
  <c r="DK14" i="6"/>
  <c r="DL12" i="6"/>
  <c r="DW10" i="6"/>
  <c r="DY1" i="6"/>
  <c r="DX9" i="6"/>
  <c r="DX3" i="6"/>
  <c r="DX11" i="6"/>
  <c r="DX17" i="6"/>
  <c r="DX18" i="6"/>
  <c r="DX5" i="6"/>
  <c r="DL14" i="6"/>
  <c r="DM12" i="6"/>
  <c r="DV4" i="6"/>
  <c r="DG6" i="6"/>
  <c r="DF7" i="6"/>
  <c r="DX10" i="6"/>
  <c r="DZ1" i="6"/>
  <c r="DY3" i="6"/>
  <c r="DH6" i="6"/>
  <c r="DG7" i="6"/>
  <c r="DW4" i="6"/>
  <c r="DM14" i="6"/>
  <c r="DN12" i="6"/>
  <c r="EA1" i="6"/>
  <c r="DY5" i="6"/>
  <c r="DY17" i="6"/>
  <c r="DY18" i="6"/>
  <c r="DY11" i="6"/>
  <c r="DY9" i="6"/>
  <c r="DY10" i="6"/>
  <c r="DO12" i="6"/>
  <c r="DN14" i="6"/>
  <c r="DX4" i="6"/>
  <c r="DI6" i="6"/>
  <c r="DH7" i="6"/>
  <c r="EB1" i="6"/>
  <c r="EA3" i="6"/>
  <c r="EA9" i="6"/>
  <c r="EA11" i="6"/>
  <c r="EA17" i="6"/>
  <c r="EA5" i="6"/>
  <c r="DZ5" i="6"/>
  <c r="DZ17" i="6"/>
  <c r="DZ18" i="6"/>
  <c r="DZ11" i="6"/>
  <c r="DZ9" i="6"/>
  <c r="DZ10" i="6"/>
  <c r="DZ3" i="6"/>
  <c r="DJ6" i="6"/>
  <c r="DI7" i="6"/>
  <c r="DY4" i="6"/>
  <c r="DO14" i="6"/>
  <c r="DP12" i="6"/>
  <c r="EA10" i="6"/>
  <c r="EA18" i="6"/>
  <c r="EB3" i="6"/>
  <c r="EC1" i="6"/>
  <c r="EB9" i="6"/>
  <c r="EB11" i="6"/>
  <c r="EB17" i="6"/>
  <c r="EB5" i="6"/>
  <c r="DQ12" i="6"/>
  <c r="DP14" i="6"/>
  <c r="DZ4" i="6"/>
  <c r="DK6" i="6"/>
  <c r="DJ7" i="6"/>
  <c r="EB10" i="6"/>
  <c r="EB18" i="6"/>
  <c r="ED1" i="6"/>
  <c r="EC9" i="6"/>
  <c r="EC11" i="6"/>
  <c r="EC17" i="6"/>
  <c r="EC18" i="6"/>
  <c r="EC5" i="6"/>
  <c r="DL6" i="6"/>
  <c r="DK7" i="6"/>
  <c r="EA4" i="6"/>
  <c r="DQ14" i="6"/>
  <c r="DR12" i="6"/>
  <c r="EC10" i="6"/>
  <c r="EE1" i="6"/>
  <c r="ED3" i="6"/>
  <c r="ED9" i="6"/>
  <c r="ED11" i="6"/>
  <c r="ED17" i="6"/>
  <c r="ED18" i="6"/>
  <c r="ED5" i="6"/>
  <c r="EC3" i="6"/>
  <c r="DR14" i="6"/>
  <c r="DS12" i="6"/>
  <c r="EB4" i="6"/>
  <c r="DM6" i="6"/>
  <c r="DL7" i="6"/>
  <c r="ED10" i="6"/>
  <c r="EF1" i="6"/>
  <c r="EE3" i="6"/>
  <c r="EE11" i="6"/>
  <c r="EE17" i="6"/>
  <c r="EE18" i="6"/>
  <c r="EE5" i="6"/>
  <c r="DN6" i="6"/>
  <c r="DM7" i="6"/>
  <c r="EC4" i="6"/>
  <c r="DT12" i="6"/>
  <c r="DS14" i="6"/>
  <c r="EG1" i="6"/>
  <c r="EF9" i="6"/>
  <c r="EF3" i="6"/>
  <c r="EE9" i="6"/>
  <c r="EE10" i="6"/>
  <c r="DT14" i="6"/>
  <c r="DU12" i="6"/>
  <c r="ED4" i="6"/>
  <c r="DO6" i="6"/>
  <c r="DN7" i="6"/>
  <c r="EH1" i="6"/>
  <c r="EG9" i="6"/>
  <c r="EG3" i="6"/>
  <c r="EF10" i="6"/>
  <c r="EF5" i="6"/>
  <c r="EF17" i="6"/>
  <c r="EF18" i="6"/>
  <c r="EF11" i="6"/>
  <c r="DP6" i="6"/>
  <c r="DO7" i="6"/>
  <c r="EE4" i="6"/>
  <c r="DV12" i="6"/>
  <c r="DU14" i="6"/>
  <c r="EG10" i="6"/>
  <c r="EG5" i="6"/>
  <c r="EG17" i="6"/>
  <c r="EG18" i="6"/>
  <c r="EG11" i="6"/>
  <c r="EI1" i="6"/>
  <c r="EH3" i="6"/>
  <c r="EH9" i="6"/>
  <c r="EH11" i="6"/>
  <c r="EH17" i="6"/>
  <c r="EH5" i="6"/>
  <c r="DW12" i="6"/>
  <c r="DV14" i="6"/>
  <c r="EF4" i="6"/>
  <c r="DQ6" i="6"/>
  <c r="DP7" i="6"/>
  <c r="EH18" i="6"/>
  <c r="EJ1" i="6"/>
  <c r="EI9" i="6"/>
  <c r="EI3" i="6"/>
  <c r="EI11" i="6"/>
  <c r="EI17" i="6"/>
  <c r="EI5" i="6"/>
  <c r="EH10" i="6"/>
  <c r="DR6" i="6"/>
  <c r="DQ7" i="6"/>
  <c r="EG4" i="6"/>
  <c r="DX12" i="6"/>
  <c r="DW14" i="6"/>
  <c r="EI10" i="6"/>
  <c r="EI18" i="6"/>
  <c r="EK1" i="6"/>
  <c r="EJ3" i="6"/>
  <c r="EJ9" i="6"/>
  <c r="EJ10" i="6"/>
  <c r="EJ11" i="6"/>
  <c r="EJ17" i="6"/>
  <c r="EJ18" i="6"/>
  <c r="EJ5" i="6"/>
  <c r="DX14" i="6"/>
  <c r="DY12" i="6"/>
  <c r="EH4" i="6"/>
  <c r="DS6" i="6"/>
  <c r="DR7" i="6"/>
  <c r="EL1" i="6"/>
  <c r="EK9" i="6"/>
  <c r="EK10" i="6"/>
  <c r="EK3" i="6"/>
  <c r="EK11" i="6"/>
  <c r="EK17" i="6"/>
  <c r="EK18" i="6"/>
  <c r="EK5" i="6"/>
  <c r="DT6" i="6"/>
  <c r="DS7" i="6"/>
  <c r="EI4" i="6"/>
  <c r="DZ12" i="6"/>
  <c r="DY14" i="6"/>
  <c r="EM1" i="6"/>
  <c r="EL3" i="6"/>
  <c r="EL9" i="6"/>
  <c r="EL10" i="6"/>
  <c r="EL11" i="6"/>
  <c r="EL17" i="6"/>
  <c r="EL18" i="6"/>
  <c r="EL5" i="6"/>
  <c r="EA12" i="6"/>
  <c r="DZ14" i="6"/>
  <c r="EJ4" i="6"/>
  <c r="DU6" i="6"/>
  <c r="DT7" i="6"/>
  <c r="EN1" i="6"/>
  <c r="EM3" i="6"/>
  <c r="EM9" i="6"/>
  <c r="EM10" i="6"/>
  <c r="EM11" i="6"/>
  <c r="EM17" i="6"/>
  <c r="EM18" i="6"/>
  <c r="EM5" i="6"/>
  <c r="DV6" i="6"/>
  <c r="DU7" i="6"/>
  <c r="EK4" i="6"/>
  <c r="EA14" i="6"/>
  <c r="EB12" i="6"/>
  <c r="EO1" i="6"/>
  <c r="EN3" i="6"/>
  <c r="EN9" i="6"/>
  <c r="EN10" i="6"/>
  <c r="EN11" i="6"/>
  <c r="EN17" i="6"/>
  <c r="EN18" i="6"/>
  <c r="EN5" i="6"/>
  <c r="EB14" i="6"/>
  <c r="EC12" i="6"/>
  <c r="EL4" i="6"/>
  <c r="DW6" i="6"/>
  <c r="DV7" i="6"/>
  <c r="EO3" i="6"/>
  <c r="EP1" i="6"/>
  <c r="EO9" i="6"/>
  <c r="EO10" i="6"/>
  <c r="EO11" i="6"/>
  <c r="EO17" i="6"/>
  <c r="EO18" i="6"/>
  <c r="EO5" i="6"/>
  <c r="DX6" i="6"/>
  <c r="DW7" i="6"/>
  <c r="EM4" i="6"/>
  <c r="ED12" i="6"/>
  <c r="EC14" i="6"/>
  <c r="EQ1" i="6"/>
  <c r="EP9" i="6"/>
  <c r="EP10" i="6"/>
  <c r="ED14" i="6"/>
  <c r="EE12" i="6"/>
  <c r="EN4" i="6"/>
  <c r="DY6" i="6"/>
  <c r="DX7" i="6"/>
  <c r="ER1" i="6"/>
  <c r="EQ3" i="6"/>
  <c r="EQ9" i="6"/>
  <c r="EQ10" i="6"/>
  <c r="EQ11" i="6"/>
  <c r="EQ17" i="6"/>
  <c r="EQ5" i="6"/>
  <c r="EP5" i="6"/>
  <c r="EP17" i="6"/>
  <c r="EP18" i="6"/>
  <c r="EP11" i="6"/>
  <c r="EP3" i="6"/>
  <c r="DZ6" i="6"/>
  <c r="DY7" i="6"/>
  <c r="EO4" i="6"/>
  <c r="EF12" i="6"/>
  <c r="EE14" i="6"/>
  <c r="EQ18" i="6"/>
  <c r="ES1" i="6"/>
  <c r="ER3" i="6"/>
  <c r="EG12" i="6"/>
  <c r="EF14" i="6"/>
  <c r="EP4" i="6"/>
  <c r="EA6" i="6"/>
  <c r="DZ7" i="6"/>
  <c r="ER5" i="6"/>
  <c r="ER11" i="6"/>
  <c r="ER9" i="6"/>
  <c r="ER10" i="6"/>
  <c r="ER17" i="6"/>
  <c r="ER18" i="6"/>
  <c r="ET1" i="6"/>
  <c r="ES3" i="6"/>
  <c r="ES11" i="6"/>
  <c r="ES17" i="6"/>
  <c r="ES5" i="6"/>
  <c r="EB6" i="6"/>
  <c r="EA7" i="6"/>
  <c r="EQ4" i="6"/>
  <c r="EG14" i="6"/>
  <c r="EH12" i="6"/>
  <c r="EU1" i="6"/>
  <c r="ET3" i="6"/>
  <c r="ET9" i="6"/>
  <c r="ET11" i="6"/>
  <c r="ET17" i="6"/>
  <c r="ET5" i="6"/>
  <c r="ES9" i="6"/>
  <c r="ES10" i="6"/>
  <c r="ET10" i="6"/>
  <c r="ES18" i="6"/>
  <c r="EH14" i="6"/>
  <c r="EI12" i="6"/>
  <c r="ER4" i="6"/>
  <c r="EC6" i="6"/>
  <c r="EB7" i="6"/>
  <c r="ET18" i="6"/>
  <c r="EV1" i="6"/>
  <c r="EU3" i="6"/>
  <c r="EU11" i="6"/>
  <c r="EU17" i="6"/>
  <c r="EU5" i="6"/>
  <c r="ED6" i="6"/>
  <c r="EC7" i="6"/>
  <c r="ES4" i="6"/>
  <c r="EI14" i="6"/>
  <c r="EJ12" i="6"/>
  <c r="EW1" i="6"/>
  <c r="EV3" i="6"/>
  <c r="EV9" i="6"/>
  <c r="EV11" i="6"/>
  <c r="EV17" i="6"/>
  <c r="EV5" i="6"/>
  <c r="EU9" i="6"/>
  <c r="EU10" i="6"/>
  <c r="EU18" i="6"/>
  <c r="EK12" i="6"/>
  <c r="EJ14" i="6"/>
  <c r="ET4" i="6"/>
  <c r="EE6" i="6"/>
  <c r="ED7" i="6"/>
  <c r="EV10" i="6"/>
  <c r="EV18" i="6"/>
  <c r="EX1" i="6"/>
  <c r="EW9" i="6"/>
  <c r="EW10" i="6"/>
  <c r="EW11" i="6"/>
  <c r="EW17" i="6"/>
  <c r="EW5" i="6"/>
  <c r="EF6" i="6"/>
  <c r="EE7" i="6"/>
  <c r="EU4" i="6"/>
  <c r="EL12" i="6"/>
  <c r="EK14" i="6"/>
  <c r="EY1" i="6"/>
  <c r="EX3" i="6"/>
  <c r="EX9" i="6"/>
  <c r="EX10" i="6"/>
  <c r="EX11" i="6"/>
  <c r="EX17" i="6"/>
  <c r="EX5" i="6"/>
  <c r="EW3" i="6"/>
  <c r="EW18" i="6"/>
  <c r="EM12" i="6"/>
  <c r="EL14" i="6"/>
  <c r="EV4" i="6"/>
  <c r="EG6" i="6"/>
  <c r="EF7" i="6"/>
  <c r="EX18" i="6"/>
  <c r="EZ1" i="6"/>
  <c r="EY9" i="6"/>
  <c r="EY10" i="6"/>
  <c r="EY3" i="6"/>
  <c r="EY11" i="6"/>
  <c r="EY17" i="6"/>
  <c r="EY18" i="6"/>
  <c r="EY5" i="6"/>
  <c r="EH6" i="6"/>
  <c r="EG7" i="6"/>
  <c r="EW4" i="6"/>
  <c r="EM14" i="6"/>
  <c r="EN12" i="6"/>
  <c r="FA1" i="6"/>
  <c r="EO12" i="6"/>
  <c r="EN14" i="6"/>
  <c r="EX4" i="6"/>
  <c r="EI6" i="6"/>
  <c r="EH7" i="6"/>
  <c r="FB1" i="6"/>
  <c r="FA3" i="6"/>
  <c r="FA9" i="6"/>
  <c r="FA11" i="6"/>
  <c r="FA17" i="6"/>
  <c r="FA5" i="6"/>
  <c r="EZ5" i="6"/>
  <c r="EZ17" i="6"/>
  <c r="EZ18" i="6"/>
  <c r="EZ11" i="6"/>
  <c r="EZ9" i="6"/>
  <c r="EZ10" i="6"/>
  <c r="EZ3" i="6"/>
  <c r="EJ6" i="6"/>
  <c r="EI7" i="6"/>
  <c r="EY4" i="6"/>
  <c r="EO14" i="6"/>
  <c r="EP12" i="6"/>
  <c r="FA18" i="6"/>
  <c r="FA10" i="6"/>
  <c r="FC1" i="6"/>
  <c r="FB3" i="6"/>
  <c r="FB9" i="6"/>
  <c r="FB11" i="6"/>
  <c r="FB17" i="6"/>
  <c r="FB18" i="6"/>
  <c r="FB5" i="6"/>
  <c r="EP14" i="6"/>
  <c r="EQ12" i="6"/>
  <c r="EZ4" i="6"/>
  <c r="EK6" i="6"/>
  <c r="EJ7" i="6"/>
  <c r="FB10" i="6"/>
  <c r="FD1" i="6"/>
  <c r="FC9" i="6"/>
  <c r="FC10" i="6"/>
  <c r="FC3" i="6"/>
  <c r="FC11" i="6"/>
  <c r="FC17" i="6"/>
  <c r="FC18" i="6"/>
  <c r="FC5" i="6"/>
  <c r="EL6" i="6"/>
  <c r="EK7" i="6"/>
  <c r="FA4" i="6"/>
  <c r="ER12" i="6"/>
  <c r="EQ14" i="6"/>
  <c r="FD3" i="6"/>
  <c r="FE1" i="6"/>
  <c r="FD9" i="6"/>
  <c r="FD10" i="6"/>
  <c r="FD11" i="6"/>
  <c r="FD17" i="6"/>
  <c r="FD18" i="6"/>
  <c r="FD5" i="6"/>
  <c r="ES12" i="6"/>
  <c r="ER14" i="6"/>
  <c r="FB4" i="6"/>
  <c r="EM6" i="6"/>
  <c r="EL7" i="6"/>
  <c r="FF1" i="6"/>
  <c r="FE9" i="6"/>
  <c r="FE10" i="6"/>
  <c r="FE3" i="6"/>
  <c r="FE11" i="6"/>
  <c r="FE17" i="6"/>
  <c r="FE18" i="6"/>
  <c r="FE5" i="6"/>
  <c r="EN6" i="6"/>
  <c r="EM7" i="6"/>
  <c r="FC4" i="6"/>
  <c r="ET12" i="6"/>
  <c r="ES14" i="6"/>
  <c r="FG1" i="6"/>
  <c r="FF3" i="6"/>
  <c r="FF9" i="6"/>
  <c r="FF10" i="6"/>
  <c r="FF11" i="6"/>
  <c r="FF17" i="6"/>
  <c r="FF18" i="6"/>
  <c r="FF5" i="6"/>
  <c r="EU12" i="6"/>
  <c r="ET14" i="6"/>
  <c r="FD4" i="6"/>
  <c r="EO6" i="6"/>
  <c r="EN7" i="6"/>
  <c r="FH1" i="6"/>
  <c r="FG9" i="6"/>
  <c r="FG10" i="6"/>
  <c r="FG11" i="6"/>
  <c r="FG17" i="6"/>
  <c r="FG18" i="6"/>
  <c r="FG5" i="6"/>
  <c r="EP6" i="6"/>
  <c r="EO7" i="6"/>
  <c r="FE4" i="6"/>
  <c r="EV12" i="6"/>
  <c r="EU14" i="6"/>
  <c r="FI1" i="6"/>
  <c r="FH11" i="6"/>
  <c r="FH17" i="6"/>
  <c r="FH18" i="6"/>
  <c r="FH5" i="6"/>
  <c r="FG3" i="6"/>
  <c r="EV14" i="6"/>
  <c r="EW12" i="6"/>
  <c r="FF4" i="6"/>
  <c r="EQ6" i="6"/>
  <c r="EP7" i="6"/>
  <c r="FJ1" i="6"/>
  <c r="FI3" i="6"/>
  <c r="FI9" i="6"/>
  <c r="FI11" i="6"/>
  <c r="FI17" i="6"/>
  <c r="FI18" i="6"/>
  <c r="FI5" i="6"/>
  <c r="FH9" i="6"/>
  <c r="FH10" i="6"/>
  <c r="FH3" i="6"/>
  <c r="ER6" i="6"/>
  <c r="EQ7" i="6"/>
  <c r="FG4" i="6"/>
  <c r="EW14" i="6"/>
  <c r="EX12" i="6"/>
  <c r="FI10" i="6"/>
  <c r="FK1" i="6"/>
  <c r="FJ3" i="6"/>
  <c r="FJ9" i="6"/>
  <c r="FJ10" i="6"/>
  <c r="FJ11" i="6"/>
  <c r="FJ17" i="6"/>
  <c r="FJ18" i="6"/>
  <c r="FJ5" i="6"/>
  <c r="EY12" i="6"/>
  <c r="EX14" i="6"/>
  <c r="FH4" i="6"/>
  <c r="ES6" i="6"/>
  <c r="ER7" i="6"/>
  <c r="FL1" i="6"/>
  <c r="FK3" i="6"/>
  <c r="FK9" i="6"/>
  <c r="FK10" i="6"/>
  <c r="FK11" i="6"/>
  <c r="FK17" i="6"/>
  <c r="FK18" i="6"/>
  <c r="FK5" i="6"/>
  <c r="ET6" i="6"/>
  <c r="ES7" i="6"/>
  <c r="FI4" i="6"/>
  <c r="EY14" i="6"/>
  <c r="EZ12" i="6"/>
  <c r="FM1" i="6"/>
  <c r="FL3" i="6"/>
  <c r="FL9" i="6"/>
  <c r="FL10" i="6"/>
  <c r="FL11" i="6"/>
  <c r="FL17" i="6"/>
  <c r="FL18" i="6"/>
  <c r="FL5" i="6"/>
  <c r="EZ14" i="6"/>
  <c r="FA12" i="6"/>
  <c r="FJ4" i="6"/>
  <c r="EU6" i="6"/>
  <c r="ET7" i="6"/>
  <c r="FN1" i="6"/>
  <c r="FM9" i="6"/>
  <c r="FM10" i="6"/>
  <c r="FM11" i="6"/>
  <c r="FM17" i="6"/>
  <c r="FM18" i="6"/>
  <c r="FM5" i="6"/>
  <c r="EV6" i="6"/>
  <c r="EU7" i="6"/>
  <c r="FK4" i="6"/>
  <c r="FB12" i="6"/>
  <c r="FA14" i="6"/>
  <c r="FO1" i="6"/>
  <c r="FN3" i="6"/>
  <c r="FN9" i="6"/>
  <c r="FN10" i="6"/>
  <c r="FN11" i="6"/>
  <c r="FN17" i="6"/>
  <c r="FN18" i="6"/>
  <c r="FN5" i="6"/>
  <c r="FM3" i="6"/>
  <c r="FB14" i="6"/>
  <c r="FC12" i="6"/>
  <c r="FL4" i="6"/>
  <c r="EW6" i="6"/>
  <c r="EV7" i="6"/>
  <c r="FP1" i="6"/>
  <c r="FO3" i="6"/>
  <c r="FO9" i="6"/>
  <c r="FO10" i="6"/>
  <c r="FO11" i="6"/>
  <c r="FO17" i="6"/>
  <c r="FO18" i="6"/>
  <c r="FO5" i="6"/>
  <c r="EX6" i="6"/>
  <c r="EW7" i="6"/>
  <c r="FM4" i="6"/>
  <c r="FD12" i="6"/>
  <c r="FC14" i="6"/>
  <c r="FQ1" i="6"/>
  <c r="FP3" i="6"/>
  <c r="FP9" i="6"/>
  <c r="FP10" i="6"/>
  <c r="FP11" i="6"/>
  <c r="FP17" i="6"/>
  <c r="FP18" i="6"/>
  <c r="FP5" i="6"/>
  <c r="FD14" i="6"/>
  <c r="FE12" i="6"/>
  <c r="FN4" i="6"/>
  <c r="EY6" i="6"/>
  <c r="EX7" i="6"/>
  <c r="FR1" i="6"/>
  <c r="FQ11" i="6"/>
  <c r="FQ17" i="6"/>
  <c r="FQ18" i="6"/>
  <c r="FQ5" i="6"/>
  <c r="EZ6" i="6"/>
  <c r="EY7" i="6"/>
  <c r="FO4" i="6"/>
  <c r="FF12" i="6"/>
  <c r="FE14" i="6"/>
  <c r="FS1" i="6"/>
  <c r="FR9" i="6"/>
  <c r="FR3" i="6"/>
  <c r="FR11" i="6"/>
  <c r="FR17" i="6"/>
  <c r="FR18" i="6"/>
  <c r="FR5" i="6"/>
  <c r="FQ9" i="6"/>
  <c r="FQ10" i="6"/>
  <c r="FR10" i="6"/>
  <c r="FQ3" i="6"/>
  <c r="FG12" i="6"/>
  <c r="FF14" i="6"/>
  <c r="FP4" i="6"/>
  <c r="FA6" i="6"/>
  <c r="EZ7" i="6"/>
  <c r="FT1" i="6"/>
  <c r="FS11" i="6"/>
  <c r="FS17" i="6"/>
  <c r="FS18" i="6"/>
  <c r="FS5" i="6"/>
  <c r="FB6" i="6"/>
  <c r="FA7" i="6"/>
  <c r="FQ4" i="6"/>
  <c r="FH12" i="6"/>
  <c r="FG14" i="6"/>
  <c r="FU1" i="6"/>
  <c r="FT3" i="6"/>
  <c r="FT9" i="6"/>
  <c r="FT11" i="6"/>
  <c r="FT17" i="6"/>
  <c r="FT18" i="6"/>
  <c r="FT5" i="6"/>
  <c r="FS9" i="6"/>
  <c r="FS10" i="6"/>
  <c r="FS3" i="6"/>
  <c r="FH14" i="6"/>
  <c r="FI12" i="6"/>
  <c r="FR4" i="6"/>
  <c r="FC6" i="6"/>
  <c r="FB7" i="6"/>
  <c r="FT10" i="6"/>
  <c r="FV1" i="6"/>
  <c r="FU3" i="6"/>
  <c r="FU9" i="6"/>
  <c r="FU10" i="6"/>
  <c r="FU11" i="6"/>
  <c r="FU17" i="6"/>
  <c r="FU18" i="6"/>
  <c r="FU5" i="6"/>
  <c r="FD6" i="6"/>
  <c r="FC7" i="6"/>
  <c r="FS4" i="6"/>
  <c r="FI14" i="6"/>
  <c r="FJ12" i="6"/>
  <c r="FW1" i="6"/>
  <c r="FV9" i="6"/>
  <c r="FV10" i="6"/>
  <c r="FV11" i="6"/>
  <c r="FV17" i="6"/>
  <c r="FV18" i="6"/>
  <c r="FV5" i="6"/>
  <c r="FK12" i="6"/>
  <c r="FJ14" i="6"/>
  <c r="FT4" i="6"/>
  <c r="FE6" i="6"/>
  <c r="FD7" i="6"/>
  <c r="FX1" i="6"/>
  <c r="FW17" i="6"/>
  <c r="FW18" i="6"/>
  <c r="FW5" i="6"/>
  <c r="FV3" i="6"/>
  <c r="FF6" i="6"/>
  <c r="FE7" i="6"/>
  <c r="FU4" i="6"/>
  <c r="FK14" i="6"/>
  <c r="FL12" i="6"/>
  <c r="FY1" i="6"/>
  <c r="FX3" i="6"/>
  <c r="FX9" i="6"/>
  <c r="FX11" i="6"/>
  <c r="FX17" i="6"/>
  <c r="FX18" i="6"/>
  <c r="FX5" i="6"/>
  <c r="FW11" i="6"/>
  <c r="FW9" i="6"/>
  <c r="FW10" i="6"/>
  <c r="FX10" i="6"/>
  <c r="FW3" i="6"/>
  <c r="FM12" i="6"/>
  <c r="FL14" i="6"/>
  <c r="FV4" i="6"/>
  <c r="FG6" i="6"/>
  <c r="FF7" i="6"/>
  <c r="FZ1" i="6"/>
  <c r="FY11" i="6"/>
  <c r="FY17" i="6"/>
  <c r="FY18" i="6"/>
  <c r="FY5" i="6"/>
  <c r="FH6" i="6"/>
  <c r="FG7" i="6"/>
  <c r="FW4" i="6"/>
  <c r="FN12" i="6"/>
  <c r="FM14" i="6"/>
  <c r="GA1" i="6"/>
  <c r="FZ3" i="6"/>
  <c r="FZ9" i="6"/>
  <c r="FZ11" i="6"/>
  <c r="FZ17" i="6"/>
  <c r="FZ18" i="6"/>
  <c r="FZ5" i="6"/>
  <c r="FY3" i="6"/>
  <c r="FY9" i="6"/>
  <c r="FY10" i="6"/>
  <c r="FO12" i="6"/>
  <c r="FN14" i="6"/>
  <c r="FX4" i="6"/>
  <c r="FI6" i="6"/>
  <c r="FH7" i="6"/>
  <c r="FZ10" i="6"/>
  <c r="GB1" i="6"/>
  <c r="GA3" i="6"/>
  <c r="GA9" i="6"/>
  <c r="GA10" i="6"/>
  <c r="GA11" i="6"/>
  <c r="GA17" i="6"/>
  <c r="GA18" i="6"/>
  <c r="GA5" i="6"/>
  <c r="FJ6" i="6"/>
  <c r="FI7" i="6"/>
  <c r="FY4" i="6"/>
  <c r="FP12" i="6"/>
  <c r="FO14" i="6"/>
  <c r="GC1" i="6"/>
  <c r="GB3" i="6"/>
  <c r="GB9" i="6"/>
  <c r="GB10" i="6"/>
  <c r="GB11" i="6"/>
  <c r="GB17" i="6"/>
  <c r="GB18" i="6"/>
  <c r="GB5" i="6"/>
  <c r="FQ12" i="6"/>
  <c r="FP14" i="6"/>
  <c r="FZ4" i="6"/>
  <c r="FK6" i="6"/>
  <c r="FJ7" i="6"/>
  <c r="GD1" i="6"/>
  <c r="GC9" i="6"/>
  <c r="GC10" i="6"/>
  <c r="GC3" i="6"/>
  <c r="GC11" i="6"/>
  <c r="GC17" i="6"/>
  <c r="GC18" i="6"/>
  <c r="GC5" i="6"/>
  <c r="FL6" i="6"/>
  <c r="FK7" i="6"/>
  <c r="GA4" i="6"/>
  <c r="FR12" i="6"/>
  <c r="FQ14" i="6"/>
  <c r="GE1" i="6"/>
  <c r="GD3" i="6"/>
  <c r="GD9" i="6"/>
  <c r="GD10" i="6"/>
  <c r="GD11" i="6"/>
  <c r="GD17" i="6"/>
  <c r="GD18" i="6"/>
  <c r="GD5" i="6"/>
  <c r="FS12" i="6"/>
  <c r="FR14" i="6"/>
  <c r="GB4" i="6"/>
  <c r="FM6" i="6"/>
  <c r="FL7" i="6"/>
  <c r="GF1" i="6"/>
  <c r="GE3" i="6"/>
  <c r="GE9" i="6"/>
  <c r="GE10" i="6"/>
  <c r="GE11" i="6"/>
  <c r="GE17" i="6"/>
  <c r="GE18" i="6"/>
  <c r="GE5" i="6"/>
  <c r="FN6" i="6"/>
  <c r="FM7" i="6"/>
  <c r="GC4" i="6"/>
  <c r="FT12" i="6"/>
  <c r="FS14" i="6"/>
  <c r="GG1" i="6"/>
  <c r="GF3" i="6"/>
  <c r="GF9" i="6"/>
  <c r="GF10" i="6"/>
  <c r="GF11" i="6"/>
  <c r="GF17" i="6"/>
  <c r="GF18" i="6"/>
  <c r="GF5" i="6"/>
  <c r="FT14" i="6"/>
  <c r="FU12" i="6"/>
  <c r="GD4" i="6"/>
  <c r="FO6" i="6"/>
  <c r="FN7" i="6"/>
  <c r="GH1" i="6"/>
  <c r="GG9" i="6"/>
  <c r="GG10" i="6"/>
  <c r="GG11" i="6"/>
  <c r="GG17" i="6"/>
  <c r="GG18" i="6"/>
  <c r="GG5" i="6"/>
  <c r="FP6" i="6"/>
  <c r="FO7" i="6"/>
  <c r="GE4" i="6"/>
  <c r="FV12" i="6"/>
  <c r="FU14" i="6"/>
  <c r="GI1" i="6"/>
  <c r="GH9" i="6"/>
  <c r="GH10" i="6"/>
  <c r="GH11" i="6"/>
  <c r="GH17" i="6"/>
  <c r="GH18" i="6"/>
  <c r="GH5" i="6"/>
  <c r="GG3" i="6"/>
  <c r="FW12" i="6"/>
  <c r="FV14" i="6"/>
  <c r="GF4" i="6"/>
  <c r="FQ6" i="6"/>
  <c r="FP7" i="6"/>
  <c r="GJ1" i="6"/>
  <c r="GI3" i="6"/>
  <c r="GI9" i="6"/>
  <c r="GI10" i="6"/>
  <c r="GI11" i="6"/>
  <c r="GI17" i="6"/>
  <c r="GI18" i="6"/>
  <c r="GI5" i="6"/>
  <c r="GH3" i="6"/>
  <c r="FR6" i="6"/>
  <c r="FQ7" i="6"/>
  <c r="GG4" i="6"/>
  <c r="FX12" i="6"/>
  <c r="FW14" i="6"/>
  <c r="GK1" i="6"/>
  <c r="GJ9" i="6"/>
  <c r="GJ10" i="6"/>
  <c r="FY12" i="6"/>
  <c r="FX14" i="6"/>
  <c r="GH4" i="6"/>
  <c r="FS6" i="6"/>
  <c r="FR7" i="6"/>
  <c r="GJ5" i="6"/>
  <c r="GJ17" i="6"/>
  <c r="GJ18" i="6"/>
  <c r="GJ11" i="6"/>
  <c r="GJ3" i="6"/>
  <c r="GL1" i="6"/>
  <c r="GK3" i="6"/>
  <c r="GK9" i="6"/>
  <c r="GK10" i="6"/>
  <c r="GK11" i="6"/>
  <c r="GK17" i="6"/>
  <c r="GK5" i="6"/>
  <c r="FT6" i="6"/>
  <c r="FS7" i="6"/>
  <c r="GI4" i="6"/>
  <c r="FY14" i="6"/>
  <c r="FZ12" i="6"/>
  <c r="GM1" i="6"/>
  <c r="GL9" i="6"/>
  <c r="GL10" i="6"/>
  <c r="GL11" i="6"/>
  <c r="GL17" i="6"/>
  <c r="GL5" i="6"/>
  <c r="GK18" i="6"/>
  <c r="FZ14" i="6"/>
  <c r="GA12" i="6"/>
  <c r="GJ4" i="6"/>
  <c r="FU6" i="6"/>
  <c r="FT7" i="6"/>
  <c r="GL18" i="6"/>
  <c r="GN1" i="6"/>
  <c r="GM9" i="6"/>
  <c r="GM10" i="6"/>
  <c r="GM3" i="6"/>
  <c r="GM11" i="6"/>
  <c r="GM17" i="6"/>
  <c r="GM5" i="6"/>
  <c r="GL3" i="6"/>
  <c r="FV6" i="6"/>
  <c r="FU7" i="6"/>
  <c r="GK4" i="6"/>
  <c r="GB12" i="6"/>
  <c r="GA14" i="6"/>
  <c r="GO1" i="6"/>
  <c r="GN9" i="6"/>
  <c r="GN10" i="6"/>
  <c r="GM18" i="6"/>
  <c r="GC12" i="6"/>
  <c r="GB14" i="6"/>
  <c r="GL4" i="6"/>
  <c r="FW6" i="6"/>
  <c r="FV7" i="6"/>
  <c r="GN3" i="6"/>
  <c r="GN5" i="6"/>
  <c r="GN17" i="6"/>
  <c r="GN18" i="6"/>
  <c r="GN11" i="6"/>
  <c r="GP1" i="6"/>
  <c r="GO11" i="6"/>
  <c r="GO17" i="6"/>
  <c r="GO5" i="6"/>
  <c r="FX6" i="6"/>
  <c r="FW7" i="6"/>
  <c r="GM4" i="6"/>
  <c r="GD12" i="6"/>
  <c r="GC14" i="6"/>
  <c r="GO18" i="6"/>
  <c r="GQ1" i="6"/>
  <c r="GP3" i="6"/>
  <c r="GP9" i="6"/>
  <c r="GP11" i="6"/>
  <c r="GP17" i="6"/>
  <c r="GP18" i="6"/>
  <c r="GP5" i="6"/>
  <c r="GO3" i="6"/>
  <c r="GO9" i="6"/>
  <c r="GO10" i="6"/>
  <c r="GD14" i="6"/>
  <c r="GE12" i="6"/>
  <c r="GN4" i="6"/>
  <c r="FY6" i="6"/>
  <c r="FX7" i="6"/>
  <c r="GP10" i="6"/>
  <c r="GR1" i="6"/>
  <c r="FZ6" i="6"/>
  <c r="FY7" i="6"/>
  <c r="GO4" i="6"/>
  <c r="GE14" i="6"/>
  <c r="GF12" i="6"/>
  <c r="GS1" i="6"/>
  <c r="GR11" i="6"/>
  <c r="GR17" i="6"/>
  <c r="GR5" i="6"/>
  <c r="GQ5" i="6"/>
  <c r="GQ17" i="6"/>
  <c r="GQ18" i="6"/>
  <c r="GQ11" i="6"/>
  <c r="GQ9" i="6"/>
  <c r="GQ10" i="6"/>
  <c r="GQ3" i="6"/>
  <c r="GG12" i="6"/>
  <c r="GF14" i="6"/>
  <c r="GP4" i="6"/>
  <c r="GA6" i="6"/>
  <c r="FZ7" i="6"/>
  <c r="GR18" i="6"/>
  <c r="GT1" i="6"/>
  <c r="GS3" i="6"/>
  <c r="GS9" i="6"/>
  <c r="GS11" i="6"/>
  <c r="GS17" i="6"/>
  <c r="GS18" i="6"/>
  <c r="GS5" i="6"/>
  <c r="GR9" i="6"/>
  <c r="GR10" i="6"/>
  <c r="GS10" i="6"/>
  <c r="GR3" i="6"/>
  <c r="GB6" i="6"/>
  <c r="GA7" i="6"/>
  <c r="GQ4" i="6"/>
  <c r="GH12" i="6"/>
  <c r="GG14" i="6"/>
  <c r="GU1" i="6"/>
  <c r="GT9" i="6"/>
  <c r="GT10" i="6"/>
  <c r="GT11" i="6"/>
  <c r="GT17" i="6"/>
  <c r="GT18" i="6"/>
  <c r="GT5" i="6"/>
  <c r="GH14" i="6"/>
  <c r="GI12" i="6"/>
  <c r="GR4" i="6"/>
  <c r="GC6" i="6"/>
  <c r="GB7" i="6"/>
  <c r="GV1" i="6"/>
  <c r="GU3" i="6"/>
  <c r="GU9" i="6"/>
  <c r="GU10" i="6"/>
  <c r="GU11" i="6"/>
  <c r="GU17" i="6"/>
  <c r="GU18" i="6"/>
  <c r="GU5" i="6"/>
  <c r="GT3" i="6"/>
  <c r="GD6" i="6"/>
  <c r="GC7" i="6"/>
  <c r="GS4" i="6"/>
  <c r="GJ12" i="6"/>
  <c r="GI14" i="6"/>
  <c r="GW1" i="6"/>
  <c r="GV9" i="6"/>
  <c r="GV10" i="6"/>
  <c r="GV3" i="6"/>
  <c r="GV11" i="6"/>
  <c r="GV17" i="6"/>
  <c r="GV18" i="6"/>
  <c r="GV5" i="6"/>
  <c r="GJ14" i="6"/>
  <c r="GK12" i="6"/>
  <c r="GT4" i="6"/>
  <c r="GE6" i="6"/>
  <c r="GD7" i="6"/>
  <c r="GX1" i="6"/>
  <c r="GW3" i="6"/>
  <c r="GW9" i="6"/>
  <c r="GW10" i="6"/>
  <c r="GW11" i="6"/>
  <c r="GW17" i="6"/>
  <c r="GW18" i="6"/>
  <c r="GW5" i="6"/>
  <c r="GF6" i="6"/>
  <c r="GE7" i="6"/>
  <c r="GU4" i="6"/>
  <c r="GL12" i="6"/>
  <c r="GK14" i="6"/>
  <c r="GY1" i="6"/>
  <c r="GX3" i="6"/>
  <c r="GM12" i="6"/>
  <c r="GL14" i="6"/>
  <c r="GV4" i="6"/>
  <c r="GG6" i="6"/>
  <c r="GF7" i="6"/>
  <c r="GX5" i="6"/>
  <c r="GX17" i="6"/>
  <c r="GX18" i="6"/>
  <c r="GX11" i="6"/>
  <c r="GX9" i="6"/>
  <c r="GX10" i="6"/>
  <c r="GZ1" i="6"/>
  <c r="GY3" i="6"/>
  <c r="GY17" i="6"/>
  <c r="GY5" i="6"/>
  <c r="GH6" i="6"/>
  <c r="GG7" i="6"/>
  <c r="GW4" i="6"/>
  <c r="GN12" i="6"/>
  <c r="GM14" i="6"/>
  <c r="GY11" i="6"/>
  <c r="HA1" i="6"/>
  <c r="GZ9" i="6"/>
  <c r="GZ11" i="6"/>
  <c r="GZ17" i="6"/>
  <c r="GZ5" i="6"/>
  <c r="GY9" i="6"/>
  <c r="GY10" i="6"/>
  <c r="GY18" i="6"/>
  <c r="GO12" i="6"/>
  <c r="GN14" i="6"/>
  <c r="GX4" i="6"/>
  <c r="GI6" i="6"/>
  <c r="GH7" i="6"/>
  <c r="GZ10" i="6"/>
  <c r="GZ18" i="6"/>
  <c r="HB1" i="6"/>
  <c r="HA3" i="6"/>
  <c r="HA9" i="6"/>
  <c r="HA10" i="6"/>
  <c r="HA11" i="6"/>
  <c r="HA17" i="6"/>
  <c r="HA18" i="6"/>
  <c r="HA5" i="6"/>
  <c r="GZ3" i="6"/>
  <c r="GJ6" i="6"/>
  <c r="GI7" i="6"/>
  <c r="GY4" i="6"/>
  <c r="GP12" i="6"/>
  <c r="GO14" i="6"/>
  <c r="HC1" i="6"/>
  <c r="HB9" i="6"/>
  <c r="HB10" i="6"/>
  <c r="HB3" i="6"/>
  <c r="HB11" i="6"/>
  <c r="HB17" i="6"/>
  <c r="HB18" i="6"/>
  <c r="HB5" i="6"/>
  <c r="GQ12" i="6"/>
  <c r="GP14" i="6"/>
  <c r="GZ4" i="6"/>
  <c r="GK6" i="6"/>
  <c r="GJ7" i="6"/>
  <c r="HC9" i="6"/>
  <c r="HC10" i="6"/>
  <c r="HD1" i="6"/>
  <c r="HC11" i="6"/>
  <c r="HC17" i="6"/>
  <c r="HC18" i="6"/>
  <c r="HC5" i="6"/>
  <c r="GL6" i="6"/>
  <c r="GK7" i="6"/>
  <c r="HA4" i="6"/>
  <c r="GQ14" i="6"/>
  <c r="GR12" i="6"/>
  <c r="HE1" i="6"/>
  <c r="HD17" i="6"/>
  <c r="HD18" i="6"/>
  <c r="HD11" i="6"/>
  <c r="HC3" i="6"/>
  <c r="HB4" i="6"/>
  <c r="GR14" i="6"/>
  <c r="GS12" i="6"/>
  <c r="GM6" i="6"/>
  <c r="GL7" i="6"/>
  <c r="HD5" i="6"/>
  <c r="HF1" i="6"/>
  <c r="HE11" i="6"/>
  <c r="HE17" i="6"/>
  <c r="HE18" i="6"/>
  <c r="HE5" i="6"/>
  <c r="HD3" i="6"/>
  <c r="HD9" i="6"/>
  <c r="HD10" i="6"/>
  <c r="GN6" i="6"/>
  <c r="GM7" i="6"/>
  <c r="GT12" i="6"/>
  <c r="GS14" i="6"/>
  <c r="HC4" i="6"/>
  <c r="HG1" i="6"/>
  <c r="HE9" i="6"/>
  <c r="HE10" i="6"/>
  <c r="HE3" i="6"/>
  <c r="HD4" i="6"/>
  <c r="GU12" i="6"/>
  <c r="GT14" i="6"/>
  <c r="GO6" i="6"/>
  <c r="GN7" i="6"/>
  <c r="HH1" i="6"/>
  <c r="HG3" i="6"/>
  <c r="HG9" i="6"/>
  <c r="HG11" i="6"/>
  <c r="HG17" i="6"/>
  <c r="HG5" i="6"/>
  <c r="HF5" i="6"/>
  <c r="HF17" i="6"/>
  <c r="HF18" i="6"/>
  <c r="HF11" i="6"/>
  <c r="HF9" i="6"/>
  <c r="HF10" i="6"/>
  <c r="HF3" i="6"/>
  <c r="GP6" i="6"/>
  <c r="GO7" i="6"/>
  <c r="GV12" i="6"/>
  <c r="GU14" i="6"/>
  <c r="HE4" i="6"/>
  <c r="HG10" i="6"/>
  <c r="HG18" i="6"/>
  <c r="HI1" i="6"/>
  <c r="HH3" i="6"/>
  <c r="HH11" i="6"/>
  <c r="HH17" i="6"/>
  <c r="HH5" i="6"/>
  <c r="HF4" i="6"/>
  <c r="GV14" i="6"/>
  <c r="GW12" i="6"/>
  <c r="GQ6" i="6"/>
  <c r="GP7" i="6"/>
  <c r="HH9" i="6"/>
  <c r="HH10" i="6"/>
  <c r="HJ1" i="6"/>
  <c r="HI3" i="6"/>
  <c r="HI9" i="6"/>
  <c r="HI11" i="6"/>
  <c r="HI17" i="6"/>
  <c r="HI5" i="6"/>
  <c r="HH18" i="6"/>
  <c r="GR6" i="6"/>
  <c r="GQ7" i="6"/>
  <c r="GX12" i="6"/>
  <c r="GW14" i="6"/>
  <c r="HG4" i="6"/>
  <c r="HI10" i="6"/>
  <c r="HI18" i="6"/>
  <c r="HJ3" i="6"/>
  <c r="HK1" i="6"/>
  <c r="HJ9" i="6"/>
  <c r="HJ11" i="6"/>
  <c r="HJ17" i="6"/>
  <c r="HJ18" i="6"/>
  <c r="HJ5" i="6"/>
  <c r="HH4" i="6"/>
  <c r="GX14" i="6"/>
  <c r="GY12" i="6"/>
  <c r="GS6" i="6"/>
  <c r="GR7" i="6"/>
  <c r="HJ10" i="6"/>
  <c r="HL1" i="6"/>
  <c r="HK3" i="6"/>
  <c r="HK9" i="6"/>
  <c r="HK10" i="6"/>
  <c r="HK11" i="6"/>
  <c r="HK17" i="6"/>
  <c r="HK18" i="6"/>
  <c r="HK5" i="6"/>
  <c r="GT6" i="6"/>
  <c r="GS7" i="6"/>
  <c r="GZ12" i="6"/>
  <c r="GY14" i="6"/>
  <c r="HI4" i="6"/>
  <c r="HM1" i="6"/>
  <c r="HL9" i="6"/>
  <c r="HL10" i="6"/>
  <c r="HL3" i="6"/>
  <c r="HL11" i="6"/>
  <c r="HL17" i="6"/>
  <c r="HL18" i="6"/>
  <c r="HL5" i="6"/>
  <c r="HJ4" i="6"/>
  <c r="HA12" i="6"/>
  <c r="GZ14" i="6"/>
  <c r="GU6" i="6"/>
  <c r="GT7" i="6"/>
  <c r="HN1" i="6"/>
  <c r="HM3" i="6"/>
  <c r="HM9" i="6"/>
  <c r="HM10" i="6"/>
  <c r="HM11" i="6"/>
  <c r="HM17" i="6"/>
  <c r="HM18" i="6"/>
  <c r="HM5" i="6"/>
  <c r="GV6" i="6"/>
  <c r="GU7" i="6"/>
  <c r="HB12" i="6"/>
  <c r="HA14" i="6"/>
  <c r="HK4" i="6"/>
  <c r="HO1" i="6"/>
  <c r="HN3" i="6"/>
  <c r="HN9" i="6"/>
  <c r="HN10" i="6"/>
  <c r="HN11" i="6"/>
  <c r="HN17" i="6"/>
  <c r="HN18" i="6"/>
  <c r="HN5" i="6"/>
  <c r="HL4" i="6"/>
  <c r="HC12" i="6"/>
  <c r="HB14" i="6"/>
  <c r="GW6" i="6"/>
  <c r="GV7" i="6"/>
  <c r="HP1" i="6"/>
  <c r="HO3" i="6"/>
  <c r="HO9" i="6"/>
  <c r="HO10" i="6"/>
  <c r="HO11" i="6"/>
  <c r="HO17" i="6"/>
  <c r="HO18" i="6"/>
  <c r="HO5" i="6"/>
  <c r="GX6" i="6"/>
  <c r="GW7" i="6"/>
  <c r="HD12" i="6"/>
  <c r="HC14" i="6"/>
  <c r="HM4" i="6"/>
  <c r="HQ1" i="6"/>
  <c r="HP3" i="6"/>
  <c r="HP9" i="6"/>
  <c r="HP10" i="6"/>
  <c r="HP11" i="6"/>
  <c r="HP17" i="6"/>
  <c r="HP18" i="6"/>
  <c r="HP5" i="6"/>
  <c r="HN4" i="6"/>
  <c r="HD14" i="6"/>
  <c r="HE12" i="6"/>
  <c r="GY6" i="6"/>
  <c r="GX7" i="6"/>
  <c r="HR1" i="6"/>
  <c r="HQ3" i="6"/>
  <c r="HQ9" i="6"/>
  <c r="HQ10" i="6"/>
  <c r="HQ11" i="6"/>
  <c r="HQ17" i="6"/>
  <c r="HQ18" i="6"/>
  <c r="HQ5" i="6"/>
  <c r="GZ6" i="6"/>
  <c r="GY7" i="6"/>
  <c r="HE14" i="6"/>
  <c r="HF12" i="6"/>
  <c r="HO4" i="6"/>
  <c r="HS1" i="6"/>
  <c r="HR3" i="6"/>
  <c r="HR9" i="6"/>
  <c r="HR10" i="6"/>
  <c r="HR11" i="6"/>
  <c r="HR17" i="6"/>
  <c r="HR18" i="6"/>
  <c r="HR5" i="6"/>
  <c r="HP4" i="6"/>
  <c r="HG12" i="6"/>
  <c r="HF14" i="6"/>
  <c r="HA6" i="6"/>
  <c r="GZ7" i="6"/>
  <c r="HT1" i="6"/>
  <c r="HS9" i="6"/>
  <c r="HS10" i="6"/>
  <c r="HS3" i="6"/>
  <c r="HS11" i="6"/>
  <c r="HS17" i="6"/>
  <c r="HS18" i="6"/>
  <c r="HS5" i="6"/>
  <c r="HB6" i="6"/>
  <c r="HA7" i="6"/>
  <c r="HH12" i="6"/>
  <c r="HG14" i="6"/>
  <c r="HQ4" i="6"/>
  <c r="HU1" i="6"/>
  <c r="HT11" i="6"/>
  <c r="HT17" i="6"/>
  <c r="HT18" i="6"/>
  <c r="HT5" i="6"/>
  <c r="HR4" i="6"/>
  <c r="HI12" i="6"/>
  <c r="HH14" i="6"/>
  <c r="HC6" i="6"/>
  <c r="HB7" i="6"/>
  <c r="HV1" i="6"/>
  <c r="HU3" i="6"/>
  <c r="HU9" i="6"/>
  <c r="HU11" i="6"/>
  <c r="HU17" i="6"/>
  <c r="HU18" i="6"/>
  <c r="HU5" i="6"/>
  <c r="HT3" i="6"/>
  <c r="HT9" i="6"/>
  <c r="HT10" i="6"/>
  <c r="HD6" i="6"/>
  <c r="HC7" i="6"/>
  <c r="HI14" i="6"/>
  <c r="HJ12" i="6"/>
  <c r="HS4" i="6"/>
  <c r="HU10" i="6"/>
  <c r="HV3" i="6"/>
  <c r="HW1" i="6"/>
  <c r="HV9" i="6"/>
  <c r="HV11" i="6"/>
  <c r="HV17" i="6"/>
  <c r="HV18" i="6"/>
  <c r="HV5" i="6"/>
  <c r="HT4" i="6"/>
  <c r="HJ14" i="6"/>
  <c r="HK12" i="6"/>
  <c r="HE6" i="6"/>
  <c r="HD7" i="6"/>
  <c r="HV10" i="6"/>
  <c r="HX1" i="6"/>
  <c r="HW3" i="6"/>
  <c r="HW9" i="6"/>
  <c r="HW10" i="6"/>
  <c r="HW11" i="6"/>
  <c r="HW17" i="6"/>
  <c r="HW18" i="6"/>
  <c r="HW5" i="6"/>
  <c r="HF6" i="6"/>
  <c r="HE7" i="6"/>
  <c r="HL12" i="6"/>
  <c r="HK14" i="6"/>
  <c r="HU4" i="6"/>
  <c r="HY1" i="6"/>
  <c r="HX3" i="6"/>
  <c r="HX9" i="6"/>
  <c r="HX10" i="6"/>
  <c r="HX11" i="6"/>
  <c r="HX17" i="6"/>
  <c r="HX18" i="6"/>
  <c r="HX5" i="6"/>
  <c r="HV4" i="6"/>
  <c r="HL14" i="6"/>
  <c r="HM12" i="6"/>
  <c r="HG6" i="6"/>
  <c r="HF7" i="6"/>
  <c r="HZ1" i="6"/>
  <c r="HY3" i="6"/>
  <c r="HH6" i="6"/>
  <c r="HG7" i="6"/>
  <c r="HN12" i="6"/>
  <c r="HM14" i="6"/>
  <c r="HW4" i="6"/>
  <c r="IA1" i="6"/>
  <c r="HZ3" i="6"/>
  <c r="HZ9" i="6"/>
  <c r="HZ11" i="6"/>
  <c r="HZ17" i="6"/>
  <c r="HZ5" i="6"/>
  <c r="HY5" i="6"/>
  <c r="HY17" i="6"/>
  <c r="HY18" i="6"/>
  <c r="HY11" i="6"/>
  <c r="HY9" i="6"/>
  <c r="HY10" i="6"/>
  <c r="HX4" i="6"/>
  <c r="HN14" i="6"/>
  <c r="HO12" i="6"/>
  <c r="HI6" i="6"/>
  <c r="HH7" i="6"/>
  <c r="HZ18" i="6"/>
  <c r="HZ10" i="6"/>
  <c r="IB1" i="6"/>
  <c r="IA3" i="6"/>
  <c r="IA9" i="6"/>
  <c r="IA11" i="6"/>
  <c r="IA17" i="6"/>
  <c r="IA18" i="6"/>
  <c r="IA5" i="6"/>
  <c r="HJ6" i="6"/>
  <c r="HI7" i="6"/>
  <c r="HP12" i="6"/>
  <c r="HO14" i="6"/>
  <c r="HY4" i="6"/>
  <c r="IA10" i="6"/>
  <c r="IC1" i="6"/>
  <c r="IB3" i="6"/>
  <c r="IB9" i="6"/>
  <c r="IB10" i="6"/>
  <c r="IB11" i="6"/>
  <c r="IB17" i="6"/>
  <c r="IB18" i="6"/>
  <c r="IB5" i="6"/>
  <c r="HK6" i="6"/>
  <c r="HJ7" i="6"/>
  <c r="HZ4" i="6"/>
  <c r="HP14" i="6"/>
  <c r="HQ12" i="6"/>
  <c r="ID1" i="6"/>
  <c r="IC9" i="6"/>
  <c r="IC10" i="6"/>
  <c r="IC11" i="6"/>
  <c r="IC17" i="6"/>
  <c r="IC18" i="6"/>
  <c r="IC5" i="6"/>
  <c r="HR12" i="6"/>
  <c r="HQ14" i="6"/>
  <c r="IA4" i="6"/>
  <c r="HL6" i="6"/>
  <c r="HK7" i="6"/>
  <c r="IE1" i="6"/>
  <c r="ID3" i="6"/>
  <c r="ID9" i="6"/>
  <c r="ID10" i="6"/>
  <c r="ID11" i="6"/>
  <c r="ID17" i="6"/>
  <c r="ID18" i="6"/>
  <c r="ID5" i="6"/>
  <c r="IC3" i="6"/>
  <c r="HM6" i="6"/>
  <c r="HL7" i="6"/>
  <c r="IB4" i="6"/>
  <c r="HS12" i="6"/>
  <c r="HR14" i="6"/>
  <c r="IF1" i="6"/>
  <c r="IE3" i="6"/>
  <c r="IE9" i="6"/>
  <c r="IE10" i="6"/>
  <c r="IE11" i="6"/>
  <c r="IE17" i="6"/>
  <c r="IE18" i="6"/>
  <c r="IE5" i="6"/>
  <c r="HT12" i="6"/>
  <c r="HS14" i="6"/>
  <c r="IC4" i="6"/>
  <c r="HN6" i="6"/>
  <c r="HM7" i="6"/>
  <c r="IG1" i="6"/>
  <c r="IF9" i="6"/>
  <c r="IF10" i="6"/>
  <c r="IF3" i="6"/>
  <c r="IF11" i="6"/>
  <c r="IF17" i="6"/>
  <c r="IF18" i="6"/>
  <c r="IF5" i="6"/>
  <c r="HO6" i="6"/>
  <c r="HN7" i="6"/>
  <c r="ID4" i="6"/>
  <c r="HU12" i="6"/>
  <c r="HT14" i="6"/>
  <c r="IH1" i="6"/>
  <c r="IG3" i="6"/>
  <c r="IG9" i="6"/>
  <c r="IG10" i="6"/>
  <c r="IG11" i="6"/>
  <c r="IG17" i="6"/>
  <c r="IG18" i="6"/>
  <c r="IG5" i="6"/>
  <c r="HV12" i="6"/>
  <c r="HU14" i="6"/>
  <c r="IE4" i="6"/>
  <c r="HP6" i="6"/>
  <c r="HO7" i="6"/>
  <c r="II1" i="6"/>
  <c r="IH9" i="6"/>
  <c r="IH10" i="6"/>
  <c r="IH11" i="6"/>
  <c r="IH17" i="6"/>
  <c r="IH18" i="6"/>
  <c r="IH5" i="6"/>
  <c r="HQ6" i="6"/>
  <c r="HP7" i="6"/>
  <c r="IF4" i="6"/>
  <c r="HV14" i="6"/>
  <c r="HW12" i="6"/>
  <c r="IJ1" i="6"/>
  <c r="II3" i="6"/>
  <c r="II9" i="6"/>
  <c r="II10" i="6"/>
  <c r="II11" i="6"/>
  <c r="II17" i="6"/>
  <c r="II18" i="6"/>
  <c r="II5" i="6"/>
  <c r="IH3" i="6"/>
  <c r="HX12" i="6"/>
  <c r="HW14" i="6"/>
  <c r="IG4" i="6"/>
  <c r="HR6" i="6"/>
  <c r="HQ7" i="6"/>
  <c r="IK1" i="6"/>
  <c r="IJ9" i="6"/>
  <c r="IJ10" i="6"/>
  <c r="IJ3" i="6"/>
  <c r="IJ11" i="6"/>
  <c r="IJ17" i="6"/>
  <c r="IJ18" i="6"/>
  <c r="IJ5" i="6"/>
  <c r="HS6" i="6"/>
  <c r="HR7" i="6"/>
  <c r="IH4" i="6"/>
  <c r="HY12" i="6"/>
  <c r="HX14" i="6"/>
  <c r="IL1" i="6"/>
  <c r="IK3" i="6"/>
  <c r="IK9" i="6"/>
  <c r="IK10" i="6"/>
  <c r="IK11" i="6"/>
  <c r="IK17" i="6"/>
  <c r="IK18" i="6"/>
  <c r="IK5" i="6"/>
  <c r="HY14" i="6"/>
  <c r="HZ12" i="6"/>
  <c r="II4" i="6"/>
  <c r="HT6" i="6"/>
  <c r="HS7" i="6"/>
  <c r="IM1" i="6"/>
  <c r="HU6" i="6"/>
  <c r="HT7" i="6"/>
  <c r="IJ4" i="6"/>
  <c r="HZ14" i="6"/>
  <c r="IA12" i="6"/>
  <c r="IM3" i="6"/>
  <c r="IN1" i="6"/>
  <c r="IM17" i="6"/>
  <c r="IM5" i="6"/>
  <c r="IL5" i="6"/>
  <c r="IL17" i="6"/>
  <c r="IL18" i="6"/>
  <c r="IL11" i="6"/>
  <c r="IL3" i="6"/>
  <c r="IL9" i="6"/>
  <c r="IL10" i="6"/>
  <c r="IA14" i="6"/>
  <c r="IB12" i="6"/>
  <c r="IK4" i="6"/>
  <c r="HV6" i="6"/>
  <c r="HU7" i="6"/>
  <c r="IM18" i="6"/>
  <c r="IO1" i="6"/>
  <c r="IN9" i="6"/>
  <c r="IM11" i="6"/>
  <c r="IM9" i="6"/>
  <c r="IM10" i="6"/>
  <c r="HW6" i="6"/>
  <c r="HV7" i="6"/>
  <c r="IL4" i="6"/>
  <c r="IB14" i="6"/>
  <c r="IC12" i="6"/>
  <c r="IN10" i="6"/>
  <c r="IN5" i="6"/>
  <c r="IN17" i="6"/>
  <c r="IN18" i="6"/>
  <c r="IN11" i="6"/>
  <c r="IN3" i="6"/>
  <c r="IP1" i="6"/>
  <c r="IO3" i="6"/>
  <c r="IO9" i="6"/>
  <c r="IO10" i="6"/>
  <c r="IO11" i="6"/>
  <c r="IO17" i="6"/>
  <c r="IO5" i="6"/>
  <c r="IC14" i="6"/>
  <c r="ID12" i="6"/>
  <c r="IM4" i="6"/>
  <c r="HX6" i="6"/>
  <c r="HW7" i="6"/>
  <c r="IO18" i="6"/>
  <c r="IQ1" i="6"/>
  <c r="HY6" i="6"/>
  <c r="HX7" i="6"/>
  <c r="IN4" i="6"/>
  <c r="ID14" i="6"/>
  <c r="IE12" i="6"/>
  <c r="IQ3" i="6"/>
  <c r="IR1" i="6"/>
  <c r="IQ9" i="6"/>
  <c r="IQ11" i="6"/>
  <c r="IQ17" i="6"/>
  <c r="IQ5" i="6"/>
  <c r="IP5" i="6"/>
  <c r="IP9" i="6"/>
  <c r="IP10" i="6"/>
  <c r="IP17" i="6"/>
  <c r="IP18" i="6"/>
  <c r="IP11" i="6"/>
  <c r="IP3" i="6"/>
  <c r="IF12" i="6"/>
  <c r="IE14" i="6"/>
  <c r="IO4" i="6"/>
  <c r="HZ6" i="6"/>
  <c r="HY7" i="6"/>
  <c r="IQ10" i="6"/>
  <c r="IQ18" i="6"/>
  <c r="IS1" i="6"/>
  <c r="IR3" i="6"/>
  <c r="IA6" i="6"/>
  <c r="HZ7" i="6"/>
  <c r="IP4" i="6"/>
  <c r="IG12" i="6"/>
  <c r="IF14" i="6"/>
  <c r="IR5" i="6"/>
  <c r="IR17" i="6"/>
  <c r="IR18" i="6"/>
  <c r="IR11" i="6"/>
  <c r="IR9" i="6"/>
  <c r="IR10" i="6"/>
  <c r="IT1" i="6"/>
  <c r="IS9" i="6"/>
  <c r="IS3" i="6"/>
  <c r="IS11" i="6"/>
  <c r="IS17" i="6"/>
  <c r="IS5" i="6"/>
  <c r="IH12" i="6"/>
  <c r="IG14" i="6"/>
  <c r="IQ4" i="6"/>
  <c r="IB6" i="6"/>
  <c r="IA7" i="6"/>
  <c r="IS10" i="6"/>
  <c r="IS18" i="6"/>
  <c r="IU1" i="6"/>
  <c r="IT3" i="6"/>
  <c r="IT11" i="6"/>
  <c r="IT17" i="6"/>
  <c r="IT5" i="6"/>
  <c r="IC6" i="6"/>
  <c r="IB7" i="6"/>
  <c r="IR4" i="6"/>
  <c r="IH14" i="6"/>
  <c r="II12" i="6"/>
  <c r="IT9" i="6"/>
  <c r="IT10" i="6"/>
  <c r="IV1" i="6"/>
  <c r="IU9" i="6"/>
  <c r="IU11" i="6"/>
  <c r="IU17" i="6"/>
  <c r="IU5" i="6"/>
  <c r="IT18" i="6"/>
  <c r="IJ12" i="6"/>
  <c r="II14" i="6"/>
  <c r="IS4" i="6"/>
  <c r="ID6" i="6"/>
  <c r="IC7" i="6"/>
  <c r="IU10" i="6"/>
  <c r="IU18" i="6"/>
  <c r="IW1" i="6"/>
  <c r="IV9" i="6"/>
  <c r="IV10" i="6"/>
  <c r="IV11" i="6"/>
  <c r="IV17" i="6"/>
  <c r="IV5" i="6"/>
  <c r="IU3" i="6"/>
  <c r="IE6" i="6"/>
  <c r="ID7" i="6"/>
  <c r="IT4" i="6"/>
  <c r="IK12" i="6"/>
  <c r="IJ14" i="6"/>
  <c r="IX1" i="6"/>
  <c r="IW3" i="6"/>
  <c r="IW9" i="6"/>
  <c r="IW10" i="6"/>
  <c r="IV3" i="6"/>
  <c r="IV18" i="6"/>
  <c r="IL12" i="6"/>
  <c r="IK14" i="6"/>
  <c r="IU4" i="6"/>
  <c r="IF6" i="6"/>
  <c r="IE7" i="6"/>
  <c r="IY1" i="6"/>
  <c r="IX3" i="6"/>
  <c r="IX9" i="6"/>
  <c r="IX10" i="6"/>
  <c r="IX11" i="6"/>
  <c r="IX17" i="6"/>
  <c r="IX5" i="6"/>
  <c r="IW5" i="6"/>
  <c r="IW17" i="6"/>
  <c r="IW18" i="6"/>
  <c r="IW11" i="6"/>
  <c r="IG6" i="6"/>
  <c r="IF7" i="6"/>
  <c r="IV4" i="6"/>
  <c r="IM12" i="6"/>
  <c r="IL14" i="6"/>
  <c r="IX18" i="6"/>
  <c r="IZ1" i="6"/>
  <c r="IY9" i="6"/>
  <c r="IY10" i="6"/>
  <c r="IY3" i="6"/>
  <c r="IY11" i="6"/>
  <c r="IY17" i="6"/>
  <c r="IY18" i="6"/>
  <c r="IY5" i="6"/>
  <c r="IN12" i="6"/>
  <c r="IM14" i="6"/>
  <c r="IW4" i="6"/>
  <c r="IH6" i="6"/>
  <c r="IG7" i="6"/>
  <c r="JA1" i="6"/>
  <c r="IZ3" i="6"/>
  <c r="IZ9" i="6"/>
  <c r="IZ10" i="6"/>
  <c r="IZ11" i="6"/>
  <c r="IZ17" i="6"/>
  <c r="IZ18" i="6"/>
  <c r="IZ5" i="6"/>
  <c r="II6" i="6"/>
  <c r="IH7" i="6"/>
  <c r="IX4" i="6"/>
  <c r="IN14" i="6"/>
  <c r="IO12" i="6"/>
  <c r="JB1" i="6"/>
  <c r="JA3" i="6"/>
  <c r="JA9" i="6"/>
  <c r="JA10" i="6"/>
  <c r="JA11" i="6"/>
  <c r="JA17" i="6"/>
  <c r="JA18" i="6"/>
  <c r="JA5" i="6"/>
  <c r="IP12" i="6"/>
  <c r="IO14" i="6"/>
  <c r="IY4" i="6"/>
  <c r="IJ6" i="6"/>
  <c r="II7" i="6"/>
  <c r="JC1" i="6"/>
  <c r="JB3" i="6"/>
  <c r="JB17" i="6"/>
  <c r="JB18" i="6"/>
  <c r="JB5" i="6"/>
  <c r="IK6" i="6"/>
  <c r="IJ7" i="6"/>
  <c r="IZ4" i="6"/>
  <c r="IP14" i="6"/>
  <c r="IQ12" i="6"/>
  <c r="JB11" i="6"/>
  <c r="JB9" i="6"/>
  <c r="JB10" i="6"/>
  <c r="JD1" i="6"/>
  <c r="JC3" i="6"/>
  <c r="JC9" i="6"/>
  <c r="JC11" i="6"/>
  <c r="JC17" i="6"/>
  <c r="JC18" i="6"/>
  <c r="JC5" i="6"/>
  <c r="IQ14" i="6"/>
  <c r="IR12" i="6"/>
  <c r="JA4" i="6"/>
  <c r="IL6" i="6"/>
  <c r="IK7" i="6"/>
  <c r="JC10" i="6"/>
  <c r="JE1" i="6"/>
  <c r="JD9" i="6"/>
  <c r="JD10" i="6"/>
  <c r="JD3" i="6"/>
  <c r="JD11" i="6"/>
  <c r="JD17" i="6"/>
  <c r="JD18" i="6"/>
  <c r="JD5" i="6"/>
  <c r="IM6" i="6"/>
  <c r="IL7" i="6"/>
  <c r="JB4" i="6"/>
  <c r="IS12" i="6"/>
  <c r="IR14" i="6"/>
  <c r="JF1" i="6"/>
  <c r="JE9" i="6"/>
  <c r="JE10" i="6"/>
  <c r="JE11" i="6"/>
  <c r="JE17" i="6"/>
  <c r="JE18" i="6"/>
  <c r="JE5" i="6"/>
  <c r="IT12" i="6"/>
  <c r="IS14" i="6"/>
  <c r="JC4" i="6"/>
  <c r="IN6" i="6"/>
  <c r="IM7" i="6"/>
  <c r="JE3" i="6"/>
  <c r="JG1" i="6"/>
  <c r="JF3" i="6"/>
  <c r="JF9" i="6"/>
  <c r="JF10" i="6"/>
  <c r="JF11" i="6"/>
  <c r="JF17" i="6"/>
  <c r="JF18" i="6"/>
  <c r="JF5" i="6"/>
  <c r="IO6" i="6"/>
  <c r="IN7" i="6"/>
  <c r="JD4" i="6"/>
  <c r="IT14" i="6"/>
  <c r="IU12" i="6"/>
  <c r="JH1" i="6"/>
  <c r="JG9" i="6"/>
  <c r="JG10" i="6"/>
  <c r="JG3" i="6"/>
  <c r="JG11" i="6"/>
  <c r="JG17" i="6"/>
  <c r="JG18" i="6"/>
  <c r="JG5" i="6"/>
  <c r="IV12" i="6"/>
  <c r="IU14" i="6"/>
  <c r="JE4" i="6"/>
  <c r="IP6" i="6"/>
  <c r="IO7" i="6"/>
  <c r="JI1" i="6"/>
  <c r="JH3" i="6"/>
  <c r="JH9" i="6"/>
  <c r="JH10" i="6"/>
  <c r="JH11" i="6"/>
  <c r="JH17" i="6"/>
  <c r="JH18" i="6"/>
  <c r="JH5" i="6"/>
  <c r="IQ6" i="6"/>
  <c r="IP7" i="6"/>
  <c r="JF4" i="6"/>
  <c r="IW12" i="6"/>
  <c r="IV14" i="6"/>
  <c r="JJ1" i="6"/>
  <c r="JI3" i="6"/>
  <c r="JI9" i="6"/>
  <c r="JI10" i="6"/>
  <c r="JI11" i="6"/>
  <c r="JI17" i="6"/>
  <c r="JI18" i="6"/>
  <c r="JI5" i="6"/>
  <c r="IX12" i="6"/>
  <c r="IW14" i="6"/>
  <c r="JG4" i="6"/>
  <c r="IR6" i="6"/>
  <c r="IQ7" i="6"/>
  <c r="JK1" i="6"/>
  <c r="JJ3" i="6"/>
  <c r="JJ9" i="6"/>
  <c r="JJ10" i="6"/>
  <c r="JJ11" i="6"/>
  <c r="JJ17" i="6"/>
  <c r="JJ18" i="6"/>
  <c r="JJ5" i="6"/>
  <c r="IS6" i="6"/>
  <c r="IR7" i="6"/>
  <c r="JH4" i="6"/>
  <c r="IY12" i="6"/>
  <c r="IX14" i="6"/>
  <c r="JK9" i="6"/>
  <c r="JK10" i="6"/>
  <c r="JL1" i="6"/>
  <c r="JK3" i="6"/>
  <c r="JK11" i="6"/>
  <c r="JK17" i="6"/>
  <c r="JK18" i="6"/>
  <c r="JK5" i="6"/>
  <c r="IZ12" i="6"/>
  <c r="IY14" i="6"/>
  <c r="JI4" i="6"/>
  <c r="IT6" i="6"/>
  <c r="IS7" i="6"/>
  <c r="JM1" i="6"/>
  <c r="JL3" i="6"/>
  <c r="JL9" i="6"/>
  <c r="JL10" i="6"/>
  <c r="JL11" i="6"/>
  <c r="JL17" i="6"/>
  <c r="JL18" i="6"/>
  <c r="JL5" i="6"/>
  <c r="IU6" i="6"/>
  <c r="IT7" i="6"/>
  <c r="JJ4" i="6"/>
  <c r="IZ14" i="6"/>
  <c r="JA12" i="6"/>
  <c r="JM3" i="6"/>
  <c r="JM9" i="6"/>
  <c r="JM10" i="6"/>
  <c r="JN1" i="6"/>
  <c r="JM11" i="6"/>
  <c r="JM17" i="6"/>
  <c r="JM18" i="6"/>
  <c r="JM5" i="6"/>
  <c r="JB12" i="6"/>
  <c r="JA14" i="6"/>
  <c r="JK4" i="6"/>
  <c r="IV6" i="6"/>
  <c r="IU7" i="6"/>
  <c r="JO1" i="6"/>
  <c r="JN9" i="6"/>
  <c r="JN10" i="6"/>
  <c r="JN11" i="6"/>
  <c r="JN17" i="6"/>
  <c r="JN18" i="6"/>
  <c r="JN5" i="6"/>
  <c r="IW6" i="6"/>
  <c r="IV7" i="6"/>
  <c r="JL4" i="6"/>
  <c r="JC12" i="6"/>
  <c r="JB14" i="6"/>
  <c r="JP1" i="6"/>
  <c r="JO9" i="6"/>
  <c r="JO10" i="6"/>
  <c r="JO11" i="6"/>
  <c r="JO17" i="6"/>
  <c r="JO18" i="6"/>
  <c r="JO5" i="6"/>
  <c r="JN3" i="6"/>
  <c r="JC14" i="6"/>
  <c r="JD12" i="6"/>
  <c r="JM4" i="6"/>
  <c r="IX6" i="6"/>
  <c r="IW7" i="6"/>
  <c r="JQ1" i="6"/>
  <c r="JP3" i="6"/>
  <c r="JP9" i="6"/>
  <c r="JP10" i="6"/>
  <c r="JP11" i="6"/>
  <c r="JP17" i="6"/>
  <c r="JP18" i="6"/>
  <c r="JP5" i="6"/>
  <c r="JO3" i="6"/>
  <c r="IY6" i="6"/>
  <c r="IX7" i="6"/>
  <c r="JN4" i="6"/>
  <c r="JD14" i="6"/>
  <c r="JE12" i="6"/>
  <c r="JR1" i="6"/>
  <c r="JQ3" i="6"/>
  <c r="JQ9" i="6"/>
  <c r="JQ10" i="6"/>
  <c r="JQ11" i="6"/>
  <c r="JQ17" i="6"/>
  <c r="JQ18" i="6"/>
  <c r="JQ5" i="6"/>
  <c r="JF12" i="6"/>
  <c r="JE14" i="6"/>
  <c r="JO4" i="6"/>
  <c r="IZ6" i="6"/>
  <c r="IY7" i="6"/>
  <c r="JS1" i="6"/>
  <c r="JR3" i="6"/>
  <c r="JR9" i="6"/>
  <c r="JR10" i="6"/>
  <c r="JR11" i="6"/>
  <c r="JR17" i="6"/>
  <c r="JR18" i="6"/>
  <c r="JR5" i="6"/>
  <c r="JA6" i="6"/>
  <c r="IZ7" i="6"/>
  <c r="JP4" i="6"/>
  <c r="JF14" i="6"/>
  <c r="JG12" i="6"/>
  <c r="JT1" i="6"/>
  <c r="JS9" i="6"/>
  <c r="JS10" i="6"/>
  <c r="JS3" i="6"/>
  <c r="JS11" i="6"/>
  <c r="JS17" i="6"/>
  <c r="JS18" i="6"/>
  <c r="JS5" i="6"/>
  <c r="JG14" i="6"/>
  <c r="JH12" i="6"/>
  <c r="JQ4" i="6"/>
  <c r="JB6" i="6"/>
  <c r="JA7" i="6"/>
  <c r="JU1" i="6"/>
  <c r="JT3" i="6"/>
  <c r="JT9" i="6"/>
  <c r="JT10" i="6"/>
  <c r="JT11" i="6"/>
  <c r="JT17" i="6"/>
  <c r="JT18" i="6"/>
  <c r="JT5" i="6"/>
  <c r="JC6" i="6"/>
  <c r="JB7" i="6"/>
  <c r="JR4" i="6"/>
  <c r="JI12" i="6"/>
  <c r="JH14" i="6"/>
  <c r="JU3" i="6"/>
  <c r="JV1" i="6"/>
  <c r="JU9" i="6"/>
  <c r="JU10" i="6"/>
  <c r="JU11" i="6"/>
  <c r="JU17" i="6"/>
  <c r="JU18" i="6"/>
  <c r="JU5" i="6"/>
  <c r="JI14" i="6"/>
  <c r="JJ12" i="6"/>
  <c r="JS4" i="6"/>
  <c r="JD6" i="6"/>
  <c r="JC7" i="6"/>
  <c r="JW1" i="6"/>
  <c r="JV3" i="6"/>
  <c r="JE6" i="6"/>
  <c r="JD7" i="6"/>
  <c r="JT4" i="6"/>
  <c r="JK12" i="6"/>
  <c r="JJ14" i="6"/>
  <c r="JV5" i="6"/>
  <c r="JV17" i="6"/>
  <c r="JV18" i="6"/>
  <c r="JV11" i="6"/>
  <c r="JV9" i="6"/>
  <c r="JV10" i="6"/>
  <c r="JX1" i="6"/>
  <c r="JW3" i="6"/>
  <c r="JW9" i="6"/>
  <c r="JW11" i="6"/>
  <c r="JW17" i="6"/>
  <c r="JW5" i="6"/>
  <c r="JL12" i="6"/>
  <c r="JK14" i="6"/>
  <c r="JU4" i="6"/>
  <c r="JF6" i="6"/>
  <c r="JE7" i="6"/>
  <c r="JY1" i="6"/>
  <c r="JX11" i="6"/>
  <c r="JX17" i="6"/>
  <c r="JX5" i="6"/>
  <c r="JW18" i="6"/>
  <c r="JW10" i="6"/>
  <c r="JG6" i="6"/>
  <c r="JF7" i="6"/>
  <c r="JV4" i="6"/>
  <c r="JL14" i="6"/>
  <c r="JM12" i="6"/>
  <c r="JX18" i="6"/>
  <c r="JZ1" i="6"/>
  <c r="JY3" i="6"/>
  <c r="JY9" i="6"/>
  <c r="JY11" i="6"/>
  <c r="JY17" i="6"/>
  <c r="JY18" i="6"/>
  <c r="JY5" i="6"/>
  <c r="JX9" i="6"/>
  <c r="JX10" i="6"/>
  <c r="JX3" i="6"/>
  <c r="JM14" i="6"/>
  <c r="JN12" i="6"/>
  <c r="JW4" i="6"/>
  <c r="JH6" i="6"/>
  <c r="JG7" i="6"/>
  <c r="JY10" i="6"/>
  <c r="KA1" i="6"/>
  <c r="JZ3" i="6"/>
  <c r="JZ9" i="6"/>
  <c r="JZ10" i="6"/>
  <c r="JZ11" i="6"/>
  <c r="JZ17" i="6"/>
  <c r="JZ18" i="6"/>
  <c r="JZ5" i="6"/>
  <c r="JI6" i="6"/>
  <c r="JH7" i="6"/>
  <c r="JX4" i="6"/>
  <c r="JN14" i="6"/>
  <c r="JO12" i="6"/>
  <c r="KB1" i="6"/>
  <c r="KA3" i="6"/>
  <c r="KA9" i="6"/>
  <c r="KA10" i="6"/>
  <c r="KA11" i="6"/>
  <c r="KA17" i="6"/>
  <c r="KA18" i="6"/>
  <c r="KA5" i="6"/>
  <c r="JP12" i="6"/>
  <c r="JO14" i="6"/>
  <c r="JY4" i="6"/>
  <c r="JJ6" i="6"/>
  <c r="JI7" i="6"/>
  <c r="KC1" i="6"/>
  <c r="KB3" i="6"/>
  <c r="KB9" i="6"/>
  <c r="KB10" i="6"/>
  <c r="KB11" i="6"/>
  <c r="KB17" i="6"/>
  <c r="KB18" i="6"/>
  <c r="KB5" i="6"/>
  <c r="JK6" i="6"/>
  <c r="JJ7" i="6"/>
  <c r="JZ4" i="6"/>
  <c r="JP14" i="6"/>
  <c r="JQ12" i="6"/>
  <c r="KD1" i="6"/>
  <c r="KC3" i="6"/>
  <c r="KC9" i="6"/>
  <c r="KC10" i="6"/>
  <c r="KC11" i="6"/>
  <c r="KC17" i="6"/>
  <c r="KC18" i="6"/>
  <c r="KC5" i="6"/>
  <c r="JQ14" i="6"/>
  <c r="JR12" i="6"/>
  <c r="KA4" i="6"/>
  <c r="JL6" i="6"/>
  <c r="JK7" i="6"/>
  <c r="KE1" i="6"/>
  <c r="KD9" i="6"/>
  <c r="KD10" i="6"/>
  <c r="KD11" i="6"/>
  <c r="KD17" i="6"/>
  <c r="KD18" i="6"/>
  <c r="KD5" i="6"/>
  <c r="JM6" i="6"/>
  <c r="JL7" i="6"/>
  <c r="KB4" i="6"/>
  <c r="JR14" i="6"/>
  <c r="JS12" i="6"/>
  <c r="KF1" i="6"/>
  <c r="KE3" i="6"/>
  <c r="KE9" i="6"/>
  <c r="KE10" i="6"/>
  <c r="KE11" i="6"/>
  <c r="KE17" i="6"/>
  <c r="KE18" i="6"/>
  <c r="KE5" i="6"/>
  <c r="KD3" i="6"/>
  <c r="JT12" i="6"/>
  <c r="JS14" i="6"/>
  <c r="KC4" i="6"/>
  <c r="JN6" i="6"/>
  <c r="JM7" i="6"/>
  <c r="KG1" i="6"/>
  <c r="KF9" i="6"/>
  <c r="KF10" i="6"/>
  <c r="KF11" i="6"/>
  <c r="KF17" i="6"/>
  <c r="KF18" i="6"/>
  <c r="KF5" i="6"/>
  <c r="JO6" i="6"/>
  <c r="JN7" i="6"/>
  <c r="KD4" i="6"/>
  <c r="JU12" i="6"/>
  <c r="JT14" i="6"/>
  <c r="KH1" i="6"/>
  <c r="KG3" i="6"/>
  <c r="KG9" i="6"/>
  <c r="KG10" i="6"/>
  <c r="KG11" i="6"/>
  <c r="KG17" i="6"/>
  <c r="KG18" i="6"/>
  <c r="KG5" i="6"/>
  <c r="KF3" i="6"/>
  <c r="JU14" i="6"/>
  <c r="JV12" i="6"/>
  <c r="KE4" i="6"/>
  <c r="JP6" i="6"/>
  <c r="JO7" i="6"/>
  <c r="KI1" i="6"/>
  <c r="KH3" i="6"/>
  <c r="KH9" i="6"/>
  <c r="KH10" i="6"/>
  <c r="KH11" i="6"/>
  <c r="KH17" i="6"/>
  <c r="KH18" i="6"/>
  <c r="KH5" i="6"/>
  <c r="JQ6" i="6"/>
  <c r="JP7" i="6"/>
  <c r="KF4" i="6"/>
  <c r="JW12" i="6"/>
  <c r="JV14" i="6"/>
  <c r="KJ1" i="6"/>
  <c r="KI9" i="6"/>
  <c r="KI10" i="6"/>
  <c r="KG4" i="6"/>
  <c r="JX12" i="6"/>
  <c r="JW14" i="6"/>
  <c r="JR6" i="6"/>
  <c r="JQ7" i="6"/>
  <c r="KI3" i="6"/>
  <c r="KI5" i="6"/>
  <c r="KI17" i="6"/>
  <c r="KI18" i="6"/>
  <c r="KI11" i="6"/>
  <c r="KK1" i="6"/>
  <c r="KJ3" i="6"/>
  <c r="KJ9" i="6"/>
  <c r="KJ10" i="6"/>
  <c r="KJ11" i="6"/>
  <c r="KJ17" i="6"/>
  <c r="KJ5" i="6"/>
  <c r="JS6" i="6"/>
  <c r="JR7" i="6"/>
  <c r="JX14" i="6"/>
  <c r="JY12" i="6"/>
  <c r="KH4" i="6"/>
  <c r="KL1" i="6"/>
  <c r="KK3" i="6"/>
  <c r="KK9" i="6"/>
  <c r="KK10" i="6"/>
  <c r="KK11" i="6"/>
  <c r="KK17" i="6"/>
  <c r="KK5" i="6"/>
  <c r="KJ18" i="6"/>
  <c r="KI4" i="6"/>
  <c r="JY14" i="6"/>
  <c r="JZ12" i="6"/>
  <c r="JT6" i="6"/>
  <c r="JS7" i="6"/>
  <c r="KK18" i="6"/>
  <c r="KM1" i="6"/>
  <c r="JU6" i="6"/>
  <c r="JT7" i="6"/>
  <c r="JZ14" i="6"/>
  <c r="KA12" i="6"/>
  <c r="KJ4" i="6"/>
  <c r="KN1" i="6"/>
  <c r="KL5" i="6"/>
  <c r="KL17" i="6"/>
  <c r="KL18" i="6"/>
  <c r="KL11" i="6"/>
  <c r="KL9" i="6"/>
  <c r="KL10" i="6"/>
  <c r="KL3" i="6"/>
  <c r="KK4" i="6"/>
  <c r="KA14" i="6"/>
  <c r="KB12" i="6"/>
  <c r="JV6" i="6"/>
  <c r="JU7" i="6"/>
  <c r="KO1" i="6"/>
  <c r="KN9" i="6"/>
  <c r="KN3" i="6"/>
  <c r="KN11" i="6"/>
  <c r="KN17" i="6"/>
  <c r="KN5" i="6"/>
  <c r="KM5" i="6"/>
  <c r="KM17" i="6"/>
  <c r="KM18" i="6"/>
  <c r="KM11" i="6"/>
  <c r="KM3" i="6"/>
  <c r="KM9" i="6"/>
  <c r="KM10" i="6"/>
  <c r="JW6" i="6"/>
  <c r="JV7" i="6"/>
  <c r="KC12" i="6"/>
  <c r="KB14" i="6"/>
  <c r="KL4" i="6"/>
  <c r="KN18" i="6"/>
  <c r="KN10" i="6"/>
  <c r="KP1" i="6"/>
  <c r="KO9" i="6"/>
  <c r="KO10" i="6"/>
  <c r="KO11" i="6"/>
  <c r="KO17" i="6"/>
  <c r="KO18" i="6"/>
  <c r="KO5" i="6"/>
  <c r="KM4" i="6"/>
  <c r="KC14" i="6"/>
  <c r="KD12" i="6"/>
  <c r="JX6" i="6"/>
  <c r="JW7" i="6"/>
  <c r="KQ1" i="6"/>
  <c r="KP9" i="6"/>
  <c r="KP10" i="6"/>
  <c r="KP11" i="6"/>
  <c r="KP17" i="6"/>
  <c r="KP18" i="6"/>
  <c r="KP5" i="6"/>
  <c r="KO3" i="6"/>
  <c r="JY6" i="6"/>
  <c r="JX7" i="6"/>
  <c r="KD14" i="6"/>
  <c r="KE12" i="6"/>
  <c r="KN4" i="6"/>
  <c r="KR1" i="6"/>
  <c r="KQ11" i="6"/>
  <c r="KQ17" i="6"/>
  <c r="KQ18" i="6"/>
  <c r="KQ5" i="6"/>
  <c r="KP3" i="6"/>
  <c r="KO4" i="6"/>
  <c r="KF12" i="6"/>
  <c r="KE14" i="6"/>
  <c r="JZ6" i="6"/>
  <c r="JY7" i="6"/>
  <c r="KS1" i="6"/>
  <c r="KR3" i="6"/>
  <c r="KR9" i="6"/>
  <c r="KR11" i="6"/>
  <c r="KR17" i="6"/>
  <c r="KR18" i="6"/>
  <c r="KR5" i="6"/>
  <c r="KQ9" i="6"/>
  <c r="KQ10" i="6"/>
  <c r="KQ3" i="6"/>
  <c r="KA6" i="6"/>
  <c r="JZ7" i="6"/>
  <c r="KF14" i="6"/>
  <c r="KG12" i="6"/>
  <c r="KP4" i="6"/>
  <c r="KR10" i="6"/>
  <c r="KT1" i="6"/>
  <c r="KS9" i="6"/>
  <c r="KS10" i="6"/>
  <c r="KS11" i="6"/>
  <c r="KS17" i="6"/>
  <c r="KS18" i="6"/>
  <c r="KS5" i="6"/>
  <c r="KQ4" i="6"/>
  <c r="KH12" i="6"/>
  <c r="KG14" i="6"/>
  <c r="KB6" i="6"/>
  <c r="KA7" i="6"/>
  <c r="KU1" i="6"/>
  <c r="KT3" i="6"/>
  <c r="KT9" i="6"/>
  <c r="KT10" i="6"/>
  <c r="KT11" i="6"/>
  <c r="KT17" i="6"/>
  <c r="KT18" i="6"/>
  <c r="KT5" i="6"/>
  <c r="KS3" i="6"/>
  <c r="KC6" i="6"/>
  <c r="KB7" i="6"/>
  <c r="KI12" i="6"/>
  <c r="KH14" i="6"/>
  <c r="KR4" i="6"/>
  <c r="KV1" i="6"/>
  <c r="KU11" i="6"/>
  <c r="KU17" i="6"/>
  <c r="KU18" i="6"/>
  <c r="KU5" i="6"/>
  <c r="KS4" i="6"/>
  <c r="KI14" i="6"/>
  <c r="KJ12" i="6"/>
  <c r="KD6" i="6"/>
  <c r="KC7" i="6"/>
  <c r="KV3" i="6"/>
  <c r="KW1" i="6"/>
  <c r="KV11" i="6"/>
  <c r="KV17" i="6"/>
  <c r="KV18" i="6"/>
  <c r="KV5" i="6"/>
  <c r="KU9" i="6"/>
  <c r="KU10" i="6"/>
  <c r="KU3" i="6"/>
  <c r="KE6" i="6"/>
  <c r="KD7" i="6"/>
  <c r="KJ14" i="6"/>
  <c r="KK12" i="6"/>
  <c r="KT4" i="6"/>
  <c r="KX1" i="6"/>
  <c r="KW3" i="6"/>
  <c r="KW9" i="6"/>
  <c r="KW11" i="6"/>
  <c r="KW17" i="6"/>
  <c r="KW18" i="6"/>
  <c r="KW5" i="6"/>
  <c r="KV9" i="6"/>
  <c r="KV10" i="6"/>
  <c r="KU4" i="6"/>
  <c r="KK14" i="6"/>
  <c r="KL12" i="6"/>
  <c r="KF6" i="6"/>
  <c r="KE7" i="6"/>
  <c r="KW10" i="6"/>
  <c r="KY1" i="6"/>
  <c r="KX3" i="6"/>
  <c r="KG6" i="6"/>
  <c r="KF7" i="6"/>
  <c r="KL14" i="6"/>
  <c r="KM12" i="6"/>
  <c r="KV4" i="6"/>
  <c r="KX5" i="6"/>
  <c r="KX17" i="6"/>
  <c r="KX18" i="6"/>
  <c r="KX11" i="6"/>
  <c r="KX9" i="6"/>
  <c r="KX10" i="6"/>
  <c r="KZ1" i="6"/>
  <c r="KY9" i="6"/>
  <c r="KY11" i="6"/>
  <c r="KY17" i="6"/>
  <c r="KY5" i="6"/>
  <c r="KW4" i="6"/>
  <c r="KM14" i="6"/>
  <c r="KN12" i="6"/>
  <c r="KH6" i="6"/>
  <c r="KG7" i="6"/>
  <c r="KY18" i="6"/>
  <c r="LA1" i="6"/>
  <c r="KZ3" i="6"/>
  <c r="KZ9" i="6"/>
  <c r="KZ11" i="6"/>
  <c r="KZ17" i="6"/>
  <c r="KZ18" i="6"/>
  <c r="KZ5" i="6"/>
  <c r="KY3" i="6"/>
  <c r="KY10" i="6"/>
  <c r="KI6" i="6"/>
  <c r="KH7" i="6"/>
  <c r="KO12" i="6"/>
  <c r="KN14" i="6"/>
  <c r="KX4" i="6"/>
  <c r="KZ10" i="6"/>
  <c r="LA3" i="6"/>
  <c r="LB1" i="6"/>
  <c r="LA9" i="6"/>
  <c r="LA10" i="6"/>
  <c r="LA11" i="6"/>
  <c r="LA17" i="6"/>
  <c r="LA18" i="6"/>
  <c r="LA5" i="6"/>
  <c r="KY4" i="6"/>
  <c r="KO14" i="6"/>
  <c r="KP12" i="6"/>
  <c r="KJ6" i="6"/>
  <c r="KI7" i="6"/>
  <c r="LC1" i="6"/>
  <c r="LB3" i="6"/>
  <c r="LB9" i="6"/>
  <c r="LB10" i="6"/>
  <c r="LB11" i="6"/>
  <c r="LB17" i="6"/>
  <c r="LB18" i="6"/>
  <c r="LB5" i="6"/>
  <c r="KK6" i="6"/>
  <c r="KJ7" i="6"/>
  <c r="KP14" i="6"/>
  <c r="KQ12" i="6"/>
  <c r="KZ4" i="6"/>
  <c r="LD1" i="6"/>
  <c r="LC3" i="6"/>
  <c r="LC9" i="6"/>
  <c r="LC10" i="6"/>
  <c r="LC11" i="6"/>
  <c r="LC17" i="6"/>
  <c r="LC18" i="6"/>
  <c r="LC5" i="6"/>
  <c r="LA4" i="6"/>
  <c r="KR12" i="6"/>
  <c r="KQ14" i="6"/>
  <c r="KL6" i="6"/>
  <c r="KK7" i="6"/>
  <c r="LE1" i="6"/>
  <c r="LD3" i="6"/>
  <c r="LD9" i="6"/>
  <c r="LD10" i="6"/>
  <c r="LD11" i="6"/>
  <c r="LD17" i="6"/>
  <c r="LD18" i="6"/>
  <c r="LD5" i="6"/>
  <c r="KM6" i="6"/>
  <c r="KL7" i="6"/>
  <c r="KS12" i="6"/>
  <c r="KR14" i="6"/>
  <c r="LB4" i="6"/>
  <c r="LE3" i="6"/>
  <c r="LF1" i="6"/>
  <c r="LE9" i="6"/>
  <c r="LE10" i="6"/>
  <c r="LE11" i="6"/>
  <c r="LE17" i="6"/>
  <c r="LE18" i="6"/>
  <c r="LE5" i="6"/>
  <c r="LC4" i="6"/>
  <c r="KT12" i="6"/>
  <c r="KS14" i="6"/>
  <c r="KN6" i="6"/>
  <c r="KM7" i="6"/>
  <c r="LG1" i="6"/>
  <c r="KO6" i="6"/>
  <c r="KN7" i="6"/>
  <c r="KU12" i="6"/>
  <c r="KT14" i="6"/>
  <c r="LD4" i="6"/>
  <c r="LH1" i="6"/>
  <c r="LG3" i="6"/>
  <c r="LF5" i="6"/>
  <c r="LF17" i="6"/>
  <c r="LF18" i="6"/>
  <c r="LF11" i="6"/>
  <c r="LF9" i="6"/>
  <c r="LF10" i="6"/>
  <c r="LF3" i="6"/>
  <c r="LE4" i="6"/>
  <c r="KV12" i="6"/>
  <c r="KU14" i="6"/>
  <c r="KP6" i="6"/>
  <c r="KO7" i="6"/>
  <c r="LG5" i="6"/>
  <c r="LG17" i="6"/>
  <c r="LG18" i="6"/>
  <c r="LG11" i="6"/>
  <c r="LG9" i="6"/>
  <c r="LG10" i="6"/>
  <c r="LI1" i="6"/>
  <c r="LH9" i="6"/>
  <c r="LH3" i="6"/>
  <c r="LH11" i="6"/>
  <c r="LH17" i="6"/>
  <c r="LH5" i="6"/>
  <c r="KQ6" i="6"/>
  <c r="KP7" i="6"/>
  <c r="KV14" i="6"/>
  <c r="KW12" i="6"/>
  <c r="LF4" i="6"/>
  <c r="LH10" i="6"/>
  <c r="LH18" i="6"/>
  <c r="LJ1" i="6"/>
  <c r="LG4" i="6"/>
  <c r="KW14" i="6"/>
  <c r="KX12" i="6"/>
  <c r="KR6" i="6"/>
  <c r="KQ7" i="6"/>
  <c r="LK1" i="6"/>
  <c r="LJ9" i="6"/>
  <c r="LJ3" i="6"/>
  <c r="LJ11" i="6"/>
  <c r="LJ17" i="6"/>
  <c r="LJ5" i="6"/>
  <c r="LI5" i="6"/>
  <c r="LI17" i="6"/>
  <c r="LI18" i="6"/>
  <c r="LI11" i="6"/>
  <c r="LI9" i="6"/>
  <c r="LI10" i="6"/>
  <c r="LI3" i="6"/>
  <c r="KS6" i="6"/>
  <c r="KR7" i="6"/>
  <c r="KX14" i="6"/>
  <c r="KY12" i="6"/>
  <c r="LH4" i="6"/>
  <c r="LJ10" i="6"/>
  <c r="LJ18" i="6"/>
  <c r="LL1" i="6"/>
  <c r="LK3" i="6"/>
  <c r="LK9" i="6"/>
  <c r="LK10" i="6"/>
  <c r="LK11" i="6"/>
  <c r="LK17" i="6"/>
  <c r="LK18" i="6"/>
  <c r="LK5" i="6"/>
  <c r="LI4" i="6"/>
  <c r="KZ12" i="6"/>
  <c r="KY14" i="6"/>
  <c r="KT6" i="6"/>
  <c r="KS7" i="6"/>
  <c r="LM1" i="6"/>
  <c r="KU6" i="6"/>
  <c r="KT7" i="6"/>
  <c r="LA12" i="6"/>
  <c r="KZ14" i="6"/>
  <c r="LJ4" i="6"/>
  <c r="LN1" i="6"/>
  <c r="LM3" i="6"/>
  <c r="LL5" i="6"/>
  <c r="LL17" i="6"/>
  <c r="LL18" i="6"/>
  <c r="LL11" i="6"/>
  <c r="LL9" i="6"/>
  <c r="LL10" i="6"/>
  <c r="LL3" i="6"/>
  <c r="LK4" i="6"/>
  <c r="LA14" i="6"/>
  <c r="LB12" i="6"/>
  <c r="KV6" i="6"/>
  <c r="KU7" i="6"/>
  <c r="LM17" i="6"/>
  <c r="LM18" i="6"/>
  <c r="LM5" i="6"/>
  <c r="LM11" i="6"/>
  <c r="LM9" i="6"/>
  <c r="LM10" i="6"/>
  <c r="LO1" i="6"/>
  <c r="LN3" i="6"/>
  <c r="LN9" i="6"/>
  <c r="LN11" i="6"/>
  <c r="LN17" i="6"/>
  <c r="LN5" i="6"/>
  <c r="KW6" i="6"/>
  <c r="KV7" i="6"/>
  <c r="LB14" i="6"/>
  <c r="LC12" i="6"/>
  <c r="LL4" i="6"/>
  <c r="LN10" i="6"/>
  <c r="LN18" i="6"/>
  <c r="LP1" i="6"/>
  <c r="LO3" i="6"/>
  <c r="LO9" i="6"/>
  <c r="LO11" i="6"/>
  <c r="LO17" i="6"/>
  <c r="LO18" i="6"/>
  <c r="LO5" i="6"/>
  <c r="LM4" i="6"/>
  <c r="LD12" i="6"/>
  <c r="LC14" i="6"/>
  <c r="KX6" i="6"/>
  <c r="KW7" i="6"/>
  <c r="LO10" i="6"/>
  <c r="LQ1" i="6"/>
  <c r="LP3" i="6"/>
  <c r="KY6" i="6"/>
  <c r="KX7" i="6"/>
  <c r="LE12" i="6"/>
  <c r="LD14" i="6"/>
  <c r="LN4" i="6"/>
  <c r="LP5" i="6"/>
  <c r="LP17" i="6"/>
  <c r="LP18" i="6"/>
  <c r="LP11" i="6"/>
  <c r="LP9" i="6"/>
  <c r="LP10" i="6"/>
  <c r="LR1" i="6"/>
  <c r="LQ3" i="6"/>
  <c r="LQ9" i="6"/>
  <c r="LQ11" i="6"/>
  <c r="LQ17" i="6"/>
  <c r="LQ5" i="6"/>
  <c r="LO4" i="6"/>
  <c r="LE14" i="6"/>
  <c r="LF12" i="6"/>
  <c r="KZ6" i="6"/>
  <c r="KY7" i="6"/>
  <c r="LQ10" i="6"/>
  <c r="LS1" i="6"/>
  <c r="LR9" i="6"/>
  <c r="LR10" i="6"/>
  <c r="LQ18" i="6"/>
  <c r="LA6" i="6"/>
  <c r="KZ7" i="6"/>
  <c r="LG12" i="6"/>
  <c r="LF14" i="6"/>
  <c r="LP4" i="6"/>
  <c r="LR5" i="6"/>
  <c r="LR11" i="6"/>
  <c r="LR17" i="6"/>
  <c r="LR18" i="6"/>
  <c r="LT1" i="6"/>
  <c r="LS9" i="6"/>
  <c r="LS10" i="6"/>
  <c r="LS11" i="6"/>
  <c r="LS17" i="6"/>
  <c r="LS5" i="6"/>
  <c r="LR3" i="6"/>
  <c r="LQ4" i="6"/>
  <c r="LH12" i="6"/>
  <c r="LG14" i="6"/>
  <c r="LB6" i="6"/>
  <c r="LA7" i="6"/>
  <c r="LS18" i="6"/>
  <c r="LU1" i="6"/>
  <c r="LT9" i="6"/>
  <c r="LT10" i="6"/>
  <c r="LT11" i="6"/>
  <c r="LT17" i="6"/>
  <c r="LT18" i="6"/>
  <c r="LT5" i="6"/>
  <c r="LS3" i="6"/>
  <c r="LC6" i="6"/>
  <c r="LB7" i="6"/>
  <c r="LH14" i="6"/>
  <c r="LI12" i="6"/>
  <c r="LR4" i="6"/>
  <c r="LV1" i="6"/>
  <c r="LU3" i="6"/>
  <c r="LU9" i="6"/>
  <c r="LU10" i="6"/>
  <c r="LU11" i="6"/>
  <c r="LU17" i="6"/>
  <c r="LU18" i="6"/>
  <c r="LU5" i="6"/>
  <c r="LT3" i="6"/>
  <c r="LS4" i="6"/>
  <c r="LI14" i="6"/>
  <c r="LJ12" i="6"/>
  <c r="LD6" i="6"/>
  <c r="LC7" i="6"/>
  <c r="LW1" i="6"/>
  <c r="LV9" i="6"/>
  <c r="LV10" i="6"/>
  <c r="LV3" i="6"/>
  <c r="LV11" i="6"/>
  <c r="LV17" i="6"/>
  <c r="LV18" i="6"/>
  <c r="LV5" i="6"/>
  <c r="LE6" i="6"/>
  <c r="LD7" i="6"/>
  <c r="LJ14" i="6"/>
  <c r="LK12" i="6"/>
  <c r="LT4" i="6"/>
  <c r="LX1" i="6"/>
  <c r="LW3" i="6"/>
  <c r="LW9" i="6"/>
  <c r="LW10" i="6"/>
  <c r="LW11" i="6"/>
  <c r="LW17" i="6"/>
  <c r="LW18" i="6"/>
  <c r="LW5" i="6"/>
  <c r="LU4" i="6"/>
  <c r="LL12" i="6"/>
  <c r="LK14" i="6"/>
  <c r="LF6" i="6"/>
  <c r="LE7" i="6"/>
  <c r="LY1" i="6"/>
  <c r="LX3" i="6"/>
  <c r="LX9" i="6"/>
  <c r="LX10" i="6"/>
  <c r="LX11" i="6"/>
  <c r="LX17" i="6"/>
  <c r="LX18" i="6"/>
  <c r="LX5" i="6"/>
  <c r="LG6" i="6"/>
  <c r="LF7" i="6"/>
  <c r="LL14" i="6"/>
  <c r="LM12" i="6"/>
  <c r="LV4" i="6"/>
  <c r="LZ1" i="6"/>
  <c r="LY3" i="6"/>
  <c r="LY9" i="6"/>
  <c r="LY10" i="6"/>
  <c r="LY11" i="6"/>
  <c r="LY17" i="6"/>
  <c r="LY18" i="6"/>
  <c r="LY5" i="6"/>
  <c r="LW4" i="6"/>
  <c r="LN12" i="6"/>
  <c r="LM14" i="6"/>
  <c r="LH6" i="6"/>
  <c r="LG7" i="6"/>
  <c r="MA1" i="6"/>
  <c r="LZ9" i="6"/>
  <c r="LZ10" i="6"/>
  <c r="LI6" i="6"/>
  <c r="LH7" i="6"/>
  <c r="LN14" i="6"/>
  <c r="LO12" i="6"/>
  <c r="LX4" i="6"/>
  <c r="LZ3" i="6"/>
  <c r="LZ5" i="6"/>
  <c r="LZ17" i="6"/>
  <c r="LZ18" i="6"/>
  <c r="LZ11" i="6"/>
  <c r="MB1" i="6"/>
  <c r="MA3" i="6"/>
  <c r="MA11" i="6"/>
  <c r="MA17" i="6"/>
  <c r="MA5" i="6"/>
  <c r="LY4" i="6"/>
  <c r="LP12" i="6"/>
  <c r="LO14" i="6"/>
  <c r="LJ6" i="6"/>
  <c r="LI7" i="6"/>
  <c r="MA18" i="6"/>
  <c r="MC1" i="6"/>
  <c r="MB9" i="6"/>
  <c r="MB11" i="6"/>
  <c r="MB17" i="6"/>
  <c r="MB5" i="6"/>
  <c r="MA9" i="6"/>
  <c r="MA10" i="6"/>
  <c r="LK6" i="6"/>
  <c r="LJ7" i="6"/>
  <c r="LQ12" i="6"/>
  <c r="LP14" i="6"/>
  <c r="LZ4" i="6"/>
  <c r="MB10" i="6"/>
  <c r="MD1" i="6"/>
  <c r="MC3" i="6"/>
  <c r="MC9" i="6"/>
  <c r="MC11" i="6"/>
  <c r="MC17" i="6"/>
  <c r="MC5" i="6"/>
  <c r="MB3" i="6"/>
  <c r="MB18" i="6"/>
  <c r="MA4" i="6"/>
  <c r="LR12" i="6"/>
  <c r="LQ14" i="6"/>
  <c r="LL6" i="6"/>
  <c r="LK7" i="6"/>
  <c r="MC10" i="6"/>
  <c r="MC18" i="6"/>
  <c r="ME1" i="6"/>
  <c r="MD3" i="6"/>
  <c r="MD9" i="6"/>
  <c r="MD10" i="6"/>
  <c r="MD11" i="6"/>
  <c r="MD17" i="6"/>
  <c r="MD5" i="6"/>
  <c r="LM6" i="6"/>
  <c r="LL7" i="6"/>
  <c r="LR14" i="6"/>
  <c r="LS12" i="6"/>
  <c r="MB4" i="6"/>
  <c r="MD18" i="6"/>
  <c r="MF1" i="6"/>
  <c r="ME3" i="6"/>
  <c r="ME9" i="6"/>
  <c r="ME10" i="6"/>
  <c r="ME11" i="6"/>
  <c r="ME17" i="6"/>
  <c r="ME18" i="6"/>
  <c r="ME5" i="6"/>
  <c r="MC4" i="6"/>
  <c r="LS14" i="6"/>
  <c r="LT12" i="6"/>
  <c r="LN6" i="6"/>
  <c r="LM7" i="6"/>
  <c r="MG1" i="6"/>
  <c r="MF3" i="6"/>
  <c r="MF9" i="6"/>
  <c r="MF10" i="6"/>
  <c r="MF11" i="6"/>
  <c r="MF17" i="6"/>
  <c r="MF18" i="6"/>
  <c r="MF5" i="6"/>
  <c r="LO6" i="6"/>
  <c r="LN7" i="6"/>
  <c r="LT14" i="6"/>
  <c r="LU12" i="6"/>
  <c r="MD4" i="6"/>
  <c r="MH1" i="6"/>
  <c r="MG3" i="6"/>
  <c r="MG9" i="6"/>
  <c r="MG10" i="6"/>
  <c r="MG11" i="6"/>
  <c r="MG17" i="6"/>
  <c r="MG18" i="6"/>
  <c r="MG5" i="6"/>
  <c r="ME4" i="6"/>
  <c r="LV12" i="6"/>
  <c r="LU14" i="6"/>
  <c r="LP6" i="6"/>
  <c r="LO7" i="6"/>
  <c r="MI1" i="6"/>
  <c r="MH9" i="6"/>
  <c r="MH10" i="6"/>
  <c r="MH3" i="6"/>
  <c r="MH11" i="6"/>
  <c r="MH17" i="6"/>
  <c r="MH18" i="6"/>
  <c r="MH5" i="6"/>
  <c r="LQ6" i="6"/>
  <c r="LP7" i="6"/>
  <c r="LW12" i="6"/>
  <c r="LV14" i="6"/>
  <c r="MF4" i="6"/>
  <c r="MJ1" i="6"/>
  <c r="MI11" i="6"/>
  <c r="MG4" i="6"/>
  <c r="LW14" i="6"/>
  <c r="LX12" i="6"/>
  <c r="LR6" i="6"/>
  <c r="LQ7" i="6"/>
  <c r="MK1" i="6"/>
  <c r="MJ9" i="6"/>
  <c r="MJ5" i="6"/>
  <c r="MI3" i="6"/>
  <c r="MI5" i="6"/>
  <c r="MI17" i="6"/>
  <c r="MI18" i="6"/>
  <c r="MI9" i="6"/>
  <c r="MI10" i="6"/>
  <c r="LS6" i="6"/>
  <c r="LR7" i="6"/>
  <c r="LY12" i="6"/>
  <c r="LX14" i="6"/>
  <c r="MH4" i="6"/>
  <c r="MJ10" i="6"/>
  <c r="MJ17" i="6"/>
  <c r="MJ18" i="6"/>
  <c r="MJ11" i="6"/>
  <c r="ML1" i="6"/>
  <c r="MK3" i="6"/>
  <c r="MK9" i="6"/>
  <c r="MK11" i="6"/>
  <c r="MK17" i="6"/>
  <c r="MK5" i="6"/>
  <c r="MJ3" i="6"/>
  <c r="MI4" i="6"/>
  <c r="LZ12" i="6"/>
  <c r="LY14" i="6"/>
  <c r="LT6" i="6"/>
  <c r="LS7" i="6"/>
  <c r="MK10" i="6"/>
  <c r="MK18" i="6"/>
  <c r="MM1" i="6"/>
  <c r="ML9" i="6"/>
  <c r="ML10" i="6"/>
  <c r="ML3" i="6"/>
  <c r="ML11" i="6"/>
  <c r="ML17" i="6"/>
  <c r="ML18" i="6"/>
  <c r="ML5" i="6"/>
  <c r="LU6" i="6"/>
  <c r="LT7" i="6"/>
  <c r="LZ14" i="6"/>
  <c r="MA12" i="6"/>
  <c r="MJ4" i="6"/>
  <c r="MN1" i="6"/>
  <c r="MM3" i="6"/>
  <c r="MM9" i="6"/>
  <c r="MM10" i="6"/>
  <c r="MM11" i="6"/>
  <c r="MM17" i="6"/>
  <c r="MM18" i="6"/>
  <c r="MM5" i="6"/>
  <c r="MK4" i="6"/>
  <c r="MB12" i="6"/>
  <c r="MA14" i="6"/>
  <c r="LV6" i="6"/>
  <c r="LU7" i="6"/>
  <c r="MO1" i="6"/>
  <c r="MN3" i="6"/>
  <c r="MN9" i="6"/>
  <c r="MN10" i="6"/>
  <c r="MN11" i="6"/>
  <c r="MN17" i="6"/>
  <c r="MN18" i="6"/>
  <c r="MN5" i="6"/>
  <c r="LW6" i="6"/>
  <c r="LV7" i="6"/>
  <c r="MC12" i="6"/>
  <c r="MB14" i="6"/>
  <c r="ML4" i="6"/>
  <c r="MP1" i="6"/>
  <c r="MO3" i="6"/>
  <c r="MO9" i="6"/>
  <c r="MO10" i="6"/>
  <c r="MO11" i="6"/>
  <c r="MO17" i="6"/>
  <c r="MO18" i="6"/>
  <c r="MO5" i="6"/>
  <c r="MM4" i="6"/>
  <c r="MD12" i="6"/>
  <c r="MC14" i="6"/>
  <c r="LX6" i="6"/>
  <c r="LW7" i="6"/>
  <c r="MQ1" i="6"/>
  <c r="MP9" i="6"/>
  <c r="MP10" i="6"/>
  <c r="MP3" i="6"/>
  <c r="MP11" i="6"/>
  <c r="MP17" i="6"/>
  <c r="MP18" i="6"/>
  <c r="MP5" i="6"/>
  <c r="LY6" i="6"/>
  <c r="LX7" i="6"/>
  <c r="ME12" i="6"/>
  <c r="MD14" i="6"/>
  <c r="MN4" i="6"/>
  <c r="MR1" i="6"/>
  <c r="MQ9" i="6"/>
  <c r="MQ10" i="6"/>
  <c r="MQ3" i="6"/>
  <c r="MQ11" i="6"/>
  <c r="MQ17" i="6"/>
  <c r="MQ18" i="6"/>
  <c r="MQ5" i="6"/>
  <c r="MO4" i="6"/>
  <c r="MF12" i="6"/>
  <c r="ME14" i="6"/>
  <c r="LZ6" i="6"/>
  <c r="LY7" i="6"/>
  <c r="MS1" i="6"/>
  <c r="MR9" i="6"/>
  <c r="MR10" i="6"/>
  <c r="MR11" i="6"/>
  <c r="MR17" i="6"/>
  <c r="MR18" i="6"/>
  <c r="MR5" i="6"/>
  <c r="MA6" i="6"/>
  <c r="LZ7" i="6"/>
  <c r="MF14" i="6"/>
  <c r="MG12" i="6"/>
  <c r="MP4" i="6"/>
  <c r="MT1" i="6"/>
  <c r="MS9" i="6"/>
  <c r="MS10" i="6"/>
  <c r="MS3" i="6"/>
  <c r="MS11" i="6"/>
  <c r="MS17" i="6"/>
  <c r="MS18" i="6"/>
  <c r="MS5" i="6"/>
  <c r="MR3" i="6"/>
  <c r="MQ4" i="6"/>
  <c r="MH12" i="6"/>
  <c r="MG14" i="6"/>
  <c r="MB6" i="6"/>
  <c r="MA7" i="6"/>
  <c r="MU1" i="6"/>
  <c r="MT3" i="6"/>
  <c r="MT9" i="6"/>
  <c r="MT10" i="6"/>
  <c r="MT11" i="6"/>
  <c r="MT17" i="6"/>
  <c r="MT18" i="6"/>
  <c r="MT5" i="6"/>
  <c r="MC6" i="6"/>
  <c r="MB7" i="6"/>
  <c r="MI12" i="6"/>
  <c r="MH14" i="6"/>
  <c r="MR4" i="6"/>
  <c r="MV1" i="6"/>
  <c r="MU9" i="6"/>
  <c r="MU10" i="6"/>
  <c r="MU11" i="6"/>
  <c r="MU17" i="6"/>
  <c r="MU18" i="6"/>
  <c r="MU5" i="6"/>
  <c r="MS4" i="6"/>
  <c r="MJ12" i="6"/>
  <c r="MI14" i="6"/>
  <c r="MD6" i="6"/>
  <c r="MC7" i="6"/>
  <c r="MW1" i="6"/>
  <c r="MV9" i="6"/>
  <c r="MV10" i="6"/>
  <c r="MV17" i="6"/>
  <c r="MV18" i="6"/>
  <c r="MV5" i="6"/>
  <c r="MU3" i="6"/>
  <c r="ME6" i="6"/>
  <c r="MD7" i="6"/>
  <c r="MJ14" i="6"/>
  <c r="MK12" i="6"/>
  <c r="MT4" i="6"/>
  <c r="MX1" i="6"/>
  <c r="MW3" i="6"/>
  <c r="MW11" i="6"/>
  <c r="MW17" i="6"/>
  <c r="MW18" i="6"/>
  <c r="MW5" i="6"/>
  <c r="MV11" i="6"/>
  <c r="MV3" i="6"/>
  <c r="MU4" i="6"/>
  <c r="ML12" i="6"/>
  <c r="MK14" i="6"/>
  <c r="MF6" i="6"/>
  <c r="ME7" i="6"/>
  <c r="MX3" i="6"/>
  <c r="MY1" i="6"/>
  <c r="MX9" i="6"/>
  <c r="MX11" i="6"/>
  <c r="MX17" i="6"/>
  <c r="MX18" i="6"/>
  <c r="MX5" i="6"/>
  <c r="MW9" i="6"/>
  <c r="MW10" i="6"/>
  <c r="MG6" i="6"/>
  <c r="MF7" i="6"/>
  <c r="ML14" i="6"/>
  <c r="MM12" i="6"/>
  <c r="MV4" i="6"/>
  <c r="MX10" i="6"/>
  <c r="MZ1" i="6"/>
  <c r="MY3" i="6"/>
  <c r="MW4" i="6"/>
  <c r="MN12" i="6"/>
  <c r="MM14" i="6"/>
  <c r="MH6" i="6"/>
  <c r="MG7" i="6"/>
  <c r="MY5" i="6"/>
  <c r="MY17" i="6"/>
  <c r="MY18" i="6"/>
  <c r="MY11" i="6"/>
  <c r="MY9" i="6"/>
  <c r="MY10" i="6"/>
  <c r="NA1" i="6"/>
  <c r="MZ3" i="6"/>
  <c r="MZ9" i="6"/>
  <c r="MZ11" i="6"/>
  <c r="MZ17" i="6"/>
  <c r="MZ5" i="6"/>
  <c r="MI6" i="6"/>
  <c r="MH7" i="6"/>
  <c r="MN14" i="6"/>
  <c r="MO12" i="6"/>
  <c r="MX4" i="6"/>
  <c r="MZ10" i="6"/>
  <c r="NB1" i="6"/>
  <c r="NA9" i="6"/>
  <c r="MZ18" i="6"/>
  <c r="MY4" i="6"/>
  <c r="MP12" i="6"/>
  <c r="MO14" i="6"/>
  <c r="MJ6" i="6"/>
  <c r="MI7" i="6"/>
  <c r="NA10" i="6"/>
  <c r="NA5" i="6"/>
  <c r="NA17" i="6"/>
  <c r="NA18" i="6"/>
  <c r="NA11" i="6"/>
  <c r="NA3" i="6"/>
  <c r="NC1" i="6"/>
  <c r="NB3" i="6"/>
  <c r="NB9" i="6"/>
  <c r="NB10" i="6"/>
  <c r="NB11" i="6"/>
  <c r="NB17" i="6"/>
  <c r="NB5" i="6"/>
  <c r="MK6" i="6"/>
  <c r="MJ7" i="6"/>
  <c r="MQ12" i="6"/>
  <c r="MP14" i="6"/>
  <c r="MZ4" i="6"/>
  <c r="NB18" i="6"/>
  <c r="ND1" i="6"/>
  <c r="NC3" i="6"/>
  <c r="NC9" i="6"/>
  <c r="NC10" i="6"/>
  <c r="NC11" i="6"/>
  <c r="NC17" i="6"/>
  <c r="NC18" i="6"/>
  <c r="NC5" i="6"/>
  <c r="NA4" i="6"/>
  <c r="MR12" i="6"/>
  <c r="MQ14" i="6"/>
  <c r="ML6" i="6"/>
  <c r="MK7" i="6"/>
  <c r="NE1" i="6"/>
  <c r="ND9" i="6"/>
  <c r="ND10" i="6"/>
  <c r="MM6" i="6"/>
  <c r="ML7" i="6"/>
  <c r="MR14" i="6"/>
  <c r="MS12" i="6"/>
  <c r="NB4" i="6"/>
  <c r="ND5" i="6"/>
  <c r="ND17" i="6"/>
  <c r="ND18" i="6"/>
  <c r="ND11" i="6"/>
  <c r="ND3" i="6"/>
  <c r="NF1" i="6"/>
  <c r="NE9" i="6"/>
  <c r="NE10" i="6"/>
  <c r="NE11" i="6"/>
  <c r="NE17" i="6"/>
  <c r="NE5" i="6"/>
  <c r="NC4" i="6"/>
  <c r="MT12" i="6"/>
  <c r="MS14" i="6"/>
  <c r="MN6" i="6"/>
  <c r="MM7" i="6"/>
  <c r="NE18" i="6"/>
  <c r="NG1" i="6"/>
  <c r="NF3" i="6"/>
  <c r="NF9" i="6"/>
  <c r="NF10" i="6"/>
  <c r="NF11" i="6"/>
  <c r="NF17" i="6"/>
  <c r="NF18" i="6"/>
  <c r="NF5" i="6"/>
  <c r="NE3" i="6"/>
  <c r="MO6" i="6"/>
  <c r="MN7" i="6"/>
  <c r="MU12" i="6"/>
  <c r="MT14" i="6"/>
  <c r="ND4" i="6"/>
  <c r="NH1" i="6"/>
  <c r="NG3" i="6"/>
  <c r="NG9" i="6"/>
  <c r="NG10" i="6"/>
  <c r="NG11" i="6"/>
  <c r="NG17" i="6"/>
  <c r="NG18" i="6"/>
  <c r="NG5" i="6"/>
  <c r="NE4" i="6"/>
  <c r="MV12" i="6"/>
  <c r="MU14" i="6"/>
  <c r="MP6" i="6"/>
  <c r="MO7" i="6"/>
  <c r="NI1" i="6"/>
  <c r="NH9" i="6"/>
  <c r="NH10" i="6"/>
  <c r="NH3" i="6"/>
  <c r="NH11" i="6"/>
  <c r="NH17" i="6"/>
  <c r="NH18" i="6"/>
  <c r="NH5" i="6"/>
  <c r="MQ6" i="6"/>
  <c r="MP7" i="6"/>
  <c r="MW12" i="6"/>
  <c r="MV14" i="6"/>
  <c r="NF4" i="6"/>
  <c r="NJ1" i="6"/>
  <c r="NI3" i="6"/>
  <c r="NI9" i="6"/>
  <c r="NI10" i="6"/>
  <c r="NI11" i="6"/>
  <c r="NI17" i="6"/>
  <c r="NI18" i="6"/>
  <c r="NI5" i="6"/>
  <c r="NG4" i="6"/>
  <c r="MW14" i="6"/>
  <c r="MX12" i="6"/>
  <c r="MR6" i="6"/>
  <c r="MQ7" i="6"/>
  <c r="NK1" i="6"/>
  <c r="NJ3" i="6"/>
  <c r="NJ9" i="6"/>
  <c r="NJ10" i="6"/>
  <c r="NJ11" i="6"/>
  <c r="NJ17" i="6"/>
  <c r="NJ18" i="6"/>
  <c r="NJ5" i="6"/>
  <c r="MS6" i="6"/>
  <c r="MR7" i="6"/>
  <c r="MX14" i="6"/>
  <c r="MY12" i="6"/>
  <c r="NH4" i="6"/>
  <c r="NL1" i="6"/>
  <c r="NK11" i="6"/>
  <c r="NK17" i="6"/>
  <c r="NK18" i="6"/>
  <c r="NK5" i="6"/>
  <c r="NI4" i="6"/>
  <c r="MZ12" i="6"/>
  <c r="MY14" i="6"/>
  <c r="MT6" i="6"/>
  <c r="MS7" i="6"/>
  <c r="NM1" i="6"/>
  <c r="NL3" i="6"/>
  <c r="NL9" i="6"/>
  <c r="NL11" i="6"/>
  <c r="NL17" i="6"/>
  <c r="NL18" i="6"/>
  <c r="NL5" i="6"/>
  <c r="NK9" i="6"/>
  <c r="NK10" i="6"/>
  <c r="NK3" i="6"/>
  <c r="MU6" i="6"/>
  <c r="MT7" i="6"/>
  <c r="MZ14" i="6"/>
  <c r="NA12" i="6"/>
  <c r="NJ4" i="6"/>
  <c r="NL10" i="6"/>
  <c r="NN1" i="6"/>
  <c r="NM9" i="6"/>
  <c r="NM10" i="6"/>
  <c r="NM3" i="6"/>
  <c r="NM11" i="6"/>
  <c r="NM17" i="6"/>
  <c r="NM18" i="6"/>
  <c r="NM5" i="6"/>
  <c r="NK4" i="6"/>
  <c r="NA14" i="6"/>
  <c r="NB12" i="6"/>
  <c r="MV6" i="6"/>
  <c r="MU7" i="6"/>
  <c r="NO1" i="6"/>
  <c r="NN3" i="6"/>
  <c r="NN9" i="6"/>
  <c r="NN10" i="6"/>
  <c r="NN11" i="6"/>
  <c r="NN17" i="6"/>
  <c r="NN18" i="6"/>
  <c r="NN5" i="6"/>
  <c r="MW6" i="6"/>
  <c r="MV7" i="6"/>
  <c r="NC12" i="6"/>
  <c r="NB14" i="6"/>
  <c r="NL4" i="6"/>
  <c r="NP1" i="6"/>
  <c r="NO9" i="6"/>
  <c r="NO10" i="6"/>
  <c r="NO11" i="6"/>
  <c r="NO17" i="6"/>
  <c r="NO18" i="6"/>
  <c r="NO5" i="6"/>
  <c r="NM4" i="6"/>
  <c r="ND12" i="6"/>
  <c r="NC14" i="6"/>
  <c r="MX6" i="6"/>
  <c r="MW7" i="6"/>
  <c r="NP3" i="6"/>
  <c r="NQ1" i="6"/>
  <c r="NP9" i="6"/>
  <c r="NP10" i="6"/>
  <c r="NP11" i="6"/>
  <c r="NP17" i="6"/>
  <c r="NP18" i="6"/>
  <c r="NP5" i="6"/>
  <c r="NO3" i="6"/>
  <c r="MY6" i="6"/>
  <c r="MX7" i="6"/>
  <c r="NE12" i="6"/>
  <c r="ND14" i="6"/>
  <c r="NN4" i="6"/>
  <c r="NR1" i="6"/>
  <c r="NQ3" i="6"/>
  <c r="NQ9" i="6"/>
  <c r="NQ10" i="6"/>
  <c r="NQ11" i="6"/>
  <c r="NQ17" i="6"/>
  <c r="NQ18" i="6"/>
  <c r="NQ5" i="6"/>
  <c r="NO4" i="6"/>
  <c r="NF12" i="6"/>
  <c r="NE14" i="6"/>
  <c r="MZ6" i="6"/>
  <c r="MY7" i="6"/>
  <c r="NS1" i="6"/>
  <c r="NR3" i="6"/>
  <c r="NR9" i="6"/>
  <c r="NR10" i="6"/>
  <c r="NR11" i="6"/>
  <c r="NR17" i="6"/>
  <c r="NR18" i="6"/>
  <c r="NR5" i="6"/>
  <c r="NA6" i="6"/>
  <c r="MZ7" i="6"/>
  <c r="NG12" i="6"/>
  <c r="NF14" i="6"/>
  <c r="NP4" i="6"/>
  <c r="NT1" i="6"/>
  <c r="NS9" i="6"/>
  <c r="NS10" i="6"/>
  <c r="NS3" i="6"/>
  <c r="NS11" i="6"/>
  <c r="NS17" i="6"/>
  <c r="NS18" i="6"/>
  <c r="NS5" i="6"/>
  <c r="NQ4" i="6"/>
  <c r="NH12" i="6"/>
  <c r="NG14" i="6"/>
  <c r="NB6" i="6"/>
  <c r="NA7" i="6"/>
  <c r="NU1" i="6"/>
  <c r="NT9" i="6"/>
  <c r="NT10" i="6"/>
  <c r="NT3" i="6"/>
  <c r="NT11" i="6"/>
  <c r="NT17" i="6"/>
  <c r="NT18" i="6"/>
  <c r="NT5" i="6"/>
  <c r="NC6" i="6"/>
  <c r="NB7" i="6"/>
  <c r="NI12" i="6"/>
  <c r="NH14" i="6"/>
  <c r="NR4" i="6"/>
  <c r="NV1" i="6"/>
  <c r="NU3" i="6"/>
  <c r="NU9" i="6"/>
  <c r="NU10" i="6"/>
  <c r="NU11" i="6"/>
  <c r="NU17" i="6"/>
  <c r="NU18" i="6"/>
  <c r="NU5" i="6"/>
  <c r="NS4" i="6"/>
  <c r="NJ12" i="6"/>
  <c r="NI14" i="6"/>
  <c r="ND6" i="6"/>
  <c r="NC7" i="6"/>
  <c r="NW1" i="6"/>
  <c r="NV9" i="6"/>
  <c r="NV10" i="6"/>
  <c r="NV11" i="6"/>
  <c r="NV17" i="6"/>
  <c r="NV18" i="6"/>
  <c r="NV5" i="6"/>
  <c r="NE6" i="6"/>
  <c r="ND7" i="6"/>
  <c r="NJ14" i="6"/>
  <c r="NK12" i="6"/>
  <c r="NT4" i="6"/>
  <c r="NX1" i="6"/>
  <c r="NW3" i="6"/>
  <c r="NW9" i="6"/>
  <c r="NW10" i="6"/>
  <c r="NW11" i="6"/>
  <c r="NW17" i="6"/>
  <c r="NW18" i="6"/>
  <c r="NW5" i="6"/>
  <c r="NV3" i="6"/>
  <c r="NU4" i="6"/>
  <c r="NL12" i="6"/>
  <c r="NK14" i="6"/>
  <c r="NF6" i="6"/>
  <c r="NE7" i="6"/>
  <c r="NY1" i="6"/>
  <c r="NX3" i="6"/>
  <c r="NX9" i="6"/>
  <c r="NX10" i="6"/>
  <c r="NX11" i="6"/>
  <c r="NX17" i="6"/>
  <c r="NX18" i="6"/>
  <c r="NX5" i="6"/>
  <c r="NG6" i="6"/>
  <c r="NF7" i="6"/>
  <c r="NL14" i="6"/>
  <c r="NM12" i="6"/>
  <c r="NV4" i="6"/>
  <c r="NZ1" i="6"/>
  <c r="NY3" i="6"/>
  <c r="NY9" i="6"/>
  <c r="NY10" i="6"/>
  <c r="NY11" i="6"/>
  <c r="NY17" i="6"/>
  <c r="NY18" i="6"/>
  <c r="NY5" i="6"/>
  <c r="NW4" i="6"/>
  <c r="NN12" i="6"/>
  <c r="NM14" i="6"/>
  <c r="NH6" i="6"/>
  <c r="NG7" i="6"/>
  <c r="OA1" i="6"/>
  <c r="NZ3" i="6"/>
  <c r="NZ9" i="6"/>
  <c r="NZ10" i="6"/>
  <c r="NZ11" i="6"/>
  <c r="NZ17" i="6"/>
  <c r="NZ18" i="6"/>
  <c r="NZ5" i="6"/>
  <c r="NI6" i="6"/>
  <c r="NH7" i="6"/>
  <c r="NN14" i="6"/>
  <c r="NO12" i="6"/>
  <c r="NX4" i="6"/>
  <c r="OB1" i="6"/>
  <c r="OA3" i="6"/>
  <c r="OA9" i="6"/>
  <c r="OA10" i="6"/>
  <c r="OA11" i="6"/>
  <c r="OA17" i="6"/>
  <c r="OA18" i="6"/>
  <c r="OA5" i="6"/>
  <c r="NY4" i="6"/>
  <c r="NP12" i="6"/>
  <c r="NO14" i="6"/>
  <c r="NJ6" i="6"/>
  <c r="NI7" i="6"/>
  <c r="OC1" i="6"/>
  <c r="OB3" i="6"/>
  <c r="OB9" i="6"/>
  <c r="OB10" i="6"/>
  <c r="OB11" i="6"/>
  <c r="OB17" i="6"/>
  <c r="OB18" i="6"/>
  <c r="OB5" i="6"/>
  <c r="NK6" i="6"/>
  <c r="NJ7" i="6"/>
  <c r="NP14" i="6"/>
  <c r="NQ12" i="6"/>
  <c r="NZ4" i="6"/>
  <c r="OD1" i="6"/>
  <c r="OC3" i="6"/>
  <c r="OC9" i="6"/>
  <c r="OC10" i="6"/>
  <c r="OC11" i="6"/>
  <c r="OC17" i="6"/>
  <c r="OC18" i="6"/>
  <c r="OC5" i="6"/>
  <c r="OA4" i="6"/>
  <c r="NQ14" i="6"/>
  <c r="NR12" i="6"/>
  <c r="NL6" i="6"/>
  <c r="NK7" i="6"/>
  <c r="OD3" i="6"/>
  <c r="OE1" i="6"/>
  <c r="OD9" i="6"/>
  <c r="OD10" i="6"/>
  <c r="OD11" i="6"/>
  <c r="OD17" i="6"/>
  <c r="OD18" i="6"/>
  <c r="OD5" i="6"/>
  <c r="NM6" i="6"/>
  <c r="NL7" i="6"/>
  <c r="NS12" i="6"/>
  <c r="NR14" i="6"/>
  <c r="OB4" i="6"/>
  <c r="OF1" i="6"/>
  <c r="OE3" i="6"/>
  <c r="OE9" i="6"/>
  <c r="OE10" i="6"/>
  <c r="OE11" i="6"/>
  <c r="OE17" i="6"/>
  <c r="OE18" i="6"/>
  <c r="OE5" i="6"/>
  <c r="OC4" i="6"/>
  <c r="NT12" i="6"/>
  <c r="NS14" i="6"/>
  <c r="NN6" i="6"/>
  <c r="NM7" i="6"/>
  <c r="OG1" i="6"/>
  <c r="OF3" i="6"/>
  <c r="OF9" i="6"/>
  <c r="OF10" i="6"/>
  <c r="OF11" i="6"/>
  <c r="OF17" i="6"/>
  <c r="OF18" i="6"/>
  <c r="OF5" i="6"/>
  <c r="NO6" i="6"/>
  <c r="NN7" i="6"/>
  <c r="NU12" i="6"/>
  <c r="NT14" i="6"/>
  <c r="OD4" i="6"/>
  <c r="OH1" i="6"/>
  <c r="OG3" i="6"/>
  <c r="OG9" i="6"/>
  <c r="OG10" i="6"/>
  <c r="OG11" i="6"/>
  <c r="OG17" i="6"/>
  <c r="OG18" i="6"/>
  <c r="OG5" i="6"/>
  <c r="OE4" i="6"/>
  <c r="NV12" i="6"/>
  <c r="NU14" i="6"/>
  <c r="NP6" i="6"/>
  <c r="NO7" i="6"/>
  <c r="OI1" i="6"/>
  <c r="OH11" i="6"/>
  <c r="OH17" i="6"/>
  <c r="OH18" i="6"/>
  <c r="OH5" i="6"/>
  <c r="NQ6" i="6"/>
  <c r="NP7" i="6"/>
  <c r="NV14" i="6"/>
  <c r="NW12" i="6"/>
  <c r="OF4" i="6"/>
  <c r="OJ1" i="6"/>
  <c r="OI3" i="6"/>
  <c r="OI9" i="6"/>
  <c r="OI11" i="6"/>
  <c r="OI17" i="6"/>
  <c r="OI18" i="6"/>
  <c r="OI5" i="6"/>
  <c r="OH9" i="6"/>
  <c r="OH10" i="6"/>
  <c r="OH3" i="6"/>
  <c r="OG4" i="6"/>
  <c r="NW14" i="6"/>
  <c r="NX12" i="6"/>
  <c r="NR6" i="6"/>
  <c r="NQ7" i="6"/>
  <c r="OI10" i="6"/>
  <c r="OK1" i="6"/>
  <c r="OJ11" i="6"/>
  <c r="NS6" i="6"/>
  <c r="NR7" i="6"/>
  <c r="NY12" i="6"/>
  <c r="NX14" i="6"/>
  <c r="OH4" i="6"/>
  <c r="OJ9" i="6"/>
  <c r="OJ10" i="6"/>
  <c r="OJ5" i="6"/>
  <c r="OJ17" i="6"/>
  <c r="OJ18" i="6"/>
  <c r="OL1" i="6"/>
  <c r="OK3" i="6"/>
  <c r="OK11" i="6"/>
  <c r="OK17" i="6"/>
  <c r="OK5" i="6"/>
  <c r="OJ3" i="6"/>
  <c r="OI4" i="6"/>
  <c r="NZ12" i="6"/>
  <c r="NY14" i="6"/>
  <c r="NT6" i="6"/>
  <c r="NS7" i="6"/>
  <c r="OK18" i="6"/>
  <c r="OM1" i="6"/>
  <c r="OL3" i="6"/>
  <c r="OL9" i="6"/>
  <c r="OK9" i="6"/>
  <c r="OK10" i="6"/>
  <c r="NU6" i="6"/>
  <c r="NT7" i="6"/>
  <c r="OA12" i="6"/>
  <c r="NZ14" i="6"/>
  <c r="OJ4" i="6"/>
  <c r="OL10" i="6"/>
  <c r="OL5" i="6"/>
  <c r="OL17" i="6"/>
  <c r="OL18" i="6"/>
  <c r="OL11" i="6"/>
  <c r="ON1" i="6"/>
  <c r="OM3" i="6"/>
  <c r="OM9" i="6"/>
  <c r="OM10" i="6"/>
  <c r="OM11" i="6"/>
  <c r="OM17" i="6"/>
  <c r="OM5" i="6"/>
  <c r="OK4" i="6"/>
  <c r="OA14" i="6"/>
  <c r="OB12" i="6"/>
  <c r="NV6" i="6"/>
  <c r="NU7" i="6"/>
  <c r="OO1" i="6"/>
  <c r="OM18" i="6"/>
  <c r="NW6" i="6"/>
  <c r="NV7" i="6"/>
  <c r="OB14" i="6"/>
  <c r="OC12" i="6"/>
  <c r="OL4" i="6"/>
  <c r="OP1" i="6"/>
  <c r="OO3" i="6"/>
  <c r="ON5" i="6"/>
  <c r="ON17" i="6"/>
  <c r="ON18" i="6"/>
  <c r="ON11" i="6"/>
  <c r="ON9" i="6"/>
  <c r="ON10" i="6"/>
  <c r="ON3" i="6"/>
  <c r="OM4" i="6"/>
  <c r="OD12" i="6"/>
  <c r="OC14" i="6"/>
  <c r="NX6" i="6"/>
  <c r="NW7" i="6"/>
  <c r="OO5" i="6"/>
  <c r="OO17" i="6"/>
  <c r="OO18" i="6"/>
  <c r="OO11" i="6"/>
  <c r="OO9" i="6"/>
  <c r="OO10" i="6"/>
  <c r="OP3" i="6"/>
  <c r="OQ1" i="6"/>
  <c r="OP9" i="6"/>
  <c r="OP11" i="6"/>
  <c r="OP17" i="6"/>
  <c r="OP5" i="6"/>
  <c r="NY6" i="6"/>
  <c r="NX7" i="6"/>
  <c r="OD14" i="6"/>
  <c r="OE12" i="6"/>
  <c r="ON4" i="6"/>
  <c r="OP10" i="6"/>
  <c r="OP18" i="6"/>
  <c r="OR1" i="6"/>
  <c r="OQ9" i="6"/>
  <c r="OQ10" i="6"/>
  <c r="OQ11" i="6"/>
  <c r="OQ17" i="6"/>
  <c r="OQ18" i="6"/>
  <c r="OQ5" i="6"/>
  <c r="OO4" i="6"/>
  <c r="OF12" i="6"/>
  <c r="OE14" i="6"/>
  <c r="NZ6" i="6"/>
  <c r="NY7" i="6"/>
  <c r="OS1" i="6"/>
  <c r="OR9" i="6"/>
  <c r="OR10" i="6"/>
  <c r="OR3" i="6"/>
  <c r="OR11" i="6"/>
  <c r="OR17" i="6"/>
  <c r="OR18" i="6"/>
  <c r="OR5" i="6"/>
  <c r="OQ3" i="6"/>
  <c r="OA6" i="6"/>
  <c r="NZ7" i="6"/>
  <c r="OF14" i="6"/>
  <c r="OG12" i="6"/>
  <c r="OP4" i="6"/>
  <c r="OT1" i="6"/>
  <c r="OS3" i="6"/>
  <c r="OS9" i="6"/>
  <c r="OS10" i="6"/>
  <c r="OS11" i="6"/>
  <c r="OS17" i="6"/>
  <c r="OS18" i="6"/>
  <c r="OS5" i="6"/>
  <c r="OQ4" i="6"/>
  <c r="OH12" i="6"/>
  <c r="OG14" i="6"/>
  <c r="OB6" i="6"/>
  <c r="OA7" i="6"/>
  <c r="OU1" i="6"/>
  <c r="OT3" i="6"/>
  <c r="OT9" i="6"/>
  <c r="OT10" i="6"/>
  <c r="OT11" i="6"/>
  <c r="OT17" i="6"/>
  <c r="OT18" i="6"/>
  <c r="OT5" i="6"/>
  <c r="OC6" i="6"/>
  <c r="OB7" i="6"/>
  <c r="OH14" i="6"/>
  <c r="OI12" i="6"/>
  <c r="OR4" i="6"/>
  <c r="OV1" i="6"/>
  <c r="OU3" i="6"/>
  <c r="OS4" i="6"/>
  <c r="OI14" i="6"/>
  <c r="OJ12" i="6"/>
  <c r="OD6" i="6"/>
  <c r="OC7" i="6"/>
  <c r="OU5" i="6"/>
  <c r="OU17" i="6"/>
  <c r="OU18" i="6"/>
  <c r="OU11" i="6"/>
  <c r="OU9" i="6"/>
  <c r="OU10" i="6"/>
  <c r="OW1" i="6"/>
  <c r="OV11" i="6"/>
  <c r="OV17" i="6"/>
  <c r="OV5" i="6"/>
  <c r="OE6" i="6"/>
  <c r="OD7" i="6"/>
  <c r="OJ14" i="6"/>
  <c r="OK12" i="6"/>
  <c r="OT4" i="6"/>
  <c r="OW9" i="6"/>
  <c r="OX1" i="6"/>
  <c r="OW11" i="6"/>
  <c r="OW17" i="6"/>
  <c r="OW5" i="6"/>
  <c r="OV9" i="6"/>
  <c r="OV10" i="6"/>
  <c r="OV3" i="6"/>
  <c r="OV18" i="6"/>
  <c r="OU4" i="6"/>
  <c r="OL12" i="6"/>
  <c r="OK14" i="6"/>
  <c r="OF6" i="6"/>
  <c r="OE7" i="6"/>
  <c r="OW18" i="6"/>
  <c r="OW10" i="6"/>
  <c r="OY1" i="6"/>
  <c r="OX9" i="6"/>
  <c r="OX3" i="6"/>
  <c r="OX11" i="6"/>
  <c r="OX17" i="6"/>
  <c r="OX5" i="6"/>
  <c r="OW3" i="6"/>
  <c r="OG6" i="6"/>
  <c r="OF7" i="6"/>
  <c r="OM12" i="6"/>
  <c r="OL14" i="6"/>
  <c r="OV4" i="6"/>
  <c r="OX10" i="6"/>
  <c r="OZ1" i="6"/>
  <c r="OX18" i="6"/>
  <c r="OW4" i="6"/>
  <c r="ON12" i="6"/>
  <c r="OM14" i="6"/>
  <c r="OH6" i="6"/>
  <c r="OG7" i="6"/>
  <c r="PA1" i="6"/>
  <c r="OY5" i="6"/>
  <c r="OY17" i="6"/>
  <c r="OY18" i="6"/>
  <c r="OY11" i="6"/>
  <c r="OY9" i="6"/>
  <c r="OY10" i="6"/>
  <c r="OY3" i="6"/>
  <c r="OI6" i="6"/>
  <c r="OH7" i="6"/>
  <c r="ON14" i="6"/>
  <c r="OO12" i="6"/>
  <c r="OX4" i="6"/>
  <c r="PB1" i="6"/>
  <c r="PA9" i="6"/>
  <c r="OZ5" i="6"/>
  <c r="OZ17" i="6"/>
  <c r="OZ18" i="6"/>
  <c r="OZ11" i="6"/>
  <c r="OZ9" i="6"/>
  <c r="OZ10" i="6"/>
  <c r="OZ3" i="6"/>
  <c r="OY4" i="6"/>
  <c r="OP12" i="6"/>
  <c r="OO14" i="6"/>
  <c r="OJ6" i="6"/>
  <c r="OI7" i="6"/>
  <c r="PA10" i="6"/>
  <c r="PA5" i="6"/>
  <c r="PA17" i="6"/>
  <c r="PA18" i="6"/>
  <c r="PA11" i="6"/>
  <c r="PA3" i="6"/>
  <c r="PC1" i="6"/>
  <c r="PB3" i="6"/>
  <c r="PB9" i="6"/>
  <c r="PB11" i="6"/>
  <c r="PB17" i="6"/>
  <c r="PB5" i="6"/>
  <c r="OK6" i="6"/>
  <c r="OJ7" i="6"/>
  <c r="OQ12" i="6"/>
  <c r="OP14" i="6"/>
  <c r="OZ4" i="6"/>
  <c r="PB18" i="6"/>
  <c r="PD1" i="6"/>
  <c r="PC3" i="6"/>
  <c r="PC9" i="6"/>
  <c r="PC11" i="6"/>
  <c r="PC17" i="6"/>
  <c r="PC5" i="6"/>
  <c r="PB10" i="6"/>
  <c r="PA4" i="6"/>
  <c r="OQ14" i="6"/>
  <c r="OR12" i="6"/>
  <c r="OL6" i="6"/>
  <c r="OK7" i="6"/>
  <c r="PC10" i="6"/>
  <c r="PE1" i="6"/>
  <c r="PD9" i="6"/>
  <c r="PD3" i="6"/>
  <c r="PD11" i="6"/>
  <c r="PD17" i="6"/>
  <c r="PD5" i="6"/>
  <c r="PC18" i="6"/>
  <c r="OM6" i="6"/>
  <c r="OL7" i="6"/>
  <c r="OS12" i="6"/>
  <c r="OR14" i="6"/>
  <c r="PB4" i="6"/>
  <c r="PD18" i="6"/>
  <c r="PF1" i="6"/>
  <c r="PE9" i="6"/>
  <c r="PE11" i="6"/>
  <c r="PE17" i="6"/>
  <c r="PE18" i="6"/>
  <c r="PE5" i="6"/>
  <c r="PD10" i="6"/>
  <c r="PC4" i="6"/>
  <c r="OS14" i="6"/>
  <c r="OT12" i="6"/>
  <c r="ON6" i="6"/>
  <c r="OM7" i="6"/>
  <c r="PE10" i="6"/>
  <c r="PG1" i="6"/>
  <c r="PF9" i="6"/>
  <c r="PF10" i="6"/>
  <c r="PF11" i="6"/>
  <c r="PF17" i="6"/>
  <c r="PF18" i="6"/>
  <c r="PF5" i="6"/>
  <c r="PE3" i="6"/>
  <c r="OO6" i="6"/>
  <c r="ON7" i="6"/>
  <c r="OT14" i="6"/>
  <c r="OU12" i="6"/>
  <c r="PD4" i="6"/>
  <c r="PH1" i="6"/>
  <c r="PG9" i="6"/>
  <c r="PG10" i="6"/>
  <c r="PF3" i="6"/>
  <c r="PE4" i="6"/>
  <c r="OV12" i="6"/>
  <c r="OU14" i="6"/>
  <c r="OP6" i="6"/>
  <c r="OO7" i="6"/>
  <c r="PG3" i="6"/>
  <c r="PG5" i="6"/>
  <c r="PG17" i="6"/>
  <c r="PG18" i="6"/>
  <c r="PG11" i="6"/>
  <c r="PI1" i="6"/>
  <c r="PH9" i="6"/>
  <c r="PH10" i="6"/>
  <c r="PH3" i="6"/>
  <c r="PH11" i="6"/>
  <c r="PH17" i="6"/>
  <c r="PH5" i="6"/>
  <c r="OQ6" i="6"/>
  <c r="OP7" i="6"/>
  <c r="OW12" i="6"/>
  <c r="OV14" i="6"/>
  <c r="PF4" i="6"/>
  <c r="PH18" i="6"/>
  <c r="PJ1" i="6"/>
  <c r="PG4" i="6"/>
  <c r="OW14" i="6"/>
  <c r="OX12" i="6"/>
  <c r="OR6" i="6"/>
  <c r="OQ7" i="6"/>
  <c r="PK1" i="6"/>
  <c r="PJ3" i="6"/>
  <c r="PJ9" i="6"/>
  <c r="PJ11" i="6"/>
  <c r="PJ17" i="6"/>
  <c r="PJ5" i="6"/>
  <c r="PI3" i="6"/>
  <c r="PI5" i="6"/>
  <c r="PI17" i="6"/>
  <c r="PI18" i="6"/>
  <c r="PI11" i="6"/>
  <c r="PI9" i="6"/>
  <c r="PI10" i="6"/>
  <c r="OS6" i="6"/>
  <c r="OR7" i="6"/>
  <c r="OY12" i="6"/>
  <c r="OX14" i="6"/>
  <c r="PH4" i="6"/>
  <c r="PJ10" i="6"/>
  <c r="PJ18" i="6"/>
  <c r="PL1" i="6"/>
  <c r="PK9" i="6"/>
  <c r="PK10" i="6"/>
  <c r="PK3" i="6"/>
  <c r="PK11" i="6"/>
  <c r="PK17" i="6"/>
  <c r="PK5" i="6"/>
  <c r="PI4" i="6"/>
  <c r="OZ12" i="6"/>
  <c r="OY14" i="6"/>
  <c r="OT6" i="6"/>
  <c r="OS7" i="6"/>
  <c r="PK18" i="6"/>
  <c r="PM1" i="6"/>
  <c r="PL3" i="6"/>
  <c r="PL9" i="6"/>
  <c r="PL10" i="6"/>
  <c r="PL11" i="6"/>
  <c r="PL17" i="6"/>
  <c r="PL18" i="6"/>
  <c r="PL5" i="6"/>
  <c r="OU6" i="6"/>
  <c r="OT7" i="6"/>
  <c r="OZ14" i="6"/>
  <c r="PA12" i="6"/>
  <c r="PJ4" i="6"/>
  <c r="PN1" i="6"/>
  <c r="PM11" i="6"/>
  <c r="PM9" i="6"/>
  <c r="PM10" i="6"/>
  <c r="PM3" i="6"/>
  <c r="PK4" i="6"/>
  <c r="PA14" i="6"/>
  <c r="PB12" i="6"/>
  <c r="OV6" i="6"/>
  <c r="OU7" i="6"/>
  <c r="PM5" i="6"/>
  <c r="PM17" i="6"/>
  <c r="PM18" i="6"/>
  <c r="PO1" i="6"/>
  <c r="PN3" i="6"/>
  <c r="PN9" i="6"/>
  <c r="PN10" i="6"/>
  <c r="PN11" i="6"/>
  <c r="PN17" i="6"/>
  <c r="PN5" i="6"/>
  <c r="OW6" i="6"/>
  <c r="OV7" i="6"/>
  <c r="PC12" i="6"/>
  <c r="PB14" i="6"/>
  <c r="PL4" i="6"/>
  <c r="PP1" i="6"/>
  <c r="PO9" i="6"/>
  <c r="PO10" i="6"/>
  <c r="PO3" i="6"/>
  <c r="PO11" i="6"/>
  <c r="PO17" i="6"/>
  <c r="PO5" i="6"/>
  <c r="PN18" i="6"/>
  <c r="PM4" i="6"/>
  <c r="PD12" i="6"/>
  <c r="PC14" i="6"/>
  <c r="OX6" i="6"/>
  <c r="OW7" i="6"/>
  <c r="PO18" i="6"/>
  <c r="PP3" i="6"/>
  <c r="PQ1" i="6"/>
  <c r="PP9" i="6"/>
  <c r="PP10" i="6"/>
  <c r="PP11" i="6"/>
  <c r="PP17" i="6"/>
  <c r="PP18" i="6"/>
  <c r="PP5" i="6"/>
  <c r="OY6" i="6"/>
  <c r="OX7" i="6"/>
  <c r="PD14" i="6"/>
  <c r="PE12" i="6"/>
  <c r="PN4" i="6"/>
  <c r="PR1" i="6"/>
  <c r="PQ9" i="6"/>
  <c r="PQ10" i="6"/>
  <c r="PQ11" i="6"/>
  <c r="PQ17" i="6"/>
  <c r="PQ18" i="6"/>
  <c r="PQ5" i="6"/>
  <c r="PO4" i="6"/>
  <c r="PE14" i="6"/>
  <c r="PF12" i="6"/>
  <c r="OZ6" i="6"/>
  <c r="OY7" i="6"/>
  <c r="PS1" i="6"/>
  <c r="PR3" i="6"/>
  <c r="PR9" i="6"/>
  <c r="PR10" i="6"/>
  <c r="PR11" i="6"/>
  <c r="PR17" i="6"/>
  <c r="PR18" i="6"/>
  <c r="PR5" i="6"/>
  <c r="PQ3" i="6"/>
  <c r="PA6" i="6"/>
  <c r="OZ7" i="6"/>
  <c r="PF14" i="6"/>
  <c r="PG12" i="6"/>
  <c r="PP4" i="6"/>
  <c r="PT1" i="6"/>
  <c r="PS3" i="6"/>
  <c r="PS9" i="6"/>
  <c r="PS10" i="6"/>
  <c r="PS11" i="6"/>
  <c r="PS17" i="6"/>
  <c r="PS18" i="6"/>
  <c r="PS5" i="6"/>
  <c r="PQ4" i="6"/>
  <c r="PH12" i="6"/>
  <c r="PG14" i="6"/>
  <c r="PB6" i="6"/>
  <c r="PA7" i="6"/>
  <c r="PU1" i="6"/>
  <c r="PT9" i="6"/>
  <c r="PT10" i="6"/>
  <c r="PT11" i="6"/>
  <c r="PT17" i="6"/>
  <c r="PT18" i="6"/>
  <c r="PT5" i="6"/>
  <c r="PC6" i="6"/>
  <c r="PB7" i="6"/>
  <c r="PI12" i="6"/>
  <c r="PH14" i="6"/>
  <c r="PR4" i="6"/>
  <c r="PV1" i="6"/>
  <c r="PU3" i="6"/>
  <c r="PU9" i="6"/>
  <c r="PU10" i="6"/>
  <c r="PU11" i="6"/>
  <c r="PU17" i="6"/>
  <c r="PU18" i="6"/>
  <c r="PU5" i="6"/>
  <c r="PT3" i="6"/>
  <c r="PS4" i="6"/>
  <c r="PJ12" i="6"/>
  <c r="PI14" i="6"/>
  <c r="PD6" i="6"/>
  <c r="PC7" i="6"/>
  <c r="PW1" i="6"/>
  <c r="PV3" i="6"/>
  <c r="PV9" i="6"/>
  <c r="PV10" i="6"/>
  <c r="PV11" i="6"/>
  <c r="PV17" i="6"/>
  <c r="PV18" i="6"/>
  <c r="PV5" i="6"/>
  <c r="PE6" i="6"/>
  <c r="PD7" i="6"/>
  <c r="PJ14" i="6"/>
  <c r="PK12" i="6"/>
  <c r="PT4" i="6"/>
  <c r="PX1" i="6"/>
  <c r="PW9" i="6"/>
  <c r="PW10" i="6"/>
  <c r="PW11" i="6"/>
  <c r="PW17" i="6"/>
  <c r="PW18" i="6"/>
  <c r="PW5" i="6"/>
  <c r="PU4" i="6"/>
  <c r="PL12" i="6"/>
  <c r="PK14" i="6"/>
  <c r="PF6" i="6"/>
  <c r="PE7" i="6"/>
  <c r="PY1" i="6"/>
  <c r="PX3" i="6"/>
  <c r="PX9" i="6"/>
  <c r="PX10" i="6"/>
  <c r="PX11" i="6"/>
  <c r="PX17" i="6"/>
  <c r="PX18" i="6"/>
  <c r="PX5" i="6"/>
  <c r="PW3" i="6"/>
  <c r="PG6" i="6"/>
  <c r="PF7" i="6"/>
  <c r="PL14" i="6"/>
  <c r="PM12" i="6"/>
  <c r="PV4" i="6"/>
  <c r="PZ1" i="6"/>
  <c r="PY9" i="6"/>
  <c r="PY10" i="6"/>
  <c r="PY3" i="6"/>
  <c r="PY11" i="6"/>
  <c r="PY17" i="6"/>
  <c r="PY18" i="6"/>
  <c r="PY5" i="6"/>
  <c r="PW4" i="6"/>
  <c r="PM14" i="6"/>
  <c r="PN12" i="6"/>
  <c r="PH6" i="6"/>
  <c r="PG7" i="6"/>
  <c r="QA1" i="6"/>
  <c r="PZ3" i="6"/>
  <c r="PZ11" i="6"/>
  <c r="PZ17" i="6"/>
  <c r="PZ18" i="6"/>
  <c r="PZ5" i="6"/>
  <c r="PI6" i="6"/>
  <c r="PH7" i="6"/>
  <c r="PO12" i="6"/>
  <c r="PN14" i="6"/>
  <c r="PX4" i="6"/>
  <c r="PZ9" i="6"/>
  <c r="PZ10" i="6"/>
  <c r="QB1" i="6"/>
  <c r="QA9" i="6"/>
  <c r="QA3" i="6"/>
  <c r="QA11" i="6"/>
  <c r="QA17" i="6"/>
  <c r="QA18" i="6"/>
  <c r="QA5" i="6"/>
  <c r="PY4" i="6"/>
  <c r="PO14" i="6"/>
  <c r="PP12" i="6"/>
  <c r="PJ6" i="6"/>
  <c r="PI7" i="6"/>
  <c r="QA10" i="6"/>
  <c r="QC1" i="6"/>
  <c r="QB9" i="6"/>
  <c r="QB10" i="6"/>
  <c r="QB11" i="6"/>
  <c r="QB17" i="6"/>
  <c r="QB18" i="6"/>
  <c r="QB5" i="6"/>
  <c r="PK6" i="6"/>
  <c r="PJ7" i="6"/>
  <c r="PZ4" i="6"/>
  <c r="PQ12" i="6"/>
  <c r="PP14" i="6"/>
  <c r="QD1" i="6"/>
  <c r="QC3" i="6"/>
  <c r="QC9" i="6"/>
  <c r="QC10" i="6"/>
  <c r="QC11" i="6"/>
  <c r="QC17" i="6"/>
  <c r="QC18" i="6"/>
  <c r="QC5" i="6"/>
  <c r="QB3" i="6"/>
  <c r="PQ14" i="6"/>
  <c r="PR12" i="6"/>
  <c r="QA4" i="6"/>
  <c r="PL6" i="6"/>
  <c r="PK7" i="6"/>
  <c r="QE1" i="6"/>
  <c r="QD3" i="6"/>
  <c r="QD17" i="6"/>
  <c r="QD18" i="6"/>
  <c r="QD5" i="6"/>
  <c r="PM6" i="6"/>
  <c r="PL7" i="6"/>
  <c r="QB4" i="6"/>
  <c r="PR14" i="6"/>
  <c r="PS12" i="6"/>
  <c r="QD9" i="6"/>
  <c r="QD10" i="6"/>
  <c r="QF1" i="6"/>
  <c r="QE9" i="6"/>
  <c r="QE11" i="6"/>
  <c r="QE17" i="6"/>
  <c r="QE18" i="6"/>
  <c r="QE5" i="6"/>
  <c r="QD11" i="6"/>
  <c r="PT12" i="6"/>
  <c r="PS14" i="6"/>
  <c r="QC4" i="6"/>
  <c r="PN6" i="6"/>
  <c r="PM7" i="6"/>
  <c r="QG1" i="6"/>
  <c r="QF11" i="6"/>
  <c r="QF17" i="6"/>
  <c r="QF18" i="6"/>
  <c r="QF5" i="6"/>
  <c r="QE3" i="6"/>
  <c r="QE10" i="6"/>
  <c r="PO6" i="6"/>
  <c r="PN7" i="6"/>
  <c r="QD4" i="6"/>
  <c r="PU12" i="6"/>
  <c r="PT14" i="6"/>
  <c r="QH1" i="6"/>
  <c r="QG3" i="6"/>
  <c r="QG9" i="6"/>
  <c r="QG11" i="6"/>
  <c r="QG17" i="6"/>
  <c r="QG18" i="6"/>
  <c r="QG5" i="6"/>
  <c r="QF9" i="6"/>
  <c r="QF10" i="6"/>
  <c r="QF3" i="6"/>
  <c r="PU14" i="6"/>
  <c r="PV12" i="6"/>
  <c r="QE4" i="6"/>
  <c r="PP6" i="6"/>
  <c r="PO7" i="6"/>
  <c r="QG10" i="6"/>
  <c r="QI1" i="6"/>
  <c r="QH3" i="6"/>
  <c r="QH9" i="6"/>
  <c r="QH10" i="6"/>
  <c r="QH11" i="6"/>
  <c r="QH17" i="6"/>
  <c r="QH18" i="6"/>
  <c r="QH5" i="6"/>
  <c r="PQ6" i="6"/>
  <c r="PP7" i="6"/>
  <c r="QF4" i="6"/>
  <c r="PW12" i="6"/>
  <c r="PV14" i="6"/>
  <c r="QJ1" i="6"/>
  <c r="QI3" i="6"/>
  <c r="QI9" i="6"/>
  <c r="QI10" i="6"/>
  <c r="QI11" i="6"/>
  <c r="QI17" i="6"/>
  <c r="QI18" i="6"/>
  <c r="QI5" i="6"/>
  <c r="PX12" i="6"/>
  <c r="PW14" i="6"/>
  <c r="QG4" i="6"/>
  <c r="PR6" i="6"/>
  <c r="PQ7" i="6"/>
  <c r="QK1" i="6"/>
  <c r="QJ3" i="6"/>
  <c r="QJ9" i="6"/>
  <c r="QJ10" i="6"/>
  <c r="QJ11" i="6"/>
  <c r="QJ17" i="6"/>
  <c r="QJ18" i="6"/>
  <c r="QJ5" i="6"/>
  <c r="PS6" i="6"/>
  <c r="PR7" i="6"/>
  <c r="QH4" i="6"/>
  <c r="PX14" i="6"/>
  <c r="PY12" i="6"/>
  <c r="QL1" i="6"/>
  <c r="QK11" i="6"/>
  <c r="QK17" i="6"/>
  <c r="QK18" i="6"/>
  <c r="QK5" i="6"/>
  <c r="PZ12" i="6"/>
  <c r="PY14" i="6"/>
  <c r="QI4" i="6"/>
  <c r="PT6" i="6"/>
  <c r="PS7" i="6"/>
  <c r="QM1" i="6"/>
  <c r="QL3" i="6"/>
  <c r="QL9" i="6"/>
  <c r="QL11" i="6"/>
  <c r="QL17" i="6"/>
  <c r="QL18" i="6"/>
  <c r="QL5" i="6"/>
  <c r="QK9" i="6"/>
  <c r="QK10" i="6"/>
  <c r="QK3" i="6"/>
  <c r="PU6" i="6"/>
  <c r="PT7" i="6"/>
  <c r="QJ4" i="6"/>
  <c r="QA12" i="6"/>
  <c r="PZ14" i="6"/>
  <c r="QL10" i="6"/>
  <c r="QN1" i="6"/>
  <c r="QM3" i="6"/>
  <c r="QM9" i="6"/>
  <c r="QB12" i="6"/>
  <c r="QA14" i="6"/>
  <c r="QK4" i="6"/>
  <c r="PV6" i="6"/>
  <c r="PU7" i="6"/>
  <c r="QM10" i="6"/>
  <c r="QO1" i="6"/>
  <c r="QN3" i="6"/>
  <c r="QN9" i="6"/>
  <c r="QN10" i="6"/>
  <c r="QM5" i="6"/>
  <c r="QM17" i="6"/>
  <c r="QM18" i="6"/>
  <c r="QM11" i="6"/>
  <c r="PW6" i="6"/>
  <c r="PV7" i="6"/>
  <c r="QL4" i="6"/>
  <c r="QB14" i="6"/>
  <c r="QC12" i="6"/>
  <c r="QN5" i="6"/>
  <c r="QN17" i="6"/>
  <c r="QN18" i="6"/>
  <c r="QN11" i="6"/>
  <c r="QP1" i="6"/>
  <c r="QO9" i="6"/>
  <c r="QO10" i="6"/>
  <c r="QO11" i="6"/>
  <c r="QO17" i="6"/>
  <c r="QO5" i="6"/>
  <c r="QC14" i="6"/>
  <c r="QD12" i="6"/>
  <c r="QM4" i="6"/>
  <c r="PX6" i="6"/>
  <c r="PW7" i="6"/>
  <c r="QO18" i="6"/>
  <c r="QQ1" i="6"/>
  <c r="QO3" i="6"/>
  <c r="PY6" i="6"/>
  <c r="PX7" i="6"/>
  <c r="QN4" i="6"/>
  <c r="QD14" i="6"/>
  <c r="QE12" i="6"/>
  <c r="QR1" i="6"/>
  <c r="QQ11" i="6"/>
  <c r="QP5" i="6"/>
  <c r="QP17" i="6"/>
  <c r="QP18" i="6"/>
  <c r="QP11" i="6"/>
  <c r="QP3" i="6"/>
  <c r="QP9" i="6"/>
  <c r="QP10" i="6"/>
  <c r="QF12" i="6"/>
  <c r="QE14" i="6"/>
  <c r="QO4" i="6"/>
  <c r="PZ6" i="6"/>
  <c r="PY7" i="6"/>
  <c r="QQ5" i="6"/>
  <c r="QQ17" i="6"/>
  <c r="QQ18" i="6"/>
  <c r="QS1" i="6"/>
  <c r="QR9" i="6"/>
  <c r="QR11" i="6"/>
  <c r="QR17" i="6"/>
  <c r="QR5" i="6"/>
  <c r="QQ3" i="6"/>
  <c r="QQ9" i="6"/>
  <c r="QQ10" i="6"/>
  <c r="QA6" i="6"/>
  <c r="PZ7" i="6"/>
  <c r="QP4" i="6"/>
  <c r="QF14" i="6"/>
  <c r="QG12" i="6"/>
  <c r="QR10" i="6"/>
  <c r="QR18" i="6"/>
  <c r="QT1" i="6"/>
  <c r="QS3" i="6"/>
  <c r="QS9" i="6"/>
  <c r="QS10" i="6"/>
  <c r="QR3" i="6"/>
  <c r="QH12" i="6"/>
  <c r="QG14" i="6"/>
  <c r="QQ4" i="6"/>
  <c r="QB6" i="6"/>
  <c r="QA7" i="6"/>
  <c r="QU1" i="6"/>
  <c r="QT9" i="6"/>
  <c r="QT10" i="6"/>
  <c r="QT3" i="6"/>
  <c r="QS5" i="6"/>
  <c r="QS17" i="6"/>
  <c r="QS18" i="6"/>
  <c r="QS11" i="6"/>
  <c r="QC6" i="6"/>
  <c r="QB7" i="6"/>
  <c r="QR4" i="6"/>
  <c r="QI12" i="6"/>
  <c r="QH14" i="6"/>
  <c r="QT5" i="6"/>
  <c r="QT17" i="6"/>
  <c r="QT18" i="6"/>
  <c r="QT11" i="6"/>
  <c r="QV1" i="6"/>
  <c r="QU9" i="6"/>
  <c r="QU10" i="6"/>
  <c r="QU3" i="6"/>
  <c r="QU11" i="6"/>
  <c r="QU17" i="6"/>
  <c r="QU5" i="6"/>
  <c r="QJ12" i="6"/>
  <c r="QI14" i="6"/>
  <c r="QS4" i="6"/>
  <c r="QD6" i="6"/>
  <c r="QC7" i="6"/>
  <c r="QU18" i="6"/>
  <c r="QW1" i="6"/>
  <c r="QV9" i="6"/>
  <c r="QV10" i="6"/>
  <c r="QV3" i="6"/>
  <c r="QV11" i="6"/>
  <c r="QV17" i="6"/>
  <c r="QV18" i="6"/>
  <c r="QV5" i="6"/>
  <c r="QE6" i="6"/>
  <c r="QD7" i="6"/>
  <c r="QT4" i="6"/>
  <c r="QJ14" i="6"/>
  <c r="QK12" i="6"/>
  <c r="QX1" i="6"/>
  <c r="QW3" i="6"/>
  <c r="QW9" i="6"/>
  <c r="QW10" i="6"/>
  <c r="QW11" i="6"/>
  <c r="QW17" i="6"/>
  <c r="QW18" i="6"/>
  <c r="QW5" i="6"/>
  <c r="QK14" i="6"/>
  <c r="QL12" i="6"/>
  <c r="QU4" i="6"/>
  <c r="QF6" i="6"/>
  <c r="QE7" i="6"/>
  <c r="QY1" i="6"/>
  <c r="QG6" i="6"/>
  <c r="QF7" i="6"/>
  <c r="QV4" i="6"/>
  <c r="QM12" i="6"/>
  <c r="QL14" i="6"/>
  <c r="QZ1" i="6"/>
  <c r="QY9" i="6"/>
  <c r="QY11" i="6"/>
  <c r="QY17" i="6"/>
  <c r="QY5" i="6"/>
  <c r="QX11" i="6"/>
  <c r="QX3" i="6"/>
  <c r="QX5" i="6"/>
  <c r="QX17" i="6"/>
  <c r="QX18" i="6"/>
  <c r="QX9" i="6"/>
  <c r="QX10" i="6"/>
  <c r="QN12" i="6"/>
  <c r="QM14" i="6"/>
  <c r="QW4" i="6"/>
  <c r="QH6" i="6"/>
  <c r="QG7" i="6"/>
  <c r="QY18" i="6"/>
  <c r="QY10" i="6"/>
  <c r="QY3" i="6"/>
  <c r="RA1" i="6"/>
  <c r="QZ3" i="6"/>
  <c r="QZ9" i="6"/>
  <c r="QZ11" i="6"/>
  <c r="QZ17" i="6"/>
  <c r="QZ18" i="6"/>
  <c r="QZ5" i="6"/>
  <c r="QI6" i="6"/>
  <c r="QH7" i="6"/>
  <c r="QX4" i="6"/>
  <c r="QN14" i="6"/>
  <c r="QO12" i="6"/>
  <c r="RB1" i="6"/>
  <c r="RA3" i="6"/>
  <c r="RA9" i="6"/>
  <c r="RA11" i="6"/>
  <c r="RA17" i="6"/>
  <c r="RA18" i="6"/>
  <c r="RA5" i="6"/>
  <c r="QZ10" i="6"/>
  <c r="QO14" i="6"/>
  <c r="QP12" i="6"/>
  <c r="QY4" i="6"/>
  <c r="QJ6" i="6"/>
  <c r="QI7" i="6"/>
  <c r="RA10" i="6"/>
  <c r="RC1" i="6"/>
  <c r="RB3" i="6"/>
  <c r="RB9" i="6"/>
  <c r="RB10" i="6"/>
  <c r="RB11" i="6"/>
  <c r="RB17" i="6"/>
  <c r="RB18" i="6"/>
  <c r="RB5" i="6"/>
  <c r="QK6" i="6"/>
  <c r="QJ7" i="6"/>
  <c r="QZ4" i="6"/>
  <c r="QQ12" i="6"/>
  <c r="QP14" i="6"/>
  <c r="RD1" i="6"/>
  <c r="RC3" i="6"/>
  <c r="RC9" i="6"/>
  <c r="RC10" i="6"/>
  <c r="RC11" i="6"/>
  <c r="RC17" i="6"/>
  <c r="RC18" i="6"/>
  <c r="RC5" i="6"/>
  <c r="QR12" i="6"/>
  <c r="QQ14" i="6"/>
  <c r="RA4" i="6"/>
  <c r="QL6" i="6"/>
  <c r="QK7" i="6"/>
  <c r="RE1" i="6"/>
  <c r="RD9" i="6"/>
  <c r="RD10" i="6"/>
  <c r="RD11" i="6"/>
  <c r="RD17" i="6"/>
  <c r="RD18" i="6"/>
  <c r="RD5" i="6"/>
  <c r="QM6" i="6"/>
  <c r="QL7" i="6"/>
  <c r="RB4" i="6"/>
  <c r="QS12" i="6"/>
  <c r="QR14" i="6"/>
  <c r="RF1" i="6"/>
  <c r="RD3" i="6"/>
  <c r="QT12" i="6"/>
  <c r="QS14" i="6"/>
  <c r="RC4" i="6"/>
  <c r="QN6" i="6"/>
  <c r="QM7" i="6"/>
  <c r="RG1" i="6"/>
  <c r="RF3" i="6"/>
  <c r="RE5" i="6"/>
  <c r="RE17" i="6"/>
  <c r="RE18" i="6"/>
  <c r="RE11" i="6"/>
  <c r="RE9" i="6"/>
  <c r="RE10" i="6"/>
  <c r="RE3" i="6"/>
  <c r="QO6" i="6"/>
  <c r="QN7" i="6"/>
  <c r="RD4" i="6"/>
  <c r="QU12" i="6"/>
  <c r="QT14" i="6"/>
  <c r="RF5" i="6"/>
  <c r="RF17" i="6"/>
  <c r="RF18" i="6"/>
  <c r="RF11" i="6"/>
  <c r="RF9" i="6"/>
  <c r="RF10" i="6"/>
  <c r="RH1" i="6"/>
  <c r="RG11" i="6"/>
  <c r="RG17" i="6"/>
  <c r="RG5" i="6"/>
  <c r="QV12" i="6"/>
  <c r="QU14" i="6"/>
  <c r="RE4" i="6"/>
  <c r="QP6" i="6"/>
  <c r="QO7" i="6"/>
  <c r="RG18" i="6"/>
  <c r="RI1" i="6"/>
  <c r="RH3" i="6"/>
  <c r="RH9" i="6"/>
  <c r="RH11" i="6"/>
  <c r="RH17" i="6"/>
  <c r="RH18" i="6"/>
  <c r="RH5" i="6"/>
  <c r="RG3" i="6"/>
  <c r="RG9" i="6"/>
  <c r="RG10" i="6"/>
  <c r="QQ6" i="6"/>
  <c r="QP7" i="6"/>
  <c r="RF4" i="6"/>
  <c r="QV14" i="6"/>
  <c r="QW12" i="6"/>
  <c r="RH10" i="6"/>
  <c r="RJ1" i="6"/>
  <c r="RI9" i="6"/>
  <c r="RI10" i="6"/>
  <c r="QX12" i="6"/>
  <c r="QW14" i="6"/>
  <c r="RG4" i="6"/>
  <c r="QR6" i="6"/>
  <c r="QQ7" i="6"/>
  <c r="RK1" i="6"/>
  <c r="RJ9" i="6"/>
  <c r="RJ10" i="6"/>
  <c r="RJ11" i="6"/>
  <c r="RI5" i="6"/>
  <c r="RI17" i="6"/>
  <c r="RI18" i="6"/>
  <c r="RI11" i="6"/>
  <c r="RI3" i="6"/>
  <c r="QS6" i="6"/>
  <c r="QR7" i="6"/>
  <c r="RH4" i="6"/>
  <c r="QX14" i="6"/>
  <c r="QY12" i="6"/>
  <c r="RL1" i="6"/>
  <c r="RK9" i="6"/>
  <c r="RK10" i="6"/>
  <c r="RK11" i="6"/>
  <c r="RK17" i="6"/>
  <c r="RK5" i="6"/>
  <c r="RJ3" i="6"/>
  <c r="RJ5" i="6"/>
  <c r="RJ17" i="6"/>
  <c r="RJ18" i="6"/>
  <c r="QZ12" i="6"/>
  <c r="QY14" i="6"/>
  <c r="RI4" i="6"/>
  <c r="QT6" i="6"/>
  <c r="QS7" i="6"/>
  <c r="RK18" i="6"/>
  <c r="RM1" i="6"/>
  <c r="RL3" i="6"/>
  <c r="RL9" i="6"/>
  <c r="RL10" i="6"/>
  <c r="RL11" i="6"/>
  <c r="RL17" i="6"/>
  <c r="RL18" i="6"/>
  <c r="RL5" i="6"/>
  <c r="RK3" i="6"/>
  <c r="QU6" i="6"/>
  <c r="QT7" i="6"/>
  <c r="RJ4" i="6"/>
  <c r="QZ14" i="6"/>
  <c r="RA12" i="6"/>
  <c r="RN1" i="6"/>
  <c r="RM9" i="6"/>
  <c r="RM10" i="6"/>
  <c r="RM3" i="6"/>
  <c r="RM11" i="6"/>
  <c r="RM17" i="6"/>
  <c r="RM18" i="6"/>
  <c r="RM5" i="6"/>
  <c r="RA14" i="6"/>
  <c r="RB12" i="6"/>
  <c r="RK4" i="6"/>
  <c r="QV6" i="6"/>
  <c r="QU7" i="6"/>
  <c r="RO1" i="6"/>
  <c r="RN3" i="6"/>
  <c r="RN9" i="6"/>
  <c r="RN10" i="6"/>
  <c r="RN11" i="6"/>
  <c r="RN17" i="6"/>
  <c r="RN18" i="6"/>
  <c r="RN5" i="6"/>
  <c r="QW6" i="6"/>
  <c r="QV7" i="6"/>
  <c r="RL4" i="6"/>
  <c r="RC12" i="6"/>
  <c r="RB14" i="6"/>
  <c r="RP1" i="6"/>
  <c r="RO3" i="6"/>
  <c r="RO9" i="6"/>
  <c r="RO10" i="6"/>
  <c r="RO11" i="6"/>
  <c r="RO17" i="6"/>
  <c r="RO18" i="6"/>
  <c r="RO5" i="6"/>
  <c r="RC14" i="6"/>
  <c r="RD12" i="6"/>
  <c r="RM4" i="6"/>
  <c r="QX6" i="6"/>
  <c r="QW7" i="6"/>
  <c r="RQ1" i="6"/>
  <c r="RP9" i="6"/>
  <c r="RP10" i="6"/>
  <c r="RP3" i="6"/>
  <c r="RP11" i="6"/>
  <c r="RP17" i="6"/>
  <c r="RP18" i="6"/>
  <c r="RP5" i="6"/>
  <c r="QY6" i="6"/>
  <c r="QX7" i="6"/>
  <c r="RN4" i="6"/>
  <c r="RE12" i="6"/>
  <c r="RD14" i="6"/>
  <c r="RR1" i="6"/>
  <c r="RQ9" i="6"/>
  <c r="RQ10" i="6"/>
  <c r="RQ3" i="6"/>
  <c r="RQ11" i="6"/>
  <c r="RQ17" i="6"/>
  <c r="RQ18" i="6"/>
  <c r="RQ5" i="6"/>
  <c r="RF12" i="6"/>
  <c r="RE14" i="6"/>
  <c r="RO4" i="6"/>
  <c r="QZ6" i="6"/>
  <c r="QY7" i="6"/>
  <c r="RS1" i="6"/>
  <c r="RR3" i="6"/>
  <c r="RR9" i="6"/>
  <c r="RR10" i="6"/>
  <c r="RR11" i="6"/>
  <c r="RR17" i="6"/>
  <c r="RR18" i="6"/>
  <c r="RR5" i="6"/>
  <c r="RA6" i="6"/>
  <c r="QZ7" i="6"/>
  <c r="RP4" i="6"/>
  <c r="RF14" i="6"/>
  <c r="RG12" i="6"/>
  <c r="RT1" i="6"/>
  <c r="RS9" i="6"/>
  <c r="RS10" i="6"/>
  <c r="RS11" i="6"/>
  <c r="RS17" i="6"/>
  <c r="RS18" i="6"/>
  <c r="RS5" i="6"/>
  <c r="RG14" i="6"/>
  <c r="RH12" i="6"/>
  <c r="RQ4" i="6"/>
  <c r="RB6" i="6"/>
  <c r="RA7" i="6"/>
  <c r="RU1" i="6"/>
  <c r="RS3" i="6"/>
  <c r="RC6" i="6"/>
  <c r="RB7" i="6"/>
  <c r="RR4" i="6"/>
  <c r="RH14" i="6"/>
  <c r="RI12" i="6"/>
  <c r="RV1" i="6"/>
  <c r="RU9" i="6"/>
  <c r="RT5" i="6"/>
  <c r="RT17" i="6"/>
  <c r="RT18" i="6"/>
  <c r="RT11" i="6"/>
  <c r="RT9" i="6"/>
  <c r="RT10" i="6"/>
  <c r="RT3" i="6"/>
  <c r="RJ12" i="6"/>
  <c r="RI14" i="6"/>
  <c r="RS4" i="6"/>
  <c r="RD6" i="6"/>
  <c r="RC7" i="6"/>
  <c r="RW1" i="6"/>
  <c r="RV9" i="6"/>
  <c r="RU3" i="6"/>
  <c r="RU10" i="6"/>
  <c r="RU5" i="6"/>
  <c r="RU17" i="6"/>
  <c r="RU18" i="6"/>
  <c r="RU11" i="6"/>
  <c r="RE6" i="6"/>
  <c r="RD7" i="6"/>
  <c r="RT4" i="6"/>
  <c r="RJ14" i="6"/>
  <c r="RK12" i="6"/>
  <c r="RX1" i="6"/>
  <c r="RW3" i="6"/>
  <c r="RW9" i="6"/>
  <c r="RW11" i="6"/>
  <c r="RW17" i="6"/>
  <c r="RW5" i="6"/>
  <c r="RV10" i="6"/>
  <c r="RV5" i="6"/>
  <c r="RV17" i="6"/>
  <c r="RV18" i="6"/>
  <c r="RV11" i="6"/>
  <c r="RV3" i="6"/>
  <c r="RK14" i="6"/>
  <c r="RL12" i="6"/>
  <c r="RU4" i="6"/>
  <c r="RF6" i="6"/>
  <c r="RE7" i="6"/>
  <c r="RW10" i="6"/>
  <c r="RW18" i="6"/>
  <c r="RY1" i="6"/>
  <c r="RG6" i="6"/>
  <c r="RF7" i="6"/>
  <c r="RV4" i="6"/>
  <c r="RM12" i="6"/>
  <c r="RL14" i="6"/>
  <c r="RZ1" i="6"/>
  <c r="RY3" i="6"/>
  <c r="RY9" i="6"/>
  <c r="RY11" i="6"/>
  <c r="RX5" i="6"/>
  <c r="RX17" i="6"/>
  <c r="RX18" i="6"/>
  <c r="RX11" i="6"/>
  <c r="RX3" i="6"/>
  <c r="RX9" i="6"/>
  <c r="RX10" i="6"/>
  <c r="RM14" i="6"/>
  <c r="RN12" i="6"/>
  <c r="RW4" i="6"/>
  <c r="RH6" i="6"/>
  <c r="RG7" i="6"/>
  <c r="SA1" i="6"/>
  <c r="RY10" i="6"/>
  <c r="RY5" i="6"/>
  <c r="RY17" i="6"/>
  <c r="RY18" i="6"/>
  <c r="RI6" i="6"/>
  <c r="RH7" i="6"/>
  <c r="RX4" i="6"/>
  <c r="RN14" i="6"/>
  <c r="RO12" i="6"/>
  <c r="SB1" i="6"/>
  <c r="SA3" i="6"/>
  <c r="SA9" i="6"/>
  <c r="SA11" i="6"/>
  <c r="SA17" i="6"/>
  <c r="SA5" i="6"/>
  <c r="RZ5" i="6"/>
  <c r="RZ17" i="6"/>
  <c r="RZ18" i="6"/>
  <c r="RZ11" i="6"/>
  <c r="RZ9" i="6"/>
  <c r="RZ10" i="6"/>
  <c r="RZ3" i="6"/>
  <c r="RY4" i="6"/>
  <c r="RP12" i="6"/>
  <c r="RO14" i="6"/>
  <c r="RJ6" i="6"/>
  <c r="RI7" i="6"/>
  <c r="SA10" i="6"/>
  <c r="SA18" i="6"/>
  <c r="SC1" i="6"/>
  <c r="RK6" i="6"/>
  <c r="RJ7" i="6"/>
  <c r="RQ12" i="6"/>
  <c r="RP14" i="6"/>
  <c r="RZ4" i="6"/>
  <c r="SD1" i="6"/>
  <c r="SC9" i="6"/>
  <c r="SC3" i="6"/>
  <c r="SB5" i="6"/>
  <c r="SB17" i="6"/>
  <c r="SB18" i="6"/>
  <c r="SB11" i="6"/>
  <c r="SB3" i="6"/>
  <c r="SB9" i="6"/>
  <c r="SB10" i="6"/>
  <c r="SA4" i="6"/>
  <c r="RR12" i="6"/>
  <c r="RQ14" i="6"/>
  <c r="RL6" i="6"/>
  <c r="RK7" i="6"/>
  <c r="SC10" i="6"/>
  <c r="SC5" i="6"/>
  <c r="SC17" i="6"/>
  <c r="SC18" i="6"/>
  <c r="SC11" i="6"/>
  <c r="SE1" i="6"/>
  <c r="SD9" i="6"/>
  <c r="SD3" i="6"/>
  <c r="SD11" i="6"/>
  <c r="SD17" i="6"/>
  <c r="SD5" i="6"/>
  <c r="RM6" i="6"/>
  <c r="RL7" i="6"/>
  <c r="RS12" i="6"/>
  <c r="RR14" i="6"/>
  <c r="SB4" i="6"/>
  <c r="SD10" i="6"/>
  <c r="SD18" i="6"/>
  <c r="SF1" i="6"/>
  <c r="SC4" i="6"/>
  <c r="RT12" i="6"/>
  <c r="RS14" i="6"/>
  <c r="RN6" i="6"/>
  <c r="RM7" i="6"/>
  <c r="SG1" i="6"/>
  <c r="SF9" i="6"/>
  <c r="SE5" i="6"/>
  <c r="SE17" i="6"/>
  <c r="SE18" i="6"/>
  <c r="SE11" i="6"/>
  <c r="SE9" i="6"/>
  <c r="SE10" i="6"/>
  <c r="SE3" i="6"/>
  <c r="RO6" i="6"/>
  <c r="RN7" i="6"/>
  <c r="RT14" i="6"/>
  <c r="RU12" i="6"/>
  <c r="SD4" i="6"/>
  <c r="SH1" i="6"/>
  <c r="SG3" i="6"/>
  <c r="SG9" i="6"/>
  <c r="SG11" i="6"/>
  <c r="SG17" i="6"/>
  <c r="SG5" i="6"/>
  <c r="SF10" i="6"/>
  <c r="SF3" i="6"/>
  <c r="SF5" i="6"/>
  <c r="SF17" i="6"/>
  <c r="SF18" i="6"/>
  <c r="SF11" i="6"/>
  <c r="SE4" i="6"/>
  <c r="RV12" i="6"/>
  <c r="RU14" i="6"/>
  <c r="RP6" i="6"/>
  <c r="RO7" i="6"/>
  <c r="SG10" i="6"/>
  <c r="SG18" i="6"/>
  <c r="SI1" i="6"/>
  <c r="SH3" i="6"/>
  <c r="SH9" i="6"/>
  <c r="SH11" i="6"/>
  <c r="SH17" i="6"/>
  <c r="SH18" i="6"/>
  <c r="SH5" i="6"/>
  <c r="RQ6" i="6"/>
  <c r="RP7" i="6"/>
  <c r="RW12" i="6"/>
  <c r="RV14" i="6"/>
  <c r="SF4" i="6"/>
  <c r="SH10" i="6"/>
  <c r="SJ1" i="6"/>
  <c r="SI3" i="6"/>
  <c r="SI9" i="6"/>
  <c r="SI11" i="6"/>
  <c r="SI17" i="6"/>
  <c r="SI18" i="6"/>
  <c r="SI5" i="6"/>
  <c r="SG4" i="6"/>
  <c r="RX12" i="6"/>
  <c r="RW14" i="6"/>
  <c r="RR6" i="6"/>
  <c r="RQ7" i="6"/>
  <c r="SI10" i="6"/>
  <c r="SK1" i="6"/>
  <c r="SJ9" i="6"/>
  <c r="SJ11" i="6"/>
  <c r="SJ17" i="6"/>
  <c r="SJ18" i="6"/>
  <c r="SJ5" i="6"/>
  <c r="RS6" i="6"/>
  <c r="RR7" i="6"/>
  <c r="RX14" i="6"/>
  <c r="RY12" i="6"/>
  <c r="SH4" i="6"/>
  <c r="SJ10" i="6"/>
  <c r="SL1" i="6"/>
  <c r="SK11" i="6"/>
  <c r="SK17" i="6"/>
  <c r="SK18" i="6"/>
  <c r="SK5" i="6"/>
  <c r="SJ3" i="6"/>
  <c r="SI4" i="6"/>
  <c r="RZ12" i="6"/>
  <c r="RY14" i="6"/>
  <c r="RT6" i="6"/>
  <c r="RS7" i="6"/>
  <c r="SM1" i="6"/>
  <c r="SL11" i="6"/>
  <c r="SL17" i="6"/>
  <c r="SL18" i="6"/>
  <c r="SL5" i="6"/>
  <c r="SK9" i="6"/>
  <c r="SK10" i="6"/>
  <c r="SK3" i="6"/>
  <c r="RU6" i="6"/>
  <c r="RT7" i="6"/>
  <c r="RZ14" i="6"/>
  <c r="SA12" i="6"/>
  <c r="SJ4" i="6"/>
  <c r="SN1" i="6"/>
  <c r="SM3" i="6"/>
  <c r="SM9" i="6"/>
  <c r="SM11" i="6"/>
  <c r="SM17" i="6"/>
  <c r="SM18" i="6"/>
  <c r="SM5" i="6"/>
  <c r="SL9" i="6"/>
  <c r="SL10" i="6"/>
  <c r="SM10" i="6"/>
  <c r="SL3" i="6"/>
  <c r="SK4" i="6"/>
  <c r="SA14" i="6"/>
  <c r="SB12" i="6"/>
  <c r="RV6" i="6"/>
  <c r="RU7" i="6"/>
  <c r="SN3" i="6"/>
  <c r="SO1" i="6"/>
  <c r="SN11" i="6"/>
  <c r="SN17" i="6"/>
  <c r="SN18" i="6"/>
  <c r="SN5" i="6"/>
  <c r="RW6" i="6"/>
  <c r="RV7" i="6"/>
  <c r="SC12" i="6"/>
  <c r="SB14" i="6"/>
  <c r="SL4" i="6"/>
  <c r="SP1" i="6"/>
  <c r="SO9" i="6"/>
  <c r="SN9" i="6"/>
  <c r="SN10" i="6"/>
  <c r="SM4" i="6"/>
  <c r="SC14" i="6"/>
  <c r="SD12" i="6"/>
  <c r="RX6" i="6"/>
  <c r="RW7" i="6"/>
  <c r="SO10" i="6"/>
  <c r="SO17" i="6"/>
  <c r="SO18" i="6"/>
  <c r="SQ1" i="6"/>
  <c r="SP9" i="6"/>
  <c r="SP3" i="6"/>
  <c r="SP11" i="6"/>
  <c r="SP17" i="6"/>
  <c r="SP5" i="6"/>
  <c r="SO5" i="6"/>
  <c r="SO11" i="6"/>
  <c r="SO3" i="6"/>
  <c r="RY6" i="6"/>
  <c r="RX7" i="6"/>
  <c r="SD14" i="6"/>
  <c r="SE12" i="6"/>
  <c r="SN4" i="6"/>
  <c r="SP10" i="6"/>
  <c r="SQ3" i="6"/>
  <c r="SR1" i="6"/>
  <c r="SQ9" i="6"/>
  <c r="SQ10" i="6"/>
  <c r="SQ11" i="6"/>
  <c r="SQ17" i="6"/>
  <c r="SQ5" i="6"/>
  <c r="SP18" i="6"/>
  <c r="SO4" i="6"/>
  <c r="SF12" i="6"/>
  <c r="SE14" i="6"/>
  <c r="RZ6" i="6"/>
  <c r="RY7" i="6"/>
  <c r="SQ18" i="6"/>
  <c r="SS1" i="6"/>
  <c r="SR9" i="6"/>
  <c r="SR10" i="6"/>
  <c r="SR11" i="6"/>
  <c r="SR17" i="6"/>
  <c r="SR18" i="6"/>
  <c r="SR5" i="6"/>
  <c r="SA6" i="6"/>
  <c r="RZ7" i="6"/>
  <c r="SF14" i="6"/>
  <c r="SG12" i="6"/>
  <c r="SP4" i="6"/>
  <c r="ST1" i="6"/>
  <c r="SS9" i="6"/>
  <c r="SS10" i="6"/>
  <c r="SS3" i="6"/>
  <c r="SS11" i="6"/>
  <c r="SS17" i="6"/>
  <c r="SS18" i="6"/>
  <c r="SS5" i="6"/>
  <c r="SR3" i="6"/>
  <c r="SQ4" i="6"/>
  <c r="SH12" i="6"/>
  <c r="SG14" i="6"/>
  <c r="SB6" i="6"/>
  <c r="SA7" i="6"/>
  <c r="SU1" i="6"/>
  <c r="ST3" i="6"/>
  <c r="ST9" i="6"/>
  <c r="ST10" i="6"/>
  <c r="ST11" i="6"/>
  <c r="ST17" i="6"/>
  <c r="ST18" i="6"/>
  <c r="ST5" i="6"/>
  <c r="SC6" i="6"/>
  <c r="SB7" i="6"/>
  <c r="SI12" i="6"/>
  <c r="SH14" i="6"/>
  <c r="SR4" i="6"/>
  <c r="SV1" i="6"/>
  <c r="SU9" i="6"/>
  <c r="SU10" i="6"/>
  <c r="SU3" i="6"/>
  <c r="SU11" i="6"/>
  <c r="SU17" i="6"/>
  <c r="SU18" i="6"/>
  <c r="SU5" i="6"/>
  <c r="SS4" i="6"/>
  <c r="SJ12" i="6"/>
  <c r="SI14" i="6"/>
  <c r="SD6" i="6"/>
  <c r="SC7" i="6"/>
  <c r="SW1" i="6"/>
  <c r="SV3" i="6"/>
  <c r="SV9" i="6"/>
  <c r="SV10" i="6"/>
  <c r="SV11" i="6"/>
  <c r="SV17" i="6"/>
  <c r="SV18" i="6"/>
  <c r="SV5" i="6"/>
  <c r="SE6" i="6"/>
  <c r="SD7" i="6"/>
  <c r="SK12" i="6"/>
  <c r="SJ14" i="6"/>
  <c r="ST4" i="6"/>
  <c r="SX1" i="6"/>
  <c r="SW9" i="6"/>
  <c r="SW10" i="6"/>
  <c r="SW3" i="6"/>
  <c r="SW11" i="6"/>
  <c r="SW17" i="6"/>
  <c r="SW18" i="6"/>
  <c r="SW5" i="6"/>
  <c r="SU4" i="6"/>
  <c r="SK14" i="6"/>
  <c r="SL12" i="6"/>
  <c r="SF6" i="6"/>
  <c r="SE7" i="6"/>
  <c r="SY1" i="6"/>
  <c r="SX3" i="6"/>
  <c r="SX9" i="6"/>
  <c r="SX10" i="6"/>
  <c r="SX11" i="6"/>
  <c r="SX17" i="6"/>
  <c r="SX18" i="6"/>
  <c r="SX5" i="6"/>
  <c r="SG6" i="6"/>
  <c r="SF7" i="6"/>
  <c r="SL14" i="6"/>
  <c r="SM12" i="6"/>
  <c r="SV4" i="6"/>
  <c r="SZ1" i="6"/>
  <c r="SY9" i="6"/>
  <c r="SY10" i="6"/>
  <c r="SY3" i="6"/>
  <c r="SY11" i="6"/>
  <c r="SY17" i="6"/>
  <c r="SY18" i="6"/>
  <c r="SY5" i="6"/>
  <c r="SW4" i="6"/>
  <c r="SM14" i="6"/>
  <c r="SN12" i="6"/>
  <c r="SH6" i="6"/>
  <c r="SG7" i="6"/>
  <c r="TA1" i="6"/>
  <c r="SZ9" i="6"/>
  <c r="SZ10" i="6"/>
  <c r="SZ3" i="6"/>
  <c r="SZ11" i="6"/>
  <c r="SZ17" i="6"/>
  <c r="SZ18" i="6"/>
  <c r="SZ5" i="6"/>
  <c r="SI6" i="6"/>
  <c r="SH7" i="6"/>
  <c r="SN14" i="6"/>
  <c r="SO12" i="6"/>
  <c r="SX4" i="6"/>
  <c r="TB1" i="6"/>
  <c r="TA3" i="6"/>
  <c r="TA9" i="6"/>
  <c r="TA10" i="6"/>
  <c r="TA11" i="6"/>
  <c r="TA17" i="6"/>
  <c r="TA18" i="6"/>
  <c r="TA5" i="6"/>
  <c r="SY4" i="6"/>
  <c r="SP12" i="6"/>
  <c r="SO14" i="6"/>
  <c r="SJ6" i="6"/>
  <c r="SI7" i="6"/>
  <c r="TC1" i="6"/>
  <c r="TB3" i="6"/>
  <c r="TB9" i="6"/>
  <c r="TB10" i="6"/>
  <c r="TB11" i="6"/>
  <c r="TB17" i="6"/>
  <c r="TB18" i="6"/>
  <c r="TB5" i="6"/>
  <c r="SK6" i="6"/>
  <c r="SJ7" i="6"/>
  <c r="SQ12" i="6"/>
  <c r="SP14" i="6"/>
  <c r="SZ4" i="6"/>
  <c r="TD1" i="6"/>
  <c r="TC9" i="6"/>
  <c r="TC10" i="6"/>
  <c r="TC11" i="6"/>
  <c r="TC17" i="6"/>
  <c r="TC18" i="6"/>
  <c r="TC5" i="6"/>
  <c r="TA4" i="6"/>
  <c r="SR12" i="6"/>
  <c r="SQ14" i="6"/>
  <c r="SL6" i="6"/>
  <c r="SK7" i="6"/>
  <c r="TE1" i="6"/>
  <c r="TD3" i="6"/>
  <c r="TD9" i="6"/>
  <c r="TD10" i="6"/>
  <c r="TD11" i="6"/>
  <c r="TD17" i="6"/>
  <c r="TD18" i="6"/>
  <c r="TD5" i="6"/>
  <c r="TC3" i="6"/>
  <c r="SM6" i="6"/>
  <c r="SL7" i="6"/>
  <c r="SR14" i="6"/>
  <c r="SS12" i="6"/>
  <c r="TB4" i="6"/>
  <c r="TF1" i="6"/>
  <c r="TE9" i="6"/>
  <c r="TE10" i="6"/>
  <c r="TE3" i="6"/>
  <c r="TE11" i="6"/>
  <c r="TE17" i="6"/>
  <c r="TE18" i="6"/>
  <c r="TE5" i="6"/>
  <c r="TC4" i="6"/>
  <c r="ST12" i="6"/>
  <c r="SS14" i="6"/>
  <c r="SN6" i="6"/>
  <c r="SM7" i="6"/>
  <c r="TG1" i="6"/>
  <c r="TF9" i="6"/>
  <c r="TF10" i="6"/>
  <c r="SO6" i="6"/>
  <c r="SN7" i="6"/>
  <c r="SU12" i="6"/>
  <c r="ST14" i="6"/>
  <c r="TD4" i="6"/>
  <c r="TF5" i="6"/>
  <c r="TF17" i="6"/>
  <c r="TF18" i="6"/>
  <c r="TF11" i="6"/>
  <c r="TF3" i="6"/>
  <c r="TH1" i="6"/>
  <c r="TG9" i="6"/>
  <c r="TG10" i="6"/>
  <c r="TG11" i="6"/>
  <c r="TG17" i="6"/>
  <c r="TG5" i="6"/>
  <c r="TE4" i="6"/>
  <c r="SU14" i="6"/>
  <c r="SV12" i="6"/>
  <c r="SP6" i="6"/>
  <c r="SO7" i="6"/>
  <c r="TG18" i="6"/>
  <c r="TI1" i="6"/>
  <c r="TH3" i="6"/>
  <c r="TH9" i="6"/>
  <c r="TH10" i="6"/>
  <c r="TH11" i="6"/>
  <c r="TH17" i="6"/>
  <c r="TH18" i="6"/>
  <c r="TH5" i="6"/>
  <c r="TG3" i="6"/>
  <c r="SQ6" i="6"/>
  <c r="SP7" i="6"/>
  <c r="SW12" i="6"/>
  <c r="SV14" i="6"/>
  <c r="TF4" i="6"/>
  <c r="TJ1" i="6"/>
  <c r="TI3" i="6"/>
  <c r="TI9" i="6"/>
  <c r="TI10" i="6"/>
  <c r="TI11" i="6"/>
  <c r="TI17" i="6"/>
  <c r="TI18" i="6"/>
  <c r="TI5" i="6"/>
  <c r="TG4" i="6"/>
  <c r="SX12" i="6"/>
  <c r="SW14" i="6"/>
  <c r="SR6" i="6"/>
  <c r="SQ7" i="6"/>
  <c r="TK1" i="6"/>
  <c r="TJ9" i="6"/>
  <c r="TJ10" i="6"/>
  <c r="TJ3" i="6"/>
  <c r="TJ11" i="6"/>
  <c r="TJ17" i="6"/>
  <c r="TJ18" i="6"/>
  <c r="TJ5" i="6"/>
  <c r="SS6" i="6"/>
  <c r="SR7" i="6"/>
  <c r="SX14" i="6"/>
  <c r="SY12" i="6"/>
  <c r="TH4" i="6"/>
  <c r="TL1" i="6"/>
  <c r="TK9" i="6"/>
  <c r="TK10" i="6"/>
  <c r="TK11" i="6"/>
  <c r="TK17" i="6"/>
  <c r="TK18" i="6"/>
  <c r="TK5" i="6"/>
  <c r="TI4" i="6"/>
  <c r="SZ12" i="6"/>
  <c r="SY14" i="6"/>
  <c r="ST6" i="6"/>
  <c r="SS7" i="6"/>
  <c r="TM1" i="6"/>
  <c r="TL9" i="6"/>
  <c r="TL10" i="6"/>
  <c r="TL11" i="6"/>
  <c r="TL17" i="6"/>
  <c r="TL18" i="6"/>
  <c r="TL5" i="6"/>
  <c r="TK3" i="6"/>
  <c r="SU6" i="6"/>
  <c r="ST7" i="6"/>
  <c r="TA12" i="6"/>
  <c r="SZ14" i="6"/>
  <c r="TJ4" i="6"/>
  <c r="TN1" i="6"/>
  <c r="TM3" i="6"/>
  <c r="TM9" i="6"/>
  <c r="TM10" i="6"/>
  <c r="TM11" i="6"/>
  <c r="TM17" i="6"/>
  <c r="TM18" i="6"/>
  <c r="TM5" i="6"/>
  <c r="TL3" i="6"/>
  <c r="TK4" i="6"/>
  <c r="TA14" i="6"/>
  <c r="TB12" i="6"/>
  <c r="SV6" i="6"/>
  <c r="SU7" i="6"/>
  <c r="TO1" i="6"/>
  <c r="TN3" i="6"/>
  <c r="TN9" i="6"/>
  <c r="TN10" i="6"/>
  <c r="TN11" i="6"/>
  <c r="TN17" i="6"/>
  <c r="TN18" i="6"/>
  <c r="TN5" i="6"/>
  <c r="SW6" i="6"/>
  <c r="SV7" i="6"/>
  <c r="TC12" i="6"/>
  <c r="TB14" i="6"/>
  <c r="TL4" i="6"/>
  <c r="TP1" i="6"/>
  <c r="TO9" i="6"/>
  <c r="TO10" i="6"/>
  <c r="TO11" i="6"/>
  <c r="TO17" i="6"/>
  <c r="TO18" i="6"/>
  <c r="TO5" i="6"/>
  <c r="TM4" i="6"/>
  <c r="TD12" i="6"/>
  <c r="TC14" i="6"/>
  <c r="SX6" i="6"/>
  <c r="SW7" i="6"/>
  <c r="TQ1" i="6"/>
  <c r="TO3" i="6"/>
  <c r="SY6" i="6"/>
  <c r="SX7" i="6"/>
  <c r="TE12" i="6"/>
  <c r="TD14" i="6"/>
  <c r="TN4" i="6"/>
  <c r="TR1" i="6"/>
  <c r="TP5" i="6"/>
  <c r="TP3" i="6"/>
  <c r="TP17" i="6"/>
  <c r="TP18" i="6"/>
  <c r="TP11" i="6"/>
  <c r="TP9" i="6"/>
  <c r="TP10" i="6"/>
  <c r="SZ6" i="6"/>
  <c r="SY7" i="6"/>
  <c r="TO4" i="6"/>
  <c r="TF12" i="6"/>
  <c r="TE14" i="6"/>
  <c r="TS1" i="6"/>
  <c r="TR3" i="6"/>
  <c r="TR9" i="6"/>
  <c r="TR11" i="6"/>
  <c r="TR17" i="6"/>
  <c r="TR5" i="6"/>
  <c r="TQ5" i="6"/>
  <c r="TQ17" i="6"/>
  <c r="TQ18" i="6"/>
  <c r="TQ11" i="6"/>
  <c r="TQ3" i="6"/>
  <c r="TQ9" i="6"/>
  <c r="TQ10" i="6"/>
  <c r="TP4" i="6"/>
  <c r="TF14" i="6"/>
  <c r="TG12" i="6"/>
  <c r="TA6" i="6"/>
  <c r="SZ7" i="6"/>
  <c r="TR10" i="6"/>
  <c r="TR18" i="6"/>
  <c r="TT1" i="6"/>
  <c r="TS3" i="6"/>
  <c r="TS9" i="6"/>
  <c r="TS11" i="6"/>
  <c r="TS17" i="6"/>
  <c r="TS18" i="6"/>
  <c r="TS5" i="6"/>
  <c r="TB6" i="6"/>
  <c r="TA7" i="6"/>
  <c r="TG14" i="6"/>
  <c r="TH12" i="6"/>
  <c r="TQ4" i="6"/>
  <c r="TS10" i="6"/>
  <c r="TU1" i="6"/>
  <c r="TT3" i="6"/>
  <c r="TT9" i="6"/>
  <c r="TT11" i="6"/>
  <c r="TT17" i="6"/>
  <c r="TT18" i="6"/>
  <c r="TT5" i="6"/>
  <c r="TR4" i="6"/>
  <c r="TI12" i="6"/>
  <c r="TH14" i="6"/>
  <c r="TC6" i="6"/>
  <c r="TB7" i="6"/>
  <c r="TT10" i="6"/>
  <c r="TV1" i="6"/>
  <c r="TU3" i="6"/>
  <c r="TU9" i="6"/>
  <c r="TU11" i="6"/>
  <c r="TU17" i="6"/>
  <c r="TU18" i="6"/>
  <c r="TU5" i="6"/>
  <c r="TD6" i="6"/>
  <c r="TC7" i="6"/>
  <c r="TI14" i="6"/>
  <c r="TJ12" i="6"/>
  <c r="TS4" i="6"/>
  <c r="TU10" i="6"/>
  <c r="TW1" i="6"/>
  <c r="TV9" i="6"/>
  <c r="TV11" i="6"/>
  <c r="TV17" i="6"/>
  <c r="TV18" i="6"/>
  <c r="TV5" i="6"/>
  <c r="TT4" i="6"/>
  <c r="TJ14" i="6"/>
  <c r="TK12" i="6"/>
  <c r="TE6" i="6"/>
  <c r="TD7" i="6"/>
  <c r="TV10" i="6"/>
  <c r="TX1" i="6"/>
  <c r="TW3" i="6"/>
  <c r="TW9" i="6"/>
  <c r="TW11" i="6"/>
  <c r="TW17" i="6"/>
  <c r="TW18" i="6"/>
  <c r="TW5" i="6"/>
  <c r="TV3" i="6"/>
  <c r="TF6" i="6"/>
  <c r="TE7" i="6"/>
  <c r="TL12" i="6"/>
  <c r="TK14" i="6"/>
  <c r="TU4" i="6"/>
  <c r="TW10" i="6"/>
  <c r="TY1" i="6"/>
  <c r="TX9" i="6"/>
  <c r="TX3" i="6"/>
  <c r="TX11" i="6"/>
  <c r="TX17" i="6"/>
  <c r="TX18" i="6"/>
  <c r="TX5" i="6"/>
  <c r="TV4" i="6"/>
  <c r="TM12" i="6"/>
  <c r="TL14" i="6"/>
  <c r="TG6" i="6"/>
  <c r="TF7" i="6"/>
  <c r="TX10" i="6"/>
  <c r="TZ1" i="6"/>
  <c r="TY3" i="6"/>
  <c r="TY9" i="6"/>
  <c r="TY10" i="6"/>
  <c r="TY11" i="6"/>
  <c r="TY17" i="6"/>
  <c r="TY18" i="6"/>
  <c r="TY5" i="6"/>
  <c r="TH6" i="6"/>
  <c r="TG7" i="6"/>
  <c r="TN12" i="6"/>
  <c r="TM14" i="6"/>
  <c r="TW4" i="6"/>
  <c r="UA1" i="6"/>
  <c r="TZ3" i="6"/>
  <c r="TZ9" i="6"/>
  <c r="TZ10" i="6"/>
  <c r="TZ11" i="6"/>
  <c r="TZ17" i="6"/>
  <c r="TZ18" i="6"/>
  <c r="TZ5" i="6"/>
  <c r="TX4" i="6"/>
  <c r="TN14" i="6"/>
  <c r="TO12" i="6"/>
  <c r="TI6" i="6"/>
  <c r="TH7" i="6"/>
  <c r="UB1" i="6"/>
  <c r="UA9" i="6"/>
  <c r="UA10" i="6"/>
  <c r="UA3" i="6"/>
  <c r="UA11" i="6"/>
  <c r="UA17" i="6"/>
  <c r="UA18" i="6"/>
  <c r="UA5" i="6"/>
  <c r="TJ6" i="6"/>
  <c r="TI7" i="6"/>
  <c r="TO14" i="6"/>
  <c r="TP12" i="6"/>
  <c r="TY4" i="6"/>
  <c r="UC1" i="6"/>
  <c r="UB9" i="6"/>
  <c r="UB10" i="6"/>
  <c r="UB11" i="6"/>
  <c r="UB17" i="6"/>
  <c r="UB18" i="6"/>
  <c r="UB5" i="6"/>
  <c r="TZ4" i="6"/>
  <c r="TQ12" i="6"/>
  <c r="TP14" i="6"/>
  <c r="TK6" i="6"/>
  <c r="TJ7" i="6"/>
  <c r="UD1" i="6"/>
  <c r="UC9" i="6"/>
  <c r="UC10" i="6"/>
  <c r="UC11" i="6"/>
  <c r="UC17" i="6"/>
  <c r="UC18" i="6"/>
  <c r="UC5" i="6"/>
  <c r="UB3" i="6"/>
  <c r="TL6" i="6"/>
  <c r="TK7" i="6"/>
  <c r="TR12" i="6"/>
  <c r="TQ14" i="6"/>
  <c r="UA4" i="6"/>
  <c r="UE1" i="6"/>
  <c r="UD17" i="6"/>
  <c r="UD18" i="6"/>
  <c r="UD5" i="6"/>
  <c r="UC3" i="6"/>
  <c r="UB4" i="6"/>
  <c r="TS12" i="6"/>
  <c r="TR14" i="6"/>
  <c r="TM6" i="6"/>
  <c r="TL7" i="6"/>
  <c r="UF1" i="6"/>
  <c r="UE3" i="6"/>
  <c r="UE9" i="6"/>
  <c r="UE11" i="6"/>
  <c r="UE17" i="6"/>
  <c r="UE18" i="6"/>
  <c r="UE5" i="6"/>
  <c r="UD9" i="6"/>
  <c r="UD10" i="6"/>
  <c r="UE10" i="6"/>
  <c r="UD3" i="6"/>
  <c r="UD11" i="6"/>
  <c r="TN6" i="6"/>
  <c r="TM7" i="6"/>
  <c r="TT12" i="6"/>
  <c r="TS14" i="6"/>
  <c r="UC4" i="6"/>
  <c r="UG1" i="6"/>
  <c r="UD4" i="6"/>
  <c r="TU12" i="6"/>
  <c r="TT14" i="6"/>
  <c r="TO6" i="6"/>
  <c r="TN7" i="6"/>
  <c r="UH1" i="6"/>
  <c r="UF5" i="6"/>
  <c r="UF17" i="6"/>
  <c r="UF18" i="6"/>
  <c r="UF11" i="6"/>
  <c r="UF9" i="6"/>
  <c r="UF10" i="6"/>
  <c r="UF3" i="6"/>
  <c r="TP6" i="6"/>
  <c r="TO7" i="6"/>
  <c r="TU14" i="6"/>
  <c r="TV12" i="6"/>
  <c r="UE4" i="6"/>
  <c r="UI1" i="6"/>
  <c r="UG17" i="6"/>
  <c r="UG18" i="6"/>
  <c r="UG9" i="6"/>
  <c r="UG10" i="6"/>
  <c r="UG5" i="6"/>
  <c r="UG11" i="6"/>
  <c r="UG3" i="6"/>
  <c r="UF4" i="6"/>
  <c r="TW12" i="6"/>
  <c r="TV14" i="6"/>
  <c r="TQ6" i="6"/>
  <c r="TP7" i="6"/>
  <c r="UJ1" i="6"/>
  <c r="UI9" i="6"/>
  <c r="UI11" i="6"/>
  <c r="UI17" i="6"/>
  <c r="UI5" i="6"/>
  <c r="UH5" i="6"/>
  <c r="UH17" i="6"/>
  <c r="UH18" i="6"/>
  <c r="UH9" i="6"/>
  <c r="UH10" i="6"/>
  <c r="UH11" i="6"/>
  <c r="UH3" i="6"/>
  <c r="TR6" i="6"/>
  <c r="TQ7" i="6"/>
  <c r="TX12" i="6"/>
  <c r="TW14" i="6"/>
  <c r="UG4" i="6"/>
  <c r="UI10" i="6"/>
  <c r="UI18" i="6"/>
  <c r="UK1" i="6"/>
  <c r="UJ3" i="6"/>
  <c r="UJ9" i="6"/>
  <c r="UJ11" i="6"/>
  <c r="UJ17" i="6"/>
  <c r="UJ18" i="6"/>
  <c r="UJ5" i="6"/>
  <c r="UI3" i="6"/>
  <c r="UH4" i="6"/>
  <c r="TY12" i="6"/>
  <c r="TX14" i="6"/>
  <c r="TS6" i="6"/>
  <c r="TR7" i="6"/>
  <c r="UJ10" i="6"/>
  <c r="UL1" i="6"/>
  <c r="UK9" i="6"/>
  <c r="UK3" i="6"/>
  <c r="UK11" i="6"/>
  <c r="UK17" i="6"/>
  <c r="UK18" i="6"/>
  <c r="UK5" i="6"/>
  <c r="TT6" i="6"/>
  <c r="TS7" i="6"/>
  <c r="TZ12" i="6"/>
  <c r="TY14" i="6"/>
  <c r="UI4" i="6"/>
  <c r="UK10" i="6"/>
  <c r="UM1" i="6"/>
  <c r="UL3" i="6"/>
  <c r="UL9" i="6"/>
  <c r="UL11" i="6"/>
  <c r="UL17" i="6"/>
  <c r="UL18" i="6"/>
  <c r="UL5" i="6"/>
  <c r="UJ4" i="6"/>
  <c r="UA12" i="6"/>
  <c r="TZ14" i="6"/>
  <c r="TU6" i="6"/>
  <c r="TT7" i="6"/>
  <c r="UL10" i="6"/>
  <c r="UN1" i="6"/>
  <c r="UM3" i="6"/>
  <c r="TV6" i="6"/>
  <c r="TU7" i="6"/>
  <c r="UB12" i="6"/>
  <c r="UA14" i="6"/>
  <c r="UK4" i="6"/>
  <c r="UO1" i="6"/>
  <c r="UN3" i="6"/>
  <c r="UN9" i="6"/>
  <c r="UN11" i="6"/>
  <c r="UN17" i="6"/>
  <c r="UN5" i="6"/>
  <c r="UM5" i="6"/>
  <c r="UM17" i="6"/>
  <c r="UM18" i="6"/>
  <c r="UM11" i="6"/>
  <c r="UM9" i="6"/>
  <c r="UM10" i="6"/>
  <c r="UN10" i="6"/>
  <c r="UL4" i="6"/>
  <c r="UB14" i="6"/>
  <c r="UC12" i="6"/>
  <c r="TW6" i="6"/>
  <c r="TV7" i="6"/>
  <c r="UN18" i="6"/>
  <c r="UP1" i="6"/>
  <c r="UO3" i="6"/>
  <c r="TX6" i="6"/>
  <c r="TW7" i="6"/>
  <c r="UD12" i="6"/>
  <c r="UC14" i="6"/>
  <c r="UM4" i="6"/>
  <c r="UO5" i="6"/>
  <c r="UO17" i="6"/>
  <c r="UO18" i="6"/>
  <c r="UO11" i="6"/>
  <c r="UO9" i="6"/>
  <c r="UO10" i="6"/>
  <c r="UQ1" i="6"/>
  <c r="UP3" i="6"/>
  <c r="UP9" i="6"/>
  <c r="UP11" i="6"/>
  <c r="UP17" i="6"/>
  <c r="UP5" i="6"/>
  <c r="UN4" i="6"/>
  <c r="UD14" i="6"/>
  <c r="UE12" i="6"/>
  <c r="TY6" i="6"/>
  <c r="TX7" i="6"/>
  <c r="UP18" i="6"/>
  <c r="UR1" i="6"/>
  <c r="UQ9" i="6"/>
  <c r="UP10" i="6"/>
  <c r="TZ6" i="6"/>
  <c r="TY7" i="6"/>
  <c r="UF12" i="6"/>
  <c r="UE14" i="6"/>
  <c r="UO4" i="6"/>
  <c r="US1" i="6"/>
  <c r="UR3" i="6"/>
  <c r="UQ3" i="6"/>
  <c r="UQ10" i="6"/>
  <c r="UQ5" i="6"/>
  <c r="UQ17" i="6"/>
  <c r="UQ18" i="6"/>
  <c r="UQ11" i="6"/>
  <c r="UP4" i="6"/>
  <c r="UF14" i="6"/>
  <c r="UG12" i="6"/>
  <c r="UA6" i="6"/>
  <c r="TZ7" i="6"/>
  <c r="UR5" i="6"/>
  <c r="UR17" i="6"/>
  <c r="UR18" i="6"/>
  <c r="UR11" i="6"/>
  <c r="UT1" i="6"/>
  <c r="US9" i="6"/>
  <c r="US3" i="6"/>
  <c r="US11" i="6"/>
  <c r="US17" i="6"/>
  <c r="US5" i="6"/>
  <c r="UR9" i="6"/>
  <c r="UR10" i="6"/>
  <c r="UB6" i="6"/>
  <c r="UA7" i="6"/>
  <c r="UG14" i="6"/>
  <c r="UH12" i="6"/>
  <c r="UQ4" i="6"/>
  <c r="US10" i="6"/>
  <c r="US18" i="6"/>
  <c r="UU1" i="6"/>
  <c r="UT3" i="6"/>
  <c r="UT9" i="6"/>
  <c r="UT11" i="6"/>
  <c r="UT17" i="6"/>
  <c r="UT18" i="6"/>
  <c r="UT5" i="6"/>
  <c r="UR4" i="6"/>
  <c r="UI12" i="6"/>
  <c r="UH14" i="6"/>
  <c r="UC6" i="6"/>
  <c r="UB7" i="6"/>
  <c r="UT10" i="6"/>
  <c r="UV1" i="6"/>
  <c r="UU3" i="6"/>
  <c r="UU9" i="6"/>
  <c r="UU11" i="6"/>
  <c r="UU17" i="6"/>
  <c r="UU18" i="6"/>
  <c r="UU5" i="6"/>
  <c r="UD6" i="6"/>
  <c r="UC7" i="6"/>
  <c r="UJ12" i="6"/>
  <c r="UI14" i="6"/>
  <c r="US4" i="6"/>
  <c r="UU10" i="6"/>
  <c r="UW1" i="6"/>
  <c r="UV3" i="6"/>
  <c r="UV9" i="6"/>
  <c r="UV11" i="6"/>
  <c r="UV17" i="6"/>
  <c r="UV18" i="6"/>
  <c r="UV5" i="6"/>
  <c r="UT4" i="6"/>
  <c r="UK12" i="6"/>
  <c r="UJ14" i="6"/>
  <c r="UE6" i="6"/>
  <c r="UD7" i="6"/>
  <c r="UV10" i="6"/>
  <c r="UX1" i="6"/>
  <c r="UW9" i="6"/>
  <c r="UW10" i="6"/>
  <c r="UW11" i="6"/>
  <c r="UW17" i="6"/>
  <c r="UW18" i="6"/>
  <c r="UW5" i="6"/>
  <c r="UF6" i="6"/>
  <c r="UE7" i="6"/>
  <c r="UL12" i="6"/>
  <c r="UK14" i="6"/>
  <c r="UU4" i="6"/>
  <c r="UY1" i="6"/>
  <c r="UX3" i="6"/>
  <c r="UX9" i="6"/>
  <c r="UX10" i="6"/>
  <c r="UX11" i="6"/>
  <c r="UX17" i="6"/>
  <c r="UX18" i="6"/>
  <c r="UX5" i="6"/>
  <c r="UW3" i="6"/>
  <c r="UV4" i="6"/>
  <c r="UM12" i="6"/>
  <c r="UL14" i="6"/>
  <c r="UG6" i="6"/>
  <c r="UF7" i="6"/>
  <c r="UY9" i="6"/>
  <c r="UY10" i="6"/>
  <c r="UZ1" i="6"/>
  <c r="UY11" i="6"/>
  <c r="UY17" i="6"/>
  <c r="UY18" i="6"/>
  <c r="UY5" i="6"/>
  <c r="UH6" i="6"/>
  <c r="UG7" i="6"/>
  <c r="UM14" i="6"/>
  <c r="UN12" i="6"/>
  <c r="UW4" i="6"/>
  <c r="VA1" i="6"/>
  <c r="UZ9" i="6"/>
  <c r="UZ10" i="6"/>
  <c r="UZ11" i="6"/>
  <c r="UZ17" i="6"/>
  <c r="UZ18" i="6"/>
  <c r="UZ5" i="6"/>
  <c r="UY3" i="6"/>
  <c r="UX4" i="6"/>
  <c r="UO12" i="6"/>
  <c r="UN14" i="6"/>
  <c r="UI6" i="6"/>
  <c r="UH7" i="6"/>
  <c r="VB1" i="6"/>
  <c r="UZ3" i="6"/>
  <c r="UJ6" i="6"/>
  <c r="UI7" i="6"/>
  <c r="UP12" i="6"/>
  <c r="UO14" i="6"/>
  <c r="UY4" i="6"/>
  <c r="VC1" i="6"/>
  <c r="VB17" i="6"/>
  <c r="VB9" i="6"/>
  <c r="VB11" i="6"/>
  <c r="VA5" i="6"/>
  <c r="VA17" i="6"/>
  <c r="VA18" i="6"/>
  <c r="VA11" i="6"/>
  <c r="VA3" i="6"/>
  <c r="VA9" i="6"/>
  <c r="VA10" i="6"/>
  <c r="UZ4" i="6"/>
  <c r="UQ12" i="6"/>
  <c r="UP14" i="6"/>
  <c r="UK6" i="6"/>
  <c r="UJ7" i="6"/>
  <c r="VB18" i="6"/>
  <c r="VB5" i="6"/>
  <c r="VB10" i="6"/>
  <c r="VD1" i="6"/>
  <c r="VC3" i="6"/>
  <c r="VC9" i="6"/>
  <c r="VC11" i="6"/>
  <c r="VC17" i="6"/>
  <c r="VC5" i="6"/>
  <c r="VB3" i="6"/>
  <c r="UL6" i="6"/>
  <c r="UK7" i="6"/>
  <c r="UQ14" i="6"/>
  <c r="UR12" i="6"/>
  <c r="VA4" i="6"/>
  <c r="VC18" i="6"/>
  <c r="VC10" i="6"/>
  <c r="VE1" i="6"/>
  <c r="VD3" i="6"/>
  <c r="VD9" i="6"/>
  <c r="VD11" i="6"/>
  <c r="VD17" i="6"/>
  <c r="VD18" i="6"/>
  <c r="VD5" i="6"/>
  <c r="VB4" i="6"/>
  <c r="UR14" i="6"/>
  <c r="US12" i="6"/>
  <c r="UM6" i="6"/>
  <c r="UL7" i="6"/>
  <c r="VD10" i="6"/>
  <c r="VF1" i="6"/>
  <c r="VE3" i="6"/>
  <c r="VE9" i="6"/>
  <c r="VE10" i="6"/>
  <c r="VE11" i="6"/>
  <c r="VE17" i="6"/>
  <c r="VE18" i="6"/>
  <c r="VE5" i="6"/>
  <c r="UN6" i="6"/>
  <c r="UM7" i="6"/>
  <c r="UT12" i="6"/>
  <c r="US14" i="6"/>
  <c r="VC4" i="6"/>
  <c r="VG1" i="6"/>
  <c r="VF3" i="6"/>
  <c r="VF9" i="6"/>
  <c r="VF10" i="6"/>
  <c r="VF11" i="6"/>
  <c r="VF17" i="6"/>
  <c r="VF18" i="6"/>
  <c r="VF5" i="6"/>
  <c r="VD4" i="6"/>
  <c r="UU12" i="6"/>
  <c r="UT14" i="6"/>
  <c r="UO6" i="6"/>
  <c r="UN7" i="6"/>
  <c r="VH1" i="6"/>
  <c r="VG3" i="6"/>
  <c r="VG9" i="6"/>
  <c r="VG10" i="6"/>
  <c r="VG11" i="6"/>
  <c r="VG17" i="6"/>
  <c r="VG18" i="6"/>
  <c r="VG5" i="6"/>
  <c r="UP6" i="6"/>
  <c r="UO7" i="6"/>
  <c r="UV12" i="6"/>
  <c r="UU14" i="6"/>
  <c r="VE4" i="6"/>
  <c r="VI1" i="6"/>
  <c r="VH3" i="6"/>
  <c r="VH9" i="6"/>
  <c r="VH10" i="6"/>
  <c r="VH11" i="6"/>
  <c r="VH17" i="6"/>
  <c r="VH18" i="6"/>
  <c r="VH5" i="6"/>
  <c r="VF4" i="6"/>
  <c r="UW12" i="6"/>
  <c r="UV14" i="6"/>
  <c r="UQ6" i="6"/>
  <c r="UP7" i="6"/>
  <c r="VI3" i="6"/>
  <c r="VJ1" i="6"/>
  <c r="VI9" i="6"/>
  <c r="VI10" i="6"/>
  <c r="VI11" i="6"/>
  <c r="VI17" i="6"/>
  <c r="VI18" i="6"/>
  <c r="VI5" i="6"/>
  <c r="UR6" i="6"/>
  <c r="UQ7" i="6"/>
  <c r="UW14" i="6"/>
  <c r="UX12" i="6"/>
  <c r="VG4" i="6"/>
  <c r="VK1" i="6"/>
  <c r="VJ3" i="6"/>
  <c r="VJ9" i="6"/>
  <c r="VJ10" i="6"/>
  <c r="VJ11" i="6"/>
  <c r="VJ17" i="6"/>
  <c r="VJ18" i="6"/>
  <c r="VJ5" i="6"/>
  <c r="VH4" i="6"/>
  <c r="UY12" i="6"/>
  <c r="UX14" i="6"/>
  <c r="US6" i="6"/>
  <c r="UR7" i="6"/>
  <c r="VL1" i="6"/>
  <c r="VK9" i="6"/>
  <c r="VK10" i="6"/>
  <c r="VK11" i="6"/>
  <c r="VK17" i="6"/>
  <c r="VK18" i="6"/>
  <c r="VK5" i="6"/>
  <c r="UT6" i="6"/>
  <c r="US7" i="6"/>
  <c r="UZ12" i="6"/>
  <c r="UY14" i="6"/>
  <c r="VI4" i="6"/>
  <c r="VM1" i="6"/>
  <c r="VL9" i="6"/>
  <c r="VL10" i="6"/>
  <c r="VL3" i="6"/>
  <c r="VL11" i="6"/>
  <c r="VL17" i="6"/>
  <c r="VL18" i="6"/>
  <c r="VL5" i="6"/>
  <c r="VK3" i="6"/>
  <c r="VJ4" i="6"/>
  <c r="UZ14" i="6"/>
  <c r="VA12" i="6"/>
  <c r="UU6" i="6"/>
  <c r="UT7" i="6"/>
  <c r="VN1" i="6"/>
  <c r="UV6" i="6"/>
  <c r="UU7" i="6"/>
  <c r="VB12" i="6"/>
  <c r="VA14" i="6"/>
  <c r="VK4" i="6"/>
  <c r="VO1" i="6"/>
  <c r="VN9" i="6"/>
  <c r="VM5" i="6"/>
  <c r="VM17" i="6"/>
  <c r="VM18" i="6"/>
  <c r="VM11" i="6"/>
  <c r="VM9" i="6"/>
  <c r="VM10" i="6"/>
  <c r="VM3" i="6"/>
  <c r="VL4" i="6"/>
  <c r="VC12" i="6"/>
  <c r="VB14" i="6"/>
  <c r="UW6" i="6"/>
  <c r="UV7" i="6"/>
  <c r="VN5" i="6"/>
  <c r="VN17" i="6"/>
  <c r="VN18" i="6"/>
  <c r="VN10" i="6"/>
  <c r="VN11" i="6"/>
  <c r="VN3" i="6"/>
  <c r="VP1" i="6"/>
  <c r="VO3" i="6"/>
  <c r="VO11" i="6"/>
  <c r="VO17" i="6"/>
  <c r="VO5" i="6"/>
  <c r="UX6" i="6"/>
  <c r="UW7" i="6"/>
  <c r="VD12" i="6"/>
  <c r="VC14" i="6"/>
  <c r="VM4" i="6"/>
  <c r="VO18" i="6"/>
  <c r="VQ1" i="6"/>
  <c r="VP3" i="6"/>
  <c r="VP9" i="6"/>
  <c r="VP11" i="6"/>
  <c r="VP17" i="6"/>
  <c r="VP18" i="6"/>
  <c r="VP5" i="6"/>
  <c r="VO9" i="6"/>
  <c r="VO10" i="6"/>
  <c r="VN4" i="6"/>
  <c r="VD14" i="6"/>
  <c r="VE12" i="6"/>
  <c r="UY6" i="6"/>
  <c r="UX7" i="6"/>
  <c r="VP10" i="6"/>
  <c r="VR1" i="6"/>
  <c r="VQ3" i="6"/>
  <c r="VQ9" i="6"/>
  <c r="VQ10" i="6"/>
  <c r="VQ11" i="6"/>
  <c r="VQ17" i="6"/>
  <c r="VQ18" i="6"/>
  <c r="VQ5" i="6"/>
  <c r="UZ6" i="6"/>
  <c r="UY7" i="6"/>
  <c r="VE14" i="6"/>
  <c r="VF12" i="6"/>
  <c r="VO4" i="6"/>
  <c r="VS1" i="6"/>
  <c r="VR3" i="6"/>
  <c r="VR9" i="6"/>
  <c r="VR10" i="6"/>
  <c r="VR11" i="6"/>
  <c r="VR17" i="6"/>
  <c r="VR18" i="6"/>
  <c r="VR5" i="6"/>
  <c r="VP4" i="6"/>
  <c r="VG12" i="6"/>
  <c r="VF14" i="6"/>
  <c r="VA6" i="6"/>
  <c r="UZ7" i="6"/>
  <c r="VT1" i="6"/>
  <c r="VS3" i="6"/>
  <c r="VS9" i="6"/>
  <c r="VS10" i="6"/>
  <c r="VS11" i="6"/>
  <c r="VS17" i="6"/>
  <c r="VS18" i="6"/>
  <c r="VS5" i="6"/>
  <c r="VB6" i="6"/>
  <c r="VA7" i="6"/>
  <c r="VH12" i="6"/>
  <c r="VG14" i="6"/>
  <c r="VQ4" i="6"/>
  <c r="VU1" i="6"/>
  <c r="VR4" i="6"/>
  <c r="VH14" i="6"/>
  <c r="VI12" i="6"/>
  <c r="VC6" i="6"/>
  <c r="VB7" i="6"/>
  <c r="VV1" i="6"/>
  <c r="VU3" i="6"/>
  <c r="VU9" i="6"/>
  <c r="VU11" i="6"/>
  <c r="VU17" i="6"/>
  <c r="VU5" i="6"/>
  <c r="VT5" i="6"/>
  <c r="VT17" i="6"/>
  <c r="VT18" i="6"/>
  <c r="VT11" i="6"/>
  <c r="VT9" i="6"/>
  <c r="VT10" i="6"/>
  <c r="VT3" i="6"/>
  <c r="VD6" i="6"/>
  <c r="VC7" i="6"/>
  <c r="VI14" i="6"/>
  <c r="VJ12" i="6"/>
  <c r="VS4" i="6"/>
  <c r="VU18" i="6"/>
  <c r="VU10" i="6"/>
  <c r="VW1" i="6"/>
  <c r="VV3" i="6"/>
  <c r="VV9" i="6"/>
  <c r="VV11" i="6"/>
  <c r="VV17" i="6"/>
  <c r="VV18" i="6"/>
  <c r="VV5" i="6"/>
  <c r="VT4" i="6"/>
  <c r="VK12" i="6"/>
  <c r="VJ14" i="6"/>
  <c r="VE6" i="6"/>
  <c r="VD7" i="6"/>
  <c r="VV10" i="6"/>
  <c r="VX1" i="6"/>
  <c r="VF6" i="6"/>
  <c r="VE7" i="6"/>
  <c r="VL12" i="6"/>
  <c r="VK14" i="6"/>
  <c r="VU4" i="6"/>
  <c r="VY1" i="6"/>
  <c r="VX3" i="6"/>
  <c r="VW5" i="6"/>
  <c r="VW17" i="6"/>
  <c r="VW18" i="6"/>
  <c r="VW11" i="6"/>
  <c r="VW9" i="6"/>
  <c r="VW10" i="6"/>
  <c r="VW3" i="6"/>
  <c r="VV4" i="6"/>
  <c r="VM12" i="6"/>
  <c r="VL14" i="6"/>
  <c r="VG6" i="6"/>
  <c r="VF7" i="6"/>
  <c r="VZ1" i="6"/>
  <c r="VY3" i="6"/>
  <c r="VY9" i="6"/>
  <c r="VY11" i="6"/>
  <c r="VY17" i="6"/>
  <c r="VY5" i="6"/>
  <c r="VX5" i="6"/>
  <c r="VX17" i="6"/>
  <c r="VX18" i="6"/>
  <c r="VX11" i="6"/>
  <c r="VX9" i="6"/>
  <c r="VX10" i="6"/>
  <c r="VH6" i="6"/>
  <c r="VG7" i="6"/>
  <c r="VN12" i="6"/>
  <c r="VM14" i="6"/>
  <c r="VW4" i="6"/>
  <c r="VY10" i="6"/>
  <c r="VY18" i="6"/>
  <c r="WA1" i="6"/>
  <c r="VZ9" i="6"/>
  <c r="VZ10" i="6"/>
  <c r="VZ3" i="6"/>
  <c r="VZ11" i="6"/>
  <c r="VZ17" i="6"/>
  <c r="VZ18" i="6"/>
  <c r="VZ5" i="6"/>
  <c r="VX4" i="6"/>
  <c r="VO12" i="6"/>
  <c r="VN14" i="6"/>
  <c r="VI6" i="6"/>
  <c r="VH7" i="6"/>
  <c r="WB1" i="6"/>
  <c r="WA9" i="6"/>
  <c r="WA10" i="6"/>
  <c r="WA3" i="6"/>
  <c r="WA11" i="6"/>
  <c r="WA17" i="6"/>
  <c r="WA18" i="6"/>
  <c r="WA5" i="6"/>
  <c r="VJ6" i="6"/>
  <c r="VI7" i="6"/>
  <c r="VO14" i="6"/>
  <c r="VP12" i="6"/>
  <c r="VY4" i="6"/>
  <c r="WC1" i="6"/>
  <c r="WB11" i="6"/>
  <c r="WB17" i="6"/>
  <c r="WB18" i="6"/>
  <c r="WB5" i="6"/>
  <c r="VZ4" i="6"/>
  <c r="VQ12" i="6"/>
  <c r="VP14" i="6"/>
  <c r="VK6" i="6"/>
  <c r="VJ7" i="6"/>
  <c r="WC3" i="6"/>
  <c r="WD1" i="6"/>
  <c r="WC9" i="6"/>
  <c r="WC11" i="6"/>
  <c r="WC17" i="6"/>
  <c r="WC18" i="6"/>
  <c r="WC5" i="6"/>
  <c r="WB9" i="6"/>
  <c r="WB10" i="6"/>
  <c r="WB3" i="6"/>
  <c r="VL6" i="6"/>
  <c r="VK7" i="6"/>
  <c r="VQ14" i="6"/>
  <c r="VR12" i="6"/>
  <c r="WA4" i="6"/>
  <c r="WC10" i="6"/>
  <c r="WE1" i="6"/>
  <c r="WD3" i="6"/>
  <c r="WD9" i="6"/>
  <c r="WD10" i="6"/>
  <c r="WD11" i="6"/>
  <c r="WD17" i="6"/>
  <c r="WD18" i="6"/>
  <c r="WD5" i="6"/>
  <c r="WB4" i="6"/>
  <c r="VR14" i="6"/>
  <c r="VS12" i="6"/>
  <c r="VM6" i="6"/>
  <c r="VL7" i="6"/>
  <c r="WF1" i="6"/>
  <c r="WE11" i="6"/>
  <c r="WE17" i="6"/>
  <c r="WE18" i="6"/>
  <c r="WE5" i="6"/>
  <c r="VN6" i="6"/>
  <c r="VM7" i="6"/>
  <c r="VT12" i="6"/>
  <c r="VS14" i="6"/>
  <c r="WC4" i="6"/>
  <c r="WG1" i="6"/>
  <c r="WF11" i="6"/>
  <c r="WF17" i="6"/>
  <c r="WF18" i="6"/>
  <c r="WF5" i="6"/>
  <c r="WE9" i="6"/>
  <c r="WE10" i="6"/>
  <c r="WE3" i="6"/>
  <c r="WD4" i="6"/>
  <c r="VU12" i="6"/>
  <c r="VT14" i="6"/>
  <c r="VO6" i="6"/>
  <c r="VN7" i="6"/>
  <c r="WH1" i="6"/>
  <c r="WG3" i="6"/>
  <c r="WG9" i="6"/>
  <c r="WG11" i="6"/>
  <c r="WG17" i="6"/>
  <c r="WG18" i="6"/>
  <c r="WG5" i="6"/>
  <c r="WF9" i="6"/>
  <c r="WF10" i="6"/>
  <c r="WF3" i="6"/>
  <c r="VP6" i="6"/>
  <c r="VO7" i="6"/>
  <c r="VU14" i="6"/>
  <c r="VV12" i="6"/>
  <c r="WE4" i="6"/>
  <c r="WG10" i="6"/>
  <c r="WI1" i="6"/>
  <c r="WH3" i="6"/>
  <c r="WH9" i="6"/>
  <c r="WH10" i="6"/>
  <c r="WH11" i="6"/>
  <c r="WH17" i="6"/>
  <c r="WH18" i="6"/>
  <c r="WH5" i="6"/>
  <c r="WF4" i="6"/>
  <c r="VW12" i="6"/>
  <c r="VV14" i="6"/>
  <c r="VQ6" i="6"/>
  <c r="VP7" i="6"/>
  <c r="WJ1" i="6"/>
  <c r="WI3" i="6"/>
  <c r="WI9" i="6"/>
  <c r="WI10" i="6"/>
  <c r="WI11" i="6"/>
  <c r="WI17" i="6"/>
  <c r="WI18" i="6"/>
  <c r="WI5" i="6"/>
  <c r="VR6" i="6"/>
  <c r="VQ7" i="6"/>
  <c r="VX12" i="6"/>
  <c r="VW14" i="6"/>
  <c r="WG4" i="6"/>
  <c r="WK1" i="6"/>
  <c r="WJ11" i="6"/>
  <c r="WJ17" i="6"/>
  <c r="WJ18" i="6"/>
  <c r="WJ5" i="6"/>
  <c r="WH4" i="6"/>
  <c r="VX14" i="6"/>
  <c r="VY12" i="6"/>
  <c r="VS6" i="6"/>
  <c r="VR7" i="6"/>
  <c r="WL1" i="6"/>
  <c r="WK3" i="6"/>
  <c r="WJ9" i="6"/>
  <c r="WJ10" i="6"/>
  <c r="WJ3" i="6"/>
  <c r="VT6" i="6"/>
  <c r="VS7" i="6"/>
  <c r="VZ12" i="6"/>
  <c r="VY14" i="6"/>
  <c r="WI4" i="6"/>
  <c r="WM1" i="6"/>
  <c r="WL11" i="6"/>
  <c r="WK5" i="6"/>
  <c r="WK17" i="6"/>
  <c r="WK18" i="6"/>
  <c r="WK11" i="6"/>
  <c r="WK9" i="6"/>
  <c r="WK10" i="6"/>
  <c r="WJ4" i="6"/>
  <c r="VZ14" i="6"/>
  <c r="WA12" i="6"/>
  <c r="VU6" i="6"/>
  <c r="VT7" i="6"/>
  <c r="WL5" i="6"/>
  <c r="WL17" i="6"/>
  <c r="WL18" i="6"/>
  <c r="WN1" i="6"/>
  <c r="WM3" i="6"/>
  <c r="WM11" i="6"/>
  <c r="WM17" i="6"/>
  <c r="WM5" i="6"/>
  <c r="WL9" i="6"/>
  <c r="WL10" i="6"/>
  <c r="WL3" i="6"/>
  <c r="VV6" i="6"/>
  <c r="VU7" i="6"/>
  <c r="WA14" i="6"/>
  <c r="WB12" i="6"/>
  <c r="WK4" i="6"/>
  <c r="WM18" i="6"/>
  <c r="WO1" i="6"/>
  <c r="WN3" i="6"/>
  <c r="WM9" i="6"/>
  <c r="WM10" i="6"/>
  <c r="WL4" i="6"/>
  <c r="WB14" i="6"/>
  <c r="WC12" i="6"/>
  <c r="VW6" i="6"/>
  <c r="VV7" i="6"/>
  <c r="WP1" i="6"/>
  <c r="WO9" i="6"/>
  <c r="WN5" i="6"/>
  <c r="WN17" i="6"/>
  <c r="WN18" i="6"/>
  <c r="WN11" i="6"/>
  <c r="WN9" i="6"/>
  <c r="WN10" i="6"/>
  <c r="VX6" i="6"/>
  <c r="VW7" i="6"/>
  <c r="WD12" i="6"/>
  <c r="WC14" i="6"/>
  <c r="WM4" i="6"/>
  <c r="WO3" i="6"/>
  <c r="WO10" i="6"/>
  <c r="WO5" i="6"/>
  <c r="WO17" i="6"/>
  <c r="WO18" i="6"/>
  <c r="WO11" i="6"/>
  <c r="WQ1" i="6"/>
  <c r="WP3" i="6"/>
  <c r="WP9" i="6"/>
  <c r="WP11" i="6"/>
  <c r="WP17" i="6"/>
  <c r="WP5" i="6"/>
  <c r="WN4" i="6"/>
  <c r="WD14" i="6"/>
  <c r="WE12" i="6"/>
  <c r="VY6" i="6"/>
  <c r="VX7" i="6"/>
  <c r="WR1" i="6"/>
  <c r="WP18" i="6"/>
  <c r="WP10" i="6"/>
  <c r="VZ6" i="6"/>
  <c r="VY7" i="6"/>
  <c r="WF12" i="6"/>
  <c r="WE14" i="6"/>
  <c r="WO4" i="6"/>
  <c r="WR3" i="6"/>
  <c r="WS1" i="6"/>
  <c r="WR9" i="6"/>
  <c r="WR11" i="6"/>
  <c r="WR17" i="6"/>
  <c r="WR5" i="6"/>
  <c r="WQ5" i="6"/>
  <c r="WQ17" i="6"/>
  <c r="WQ18" i="6"/>
  <c r="WQ11" i="6"/>
  <c r="WQ3" i="6"/>
  <c r="WQ9" i="6"/>
  <c r="WQ10" i="6"/>
  <c r="WP4" i="6"/>
  <c r="WF14" i="6"/>
  <c r="WG12" i="6"/>
  <c r="WA6" i="6"/>
  <c r="VZ7" i="6"/>
  <c r="WR10" i="6"/>
  <c r="WR18" i="6"/>
  <c r="WT1" i="6"/>
  <c r="WS3" i="6"/>
  <c r="WS9" i="6"/>
  <c r="WS10" i="6"/>
  <c r="WS11" i="6"/>
  <c r="WS17" i="6"/>
  <c r="WS18" i="6"/>
  <c r="WS5" i="6"/>
  <c r="WB6" i="6"/>
  <c r="WA7" i="6"/>
  <c r="WH12" i="6"/>
  <c r="WG14" i="6"/>
  <c r="WQ4" i="6"/>
  <c r="WU1" i="6"/>
  <c r="WT3" i="6"/>
  <c r="WT9" i="6"/>
  <c r="WT10" i="6"/>
  <c r="WT11" i="6"/>
  <c r="WT17" i="6"/>
  <c r="WT18" i="6"/>
  <c r="WT5" i="6"/>
  <c r="WR4" i="6"/>
  <c r="WI12" i="6"/>
  <c r="WH14" i="6"/>
  <c r="WC6" i="6"/>
  <c r="WB7" i="6"/>
  <c r="WV1" i="6"/>
  <c r="WU9" i="6"/>
  <c r="WU10" i="6"/>
  <c r="WU11" i="6"/>
  <c r="WU17" i="6"/>
  <c r="WU18" i="6"/>
  <c r="WU5" i="6"/>
  <c r="WS4" i="6"/>
  <c r="WD6" i="6"/>
  <c r="WC7" i="6"/>
  <c r="WI14" i="6"/>
  <c r="WJ12" i="6"/>
  <c r="WW1" i="6"/>
  <c r="WV3" i="6"/>
  <c r="WV9" i="6"/>
  <c r="WV10" i="6"/>
  <c r="WV11" i="6"/>
  <c r="WV17" i="6"/>
  <c r="WV18" i="6"/>
  <c r="WV5" i="6"/>
  <c r="WU3" i="6"/>
  <c r="WK12" i="6"/>
  <c r="WJ14" i="6"/>
  <c r="WE6" i="6"/>
  <c r="WD7" i="6"/>
  <c r="WT4" i="6"/>
  <c r="WX1" i="6"/>
  <c r="WU4" i="6"/>
  <c r="WF6" i="6"/>
  <c r="WE7" i="6"/>
  <c r="WL12" i="6"/>
  <c r="WK14" i="6"/>
  <c r="WY1" i="6"/>
  <c r="WX3" i="6"/>
  <c r="WX9" i="6"/>
  <c r="WX11" i="6"/>
  <c r="WX17" i="6"/>
  <c r="WX5" i="6"/>
  <c r="WW5" i="6"/>
  <c r="WW17" i="6"/>
  <c r="WW18" i="6"/>
  <c r="WW11" i="6"/>
  <c r="WW3" i="6"/>
  <c r="WW9" i="6"/>
  <c r="WW10" i="6"/>
  <c r="WX10" i="6"/>
  <c r="WM12" i="6"/>
  <c r="WL14" i="6"/>
  <c r="WG6" i="6"/>
  <c r="WF7" i="6"/>
  <c r="WV4" i="6"/>
  <c r="WX18" i="6"/>
  <c r="WZ1" i="6"/>
  <c r="WY3" i="6"/>
  <c r="WY9" i="6"/>
  <c r="WY10" i="6"/>
  <c r="WY11" i="6"/>
  <c r="WY17" i="6"/>
  <c r="WY18" i="6"/>
  <c r="WY5" i="6"/>
  <c r="WW4" i="6"/>
  <c r="WH6" i="6"/>
  <c r="WG7" i="6"/>
  <c r="WM14" i="6"/>
  <c r="WN12" i="6"/>
  <c r="XA1" i="6"/>
  <c r="WN14" i="6"/>
  <c r="WO12" i="6"/>
  <c r="WI6" i="6"/>
  <c r="WH7" i="6"/>
  <c r="WX4" i="6"/>
  <c r="XB1" i="6"/>
  <c r="XA3" i="6"/>
  <c r="XA9" i="6"/>
  <c r="XA11" i="6"/>
  <c r="XA17" i="6"/>
  <c r="XA5" i="6"/>
  <c r="WZ3" i="6"/>
  <c r="WZ5" i="6"/>
  <c r="WZ17" i="6"/>
  <c r="WZ18" i="6"/>
  <c r="WZ11" i="6"/>
  <c r="WZ9" i="6"/>
  <c r="WZ10" i="6"/>
  <c r="WY4" i="6"/>
  <c r="WJ6" i="6"/>
  <c r="WI7" i="6"/>
  <c r="WO14" i="6"/>
  <c r="WP12" i="6"/>
  <c r="XA10" i="6"/>
  <c r="XA18" i="6"/>
  <c r="XC1" i="6"/>
  <c r="XB3" i="6"/>
  <c r="XB9" i="6"/>
  <c r="XB10" i="6"/>
  <c r="XB11" i="6"/>
  <c r="XB17" i="6"/>
  <c r="XB18" i="6"/>
  <c r="XB5" i="6"/>
  <c r="WP14" i="6"/>
  <c r="WQ12" i="6"/>
  <c r="WK6" i="6"/>
  <c r="WJ7" i="6"/>
  <c r="WZ4" i="6"/>
  <c r="XD1" i="6"/>
  <c r="XC9" i="6"/>
  <c r="XC10" i="6"/>
  <c r="XC3" i="6"/>
  <c r="XC11" i="6"/>
  <c r="XC17" i="6"/>
  <c r="XC18" i="6"/>
  <c r="XC5" i="6"/>
  <c r="XA4" i="6"/>
  <c r="WL6" i="6"/>
  <c r="WK7" i="6"/>
  <c r="WR12" i="6"/>
  <c r="WQ14" i="6"/>
  <c r="XE1" i="6"/>
  <c r="XD9" i="6"/>
  <c r="XD10" i="6"/>
  <c r="XD11" i="6"/>
  <c r="XD17" i="6"/>
  <c r="XD18" i="6"/>
  <c r="XD5" i="6"/>
  <c r="WS12" i="6"/>
  <c r="WR14" i="6"/>
  <c r="WM6" i="6"/>
  <c r="WL7" i="6"/>
  <c r="XB4" i="6"/>
  <c r="XF1" i="6"/>
  <c r="XE3" i="6"/>
  <c r="XE17" i="6"/>
  <c r="XE18" i="6"/>
  <c r="XE5" i="6"/>
  <c r="XD3" i="6"/>
  <c r="XC4" i="6"/>
  <c r="WN6" i="6"/>
  <c r="WM7" i="6"/>
  <c r="WS14" i="6"/>
  <c r="WT12" i="6"/>
  <c r="XE11" i="6"/>
  <c r="XE9" i="6"/>
  <c r="XE10" i="6"/>
  <c r="XG1" i="6"/>
  <c r="XF3" i="6"/>
  <c r="XF9" i="6"/>
  <c r="XF11" i="6"/>
  <c r="XF17" i="6"/>
  <c r="XF18" i="6"/>
  <c r="XF5" i="6"/>
  <c r="WU12" i="6"/>
  <c r="WT14" i="6"/>
  <c r="WO6" i="6"/>
  <c r="WN7" i="6"/>
  <c r="XD4" i="6"/>
  <c r="XH1" i="6"/>
  <c r="XG9" i="6"/>
  <c r="XG11" i="6"/>
  <c r="XG17" i="6"/>
  <c r="XG18" i="6"/>
  <c r="XG5" i="6"/>
  <c r="XF10" i="6"/>
  <c r="XE4" i="6"/>
  <c r="WP6" i="6"/>
  <c r="WO7" i="6"/>
  <c r="WU14" i="6"/>
  <c r="WV12" i="6"/>
  <c r="XG10" i="6"/>
  <c r="XI1" i="6"/>
  <c r="XH3" i="6"/>
  <c r="XH9" i="6"/>
  <c r="XH10" i="6"/>
  <c r="XH11" i="6"/>
  <c r="XH17" i="6"/>
  <c r="XH18" i="6"/>
  <c r="XH5" i="6"/>
  <c r="XG3" i="6"/>
  <c r="WW12" i="6"/>
  <c r="WV14" i="6"/>
  <c r="WQ6" i="6"/>
  <c r="WP7" i="6"/>
  <c r="XF4" i="6"/>
  <c r="XJ1" i="6"/>
  <c r="XI3" i="6"/>
  <c r="XI9" i="6"/>
  <c r="XI10" i="6"/>
  <c r="XI11" i="6"/>
  <c r="XI17" i="6"/>
  <c r="XI18" i="6"/>
  <c r="XI5" i="6"/>
  <c r="XG4" i="6"/>
  <c r="WR6" i="6"/>
  <c r="WQ7" i="6"/>
  <c r="WX12" i="6"/>
  <c r="WW14" i="6"/>
  <c r="XK1" i="6"/>
  <c r="XJ9" i="6"/>
  <c r="XJ10" i="6"/>
  <c r="WX14" i="6"/>
  <c r="WY12" i="6"/>
  <c r="WS6" i="6"/>
  <c r="WR7" i="6"/>
  <c r="XH4" i="6"/>
  <c r="XK3" i="6"/>
  <c r="XL1" i="6"/>
  <c r="XK9" i="6"/>
  <c r="XK10" i="6"/>
  <c r="XK11" i="6"/>
  <c r="XK17" i="6"/>
  <c r="XK5" i="6"/>
  <c r="XJ5" i="6"/>
  <c r="XJ17" i="6"/>
  <c r="XJ18" i="6"/>
  <c r="XJ11" i="6"/>
  <c r="XJ3" i="6"/>
  <c r="XI4" i="6"/>
  <c r="WT6" i="6"/>
  <c r="WS7" i="6"/>
  <c r="WZ12" i="6"/>
  <c r="WY14" i="6"/>
  <c r="XK18" i="6"/>
  <c r="XM1" i="6"/>
  <c r="XL3" i="6"/>
  <c r="XL9" i="6"/>
  <c r="XL10" i="6"/>
  <c r="XL11" i="6"/>
  <c r="XL17" i="6"/>
  <c r="XL5" i="6"/>
  <c r="WZ14" i="6"/>
  <c r="XA12" i="6"/>
  <c r="WU6" i="6"/>
  <c r="WT7" i="6"/>
  <c r="XJ4" i="6"/>
  <c r="XN1" i="6"/>
  <c r="XM3" i="6"/>
  <c r="XL18" i="6"/>
  <c r="XK4" i="6"/>
  <c r="WV6" i="6"/>
  <c r="WU7" i="6"/>
  <c r="XA14" i="6"/>
  <c r="XB12" i="6"/>
  <c r="XM5" i="6"/>
  <c r="XM17" i="6"/>
  <c r="XM18" i="6"/>
  <c r="XM11" i="6"/>
  <c r="XM9" i="6"/>
  <c r="XM10" i="6"/>
  <c r="XO1" i="6"/>
  <c r="XN3" i="6"/>
  <c r="XC12" i="6"/>
  <c r="XB14" i="6"/>
  <c r="WW6" i="6"/>
  <c r="WV7" i="6"/>
  <c r="XL4" i="6"/>
  <c r="XP1" i="6"/>
  <c r="XO3" i="6"/>
  <c r="XO9" i="6"/>
  <c r="XO11" i="6"/>
  <c r="XO17" i="6"/>
  <c r="XO5" i="6"/>
  <c r="XN5" i="6"/>
  <c r="XN17" i="6"/>
  <c r="XN18" i="6"/>
  <c r="XN11" i="6"/>
  <c r="XN9" i="6"/>
  <c r="XN10" i="6"/>
  <c r="XO10" i="6"/>
  <c r="XM4" i="6"/>
  <c r="WX6" i="6"/>
  <c r="WW7" i="6"/>
  <c r="XD12" i="6"/>
  <c r="XC14" i="6"/>
  <c r="XO18" i="6"/>
  <c r="XQ1" i="6"/>
  <c r="XP9" i="6"/>
  <c r="XP10" i="6"/>
  <c r="XP11" i="6"/>
  <c r="XP17" i="6"/>
  <c r="XP5" i="6"/>
  <c r="XE12" i="6"/>
  <c r="XD14" i="6"/>
  <c r="WY6" i="6"/>
  <c r="WX7" i="6"/>
  <c r="XN4" i="6"/>
  <c r="XR1" i="6"/>
  <c r="XQ3" i="6"/>
  <c r="XQ9" i="6"/>
  <c r="XQ10" i="6"/>
  <c r="XQ11" i="6"/>
  <c r="XQ17" i="6"/>
  <c r="XQ5" i="6"/>
  <c r="XP3" i="6"/>
  <c r="XP18" i="6"/>
  <c r="XO4" i="6"/>
  <c r="WZ6" i="6"/>
  <c r="WY7" i="6"/>
  <c r="XF12" i="6"/>
  <c r="XE14" i="6"/>
  <c r="XQ18" i="6"/>
  <c r="XS1" i="6"/>
  <c r="XR9" i="6"/>
  <c r="XR10" i="6"/>
  <c r="XR3" i="6"/>
  <c r="XR11" i="6"/>
  <c r="XR17" i="6"/>
  <c r="XR5" i="6"/>
  <c r="XG12" i="6"/>
  <c r="XF14" i="6"/>
  <c r="XA6" i="6"/>
  <c r="WZ7" i="6"/>
  <c r="XP4" i="6"/>
  <c r="XR18" i="6"/>
  <c r="XT1" i="6"/>
  <c r="XQ4" i="6"/>
  <c r="XB6" i="6"/>
  <c r="XA7" i="6"/>
  <c r="XH12" i="6"/>
  <c r="XG14" i="6"/>
  <c r="XU1" i="6"/>
  <c r="XT3" i="6"/>
  <c r="XT9" i="6"/>
  <c r="XT11" i="6"/>
  <c r="XS5" i="6"/>
  <c r="XS17" i="6"/>
  <c r="XS18" i="6"/>
  <c r="XS11" i="6"/>
  <c r="XS3" i="6"/>
  <c r="XS9" i="6"/>
  <c r="XS10" i="6"/>
  <c r="XH14" i="6"/>
  <c r="XI12" i="6"/>
  <c r="XC6" i="6"/>
  <c r="XB7" i="6"/>
  <c r="XR4" i="6"/>
  <c r="XT10" i="6"/>
  <c r="XV1" i="6"/>
  <c r="XT5" i="6"/>
  <c r="XT17" i="6"/>
  <c r="XT18" i="6"/>
  <c r="XS4" i="6"/>
  <c r="XD6" i="6"/>
  <c r="XC7" i="6"/>
  <c r="XJ12" i="6"/>
  <c r="XI14" i="6"/>
  <c r="XW1" i="6"/>
  <c r="XV9" i="6"/>
  <c r="XU5" i="6"/>
  <c r="XU17" i="6"/>
  <c r="XU18" i="6"/>
  <c r="XU11" i="6"/>
  <c r="XU3" i="6"/>
  <c r="XU9" i="6"/>
  <c r="XU10" i="6"/>
  <c r="XK12" i="6"/>
  <c r="XJ14" i="6"/>
  <c r="XE6" i="6"/>
  <c r="XD7" i="6"/>
  <c r="XT4" i="6"/>
  <c r="XV10" i="6"/>
  <c r="XV5" i="6"/>
  <c r="XV17" i="6"/>
  <c r="XV18" i="6"/>
  <c r="XV11" i="6"/>
  <c r="XX1" i="6"/>
  <c r="XW11" i="6"/>
  <c r="XW17" i="6"/>
  <c r="XW5" i="6"/>
  <c r="XV3" i="6"/>
  <c r="XU4" i="6"/>
  <c r="XF6" i="6"/>
  <c r="XE7" i="6"/>
  <c r="XK14" i="6"/>
  <c r="XL12" i="6"/>
  <c r="XW18" i="6"/>
  <c r="XY1" i="6"/>
  <c r="XX3" i="6"/>
  <c r="XX9" i="6"/>
  <c r="XX11" i="6"/>
  <c r="XX17" i="6"/>
  <c r="XX18" i="6"/>
  <c r="XX5" i="6"/>
  <c r="XW9" i="6"/>
  <c r="XW10" i="6"/>
  <c r="XW3" i="6"/>
  <c r="XL14" i="6"/>
  <c r="XM12" i="6"/>
  <c r="XG6" i="6"/>
  <c r="XF7" i="6"/>
  <c r="XV4" i="6"/>
  <c r="XX10" i="6"/>
  <c r="XZ1" i="6"/>
  <c r="XW4" i="6"/>
  <c r="XH6" i="6"/>
  <c r="XG7" i="6"/>
  <c r="XN12" i="6"/>
  <c r="XM14" i="6"/>
  <c r="YA1" i="6"/>
  <c r="XZ3" i="6"/>
  <c r="XY5" i="6"/>
  <c r="XY17" i="6"/>
  <c r="XY18" i="6"/>
  <c r="XY11" i="6"/>
  <c r="XY9" i="6"/>
  <c r="XY10" i="6"/>
  <c r="XY3" i="6"/>
  <c r="XN14" i="6"/>
  <c r="XO12" i="6"/>
  <c r="XI6" i="6"/>
  <c r="XH7" i="6"/>
  <c r="XX4" i="6"/>
  <c r="YB1" i="6"/>
  <c r="YA9" i="6"/>
  <c r="YA3" i="6"/>
  <c r="YA11" i="6"/>
  <c r="YA17" i="6"/>
  <c r="YA5" i="6"/>
  <c r="XZ5" i="6"/>
  <c r="XZ11" i="6"/>
  <c r="XZ17" i="6"/>
  <c r="XZ18" i="6"/>
  <c r="XZ9" i="6"/>
  <c r="XZ10" i="6"/>
  <c r="XY4" i="6"/>
  <c r="XJ6" i="6"/>
  <c r="XI7" i="6"/>
  <c r="XP12" i="6"/>
  <c r="XO14" i="6"/>
  <c r="YA18" i="6"/>
  <c r="YA10" i="6"/>
  <c r="YC1" i="6"/>
  <c r="YB3" i="6"/>
  <c r="YB9" i="6"/>
  <c r="YB11" i="6"/>
  <c r="YB17" i="6"/>
  <c r="YB18" i="6"/>
  <c r="YB5" i="6"/>
  <c r="XP14" i="6"/>
  <c r="XQ12" i="6"/>
  <c r="XK6" i="6"/>
  <c r="XJ7" i="6"/>
  <c r="XZ4" i="6"/>
  <c r="YB10" i="6"/>
  <c r="YD1" i="6"/>
  <c r="YC3" i="6"/>
  <c r="YC9" i="6"/>
  <c r="YC10" i="6"/>
  <c r="YC11" i="6"/>
  <c r="YC17" i="6"/>
  <c r="YC18" i="6"/>
  <c r="YC5" i="6"/>
  <c r="YA4" i="6"/>
  <c r="XL6" i="6"/>
  <c r="XK7" i="6"/>
  <c r="XR12" i="6"/>
  <c r="XQ14" i="6"/>
  <c r="YE1" i="6"/>
  <c r="YD3" i="6"/>
  <c r="YD9" i="6"/>
  <c r="YD10" i="6"/>
  <c r="YD11" i="6"/>
  <c r="YD17" i="6"/>
  <c r="YD18" i="6"/>
  <c r="YD5" i="6"/>
  <c r="XS12" i="6"/>
  <c r="XR14" i="6"/>
  <c r="XM6" i="6"/>
  <c r="XL7" i="6"/>
  <c r="YB4" i="6"/>
  <c r="YF1" i="6"/>
  <c r="YE3" i="6"/>
  <c r="YE9" i="6"/>
  <c r="YE10" i="6"/>
  <c r="YE11" i="6"/>
  <c r="YE17" i="6"/>
  <c r="YE18" i="6"/>
  <c r="YE5" i="6"/>
  <c r="YC4" i="6"/>
  <c r="XN6" i="6"/>
  <c r="XM7" i="6"/>
  <c r="XS14" i="6"/>
  <c r="XT12" i="6"/>
  <c r="YG1" i="6"/>
  <c r="YF3" i="6"/>
  <c r="YF9" i="6"/>
  <c r="YF10" i="6"/>
  <c r="YF11" i="6"/>
  <c r="YF17" i="6"/>
  <c r="YF18" i="6"/>
  <c r="YF5" i="6"/>
  <c r="XU12" i="6"/>
  <c r="XT14" i="6"/>
  <c r="XO6" i="6"/>
  <c r="XN7" i="6"/>
  <c r="YD4" i="6"/>
  <c r="YH1" i="6"/>
  <c r="YG9" i="6"/>
  <c r="YG10" i="6"/>
  <c r="YG3" i="6"/>
  <c r="YE4" i="6"/>
  <c r="XP6" i="6"/>
  <c r="XO7" i="6"/>
  <c r="XV12" i="6"/>
  <c r="XU14" i="6"/>
  <c r="YI1" i="6"/>
  <c r="YH9" i="6"/>
  <c r="YH10" i="6"/>
  <c r="YH3" i="6"/>
  <c r="YG5" i="6"/>
  <c r="YG17" i="6"/>
  <c r="YG18" i="6"/>
  <c r="YG11" i="6"/>
  <c r="XW12" i="6"/>
  <c r="XV14" i="6"/>
  <c r="XQ6" i="6"/>
  <c r="XP7" i="6"/>
  <c r="YF4" i="6"/>
  <c r="YH5" i="6"/>
  <c r="YH17" i="6"/>
  <c r="YH18" i="6"/>
  <c r="YH11" i="6"/>
  <c r="YJ1" i="6"/>
  <c r="YI3" i="6"/>
  <c r="YI9" i="6"/>
  <c r="YI10" i="6"/>
  <c r="YI11" i="6"/>
  <c r="YI17" i="6"/>
  <c r="YI5" i="6"/>
  <c r="YG4" i="6"/>
  <c r="XR6" i="6"/>
  <c r="XQ7" i="6"/>
  <c r="XW14" i="6"/>
  <c r="XX12" i="6"/>
  <c r="YI18" i="6"/>
  <c r="YK1" i="6"/>
  <c r="YJ9" i="6"/>
  <c r="YJ10" i="6"/>
  <c r="YJ11" i="6"/>
  <c r="YJ17" i="6"/>
  <c r="YJ18" i="6"/>
  <c r="YJ5" i="6"/>
  <c r="XX14" i="6"/>
  <c r="XY12" i="6"/>
  <c r="XS6" i="6"/>
  <c r="XR7" i="6"/>
  <c r="YH4" i="6"/>
  <c r="YL1" i="6"/>
  <c r="YK9" i="6"/>
  <c r="YK10" i="6"/>
  <c r="YK3" i="6"/>
  <c r="YK11" i="6"/>
  <c r="YK17" i="6"/>
  <c r="YK18" i="6"/>
  <c r="YK5" i="6"/>
  <c r="YJ3" i="6"/>
  <c r="YI4" i="6"/>
  <c r="XT6" i="6"/>
  <c r="XS7" i="6"/>
  <c r="XY14" i="6"/>
  <c r="XZ12" i="6"/>
  <c r="YM1" i="6"/>
  <c r="YL3" i="6"/>
  <c r="YL9" i="6"/>
  <c r="YL10" i="6"/>
  <c r="YL11" i="6"/>
  <c r="YL17" i="6"/>
  <c r="YL18" i="6"/>
  <c r="XZ14" i="6"/>
  <c r="YA12" i="6"/>
  <c r="XU6" i="6"/>
  <c r="XT7" i="6"/>
  <c r="YJ4" i="6"/>
  <c r="YN1" i="6"/>
  <c r="YM9" i="6"/>
  <c r="YM10" i="6"/>
  <c r="YL5" i="6"/>
  <c r="YK4" i="6"/>
  <c r="XV6" i="6"/>
  <c r="XU7" i="6"/>
  <c r="YB12" i="6"/>
  <c r="YA14" i="6"/>
  <c r="YM3" i="6"/>
  <c r="YM5" i="6"/>
  <c r="YM17" i="6"/>
  <c r="YM18" i="6"/>
  <c r="YM11" i="6"/>
  <c r="YO1" i="6"/>
  <c r="YN3" i="6"/>
  <c r="YN9" i="6"/>
  <c r="YN10" i="6"/>
  <c r="YN11" i="6"/>
  <c r="YN17" i="6"/>
  <c r="YN5" i="6"/>
  <c r="YC12" i="6"/>
  <c r="YB14" i="6"/>
  <c r="XW6" i="6"/>
  <c r="XV7" i="6"/>
  <c r="YL4" i="6"/>
  <c r="YP1" i="6"/>
  <c r="YO9" i="6"/>
  <c r="YO10" i="6"/>
  <c r="YO11" i="6"/>
  <c r="YO17" i="6"/>
  <c r="YO5" i="6"/>
  <c r="YN18" i="6"/>
  <c r="YM4" i="6"/>
  <c r="XX6" i="6"/>
  <c r="XW7" i="6"/>
  <c r="YD12" i="6"/>
  <c r="YC14" i="6"/>
  <c r="YO18" i="6"/>
  <c r="YQ1" i="6"/>
  <c r="YP3" i="6"/>
  <c r="YP9" i="6"/>
  <c r="YP10" i="6"/>
  <c r="YP11" i="6"/>
  <c r="YP17" i="6"/>
  <c r="YP5" i="6"/>
  <c r="YO3" i="6"/>
  <c r="YE12" i="6"/>
  <c r="YD14" i="6"/>
  <c r="XY6" i="6"/>
  <c r="XX7" i="6"/>
  <c r="YN4" i="6"/>
  <c r="YR1" i="6"/>
  <c r="YQ3" i="6"/>
  <c r="YQ9" i="6"/>
  <c r="YQ10" i="6"/>
  <c r="YQ11" i="6"/>
  <c r="YQ17" i="6"/>
  <c r="YQ5" i="6"/>
  <c r="YP18" i="6"/>
  <c r="YO4" i="6"/>
  <c r="XZ6" i="6"/>
  <c r="XY7" i="6"/>
  <c r="YF12" i="6"/>
  <c r="YE14" i="6"/>
  <c r="YQ18" i="6"/>
  <c r="YR3" i="6"/>
  <c r="YS1" i="6"/>
  <c r="YR11" i="6"/>
  <c r="YR17" i="6"/>
  <c r="YR5" i="6"/>
  <c r="YG12" i="6"/>
  <c r="YF14" i="6"/>
  <c r="YA6" i="6"/>
  <c r="XZ7" i="6"/>
  <c r="YP4" i="6"/>
  <c r="YR18" i="6"/>
  <c r="YT1" i="6"/>
  <c r="YS3" i="6"/>
  <c r="YS9" i="6"/>
  <c r="YS11" i="6"/>
  <c r="YS17" i="6"/>
  <c r="YS18" i="6"/>
  <c r="YS5" i="6"/>
  <c r="YR9" i="6"/>
  <c r="YR10" i="6"/>
  <c r="YQ4" i="6"/>
  <c r="YB6" i="6"/>
  <c r="YA7" i="6"/>
  <c r="YH12" i="6"/>
  <c r="YG14" i="6"/>
  <c r="YS10" i="6"/>
  <c r="YU1" i="6"/>
  <c r="YT3" i="6"/>
  <c r="YT9" i="6"/>
  <c r="YT10" i="6"/>
  <c r="YT11" i="6"/>
  <c r="YT17" i="6"/>
  <c r="YT18" i="6"/>
  <c r="YT5" i="6"/>
  <c r="YI12" i="6"/>
  <c r="YH14" i="6"/>
  <c r="YC6" i="6"/>
  <c r="YB7" i="6"/>
  <c r="YR4" i="6"/>
  <c r="YV1" i="6"/>
  <c r="YU3" i="6"/>
  <c r="YU9" i="6"/>
  <c r="YU10" i="6"/>
  <c r="YU11" i="6"/>
  <c r="YU17" i="6"/>
  <c r="YU18" i="6"/>
  <c r="YU5" i="6"/>
  <c r="YS4" i="6"/>
  <c r="YD6" i="6"/>
  <c r="YC7" i="6"/>
  <c r="YI14" i="6"/>
  <c r="YJ12" i="6"/>
  <c r="YW1" i="6"/>
  <c r="YK12" i="6"/>
  <c r="YJ14" i="6"/>
  <c r="YE6" i="6"/>
  <c r="YD7" i="6"/>
  <c r="YT4" i="6"/>
  <c r="YX1" i="6"/>
  <c r="YV5" i="6"/>
  <c r="YV17" i="6"/>
  <c r="YV18" i="6"/>
  <c r="YV11" i="6"/>
  <c r="YV9" i="6"/>
  <c r="YV10" i="6"/>
  <c r="YV3" i="6"/>
  <c r="YU4" i="6"/>
  <c r="YF6" i="6"/>
  <c r="YE7" i="6"/>
  <c r="YK14" i="6"/>
  <c r="YL12" i="6"/>
  <c r="YX9" i="6"/>
  <c r="YX3" i="6"/>
  <c r="YY1" i="6"/>
  <c r="YX11" i="6"/>
  <c r="YX17" i="6"/>
  <c r="YX5" i="6"/>
  <c r="YW5" i="6"/>
  <c r="YW17" i="6"/>
  <c r="YW18" i="6"/>
  <c r="YW11" i="6"/>
  <c r="YW9" i="6"/>
  <c r="YW10" i="6"/>
  <c r="YW3" i="6"/>
  <c r="YL14" i="6"/>
  <c r="YM12" i="6"/>
  <c r="YG6" i="6"/>
  <c r="YF7" i="6"/>
  <c r="YV4" i="6"/>
  <c r="YX18" i="6"/>
  <c r="YX10" i="6"/>
  <c r="YZ1" i="6"/>
  <c r="YY3" i="6"/>
  <c r="YY9" i="6"/>
  <c r="YY11" i="6"/>
  <c r="YY17" i="6"/>
  <c r="YY5" i="6"/>
  <c r="YW4" i="6"/>
  <c r="YH6" i="6"/>
  <c r="YG7" i="6"/>
  <c r="YN12" i="6"/>
  <c r="YM14" i="6"/>
  <c r="YY18" i="6"/>
  <c r="YY10" i="6"/>
  <c r="ZA1" i="6"/>
  <c r="YO12" i="6"/>
  <c r="YN14" i="6"/>
  <c r="YI6" i="6"/>
  <c r="YH7" i="6"/>
  <c r="YX4" i="6"/>
  <c r="ZB1" i="6"/>
  <c r="ZA9" i="6"/>
  <c r="ZA3" i="6"/>
  <c r="ZA11" i="6"/>
  <c r="ZA17" i="6"/>
  <c r="ZA5" i="6"/>
  <c r="YZ5" i="6"/>
  <c r="YZ17" i="6"/>
  <c r="YZ18" i="6"/>
  <c r="YZ11" i="6"/>
  <c r="YZ9" i="6"/>
  <c r="YZ10" i="6"/>
  <c r="YZ3" i="6"/>
  <c r="YY4" i="6"/>
  <c r="YJ6" i="6"/>
  <c r="YI7" i="6"/>
  <c r="YP12" i="6"/>
  <c r="YO14" i="6"/>
  <c r="ZA10" i="6"/>
  <c r="ZA18" i="6"/>
  <c r="ZC1" i="6"/>
  <c r="YQ12" i="6"/>
  <c r="YP14" i="6"/>
  <c r="YK6" i="6"/>
  <c r="YJ7" i="6"/>
  <c r="YZ4" i="6"/>
  <c r="ZC3" i="6"/>
  <c r="ZD1" i="6"/>
  <c r="ZC11" i="6"/>
  <c r="ZC17" i="6"/>
  <c r="ZC5" i="6"/>
  <c r="ZB5" i="6"/>
  <c r="ZB17" i="6"/>
  <c r="ZB18" i="6"/>
  <c r="ZB11" i="6"/>
  <c r="ZB9" i="6"/>
  <c r="ZB10" i="6"/>
  <c r="ZB3" i="6"/>
  <c r="ZA4" i="6"/>
  <c r="YL6" i="6"/>
  <c r="YK7" i="6"/>
  <c r="YR12" i="6"/>
  <c r="YQ14" i="6"/>
  <c r="ZC18" i="6"/>
  <c r="ZE1" i="6"/>
  <c r="ZD9" i="6"/>
  <c r="ZD11" i="6"/>
  <c r="ZD17" i="6"/>
  <c r="ZD18" i="6"/>
  <c r="ZD5" i="6"/>
  <c r="ZC9" i="6"/>
  <c r="ZC10" i="6"/>
  <c r="YS12" i="6"/>
  <c r="YR14" i="6"/>
  <c r="YM6" i="6"/>
  <c r="YL7" i="6"/>
  <c r="ZB4" i="6"/>
  <c r="ZD10" i="6"/>
  <c r="ZF1" i="6"/>
  <c r="ZE9" i="6"/>
  <c r="ZE3" i="6"/>
  <c r="ZE11" i="6"/>
  <c r="ZE17" i="6"/>
  <c r="ZE18" i="6"/>
  <c r="ZE5" i="6"/>
  <c r="ZD3" i="6"/>
  <c r="ZC4" i="6"/>
  <c r="YN6" i="6"/>
  <c r="YM7" i="6"/>
  <c r="YT12" i="6"/>
  <c r="YS14" i="6"/>
  <c r="ZE10" i="6"/>
  <c r="ZG1" i="6"/>
  <c r="YU12" i="6"/>
  <c r="YT14" i="6"/>
  <c r="YO6" i="6"/>
  <c r="YN7" i="6"/>
  <c r="ZD4" i="6"/>
  <c r="ZH1" i="6"/>
  <c r="ZG9" i="6"/>
  <c r="ZF3" i="6"/>
  <c r="ZF5" i="6"/>
  <c r="ZF17" i="6"/>
  <c r="ZF18" i="6"/>
  <c r="ZF11" i="6"/>
  <c r="ZF9" i="6"/>
  <c r="ZF10" i="6"/>
  <c r="ZE4" i="6"/>
  <c r="YP6" i="6"/>
  <c r="YO7" i="6"/>
  <c r="YV12" i="6"/>
  <c r="YU14" i="6"/>
  <c r="ZG10" i="6"/>
  <c r="ZG5" i="6"/>
  <c r="ZG17" i="6"/>
  <c r="ZG18" i="6"/>
  <c r="ZG11" i="6"/>
  <c r="ZI1" i="6"/>
  <c r="ZH3" i="6"/>
  <c r="ZH9" i="6"/>
  <c r="ZH11" i="6"/>
  <c r="ZH17" i="6"/>
  <c r="ZH5" i="6"/>
  <c r="ZG3" i="6"/>
  <c r="YV14" i="6"/>
  <c r="YW12" i="6"/>
  <c r="YQ6" i="6"/>
  <c r="YP7" i="6"/>
  <c r="ZF4" i="6"/>
  <c r="ZH18" i="6"/>
  <c r="ZJ1" i="6"/>
  <c r="ZI3" i="6"/>
  <c r="ZI9" i="6"/>
  <c r="ZI11" i="6"/>
  <c r="ZI17" i="6"/>
  <c r="ZI5" i="6"/>
  <c r="ZH10" i="6"/>
  <c r="ZG4" i="6"/>
  <c r="YR6" i="6"/>
  <c r="YQ7" i="6"/>
  <c r="YW14" i="6"/>
  <c r="YX12" i="6"/>
  <c r="ZI10" i="6"/>
  <c r="ZI18" i="6"/>
  <c r="ZK1" i="6"/>
  <c r="ZJ9" i="6"/>
  <c r="ZJ11" i="6"/>
  <c r="ZJ17" i="6"/>
  <c r="ZJ18" i="6"/>
  <c r="ZJ5" i="6"/>
  <c r="YX14" i="6"/>
  <c r="YY12" i="6"/>
  <c r="YS6" i="6"/>
  <c r="YR7" i="6"/>
  <c r="ZH4" i="6"/>
  <c r="ZJ10" i="6"/>
  <c r="ZL1" i="6"/>
  <c r="ZK3" i="6"/>
  <c r="ZK9" i="6"/>
  <c r="ZK10" i="6"/>
  <c r="ZK11" i="6"/>
  <c r="ZK17" i="6"/>
  <c r="ZK18" i="6"/>
  <c r="ZK5" i="6"/>
  <c r="ZJ3" i="6"/>
  <c r="ZI4" i="6"/>
  <c r="YT6" i="6"/>
  <c r="YS7" i="6"/>
  <c r="YZ12" i="6"/>
  <c r="YY14" i="6"/>
  <c r="ZM1" i="6"/>
  <c r="ZL3" i="6"/>
  <c r="ZL9" i="6"/>
  <c r="ZL10" i="6"/>
  <c r="ZL11" i="6"/>
  <c r="ZL17" i="6"/>
  <c r="ZL18" i="6"/>
  <c r="ZL5" i="6"/>
  <c r="ZA12" i="6"/>
  <c r="YZ14" i="6"/>
  <c r="YU6" i="6"/>
  <c r="YT7" i="6"/>
  <c r="ZJ4" i="6"/>
  <c r="ZN1" i="6"/>
  <c r="ZM9" i="6"/>
  <c r="ZM10" i="6"/>
  <c r="ZM3" i="6"/>
  <c r="ZM11" i="6"/>
  <c r="ZM17" i="6"/>
  <c r="ZM18" i="6"/>
  <c r="ZM5" i="6"/>
  <c r="ZK4" i="6"/>
  <c r="YV6" i="6"/>
  <c r="YU7" i="6"/>
  <c r="ZB12" i="6"/>
  <c r="ZA14" i="6"/>
  <c r="ZO1" i="6"/>
  <c r="ZC12" i="6"/>
  <c r="ZB14" i="6"/>
  <c r="YW6" i="6"/>
  <c r="YV7" i="6"/>
  <c r="ZL4" i="6"/>
  <c r="ZP1" i="6"/>
  <c r="ZO3" i="6"/>
  <c r="ZO9" i="6"/>
  <c r="ZO11" i="6"/>
  <c r="ZO17" i="6"/>
  <c r="ZO5" i="6"/>
  <c r="ZN5" i="6"/>
  <c r="ZN17" i="6"/>
  <c r="ZN18" i="6"/>
  <c r="ZN11" i="6"/>
  <c r="ZN9" i="6"/>
  <c r="ZN10" i="6"/>
  <c r="ZN3" i="6"/>
  <c r="ZM4" i="6"/>
  <c r="YX6" i="6"/>
  <c r="YW7" i="6"/>
  <c r="ZD12" i="6"/>
  <c r="ZC14" i="6"/>
  <c r="ZO18" i="6"/>
  <c r="ZO10" i="6"/>
  <c r="ZQ1" i="6"/>
  <c r="ZP3" i="6"/>
  <c r="ZE12" i="6"/>
  <c r="ZD14" i="6"/>
  <c r="YY6" i="6"/>
  <c r="YX7" i="6"/>
  <c r="ZN4" i="6"/>
  <c r="ZR1" i="6"/>
  <c r="ZQ3" i="6"/>
  <c r="ZQ9" i="6"/>
  <c r="ZQ11" i="6"/>
  <c r="ZQ17" i="6"/>
  <c r="ZQ5" i="6"/>
  <c r="ZP5" i="6"/>
  <c r="ZP17" i="6"/>
  <c r="ZP18" i="6"/>
  <c r="ZP11" i="6"/>
  <c r="ZP9" i="6"/>
  <c r="ZP10" i="6"/>
  <c r="ZO4" i="6"/>
  <c r="YZ6" i="6"/>
  <c r="YY7" i="6"/>
  <c r="ZF12" i="6"/>
  <c r="ZE14" i="6"/>
  <c r="ZQ10" i="6"/>
  <c r="ZQ18" i="6"/>
  <c r="ZS1" i="6"/>
  <c r="ZR9" i="6"/>
  <c r="ZR10" i="6"/>
  <c r="ZR3" i="6"/>
  <c r="ZR11" i="6"/>
  <c r="ZR17" i="6"/>
  <c r="ZR5" i="6"/>
  <c r="ZG12" i="6"/>
  <c r="ZF14" i="6"/>
  <c r="ZA6" i="6"/>
  <c r="YZ7" i="6"/>
  <c r="ZP4" i="6"/>
  <c r="ZT1" i="6"/>
  <c r="ZS3" i="6"/>
  <c r="ZS9" i="6"/>
  <c r="ZS10" i="6"/>
  <c r="ZS11" i="6"/>
  <c r="ZS17" i="6"/>
  <c r="ZS5" i="6"/>
  <c r="ZR18" i="6"/>
  <c r="ZQ4" i="6"/>
  <c r="ZB6" i="6"/>
  <c r="ZA7" i="6"/>
  <c r="ZH12" i="6"/>
  <c r="ZG14" i="6"/>
  <c r="ZS18" i="6"/>
  <c r="ZU1" i="6"/>
  <c r="ZT9" i="6"/>
  <c r="ZT10" i="6"/>
  <c r="ZT11" i="6"/>
  <c r="ZT17" i="6"/>
  <c r="ZT18" i="6"/>
  <c r="ZT5" i="6"/>
  <c r="ZH14" i="6"/>
  <c r="ZI12" i="6"/>
  <c r="ZC6" i="6"/>
  <c r="ZB7" i="6"/>
  <c r="ZR4" i="6"/>
  <c r="ZV1" i="6"/>
  <c r="ZU9" i="6"/>
  <c r="ZU10" i="6"/>
  <c r="ZU3" i="6"/>
  <c r="ZU17" i="6"/>
  <c r="ZU18" i="6"/>
  <c r="ZU5" i="6"/>
  <c r="ZT3" i="6"/>
  <c r="ZS4" i="6"/>
  <c r="ZD6" i="6"/>
  <c r="ZC7" i="6"/>
  <c r="ZJ12" i="6"/>
  <c r="ZI14" i="6"/>
  <c r="ZU11" i="6"/>
  <c r="ZW1" i="6"/>
  <c r="ZV11" i="6"/>
  <c r="ZV17" i="6"/>
  <c r="ZV18" i="6"/>
  <c r="ZV5" i="6"/>
  <c r="ZJ14" i="6"/>
  <c r="ZK12" i="6"/>
  <c r="ZE6" i="6"/>
  <c r="ZD7" i="6"/>
  <c r="ZT4" i="6"/>
  <c r="ZX1" i="6"/>
  <c r="ZW3" i="6"/>
  <c r="ZV9" i="6"/>
  <c r="ZV10" i="6"/>
  <c r="ZV3" i="6"/>
  <c r="ZU4" i="6"/>
  <c r="ZF6" i="6"/>
  <c r="ZE7" i="6"/>
  <c r="ZL12" i="6"/>
  <c r="ZK14" i="6"/>
  <c r="ZW9" i="6"/>
  <c r="ZW10" i="6"/>
  <c r="ZW5" i="6"/>
  <c r="ZW17" i="6"/>
  <c r="ZW18" i="6"/>
  <c r="ZW11" i="6"/>
  <c r="ZY1" i="6"/>
  <c r="ZX3" i="6"/>
  <c r="ZX9" i="6"/>
  <c r="ZX11" i="6"/>
  <c r="ZX17" i="6"/>
  <c r="ZX5" i="6"/>
  <c r="ZM12" i="6"/>
  <c r="ZL14" i="6"/>
  <c r="ZG6" i="6"/>
  <c r="ZF7" i="6"/>
  <c r="ZV4" i="6"/>
  <c r="ZY9" i="6"/>
  <c r="ZY3" i="6"/>
  <c r="ZZ1" i="6"/>
  <c r="ZY11" i="6"/>
  <c r="ZY17" i="6"/>
  <c r="ZY5" i="6"/>
  <c r="ZX18" i="6"/>
  <c r="ZX10" i="6"/>
  <c r="ZW4" i="6"/>
  <c r="ZH6" i="6"/>
  <c r="ZG7" i="6"/>
  <c r="ZN12" i="6"/>
  <c r="ZM14" i="6"/>
  <c r="ZY18" i="6"/>
  <c r="ZY10" i="6"/>
  <c r="AAA1" i="6"/>
  <c r="ZZ3" i="6"/>
  <c r="ZZ9" i="6"/>
  <c r="ZZ11" i="6"/>
  <c r="ZZ17" i="6"/>
  <c r="ZZ18" i="6"/>
  <c r="ZZ5" i="6"/>
  <c r="ZO12" i="6"/>
  <c r="ZN14" i="6"/>
  <c r="ZI6" i="6"/>
  <c r="ZH7" i="6"/>
  <c r="ZX4" i="6"/>
  <c r="ZZ10" i="6"/>
  <c r="AAB1" i="6"/>
  <c r="AAA11" i="6"/>
  <c r="AAA17" i="6"/>
  <c r="AAA18" i="6"/>
  <c r="AAA5" i="6"/>
  <c r="ZY4" i="6"/>
  <c r="ZJ6" i="6"/>
  <c r="ZI7" i="6"/>
  <c r="ZO14" i="6"/>
  <c r="ZP12" i="6"/>
  <c r="AAC1" i="6"/>
  <c r="AAA9" i="6"/>
  <c r="AAA10" i="6"/>
  <c r="AAA3" i="6"/>
  <c r="ZQ12" i="6"/>
  <c r="ZP14" i="6"/>
  <c r="ZK6" i="6"/>
  <c r="ZJ7" i="6"/>
  <c r="ZZ4" i="6"/>
  <c r="AAC3" i="6"/>
  <c r="AAC9" i="6"/>
  <c r="AAD1" i="6"/>
  <c r="AAC11" i="6"/>
  <c r="AAC17" i="6"/>
  <c r="AAC5" i="6"/>
  <c r="AAB5" i="6"/>
  <c r="AAB17" i="6"/>
  <c r="AAB18" i="6"/>
  <c r="AAB11" i="6"/>
  <c r="AAB9" i="6"/>
  <c r="AAB10" i="6"/>
  <c r="AAB3" i="6"/>
  <c r="AAA4" i="6"/>
  <c r="ZL6" i="6"/>
  <c r="ZK7" i="6"/>
  <c r="ZR12" i="6"/>
  <c r="ZQ14" i="6"/>
  <c r="AAC10" i="6"/>
  <c r="AAC18" i="6"/>
  <c r="AAD3" i="6"/>
  <c r="AAE1" i="6"/>
  <c r="AAD11" i="6"/>
  <c r="AAD17" i="6"/>
  <c r="AAD5" i="6"/>
  <c r="ZR14" i="6"/>
  <c r="ZS12" i="6"/>
  <c r="ZM6" i="6"/>
  <c r="ZL7" i="6"/>
  <c r="AAB4" i="6"/>
  <c r="AAD18" i="6"/>
  <c r="AAF1" i="6"/>
  <c r="AAE3" i="6"/>
  <c r="AAD9" i="6"/>
  <c r="AAD10" i="6"/>
  <c r="AAC4" i="6"/>
  <c r="ZN6" i="6"/>
  <c r="ZM7" i="6"/>
  <c r="ZT12" i="6"/>
  <c r="ZS14" i="6"/>
  <c r="AAG1" i="6"/>
  <c r="AAF3" i="6"/>
  <c r="AAF9" i="6"/>
  <c r="AAF11" i="6"/>
  <c r="AAF17" i="6"/>
  <c r="AAF5" i="6"/>
  <c r="AAE5" i="6"/>
  <c r="AAE17" i="6"/>
  <c r="AAE18" i="6"/>
  <c r="AAE11" i="6"/>
  <c r="AAE9" i="6"/>
  <c r="AAE10" i="6"/>
  <c r="ZU12" i="6"/>
  <c r="ZT14" i="6"/>
  <c r="ZO6" i="6"/>
  <c r="ZN7" i="6"/>
  <c r="AAD4" i="6"/>
  <c r="AAF18" i="6"/>
  <c r="AAF10" i="6"/>
  <c r="AAH1" i="6"/>
  <c r="AAG9" i="6"/>
  <c r="AAG10" i="6"/>
  <c r="AAG3" i="6"/>
  <c r="AAG11" i="6"/>
  <c r="AAG17" i="6"/>
  <c r="AAG18" i="6"/>
  <c r="AAG5" i="6"/>
  <c r="AAE4" i="6"/>
  <c r="ZP6" i="6"/>
  <c r="ZO7" i="6"/>
  <c r="ZV12" i="6"/>
  <c r="ZU14" i="6"/>
  <c r="AAI1" i="6"/>
  <c r="AAH9" i="6"/>
  <c r="AAH10" i="6"/>
  <c r="AAH3" i="6"/>
  <c r="AAH11" i="6"/>
  <c r="AAH17" i="6"/>
  <c r="AAH18" i="6"/>
  <c r="AAH5" i="6"/>
  <c r="ZV14" i="6"/>
  <c r="ZW12" i="6"/>
  <c r="ZQ6" i="6"/>
  <c r="ZP7" i="6"/>
  <c r="AAF4" i="6"/>
  <c r="AAJ1" i="6"/>
  <c r="AAI11" i="6"/>
  <c r="AAI17" i="6"/>
  <c r="AAI18" i="6"/>
  <c r="AAI5" i="6"/>
  <c r="AAG4" i="6"/>
  <c r="ZR6" i="6"/>
  <c r="ZQ7" i="6"/>
  <c r="ZX12" i="6"/>
  <c r="ZW14" i="6"/>
  <c r="AAK1" i="6"/>
  <c r="AAI3" i="6"/>
  <c r="AAI9" i="6"/>
  <c r="AAI10" i="6"/>
  <c r="ZX14" i="6"/>
  <c r="ZY12" i="6"/>
  <c r="ZS6" i="6"/>
  <c r="ZR7" i="6"/>
  <c r="AAH4" i="6"/>
  <c r="AAL1" i="6"/>
  <c r="AAK11" i="6"/>
  <c r="AAK9" i="6"/>
  <c r="AAK3" i="6"/>
  <c r="AAJ5" i="6"/>
  <c r="AAJ17" i="6"/>
  <c r="AAJ18" i="6"/>
  <c r="AAJ11" i="6"/>
  <c r="AAJ3" i="6"/>
  <c r="AAJ9" i="6"/>
  <c r="AAJ10" i="6"/>
  <c r="AAI4" i="6"/>
  <c r="ZT6" i="6"/>
  <c r="ZS7" i="6"/>
  <c r="ZZ12" i="6"/>
  <c r="ZY14" i="6"/>
  <c r="AAK10" i="6"/>
  <c r="AAK5" i="6"/>
  <c r="AAK17" i="6"/>
  <c r="AAK18" i="6"/>
  <c r="AAM1" i="6"/>
  <c r="AAL3" i="6"/>
  <c r="AAL9" i="6"/>
  <c r="AAL10" i="6"/>
  <c r="AAL11" i="6"/>
  <c r="AAL17" i="6"/>
  <c r="AAL5" i="6"/>
  <c r="AAA12" i="6"/>
  <c r="ZZ14" i="6"/>
  <c r="ZU6" i="6"/>
  <c r="ZT7" i="6"/>
  <c r="AAJ4" i="6"/>
  <c r="AAL18" i="6"/>
  <c r="AAN1" i="6"/>
  <c r="AAM3" i="6"/>
  <c r="AAM9" i="6"/>
  <c r="AAM10" i="6"/>
  <c r="AAM11" i="6"/>
  <c r="AAM17" i="6"/>
  <c r="AAM18" i="6"/>
  <c r="AAM5" i="6"/>
  <c r="AAK4" i="6"/>
  <c r="ZV6" i="6"/>
  <c r="ZU7" i="6"/>
  <c r="AAB12" i="6"/>
  <c r="AAA14" i="6"/>
  <c r="AAO1" i="6"/>
  <c r="AAN3" i="6"/>
  <c r="AAC12" i="6"/>
  <c r="AAB14" i="6"/>
  <c r="ZW6" i="6"/>
  <c r="ZV7" i="6"/>
  <c r="AAL4" i="6"/>
  <c r="AAP1" i="6"/>
  <c r="AAO3" i="6"/>
  <c r="AAO9" i="6"/>
  <c r="AAO11" i="6"/>
  <c r="AAO17" i="6"/>
  <c r="AAO5" i="6"/>
  <c r="AAN5" i="6"/>
  <c r="AAN17" i="6"/>
  <c r="AAN18" i="6"/>
  <c r="AAN11" i="6"/>
  <c r="AAN9" i="6"/>
  <c r="AAN10" i="6"/>
  <c r="AAM4" i="6"/>
  <c r="ZX6" i="6"/>
  <c r="ZW7" i="6"/>
  <c r="AAD12" i="6"/>
  <c r="AAC14" i="6"/>
  <c r="AAO10" i="6"/>
  <c r="AAO18" i="6"/>
  <c r="AAQ1" i="6"/>
  <c r="AAP3" i="6"/>
  <c r="AAP9" i="6"/>
  <c r="AAP11" i="6"/>
  <c r="AAP17" i="6"/>
  <c r="AAP5" i="6"/>
  <c r="AAD14" i="6"/>
  <c r="AAE12" i="6"/>
  <c r="ZY6" i="6"/>
  <c r="ZX7" i="6"/>
  <c r="AAN4" i="6"/>
  <c r="AAR1" i="6"/>
  <c r="AAQ11" i="6"/>
  <c r="AAQ3" i="6"/>
  <c r="AAQ9" i="6"/>
  <c r="AAP18" i="6"/>
  <c r="AAP10" i="6"/>
  <c r="AAO4" i="6"/>
  <c r="ZZ6" i="6"/>
  <c r="ZY7" i="6"/>
  <c r="AAE14" i="6"/>
  <c r="AAF12" i="6"/>
  <c r="AAQ10" i="6"/>
  <c r="AAQ5" i="6"/>
  <c r="AAQ17" i="6"/>
  <c r="AAQ18" i="6"/>
  <c r="AAS1" i="6"/>
  <c r="AAR9" i="6"/>
  <c r="AAR3" i="6"/>
  <c r="AAR11" i="6"/>
  <c r="AAR17" i="6"/>
  <c r="AAR5" i="6"/>
  <c r="AAG12" i="6"/>
  <c r="AAF14" i="6"/>
  <c r="AAA6" i="6"/>
  <c r="ZZ7" i="6"/>
  <c r="AAP4" i="6"/>
  <c r="AAR18" i="6"/>
  <c r="AAT1" i="6"/>
  <c r="AAS3" i="6"/>
  <c r="AAS9" i="6"/>
  <c r="AAS11" i="6"/>
  <c r="AAS17" i="6"/>
  <c r="AAS18" i="6"/>
  <c r="AAS5" i="6"/>
  <c r="AAR10" i="6"/>
  <c r="AAQ4" i="6"/>
  <c r="AAB6" i="6"/>
  <c r="AAA7" i="6"/>
  <c r="AAH12" i="6"/>
  <c r="AAG14" i="6"/>
  <c r="AAS10" i="6"/>
  <c r="AAU1" i="6"/>
  <c r="AAT9" i="6"/>
  <c r="AAT10" i="6"/>
  <c r="AAT3" i="6"/>
  <c r="AAT11" i="6"/>
  <c r="AAT17" i="6"/>
  <c r="AAT18" i="6"/>
  <c r="AAT5" i="6"/>
  <c r="AAH14" i="6"/>
  <c r="AAI12" i="6"/>
  <c r="AAC6" i="6"/>
  <c r="AAB7" i="6"/>
  <c r="AAR4" i="6"/>
  <c r="AAV1" i="6"/>
  <c r="AAU9" i="6"/>
  <c r="AAU10" i="6"/>
  <c r="AAU3" i="6"/>
  <c r="AAU11" i="6"/>
  <c r="AAU17" i="6"/>
  <c r="AAU18" i="6"/>
  <c r="AAU5" i="6"/>
  <c r="AAS4" i="6"/>
  <c r="AAD6" i="6"/>
  <c r="AAC7" i="6"/>
  <c r="AAJ12" i="6"/>
  <c r="AAI14" i="6"/>
  <c r="AAW1" i="6"/>
  <c r="AAV9" i="6"/>
  <c r="AAV10" i="6"/>
  <c r="AAV3" i="6"/>
  <c r="AAV11" i="6"/>
  <c r="AAV17" i="6"/>
  <c r="AAV18" i="6"/>
  <c r="AAV5" i="6"/>
  <c r="AAK12" i="6"/>
  <c r="AAJ14" i="6"/>
  <c r="AAE6" i="6"/>
  <c r="AAD7" i="6"/>
  <c r="AAT4" i="6"/>
  <c r="AAX1" i="6"/>
  <c r="AAW3" i="6"/>
  <c r="AAW9" i="6"/>
  <c r="AAW10" i="6"/>
  <c r="AAW11" i="6"/>
  <c r="AAW17" i="6"/>
  <c r="AAW18" i="6"/>
  <c r="AAW5" i="6"/>
  <c r="AAF6" i="6"/>
  <c r="AAE7" i="6"/>
  <c r="AAU4" i="6"/>
  <c r="AAK14" i="6"/>
  <c r="AAL12" i="6"/>
  <c r="AAY1" i="6"/>
  <c r="AAX3" i="6"/>
  <c r="AAX9" i="6"/>
  <c r="AAX10" i="6"/>
  <c r="AAX11" i="6"/>
  <c r="AAX17" i="6"/>
  <c r="AAX18" i="6"/>
  <c r="AAX5" i="6"/>
  <c r="AAM12" i="6"/>
  <c r="AAL14" i="6"/>
  <c r="AAV4" i="6"/>
  <c r="AAG6" i="6"/>
  <c r="AAF7" i="6"/>
  <c r="AAZ1" i="6"/>
  <c r="AAY3" i="6"/>
  <c r="AAY9" i="6"/>
  <c r="AAY10" i="6"/>
  <c r="AAY11" i="6"/>
  <c r="AAY17" i="6"/>
  <c r="AAY18" i="6"/>
  <c r="AAY5" i="6"/>
  <c r="AAH6" i="6"/>
  <c r="AAG7" i="6"/>
  <c r="AAW4" i="6"/>
  <c r="AAN12" i="6"/>
  <c r="AAM14" i="6"/>
  <c r="ABA1" i="6"/>
  <c r="AAZ3" i="6"/>
  <c r="AAZ9" i="6"/>
  <c r="AAZ10" i="6"/>
  <c r="AAZ11" i="6"/>
  <c r="AAZ17" i="6"/>
  <c r="AAZ18" i="6"/>
  <c r="AAZ5" i="6"/>
  <c r="AAO12" i="6"/>
  <c r="AAN14" i="6"/>
  <c r="AAX4" i="6"/>
  <c r="AAI6" i="6"/>
  <c r="AAH7" i="6"/>
  <c r="ABB1" i="6"/>
  <c r="ABA9" i="6"/>
  <c r="ABA10" i="6"/>
  <c r="ABA11" i="6"/>
  <c r="ABA17" i="6"/>
  <c r="ABA18" i="6"/>
  <c r="ABA5" i="6"/>
  <c r="AAJ6" i="6"/>
  <c r="AAI7" i="6"/>
  <c r="AAY4" i="6"/>
  <c r="AAP12" i="6"/>
  <c r="AAO14" i="6"/>
  <c r="ABC1" i="6"/>
  <c r="ABB17" i="6"/>
  <c r="ABB18" i="6"/>
  <c r="ABB5" i="6"/>
  <c r="ABA3" i="6"/>
  <c r="AAQ12" i="6"/>
  <c r="AAP14" i="6"/>
  <c r="AAZ4" i="6"/>
  <c r="AAK6" i="6"/>
  <c r="AAJ7" i="6"/>
  <c r="ABD1" i="6"/>
  <c r="ABC3" i="6"/>
  <c r="ABC9" i="6"/>
  <c r="ABC11" i="6"/>
  <c r="ABC17" i="6"/>
  <c r="ABC18" i="6"/>
  <c r="ABC5" i="6"/>
  <c r="ABB11" i="6"/>
  <c r="ABB3" i="6"/>
  <c r="ABB9" i="6"/>
  <c r="ABB10" i="6"/>
  <c r="AAL6" i="6"/>
  <c r="AAK7" i="6"/>
  <c r="ABA4" i="6"/>
  <c r="AAQ14" i="6"/>
  <c r="AAR12" i="6"/>
  <c r="ABC10" i="6"/>
  <c r="ABE1" i="6"/>
  <c r="ABD9" i="6"/>
  <c r="ABD10" i="6"/>
  <c r="ABD3" i="6"/>
  <c r="ABD11" i="6"/>
  <c r="ABD17" i="6"/>
  <c r="ABD18" i="6"/>
  <c r="ABD5" i="6"/>
  <c r="AAS12" i="6"/>
  <c r="AAR14" i="6"/>
  <c r="ABB4" i="6"/>
  <c r="AAM6" i="6"/>
  <c r="AAL7" i="6"/>
  <c r="ABF1" i="6"/>
  <c r="ABE9" i="6"/>
  <c r="ABE10" i="6"/>
  <c r="ABE3" i="6"/>
  <c r="ABE11" i="6"/>
  <c r="ABE17" i="6"/>
  <c r="ABE18" i="6"/>
  <c r="ABE5" i="6"/>
  <c r="AAN6" i="6"/>
  <c r="AAM7" i="6"/>
  <c r="ABC4" i="6"/>
  <c r="AAT12" i="6"/>
  <c r="AAS14" i="6"/>
  <c r="ABF3" i="6"/>
  <c r="ABG1" i="6"/>
  <c r="ABF9" i="6"/>
  <c r="ABF10" i="6"/>
  <c r="ABF11" i="6"/>
  <c r="ABF17" i="6"/>
  <c r="ABF18" i="6"/>
  <c r="ABF5" i="6"/>
  <c r="AAU12" i="6"/>
  <c r="AAT14" i="6"/>
  <c r="ABD4" i="6"/>
  <c r="AAO6" i="6"/>
  <c r="AAN7" i="6"/>
  <c r="ABH1" i="6"/>
  <c r="ABG9" i="6"/>
  <c r="ABG10" i="6"/>
  <c r="ABG3" i="6"/>
  <c r="ABG11" i="6"/>
  <c r="ABG17" i="6"/>
  <c r="ABG18" i="6"/>
  <c r="ABG5" i="6"/>
  <c r="AAP6" i="6"/>
  <c r="AAO7" i="6"/>
  <c r="ABE4" i="6"/>
  <c r="AAV12" i="6"/>
  <c r="AAU14" i="6"/>
  <c r="ABI1" i="6"/>
  <c r="ABH11" i="6"/>
  <c r="ABH17" i="6"/>
  <c r="ABH18" i="6"/>
  <c r="ABH5" i="6"/>
  <c r="AAW12" i="6"/>
  <c r="AAV14" i="6"/>
  <c r="ABF4" i="6"/>
  <c r="AAQ6" i="6"/>
  <c r="AAP7" i="6"/>
  <c r="ABJ1" i="6"/>
  <c r="ABI3" i="6"/>
  <c r="ABI9" i="6"/>
  <c r="ABI11" i="6"/>
  <c r="ABI17" i="6"/>
  <c r="ABI18" i="6"/>
  <c r="ABI5" i="6"/>
  <c r="ABH3" i="6"/>
  <c r="ABH9" i="6"/>
  <c r="ABH10" i="6"/>
  <c r="ABI10" i="6"/>
  <c r="AAR6" i="6"/>
  <c r="AAQ7" i="6"/>
  <c r="ABG4" i="6"/>
  <c r="AAX12" i="6"/>
  <c r="AAW14" i="6"/>
  <c r="ABK1" i="6"/>
  <c r="ABJ3" i="6"/>
  <c r="ABJ9" i="6"/>
  <c r="ABJ10" i="6"/>
  <c r="ABJ11" i="6"/>
  <c r="ABJ17" i="6"/>
  <c r="ABJ18" i="6"/>
  <c r="ABJ5" i="6"/>
  <c r="AAX14" i="6"/>
  <c r="AAY12" i="6"/>
  <c r="ABH4" i="6"/>
  <c r="AAS6" i="6"/>
  <c r="AAR7" i="6"/>
  <c r="ABL1" i="6"/>
  <c r="AAT6" i="6"/>
  <c r="AAS7" i="6"/>
  <c r="ABI4" i="6"/>
  <c r="AAZ12" i="6"/>
  <c r="AAY14" i="6"/>
  <c r="ABM1" i="6"/>
  <c r="ABL3" i="6"/>
  <c r="ABL9" i="6"/>
  <c r="ABL11" i="6"/>
  <c r="ABL17" i="6"/>
  <c r="ABL5" i="6"/>
  <c r="ABK5" i="6"/>
  <c r="ABK17" i="6"/>
  <c r="ABK18" i="6"/>
  <c r="ABK11" i="6"/>
  <c r="ABK9" i="6"/>
  <c r="ABK10" i="6"/>
  <c r="ABK3" i="6"/>
  <c r="ABA12" i="6"/>
  <c r="AAZ14" i="6"/>
  <c r="ABJ4" i="6"/>
  <c r="AAU6" i="6"/>
  <c r="AAT7" i="6"/>
  <c r="ABL18" i="6"/>
  <c r="ABL10" i="6"/>
  <c r="ABN1" i="6"/>
  <c r="ABM9" i="6"/>
  <c r="ABM11" i="6"/>
  <c r="ABM17" i="6"/>
  <c r="ABM18" i="6"/>
  <c r="ABM5" i="6"/>
  <c r="AAV6" i="6"/>
  <c r="AAU7" i="6"/>
  <c r="ABK4" i="6"/>
  <c r="ABB12" i="6"/>
  <c r="ABA14" i="6"/>
  <c r="ABN3" i="6"/>
  <c r="ABO1" i="6"/>
  <c r="ABN17" i="6"/>
  <c r="ABN18" i="6"/>
  <c r="ABN11" i="6"/>
  <c r="ABM3" i="6"/>
  <c r="ABM10" i="6"/>
  <c r="ABB14" i="6"/>
  <c r="ABC12" i="6"/>
  <c r="ABL4" i="6"/>
  <c r="AAW6" i="6"/>
  <c r="AAV7" i="6"/>
  <c r="ABN5" i="6"/>
  <c r="ABP1" i="6"/>
  <c r="ABO9" i="6"/>
  <c r="ABO3" i="6"/>
  <c r="ABO11" i="6"/>
  <c r="ABO17" i="6"/>
  <c r="ABO18" i="6"/>
  <c r="ABO5" i="6"/>
  <c r="ABN9" i="6"/>
  <c r="ABN10" i="6"/>
  <c r="ABO10" i="6"/>
  <c r="AAX6" i="6"/>
  <c r="AAW7" i="6"/>
  <c r="ABM4" i="6"/>
  <c r="ABC14" i="6"/>
  <c r="ABD12" i="6"/>
  <c r="ABQ1" i="6"/>
  <c r="ABP9" i="6"/>
  <c r="ABP10" i="6"/>
  <c r="ABP3" i="6"/>
  <c r="ABE12" i="6"/>
  <c r="ABD14" i="6"/>
  <c r="ABN4" i="6"/>
  <c r="AAY6" i="6"/>
  <c r="AAX7" i="6"/>
  <c r="ABR1" i="6"/>
  <c r="ABQ3" i="6"/>
  <c r="ABQ9" i="6"/>
  <c r="ABQ10" i="6"/>
  <c r="ABP5" i="6"/>
  <c r="ABP17" i="6"/>
  <c r="ABP18" i="6"/>
  <c r="ABP11" i="6"/>
  <c r="AAZ6" i="6"/>
  <c r="AAY7" i="6"/>
  <c r="ABO4" i="6"/>
  <c r="ABE14" i="6"/>
  <c r="ABF12" i="6"/>
  <c r="ABS1" i="6"/>
  <c r="ABR9" i="6"/>
  <c r="ABR10" i="6"/>
  <c r="ABR11" i="6"/>
  <c r="ABR17" i="6"/>
  <c r="ABR5" i="6"/>
  <c r="ABQ5" i="6"/>
  <c r="ABQ17" i="6"/>
  <c r="ABQ18" i="6"/>
  <c r="ABQ11" i="6"/>
  <c r="ABG12" i="6"/>
  <c r="ABF14" i="6"/>
  <c r="ABP4" i="6"/>
  <c r="ABA6" i="6"/>
  <c r="AAZ7" i="6"/>
  <c r="ABR18" i="6"/>
  <c r="ABT1" i="6"/>
  <c r="ABS3" i="6"/>
  <c r="ABS9" i="6"/>
  <c r="ABS10" i="6"/>
  <c r="ABS11" i="6"/>
  <c r="ABS17" i="6"/>
  <c r="ABS18" i="6"/>
  <c r="ABS5" i="6"/>
  <c r="ABR3" i="6"/>
  <c r="ABB6" i="6"/>
  <c r="ABA7" i="6"/>
  <c r="ABQ4" i="6"/>
  <c r="ABH12" i="6"/>
  <c r="ABG14" i="6"/>
  <c r="ABU1" i="6"/>
  <c r="ABT3" i="6"/>
  <c r="ABT9" i="6"/>
  <c r="ABT10" i="6"/>
  <c r="ABT11" i="6"/>
  <c r="ABT17" i="6"/>
  <c r="ABT18" i="6"/>
  <c r="ABT5" i="6"/>
  <c r="ABH14" i="6"/>
  <c r="ABI12" i="6"/>
  <c r="ABR4" i="6"/>
  <c r="ABC6" i="6"/>
  <c r="ABB7" i="6"/>
  <c r="ABV1" i="6"/>
  <c r="ABU9" i="6"/>
  <c r="ABU10" i="6"/>
  <c r="ABU11" i="6"/>
  <c r="ABU17" i="6"/>
  <c r="ABU18" i="6"/>
  <c r="ABU5" i="6"/>
  <c r="ABD6" i="6"/>
  <c r="ABC7" i="6"/>
  <c r="ABS4" i="6"/>
  <c r="ABJ12" i="6"/>
  <c r="ABI14" i="6"/>
  <c r="ABW1" i="6"/>
  <c r="ABV3" i="6"/>
  <c r="ABU3" i="6"/>
  <c r="ABK12" i="6"/>
  <c r="ABJ14" i="6"/>
  <c r="ABT4" i="6"/>
  <c r="ABE6" i="6"/>
  <c r="ABD7" i="6"/>
  <c r="ABV5" i="6"/>
  <c r="ABV17" i="6"/>
  <c r="ABV18" i="6"/>
  <c r="ABV11" i="6"/>
  <c r="ABV9" i="6"/>
  <c r="ABV10" i="6"/>
  <c r="ABX1" i="6"/>
  <c r="ABW9" i="6"/>
  <c r="ABW3" i="6"/>
  <c r="ABW11" i="6"/>
  <c r="ABW17" i="6"/>
  <c r="ABW5" i="6"/>
  <c r="ABF6" i="6"/>
  <c r="ABE7" i="6"/>
  <c r="ABU4" i="6"/>
  <c r="ABK14" i="6"/>
  <c r="ABL12" i="6"/>
  <c r="ABW18" i="6"/>
  <c r="ABY1" i="6"/>
  <c r="ABW10" i="6"/>
  <c r="ABM12" i="6"/>
  <c r="ABL14" i="6"/>
  <c r="ABV4" i="6"/>
  <c r="ABG6" i="6"/>
  <c r="ABF7" i="6"/>
  <c r="ABY3" i="6"/>
  <c r="ABZ1" i="6"/>
  <c r="ABY9" i="6"/>
  <c r="ABY11" i="6"/>
  <c r="ABY17" i="6"/>
  <c r="ABY5" i="6"/>
  <c r="ABX5" i="6"/>
  <c r="ABX17" i="6"/>
  <c r="ABX18" i="6"/>
  <c r="ABX11" i="6"/>
  <c r="ABX9" i="6"/>
  <c r="ABX10" i="6"/>
  <c r="ABX3" i="6"/>
  <c r="ABH6" i="6"/>
  <c r="ABG7" i="6"/>
  <c r="ABW4" i="6"/>
  <c r="ABN12" i="6"/>
  <c r="ABM14" i="6"/>
  <c r="ABY10" i="6"/>
  <c r="ABY18" i="6"/>
  <c r="ACA1" i="6"/>
  <c r="ABZ9" i="6"/>
  <c r="ABZ10" i="6"/>
  <c r="ABZ11" i="6"/>
  <c r="ABZ17" i="6"/>
  <c r="ABZ5" i="6"/>
  <c r="ABO12" i="6"/>
  <c r="ABN14" i="6"/>
  <c r="ABX4" i="6"/>
  <c r="ABI6" i="6"/>
  <c r="ABH7" i="6"/>
  <c r="ABZ18" i="6"/>
  <c r="ACB1" i="6"/>
  <c r="ABZ3" i="6"/>
  <c r="ABJ6" i="6"/>
  <c r="ABI7" i="6"/>
  <c r="ABY4" i="6"/>
  <c r="ABO14" i="6"/>
  <c r="ABP12" i="6"/>
  <c r="ACC1" i="6"/>
  <c r="ACB11" i="6"/>
  <c r="ACB3" i="6"/>
  <c r="ACB9" i="6"/>
  <c r="ACB17" i="6"/>
  <c r="ACB5" i="6"/>
  <c r="ACA5" i="6"/>
  <c r="ACA17" i="6"/>
  <c r="ACA18" i="6"/>
  <c r="ACA11" i="6"/>
  <c r="ACA9" i="6"/>
  <c r="ACA10" i="6"/>
  <c r="ACA3" i="6"/>
  <c r="ABQ12" i="6"/>
  <c r="ABP14" i="6"/>
  <c r="ABZ4" i="6"/>
  <c r="ABK6" i="6"/>
  <c r="ABJ7" i="6"/>
  <c r="ACB18" i="6"/>
  <c r="ACB10" i="6"/>
  <c r="ACD1" i="6"/>
  <c r="ACC9" i="6"/>
  <c r="ABL6" i="6"/>
  <c r="ABK7" i="6"/>
  <c r="ACA4" i="6"/>
  <c r="ABQ14" i="6"/>
  <c r="ABR12" i="6"/>
  <c r="ACD3" i="6"/>
  <c r="ACD9" i="6"/>
  <c r="ACE1" i="6"/>
  <c r="ACD11" i="6"/>
  <c r="ACD17" i="6"/>
  <c r="ACD5" i="6"/>
  <c r="ACC3" i="6"/>
  <c r="ACC10" i="6"/>
  <c r="ACC5" i="6"/>
  <c r="ACC17" i="6"/>
  <c r="ACC18" i="6"/>
  <c r="ACC11" i="6"/>
  <c r="ABR14" i="6"/>
  <c r="ABS12" i="6"/>
  <c r="ACB4" i="6"/>
  <c r="ABM6" i="6"/>
  <c r="ABL7" i="6"/>
  <c r="ACD18" i="6"/>
  <c r="ACD10" i="6"/>
  <c r="ACE3" i="6"/>
  <c r="ACE9" i="6"/>
  <c r="ACF1" i="6"/>
  <c r="ACE11" i="6"/>
  <c r="ACE17" i="6"/>
  <c r="ACE18" i="6"/>
  <c r="ACE5" i="6"/>
  <c r="ABN6" i="6"/>
  <c r="ABM7" i="6"/>
  <c r="ACC4" i="6"/>
  <c r="ABS14" i="6"/>
  <c r="ABT12" i="6"/>
  <c r="ACE10" i="6"/>
  <c r="ACF3" i="6"/>
  <c r="ACG1" i="6"/>
  <c r="ACF9" i="6"/>
  <c r="ABT14" i="6"/>
  <c r="ABU12" i="6"/>
  <c r="ACD4" i="6"/>
  <c r="ABO6" i="6"/>
  <c r="ABN7" i="6"/>
  <c r="ACH1" i="6"/>
  <c r="ACG11" i="6"/>
  <c r="ACG3" i="6"/>
  <c r="ACG9" i="6"/>
  <c r="ACF10" i="6"/>
  <c r="ACF5" i="6"/>
  <c r="ACF17" i="6"/>
  <c r="ACF18" i="6"/>
  <c r="ACF11" i="6"/>
  <c r="ABP6" i="6"/>
  <c r="ABO7" i="6"/>
  <c r="ACE4" i="6"/>
  <c r="ABV12" i="6"/>
  <c r="ABU14" i="6"/>
  <c r="ACG10" i="6"/>
  <c r="ACG5" i="6"/>
  <c r="ACG17" i="6"/>
  <c r="ACG18" i="6"/>
  <c r="ACI1" i="6"/>
  <c r="ACH3" i="6"/>
  <c r="ACH9" i="6"/>
  <c r="ACH11" i="6"/>
  <c r="ACH17" i="6"/>
  <c r="ACH5" i="6"/>
  <c r="ABV14" i="6"/>
  <c r="ABW12" i="6"/>
  <c r="ACF4" i="6"/>
  <c r="ABQ6" i="6"/>
  <c r="ABP7" i="6"/>
  <c r="ACH18" i="6"/>
  <c r="ACJ1" i="6"/>
  <c r="ACI9" i="6"/>
  <c r="ACI3" i="6"/>
  <c r="ACI11" i="6"/>
  <c r="ACI17" i="6"/>
  <c r="ACI5" i="6"/>
  <c r="ACH10" i="6"/>
  <c r="ABR6" i="6"/>
  <c r="ABQ7" i="6"/>
  <c r="ACG4" i="6"/>
  <c r="ABX12" i="6"/>
  <c r="ABW14" i="6"/>
  <c r="ACI10" i="6"/>
  <c r="ACI18" i="6"/>
  <c r="ACK1" i="6"/>
  <c r="ACJ3" i="6"/>
  <c r="ACJ9" i="6"/>
  <c r="ACJ11" i="6"/>
  <c r="ACJ17" i="6"/>
  <c r="ACJ18" i="6"/>
  <c r="ACJ5" i="6"/>
  <c r="ABY12" i="6"/>
  <c r="ABX14" i="6"/>
  <c r="ACH4" i="6"/>
  <c r="ABS6" i="6"/>
  <c r="ABR7" i="6"/>
  <c r="ACJ10" i="6"/>
  <c r="ACL1" i="6"/>
  <c r="ACK3" i="6"/>
  <c r="ACK9" i="6"/>
  <c r="ACK10" i="6"/>
  <c r="ACK11" i="6"/>
  <c r="ACK17" i="6"/>
  <c r="ACK18" i="6"/>
  <c r="ACK5" i="6"/>
  <c r="ABT6" i="6"/>
  <c r="ABS7" i="6"/>
  <c r="ACI4" i="6"/>
  <c r="ABZ12" i="6"/>
  <c r="ABY14" i="6"/>
  <c r="ACM1" i="6"/>
  <c r="ACL9" i="6"/>
  <c r="ACL10" i="6"/>
  <c r="ACL3" i="6"/>
  <c r="ACL11" i="6"/>
  <c r="ACL17" i="6"/>
  <c r="ACL18" i="6"/>
  <c r="ACL5" i="6"/>
  <c r="ABZ14" i="6"/>
  <c r="ACA12" i="6"/>
  <c r="ACJ4" i="6"/>
  <c r="ABU6" i="6"/>
  <c r="ABT7" i="6"/>
  <c r="ACN1" i="6"/>
  <c r="ACM3" i="6"/>
  <c r="ACM9" i="6"/>
  <c r="ACM10" i="6"/>
  <c r="ACM11" i="6"/>
  <c r="ACM17" i="6"/>
  <c r="ACM18" i="6"/>
  <c r="ACM5" i="6"/>
  <c r="ABV6" i="6"/>
  <c r="ABU7" i="6"/>
  <c r="ACK4" i="6"/>
  <c r="ACB12" i="6"/>
  <c r="ACA14" i="6"/>
  <c r="ACO1" i="6"/>
  <c r="ACN3" i="6"/>
  <c r="ACN9" i="6"/>
  <c r="ACN10" i="6"/>
  <c r="ACN11" i="6"/>
  <c r="ACN17" i="6"/>
  <c r="ACN18" i="6"/>
  <c r="ACN5" i="6"/>
  <c r="ACB14" i="6"/>
  <c r="ACC12" i="6"/>
  <c r="ACL4" i="6"/>
  <c r="ABW6" i="6"/>
  <c r="ABV7" i="6"/>
  <c r="ACP1" i="6"/>
  <c r="ACO3" i="6"/>
  <c r="ACO9" i="6"/>
  <c r="ACO10" i="6"/>
  <c r="ACO11" i="6"/>
  <c r="ACO17" i="6"/>
  <c r="ACO18" i="6"/>
  <c r="ACO5" i="6"/>
  <c r="ABX6" i="6"/>
  <c r="ABW7" i="6"/>
  <c r="ACM4" i="6"/>
  <c r="ACC14" i="6"/>
  <c r="ACD12" i="6"/>
  <c r="ACQ1" i="6"/>
  <c r="ACP3" i="6"/>
  <c r="ACE12" i="6"/>
  <c r="ACD14" i="6"/>
  <c r="ACN4" i="6"/>
  <c r="ABY6" i="6"/>
  <c r="ABX7" i="6"/>
  <c r="ACP5" i="6"/>
  <c r="ACP17" i="6"/>
  <c r="ACP18" i="6"/>
  <c r="ACP11" i="6"/>
  <c r="ACP9" i="6"/>
  <c r="ACP10" i="6"/>
  <c r="ACR1" i="6"/>
  <c r="ACQ11" i="6"/>
  <c r="ACQ17" i="6"/>
  <c r="ACQ5" i="6"/>
  <c r="ABZ6" i="6"/>
  <c r="ABY7" i="6"/>
  <c r="ACO4" i="6"/>
  <c r="ACF12" i="6"/>
  <c r="ACE14" i="6"/>
  <c r="ACS1" i="6"/>
  <c r="ACR9" i="6"/>
  <c r="ACQ9" i="6"/>
  <c r="ACQ10" i="6"/>
  <c r="ACQ3" i="6"/>
  <c r="ACQ18" i="6"/>
  <c r="ACG12" i="6"/>
  <c r="ACF14" i="6"/>
  <c r="ACP4" i="6"/>
  <c r="ACA6" i="6"/>
  <c r="ABZ7" i="6"/>
  <c r="ACR10" i="6"/>
  <c r="ACT1" i="6"/>
  <c r="ACS3" i="6"/>
  <c r="ACR5" i="6"/>
  <c r="ACR17" i="6"/>
  <c r="ACR18" i="6"/>
  <c r="ACR11" i="6"/>
  <c r="ACR3" i="6"/>
  <c r="ACB6" i="6"/>
  <c r="ACA7" i="6"/>
  <c r="ACQ4" i="6"/>
  <c r="ACG14" i="6"/>
  <c r="ACH12" i="6"/>
  <c r="ACU1" i="6"/>
  <c r="ACT3" i="6"/>
  <c r="ACT9" i="6"/>
  <c r="ACT11" i="6"/>
  <c r="ACT17" i="6"/>
  <c r="ACT5" i="6"/>
  <c r="ACS5" i="6"/>
  <c r="ACS17" i="6"/>
  <c r="ACS18" i="6"/>
  <c r="ACS11" i="6"/>
  <c r="ACS9" i="6"/>
  <c r="ACS10" i="6"/>
  <c r="ACH14" i="6"/>
  <c r="ACI12" i="6"/>
  <c r="ACR4" i="6"/>
  <c r="ACC6" i="6"/>
  <c r="ACB7" i="6"/>
  <c r="ACT10" i="6"/>
  <c r="ACT18" i="6"/>
  <c r="ACV1" i="6"/>
  <c r="ACU11" i="6"/>
  <c r="ACU17" i="6"/>
  <c r="ACU18" i="6"/>
  <c r="ACU5" i="6"/>
  <c r="ACD6" i="6"/>
  <c r="ACC7" i="6"/>
  <c r="ACS4" i="6"/>
  <c r="ACJ12" i="6"/>
  <c r="ACI14" i="6"/>
  <c r="ACV3" i="6"/>
  <c r="ACW1" i="6"/>
  <c r="ACV11" i="6"/>
  <c r="ACV17" i="6"/>
  <c r="ACV18" i="6"/>
  <c r="ACV5" i="6"/>
  <c r="ACU3" i="6"/>
  <c r="ACU9" i="6"/>
  <c r="ACU10" i="6"/>
  <c r="ACJ14" i="6"/>
  <c r="ACK12" i="6"/>
  <c r="ACT4" i="6"/>
  <c r="ACE6" i="6"/>
  <c r="ACD7" i="6"/>
  <c r="ACX1" i="6"/>
  <c r="ACW3" i="6"/>
  <c r="ACW9" i="6"/>
  <c r="ACW11" i="6"/>
  <c r="ACW17" i="6"/>
  <c r="ACW18" i="6"/>
  <c r="ACW5" i="6"/>
  <c r="ACV9" i="6"/>
  <c r="ACV10" i="6"/>
  <c r="ACF6" i="6"/>
  <c r="ACE7" i="6"/>
  <c r="ACU4" i="6"/>
  <c r="ACL12" i="6"/>
  <c r="ACK14" i="6"/>
  <c r="ACW10" i="6"/>
  <c r="ACY1" i="6"/>
  <c r="ACX3" i="6"/>
  <c r="ACX9" i="6"/>
  <c r="ACX10" i="6"/>
  <c r="ACX11" i="6"/>
  <c r="ACX17" i="6"/>
  <c r="ACX18" i="6"/>
  <c r="ACX5" i="6"/>
  <c r="ACL14" i="6"/>
  <c r="ACM12" i="6"/>
  <c r="ACV4" i="6"/>
  <c r="ACG6" i="6"/>
  <c r="ACF7" i="6"/>
  <c r="ACZ1" i="6"/>
  <c r="ACY9" i="6"/>
  <c r="ACY10" i="6"/>
  <c r="ACY11" i="6"/>
  <c r="ACY17" i="6"/>
  <c r="ACY18" i="6"/>
  <c r="ACY5" i="6"/>
  <c r="ACH6" i="6"/>
  <c r="ACG7" i="6"/>
  <c r="ACW4" i="6"/>
  <c r="ACN12" i="6"/>
  <c r="ACM14" i="6"/>
  <c r="ADA1" i="6"/>
  <c r="ACZ3" i="6"/>
  <c r="ACZ9" i="6"/>
  <c r="ACZ10" i="6"/>
  <c r="ACZ11" i="6"/>
  <c r="ACZ17" i="6"/>
  <c r="ACZ18" i="6"/>
  <c r="ACZ5" i="6"/>
  <c r="ACY3" i="6"/>
  <c r="ACN14" i="6"/>
  <c r="ACO12" i="6"/>
  <c r="ACX4" i="6"/>
  <c r="ACI6" i="6"/>
  <c r="ACH7" i="6"/>
  <c r="ADB1" i="6"/>
  <c r="ADA9" i="6"/>
  <c r="ADA10" i="6"/>
  <c r="ADA11" i="6"/>
  <c r="ADA17" i="6"/>
  <c r="ADA18" i="6"/>
  <c r="ADA5" i="6"/>
  <c r="ACJ6" i="6"/>
  <c r="ACI7" i="6"/>
  <c r="ACY4" i="6"/>
  <c r="ACP12" i="6"/>
  <c r="ACO14" i="6"/>
  <c r="ADC1" i="6"/>
  <c r="ADB3" i="6"/>
  <c r="ADB9" i="6"/>
  <c r="ADB10" i="6"/>
  <c r="ADB11" i="6"/>
  <c r="ADB17" i="6"/>
  <c r="ADB18" i="6"/>
  <c r="ADB5" i="6"/>
  <c r="ADA3" i="6"/>
  <c r="ACQ12" i="6"/>
  <c r="ACP14" i="6"/>
  <c r="ACZ4" i="6"/>
  <c r="ACK6" i="6"/>
  <c r="ACJ7" i="6"/>
  <c r="ADD1" i="6"/>
  <c r="ADC3" i="6"/>
  <c r="ADC9" i="6"/>
  <c r="ADC10" i="6"/>
  <c r="ADC11" i="6"/>
  <c r="ADC17" i="6"/>
  <c r="ADC18" i="6"/>
  <c r="ADC5" i="6"/>
  <c r="ACL6" i="6"/>
  <c r="ACK7" i="6"/>
  <c r="ADA4" i="6"/>
  <c r="ACR12" i="6"/>
  <c r="ACQ14" i="6"/>
  <c r="ADE1" i="6"/>
  <c r="ADD9" i="6"/>
  <c r="ADD10" i="6"/>
  <c r="ADD3" i="6"/>
  <c r="ADD11" i="6"/>
  <c r="ADD17" i="6"/>
  <c r="ADD18" i="6"/>
  <c r="ADD5" i="6"/>
  <c r="ACS12" i="6"/>
  <c r="ACR14" i="6"/>
  <c r="ADB4" i="6"/>
  <c r="ACM6" i="6"/>
  <c r="ACL7" i="6"/>
  <c r="ADF1" i="6"/>
  <c r="ADE9" i="6"/>
  <c r="ADE10" i="6"/>
  <c r="ADE11" i="6"/>
  <c r="ADE17" i="6"/>
  <c r="ADE18" i="6"/>
  <c r="ADE5" i="6"/>
  <c r="ACN6" i="6"/>
  <c r="ACM7" i="6"/>
  <c r="ADC4" i="6"/>
  <c r="ACT12" i="6"/>
  <c r="ACS14" i="6"/>
  <c r="ADG1" i="6"/>
  <c r="ADF3" i="6"/>
  <c r="ADF9" i="6"/>
  <c r="ADF10" i="6"/>
  <c r="ADF11" i="6"/>
  <c r="ADF17" i="6"/>
  <c r="ADF18" i="6"/>
  <c r="ADF5" i="6"/>
  <c r="ADE3" i="6"/>
  <c r="ACU12" i="6"/>
  <c r="ACT14" i="6"/>
  <c r="ADD4" i="6"/>
  <c r="ACO6" i="6"/>
  <c r="ACN7" i="6"/>
  <c r="ADH1" i="6"/>
  <c r="ADG9" i="6"/>
  <c r="ADG10" i="6"/>
  <c r="ADG11" i="6"/>
  <c r="ADG17" i="6"/>
  <c r="ADG18" i="6"/>
  <c r="ADG5" i="6"/>
  <c r="ACP6" i="6"/>
  <c r="ACO7" i="6"/>
  <c r="ADE4" i="6"/>
  <c r="ACV12" i="6"/>
  <c r="ACU14" i="6"/>
  <c r="ADI1" i="6"/>
  <c r="ADH9" i="6"/>
  <c r="ADH10" i="6"/>
  <c r="ADH11" i="6"/>
  <c r="ADH17" i="6"/>
  <c r="ADH18" i="6"/>
  <c r="ADH5" i="6"/>
  <c r="ADG3" i="6"/>
  <c r="ACV14" i="6"/>
  <c r="ACW12" i="6"/>
  <c r="ADF4" i="6"/>
  <c r="ACQ6" i="6"/>
  <c r="ACP7" i="6"/>
  <c r="ADJ1" i="6"/>
  <c r="ADI9" i="6"/>
  <c r="ADI10" i="6"/>
  <c r="ADI3" i="6"/>
  <c r="ADI11" i="6"/>
  <c r="ADI17" i="6"/>
  <c r="ADI18" i="6"/>
  <c r="ADI5" i="6"/>
  <c r="ADH3" i="6"/>
  <c r="ACR6" i="6"/>
  <c r="ACQ7" i="6"/>
  <c r="ADG4" i="6"/>
  <c r="ACX12" i="6"/>
  <c r="ACW14" i="6"/>
  <c r="ADK1" i="6"/>
  <c r="ADJ3" i="6"/>
  <c r="ADJ9" i="6"/>
  <c r="ADJ10" i="6"/>
  <c r="ADJ11" i="6"/>
  <c r="ADJ17" i="6"/>
  <c r="ADJ18" i="6"/>
  <c r="ADJ5" i="6"/>
  <c r="ACY12" i="6"/>
  <c r="ACX14" i="6"/>
  <c r="ADH4" i="6"/>
  <c r="ACS6" i="6"/>
  <c r="ACR7" i="6"/>
  <c r="ADL1" i="6"/>
  <c r="ADK3" i="6"/>
  <c r="ADK9" i="6"/>
  <c r="ADK10" i="6"/>
  <c r="ADK11" i="6"/>
  <c r="ADK17" i="6"/>
  <c r="ADK18" i="6"/>
  <c r="ADK5" i="6"/>
  <c r="ACT6" i="6"/>
  <c r="ACS7" i="6"/>
  <c r="ADI4" i="6"/>
  <c r="ACY14" i="6"/>
  <c r="ACZ12" i="6"/>
  <c r="ADM1" i="6"/>
  <c r="ADL9" i="6"/>
  <c r="ADL10" i="6"/>
  <c r="ADA12" i="6"/>
  <c r="ACZ14" i="6"/>
  <c r="ADJ4" i="6"/>
  <c r="ACU6" i="6"/>
  <c r="ACT7" i="6"/>
  <c r="ADN1" i="6"/>
  <c r="ADM3" i="6"/>
  <c r="ADM9" i="6"/>
  <c r="ADM10" i="6"/>
  <c r="ADM11" i="6"/>
  <c r="ADM17" i="6"/>
  <c r="ADM5" i="6"/>
  <c r="ADL17" i="6"/>
  <c r="ADL18" i="6"/>
  <c r="ADL3" i="6"/>
  <c r="ADL5" i="6"/>
  <c r="ADL11" i="6"/>
  <c r="ACV6" i="6"/>
  <c r="ACU7" i="6"/>
  <c r="ADK4" i="6"/>
  <c r="ADB12" i="6"/>
  <c r="ADA14" i="6"/>
  <c r="ADM18" i="6"/>
  <c r="ADO1" i="6"/>
  <c r="ADN3" i="6"/>
  <c r="ADN9" i="6"/>
  <c r="ADN10" i="6"/>
  <c r="ADN11" i="6"/>
  <c r="ADN17" i="6"/>
  <c r="ADN18" i="6"/>
  <c r="ADN5" i="6"/>
  <c r="ADB14" i="6"/>
  <c r="ADC12" i="6"/>
  <c r="ADL4" i="6"/>
  <c r="ACW6" i="6"/>
  <c r="ACV7" i="6"/>
  <c r="ADP1" i="6"/>
  <c r="ADO9" i="6"/>
  <c r="ADO10" i="6"/>
  <c r="ADO3" i="6"/>
  <c r="ADO11" i="6"/>
  <c r="ADO17" i="6"/>
  <c r="ADO18" i="6"/>
  <c r="ADO5" i="6"/>
  <c r="ACX6" i="6"/>
  <c r="ACW7" i="6"/>
  <c r="ADM4" i="6"/>
  <c r="ADD12" i="6"/>
  <c r="ADC14" i="6"/>
  <c r="ADQ1" i="6"/>
  <c r="ADP17" i="6"/>
  <c r="ADP18" i="6"/>
  <c r="ADP5" i="6"/>
  <c r="ADD14" i="6"/>
  <c r="ADE12" i="6"/>
  <c r="ADN4" i="6"/>
  <c r="ACY6" i="6"/>
  <c r="ACX7" i="6"/>
  <c r="ADR1" i="6"/>
  <c r="ADQ9" i="6"/>
  <c r="ADQ11" i="6"/>
  <c r="ADQ17" i="6"/>
  <c r="ADQ18" i="6"/>
  <c r="ADQ5" i="6"/>
  <c r="ADP11" i="6"/>
  <c r="ADP3" i="6"/>
  <c r="ADP9" i="6"/>
  <c r="ADP10" i="6"/>
  <c r="ADQ10" i="6"/>
  <c r="ACZ6" i="6"/>
  <c r="ACY7" i="6"/>
  <c r="ADO4" i="6"/>
  <c r="ADE14" i="6"/>
  <c r="ADF12" i="6"/>
  <c r="ADS1" i="6"/>
  <c r="ADR3" i="6"/>
  <c r="ADR9" i="6"/>
  <c r="ADR10" i="6"/>
  <c r="ADR11" i="6"/>
  <c r="ADR17" i="6"/>
  <c r="ADR18" i="6"/>
  <c r="ADR5" i="6"/>
  <c r="ADQ3" i="6"/>
  <c r="ADG12" i="6"/>
  <c r="ADF14" i="6"/>
  <c r="ADP4" i="6"/>
  <c r="ADA6" i="6"/>
  <c r="ACZ7" i="6"/>
  <c r="ADT1" i="6"/>
  <c r="ADS9" i="6"/>
  <c r="ADS10" i="6"/>
  <c r="ADS11" i="6"/>
  <c r="ADS17" i="6"/>
  <c r="ADS18" i="6"/>
  <c r="ADS5" i="6"/>
  <c r="ADB6" i="6"/>
  <c r="ADA7" i="6"/>
  <c r="ADQ4" i="6"/>
  <c r="ADH12" i="6"/>
  <c r="ADG14" i="6"/>
  <c r="ADU1" i="6"/>
  <c r="ADT3" i="6"/>
  <c r="ADT9" i="6"/>
  <c r="ADT10" i="6"/>
  <c r="ADT11" i="6"/>
  <c r="ADT17" i="6"/>
  <c r="ADT18" i="6"/>
  <c r="ADT5" i="6"/>
  <c r="ADS3" i="6"/>
  <c r="ADH14" i="6"/>
  <c r="ADI12" i="6"/>
  <c r="ADR4" i="6"/>
  <c r="ADC6" i="6"/>
  <c r="ADB7" i="6"/>
  <c r="ADV1" i="6"/>
  <c r="ADU9" i="6"/>
  <c r="ADU10" i="6"/>
  <c r="ADU3" i="6"/>
  <c r="ADU11" i="6"/>
  <c r="ADU17" i="6"/>
  <c r="ADU18" i="6"/>
  <c r="ADU5" i="6"/>
  <c r="ADD6" i="6"/>
  <c r="ADC7" i="6"/>
  <c r="ADS4" i="6"/>
  <c r="ADJ12" i="6"/>
  <c r="ADI14" i="6"/>
  <c r="ADW1" i="6"/>
  <c r="ADV3" i="6"/>
  <c r="ADV9" i="6"/>
  <c r="ADV10" i="6"/>
  <c r="ADV11" i="6"/>
  <c r="ADV17" i="6"/>
  <c r="ADV18" i="6"/>
  <c r="ADV5" i="6"/>
  <c r="ADK12" i="6"/>
  <c r="ADJ14" i="6"/>
  <c r="ADT4" i="6"/>
  <c r="ADE6" i="6"/>
  <c r="ADD7" i="6"/>
  <c r="ADX1" i="6"/>
  <c r="ADF6" i="6"/>
  <c r="ADE7" i="6"/>
  <c r="ADU4" i="6"/>
  <c r="ADK14" i="6"/>
  <c r="ADL12" i="6"/>
  <c r="ADX3" i="6"/>
  <c r="ADY1" i="6"/>
  <c r="ADX9" i="6"/>
  <c r="ADX11" i="6"/>
  <c r="ADX17" i="6"/>
  <c r="ADX5" i="6"/>
  <c r="ADW5" i="6"/>
  <c r="ADW11" i="6"/>
  <c r="ADW9" i="6"/>
  <c r="ADW10" i="6"/>
  <c r="ADW17" i="6"/>
  <c r="ADW18" i="6"/>
  <c r="ADW3" i="6"/>
  <c r="ADL14" i="6"/>
  <c r="ADM12" i="6"/>
  <c r="ADV4" i="6"/>
  <c r="ADG6" i="6"/>
  <c r="ADF7" i="6"/>
  <c r="ADX10" i="6"/>
  <c r="ADX18" i="6"/>
  <c r="ADZ1" i="6"/>
  <c r="ADY3" i="6"/>
  <c r="ADY11" i="6"/>
  <c r="ADY17" i="6"/>
  <c r="ADY18" i="6"/>
  <c r="ADY5" i="6"/>
  <c r="ADH6" i="6"/>
  <c r="ADG7" i="6"/>
  <c r="ADW4" i="6"/>
  <c r="ADM14" i="6"/>
  <c r="ADN12" i="6"/>
  <c r="ADY9" i="6"/>
  <c r="ADY10" i="6"/>
  <c r="AEA1" i="6"/>
  <c r="ADZ17" i="6"/>
  <c r="ADZ18" i="6"/>
  <c r="ADZ5" i="6"/>
  <c r="ADO12" i="6"/>
  <c r="ADN14" i="6"/>
  <c r="ADX4" i="6"/>
  <c r="ADI6" i="6"/>
  <c r="ADH7" i="6"/>
  <c r="AEB1" i="6"/>
  <c r="AEA3" i="6"/>
  <c r="AEA9" i="6"/>
  <c r="AEA11" i="6"/>
  <c r="AEA17" i="6"/>
  <c r="AEA18" i="6"/>
  <c r="AEA5" i="6"/>
  <c r="ADZ11" i="6"/>
  <c r="ADZ9" i="6"/>
  <c r="ADZ10" i="6"/>
  <c r="ADZ3" i="6"/>
  <c r="ADJ6" i="6"/>
  <c r="ADI7" i="6"/>
  <c r="ADY4" i="6"/>
  <c r="ADP12" i="6"/>
  <c r="ADO14" i="6"/>
  <c r="AEA10" i="6"/>
  <c r="AEC1" i="6"/>
  <c r="ADP14" i="6"/>
  <c r="ADQ12" i="6"/>
  <c r="ADZ4" i="6"/>
  <c r="ADK6" i="6"/>
  <c r="ADJ7" i="6"/>
  <c r="AED1" i="6"/>
  <c r="AEC9" i="6"/>
  <c r="AEC3" i="6"/>
  <c r="AEB5" i="6"/>
  <c r="AEB17" i="6"/>
  <c r="AEB18" i="6"/>
  <c r="AEB11" i="6"/>
  <c r="AEB9" i="6"/>
  <c r="AEB10" i="6"/>
  <c r="AEB3" i="6"/>
  <c r="ADL6" i="6"/>
  <c r="ADK7" i="6"/>
  <c r="AEA4" i="6"/>
  <c r="ADR12" i="6"/>
  <c r="ADQ14" i="6"/>
  <c r="AEC10" i="6"/>
  <c r="AEC5" i="6"/>
  <c r="AEC17" i="6"/>
  <c r="AEC18" i="6"/>
  <c r="AEC11" i="6"/>
  <c r="AEE1" i="6"/>
  <c r="AED3" i="6"/>
  <c r="AED9" i="6"/>
  <c r="AED11" i="6"/>
  <c r="AED17" i="6"/>
  <c r="AED5" i="6"/>
  <c r="ADS12" i="6"/>
  <c r="ADR14" i="6"/>
  <c r="AEB4" i="6"/>
  <c r="ADM6" i="6"/>
  <c r="ADL7" i="6"/>
  <c r="AED10" i="6"/>
  <c r="AED18" i="6"/>
  <c r="AEF1" i="6"/>
  <c r="ADN6" i="6"/>
  <c r="ADM7" i="6"/>
  <c r="AEC4" i="6"/>
  <c r="ADT12" i="6"/>
  <c r="ADS14" i="6"/>
  <c r="AEF3" i="6"/>
  <c r="AEG1" i="6"/>
  <c r="AEF9" i="6"/>
  <c r="AEE5" i="6"/>
  <c r="AEE17" i="6"/>
  <c r="AEE18" i="6"/>
  <c r="AEE11" i="6"/>
  <c r="AEE9" i="6"/>
  <c r="AEE10" i="6"/>
  <c r="AEE3" i="6"/>
  <c r="ADT14" i="6"/>
  <c r="ADU12" i="6"/>
  <c r="AED4" i="6"/>
  <c r="ADO6" i="6"/>
  <c r="ADN7" i="6"/>
  <c r="AEF10" i="6"/>
  <c r="AEF5" i="6"/>
  <c r="AEF17" i="6"/>
  <c r="AEF18" i="6"/>
  <c r="AEF11" i="6"/>
  <c r="AEH1" i="6"/>
  <c r="AEG9" i="6"/>
  <c r="AEG11" i="6"/>
  <c r="AEG17" i="6"/>
  <c r="AEG5" i="6"/>
  <c r="ADP6" i="6"/>
  <c r="ADO7" i="6"/>
  <c r="AEE4" i="6"/>
  <c r="ADV12" i="6"/>
  <c r="ADU14" i="6"/>
  <c r="AEG10" i="6"/>
  <c r="AEG18" i="6"/>
  <c r="AEI1" i="6"/>
  <c r="AEH9" i="6"/>
  <c r="AEH10" i="6"/>
  <c r="AEH3" i="6"/>
  <c r="AEH11" i="6"/>
  <c r="AEH17" i="6"/>
  <c r="AEH18" i="6"/>
  <c r="AEH5" i="6"/>
  <c r="AEG3" i="6"/>
  <c r="ADW12" i="6"/>
  <c r="ADV14" i="6"/>
  <c r="AEF4" i="6"/>
  <c r="ADQ6" i="6"/>
  <c r="ADP7" i="6"/>
  <c r="AEJ1" i="6"/>
  <c r="AEI9" i="6"/>
  <c r="AEI10" i="6"/>
  <c r="AEI3" i="6"/>
  <c r="AEI11" i="6"/>
  <c r="AEI17" i="6"/>
  <c r="AEI18" i="6"/>
  <c r="AEI5" i="6"/>
  <c r="ADR6" i="6"/>
  <c r="ADQ7" i="6"/>
  <c r="AEG4" i="6"/>
  <c r="ADX12" i="6"/>
  <c r="ADW14" i="6"/>
  <c r="AEK1" i="6"/>
  <c r="AEJ3" i="6"/>
  <c r="AEJ9" i="6"/>
  <c r="AEJ10" i="6"/>
  <c r="AEJ11" i="6"/>
  <c r="AEJ17" i="6"/>
  <c r="AEJ18" i="6"/>
  <c r="AEJ5" i="6"/>
  <c r="ADY12" i="6"/>
  <c r="ADX14" i="6"/>
  <c r="AEH4" i="6"/>
  <c r="ADS6" i="6"/>
  <c r="ADR7" i="6"/>
  <c r="AEL1" i="6"/>
  <c r="AEK9" i="6"/>
  <c r="AEK10" i="6"/>
  <c r="AEK3" i="6"/>
  <c r="AEK11" i="6"/>
  <c r="AEK17" i="6"/>
  <c r="AEK18" i="6"/>
  <c r="AEK5" i="6"/>
  <c r="ADT6" i="6"/>
  <c r="ADS7" i="6"/>
  <c r="AEI4" i="6"/>
  <c r="ADY14" i="6"/>
  <c r="ADZ12" i="6"/>
  <c r="AEM1" i="6"/>
  <c r="AEL3" i="6"/>
  <c r="AEL9" i="6"/>
  <c r="AEL10" i="6"/>
  <c r="AEL11" i="6"/>
  <c r="AEL17" i="6"/>
  <c r="AEL18" i="6"/>
  <c r="AEL5" i="6"/>
  <c r="AEA12" i="6"/>
  <c r="ADZ14" i="6"/>
  <c r="AEJ4" i="6"/>
  <c r="ADU6" i="6"/>
  <c r="ADT7" i="6"/>
  <c r="AEN1" i="6"/>
  <c r="AEM9" i="6"/>
  <c r="AEM10" i="6"/>
  <c r="AEM3" i="6"/>
  <c r="AEM11" i="6"/>
  <c r="AEM17" i="6"/>
  <c r="AEM18" i="6"/>
  <c r="AEM5" i="6"/>
  <c r="ADV6" i="6"/>
  <c r="ADU7" i="6"/>
  <c r="AEK4" i="6"/>
  <c r="AEA14" i="6"/>
  <c r="AEB12" i="6"/>
  <c r="AEO1" i="6"/>
  <c r="AEN3" i="6"/>
  <c r="AEN9" i="6"/>
  <c r="AEN10" i="6"/>
  <c r="AEN11" i="6"/>
  <c r="AEN17" i="6"/>
  <c r="AEN18" i="6"/>
  <c r="AEN5" i="6"/>
  <c r="AEC12" i="6"/>
  <c r="AEB14" i="6"/>
  <c r="AEL4" i="6"/>
  <c r="ADW6" i="6"/>
  <c r="ADV7" i="6"/>
  <c r="AEP1" i="6"/>
  <c r="AEO9" i="6"/>
  <c r="AEO10" i="6"/>
  <c r="ADX6" i="6"/>
  <c r="ADW7" i="6"/>
  <c r="AEM4" i="6"/>
  <c r="AEC14" i="6"/>
  <c r="AED12" i="6"/>
  <c r="AEO5" i="6"/>
  <c r="AEO11" i="6"/>
  <c r="AEO3" i="6"/>
  <c r="AEO17" i="6"/>
  <c r="AEO18" i="6"/>
  <c r="AEQ1" i="6"/>
  <c r="AEE12" i="6"/>
  <c r="AED14" i="6"/>
  <c r="AEN4" i="6"/>
  <c r="ADY6" i="6"/>
  <c r="ADX7" i="6"/>
  <c r="AER1" i="6"/>
  <c r="AEP5" i="6"/>
  <c r="AEP17" i="6"/>
  <c r="AEP18" i="6"/>
  <c r="AEP11" i="6"/>
  <c r="AEP9" i="6"/>
  <c r="AEP10" i="6"/>
  <c r="AEP3" i="6"/>
  <c r="ADZ6" i="6"/>
  <c r="ADY7" i="6"/>
  <c r="AEO4" i="6"/>
  <c r="AEE14" i="6"/>
  <c r="AEF12" i="6"/>
  <c r="AES1" i="6"/>
  <c r="AER9" i="6"/>
  <c r="AER11" i="6"/>
  <c r="AEQ5" i="6"/>
  <c r="AEQ17" i="6"/>
  <c r="AEQ18" i="6"/>
  <c r="AEQ11" i="6"/>
  <c r="AEQ9" i="6"/>
  <c r="AEQ10" i="6"/>
  <c r="AEQ3" i="6"/>
  <c r="AEG12" i="6"/>
  <c r="AEF14" i="6"/>
  <c r="AEP4" i="6"/>
  <c r="AEA6" i="6"/>
  <c r="ADZ7" i="6"/>
  <c r="AER10" i="6"/>
  <c r="AET1" i="6"/>
  <c r="AES3" i="6"/>
  <c r="AES9" i="6"/>
  <c r="AES10" i="6"/>
  <c r="AES11" i="6"/>
  <c r="AES17" i="6"/>
  <c r="AES5" i="6"/>
  <c r="AER5" i="6"/>
  <c r="AER17" i="6"/>
  <c r="AER18" i="6"/>
  <c r="AER3" i="6"/>
  <c r="AEB6" i="6"/>
  <c r="AEA7" i="6"/>
  <c r="AEQ4" i="6"/>
  <c r="AEH12" i="6"/>
  <c r="AEG14" i="6"/>
  <c r="AES18" i="6"/>
  <c r="AEU1" i="6"/>
  <c r="AET9" i="6"/>
  <c r="AET10" i="6"/>
  <c r="AET3" i="6"/>
  <c r="AET11" i="6"/>
  <c r="AET17" i="6"/>
  <c r="AET18" i="6"/>
  <c r="AET5" i="6"/>
  <c r="AEH14" i="6"/>
  <c r="AEI12" i="6"/>
  <c r="AER4" i="6"/>
  <c r="AEC6" i="6"/>
  <c r="AEB7" i="6"/>
  <c r="AEV1" i="6"/>
  <c r="AEU9" i="6"/>
  <c r="AEU10" i="6"/>
  <c r="AEU3" i="6"/>
  <c r="AEU11" i="6"/>
  <c r="AEU17" i="6"/>
  <c r="AEU18" i="6"/>
  <c r="AEU5" i="6"/>
  <c r="AED6" i="6"/>
  <c r="AEC7" i="6"/>
  <c r="AES4" i="6"/>
  <c r="AEJ12" i="6"/>
  <c r="AEI14" i="6"/>
  <c r="AEW1" i="6"/>
  <c r="AEV9" i="6"/>
  <c r="AEV10" i="6"/>
  <c r="AEV3" i="6"/>
  <c r="AEV11" i="6"/>
  <c r="AEV17" i="6"/>
  <c r="AEV18" i="6"/>
  <c r="AEV5" i="6"/>
  <c r="AEK12" i="6"/>
  <c r="AEJ14" i="6"/>
  <c r="AET4" i="6"/>
  <c r="AEE6" i="6"/>
  <c r="AED7" i="6"/>
  <c r="AEX1" i="6"/>
  <c r="AEW9" i="6"/>
  <c r="AEW10" i="6"/>
  <c r="AEW3" i="6"/>
  <c r="AEW11" i="6"/>
  <c r="AEW17" i="6"/>
  <c r="AEW18" i="6"/>
  <c r="AEW5" i="6"/>
  <c r="AEF6" i="6"/>
  <c r="AEE7" i="6"/>
  <c r="AEU4" i="6"/>
  <c r="AEL12" i="6"/>
  <c r="AEK14" i="6"/>
  <c r="AEY1" i="6"/>
  <c r="AEX9" i="6"/>
  <c r="AEX10" i="6"/>
  <c r="AEX11" i="6"/>
  <c r="AEX17" i="6"/>
  <c r="AEX18" i="6"/>
  <c r="AEX5" i="6"/>
  <c r="AEL14" i="6"/>
  <c r="AEM12" i="6"/>
  <c r="AEV4" i="6"/>
  <c r="AEG6" i="6"/>
  <c r="AEF7" i="6"/>
  <c r="AEY3" i="6"/>
  <c r="AEZ1" i="6"/>
  <c r="AEY9" i="6"/>
  <c r="AEY10" i="6"/>
  <c r="AEY11" i="6"/>
  <c r="AEY17" i="6"/>
  <c r="AEY18" i="6"/>
  <c r="AEY5" i="6"/>
  <c r="AEX3" i="6"/>
  <c r="AEH6" i="6"/>
  <c r="AEG7" i="6"/>
  <c r="AEW4" i="6"/>
  <c r="AEN12" i="6"/>
  <c r="AEM14" i="6"/>
  <c r="AFA1" i="6"/>
  <c r="AEZ11" i="6"/>
  <c r="AEO12" i="6"/>
  <c r="AEN14" i="6"/>
  <c r="AEX4" i="6"/>
  <c r="AEI6" i="6"/>
  <c r="AEH7" i="6"/>
  <c r="AFB1" i="6"/>
  <c r="AFA3" i="6"/>
  <c r="AFA9" i="6"/>
  <c r="AFA11" i="6"/>
  <c r="AFA17" i="6"/>
  <c r="AFA5" i="6"/>
  <c r="AEZ5" i="6"/>
  <c r="AEZ17" i="6"/>
  <c r="AEZ18" i="6"/>
  <c r="AEZ3" i="6"/>
  <c r="AEZ9" i="6"/>
  <c r="AEZ10" i="6"/>
  <c r="AEJ6" i="6"/>
  <c r="AEI7" i="6"/>
  <c r="AEY4" i="6"/>
  <c r="AEO14" i="6"/>
  <c r="AEP12" i="6"/>
  <c r="AFA10" i="6"/>
  <c r="AFA18" i="6"/>
  <c r="AFC1" i="6"/>
  <c r="AEQ12" i="6"/>
  <c r="AEP14" i="6"/>
  <c r="AEZ4" i="6"/>
  <c r="AEK6" i="6"/>
  <c r="AEJ7" i="6"/>
  <c r="AFD1" i="6"/>
  <c r="AFC3" i="6"/>
  <c r="AFC9" i="6"/>
  <c r="AFC11" i="6"/>
  <c r="AFC17" i="6"/>
  <c r="AFC5" i="6"/>
  <c r="AFB5" i="6"/>
  <c r="AFB17" i="6"/>
  <c r="AFB18" i="6"/>
  <c r="AFB11" i="6"/>
  <c r="AFB9" i="6"/>
  <c r="AFB10" i="6"/>
  <c r="AFB3" i="6"/>
  <c r="AEL6" i="6"/>
  <c r="AEK7" i="6"/>
  <c r="AFA4" i="6"/>
  <c r="AEQ14" i="6"/>
  <c r="AER12" i="6"/>
  <c r="AFC18" i="6"/>
  <c r="AFC10" i="6"/>
  <c r="AFE1" i="6"/>
  <c r="AFD3" i="6"/>
  <c r="AFD9" i="6"/>
  <c r="AFD10" i="6"/>
  <c r="AFD11" i="6"/>
  <c r="AFD17" i="6"/>
  <c r="AFD18" i="6"/>
  <c r="AFD5" i="6"/>
  <c r="AER14" i="6"/>
  <c r="AES12" i="6"/>
  <c r="AFB4" i="6"/>
  <c r="AEM6" i="6"/>
  <c r="AEL7" i="6"/>
  <c r="AFF1" i="6"/>
  <c r="AEN6" i="6"/>
  <c r="AEM7" i="6"/>
  <c r="AFC4" i="6"/>
  <c r="AET12" i="6"/>
  <c r="AES14" i="6"/>
  <c r="AFG1" i="6"/>
  <c r="AFF3" i="6"/>
  <c r="AFE5" i="6"/>
  <c r="AFE17" i="6"/>
  <c r="AFE18" i="6"/>
  <c r="AFE11" i="6"/>
  <c r="AFE9" i="6"/>
  <c r="AFE10" i="6"/>
  <c r="AFE3" i="6"/>
  <c r="AEU12" i="6"/>
  <c r="AET14" i="6"/>
  <c r="AFD4" i="6"/>
  <c r="AEO6" i="6"/>
  <c r="AEN7" i="6"/>
  <c r="AFF17" i="6"/>
  <c r="AFF18" i="6"/>
  <c r="AFF5" i="6"/>
  <c r="AFF11" i="6"/>
  <c r="AFF9" i="6"/>
  <c r="AFF10" i="6"/>
  <c r="AFH1" i="6"/>
  <c r="AFG9" i="6"/>
  <c r="AFG3" i="6"/>
  <c r="AFG11" i="6"/>
  <c r="AFG17" i="6"/>
  <c r="AFG5" i="6"/>
  <c r="AEP6" i="6"/>
  <c r="AEO7" i="6"/>
  <c r="AFE4" i="6"/>
  <c r="AEU14" i="6"/>
  <c r="AEV12" i="6"/>
  <c r="AFG10" i="6"/>
  <c r="AFG18" i="6"/>
  <c r="AFI1" i="6"/>
  <c r="AFH9" i="6"/>
  <c r="AFH3" i="6"/>
  <c r="AFH11" i="6"/>
  <c r="AFH17" i="6"/>
  <c r="AFH18" i="6"/>
  <c r="AFH5" i="6"/>
  <c r="AEW12" i="6"/>
  <c r="AEV14" i="6"/>
  <c r="AFF4" i="6"/>
  <c r="AEQ6" i="6"/>
  <c r="AEP7" i="6"/>
  <c r="AFH10" i="6"/>
  <c r="AFJ1" i="6"/>
  <c r="AER6" i="6"/>
  <c r="AEQ7" i="6"/>
  <c r="AFG4" i="6"/>
  <c r="AEX12" i="6"/>
  <c r="AEW14" i="6"/>
  <c r="AFK1" i="6"/>
  <c r="AFJ3" i="6"/>
  <c r="AFI5" i="6"/>
  <c r="AFI17" i="6"/>
  <c r="AFI18" i="6"/>
  <c r="AFI11" i="6"/>
  <c r="AFI9" i="6"/>
  <c r="AFI10" i="6"/>
  <c r="AFI3" i="6"/>
  <c r="AEY12" i="6"/>
  <c r="AEX14" i="6"/>
  <c r="AFH4" i="6"/>
  <c r="AES6" i="6"/>
  <c r="AER7" i="6"/>
  <c r="AFJ5" i="6"/>
  <c r="AFJ17" i="6"/>
  <c r="AFJ18" i="6"/>
  <c r="AFJ11" i="6"/>
  <c r="AFJ9" i="6"/>
  <c r="AFJ10" i="6"/>
  <c r="AFL1" i="6"/>
  <c r="AFK3" i="6"/>
  <c r="AFK9" i="6"/>
  <c r="AFK11" i="6"/>
  <c r="AFK17" i="6"/>
  <c r="AFK5" i="6"/>
  <c r="AET6" i="6"/>
  <c r="AES7" i="6"/>
  <c r="AFI4" i="6"/>
  <c r="AEZ12" i="6"/>
  <c r="AEY14" i="6"/>
  <c r="AFK10" i="6"/>
  <c r="AFK18" i="6"/>
  <c r="AFL3" i="6"/>
  <c r="AFM1" i="6"/>
  <c r="AFL9" i="6"/>
  <c r="AFL11" i="6"/>
  <c r="AFL17" i="6"/>
  <c r="AFL18" i="6"/>
  <c r="AFL5" i="6"/>
  <c r="AFA12" i="6"/>
  <c r="AEZ14" i="6"/>
  <c r="AFJ4" i="6"/>
  <c r="AEU6" i="6"/>
  <c r="AET7" i="6"/>
  <c r="AFL10" i="6"/>
  <c r="AFN1" i="6"/>
  <c r="AFM11" i="6"/>
  <c r="AFM17" i="6"/>
  <c r="AFM18" i="6"/>
  <c r="AFM5" i="6"/>
  <c r="AEV6" i="6"/>
  <c r="AEU7" i="6"/>
  <c r="AFK4" i="6"/>
  <c r="AFB12" i="6"/>
  <c r="AFA14" i="6"/>
  <c r="AFO1" i="6"/>
  <c r="AFN3" i="6"/>
  <c r="AFN9" i="6"/>
  <c r="AFM9" i="6"/>
  <c r="AFM10" i="6"/>
  <c r="AFM3" i="6"/>
  <c r="AFB14" i="6"/>
  <c r="AFC12" i="6"/>
  <c r="AFL4" i="6"/>
  <c r="AEW6" i="6"/>
  <c r="AEV7" i="6"/>
  <c r="AFP1" i="6"/>
  <c r="AFO5" i="6"/>
  <c r="AFO17" i="6"/>
  <c r="AFN10" i="6"/>
  <c r="AFN5" i="6"/>
  <c r="AFN17" i="6"/>
  <c r="AFN18" i="6"/>
  <c r="AFN11" i="6"/>
  <c r="AEX6" i="6"/>
  <c r="AEW7" i="6"/>
  <c r="AFM4" i="6"/>
  <c r="AFC14" i="6"/>
  <c r="AFD12" i="6"/>
  <c r="AFO18" i="6"/>
  <c r="AFQ1" i="6"/>
  <c r="AFP9" i="6"/>
  <c r="AFP3" i="6"/>
  <c r="AFP11" i="6"/>
  <c r="AFP17" i="6"/>
  <c r="AFP18" i="6"/>
  <c r="AFP5" i="6"/>
  <c r="AFO9" i="6"/>
  <c r="AFO10" i="6"/>
  <c r="AFP10" i="6"/>
  <c r="AFO11" i="6"/>
  <c r="AFO3" i="6"/>
  <c r="AFE12" i="6"/>
  <c r="AFD14" i="6"/>
  <c r="AFN4" i="6"/>
  <c r="AEY6" i="6"/>
  <c r="AEX7" i="6"/>
  <c r="AFR1" i="6"/>
  <c r="AFQ9" i="6"/>
  <c r="AFQ10" i="6"/>
  <c r="AFQ11" i="6"/>
  <c r="AFQ17" i="6"/>
  <c r="AFQ18" i="6"/>
  <c r="AFQ5" i="6"/>
  <c r="AEZ6" i="6"/>
  <c r="AEY7" i="6"/>
  <c r="AFO4" i="6"/>
  <c r="AFF12" i="6"/>
  <c r="AFE14" i="6"/>
  <c r="AFS1" i="6"/>
  <c r="AFR9" i="6"/>
  <c r="AFR10" i="6"/>
  <c r="AFR3" i="6"/>
  <c r="AFQ3" i="6"/>
  <c r="AFF14" i="6"/>
  <c r="AFG12" i="6"/>
  <c r="AFP4" i="6"/>
  <c r="AFA6" i="6"/>
  <c r="AEZ7" i="6"/>
  <c r="AFR17" i="6"/>
  <c r="AFR18" i="6"/>
  <c r="AFR11" i="6"/>
  <c r="AFR5" i="6"/>
  <c r="AFT1" i="6"/>
  <c r="AFS9" i="6"/>
  <c r="AFS10" i="6"/>
  <c r="AFS11" i="6"/>
  <c r="AFS17" i="6"/>
  <c r="AFS5" i="6"/>
  <c r="AFB6" i="6"/>
  <c r="AFA7" i="6"/>
  <c r="AFQ4" i="6"/>
  <c r="AFG14" i="6"/>
  <c r="AFH12" i="6"/>
  <c r="AFU1" i="6"/>
  <c r="AFT9" i="6"/>
  <c r="AFT10" i="6"/>
  <c r="AFS3" i="6"/>
  <c r="AFS18" i="6"/>
  <c r="AFI12" i="6"/>
  <c r="AFH14" i="6"/>
  <c r="AFR4" i="6"/>
  <c r="AFC6" i="6"/>
  <c r="AFB7" i="6"/>
  <c r="AFT11" i="6"/>
  <c r="AFT5" i="6"/>
  <c r="AFT17" i="6"/>
  <c r="AFT18" i="6"/>
  <c r="AFT3" i="6"/>
  <c r="AFV1" i="6"/>
  <c r="AFU9" i="6"/>
  <c r="AFU10" i="6"/>
  <c r="AFU11" i="6"/>
  <c r="AFU17" i="6"/>
  <c r="AFU5" i="6"/>
  <c r="AFD6" i="6"/>
  <c r="AFC7" i="6"/>
  <c r="AFS4" i="6"/>
  <c r="AFI14" i="6"/>
  <c r="AFJ12" i="6"/>
  <c r="AFW1" i="6"/>
  <c r="AFV9" i="6"/>
  <c r="AFV10" i="6"/>
  <c r="AFV3" i="6"/>
  <c r="AFV11" i="6"/>
  <c r="AFV17" i="6"/>
  <c r="AFV5" i="6"/>
  <c r="AFU3" i="6"/>
  <c r="AFU18" i="6"/>
  <c r="AFK12" i="6"/>
  <c r="AFJ14" i="6"/>
  <c r="AFT4" i="6"/>
  <c r="AFE6" i="6"/>
  <c r="AFD7" i="6"/>
  <c r="AFV18" i="6"/>
  <c r="AFX1" i="6"/>
  <c r="AFW3" i="6"/>
  <c r="AFW9" i="6"/>
  <c r="AFW10" i="6"/>
  <c r="AFW11" i="6"/>
  <c r="AFW17" i="6"/>
  <c r="AFW5" i="6"/>
  <c r="AFF6" i="6"/>
  <c r="AFE7" i="6"/>
  <c r="AFU4" i="6"/>
  <c r="AFL12" i="6"/>
  <c r="AFK14" i="6"/>
  <c r="AFY1" i="6"/>
  <c r="AFX3" i="6"/>
  <c r="AFX9" i="6"/>
  <c r="AFX10" i="6"/>
  <c r="AFX11" i="6"/>
  <c r="AFX17" i="6"/>
  <c r="AFW18" i="6"/>
  <c r="AFL14" i="6"/>
  <c r="AFM12" i="6"/>
  <c r="AFV4" i="6"/>
  <c r="AFG6" i="6"/>
  <c r="AFF7" i="6"/>
  <c r="AFZ1" i="6"/>
  <c r="AFY11" i="6"/>
  <c r="AFY17" i="6"/>
  <c r="AFY5" i="6"/>
  <c r="AFX18" i="6"/>
  <c r="AFX5" i="6"/>
  <c r="AFH6" i="6"/>
  <c r="AFG7" i="6"/>
  <c r="AFW4" i="6"/>
  <c r="AFN12" i="6"/>
  <c r="AFM14" i="6"/>
  <c r="AFY18" i="6"/>
  <c r="AGA1" i="6"/>
  <c r="AFZ3" i="6"/>
  <c r="AFZ9" i="6"/>
  <c r="AFZ11" i="6"/>
  <c r="AFY9" i="6"/>
  <c r="AFY10" i="6"/>
  <c r="AFY3" i="6"/>
  <c r="AFN14" i="6"/>
  <c r="AFO12" i="6"/>
  <c r="AFX4" i="6"/>
  <c r="AFI6" i="6"/>
  <c r="AFH7" i="6"/>
  <c r="AGB1" i="6"/>
  <c r="AGA3" i="6"/>
  <c r="AGA9" i="6"/>
  <c r="AGA11" i="6"/>
  <c r="AGA17" i="6"/>
  <c r="AGA5" i="6"/>
  <c r="AFZ10" i="6"/>
  <c r="AFZ5" i="6"/>
  <c r="AFZ17" i="6"/>
  <c r="AFZ18" i="6"/>
  <c r="AFJ6" i="6"/>
  <c r="AFI7" i="6"/>
  <c r="AFY4" i="6"/>
  <c r="AFP12" i="6"/>
  <c r="AFO14" i="6"/>
  <c r="AGA18" i="6"/>
  <c r="AGA10" i="6"/>
  <c r="AGC1" i="6"/>
  <c r="AGB3" i="6"/>
  <c r="AGB9" i="6"/>
  <c r="AGB11" i="6"/>
  <c r="AGB17" i="6"/>
  <c r="AGB18" i="6"/>
  <c r="AGB5" i="6"/>
  <c r="AFP14" i="6"/>
  <c r="AFQ12" i="6"/>
  <c r="AFZ4" i="6"/>
  <c r="AFK6" i="6"/>
  <c r="AFJ7" i="6"/>
  <c r="AGB10" i="6"/>
  <c r="AGD1" i="6"/>
  <c r="AGC3" i="6"/>
  <c r="AGC9" i="6"/>
  <c r="AGC10" i="6"/>
  <c r="AGC11" i="6"/>
  <c r="AGC17" i="6"/>
  <c r="AGC18" i="6"/>
  <c r="AGC5" i="6"/>
  <c r="AFL6" i="6"/>
  <c r="AFK7" i="6"/>
  <c r="AGA4" i="6"/>
  <c r="AFR12" i="6"/>
  <c r="AFQ14" i="6"/>
  <c r="AGD3" i="6"/>
  <c r="AGE1" i="6"/>
  <c r="AGD9" i="6"/>
  <c r="AGD10" i="6"/>
  <c r="AGD11" i="6"/>
  <c r="AGD17" i="6"/>
  <c r="AGD18" i="6"/>
  <c r="AGD5" i="6"/>
  <c r="AFR14" i="6"/>
  <c r="AFS12" i="6"/>
  <c r="AGB4" i="6"/>
  <c r="AFM6" i="6"/>
  <c r="AFL7" i="6"/>
  <c r="AGF1" i="6"/>
  <c r="AGE9" i="6"/>
  <c r="AGE10" i="6"/>
  <c r="AFN6" i="6"/>
  <c r="AFM7" i="6"/>
  <c r="AGC4" i="6"/>
  <c r="AFT12" i="6"/>
  <c r="AFS14" i="6"/>
  <c r="AGE3" i="6"/>
  <c r="AGE5" i="6"/>
  <c r="AGE17" i="6"/>
  <c r="AGE18" i="6"/>
  <c r="AGE11" i="6"/>
  <c r="AGG1" i="6"/>
  <c r="AGF3" i="6"/>
  <c r="AGF9" i="6"/>
  <c r="AGF10" i="6"/>
  <c r="AGF11" i="6"/>
  <c r="AGF17" i="6"/>
  <c r="AGF5" i="6"/>
  <c r="AFU12" i="6"/>
  <c r="AFT14" i="6"/>
  <c r="AGD4" i="6"/>
  <c r="AFO6" i="6"/>
  <c r="AFN7" i="6"/>
  <c r="AGF18" i="6"/>
  <c r="AGH1" i="6"/>
  <c r="AGG9" i="6"/>
  <c r="AGG10" i="6"/>
  <c r="AGG3" i="6"/>
  <c r="AGG11" i="6"/>
  <c r="AGG17" i="6"/>
  <c r="AGG18" i="6"/>
  <c r="AGG5" i="6"/>
  <c r="AFP6" i="6"/>
  <c r="AFO7" i="6"/>
  <c r="AGE4" i="6"/>
  <c r="AFU14" i="6"/>
  <c r="AFV12" i="6"/>
  <c r="AGI1" i="6"/>
  <c r="AGH3" i="6"/>
  <c r="AGH9" i="6"/>
  <c r="AGH10" i="6"/>
  <c r="AGH11" i="6"/>
  <c r="AGH17" i="6"/>
  <c r="AGH18" i="6"/>
  <c r="AGH5" i="6"/>
  <c r="AFW12" i="6"/>
  <c r="AFV14" i="6"/>
  <c r="AGF4" i="6"/>
  <c r="AFQ6" i="6"/>
  <c r="AFP7" i="6"/>
  <c r="AGI3" i="6"/>
  <c r="AGJ1" i="6"/>
  <c r="AGI9" i="6"/>
  <c r="AGI10" i="6"/>
  <c r="AGI11" i="6"/>
  <c r="AGI17" i="6"/>
  <c r="AGI18" i="6"/>
  <c r="AGI5" i="6"/>
  <c r="AFR6" i="6"/>
  <c r="AFQ7" i="6"/>
  <c r="AGG4" i="6"/>
  <c r="AFX12" i="6"/>
  <c r="AFW14" i="6"/>
  <c r="AGJ3" i="6"/>
  <c r="AGK1" i="6"/>
  <c r="AGJ11" i="6"/>
  <c r="AGJ17" i="6"/>
  <c r="AGJ18" i="6"/>
  <c r="AGJ5" i="6"/>
  <c r="AFY12" i="6"/>
  <c r="AFX14" i="6"/>
  <c r="AGH4" i="6"/>
  <c r="AFS6" i="6"/>
  <c r="AFR7" i="6"/>
  <c r="AGL1" i="6"/>
  <c r="AGJ9" i="6"/>
  <c r="AGJ10" i="6"/>
  <c r="AFT6" i="6"/>
  <c r="AFS7" i="6"/>
  <c r="AGI4" i="6"/>
  <c r="AFZ12" i="6"/>
  <c r="AFY14" i="6"/>
  <c r="AGM1" i="6"/>
  <c r="AGL3" i="6"/>
  <c r="AGL9" i="6"/>
  <c r="AGL11" i="6"/>
  <c r="AGL17" i="6"/>
  <c r="AGL5" i="6"/>
  <c r="AGK9" i="6"/>
  <c r="AGK10" i="6"/>
  <c r="AGK3" i="6"/>
  <c r="AGK5" i="6"/>
  <c r="AGK17" i="6"/>
  <c r="AGK18" i="6"/>
  <c r="AGK11" i="6"/>
  <c r="AGA12" i="6"/>
  <c r="AFZ14" i="6"/>
  <c r="AGJ4" i="6"/>
  <c r="AFU6" i="6"/>
  <c r="AFT7" i="6"/>
  <c r="AGL18" i="6"/>
  <c r="AGL10" i="6"/>
  <c r="AGN1" i="6"/>
  <c r="AGM3" i="6"/>
  <c r="AFV6" i="6"/>
  <c r="AFU7" i="6"/>
  <c r="AGK4" i="6"/>
  <c r="AGB12" i="6"/>
  <c r="AGA14" i="6"/>
  <c r="AGO1" i="6"/>
  <c r="AGN9" i="6"/>
  <c r="AGM5" i="6"/>
  <c r="AGM17" i="6"/>
  <c r="AGM18" i="6"/>
  <c r="AGM11" i="6"/>
  <c r="AGM9" i="6"/>
  <c r="AGM10" i="6"/>
  <c r="AGB14" i="6"/>
  <c r="AGC12" i="6"/>
  <c r="AGL4" i="6"/>
  <c r="AFW6" i="6"/>
  <c r="AFV7" i="6"/>
  <c r="AGN10" i="6"/>
  <c r="AGN5" i="6"/>
  <c r="AGN17" i="6"/>
  <c r="AGN18" i="6"/>
  <c r="AGN11" i="6"/>
  <c r="AGN3" i="6"/>
  <c r="AGP1" i="6"/>
  <c r="AGO9" i="6"/>
  <c r="AGO11" i="6"/>
  <c r="AGO17" i="6"/>
  <c r="AGO5" i="6"/>
  <c r="AFX6" i="6"/>
  <c r="AFW7" i="6"/>
  <c r="AGM4" i="6"/>
  <c r="AGD12" i="6"/>
  <c r="AGC14" i="6"/>
  <c r="AGO10" i="6"/>
  <c r="AGO18" i="6"/>
  <c r="AGQ1" i="6"/>
  <c r="AGO3" i="6"/>
  <c r="AGE12" i="6"/>
  <c r="AGD14" i="6"/>
  <c r="AGN4" i="6"/>
  <c r="AFY6" i="6"/>
  <c r="AFX7" i="6"/>
  <c r="AGR1" i="6"/>
  <c r="AGQ9" i="6"/>
  <c r="AGQ11" i="6"/>
  <c r="AGQ17" i="6"/>
  <c r="AGQ5" i="6"/>
  <c r="AGP9" i="6"/>
  <c r="AGP10" i="6"/>
  <c r="AGP5" i="6"/>
  <c r="AGP17" i="6"/>
  <c r="AGP18" i="6"/>
  <c r="AGP11" i="6"/>
  <c r="AGP3" i="6"/>
  <c r="AFZ6" i="6"/>
  <c r="AFY7" i="6"/>
  <c r="AGO4" i="6"/>
  <c r="AGF12" i="6"/>
  <c r="AGE14" i="6"/>
  <c r="AGQ10" i="6"/>
  <c r="AGQ18" i="6"/>
  <c r="AGS1" i="6"/>
  <c r="AGR3" i="6"/>
  <c r="AGR9" i="6"/>
  <c r="AGR10" i="6"/>
  <c r="AGR11" i="6"/>
  <c r="AGR17" i="6"/>
  <c r="AGR5" i="6"/>
  <c r="AGQ3" i="6"/>
  <c r="AGF14" i="6"/>
  <c r="AGG12" i="6"/>
  <c r="AGP4" i="6"/>
  <c r="AGA6" i="6"/>
  <c r="AFZ7" i="6"/>
  <c r="AGR18" i="6"/>
  <c r="AGT1" i="6"/>
  <c r="AGS3" i="6"/>
  <c r="AGS11" i="6"/>
  <c r="AGS17" i="6"/>
  <c r="AGS18" i="6"/>
  <c r="AGS5" i="6"/>
  <c r="AGB6" i="6"/>
  <c r="AGA7" i="6"/>
  <c r="AGQ4" i="6"/>
  <c r="AGH12" i="6"/>
  <c r="AGG14" i="6"/>
  <c r="AGS9" i="6"/>
  <c r="AGS10" i="6"/>
  <c r="AGU1" i="6"/>
  <c r="AGT3" i="6"/>
  <c r="AGT9" i="6"/>
  <c r="AGT11" i="6"/>
  <c r="AGT17" i="6"/>
  <c r="AGT18" i="6"/>
  <c r="AGT5" i="6"/>
  <c r="AGR4" i="6"/>
  <c r="AGH14" i="6"/>
  <c r="AGI12" i="6"/>
  <c r="AGC6" i="6"/>
  <c r="AGB7" i="6"/>
  <c r="AGV1" i="6"/>
  <c r="AGU9" i="6"/>
  <c r="AGU3" i="6"/>
  <c r="AGU11" i="6"/>
  <c r="AGU17" i="6"/>
  <c r="AGU18" i="6"/>
  <c r="AGU5" i="6"/>
  <c r="AGT10" i="6"/>
  <c r="AGD6" i="6"/>
  <c r="AGC7" i="6"/>
  <c r="AGJ12" i="6"/>
  <c r="AGI14" i="6"/>
  <c r="AGS4" i="6"/>
  <c r="AGU10" i="6"/>
  <c r="AGW1" i="6"/>
  <c r="AGV3" i="6"/>
  <c r="AGV9" i="6"/>
  <c r="AGV10" i="6"/>
  <c r="AGV11" i="6"/>
  <c r="AGV17" i="6"/>
  <c r="AGV18" i="6"/>
  <c r="AGV5" i="6"/>
  <c r="AGT4" i="6"/>
  <c r="AGK12" i="6"/>
  <c r="AGJ14" i="6"/>
  <c r="AGE6" i="6"/>
  <c r="AGD7" i="6"/>
  <c r="AGW3" i="6"/>
  <c r="AGX1" i="6"/>
  <c r="AGW9" i="6"/>
  <c r="AGW10" i="6"/>
  <c r="AGW11" i="6"/>
  <c r="AGW17" i="6"/>
  <c r="AGW18" i="6"/>
  <c r="AGW5" i="6"/>
  <c r="AGF6" i="6"/>
  <c r="AGE7" i="6"/>
  <c r="AGL12" i="6"/>
  <c r="AGK14" i="6"/>
  <c r="AGU4" i="6"/>
  <c r="AGY1" i="6"/>
  <c r="AGX3" i="6"/>
  <c r="AGV4" i="6"/>
  <c r="AGM12" i="6"/>
  <c r="AGL14" i="6"/>
  <c r="AGG6" i="6"/>
  <c r="AGF7" i="6"/>
  <c r="AGX5" i="6"/>
  <c r="AGX17" i="6"/>
  <c r="AGX18" i="6"/>
  <c r="AGX11" i="6"/>
  <c r="AGX9" i="6"/>
  <c r="AGX10" i="6"/>
  <c r="AGZ1" i="6"/>
  <c r="AGY9" i="6"/>
  <c r="AGY11" i="6"/>
  <c r="AGY17" i="6"/>
  <c r="AGY5" i="6"/>
  <c r="AGW4" i="6"/>
  <c r="AGH6" i="6"/>
  <c r="AGG7" i="6"/>
  <c r="AGN12" i="6"/>
  <c r="AGM14" i="6"/>
  <c r="AGY18" i="6"/>
  <c r="AHA1" i="6"/>
  <c r="AGZ3" i="6"/>
  <c r="AGY3" i="6"/>
  <c r="AGY10" i="6"/>
  <c r="AGX4" i="6"/>
  <c r="AGO12" i="6"/>
  <c r="AGN14" i="6"/>
  <c r="AGI6" i="6"/>
  <c r="AGH7" i="6"/>
  <c r="AHB1" i="6"/>
  <c r="AHA11" i="6"/>
  <c r="AHA3" i="6"/>
  <c r="AGZ5" i="6"/>
  <c r="AGZ17" i="6"/>
  <c r="AGZ18" i="6"/>
  <c r="AGZ11" i="6"/>
  <c r="AGZ9" i="6"/>
  <c r="AGZ10" i="6"/>
  <c r="AGJ6" i="6"/>
  <c r="AGI7" i="6"/>
  <c r="AGP12" i="6"/>
  <c r="AGO14" i="6"/>
  <c r="AGY4" i="6"/>
  <c r="AHA5" i="6"/>
  <c r="AHC1" i="6"/>
  <c r="AHB9" i="6"/>
  <c r="AHB3" i="6"/>
  <c r="AHB11" i="6"/>
  <c r="AHB17" i="6"/>
  <c r="AHB5" i="6"/>
  <c r="AHA17" i="6"/>
  <c r="AHA18" i="6"/>
  <c r="AHA9" i="6"/>
  <c r="AHA10" i="6"/>
  <c r="AHB10" i="6"/>
  <c r="AGZ4" i="6"/>
  <c r="AGQ12" i="6"/>
  <c r="AGP14" i="6"/>
  <c r="AGK6" i="6"/>
  <c r="AGJ7" i="6"/>
  <c r="AHB18" i="6"/>
  <c r="AHD1" i="6"/>
  <c r="AHC3" i="6"/>
  <c r="AHC9" i="6"/>
  <c r="AHC10" i="6"/>
  <c r="AHC11" i="6"/>
  <c r="AHC17" i="6"/>
  <c r="AHC18" i="6"/>
  <c r="AHC5" i="6"/>
  <c r="AGL6" i="6"/>
  <c r="AGK7" i="6"/>
  <c r="AGR12" i="6"/>
  <c r="AGQ14" i="6"/>
  <c r="AHA4" i="6"/>
  <c r="AHE1" i="6"/>
  <c r="AHB4" i="6"/>
  <c r="AGS12" i="6"/>
  <c r="AGR14" i="6"/>
  <c r="AGM6" i="6"/>
  <c r="AGL7" i="6"/>
  <c r="AHF1" i="6"/>
  <c r="AHE3" i="6"/>
  <c r="AHD5" i="6"/>
  <c r="AHD17" i="6"/>
  <c r="AHD18" i="6"/>
  <c r="AHD11" i="6"/>
  <c r="AHD9" i="6"/>
  <c r="AHD10" i="6"/>
  <c r="AHD3" i="6"/>
  <c r="AGN6" i="6"/>
  <c r="AGM7" i="6"/>
  <c r="AGS14" i="6"/>
  <c r="AGT12" i="6"/>
  <c r="AHC4" i="6"/>
  <c r="AHG1" i="6"/>
  <c r="AHF9" i="6"/>
  <c r="AHF11" i="6"/>
  <c r="AHF17" i="6"/>
  <c r="AHF5" i="6"/>
  <c r="AHE5" i="6"/>
  <c r="AHE17" i="6"/>
  <c r="AHE18" i="6"/>
  <c r="AHE11" i="6"/>
  <c r="AHE9" i="6"/>
  <c r="AHE10" i="6"/>
  <c r="AHF10" i="6"/>
  <c r="AHD4" i="6"/>
  <c r="AGU12" i="6"/>
  <c r="AGT14" i="6"/>
  <c r="AGO6" i="6"/>
  <c r="AGN7" i="6"/>
  <c r="AHF18" i="6"/>
  <c r="AHH1" i="6"/>
  <c r="AHG3" i="6"/>
  <c r="AHG9" i="6"/>
  <c r="AHG10" i="6"/>
  <c r="AHG11" i="6"/>
  <c r="AHG17" i="6"/>
  <c r="AHG18" i="6"/>
  <c r="AHG5" i="6"/>
  <c r="AHF3" i="6"/>
  <c r="AGP6" i="6"/>
  <c r="AGO7" i="6"/>
  <c r="AGV12" i="6"/>
  <c r="AGU14" i="6"/>
  <c r="AHE4" i="6"/>
  <c r="AHI1" i="6"/>
  <c r="AHH3" i="6"/>
  <c r="AHH9" i="6"/>
  <c r="AHH10" i="6"/>
  <c r="AHH11" i="6"/>
  <c r="AHH17" i="6"/>
  <c r="AHH18" i="6"/>
  <c r="AHH5" i="6"/>
  <c r="AHF4" i="6"/>
  <c r="AGW12" i="6"/>
  <c r="AGV14" i="6"/>
  <c r="AGQ6" i="6"/>
  <c r="AGP7" i="6"/>
  <c r="AHJ1" i="6"/>
  <c r="AHI9" i="6"/>
  <c r="AHI10" i="6"/>
  <c r="AHI3" i="6"/>
  <c r="AHI11" i="6"/>
  <c r="AHI17" i="6"/>
  <c r="AHI18" i="6"/>
  <c r="AHI5" i="6"/>
  <c r="AGR6" i="6"/>
  <c r="AGQ7" i="6"/>
  <c r="AGW14" i="6"/>
  <c r="AGX12" i="6"/>
  <c r="AHG4" i="6"/>
  <c r="AHK1" i="6"/>
  <c r="AHJ3" i="6"/>
  <c r="AHH4" i="6"/>
  <c r="AGY12" i="6"/>
  <c r="AGX14" i="6"/>
  <c r="AGS6" i="6"/>
  <c r="AGR7" i="6"/>
  <c r="AHL1" i="6"/>
  <c r="AHJ11" i="6"/>
  <c r="AHJ5" i="6"/>
  <c r="AHJ17" i="6"/>
  <c r="AHJ18" i="6"/>
  <c r="AHJ9" i="6"/>
  <c r="AHJ10" i="6"/>
  <c r="AGT6" i="6"/>
  <c r="AGS7" i="6"/>
  <c r="AGZ12" i="6"/>
  <c r="AGY14" i="6"/>
  <c r="AHI4" i="6"/>
  <c r="AHM1" i="6"/>
  <c r="AHL3" i="6"/>
  <c r="AHL9" i="6"/>
  <c r="AHL11" i="6"/>
  <c r="AHL17" i="6"/>
  <c r="AHL5" i="6"/>
  <c r="AHK17" i="6"/>
  <c r="AHK18" i="6"/>
  <c r="AHK5" i="6"/>
  <c r="AHK11" i="6"/>
  <c r="AHK9" i="6"/>
  <c r="AHK10" i="6"/>
  <c r="AHK3" i="6"/>
  <c r="AHJ4" i="6"/>
  <c r="AHA12" i="6"/>
  <c r="AGZ14" i="6"/>
  <c r="AGU6" i="6"/>
  <c r="AGT7" i="6"/>
  <c r="AHL10" i="6"/>
  <c r="AHL18" i="6"/>
  <c r="AHN1" i="6"/>
  <c r="AHM3" i="6"/>
  <c r="AGV6" i="6"/>
  <c r="AGU7" i="6"/>
  <c r="AHB12" i="6"/>
  <c r="AHA14" i="6"/>
  <c r="AHK4" i="6"/>
  <c r="AHO1" i="6"/>
  <c r="AHN11" i="6"/>
  <c r="AHN17" i="6"/>
  <c r="AHN5" i="6"/>
  <c r="AHM5" i="6"/>
  <c r="AHM17" i="6"/>
  <c r="AHM18" i="6"/>
  <c r="AHM11" i="6"/>
  <c r="AHM9" i="6"/>
  <c r="AHM10" i="6"/>
  <c r="AHL4" i="6"/>
  <c r="AHB14" i="6"/>
  <c r="AHC12" i="6"/>
  <c r="AGW6" i="6"/>
  <c r="AGV7" i="6"/>
  <c r="AHN18" i="6"/>
  <c r="AHP1" i="6"/>
  <c r="AHO11" i="6"/>
  <c r="AHO17" i="6"/>
  <c r="AHO5" i="6"/>
  <c r="AHN9" i="6"/>
  <c r="AHN10" i="6"/>
  <c r="AHN3" i="6"/>
  <c r="AGX6" i="6"/>
  <c r="AGW7" i="6"/>
  <c r="AHD12" i="6"/>
  <c r="AHC14" i="6"/>
  <c r="AHM4" i="6"/>
  <c r="AHQ1" i="6"/>
  <c r="AHP3" i="6"/>
  <c r="AHP9" i="6"/>
  <c r="AHP11" i="6"/>
  <c r="AHP17" i="6"/>
  <c r="AHP5" i="6"/>
  <c r="AHO9" i="6"/>
  <c r="AHO10" i="6"/>
  <c r="AHO3" i="6"/>
  <c r="AHO18" i="6"/>
  <c r="AHN4" i="6"/>
  <c r="AHD14" i="6"/>
  <c r="AHE12" i="6"/>
  <c r="AGY6" i="6"/>
  <c r="AGX7" i="6"/>
  <c r="AHP10" i="6"/>
  <c r="AHP18" i="6"/>
  <c r="AHR1" i="6"/>
  <c r="AHQ3" i="6"/>
  <c r="AHQ11" i="6"/>
  <c r="AHQ17" i="6"/>
  <c r="AHQ5" i="6"/>
  <c r="AGZ6" i="6"/>
  <c r="AGY7" i="6"/>
  <c r="AHF12" i="6"/>
  <c r="AHE14" i="6"/>
  <c r="AHO4" i="6"/>
  <c r="AHS1" i="6"/>
  <c r="AHR3" i="6"/>
  <c r="AHR9" i="6"/>
  <c r="AHR11" i="6"/>
  <c r="AHR17" i="6"/>
  <c r="AHR5" i="6"/>
  <c r="AHQ9" i="6"/>
  <c r="AHQ10" i="6"/>
  <c r="AHQ18" i="6"/>
  <c r="AHP4" i="6"/>
  <c r="AHF14" i="6"/>
  <c r="AHG12" i="6"/>
  <c r="AHA6" i="6"/>
  <c r="AGZ7" i="6"/>
  <c r="AHR10" i="6"/>
  <c r="AHR18" i="6"/>
  <c r="AHT1" i="6"/>
  <c r="AHS3" i="6"/>
  <c r="AHS9" i="6"/>
  <c r="AHS10" i="6"/>
  <c r="AHS11" i="6"/>
  <c r="AHS17" i="6"/>
  <c r="AHS18" i="6"/>
  <c r="AHS5" i="6"/>
  <c r="AHB6" i="6"/>
  <c r="AHA7" i="6"/>
  <c r="AHH12" i="6"/>
  <c r="AHG14" i="6"/>
  <c r="AHQ4" i="6"/>
  <c r="AHT3" i="6"/>
  <c r="AHU1" i="6"/>
  <c r="AHT9" i="6"/>
  <c r="AHT10" i="6"/>
  <c r="AHT11" i="6"/>
  <c r="AHT17" i="6"/>
  <c r="AHT18" i="6"/>
  <c r="AHT5" i="6"/>
  <c r="AHR4" i="6"/>
  <c r="AHI12" i="6"/>
  <c r="AHH14" i="6"/>
  <c r="AHC6" i="6"/>
  <c r="AHB7" i="6"/>
  <c r="AHV1" i="6"/>
  <c r="AHU9" i="6"/>
  <c r="AHU10" i="6"/>
  <c r="AHU3" i="6"/>
  <c r="AHU11" i="6"/>
  <c r="AHU17" i="6"/>
  <c r="AHU18" i="6"/>
  <c r="AHU5" i="6"/>
  <c r="AHD6" i="6"/>
  <c r="AHC7" i="6"/>
  <c r="AHI14" i="6"/>
  <c r="AHJ12" i="6"/>
  <c r="AHS4" i="6"/>
  <c r="AHW1" i="6"/>
  <c r="AHV3" i="6"/>
  <c r="AHV9" i="6"/>
  <c r="AHV10" i="6"/>
  <c r="AHV11" i="6"/>
  <c r="AHV17" i="6"/>
  <c r="AHV18" i="6"/>
  <c r="AHV5" i="6"/>
  <c r="AHT4" i="6"/>
  <c r="AHK12" i="6"/>
  <c r="AHJ14" i="6"/>
  <c r="AHE6" i="6"/>
  <c r="AHD7" i="6"/>
  <c r="AHX1" i="6"/>
  <c r="AHW17" i="6"/>
  <c r="AHW18" i="6"/>
  <c r="AHW9" i="6"/>
  <c r="AHW10" i="6"/>
  <c r="AHW3" i="6"/>
  <c r="AHW11" i="6"/>
  <c r="AHF6" i="6"/>
  <c r="AHE7" i="6"/>
  <c r="AHL12" i="6"/>
  <c r="AHK14" i="6"/>
  <c r="AHU4" i="6"/>
  <c r="AHW5" i="6"/>
  <c r="AHY1" i="6"/>
  <c r="AHX9" i="6"/>
  <c r="AHX10" i="6"/>
  <c r="AHX11" i="6"/>
  <c r="AHX17" i="6"/>
  <c r="AHX18" i="6"/>
  <c r="AHX5" i="6"/>
  <c r="AHV4" i="6"/>
  <c r="AHM12" i="6"/>
  <c r="AHL14" i="6"/>
  <c r="AHG6" i="6"/>
  <c r="AHF7" i="6"/>
  <c r="AHZ1" i="6"/>
  <c r="AHX3" i="6"/>
  <c r="AHH6" i="6"/>
  <c r="AHG7" i="6"/>
  <c r="AHN12" i="6"/>
  <c r="AHM14" i="6"/>
  <c r="AHW4" i="6"/>
  <c r="AHZ3" i="6"/>
  <c r="AIA1" i="6"/>
  <c r="AHZ11" i="6"/>
  <c r="AHZ17" i="6"/>
  <c r="AHZ5" i="6"/>
  <c r="AHY5" i="6"/>
  <c r="AHY17" i="6"/>
  <c r="AHY18" i="6"/>
  <c r="AHY11" i="6"/>
  <c r="AHY9" i="6"/>
  <c r="AHY10" i="6"/>
  <c r="AHY3" i="6"/>
  <c r="AHX4" i="6"/>
  <c r="AHO12" i="6"/>
  <c r="AHN14" i="6"/>
  <c r="AHI6" i="6"/>
  <c r="AHH7" i="6"/>
  <c r="AHZ18" i="6"/>
  <c r="AIB1" i="6"/>
  <c r="AIA3" i="6"/>
  <c r="AIA9" i="6"/>
  <c r="AIA11" i="6"/>
  <c r="AIA17" i="6"/>
  <c r="AIA18" i="6"/>
  <c r="AIA5" i="6"/>
  <c r="AHZ9" i="6"/>
  <c r="AHZ10" i="6"/>
  <c r="AHJ6" i="6"/>
  <c r="AHI7" i="6"/>
  <c r="AHP12" i="6"/>
  <c r="AHO14" i="6"/>
  <c r="AHY4" i="6"/>
  <c r="AIA10" i="6"/>
  <c r="AIC1" i="6"/>
  <c r="AIB9" i="6"/>
  <c r="AIB3" i="6"/>
  <c r="AIB11" i="6"/>
  <c r="AIB17" i="6"/>
  <c r="AIB18" i="6"/>
  <c r="AIB5" i="6"/>
  <c r="AHZ4" i="6"/>
  <c r="AHQ12" i="6"/>
  <c r="AHP14" i="6"/>
  <c r="AHK6" i="6"/>
  <c r="AHJ7" i="6"/>
  <c r="AIB10" i="6"/>
  <c r="AID1" i="6"/>
  <c r="AIC3" i="6"/>
  <c r="AIC9" i="6"/>
  <c r="AIC10" i="6"/>
  <c r="AIC11" i="6"/>
  <c r="AIC17" i="6"/>
  <c r="AIC18" i="6"/>
  <c r="AIC5" i="6"/>
  <c r="AHL6" i="6"/>
  <c r="AHK7" i="6"/>
  <c r="AHR12" i="6"/>
  <c r="AHQ14" i="6"/>
  <c r="AIA4" i="6"/>
  <c r="AIE1" i="6"/>
  <c r="AID3" i="6"/>
  <c r="AID9" i="6"/>
  <c r="AID10" i="6"/>
  <c r="AID11" i="6"/>
  <c r="AID17" i="6"/>
  <c r="AID18" i="6"/>
  <c r="AID5" i="6"/>
  <c r="AIB4" i="6"/>
  <c r="AHS12" i="6"/>
  <c r="AHR14" i="6"/>
  <c r="AHM6" i="6"/>
  <c r="AHL7" i="6"/>
  <c r="AIF1" i="6"/>
  <c r="AIE3" i="6"/>
  <c r="AIE9" i="6"/>
  <c r="AIE10" i="6"/>
  <c r="AIE11" i="6"/>
  <c r="AIE17" i="6"/>
  <c r="AIE18" i="6"/>
  <c r="AIE5" i="6"/>
  <c r="AHN6" i="6"/>
  <c r="AHM7" i="6"/>
  <c r="AHT12" i="6"/>
  <c r="AHS14" i="6"/>
  <c r="AIC4" i="6"/>
  <c r="AIG1" i="6"/>
  <c r="AID4" i="6"/>
  <c r="AHU12" i="6"/>
  <c r="AHT14" i="6"/>
  <c r="AHO6" i="6"/>
  <c r="AHN7" i="6"/>
  <c r="AIH1" i="6"/>
  <c r="AIG9" i="6"/>
  <c r="AIG3" i="6"/>
  <c r="AIF5" i="6"/>
  <c r="AIF17" i="6"/>
  <c r="AIF18" i="6"/>
  <c r="AIF11" i="6"/>
  <c r="AIF9" i="6"/>
  <c r="AIF10" i="6"/>
  <c r="AIF3" i="6"/>
  <c r="AHP6" i="6"/>
  <c r="AHO7" i="6"/>
  <c r="AHV12" i="6"/>
  <c r="AHU14" i="6"/>
  <c r="AIE4" i="6"/>
  <c r="AIG10" i="6"/>
  <c r="AIG5" i="6"/>
  <c r="AIG17" i="6"/>
  <c r="AIG18" i="6"/>
  <c r="AIG11" i="6"/>
  <c r="AII1" i="6"/>
  <c r="AIH9" i="6"/>
  <c r="AIH3" i="6"/>
  <c r="AIH11" i="6"/>
  <c r="AIH17" i="6"/>
  <c r="AIH5" i="6"/>
  <c r="AIF4" i="6"/>
  <c r="AHW12" i="6"/>
  <c r="AHV14" i="6"/>
  <c r="AHQ6" i="6"/>
  <c r="AHP7" i="6"/>
  <c r="AIH18" i="6"/>
  <c r="AIJ1" i="6"/>
  <c r="AII9" i="6"/>
  <c r="AIH10" i="6"/>
  <c r="AHR6" i="6"/>
  <c r="AHQ7" i="6"/>
  <c r="AHX12" i="6"/>
  <c r="AHW14" i="6"/>
  <c r="AIG4" i="6"/>
  <c r="AIK1" i="6"/>
  <c r="AIJ9" i="6"/>
  <c r="AIJ3" i="6"/>
  <c r="AIJ11" i="6"/>
  <c r="AIJ17" i="6"/>
  <c r="AIJ5" i="6"/>
  <c r="AII10" i="6"/>
  <c r="AII5" i="6"/>
  <c r="AII17" i="6"/>
  <c r="AII18" i="6"/>
  <c r="AII11" i="6"/>
  <c r="AII3" i="6"/>
  <c r="AIH4" i="6"/>
  <c r="AHX14" i="6"/>
  <c r="AHY12" i="6"/>
  <c r="AHS6" i="6"/>
  <c r="AHR7" i="6"/>
  <c r="AIJ10" i="6"/>
  <c r="AIJ18" i="6"/>
  <c r="AIL1" i="6"/>
  <c r="AIK9" i="6"/>
  <c r="AIK10" i="6"/>
  <c r="AIK11" i="6"/>
  <c r="AIK17" i="6"/>
  <c r="AIK18" i="6"/>
  <c r="AIK5" i="6"/>
  <c r="AHT6" i="6"/>
  <c r="AHS7" i="6"/>
  <c r="AHZ12" i="6"/>
  <c r="AHY14" i="6"/>
  <c r="AII4" i="6"/>
  <c r="AIM1" i="6"/>
  <c r="AIL3" i="6"/>
  <c r="AIL9" i="6"/>
  <c r="AIL10" i="6"/>
  <c r="AIL11" i="6"/>
  <c r="AIL17" i="6"/>
  <c r="AIL18" i="6"/>
  <c r="AIL5" i="6"/>
  <c r="AIK3" i="6"/>
  <c r="AIJ4" i="6"/>
  <c r="AHZ14" i="6"/>
  <c r="AIA12" i="6"/>
  <c r="AHU6" i="6"/>
  <c r="AHT7" i="6"/>
  <c r="AIN1" i="6"/>
  <c r="AIM3" i="6"/>
  <c r="AIM9" i="6"/>
  <c r="AIM10" i="6"/>
  <c r="AIM11" i="6"/>
  <c r="AIM17" i="6"/>
  <c r="AIM18" i="6"/>
  <c r="AIM5" i="6"/>
  <c r="AHV6" i="6"/>
  <c r="AHU7" i="6"/>
  <c r="AIB12" i="6"/>
  <c r="AIA14" i="6"/>
  <c r="AIK4" i="6"/>
  <c r="AIO1" i="6"/>
  <c r="AIL4" i="6"/>
  <c r="AIC12" i="6"/>
  <c r="AIB14" i="6"/>
  <c r="AHW6" i="6"/>
  <c r="AHV7" i="6"/>
  <c r="AIP1" i="6"/>
  <c r="AIO11" i="6"/>
  <c r="AIO9" i="6"/>
  <c r="AIN5" i="6"/>
  <c r="AIN17" i="6"/>
  <c r="AIN18" i="6"/>
  <c r="AIN11" i="6"/>
  <c r="AIN3" i="6"/>
  <c r="AIN9" i="6"/>
  <c r="AIN10" i="6"/>
  <c r="AHX6" i="6"/>
  <c r="AHW7" i="6"/>
  <c r="AID12" i="6"/>
  <c r="AIC14" i="6"/>
  <c r="AIM4" i="6"/>
  <c r="AIO10" i="6"/>
  <c r="AIO5" i="6"/>
  <c r="AIO17" i="6"/>
  <c r="AIO18" i="6"/>
  <c r="AIQ1" i="6"/>
  <c r="AIP3" i="6"/>
  <c r="AIO3" i="6"/>
  <c r="AIN4" i="6"/>
  <c r="AID14" i="6"/>
  <c r="AIE12" i="6"/>
  <c r="AHY6" i="6"/>
  <c r="AHX7" i="6"/>
  <c r="AIP5" i="6"/>
  <c r="AIP17" i="6"/>
  <c r="AIP18" i="6"/>
  <c r="AIP11" i="6"/>
  <c r="AIP9" i="6"/>
  <c r="AIP10" i="6"/>
  <c r="AIR1" i="6"/>
  <c r="AIQ9" i="6"/>
  <c r="AIQ3" i="6"/>
  <c r="AIQ11" i="6"/>
  <c r="AIQ17" i="6"/>
  <c r="AIQ5" i="6"/>
  <c r="AHZ6" i="6"/>
  <c r="AHY7" i="6"/>
  <c r="AIO4" i="6"/>
  <c r="AIF12" i="6"/>
  <c r="AIE14" i="6"/>
  <c r="AIQ10" i="6"/>
  <c r="AIQ18" i="6"/>
  <c r="AIS1" i="6"/>
  <c r="AIR3" i="6"/>
  <c r="AIR9" i="6"/>
  <c r="AIR10" i="6"/>
  <c r="AIR11" i="6"/>
  <c r="AIR17" i="6"/>
  <c r="AIR18" i="6"/>
  <c r="AIR5" i="6"/>
  <c r="AIF14" i="6"/>
  <c r="AIG12" i="6"/>
  <c r="AIP4" i="6"/>
  <c r="AIA6" i="6"/>
  <c r="AHZ7" i="6"/>
  <c r="AIT1" i="6"/>
  <c r="AIS3" i="6"/>
  <c r="AIS9" i="6"/>
  <c r="AIS10" i="6"/>
  <c r="AIS11" i="6"/>
  <c r="AIS17" i="6"/>
  <c r="AIS18" i="6"/>
  <c r="AIS5" i="6"/>
  <c r="AIB6" i="6"/>
  <c r="AIA7" i="6"/>
  <c r="AIQ4" i="6"/>
  <c r="AIH12" i="6"/>
  <c r="AIG14" i="6"/>
  <c r="AIU1" i="6"/>
  <c r="AIT3" i="6"/>
  <c r="AIT9" i="6"/>
  <c r="AIT10" i="6"/>
  <c r="AIT11" i="6"/>
  <c r="AIT17" i="6"/>
  <c r="AIT18" i="6"/>
  <c r="AIT5" i="6"/>
  <c r="AII12" i="6"/>
  <c r="AIH14" i="6"/>
  <c r="AIR4" i="6"/>
  <c r="AIC6" i="6"/>
  <c r="AIB7" i="6"/>
  <c r="AIV1" i="6"/>
  <c r="AIU3" i="6"/>
  <c r="AIU9" i="6"/>
  <c r="AIU10" i="6"/>
  <c r="AIU11" i="6"/>
  <c r="AIU17" i="6"/>
  <c r="AIU18" i="6"/>
  <c r="AIU5" i="6"/>
  <c r="AID6" i="6"/>
  <c r="AIC7" i="6"/>
  <c r="AIS4" i="6"/>
  <c r="AII14" i="6"/>
  <c r="AIJ12" i="6"/>
  <c r="AIW1" i="6"/>
  <c r="AIV3" i="6"/>
  <c r="AIV9" i="6"/>
  <c r="AIV10" i="6"/>
  <c r="AIV11" i="6"/>
  <c r="AIV17" i="6"/>
  <c r="AIV18" i="6"/>
  <c r="AIV5" i="6"/>
  <c r="AIJ14" i="6"/>
  <c r="AIK12" i="6"/>
  <c r="AIT4" i="6"/>
  <c r="AIE6" i="6"/>
  <c r="AID7" i="6"/>
  <c r="AIX1" i="6"/>
  <c r="AIW9" i="6"/>
  <c r="AIW10" i="6"/>
  <c r="AIW3" i="6"/>
  <c r="AIW11" i="6"/>
  <c r="AIW17" i="6"/>
  <c r="AIW18" i="6"/>
  <c r="AIW5" i="6"/>
  <c r="AIF6" i="6"/>
  <c r="AIE7" i="6"/>
  <c r="AIU4" i="6"/>
  <c r="AIL12" i="6"/>
  <c r="AIK14" i="6"/>
  <c r="AIY1" i="6"/>
  <c r="AIX9" i="6"/>
  <c r="AIX10" i="6"/>
  <c r="AIX3" i="6"/>
  <c r="AIX11" i="6"/>
  <c r="AIX17" i="6"/>
  <c r="AIX18" i="6"/>
  <c r="AIX5" i="6"/>
  <c r="AIL14" i="6"/>
  <c r="AIM12" i="6"/>
  <c r="AIV4" i="6"/>
  <c r="AIG6" i="6"/>
  <c r="AIF7" i="6"/>
  <c r="AIZ1" i="6"/>
  <c r="AIY9" i="6"/>
  <c r="AIY10" i="6"/>
  <c r="AIY3" i="6"/>
  <c r="AIY11" i="6"/>
  <c r="AIY17" i="6"/>
  <c r="AIY18" i="6"/>
  <c r="AIY5" i="6"/>
  <c r="AIH6" i="6"/>
  <c r="AIG7" i="6"/>
  <c r="AIW4" i="6"/>
  <c r="AIM14" i="6"/>
  <c r="AIN12" i="6"/>
  <c r="AJA1" i="6"/>
  <c r="AIZ11" i="6"/>
  <c r="AIZ17" i="6"/>
  <c r="AIZ18" i="6"/>
  <c r="AIZ5" i="6"/>
  <c r="AIN14" i="6"/>
  <c r="AIO12" i="6"/>
  <c r="AIX4" i="6"/>
  <c r="AII6" i="6"/>
  <c r="AIH7" i="6"/>
  <c r="AJB1" i="6"/>
  <c r="AJA3" i="6"/>
  <c r="AIZ3" i="6"/>
  <c r="AIZ9" i="6"/>
  <c r="AIZ10" i="6"/>
  <c r="AIJ6" i="6"/>
  <c r="AII7" i="6"/>
  <c r="AIY4" i="6"/>
  <c r="AIP12" i="6"/>
  <c r="AIO14" i="6"/>
  <c r="AJA5" i="6"/>
  <c r="AJA17" i="6"/>
  <c r="AJA18" i="6"/>
  <c r="AJA11" i="6"/>
  <c r="AJA9" i="6"/>
  <c r="AJA10" i="6"/>
  <c r="AJC1" i="6"/>
  <c r="AJB9" i="6"/>
  <c r="AJB11" i="6"/>
  <c r="AJB17" i="6"/>
  <c r="AJB5" i="6"/>
  <c r="AIP14" i="6"/>
  <c r="AIQ12" i="6"/>
  <c r="AIZ4" i="6"/>
  <c r="AIK6" i="6"/>
  <c r="AIJ7" i="6"/>
  <c r="AJB10" i="6"/>
  <c r="AJD1" i="6"/>
  <c r="AJC9" i="6"/>
  <c r="AJC10" i="6"/>
  <c r="AJC3" i="6"/>
  <c r="AJC11" i="6"/>
  <c r="AJC17" i="6"/>
  <c r="AJC5" i="6"/>
  <c r="AJB3" i="6"/>
  <c r="AJB18" i="6"/>
  <c r="AIL6" i="6"/>
  <c r="AIK7" i="6"/>
  <c r="AJA4" i="6"/>
  <c r="AIR12" i="6"/>
  <c r="AIQ14" i="6"/>
  <c r="AJC18" i="6"/>
  <c r="AJE1" i="6"/>
  <c r="AJD9" i="6"/>
  <c r="AJD10" i="6"/>
  <c r="AJD3" i="6"/>
  <c r="AJD11" i="6"/>
  <c r="AJD17" i="6"/>
  <c r="AJD5" i="6"/>
  <c r="AIR14" i="6"/>
  <c r="AIS12" i="6"/>
  <c r="AJB4" i="6"/>
  <c r="AIM6" i="6"/>
  <c r="AIL7" i="6"/>
  <c r="AJF1" i="6"/>
  <c r="AJE9" i="6"/>
  <c r="AJE10" i="6"/>
  <c r="AJE3" i="6"/>
  <c r="AJE11" i="6"/>
  <c r="AJE17" i="6"/>
  <c r="AJE5" i="6"/>
  <c r="AJD18" i="6"/>
  <c r="AIN6" i="6"/>
  <c r="AIM7" i="6"/>
  <c r="AJC4" i="6"/>
  <c r="AIS14" i="6"/>
  <c r="AIT12" i="6"/>
  <c r="AJE18" i="6"/>
  <c r="AJG1" i="6"/>
  <c r="AJF3" i="6"/>
  <c r="AJF9" i="6"/>
  <c r="AJF10" i="6"/>
  <c r="AJF11" i="6"/>
  <c r="AJF17" i="6"/>
  <c r="AJF18" i="6"/>
  <c r="AJF5" i="6"/>
  <c r="AIU12" i="6"/>
  <c r="AIT14" i="6"/>
  <c r="AJD4" i="6"/>
  <c r="AIO6" i="6"/>
  <c r="AIN7" i="6"/>
  <c r="AJH1" i="6"/>
  <c r="AJG9" i="6"/>
  <c r="AJG10" i="6"/>
  <c r="AJG11" i="6"/>
  <c r="AJG17" i="6"/>
  <c r="AJG18" i="6"/>
  <c r="AJG5" i="6"/>
  <c r="AIP6" i="6"/>
  <c r="AIO7" i="6"/>
  <c r="AJE4" i="6"/>
  <c r="AIV12" i="6"/>
  <c r="AIU14" i="6"/>
  <c r="AJI1" i="6"/>
  <c r="AJH9" i="6"/>
  <c r="AJH10" i="6"/>
  <c r="AJH11" i="6"/>
  <c r="AJH17" i="6"/>
  <c r="AJH18" i="6"/>
  <c r="AJH5" i="6"/>
  <c r="AJG3" i="6"/>
  <c r="AIW12" i="6"/>
  <c r="AIV14" i="6"/>
  <c r="AJF4" i="6"/>
  <c r="AIQ6" i="6"/>
  <c r="AIP7" i="6"/>
  <c r="AJJ1" i="6"/>
  <c r="AJI9" i="6"/>
  <c r="AJI10" i="6"/>
  <c r="AJI11" i="6"/>
  <c r="AJI17" i="6"/>
  <c r="AJI18" i="6"/>
  <c r="AJI5" i="6"/>
  <c r="AJH3" i="6"/>
  <c r="AIR6" i="6"/>
  <c r="AIQ7" i="6"/>
  <c r="AJG4" i="6"/>
  <c r="AIX12" i="6"/>
  <c r="AIW14" i="6"/>
  <c r="AJK1" i="6"/>
  <c r="AJJ11" i="6"/>
  <c r="AJJ3" i="6"/>
  <c r="AJJ17" i="6"/>
  <c r="AJJ18" i="6"/>
  <c r="AJJ5" i="6"/>
  <c r="AJI3" i="6"/>
  <c r="AIX14" i="6"/>
  <c r="AIY12" i="6"/>
  <c r="AJH4" i="6"/>
  <c r="AIS6" i="6"/>
  <c r="AIR7" i="6"/>
  <c r="AJL1" i="6"/>
  <c r="AJK9" i="6"/>
  <c r="AJK11" i="6"/>
  <c r="AJK17" i="6"/>
  <c r="AJK18" i="6"/>
  <c r="AJK5" i="6"/>
  <c r="AJJ9" i="6"/>
  <c r="AJJ10" i="6"/>
  <c r="AJK10" i="6"/>
  <c r="AIT6" i="6"/>
  <c r="AIS7" i="6"/>
  <c r="AJI4" i="6"/>
  <c r="AIY14" i="6"/>
  <c r="AIZ12" i="6"/>
  <c r="AJM1" i="6"/>
  <c r="AJL3" i="6"/>
  <c r="AJL9" i="6"/>
  <c r="AJL10" i="6"/>
  <c r="AJL11" i="6"/>
  <c r="AJL17" i="6"/>
  <c r="AJL18" i="6"/>
  <c r="AJL5" i="6"/>
  <c r="AJK3" i="6"/>
  <c r="AIZ14" i="6"/>
  <c r="AJA12" i="6"/>
  <c r="AJJ4" i="6"/>
  <c r="AIU6" i="6"/>
  <c r="AIT7" i="6"/>
  <c r="AJN1" i="6"/>
  <c r="AJM3" i="6"/>
  <c r="AJM9" i="6"/>
  <c r="AJM10" i="6"/>
  <c r="AJM11" i="6"/>
  <c r="AJM17" i="6"/>
  <c r="AJM18" i="6"/>
  <c r="AJM5" i="6"/>
  <c r="AIV6" i="6"/>
  <c r="AIU7" i="6"/>
  <c r="AJK4" i="6"/>
  <c r="AJB12" i="6"/>
  <c r="AJA14" i="6"/>
  <c r="AJO1" i="6"/>
  <c r="AJN3" i="6"/>
  <c r="AJN9" i="6"/>
  <c r="AJN10" i="6"/>
  <c r="AJN11" i="6"/>
  <c r="AJN17" i="6"/>
  <c r="AJN18" i="6"/>
  <c r="AJN5" i="6"/>
  <c r="AJB14" i="6"/>
  <c r="AJC12" i="6"/>
  <c r="AJL4" i="6"/>
  <c r="AIW6" i="6"/>
  <c r="AIV7" i="6"/>
  <c r="AJP1" i="6"/>
  <c r="AJO9" i="6"/>
  <c r="AJO10" i="6"/>
  <c r="AIX6" i="6"/>
  <c r="AIW7" i="6"/>
  <c r="AJM4" i="6"/>
  <c r="AJD12" i="6"/>
  <c r="AJC14" i="6"/>
  <c r="AJO5" i="6"/>
  <c r="AJO17" i="6"/>
  <c r="AJO18" i="6"/>
  <c r="AJO11" i="6"/>
  <c r="AJO3" i="6"/>
  <c r="AJQ1" i="6"/>
  <c r="AJP3" i="6"/>
  <c r="AJP9" i="6"/>
  <c r="AJP10" i="6"/>
  <c r="AJP11" i="6"/>
  <c r="AJP17" i="6"/>
  <c r="AJP5" i="6"/>
  <c r="AJE12" i="6"/>
  <c r="AJD14" i="6"/>
  <c r="AJN4" i="6"/>
  <c r="AIY6" i="6"/>
  <c r="AIX7" i="6"/>
  <c r="AJR1" i="6"/>
  <c r="AJQ3" i="6"/>
  <c r="AJP18" i="6"/>
  <c r="AIZ6" i="6"/>
  <c r="AIY7" i="6"/>
  <c r="AJO4" i="6"/>
  <c r="AJE14" i="6"/>
  <c r="AJF12" i="6"/>
  <c r="AJQ5" i="6"/>
  <c r="AJQ17" i="6"/>
  <c r="AJQ18" i="6"/>
  <c r="AJQ11" i="6"/>
  <c r="AJQ9" i="6"/>
  <c r="AJQ10" i="6"/>
  <c r="AJS1" i="6"/>
  <c r="AJG12" i="6"/>
  <c r="AJF14" i="6"/>
  <c r="AJP4" i="6"/>
  <c r="AJA6" i="6"/>
  <c r="AIZ7" i="6"/>
  <c r="AJT1" i="6"/>
  <c r="AJR5" i="6"/>
  <c r="AJR17" i="6"/>
  <c r="AJR18" i="6"/>
  <c r="AJR11" i="6"/>
  <c r="AJR3" i="6"/>
  <c r="AJR9" i="6"/>
  <c r="AJR10" i="6"/>
  <c r="AJB6" i="6"/>
  <c r="AJA7" i="6"/>
  <c r="AJQ4" i="6"/>
  <c r="AJH12" i="6"/>
  <c r="AJG14" i="6"/>
  <c r="AJU1" i="6"/>
  <c r="AJT9" i="6"/>
  <c r="AJT3" i="6"/>
  <c r="AJT11" i="6"/>
  <c r="AJT17" i="6"/>
  <c r="AJT5" i="6"/>
  <c r="AJS5" i="6"/>
  <c r="AJS17" i="6"/>
  <c r="AJS18" i="6"/>
  <c r="AJS11" i="6"/>
  <c r="AJS9" i="6"/>
  <c r="AJS10" i="6"/>
  <c r="AJS3" i="6"/>
  <c r="AJI12" i="6"/>
  <c r="AJH14" i="6"/>
  <c r="AJR4" i="6"/>
  <c r="AJC6" i="6"/>
  <c r="AJB7" i="6"/>
  <c r="AJT18" i="6"/>
  <c r="AJT10" i="6"/>
  <c r="AJV1" i="6"/>
  <c r="AJU9" i="6"/>
  <c r="AJU10" i="6"/>
  <c r="AJU11" i="6"/>
  <c r="AJU17" i="6"/>
  <c r="AJU18" i="6"/>
  <c r="AJU5" i="6"/>
  <c r="AJD6" i="6"/>
  <c r="AJC7" i="6"/>
  <c r="AJS4" i="6"/>
  <c r="AJJ12" i="6"/>
  <c r="AJI14" i="6"/>
  <c r="AJW1" i="6"/>
  <c r="AJV9" i="6"/>
  <c r="AJV10" i="6"/>
  <c r="AJV11" i="6"/>
  <c r="AJV17" i="6"/>
  <c r="AJV18" i="6"/>
  <c r="AJV5" i="6"/>
  <c r="AJU3" i="6"/>
  <c r="AJJ14" i="6"/>
  <c r="AJK12" i="6"/>
  <c r="AJT4" i="6"/>
  <c r="AJE6" i="6"/>
  <c r="AJD7" i="6"/>
  <c r="AJX1" i="6"/>
  <c r="AJW11" i="6"/>
  <c r="AJW17" i="6"/>
  <c r="AJW18" i="6"/>
  <c r="AJW5" i="6"/>
  <c r="AJV3" i="6"/>
  <c r="AJF6" i="6"/>
  <c r="AJE7" i="6"/>
  <c r="AJU4" i="6"/>
  <c r="AJL12" i="6"/>
  <c r="AJK14" i="6"/>
  <c r="AJX9" i="6"/>
  <c r="AJY1" i="6"/>
  <c r="AJX3" i="6"/>
  <c r="AJX11" i="6"/>
  <c r="AJX17" i="6"/>
  <c r="AJX18" i="6"/>
  <c r="AJX5" i="6"/>
  <c r="AJW9" i="6"/>
  <c r="AJW10" i="6"/>
  <c r="AJW3" i="6"/>
  <c r="AJM12" i="6"/>
  <c r="AJL14" i="6"/>
  <c r="AJV4" i="6"/>
  <c r="AJG6" i="6"/>
  <c r="AJF7" i="6"/>
  <c r="AJX10" i="6"/>
  <c r="AJZ1" i="6"/>
  <c r="AJY9" i="6"/>
  <c r="AJY11" i="6"/>
  <c r="AJY17" i="6"/>
  <c r="AJY18" i="6"/>
  <c r="AJY5" i="6"/>
  <c r="AJH6" i="6"/>
  <c r="AJG7" i="6"/>
  <c r="AJW4" i="6"/>
  <c r="AJM14" i="6"/>
  <c r="AJN12" i="6"/>
  <c r="AKA1" i="6"/>
  <c r="AJZ3" i="6"/>
  <c r="AJZ9" i="6"/>
  <c r="AJZ11" i="6"/>
  <c r="AJZ17" i="6"/>
  <c r="AJZ18" i="6"/>
  <c r="AJZ5" i="6"/>
  <c r="AJY3" i="6"/>
  <c r="AJY10" i="6"/>
  <c r="AJN14" i="6"/>
  <c r="AJO12" i="6"/>
  <c r="AJX4" i="6"/>
  <c r="AJI6" i="6"/>
  <c r="AJH7" i="6"/>
  <c r="AJZ10" i="6"/>
  <c r="AKB1" i="6"/>
  <c r="AKA9" i="6"/>
  <c r="AKA3" i="6"/>
  <c r="AKA11" i="6"/>
  <c r="AKA17" i="6"/>
  <c r="AKA18" i="6"/>
  <c r="AKA5" i="6"/>
  <c r="AJJ6" i="6"/>
  <c r="AJI7" i="6"/>
  <c r="AJY4" i="6"/>
  <c r="AJP12" i="6"/>
  <c r="AJO14" i="6"/>
  <c r="AKA10" i="6"/>
  <c r="AKC1" i="6"/>
  <c r="AKB3" i="6"/>
  <c r="AKB9" i="6"/>
  <c r="AKB10" i="6"/>
  <c r="AKB11" i="6"/>
  <c r="AKB17" i="6"/>
  <c r="AKB18" i="6"/>
  <c r="AKB5" i="6"/>
  <c r="AJP14" i="6"/>
  <c r="AJQ12" i="6"/>
  <c r="AJZ4" i="6"/>
  <c r="AJK6" i="6"/>
  <c r="AJJ7" i="6"/>
  <c r="AKD1" i="6"/>
  <c r="AKC9" i="6"/>
  <c r="AKC10" i="6"/>
  <c r="AKC3" i="6"/>
  <c r="AKC11" i="6"/>
  <c r="AKC17" i="6"/>
  <c r="AKC18" i="6"/>
  <c r="AKC5" i="6"/>
  <c r="AJL6" i="6"/>
  <c r="AJK7" i="6"/>
  <c r="AKA4" i="6"/>
  <c r="AJQ14" i="6"/>
  <c r="AJR12" i="6"/>
  <c r="AKE1" i="6"/>
  <c r="AKD3" i="6"/>
  <c r="AKD9" i="6"/>
  <c r="AKD10" i="6"/>
  <c r="AKD11" i="6"/>
  <c r="AKD17" i="6"/>
  <c r="AKD18" i="6"/>
  <c r="AKD5" i="6"/>
  <c r="AJS12" i="6"/>
  <c r="AJR14" i="6"/>
  <c r="AKB4" i="6"/>
  <c r="AJM6" i="6"/>
  <c r="AJL7" i="6"/>
  <c r="AKF1" i="6"/>
  <c r="AKE3" i="6"/>
  <c r="AKE9" i="6"/>
  <c r="AKE10" i="6"/>
  <c r="AKE11" i="6"/>
  <c r="AKE17" i="6"/>
  <c r="AKE18" i="6"/>
  <c r="AKE5" i="6"/>
  <c r="AJN6" i="6"/>
  <c r="AJM7" i="6"/>
  <c r="AKC4" i="6"/>
  <c r="AJS14" i="6"/>
  <c r="AJT12" i="6"/>
  <c r="AKG1" i="6"/>
  <c r="AKF3" i="6"/>
  <c r="AKF11" i="6"/>
  <c r="AKF17" i="6"/>
  <c r="AKF18" i="6"/>
  <c r="AKF5" i="6"/>
  <c r="AJU12" i="6"/>
  <c r="AJT14" i="6"/>
  <c r="AKD4" i="6"/>
  <c r="AJO6" i="6"/>
  <c r="AJN7" i="6"/>
  <c r="AKH1" i="6"/>
  <c r="AKG9" i="6"/>
  <c r="AKG3" i="6"/>
  <c r="AKG11" i="6"/>
  <c r="AKG17" i="6"/>
  <c r="AKG18" i="6"/>
  <c r="AKG5" i="6"/>
  <c r="AKF9" i="6"/>
  <c r="AKF10" i="6"/>
  <c r="AKG10" i="6"/>
  <c r="AJP6" i="6"/>
  <c r="AJO7" i="6"/>
  <c r="AKE4" i="6"/>
  <c r="AJV12" i="6"/>
  <c r="AJU14" i="6"/>
  <c r="AKI1" i="6"/>
  <c r="AKH3" i="6"/>
  <c r="AKH9" i="6"/>
  <c r="AKH10" i="6"/>
  <c r="AKH11" i="6"/>
  <c r="AKH17" i="6"/>
  <c r="AKH18" i="6"/>
  <c r="AKH5" i="6"/>
  <c r="AJW12" i="6"/>
  <c r="AJV14" i="6"/>
  <c r="AKF4" i="6"/>
  <c r="AJQ6" i="6"/>
  <c r="AJP7" i="6"/>
  <c r="AKJ1" i="6"/>
  <c r="AKI3" i="6"/>
  <c r="AKI9" i="6"/>
  <c r="AKI10" i="6"/>
  <c r="AKI11" i="6"/>
  <c r="AKI17" i="6"/>
  <c r="AKI18" i="6"/>
  <c r="AKI5" i="6"/>
  <c r="AJR6" i="6"/>
  <c r="AJQ7" i="6"/>
  <c r="AKG4" i="6"/>
  <c r="AJW14" i="6"/>
  <c r="AJX12" i="6"/>
  <c r="AKK1" i="6"/>
  <c r="AKJ11" i="6"/>
  <c r="AKJ17" i="6"/>
  <c r="AKJ18" i="6"/>
  <c r="AKJ5" i="6"/>
  <c r="AJX14" i="6"/>
  <c r="AJY12" i="6"/>
  <c r="AKH4" i="6"/>
  <c r="AJS6" i="6"/>
  <c r="AJR7" i="6"/>
  <c r="AKL1" i="6"/>
  <c r="AKK9" i="6"/>
  <c r="AKK11" i="6"/>
  <c r="AKK17" i="6"/>
  <c r="AKK18" i="6"/>
  <c r="AKK5" i="6"/>
  <c r="AKJ9" i="6"/>
  <c r="AKJ10" i="6"/>
  <c r="AKJ3" i="6"/>
  <c r="AJT6" i="6"/>
  <c r="AJS7" i="6"/>
  <c r="AKI4" i="6"/>
  <c r="AJZ12" i="6"/>
  <c r="AJY14" i="6"/>
  <c r="AKK10" i="6"/>
  <c r="AKM1" i="6"/>
  <c r="AKL9" i="6"/>
  <c r="AKL10" i="6"/>
  <c r="AKL3" i="6"/>
  <c r="AKL11" i="6"/>
  <c r="AKL17" i="6"/>
  <c r="AKL18" i="6"/>
  <c r="AKL5" i="6"/>
  <c r="AKK3" i="6"/>
  <c r="AJZ14" i="6"/>
  <c r="AKA12" i="6"/>
  <c r="AKJ4" i="6"/>
  <c r="AJU6" i="6"/>
  <c r="AJT7" i="6"/>
  <c r="AKN1" i="6"/>
  <c r="AKM3" i="6"/>
  <c r="AKM9" i="6"/>
  <c r="AKM10" i="6"/>
  <c r="AKM11" i="6"/>
  <c r="AKM17" i="6"/>
  <c r="AKM18" i="6"/>
  <c r="AKM5" i="6"/>
  <c r="AJV6" i="6"/>
  <c r="AJU7" i="6"/>
  <c r="AKK4" i="6"/>
  <c r="AKB12" i="6"/>
  <c r="AKA14" i="6"/>
  <c r="AKO1" i="6"/>
  <c r="AKN3" i="6"/>
  <c r="AKN9" i="6"/>
  <c r="AKN10" i="6"/>
  <c r="AKN11" i="6"/>
  <c r="AKN17" i="6"/>
  <c r="AKN18" i="6"/>
  <c r="AKN5" i="6"/>
  <c r="AKC12" i="6"/>
  <c r="AKB14" i="6"/>
  <c r="AKL4" i="6"/>
  <c r="AJW6" i="6"/>
  <c r="AJV7" i="6"/>
  <c r="AKP1" i="6"/>
  <c r="AKO3" i="6"/>
  <c r="AKO9" i="6"/>
  <c r="AKO10" i="6"/>
  <c r="AKO11" i="6"/>
  <c r="AKO17" i="6"/>
  <c r="AKO18" i="6"/>
  <c r="AKO5" i="6"/>
  <c r="AJX6" i="6"/>
  <c r="AJW7" i="6"/>
  <c r="AKM4" i="6"/>
  <c r="AKD12" i="6"/>
  <c r="AKC14" i="6"/>
  <c r="AKQ1" i="6"/>
  <c r="AKP3" i="6"/>
  <c r="AKP9" i="6"/>
  <c r="AKP10" i="6"/>
  <c r="AKP11" i="6"/>
  <c r="AKP17" i="6"/>
  <c r="AKP18" i="6"/>
  <c r="AKP5" i="6"/>
  <c r="AKE12" i="6"/>
  <c r="AKD14" i="6"/>
  <c r="AKN4" i="6"/>
  <c r="AJY6" i="6"/>
  <c r="AJX7" i="6"/>
  <c r="AKR1" i="6"/>
  <c r="AKQ3" i="6"/>
  <c r="AKQ9" i="6"/>
  <c r="AKQ10" i="6"/>
  <c r="AKQ11" i="6"/>
  <c r="AKQ17" i="6"/>
  <c r="AKQ18" i="6"/>
  <c r="AKQ5" i="6"/>
  <c r="AJZ6" i="6"/>
  <c r="AJY7" i="6"/>
  <c r="AKO4" i="6"/>
  <c r="AKE14" i="6"/>
  <c r="AKF12" i="6"/>
  <c r="AKS1" i="6"/>
  <c r="AKR3" i="6"/>
  <c r="AKR9" i="6"/>
  <c r="AKR10" i="6"/>
  <c r="AKR11" i="6"/>
  <c r="AKR17" i="6"/>
  <c r="AKR18" i="6"/>
  <c r="AKR5" i="6"/>
  <c r="AKG12" i="6"/>
  <c r="AKF14" i="6"/>
  <c r="AKP4" i="6"/>
  <c r="AKA6" i="6"/>
  <c r="AJZ7" i="6"/>
  <c r="AKT1" i="6"/>
  <c r="AKS9" i="6"/>
  <c r="AKS10" i="6"/>
  <c r="AKS11" i="6"/>
  <c r="AKS17" i="6"/>
  <c r="AKS18" i="6"/>
  <c r="AKS5" i="6"/>
  <c r="AKB6" i="6"/>
  <c r="AKA7" i="6"/>
  <c r="AKQ4" i="6"/>
  <c r="AKG14" i="6"/>
  <c r="AKH12" i="6"/>
  <c r="AKU1" i="6"/>
  <c r="AKT9" i="6"/>
  <c r="AKT10" i="6"/>
  <c r="AKT3" i="6"/>
  <c r="AKT11" i="6"/>
  <c r="AKT17" i="6"/>
  <c r="AKT18" i="6"/>
  <c r="AKT5" i="6"/>
  <c r="AKS3" i="6"/>
  <c r="AKH14" i="6"/>
  <c r="AKI12" i="6"/>
  <c r="AKR4" i="6"/>
  <c r="AKC6" i="6"/>
  <c r="AKB7" i="6"/>
  <c r="AKV1" i="6"/>
  <c r="AKU9" i="6"/>
  <c r="AKU10" i="6"/>
  <c r="AKU11" i="6"/>
  <c r="AKU17" i="6"/>
  <c r="AKU18" i="6"/>
  <c r="AKU5" i="6"/>
  <c r="AKD6" i="6"/>
  <c r="AKC7" i="6"/>
  <c r="AKS4" i="6"/>
  <c r="AKJ12" i="6"/>
  <c r="AKI14" i="6"/>
  <c r="AKW1" i="6"/>
  <c r="AKV3" i="6"/>
  <c r="AKV9" i="6"/>
  <c r="AKV10" i="6"/>
  <c r="AKV11" i="6"/>
  <c r="AKV17" i="6"/>
  <c r="AKV18" i="6"/>
  <c r="AKV5" i="6"/>
  <c r="AKU3" i="6"/>
  <c r="AKK12" i="6"/>
  <c r="AKJ14" i="6"/>
  <c r="AKT4" i="6"/>
  <c r="AKE6" i="6"/>
  <c r="AKD7" i="6"/>
  <c r="AKX1" i="6"/>
  <c r="AKW9" i="6"/>
  <c r="AKW10" i="6"/>
  <c r="AKW3" i="6"/>
  <c r="AKW11" i="6"/>
  <c r="AKW17" i="6"/>
  <c r="AKW18" i="6"/>
  <c r="AKW5" i="6"/>
  <c r="AKF6" i="6"/>
  <c r="AKE7" i="6"/>
  <c r="AKU4" i="6"/>
  <c r="AKK14" i="6"/>
  <c r="AKL12" i="6"/>
  <c r="AKY1" i="6"/>
  <c r="AKL14" i="6"/>
  <c r="AKM12" i="6"/>
  <c r="AKV4" i="6"/>
  <c r="AKG6" i="6"/>
  <c r="AKF7" i="6"/>
  <c r="AKZ1" i="6"/>
  <c r="AKY3" i="6"/>
  <c r="AKX5" i="6"/>
  <c r="AKX17" i="6"/>
  <c r="AKX18" i="6"/>
  <c r="AKX11" i="6"/>
  <c r="AKX9" i="6"/>
  <c r="AKX10" i="6"/>
  <c r="AKX3" i="6"/>
  <c r="AKH6" i="6"/>
  <c r="AKG7" i="6"/>
  <c r="AKW4" i="6"/>
  <c r="AKN12" i="6"/>
  <c r="AKM14" i="6"/>
  <c r="AKY5" i="6"/>
  <c r="AKY17" i="6"/>
  <c r="AKY18" i="6"/>
  <c r="AKY11" i="6"/>
  <c r="AKY9" i="6"/>
  <c r="AKY10" i="6"/>
  <c r="ALA1" i="6"/>
  <c r="AKZ3" i="6"/>
  <c r="AKO12" i="6"/>
  <c r="AKN14" i="6"/>
  <c r="AKX4" i="6"/>
  <c r="AKI6" i="6"/>
  <c r="AKH7" i="6"/>
  <c r="AKZ5" i="6"/>
  <c r="AKZ17" i="6"/>
  <c r="AKZ18" i="6"/>
  <c r="AKZ11" i="6"/>
  <c r="AKZ9" i="6"/>
  <c r="AKZ10" i="6"/>
  <c r="ALB1" i="6"/>
  <c r="ALA3" i="6"/>
  <c r="ALA9" i="6"/>
  <c r="ALA11" i="6"/>
  <c r="ALA17" i="6"/>
  <c r="ALA5" i="6"/>
  <c r="AKJ6" i="6"/>
  <c r="AKI7" i="6"/>
  <c r="AKY4" i="6"/>
  <c r="AKP12" i="6"/>
  <c r="AKO14" i="6"/>
  <c r="ALA10" i="6"/>
  <c r="ALC1" i="6"/>
  <c r="ALB3" i="6"/>
  <c r="ALB9" i="6"/>
  <c r="ALB10" i="6"/>
  <c r="ALB11" i="6"/>
  <c r="ALB17" i="6"/>
  <c r="ALB5" i="6"/>
  <c r="ALA18" i="6"/>
  <c r="AKQ12" i="6"/>
  <c r="AKP14" i="6"/>
  <c r="AKZ4" i="6"/>
  <c r="AKK6" i="6"/>
  <c r="AKJ7" i="6"/>
  <c r="ALB18" i="6"/>
  <c r="ALD1" i="6"/>
  <c r="ALC3" i="6"/>
  <c r="ALC9" i="6"/>
  <c r="ALC10" i="6"/>
  <c r="ALC11" i="6"/>
  <c r="ALC17" i="6"/>
  <c r="ALC5" i="6"/>
  <c r="AKL6" i="6"/>
  <c r="AKK7" i="6"/>
  <c r="ALA4" i="6"/>
  <c r="AKR12" i="6"/>
  <c r="AKQ14" i="6"/>
  <c r="ALE1" i="6"/>
  <c r="ALD3" i="6"/>
  <c r="ALD9" i="6"/>
  <c r="ALD10" i="6"/>
  <c r="ALD11" i="6"/>
  <c r="ALD17" i="6"/>
  <c r="ALD5" i="6"/>
  <c r="ALC18" i="6"/>
  <c r="AKR14" i="6"/>
  <c r="AKS12" i="6"/>
  <c r="ALB4" i="6"/>
  <c r="AKM6" i="6"/>
  <c r="AKL7" i="6"/>
  <c r="ALD18" i="6"/>
  <c r="ALF1" i="6"/>
  <c r="ALE3" i="6"/>
  <c r="ALE9" i="6"/>
  <c r="ALE10" i="6"/>
  <c r="ALE11" i="6"/>
  <c r="ALE17" i="6"/>
  <c r="ALE18" i="6"/>
  <c r="ALE5" i="6"/>
  <c r="AKN6" i="6"/>
  <c r="AKM7" i="6"/>
  <c r="ALC4" i="6"/>
  <c r="AKT12" i="6"/>
  <c r="AKS14" i="6"/>
  <c r="ALG1" i="6"/>
  <c r="ALF3" i="6"/>
  <c r="ALF9" i="6"/>
  <c r="ALF10" i="6"/>
  <c r="ALF11" i="6"/>
  <c r="ALF17" i="6"/>
  <c r="ALF18" i="6"/>
  <c r="ALF5" i="6"/>
  <c r="AKT14" i="6"/>
  <c r="AKU12" i="6"/>
  <c r="ALD4" i="6"/>
  <c r="AKO6" i="6"/>
  <c r="AKN7" i="6"/>
  <c r="ALH1" i="6"/>
  <c r="ALG9" i="6"/>
  <c r="ALG10" i="6"/>
  <c r="ALG11" i="6"/>
  <c r="ALG17" i="6"/>
  <c r="ALG18" i="6"/>
  <c r="ALG5" i="6"/>
  <c r="AKP6" i="6"/>
  <c r="AKO7" i="6"/>
  <c r="ALE4" i="6"/>
  <c r="AKV12" i="6"/>
  <c r="AKU14" i="6"/>
  <c r="ALI1" i="6"/>
  <c r="ALH3" i="6"/>
  <c r="ALH11" i="6"/>
  <c r="ALH17" i="6"/>
  <c r="ALH18" i="6"/>
  <c r="ALH5" i="6"/>
  <c r="ALG3" i="6"/>
  <c r="AKW12" i="6"/>
  <c r="AKV14" i="6"/>
  <c r="ALF4" i="6"/>
  <c r="AKQ6" i="6"/>
  <c r="AKP7" i="6"/>
  <c r="ALJ1" i="6"/>
  <c r="ALI9" i="6"/>
  <c r="ALI3" i="6"/>
  <c r="ALI11" i="6"/>
  <c r="ALI17" i="6"/>
  <c r="ALI18" i="6"/>
  <c r="ALI5" i="6"/>
  <c r="ALH9" i="6"/>
  <c r="ALH10" i="6"/>
  <c r="AKR6" i="6"/>
  <c r="AKQ7" i="6"/>
  <c r="ALG4" i="6"/>
  <c r="AKW14" i="6"/>
  <c r="AKX12" i="6"/>
  <c r="ALI10" i="6"/>
  <c r="ALK1" i="6"/>
  <c r="ALJ9" i="6"/>
  <c r="ALJ10" i="6"/>
  <c r="ALJ11" i="6"/>
  <c r="ALJ17" i="6"/>
  <c r="ALJ18" i="6"/>
  <c r="ALJ5" i="6"/>
  <c r="AKY12" i="6"/>
  <c r="AKX14" i="6"/>
  <c r="ALH4" i="6"/>
  <c r="AKS6" i="6"/>
  <c r="AKR7" i="6"/>
  <c r="ALL1" i="6"/>
  <c r="ALK11" i="6"/>
  <c r="ALK17" i="6"/>
  <c r="ALK18" i="6"/>
  <c r="ALK5" i="6"/>
  <c r="ALJ3" i="6"/>
  <c r="AKT6" i="6"/>
  <c r="AKS7" i="6"/>
  <c r="ALI4" i="6"/>
  <c r="AKZ12" i="6"/>
  <c r="AKY14" i="6"/>
  <c r="ALM1" i="6"/>
  <c r="ALL5" i="6"/>
  <c r="ALL11" i="6"/>
  <c r="ALL17" i="6"/>
  <c r="ALL18" i="6"/>
  <c r="ALK3" i="6"/>
  <c r="ALK9" i="6"/>
  <c r="ALK10" i="6"/>
  <c r="ALA12" i="6"/>
  <c r="AKZ14" i="6"/>
  <c r="ALJ4" i="6"/>
  <c r="AKU6" i="6"/>
  <c r="AKT7" i="6"/>
  <c r="ALN1" i="6"/>
  <c r="ALM3" i="6"/>
  <c r="ALM9" i="6"/>
  <c r="ALM11" i="6"/>
  <c r="ALM17" i="6"/>
  <c r="ALM18" i="6"/>
  <c r="ALM5" i="6"/>
  <c r="ALL3" i="6"/>
  <c r="ALL9" i="6"/>
  <c r="ALL10" i="6"/>
  <c r="AKV6" i="6"/>
  <c r="AKU7" i="6"/>
  <c r="ALK4" i="6"/>
  <c r="ALB12" i="6"/>
  <c r="ALA14" i="6"/>
  <c r="ALM10" i="6"/>
  <c r="ALO1" i="6"/>
  <c r="ALN3" i="6"/>
  <c r="ALN9" i="6"/>
  <c r="ALN10" i="6"/>
  <c r="ALN11" i="6"/>
  <c r="ALN17" i="6"/>
  <c r="ALN18" i="6"/>
  <c r="ALN5" i="6"/>
  <c r="ALC12" i="6"/>
  <c r="ALB14" i="6"/>
  <c r="ALL4" i="6"/>
  <c r="AKW6" i="6"/>
  <c r="AKV7" i="6"/>
  <c r="ALP1" i="6"/>
  <c r="ALO3" i="6"/>
  <c r="ALO9" i="6"/>
  <c r="ALO10" i="6"/>
  <c r="ALO11" i="6"/>
  <c r="ALO17" i="6"/>
  <c r="ALO18" i="6"/>
  <c r="ALO5" i="6"/>
  <c r="AKX6" i="6"/>
  <c r="AKW7" i="6"/>
  <c r="ALM4" i="6"/>
  <c r="ALC14" i="6"/>
  <c r="ALD12" i="6"/>
  <c r="ALQ1" i="6"/>
  <c r="ALP9" i="6"/>
  <c r="ALP10" i="6"/>
  <c r="ALD14" i="6"/>
  <c r="ALE12" i="6"/>
  <c r="ALN4" i="6"/>
  <c r="AKY6" i="6"/>
  <c r="AKX7" i="6"/>
  <c r="ALP3" i="6"/>
  <c r="ALP5" i="6"/>
  <c r="ALP17" i="6"/>
  <c r="ALP18" i="6"/>
  <c r="ALP11" i="6"/>
  <c r="ALR1" i="6"/>
  <c r="ALQ3" i="6"/>
  <c r="ALQ9" i="6"/>
  <c r="ALQ10" i="6"/>
  <c r="ALQ11" i="6"/>
  <c r="ALQ17" i="6"/>
  <c r="ALQ5" i="6"/>
  <c r="AKZ6" i="6"/>
  <c r="AKY7" i="6"/>
  <c r="ALO4" i="6"/>
  <c r="ALF12" i="6"/>
  <c r="ALE14" i="6"/>
  <c r="ALQ18" i="6"/>
  <c r="ALS1" i="6"/>
  <c r="ALR11" i="6"/>
  <c r="ALR17" i="6"/>
  <c r="ALR18" i="6"/>
  <c r="ALR5" i="6"/>
  <c r="ALG12" i="6"/>
  <c r="ALF14" i="6"/>
  <c r="ALP4" i="6"/>
  <c r="ALA6" i="6"/>
  <c r="AKZ7" i="6"/>
  <c r="ALT1" i="6"/>
  <c r="ALS3" i="6"/>
  <c r="ALS9" i="6"/>
  <c r="ALS11" i="6"/>
  <c r="ALS17" i="6"/>
  <c r="ALS18" i="6"/>
  <c r="ALS5" i="6"/>
  <c r="ALR9" i="6"/>
  <c r="ALR10" i="6"/>
  <c r="ALR3" i="6"/>
  <c r="ALB6" i="6"/>
  <c r="ALA7" i="6"/>
  <c r="ALQ4" i="6"/>
  <c r="ALG14" i="6"/>
  <c r="ALH12" i="6"/>
  <c r="ALS10" i="6"/>
  <c r="ALU1" i="6"/>
  <c r="ALT3" i="6"/>
  <c r="ALT9" i="6"/>
  <c r="ALT10" i="6"/>
  <c r="ALT11" i="6"/>
  <c r="ALT17" i="6"/>
  <c r="ALT18" i="6"/>
  <c r="ALT5" i="6"/>
  <c r="ALH14" i="6"/>
  <c r="ALI12" i="6"/>
  <c r="ALR4" i="6"/>
  <c r="ALC6" i="6"/>
  <c r="ALB7" i="6"/>
  <c r="ALV1" i="6"/>
  <c r="ALU9" i="6"/>
  <c r="ALU10" i="6"/>
  <c r="ALU11" i="6"/>
  <c r="ALU17" i="6"/>
  <c r="ALU18" i="6"/>
  <c r="ALU5" i="6"/>
  <c r="ALD6" i="6"/>
  <c r="ALC7" i="6"/>
  <c r="ALS4" i="6"/>
  <c r="ALJ12" i="6"/>
  <c r="ALI14" i="6"/>
  <c r="ALW1" i="6"/>
  <c r="ALV9" i="6"/>
  <c r="ALV10" i="6"/>
  <c r="ALV3" i="6"/>
  <c r="ALV11" i="6"/>
  <c r="ALV17" i="6"/>
  <c r="ALV18" i="6"/>
  <c r="ALV5" i="6"/>
  <c r="ALU3" i="6"/>
  <c r="ALJ14" i="6"/>
  <c r="ALK12" i="6"/>
  <c r="ALT4" i="6"/>
  <c r="ALE6" i="6"/>
  <c r="ALD7" i="6"/>
  <c r="ALX1" i="6"/>
  <c r="ALW9" i="6"/>
  <c r="ALW10" i="6"/>
  <c r="ALW11" i="6"/>
  <c r="ALW17" i="6"/>
  <c r="ALW18" i="6"/>
  <c r="ALW5" i="6"/>
  <c r="ALF6" i="6"/>
  <c r="ALE7" i="6"/>
  <c r="ALU4" i="6"/>
  <c r="ALL12" i="6"/>
  <c r="ALK14" i="6"/>
  <c r="ALY1" i="6"/>
  <c r="ALX3" i="6"/>
  <c r="ALX9" i="6"/>
  <c r="ALX10" i="6"/>
  <c r="ALX11" i="6"/>
  <c r="ALX17" i="6"/>
  <c r="ALX18" i="6"/>
  <c r="ALX5" i="6"/>
  <c r="ALW3" i="6"/>
  <c r="ALL14" i="6"/>
  <c r="ALM12" i="6"/>
  <c r="ALV4" i="6"/>
  <c r="ALG6" i="6"/>
  <c r="ALF7" i="6"/>
  <c r="ALZ1" i="6"/>
  <c r="ALY3" i="6"/>
  <c r="ALY9" i="6"/>
  <c r="ALY10" i="6"/>
  <c r="ALY11" i="6"/>
  <c r="ALY17" i="6"/>
  <c r="ALY18" i="6"/>
  <c r="ALY5" i="6"/>
  <c r="ALH6" i="6"/>
  <c r="ALG7" i="6"/>
  <c r="ALW4" i="6"/>
  <c r="ALN12" i="6"/>
  <c r="ALM14" i="6"/>
  <c r="AMA1" i="6"/>
  <c r="ALZ9" i="6"/>
  <c r="ALZ10" i="6"/>
  <c r="ALZ3" i="6"/>
  <c r="ALZ11" i="6"/>
  <c r="ALZ17" i="6"/>
  <c r="ALZ18" i="6"/>
  <c r="ALZ5" i="6"/>
  <c r="ALO12" i="6"/>
  <c r="ALN14" i="6"/>
  <c r="ALX4" i="6"/>
  <c r="ALI6" i="6"/>
  <c r="ALH7" i="6"/>
  <c r="AMB1" i="6"/>
  <c r="AMA3" i="6"/>
  <c r="AMA9" i="6"/>
  <c r="AMA10" i="6"/>
  <c r="AMA11" i="6"/>
  <c r="AMA17" i="6"/>
  <c r="AMA18" i="6"/>
  <c r="AMA5" i="6"/>
  <c r="ALJ6" i="6"/>
  <c r="ALI7" i="6"/>
  <c r="ALY4" i="6"/>
  <c r="ALO14" i="6"/>
  <c r="ALP12" i="6"/>
  <c r="AMC1" i="6"/>
  <c r="AMB9" i="6"/>
  <c r="AMB10" i="6"/>
  <c r="AMB11" i="6"/>
  <c r="AMB17" i="6"/>
  <c r="AMB18" i="6"/>
  <c r="AMB5" i="6"/>
  <c r="ALQ12" i="6"/>
  <c r="ALP14" i="6"/>
  <c r="ALZ4" i="6"/>
  <c r="ALK6" i="6"/>
  <c r="ALJ7" i="6"/>
  <c r="AMD1" i="6"/>
  <c r="AMC3" i="6"/>
  <c r="AMC9" i="6"/>
  <c r="AMC10" i="6"/>
  <c r="AMC11" i="6"/>
  <c r="AMC17" i="6"/>
  <c r="AMC18" i="6"/>
  <c r="AMC5" i="6"/>
  <c r="AMB3" i="6"/>
  <c r="ALL6" i="6"/>
  <c r="ALK7" i="6"/>
  <c r="AMA4" i="6"/>
  <c r="ALR12" i="6"/>
  <c r="ALQ14" i="6"/>
  <c r="AME1" i="6"/>
  <c r="AMD3" i="6"/>
  <c r="AMD9" i="6"/>
  <c r="AMD10" i="6"/>
  <c r="AMD11" i="6"/>
  <c r="AMD17" i="6"/>
  <c r="AMD18" i="6"/>
  <c r="AMD5" i="6"/>
  <c r="ALS12" i="6"/>
  <c r="ALR14" i="6"/>
  <c r="AMB4" i="6"/>
  <c r="ALM6" i="6"/>
  <c r="ALL7" i="6"/>
  <c r="AMF1" i="6"/>
  <c r="AME3" i="6"/>
  <c r="AME9" i="6"/>
  <c r="AME10" i="6"/>
  <c r="AME11" i="6"/>
  <c r="AME17" i="6"/>
  <c r="AME18" i="6"/>
  <c r="AME5" i="6"/>
  <c r="ALN6" i="6"/>
  <c r="ALM7" i="6"/>
  <c r="AMC4" i="6"/>
  <c r="ALS14" i="6"/>
  <c r="ALT12" i="6"/>
  <c r="AMG1" i="6"/>
  <c r="AMF9" i="6"/>
  <c r="AMF10" i="6"/>
  <c r="AMF3" i="6"/>
  <c r="AMF11" i="6"/>
  <c r="AMF17" i="6"/>
  <c r="AMF18" i="6"/>
  <c r="AMF5" i="6"/>
  <c r="ALT14" i="6"/>
  <c r="ALU12" i="6"/>
  <c r="AMD4" i="6"/>
  <c r="ALO6" i="6"/>
  <c r="ALN7" i="6"/>
  <c r="AMH1" i="6"/>
  <c r="AMG3" i="6"/>
  <c r="AMG9" i="6"/>
  <c r="AMG10" i="6"/>
  <c r="AMG11" i="6"/>
  <c r="AMG17" i="6"/>
  <c r="AMG18" i="6"/>
  <c r="AMG5" i="6"/>
  <c r="ALP6" i="6"/>
  <c r="ALO7" i="6"/>
  <c r="AME4" i="6"/>
  <c r="ALU14" i="6"/>
  <c r="ALV12" i="6"/>
  <c r="AMI1" i="6"/>
  <c r="AMH3" i="6"/>
  <c r="AMH9" i="6"/>
  <c r="AMH10" i="6"/>
  <c r="AMH11" i="6"/>
  <c r="AMH17" i="6"/>
  <c r="AMH18" i="6"/>
  <c r="AMH5" i="6"/>
  <c r="ALV14" i="6"/>
  <c r="ALW12" i="6"/>
  <c r="AMF4" i="6"/>
  <c r="ALQ6" i="6"/>
  <c r="ALP7" i="6"/>
  <c r="AMJ1" i="6"/>
  <c r="AMI9" i="6"/>
  <c r="AMI10" i="6"/>
  <c r="AMI3" i="6"/>
  <c r="AMI11" i="6"/>
  <c r="AMI17" i="6"/>
  <c r="AMI18" i="6"/>
  <c r="AMI5" i="6"/>
  <c r="ALR6" i="6"/>
  <c r="ALQ7" i="6"/>
  <c r="AMG4" i="6"/>
  <c r="ALX12" i="6"/>
  <c r="ALW14" i="6"/>
  <c r="AMK1" i="6"/>
  <c r="AMJ9" i="6"/>
  <c r="AMJ10" i="6"/>
  <c r="AMJ11" i="6"/>
  <c r="AMJ17" i="6"/>
  <c r="AMJ18" i="6"/>
  <c r="AMJ5" i="6"/>
  <c r="ALY12" i="6"/>
  <c r="ALX14" i="6"/>
  <c r="AMH4" i="6"/>
  <c r="ALS6" i="6"/>
  <c r="ALR7" i="6"/>
  <c r="AML1" i="6"/>
  <c r="AMK9" i="6"/>
  <c r="AMK10" i="6"/>
  <c r="AMK3" i="6"/>
  <c r="AMK11" i="6"/>
  <c r="AMK17" i="6"/>
  <c r="AMK18" i="6"/>
  <c r="AMK5" i="6"/>
  <c r="AMJ3" i="6"/>
  <c r="ALT6" i="6"/>
  <c r="ALS7" i="6"/>
  <c r="AMI4" i="6"/>
  <c r="ALZ12" i="6"/>
  <c r="ALY14" i="6"/>
  <c r="AMM1" i="6"/>
  <c r="AML17" i="6"/>
  <c r="AML18" i="6"/>
  <c r="AML9" i="6"/>
  <c r="AML10" i="6"/>
  <c r="ALZ14" i="6"/>
  <c r="AMA12" i="6"/>
  <c r="AMJ4" i="6"/>
  <c r="ALU6" i="6"/>
  <c r="ALT7" i="6"/>
  <c r="AML3" i="6"/>
  <c r="AMN1" i="6"/>
  <c r="AMM3" i="6"/>
  <c r="AMM11" i="6"/>
  <c r="AMM17" i="6"/>
  <c r="AMM18" i="6"/>
  <c r="AMM5" i="6"/>
  <c r="AML5" i="6"/>
  <c r="AML11" i="6"/>
  <c r="ALV6" i="6"/>
  <c r="ALU7" i="6"/>
  <c r="AMK4" i="6"/>
  <c r="AMB12" i="6"/>
  <c r="AMA14" i="6"/>
  <c r="AMO1" i="6"/>
  <c r="AMM9" i="6"/>
  <c r="AMM10" i="6"/>
  <c r="AMB14" i="6"/>
  <c r="AMC12" i="6"/>
  <c r="AML4" i="6"/>
  <c r="ALW6" i="6"/>
  <c r="ALV7" i="6"/>
  <c r="AMP1" i="6"/>
  <c r="AMO11" i="6"/>
  <c r="AMO17" i="6"/>
  <c r="AMO5" i="6"/>
  <c r="AMN3" i="6"/>
  <c r="AMN5" i="6"/>
  <c r="AMN17" i="6"/>
  <c r="AMN18" i="6"/>
  <c r="AMN11" i="6"/>
  <c r="AMN9" i="6"/>
  <c r="AMN10" i="6"/>
  <c r="ALX6" i="6"/>
  <c r="ALW7" i="6"/>
  <c r="AMM4" i="6"/>
  <c r="AMD12" i="6"/>
  <c r="AMC14" i="6"/>
  <c r="AMO18" i="6"/>
  <c r="AMQ1" i="6"/>
  <c r="AMP3" i="6"/>
  <c r="AMP9" i="6"/>
  <c r="AMP11" i="6"/>
  <c r="AMP17" i="6"/>
  <c r="AMP18" i="6"/>
  <c r="AMP5" i="6"/>
  <c r="AMO9" i="6"/>
  <c r="AMO10" i="6"/>
  <c r="AMO3" i="6"/>
  <c r="AME12" i="6"/>
  <c r="AMD14" i="6"/>
  <c r="AMN4" i="6"/>
  <c r="ALY6" i="6"/>
  <c r="ALX7" i="6"/>
  <c r="AMP10" i="6"/>
  <c r="AMR1" i="6"/>
  <c r="AMQ3" i="6"/>
  <c r="AMQ9" i="6"/>
  <c r="AMQ11" i="6"/>
  <c r="AMQ17" i="6"/>
  <c r="AMQ18" i="6"/>
  <c r="AMQ5" i="6"/>
  <c r="ALZ6" i="6"/>
  <c r="ALY7" i="6"/>
  <c r="AMO4" i="6"/>
  <c r="AMF12" i="6"/>
  <c r="AME14" i="6"/>
  <c r="AMQ10" i="6"/>
  <c r="AMS1" i="6"/>
  <c r="AMR3" i="6"/>
  <c r="AMR9" i="6"/>
  <c r="AMR10" i="6"/>
  <c r="AMR11" i="6"/>
  <c r="AMR17" i="6"/>
  <c r="AMR18" i="6"/>
  <c r="AMR5" i="6"/>
  <c r="AMG12" i="6"/>
  <c r="AMF14" i="6"/>
  <c r="AMP4" i="6"/>
  <c r="AMA6" i="6"/>
  <c r="ALZ7" i="6"/>
  <c r="AMT1" i="6"/>
  <c r="AMS3" i="6"/>
  <c r="AMS9" i="6"/>
  <c r="AMS10" i="6"/>
  <c r="AMS11" i="6"/>
  <c r="AMS17" i="6"/>
  <c r="AMS18" i="6"/>
  <c r="AMS5" i="6"/>
  <c r="AMB6" i="6"/>
  <c r="AMA7" i="6"/>
  <c r="AMQ4" i="6"/>
  <c r="AMG14" i="6"/>
  <c r="AMH12" i="6"/>
  <c r="AMU1" i="6"/>
  <c r="AMH14" i="6"/>
  <c r="AMI12" i="6"/>
  <c r="AMR4" i="6"/>
  <c r="AMC6" i="6"/>
  <c r="AMB7" i="6"/>
  <c r="AMV1" i="6"/>
  <c r="AMU3" i="6"/>
  <c r="AMU9" i="6"/>
  <c r="AMU11" i="6"/>
  <c r="AMU17" i="6"/>
  <c r="AMU5" i="6"/>
  <c r="AMT3" i="6"/>
  <c r="AMT5" i="6"/>
  <c r="AMT17" i="6"/>
  <c r="AMT18" i="6"/>
  <c r="AMT11" i="6"/>
  <c r="AMT9" i="6"/>
  <c r="AMT10" i="6"/>
  <c r="AMD6" i="6"/>
  <c r="AMC7" i="6"/>
  <c r="AMS4" i="6"/>
  <c r="AMJ12" i="6"/>
  <c r="AMI14" i="6"/>
  <c r="AMU10" i="6"/>
  <c r="AMU18" i="6"/>
  <c r="AMW1" i="6"/>
  <c r="AMV9" i="6"/>
  <c r="AMV3" i="6"/>
  <c r="AMV11" i="6"/>
  <c r="AMV17" i="6"/>
  <c r="AMV5" i="6"/>
  <c r="AMK12" i="6"/>
  <c r="AMJ14" i="6"/>
  <c r="AMT4" i="6"/>
  <c r="AME6" i="6"/>
  <c r="AMD7" i="6"/>
  <c r="AMV10" i="6"/>
  <c r="AMX1" i="6"/>
  <c r="AMV18" i="6"/>
  <c r="AMF6" i="6"/>
  <c r="AME7" i="6"/>
  <c r="AMU4" i="6"/>
  <c r="AML12" i="6"/>
  <c r="AMK14" i="6"/>
  <c r="AMY1" i="6"/>
  <c r="AMW5" i="6"/>
  <c r="AMW17" i="6"/>
  <c r="AMW18" i="6"/>
  <c r="AMW11" i="6"/>
  <c r="AMW9" i="6"/>
  <c r="AMW10" i="6"/>
  <c r="AMW3" i="6"/>
  <c r="AMM12" i="6"/>
  <c r="AML14" i="6"/>
  <c r="AMV4" i="6"/>
  <c r="AMG6" i="6"/>
  <c r="AMF7" i="6"/>
  <c r="AMZ1" i="6"/>
  <c r="AMY3" i="6"/>
  <c r="AMX5" i="6"/>
  <c r="AMX17" i="6"/>
  <c r="AMX18" i="6"/>
  <c r="AMX11" i="6"/>
  <c r="AMX3" i="6"/>
  <c r="AMX9" i="6"/>
  <c r="AMX10" i="6"/>
  <c r="AMH6" i="6"/>
  <c r="AMG7" i="6"/>
  <c r="AMW4" i="6"/>
  <c r="AMN12" i="6"/>
  <c r="AMM14" i="6"/>
  <c r="AMY5" i="6"/>
  <c r="AMY17" i="6"/>
  <c r="AMY18" i="6"/>
  <c r="AMY11" i="6"/>
  <c r="AMY9" i="6"/>
  <c r="AMY10" i="6"/>
  <c r="ANA1" i="6"/>
  <c r="AMZ3" i="6"/>
  <c r="AMZ9" i="6"/>
  <c r="AMZ11" i="6"/>
  <c r="AMZ17" i="6"/>
  <c r="AMZ5" i="6"/>
  <c r="AMO12" i="6"/>
  <c r="AMN14" i="6"/>
  <c r="AMX4" i="6"/>
  <c r="AMI6" i="6"/>
  <c r="AMH7" i="6"/>
  <c r="AMZ10" i="6"/>
  <c r="AMZ18" i="6"/>
  <c r="ANB1" i="6"/>
  <c r="ANA11" i="6"/>
  <c r="ANA17" i="6"/>
  <c r="ANA18" i="6"/>
  <c r="ANA5" i="6"/>
  <c r="AMJ6" i="6"/>
  <c r="AMI7" i="6"/>
  <c r="AMY4" i="6"/>
  <c r="AMP12" i="6"/>
  <c r="AMO14" i="6"/>
  <c r="ANC1" i="6"/>
  <c r="ANB3" i="6"/>
  <c r="ANB11" i="6"/>
  <c r="ANB17" i="6"/>
  <c r="ANB18" i="6"/>
  <c r="ANB5" i="6"/>
  <c r="ANA9" i="6"/>
  <c r="ANA10" i="6"/>
  <c r="ANA3" i="6"/>
  <c r="AMQ12" i="6"/>
  <c r="AMP14" i="6"/>
  <c r="AMZ4" i="6"/>
  <c r="AMK6" i="6"/>
  <c r="AMJ7" i="6"/>
  <c r="AND1" i="6"/>
  <c r="ANC9" i="6"/>
  <c r="ANC3" i="6"/>
  <c r="ANC11" i="6"/>
  <c r="ANC17" i="6"/>
  <c r="ANC18" i="6"/>
  <c r="ANC5" i="6"/>
  <c r="ANB9" i="6"/>
  <c r="ANB10" i="6"/>
  <c r="AML6" i="6"/>
  <c r="AMK7" i="6"/>
  <c r="ANA4" i="6"/>
  <c r="AMR12" i="6"/>
  <c r="AMQ14" i="6"/>
  <c r="ANC10" i="6"/>
  <c r="ANE1" i="6"/>
  <c r="AND9" i="6"/>
  <c r="AND10" i="6"/>
  <c r="AND3" i="6"/>
  <c r="AND11" i="6"/>
  <c r="AND17" i="6"/>
  <c r="AND18" i="6"/>
  <c r="AND5" i="6"/>
  <c r="AMS12" i="6"/>
  <c r="AMR14" i="6"/>
  <c r="ANB4" i="6"/>
  <c r="AMM6" i="6"/>
  <c r="AML7" i="6"/>
  <c r="ANF1" i="6"/>
  <c r="ANE9" i="6"/>
  <c r="ANE10" i="6"/>
  <c r="ANE11" i="6"/>
  <c r="ANE17" i="6"/>
  <c r="ANE18" i="6"/>
  <c r="ANE5" i="6"/>
  <c r="AMN6" i="6"/>
  <c r="AMM7" i="6"/>
  <c r="ANC4" i="6"/>
  <c r="AMT12" i="6"/>
  <c r="AMS14" i="6"/>
  <c r="ANG1" i="6"/>
  <c r="ANF9" i="6"/>
  <c r="ANF10" i="6"/>
  <c r="ANF3" i="6"/>
  <c r="ANF11" i="6"/>
  <c r="ANF17" i="6"/>
  <c r="ANF18" i="6"/>
  <c r="ANF5" i="6"/>
  <c r="ANE3" i="6"/>
  <c r="AMU12" i="6"/>
  <c r="AMT14" i="6"/>
  <c r="AND4" i="6"/>
  <c r="AMO6" i="6"/>
  <c r="AMN7" i="6"/>
  <c r="ANH1" i="6"/>
  <c r="ANG5" i="6"/>
  <c r="AMP6" i="6"/>
  <c r="AMO7" i="6"/>
  <c r="ANE4" i="6"/>
  <c r="AMV12" i="6"/>
  <c r="AMU14" i="6"/>
  <c r="ANI1" i="6"/>
  <c r="ANH11" i="6"/>
  <c r="ANH17" i="6"/>
  <c r="ANH5" i="6"/>
  <c r="ANG17" i="6"/>
  <c r="ANG18" i="6"/>
  <c r="ANG11" i="6"/>
  <c r="ANG9" i="6"/>
  <c r="ANG10" i="6"/>
  <c r="ANG3" i="6"/>
  <c r="AMV14" i="6"/>
  <c r="AMW12" i="6"/>
  <c r="ANF4" i="6"/>
  <c r="AMQ6" i="6"/>
  <c r="AMP7" i="6"/>
  <c r="ANH18" i="6"/>
  <c r="ANJ1" i="6"/>
  <c r="ANI3" i="6"/>
  <c r="ANH9" i="6"/>
  <c r="ANH10" i="6"/>
  <c r="ANH3" i="6"/>
  <c r="AMR6" i="6"/>
  <c r="AMQ7" i="6"/>
  <c r="ANG4" i="6"/>
  <c r="AMW14" i="6"/>
  <c r="AMX12" i="6"/>
  <c r="ANI5" i="6"/>
  <c r="ANI17" i="6"/>
  <c r="ANI18" i="6"/>
  <c r="ANI11" i="6"/>
  <c r="ANI9" i="6"/>
  <c r="ANI10" i="6"/>
  <c r="ANK1" i="6"/>
  <c r="ANJ3" i="6"/>
  <c r="ANJ9" i="6"/>
  <c r="ANJ11" i="6"/>
  <c r="ANJ17" i="6"/>
  <c r="ANJ5" i="6"/>
  <c r="AMY12" i="6"/>
  <c r="AMX14" i="6"/>
  <c r="ANH4" i="6"/>
  <c r="AMS6" i="6"/>
  <c r="AMR7" i="6"/>
  <c r="ANJ10" i="6"/>
  <c r="ANK3" i="6"/>
  <c r="ANL1" i="6"/>
  <c r="ANK11" i="6"/>
  <c r="ANK17" i="6"/>
  <c r="ANK5" i="6"/>
  <c r="ANJ18" i="6"/>
  <c r="AMT6" i="6"/>
  <c r="AMS7" i="6"/>
  <c r="ANI4" i="6"/>
  <c r="AMZ12" i="6"/>
  <c r="AMY14" i="6"/>
  <c r="ANL3" i="6"/>
  <c r="ANM1" i="6"/>
  <c r="ANL9" i="6"/>
  <c r="ANL11" i="6"/>
  <c r="ANL17" i="6"/>
  <c r="ANL5" i="6"/>
  <c r="ANK18" i="6"/>
  <c r="ANK9" i="6"/>
  <c r="ANK10" i="6"/>
  <c r="ANA12" i="6"/>
  <c r="AMZ14" i="6"/>
  <c r="ANJ4" i="6"/>
  <c r="AMU6" i="6"/>
  <c r="AMT7" i="6"/>
  <c r="ANL10" i="6"/>
  <c r="ANL18" i="6"/>
  <c r="ANN1" i="6"/>
  <c r="ANM3" i="6"/>
  <c r="ANM9" i="6"/>
  <c r="ANM10" i="6"/>
  <c r="ANM11" i="6"/>
  <c r="ANM17" i="6"/>
  <c r="ANM18" i="6"/>
  <c r="ANM5" i="6"/>
  <c r="AMV6" i="6"/>
  <c r="AMU7" i="6"/>
  <c r="ANK4" i="6"/>
  <c r="ANB12" i="6"/>
  <c r="ANA14" i="6"/>
  <c r="ANO1" i="6"/>
  <c r="ANN9" i="6"/>
  <c r="ANN10" i="6"/>
  <c r="ANN3" i="6"/>
  <c r="ANN11" i="6"/>
  <c r="ANN17" i="6"/>
  <c r="ANN18" i="6"/>
  <c r="ANN5" i="6"/>
  <c r="ANB14" i="6"/>
  <c r="ANC12" i="6"/>
  <c r="ANL4" i="6"/>
  <c r="AMW6" i="6"/>
  <c r="AMV7" i="6"/>
  <c r="ANP1" i="6"/>
  <c r="ANO11" i="6"/>
  <c r="ANO3" i="6"/>
  <c r="ANO9" i="6"/>
  <c r="ANO10" i="6"/>
  <c r="ANO17" i="6"/>
  <c r="ANO18" i="6"/>
  <c r="ANO5" i="6"/>
  <c r="AMX6" i="6"/>
  <c r="AMW7" i="6"/>
  <c r="ANM4" i="6"/>
  <c r="AND12" i="6"/>
  <c r="ANC14" i="6"/>
  <c r="ANQ1" i="6"/>
  <c r="ANE12" i="6"/>
  <c r="AND14" i="6"/>
  <c r="ANN4" i="6"/>
  <c r="AMY6" i="6"/>
  <c r="AMX7" i="6"/>
  <c r="ANR1" i="6"/>
  <c r="ANP5" i="6"/>
  <c r="ANP17" i="6"/>
  <c r="ANP18" i="6"/>
  <c r="ANP11" i="6"/>
  <c r="ANP9" i="6"/>
  <c r="ANP10" i="6"/>
  <c r="ANP3" i="6"/>
  <c r="AMZ6" i="6"/>
  <c r="AMY7" i="6"/>
  <c r="ANO4" i="6"/>
  <c r="ANF12" i="6"/>
  <c r="ANE14" i="6"/>
  <c r="ANS1" i="6"/>
  <c r="ANR3" i="6"/>
  <c r="ANQ5" i="6"/>
  <c r="ANQ17" i="6"/>
  <c r="ANQ18" i="6"/>
  <c r="ANQ11" i="6"/>
  <c r="ANQ3" i="6"/>
  <c r="ANQ9" i="6"/>
  <c r="ANQ10" i="6"/>
  <c r="ANG12" i="6"/>
  <c r="ANF14" i="6"/>
  <c r="ANP4" i="6"/>
  <c r="ANA6" i="6"/>
  <c r="AMZ7" i="6"/>
  <c r="ANR5" i="6"/>
  <c r="ANR17" i="6"/>
  <c r="ANR18" i="6"/>
  <c r="ANR11" i="6"/>
  <c r="ANR9" i="6"/>
  <c r="ANR10" i="6"/>
  <c r="ANS3" i="6"/>
  <c r="ANT1" i="6"/>
  <c r="ANS9" i="6"/>
  <c r="ANS11" i="6"/>
  <c r="ANS17" i="6"/>
  <c r="ANS5" i="6"/>
  <c r="ANB6" i="6"/>
  <c r="ANA7" i="6"/>
  <c r="ANQ4" i="6"/>
  <c r="ANH12" i="6"/>
  <c r="ANG14" i="6"/>
  <c r="ANS10" i="6"/>
  <c r="ANS18" i="6"/>
  <c r="ANU1" i="6"/>
  <c r="ANT9" i="6"/>
  <c r="ANT10" i="6"/>
  <c r="ANT11" i="6"/>
  <c r="ANT17" i="6"/>
  <c r="ANT5" i="6"/>
  <c r="ANI12" i="6"/>
  <c r="ANH14" i="6"/>
  <c r="ANR4" i="6"/>
  <c r="ANC6" i="6"/>
  <c r="ANB7" i="6"/>
  <c r="ANT18" i="6"/>
  <c r="ANV1" i="6"/>
  <c r="ANU9" i="6"/>
  <c r="ANU10" i="6"/>
  <c r="ANU11" i="6"/>
  <c r="ANU17" i="6"/>
  <c r="ANU18" i="6"/>
  <c r="ANU5" i="6"/>
  <c r="ANT3" i="6"/>
  <c r="AND6" i="6"/>
  <c r="ANC7" i="6"/>
  <c r="ANS4" i="6"/>
  <c r="ANJ12" i="6"/>
  <c r="ANI14" i="6"/>
  <c r="ANW1" i="6"/>
  <c r="ANU3" i="6"/>
  <c r="ANK12" i="6"/>
  <c r="ANJ14" i="6"/>
  <c r="ANT4" i="6"/>
  <c r="ANE6" i="6"/>
  <c r="AND7" i="6"/>
  <c r="ANX1" i="6"/>
  <c r="ANW3" i="6"/>
  <c r="ANW9" i="6"/>
  <c r="ANW11" i="6"/>
  <c r="ANW17" i="6"/>
  <c r="ANW5" i="6"/>
  <c r="ANV5" i="6"/>
  <c r="ANV17" i="6"/>
  <c r="ANV18" i="6"/>
  <c r="ANV11" i="6"/>
  <c r="ANV3" i="6"/>
  <c r="ANV9" i="6"/>
  <c r="ANV10" i="6"/>
  <c r="ANW10" i="6"/>
  <c r="ANF6" i="6"/>
  <c r="ANE7" i="6"/>
  <c r="ANU4" i="6"/>
  <c r="ANL12" i="6"/>
  <c r="ANK14" i="6"/>
  <c r="ANW18" i="6"/>
  <c r="ANY1" i="6"/>
  <c r="ANX11" i="6"/>
  <c r="ANX9" i="6"/>
  <c r="ANX10" i="6"/>
  <c r="ANX17" i="6"/>
  <c r="ANX18" i="6"/>
  <c r="ANX5" i="6"/>
  <c r="ANL14" i="6"/>
  <c r="ANM12" i="6"/>
  <c r="ANV4" i="6"/>
  <c r="ANG6" i="6"/>
  <c r="ANF7" i="6"/>
  <c r="ANZ1" i="6"/>
  <c r="ANY9" i="6"/>
  <c r="ANY10" i="6"/>
  <c r="ANY11" i="6"/>
  <c r="ANY17" i="6"/>
  <c r="ANY18" i="6"/>
  <c r="ANY5" i="6"/>
  <c r="ANX3" i="6"/>
  <c r="ANH6" i="6"/>
  <c r="ANG7" i="6"/>
  <c r="ANW4" i="6"/>
  <c r="ANN12" i="6"/>
  <c r="ANM14" i="6"/>
  <c r="AOA1" i="6"/>
  <c r="ANZ9" i="6"/>
  <c r="ANZ10" i="6"/>
  <c r="ANZ3" i="6"/>
  <c r="ANZ11" i="6"/>
  <c r="ANZ17" i="6"/>
  <c r="ANZ18" i="6"/>
  <c r="ANZ5" i="6"/>
  <c r="ANY3" i="6"/>
  <c r="ANN14" i="6"/>
  <c r="ANO12" i="6"/>
  <c r="ANX4" i="6"/>
  <c r="ANI6" i="6"/>
  <c r="ANH7" i="6"/>
  <c r="AOB1" i="6"/>
  <c r="AOA9" i="6"/>
  <c r="AOA10" i="6"/>
  <c r="AOA11" i="6"/>
  <c r="AOA17" i="6"/>
  <c r="AOA18" i="6"/>
  <c r="AOA5" i="6"/>
  <c r="ANJ6" i="6"/>
  <c r="ANI7" i="6"/>
  <c r="ANY4" i="6"/>
  <c r="ANP12" i="6"/>
  <c r="ANO14" i="6"/>
  <c r="AOC1" i="6"/>
  <c r="AOB9" i="6"/>
  <c r="AOB10" i="6"/>
  <c r="AOB3" i="6"/>
  <c r="AOB11" i="6"/>
  <c r="AOB17" i="6"/>
  <c r="AOB18" i="6"/>
  <c r="AOB5" i="6"/>
  <c r="AOA3" i="6"/>
  <c r="ANQ12" i="6"/>
  <c r="ANP14" i="6"/>
  <c r="ANZ4" i="6"/>
  <c r="ANK6" i="6"/>
  <c r="ANJ7" i="6"/>
  <c r="AOD1" i="6"/>
  <c r="AOC3" i="6"/>
  <c r="AOC9" i="6"/>
  <c r="AOC10" i="6"/>
  <c r="AOC11" i="6"/>
  <c r="AOC17" i="6"/>
  <c r="AOC18" i="6"/>
  <c r="AOC5" i="6"/>
  <c r="ANL6" i="6"/>
  <c r="ANK7" i="6"/>
  <c r="AOA4" i="6"/>
  <c r="ANR12" i="6"/>
  <c r="ANQ14" i="6"/>
  <c r="AOE1" i="6"/>
  <c r="AOD3" i="6"/>
  <c r="AOD9" i="6"/>
  <c r="AOD10" i="6"/>
  <c r="AOD11" i="6"/>
  <c r="AOD17" i="6"/>
  <c r="AOD18" i="6"/>
  <c r="AOD5" i="6"/>
  <c r="ANS12" i="6"/>
  <c r="ANR14" i="6"/>
  <c r="AOB4" i="6"/>
  <c r="ANM6" i="6"/>
  <c r="ANL7" i="6"/>
  <c r="AOF1" i="6"/>
  <c r="AOE9" i="6"/>
  <c r="AOE10" i="6"/>
  <c r="AOE11" i="6"/>
  <c r="AOE17" i="6"/>
  <c r="AOE18" i="6"/>
  <c r="AOE5" i="6"/>
  <c r="ANN6" i="6"/>
  <c r="ANM7" i="6"/>
  <c r="AOC4" i="6"/>
  <c r="ANT12" i="6"/>
  <c r="ANS14" i="6"/>
  <c r="AOG1" i="6"/>
  <c r="AOF3" i="6"/>
  <c r="AOF9" i="6"/>
  <c r="AOF10" i="6"/>
  <c r="AOF11" i="6"/>
  <c r="AOF17" i="6"/>
  <c r="AOF18" i="6"/>
  <c r="AOF5" i="6"/>
  <c r="AOE3" i="6"/>
  <c r="ANT14" i="6"/>
  <c r="ANU12" i="6"/>
  <c r="AOD4" i="6"/>
  <c r="ANO6" i="6"/>
  <c r="ANN7" i="6"/>
  <c r="AOH1" i="6"/>
  <c r="AOG3" i="6"/>
  <c r="ANP6" i="6"/>
  <c r="ANO7" i="6"/>
  <c r="AOE4" i="6"/>
  <c r="ANV12" i="6"/>
  <c r="ANU14" i="6"/>
  <c r="AOG5" i="6"/>
  <c r="AOG17" i="6"/>
  <c r="AOG18" i="6"/>
  <c r="AOG11" i="6"/>
  <c r="AOG9" i="6"/>
  <c r="AOG10" i="6"/>
  <c r="AOI1" i="6"/>
  <c r="AOH3" i="6"/>
  <c r="AOH9" i="6"/>
  <c r="AOH11" i="6"/>
  <c r="AOH17" i="6"/>
  <c r="AOH5" i="6"/>
  <c r="ANW12" i="6"/>
  <c r="ANV14" i="6"/>
  <c r="AOF4" i="6"/>
  <c r="ANQ6" i="6"/>
  <c r="ANP7" i="6"/>
  <c r="AOH18" i="6"/>
  <c r="AOJ1" i="6"/>
  <c r="AOI3" i="6"/>
  <c r="AOI9" i="6"/>
  <c r="AOI11" i="6"/>
  <c r="AOI17" i="6"/>
  <c r="AOI18" i="6"/>
  <c r="AOI5" i="6"/>
  <c r="AOH10" i="6"/>
  <c r="ANR6" i="6"/>
  <c r="ANQ7" i="6"/>
  <c r="AOG4" i="6"/>
  <c r="ANX12" i="6"/>
  <c r="ANW14" i="6"/>
  <c r="AOI10" i="6"/>
  <c r="AOK1" i="6"/>
  <c r="AOJ9" i="6"/>
  <c r="AOJ10" i="6"/>
  <c r="AOJ5" i="6"/>
  <c r="ANX14" i="6"/>
  <c r="ANY12" i="6"/>
  <c r="AOH4" i="6"/>
  <c r="ANS6" i="6"/>
  <c r="ANR7" i="6"/>
  <c r="AOJ17" i="6"/>
  <c r="AOJ18" i="6"/>
  <c r="AOJ11" i="6"/>
  <c r="AOJ3" i="6"/>
  <c r="AOL1" i="6"/>
  <c r="AOK9" i="6"/>
  <c r="AOK10" i="6"/>
  <c r="AOK11" i="6"/>
  <c r="AOK17" i="6"/>
  <c r="AOK5" i="6"/>
  <c r="ANT6" i="6"/>
  <c r="ANS7" i="6"/>
  <c r="AOI4" i="6"/>
  <c r="ANZ12" i="6"/>
  <c r="ANY14" i="6"/>
  <c r="AOK18" i="6"/>
  <c r="AOM1" i="6"/>
  <c r="AOK3" i="6"/>
  <c r="AOA12" i="6"/>
  <c r="ANZ14" i="6"/>
  <c r="AOJ4" i="6"/>
  <c r="ANU6" i="6"/>
  <c r="ANT7" i="6"/>
  <c r="AON1" i="6"/>
  <c r="AOM9" i="6"/>
  <c r="AOL9" i="6"/>
  <c r="AOL10" i="6"/>
  <c r="AOL5" i="6"/>
  <c r="AOL17" i="6"/>
  <c r="AOL18" i="6"/>
  <c r="AOL11" i="6"/>
  <c r="AOL3" i="6"/>
  <c r="ANV6" i="6"/>
  <c r="ANU7" i="6"/>
  <c r="AOK4" i="6"/>
  <c r="AOB12" i="6"/>
  <c r="AOA14" i="6"/>
  <c r="AOM10" i="6"/>
  <c r="AOM5" i="6"/>
  <c r="AOM17" i="6"/>
  <c r="AOM18" i="6"/>
  <c r="AOM11" i="6"/>
  <c r="AOM3" i="6"/>
  <c r="AOO1" i="6"/>
  <c r="AON9" i="6"/>
  <c r="AON3" i="6"/>
  <c r="AON11" i="6"/>
  <c r="AON17" i="6"/>
  <c r="AON5" i="6"/>
  <c r="AOC12" i="6"/>
  <c r="AOB14" i="6"/>
  <c r="AOL4" i="6"/>
  <c r="ANW6" i="6"/>
  <c r="ANV7" i="6"/>
  <c r="AON18" i="6"/>
  <c r="AOP1" i="6"/>
  <c r="AOO17" i="6"/>
  <c r="AOO18" i="6"/>
  <c r="AOO11" i="6"/>
  <c r="AON10" i="6"/>
  <c r="ANX6" i="6"/>
  <c r="ANW7" i="6"/>
  <c r="AOM4" i="6"/>
  <c r="AOC14" i="6"/>
  <c r="AOD12" i="6"/>
  <c r="AOO5" i="6"/>
  <c r="AOP9" i="6"/>
  <c r="AOQ1" i="6"/>
  <c r="AOP3" i="6"/>
  <c r="AOP11" i="6"/>
  <c r="AOP17" i="6"/>
  <c r="AOP18" i="6"/>
  <c r="AOP5" i="6"/>
  <c r="AOO9" i="6"/>
  <c r="AOO10" i="6"/>
  <c r="AOO3" i="6"/>
  <c r="AOE12" i="6"/>
  <c r="AOD14" i="6"/>
  <c r="AON4" i="6"/>
  <c r="ANY6" i="6"/>
  <c r="ANX7" i="6"/>
  <c r="AOP10" i="6"/>
  <c r="AOR1" i="6"/>
  <c r="AOQ9" i="6"/>
  <c r="AOQ10" i="6"/>
  <c r="AOQ11" i="6"/>
  <c r="AOQ17" i="6"/>
  <c r="AOQ18" i="6"/>
  <c r="AOQ5" i="6"/>
  <c r="ANZ6" i="6"/>
  <c r="ANY7" i="6"/>
  <c r="AOO4" i="6"/>
  <c r="AOF12" i="6"/>
  <c r="AOE14" i="6"/>
  <c r="AOS1" i="6"/>
  <c r="AOR3" i="6"/>
  <c r="AOR9" i="6"/>
  <c r="AOR10" i="6"/>
  <c r="AOR11" i="6"/>
  <c r="AOR17" i="6"/>
  <c r="AOR18" i="6"/>
  <c r="AOR5" i="6"/>
  <c r="AOQ3" i="6"/>
  <c r="AOF14" i="6"/>
  <c r="AOG12" i="6"/>
  <c r="AOP4" i="6"/>
  <c r="AOA6" i="6"/>
  <c r="ANZ7" i="6"/>
  <c r="AOT1" i="6"/>
  <c r="AOS3" i="6"/>
  <c r="AOS9" i="6"/>
  <c r="AOS10" i="6"/>
  <c r="AOS11" i="6"/>
  <c r="AOS17" i="6"/>
  <c r="AOS18" i="6"/>
  <c r="AOS5" i="6"/>
  <c r="AOB6" i="6"/>
  <c r="AOA7" i="6"/>
  <c r="AOQ4" i="6"/>
  <c r="AOH12" i="6"/>
  <c r="AOG14" i="6"/>
  <c r="AOU1" i="6"/>
  <c r="AOT3" i="6"/>
  <c r="AOT9" i="6"/>
  <c r="AOT10" i="6"/>
  <c r="AOT11" i="6"/>
  <c r="AOT17" i="6"/>
  <c r="AOT18" i="6"/>
  <c r="AOT5" i="6"/>
  <c r="AOI12" i="6"/>
  <c r="AOH14" i="6"/>
  <c r="AOR4" i="6"/>
  <c r="AOC6" i="6"/>
  <c r="AOB7" i="6"/>
  <c r="AOV1" i="6"/>
  <c r="AOU5" i="6"/>
  <c r="AOU9" i="6"/>
  <c r="AOU10" i="6"/>
  <c r="AOU3" i="6"/>
  <c r="AOU11" i="6"/>
  <c r="AOU17" i="6"/>
  <c r="AOU18" i="6"/>
  <c r="AOD6" i="6"/>
  <c r="AOC7" i="6"/>
  <c r="AOS4" i="6"/>
  <c r="AOJ12" i="6"/>
  <c r="AOI14" i="6"/>
  <c r="AOW1" i="6"/>
  <c r="AOV9" i="6"/>
  <c r="AOV10" i="6"/>
  <c r="AOV3" i="6"/>
  <c r="AOV11" i="6"/>
  <c r="AOV17" i="6"/>
  <c r="AOV18" i="6"/>
  <c r="AOV5" i="6"/>
  <c r="AOK12" i="6"/>
  <c r="AOJ14" i="6"/>
  <c r="AOT4" i="6"/>
  <c r="AOE6" i="6"/>
  <c r="AOD7" i="6"/>
  <c r="AOX1" i="6"/>
  <c r="AOW3" i="6"/>
  <c r="AOW9" i="6"/>
  <c r="AOW10" i="6"/>
  <c r="AOW11" i="6"/>
  <c r="AOW17" i="6"/>
  <c r="AOW18" i="6"/>
  <c r="AOW5" i="6"/>
  <c r="AOF6" i="6"/>
  <c r="AOE7" i="6"/>
  <c r="AOU4" i="6"/>
  <c r="AOK14" i="6"/>
  <c r="AOL12" i="6"/>
  <c r="AOY1" i="6"/>
  <c r="AOX11" i="6"/>
  <c r="AOX17" i="6"/>
  <c r="AOX18" i="6"/>
  <c r="AOX5" i="6"/>
  <c r="AOL14" i="6"/>
  <c r="AOM12" i="6"/>
  <c r="AOV4" i="6"/>
  <c r="AOG6" i="6"/>
  <c r="AOF7" i="6"/>
  <c r="AOZ1" i="6"/>
  <c r="AOY3" i="6"/>
  <c r="AOY9" i="6"/>
  <c r="AOY11" i="6"/>
  <c r="AOY17" i="6"/>
  <c r="AOY18" i="6"/>
  <c r="AOY5" i="6"/>
  <c r="AOX9" i="6"/>
  <c r="AOX10" i="6"/>
  <c r="AOY10" i="6"/>
  <c r="AOX3" i="6"/>
  <c r="AOH6" i="6"/>
  <c r="AOG7" i="6"/>
  <c r="AOW4" i="6"/>
  <c r="AON12" i="6"/>
  <c r="AOM14" i="6"/>
  <c r="APA1" i="6"/>
  <c r="AOZ3" i="6"/>
  <c r="AOZ9" i="6"/>
  <c r="AOZ10" i="6"/>
  <c r="AOZ11" i="6"/>
  <c r="AOZ17" i="6"/>
  <c r="AOZ18" i="6"/>
  <c r="AOZ5" i="6"/>
  <c r="AON14" i="6"/>
  <c r="AOO12" i="6"/>
  <c r="AOX4" i="6"/>
  <c r="AOI6" i="6"/>
  <c r="AOH7" i="6"/>
  <c r="APB1" i="6"/>
  <c r="AOJ6" i="6"/>
  <c r="AOI7" i="6"/>
  <c r="AOY4" i="6"/>
  <c r="AOP12" i="6"/>
  <c r="AOO14" i="6"/>
  <c r="APB3" i="6"/>
  <c r="APC1" i="6"/>
  <c r="APB9" i="6"/>
  <c r="APB11" i="6"/>
  <c r="APB17" i="6"/>
  <c r="APB5" i="6"/>
  <c r="APA5" i="6"/>
  <c r="APA17" i="6"/>
  <c r="APA18" i="6"/>
  <c r="APA11" i="6"/>
  <c r="APA3" i="6"/>
  <c r="APA9" i="6"/>
  <c r="APA10" i="6"/>
  <c r="APB10" i="6"/>
  <c r="AOP14" i="6"/>
  <c r="AOQ12" i="6"/>
  <c r="AOZ4" i="6"/>
  <c r="AOK6" i="6"/>
  <c r="AOJ7" i="6"/>
  <c r="APB18" i="6"/>
  <c r="APD1" i="6"/>
  <c r="APC11" i="6"/>
  <c r="APC17" i="6"/>
  <c r="APC18" i="6"/>
  <c r="APC5" i="6"/>
  <c r="AOL6" i="6"/>
  <c r="AOK7" i="6"/>
  <c r="APA4" i="6"/>
  <c r="AOR12" i="6"/>
  <c r="AOQ14" i="6"/>
  <c r="APE1" i="6"/>
  <c r="APD3" i="6"/>
  <c r="APD9" i="6"/>
  <c r="APD11" i="6"/>
  <c r="APD17" i="6"/>
  <c r="APD18" i="6"/>
  <c r="APD5" i="6"/>
  <c r="APC9" i="6"/>
  <c r="APC10" i="6"/>
  <c r="APC3" i="6"/>
  <c r="AOS12" i="6"/>
  <c r="AOR14" i="6"/>
  <c r="APB4" i="6"/>
  <c r="AOM6" i="6"/>
  <c r="AOL7" i="6"/>
  <c r="APD10" i="6"/>
  <c r="APF1" i="6"/>
  <c r="APE3" i="6"/>
  <c r="APE9" i="6"/>
  <c r="APE10" i="6"/>
  <c r="APE11" i="6"/>
  <c r="APE17" i="6"/>
  <c r="APE18" i="6"/>
  <c r="APE5" i="6"/>
  <c r="AON6" i="6"/>
  <c r="AOM7" i="6"/>
  <c r="APC4" i="6"/>
  <c r="AOT12" i="6"/>
  <c r="AOS14" i="6"/>
  <c r="APG1" i="6"/>
  <c r="APF9" i="6"/>
  <c r="APF10" i="6"/>
  <c r="APF11" i="6"/>
  <c r="APF17" i="6"/>
  <c r="APF18" i="6"/>
  <c r="APF5" i="6"/>
  <c r="AOU12" i="6"/>
  <c r="AOT14" i="6"/>
  <c r="APD4" i="6"/>
  <c r="AOO6" i="6"/>
  <c r="AON7" i="6"/>
  <c r="APH1" i="6"/>
  <c r="APG3" i="6"/>
  <c r="APG9" i="6"/>
  <c r="APG10" i="6"/>
  <c r="APG11" i="6"/>
  <c r="APG17" i="6"/>
  <c r="APG18" i="6"/>
  <c r="APG5" i="6"/>
  <c r="APF3" i="6"/>
  <c r="AOP6" i="6"/>
  <c r="AOO7" i="6"/>
  <c r="APE4" i="6"/>
  <c r="AOV12" i="6"/>
  <c r="AOU14" i="6"/>
  <c r="API1" i="6"/>
  <c r="AOW12" i="6"/>
  <c r="AOV14" i="6"/>
  <c r="APF4" i="6"/>
  <c r="AOQ6" i="6"/>
  <c r="AOP7" i="6"/>
  <c r="APJ1" i="6"/>
  <c r="API3" i="6"/>
  <c r="APH5" i="6"/>
  <c r="APH17" i="6"/>
  <c r="APH18" i="6"/>
  <c r="APH11" i="6"/>
  <c r="APH3" i="6"/>
  <c r="APH9" i="6"/>
  <c r="APH10" i="6"/>
  <c r="AOR6" i="6"/>
  <c r="AOQ7" i="6"/>
  <c r="APG4" i="6"/>
  <c r="AOW14" i="6"/>
  <c r="AOX12" i="6"/>
  <c r="API5" i="6"/>
  <c r="API17" i="6"/>
  <c r="API18" i="6"/>
  <c r="API11" i="6"/>
  <c r="API9" i="6"/>
  <c r="API10" i="6"/>
  <c r="APK1" i="6"/>
  <c r="APJ3" i="6"/>
  <c r="APJ9" i="6"/>
  <c r="APJ11" i="6"/>
  <c r="APJ17" i="6"/>
  <c r="APJ5" i="6"/>
  <c r="AOX14" i="6"/>
  <c r="AOY12" i="6"/>
  <c r="APH4" i="6"/>
  <c r="AOS6" i="6"/>
  <c r="AOR7" i="6"/>
  <c r="APJ10" i="6"/>
  <c r="APJ18" i="6"/>
  <c r="APL1" i="6"/>
  <c r="APK3" i="6"/>
  <c r="APK9" i="6"/>
  <c r="APK10" i="6"/>
  <c r="APK11" i="6"/>
  <c r="APK17" i="6"/>
  <c r="APK18" i="6"/>
  <c r="APK5" i="6"/>
  <c r="AOT6" i="6"/>
  <c r="AOS7" i="6"/>
  <c r="API4" i="6"/>
  <c r="AOZ12" i="6"/>
  <c r="AOY14" i="6"/>
  <c r="APM1" i="6"/>
  <c r="APL3" i="6"/>
  <c r="APL9" i="6"/>
  <c r="APL10" i="6"/>
  <c r="APL11" i="6"/>
  <c r="APL17" i="6"/>
  <c r="APL18" i="6"/>
  <c r="APL5" i="6"/>
  <c r="AOZ14" i="6"/>
  <c r="APA12" i="6"/>
  <c r="APJ4" i="6"/>
  <c r="AOU6" i="6"/>
  <c r="AOT7" i="6"/>
  <c r="APN1" i="6"/>
  <c r="APM3" i="6"/>
  <c r="APM9" i="6"/>
  <c r="APM10" i="6"/>
  <c r="APM11" i="6"/>
  <c r="APM17" i="6"/>
  <c r="APM18" i="6"/>
  <c r="APM5" i="6"/>
  <c r="AOV6" i="6"/>
  <c r="AOU7" i="6"/>
  <c r="APK4" i="6"/>
  <c r="APA14" i="6"/>
  <c r="APB12" i="6"/>
  <c r="APO1" i="6"/>
  <c r="APN3" i="6"/>
  <c r="APN9" i="6"/>
  <c r="APN10" i="6"/>
  <c r="APN11" i="6"/>
  <c r="APN17" i="6"/>
  <c r="APN18" i="6"/>
  <c r="APN5" i="6"/>
  <c r="APC12" i="6"/>
  <c r="APB14" i="6"/>
  <c r="APL4" i="6"/>
  <c r="AOW6" i="6"/>
  <c r="AOV7" i="6"/>
  <c r="APP1" i="6"/>
  <c r="APO9" i="6"/>
  <c r="APO10" i="6"/>
  <c r="APO3" i="6"/>
  <c r="APO11" i="6"/>
  <c r="APO17" i="6"/>
  <c r="APO18" i="6"/>
  <c r="APO5" i="6"/>
  <c r="AOX6" i="6"/>
  <c r="AOW7" i="6"/>
  <c r="APM4" i="6"/>
  <c r="APD12" i="6"/>
  <c r="APC14" i="6"/>
  <c r="APQ1" i="6"/>
  <c r="APP3" i="6"/>
  <c r="APP9" i="6"/>
  <c r="APP10" i="6"/>
  <c r="APP11" i="6"/>
  <c r="APP17" i="6"/>
  <c r="APP18" i="6"/>
  <c r="APP5" i="6"/>
  <c r="APD14" i="6"/>
  <c r="APE12" i="6"/>
  <c r="APN4" i="6"/>
  <c r="AOY6" i="6"/>
  <c r="AOX7" i="6"/>
  <c r="APR1" i="6"/>
  <c r="APQ3" i="6"/>
  <c r="APQ9" i="6"/>
  <c r="APQ10" i="6"/>
  <c r="APQ11" i="6"/>
  <c r="APQ17" i="6"/>
  <c r="APQ18" i="6"/>
  <c r="APQ5" i="6"/>
  <c r="AOZ6" i="6"/>
  <c r="AOY7" i="6"/>
  <c r="APO4" i="6"/>
  <c r="APF12" i="6"/>
  <c r="APE14" i="6"/>
  <c r="APS1" i="6"/>
  <c r="APR9" i="6"/>
  <c r="APR10" i="6"/>
  <c r="APR3" i="6"/>
  <c r="APR11" i="6"/>
  <c r="APR17" i="6"/>
  <c r="APR18" i="6"/>
  <c r="APR5" i="6"/>
  <c r="APG12" i="6"/>
  <c r="APF14" i="6"/>
  <c r="APP4" i="6"/>
  <c r="APA6" i="6"/>
  <c r="AOZ7" i="6"/>
  <c r="APT1" i="6"/>
  <c r="APS9" i="6"/>
  <c r="APS10" i="6"/>
  <c r="APS11" i="6"/>
  <c r="APS17" i="6"/>
  <c r="APS18" i="6"/>
  <c r="APS5" i="6"/>
  <c r="APB6" i="6"/>
  <c r="APA7" i="6"/>
  <c r="APQ4" i="6"/>
  <c r="APH12" i="6"/>
  <c r="APG14" i="6"/>
  <c r="APU1" i="6"/>
  <c r="APT11" i="6"/>
  <c r="APT17" i="6"/>
  <c r="APT18" i="6"/>
  <c r="APT5" i="6"/>
  <c r="APS3" i="6"/>
  <c r="API12" i="6"/>
  <c r="APH14" i="6"/>
  <c r="APR4" i="6"/>
  <c r="APC6" i="6"/>
  <c r="APB7" i="6"/>
  <c r="APV1" i="6"/>
  <c r="APU3" i="6"/>
  <c r="APU9" i="6"/>
  <c r="APU11" i="6"/>
  <c r="APU17" i="6"/>
  <c r="APU18" i="6"/>
  <c r="APU5" i="6"/>
  <c r="APT9" i="6"/>
  <c r="APT10" i="6"/>
  <c r="APT3" i="6"/>
  <c r="APD6" i="6"/>
  <c r="APC7" i="6"/>
  <c r="APS4" i="6"/>
  <c r="APJ12" i="6"/>
  <c r="API14" i="6"/>
  <c r="APU10" i="6"/>
  <c r="APW1" i="6"/>
  <c r="APV3" i="6"/>
  <c r="APV9" i="6"/>
  <c r="APV10" i="6"/>
  <c r="APV11" i="6"/>
  <c r="APV17" i="6"/>
  <c r="APV18" i="6"/>
  <c r="APV5" i="6"/>
  <c r="APK12" i="6"/>
  <c r="APJ14" i="6"/>
  <c r="APT4" i="6"/>
  <c r="APE6" i="6"/>
  <c r="APD7" i="6"/>
  <c r="APX1" i="6"/>
  <c r="APW3" i="6"/>
  <c r="APW9" i="6"/>
  <c r="APW10" i="6"/>
  <c r="APW11" i="6"/>
  <c r="APW17" i="6"/>
  <c r="APW18" i="6"/>
  <c r="APW5" i="6"/>
  <c r="APF6" i="6"/>
  <c r="APE7" i="6"/>
  <c r="APU4" i="6"/>
  <c r="APK14" i="6"/>
  <c r="APL12" i="6"/>
  <c r="APY1" i="6"/>
  <c r="APX3" i="6"/>
  <c r="APX9" i="6"/>
  <c r="APX10" i="6"/>
  <c r="APX11" i="6"/>
  <c r="APX17" i="6"/>
  <c r="APX18" i="6"/>
  <c r="APX5" i="6"/>
  <c r="APM12" i="6"/>
  <c r="APL14" i="6"/>
  <c r="APV4" i="6"/>
  <c r="APG6" i="6"/>
  <c r="APF7" i="6"/>
  <c r="APZ1" i="6"/>
  <c r="APY3" i="6"/>
  <c r="APY9" i="6"/>
  <c r="APY10" i="6"/>
  <c r="APY11" i="6"/>
  <c r="APY17" i="6"/>
  <c r="APY18" i="6"/>
  <c r="APY5" i="6"/>
  <c r="APH6" i="6"/>
  <c r="APG7" i="6"/>
  <c r="APW4" i="6"/>
  <c r="APN12" i="6"/>
  <c r="APM14" i="6"/>
  <c r="AQA1" i="6"/>
  <c r="APZ9" i="6"/>
  <c r="APZ10" i="6"/>
  <c r="APZ3" i="6"/>
  <c r="APZ11" i="6"/>
  <c r="APZ17" i="6"/>
  <c r="APZ18" i="6"/>
  <c r="APZ5" i="6"/>
  <c r="APN14" i="6"/>
  <c r="APO12" i="6"/>
  <c r="APX4" i="6"/>
  <c r="API6" i="6"/>
  <c r="APH7" i="6"/>
  <c r="AQB1" i="6"/>
  <c r="AQA3" i="6"/>
  <c r="AQA9" i="6"/>
  <c r="AQA10" i="6"/>
  <c r="AQA11" i="6"/>
  <c r="AQA17" i="6"/>
  <c r="AQA18" i="6"/>
  <c r="AQA5" i="6"/>
  <c r="APJ6" i="6"/>
  <c r="API7" i="6"/>
  <c r="APY4" i="6"/>
  <c r="APP12" i="6"/>
  <c r="APO14" i="6"/>
  <c r="AQC1" i="6"/>
  <c r="AQB9" i="6"/>
  <c r="AQB10" i="6"/>
  <c r="AQB11" i="6"/>
  <c r="AQB17" i="6"/>
  <c r="AQB18" i="6"/>
  <c r="AQB5" i="6"/>
  <c r="APP14" i="6"/>
  <c r="APQ12" i="6"/>
  <c r="APZ4" i="6"/>
  <c r="APK6" i="6"/>
  <c r="APJ7" i="6"/>
  <c r="AQD1" i="6"/>
  <c r="AQC9" i="6"/>
  <c r="AQC10" i="6"/>
  <c r="AQC3" i="6"/>
  <c r="AQC11" i="6"/>
  <c r="AQC17" i="6"/>
  <c r="AQC18" i="6"/>
  <c r="AQC5" i="6"/>
  <c r="AQB3" i="6"/>
  <c r="APL6" i="6"/>
  <c r="APK7" i="6"/>
  <c r="AQA4" i="6"/>
  <c r="APR12" i="6"/>
  <c r="APQ14" i="6"/>
  <c r="AQD3" i="6"/>
  <c r="AQE1" i="6"/>
  <c r="AQD11" i="6"/>
  <c r="AQD17" i="6"/>
  <c r="AQD18" i="6"/>
  <c r="AQD5" i="6"/>
  <c r="APR14" i="6"/>
  <c r="APS12" i="6"/>
  <c r="AQB4" i="6"/>
  <c r="APM6" i="6"/>
  <c r="APL7" i="6"/>
  <c r="AQF1" i="6"/>
  <c r="AQE9" i="6"/>
  <c r="AQE11" i="6"/>
  <c r="AQE17" i="6"/>
  <c r="AQE18" i="6"/>
  <c r="AQE5" i="6"/>
  <c r="AQD9" i="6"/>
  <c r="AQD10" i="6"/>
  <c r="AQE10" i="6"/>
  <c r="APN6" i="6"/>
  <c r="APM7" i="6"/>
  <c r="AQC4" i="6"/>
  <c r="APT12" i="6"/>
  <c r="APS14" i="6"/>
  <c r="AQG1" i="6"/>
  <c r="AQF11" i="6"/>
  <c r="AQF17" i="6"/>
  <c r="AQF18" i="6"/>
  <c r="AQF5" i="6"/>
  <c r="AQE3" i="6"/>
  <c r="APU12" i="6"/>
  <c r="APT14" i="6"/>
  <c r="AQD4" i="6"/>
  <c r="APO6" i="6"/>
  <c r="APN7" i="6"/>
  <c r="AQH1" i="6"/>
  <c r="AQG9" i="6"/>
  <c r="AQG11" i="6"/>
  <c r="AQG17" i="6"/>
  <c r="AQG18" i="6"/>
  <c r="AQG5" i="6"/>
  <c r="AQF3" i="6"/>
  <c r="AQF9" i="6"/>
  <c r="AQF10" i="6"/>
  <c r="APP6" i="6"/>
  <c r="APO7" i="6"/>
  <c r="AQE4" i="6"/>
  <c r="APV12" i="6"/>
  <c r="APU14" i="6"/>
  <c r="AQG10" i="6"/>
  <c r="AQI1" i="6"/>
  <c r="AQH11" i="6"/>
  <c r="AQH9" i="6"/>
  <c r="AQG3" i="6"/>
  <c r="APW12" i="6"/>
  <c r="APV14" i="6"/>
  <c r="AQF4" i="6"/>
  <c r="APQ6" i="6"/>
  <c r="APP7" i="6"/>
  <c r="AQH5" i="6"/>
  <c r="AQH17" i="6"/>
  <c r="AQH18" i="6"/>
  <c r="AQJ1" i="6"/>
  <c r="AQI3" i="6"/>
  <c r="AQI9" i="6"/>
  <c r="AQI11" i="6"/>
  <c r="AQI17" i="6"/>
  <c r="AQI5" i="6"/>
  <c r="AQH3" i="6"/>
  <c r="AQH10" i="6"/>
  <c r="APR6" i="6"/>
  <c r="APQ7" i="6"/>
  <c r="AQG4" i="6"/>
  <c r="APX12" i="6"/>
  <c r="APW14" i="6"/>
  <c r="AQI10" i="6"/>
  <c r="AQK1" i="6"/>
  <c r="AQJ3" i="6"/>
  <c r="AQJ9" i="6"/>
  <c r="AQJ10" i="6"/>
  <c r="AQJ11" i="6"/>
  <c r="AQJ17" i="6"/>
  <c r="AQJ5" i="6"/>
  <c r="AQI18" i="6"/>
  <c r="APY12" i="6"/>
  <c r="APX14" i="6"/>
  <c r="AQH4" i="6"/>
  <c r="APS6" i="6"/>
  <c r="APR7" i="6"/>
  <c r="AQJ18" i="6"/>
  <c r="AQL1" i="6"/>
  <c r="AQK3" i="6"/>
  <c r="AQK9" i="6"/>
  <c r="AQK10" i="6"/>
  <c r="AQK11" i="6"/>
  <c r="AQK17" i="6"/>
  <c r="AQK5" i="6"/>
  <c r="APT6" i="6"/>
  <c r="APS7" i="6"/>
  <c r="AQI4" i="6"/>
  <c r="APZ12" i="6"/>
  <c r="APY14" i="6"/>
  <c r="AQK18" i="6"/>
  <c r="AQM1" i="6"/>
  <c r="AQL9" i="6"/>
  <c r="AQL10" i="6"/>
  <c r="AQL3" i="6"/>
  <c r="AQL11" i="6"/>
  <c r="AQL17" i="6"/>
  <c r="AQL18" i="6"/>
  <c r="AQL5" i="6"/>
  <c r="APZ14" i="6"/>
  <c r="AQA12" i="6"/>
  <c r="AQJ4" i="6"/>
  <c r="APU6" i="6"/>
  <c r="APT7" i="6"/>
  <c r="AQN1" i="6"/>
  <c r="AQM9" i="6"/>
  <c r="AQM10" i="6"/>
  <c r="AQM3" i="6"/>
  <c r="AQM11" i="6"/>
  <c r="AQM17" i="6"/>
  <c r="AQM18" i="6"/>
  <c r="AQM5" i="6"/>
  <c r="APV6" i="6"/>
  <c r="APU7" i="6"/>
  <c r="AQK4" i="6"/>
  <c r="AQA14" i="6"/>
  <c r="AQB12" i="6"/>
  <c r="AQO1" i="6"/>
  <c r="AQN3" i="6"/>
  <c r="AQN9" i="6"/>
  <c r="AQN10" i="6"/>
  <c r="AQN11" i="6"/>
  <c r="AQN17" i="6"/>
  <c r="AQN18" i="6"/>
  <c r="AQN5" i="6"/>
  <c r="AQC12" i="6"/>
  <c r="AQB14" i="6"/>
  <c r="AQL4" i="6"/>
  <c r="APW6" i="6"/>
  <c r="APV7" i="6"/>
  <c r="AQP1" i="6"/>
  <c r="APX6" i="6"/>
  <c r="APW7" i="6"/>
  <c r="AQM4" i="6"/>
  <c r="AQD12" i="6"/>
  <c r="AQC14" i="6"/>
  <c r="AQQ1" i="6"/>
  <c r="AQO3" i="6"/>
  <c r="AQO5" i="6"/>
  <c r="AQO17" i="6"/>
  <c r="AQO18" i="6"/>
  <c r="AQO11" i="6"/>
  <c r="AQO9" i="6"/>
  <c r="AQO10" i="6"/>
  <c r="AQE12" i="6"/>
  <c r="AQD14" i="6"/>
  <c r="AQN4" i="6"/>
  <c r="APY6" i="6"/>
  <c r="APX7" i="6"/>
  <c r="AQQ3" i="6"/>
  <c r="AQR1" i="6"/>
  <c r="AQQ11" i="6"/>
  <c r="AQQ17" i="6"/>
  <c r="AQQ5" i="6"/>
  <c r="AQP5" i="6"/>
  <c r="AQP17" i="6"/>
  <c r="AQP18" i="6"/>
  <c r="AQP11" i="6"/>
  <c r="AQP3" i="6"/>
  <c r="AQP9" i="6"/>
  <c r="AQP10" i="6"/>
  <c r="APZ6" i="6"/>
  <c r="APY7" i="6"/>
  <c r="AQO4" i="6"/>
  <c r="AQE14" i="6"/>
  <c r="AQF12" i="6"/>
  <c r="AQQ18" i="6"/>
  <c r="AQS1" i="6"/>
  <c r="AQR9" i="6"/>
  <c r="AQR11" i="6"/>
  <c r="AQR17" i="6"/>
  <c r="AQR18" i="6"/>
  <c r="AQR5" i="6"/>
  <c r="AQQ9" i="6"/>
  <c r="AQQ10" i="6"/>
  <c r="AQG12" i="6"/>
  <c r="AQF14" i="6"/>
  <c r="AQP4" i="6"/>
  <c r="AQA6" i="6"/>
  <c r="APZ7" i="6"/>
  <c r="AQR10" i="6"/>
  <c r="AQT1" i="6"/>
  <c r="AQS3" i="6"/>
  <c r="AQS9" i="6"/>
  <c r="AQS10" i="6"/>
  <c r="AQS11" i="6"/>
  <c r="AQS17" i="6"/>
  <c r="AQS18" i="6"/>
  <c r="AQS5" i="6"/>
  <c r="AQR3" i="6"/>
  <c r="AQB6" i="6"/>
  <c r="AQA7" i="6"/>
  <c r="AQQ4" i="6"/>
  <c r="AQH12" i="6"/>
  <c r="AQG14" i="6"/>
  <c r="AQU1" i="6"/>
  <c r="AQT3" i="6"/>
  <c r="AQT9" i="6"/>
  <c r="AQT10" i="6"/>
  <c r="AQT11" i="6"/>
  <c r="AQT17" i="6"/>
  <c r="AQT18" i="6"/>
  <c r="AQT5" i="6"/>
  <c r="AQI12" i="6"/>
  <c r="AQH14" i="6"/>
  <c r="AQR4" i="6"/>
  <c r="AQC6" i="6"/>
  <c r="AQB7" i="6"/>
  <c r="AQV1" i="6"/>
  <c r="AQU3" i="6"/>
  <c r="AQU9" i="6"/>
  <c r="AQU10" i="6"/>
  <c r="AQU11" i="6"/>
  <c r="AQU17" i="6"/>
  <c r="AQU18" i="6"/>
  <c r="AQU5" i="6"/>
  <c r="AQD6" i="6"/>
  <c r="AQC7" i="6"/>
  <c r="AQS4" i="6"/>
  <c r="AQJ12" i="6"/>
  <c r="AQI14" i="6"/>
  <c r="AQW1" i="6"/>
  <c r="AQJ14" i="6"/>
  <c r="AQK12" i="6"/>
  <c r="AQT4" i="6"/>
  <c r="AQE6" i="6"/>
  <c r="AQD7" i="6"/>
  <c r="AQX1" i="6"/>
  <c r="AQW3" i="6"/>
  <c r="AQW9" i="6"/>
  <c r="AQV5" i="6"/>
  <c r="AQV17" i="6"/>
  <c r="AQV18" i="6"/>
  <c r="AQV11" i="6"/>
  <c r="AQV9" i="6"/>
  <c r="AQV10" i="6"/>
  <c r="AQV3" i="6"/>
  <c r="AQF6" i="6"/>
  <c r="AQE7" i="6"/>
  <c r="AQU4" i="6"/>
  <c r="AQL12" i="6"/>
  <c r="AQK14" i="6"/>
  <c r="AQW10" i="6"/>
  <c r="AQW5" i="6"/>
  <c r="AQW17" i="6"/>
  <c r="AQW18" i="6"/>
  <c r="AQW11" i="6"/>
  <c r="AQY1" i="6"/>
  <c r="AQX3" i="6"/>
  <c r="AQX9" i="6"/>
  <c r="AQX11" i="6"/>
  <c r="AQX17" i="6"/>
  <c r="AQX5" i="6"/>
  <c r="AQV4" i="6"/>
  <c r="AQM12" i="6"/>
  <c r="AQL14" i="6"/>
  <c r="AQG6" i="6"/>
  <c r="AQF7" i="6"/>
  <c r="AQZ1" i="6"/>
  <c r="AQY11" i="6"/>
  <c r="AQY17" i="6"/>
  <c r="AQY5" i="6"/>
  <c r="AQX18" i="6"/>
  <c r="AQX10" i="6"/>
  <c r="AQH6" i="6"/>
  <c r="AQG7" i="6"/>
  <c r="AQN12" i="6"/>
  <c r="AQM14" i="6"/>
  <c r="AQW4" i="6"/>
  <c r="AQY18" i="6"/>
  <c r="AQZ9" i="6"/>
  <c r="ARA1" i="6"/>
  <c r="AQZ3" i="6"/>
  <c r="AQZ11" i="6"/>
  <c r="AQZ17" i="6"/>
  <c r="AQZ18" i="6"/>
  <c r="AQZ5" i="6"/>
  <c r="AQY9" i="6"/>
  <c r="AQY10" i="6"/>
  <c r="AQY3" i="6"/>
  <c r="AQX4" i="6"/>
  <c r="AQN14" i="6"/>
  <c r="AQO12" i="6"/>
  <c r="AQI6" i="6"/>
  <c r="AQH7" i="6"/>
  <c r="AQZ10" i="6"/>
  <c r="ARB1" i="6"/>
  <c r="ARA3" i="6"/>
  <c r="ARA9" i="6"/>
  <c r="ARA10" i="6"/>
  <c r="ARA11" i="6"/>
  <c r="ARA17" i="6"/>
  <c r="ARA18" i="6"/>
  <c r="ARA5" i="6"/>
  <c r="AQJ6" i="6"/>
  <c r="AQI7" i="6"/>
  <c r="AQP12" i="6"/>
  <c r="AQO14" i="6"/>
  <c r="AQY4" i="6"/>
  <c r="ARC1" i="6"/>
  <c r="ARB3" i="6"/>
  <c r="ARB9" i="6"/>
  <c r="ARB10" i="6"/>
  <c r="ARB11" i="6"/>
  <c r="ARB17" i="6"/>
  <c r="ARB18" i="6"/>
  <c r="ARB5" i="6"/>
  <c r="AQZ4" i="6"/>
  <c r="AQQ12" i="6"/>
  <c r="AQP14" i="6"/>
  <c r="AQK6" i="6"/>
  <c r="AQJ7" i="6"/>
  <c r="ARD1" i="6"/>
  <c r="ARC3" i="6"/>
  <c r="ARC9" i="6"/>
  <c r="ARC10" i="6"/>
  <c r="ARC11" i="6"/>
  <c r="ARC17" i="6"/>
  <c r="ARC18" i="6"/>
  <c r="ARC5" i="6"/>
  <c r="AQL6" i="6"/>
  <c r="AQK7" i="6"/>
  <c r="AQR12" i="6"/>
  <c r="AQQ14" i="6"/>
  <c r="ARA4" i="6"/>
  <c r="ARE1" i="6"/>
  <c r="ARD3" i="6"/>
  <c r="ARD9" i="6"/>
  <c r="ARD10" i="6"/>
  <c r="ARD11" i="6"/>
  <c r="ARD17" i="6"/>
  <c r="ARD18" i="6"/>
  <c r="ARD5" i="6"/>
  <c r="ARB4" i="6"/>
  <c r="AQR14" i="6"/>
  <c r="AQS12" i="6"/>
  <c r="AQM6" i="6"/>
  <c r="AQL7" i="6"/>
  <c r="ARF1" i="6"/>
  <c r="ARE9" i="6"/>
  <c r="ARE10" i="6"/>
  <c r="ARE11" i="6"/>
  <c r="ARE17" i="6"/>
  <c r="ARE18" i="6"/>
  <c r="ARE5" i="6"/>
  <c r="AQN6" i="6"/>
  <c r="AQM7" i="6"/>
  <c r="AQT12" i="6"/>
  <c r="AQS14" i="6"/>
  <c r="ARC4" i="6"/>
  <c r="ARF3" i="6"/>
  <c r="ARG1" i="6"/>
  <c r="ARF9" i="6"/>
  <c r="ARF10" i="6"/>
  <c r="ARF11" i="6"/>
  <c r="ARF17" i="6"/>
  <c r="ARF18" i="6"/>
  <c r="ARF5" i="6"/>
  <c r="ARE3" i="6"/>
  <c r="ARD4" i="6"/>
  <c r="AQU12" i="6"/>
  <c r="AQT14" i="6"/>
  <c r="AQO6" i="6"/>
  <c r="AQN7" i="6"/>
  <c r="ARG3" i="6"/>
  <c r="ARH1" i="6"/>
  <c r="ARG9" i="6"/>
  <c r="ARG10" i="6"/>
  <c r="ARG11" i="6"/>
  <c r="ARG17" i="6"/>
  <c r="ARG18" i="6"/>
  <c r="ARG5" i="6"/>
  <c r="AQP6" i="6"/>
  <c r="AQO7" i="6"/>
  <c r="AQU14" i="6"/>
  <c r="AQV12" i="6"/>
  <c r="ARE4" i="6"/>
  <c r="ARI1" i="6"/>
  <c r="ARH3" i="6"/>
  <c r="ARH9" i="6"/>
  <c r="ARH10" i="6"/>
  <c r="ARH11" i="6"/>
  <c r="ARH17" i="6"/>
  <c r="ARH18" i="6"/>
  <c r="ARH5" i="6"/>
  <c r="ARF4" i="6"/>
  <c r="AQW12" i="6"/>
  <c r="AQV14" i="6"/>
  <c r="AQQ6" i="6"/>
  <c r="AQP7" i="6"/>
  <c r="ARJ1" i="6"/>
  <c r="ARI9" i="6"/>
  <c r="ARI10" i="6"/>
  <c r="ARI11" i="6"/>
  <c r="ARI17" i="6"/>
  <c r="ARI18" i="6"/>
  <c r="ARI5" i="6"/>
  <c r="AQR6" i="6"/>
  <c r="AQQ7" i="6"/>
  <c r="AQW14" i="6"/>
  <c r="AQX12" i="6"/>
  <c r="ARG4" i="6"/>
  <c r="ARK1" i="6"/>
  <c r="ARJ3" i="6"/>
  <c r="ARJ9" i="6"/>
  <c r="ARJ10" i="6"/>
  <c r="ARJ11" i="6"/>
  <c r="ARJ17" i="6"/>
  <c r="ARJ18" i="6"/>
  <c r="ARJ5" i="6"/>
  <c r="ARI3" i="6"/>
  <c r="ARH4" i="6"/>
  <c r="AQY12" i="6"/>
  <c r="AQX14" i="6"/>
  <c r="AQS6" i="6"/>
  <c r="AQR7" i="6"/>
  <c r="ARL1" i="6"/>
  <c r="AQT6" i="6"/>
  <c r="AQS7" i="6"/>
  <c r="AQZ12" i="6"/>
  <c r="AQY14" i="6"/>
  <c r="ARI4" i="6"/>
  <c r="ARM1" i="6"/>
  <c r="ARL3" i="6"/>
  <c r="ARK3" i="6"/>
  <c r="ARK5" i="6"/>
  <c r="ARK17" i="6"/>
  <c r="ARK18" i="6"/>
  <c r="ARK11" i="6"/>
  <c r="ARK9" i="6"/>
  <c r="ARK10" i="6"/>
  <c r="ARJ4" i="6"/>
  <c r="ARA12" i="6"/>
  <c r="AQZ14" i="6"/>
  <c r="AQU6" i="6"/>
  <c r="AQT7" i="6"/>
  <c r="ARL5" i="6"/>
  <c r="ARL17" i="6"/>
  <c r="ARL18" i="6"/>
  <c r="ARL11" i="6"/>
  <c r="ARL9" i="6"/>
  <c r="ARL10" i="6"/>
  <c r="ARN1" i="6"/>
  <c r="ARM9" i="6"/>
  <c r="ARM11" i="6"/>
  <c r="ARM17" i="6"/>
  <c r="ARM5" i="6"/>
  <c r="AQV6" i="6"/>
  <c r="AQU7" i="6"/>
  <c r="ARB12" i="6"/>
  <c r="ARA14" i="6"/>
  <c r="ARK4" i="6"/>
  <c r="ARM10" i="6"/>
  <c r="ARM18" i="6"/>
  <c r="ARO1" i="6"/>
  <c r="ARN11" i="6"/>
  <c r="ARN9" i="6"/>
  <c r="ARN10" i="6"/>
  <c r="ARN17" i="6"/>
  <c r="ARN18" i="6"/>
  <c r="ARN5" i="6"/>
  <c r="ARM3" i="6"/>
  <c r="ARL4" i="6"/>
  <c r="ARC12" i="6"/>
  <c r="ARB14" i="6"/>
  <c r="AQW6" i="6"/>
  <c r="AQV7" i="6"/>
  <c r="ARP1" i="6"/>
  <c r="ARO3" i="6"/>
  <c r="ARN3" i="6"/>
  <c r="AQX6" i="6"/>
  <c r="AQW7" i="6"/>
  <c r="ARD12" i="6"/>
  <c r="ARC14" i="6"/>
  <c r="ARM4" i="6"/>
  <c r="ARO9" i="6"/>
  <c r="ARO10" i="6"/>
  <c r="ARO5" i="6"/>
  <c r="ARO17" i="6"/>
  <c r="ARO18" i="6"/>
  <c r="ARO11" i="6"/>
  <c r="ARQ1" i="6"/>
  <c r="ARP3" i="6"/>
  <c r="ARP11" i="6"/>
  <c r="ARP17" i="6"/>
  <c r="ARP5" i="6"/>
  <c r="ARN4" i="6"/>
  <c r="ARE12" i="6"/>
  <c r="ARD14" i="6"/>
  <c r="AQY6" i="6"/>
  <c r="AQX7" i="6"/>
  <c r="ARP18" i="6"/>
  <c r="ARR1" i="6"/>
  <c r="ARQ9" i="6"/>
  <c r="ARQ3" i="6"/>
  <c r="ARQ11" i="6"/>
  <c r="ARQ17" i="6"/>
  <c r="ARQ18" i="6"/>
  <c r="ARQ5" i="6"/>
  <c r="ARP9" i="6"/>
  <c r="ARP10" i="6"/>
  <c r="AQZ6" i="6"/>
  <c r="AQY7" i="6"/>
  <c r="ARF12" i="6"/>
  <c r="ARE14" i="6"/>
  <c r="ARO4" i="6"/>
  <c r="ARQ10" i="6"/>
  <c r="ARS1" i="6"/>
  <c r="ARR9" i="6"/>
  <c r="ARR10" i="6"/>
  <c r="ARR3" i="6"/>
  <c r="ARR11" i="6"/>
  <c r="ARR17" i="6"/>
  <c r="ARR18" i="6"/>
  <c r="ARR5" i="6"/>
  <c r="ARP4" i="6"/>
  <c r="ARF14" i="6"/>
  <c r="ARG12" i="6"/>
  <c r="ARA6" i="6"/>
  <c r="AQZ7" i="6"/>
  <c r="ART1" i="6"/>
  <c r="ARS3" i="6"/>
  <c r="ARS9" i="6"/>
  <c r="ARS10" i="6"/>
  <c r="ARS11" i="6"/>
  <c r="ARS17" i="6"/>
  <c r="ARS18" i="6"/>
  <c r="ARS5" i="6"/>
  <c r="ARB6" i="6"/>
  <c r="ARA7" i="6"/>
  <c r="ARH12" i="6"/>
  <c r="ARG14" i="6"/>
  <c r="ARQ4" i="6"/>
  <c r="ARU1" i="6"/>
  <c r="ART3" i="6"/>
  <c r="ART9" i="6"/>
  <c r="ART10" i="6"/>
  <c r="ART11" i="6"/>
  <c r="ART17" i="6"/>
  <c r="ART18" i="6"/>
  <c r="ART5" i="6"/>
  <c r="ARR4" i="6"/>
  <c r="ARH14" i="6"/>
  <c r="ARI12" i="6"/>
  <c r="ARC6" i="6"/>
  <c r="ARB7" i="6"/>
  <c r="ARV1" i="6"/>
  <c r="ARU9" i="6"/>
  <c r="ARU10" i="6"/>
  <c r="ARU3" i="6"/>
  <c r="ARU11" i="6"/>
  <c r="ARU17" i="6"/>
  <c r="ARU18" i="6"/>
  <c r="ARU5" i="6"/>
  <c r="ARD6" i="6"/>
  <c r="ARC7" i="6"/>
  <c r="ARJ12" i="6"/>
  <c r="ARI14" i="6"/>
  <c r="ARS4" i="6"/>
  <c r="ARW1" i="6"/>
  <c r="ART4" i="6"/>
  <c r="ARJ14" i="6"/>
  <c r="ARK12" i="6"/>
  <c r="ARE6" i="6"/>
  <c r="ARD7" i="6"/>
  <c r="ARX1" i="6"/>
  <c r="ARW11" i="6"/>
  <c r="ARW3" i="6"/>
  <c r="ARW9" i="6"/>
  <c r="ARW17" i="6"/>
  <c r="ARW5" i="6"/>
  <c r="ARV5" i="6"/>
  <c r="ARV17" i="6"/>
  <c r="ARV18" i="6"/>
  <c r="ARV11" i="6"/>
  <c r="ARV9" i="6"/>
  <c r="ARV10" i="6"/>
  <c r="ARV3" i="6"/>
  <c r="ARF6" i="6"/>
  <c r="ARE7" i="6"/>
  <c r="ARL12" i="6"/>
  <c r="ARK14" i="6"/>
  <c r="ARU4" i="6"/>
  <c r="ARW10" i="6"/>
  <c r="ARW18" i="6"/>
  <c r="ARY1" i="6"/>
  <c r="ARX9" i="6"/>
  <c r="ARX11" i="6"/>
  <c r="ARX17" i="6"/>
  <c r="ARX5" i="6"/>
  <c r="ARV4" i="6"/>
  <c r="ARL14" i="6"/>
  <c r="ARM12" i="6"/>
  <c r="ARG6" i="6"/>
  <c r="ARF7" i="6"/>
  <c r="ARZ1" i="6"/>
  <c r="ARY5" i="6"/>
  <c r="ARX3" i="6"/>
  <c r="ARX18" i="6"/>
  <c r="ARX10" i="6"/>
  <c r="ARH6" i="6"/>
  <c r="ARG7" i="6"/>
  <c r="ARN12" i="6"/>
  <c r="ARM14" i="6"/>
  <c r="ARW4" i="6"/>
  <c r="ARY17" i="6"/>
  <c r="ARY18" i="6"/>
  <c r="ARY11" i="6"/>
  <c r="ARY9" i="6"/>
  <c r="ARY10" i="6"/>
  <c r="ARY3" i="6"/>
  <c r="ASA1" i="6"/>
  <c r="ARZ11" i="6"/>
  <c r="ARZ17" i="6"/>
  <c r="ARZ5" i="6"/>
  <c r="ARX4" i="6"/>
  <c r="ARO12" i="6"/>
  <c r="ARN14" i="6"/>
  <c r="ARI6" i="6"/>
  <c r="ARH7" i="6"/>
  <c r="ARZ18" i="6"/>
  <c r="ASA3" i="6"/>
  <c r="ASA9" i="6"/>
  <c r="ASB1" i="6"/>
  <c r="ASA11" i="6"/>
  <c r="ASA17" i="6"/>
  <c r="ASA18" i="6"/>
  <c r="ASA5" i="6"/>
  <c r="ARZ9" i="6"/>
  <c r="ARZ10" i="6"/>
  <c r="ARZ3" i="6"/>
  <c r="ARJ6" i="6"/>
  <c r="ARI7" i="6"/>
  <c r="ARP12" i="6"/>
  <c r="ARO14" i="6"/>
  <c r="ARY4" i="6"/>
  <c r="ASA10" i="6"/>
  <c r="ASC1" i="6"/>
  <c r="ASB3" i="6"/>
  <c r="ASB11" i="6"/>
  <c r="ASB17" i="6"/>
  <c r="ASB18" i="6"/>
  <c r="ASB5" i="6"/>
  <c r="ARZ4" i="6"/>
  <c r="ARQ12" i="6"/>
  <c r="ARP14" i="6"/>
  <c r="ARK6" i="6"/>
  <c r="ARJ7" i="6"/>
  <c r="ASD1" i="6"/>
  <c r="ASC11" i="6"/>
  <c r="ASC17" i="6"/>
  <c r="ASC18" i="6"/>
  <c r="ASC5" i="6"/>
  <c r="ASB9" i="6"/>
  <c r="ASB10" i="6"/>
  <c r="ARL6" i="6"/>
  <c r="ARK7" i="6"/>
  <c r="ARQ14" i="6"/>
  <c r="ARR12" i="6"/>
  <c r="ASA4" i="6"/>
  <c r="ASE1" i="6"/>
  <c r="ASD3" i="6"/>
  <c r="ASD11" i="6"/>
  <c r="ASD17" i="6"/>
  <c r="ASD18" i="6"/>
  <c r="ASD5" i="6"/>
  <c r="ASC9" i="6"/>
  <c r="ASC10" i="6"/>
  <c r="ASC3" i="6"/>
  <c r="ASB4" i="6"/>
  <c r="ARS12" i="6"/>
  <c r="ARR14" i="6"/>
  <c r="ARM6" i="6"/>
  <c r="ARL7" i="6"/>
  <c r="ASF1" i="6"/>
  <c r="ASE3" i="6"/>
  <c r="ASE9" i="6"/>
  <c r="ASE11" i="6"/>
  <c r="ASE17" i="6"/>
  <c r="ASE18" i="6"/>
  <c r="ASE5" i="6"/>
  <c r="ASD9" i="6"/>
  <c r="ASD10" i="6"/>
  <c r="ARN6" i="6"/>
  <c r="ARM7" i="6"/>
  <c r="ART12" i="6"/>
  <c r="ARS14" i="6"/>
  <c r="ASC4" i="6"/>
  <c r="ASE10" i="6"/>
  <c r="ASG1" i="6"/>
  <c r="ASF3" i="6"/>
  <c r="ASD4" i="6"/>
  <c r="ARU12" i="6"/>
  <c r="ART14" i="6"/>
  <c r="ARO6" i="6"/>
  <c r="ARN7" i="6"/>
  <c r="ASH1" i="6"/>
  <c r="ASG9" i="6"/>
  <c r="ASF5" i="6"/>
  <c r="ASF17" i="6"/>
  <c r="ASF18" i="6"/>
  <c r="ASF11" i="6"/>
  <c r="ASF9" i="6"/>
  <c r="ASF10" i="6"/>
  <c r="ARP6" i="6"/>
  <c r="ARO7" i="6"/>
  <c r="ARU14" i="6"/>
  <c r="ARV12" i="6"/>
  <c r="ASE4" i="6"/>
  <c r="ASI1" i="6"/>
  <c r="ASH3" i="6"/>
  <c r="ASH9" i="6"/>
  <c r="ASH11" i="6"/>
  <c r="ASH17" i="6"/>
  <c r="ASH5" i="6"/>
  <c r="ASG10" i="6"/>
  <c r="ASG5" i="6"/>
  <c r="ASG17" i="6"/>
  <c r="ASG18" i="6"/>
  <c r="ASG11" i="6"/>
  <c r="ASG3" i="6"/>
  <c r="ASF4" i="6"/>
  <c r="ARW12" i="6"/>
  <c r="ARV14" i="6"/>
  <c r="ARQ6" i="6"/>
  <c r="ARP7" i="6"/>
  <c r="ASH10" i="6"/>
  <c r="ASH18" i="6"/>
  <c r="ASJ1" i="6"/>
  <c r="ASI3" i="6"/>
  <c r="ASI9" i="6"/>
  <c r="ASI10" i="6"/>
  <c r="ASI11" i="6"/>
  <c r="ASI17" i="6"/>
  <c r="ASI18" i="6"/>
  <c r="ASI5" i="6"/>
  <c r="ARR6" i="6"/>
  <c r="ARQ7" i="6"/>
  <c r="ARW14" i="6"/>
  <c r="ARX12" i="6"/>
  <c r="ASG4" i="6"/>
  <c r="ASK1" i="6"/>
  <c r="ASJ3" i="6"/>
  <c r="ASJ9" i="6"/>
  <c r="ASJ10" i="6"/>
  <c r="ASJ11" i="6"/>
  <c r="ASJ17" i="6"/>
  <c r="ASJ18" i="6"/>
  <c r="ASJ5" i="6"/>
  <c r="ASH4" i="6"/>
  <c r="ARY12" i="6"/>
  <c r="ARX14" i="6"/>
  <c r="ARS6" i="6"/>
  <c r="ARR7" i="6"/>
  <c r="ASL1" i="6"/>
  <c r="ASK3" i="6"/>
  <c r="ASK9" i="6"/>
  <c r="ASK10" i="6"/>
  <c r="ASK11" i="6"/>
  <c r="ASK17" i="6"/>
  <c r="ASK18" i="6"/>
  <c r="ASK5" i="6"/>
  <c r="ART6" i="6"/>
  <c r="ARS7" i="6"/>
  <c r="ARZ12" i="6"/>
  <c r="ARY14" i="6"/>
  <c r="ASI4" i="6"/>
  <c r="ASM1" i="6"/>
  <c r="ASL9" i="6"/>
  <c r="ASL10" i="6"/>
  <c r="ASL11" i="6"/>
  <c r="ASL17" i="6"/>
  <c r="ASL18" i="6"/>
  <c r="ASL5" i="6"/>
  <c r="ASJ4" i="6"/>
  <c r="ARZ14" i="6"/>
  <c r="ASA12" i="6"/>
  <c r="ARU6" i="6"/>
  <c r="ART7" i="6"/>
  <c r="ASN1" i="6"/>
  <c r="ASM3" i="6"/>
  <c r="ASM9" i="6"/>
  <c r="ASM10" i="6"/>
  <c r="ASM11" i="6"/>
  <c r="ASM17" i="6"/>
  <c r="ASM18" i="6"/>
  <c r="ASM5" i="6"/>
  <c r="ASL3" i="6"/>
  <c r="ASB12" i="6"/>
  <c r="ASA14" i="6"/>
  <c r="ARV6" i="6"/>
  <c r="ARU7" i="6"/>
  <c r="ASK4" i="6"/>
  <c r="ASO1" i="6"/>
  <c r="ASN3" i="6"/>
  <c r="ASL4" i="6"/>
  <c r="ARW6" i="6"/>
  <c r="ARV7" i="6"/>
  <c r="ASC12" i="6"/>
  <c r="ASB14" i="6"/>
  <c r="ASP1" i="6"/>
  <c r="ASO17" i="6"/>
  <c r="ASO9" i="6"/>
  <c r="ASO3" i="6"/>
  <c r="ASO11" i="6"/>
  <c r="ASN5" i="6"/>
  <c r="ASN17" i="6"/>
  <c r="ASN18" i="6"/>
  <c r="ASN11" i="6"/>
  <c r="ASN9" i="6"/>
  <c r="ASN10" i="6"/>
  <c r="ASD12" i="6"/>
  <c r="ASC14" i="6"/>
  <c r="ARX6" i="6"/>
  <c r="ARW7" i="6"/>
  <c r="ASM4" i="6"/>
  <c r="ASO10" i="6"/>
  <c r="ASO18" i="6"/>
  <c r="ASO5" i="6"/>
  <c r="ASQ1" i="6"/>
  <c r="ASP9" i="6"/>
  <c r="ASP11" i="6"/>
  <c r="ASP17" i="6"/>
  <c r="ASP5" i="6"/>
  <c r="ASN4" i="6"/>
  <c r="ARY6" i="6"/>
  <c r="ARX7" i="6"/>
  <c r="ASE12" i="6"/>
  <c r="ASD14" i="6"/>
  <c r="ASP10" i="6"/>
  <c r="ASP18" i="6"/>
  <c r="ASQ3" i="6"/>
  <c r="ASR1" i="6"/>
  <c r="ASQ9" i="6"/>
  <c r="ASQ10" i="6"/>
  <c r="ASQ11" i="6"/>
  <c r="ASQ17" i="6"/>
  <c r="ASQ5" i="6"/>
  <c r="ASP3" i="6"/>
  <c r="ASE14" i="6"/>
  <c r="ASF12" i="6"/>
  <c r="ARZ6" i="6"/>
  <c r="ARY7" i="6"/>
  <c r="ASO4" i="6"/>
  <c r="ASQ18" i="6"/>
  <c r="ASS1" i="6"/>
  <c r="ASP4" i="6"/>
  <c r="ASA6" i="6"/>
  <c r="ARZ7" i="6"/>
  <c r="ASF14" i="6"/>
  <c r="ASG12" i="6"/>
  <c r="AST1" i="6"/>
  <c r="ASS9" i="6"/>
  <c r="ASS3" i="6"/>
  <c r="ASS11" i="6"/>
  <c r="ASR3" i="6"/>
  <c r="ASR5" i="6"/>
  <c r="ASR17" i="6"/>
  <c r="ASR18" i="6"/>
  <c r="ASR11" i="6"/>
  <c r="ASR9" i="6"/>
  <c r="ASR10" i="6"/>
  <c r="ASH12" i="6"/>
  <c r="ASG14" i="6"/>
  <c r="ASB6" i="6"/>
  <c r="ASA7" i="6"/>
  <c r="ASQ4" i="6"/>
  <c r="ASU1" i="6"/>
  <c r="AST9" i="6"/>
  <c r="AST3" i="6"/>
  <c r="ASS10" i="6"/>
  <c r="ASS5" i="6"/>
  <c r="ASS17" i="6"/>
  <c r="ASS18" i="6"/>
  <c r="ASR4" i="6"/>
  <c r="ASC6" i="6"/>
  <c r="ASB7" i="6"/>
  <c r="ASH14" i="6"/>
  <c r="ASI12" i="6"/>
  <c r="AST10" i="6"/>
  <c r="AST5" i="6"/>
  <c r="AST17" i="6"/>
  <c r="AST18" i="6"/>
  <c r="AST11" i="6"/>
  <c r="ASV1" i="6"/>
  <c r="ASU9" i="6"/>
  <c r="ASU3" i="6"/>
  <c r="ASU11" i="6"/>
  <c r="ASU17" i="6"/>
  <c r="ASU5" i="6"/>
  <c r="ASJ12" i="6"/>
  <c r="ASI14" i="6"/>
  <c r="ASD6" i="6"/>
  <c r="ASC7" i="6"/>
  <c r="ASS4" i="6"/>
  <c r="ASU18" i="6"/>
  <c r="ASW1" i="6"/>
  <c r="ASV9" i="6"/>
  <c r="ASV11" i="6"/>
  <c r="ASV17" i="6"/>
  <c r="ASV18" i="6"/>
  <c r="ASU10" i="6"/>
  <c r="AST4" i="6"/>
  <c r="ASE6" i="6"/>
  <c r="ASD7" i="6"/>
  <c r="ASJ14" i="6"/>
  <c r="ASK12" i="6"/>
  <c r="ASX1" i="6"/>
  <c r="ASW9" i="6"/>
  <c r="ASW3" i="6"/>
  <c r="ASW11" i="6"/>
  <c r="ASW17" i="6"/>
  <c r="ASW18" i="6"/>
  <c r="ASW5" i="6"/>
  <c r="ASV10" i="6"/>
  <c r="ASV5" i="6"/>
  <c r="ASV3" i="6"/>
  <c r="ASL12" i="6"/>
  <c r="ASK14" i="6"/>
  <c r="ASF6" i="6"/>
  <c r="ASE7" i="6"/>
  <c r="ASU4" i="6"/>
  <c r="ASW10" i="6"/>
  <c r="ASY1" i="6"/>
  <c r="ASX11" i="6"/>
  <c r="ASX3" i="6"/>
  <c r="ASX9" i="6"/>
  <c r="ASV4" i="6"/>
  <c r="ASG6" i="6"/>
  <c r="ASF7" i="6"/>
  <c r="ASM12" i="6"/>
  <c r="ASL14" i="6"/>
  <c r="ASX5" i="6"/>
  <c r="ASX17" i="6"/>
  <c r="ASX18" i="6"/>
  <c r="ASZ1" i="6"/>
  <c r="ASX10" i="6"/>
  <c r="ASN12" i="6"/>
  <c r="ASM14" i="6"/>
  <c r="ASH6" i="6"/>
  <c r="ASG7" i="6"/>
  <c r="ASW4" i="6"/>
  <c r="ATA1" i="6"/>
  <c r="ASZ9" i="6"/>
  <c r="ASZ11" i="6"/>
  <c r="ASZ17" i="6"/>
  <c r="ASZ5" i="6"/>
  <c r="ASY5" i="6"/>
  <c r="ASY17" i="6"/>
  <c r="ASY18" i="6"/>
  <c r="ASY11" i="6"/>
  <c r="ASY3" i="6"/>
  <c r="ASY9" i="6"/>
  <c r="ASY10" i="6"/>
  <c r="ASZ10" i="6"/>
  <c r="ASX4" i="6"/>
  <c r="ASI6" i="6"/>
  <c r="ASH7" i="6"/>
  <c r="ASN14" i="6"/>
  <c r="ASO12" i="6"/>
  <c r="ASZ18" i="6"/>
  <c r="ATB1" i="6"/>
  <c r="ATA3" i="6"/>
  <c r="ATA9" i="6"/>
  <c r="ATA10" i="6"/>
  <c r="ATA11" i="6"/>
  <c r="ATA17" i="6"/>
  <c r="ATA18" i="6"/>
  <c r="ATA5" i="6"/>
  <c r="ASZ3" i="6"/>
  <c r="ASP12" i="6"/>
  <c r="ASO14" i="6"/>
  <c r="ASJ6" i="6"/>
  <c r="ASI7" i="6"/>
  <c r="ASY4" i="6"/>
  <c r="ATC1" i="6"/>
  <c r="ATB3" i="6"/>
  <c r="ATB9" i="6"/>
  <c r="ATB10" i="6"/>
  <c r="ATB11" i="6"/>
  <c r="ATB17" i="6"/>
  <c r="ATB18" i="6"/>
  <c r="ATB5" i="6"/>
  <c r="ASZ4" i="6"/>
  <c r="ASK6" i="6"/>
  <c r="ASJ7" i="6"/>
  <c r="ASQ12" i="6"/>
  <c r="ASP14" i="6"/>
  <c r="ATD1" i="6"/>
  <c r="ATC9" i="6"/>
  <c r="ATC10" i="6"/>
  <c r="ATC3" i="6"/>
  <c r="ATC11" i="6"/>
  <c r="ATC17" i="6"/>
  <c r="ATC18" i="6"/>
  <c r="ATC5" i="6"/>
  <c r="ASR12" i="6"/>
  <c r="ASQ14" i="6"/>
  <c r="ASL6" i="6"/>
  <c r="ASK7" i="6"/>
  <c r="ATA4" i="6"/>
  <c r="ATE1" i="6"/>
  <c r="ATD9" i="6"/>
  <c r="ATD10" i="6"/>
  <c r="ATD11" i="6"/>
  <c r="ATD17" i="6"/>
  <c r="ATD18" i="6"/>
  <c r="ATD5" i="6"/>
  <c r="ATB4" i="6"/>
  <c r="ASM6" i="6"/>
  <c r="ASL7" i="6"/>
  <c r="ASS12" i="6"/>
  <c r="ASR14" i="6"/>
  <c r="ATF1" i="6"/>
  <c r="ATE11" i="6"/>
  <c r="ATE17" i="6"/>
  <c r="ATE18" i="6"/>
  <c r="ATE5" i="6"/>
  <c r="ATD3" i="6"/>
  <c r="AST12" i="6"/>
  <c r="ASS14" i="6"/>
  <c r="ASN6" i="6"/>
  <c r="ASM7" i="6"/>
  <c r="ATC4" i="6"/>
  <c r="ATG1" i="6"/>
  <c r="ATF11" i="6"/>
  <c r="ATE9" i="6"/>
  <c r="ATE10" i="6"/>
  <c r="ATE3" i="6"/>
  <c r="ATD4" i="6"/>
  <c r="ASO6" i="6"/>
  <c r="ASN7" i="6"/>
  <c r="ASU12" i="6"/>
  <c r="AST14" i="6"/>
  <c r="ATH1" i="6"/>
  <c r="ATG3" i="6"/>
  <c r="ATG9" i="6"/>
  <c r="ATG11" i="6"/>
  <c r="ATG17" i="6"/>
  <c r="ATG5" i="6"/>
  <c r="ATF5" i="6"/>
  <c r="ATF9" i="6"/>
  <c r="ATF10" i="6"/>
  <c r="ATF17" i="6"/>
  <c r="ATF18" i="6"/>
  <c r="ATF3" i="6"/>
  <c r="ASU14" i="6"/>
  <c r="ASV12" i="6"/>
  <c r="ASP6" i="6"/>
  <c r="ASO7" i="6"/>
  <c r="ATE4" i="6"/>
  <c r="ATG18" i="6"/>
  <c r="ATG10" i="6"/>
  <c r="ATI1" i="6"/>
  <c r="ATH9" i="6"/>
  <c r="ATH11" i="6"/>
  <c r="ATH17" i="6"/>
  <c r="ATH18" i="6"/>
  <c r="ATH5" i="6"/>
  <c r="ATF4" i="6"/>
  <c r="ASQ6" i="6"/>
  <c r="ASP7" i="6"/>
  <c r="ASW12" i="6"/>
  <c r="ASV14" i="6"/>
  <c r="ATJ1" i="6"/>
  <c r="ATI3" i="6"/>
  <c r="ATI9" i="6"/>
  <c r="ATI11" i="6"/>
  <c r="ATI17" i="6"/>
  <c r="ATI18" i="6"/>
  <c r="ATI5" i="6"/>
  <c r="ATH3" i="6"/>
  <c r="ATH10" i="6"/>
  <c r="ASX12" i="6"/>
  <c r="ASW14" i="6"/>
  <c r="ASR6" i="6"/>
  <c r="ASQ7" i="6"/>
  <c r="ATG4" i="6"/>
  <c r="ATI10" i="6"/>
  <c r="ATK1" i="6"/>
  <c r="ATJ3" i="6"/>
  <c r="ATJ9" i="6"/>
  <c r="ATJ10" i="6"/>
  <c r="ATJ11" i="6"/>
  <c r="ATJ17" i="6"/>
  <c r="ATJ18" i="6"/>
  <c r="ATJ5" i="6"/>
  <c r="ATH4" i="6"/>
  <c r="ASS6" i="6"/>
  <c r="ASR7" i="6"/>
  <c r="ASY12" i="6"/>
  <c r="ASX14" i="6"/>
  <c r="ATL1" i="6"/>
  <c r="ATK3" i="6"/>
  <c r="ATK9" i="6"/>
  <c r="ATK10" i="6"/>
  <c r="ATK11" i="6"/>
  <c r="ATK17" i="6"/>
  <c r="ATK18" i="6"/>
  <c r="ATK5" i="6"/>
  <c r="ASZ12" i="6"/>
  <c r="ASY14" i="6"/>
  <c r="AST6" i="6"/>
  <c r="ASS7" i="6"/>
  <c r="ATI4" i="6"/>
  <c r="ATM1" i="6"/>
  <c r="ATL3" i="6"/>
  <c r="ATL9" i="6"/>
  <c r="ATL10" i="6"/>
  <c r="ATL11" i="6"/>
  <c r="ATL17" i="6"/>
  <c r="ATL18" i="6"/>
  <c r="ATL5" i="6"/>
  <c r="ATJ4" i="6"/>
  <c r="ASU6" i="6"/>
  <c r="AST7" i="6"/>
  <c r="ASZ14" i="6"/>
  <c r="ATA12" i="6"/>
  <c r="ATN1" i="6"/>
  <c r="ATM9" i="6"/>
  <c r="ATM10" i="6"/>
  <c r="ATM11" i="6"/>
  <c r="ATM17" i="6"/>
  <c r="ATM18" i="6"/>
  <c r="ATM5" i="6"/>
  <c r="ATB12" i="6"/>
  <c r="ATA14" i="6"/>
  <c r="ASV6" i="6"/>
  <c r="ASU7" i="6"/>
  <c r="ATK4" i="6"/>
  <c r="ATO1" i="6"/>
  <c r="ATN9" i="6"/>
  <c r="ATN10" i="6"/>
  <c r="ATN11" i="6"/>
  <c r="ATN17" i="6"/>
  <c r="ATN18" i="6"/>
  <c r="ATN5" i="6"/>
  <c r="ATM3" i="6"/>
  <c r="ATL4" i="6"/>
  <c r="ASW6" i="6"/>
  <c r="ASV7" i="6"/>
  <c r="ATC12" i="6"/>
  <c r="ATB14" i="6"/>
  <c r="ATP1" i="6"/>
  <c r="ATO9" i="6"/>
  <c r="ATO10" i="6"/>
  <c r="ATO11" i="6"/>
  <c r="ATO17" i="6"/>
  <c r="ATO18" i="6"/>
  <c r="ATO5" i="6"/>
  <c r="ATN3" i="6"/>
  <c r="ATD12" i="6"/>
  <c r="ATC14" i="6"/>
  <c r="ASX6" i="6"/>
  <c r="ASW7" i="6"/>
  <c r="ATM4" i="6"/>
  <c r="ATP9" i="6"/>
  <c r="ATP10" i="6"/>
  <c r="ATQ1" i="6"/>
  <c r="ATP3" i="6"/>
  <c r="ATP11" i="6"/>
  <c r="ATP17" i="6"/>
  <c r="ATP18" i="6"/>
  <c r="ATP5" i="6"/>
  <c r="ATO3" i="6"/>
  <c r="ATN4" i="6"/>
  <c r="ASY6" i="6"/>
  <c r="ASX7" i="6"/>
  <c r="ATD14" i="6"/>
  <c r="ATE12" i="6"/>
  <c r="ATR1" i="6"/>
  <c r="ATQ9" i="6"/>
  <c r="ATQ10" i="6"/>
  <c r="ATQ3" i="6"/>
  <c r="ATQ11" i="6"/>
  <c r="ATQ17" i="6"/>
  <c r="ATQ18" i="6"/>
  <c r="ATQ5" i="6"/>
  <c r="ATF12" i="6"/>
  <c r="ATE14" i="6"/>
  <c r="ASZ6" i="6"/>
  <c r="ASY7" i="6"/>
  <c r="ATO4" i="6"/>
  <c r="ATS1" i="6"/>
  <c r="ATR3" i="6"/>
  <c r="ATR9" i="6"/>
  <c r="ATR10" i="6"/>
  <c r="ATR11" i="6"/>
  <c r="ATR17" i="6"/>
  <c r="ATR18" i="6"/>
  <c r="ATR5" i="6"/>
  <c r="ATP4" i="6"/>
  <c r="ATA6" i="6"/>
  <c r="ASZ7" i="6"/>
  <c r="ATF14" i="6"/>
  <c r="ATG12" i="6"/>
  <c r="ATT1" i="6"/>
  <c r="ATS3" i="6"/>
  <c r="ATS9" i="6"/>
  <c r="ATS10" i="6"/>
  <c r="ATS11" i="6"/>
  <c r="ATS17" i="6"/>
  <c r="ATS18" i="6"/>
  <c r="ATS5" i="6"/>
  <c r="ATH12" i="6"/>
  <c r="ATG14" i="6"/>
  <c r="ATB6" i="6"/>
  <c r="ATA7" i="6"/>
  <c r="ATQ4" i="6"/>
  <c r="ATU1" i="6"/>
  <c r="ATT3" i="6"/>
  <c r="ATT9" i="6"/>
  <c r="ATT10" i="6"/>
  <c r="ATT11" i="6"/>
  <c r="ATT17" i="6"/>
  <c r="ATT18" i="6"/>
  <c r="ATT5" i="6"/>
  <c r="ATR4" i="6"/>
  <c r="ATC6" i="6"/>
  <c r="ATB7" i="6"/>
  <c r="ATH14" i="6"/>
  <c r="ATI12" i="6"/>
  <c r="ATV1" i="6"/>
  <c r="ATU3" i="6"/>
  <c r="ATJ12" i="6"/>
  <c r="ATI14" i="6"/>
  <c r="ATD6" i="6"/>
  <c r="ATC7" i="6"/>
  <c r="ATS4" i="6"/>
  <c r="ATW1" i="6"/>
  <c r="ATV3" i="6"/>
  <c r="ATV9" i="6"/>
  <c r="ATV11" i="6"/>
  <c r="ATU5" i="6"/>
  <c r="ATU17" i="6"/>
  <c r="ATU18" i="6"/>
  <c r="ATU11" i="6"/>
  <c r="ATU9" i="6"/>
  <c r="ATU10" i="6"/>
  <c r="ATT4" i="6"/>
  <c r="ATE6" i="6"/>
  <c r="ATD7" i="6"/>
  <c r="ATK12" i="6"/>
  <c r="ATJ14" i="6"/>
  <c r="ATV10" i="6"/>
  <c r="ATV5" i="6"/>
  <c r="ATV17" i="6"/>
  <c r="ATV18" i="6"/>
  <c r="ATX1" i="6"/>
  <c r="ATW11" i="6"/>
  <c r="ATW17" i="6"/>
  <c r="ATW5" i="6"/>
  <c r="ATL12" i="6"/>
  <c r="ATK14" i="6"/>
  <c r="ATF6" i="6"/>
  <c r="ATE7" i="6"/>
  <c r="ATU4" i="6"/>
  <c r="ATW18" i="6"/>
  <c r="ATY1" i="6"/>
  <c r="ATX9" i="6"/>
  <c r="ATW9" i="6"/>
  <c r="ATW10" i="6"/>
  <c r="ATW3" i="6"/>
  <c r="ATV4" i="6"/>
  <c r="ATG6" i="6"/>
  <c r="ATF7" i="6"/>
  <c r="ATM12" i="6"/>
  <c r="ATL14" i="6"/>
  <c r="ATX10" i="6"/>
  <c r="ATX5" i="6"/>
  <c r="ATX17" i="6"/>
  <c r="ATX18" i="6"/>
  <c r="ATZ1" i="6"/>
  <c r="ATY3" i="6"/>
  <c r="ATY9" i="6"/>
  <c r="ATY11" i="6"/>
  <c r="ATY17" i="6"/>
  <c r="ATY5" i="6"/>
  <c r="ATX11" i="6"/>
  <c r="ATX3" i="6"/>
  <c r="ATN12" i="6"/>
  <c r="ATM14" i="6"/>
  <c r="ATH6" i="6"/>
  <c r="ATG7" i="6"/>
  <c r="ATW4" i="6"/>
  <c r="AUA1" i="6"/>
  <c r="ATZ9" i="6"/>
  <c r="ATY18" i="6"/>
  <c r="ATY10" i="6"/>
  <c r="ATX4" i="6"/>
  <c r="ATI6" i="6"/>
  <c r="ATH7" i="6"/>
  <c r="ATO12" i="6"/>
  <c r="ATN14" i="6"/>
  <c r="AUB1" i="6"/>
  <c r="AUA3" i="6"/>
  <c r="AUA11" i="6"/>
  <c r="AUA17" i="6"/>
  <c r="AUA5" i="6"/>
  <c r="ATZ3" i="6"/>
  <c r="ATZ10" i="6"/>
  <c r="ATZ5" i="6"/>
  <c r="ATZ17" i="6"/>
  <c r="ATZ18" i="6"/>
  <c r="ATZ11" i="6"/>
  <c r="ATP12" i="6"/>
  <c r="ATO14" i="6"/>
  <c r="ATJ6" i="6"/>
  <c r="ATI7" i="6"/>
  <c r="ATY4" i="6"/>
  <c r="AUA18" i="6"/>
  <c r="AUB3" i="6"/>
  <c r="AUB9" i="6"/>
  <c r="AUC1" i="6"/>
  <c r="AUB11" i="6"/>
  <c r="AUB17" i="6"/>
  <c r="AUB18" i="6"/>
  <c r="AUB5" i="6"/>
  <c r="AUA9" i="6"/>
  <c r="AUA10" i="6"/>
  <c r="ATZ4" i="6"/>
  <c r="ATK6" i="6"/>
  <c r="ATJ7" i="6"/>
  <c r="ATQ12" i="6"/>
  <c r="ATP14" i="6"/>
  <c r="AUB10" i="6"/>
  <c r="AUD1" i="6"/>
  <c r="AUC9" i="6"/>
  <c r="AUC11" i="6"/>
  <c r="AUC17" i="6"/>
  <c r="AUC18" i="6"/>
  <c r="AUC5" i="6"/>
  <c r="ATR12" i="6"/>
  <c r="ATQ14" i="6"/>
  <c r="ATL6" i="6"/>
  <c r="ATK7" i="6"/>
  <c r="AUA4" i="6"/>
  <c r="AUE1" i="6"/>
  <c r="AUD9" i="6"/>
  <c r="AUC3" i="6"/>
  <c r="AUC10" i="6"/>
  <c r="AUB4" i="6"/>
  <c r="ATM6" i="6"/>
  <c r="ATL7" i="6"/>
  <c r="ATS12" i="6"/>
  <c r="ATR14" i="6"/>
  <c r="AUD10" i="6"/>
  <c r="AUD5" i="6"/>
  <c r="AUD17" i="6"/>
  <c r="AUD18" i="6"/>
  <c r="AUD11" i="6"/>
  <c r="AUD3" i="6"/>
  <c r="AUF1" i="6"/>
  <c r="AUE3" i="6"/>
  <c r="AUE9" i="6"/>
  <c r="AUE11" i="6"/>
  <c r="AUE17" i="6"/>
  <c r="AUE5" i="6"/>
  <c r="ATT12" i="6"/>
  <c r="ATS14" i="6"/>
  <c r="ATN6" i="6"/>
  <c r="ATM7" i="6"/>
  <c r="AUC4" i="6"/>
  <c r="AUE18" i="6"/>
  <c r="AUF3" i="6"/>
  <c r="AUG1" i="6"/>
  <c r="AUF9" i="6"/>
  <c r="AUF11" i="6"/>
  <c r="AUF17" i="6"/>
  <c r="AUF5" i="6"/>
  <c r="AUE10" i="6"/>
  <c r="AUD4" i="6"/>
  <c r="ATO6" i="6"/>
  <c r="ATN7" i="6"/>
  <c r="ATT14" i="6"/>
  <c r="ATU12" i="6"/>
  <c r="AUF10" i="6"/>
  <c r="AUF18" i="6"/>
  <c r="AUH1" i="6"/>
  <c r="AUG3" i="6"/>
  <c r="AUG11" i="6"/>
  <c r="AUG17" i="6"/>
  <c r="AUG18" i="6"/>
  <c r="AUG5" i="6"/>
  <c r="ATV12" i="6"/>
  <c r="ATU14" i="6"/>
  <c r="ATP6" i="6"/>
  <c r="ATO7" i="6"/>
  <c r="AUE4" i="6"/>
  <c r="AUH3" i="6"/>
  <c r="AUI1" i="6"/>
  <c r="AUG9" i="6"/>
  <c r="AUG10" i="6"/>
  <c r="AUF4" i="6"/>
  <c r="ATQ6" i="6"/>
  <c r="ATP7" i="6"/>
  <c r="ATW12" i="6"/>
  <c r="ATV14" i="6"/>
  <c r="AUI3" i="6"/>
  <c r="AUJ1" i="6"/>
  <c r="AUI9" i="6"/>
  <c r="AUI11" i="6"/>
  <c r="AUI17" i="6"/>
  <c r="AUI5" i="6"/>
  <c r="AUH5" i="6"/>
  <c r="AUH17" i="6"/>
  <c r="AUH18" i="6"/>
  <c r="AUH11" i="6"/>
  <c r="AUH9" i="6"/>
  <c r="AUH10" i="6"/>
  <c r="AUI10" i="6"/>
  <c r="ATX12" i="6"/>
  <c r="ATW14" i="6"/>
  <c r="ATR6" i="6"/>
  <c r="ATQ7" i="6"/>
  <c r="AUG4" i="6"/>
  <c r="AUI18" i="6"/>
  <c r="AUK1" i="6"/>
  <c r="AUJ9" i="6"/>
  <c r="AUJ10" i="6"/>
  <c r="AUJ11" i="6"/>
  <c r="AUJ17" i="6"/>
  <c r="AUJ5" i="6"/>
  <c r="AUH4" i="6"/>
  <c r="ATS6" i="6"/>
  <c r="ATR7" i="6"/>
  <c r="ATX14" i="6"/>
  <c r="ATY12" i="6"/>
  <c r="AUJ18" i="6"/>
  <c r="AUL1" i="6"/>
  <c r="AUK3" i="6"/>
  <c r="AUK9" i="6"/>
  <c r="AUK10" i="6"/>
  <c r="AUK11" i="6"/>
  <c r="AUK17" i="6"/>
  <c r="AUK18" i="6"/>
  <c r="AUK5" i="6"/>
  <c r="AUJ3" i="6"/>
  <c r="ATZ12" i="6"/>
  <c r="ATY14" i="6"/>
  <c r="ATT6" i="6"/>
  <c r="ATS7" i="6"/>
  <c r="AUI4" i="6"/>
  <c r="AUM1" i="6"/>
  <c r="AUL3" i="6"/>
  <c r="AUL9" i="6"/>
  <c r="AUL10" i="6"/>
  <c r="AUL11" i="6"/>
  <c r="AUL17" i="6"/>
  <c r="AUL18" i="6"/>
  <c r="AUL5" i="6"/>
  <c r="AUJ4" i="6"/>
  <c r="ATU6" i="6"/>
  <c r="ATT7" i="6"/>
  <c r="AUA12" i="6"/>
  <c r="ATZ14" i="6"/>
  <c r="AUN1" i="6"/>
  <c r="AUM3" i="6"/>
  <c r="AUM9" i="6"/>
  <c r="AUM10" i="6"/>
  <c r="AUM11" i="6"/>
  <c r="AUM17" i="6"/>
  <c r="AUM18" i="6"/>
  <c r="AUM5" i="6"/>
  <c r="AUB12" i="6"/>
  <c r="AUA14" i="6"/>
  <c r="ATV6" i="6"/>
  <c r="ATU7" i="6"/>
  <c r="AUK4" i="6"/>
  <c r="AUO1" i="6"/>
  <c r="AUN3" i="6"/>
  <c r="AUN9" i="6"/>
  <c r="AUN10" i="6"/>
  <c r="AUN11" i="6"/>
  <c r="AUN17" i="6"/>
  <c r="AUN18" i="6"/>
  <c r="AUN5" i="6"/>
  <c r="AUL4" i="6"/>
  <c r="ATW6" i="6"/>
  <c r="ATV7" i="6"/>
  <c r="AUB14" i="6"/>
  <c r="AUC12" i="6"/>
  <c r="AUP1" i="6"/>
  <c r="AUO11" i="6"/>
  <c r="AUO17" i="6"/>
  <c r="AUO18" i="6"/>
  <c r="AUO5" i="6"/>
  <c r="AUD12" i="6"/>
  <c r="AUC14" i="6"/>
  <c r="ATX6" i="6"/>
  <c r="ATW7" i="6"/>
  <c r="AUM4" i="6"/>
  <c r="AUQ1" i="6"/>
  <c r="AUP3" i="6"/>
  <c r="AUO3" i="6"/>
  <c r="AUO9" i="6"/>
  <c r="AUO10" i="6"/>
  <c r="AUN4" i="6"/>
  <c r="ATY6" i="6"/>
  <c r="ATX7" i="6"/>
  <c r="AUE12" i="6"/>
  <c r="AUD14" i="6"/>
  <c r="AUP5" i="6"/>
  <c r="AUP9" i="6"/>
  <c r="AUP10" i="6"/>
  <c r="AUP17" i="6"/>
  <c r="AUP18" i="6"/>
  <c r="AUP11" i="6"/>
  <c r="AUR1" i="6"/>
  <c r="AUQ9" i="6"/>
  <c r="AUQ3" i="6"/>
  <c r="AUQ11" i="6"/>
  <c r="AUQ17" i="6"/>
  <c r="AUQ5" i="6"/>
  <c r="AUF12" i="6"/>
  <c r="AUE14" i="6"/>
  <c r="ATZ6" i="6"/>
  <c r="ATY7" i="6"/>
  <c r="AUO4" i="6"/>
  <c r="AUQ10" i="6"/>
  <c r="AUS1" i="6"/>
  <c r="AUQ18" i="6"/>
  <c r="AUP4" i="6"/>
  <c r="AUA6" i="6"/>
  <c r="ATZ7" i="6"/>
  <c r="AUG12" i="6"/>
  <c r="AUF14" i="6"/>
  <c r="AUS3" i="6"/>
  <c r="AUT1" i="6"/>
  <c r="AUS9" i="6"/>
  <c r="AUS11" i="6"/>
  <c r="AUS17" i="6"/>
  <c r="AUS5" i="6"/>
  <c r="AUR3" i="6"/>
  <c r="AUR5" i="6"/>
  <c r="AUR17" i="6"/>
  <c r="AUR18" i="6"/>
  <c r="AUR11" i="6"/>
  <c r="AUR9" i="6"/>
  <c r="AUR10" i="6"/>
  <c r="AUS10" i="6"/>
  <c r="AUH12" i="6"/>
  <c r="AUG14" i="6"/>
  <c r="AUB6" i="6"/>
  <c r="AUA7" i="6"/>
  <c r="AUQ4" i="6"/>
  <c r="AUS18" i="6"/>
  <c r="AUT3" i="6"/>
  <c r="AUU1" i="6"/>
  <c r="AUT9" i="6"/>
  <c r="AUT10" i="6"/>
  <c r="AUT17" i="6"/>
  <c r="AUT18" i="6"/>
  <c r="AUT5" i="6"/>
  <c r="AUR4" i="6"/>
  <c r="AUC6" i="6"/>
  <c r="AUB7" i="6"/>
  <c r="AUH14" i="6"/>
  <c r="AUI12" i="6"/>
  <c r="AUT11" i="6"/>
  <c r="AUV1" i="6"/>
  <c r="AUU9" i="6"/>
  <c r="AUU10" i="6"/>
  <c r="AUU11" i="6"/>
  <c r="AUU17" i="6"/>
  <c r="AUU18" i="6"/>
  <c r="AUU5" i="6"/>
  <c r="AUJ12" i="6"/>
  <c r="AUI14" i="6"/>
  <c r="AUD6" i="6"/>
  <c r="AUC7" i="6"/>
  <c r="AUS4" i="6"/>
  <c r="AUW1" i="6"/>
  <c r="AUV3" i="6"/>
  <c r="AUV9" i="6"/>
  <c r="AUV10" i="6"/>
  <c r="AUV11" i="6"/>
  <c r="AUV17" i="6"/>
  <c r="AUV18" i="6"/>
  <c r="AUV5" i="6"/>
  <c r="AUU3" i="6"/>
  <c r="AUT4" i="6"/>
  <c r="AUE6" i="6"/>
  <c r="AUD7" i="6"/>
  <c r="AUK12" i="6"/>
  <c r="AUJ14" i="6"/>
  <c r="AUX1" i="6"/>
  <c r="AUW11" i="6"/>
  <c r="AUW17" i="6"/>
  <c r="AUW18" i="6"/>
  <c r="AUW5" i="6"/>
  <c r="AUL12" i="6"/>
  <c r="AUK14" i="6"/>
  <c r="AUF6" i="6"/>
  <c r="AUE7" i="6"/>
  <c r="AUU4" i="6"/>
  <c r="AUY1" i="6"/>
  <c r="AUX11" i="6"/>
  <c r="AUX3" i="6"/>
  <c r="AUX9" i="6"/>
  <c r="AUW9" i="6"/>
  <c r="AUW10" i="6"/>
  <c r="AUW3" i="6"/>
  <c r="AUV4" i="6"/>
  <c r="AUG6" i="6"/>
  <c r="AUF7" i="6"/>
  <c r="AUL14" i="6"/>
  <c r="AUM12" i="6"/>
  <c r="AUX10" i="6"/>
  <c r="AUX5" i="6"/>
  <c r="AUX17" i="6"/>
  <c r="AUX18" i="6"/>
  <c r="AUY9" i="6"/>
  <c r="AUZ1" i="6"/>
  <c r="AUY11" i="6"/>
  <c r="AUY17" i="6"/>
  <c r="AUY5" i="6"/>
  <c r="AUN12" i="6"/>
  <c r="AUM14" i="6"/>
  <c r="AUH6" i="6"/>
  <c r="AUG7" i="6"/>
  <c r="AUW4" i="6"/>
  <c r="AUY18" i="6"/>
  <c r="AVA1" i="6"/>
  <c r="AUZ3" i="6"/>
  <c r="AUZ9" i="6"/>
  <c r="AUY3" i="6"/>
  <c r="AUY10" i="6"/>
  <c r="AUX4" i="6"/>
  <c r="AUI6" i="6"/>
  <c r="AUH7" i="6"/>
  <c r="AUO12" i="6"/>
  <c r="AUN14" i="6"/>
  <c r="AVB1" i="6"/>
  <c r="AVA3" i="6"/>
  <c r="AUZ10" i="6"/>
  <c r="AUZ5" i="6"/>
  <c r="AUZ17" i="6"/>
  <c r="AUZ18" i="6"/>
  <c r="AUZ11" i="6"/>
  <c r="AUO14" i="6"/>
  <c r="AUP12" i="6"/>
  <c r="AUJ6" i="6"/>
  <c r="AUI7" i="6"/>
  <c r="AUY4" i="6"/>
  <c r="AVA5" i="6"/>
  <c r="AVA17" i="6"/>
  <c r="AVA18" i="6"/>
  <c r="AVA11" i="6"/>
  <c r="AVA9" i="6"/>
  <c r="AVA10" i="6"/>
  <c r="AVC1" i="6"/>
  <c r="AVB9" i="6"/>
  <c r="AVB3" i="6"/>
  <c r="AVB11" i="6"/>
  <c r="AVB17" i="6"/>
  <c r="AVB5" i="6"/>
  <c r="AUZ4" i="6"/>
  <c r="AUK6" i="6"/>
  <c r="AUJ7" i="6"/>
  <c r="AUQ12" i="6"/>
  <c r="AUP14" i="6"/>
  <c r="AVB10" i="6"/>
  <c r="AVB18" i="6"/>
  <c r="AVD1" i="6"/>
  <c r="AVC9" i="6"/>
  <c r="AVC10" i="6"/>
  <c r="AUR12" i="6"/>
  <c r="AUQ14" i="6"/>
  <c r="AUL6" i="6"/>
  <c r="AUK7" i="6"/>
  <c r="AVA4" i="6"/>
  <c r="AVC5" i="6"/>
  <c r="AVC11" i="6"/>
  <c r="AVE1" i="6"/>
  <c r="AVD9" i="6"/>
  <c r="AVD10" i="6"/>
  <c r="AVD3" i="6"/>
  <c r="AVD11" i="6"/>
  <c r="AVD17" i="6"/>
  <c r="AVD5" i="6"/>
  <c r="AVC17" i="6"/>
  <c r="AVC18" i="6"/>
  <c r="AVC3" i="6"/>
  <c r="AVB4" i="6"/>
  <c r="AUM6" i="6"/>
  <c r="AUL7" i="6"/>
  <c r="AUS12" i="6"/>
  <c r="AUR14" i="6"/>
  <c r="AVD18" i="6"/>
  <c r="AVF1" i="6"/>
  <c r="AVE9" i="6"/>
  <c r="AVE10" i="6"/>
  <c r="AVE11" i="6"/>
  <c r="AVE17" i="6"/>
  <c r="AVE18" i="6"/>
  <c r="AVE5" i="6"/>
  <c r="AUT12" i="6"/>
  <c r="AUS14" i="6"/>
  <c r="AUN6" i="6"/>
  <c r="AUM7" i="6"/>
  <c r="AVC4" i="6"/>
  <c r="AVG1" i="6"/>
  <c r="AVF3" i="6"/>
  <c r="AVF9" i="6"/>
  <c r="AVF10" i="6"/>
  <c r="AVF11" i="6"/>
  <c r="AVF17" i="6"/>
  <c r="AVF18" i="6"/>
  <c r="AVF5" i="6"/>
  <c r="AVE3" i="6"/>
  <c r="AVD4" i="6"/>
  <c r="AUO6" i="6"/>
  <c r="AUN7" i="6"/>
  <c r="AUU12" i="6"/>
  <c r="AUT14" i="6"/>
  <c r="AVH1" i="6"/>
  <c r="AVG3" i="6"/>
  <c r="AVG11" i="6"/>
  <c r="AVG17" i="6"/>
  <c r="AVG18" i="6"/>
  <c r="AVG5" i="6"/>
  <c r="AUV12" i="6"/>
  <c r="AUU14" i="6"/>
  <c r="AUP6" i="6"/>
  <c r="AUO7" i="6"/>
  <c r="AVE4" i="6"/>
  <c r="AVI1" i="6"/>
  <c r="AVH3" i="6"/>
  <c r="AVH9" i="6"/>
  <c r="AVH11" i="6"/>
  <c r="AVH17" i="6"/>
  <c r="AVH18" i="6"/>
  <c r="AVH5" i="6"/>
  <c r="AVG9" i="6"/>
  <c r="AVG10" i="6"/>
  <c r="AVF4" i="6"/>
  <c r="AUQ6" i="6"/>
  <c r="AUP7" i="6"/>
  <c r="AUW12" i="6"/>
  <c r="AUV14" i="6"/>
  <c r="AVH10" i="6"/>
  <c r="AVJ1" i="6"/>
  <c r="AVI3" i="6"/>
  <c r="AVI9" i="6"/>
  <c r="AVI11" i="6"/>
  <c r="AVI17" i="6"/>
  <c r="AVI18" i="6"/>
  <c r="AVI5" i="6"/>
  <c r="AUX12" i="6"/>
  <c r="AUW14" i="6"/>
  <c r="AUR6" i="6"/>
  <c r="AUQ7" i="6"/>
  <c r="AVG4" i="6"/>
  <c r="AVK1" i="6"/>
  <c r="AVJ3" i="6"/>
  <c r="AVJ9" i="6"/>
  <c r="AVJ11" i="6"/>
  <c r="AVJ17" i="6"/>
  <c r="AVJ18" i="6"/>
  <c r="AVJ5" i="6"/>
  <c r="AVI10" i="6"/>
  <c r="AVH4" i="6"/>
  <c r="AUS6" i="6"/>
  <c r="AUR7" i="6"/>
  <c r="AUY12" i="6"/>
  <c r="AUX14" i="6"/>
  <c r="AVJ10" i="6"/>
  <c r="AVL1" i="6"/>
  <c r="AVK3" i="6"/>
  <c r="AVK9" i="6"/>
  <c r="AVK10" i="6"/>
  <c r="AVK11" i="6"/>
  <c r="AVK17" i="6"/>
  <c r="AVK18" i="6"/>
  <c r="AVK5" i="6"/>
  <c r="AUZ12" i="6"/>
  <c r="AUY14" i="6"/>
  <c r="AUT6" i="6"/>
  <c r="AUS7" i="6"/>
  <c r="AVI4" i="6"/>
  <c r="AVM1" i="6"/>
  <c r="AVL9" i="6"/>
  <c r="AVL10" i="6"/>
  <c r="AVL3" i="6"/>
  <c r="AVL11" i="6"/>
  <c r="AVL17" i="6"/>
  <c r="AVL18" i="6"/>
  <c r="AVL5" i="6"/>
  <c r="AVJ4" i="6"/>
  <c r="AUU6" i="6"/>
  <c r="AUT7" i="6"/>
  <c r="AUZ14" i="6"/>
  <c r="AVA12" i="6"/>
  <c r="AVN1" i="6"/>
  <c r="AVM9" i="6"/>
  <c r="AVM10" i="6"/>
  <c r="AVM11" i="6"/>
  <c r="AVM17" i="6"/>
  <c r="AVM18" i="6"/>
  <c r="AVM5" i="6"/>
  <c r="AUV6" i="6"/>
  <c r="AUU7" i="6"/>
  <c r="AVA14" i="6"/>
  <c r="AVB12" i="6"/>
  <c r="AVK4" i="6"/>
  <c r="AVO1" i="6"/>
  <c r="AVN3" i="6"/>
  <c r="AVN9" i="6"/>
  <c r="AVN10" i="6"/>
  <c r="AVN11" i="6"/>
  <c r="AVN17" i="6"/>
  <c r="AVN18" i="6"/>
  <c r="AVN5" i="6"/>
  <c r="AVM3" i="6"/>
  <c r="AVL4" i="6"/>
  <c r="AVB14" i="6"/>
  <c r="AVC12" i="6"/>
  <c r="AUW6" i="6"/>
  <c r="AUV7" i="6"/>
  <c r="AVP1" i="6"/>
  <c r="AVO3" i="6"/>
  <c r="AVO9" i="6"/>
  <c r="AVO10" i="6"/>
  <c r="AVO11" i="6"/>
  <c r="AVO17" i="6"/>
  <c r="AVO18" i="6"/>
  <c r="AVO5" i="6"/>
  <c r="AVD12" i="6"/>
  <c r="AVC14" i="6"/>
  <c r="AUX6" i="6"/>
  <c r="AUW7" i="6"/>
  <c r="AVM4" i="6"/>
  <c r="AVQ1" i="6"/>
  <c r="AVP3" i="6"/>
  <c r="AVP9" i="6"/>
  <c r="AVP10" i="6"/>
  <c r="AVP11" i="6"/>
  <c r="AVP17" i="6"/>
  <c r="AVP18" i="6"/>
  <c r="AVP5" i="6"/>
  <c r="AVN4" i="6"/>
  <c r="AUY6" i="6"/>
  <c r="AUX7" i="6"/>
  <c r="AVD14" i="6"/>
  <c r="AVE12" i="6"/>
  <c r="AVR1" i="6"/>
  <c r="AVQ9" i="6"/>
  <c r="AVQ10" i="6"/>
  <c r="AVQ3" i="6"/>
  <c r="AVQ11" i="6"/>
  <c r="AVQ17" i="6"/>
  <c r="AVQ18" i="6"/>
  <c r="AVQ5" i="6"/>
  <c r="AVF12" i="6"/>
  <c r="AVE14" i="6"/>
  <c r="AUZ6" i="6"/>
  <c r="AUY7" i="6"/>
  <c r="AVO4" i="6"/>
  <c r="AVS1" i="6"/>
  <c r="AVR3" i="6"/>
  <c r="AVR9" i="6"/>
  <c r="AVR10" i="6"/>
  <c r="AVR11" i="6"/>
  <c r="AVR17" i="6"/>
  <c r="AVR18" i="6"/>
  <c r="AVR5" i="6"/>
  <c r="AVP4" i="6"/>
  <c r="AVA6" i="6"/>
  <c r="AUZ7" i="6"/>
  <c r="AVG12" i="6"/>
  <c r="AVF14" i="6"/>
  <c r="AVT1" i="6"/>
  <c r="AVS11" i="6"/>
  <c r="AVS17" i="6"/>
  <c r="AVS18" i="6"/>
  <c r="AVS5" i="6"/>
  <c r="AVG14" i="6"/>
  <c r="AVH12" i="6"/>
  <c r="AVB6" i="6"/>
  <c r="AVA7" i="6"/>
  <c r="AVQ4" i="6"/>
  <c r="AVU1" i="6"/>
  <c r="AVT3" i="6"/>
  <c r="AVT9" i="6"/>
  <c r="AVT11" i="6"/>
  <c r="AVT17" i="6"/>
  <c r="AVT18" i="6"/>
  <c r="AVT5" i="6"/>
  <c r="AVS3" i="6"/>
  <c r="AVS9" i="6"/>
  <c r="AVS10" i="6"/>
  <c r="AVT10" i="6"/>
  <c r="AVR4" i="6"/>
  <c r="AVC6" i="6"/>
  <c r="AVB7" i="6"/>
  <c r="AVI12" i="6"/>
  <c r="AVH14" i="6"/>
  <c r="AVV1" i="6"/>
  <c r="AVU9" i="6"/>
  <c r="AVU10" i="6"/>
  <c r="AVU11" i="6"/>
  <c r="AVU17" i="6"/>
  <c r="AVU18" i="6"/>
  <c r="AVU5" i="6"/>
  <c r="AVJ12" i="6"/>
  <c r="AVI14" i="6"/>
  <c r="AVD6" i="6"/>
  <c r="AVC7" i="6"/>
  <c r="AVS4" i="6"/>
  <c r="AVW1" i="6"/>
  <c r="AVV9" i="6"/>
  <c r="AVV10" i="6"/>
  <c r="AVV3" i="6"/>
  <c r="AVV11" i="6"/>
  <c r="AVV17" i="6"/>
  <c r="AVV18" i="6"/>
  <c r="AVV5" i="6"/>
  <c r="AVU3" i="6"/>
  <c r="AVT4" i="6"/>
  <c r="AVE6" i="6"/>
  <c r="AVD7" i="6"/>
  <c r="AVJ14" i="6"/>
  <c r="AVK12" i="6"/>
  <c r="AVX1" i="6"/>
  <c r="AVW9" i="6"/>
  <c r="AVW10" i="6"/>
  <c r="AVW11" i="6"/>
  <c r="AVW17" i="6"/>
  <c r="AVW18" i="6"/>
  <c r="AVW5" i="6"/>
  <c r="AVL12" i="6"/>
  <c r="AVK14" i="6"/>
  <c r="AVF6" i="6"/>
  <c r="AVE7" i="6"/>
  <c r="AVU4" i="6"/>
  <c r="AVY1" i="6"/>
  <c r="AVX3" i="6"/>
  <c r="AVX9" i="6"/>
  <c r="AVX10" i="6"/>
  <c r="AVX11" i="6"/>
  <c r="AVX17" i="6"/>
  <c r="AVX18" i="6"/>
  <c r="AVX5" i="6"/>
  <c r="AVW3" i="6"/>
  <c r="AVV4" i="6"/>
  <c r="AVG6" i="6"/>
  <c r="AVF7" i="6"/>
  <c r="AVM12" i="6"/>
  <c r="AVL14" i="6"/>
  <c r="AVZ1" i="6"/>
  <c r="AVY9" i="6"/>
  <c r="AVY10" i="6"/>
  <c r="AVY11" i="6"/>
  <c r="AVY17" i="6"/>
  <c r="AVY18" i="6"/>
  <c r="AVY5" i="6"/>
  <c r="AVN12" i="6"/>
  <c r="AVM14" i="6"/>
  <c r="AVH6" i="6"/>
  <c r="AVG7" i="6"/>
  <c r="AVW4" i="6"/>
  <c r="AWA1" i="6"/>
  <c r="AVZ3" i="6"/>
  <c r="AVZ9" i="6"/>
  <c r="AVZ10" i="6"/>
  <c r="AVZ11" i="6"/>
  <c r="AVZ17" i="6"/>
  <c r="AVZ18" i="6"/>
  <c r="AVZ5" i="6"/>
  <c r="AVY3" i="6"/>
  <c r="AVX4" i="6"/>
  <c r="AVI6" i="6"/>
  <c r="AVH7" i="6"/>
  <c r="AVO12" i="6"/>
  <c r="AVN14" i="6"/>
  <c r="AWB1" i="6"/>
  <c r="AWA9" i="6"/>
  <c r="AWA10" i="6"/>
  <c r="AWA11" i="6"/>
  <c r="AWA17" i="6"/>
  <c r="AWA18" i="6"/>
  <c r="AWA5" i="6"/>
  <c r="AVO14" i="6"/>
  <c r="AVP12" i="6"/>
  <c r="AVJ6" i="6"/>
  <c r="AVI7" i="6"/>
  <c r="AVY4" i="6"/>
  <c r="AWC1" i="6"/>
  <c r="AWB9" i="6"/>
  <c r="AWB10" i="6"/>
  <c r="AWB11" i="6"/>
  <c r="AWB17" i="6"/>
  <c r="AWB18" i="6"/>
  <c r="AWB5" i="6"/>
  <c r="AWA3" i="6"/>
  <c r="AVZ4" i="6"/>
  <c r="AVK6" i="6"/>
  <c r="AVJ7" i="6"/>
  <c r="AVQ12" i="6"/>
  <c r="AVP14" i="6"/>
  <c r="AWD1" i="6"/>
  <c r="AWC3" i="6"/>
  <c r="AWC9" i="6"/>
  <c r="AWC10" i="6"/>
  <c r="AWC11" i="6"/>
  <c r="AWC17" i="6"/>
  <c r="AWC18" i="6"/>
  <c r="AWC5" i="6"/>
  <c r="AWB3" i="6"/>
  <c r="AVR12" i="6"/>
  <c r="AVQ14" i="6"/>
  <c r="AVL6" i="6"/>
  <c r="AVK7" i="6"/>
  <c r="AWA4" i="6"/>
  <c r="AWE1" i="6"/>
  <c r="AWD3" i="6"/>
  <c r="AWB4" i="6"/>
  <c r="AVM6" i="6"/>
  <c r="AVL7" i="6"/>
  <c r="AVS12" i="6"/>
  <c r="AVR14" i="6"/>
  <c r="AWD5" i="6"/>
  <c r="AWD17" i="6"/>
  <c r="AWD18" i="6"/>
  <c r="AWD11" i="6"/>
  <c r="AWD9" i="6"/>
  <c r="AWD10" i="6"/>
  <c r="AWF1" i="6"/>
  <c r="AWE9" i="6"/>
  <c r="AWE3" i="6"/>
  <c r="AWE11" i="6"/>
  <c r="AWE17" i="6"/>
  <c r="AWE5" i="6"/>
  <c r="AVS14" i="6"/>
  <c r="AVT12" i="6"/>
  <c r="AVN6" i="6"/>
  <c r="AVM7" i="6"/>
  <c r="AWC4" i="6"/>
  <c r="AWF3" i="6"/>
  <c r="AWG1" i="6"/>
  <c r="AWF9" i="6"/>
  <c r="AWF11" i="6"/>
  <c r="AWF17" i="6"/>
  <c r="AWF5" i="6"/>
  <c r="AWE10" i="6"/>
  <c r="AWE18" i="6"/>
  <c r="AWD4" i="6"/>
  <c r="AVO6" i="6"/>
  <c r="AVN7" i="6"/>
  <c r="AVU12" i="6"/>
  <c r="AVT14" i="6"/>
  <c r="AWF10" i="6"/>
  <c r="AWF18" i="6"/>
  <c r="AWG3" i="6"/>
  <c r="AWH1" i="6"/>
  <c r="AWG11" i="6"/>
  <c r="AWG17" i="6"/>
  <c r="AWG18" i="6"/>
  <c r="AWG5" i="6"/>
  <c r="AVV12" i="6"/>
  <c r="AVU14" i="6"/>
  <c r="AVP6" i="6"/>
  <c r="AVO7" i="6"/>
  <c r="AWE4" i="6"/>
  <c r="AWI1" i="6"/>
  <c r="AWH17" i="6"/>
  <c r="AWH18" i="6"/>
  <c r="AWH9" i="6"/>
  <c r="AWH3" i="6"/>
  <c r="AWH11" i="6"/>
  <c r="AWG9" i="6"/>
  <c r="AWG10" i="6"/>
  <c r="AWH10" i="6"/>
  <c r="AWF4" i="6"/>
  <c r="AVQ6" i="6"/>
  <c r="AVP7" i="6"/>
  <c r="AVW12" i="6"/>
  <c r="AVV14" i="6"/>
  <c r="AWH5" i="6"/>
  <c r="AWJ1" i="6"/>
  <c r="AWI9" i="6"/>
  <c r="AWI10" i="6"/>
  <c r="AWI11" i="6"/>
  <c r="AWI17" i="6"/>
  <c r="AWI18" i="6"/>
  <c r="AWI5" i="6"/>
  <c r="AVX12" i="6"/>
  <c r="AVW14" i="6"/>
  <c r="AVR6" i="6"/>
  <c r="AVQ7" i="6"/>
  <c r="AWG4" i="6"/>
  <c r="AWK1" i="6"/>
  <c r="AWJ9" i="6"/>
  <c r="AWJ10" i="6"/>
  <c r="AWJ11" i="6"/>
  <c r="AWJ17" i="6"/>
  <c r="AWJ18" i="6"/>
  <c r="AWJ5" i="6"/>
  <c r="AWI3" i="6"/>
  <c r="AWH4" i="6"/>
  <c r="AVS6" i="6"/>
  <c r="AVR7" i="6"/>
  <c r="AVY12" i="6"/>
  <c r="AVX14" i="6"/>
  <c r="AWL1" i="6"/>
  <c r="AWK17" i="6"/>
  <c r="AWK18" i="6"/>
  <c r="AWK5" i="6"/>
  <c r="AWJ3" i="6"/>
  <c r="AVY14" i="6"/>
  <c r="AVZ12" i="6"/>
  <c r="AVT6" i="6"/>
  <c r="AVS7" i="6"/>
  <c r="AWI4" i="6"/>
  <c r="AWM1" i="6"/>
  <c r="AWL3" i="6"/>
  <c r="AWL9" i="6"/>
  <c r="AWL11" i="6"/>
  <c r="AWL17" i="6"/>
  <c r="AWL18" i="6"/>
  <c r="AWL5" i="6"/>
  <c r="AWK11" i="6"/>
  <c r="AWK3" i="6"/>
  <c r="AWK9" i="6"/>
  <c r="AWK10" i="6"/>
  <c r="AWJ4" i="6"/>
  <c r="AVU6" i="6"/>
  <c r="AVT7" i="6"/>
  <c r="AWA12" i="6"/>
  <c r="AVZ14" i="6"/>
  <c r="AWL10" i="6"/>
  <c r="AWN1" i="6"/>
  <c r="AWM9" i="6"/>
  <c r="AWM10" i="6"/>
  <c r="AWM11" i="6"/>
  <c r="AWM17" i="6"/>
  <c r="AWM18" i="6"/>
  <c r="AWM5" i="6"/>
  <c r="AWA14" i="6"/>
  <c r="AWB12" i="6"/>
  <c r="AVV6" i="6"/>
  <c r="AVU7" i="6"/>
  <c r="AWK4" i="6"/>
  <c r="AWN3" i="6"/>
  <c r="AWO1" i="6"/>
  <c r="AWN9" i="6"/>
  <c r="AWN10" i="6"/>
  <c r="AWN11" i="6"/>
  <c r="AWN17" i="6"/>
  <c r="AWN18" i="6"/>
  <c r="AWN5" i="6"/>
  <c r="AWM3" i="6"/>
  <c r="AWL4" i="6"/>
  <c r="AVW6" i="6"/>
  <c r="AVV7" i="6"/>
  <c r="AWB14" i="6"/>
  <c r="AWC12" i="6"/>
  <c r="AWP1" i="6"/>
  <c r="AWO9" i="6"/>
  <c r="AWO10" i="6"/>
  <c r="AWO3" i="6"/>
  <c r="AWO11" i="6"/>
  <c r="AWO17" i="6"/>
  <c r="AWO18" i="6"/>
  <c r="AWO5" i="6"/>
  <c r="AWD12" i="6"/>
  <c r="AWC14" i="6"/>
  <c r="AVX6" i="6"/>
  <c r="AVW7" i="6"/>
  <c r="AWM4" i="6"/>
  <c r="AWQ1" i="6"/>
  <c r="AWP9" i="6"/>
  <c r="AWP10" i="6"/>
  <c r="AWP3" i="6"/>
  <c r="AWP11" i="6"/>
  <c r="AWP17" i="6"/>
  <c r="AWP18" i="6"/>
  <c r="AWP5" i="6"/>
  <c r="AWN4" i="6"/>
  <c r="AVY6" i="6"/>
  <c r="AVX7" i="6"/>
  <c r="AWE12" i="6"/>
  <c r="AWD14" i="6"/>
  <c r="AWR1" i="6"/>
  <c r="AWF12" i="6"/>
  <c r="AWE14" i="6"/>
  <c r="AVZ6" i="6"/>
  <c r="AVY7" i="6"/>
  <c r="AWO4" i="6"/>
  <c r="AWS1" i="6"/>
  <c r="AWR3" i="6"/>
  <c r="AWQ5" i="6"/>
  <c r="AWQ17" i="6"/>
  <c r="AWQ18" i="6"/>
  <c r="AWQ11" i="6"/>
  <c r="AWQ9" i="6"/>
  <c r="AWQ10" i="6"/>
  <c r="AWQ3" i="6"/>
  <c r="AWP4" i="6"/>
  <c r="AWA6" i="6"/>
  <c r="AVZ7" i="6"/>
  <c r="AWG12" i="6"/>
  <c r="AWF14" i="6"/>
  <c r="AWR5" i="6"/>
  <c r="AWR17" i="6"/>
  <c r="AWR18" i="6"/>
  <c r="AWR11" i="6"/>
  <c r="AWR9" i="6"/>
  <c r="AWR10" i="6"/>
  <c r="AWT1" i="6"/>
  <c r="AWS3" i="6"/>
  <c r="AWS9" i="6"/>
  <c r="AWS11" i="6"/>
  <c r="AWS17" i="6"/>
  <c r="AWS5" i="6"/>
  <c r="AWG14" i="6"/>
  <c r="AWH12" i="6"/>
  <c r="AWB6" i="6"/>
  <c r="AWA7" i="6"/>
  <c r="AWQ4" i="6"/>
  <c r="AWS10" i="6"/>
  <c r="AWS18" i="6"/>
  <c r="AWU1" i="6"/>
  <c r="AWT9" i="6"/>
  <c r="AWT10" i="6"/>
  <c r="AWT3" i="6"/>
  <c r="AWT11" i="6"/>
  <c r="AWT17" i="6"/>
  <c r="AWT5" i="6"/>
  <c r="AWR4" i="6"/>
  <c r="AWC6" i="6"/>
  <c r="AWB7" i="6"/>
  <c r="AWI12" i="6"/>
  <c r="AWH14" i="6"/>
  <c r="AWU3" i="6"/>
  <c r="AWV1" i="6"/>
  <c r="AWU11" i="6"/>
  <c r="AWU17" i="6"/>
  <c r="AWU5" i="6"/>
  <c r="AWT18" i="6"/>
  <c r="AWJ12" i="6"/>
  <c r="AWI14" i="6"/>
  <c r="AWD6" i="6"/>
  <c r="AWC7" i="6"/>
  <c r="AWS4" i="6"/>
  <c r="AWU18" i="6"/>
  <c r="AWW1" i="6"/>
  <c r="AWV11" i="6"/>
  <c r="AWV17" i="6"/>
  <c r="AWV18" i="6"/>
  <c r="AWV5" i="6"/>
  <c r="AWU9" i="6"/>
  <c r="AWU10" i="6"/>
  <c r="AWT4" i="6"/>
  <c r="AWE6" i="6"/>
  <c r="AWD7" i="6"/>
  <c r="AWK12" i="6"/>
  <c r="AWJ14" i="6"/>
  <c r="AWX1" i="6"/>
  <c r="AWW17" i="6"/>
  <c r="AWW18" i="6"/>
  <c r="AWW5" i="6"/>
  <c r="AWV9" i="6"/>
  <c r="AWV10" i="6"/>
  <c r="AWV3" i="6"/>
  <c r="AWK14" i="6"/>
  <c r="AWL12" i="6"/>
  <c r="AWF6" i="6"/>
  <c r="AWE7" i="6"/>
  <c r="AWU4" i="6"/>
  <c r="AWY1" i="6"/>
  <c r="AWX9" i="6"/>
  <c r="AWX11" i="6"/>
  <c r="AWX17" i="6"/>
  <c r="AWX18" i="6"/>
  <c r="AWX5" i="6"/>
  <c r="AWW11" i="6"/>
  <c r="AWW9" i="6"/>
  <c r="AWW10" i="6"/>
  <c r="AWW3" i="6"/>
  <c r="AWV4" i="6"/>
  <c r="AWG6" i="6"/>
  <c r="AWF7" i="6"/>
  <c r="AWM12" i="6"/>
  <c r="AWL14" i="6"/>
  <c r="AWX10" i="6"/>
  <c r="AWZ1" i="6"/>
  <c r="AWY3" i="6"/>
  <c r="AWY9" i="6"/>
  <c r="AWY11" i="6"/>
  <c r="AWY17" i="6"/>
  <c r="AWY18" i="6"/>
  <c r="AWY5" i="6"/>
  <c r="AWX3" i="6"/>
  <c r="AWN12" i="6"/>
  <c r="AWM14" i="6"/>
  <c r="AWH6" i="6"/>
  <c r="AWG7" i="6"/>
  <c r="AWW4" i="6"/>
  <c r="AWY10" i="6"/>
  <c r="AXA1" i="6"/>
  <c r="AWX4" i="6"/>
  <c r="AWI6" i="6"/>
  <c r="AWH7" i="6"/>
  <c r="AWO12" i="6"/>
  <c r="AWN14" i="6"/>
  <c r="AXB1" i="6"/>
  <c r="AXA3" i="6"/>
  <c r="AXA9" i="6"/>
  <c r="AXA11" i="6"/>
  <c r="AXA17" i="6"/>
  <c r="AXA5" i="6"/>
  <c r="AWZ5" i="6"/>
  <c r="AWZ17" i="6"/>
  <c r="AWZ18" i="6"/>
  <c r="AWZ11" i="6"/>
  <c r="AWZ3" i="6"/>
  <c r="AWZ9" i="6"/>
  <c r="AWZ10" i="6"/>
  <c r="AWP12" i="6"/>
  <c r="AWO14" i="6"/>
  <c r="AWJ6" i="6"/>
  <c r="AWI7" i="6"/>
  <c r="AWY4" i="6"/>
  <c r="AXA10" i="6"/>
  <c r="AXA18" i="6"/>
  <c r="AXC1" i="6"/>
  <c r="AXB9" i="6"/>
  <c r="AXB10" i="6"/>
  <c r="AXB3" i="6"/>
  <c r="AXB11" i="6"/>
  <c r="AXB17" i="6"/>
  <c r="AXB18" i="6"/>
  <c r="AXB5" i="6"/>
  <c r="AWZ4" i="6"/>
  <c r="AWK6" i="6"/>
  <c r="AWJ7" i="6"/>
  <c r="AWQ12" i="6"/>
  <c r="AWP14" i="6"/>
  <c r="AXD1" i="6"/>
  <c r="AXC3" i="6"/>
  <c r="AXC9" i="6"/>
  <c r="AXC10" i="6"/>
  <c r="AXC11" i="6"/>
  <c r="AXC17" i="6"/>
  <c r="AXC18" i="6"/>
  <c r="AXC5" i="6"/>
  <c r="AWR12" i="6"/>
  <c r="AWQ14" i="6"/>
  <c r="AWL6" i="6"/>
  <c r="AWK7" i="6"/>
  <c r="AXA4" i="6"/>
  <c r="AXE1" i="6"/>
  <c r="AXD3" i="6"/>
  <c r="AXD9" i="6"/>
  <c r="AXD10" i="6"/>
  <c r="AXD11" i="6"/>
  <c r="AXD17" i="6"/>
  <c r="AXD18" i="6"/>
  <c r="AXD5" i="6"/>
  <c r="AXB4" i="6"/>
  <c r="AWM6" i="6"/>
  <c r="AWL7" i="6"/>
  <c r="AWR14" i="6"/>
  <c r="AWS12" i="6"/>
  <c r="AXF1" i="6"/>
  <c r="AXE3" i="6"/>
  <c r="AXE9" i="6"/>
  <c r="AXE10" i="6"/>
  <c r="AXE11" i="6"/>
  <c r="AXE17" i="6"/>
  <c r="AXE18" i="6"/>
  <c r="AXE5" i="6"/>
  <c r="AWS14" i="6"/>
  <c r="AWT12" i="6"/>
  <c r="AWN6" i="6"/>
  <c r="AWM7" i="6"/>
  <c r="AXC4" i="6"/>
  <c r="AXG1" i="6"/>
  <c r="AXD4" i="6"/>
  <c r="AWO6" i="6"/>
  <c r="AWN7" i="6"/>
  <c r="AWU12" i="6"/>
  <c r="AWT14" i="6"/>
  <c r="AXH1" i="6"/>
  <c r="AXF5" i="6"/>
  <c r="AXF17" i="6"/>
  <c r="AXF18" i="6"/>
  <c r="AXF11" i="6"/>
  <c r="AXF9" i="6"/>
  <c r="AXF10" i="6"/>
  <c r="AXF3" i="6"/>
  <c r="AWV12" i="6"/>
  <c r="AWU14" i="6"/>
  <c r="AWP6" i="6"/>
  <c r="AWO7" i="6"/>
  <c r="AXE4" i="6"/>
  <c r="AXI1" i="6"/>
  <c r="AXH3" i="6"/>
  <c r="AXH9" i="6"/>
  <c r="AXH11" i="6"/>
  <c r="AXH17" i="6"/>
  <c r="AXH5" i="6"/>
  <c r="AXG5" i="6"/>
  <c r="AXG17" i="6"/>
  <c r="AXG18" i="6"/>
  <c r="AXG11" i="6"/>
  <c r="AXG3" i="6"/>
  <c r="AXG9" i="6"/>
  <c r="AXG10" i="6"/>
  <c r="AXH10" i="6"/>
  <c r="AXF4" i="6"/>
  <c r="AWQ6" i="6"/>
  <c r="AWP7" i="6"/>
  <c r="AWV14" i="6"/>
  <c r="AWW12" i="6"/>
  <c r="AXH18" i="6"/>
  <c r="AXJ1" i="6"/>
  <c r="AXI3" i="6"/>
  <c r="AXI11" i="6"/>
  <c r="AXI17" i="6"/>
  <c r="AXI18" i="6"/>
  <c r="AXI5" i="6"/>
  <c r="AWX12" i="6"/>
  <c r="AWW14" i="6"/>
  <c r="AWR6" i="6"/>
  <c r="AWQ7" i="6"/>
  <c r="AXG4" i="6"/>
  <c r="AXK1" i="6"/>
  <c r="AXJ3" i="6"/>
  <c r="AXI9" i="6"/>
  <c r="AXI10" i="6"/>
  <c r="AXH4" i="6"/>
  <c r="AWS6" i="6"/>
  <c r="AWR7" i="6"/>
  <c r="AWY12" i="6"/>
  <c r="AWX14" i="6"/>
  <c r="AXJ5" i="6"/>
  <c r="AXJ17" i="6"/>
  <c r="AXJ18" i="6"/>
  <c r="AXJ11" i="6"/>
  <c r="AXJ9" i="6"/>
  <c r="AXJ10" i="6"/>
  <c r="AXL1" i="6"/>
  <c r="AXK3" i="6"/>
  <c r="AXK9" i="6"/>
  <c r="AXK11" i="6"/>
  <c r="AXK17" i="6"/>
  <c r="AXK5" i="6"/>
  <c r="AWZ12" i="6"/>
  <c r="AWY14" i="6"/>
  <c r="AWT6" i="6"/>
  <c r="AWS7" i="6"/>
  <c r="AXI4" i="6"/>
  <c r="AXK10" i="6"/>
  <c r="AXK18" i="6"/>
  <c r="AXM1" i="6"/>
  <c r="AXL11" i="6"/>
  <c r="AXL17" i="6"/>
  <c r="AXL5" i="6"/>
  <c r="AXJ4" i="6"/>
  <c r="AWU6" i="6"/>
  <c r="AWT7" i="6"/>
  <c r="AXA12" i="6"/>
  <c r="AWZ14" i="6"/>
  <c r="AXM9" i="6"/>
  <c r="AXN1" i="6"/>
  <c r="AXM3" i="6"/>
  <c r="AXM11" i="6"/>
  <c r="AXM17" i="6"/>
  <c r="AXM5" i="6"/>
  <c r="AXL9" i="6"/>
  <c r="AXL10" i="6"/>
  <c r="AXL3" i="6"/>
  <c r="AXL18" i="6"/>
  <c r="AXB12" i="6"/>
  <c r="AXA14" i="6"/>
  <c r="AWV6" i="6"/>
  <c r="AWU7" i="6"/>
  <c r="AXK4" i="6"/>
  <c r="AXM18" i="6"/>
  <c r="AXM10" i="6"/>
  <c r="AXO1" i="6"/>
  <c r="AXN3" i="6"/>
  <c r="AXN9" i="6"/>
  <c r="AXN11" i="6"/>
  <c r="AXN17" i="6"/>
  <c r="AXN5" i="6"/>
  <c r="AXL4" i="6"/>
  <c r="AWW6" i="6"/>
  <c r="AWV7" i="6"/>
  <c r="AXC12" i="6"/>
  <c r="AXB14" i="6"/>
  <c r="AXN18" i="6"/>
  <c r="AXP1" i="6"/>
  <c r="AXO3" i="6"/>
  <c r="AXO9" i="6"/>
  <c r="AXO11" i="6"/>
  <c r="AXO17" i="6"/>
  <c r="AXO5" i="6"/>
  <c r="AXN10" i="6"/>
  <c r="AXD12" i="6"/>
  <c r="AXC14" i="6"/>
  <c r="AWX6" i="6"/>
  <c r="AWW7" i="6"/>
  <c r="AXM4" i="6"/>
  <c r="AXO18" i="6"/>
  <c r="AXO10" i="6"/>
  <c r="AXQ1" i="6"/>
  <c r="AXP3" i="6"/>
  <c r="AXP9" i="6"/>
  <c r="AXP10" i="6"/>
  <c r="AXP11" i="6"/>
  <c r="AXP17" i="6"/>
  <c r="AXP18" i="6"/>
  <c r="AXP5" i="6"/>
  <c r="AXN4" i="6"/>
  <c r="AWY6" i="6"/>
  <c r="AWX7" i="6"/>
  <c r="AXE12" i="6"/>
  <c r="AXD14" i="6"/>
  <c r="AXR1" i="6"/>
  <c r="AXQ9" i="6"/>
  <c r="AXQ10" i="6"/>
  <c r="AXQ11" i="6"/>
  <c r="AXQ17" i="6"/>
  <c r="AXQ18" i="6"/>
  <c r="AXQ5" i="6"/>
  <c r="AXF12" i="6"/>
  <c r="AXE14" i="6"/>
  <c r="AWZ6" i="6"/>
  <c r="AWY7" i="6"/>
  <c r="AXO4" i="6"/>
  <c r="AXS1" i="6"/>
  <c r="AXR3" i="6"/>
  <c r="AXR11" i="6"/>
  <c r="AXR17" i="6"/>
  <c r="AXR18" i="6"/>
  <c r="AXR5" i="6"/>
  <c r="AXQ3" i="6"/>
  <c r="AXP4" i="6"/>
  <c r="AXA6" i="6"/>
  <c r="AWZ7" i="6"/>
  <c r="AXG12" i="6"/>
  <c r="AXF14" i="6"/>
  <c r="AXT1" i="6"/>
  <c r="AXS3" i="6"/>
  <c r="AXS11" i="6"/>
  <c r="AXS17" i="6"/>
  <c r="AXS18" i="6"/>
  <c r="AXS5" i="6"/>
  <c r="AXR9" i="6"/>
  <c r="AXR10" i="6"/>
  <c r="AXH12" i="6"/>
  <c r="AXG14" i="6"/>
  <c r="AXB6" i="6"/>
  <c r="AXA7" i="6"/>
  <c r="AXQ4" i="6"/>
  <c r="AXU1" i="6"/>
  <c r="AXT11" i="6"/>
  <c r="AXT17" i="6"/>
  <c r="AXT18" i="6"/>
  <c r="AXT5" i="6"/>
  <c r="AXS9" i="6"/>
  <c r="AXS10" i="6"/>
  <c r="AXR4" i="6"/>
  <c r="AXC6" i="6"/>
  <c r="AXB7" i="6"/>
  <c r="AXH14" i="6"/>
  <c r="AXI12" i="6"/>
  <c r="AXV1" i="6"/>
  <c r="AXU11" i="6"/>
  <c r="AXU17" i="6"/>
  <c r="AXU18" i="6"/>
  <c r="AXU5" i="6"/>
  <c r="AXT9" i="6"/>
  <c r="AXT10" i="6"/>
  <c r="AXT3" i="6"/>
  <c r="AXI14" i="6"/>
  <c r="AXJ12" i="6"/>
  <c r="AXD6" i="6"/>
  <c r="AXC7" i="6"/>
  <c r="AXS4" i="6"/>
  <c r="AXW1" i="6"/>
  <c r="AXV3" i="6"/>
  <c r="AXV9" i="6"/>
  <c r="AXV11" i="6"/>
  <c r="AXV17" i="6"/>
  <c r="AXV18" i="6"/>
  <c r="AXV5" i="6"/>
  <c r="AXU9" i="6"/>
  <c r="AXU10" i="6"/>
  <c r="AXU3" i="6"/>
  <c r="AXT4" i="6"/>
  <c r="AXE6" i="6"/>
  <c r="AXD7" i="6"/>
  <c r="AXK12" i="6"/>
  <c r="AXJ14" i="6"/>
  <c r="AXV10" i="6"/>
  <c r="AXX1" i="6"/>
  <c r="AXW9" i="6"/>
  <c r="AXW10" i="6"/>
  <c r="AXW3" i="6"/>
  <c r="AXW11" i="6"/>
  <c r="AXW17" i="6"/>
  <c r="AXW18" i="6"/>
  <c r="AXW5" i="6"/>
  <c r="AXK14" i="6"/>
  <c r="AXL12" i="6"/>
  <c r="AXF6" i="6"/>
  <c r="AXE7" i="6"/>
  <c r="AXU4" i="6"/>
  <c r="AXY1" i="6"/>
  <c r="AXX3" i="6"/>
  <c r="AXX9" i="6"/>
  <c r="AXX10" i="6"/>
  <c r="AXX11" i="6"/>
  <c r="AXX17" i="6"/>
  <c r="AXX18" i="6"/>
  <c r="AXX5" i="6"/>
  <c r="AXV4" i="6"/>
  <c r="AXG6" i="6"/>
  <c r="AXF7" i="6"/>
  <c r="AXM12" i="6"/>
  <c r="AXL14" i="6"/>
  <c r="AXZ1" i="6"/>
  <c r="AXY3" i="6"/>
  <c r="AXY9" i="6"/>
  <c r="AXY10" i="6"/>
  <c r="AXY11" i="6"/>
  <c r="AXY17" i="6"/>
  <c r="AXY18" i="6"/>
  <c r="AXY5" i="6"/>
  <c r="AXN12" i="6"/>
  <c r="AXM14" i="6"/>
  <c r="AXH6" i="6"/>
  <c r="AXG7" i="6"/>
  <c r="AXW4" i="6"/>
  <c r="AYA1" i="6"/>
  <c r="AXZ3" i="6"/>
  <c r="AXZ9" i="6"/>
  <c r="AXZ10" i="6"/>
  <c r="AXZ11" i="6"/>
  <c r="AXZ17" i="6"/>
  <c r="AXZ18" i="6"/>
  <c r="AXZ5" i="6"/>
  <c r="AXX4" i="6"/>
  <c r="AXI6" i="6"/>
  <c r="AXH7" i="6"/>
  <c r="AXO12" i="6"/>
  <c r="AXN14" i="6"/>
  <c r="AYB1" i="6"/>
  <c r="AYA9" i="6"/>
  <c r="AYA10" i="6"/>
  <c r="AYA11" i="6"/>
  <c r="AYA17" i="6"/>
  <c r="AYA18" i="6"/>
  <c r="AYA5" i="6"/>
  <c r="AXP12" i="6"/>
  <c r="AXO14" i="6"/>
  <c r="AXJ6" i="6"/>
  <c r="AXI7" i="6"/>
  <c r="AXY4" i="6"/>
  <c r="AYC1" i="6"/>
  <c r="AYB3" i="6"/>
  <c r="AYA3" i="6"/>
  <c r="AXZ4" i="6"/>
  <c r="AXK6" i="6"/>
  <c r="AXJ7" i="6"/>
  <c r="AXQ12" i="6"/>
  <c r="AXP14" i="6"/>
  <c r="AYB5" i="6"/>
  <c r="AYB17" i="6"/>
  <c r="AYB18" i="6"/>
  <c r="AYB11" i="6"/>
  <c r="AYB9" i="6"/>
  <c r="AYB10" i="6"/>
  <c r="AYD1" i="6"/>
  <c r="AYC9" i="6"/>
  <c r="AYC11" i="6"/>
  <c r="AYC17" i="6"/>
  <c r="AYC5" i="6"/>
  <c r="AXR12" i="6"/>
  <c r="AXQ14" i="6"/>
  <c r="AXL6" i="6"/>
  <c r="AXK7" i="6"/>
  <c r="AYA4" i="6"/>
  <c r="AYC10" i="6"/>
  <c r="AYC18" i="6"/>
  <c r="AYE1" i="6"/>
  <c r="AYD3" i="6"/>
  <c r="AYC3" i="6"/>
  <c r="AYB4" i="6"/>
  <c r="AXM6" i="6"/>
  <c r="AXL7" i="6"/>
  <c r="AXS12" i="6"/>
  <c r="AXR14" i="6"/>
  <c r="AYD9" i="6"/>
  <c r="AYD10" i="6"/>
  <c r="AYD5" i="6"/>
  <c r="AYD17" i="6"/>
  <c r="AYD18" i="6"/>
  <c r="AYD11" i="6"/>
  <c r="AYF1" i="6"/>
  <c r="AYE9" i="6"/>
  <c r="AYE11" i="6"/>
  <c r="AYE17" i="6"/>
  <c r="AYE5" i="6"/>
  <c r="AXT12" i="6"/>
  <c r="AXS14" i="6"/>
  <c r="AXN6" i="6"/>
  <c r="AXM7" i="6"/>
  <c r="AYC4" i="6"/>
  <c r="AYE10" i="6"/>
  <c r="AYG1" i="6"/>
  <c r="AYF11" i="6"/>
  <c r="AYF17" i="6"/>
  <c r="AYF5" i="6"/>
  <c r="AYE3" i="6"/>
  <c r="AYE18" i="6"/>
  <c r="AYD4" i="6"/>
  <c r="AXO6" i="6"/>
  <c r="AXN7" i="6"/>
  <c r="AXU12" i="6"/>
  <c r="AXT14" i="6"/>
  <c r="AYF18" i="6"/>
  <c r="AYH1" i="6"/>
  <c r="AYG9" i="6"/>
  <c r="AYG11" i="6"/>
  <c r="AYG17" i="6"/>
  <c r="AYG18" i="6"/>
  <c r="AYG5" i="6"/>
  <c r="AYF9" i="6"/>
  <c r="AYF10" i="6"/>
  <c r="AYF3" i="6"/>
  <c r="AXU14" i="6"/>
  <c r="AXV12" i="6"/>
  <c r="AXP6" i="6"/>
  <c r="AXO7" i="6"/>
  <c r="AYE4" i="6"/>
  <c r="AYG10" i="6"/>
  <c r="AYH3" i="6"/>
  <c r="AYH9" i="6"/>
  <c r="AYH10" i="6"/>
  <c r="AYI1" i="6"/>
  <c r="AYH11" i="6"/>
  <c r="AYH17" i="6"/>
  <c r="AYH18" i="6"/>
  <c r="AYH5" i="6"/>
  <c r="AYG3" i="6"/>
  <c r="AYF4" i="6"/>
  <c r="AXQ6" i="6"/>
  <c r="AXP7" i="6"/>
  <c r="AXV14" i="6"/>
  <c r="AXW12" i="6"/>
  <c r="AYJ1" i="6"/>
  <c r="AYI9" i="6"/>
  <c r="AYI10" i="6"/>
  <c r="AYI11" i="6"/>
  <c r="AYI17" i="6"/>
  <c r="AYI18" i="6"/>
  <c r="AYI5" i="6"/>
  <c r="AXX12" i="6"/>
  <c r="AXW14" i="6"/>
  <c r="AXR6" i="6"/>
  <c r="AXQ7" i="6"/>
  <c r="AYG4" i="6"/>
  <c r="AYK1" i="6"/>
  <c r="AYJ9" i="6"/>
  <c r="AYJ10" i="6"/>
  <c r="AYJ3" i="6"/>
  <c r="AYI3" i="6"/>
  <c r="AYH4" i="6"/>
  <c r="AXS6" i="6"/>
  <c r="AXR7" i="6"/>
  <c r="AXY12" i="6"/>
  <c r="AXX14" i="6"/>
  <c r="AYJ5" i="6"/>
  <c r="AYJ17" i="6"/>
  <c r="AYJ18" i="6"/>
  <c r="AYJ11" i="6"/>
  <c r="AYL1" i="6"/>
  <c r="AYK3" i="6"/>
  <c r="AYK9" i="6"/>
  <c r="AYK10" i="6"/>
  <c r="AYK11" i="6"/>
  <c r="AYK17" i="6"/>
  <c r="AYK5" i="6"/>
  <c r="AXZ12" i="6"/>
  <c r="AXY14" i="6"/>
  <c r="AXT6" i="6"/>
  <c r="AXS7" i="6"/>
  <c r="AYI4" i="6"/>
  <c r="AYM1" i="6"/>
  <c r="AYL3" i="6"/>
  <c r="AYL9" i="6"/>
  <c r="AYL10" i="6"/>
  <c r="AYL11" i="6"/>
  <c r="AYL17" i="6"/>
  <c r="AYL5" i="6"/>
  <c r="AYK18" i="6"/>
  <c r="AYJ4" i="6"/>
  <c r="AXU6" i="6"/>
  <c r="AXT7" i="6"/>
  <c r="AYA12" i="6"/>
  <c r="AXZ14" i="6"/>
  <c r="AYL18" i="6"/>
  <c r="AYN1" i="6"/>
  <c r="AYM9" i="6"/>
  <c r="AYM10" i="6"/>
  <c r="AYM3" i="6"/>
  <c r="AYM11" i="6"/>
  <c r="AYM17" i="6"/>
  <c r="AYM18" i="6"/>
  <c r="AYM5" i="6"/>
  <c r="AYB12" i="6"/>
  <c r="AYA14" i="6"/>
  <c r="AXV6" i="6"/>
  <c r="AXU7" i="6"/>
  <c r="AYK4" i="6"/>
  <c r="AYO1" i="6"/>
  <c r="AYN9" i="6"/>
  <c r="AYN10" i="6"/>
  <c r="AYN3" i="6"/>
  <c r="AYN11" i="6"/>
  <c r="AYN17" i="6"/>
  <c r="AYN18" i="6"/>
  <c r="AYN5" i="6"/>
  <c r="AYL4" i="6"/>
  <c r="AXW6" i="6"/>
  <c r="AXV7" i="6"/>
  <c r="AYC12" i="6"/>
  <c r="AYB14" i="6"/>
  <c r="AYP1" i="6"/>
  <c r="AYO3" i="6"/>
  <c r="AYO9" i="6"/>
  <c r="AYO10" i="6"/>
  <c r="AYO11" i="6"/>
  <c r="AYO17" i="6"/>
  <c r="AYO18" i="6"/>
  <c r="AYO5" i="6"/>
  <c r="AYD12" i="6"/>
  <c r="AYC14" i="6"/>
  <c r="AXX6" i="6"/>
  <c r="AXW7" i="6"/>
  <c r="AYM4" i="6"/>
  <c r="AYQ1" i="6"/>
  <c r="AYP9" i="6"/>
  <c r="AYP10" i="6"/>
  <c r="AYP3" i="6"/>
  <c r="AYP11" i="6"/>
  <c r="AYP17" i="6"/>
  <c r="AYP18" i="6"/>
  <c r="AYP5" i="6"/>
  <c r="AYN4" i="6"/>
  <c r="AXY6" i="6"/>
  <c r="AXX7" i="6"/>
  <c r="AYE12" i="6"/>
  <c r="AYD14" i="6"/>
  <c r="AYR1" i="6"/>
  <c r="AYQ17" i="6"/>
  <c r="AYQ18" i="6"/>
  <c r="AYQ5" i="6"/>
  <c r="AYF12" i="6"/>
  <c r="AYE14" i="6"/>
  <c r="AXZ6" i="6"/>
  <c r="AXY7" i="6"/>
  <c r="AYO4" i="6"/>
  <c r="AYS1" i="6"/>
  <c r="AYR9" i="6"/>
  <c r="AYR11" i="6"/>
  <c r="AYR17" i="6"/>
  <c r="AYR18" i="6"/>
  <c r="AYR5" i="6"/>
  <c r="AYQ3" i="6"/>
  <c r="AYQ11" i="6"/>
  <c r="AYQ9" i="6"/>
  <c r="AYQ10" i="6"/>
  <c r="AYP4" i="6"/>
  <c r="AYA6" i="6"/>
  <c r="AXZ7" i="6"/>
  <c r="AYG12" i="6"/>
  <c r="AYF14" i="6"/>
  <c r="AYR10" i="6"/>
  <c r="AYT1" i="6"/>
  <c r="AYS9" i="6"/>
  <c r="AYS11" i="6"/>
  <c r="AYS17" i="6"/>
  <c r="AYS18" i="6"/>
  <c r="AYS5" i="6"/>
  <c r="AYR3" i="6"/>
  <c r="AYH12" i="6"/>
  <c r="AYG14" i="6"/>
  <c r="AYB6" i="6"/>
  <c r="AYA7" i="6"/>
  <c r="AYQ4" i="6"/>
  <c r="AYU1" i="6"/>
  <c r="AYT9" i="6"/>
  <c r="AYT3" i="6"/>
  <c r="AYT11" i="6"/>
  <c r="AYT17" i="6"/>
  <c r="AYT18" i="6"/>
  <c r="AYT5" i="6"/>
  <c r="AYS3" i="6"/>
  <c r="AYS10" i="6"/>
  <c r="AYR4" i="6"/>
  <c r="AYC6" i="6"/>
  <c r="AYB7" i="6"/>
  <c r="AYH14" i="6"/>
  <c r="AYI12" i="6"/>
  <c r="AYT10" i="6"/>
  <c r="AYV1" i="6"/>
  <c r="AYU9" i="6"/>
  <c r="AYU3" i="6"/>
  <c r="AYU11" i="6"/>
  <c r="AYI14" i="6"/>
  <c r="AYJ12" i="6"/>
  <c r="AYD6" i="6"/>
  <c r="AYC7" i="6"/>
  <c r="AYS4" i="6"/>
  <c r="AYU10" i="6"/>
  <c r="AYW1" i="6"/>
  <c r="AYV3" i="6"/>
  <c r="AYV9" i="6"/>
  <c r="AYV11" i="6"/>
  <c r="AYV17" i="6"/>
  <c r="AYV5" i="6"/>
  <c r="AYU5" i="6"/>
  <c r="AYU17" i="6"/>
  <c r="AYU18" i="6"/>
  <c r="AYT4" i="6"/>
  <c r="AYE6" i="6"/>
  <c r="AYD7" i="6"/>
  <c r="AYK12" i="6"/>
  <c r="AYJ14" i="6"/>
  <c r="AYV10" i="6"/>
  <c r="AYV18" i="6"/>
  <c r="AYX1" i="6"/>
  <c r="AYW9" i="6"/>
  <c r="AYW10" i="6"/>
  <c r="AYL12" i="6"/>
  <c r="AYK14" i="6"/>
  <c r="AYF6" i="6"/>
  <c r="AYE7" i="6"/>
  <c r="AYU4" i="6"/>
  <c r="AYY1" i="6"/>
  <c r="AYX3" i="6"/>
  <c r="AYX9" i="6"/>
  <c r="AYX10" i="6"/>
  <c r="AYX11" i="6"/>
  <c r="AYX17" i="6"/>
  <c r="AYX5" i="6"/>
  <c r="AYW3" i="6"/>
  <c r="AYW5" i="6"/>
  <c r="AYW17" i="6"/>
  <c r="AYW18" i="6"/>
  <c r="AYW11" i="6"/>
  <c r="AYV4" i="6"/>
  <c r="AYG6" i="6"/>
  <c r="AYF7" i="6"/>
  <c r="AYM12" i="6"/>
  <c r="AYL14" i="6"/>
  <c r="AYX18" i="6"/>
  <c r="AYZ1" i="6"/>
  <c r="AYY3" i="6"/>
  <c r="AYY9" i="6"/>
  <c r="AYY10" i="6"/>
  <c r="AYY11" i="6"/>
  <c r="AYY17" i="6"/>
  <c r="AYY18" i="6"/>
  <c r="AYY5" i="6"/>
  <c r="AYM14" i="6"/>
  <c r="AYN12" i="6"/>
  <c r="AYH6" i="6"/>
  <c r="AYG7" i="6"/>
  <c r="AYW4" i="6"/>
  <c r="AZA1" i="6"/>
  <c r="AYZ9" i="6"/>
  <c r="AYZ10" i="6"/>
  <c r="AYZ3" i="6"/>
  <c r="AYZ11" i="6"/>
  <c r="AYZ17" i="6"/>
  <c r="AYZ18" i="6"/>
  <c r="AYZ5" i="6"/>
  <c r="AYX4" i="6"/>
  <c r="AYI6" i="6"/>
  <c r="AYH7" i="6"/>
  <c r="AYO12" i="6"/>
  <c r="AYN14" i="6"/>
  <c r="AZB1" i="6"/>
  <c r="AZA9" i="6"/>
  <c r="AZA10" i="6"/>
  <c r="AZA11" i="6"/>
  <c r="AZA17" i="6"/>
  <c r="AZA18" i="6"/>
  <c r="AZA5" i="6"/>
  <c r="AYP12" i="6"/>
  <c r="AYO14" i="6"/>
  <c r="AYJ6" i="6"/>
  <c r="AYI7" i="6"/>
  <c r="AYY4" i="6"/>
  <c r="AZC1" i="6"/>
  <c r="AZB9" i="6"/>
  <c r="AZB10" i="6"/>
  <c r="AZB11" i="6"/>
  <c r="AZB17" i="6"/>
  <c r="AZB18" i="6"/>
  <c r="AZB5" i="6"/>
  <c r="AZA3" i="6"/>
  <c r="AYZ4" i="6"/>
  <c r="AYK6" i="6"/>
  <c r="AYJ7" i="6"/>
  <c r="AYQ12" i="6"/>
  <c r="AYP14" i="6"/>
  <c r="AZD1" i="6"/>
  <c r="AZC3" i="6"/>
  <c r="AZC9" i="6"/>
  <c r="AZC10" i="6"/>
  <c r="AZC11" i="6"/>
  <c r="AZC17" i="6"/>
  <c r="AZC18" i="6"/>
  <c r="AZC5" i="6"/>
  <c r="AZB3" i="6"/>
  <c r="AYR12" i="6"/>
  <c r="AYQ14" i="6"/>
  <c r="AYL6" i="6"/>
  <c r="AYK7" i="6"/>
  <c r="AZA4" i="6"/>
  <c r="AZE1" i="6"/>
  <c r="AZD3" i="6"/>
  <c r="AZD9" i="6"/>
  <c r="AZD10" i="6"/>
  <c r="AZD11" i="6"/>
  <c r="AZD17" i="6"/>
  <c r="AZD18" i="6"/>
  <c r="AZD5" i="6"/>
  <c r="AZB4" i="6"/>
  <c r="AYM6" i="6"/>
  <c r="AYL7" i="6"/>
  <c r="AYR14" i="6"/>
  <c r="AYS12" i="6"/>
  <c r="AZF1" i="6"/>
  <c r="AZE3" i="6"/>
  <c r="AZE11" i="6"/>
  <c r="AZE17" i="6"/>
  <c r="AZE18" i="6"/>
  <c r="AZE5" i="6"/>
  <c r="AYT12" i="6"/>
  <c r="AYS14" i="6"/>
  <c r="AYN6" i="6"/>
  <c r="AYM7" i="6"/>
  <c r="AZC4" i="6"/>
  <c r="AZG1" i="6"/>
  <c r="AZF9" i="6"/>
  <c r="AZF11" i="6"/>
  <c r="AZF17" i="6"/>
  <c r="AZF18" i="6"/>
  <c r="AZF5" i="6"/>
  <c r="AZE9" i="6"/>
  <c r="AZE10" i="6"/>
  <c r="AZD4" i="6"/>
  <c r="AYO6" i="6"/>
  <c r="AYN7" i="6"/>
  <c r="AYU12" i="6"/>
  <c r="AYT14" i="6"/>
  <c r="AZF10" i="6"/>
  <c r="AZG3" i="6"/>
  <c r="AZG9" i="6"/>
  <c r="D9" i="6"/>
  <c r="AZG11" i="6"/>
  <c r="D11" i="6"/>
  <c r="AZG17" i="6"/>
  <c r="D17" i="6"/>
  <c r="C17" i="6"/>
  <c r="AZG5" i="6"/>
  <c r="D5" i="6"/>
  <c r="AZF3" i="6"/>
  <c r="AYV12" i="6"/>
  <c r="AYU14" i="6"/>
  <c r="AYP6" i="6"/>
  <c r="AYO7" i="6"/>
  <c r="AZE4" i="6"/>
  <c r="D3" i="6"/>
  <c r="AZG10" i="6"/>
  <c r="AZG18" i="6"/>
  <c r="D18" i="6"/>
  <c r="C18" i="6"/>
  <c r="AZF4" i="6"/>
  <c r="AYQ6" i="6"/>
  <c r="AYP7" i="6"/>
  <c r="AYV14" i="6"/>
  <c r="AYW12" i="6"/>
  <c r="AYX12" i="6"/>
  <c r="AYW14" i="6"/>
  <c r="AYR6" i="6"/>
  <c r="AYQ7" i="6"/>
  <c r="AZG4" i="6"/>
  <c r="AYS6" i="6"/>
  <c r="AYR7" i="6"/>
  <c r="AYY12" i="6"/>
  <c r="AYX14" i="6"/>
  <c r="AYZ12" i="6"/>
  <c r="AYY14" i="6"/>
  <c r="AYT6" i="6"/>
  <c r="AYS7" i="6"/>
  <c r="AYU6" i="6"/>
  <c r="AYT7" i="6"/>
  <c r="AZA12" i="6"/>
  <c r="AYZ14" i="6"/>
  <c r="AZB12" i="6"/>
  <c r="AZA14" i="6"/>
  <c r="AYV6" i="6"/>
  <c r="AYU7" i="6"/>
  <c r="AYW6" i="6"/>
  <c r="AYV7" i="6"/>
  <c r="AZC12" i="6"/>
  <c r="AZB14" i="6"/>
  <c r="AZD12" i="6"/>
  <c r="AZC14" i="6"/>
  <c r="AYX6" i="6"/>
  <c r="AYW7" i="6"/>
  <c r="AYY6" i="6"/>
  <c r="AYX7" i="6"/>
  <c r="AZE12" i="6"/>
  <c r="AZD14" i="6"/>
  <c r="AZE14" i="6"/>
  <c r="AZF12" i="6"/>
  <c r="AYZ6" i="6"/>
  <c r="AYY7" i="6"/>
  <c r="AZA6" i="6"/>
  <c r="AYZ7" i="6"/>
  <c r="AZG12" i="6"/>
  <c r="AZG14" i="6"/>
  <c r="AZF14" i="6"/>
  <c r="AZB6" i="6"/>
  <c r="AZA7" i="6"/>
  <c r="AZC6" i="6"/>
  <c r="AZB7" i="6"/>
  <c r="AZD6" i="6"/>
  <c r="AZC7" i="6"/>
  <c r="AZE6" i="6"/>
  <c r="AZD7" i="6"/>
  <c r="AZF6" i="6"/>
  <c r="AZE7" i="6"/>
  <c r="AZG6" i="6"/>
  <c r="AZG7" i="6"/>
  <c r="AZF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tc={142AA0F0-FC8C-45F6-9AD2-0C07ED77AFAB}</author>
  </authors>
  <commentList>
    <comment ref="Q87" authorId="0" shapeId="0" xr:uid="{142AA0F0-FC8C-45F6-9AD2-0C07ED77A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Charged amount to match inv - OG amount was 87000</t>
      </text>
    </comment>
  </commentList>
</comments>
</file>

<file path=xl/sharedStrings.xml><?xml version="1.0" encoding="utf-8"?>
<sst xmlns="http://schemas.openxmlformats.org/spreadsheetml/2006/main" count="894" uniqueCount="535">
  <si>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</si>
  <si>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</si>
  <si>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</si>
  <si>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</si>
  <si>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</si>
  <si>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</si>
  <si>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</si>
  <si>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</si>
  <si>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</si>
  <si>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</si>
  <si>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</si>
  <si>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</si>
  <si>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</si>
  <si>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</si>
  <si>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</si>
  <si>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</si>
  <si>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</si>
  <si>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</si>
  <si>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</si>
  <si>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</si>
  <si>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</si>
  <si>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</si>
  <si>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</si>
  <si>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</si>
  <si>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</si>
  <si>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</si>
  <si>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</si>
  <si>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</si>
  <si>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</si>
  <si>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</si>
  <si>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</si>
  <si>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</si>
  <si>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</si>
  <si>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</si>
  <si>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</si>
  <si>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</si>
  <si>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</si>
  <si>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</si>
  <si>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</si>
  <si>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</si>
  <si>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</si>
  <si>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</si>
  <si>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</si>
  <si>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</si>
  <si>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</si>
  <si>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</si>
  <si>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</si>
  <si>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</si>
  <si>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</si>
  <si>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</si>
  <si>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</si>
  <si>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</si>
  <si>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</si>
  <si>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</si>
  <si>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</si>
  <si>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</si>
  <si>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</si>
  <si>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</si>
  <si>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</si>
  <si>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</si>
  <si>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</si>
  <si>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</si>
  <si>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</si>
  <si>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</si>
  <si>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</si>
  <si>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</si>
  <si>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</si>
  <si>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</si>
  <si>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</si>
  <si>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</si>
  <si>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</si>
  <si>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</si>
  <si>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</si>
  <si>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</si>
  <si>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</si>
  <si>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</si>
  <si>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</si>
  <si>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</si>
  <si>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</si>
  <si>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</si>
  <si>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</si>
  <si>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</si>
  <si>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</si>
  <si>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</si>
  <si>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</si>
  <si>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</si>
  <si>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</si>
  <si>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</si>
  <si>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</si>
  <si>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</si>
  <si>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</si>
  <si>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</si>
  <si>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</si>
  <si>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</si>
  <si>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</si>
  <si>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</si>
  <si>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</si>
  <si>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</si>
  <si>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</si>
  <si>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</si>
  <si>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</si>
  <si>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</si>
  <si>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</si>
  <si>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</si>
  <si>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</si>
  <si>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</si>
  <si>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</si>
  <si>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</si>
  <si>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</si>
  <si>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Abanded</t>
  </si>
  <si>
    <t>Client opted to complete themselves</t>
  </si>
  <si>
    <t>PTI</t>
  </si>
  <si>
    <t>Commissioning Approval</t>
  </si>
  <si>
    <t>NERSA Regsitration</t>
  </si>
  <si>
    <t>Network/Grid Imapct Study</t>
  </si>
  <si>
    <t>PROJECT PLAN</t>
  </si>
  <si>
    <t>Standard Bank GQ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</si>
  <si>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</si>
  <si>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</si>
  <si>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</si>
  <si>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</si>
  <si>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</si>
  <si>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</si>
  <si>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</si>
  <si>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</si>
  <si>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</si>
  <si>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</si>
  <si>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Commercial Close Out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</si>
  <si>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</si>
  <si>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</si>
  <si>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</si>
  <si>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</si>
  <si>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</si>
  <si>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</si>
  <si>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</si>
  <si>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</si>
  <si>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</si>
  <si>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</si>
  <si>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</si>
  <si>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</si>
  <si>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</si>
  <si>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HSE Readiness and Signoff</t>
  </si>
  <si>
    <t>1.3</t>
  </si>
  <si>
    <t>Safety Line Installation</t>
  </si>
  <si>
    <t>1.4</t>
  </si>
  <si>
    <t>Technical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</si>
  <si>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</si>
  <si>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</si>
  <si>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</si>
  <si>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</si>
  <si>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</si>
  <si>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</si>
  <si>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</si>
  <si>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</si>
  <si>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</si>
  <si>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Inspect all material prior to installation.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</si>
  <si>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</si>
  <si>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</si>
  <si>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</si>
  <si>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</si>
  <si>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</si>
  <si>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</si>
  <si>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</si>
  <si>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</si>
  <si>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</si>
  <si>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</si>
  <si>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</si>
  <si>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Double check connections, link to 6.1.</t>
  </si>
  <si>
    <t>DC Works</t>
  </si>
  <si>
    <t>4.1</t>
  </si>
  <si>
    <t>Mounting Structure delivered</t>
  </si>
  <si>
    <t>4.2</t>
  </si>
  <si>
    <t>Mounting Structure installation - Roof A</t>
  </si>
  <si>
    <t>1:Noise Complaints(08:50-12:00 on/off)
Stopped 3 times. Date: 04/11/2025</t>
  </si>
  <si>
    <t>Roof Hooks - Roof A</t>
  </si>
  <si>
    <t>4.2.2</t>
  </si>
  <si>
    <t>Rails - Roof A</t>
  </si>
  <si>
    <t>Not allowed to work over far-north roof due to noise, will only happen over weekend
Two rails to fit after hours</t>
  </si>
  <si>
    <t>4.3</t>
  </si>
  <si>
    <t>Mounting Structure installation - Roof B</t>
  </si>
  <si>
    <t>Roof Hooks - Roof B</t>
  </si>
  <si>
    <t>4.3.2</t>
  </si>
  <si>
    <t>Rails - Roof B</t>
  </si>
  <si>
    <t>4.4</t>
  </si>
  <si>
    <t>Mounting Structure installation - Roof C</t>
  </si>
  <si>
    <t>4.4.1</t>
  </si>
  <si>
    <t>Roof Hooks - Roof C</t>
  </si>
  <si>
    <t>4.4.2</t>
  </si>
  <si>
    <t>Rails - Roof C</t>
  </si>
  <si>
    <t>4.5</t>
  </si>
  <si>
    <t>Civil Works - Trenching</t>
  </si>
  <si>
    <t>Corden off parking for Saturday work</t>
  </si>
  <si>
    <t>4.6</t>
  </si>
  <si>
    <t>Civil Works - Scanning</t>
  </si>
  <si>
    <t>Marking out of route completed</t>
  </si>
  <si>
    <t>4.7</t>
  </si>
  <si>
    <t>DC Cable delivered</t>
  </si>
  <si>
    <t>Need to measure for additional material</t>
  </si>
  <si>
    <t>DC Stringing - Roof A</t>
  </si>
  <si>
    <t>Work to start over weekend, requires empty basement</t>
  </si>
  <si>
    <t>4.8</t>
  </si>
  <si>
    <t>DC Stringing - Roof B</t>
  </si>
  <si>
    <t>4.9</t>
  </si>
  <si>
    <t>DC Stringing - Roof C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</si>
  <si>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</si>
  <si>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</si>
  <si>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</si>
  <si>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</si>
  <si>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</si>
  <si>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</si>
  <si>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</si>
  <si>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</si>
  <si>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</si>
  <si>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Commissioning</t>
  </si>
  <si>
    <t>6.1</t>
  </si>
  <si>
    <t>Pre Commissioning</t>
  </si>
  <si>
    <t>6.2</t>
  </si>
  <si>
    <t>Practical Completion - Energy Flowing</t>
  </si>
  <si>
    <t>6.3</t>
  </si>
  <si>
    <t>System Performance Monitoring</t>
  </si>
  <si>
    <t>6.4</t>
  </si>
  <si>
    <t>Lightning Protection Installation</t>
  </si>
  <si>
    <t>QA Inspections</t>
  </si>
  <si>
    <t>7.1</t>
  </si>
  <si>
    <t>Red-Team Inspection</t>
  </si>
  <si>
    <t xml:space="preserve">Moved to Jan - Comm delay - breakers </t>
  </si>
  <si>
    <t>7.2</t>
  </si>
  <si>
    <t>Snags completion</t>
  </si>
  <si>
    <t>7.3</t>
  </si>
  <si>
    <t>Structural Engineer SignOff (CMB)</t>
  </si>
  <si>
    <t>Project Closure</t>
  </si>
  <si>
    <t>8.1</t>
  </si>
  <si>
    <t>Handover documentation</t>
  </si>
  <si>
    <t>December holidays pushing handover to Jan</t>
  </si>
  <si>
    <t>8.2</t>
  </si>
  <si>
    <t>Handover to Client</t>
  </si>
  <si>
    <t>8.3</t>
  </si>
  <si>
    <t>Handover to Matriarch</t>
  </si>
  <si>
    <t>Baseline</t>
  </si>
  <si>
    <t>Milestone</t>
  </si>
  <si>
    <t>Start Date</t>
  </si>
  <si>
    <t>End Date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</si>
  <si>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</si>
  <si>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</si>
  <si>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</si>
  <si>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</si>
  <si>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</si>
  <si>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</si>
  <si>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</si>
  <si>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</si>
  <si>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</si>
  <si>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</si>
  <si>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</si>
  <si>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</si>
  <si>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</si>
  <si>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</si>
  <si>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</si>
  <si>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</si>
  <si>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</si>
  <si>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</si>
  <si>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</si>
  <si>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</si>
  <si>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</si>
  <si>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</si>
  <si>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</si>
  <si>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</si>
  <si>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</si>
  <si>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</si>
  <si>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</si>
  <si>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1: Site Establishment Preperation &amp; HSE</t>
  </si>
  <si>
    <t>004852</t>
  </si>
  <si>
    <t>15/10/2025</t>
  </si>
  <si>
    <t>Milestone 1:Retention</t>
  </si>
  <si>
    <t>Milestone 2: DC Installation Partial Completion</t>
  </si>
  <si>
    <t>004884</t>
  </si>
  <si>
    <t>Milestone 2: DC Installation Final Completion</t>
  </si>
  <si>
    <t>004904</t>
  </si>
  <si>
    <t>Milestone 3: AC Installation Partial Completion</t>
  </si>
  <si>
    <t>Milestone 3: AC Installation Final Completion</t>
  </si>
  <si>
    <t>Milestone 4: Commissioning Complete</t>
  </si>
  <si>
    <t>Milestone 4:Retention</t>
  </si>
  <si>
    <t>Milestone 5: QA Inspections Complete</t>
  </si>
  <si>
    <t>004930</t>
  </si>
  <si>
    <t>Coupa portal issues preventing payment</t>
  </si>
  <si>
    <t>Milestone 5:Retention</t>
  </si>
  <si>
    <t>Milestone 6: Project Closure</t>
  </si>
  <si>
    <t>Milestone 6:Retention</t>
  </si>
  <si>
    <t>Retentions</t>
  </si>
  <si>
    <t>Retention Balance</t>
  </si>
  <si>
    <t>004945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</si>
  <si>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</si>
  <si>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</si>
  <si>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</si>
  <si>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</si>
  <si>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</si>
  <si>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</si>
  <si>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</si>
  <si>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</si>
  <si>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</si>
  <si>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</si>
  <si>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</si>
  <si>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</si>
  <si>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</si>
  <si>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</si>
  <si>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</si>
  <si>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</si>
  <si>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</si>
  <si>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</si>
  <si>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</si>
  <si>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</si>
  <si>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</si>
  <si>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</si>
  <si>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</si>
  <si>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</si>
  <si>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</si>
  <si>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</si>
  <si>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</si>
  <si>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</si>
  <si>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</si>
  <si>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</si>
  <si>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</si>
  <si>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</si>
  <si>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</si>
  <si>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</si>
  <si>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</si>
  <si>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</si>
  <si>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</si>
  <si>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</si>
  <si>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</si>
  <si>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</si>
  <si>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</si>
  <si>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</si>
  <si>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</si>
  <si>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</si>
  <si>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</si>
  <si>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</si>
  <si>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</si>
  <si>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</si>
  <si>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</si>
  <si>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</si>
  <si>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</si>
  <si>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</si>
  <si>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PO4368-STD-20251014 - RV Approved</t>
  </si>
  <si>
    <t>Schletter - INV2313</t>
  </si>
  <si>
    <t>Other</t>
  </si>
  <si>
    <t>Schletter - INV2479</t>
  </si>
  <si>
    <t>Internal Connectors</t>
  </si>
  <si>
    <t>PO4516-STD-20251202 - RV Approved</t>
  </si>
  <si>
    <t>Schletter - INV2483</t>
  </si>
  <si>
    <t>FA Screw M10 x 25 &amp; Flange</t>
  </si>
  <si>
    <t>PO4405-STD-20251024 - RV Approved</t>
  </si>
  <si>
    <t>Schletter - INV2317</t>
  </si>
  <si>
    <t>Schletter - INV2333</t>
  </si>
  <si>
    <t>Less 15%</t>
  </si>
  <si>
    <t>New Rails</t>
  </si>
  <si>
    <t>PO4440-STD-20251104 - RV Approved</t>
  </si>
  <si>
    <t>Schletter - INV2392</t>
  </si>
  <si>
    <t>R/Wp</t>
  </si>
  <si>
    <t>Credit for old Rails</t>
  </si>
  <si>
    <t>Schletter - CRN0282</t>
  </si>
  <si>
    <t>PO4480-STD-20251120 - RV Approved</t>
  </si>
  <si>
    <t>Schletter - INV2449</t>
  </si>
  <si>
    <t>Additional Rails</t>
  </si>
  <si>
    <t>PO4470-STD-20251113 - RV Approved</t>
  </si>
  <si>
    <t>Schletter - INV2415</t>
  </si>
  <si>
    <t>ACTUAL - Luken Solar</t>
  </si>
  <si>
    <t>Installer Price</t>
  </si>
  <si>
    <t>DC Cable Budget</t>
  </si>
  <si>
    <t>4. DC Equipment</t>
  </si>
  <si>
    <t>DC Equipment Budget</t>
  </si>
  <si>
    <t>DC Cable - Rubicon + Delivery</t>
  </si>
  <si>
    <t>PO4497-STB-20251126 - RV Approved</t>
  </si>
  <si>
    <t>Rubicon INVRED-0136070</t>
  </si>
  <si>
    <t>DC Cable allocated to Superspar Despatch</t>
  </si>
  <si>
    <t>Allocated to superspar Despatch - PH2</t>
  </si>
  <si>
    <t>Lifelines</t>
  </si>
  <si>
    <t>Project Kick Off</t>
  </si>
  <si>
    <t>PO4351-STD-20251009 - RV Approved</t>
  </si>
  <si>
    <t>Luken Solar INV-0673</t>
  </si>
  <si>
    <t>Forklift</t>
  </si>
  <si>
    <t>Luken Solar INV-0674</t>
  </si>
  <si>
    <t>Geda</t>
  </si>
  <si>
    <t>AC Installation Complete</t>
  </si>
  <si>
    <t>Luken Solar INV-0689</t>
  </si>
  <si>
    <t>Logistics</t>
  </si>
  <si>
    <t>DC Installation Complete</t>
  </si>
  <si>
    <t>Luken Solar INV-0684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</si>
  <si>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</si>
  <si>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</si>
  <si>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</si>
  <si>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</si>
  <si>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</si>
  <si>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</si>
  <si>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</si>
  <si>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</si>
  <si>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</si>
  <si>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PO4449-STD-20251106 - RV Approved</t>
  </si>
  <si>
    <t>Accuenergy Inv: ASAI-006805</t>
  </si>
  <si>
    <t>Matriarch Inv: 6200</t>
  </si>
  <si>
    <t>Delivery of Techsitter</t>
  </si>
  <si>
    <t>DSV Inv: 180156055</t>
  </si>
  <si>
    <t>Power Supply</t>
  </si>
  <si>
    <t>PO4452-STD-20251107 - RV Approved</t>
  </si>
  <si>
    <t>Current Automotion - INV346556</t>
  </si>
  <si>
    <t>Delivery</t>
  </si>
  <si>
    <t>DSV Inv: 180155155</t>
  </si>
  <si>
    <t>AC Equipment Budget</t>
  </si>
  <si>
    <t>6. AC Equipment</t>
  </si>
  <si>
    <t>BESS</t>
  </si>
  <si>
    <t>7.BESS</t>
  </si>
  <si>
    <t xml:space="preserve">Product Add On </t>
  </si>
  <si>
    <t>Contigency</t>
  </si>
  <si>
    <t xml:space="preserve">8. Product Add On </t>
  </si>
  <si>
    <t>Customized Maintenance</t>
  </si>
  <si>
    <t>Matriarch - iNV-6240</t>
  </si>
  <si>
    <t>Performance guarantee year 1</t>
  </si>
  <si>
    <t>Lightning Protection System</t>
  </si>
  <si>
    <t>PO4421-STD-20251029 - RV Approved</t>
  </si>
  <si>
    <t>LPS - IN307558</t>
  </si>
  <si>
    <t>Toilet Hire</t>
  </si>
  <si>
    <t>PO4432-STD-20251031 - RV Approved</t>
  </si>
  <si>
    <t>Talisman - 00216340</t>
  </si>
  <si>
    <t>RS 485 SPD - Luken Supply &amp; Install</t>
  </si>
  <si>
    <t>PO4609-STD-20260204 - RV Approved</t>
  </si>
  <si>
    <t>Luken Solar - INV-0708</t>
  </si>
  <si>
    <t>Trench scanning</t>
  </si>
  <si>
    <t>PO4503-STD-20251127  -RV Approved</t>
  </si>
  <si>
    <t>Luken INV-0683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</si>
  <si>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</si>
  <si>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</si>
  <si>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</si>
  <si>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</si>
  <si>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</si>
  <si>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Luken INV0692</t>
  </si>
  <si>
    <t>Luken Solar INV-0699</t>
  </si>
  <si>
    <t>Luken Solar INV-0706</t>
  </si>
  <si>
    <t>Luken Solar INV-0702</t>
  </si>
  <si>
    <t>Luken Solar INV-0705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</si>
  <si>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</si>
  <si>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</si>
  <si>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</si>
  <si>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</si>
  <si>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</si>
  <si>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</si>
  <si>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Pr.Eng sign-off</t>
  </si>
  <si>
    <t>SunSpot - E036</t>
  </si>
  <si>
    <t>Structural Sign Off</t>
  </si>
  <si>
    <t>Grid Study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</si>
  <si>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</si>
  <si>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</si>
  <si>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</si>
  <si>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</si>
  <si>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</si>
  <si>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</si>
  <si>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</si>
  <si>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</si>
  <si>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</si>
  <si>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Customized Maintenance Agreement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</si>
  <si>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</si>
  <si>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</si>
  <si>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</si>
  <si>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</si>
  <si>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</si>
  <si>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</si>
  <si>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</si>
  <si>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Mounting Structure Inpsection</t>
  </si>
  <si>
    <t>PO4469-STD-20251113 -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</si>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</sst>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&quot;R&quot;* #,##0.00_-;\-&quot;R&quot;* #,##0.00_-;_-&quot;R&quot;* &quot;-&quot;??_-;_-@_-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-[$R-1C09]* #,##0.0000_-;\-[$R-1C09]* #,##0.0000_-;_-[$R-1C09]* &quot;-&quot;??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77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6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6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6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6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6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6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6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6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6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6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6" fontId="0" fillId="6" borderId="2" xfId="0" applyNumberFormat="1" applyFill="1" applyBorder="1"/>
    <xf numFmtId="166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6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6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6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6" fontId="7" fillId="5" borderId="11" xfId="0" applyNumberFormat="1" applyFont="1" applyFill="1" applyBorder="1"/>
    <xf numFmtId="166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6" fontId="18" fillId="5" borderId="2" xfId="0" applyNumberFormat="1" applyFont="1" applyFill="1" applyBorder="1"/>
    <xf numFmtId="166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6" fontId="31" fillId="5" borderId="0" xfId="0" applyNumberFormat="1" applyFont="1" applyFill="1"/>
    <xf numFmtId="166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6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6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6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6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4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6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5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6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4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6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6" fontId="5" fillId="9" borderId="26" xfId="3" applyFont="1" applyFill="1" applyBorder="1" applyAlignment="1" applyProtection="1">
      <alignment horizontal="center"/>
      <protection locked="0"/>
    </xf>
    <xf numFmtId="166" fontId="5" fillId="11" borderId="26" xfId="3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6" fontId="5" fillId="11" borderId="32" xfId="3" applyFont="1" applyFill="1" applyBorder="1" applyAlignment="1" applyProtection="1">
      <alignment horizontal="center"/>
      <protection locked="0"/>
    </xf>
    <xf numFmtId="166" fontId="5" fillId="0" borderId="3" xfId="3" applyFont="1" applyBorder="1" applyAlignment="1" applyProtection="1">
      <alignment horizontal="center"/>
      <protection locked="0"/>
    </xf>
    <xf numFmtId="166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6" fontId="5" fillId="9" borderId="2" xfId="3" applyFont="1" applyFill="1" applyBorder="1" applyAlignment="1" applyProtection="1">
      <alignment horizontal="center"/>
      <protection locked="0"/>
    </xf>
    <xf numFmtId="166" fontId="5" fillId="9" borderId="32" xfId="3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6" fontId="5" fillId="5" borderId="0" xfId="3" applyFont="1" applyFill="1" applyAlignment="1" applyProtection="1">
      <alignment horizontal="center"/>
      <protection locked="0"/>
    </xf>
    <xf numFmtId="166" fontId="6" fillId="0" borderId="37" xfId="3" applyFont="1" applyBorder="1" applyAlignment="1" applyProtection="1">
      <alignment horizontal="center" vertical="center"/>
      <protection locked="0"/>
    </xf>
    <xf numFmtId="166" fontId="5" fillId="2" borderId="28" xfId="3" applyFont="1" applyFill="1" applyBorder="1" applyAlignment="1" applyProtection="1">
      <alignment horizontal="center"/>
      <protection locked="0"/>
    </xf>
    <xf numFmtId="166" fontId="5" fillId="11" borderId="41" xfId="3" applyFont="1" applyFill="1" applyBorder="1" applyAlignment="1" applyProtection="1">
      <alignment horizontal="center"/>
      <protection locked="0"/>
    </xf>
    <xf numFmtId="166" fontId="5" fillId="9" borderId="28" xfId="3" applyFont="1" applyFill="1" applyBorder="1" applyAlignment="1" applyProtection="1">
      <alignment horizontal="center"/>
      <protection locked="0"/>
    </xf>
    <xf numFmtId="166" fontId="35" fillId="0" borderId="15" xfId="3" applyFont="1" applyBorder="1" applyAlignment="1" applyProtection="1">
      <alignment horizontal="left"/>
      <protection locked="0"/>
    </xf>
    <xf numFmtId="166" fontId="5" fillId="8" borderId="34" xfId="3" applyFont="1" applyFill="1" applyBorder="1" applyAlignment="1" applyProtection="1">
      <alignment horizontal="center"/>
      <protection locked="0"/>
    </xf>
    <xf numFmtId="166" fontId="5" fillId="8" borderId="26" xfId="3" applyFont="1" applyFill="1" applyBorder="1" applyAlignment="1" applyProtection="1">
      <alignment horizontal="center"/>
      <protection locked="0"/>
    </xf>
    <xf numFmtId="166" fontId="5" fillId="8" borderId="32" xfId="3" applyFont="1" applyFill="1" applyBorder="1" applyAlignment="1" applyProtection="1">
      <alignment horizontal="center"/>
      <protection locked="0"/>
    </xf>
    <xf numFmtId="166" fontId="5" fillId="2" borderId="0" xfId="3" applyFont="1" applyFill="1" applyAlignment="1" applyProtection="1">
      <alignment horizontal="center"/>
      <protection locked="0"/>
    </xf>
    <xf numFmtId="166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6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6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6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6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6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6" fontId="6" fillId="14" borderId="22" xfId="0" applyNumberFormat="1" applyFont="1" applyFill="1" applyBorder="1" applyProtection="1">
      <protection locked="0"/>
    </xf>
    <xf numFmtId="166" fontId="6" fillId="14" borderId="22" xfId="3" applyFont="1" applyFill="1" applyBorder="1" applyProtection="1">
      <protection locked="0"/>
    </xf>
    <xf numFmtId="166" fontId="6" fillId="14" borderId="25" xfId="0" applyNumberFormat="1" applyFont="1" applyFill="1" applyBorder="1" applyProtection="1">
      <protection locked="0"/>
    </xf>
    <xf numFmtId="166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6" fontId="6" fillId="15" borderId="22" xfId="0" applyNumberFormat="1" applyFont="1" applyFill="1" applyBorder="1" applyProtection="1">
      <protection locked="0"/>
    </xf>
    <xf numFmtId="166" fontId="6" fillId="15" borderId="25" xfId="0" applyNumberFormat="1" applyFont="1" applyFill="1" applyBorder="1" applyProtection="1">
      <protection locked="0"/>
    </xf>
    <xf numFmtId="166" fontId="4" fillId="8" borderId="26" xfId="3" applyFont="1" applyFill="1" applyBorder="1" applyAlignment="1" applyProtection="1">
      <alignment horizontal="center" vertical="center"/>
      <protection locked="0"/>
    </xf>
    <xf numFmtId="166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6" fontId="5" fillId="8" borderId="76" xfId="3" applyFont="1" applyFill="1" applyBorder="1" applyAlignment="1" applyProtection="1">
      <alignment horizontal="center"/>
      <protection locked="0"/>
    </xf>
    <xf numFmtId="166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7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6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6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71" fontId="5" fillId="5" borderId="0" xfId="0" applyNumberFormat="1" applyFont="1" applyFill="1" applyAlignment="1" applyProtection="1">
      <alignment vertical="center"/>
      <protection locked="0"/>
    </xf>
    <xf numFmtId="9" fontId="5" fillId="5" borderId="0" xfId="2" applyFont="1" applyFill="1" applyProtection="1">
      <protection locked="0"/>
    </xf>
    <xf numFmtId="166" fontId="5" fillId="5" borderId="0" xfId="3" applyFont="1" applyFill="1" applyProtection="1">
      <protection locked="0"/>
    </xf>
    <xf numFmtId="43" fontId="18" fillId="5" borderId="0" xfId="0" applyNumberFormat="1" applyFont="1" applyFill="1" applyProtection="1"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/>
    <xf numFmtId="14" fontId="0" fillId="0" borderId="2" xfId="0" applyNumberFormat="1" applyBorder="1" applyAlignment="1">
      <alignment horizontal="center" vertical="center" wrapText="1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19" fillId="5" borderId="2" xfId="0" applyFont="1" applyFill="1" applyBorder="1" applyProtection="1">
      <protection locked="0"/>
    </xf>
    <xf numFmtId="166" fontId="19" fillId="5" borderId="2" xfId="3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25" fillId="5" borderId="2" xfId="0" applyFont="1" applyFill="1" applyBorder="1" applyAlignment="1" applyProtection="1">
      <alignment horizontal="left"/>
      <protection locked="0"/>
    </xf>
    <xf numFmtId="0" fontId="25" fillId="5" borderId="2" xfId="0" applyFont="1" applyFill="1" applyBorder="1" applyAlignment="1" applyProtection="1">
      <alignment horizontal="left" vertical="center" wrapText="1"/>
      <protection locked="0"/>
    </xf>
    <xf numFmtId="0" fontId="2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13" fillId="5" borderId="0" xfId="0" applyFont="1" applyFill="1" applyAlignment="1" applyProtection="1">
      <alignment vertical="center"/>
      <protection locked="0"/>
    </xf>
    <xf numFmtId="0" fontId="24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25" fillId="5" borderId="2" xfId="0" applyFont="1" applyFill="1" applyBorder="1" applyAlignment="1" applyProtection="1">
      <alignment horizontal="left" vertical="center"/>
      <protection locked="0"/>
    </xf>
    <xf numFmtId="0" fontId="25" fillId="5" borderId="2" xfId="0" applyFont="1" applyFill="1" applyBorder="1" applyAlignment="1" applyProtection="1">
      <alignment vertical="center"/>
      <protection locked="0"/>
    </xf>
    <xf numFmtId="0" fontId="4" fillId="0" borderId="2" xfId="0" applyFont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0" fontId="25" fillId="0" borderId="2" xfId="0" applyFont="1" applyBorder="1" applyAlignment="1" applyProtection="1">
      <alignment vertical="center"/>
      <protection locked="0"/>
    </xf>
    <xf numFmtId="0" fontId="5" fillId="5" borderId="2" xfId="0" applyFont="1" applyFill="1" applyBorder="1" applyAlignment="1" applyProtection="1">
      <alignment vertical="center"/>
      <protection locked="0"/>
    </xf>
    <xf numFmtId="0" fontId="25" fillId="0" borderId="2" xfId="0" applyFont="1" applyBorder="1" applyProtection="1">
      <protection locked="0"/>
    </xf>
    <xf numFmtId="14" fontId="4" fillId="11" borderId="61" xfId="0" applyNumberFormat="1" applyFont="1" applyFill="1" applyBorder="1" applyAlignment="1" applyProtection="1">
      <alignment horizont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9" fontId="5" fillId="9" borderId="26" xfId="0" applyNumberFormat="1" applyFont="1" applyFill="1" applyBorder="1" applyProtection="1">
      <protection locked="0"/>
    </xf>
    <xf numFmtId="168" fontId="4" fillId="9" borderId="26" xfId="0" applyNumberFormat="1" applyFont="1" applyFill="1" applyBorder="1" applyAlignment="1" applyProtection="1">
      <alignment horizontal="center"/>
      <protection locked="0"/>
    </xf>
    <xf numFmtId="9" fontId="18" fillId="5" borderId="0" xfId="0" applyNumberFormat="1" applyFont="1" applyFill="1" applyProtection="1"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21" fillId="4" borderId="2" xfId="0" applyNumberFormat="1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67" fontId="23" fillId="5" borderId="0" xfId="0" applyNumberFormat="1" applyFont="1" applyFill="1" applyAlignment="1" applyProtection="1">
      <alignment horizontal="center" vertical="center"/>
      <protection locked="0"/>
    </xf>
    <xf numFmtId="166" fontId="23" fillId="5" borderId="0" xfId="3" applyFont="1" applyFill="1" applyAlignment="1" applyProtection="1">
      <alignment horizontal="center" vertical="center"/>
      <protection locked="0"/>
    </xf>
    <xf numFmtId="14" fontId="47" fillId="9" borderId="64" xfId="0" applyNumberFormat="1" applyFont="1" applyFill="1" applyBorder="1" applyAlignment="1" applyProtection="1">
      <alignment horizontal="center"/>
      <protection locked="0"/>
    </xf>
    <xf numFmtId="168" fontId="47" fillId="9" borderId="51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8" fillId="0" borderId="9" xfId="0" applyFont="1" applyBorder="1" applyAlignment="1" applyProtection="1">
      <alignment horizontal="left" vertical="center"/>
      <protection locked="0"/>
    </xf>
    <xf numFmtId="0" fontId="48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6" fontId="4" fillId="11" borderId="12" xfId="3" applyFont="1" applyFill="1" applyBorder="1" applyAlignment="1" applyProtection="1">
      <alignment horizontal="center" vertical="center"/>
      <protection locked="0"/>
    </xf>
    <xf numFmtId="166" fontId="4" fillId="11" borderId="17" xfId="3" applyFont="1" applyFill="1" applyBorder="1" applyAlignment="1" applyProtection="1">
      <alignment horizontal="center" vertical="center"/>
      <protection locked="0"/>
    </xf>
    <xf numFmtId="166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Standard</a:t>
            </a:r>
            <a:r>
              <a:rPr lang="en-US" sz="2000" baseline="0"/>
              <a:t> Bank GQ 460kWp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Plan'!$T$78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Plan'!$U$79:$U$87</c:f>
                <c:numCache>
                  <c:formatCode>0</c:formatCode>
                  <c:ptCount val="9"/>
                  <c:pt idx="0">
                    <c:v>52</c:v>
                  </c:pt>
                  <c:pt idx="1">
                    <c:v>1</c:v>
                  </c:pt>
                  <c:pt idx="2">
                    <c:v>80</c:v>
                  </c:pt>
                  <c:pt idx="3">
                    <c:v>91</c:v>
                  </c:pt>
                  <c:pt idx="4">
                    <c:v>53</c:v>
                  </c:pt>
                  <c:pt idx="5">
                    <c:v>53</c:v>
                  </c:pt>
                  <c:pt idx="6">
                    <c:v>55</c:v>
                  </c:pt>
                  <c:pt idx="7">
                    <c:v>7</c:v>
                  </c:pt>
                  <c:pt idx="8">
                    <c:v>15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Plan'!$S$79:$S$87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Plan'!$T$79:$T$87</c:f>
              <c:numCache>
                <c:formatCode>d\-mmm\-yy</c:formatCode>
                <c:ptCount val="9"/>
                <c:pt idx="0">
                  <c:v>45909</c:v>
                </c:pt>
                <c:pt idx="1">
                  <c:v>45950</c:v>
                </c:pt>
                <c:pt idx="2">
                  <c:v>45909</c:v>
                </c:pt>
                <c:pt idx="3">
                  <c:v>45950</c:v>
                </c:pt>
                <c:pt idx="4">
                  <c:v>45950</c:v>
                </c:pt>
                <c:pt idx="5">
                  <c:v>45950</c:v>
                </c:pt>
                <c:pt idx="6">
                  <c:v>45989</c:v>
                </c:pt>
                <c:pt idx="7">
                  <c:v>46037</c:v>
                </c:pt>
                <c:pt idx="8">
                  <c:v>46042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Plan'!$S$75:$T$75</c:f>
              <c:numCache>
                <c:formatCode>m/d/yyyy</c:formatCode>
                <c:ptCount val="2"/>
                <c:pt idx="0">
                  <c:v>46076</c:v>
                </c:pt>
                <c:pt idx="1">
                  <c:v>46076</c:v>
                </c:pt>
              </c:numCache>
            </c:numRef>
          </c:xVal>
          <c:yVal>
            <c:numRef>
              <c:f>'Project Plan'!$S$76:$T$76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6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551182.06999999995</c:v>
                </c:pt>
                <c:pt idx="18">
                  <c:v>551182.06999999995</c:v>
                </c:pt>
                <c:pt idx="19">
                  <c:v>551182.06999999995</c:v>
                </c:pt>
                <c:pt idx="20">
                  <c:v>551182.06999999995</c:v>
                </c:pt>
                <c:pt idx="21">
                  <c:v>1385100.1400000001</c:v>
                </c:pt>
                <c:pt idx="22">
                  <c:v>1607614.3800000001</c:v>
                </c:pt>
                <c:pt idx="23">
                  <c:v>1898516.04</c:v>
                </c:pt>
                <c:pt idx="24">
                  <c:v>1898516.04</c:v>
                </c:pt>
                <c:pt idx="25">
                  <c:v>1898516.04</c:v>
                </c:pt>
                <c:pt idx="26">
                  <c:v>1898516.04</c:v>
                </c:pt>
                <c:pt idx="27">
                  <c:v>1898516.04</c:v>
                </c:pt>
                <c:pt idx="28">
                  <c:v>1898516.04</c:v>
                </c:pt>
                <c:pt idx="29">
                  <c:v>1898516.04</c:v>
                </c:pt>
                <c:pt idx="30">
                  <c:v>1898516.04</c:v>
                </c:pt>
                <c:pt idx="31">
                  <c:v>1898516.04</c:v>
                </c:pt>
                <c:pt idx="32">
                  <c:v>1898516.04</c:v>
                </c:pt>
                <c:pt idx="33">
                  <c:v>1898516.04</c:v>
                </c:pt>
                <c:pt idx="34">
                  <c:v>1898516.04</c:v>
                </c:pt>
                <c:pt idx="35">
                  <c:v>1898516.04</c:v>
                </c:pt>
                <c:pt idx="36">
                  <c:v>1898516.04</c:v>
                </c:pt>
                <c:pt idx="37">
                  <c:v>1898516.04</c:v>
                </c:pt>
                <c:pt idx="38">
                  <c:v>1939344.37</c:v>
                </c:pt>
                <c:pt idx="39">
                  <c:v>1939344.37</c:v>
                </c:pt>
                <c:pt idx="40">
                  <c:v>1939344.37</c:v>
                </c:pt>
                <c:pt idx="41">
                  <c:v>1939344.37</c:v>
                </c:pt>
                <c:pt idx="42">
                  <c:v>1939344.37</c:v>
                </c:pt>
                <c:pt idx="43">
                  <c:v>1939344.37</c:v>
                </c:pt>
                <c:pt idx="44">
                  <c:v>1939344.37</c:v>
                </c:pt>
                <c:pt idx="45">
                  <c:v>2041415.12</c:v>
                </c:pt>
                <c:pt idx="46">
                  <c:v>2041415.12</c:v>
                </c:pt>
                <c:pt idx="47">
                  <c:v>2041415.12</c:v>
                </c:pt>
                <c:pt idx="48">
                  <c:v>2041415.12</c:v>
                </c:pt>
                <c:pt idx="49">
                  <c:v>2041415.12</c:v>
                </c:pt>
                <c:pt idx="50">
                  <c:v>2041415.12</c:v>
                </c:pt>
                <c:pt idx="51">
                  <c:v>2041415.12</c:v>
                </c:pt>
                <c:pt idx="52">
                  <c:v>2041415.12</c:v>
                </c:pt>
                <c:pt idx="53">
                  <c:v>2041415.12</c:v>
                </c:pt>
                <c:pt idx="54">
                  <c:v>2041415.12</c:v>
                </c:pt>
                <c:pt idx="55">
                  <c:v>2041415.12</c:v>
                </c:pt>
                <c:pt idx="56">
                  <c:v>2041415.12</c:v>
                </c:pt>
                <c:pt idx="57">
                  <c:v>2041415.12</c:v>
                </c:pt>
                <c:pt idx="58">
                  <c:v>2041415.12</c:v>
                </c:pt>
                <c:pt idx="59">
                  <c:v>2041415.12</c:v>
                </c:pt>
                <c:pt idx="60">
                  <c:v>2041415.12</c:v>
                </c:pt>
                <c:pt idx="61">
                  <c:v>2041415.12</c:v>
                </c:pt>
                <c:pt idx="62">
                  <c:v>2041415.12</c:v>
                </c:pt>
                <c:pt idx="63">
                  <c:v>2041415.12</c:v>
                </c:pt>
                <c:pt idx="64">
                  <c:v>2041415.12</c:v>
                </c:pt>
                <c:pt idx="65">
                  <c:v>2041415.12</c:v>
                </c:pt>
                <c:pt idx="66">
                  <c:v>2041415.12</c:v>
                </c:pt>
                <c:pt idx="67">
                  <c:v>2041415.12</c:v>
                </c:pt>
                <c:pt idx="68">
                  <c:v>2041415.12</c:v>
                </c:pt>
                <c:pt idx="69">
                  <c:v>2041415.12</c:v>
                </c:pt>
                <c:pt idx="70">
                  <c:v>2041415.12</c:v>
                </c:pt>
                <c:pt idx="71">
                  <c:v>2041415.12</c:v>
                </c:pt>
                <c:pt idx="72">
                  <c:v>2041415.12</c:v>
                </c:pt>
                <c:pt idx="73">
                  <c:v>2041415.12</c:v>
                </c:pt>
                <c:pt idx="74">
                  <c:v>2041415.12</c:v>
                </c:pt>
                <c:pt idx="75">
                  <c:v>2041415.12</c:v>
                </c:pt>
                <c:pt idx="76">
                  <c:v>2041415.12</c:v>
                </c:pt>
                <c:pt idx="77">
                  <c:v>2041415.12</c:v>
                </c:pt>
                <c:pt idx="78">
                  <c:v>2041415.12</c:v>
                </c:pt>
                <c:pt idx="79">
                  <c:v>2041415.12</c:v>
                </c:pt>
                <c:pt idx="80">
                  <c:v>2041415.12</c:v>
                </c:pt>
                <c:pt idx="81">
                  <c:v>2041415.12</c:v>
                </c:pt>
                <c:pt idx="82">
                  <c:v>2041415.12</c:v>
                </c:pt>
                <c:pt idx="83">
                  <c:v>2041415.12</c:v>
                </c:pt>
                <c:pt idx="84">
                  <c:v>2041415.12</c:v>
                </c:pt>
                <c:pt idx="85">
                  <c:v>2041415.12</c:v>
                </c:pt>
                <c:pt idx="86">
                  <c:v>2041415.12</c:v>
                </c:pt>
                <c:pt idx="87">
                  <c:v>2041415.12</c:v>
                </c:pt>
                <c:pt idx="88">
                  <c:v>2041415.12</c:v>
                </c:pt>
                <c:pt idx="89">
                  <c:v>2041415.12</c:v>
                </c:pt>
                <c:pt idx="90">
                  <c:v>2041415.12</c:v>
                </c:pt>
                <c:pt idx="91">
                  <c:v>2041415.12</c:v>
                </c:pt>
                <c:pt idx="92">
                  <c:v>2041415.12</c:v>
                </c:pt>
                <c:pt idx="93">
                  <c:v>2041415.12</c:v>
                </c:pt>
                <c:pt idx="94">
                  <c:v>2041415.12</c:v>
                </c:pt>
                <c:pt idx="95">
                  <c:v>2041415.12</c:v>
                </c:pt>
                <c:pt idx="96">
                  <c:v>2041415.12</c:v>
                </c:pt>
                <c:pt idx="97">
                  <c:v>2041415.12</c:v>
                </c:pt>
                <c:pt idx="98">
                  <c:v>2041415.12</c:v>
                </c:pt>
                <c:pt idx="99">
                  <c:v>2041415.12</c:v>
                </c:pt>
                <c:pt idx="100">
                  <c:v>2041415.12</c:v>
                </c:pt>
                <c:pt idx="101">
                  <c:v>2041415.12</c:v>
                </c:pt>
                <c:pt idx="102">
                  <c:v>2041415.12</c:v>
                </c:pt>
                <c:pt idx="103">
                  <c:v>2041415.12</c:v>
                </c:pt>
                <c:pt idx="104">
                  <c:v>2041415.12</c:v>
                </c:pt>
                <c:pt idx="105">
                  <c:v>2041415.12</c:v>
                </c:pt>
                <c:pt idx="106">
                  <c:v>2041415.12</c:v>
                </c:pt>
                <c:pt idx="107">
                  <c:v>2041415.12</c:v>
                </c:pt>
                <c:pt idx="108">
                  <c:v>2041415.12</c:v>
                </c:pt>
                <c:pt idx="109">
                  <c:v>2041415.12</c:v>
                </c:pt>
                <c:pt idx="110">
                  <c:v>2041415.12</c:v>
                </c:pt>
                <c:pt idx="111">
                  <c:v>2041415.12</c:v>
                </c:pt>
                <c:pt idx="112">
                  <c:v>2041415.12</c:v>
                </c:pt>
                <c:pt idx="113">
                  <c:v>2041415.12</c:v>
                </c:pt>
                <c:pt idx="114">
                  <c:v>2041415.12</c:v>
                </c:pt>
                <c:pt idx="115">
                  <c:v>2041415.12</c:v>
                </c:pt>
                <c:pt idx="116">
                  <c:v>2041415.12</c:v>
                </c:pt>
                <c:pt idx="117">
                  <c:v>2041415.12</c:v>
                </c:pt>
                <c:pt idx="118">
                  <c:v>2041415.12</c:v>
                </c:pt>
                <c:pt idx="119">
                  <c:v>2041415.12</c:v>
                </c:pt>
                <c:pt idx="120">
                  <c:v>2041415.12</c:v>
                </c:pt>
                <c:pt idx="121">
                  <c:v>2041415.12</c:v>
                </c:pt>
                <c:pt idx="122">
                  <c:v>2041415.12</c:v>
                </c:pt>
                <c:pt idx="123">
                  <c:v>2041415.12</c:v>
                </c:pt>
                <c:pt idx="124">
                  <c:v>2041415.12</c:v>
                </c:pt>
                <c:pt idx="125">
                  <c:v>2041415.12</c:v>
                </c:pt>
                <c:pt idx="126">
                  <c:v>2041415.12</c:v>
                </c:pt>
                <c:pt idx="127">
                  <c:v>2041415.12</c:v>
                </c:pt>
                <c:pt idx="128">
                  <c:v>2041415.12</c:v>
                </c:pt>
                <c:pt idx="129">
                  <c:v>2041415.12</c:v>
                </c:pt>
                <c:pt idx="130">
                  <c:v>2041415.12</c:v>
                </c:pt>
                <c:pt idx="131">
                  <c:v>2041415.12</c:v>
                </c:pt>
                <c:pt idx="132">
                  <c:v>2041415.12</c:v>
                </c:pt>
                <c:pt idx="133">
                  <c:v>2041415.12</c:v>
                </c:pt>
                <c:pt idx="134">
                  <c:v>2041415.12</c:v>
                </c:pt>
                <c:pt idx="135">
                  <c:v>2041415.12</c:v>
                </c:pt>
                <c:pt idx="136">
                  <c:v>2041415.12</c:v>
                </c:pt>
                <c:pt idx="137">
                  <c:v>2041415.12</c:v>
                </c:pt>
                <c:pt idx="138">
                  <c:v>2041415.12</c:v>
                </c:pt>
                <c:pt idx="139">
                  <c:v>2041415.12</c:v>
                </c:pt>
                <c:pt idx="140">
                  <c:v>2041415.12</c:v>
                </c:pt>
                <c:pt idx="141">
                  <c:v>2041415.12</c:v>
                </c:pt>
                <c:pt idx="142">
                  <c:v>2041415.12</c:v>
                </c:pt>
                <c:pt idx="143">
                  <c:v>2041415.12</c:v>
                </c:pt>
                <c:pt idx="144">
                  <c:v>2041415.12</c:v>
                </c:pt>
                <c:pt idx="145">
                  <c:v>2041415.12</c:v>
                </c:pt>
                <c:pt idx="146">
                  <c:v>2041415.12</c:v>
                </c:pt>
                <c:pt idx="147">
                  <c:v>2041415.12</c:v>
                </c:pt>
                <c:pt idx="148">
                  <c:v>2041415.12</c:v>
                </c:pt>
                <c:pt idx="149">
                  <c:v>2041415.12</c:v>
                </c:pt>
                <c:pt idx="150">
                  <c:v>2041415.12</c:v>
                </c:pt>
                <c:pt idx="151">
                  <c:v>2041415.12</c:v>
                </c:pt>
                <c:pt idx="152">
                  <c:v>2041415.12</c:v>
                </c:pt>
                <c:pt idx="153">
                  <c:v>2041415.12</c:v>
                </c:pt>
                <c:pt idx="154">
                  <c:v>2041415.12</c:v>
                </c:pt>
                <c:pt idx="155">
                  <c:v>2041415.12</c:v>
                </c:pt>
                <c:pt idx="156">
                  <c:v>2041415.12</c:v>
                </c:pt>
                <c:pt idx="157">
                  <c:v>2041415.12</c:v>
                </c:pt>
                <c:pt idx="158">
                  <c:v>2041415.12</c:v>
                </c:pt>
                <c:pt idx="159">
                  <c:v>2041415.12</c:v>
                </c:pt>
                <c:pt idx="160">
                  <c:v>2041415.12</c:v>
                </c:pt>
                <c:pt idx="161">
                  <c:v>2041415.12</c:v>
                </c:pt>
                <c:pt idx="162">
                  <c:v>2041415.12</c:v>
                </c:pt>
                <c:pt idx="163">
                  <c:v>2041415.12</c:v>
                </c:pt>
                <c:pt idx="164">
                  <c:v>2041415.12</c:v>
                </c:pt>
                <c:pt idx="165">
                  <c:v>2041415.12</c:v>
                </c:pt>
                <c:pt idx="166">
                  <c:v>2041415.12</c:v>
                </c:pt>
                <c:pt idx="167">
                  <c:v>2041415.12</c:v>
                </c:pt>
                <c:pt idx="168">
                  <c:v>2041415.12</c:v>
                </c:pt>
                <c:pt idx="169">
                  <c:v>2041415.12</c:v>
                </c:pt>
                <c:pt idx="170">
                  <c:v>2041415.12</c:v>
                </c:pt>
                <c:pt idx="171">
                  <c:v>2041415.12</c:v>
                </c:pt>
                <c:pt idx="172">
                  <c:v>2041415.12</c:v>
                </c:pt>
                <c:pt idx="173">
                  <c:v>2041415.12</c:v>
                </c:pt>
                <c:pt idx="174">
                  <c:v>2041415.12</c:v>
                </c:pt>
                <c:pt idx="175">
                  <c:v>2041415.12</c:v>
                </c:pt>
                <c:pt idx="176">
                  <c:v>2041415.12</c:v>
                </c:pt>
                <c:pt idx="177">
                  <c:v>2041415.12</c:v>
                </c:pt>
                <c:pt idx="178">
                  <c:v>2041415.12</c:v>
                </c:pt>
                <c:pt idx="179">
                  <c:v>2041415.12</c:v>
                </c:pt>
                <c:pt idx="180">
                  <c:v>2041415.12</c:v>
                </c:pt>
                <c:pt idx="181">
                  <c:v>2041415.12</c:v>
                </c:pt>
                <c:pt idx="182">
                  <c:v>2041415.12</c:v>
                </c:pt>
                <c:pt idx="183">
                  <c:v>2041415.12</c:v>
                </c:pt>
                <c:pt idx="184">
                  <c:v>2041415.12</c:v>
                </c:pt>
                <c:pt idx="185">
                  <c:v>2041415.12</c:v>
                </c:pt>
                <c:pt idx="186">
                  <c:v>2041415.12</c:v>
                </c:pt>
                <c:pt idx="187">
                  <c:v>2041415.12</c:v>
                </c:pt>
                <c:pt idx="188">
                  <c:v>2041415.12</c:v>
                </c:pt>
                <c:pt idx="189">
                  <c:v>2041415.12</c:v>
                </c:pt>
                <c:pt idx="190">
                  <c:v>2041415.12</c:v>
                </c:pt>
                <c:pt idx="191">
                  <c:v>2041415.12</c:v>
                </c:pt>
                <c:pt idx="192">
                  <c:v>2041415.12</c:v>
                </c:pt>
                <c:pt idx="193">
                  <c:v>2041415.12</c:v>
                </c:pt>
                <c:pt idx="194">
                  <c:v>2041415.12</c:v>
                </c:pt>
                <c:pt idx="195">
                  <c:v>2041415.12</c:v>
                </c:pt>
                <c:pt idx="196">
                  <c:v>2041415.12</c:v>
                </c:pt>
                <c:pt idx="197">
                  <c:v>2041415.12</c:v>
                </c:pt>
                <c:pt idx="198">
                  <c:v>2041415.12</c:v>
                </c:pt>
                <c:pt idx="199">
                  <c:v>2041415.12</c:v>
                </c:pt>
                <c:pt idx="200">
                  <c:v>2041415.12</c:v>
                </c:pt>
                <c:pt idx="201">
                  <c:v>2041415.12</c:v>
                </c:pt>
                <c:pt idx="202">
                  <c:v>2041415.12</c:v>
                </c:pt>
                <c:pt idx="203">
                  <c:v>2041415.12</c:v>
                </c:pt>
                <c:pt idx="204">
                  <c:v>2041415.12</c:v>
                </c:pt>
                <c:pt idx="205">
                  <c:v>2041415.12</c:v>
                </c:pt>
                <c:pt idx="206">
                  <c:v>2041415.12</c:v>
                </c:pt>
                <c:pt idx="207">
                  <c:v>2041415.12</c:v>
                </c:pt>
                <c:pt idx="208">
                  <c:v>2041415.12</c:v>
                </c:pt>
                <c:pt idx="209">
                  <c:v>2041415.12</c:v>
                </c:pt>
                <c:pt idx="210">
                  <c:v>2041415.12</c:v>
                </c:pt>
                <c:pt idx="211">
                  <c:v>2041415.12</c:v>
                </c:pt>
                <c:pt idx="212">
                  <c:v>2041415.12</c:v>
                </c:pt>
                <c:pt idx="213">
                  <c:v>2041415.12</c:v>
                </c:pt>
                <c:pt idx="214">
                  <c:v>2041415.12</c:v>
                </c:pt>
                <c:pt idx="215">
                  <c:v>2041415.12</c:v>
                </c:pt>
                <c:pt idx="216">
                  <c:v>2041415.12</c:v>
                </c:pt>
                <c:pt idx="217">
                  <c:v>2041415.12</c:v>
                </c:pt>
                <c:pt idx="218">
                  <c:v>2041415.12</c:v>
                </c:pt>
                <c:pt idx="219">
                  <c:v>2041415.12</c:v>
                </c:pt>
                <c:pt idx="220">
                  <c:v>2041415.12</c:v>
                </c:pt>
                <c:pt idx="221">
                  <c:v>2041415.12</c:v>
                </c:pt>
                <c:pt idx="222">
                  <c:v>2041415.12</c:v>
                </c:pt>
                <c:pt idx="223">
                  <c:v>2041415.12</c:v>
                </c:pt>
                <c:pt idx="224">
                  <c:v>2041415.12</c:v>
                </c:pt>
                <c:pt idx="225">
                  <c:v>2041415.12</c:v>
                </c:pt>
                <c:pt idx="226">
                  <c:v>2041415.12</c:v>
                </c:pt>
                <c:pt idx="227">
                  <c:v>2041415.12</c:v>
                </c:pt>
                <c:pt idx="228">
                  <c:v>2041415.12</c:v>
                </c:pt>
                <c:pt idx="229">
                  <c:v>2041415.12</c:v>
                </c:pt>
                <c:pt idx="230">
                  <c:v>2041415.12</c:v>
                </c:pt>
                <c:pt idx="231">
                  <c:v>2041415.12</c:v>
                </c:pt>
                <c:pt idx="232">
                  <c:v>2041415.12</c:v>
                </c:pt>
                <c:pt idx="233">
                  <c:v>2041415.12</c:v>
                </c:pt>
                <c:pt idx="234">
                  <c:v>2041415.12</c:v>
                </c:pt>
                <c:pt idx="235">
                  <c:v>2041415.12</c:v>
                </c:pt>
                <c:pt idx="236">
                  <c:v>2041415.12</c:v>
                </c:pt>
                <c:pt idx="237">
                  <c:v>2041415.12</c:v>
                </c:pt>
                <c:pt idx="238">
                  <c:v>2041415.12</c:v>
                </c:pt>
                <c:pt idx="239">
                  <c:v>2041415.12</c:v>
                </c:pt>
                <c:pt idx="240">
                  <c:v>2041415.12</c:v>
                </c:pt>
                <c:pt idx="241">
                  <c:v>2041415.12</c:v>
                </c:pt>
                <c:pt idx="242">
                  <c:v>2041415.12</c:v>
                </c:pt>
                <c:pt idx="243">
                  <c:v>2041415.12</c:v>
                </c:pt>
                <c:pt idx="244">
                  <c:v>2041415.12</c:v>
                </c:pt>
                <c:pt idx="245">
                  <c:v>2041415.12</c:v>
                </c:pt>
                <c:pt idx="246">
                  <c:v>2041415.12</c:v>
                </c:pt>
                <c:pt idx="247">
                  <c:v>2041415.12</c:v>
                </c:pt>
                <c:pt idx="248">
                  <c:v>2041415.12</c:v>
                </c:pt>
                <c:pt idx="249">
                  <c:v>2041415.12</c:v>
                </c:pt>
                <c:pt idx="250">
                  <c:v>2041415.12</c:v>
                </c:pt>
                <c:pt idx="251">
                  <c:v>2041415.12</c:v>
                </c:pt>
                <c:pt idx="252">
                  <c:v>2041415.12</c:v>
                </c:pt>
                <c:pt idx="253">
                  <c:v>2041415.12</c:v>
                </c:pt>
                <c:pt idx="254">
                  <c:v>2041415.12</c:v>
                </c:pt>
                <c:pt idx="255">
                  <c:v>2041415.12</c:v>
                </c:pt>
                <c:pt idx="256">
                  <c:v>2041415.12</c:v>
                </c:pt>
                <c:pt idx="257">
                  <c:v>2041415.12</c:v>
                </c:pt>
                <c:pt idx="258">
                  <c:v>2041415.12</c:v>
                </c:pt>
                <c:pt idx="259">
                  <c:v>2041415.12</c:v>
                </c:pt>
                <c:pt idx="260">
                  <c:v>2041415.12</c:v>
                </c:pt>
                <c:pt idx="261">
                  <c:v>2041415.12</c:v>
                </c:pt>
                <c:pt idx="262">
                  <c:v>2041415.12</c:v>
                </c:pt>
                <c:pt idx="263">
                  <c:v>2041415.12</c:v>
                </c:pt>
                <c:pt idx="264">
                  <c:v>2041415.12</c:v>
                </c:pt>
                <c:pt idx="265">
                  <c:v>2041415.12</c:v>
                </c:pt>
                <c:pt idx="266">
                  <c:v>2041415.12</c:v>
                </c:pt>
                <c:pt idx="267">
                  <c:v>2041415.12</c:v>
                </c:pt>
                <c:pt idx="268">
                  <c:v>2041415.12</c:v>
                </c:pt>
                <c:pt idx="269">
                  <c:v>2041415.12</c:v>
                </c:pt>
                <c:pt idx="270">
                  <c:v>2041415.12</c:v>
                </c:pt>
                <c:pt idx="271">
                  <c:v>2041415.12</c:v>
                </c:pt>
                <c:pt idx="272">
                  <c:v>2041415.12</c:v>
                </c:pt>
                <c:pt idx="273">
                  <c:v>2041415.12</c:v>
                </c:pt>
                <c:pt idx="274">
                  <c:v>2041415.12</c:v>
                </c:pt>
                <c:pt idx="275">
                  <c:v>2041415.12</c:v>
                </c:pt>
                <c:pt idx="276">
                  <c:v>2041415.12</c:v>
                </c:pt>
                <c:pt idx="277">
                  <c:v>2041415.12</c:v>
                </c:pt>
                <c:pt idx="278">
                  <c:v>2041415.12</c:v>
                </c:pt>
                <c:pt idx="279">
                  <c:v>2041415.12</c:v>
                </c:pt>
                <c:pt idx="280">
                  <c:v>2041415.12</c:v>
                </c:pt>
                <c:pt idx="281">
                  <c:v>2041415.12</c:v>
                </c:pt>
                <c:pt idx="282">
                  <c:v>2041415.12</c:v>
                </c:pt>
                <c:pt idx="283">
                  <c:v>2041415.12</c:v>
                </c:pt>
                <c:pt idx="284">
                  <c:v>2041415.12</c:v>
                </c:pt>
                <c:pt idx="285">
                  <c:v>2041415.12</c:v>
                </c:pt>
                <c:pt idx="286">
                  <c:v>2041415.12</c:v>
                </c:pt>
                <c:pt idx="287">
                  <c:v>2041415.12</c:v>
                </c:pt>
                <c:pt idx="288">
                  <c:v>2041415.12</c:v>
                </c:pt>
                <c:pt idx="289">
                  <c:v>2041415.12</c:v>
                </c:pt>
                <c:pt idx="290">
                  <c:v>2041415.12</c:v>
                </c:pt>
                <c:pt idx="291">
                  <c:v>2041415.12</c:v>
                </c:pt>
                <c:pt idx="292">
                  <c:v>2041415.12</c:v>
                </c:pt>
                <c:pt idx="293">
                  <c:v>2041415.12</c:v>
                </c:pt>
                <c:pt idx="294">
                  <c:v>2041415.12</c:v>
                </c:pt>
                <c:pt idx="295">
                  <c:v>2041415.12</c:v>
                </c:pt>
                <c:pt idx="296">
                  <c:v>2041415.12</c:v>
                </c:pt>
                <c:pt idx="297">
                  <c:v>2041415.12</c:v>
                </c:pt>
                <c:pt idx="298">
                  <c:v>2041415.12</c:v>
                </c:pt>
                <c:pt idx="299">
                  <c:v>2041415.12</c:v>
                </c:pt>
                <c:pt idx="300">
                  <c:v>2041415.12</c:v>
                </c:pt>
                <c:pt idx="301">
                  <c:v>2041415.12</c:v>
                </c:pt>
                <c:pt idx="302">
                  <c:v>2041415.12</c:v>
                </c:pt>
                <c:pt idx="303">
                  <c:v>2041415.12</c:v>
                </c:pt>
                <c:pt idx="304">
                  <c:v>2041415.12</c:v>
                </c:pt>
                <c:pt idx="305">
                  <c:v>2041415.12</c:v>
                </c:pt>
                <c:pt idx="306">
                  <c:v>2041415.12</c:v>
                </c:pt>
                <c:pt idx="307">
                  <c:v>2041415.12</c:v>
                </c:pt>
                <c:pt idx="308">
                  <c:v>2041415.12</c:v>
                </c:pt>
                <c:pt idx="309">
                  <c:v>2041415.12</c:v>
                </c:pt>
                <c:pt idx="310">
                  <c:v>2041415.12</c:v>
                </c:pt>
                <c:pt idx="311">
                  <c:v>2041415.12</c:v>
                </c:pt>
                <c:pt idx="312">
                  <c:v>2041415.12</c:v>
                </c:pt>
                <c:pt idx="313">
                  <c:v>2041415.12</c:v>
                </c:pt>
                <c:pt idx="314">
                  <c:v>2041415.12</c:v>
                </c:pt>
                <c:pt idx="315">
                  <c:v>2041415.12</c:v>
                </c:pt>
                <c:pt idx="316">
                  <c:v>2041415.12</c:v>
                </c:pt>
                <c:pt idx="317">
                  <c:v>2041415.12</c:v>
                </c:pt>
                <c:pt idx="318">
                  <c:v>2041415.12</c:v>
                </c:pt>
                <c:pt idx="319">
                  <c:v>2041415.12</c:v>
                </c:pt>
                <c:pt idx="320">
                  <c:v>2041415.12</c:v>
                </c:pt>
                <c:pt idx="321">
                  <c:v>2041415.12</c:v>
                </c:pt>
                <c:pt idx="322">
                  <c:v>2041415.12</c:v>
                </c:pt>
                <c:pt idx="323">
                  <c:v>2041415.12</c:v>
                </c:pt>
                <c:pt idx="324">
                  <c:v>2041415.12</c:v>
                </c:pt>
                <c:pt idx="325">
                  <c:v>2041415.12</c:v>
                </c:pt>
                <c:pt idx="326">
                  <c:v>2041415.12</c:v>
                </c:pt>
                <c:pt idx="327">
                  <c:v>2041415.12</c:v>
                </c:pt>
                <c:pt idx="328">
                  <c:v>2041415.12</c:v>
                </c:pt>
                <c:pt idx="329">
                  <c:v>2041415.12</c:v>
                </c:pt>
                <c:pt idx="330">
                  <c:v>2041415.12</c:v>
                </c:pt>
                <c:pt idx="331">
                  <c:v>2041415.12</c:v>
                </c:pt>
                <c:pt idx="332">
                  <c:v>2041415.12</c:v>
                </c:pt>
                <c:pt idx="333">
                  <c:v>2041415.12</c:v>
                </c:pt>
                <c:pt idx="334">
                  <c:v>2041415.12</c:v>
                </c:pt>
                <c:pt idx="335">
                  <c:v>2041415.12</c:v>
                </c:pt>
                <c:pt idx="336">
                  <c:v>2041415.12</c:v>
                </c:pt>
                <c:pt idx="337">
                  <c:v>2041415.12</c:v>
                </c:pt>
                <c:pt idx="338">
                  <c:v>2041415.12</c:v>
                </c:pt>
                <c:pt idx="339">
                  <c:v>2041415.12</c:v>
                </c:pt>
                <c:pt idx="340">
                  <c:v>2041415.12</c:v>
                </c:pt>
                <c:pt idx="341">
                  <c:v>2041415.12</c:v>
                </c:pt>
                <c:pt idx="342">
                  <c:v>2041415.12</c:v>
                </c:pt>
                <c:pt idx="343">
                  <c:v>2041415.12</c:v>
                </c:pt>
                <c:pt idx="344">
                  <c:v>2041415.12</c:v>
                </c:pt>
                <c:pt idx="345">
                  <c:v>2041415.12</c:v>
                </c:pt>
                <c:pt idx="346">
                  <c:v>2041415.12</c:v>
                </c:pt>
                <c:pt idx="347">
                  <c:v>2041415.12</c:v>
                </c:pt>
                <c:pt idx="348">
                  <c:v>2041415.12</c:v>
                </c:pt>
                <c:pt idx="349">
                  <c:v>2041415.12</c:v>
                </c:pt>
                <c:pt idx="350">
                  <c:v>2041415.12</c:v>
                </c:pt>
                <c:pt idx="351">
                  <c:v>2041415.12</c:v>
                </c:pt>
                <c:pt idx="352">
                  <c:v>2041415.12</c:v>
                </c:pt>
                <c:pt idx="353">
                  <c:v>2041415.12</c:v>
                </c:pt>
                <c:pt idx="354">
                  <c:v>2041415.12</c:v>
                </c:pt>
                <c:pt idx="355">
                  <c:v>2041415.12</c:v>
                </c:pt>
                <c:pt idx="356">
                  <c:v>2041415.12</c:v>
                </c:pt>
                <c:pt idx="357">
                  <c:v>2041415.12</c:v>
                </c:pt>
                <c:pt idx="358">
                  <c:v>2041415.12</c:v>
                </c:pt>
                <c:pt idx="359">
                  <c:v>2041415.12</c:v>
                </c:pt>
                <c:pt idx="360">
                  <c:v>2041415.12</c:v>
                </c:pt>
                <c:pt idx="361">
                  <c:v>2041415.12</c:v>
                </c:pt>
                <c:pt idx="362">
                  <c:v>2041415.12</c:v>
                </c:pt>
                <c:pt idx="363">
                  <c:v>2041415.12</c:v>
                </c:pt>
                <c:pt idx="364">
                  <c:v>2041415.12</c:v>
                </c:pt>
                <c:pt idx="365">
                  <c:v>2041415.12</c:v>
                </c:pt>
                <c:pt idx="366">
                  <c:v>2041415.12</c:v>
                </c:pt>
                <c:pt idx="367">
                  <c:v>2041415.12</c:v>
                </c:pt>
                <c:pt idx="368">
                  <c:v>2041415.12</c:v>
                </c:pt>
                <c:pt idx="369">
                  <c:v>2041415.12</c:v>
                </c:pt>
                <c:pt idx="370">
                  <c:v>2041415.12</c:v>
                </c:pt>
                <c:pt idx="371">
                  <c:v>2041415.12</c:v>
                </c:pt>
                <c:pt idx="372">
                  <c:v>2041415.12</c:v>
                </c:pt>
                <c:pt idx="373">
                  <c:v>2041415.12</c:v>
                </c:pt>
                <c:pt idx="374">
                  <c:v>2041415.12</c:v>
                </c:pt>
                <c:pt idx="375">
                  <c:v>2041415.12</c:v>
                </c:pt>
                <c:pt idx="376">
                  <c:v>2041415.12</c:v>
                </c:pt>
                <c:pt idx="377">
                  <c:v>2041415.12</c:v>
                </c:pt>
                <c:pt idx="378">
                  <c:v>2041415.12</c:v>
                </c:pt>
                <c:pt idx="379">
                  <c:v>2041415.12</c:v>
                </c:pt>
                <c:pt idx="380">
                  <c:v>2041415.12</c:v>
                </c:pt>
                <c:pt idx="381">
                  <c:v>2041415.12</c:v>
                </c:pt>
                <c:pt idx="382">
                  <c:v>2041415.12</c:v>
                </c:pt>
                <c:pt idx="383">
                  <c:v>2041415.12</c:v>
                </c:pt>
                <c:pt idx="384">
                  <c:v>2041415.12</c:v>
                </c:pt>
                <c:pt idx="385">
                  <c:v>2041415.12</c:v>
                </c:pt>
                <c:pt idx="386">
                  <c:v>2041415.12</c:v>
                </c:pt>
                <c:pt idx="387">
                  <c:v>2041415.12</c:v>
                </c:pt>
                <c:pt idx="388">
                  <c:v>2041415.12</c:v>
                </c:pt>
                <c:pt idx="389">
                  <c:v>2041415.12</c:v>
                </c:pt>
                <c:pt idx="390">
                  <c:v>2041415.12</c:v>
                </c:pt>
                <c:pt idx="391">
                  <c:v>2041415.12</c:v>
                </c:pt>
                <c:pt idx="392">
                  <c:v>2041415.12</c:v>
                </c:pt>
                <c:pt idx="393">
                  <c:v>2041415.12</c:v>
                </c:pt>
                <c:pt idx="394">
                  <c:v>2041415.12</c:v>
                </c:pt>
                <c:pt idx="395">
                  <c:v>2041415.12</c:v>
                </c:pt>
                <c:pt idx="396">
                  <c:v>2041415.12</c:v>
                </c:pt>
                <c:pt idx="397">
                  <c:v>2041415.12</c:v>
                </c:pt>
                <c:pt idx="398">
                  <c:v>2041415.12</c:v>
                </c:pt>
                <c:pt idx="399">
                  <c:v>2041415.12</c:v>
                </c:pt>
                <c:pt idx="400">
                  <c:v>2041415.12</c:v>
                </c:pt>
                <c:pt idx="401">
                  <c:v>2041415.12</c:v>
                </c:pt>
                <c:pt idx="402">
                  <c:v>2041415.12</c:v>
                </c:pt>
                <c:pt idx="403">
                  <c:v>2041415.12</c:v>
                </c:pt>
                <c:pt idx="404">
                  <c:v>2041415.12</c:v>
                </c:pt>
                <c:pt idx="405">
                  <c:v>2041415.12</c:v>
                </c:pt>
                <c:pt idx="406">
                  <c:v>2041415.12</c:v>
                </c:pt>
                <c:pt idx="407">
                  <c:v>2041415.12</c:v>
                </c:pt>
                <c:pt idx="408">
                  <c:v>2041415.12</c:v>
                </c:pt>
                <c:pt idx="409">
                  <c:v>2041415.12</c:v>
                </c:pt>
                <c:pt idx="410">
                  <c:v>2041415.12</c:v>
                </c:pt>
                <c:pt idx="411">
                  <c:v>2041415.12</c:v>
                </c:pt>
                <c:pt idx="412">
                  <c:v>2041415.12</c:v>
                </c:pt>
                <c:pt idx="413">
                  <c:v>2041415.12</c:v>
                </c:pt>
                <c:pt idx="414">
                  <c:v>2041415.12</c:v>
                </c:pt>
                <c:pt idx="415">
                  <c:v>2041415.12</c:v>
                </c:pt>
                <c:pt idx="416">
                  <c:v>2041415.12</c:v>
                </c:pt>
                <c:pt idx="417">
                  <c:v>2041415.12</c:v>
                </c:pt>
                <c:pt idx="418">
                  <c:v>2041415.12</c:v>
                </c:pt>
                <c:pt idx="419">
                  <c:v>2041415.12</c:v>
                </c:pt>
                <c:pt idx="420">
                  <c:v>2041415.12</c:v>
                </c:pt>
                <c:pt idx="421">
                  <c:v>2041415.12</c:v>
                </c:pt>
                <c:pt idx="422">
                  <c:v>2041415.12</c:v>
                </c:pt>
                <c:pt idx="423">
                  <c:v>2041415.12</c:v>
                </c:pt>
                <c:pt idx="424">
                  <c:v>2041415.12</c:v>
                </c:pt>
                <c:pt idx="425">
                  <c:v>2041415.12</c:v>
                </c:pt>
                <c:pt idx="426">
                  <c:v>2041415.12</c:v>
                </c:pt>
                <c:pt idx="427">
                  <c:v>2041415.12</c:v>
                </c:pt>
                <c:pt idx="428">
                  <c:v>2041415.12</c:v>
                </c:pt>
                <c:pt idx="429">
                  <c:v>2041415.12</c:v>
                </c:pt>
                <c:pt idx="430">
                  <c:v>2041415.12</c:v>
                </c:pt>
                <c:pt idx="431">
                  <c:v>2041415.12</c:v>
                </c:pt>
                <c:pt idx="432">
                  <c:v>2041415.12</c:v>
                </c:pt>
                <c:pt idx="433">
                  <c:v>2041415.12</c:v>
                </c:pt>
                <c:pt idx="434">
                  <c:v>2041415.12</c:v>
                </c:pt>
                <c:pt idx="435">
                  <c:v>2041415.12</c:v>
                </c:pt>
                <c:pt idx="436">
                  <c:v>2041415.12</c:v>
                </c:pt>
                <c:pt idx="437">
                  <c:v>2041415.12</c:v>
                </c:pt>
                <c:pt idx="438">
                  <c:v>2041415.12</c:v>
                </c:pt>
                <c:pt idx="439">
                  <c:v>2041415.12</c:v>
                </c:pt>
                <c:pt idx="440">
                  <c:v>2041415.12</c:v>
                </c:pt>
                <c:pt idx="441">
                  <c:v>2041415.12</c:v>
                </c:pt>
                <c:pt idx="442">
                  <c:v>2041415.12</c:v>
                </c:pt>
                <c:pt idx="443">
                  <c:v>2041415.12</c:v>
                </c:pt>
                <c:pt idx="444">
                  <c:v>2041415.12</c:v>
                </c:pt>
                <c:pt idx="445">
                  <c:v>2041415.12</c:v>
                </c:pt>
                <c:pt idx="446">
                  <c:v>2041415.12</c:v>
                </c:pt>
                <c:pt idx="447">
                  <c:v>2041415.12</c:v>
                </c:pt>
                <c:pt idx="448">
                  <c:v>2041415.12</c:v>
                </c:pt>
                <c:pt idx="449">
                  <c:v>2041415.12</c:v>
                </c:pt>
                <c:pt idx="450">
                  <c:v>2041415.12</c:v>
                </c:pt>
                <c:pt idx="451">
                  <c:v>2041415.12</c:v>
                </c:pt>
                <c:pt idx="452">
                  <c:v>2041415.12</c:v>
                </c:pt>
                <c:pt idx="453">
                  <c:v>2041415.12</c:v>
                </c:pt>
                <c:pt idx="454">
                  <c:v>2041415.12</c:v>
                </c:pt>
                <c:pt idx="455">
                  <c:v>2041415.12</c:v>
                </c:pt>
                <c:pt idx="456">
                  <c:v>2041415.12</c:v>
                </c:pt>
                <c:pt idx="457">
                  <c:v>2041415.12</c:v>
                </c:pt>
                <c:pt idx="458">
                  <c:v>2041415.12</c:v>
                </c:pt>
                <c:pt idx="459">
                  <c:v>2041415.12</c:v>
                </c:pt>
                <c:pt idx="460">
                  <c:v>2041415.12</c:v>
                </c:pt>
                <c:pt idx="461">
                  <c:v>2041415.12</c:v>
                </c:pt>
                <c:pt idx="462">
                  <c:v>2041415.12</c:v>
                </c:pt>
                <c:pt idx="463">
                  <c:v>2041415.12</c:v>
                </c:pt>
                <c:pt idx="464">
                  <c:v>2041415.12</c:v>
                </c:pt>
                <c:pt idx="465">
                  <c:v>2041415.12</c:v>
                </c:pt>
                <c:pt idx="466">
                  <c:v>2041415.12</c:v>
                </c:pt>
                <c:pt idx="467">
                  <c:v>2041415.12</c:v>
                </c:pt>
                <c:pt idx="468">
                  <c:v>2041415.12</c:v>
                </c:pt>
                <c:pt idx="469">
                  <c:v>2041415.12</c:v>
                </c:pt>
                <c:pt idx="470">
                  <c:v>2041415.12</c:v>
                </c:pt>
                <c:pt idx="471">
                  <c:v>2041415.12</c:v>
                </c:pt>
                <c:pt idx="472">
                  <c:v>2041415.12</c:v>
                </c:pt>
                <c:pt idx="473">
                  <c:v>2041415.12</c:v>
                </c:pt>
                <c:pt idx="474">
                  <c:v>2041415.12</c:v>
                </c:pt>
                <c:pt idx="475">
                  <c:v>2041415.12</c:v>
                </c:pt>
                <c:pt idx="476">
                  <c:v>2041415.12</c:v>
                </c:pt>
                <c:pt idx="477">
                  <c:v>2041415.12</c:v>
                </c:pt>
                <c:pt idx="478">
                  <c:v>2041415.12</c:v>
                </c:pt>
                <c:pt idx="479">
                  <c:v>2041415.12</c:v>
                </c:pt>
                <c:pt idx="480">
                  <c:v>2041415.12</c:v>
                </c:pt>
                <c:pt idx="481">
                  <c:v>2041415.12</c:v>
                </c:pt>
                <c:pt idx="482">
                  <c:v>2041415.12</c:v>
                </c:pt>
                <c:pt idx="483">
                  <c:v>2041415.12</c:v>
                </c:pt>
                <c:pt idx="484">
                  <c:v>2041415.12</c:v>
                </c:pt>
                <c:pt idx="485">
                  <c:v>2041415.12</c:v>
                </c:pt>
                <c:pt idx="486">
                  <c:v>2041415.12</c:v>
                </c:pt>
                <c:pt idx="487">
                  <c:v>2041415.12</c:v>
                </c:pt>
                <c:pt idx="488">
                  <c:v>2041415.12</c:v>
                </c:pt>
                <c:pt idx="489">
                  <c:v>2041415.12</c:v>
                </c:pt>
                <c:pt idx="490">
                  <c:v>2041415.12</c:v>
                </c:pt>
                <c:pt idx="491">
                  <c:v>2041415.12</c:v>
                </c:pt>
                <c:pt idx="492">
                  <c:v>2041415.12</c:v>
                </c:pt>
                <c:pt idx="493">
                  <c:v>2041415.12</c:v>
                </c:pt>
                <c:pt idx="494">
                  <c:v>2041415.12</c:v>
                </c:pt>
                <c:pt idx="495">
                  <c:v>2041415.12</c:v>
                </c:pt>
                <c:pt idx="496">
                  <c:v>2041415.12</c:v>
                </c:pt>
                <c:pt idx="497">
                  <c:v>2041415.12</c:v>
                </c:pt>
                <c:pt idx="498">
                  <c:v>2041415.12</c:v>
                </c:pt>
                <c:pt idx="499">
                  <c:v>2041415.12</c:v>
                </c:pt>
                <c:pt idx="500">
                  <c:v>2041415.12</c:v>
                </c:pt>
                <c:pt idx="501">
                  <c:v>2041415.12</c:v>
                </c:pt>
                <c:pt idx="502">
                  <c:v>2041415.12</c:v>
                </c:pt>
                <c:pt idx="503">
                  <c:v>2041415.12</c:v>
                </c:pt>
                <c:pt idx="504">
                  <c:v>2041415.12</c:v>
                </c:pt>
                <c:pt idx="505">
                  <c:v>2041415.12</c:v>
                </c:pt>
                <c:pt idx="506">
                  <c:v>2041415.12</c:v>
                </c:pt>
                <c:pt idx="507">
                  <c:v>2041415.12</c:v>
                </c:pt>
                <c:pt idx="508">
                  <c:v>2041415.12</c:v>
                </c:pt>
                <c:pt idx="509">
                  <c:v>2041415.12</c:v>
                </c:pt>
                <c:pt idx="510">
                  <c:v>2041415.12</c:v>
                </c:pt>
                <c:pt idx="511">
                  <c:v>2041415.12</c:v>
                </c:pt>
                <c:pt idx="512">
                  <c:v>2041415.12</c:v>
                </c:pt>
                <c:pt idx="513">
                  <c:v>2041415.12</c:v>
                </c:pt>
                <c:pt idx="514">
                  <c:v>2041415.12</c:v>
                </c:pt>
                <c:pt idx="515">
                  <c:v>2041415.12</c:v>
                </c:pt>
                <c:pt idx="516">
                  <c:v>2041415.12</c:v>
                </c:pt>
                <c:pt idx="517">
                  <c:v>2041415.12</c:v>
                </c:pt>
                <c:pt idx="518">
                  <c:v>2041415.12</c:v>
                </c:pt>
                <c:pt idx="519">
                  <c:v>2041415.12</c:v>
                </c:pt>
                <c:pt idx="520">
                  <c:v>2041415.12</c:v>
                </c:pt>
                <c:pt idx="521">
                  <c:v>2041415.12</c:v>
                </c:pt>
                <c:pt idx="522">
                  <c:v>2041415.12</c:v>
                </c:pt>
                <c:pt idx="523">
                  <c:v>2041415.12</c:v>
                </c:pt>
                <c:pt idx="524">
                  <c:v>2041415.12</c:v>
                </c:pt>
                <c:pt idx="525">
                  <c:v>2041415.12</c:v>
                </c:pt>
                <c:pt idx="526">
                  <c:v>2041415.12</c:v>
                </c:pt>
                <c:pt idx="527">
                  <c:v>2041415.12</c:v>
                </c:pt>
                <c:pt idx="528">
                  <c:v>2041415.12</c:v>
                </c:pt>
                <c:pt idx="529">
                  <c:v>2041415.12</c:v>
                </c:pt>
                <c:pt idx="530">
                  <c:v>2041415.12</c:v>
                </c:pt>
                <c:pt idx="531">
                  <c:v>2041415.12</c:v>
                </c:pt>
                <c:pt idx="532">
                  <c:v>2041415.12</c:v>
                </c:pt>
                <c:pt idx="533">
                  <c:v>2041415.12</c:v>
                </c:pt>
                <c:pt idx="534">
                  <c:v>2041415.12</c:v>
                </c:pt>
                <c:pt idx="535">
                  <c:v>2041415.12</c:v>
                </c:pt>
                <c:pt idx="536">
                  <c:v>2041415.12</c:v>
                </c:pt>
                <c:pt idx="537">
                  <c:v>2041415.12</c:v>
                </c:pt>
                <c:pt idx="538">
                  <c:v>2041415.12</c:v>
                </c:pt>
                <c:pt idx="539">
                  <c:v>2041415.12</c:v>
                </c:pt>
                <c:pt idx="540">
                  <c:v>2041415.12</c:v>
                </c:pt>
                <c:pt idx="541">
                  <c:v>2041415.12</c:v>
                </c:pt>
                <c:pt idx="542">
                  <c:v>2041415.12</c:v>
                </c:pt>
                <c:pt idx="543">
                  <c:v>2041415.12</c:v>
                </c:pt>
                <c:pt idx="544">
                  <c:v>2041415.12</c:v>
                </c:pt>
                <c:pt idx="545">
                  <c:v>2041415.12</c:v>
                </c:pt>
                <c:pt idx="546">
                  <c:v>2041415.12</c:v>
                </c:pt>
                <c:pt idx="547">
                  <c:v>2041415.12</c:v>
                </c:pt>
                <c:pt idx="548">
                  <c:v>2041415.12</c:v>
                </c:pt>
                <c:pt idx="549">
                  <c:v>2041415.12</c:v>
                </c:pt>
                <c:pt idx="550">
                  <c:v>2041415.12</c:v>
                </c:pt>
                <c:pt idx="551">
                  <c:v>2041415.12</c:v>
                </c:pt>
                <c:pt idx="552">
                  <c:v>2041415.12</c:v>
                </c:pt>
                <c:pt idx="553">
                  <c:v>2041415.12</c:v>
                </c:pt>
                <c:pt idx="554">
                  <c:v>2041415.12</c:v>
                </c:pt>
                <c:pt idx="555">
                  <c:v>2041415.12</c:v>
                </c:pt>
                <c:pt idx="556">
                  <c:v>2041415.12</c:v>
                </c:pt>
                <c:pt idx="557">
                  <c:v>2041415.12</c:v>
                </c:pt>
                <c:pt idx="558">
                  <c:v>2041415.12</c:v>
                </c:pt>
                <c:pt idx="559">
                  <c:v>2041415.12</c:v>
                </c:pt>
                <c:pt idx="560">
                  <c:v>2041415.12</c:v>
                </c:pt>
                <c:pt idx="561">
                  <c:v>2041415.12</c:v>
                </c:pt>
                <c:pt idx="562">
                  <c:v>2041415.12</c:v>
                </c:pt>
                <c:pt idx="563">
                  <c:v>2041415.12</c:v>
                </c:pt>
                <c:pt idx="564">
                  <c:v>2041415.12</c:v>
                </c:pt>
                <c:pt idx="565">
                  <c:v>2041415.12</c:v>
                </c:pt>
                <c:pt idx="566">
                  <c:v>2041415.12</c:v>
                </c:pt>
                <c:pt idx="567">
                  <c:v>2041415.12</c:v>
                </c:pt>
                <c:pt idx="568">
                  <c:v>2041415.12</c:v>
                </c:pt>
                <c:pt idx="569">
                  <c:v>2041415.12</c:v>
                </c:pt>
                <c:pt idx="570">
                  <c:v>2041415.12</c:v>
                </c:pt>
                <c:pt idx="571">
                  <c:v>2041415.12</c:v>
                </c:pt>
                <c:pt idx="572">
                  <c:v>2041415.12</c:v>
                </c:pt>
                <c:pt idx="573">
                  <c:v>2041415.12</c:v>
                </c:pt>
                <c:pt idx="574">
                  <c:v>2041415.12</c:v>
                </c:pt>
                <c:pt idx="575">
                  <c:v>2041415.12</c:v>
                </c:pt>
                <c:pt idx="576">
                  <c:v>2041415.12</c:v>
                </c:pt>
                <c:pt idx="577">
                  <c:v>2041415.12</c:v>
                </c:pt>
                <c:pt idx="578">
                  <c:v>2041415.12</c:v>
                </c:pt>
                <c:pt idx="579">
                  <c:v>2041415.12</c:v>
                </c:pt>
                <c:pt idx="580">
                  <c:v>2041415.12</c:v>
                </c:pt>
                <c:pt idx="581">
                  <c:v>2041415.12</c:v>
                </c:pt>
                <c:pt idx="582">
                  <c:v>2041415.12</c:v>
                </c:pt>
                <c:pt idx="583">
                  <c:v>2041415.12</c:v>
                </c:pt>
                <c:pt idx="584">
                  <c:v>2041415.12</c:v>
                </c:pt>
                <c:pt idx="585">
                  <c:v>2041415.12</c:v>
                </c:pt>
                <c:pt idx="586">
                  <c:v>2041415.12</c:v>
                </c:pt>
                <c:pt idx="587">
                  <c:v>2041415.12</c:v>
                </c:pt>
                <c:pt idx="588">
                  <c:v>2041415.12</c:v>
                </c:pt>
                <c:pt idx="589">
                  <c:v>2041415.12</c:v>
                </c:pt>
                <c:pt idx="590">
                  <c:v>2041415.12</c:v>
                </c:pt>
                <c:pt idx="591">
                  <c:v>2041415.12</c:v>
                </c:pt>
                <c:pt idx="592">
                  <c:v>2041415.12</c:v>
                </c:pt>
                <c:pt idx="593">
                  <c:v>2041415.12</c:v>
                </c:pt>
                <c:pt idx="594">
                  <c:v>2041415.12</c:v>
                </c:pt>
                <c:pt idx="595">
                  <c:v>2041415.12</c:v>
                </c:pt>
                <c:pt idx="596">
                  <c:v>2041415.12</c:v>
                </c:pt>
                <c:pt idx="597">
                  <c:v>2041415.12</c:v>
                </c:pt>
                <c:pt idx="598">
                  <c:v>2041415.12</c:v>
                </c:pt>
                <c:pt idx="599">
                  <c:v>2041415.12</c:v>
                </c:pt>
                <c:pt idx="600">
                  <c:v>2041415.12</c:v>
                </c:pt>
                <c:pt idx="601">
                  <c:v>2041415.12</c:v>
                </c:pt>
                <c:pt idx="602">
                  <c:v>2041415.12</c:v>
                </c:pt>
                <c:pt idx="603">
                  <c:v>2041415.12</c:v>
                </c:pt>
                <c:pt idx="604">
                  <c:v>2041415.12</c:v>
                </c:pt>
                <c:pt idx="605">
                  <c:v>2041415.12</c:v>
                </c:pt>
                <c:pt idx="606">
                  <c:v>2041415.12</c:v>
                </c:pt>
                <c:pt idx="607">
                  <c:v>2041415.12</c:v>
                </c:pt>
                <c:pt idx="608">
                  <c:v>2041415.12</c:v>
                </c:pt>
                <c:pt idx="609">
                  <c:v>2041415.12</c:v>
                </c:pt>
                <c:pt idx="610">
                  <c:v>2041415.12</c:v>
                </c:pt>
                <c:pt idx="611">
                  <c:v>2041415.12</c:v>
                </c:pt>
                <c:pt idx="612">
                  <c:v>2041415.12</c:v>
                </c:pt>
                <c:pt idx="613">
                  <c:v>2041415.12</c:v>
                </c:pt>
                <c:pt idx="614">
                  <c:v>2041415.12</c:v>
                </c:pt>
                <c:pt idx="615">
                  <c:v>2041415.12</c:v>
                </c:pt>
                <c:pt idx="616">
                  <c:v>2041415.12</c:v>
                </c:pt>
                <c:pt idx="617">
                  <c:v>2041415.12</c:v>
                </c:pt>
                <c:pt idx="618">
                  <c:v>2041415.12</c:v>
                </c:pt>
                <c:pt idx="619">
                  <c:v>2041415.12</c:v>
                </c:pt>
                <c:pt idx="620">
                  <c:v>2041415.12</c:v>
                </c:pt>
                <c:pt idx="621">
                  <c:v>2041415.12</c:v>
                </c:pt>
                <c:pt idx="622">
                  <c:v>2041415.12</c:v>
                </c:pt>
                <c:pt idx="623">
                  <c:v>2041415.12</c:v>
                </c:pt>
                <c:pt idx="624">
                  <c:v>2041415.12</c:v>
                </c:pt>
                <c:pt idx="625">
                  <c:v>2041415.12</c:v>
                </c:pt>
                <c:pt idx="626">
                  <c:v>2041415.12</c:v>
                </c:pt>
                <c:pt idx="627">
                  <c:v>2041415.12</c:v>
                </c:pt>
                <c:pt idx="628">
                  <c:v>2041415.12</c:v>
                </c:pt>
                <c:pt idx="629">
                  <c:v>2041415.12</c:v>
                </c:pt>
                <c:pt idx="630">
                  <c:v>2041415.12</c:v>
                </c:pt>
                <c:pt idx="631">
                  <c:v>2041415.12</c:v>
                </c:pt>
                <c:pt idx="632">
                  <c:v>2041415.12</c:v>
                </c:pt>
                <c:pt idx="633">
                  <c:v>2041415.12</c:v>
                </c:pt>
                <c:pt idx="634">
                  <c:v>2041415.12</c:v>
                </c:pt>
                <c:pt idx="635">
                  <c:v>2041415.12</c:v>
                </c:pt>
                <c:pt idx="636">
                  <c:v>2041415.12</c:v>
                </c:pt>
                <c:pt idx="637">
                  <c:v>2041415.12</c:v>
                </c:pt>
                <c:pt idx="638">
                  <c:v>2041415.12</c:v>
                </c:pt>
                <c:pt idx="639">
                  <c:v>2041415.12</c:v>
                </c:pt>
                <c:pt idx="640">
                  <c:v>2041415.12</c:v>
                </c:pt>
                <c:pt idx="641">
                  <c:v>2041415.12</c:v>
                </c:pt>
                <c:pt idx="642">
                  <c:v>2041415.12</c:v>
                </c:pt>
                <c:pt idx="643">
                  <c:v>2041415.12</c:v>
                </c:pt>
                <c:pt idx="644">
                  <c:v>2041415.12</c:v>
                </c:pt>
                <c:pt idx="645">
                  <c:v>2041415.12</c:v>
                </c:pt>
                <c:pt idx="646">
                  <c:v>2041415.12</c:v>
                </c:pt>
                <c:pt idx="647">
                  <c:v>2041415.12</c:v>
                </c:pt>
                <c:pt idx="648">
                  <c:v>2041415.12</c:v>
                </c:pt>
                <c:pt idx="649">
                  <c:v>2041415.12</c:v>
                </c:pt>
                <c:pt idx="650">
                  <c:v>2041415.12</c:v>
                </c:pt>
                <c:pt idx="651">
                  <c:v>2041415.12</c:v>
                </c:pt>
                <c:pt idx="652">
                  <c:v>2041415.12</c:v>
                </c:pt>
                <c:pt idx="653">
                  <c:v>2041415.12</c:v>
                </c:pt>
                <c:pt idx="654">
                  <c:v>2041415.12</c:v>
                </c:pt>
                <c:pt idx="655">
                  <c:v>2041415.12</c:v>
                </c:pt>
                <c:pt idx="656">
                  <c:v>2041415.12</c:v>
                </c:pt>
                <c:pt idx="657">
                  <c:v>2041415.12</c:v>
                </c:pt>
                <c:pt idx="658">
                  <c:v>2041415.12</c:v>
                </c:pt>
                <c:pt idx="659">
                  <c:v>2041415.12</c:v>
                </c:pt>
                <c:pt idx="660">
                  <c:v>2041415.12</c:v>
                </c:pt>
                <c:pt idx="661">
                  <c:v>2041415.12</c:v>
                </c:pt>
                <c:pt idx="662">
                  <c:v>2041415.12</c:v>
                </c:pt>
                <c:pt idx="663">
                  <c:v>2041415.12</c:v>
                </c:pt>
                <c:pt idx="664">
                  <c:v>2041415.12</c:v>
                </c:pt>
                <c:pt idx="665">
                  <c:v>2041415.12</c:v>
                </c:pt>
                <c:pt idx="666">
                  <c:v>2041415.12</c:v>
                </c:pt>
                <c:pt idx="667">
                  <c:v>2041415.12</c:v>
                </c:pt>
                <c:pt idx="668">
                  <c:v>2041415.12</c:v>
                </c:pt>
                <c:pt idx="669">
                  <c:v>2041415.12</c:v>
                </c:pt>
                <c:pt idx="670">
                  <c:v>2041415.12</c:v>
                </c:pt>
                <c:pt idx="671">
                  <c:v>2041415.12</c:v>
                </c:pt>
                <c:pt idx="672">
                  <c:v>2041415.12</c:v>
                </c:pt>
                <c:pt idx="673">
                  <c:v>2041415.12</c:v>
                </c:pt>
                <c:pt idx="674">
                  <c:v>2041415.12</c:v>
                </c:pt>
                <c:pt idx="675">
                  <c:v>2041415.12</c:v>
                </c:pt>
                <c:pt idx="676">
                  <c:v>2041415.12</c:v>
                </c:pt>
                <c:pt idx="677">
                  <c:v>2041415.12</c:v>
                </c:pt>
                <c:pt idx="678">
                  <c:v>2041415.12</c:v>
                </c:pt>
                <c:pt idx="679">
                  <c:v>2041415.12</c:v>
                </c:pt>
                <c:pt idx="680">
                  <c:v>2041415.12</c:v>
                </c:pt>
                <c:pt idx="681">
                  <c:v>2041415.12</c:v>
                </c:pt>
                <c:pt idx="682">
                  <c:v>2041415.12</c:v>
                </c:pt>
                <c:pt idx="683">
                  <c:v>2041415.12</c:v>
                </c:pt>
                <c:pt idx="684">
                  <c:v>2041415.12</c:v>
                </c:pt>
                <c:pt idx="685">
                  <c:v>2041415.12</c:v>
                </c:pt>
                <c:pt idx="686">
                  <c:v>2041415.12</c:v>
                </c:pt>
                <c:pt idx="687">
                  <c:v>2041415.12</c:v>
                </c:pt>
                <c:pt idx="688">
                  <c:v>2041415.12</c:v>
                </c:pt>
                <c:pt idx="689">
                  <c:v>2041415.12</c:v>
                </c:pt>
                <c:pt idx="690">
                  <c:v>2041415.12</c:v>
                </c:pt>
                <c:pt idx="691">
                  <c:v>2041415.12</c:v>
                </c:pt>
                <c:pt idx="692">
                  <c:v>2041415.12</c:v>
                </c:pt>
                <c:pt idx="693">
                  <c:v>2041415.12</c:v>
                </c:pt>
                <c:pt idx="694">
                  <c:v>2041415.12</c:v>
                </c:pt>
                <c:pt idx="695">
                  <c:v>2041415.12</c:v>
                </c:pt>
                <c:pt idx="696">
                  <c:v>2041415.12</c:v>
                </c:pt>
                <c:pt idx="697">
                  <c:v>2041415.12</c:v>
                </c:pt>
                <c:pt idx="698">
                  <c:v>2041415.12</c:v>
                </c:pt>
                <c:pt idx="699">
                  <c:v>2041415.12</c:v>
                </c:pt>
                <c:pt idx="700">
                  <c:v>2041415.12</c:v>
                </c:pt>
                <c:pt idx="701">
                  <c:v>2041415.12</c:v>
                </c:pt>
                <c:pt idx="702">
                  <c:v>2041415.12</c:v>
                </c:pt>
                <c:pt idx="703">
                  <c:v>2041415.12</c:v>
                </c:pt>
                <c:pt idx="704">
                  <c:v>2041415.12</c:v>
                </c:pt>
                <c:pt idx="705">
                  <c:v>2041415.12</c:v>
                </c:pt>
                <c:pt idx="706">
                  <c:v>2041415.12</c:v>
                </c:pt>
                <c:pt idx="707">
                  <c:v>2041415.12</c:v>
                </c:pt>
                <c:pt idx="708">
                  <c:v>2041415.12</c:v>
                </c:pt>
                <c:pt idx="709">
                  <c:v>2041415.12</c:v>
                </c:pt>
                <c:pt idx="710">
                  <c:v>2041415.12</c:v>
                </c:pt>
                <c:pt idx="711">
                  <c:v>2041415.12</c:v>
                </c:pt>
                <c:pt idx="712">
                  <c:v>2041415.12</c:v>
                </c:pt>
                <c:pt idx="713">
                  <c:v>2041415.12</c:v>
                </c:pt>
                <c:pt idx="714">
                  <c:v>2041415.12</c:v>
                </c:pt>
                <c:pt idx="715">
                  <c:v>2041415.12</c:v>
                </c:pt>
                <c:pt idx="716">
                  <c:v>2041415.12</c:v>
                </c:pt>
                <c:pt idx="717">
                  <c:v>2041415.12</c:v>
                </c:pt>
                <c:pt idx="718">
                  <c:v>2041415.12</c:v>
                </c:pt>
                <c:pt idx="719">
                  <c:v>2041415.12</c:v>
                </c:pt>
                <c:pt idx="720">
                  <c:v>2041415.12</c:v>
                </c:pt>
                <c:pt idx="721">
                  <c:v>2041415.12</c:v>
                </c:pt>
                <c:pt idx="722">
                  <c:v>2041415.12</c:v>
                </c:pt>
                <c:pt idx="723">
                  <c:v>2041415.12</c:v>
                </c:pt>
                <c:pt idx="724">
                  <c:v>2041415.12</c:v>
                </c:pt>
                <c:pt idx="725">
                  <c:v>2041415.12</c:v>
                </c:pt>
                <c:pt idx="726">
                  <c:v>2041415.12</c:v>
                </c:pt>
                <c:pt idx="727">
                  <c:v>2041415.12</c:v>
                </c:pt>
                <c:pt idx="728">
                  <c:v>2041415.12</c:v>
                </c:pt>
                <c:pt idx="729">
                  <c:v>2041415.12</c:v>
                </c:pt>
                <c:pt idx="730">
                  <c:v>2041415.12</c:v>
                </c:pt>
                <c:pt idx="731">
                  <c:v>2041415.12</c:v>
                </c:pt>
                <c:pt idx="732">
                  <c:v>2041415.12</c:v>
                </c:pt>
                <c:pt idx="733">
                  <c:v>2041415.12</c:v>
                </c:pt>
                <c:pt idx="734">
                  <c:v>2041415.12</c:v>
                </c:pt>
                <c:pt idx="735">
                  <c:v>2041415.12</c:v>
                </c:pt>
                <c:pt idx="736">
                  <c:v>2041415.12</c:v>
                </c:pt>
                <c:pt idx="737">
                  <c:v>2041415.12</c:v>
                </c:pt>
                <c:pt idx="738">
                  <c:v>2041415.12</c:v>
                </c:pt>
                <c:pt idx="739">
                  <c:v>2041415.12</c:v>
                </c:pt>
                <c:pt idx="740">
                  <c:v>2041415.12</c:v>
                </c:pt>
                <c:pt idx="741">
                  <c:v>2041415.12</c:v>
                </c:pt>
                <c:pt idx="742">
                  <c:v>2041415.12</c:v>
                </c:pt>
                <c:pt idx="743">
                  <c:v>2041415.12</c:v>
                </c:pt>
                <c:pt idx="744">
                  <c:v>2041415.12</c:v>
                </c:pt>
                <c:pt idx="745">
                  <c:v>2041415.12</c:v>
                </c:pt>
                <c:pt idx="746">
                  <c:v>2041415.12</c:v>
                </c:pt>
                <c:pt idx="747">
                  <c:v>2041415.12</c:v>
                </c:pt>
                <c:pt idx="748">
                  <c:v>2041415.12</c:v>
                </c:pt>
                <c:pt idx="749">
                  <c:v>2041415.12</c:v>
                </c:pt>
                <c:pt idx="750">
                  <c:v>2041415.12</c:v>
                </c:pt>
                <c:pt idx="751">
                  <c:v>2041415.12</c:v>
                </c:pt>
                <c:pt idx="752">
                  <c:v>2041415.12</c:v>
                </c:pt>
                <c:pt idx="753">
                  <c:v>2041415.12</c:v>
                </c:pt>
                <c:pt idx="754">
                  <c:v>2041415.12</c:v>
                </c:pt>
                <c:pt idx="755">
                  <c:v>2041415.12</c:v>
                </c:pt>
                <c:pt idx="756">
                  <c:v>2041415.12</c:v>
                </c:pt>
                <c:pt idx="757">
                  <c:v>2041415.12</c:v>
                </c:pt>
                <c:pt idx="758">
                  <c:v>2041415.12</c:v>
                </c:pt>
                <c:pt idx="759">
                  <c:v>2041415.12</c:v>
                </c:pt>
                <c:pt idx="760">
                  <c:v>2041415.12</c:v>
                </c:pt>
                <c:pt idx="761">
                  <c:v>2041415.12</c:v>
                </c:pt>
                <c:pt idx="762">
                  <c:v>2041415.12</c:v>
                </c:pt>
                <c:pt idx="763">
                  <c:v>2041415.12</c:v>
                </c:pt>
                <c:pt idx="764">
                  <c:v>2041415.12</c:v>
                </c:pt>
                <c:pt idx="765">
                  <c:v>2041415.12</c:v>
                </c:pt>
                <c:pt idx="766">
                  <c:v>2041415.12</c:v>
                </c:pt>
                <c:pt idx="767">
                  <c:v>2041415.12</c:v>
                </c:pt>
                <c:pt idx="768">
                  <c:v>2041415.12</c:v>
                </c:pt>
                <c:pt idx="769">
                  <c:v>2041415.12</c:v>
                </c:pt>
                <c:pt idx="770">
                  <c:v>2041415.12</c:v>
                </c:pt>
                <c:pt idx="771">
                  <c:v>2041415.12</c:v>
                </c:pt>
                <c:pt idx="772">
                  <c:v>2041415.12</c:v>
                </c:pt>
                <c:pt idx="773">
                  <c:v>2041415.12</c:v>
                </c:pt>
                <c:pt idx="774">
                  <c:v>2041415.12</c:v>
                </c:pt>
                <c:pt idx="775">
                  <c:v>2041415.12</c:v>
                </c:pt>
                <c:pt idx="776">
                  <c:v>2041415.12</c:v>
                </c:pt>
                <c:pt idx="777">
                  <c:v>2041415.12</c:v>
                </c:pt>
                <c:pt idx="778">
                  <c:v>2041415.12</c:v>
                </c:pt>
                <c:pt idx="779">
                  <c:v>2041415.12</c:v>
                </c:pt>
                <c:pt idx="780">
                  <c:v>2041415.12</c:v>
                </c:pt>
                <c:pt idx="781">
                  <c:v>2041415.12</c:v>
                </c:pt>
                <c:pt idx="782">
                  <c:v>2041415.12</c:v>
                </c:pt>
                <c:pt idx="783">
                  <c:v>2041415.12</c:v>
                </c:pt>
                <c:pt idx="784">
                  <c:v>2041415.12</c:v>
                </c:pt>
                <c:pt idx="785">
                  <c:v>2041415.12</c:v>
                </c:pt>
                <c:pt idx="786">
                  <c:v>2041415.12</c:v>
                </c:pt>
                <c:pt idx="787">
                  <c:v>2041415.12</c:v>
                </c:pt>
                <c:pt idx="788">
                  <c:v>2041415.12</c:v>
                </c:pt>
                <c:pt idx="789">
                  <c:v>2041415.12</c:v>
                </c:pt>
                <c:pt idx="790">
                  <c:v>2041415.12</c:v>
                </c:pt>
                <c:pt idx="791">
                  <c:v>2041415.12</c:v>
                </c:pt>
                <c:pt idx="792">
                  <c:v>2041415.12</c:v>
                </c:pt>
                <c:pt idx="793">
                  <c:v>2041415.12</c:v>
                </c:pt>
                <c:pt idx="794">
                  <c:v>2041415.12</c:v>
                </c:pt>
                <c:pt idx="795">
                  <c:v>2041415.12</c:v>
                </c:pt>
                <c:pt idx="796">
                  <c:v>2041415.12</c:v>
                </c:pt>
                <c:pt idx="797">
                  <c:v>2041415.12</c:v>
                </c:pt>
                <c:pt idx="798">
                  <c:v>2041415.12</c:v>
                </c:pt>
                <c:pt idx="799">
                  <c:v>2041415.12</c:v>
                </c:pt>
                <c:pt idx="800">
                  <c:v>2041415.12</c:v>
                </c:pt>
                <c:pt idx="801">
                  <c:v>2041415.12</c:v>
                </c:pt>
                <c:pt idx="802">
                  <c:v>2041415.12</c:v>
                </c:pt>
                <c:pt idx="803">
                  <c:v>2041415.12</c:v>
                </c:pt>
                <c:pt idx="804">
                  <c:v>2041415.12</c:v>
                </c:pt>
                <c:pt idx="805">
                  <c:v>2041415.12</c:v>
                </c:pt>
                <c:pt idx="806">
                  <c:v>2041415.12</c:v>
                </c:pt>
                <c:pt idx="807">
                  <c:v>2041415.12</c:v>
                </c:pt>
                <c:pt idx="808">
                  <c:v>2041415.12</c:v>
                </c:pt>
                <c:pt idx="809">
                  <c:v>2041415.12</c:v>
                </c:pt>
                <c:pt idx="810">
                  <c:v>2041415.12</c:v>
                </c:pt>
                <c:pt idx="811">
                  <c:v>2041415.12</c:v>
                </c:pt>
                <c:pt idx="812">
                  <c:v>2041415.12</c:v>
                </c:pt>
                <c:pt idx="813">
                  <c:v>2041415.12</c:v>
                </c:pt>
                <c:pt idx="814">
                  <c:v>2041415.12</c:v>
                </c:pt>
                <c:pt idx="815">
                  <c:v>2041415.12</c:v>
                </c:pt>
                <c:pt idx="816">
                  <c:v>2041415.12</c:v>
                </c:pt>
                <c:pt idx="817">
                  <c:v>2041415.12</c:v>
                </c:pt>
                <c:pt idx="818">
                  <c:v>2041415.12</c:v>
                </c:pt>
                <c:pt idx="819">
                  <c:v>2041415.12</c:v>
                </c:pt>
                <c:pt idx="820">
                  <c:v>2041415.12</c:v>
                </c:pt>
                <c:pt idx="821">
                  <c:v>2041415.12</c:v>
                </c:pt>
                <c:pt idx="822">
                  <c:v>2041415.12</c:v>
                </c:pt>
                <c:pt idx="823">
                  <c:v>2041415.12</c:v>
                </c:pt>
                <c:pt idx="824">
                  <c:v>2041415.12</c:v>
                </c:pt>
                <c:pt idx="825">
                  <c:v>2041415.12</c:v>
                </c:pt>
                <c:pt idx="826">
                  <c:v>2041415.12</c:v>
                </c:pt>
                <c:pt idx="827">
                  <c:v>2041415.12</c:v>
                </c:pt>
                <c:pt idx="828">
                  <c:v>2041415.12</c:v>
                </c:pt>
                <c:pt idx="829">
                  <c:v>2041415.12</c:v>
                </c:pt>
                <c:pt idx="830">
                  <c:v>2041415.12</c:v>
                </c:pt>
                <c:pt idx="831">
                  <c:v>2041415.12</c:v>
                </c:pt>
                <c:pt idx="832">
                  <c:v>2041415.12</c:v>
                </c:pt>
                <c:pt idx="833">
                  <c:v>2041415.12</c:v>
                </c:pt>
                <c:pt idx="834">
                  <c:v>2041415.12</c:v>
                </c:pt>
                <c:pt idx="835">
                  <c:v>2041415.12</c:v>
                </c:pt>
                <c:pt idx="836">
                  <c:v>2041415.12</c:v>
                </c:pt>
                <c:pt idx="837">
                  <c:v>2041415.12</c:v>
                </c:pt>
                <c:pt idx="838">
                  <c:v>2041415.12</c:v>
                </c:pt>
                <c:pt idx="839">
                  <c:v>2041415.12</c:v>
                </c:pt>
                <c:pt idx="840">
                  <c:v>2041415.12</c:v>
                </c:pt>
                <c:pt idx="841">
                  <c:v>2041415.12</c:v>
                </c:pt>
                <c:pt idx="842">
                  <c:v>2041415.12</c:v>
                </c:pt>
                <c:pt idx="843">
                  <c:v>2041415.12</c:v>
                </c:pt>
                <c:pt idx="844">
                  <c:v>2041415.12</c:v>
                </c:pt>
                <c:pt idx="845">
                  <c:v>2041415.12</c:v>
                </c:pt>
                <c:pt idx="846">
                  <c:v>2041415.12</c:v>
                </c:pt>
                <c:pt idx="847">
                  <c:v>2041415.12</c:v>
                </c:pt>
                <c:pt idx="848">
                  <c:v>2041415.12</c:v>
                </c:pt>
                <c:pt idx="849">
                  <c:v>2041415.12</c:v>
                </c:pt>
                <c:pt idx="850">
                  <c:v>2041415.12</c:v>
                </c:pt>
                <c:pt idx="851">
                  <c:v>2041415.12</c:v>
                </c:pt>
                <c:pt idx="852">
                  <c:v>2041415.12</c:v>
                </c:pt>
                <c:pt idx="853">
                  <c:v>2041415.12</c:v>
                </c:pt>
                <c:pt idx="854">
                  <c:v>2041415.12</c:v>
                </c:pt>
                <c:pt idx="855">
                  <c:v>2041415.12</c:v>
                </c:pt>
                <c:pt idx="856">
                  <c:v>2041415.12</c:v>
                </c:pt>
                <c:pt idx="857">
                  <c:v>2041415.12</c:v>
                </c:pt>
                <c:pt idx="858">
                  <c:v>2041415.12</c:v>
                </c:pt>
                <c:pt idx="859">
                  <c:v>2041415.12</c:v>
                </c:pt>
                <c:pt idx="860">
                  <c:v>2041415.12</c:v>
                </c:pt>
                <c:pt idx="861">
                  <c:v>2041415.12</c:v>
                </c:pt>
                <c:pt idx="862">
                  <c:v>2041415.12</c:v>
                </c:pt>
                <c:pt idx="863">
                  <c:v>2041415.12</c:v>
                </c:pt>
                <c:pt idx="864">
                  <c:v>2041415.12</c:v>
                </c:pt>
                <c:pt idx="865">
                  <c:v>2041415.12</c:v>
                </c:pt>
                <c:pt idx="866">
                  <c:v>2041415.12</c:v>
                </c:pt>
                <c:pt idx="867">
                  <c:v>2041415.12</c:v>
                </c:pt>
                <c:pt idx="868">
                  <c:v>2041415.12</c:v>
                </c:pt>
                <c:pt idx="869">
                  <c:v>2041415.12</c:v>
                </c:pt>
                <c:pt idx="870">
                  <c:v>2041415.12</c:v>
                </c:pt>
                <c:pt idx="871">
                  <c:v>2041415.12</c:v>
                </c:pt>
                <c:pt idx="872">
                  <c:v>2041415.12</c:v>
                </c:pt>
                <c:pt idx="873">
                  <c:v>2041415.12</c:v>
                </c:pt>
                <c:pt idx="874">
                  <c:v>2041415.12</c:v>
                </c:pt>
                <c:pt idx="875">
                  <c:v>2041415.12</c:v>
                </c:pt>
                <c:pt idx="876">
                  <c:v>2041415.12</c:v>
                </c:pt>
                <c:pt idx="877">
                  <c:v>2041415.12</c:v>
                </c:pt>
                <c:pt idx="878">
                  <c:v>2041415.12</c:v>
                </c:pt>
                <c:pt idx="879">
                  <c:v>2041415.12</c:v>
                </c:pt>
                <c:pt idx="880">
                  <c:v>2041415.12</c:v>
                </c:pt>
                <c:pt idx="881">
                  <c:v>2041415.12</c:v>
                </c:pt>
                <c:pt idx="882">
                  <c:v>2041415.12</c:v>
                </c:pt>
                <c:pt idx="883">
                  <c:v>2041415.12</c:v>
                </c:pt>
                <c:pt idx="884">
                  <c:v>2041415.12</c:v>
                </c:pt>
                <c:pt idx="885">
                  <c:v>2041415.12</c:v>
                </c:pt>
                <c:pt idx="886">
                  <c:v>2041415.12</c:v>
                </c:pt>
                <c:pt idx="887">
                  <c:v>2041415.12</c:v>
                </c:pt>
                <c:pt idx="888">
                  <c:v>2041415.12</c:v>
                </c:pt>
                <c:pt idx="889">
                  <c:v>2041415.12</c:v>
                </c:pt>
                <c:pt idx="890">
                  <c:v>2041415.12</c:v>
                </c:pt>
                <c:pt idx="891">
                  <c:v>2041415.12</c:v>
                </c:pt>
                <c:pt idx="892">
                  <c:v>2041415.12</c:v>
                </c:pt>
                <c:pt idx="893">
                  <c:v>2041415.12</c:v>
                </c:pt>
                <c:pt idx="894">
                  <c:v>2041415.12</c:v>
                </c:pt>
                <c:pt idx="895">
                  <c:v>2041415.12</c:v>
                </c:pt>
                <c:pt idx="896">
                  <c:v>2041415.12</c:v>
                </c:pt>
                <c:pt idx="897">
                  <c:v>2041415.12</c:v>
                </c:pt>
                <c:pt idx="898">
                  <c:v>2041415.12</c:v>
                </c:pt>
                <c:pt idx="899">
                  <c:v>2041415.12</c:v>
                </c:pt>
                <c:pt idx="900">
                  <c:v>2041415.12</c:v>
                </c:pt>
                <c:pt idx="901">
                  <c:v>2041415.12</c:v>
                </c:pt>
                <c:pt idx="902">
                  <c:v>2041415.12</c:v>
                </c:pt>
                <c:pt idx="903">
                  <c:v>2041415.12</c:v>
                </c:pt>
                <c:pt idx="904">
                  <c:v>2041415.12</c:v>
                </c:pt>
                <c:pt idx="905">
                  <c:v>2041415.12</c:v>
                </c:pt>
                <c:pt idx="906">
                  <c:v>2041415.12</c:v>
                </c:pt>
                <c:pt idx="907">
                  <c:v>2041415.12</c:v>
                </c:pt>
                <c:pt idx="908">
                  <c:v>2041415.12</c:v>
                </c:pt>
                <c:pt idx="909">
                  <c:v>2041415.12</c:v>
                </c:pt>
                <c:pt idx="910">
                  <c:v>2041415.12</c:v>
                </c:pt>
                <c:pt idx="911">
                  <c:v>2041415.12</c:v>
                </c:pt>
                <c:pt idx="912">
                  <c:v>2041415.12</c:v>
                </c:pt>
                <c:pt idx="913">
                  <c:v>2041415.12</c:v>
                </c:pt>
                <c:pt idx="914">
                  <c:v>2041415.12</c:v>
                </c:pt>
                <c:pt idx="915">
                  <c:v>2041415.12</c:v>
                </c:pt>
                <c:pt idx="916">
                  <c:v>2041415.12</c:v>
                </c:pt>
                <c:pt idx="917">
                  <c:v>2041415.12</c:v>
                </c:pt>
                <c:pt idx="918">
                  <c:v>2041415.12</c:v>
                </c:pt>
                <c:pt idx="919">
                  <c:v>2041415.12</c:v>
                </c:pt>
                <c:pt idx="920">
                  <c:v>2041415.12</c:v>
                </c:pt>
                <c:pt idx="921">
                  <c:v>2041415.12</c:v>
                </c:pt>
                <c:pt idx="922">
                  <c:v>2041415.12</c:v>
                </c:pt>
                <c:pt idx="923">
                  <c:v>2041415.12</c:v>
                </c:pt>
                <c:pt idx="924">
                  <c:v>2041415.12</c:v>
                </c:pt>
                <c:pt idx="925">
                  <c:v>2041415.12</c:v>
                </c:pt>
                <c:pt idx="926">
                  <c:v>2041415.12</c:v>
                </c:pt>
                <c:pt idx="927">
                  <c:v>2041415.12</c:v>
                </c:pt>
                <c:pt idx="928">
                  <c:v>2041415.12</c:v>
                </c:pt>
                <c:pt idx="929">
                  <c:v>2041415.12</c:v>
                </c:pt>
                <c:pt idx="930">
                  <c:v>2041415.12</c:v>
                </c:pt>
                <c:pt idx="931">
                  <c:v>2041415.12</c:v>
                </c:pt>
                <c:pt idx="932">
                  <c:v>2041415.12</c:v>
                </c:pt>
                <c:pt idx="933">
                  <c:v>2041415.12</c:v>
                </c:pt>
                <c:pt idx="934">
                  <c:v>2041415.12</c:v>
                </c:pt>
                <c:pt idx="935">
                  <c:v>2041415.12</c:v>
                </c:pt>
                <c:pt idx="936">
                  <c:v>2041415.12</c:v>
                </c:pt>
                <c:pt idx="937">
                  <c:v>2041415.12</c:v>
                </c:pt>
                <c:pt idx="938">
                  <c:v>2041415.12</c:v>
                </c:pt>
                <c:pt idx="939">
                  <c:v>2041415.12</c:v>
                </c:pt>
                <c:pt idx="940">
                  <c:v>2041415.12</c:v>
                </c:pt>
                <c:pt idx="941">
                  <c:v>2041415.12</c:v>
                </c:pt>
                <c:pt idx="942">
                  <c:v>2041415.12</c:v>
                </c:pt>
                <c:pt idx="943">
                  <c:v>2041415.12</c:v>
                </c:pt>
                <c:pt idx="944">
                  <c:v>2041415.12</c:v>
                </c:pt>
                <c:pt idx="945">
                  <c:v>2041415.12</c:v>
                </c:pt>
                <c:pt idx="946">
                  <c:v>2041415.12</c:v>
                </c:pt>
                <c:pt idx="947">
                  <c:v>2041415.12</c:v>
                </c:pt>
                <c:pt idx="948">
                  <c:v>2041415.12</c:v>
                </c:pt>
                <c:pt idx="949">
                  <c:v>2041415.12</c:v>
                </c:pt>
                <c:pt idx="950">
                  <c:v>2041415.12</c:v>
                </c:pt>
                <c:pt idx="951">
                  <c:v>2041415.12</c:v>
                </c:pt>
                <c:pt idx="952">
                  <c:v>2041415.12</c:v>
                </c:pt>
                <c:pt idx="953">
                  <c:v>2041415.12</c:v>
                </c:pt>
                <c:pt idx="954">
                  <c:v>2041415.12</c:v>
                </c:pt>
                <c:pt idx="955">
                  <c:v>2041415.12</c:v>
                </c:pt>
                <c:pt idx="956">
                  <c:v>2041415.12</c:v>
                </c:pt>
                <c:pt idx="957">
                  <c:v>2041415.12</c:v>
                </c:pt>
                <c:pt idx="958">
                  <c:v>2041415.12</c:v>
                </c:pt>
                <c:pt idx="959">
                  <c:v>2041415.12</c:v>
                </c:pt>
                <c:pt idx="960">
                  <c:v>2041415.12</c:v>
                </c:pt>
                <c:pt idx="961">
                  <c:v>2041415.12</c:v>
                </c:pt>
                <c:pt idx="962">
                  <c:v>2041415.12</c:v>
                </c:pt>
                <c:pt idx="963">
                  <c:v>2041415.12</c:v>
                </c:pt>
                <c:pt idx="964">
                  <c:v>2041415.12</c:v>
                </c:pt>
                <c:pt idx="965">
                  <c:v>2041415.12</c:v>
                </c:pt>
                <c:pt idx="966">
                  <c:v>2041415.12</c:v>
                </c:pt>
                <c:pt idx="967">
                  <c:v>2041415.12</c:v>
                </c:pt>
                <c:pt idx="968">
                  <c:v>2041415.12</c:v>
                </c:pt>
                <c:pt idx="969">
                  <c:v>2041415.12</c:v>
                </c:pt>
                <c:pt idx="970">
                  <c:v>2041415.12</c:v>
                </c:pt>
                <c:pt idx="971">
                  <c:v>2041415.12</c:v>
                </c:pt>
                <c:pt idx="972">
                  <c:v>2041415.12</c:v>
                </c:pt>
                <c:pt idx="973">
                  <c:v>2041415.12</c:v>
                </c:pt>
                <c:pt idx="974">
                  <c:v>2041415.12</c:v>
                </c:pt>
                <c:pt idx="975">
                  <c:v>2041415.12</c:v>
                </c:pt>
                <c:pt idx="976">
                  <c:v>2041415.12</c:v>
                </c:pt>
                <c:pt idx="977">
                  <c:v>2041415.12</c:v>
                </c:pt>
                <c:pt idx="978">
                  <c:v>2041415.12</c:v>
                </c:pt>
                <c:pt idx="979">
                  <c:v>2041415.12</c:v>
                </c:pt>
                <c:pt idx="980">
                  <c:v>2041415.12</c:v>
                </c:pt>
                <c:pt idx="981">
                  <c:v>2041415.12</c:v>
                </c:pt>
                <c:pt idx="982">
                  <c:v>2041415.12</c:v>
                </c:pt>
                <c:pt idx="983">
                  <c:v>2041415.12</c:v>
                </c:pt>
                <c:pt idx="984">
                  <c:v>2041415.12</c:v>
                </c:pt>
                <c:pt idx="985">
                  <c:v>2041415.12</c:v>
                </c:pt>
                <c:pt idx="986">
                  <c:v>2041415.12</c:v>
                </c:pt>
                <c:pt idx="987">
                  <c:v>2041415.12</c:v>
                </c:pt>
                <c:pt idx="988">
                  <c:v>2041415.12</c:v>
                </c:pt>
                <c:pt idx="989">
                  <c:v>2041415.12</c:v>
                </c:pt>
                <c:pt idx="990">
                  <c:v>2041415.12</c:v>
                </c:pt>
                <c:pt idx="991">
                  <c:v>2041415.12</c:v>
                </c:pt>
                <c:pt idx="992">
                  <c:v>2041415.12</c:v>
                </c:pt>
                <c:pt idx="993">
                  <c:v>2041415.12</c:v>
                </c:pt>
                <c:pt idx="994">
                  <c:v>2041415.12</c:v>
                </c:pt>
                <c:pt idx="995">
                  <c:v>2041415.12</c:v>
                </c:pt>
                <c:pt idx="996">
                  <c:v>2041415.12</c:v>
                </c:pt>
                <c:pt idx="997">
                  <c:v>2041415.12</c:v>
                </c:pt>
                <c:pt idx="998">
                  <c:v>2041415.12</c:v>
                </c:pt>
                <c:pt idx="999">
                  <c:v>2041415.12</c:v>
                </c:pt>
                <c:pt idx="1000">
                  <c:v>2041415.12</c:v>
                </c:pt>
                <c:pt idx="1001">
                  <c:v>2041415.12</c:v>
                </c:pt>
                <c:pt idx="1002">
                  <c:v>2041415.12</c:v>
                </c:pt>
                <c:pt idx="1003">
                  <c:v>2041415.12</c:v>
                </c:pt>
                <c:pt idx="1004">
                  <c:v>2041415.12</c:v>
                </c:pt>
                <c:pt idx="1005">
                  <c:v>2041415.12</c:v>
                </c:pt>
                <c:pt idx="1006">
                  <c:v>2041415.12</c:v>
                </c:pt>
                <c:pt idx="1007">
                  <c:v>2041415.12</c:v>
                </c:pt>
                <c:pt idx="1008">
                  <c:v>2041415.12</c:v>
                </c:pt>
                <c:pt idx="1009">
                  <c:v>2041415.12</c:v>
                </c:pt>
                <c:pt idx="1010">
                  <c:v>2041415.12</c:v>
                </c:pt>
                <c:pt idx="1011">
                  <c:v>2041415.12</c:v>
                </c:pt>
                <c:pt idx="1012">
                  <c:v>2041415.12</c:v>
                </c:pt>
                <c:pt idx="1013">
                  <c:v>2041415.12</c:v>
                </c:pt>
                <c:pt idx="1014">
                  <c:v>2041415.12</c:v>
                </c:pt>
                <c:pt idx="1015">
                  <c:v>2041415.12</c:v>
                </c:pt>
                <c:pt idx="1016">
                  <c:v>2041415.12</c:v>
                </c:pt>
                <c:pt idx="1017">
                  <c:v>2041415.12</c:v>
                </c:pt>
                <c:pt idx="1018">
                  <c:v>2041415.12</c:v>
                </c:pt>
                <c:pt idx="1019">
                  <c:v>2041415.12</c:v>
                </c:pt>
                <c:pt idx="1020">
                  <c:v>2041415.12</c:v>
                </c:pt>
                <c:pt idx="1021">
                  <c:v>2041415.12</c:v>
                </c:pt>
                <c:pt idx="1022">
                  <c:v>2041415.12</c:v>
                </c:pt>
                <c:pt idx="1023">
                  <c:v>2041415.12</c:v>
                </c:pt>
                <c:pt idx="1024">
                  <c:v>2041415.12</c:v>
                </c:pt>
                <c:pt idx="1025">
                  <c:v>2041415.12</c:v>
                </c:pt>
                <c:pt idx="1026">
                  <c:v>2041415.12</c:v>
                </c:pt>
                <c:pt idx="1027">
                  <c:v>2041415.12</c:v>
                </c:pt>
                <c:pt idx="1028">
                  <c:v>2041415.12</c:v>
                </c:pt>
                <c:pt idx="1029">
                  <c:v>2041415.12</c:v>
                </c:pt>
                <c:pt idx="1030">
                  <c:v>2041415.12</c:v>
                </c:pt>
                <c:pt idx="1031">
                  <c:v>2041415.12</c:v>
                </c:pt>
                <c:pt idx="1032">
                  <c:v>2041415.12</c:v>
                </c:pt>
                <c:pt idx="1033">
                  <c:v>2041415.12</c:v>
                </c:pt>
                <c:pt idx="1034">
                  <c:v>2041415.12</c:v>
                </c:pt>
                <c:pt idx="1035">
                  <c:v>2041415.12</c:v>
                </c:pt>
                <c:pt idx="1036">
                  <c:v>2041415.12</c:v>
                </c:pt>
                <c:pt idx="1037">
                  <c:v>2041415.12</c:v>
                </c:pt>
                <c:pt idx="1038">
                  <c:v>2041415.12</c:v>
                </c:pt>
                <c:pt idx="1039">
                  <c:v>2041415.12</c:v>
                </c:pt>
                <c:pt idx="1040">
                  <c:v>2041415.12</c:v>
                </c:pt>
                <c:pt idx="1041">
                  <c:v>2041415.12</c:v>
                </c:pt>
                <c:pt idx="1042">
                  <c:v>2041415.12</c:v>
                </c:pt>
                <c:pt idx="1043">
                  <c:v>2041415.12</c:v>
                </c:pt>
                <c:pt idx="1044">
                  <c:v>2041415.12</c:v>
                </c:pt>
                <c:pt idx="1045">
                  <c:v>2041415.12</c:v>
                </c:pt>
                <c:pt idx="1046">
                  <c:v>2041415.12</c:v>
                </c:pt>
                <c:pt idx="1047">
                  <c:v>2041415.12</c:v>
                </c:pt>
                <c:pt idx="1048">
                  <c:v>2041415.12</c:v>
                </c:pt>
                <c:pt idx="1049">
                  <c:v>2041415.12</c:v>
                </c:pt>
                <c:pt idx="1050">
                  <c:v>2041415.12</c:v>
                </c:pt>
                <c:pt idx="1051">
                  <c:v>2041415.12</c:v>
                </c:pt>
                <c:pt idx="1052">
                  <c:v>2041415.12</c:v>
                </c:pt>
                <c:pt idx="1053">
                  <c:v>2041415.12</c:v>
                </c:pt>
                <c:pt idx="1054">
                  <c:v>2041415.12</c:v>
                </c:pt>
                <c:pt idx="1055">
                  <c:v>2041415.12</c:v>
                </c:pt>
                <c:pt idx="1056">
                  <c:v>2041415.12</c:v>
                </c:pt>
                <c:pt idx="1057">
                  <c:v>2041415.12</c:v>
                </c:pt>
                <c:pt idx="1058">
                  <c:v>2041415.12</c:v>
                </c:pt>
                <c:pt idx="1059">
                  <c:v>2041415.12</c:v>
                </c:pt>
                <c:pt idx="1060">
                  <c:v>2041415.12</c:v>
                </c:pt>
                <c:pt idx="1061">
                  <c:v>2041415.12</c:v>
                </c:pt>
                <c:pt idx="1062">
                  <c:v>2041415.12</c:v>
                </c:pt>
                <c:pt idx="1063">
                  <c:v>2041415.12</c:v>
                </c:pt>
                <c:pt idx="1064">
                  <c:v>2041415.12</c:v>
                </c:pt>
                <c:pt idx="1065">
                  <c:v>2041415.12</c:v>
                </c:pt>
                <c:pt idx="1066">
                  <c:v>2041415.12</c:v>
                </c:pt>
                <c:pt idx="1067">
                  <c:v>2041415.12</c:v>
                </c:pt>
                <c:pt idx="1068">
                  <c:v>2041415.12</c:v>
                </c:pt>
                <c:pt idx="1069">
                  <c:v>2041415.12</c:v>
                </c:pt>
                <c:pt idx="1070">
                  <c:v>2041415.12</c:v>
                </c:pt>
                <c:pt idx="1071">
                  <c:v>2041415.12</c:v>
                </c:pt>
                <c:pt idx="1072">
                  <c:v>2041415.12</c:v>
                </c:pt>
                <c:pt idx="1073">
                  <c:v>2041415.12</c:v>
                </c:pt>
                <c:pt idx="1074">
                  <c:v>2041415.12</c:v>
                </c:pt>
                <c:pt idx="1075">
                  <c:v>2041415.12</c:v>
                </c:pt>
                <c:pt idx="1076">
                  <c:v>2041415.12</c:v>
                </c:pt>
                <c:pt idx="1077">
                  <c:v>2041415.12</c:v>
                </c:pt>
                <c:pt idx="1078">
                  <c:v>2041415.12</c:v>
                </c:pt>
                <c:pt idx="1079">
                  <c:v>2041415.12</c:v>
                </c:pt>
                <c:pt idx="1080">
                  <c:v>2041415.12</c:v>
                </c:pt>
                <c:pt idx="1081">
                  <c:v>2041415.12</c:v>
                </c:pt>
                <c:pt idx="1082">
                  <c:v>2041415.12</c:v>
                </c:pt>
                <c:pt idx="1083">
                  <c:v>2041415.12</c:v>
                </c:pt>
                <c:pt idx="1084">
                  <c:v>2041415.12</c:v>
                </c:pt>
                <c:pt idx="1085">
                  <c:v>2041415.12</c:v>
                </c:pt>
                <c:pt idx="1086">
                  <c:v>2041415.12</c:v>
                </c:pt>
                <c:pt idx="1087">
                  <c:v>2041415.12</c:v>
                </c:pt>
                <c:pt idx="1088">
                  <c:v>2041415.12</c:v>
                </c:pt>
                <c:pt idx="1089">
                  <c:v>2041415.12</c:v>
                </c:pt>
                <c:pt idx="1090">
                  <c:v>2041415.12</c:v>
                </c:pt>
                <c:pt idx="1091">
                  <c:v>2041415.12</c:v>
                </c:pt>
                <c:pt idx="1092">
                  <c:v>2041415.12</c:v>
                </c:pt>
                <c:pt idx="1093">
                  <c:v>2041415.12</c:v>
                </c:pt>
                <c:pt idx="1094">
                  <c:v>2041415.12</c:v>
                </c:pt>
                <c:pt idx="1095">
                  <c:v>2041415.12</c:v>
                </c:pt>
                <c:pt idx="1096">
                  <c:v>2041415.12</c:v>
                </c:pt>
                <c:pt idx="1097">
                  <c:v>2041415.12</c:v>
                </c:pt>
                <c:pt idx="1098">
                  <c:v>2041415.12</c:v>
                </c:pt>
                <c:pt idx="1099">
                  <c:v>2041415.12</c:v>
                </c:pt>
                <c:pt idx="1100">
                  <c:v>2041415.12</c:v>
                </c:pt>
                <c:pt idx="1101">
                  <c:v>2041415.12</c:v>
                </c:pt>
                <c:pt idx="1102">
                  <c:v>2041415.12</c:v>
                </c:pt>
                <c:pt idx="1103">
                  <c:v>2041415.12</c:v>
                </c:pt>
                <c:pt idx="1104">
                  <c:v>2041415.12</c:v>
                </c:pt>
                <c:pt idx="1105">
                  <c:v>2041415.12</c:v>
                </c:pt>
                <c:pt idx="1106">
                  <c:v>2041415.12</c:v>
                </c:pt>
                <c:pt idx="1107">
                  <c:v>2041415.12</c:v>
                </c:pt>
                <c:pt idx="1108">
                  <c:v>2041415.12</c:v>
                </c:pt>
                <c:pt idx="1109">
                  <c:v>2041415.12</c:v>
                </c:pt>
                <c:pt idx="1110">
                  <c:v>2041415.12</c:v>
                </c:pt>
                <c:pt idx="1111">
                  <c:v>2041415.12</c:v>
                </c:pt>
                <c:pt idx="1112">
                  <c:v>2041415.12</c:v>
                </c:pt>
                <c:pt idx="1113">
                  <c:v>2041415.12</c:v>
                </c:pt>
                <c:pt idx="1114">
                  <c:v>2041415.12</c:v>
                </c:pt>
                <c:pt idx="1115">
                  <c:v>2041415.12</c:v>
                </c:pt>
                <c:pt idx="1116">
                  <c:v>2041415.12</c:v>
                </c:pt>
                <c:pt idx="1117">
                  <c:v>2041415.12</c:v>
                </c:pt>
                <c:pt idx="1118">
                  <c:v>2041415.12</c:v>
                </c:pt>
                <c:pt idx="1119">
                  <c:v>2041415.12</c:v>
                </c:pt>
                <c:pt idx="1120">
                  <c:v>2041415.12</c:v>
                </c:pt>
                <c:pt idx="1121">
                  <c:v>2041415.12</c:v>
                </c:pt>
                <c:pt idx="1122">
                  <c:v>2041415.12</c:v>
                </c:pt>
                <c:pt idx="1123">
                  <c:v>2041415.12</c:v>
                </c:pt>
                <c:pt idx="1124">
                  <c:v>2041415.12</c:v>
                </c:pt>
                <c:pt idx="1125">
                  <c:v>2041415.12</c:v>
                </c:pt>
                <c:pt idx="1126">
                  <c:v>2041415.12</c:v>
                </c:pt>
                <c:pt idx="1127">
                  <c:v>2041415.12</c:v>
                </c:pt>
                <c:pt idx="1128">
                  <c:v>2041415.12</c:v>
                </c:pt>
                <c:pt idx="1129">
                  <c:v>2041415.12</c:v>
                </c:pt>
                <c:pt idx="1130">
                  <c:v>2041415.12</c:v>
                </c:pt>
                <c:pt idx="1131">
                  <c:v>2041415.12</c:v>
                </c:pt>
                <c:pt idx="1132">
                  <c:v>2041415.12</c:v>
                </c:pt>
                <c:pt idx="1133">
                  <c:v>2041415.12</c:v>
                </c:pt>
                <c:pt idx="1134">
                  <c:v>2041415.12</c:v>
                </c:pt>
                <c:pt idx="1135">
                  <c:v>2041415.12</c:v>
                </c:pt>
                <c:pt idx="1136">
                  <c:v>2041415.12</c:v>
                </c:pt>
                <c:pt idx="1137">
                  <c:v>2041415.12</c:v>
                </c:pt>
                <c:pt idx="1138">
                  <c:v>2041415.12</c:v>
                </c:pt>
                <c:pt idx="1139">
                  <c:v>2041415.12</c:v>
                </c:pt>
                <c:pt idx="1140">
                  <c:v>2041415.12</c:v>
                </c:pt>
                <c:pt idx="1141">
                  <c:v>2041415.12</c:v>
                </c:pt>
                <c:pt idx="1142">
                  <c:v>2041415.12</c:v>
                </c:pt>
                <c:pt idx="1143">
                  <c:v>2041415.12</c:v>
                </c:pt>
                <c:pt idx="1144">
                  <c:v>2041415.12</c:v>
                </c:pt>
                <c:pt idx="1145">
                  <c:v>2041415.12</c:v>
                </c:pt>
                <c:pt idx="1146">
                  <c:v>2041415.12</c:v>
                </c:pt>
                <c:pt idx="1147">
                  <c:v>2041415.12</c:v>
                </c:pt>
                <c:pt idx="1148">
                  <c:v>2041415.12</c:v>
                </c:pt>
                <c:pt idx="1149">
                  <c:v>2041415.12</c:v>
                </c:pt>
                <c:pt idx="1150">
                  <c:v>2041415.12</c:v>
                </c:pt>
                <c:pt idx="1151">
                  <c:v>2041415.12</c:v>
                </c:pt>
                <c:pt idx="1152">
                  <c:v>2041415.12</c:v>
                </c:pt>
                <c:pt idx="1153">
                  <c:v>2041415.12</c:v>
                </c:pt>
                <c:pt idx="1154">
                  <c:v>2041415.12</c:v>
                </c:pt>
                <c:pt idx="1155">
                  <c:v>2041415.12</c:v>
                </c:pt>
                <c:pt idx="1156">
                  <c:v>2041415.12</c:v>
                </c:pt>
                <c:pt idx="1157">
                  <c:v>2041415.12</c:v>
                </c:pt>
                <c:pt idx="1158">
                  <c:v>2041415.12</c:v>
                </c:pt>
                <c:pt idx="1159">
                  <c:v>2041415.12</c:v>
                </c:pt>
                <c:pt idx="1160">
                  <c:v>2041415.12</c:v>
                </c:pt>
                <c:pt idx="1161">
                  <c:v>2041415.12</c:v>
                </c:pt>
                <c:pt idx="1162">
                  <c:v>2041415.12</c:v>
                </c:pt>
                <c:pt idx="1163">
                  <c:v>2041415.12</c:v>
                </c:pt>
                <c:pt idx="1164">
                  <c:v>2041415.12</c:v>
                </c:pt>
                <c:pt idx="1165">
                  <c:v>2041415.12</c:v>
                </c:pt>
                <c:pt idx="1166">
                  <c:v>2041415.12</c:v>
                </c:pt>
                <c:pt idx="1167">
                  <c:v>2041415.12</c:v>
                </c:pt>
                <c:pt idx="1168">
                  <c:v>2041415.12</c:v>
                </c:pt>
                <c:pt idx="1169">
                  <c:v>2041415.12</c:v>
                </c:pt>
                <c:pt idx="1170">
                  <c:v>2041415.12</c:v>
                </c:pt>
                <c:pt idx="1171">
                  <c:v>2041415.12</c:v>
                </c:pt>
                <c:pt idx="1172">
                  <c:v>2041415.12</c:v>
                </c:pt>
                <c:pt idx="1173">
                  <c:v>2041415.12</c:v>
                </c:pt>
                <c:pt idx="1174">
                  <c:v>2041415.12</c:v>
                </c:pt>
                <c:pt idx="1175">
                  <c:v>2041415.12</c:v>
                </c:pt>
                <c:pt idx="1176">
                  <c:v>2041415.12</c:v>
                </c:pt>
                <c:pt idx="1177">
                  <c:v>2041415.12</c:v>
                </c:pt>
                <c:pt idx="1178">
                  <c:v>2041415.12</c:v>
                </c:pt>
                <c:pt idx="1179">
                  <c:v>2041415.12</c:v>
                </c:pt>
                <c:pt idx="1180">
                  <c:v>2041415.12</c:v>
                </c:pt>
                <c:pt idx="1181">
                  <c:v>2041415.12</c:v>
                </c:pt>
                <c:pt idx="1182">
                  <c:v>2041415.12</c:v>
                </c:pt>
                <c:pt idx="1183">
                  <c:v>2041415.12</c:v>
                </c:pt>
                <c:pt idx="1184">
                  <c:v>2041415.12</c:v>
                </c:pt>
                <c:pt idx="1185">
                  <c:v>2041415.12</c:v>
                </c:pt>
                <c:pt idx="1186">
                  <c:v>2041415.12</c:v>
                </c:pt>
                <c:pt idx="1187">
                  <c:v>2041415.12</c:v>
                </c:pt>
                <c:pt idx="1188">
                  <c:v>2041415.12</c:v>
                </c:pt>
                <c:pt idx="1189">
                  <c:v>2041415.12</c:v>
                </c:pt>
                <c:pt idx="1190">
                  <c:v>2041415.12</c:v>
                </c:pt>
                <c:pt idx="1191">
                  <c:v>2041415.12</c:v>
                </c:pt>
                <c:pt idx="1192">
                  <c:v>2041415.12</c:v>
                </c:pt>
                <c:pt idx="1193">
                  <c:v>2041415.12</c:v>
                </c:pt>
                <c:pt idx="1194">
                  <c:v>2041415.12</c:v>
                </c:pt>
                <c:pt idx="1195">
                  <c:v>2041415.12</c:v>
                </c:pt>
                <c:pt idx="1196">
                  <c:v>2041415.12</c:v>
                </c:pt>
                <c:pt idx="1197">
                  <c:v>2041415.12</c:v>
                </c:pt>
                <c:pt idx="1198">
                  <c:v>2041415.12</c:v>
                </c:pt>
                <c:pt idx="1199">
                  <c:v>2041415.12</c:v>
                </c:pt>
                <c:pt idx="1200">
                  <c:v>2041415.12</c:v>
                </c:pt>
                <c:pt idx="1201">
                  <c:v>2041415.12</c:v>
                </c:pt>
                <c:pt idx="1202">
                  <c:v>2041415.12</c:v>
                </c:pt>
                <c:pt idx="1203">
                  <c:v>2041415.12</c:v>
                </c:pt>
                <c:pt idx="1204">
                  <c:v>2041415.12</c:v>
                </c:pt>
                <c:pt idx="1205">
                  <c:v>2041415.12</c:v>
                </c:pt>
                <c:pt idx="1206">
                  <c:v>2041415.12</c:v>
                </c:pt>
                <c:pt idx="1207">
                  <c:v>2041415.12</c:v>
                </c:pt>
                <c:pt idx="1208">
                  <c:v>2041415.12</c:v>
                </c:pt>
                <c:pt idx="1209">
                  <c:v>2041415.12</c:v>
                </c:pt>
                <c:pt idx="1210">
                  <c:v>2041415.12</c:v>
                </c:pt>
                <c:pt idx="1211">
                  <c:v>2041415.12</c:v>
                </c:pt>
                <c:pt idx="1212">
                  <c:v>2041415.12</c:v>
                </c:pt>
                <c:pt idx="1213">
                  <c:v>2041415.12</c:v>
                </c:pt>
                <c:pt idx="1214">
                  <c:v>2041415.12</c:v>
                </c:pt>
                <c:pt idx="1215">
                  <c:v>2041415.12</c:v>
                </c:pt>
                <c:pt idx="1216">
                  <c:v>2041415.12</c:v>
                </c:pt>
                <c:pt idx="1217">
                  <c:v>2041415.12</c:v>
                </c:pt>
                <c:pt idx="1218">
                  <c:v>2041415.12</c:v>
                </c:pt>
                <c:pt idx="1219">
                  <c:v>2041415.12</c:v>
                </c:pt>
                <c:pt idx="1220">
                  <c:v>2041415.12</c:v>
                </c:pt>
                <c:pt idx="1221">
                  <c:v>2041415.12</c:v>
                </c:pt>
                <c:pt idx="1222">
                  <c:v>2041415.12</c:v>
                </c:pt>
                <c:pt idx="1223">
                  <c:v>2041415.12</c:v>
                </c:pt>
                <c:pt idx="1224">
                  <c:v>2041415.12</c:v>
                </c:pt>
                <c:pt idx="1225">
                  <c:v>2041415.12</c:v>
                </c:pt>
                <c:pt idx="1226">
                  <c:v>2041415.12</c:v>
                </c:pt>
                <c:pt idx="1227">
                  <c:v>2041415.12</c:v>
                </c:pt>
                <c:pt idx="1228">
                  <c:v>2041415.12</c:v>
                </c:pt>
                <c:pt idx="1229">
                  <c:v>2041415.12</c:v>
                </c:pt>
                <c:pt idx="1230">
                  <c:v>2041415.12</c:v>
                </c:pt>
                <c:pt idx="1231">
                  <c:v>2041415.12</c:v>
                </c:pt>
                <c:pt idx="1232">
                  <c:v>2041415.12</c:v>
                </c:pt>
                <c:pt idx="1233">
                  <c:v>2041415.12</c:v>
                </c:pt>
                <c:pt idx="1234">
                  <c:v>2041415.12</c:v>
                </c:pt>
                <c:pt idx="1235">
                  <c:v>2041415.12</c:v>
                </c:pt>
                <c:pt idx="1236">
                  <c:v>2041415.12</c:v>
                </c:pt>
                <c:pt idx="1237">
                  <c:v>2041415.12</c:v>
                </c:pt>
                <c:pt idx="1238">
                  <c:v>2041415.12</c:v>
                </c:pt>
                <c:pt idx="1239">
                  <c:v>2041415.12</c:v>
                </c:pt>
                <c:pt idx="1240">
                  <c:v>2041415.12</c:v>
                </c:pt>
                <c:pt idx="1241">
                  <c:v>2041415.12</c:v>
                </c:pt>
                <c:pt idx="1242">
                  <c:v>2041415.12</c:v>
                </c:pt>
                <c:pt idx="1243">
                  <c:v>2041415.12</c:v>
                </c:pt>
                <c:pt idx="1244">
                  <c:v>2041415.12</c:v>
                </c:pt>
                <c:pt idx="1245">
                  <c:v>2041415.12</c:v>
                </c:pt>
                <c:pt idx="1246">
                  <c:v>2041415.12</c:v>
                </c:pt>
                <c:pt idx="1247">
                  <c:v>2041415.12</c:v>
                </c:pt>
                <c:pt idx="1248">
                  <c:v>2041415.12</c:v>
                </c:pt>
                <c:pt idx="1249">
                  <c:v>2041415.12</c:v>
                </c:pt>
                <c:pt idx="1250">
                  <c:v>2041415.12</c:v>
                </c:pt>
                <c:pt idx="1251">
                  <c:v>2041415.12</c:v>
                </c:pt>
                <c:pt idx="1252">
                  <c:v>2041415.12</c:v>
                </c:pt>
                <c:pt idx="1253">
                  <c:v>2041415.12</c:v>
                </c:pt>
                <c:pt idx="1254">
                  <c:v>2041415.12</c:v>
                </c:pt>
                <c:pt idx="1255">
                  <c:v>2041415.12</c:v>
                </c:pt>
                <c:pt idx="1256">
                  <c:v>2041415.12</c:v>
                </c:pt>
                <c:pt idx="1257">
                  <c:v>2041415.12</c:v>
                </c:pt>
                <c:pt idx="1258">
                  <c:v>2041415.12</c:v>
                </c:pt>
                <c:pt idx="1259">
                  <c:v>2041415.12</c:v>
                </c:pt>
                <c:pt idx="1260">
                  <c:v>2041415.12</c:v>
                </c:pt>
                <c:pt idx="1261">
                  <c:v>2041415.12</c:v>
                </c:pt>
                <c:pt idx="1262">
                  <c:v>2041415.12</c:v>
                </c:pt>
                <c:pt idx="1263">
                  <c:v>2041415.12</c:v>
                </c:pt>
                <c:pt idx="1264">
                  <c:v>2041415.12</c:v>
                </c:pt>
                <c:pt idx="1265">
                  <c:v>2041415.12</c:v>
                </c:pt>
                <c:pt idx="1266">
                  <c:v>2041415.12</c:v>
                </c:pt>
                <c:pt idx="1267">
                  <c:v>2041415.12</c:v>
                </c:pt>
                <c:pt idx="1268">
                  <c:v>2041415.12</c:v>
                </c:pt>
                <c:pt idx="1269">
                  <c:v>2041415.12</c:v>
                </c:pt>
                <c:pt idx="1270">
                  <c:v>2041415.12</c:v>
                </c:pt>
                <c:pt idx="1271">
                  <c:v>2041415.12</c:v>
                </c:pt>
                <c:pt idx="1272">
                  <c:v>2041415.12</c:v>
                </c:pt>
                <c:pt idx="1273">
                  <c:v>2041415.12</c:v>
                </c:pt>
                <c:pt idx="1274">
                  <c:v>2041415.12</c:v>
                </c:pt>
                <c:pt idx="1275">
                  <c:v>2041415.12</c:v>
                </c:pt>
                <c:pt idx="1276">
                  <c:v>2041415.12</c:v>
                </c:pt>
                <c:pt idx="1277">
                  <c:v>2041415.12</c:v>
                </c:pt>
                <c:pt idx="1278">
                  <c:v>2041415.12</c:v>
                </c:pt>
                <c:pt idx="1279">
                  <c:v>2041415.12</c:v>
                </c:pt>
                <c:pt idx="1280">
                  <c:v>2041415.12</c:v>
                </c:pt>
                <c:pt idx="1281">
                  <c:v>2041415.12</c:v>
                </c:pt>
                <c:pt idx="1282">
                  <c:v>2041415.12</c:v>
                </c:pt>
                <c:pt idx="1283">
                  <c:v>2041415.12</c:v>
                </c:pt>
                <c:pt idx="1284">
                  <c:v>2041415.12</c:v>
                </c:pt>
                <c:pt idx="1285">
                  <c:v>2041415.12</c:v>
                </c:pt>
                <c:pt idx="1286">
                  <c:v>2041415.12</c:v>
                </c:pt>
                <c:pt idx="1287">
                  <c:v>2041415.12</c:v>
                </c:pt>
                <c:pt idx="1288">
                  <c:v>2041415.12</c:v>
                </c:pt>
                <c:pt idx="1289">
                  <c:v>2041415.12</c:v>
                </c:pt>
                <c:pt idx="1290">
                  <c:v>2041415.12</c:v>
                </c:pt>
                <c:pt idx="1291">
                  <c:v>2041415.12</c:v>
                </c:pt>
                <c:pt idx="1292">
                  <c:v>2041415.12</c:v>
                </c:pt>
                <c:pt idx="1293">
                  <c:v>2041415.12</c:v>
                </c:pt>
                <c:pt idx="1294">
                  <c:v>2041415.12</c:v>
                </c:pt>
                <c:pt idx="1295">
                  <c:v>2041415.12</c:v>
                </c:pt>
                <c:pt idx="1296">
                  <c:v>2041415.12</c:v>
                </c:pt>
                <c:pt idx="1297">
                  <c:v>2041415.12</c:v>
                </c:pt>
                <c:pt idx="1298">
                  <c:v>2041415.12</c:v>
                </c:pt>
                <c:pt idx="1299">
                  <c:v>2041415.12</c:v>
                </c:pt>
                <c:pt idx="1300">
                  <c:v>2041415.12</c:v>
                </c:pt>
                <c:pt idx="1301">
                  <c:v>2041415.12</c:v>
                </c:pt>
                <c:pt idx="1302">
                  <c:v>2041415.12</c:v>
                </c:pt>
                <c:pt idx="1303">
                  <c:v>2041415.12</c:v>
                </c:pt>
                <c:pt idx="1304">
                  <c:v>2041415.12</c:v>
                </c:pt>
                <c:pt idx="1305">
                  <c:v>2041415.12</c:v>
                </c:pt>
                <c:pt idx="1306">
                  <c:v>2041415.12</c:v>
                </c:pt>
                <c:pt idx="1307">
                  <c:v>2041415.12</c:v>
                </c:pt>
                <c:pt idx="1308">
                  <c:v>2041415.12</c:v>
                </c:pt>
                <c:pt idx="1309">
                  <c:v>2041415.12</c:v>
                </c:pt>
                <c:pt idx="1310">
                  <c:v>2041415.12</c:v>
                </c:pt>
                <c:pt idx="1311">
                  <c:v>2041415.12</c:v>
                </c:pt>
                <c:pt idx="1312">
                  <c:v>2041415.12</c:v>
                </c:pt>
                <c:pt idx="1313">
                  <c:v>2041415.12</c:v>
                </c:pt>
                <c:pt idx="1314">
                  <c:v>2041415.12</c:v>
                </c:pt>
                <c:pt idx="1315">
                  <c:v>2041415.12</c:v>
                </c:pt>
                <c:pt idx="1316">
                  <c:v>2041415.12</c:v>
                </c:pt>
                <c:pt idx="1317">
                  <c:v>2041415.12</c:v>
                </c:pt>
                <c:pt idx="1318">
                  <c:v>2041415.12</c:v>
                </c:pt>
                <c:pt idx="1319">
                  <c:v>2041415.12</c:v>
                </c:pt>
                <c:pt idx="1320">
                  <c:v>2041415.12</c:v>
                </c:pt>
                <c:pt idx="1321">
                  <c:v>2041415.12</c:v>
                </c:pt>
                <c:pt idx="1322">
                  <c:v>2041415.12</c:v>
                </c:pt>
                <c:pt idx="1323">
                  <c:v>2041415.12</c:v>
                </c:pt>
                <c:pt idx="1324">
                  <c:v>2041415.12</c:v>
                </c:pt>
                <c:pt idx="1325">
                  <c:v>2041415.12</c:v>
                </c:pt>
                <c:pt idx="1326">
                  <c:v>2041415.12</c:v>
                </c:pt>
                <c:pt idx="1327">
                  <c:v>2041415.12</c:v>
                </c:pt>
                <c:pt idx="1328">
                  <c:v>2041415.12</c:v>
                </c:pt>
                <c:pt idx="1329">
                  <c:v>2041415.12</c:v>
                </c:pt>
                <c:pt idx="1330">
                  <c:v>2041415.12</c:v>
                </c:pt>
                <c:pt idx="1331">
                  <c:v>2041415.12</c:v>
                </c:pt>
                <c:pt idx="1332">
                  <c:v>2041415.12</c:v>
                </c:pt>
                <c:pt idx="1333">
                  <c:v>2041415.12</c:v>
                </c:pt>
                <c:pt idx="1334">
                  <c:v>2041415.12</c:v>
                </c:pt>
                <c:pt idx="1335">
                  <c:v>2041415.12</c:v>
                </c:pt>
                <c:pt idx="1336">
                  <c:v>2041415.12</c:v>
                </c:pt>
                <c:pt idx="1337">
                  <c:v>2041415.12</c:v>
                </c:pt>
                <c:pt idx="1338">
                  <c:v>2041415.12</c:v>
                </c:pt>
                <c:pt idx="1339">
                  <c:v>2041415.12</c:v>
                </c:pt>
                <c:pt idx="1340">
                  <c:v>2041415.12</c:v>
                </c:pt>
                <c:pt idx="1341">
                  <c:v>2041415.12</c:v>
                </c:pt>
                <c:pt idx="1342">
                  <c:v>2041415.12</c:v>
                </c:pt>
                <c:pt idx="1343">
                  <c:v>2041415.12</c:v>
                </c:pt>
                <c:pt idx="1344">
                  <c:v>2041415.12</c:v>
                </c:pt>
                <c:pt idx="1345">
                  <c:v>2041415.12</c:v>
                </c:pt>
                <c:pt idx="1346">
                  <c:v>2041415.12</c:v>
                </c:pt>
                <c:pt idx="1347">
                  <c:v>2041415.12</c:v>
                </c:pt>
                <c:pt idx="1348">
                  <c:v>2041415.12</c:v>
                </c:pt>
                <c:pt idx="1349">
                  <c:v>2041415.12</c:v>
                </c:pt>
                <c:pt idx="1350">
                  <c:v>2041415.12</c:v>
                </c:pt>
                <c:pt idx="1351">
                  <c:v>2041415.12</c:v>
                </c:pt>
                <c:pt idx="1352">
                  <c:v>2041415.12</c:v>
                </c:pt>
                <c:pt idx="1353">
                  <c:v>2041415.12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18000</c:v>
                </c:pt>
                <c:pt idx="14">
                  <c:v>18000</c:v>
                </c:pt>
                <c:pt idx="15">
                  <c:v>18000</c:v>
                </c:pt>
                <c:pt idx="16">
                  <c:v>18000</c:v>
                </c:pt>
                <c:pt idx="17">
                  <c:v>244756.22222222222</c:v>
                </c:pt>
                <c:pt idx="18">
                  <c:v>640356.22222222225</c:v>
                </c:pt>
                <c:pt idx="19">
                  <c:v>640356.22222222225</c:v>
                </c:pt>
                <c:pt idx="20">
                  <c:v>640356.22222222225</c:v>
                </c:pt>
                <c:pt idx="21">
                  <c:v>640356.22222222225</c:v>
                </c:pt>
                <c:pt idx="22">
                  <c:v>640356.22222222225</c:v>
                </c:pt>
                <c:pt idx="23">
                  <c:v>640356.22222222225</c:v>
                </c:pt>
                <c:pt idx="24">
                  <c:v>640356.22222222225</c:v>
                </c:pt>
                <c:pt idx="25">
                  <c:v>640356.22222222225</c:v>
                </c:pt>
                <c:pt idx="26">
                  <c:v>640356.22222222225</c:v>
                </c:pt>
                <c:pt idx="27">
                  <c:v>640356.22222222225</c:v>
                </c:pt>
                <c:pt idx="28">
                  <c:v>640356.22222222225</c:v>
                </c:pt>
                <c:pt idx="29">
                  <c:v>640356.22222222225</c:v>
                </c:pt>
                <c:pt idx="30">
                  <c:v>640356.22222222225</c:v>
                </c:pt>
                <c:pt idx="31">
                  <c:v>640356.22222222225</c:v>
                </c:pt>
                <c:pt idx="32">
                  <c:v>640356.22222222225</c:v>
                </c:pt>
                <c:pt idx="33">
                  <c:v>640356.22222222225</c:v>
                </c:pt>
                <c:pt idx="34">
                  <c:v>640356.22222222225</c:v>
                </c:pt>
                <c:pt idx="35">
                  <c:v>640356.22222222225</c:v>
                </c:pt>
                <c:pt idx="36">
                  <c:v>640356.22222222225</c:v>
                </c:pt>
                <c:pt idx="37">
                  <c:v>640356.22222222225</c:v>
                </c:pt>
                <c:pt idx="38">
                  <c:v>640356.22222222225</c:v>
                </c:pt>
                <c:pt idx="39">
                  <c:v>640356.22222222225</c:v>
                </c:pt>
                <c:pt idx="40">
                  <c:v>640356.22222222225</c:v>
                </c:pt>
                <c:pt idx="41">
                  <c:v>640356.22222222225</c:v>
                </c:pt>
                <c:pt idx="42">
                  <c:v>640356.22222222225</c:v>
                </c:pt>
                <c:pt idx="43">
                  <c:v>640356.22222222225</c:v>
                </c:pt>
                <c:pt idx="44">
                  <c:v>640356.22222222225</c:v>
                </c:pt>
                <c:pt idx="45">
                  <c:v>640356.22222222225</c:v>
                </c:pt>
                <c:pt idx="46">
                  <c:v>640356.22222222225</c:v>
                </c:pt>
                <c:pt idx="47">
                  <c:v>640356.22222222225</c:v>
                </c:pt>
                <c:pt idx="48">
                  <c:v>640356.22222222225</c:v>
                </c:pt>
                <c:pt idx="49">
                  <c:v>640356.22222222225</c:v>
                </c:pt>
                <c:pt idx="50">
                  <c:v>640356.22222222225</c:v>
                </c:pt>
                <c:pt idx="51">
                  <c:v>640356.22222222225</c:v>
                </c:pt>
                <c:pt idx="52">
                  <c:v>640356.22222222225</c:v>
                </c:pt>
                <c:pt idx="53">
                  <c:v>640356.22222222225</c:v>
                </c:pt>
                <c:pt idx="54">
                  <c:v>640356.22222222225</c:v>
                </c:pt>
                <c:pt idx="55">
                  <c:v>640356.22222222225</c:v>
                </c:pt>
                <c:pt idx="56">
                  <c:v>640356.22222222225</c:v>
                </c:pt>
                <c:pt idx="57">
                  <c:v>640356.22222222225</c:v>
                </c:pt>
                <c:pt idx="58">
                  <c:v>640356.22222222225</c:v>
                </c:pt>
                <c:pt idx="59">
                  <c:v>640356.22222222225</c:v>
                </c:pt>
                <c:pt idx="60">
                  <c:v>640356.22222222225</c:v>
                </c:pt>
                <c:pt idx="61">
                  <c:v>640356.22222222225</c:v>
                </c:pt>
                <c:pt idx="62">
                  <c:v>640356.22222222225</c:v>
                </c:pt>
                <c:pt idx="63">
                  <c:v>640356.22222222225</c:v>
                </c:pt>
                <c:pt idx="64">
                  <c:v>640356.22222222225</c:v>
                </c:pt>
                <c:pt idx="65">
                  <c:v>640356.22222222225</c:v>
                </c:pt>
                <c:pt idx="66">
                  <c:v>640356.22222222225</c:v>
                </c:pt>
                <c:pt idx="67">
                  <c:v>640356.22222222225</c:v>
                </c:pt>
                <c:pt idx="68">
                  <c:v>640356.22222222225</c:v>
                </c:pt>
                <c:pt idx="69">
                  <c:v>640356.22222222225</c:v>
                </c:pt>
                <c:pt idx="70">
                  <c:v>640356.22222222225</c:v>
                </c:pt>
                <c:pt idx="71">
                  <c:v>640356.22222222225</c:v>
                </c:pt>
                <c:pt idx="72">
                  <c:v>640356.22222222225</c:v>
                </c:pt>
                <c:pt idx="73">
                  <c:v>640356.22222222225</c:v>
                </c:pt>
                <c:pt idx="74">
                  <c:v>640356.22222222225</c:v>
                </c:pt>
                <c:pt idx="75">
                  <c:v>640356.22222222225</c:v>
                </c:pt>
                <c:pt idx="76">
                  <c:v>640356.22222222225</c:v>
                </c:pt>
                <c:pt idx="77">
                  <c:v>640356.22222222225</c:v>
                </c:pt>
                <c:pt idx="78">
                  <c:v>640356.22222222225</c:v>
                </c:pt>
                <c:pt idx="79">
                  <c:v>640356.22222222225</c:v>
                </c:pt>
                <c:pt idx="80">
                  <c:v>640356.22222222225</c:v>
                </c:pt>
                <c:pt idx="81">
                  <c:v>640356.22222222225</c:v>
                </c:pt>
                <c:pt idx="82">
                  <c:v>640356.22222222225</c:v>
                </c:pt>
                <c:pt idx="83">
                  <c:v>640356.22222222225</c:v>
                </c:pt>
                <c:pt idx="84">
                  <c:v>640356.22222222225</c:v>
                </c:pt>
                <c:pt idx="85">
                  <c:v>640356.22222222225</c:v>
                </c:pt>
                <c:pt idx="86">
                  <c:v>640356.22222222225</c:v>
                </c:pt>
                <c:pt idx="87">
                  <c:v>640356.22222222225</c:v>
                </c:pt>
                <c:pt idx="88">
                  <c:v>640356.22222222225</c:v>
                </c:pt>
                <c:pt idx="89">
                  <c:v>640356.22222222225</c:v>
                </c:pt>
                <c:pt idx="90">
                  <c:v>640356.22222222225</c:v>
                </c:pt>
                <c:pt idx="91">
                  <c:v>640356.22222222225</c:v>
                </c:pt>
                <c:pt idx="92">
                  <c:v>640356.22222222225</c:v>
                </c:pt>
                <c:pt idx="93">
                  <c:v>640356.22222222225</c:v>
                </c:pt>
                <c:pt idx="94">
                  <c:v>640356.22222222225</c:v>
                </c:pt>
                <c:pt idx="95">
                  <c:v>640356.22222222225</c:v>
                </c:pt>
                <c:pt idx="96">
                  <c:v>640356.22222222225</c:v>
                </c:pt>
                <c:pt idx="97">
                  <c:v>640356.22222222225</c:v>
                </c:pt>
                <c:pt idx="98">
                  <c:v>640356.22222222225</c:v>
                </c:pt>
                <c:pt idx="99">
                  <c:v>640356.22222222225</c:v>
                </c:pt>
                <c:pt idx="100">
                  <c:v>640356.22222222225</c:v>
                </c:pt>
                <c:pt idx="101">
                  <c:v>640356.22222222225</c:v>
                </c:pt>
                <c:pt idx="102">
                  <c:v>640356.22222222225</c:v>
                </c:pt>
                <c:pt idx="103">
                  <c:v>640356.22222222225</c:v>
                </c:pt>
                <c:pt idx="104">
                  <c:v>640356.22222222225</c:v>
                </c:pt>
                <c:pt idx="105">
                  <c:v>640356.22222222225</c:v>
                </c:pt>
                <c:pt idx="106">
                  <c:v>640356.22222222225</c:v>
                </c:pt>
                <c:pt idx="107">
                  <c:v>640356.22222222225</c:v>
                </c:pt>
                <c:pt idx="108">
                  <c:v>640356.22222222225</c:v>
                </c:pt>
                <c:pt idx="109">
                  <c:v>640356.22222222225</c:v>
                </c:pt>
                <c:pt idx="110">
                  <c:v>640356.22222222225</c:v>
                </c:pt>
                <c:pt idx="111">
                  <c:v>640356.22222222225</c:v>
                </c:pt>
                <c:pt idx="112">
                  <c:v>640356.22222222225</c:v>
                </c:pt>
                <c:pt idx="113">
                  <c:v>640356.22222222225</c:v>
                </c:pt>
                <c:pt idx="114">
                  <c:v>640356.22222222225</c:v>
                </c:pt>
                <c:pt idx="115">
                  <c:v>640356.22222222225</c:v>
                </c:pt>
                <c:pt idx="116">
                  <c:v>640356.22222222225</c:v>
                </c:pt>
                <c:pt idx="117">
                  <c:v>640356.22222222225</c:v>
                </c:pt>
                <c:pt idx="118">
                  <c:v>640356.22222222225</c:v>
                </c:pt>
                <c:pt idx="119">
                  <c:v>640356.22222222225</c:v>
                </c:pt>
                <c:pt idx="120">
                  <c:v>640356.22222222225</c:v>
                </c:pt>
                <c:pt idx="121">
                  <c:v>640356.22222222225</c:v>
                </c:pt>
                <c:pt idx="122">
                  <c:v>640356.22222222225</c:v>
                </c:pt>
                <c:pt idx="123">
                  <c:v>640356.22222222225</c:v>
                </c:pt>
                <c:pt idx="124">
                  <c:v>640356.22222222225</c:v>
                </c:pt>
                <c:pt idx="125">
                  <c:v>640356.22222222225</c:v>
                </c:pt>
                <c:pt idx="126">
                  <c:v>640356.22222222225</c:v>
                </c:pt>
                <c:pt idx="127">
                  <c:v>640356.22222222225</c:v>
                </c:pt>
                <c:pt idx="128">
                  <c:v>640356.22222222225</c:v>
                </c:pt>
                <c:pt idx="129">
                  <c:v>640356.22222222225</c:v>
                </c:pt>
                <c:pt idx="130">
                  <c:v>640356.22222222225</c:v>
                </c:pt>
                <c:pt idx="131">
                  <c:v>640356.22222222225</c:v>
                </c:pt>
                <c:pt idx="132">
                  <c:v>640356.22222222225</c:v>
                </c:pt>
                <c:pt idx="133">
                  <c:v>640356.22222222225</c:v>
                </c:pt>
                <c:pt idx="134">
                  <c:v>640356.22222222225</c:v>
                </c:pt>
                <c:pt idx="135">
                  <c:v>640356.22222222225</c:v>
                </c:pt>
                <c:pt idx="136">
                  <c:v>640356.22222222225</c:v>
                </c:pt>
                <c:pt idx="137">
                  <c:v>640356.22222222225</c:v>
                </c:pt>
                <c:pt idx="138">
                  <c:v>640356.22222222225</c:v>
                </c:pt>
                <c:pt idx="139">
                  <c:v>640356.22222222225</c:v>
                </c:pt>
                <c:pt idx="140">
                  <c:v>640356.22222222225</c:v>
                </c:pt>
                <c:pt idx="141">
                  <c:v>640356.22222222225</c:v>
                </c:pt>
                <c:pt idx="142">
                  <c:v>640356.22222222225</c:v>
                </c:pt>
                <c:pt idx="143">
                  <c:v>640356.22222222225</c:v>
                </c:pt>
                <c:pt idx="144">
                  <c:v>640356.22222222225</c:v>
                </c:pt>
                <c:pt idx="145">
                  <c:v>640356.22222222225</c:v>
                </c:pt>
                <c:pt idx="146">
                  <c:v>640356.22222222225</c:v>
                </c:pt>
                <c:pt idx="147">
                  <c:v>640356.22222222225</c:v>
                </c:pt>
                <c:pt idx="148">
                  <c:v>640356.22222222225</c:v>
                </c:pt>
                <c:pt idx="149">
                  <c:v>640356.22222222225</c:v>
                </c:pt>
                <c:pt idx="150">
                  <c:v>640356.22222222225</c:v>
                </c:pt>
                <c:pt idx="151">
                  <c:v>640356.22222222225</c:v>
                </c:pt>
                <c:pt idx="152">
                  <c:v>640356.22222222225</c:v>
                </c:pt>
                <c:pt idx="153">
                  <c:v>640356.22222222225</c:v>
                </c:pt>
                <c:pt idx="154">
                  <c:v>640356.22222222225</c:v>
                </c:pt>
                <c:pt idx="155">
                  <c:v>640356.22222222225</c:v>
                </c:pt>
                <c:pt idx="156">
                  <c:v>640356.22222222225</c:v>
                </c:pt>
                <c:pt idx="157">
                  <c:v>640356.22222222225</c:v>
                </c:pt>
                <c:pt idx="158">
                  <c:v>640356.22222222225</c:v>
                </c:pt>
                <c:pt idx="159">
                  <c:v>640356.22222222225</c:v>
                </c:pt>
                <c:pt idx="160">
                  <c:v>640356.22222222225</c:v>
                </c:pt>
                <c:pt idx="161">
                  <c:v>640356.22222222225</c:v>
                </c:pt>
                <c:pt idx="162">
                  <c:v>640356.22222222225</c:v>
                </c:pt>
                <c:pt idx="163">
                  <c:v>640356.22222222225</c:v>
                </c:pt>
                <c:pt idx="164">
                  <c:v>640356.22222222225</c:v>
                </c:pt>
                <c:pt idx="165">
                  <c:v>640356.22222222225</c:v>
                </c:pt>
                <c:pt idx="166">
                  <c:v>640356.22222222225</c:v>
                </c:pt>
                <c:pt idx="167">
                  <c:v>640356.22222222225</c:v>
                </c:pt>
                <c:pt idx="168">
                  <c:v>640356.22222222225</c:v>
                </c:pt>
                <c:pt idx="169">
                  <c:v>640356.22222222225</c:v>
                </c:pt>
                <c:pt idx="170">
                  <c:v>640356.22222222225</c:v>
                </c:pt>
                <c:pt idx="171">
                  <c:v>640356.22222222225</c:v>
                </c:pt>
                <c:pt idx="172">
                  <c:v>640356.22222222225</c:v>
                </c:pt>
                <c:pt idx="173">
                  <c:v>640356.22222222225</c:v>
                </c:pt>
                <c:pt idx="174">
                  <c:v>640356.22222222225</c:v>
                </c:pt>
                <c:pt idx="175">
                  <c:v>640356.22222222225</c:v>
                </c:pt>
                <c:pt idx="176">
                  <c:v>640356.22222222225</c:v>
                </c:pt>
                <c:pt idx="177">
                  <c:v>640356.22222222225</c:v>
                </c:pt>
                <c:pt idx="178">
                  <c:v>640356.22222222225</c:v>
                </c:pt>
                <c:pt idx="179">
                  <c:v>640356.22222222225</c:v>
                </c:pt>
                <c:pt idx="180">
                  <c:v>640356.22222222225</c:v>
                </c:pt>
                <c:pt idx="181">
                  <c:v>640356.22222222225</c:v>
                </c:pt>
                <c:pt idx="182">
                  <c:v>640356.22222222225</c:v>
                </c:pt>
                <c:pt idx="183">
                  <c:v>640356.22222222225</c:v>
                </c:pt>
                <c:pt idx="184">
                  <c:v>640356.22222222225</c:v>
                </c:pt>
                <c:pt idx="185">
                  <c:v>640356.22222222225</c:v>
                </c:pt>
                <c:pt idx="186">
                  <c:v>640356.22222222225</c:v>
                </c:pt>
                <c:pt idx="187">
                  <c:v>640356.22222222225</c:v>
                </c:pt>
                <c:pt idx="188">
                  <c:v>640356.22222222225</c:v>
                </c:pt>
                <c:pt idx="189">
                  <c:v>640356.22222222225</c:v>
                </c:pt>
                <c:pt idx="190">
                  <c:v>640356.22222222225</c:v>
                </c:pt>
                <c:pt idx="191">
                  <c:v>640356.22222222225</c:v>
                </c:pt>
                <c:pt idx="192">
                  <c:v>640356.22222222225</c:v>
                </c:pt>
                <c:pt idx="193">
                  <c:v>640356.22222222225</c:v>
                </c:pt>
                <c:pt idx="194">
                  <c:v>640356.22222222225</c:v>
                </c:pt>
                <c:pt idx="195">
                  <c:v>640356.22222222225</c:v>
                </c:pt>
                <c:pt idx="196">
                  <c:v>640356.22222222225</c:v>
                </c:pt>
                <c:pt idx="197">
                  <c:v>640356.22222222225</c:v>
                </c:pt>
                <c:pt idx="198">
                  <c:v>640356.22222222225</c:v>
                </c:pt>
                <c:pt idx="199">
                  <c:v>640356.22222222225</c:v>
                </c:pt>
                <c:pt idx="200">
                  <c:v>640356.22222222225</c:v>
                </c:pt>
                <c:pt idx="201">
                  <c:v>640356.22222222225</c:v>
                </c:pt>
                <c:pt idx="202">
                  <c:v>640356.22222222225</c:v>
                </c:pt>
                <c:pt idx="203">
                  <c:v>640356.22222222225</c:v>
                </c:pt>
                <c:pt idx="204">
                  <c:v>640356.22222222225</c:v>
                </c:pt>
                <c:pt idx="205">
                  <c:v>640356.22222222225</c:v>
                </c:pt>
                <c:pt idx="206">
                  <c:v>640356.22222222225</c:v>
                </c:pt>
                <c:pt idx="207">
                  <c:v>640356.22222222225</c:v>
                </c:pt>
                <c:pt idx="208">
                  <c:v>640356.22222222225</c:v>
                </c:pt>
                <c:pt idx="209">
                  <c:v>640356.22222222225</c:v>
                </c:pt>
                <c:pt idx="210">
                  <c:v>640356.22222222225</c:v>
                </c:pt>
                <c:pt idx="211">
                  <c:v>640356.22222222225</c:v>
                </c:pt>
                <c:pt idx="212">
                  <c:v>640356.22222222225</c:v>
                </c:pt>
                <c:pt idx="213">
                  <c:v>640356.22222222225</c:v>
                </c:pt>
                <c:pt idx="214">
                  <c:v>640356.22222222225</c:v>
                </c:pt>
                <c:pt idx="215">
                  <c:v>640356.22222222225</c:v>
                </c:pt>
                <c:pt idx="216">
                  <c:v>640356.22222222225</c:v>
                </c:pt>
                <c:pt idx="217">
                  <c:v>640356.22222222225</c:v>
                </c:pt>
                <c:pt idx="218">
                  <c:v>640356.22222222225</c:v>
                </c:pt>
                <c:pt idx="219">
                  <c:v>640356.22222222225</c:v>
                </c:pt>
                <c:pt idx="220">
                  <c:v>640356.22222222225</c:v>
                </c:pt>
                <c:pt idx="221">
                  <c:v>640356.22222222225</c:v>
                </c:pt>
                <c:pt idx="222">
                  <c:v>640356.22222222225</c:v>
                </c:pt>
                <c:pt idx="223">
                  <c:v>640356.22222222225</c:v>
                </c:pt>
                <c:pt idx="224">
                  <c:v>640356.22222222225</c:v>
                </c:pt>
                <c:pt idx="225">
                  <c:v>640356.22222222225</c:v>
                </c:pt>
                <c:pt idx="226">
                  <c:v>640356.22222222225</c:v>
                </c:pt>
                <c:pt idx="227">
                  <c:v>640356.22222222225</c:v>
                </c:pt>
                <c:pt idx="228">
                  <c:v>640356.22222222225</c:v>
                </c:pt>
                <c:pt idx="229">
                  <c:v>640356.22222222225</c:v>
                </c:pt>
                <c:pt idx="230">
                  <c:v>640356.22222222225</c:v>
                </c:pt>
                <c:pt idx="231">
                  <c:v>640356.22222222225</c:v>
                </c:pt>
                <c:pt idx="232">
                  <c:v>640356.22222222225</c:v>
                </c:pt>
                <c:pt idx="233">
                  <c:v>640356.22222222225</c:v>
                </c:pt>
                <c:pt idx="234">
                  <c:v>640356.22222222225</c:v>
                </c:pt>
                <c:pt idx="235">
                  <c:v>640356.22222222225</c:v>
                </c:pt>
                <c:pt idx="236">
                  <c:v>640356.22222222225</c:v>
                </c:pt>
                <c:pt idx="237">
                  <c:v>640356.22222222225</c:v>
                </c:pt>
                <c:pt idx="238">
                  <c:v>640356.22222222225</c:v>
                </c:pt>
                <c:pt idx="239">
                  <c:v>640356.22222222225</c:v>
                </c:pt>
                <c:pt idx="240">
                  <c:v>640356.22222222225</c:v>
                </c:pt>
                <c:pt idx="241">
                  <c:v>640356.22222222225</c:v>
                </c:pt>
                <c:pt idx="242">
                  <c:v>640356.22222222225</c:v>
                </c:pt>
                <c:pt idx="243">
                  <c:v>640356.22222222225</c:v>
                </c:pt>
                <c:pt idx="244">
                  <c:v>640356.22222222225</c:v>
                </c:pt>
                <c:pt idx="245">
                  <c:v>640356.22222222225</c:v>
                </c:pt>
                <c:pt idx="246">
                  <c:v>640356.22222222225</c:v>
                </c:pt>
                <c:pt idx="247">
                  <c:v>640356.22222222225</c:v>
                </c:pt>
                <c:pt idx="248">
                  <c:v>640356.22222222225</c:v>
                </c:pt>
                <c:pt idx="249">
                  <c:v>640356.22222222225</c:v>
                </c:pt>
                <c:pt idx="250">
                  <c:v>640356.22222222225</c:v>
                </c:pt>
                <c:pt idx="251">
                  <c:v>640356.22222222225</c:v>
                </c:pt>
                <c:pt idx="252">
                  <c:v>640356.22222222225</c:v>
                </c:pt>
                <c:pt idx="253">
                  <c:v>640356.22222222225</c:v>
                </c:pt>
                <c:pt idx="254">
                  <c:v>640356.22222222225</c:v>
                </c:pt>
                <c:pt idx="255">
                  <c:v>640356.22222222225</c:v>
                </c:pt>
                <c:pt idx="256">
                  <c:v>640356.22222222225</c:v>
                </c:pt>
                <c:pt idx="257">
                  <c:v>640356.22222222225</c:v>
                </c:pt>
                <c:pt idx="258">
                  <c:v>640356.22222222225</c:v>
                </c:pt>
                <c:pt idx="259">
                  <c:v>640356.22222222225</c:v>
                </c:pt>
                <c:pt idx="260">
                  <c:v>640356.22222222225</c:v>
                </c:pt>
                <c:pt idx="261">
                  <c:v>640356.22222222225</c:v>
                </c:pt>
                <c:pt idx="262">
                  <c:v>640356.22222222225</c:v>
                </c:pt>
                <c:pt idx="263">
                  <c:v>640356.22222222225</c:v>
                </c:pt>
                <c:pt idx="264">
                  <c:v>640356.22222222225</c:v>
                </c:pt>
                <c:pt idx="265">
                  <c:v>640356.22222222225</c:v>
                </c:pt>
                <c:pt idx="266">
                  <c:v>640356.22222222225</c:v>
                </c:pt>
                <c:pt idx="267">
                  <c:v>640356.22222222225</c:v>
                </c:pt>
                <c:pt idx="268">
                  <c:v>640356.22222222225</c:v>
                </c:pt>
                <c:pt idx="269">
                  <c:v>640356.22222222225</c:v>
                </c:pt>
                <c:pt idx="270">
                  <c:v>640356.22222222225</c:v>
                </c:pt>
                <c:pt idx="271">
                  <c:v>640356.22222222225</c:v>
                </c:pt>
                <c:pt idx="272">
                  <c:v>640356.22222222225</c:v>
                </c:pt>
                <c:pt idx="273">
                  <c:v>640356.22222222225</c:v>
                </c:pt>
                <c:pt idx="274">
                  <c:v>640356.22222222225</c:v>
                </c:pt>
                <c:pt idx="275">
                  <c:v>640356.22222222225</c:v>
                </c:pt>
                <c:pt idx="276">
                  <c:v>640356.22222222225</c:v>
                </c:pt>
                <c:pt idx="277">
                  <c:v>640356.22222222225</c:v>
                </c:pt>
                <c:pt idx="278">
                  <c:v>640356.22222222225</c:v>
                </c:pt>
                <c:pt idx="279">
                  <c:v>640356.22222222225</c:v>
                </c:pt>
                <c:pt idx="280">
                  <c:v>640356.22222222225</c:v>
                </c:pt>
                <c:pt idx="281">
                  <c:v>640356.22222222225</c:v>
                </c:pt>
                <c:pt idx="282">
                  <c:v>640356.22222222225</c:v>
                </c:pt>
                <c:pt idx="283">
                  <c:v>640356.22222222225</c:v>
                </c:pt>
                <c:pt idx="284">
                  <c:v>640356.22222222225</c:v>
                </c:pt>
                <c:pt idx="285">
                  <c:v>640356.22222222225</c:v>
                </c:pt>
                <c:pt idx="286">
                  <c:v>640356.22222222225</c:v>
                </c:pt>
                <c:pt idx="287">
                  <c:v>640356.22222222225</c:v>
                </c:pt>
                <c:pt idx="288">
                  <c:v>640356.22222222225</c:v>
                </c:pt>
                <c:pt idx="289">
                  <c:v>640356.22222222225</c:v>
                </c:pt>
                <c:pt idx="290">
                  <c:v>640356.22222222225</c:v>
                </c:pt>
                <c:pt idx="291">
                  <c:v>640356.22222222225</c:v>
                </c:pt>
                <c:pt idx="292">
                  <c:v>640356.22222222225</c:v>
                </c:pt>
                <c:pt idx="293">
                  <c:v>640356.22222222225</c:v>
                </c:pt>
                <c:pt idx="294">
                  <c:v>640356.22222222225</c:v>
                </c:pt>
                <c:pt idx="295">
                  <c:v>640356.22222222225</c:v>
                </c:pt>
                <c:pt idx="296">
                  <c:v>640356.22222222225</c:v>
                </c:pt>
                <c:pt idx="297">
                  <c:v>640356.22222222225</c:v>
                </c:pt>
                <c:pt idx="298">
                  <c:v>640356.22222222225</c:v>
                </c:pt>
                <c:pt idx="299">
                  <c:v>640356.22222222225</c:v>
                </c:pt>
                <c:pt idx="300">
                  <c:v>640356.22222222225</c:v>
                </c:pt>
                <c:pt idx="301">
                  <c:v>640356.22222222225</c:v>
                </c:pt>
                <c:pt idx="302">
                  <c:v>640356.22222222225</c:v>
                </c:pt>
                <c:pt idx="303">
                  <c:v>640356.22222222225</c:v>
                </c:pt>
                <c:pt idx="304">
                  <c:v>640356.22222222225</c:v>
                </c:pt>
                <c:pt idx="305">
                  <c:v>640356.22222222225</c:v>
                </c:pt>
                <c:pt idx="306">
                  <c:v>640356.22222222225</c:v>
                </c:pt>
                <c:pt idx="307">
                  <c:v>640356.22222222225</c:v>
                </c:pt>
                <c:pt idx="308">
                  <c:v>640356.22222222225</c:v>
                </c:pt>
                <c:pt idx="309">
                  <c:v>640356.22222222225</c:v>
                </c:pt>
                <c:pt idx="310">
                  <c:v>640356.22222222225</c:v>
                </c:pt>
                <c:pt idx="311">
                  <c:v>640356.22222222225</c:v>
                </c:pt>
                <c:pt idx="312">
                  <c:v>640356.22222222225</c:v>
                </c:pt>
                <c:pt idx="313">
                  <c:v>640356.22222222225</c:v>
                </c:pt>
                <c:pt idx="314">
                  <c:v>640356.22222222225</c:v>
                </c:pt>
                <c:pt idx="315">
                  <c:v>640356.22222222225</c:v>
                </c:pt>
                <c:pt idx="316">
                  <c:v>640356.22222222225</c:v>
                </c:pt>
                <c:pt idx="317">
                  <c:v>640356.22222222225</c:v>
                </c:pt>
                <c:pt idx="318">
                  <c:v>640356.22222222225</c:v>
                </c:pt>
                <c:pt idx="319">
                  <c:v>640356.22222222225</c:v>
                </c:pt>
                <c:pt idx="320">
                  <c:v>640356.22222222225</c:v>
                </c:pt>
                <c:pt idx="321">
                  <c:v>640356.22222222225</c:v>
                </c:pt>
                <c:pt idx="322">
                  <c:v>640356.22222222225</c:v>
                </c:pt>
                <c:pt idx="323">
                  <c:v>640356.22222222225</c:v>
                </c:pt>
                <c:pt idx="324">
                  <c:v>640356.22222222225</c:v>
                </c:pt>
                <c:pt idx="325">
                  <c:v>640356.22222222225</c:v>
                </c:pt>
                <c:pt idx="326">
                  <c:v>640356.22222222225</c:v>
                </c:pt>
                <c:pt idx="327">
                  <c:v>640356.22222222225</c:v>
                </c:pt>
                <c:pt idx="328">
                  <c:v>640356.22222222225</c:v>
                </c:pt>
                <c:pt idx="329">
                  <c:v>640356.22222222225</c:v>
                </c:pt>
                <c:pt idx="330">
                  <c:v>640356.22222222225</c:v>
                </c:pt>
                <c:pt idx="331">
                  <c:v>640356.22222222225</c:v>
                </c:pt>
                <c:pt idx="332">
                  <c:v>640356.22222222225</c:v>
                </c:pt>
                <c:pt idx="333">
                  <c:v>640356.22222222225</c:v>
                </c:pt>
                <c:pt idx="334">
                  <c:v>640356.22222222225</c:v>
                </c:pt>
                <c:pt idx="335">
                  <c:v>640356.22222222225</c:v>
                </c:pt>
                <c:pt idx="336">
                  <c:v>640356.22222222225</c:v>
                </c:pt>
                <c:pt idx="337">
                  <c:v>640356.22222222225</c:v>
                </c:pt>
                <c:pt idx="338">
                  <c:v>640356.22222222225</c:v>
                </c:pt>
                <c:pt idx="339">
                  <c:v>640356.22222222225</c:v>
                </c:pt>
                <c:pt idx="340">
                  <c:v>640356.22222222225</c:v>
                </c:pt>
                <c:pt idx="341">
                  <c:v>640356.22222222225</c:v>
                </c:pt>
                <c:pt idx="342">
                  <c:v>640356.22222222225</c:v>
                </c:pt>
                <c:pt idx="343">
                  <c:v>640356.22222222225</c:v>
                </c:pt>
                <c:pt idx="344">
                  <c:v>640356.22222222225</c:v>
                </c:pt>
                <c:pt idx="345">
                  <c:v>640356.22222222225</c:v>
                </c:pt>
                <c:pt idx="346">
                  <c:v>640356.22222222225</c:v>
                </c:pt>
                <c:pt idx="347">
                  <c:v>640356.22222222225</c:v>
                </c:pt>
                <c:pt idx="348">
                  <c:v>640356.22222222225</c:v>
                </c:pt>
                <c:pt idx="349">
                  <c:v>640356.22222222225</c:v>
                </c:pt>
                <c:pt idx="350">
                  <c:v>640356.22222222225</c:v>
                </c:pt>
                <c:pt idx="351">
                  <c:v>640356.22222222225</c:v>
                </c:pt>
                <c:pt idx="352">
                  <c:v>640356.22222222225</c:v>
                </c:pt>
                <c:pt idx="353">
                  <c:v>640356.22222222225</c:v>
                </c:pt>
                <c:pt idx="354">
                  <c:v>640356.22222222225</c:v>
                </c:pt>
                <c:pt idx="355">
                  <c:v>640356.22222222225</c:v>
                </c:pt>
                <c:pt idx="356">
                  <c:v>640356.22222222225</c:v>
                </c:pt>
                <c:pt idx="357">
                  <c:v>640356.22222222225</c:v>
                </c:pt>
                <c:pt idx="358">
                  <c:v>640356.22222222225</c:v>
                </c:pt>
                <c:pt idx="359">
                  <c:v>640356.22222222225</c:v>
                </c:pt>
                <c:pt idx="360">
                  <c:v>640356.22222222225</c:v>
                </c:pt>
                <c:pt idx="361">
                  <c:v>640356.22222222225</c:v>
                </c:pt>
                <c:pt idx="362">
                  <c:v>640356.22222222225</c:v>
                </c:pt>
                <c:pt idx="363">
                  <c:v>640356.22222222225</c:v>
                </c:pt>
                <c:pt idx="364">
                  <c:v>640356.22222222225</c:v>
                </c:pt>
                <c:pt idx="365">
                  <c:v>640356.22222222225</c:v>
                </c:pt>
                <c:pt idx="366">
                  <c:v>640356.22222222225</c:v>
                </c:pt>
                <c:pt idx="367">
                  <c:v>640356.22222222225</c:v>
                </c:pt>
                <c:pt idx="368">
                  <c:v>640356.22222222225</c:v>
                </c:pt>
                <c:pt idx="369">
                  <c:v>640356.22222222225</c:v>
                </c:pt>
                <c:pt idx="370">
                  <c:v>640356.22222222225</c:v>
                </c:pt>
                <c:pt idx="371">
                  <c:v>640356.22222222225</c:v>
                </c:pt>
                <c:pt idx="372">
                  <c:v>640356.22222222225</c:v>
                </c:pt>
                <c:pt idx="373">
                  <c:v>640356.22222222225</c:v>
                </c:pt>
                <c:pt idx="374">
                  <c:v>640356.22222222225</c:v>
                </c:pt>
                <c:pt idx="375">
                  <c:v>640356.22222222225</c:v>
                </c:pt>
                <c:pt idx="376">
                  <c:v>640356.22222222225</c:v>
                </c:pt>
                <c:pt idx="377">
                  <c:v>640356.22222222225</c:v>
                </c:pt>
                <c:pt idx="378">
                  <c:v>640356.22222222225</c:v>
                </c:pt>
                <c:pt idx="379">
                  <c:v>640356.22222222225</c:v>
                </c:pt>
                <c:pt idx="380">
                  <c:v>640356.22222222225</c:v>
                </c:pt>
                <c:pt idx="381">
                  <c:v>640356.22222222225</c:v>
                </c:pt>
                <c:pt idx="382">
                  <c:v>640356.22222222225</c:v>
                </c:pt>
                <c:pt idx="383">
                  <c:v>640356.22222222225</c:v>
                </c:pt>
                <c:pt idx="384">
                  <c:v>640356.22222222225</c:v>
                </c:pt>
                <c:pt idx="385">
                  <c:v>640356.22222222225</c:v>
                </c:pt>
                <c:pt idx="386">
                  <c:v>640356.22222222225</c:v>
                </c:pt>
                <c:pt idx="387">
                  <c:v>640356.22222222225</c:v>
                </c:pt>
                <c:pt idx="388">
                  <c:v>640356.22222222225</c:v>
                </c:pt>
                <c:pt idx="389">
                  <c:v>640356.22222222225</c:v>
                </c:pt>
                <c:pt idx="390">
                  <c:v>640356.22222222225</c:v>
                </c:pt>
                <c:pt idx="391">
                  <c:v>640356.22222222225</c:v>
                </c:pt>
                <c:pt idx="392">
                  <c:v>640356.22222222225</c:v>
                </c:pt>
                <c:pt idx="393">
                  <c:v>640356.22222222225</c:v>
                </c:pt>
                <c:pt idx="394">
                  <c:v>640356.22222222225</c:v>
                </c:pt>
                <c:pt idx="395">
                  <c:v>640356.22222222225</c:v>
                </c:pt>
                <c:pt idx="396">
                  <c:v>640356.22222222225</c:v>
                </c:pt>
                <c:pt idx="397">
                  <c:v>640356.22222222225</c:v>
                </c:pt>
                <c:pt idx="398">
                  <c:v>640356.22222222225</c:v>
                </c:pt>
                <c:pt idx="399">
                  <c:v>640356.22222222225</c:v>
                </c:pt>
                <c:pt idx="400">
                  <c:v>640356.22222222225</c:v>
                </c:pt>
                <c:pt idx="401">
                  <c:v>640356.22222222225</c:v>
                </c:pt>
                <c:pt idx="402">
                  <c:v>640356.22222222225</c:v>
                </c:pt>
                <c:pt idx="403">
                  <c:v>640356.22222222225</c:v>
                </c:pt>
                <c:pt idx="404">
                  <c:v>640356.22222222225</c:v>
                </c:pt>
                <c:pt idx="405">
                  <c:v>640356.22222222225</c:v>
                </c:pt>
                <c:pt idx="406">
                  <c:v>640356.22222222225</c:v>
                </c:pt>
                <c:pt idx="407">
                  <c:v>640356.22222222225</c:v>
                </c:pt>
                <c:pt idx="408">
                  <c:v>640356.22222222225</c:v>
                </c:pt>
                <c:pt idx="409">
                  <c:v>640356.22222222225</c:v>
                </c:pt>
                <c:pt idx="410">
                  <c:v>640356.22222222225</c:v>
                </c:pt>
                <c:pt idx="411">
                  <c:v>640356.22222222225</c:v>
                </c:pt>
                <c:pt idx="412">
                  <c:v>640356.22222222225</c:v>
                </c:pt>
                <c:pt idx="413">
                  <c:v>640356.22222222225</c:v>
                </c:pt>
                <c:pt idx="414">
                  <c:v>640356.22222222225</c:v>
                </c:pt>
                <c:pt idx="415">
                  <c:v>640356.22222222225</c:v>
                </c:pt>
                <c:pt idx="416">
                  <c:v>640356.22222222225</c:v>
                </c:pt>
                <c:pt idx="417">
                  <c:v>640356.22222222225</c:v>
                </c:pt>
                <c:pt idx="418">
                  <c:v>640356.22222222225</c:v>
                </c:pt>
                <c:pt idx="419">
                  <c:v>640356.22222222225</c:v>
                </c:pt>
                <c:pt idx="420">
                  <c:v>640356.22222222225</c:v>
                </c:pt>
                <c:pt idx="421">
                  <c:v>640356.22222222225</c:v>
                </c:pt>
                <c:pt idx="422">
                  <c:v>640356.22222222225</c:v>
                </c:pt>
                <c:pt idx="423">
                  <c:v>640356.22222222225</c:v>
                </c:pt>
                <c:pt idx="424">
                  <c:v>640356.22222222225</c:v>
                </c:pt>
                <c:pt idx="425">
                  <c:v>640356.22222222225</c:v>
                </c:pt>
                <c:pt idx="426">
                  <c:v>640356.22222222225</c:v>
                </c:pt>
                <c:pt idx="427">
                  <c:v>640356.22222222225</c:v>
                </c:pt>
                <c:pt idx="428">
                  <c:v>640356.22222222225</c:v>
                </c:pt>
                <c:pt idx="429">
                  <c:v>640356.22222222225</c:v>
                </c:pt>
                <c:pt idx="430">
                  <c:v>640356.22222222225</c:v>
                </c:pt>
                <c:pt idx="431">
                  <c:v>640356.22222222225</c:v>
                </c:pt>
                <c:pt idx="432">
                  <c:v>640356.22222222225</c:v>
                </c:pt>
                <c:pt idx="433">
                  <c:v>640356.22222222225</c:v>
                </c:pt>
                <c:pt idx="434">
                  <c:v>640356.22222222225</c:v>
                </c:pt>
                <c:pt idx="435">
                  <c:v>640356.22222222225</c:v>
                </c:pt>
                <c:pt idx="436">
                  <c:v>640356.22222222225</c:v>
                </c:pt>
                <c:pt idx="437">
                  <c:v>640356.22222222225</c:v>
                </c:pt>
                <c:pt idx="438">
                  <c:v>640356.22222222225</c:v>
                </c:pt>
                <c:pt idx="439">
                  <c:v>640356.22222222225</c:v>
                </c:pt>
                <c:pt idx="440">
                  <c:v>640356.22222222225</c:v>
                </c:pt>
                <c:pt idx="441">
                  <c:v>640356.22222222225</c:v>
                </c:pt>
                <c:pt idx="442">
                  <c:v>640356.22222222225</c:v>
                </c:pt>
                <c:pt idx="443">
                  <c:v>640356.22222222225</c:v>
                </c:pt>
                <c:pt idx="444">
                  <c:v>640356.22222222225</c:v>
                </c:pt>
                <c:pt idx="445">
                  <c:v>640356.22222222225</c:v>
                </c:pt>
                <c:pt idx="446">
                  <c:v>640356.22222222225</c:v>
                </c:pt>
                <c:pt idx="447">
                  <c:v>640356.22222222225</c:v>
                </c:pt>
                <c:pt idx="448">
                  <c:v>640356.22222222225</c:v>
                </c:pt>
                <c:pt idx="449">
                  <c:v>640356.22222222225</c:v>
                </c:pt>
                <c:pt idx="450">
                  <c:v>640356.22222222225</c:v>
                </c:pt>
                <c:pt idx="451">
                  <c:v>640356.22222222225</c:v>
                </c:pt>
                <c:pt idx="452">
                  <c:v>640356.22222222225</c:v>
                </c:pt>
                <c:pt idx="453">
                  <c:v>640356.22222222225</c:v>
                </c:pt>
                <c:pt idx="454">
                  <c:v>640356.22222222225</c:v>
                </c:pt>
                <c:pt idx="455">
                  <c:v>640356.22222222225</c:v>
                </c:pt>
                <c:pt idx="456">
                  <c:v>640356.22222222225</c:v>
                </c:pt>
                <c:pt idx="457">
                  <c:v>640356.22222222225</c:v>
                </c:pt>
                <c:pt idx="458">
                  <c:v>640356.22222222225</c:v>
                </c:pt>
                <c:pt idx="459">
                  <c:v>640356.22222222225</c:v>
                </c:pt>
                <c:pt idx="460">
                  <c:v>640356.22222222225</c:v>
                </c:pt>
                <c:pt idx="461">
                  <c:v>640356.22222222225</c:v>
                </c:pt>
                <c:pt idx="462">
                  <c:v>640356.22222222225</c:v>
                </c:pt>
                <c:pt idx="463">
                  <c:v>640356.22222222225</c:v>
                </c:pt>
                <c:pt idx="464">
                  <c:v>640356.22222222225</c:v>
                </c:pt>
                <c:pt idx="465">
                  <c:v>640356.22222222225</c:v>
                </c:pt>
                <c:pt idx="466">
                  <c:v>640356.22222222225</c:v>
                </c:pt>
                <c:pt idx="467">
                  <c:v>640356.22222222225</c:v>
                </c:pt>
                <c:pt idx="468">
                  <c:v>640356.22222222225</c:v>
                </c:pt>
                <c:pt idx="469">
                  <c:v>640356.22222222225</c:v>
                </c:pt>
                <c:pt idx="470">
                  <c:v>640356.22222222225</c:v>
                </c:pt>
                <c:pt idx="471">
                  <c:v>640356.22222222225</c:v>
                </c:pt>
                <c:pt idx="472">
                  <c:v>640356.22222222225</c:v>
                </c:pt>
                <c:pt idx="473">
                  <c:v>640356.22222222225</c:v>
                </c:pt>
                <c:pt idx="474">
                  <c:v>640356.22222222225</c:v>
                </c:pt>
                <c:pt idx="475">
                  <c:v>640356.22222222225</c:v>
                </c:pt>
                <c:pt idx="476">
                  <c:v>640356.22222222225</c:v>
                </c:pt>
                <c:pt idx="477">
                  <c:v>640356.22222222225</c:v>
                </c:pt>
                <c:pt idx="478">
                  <c:v>640356.22222222225</c:v>
                </c:pt>
                <c:pt idx="479">
                  <c:v>640356.22222222225</c:v>
                </c:pt>
                <c:pt idx="480">
                  <c:v>640356.22222222225</c:v>
                </c:pt>
                <c:pt idx="481">
                  <c:v>640356.22222222225</c:v>
                </c:pt>
                <c:pt idx="482">
                  <c:v>640356.22222222225</c:v>
                </c:pt>
                <c:pt idx="483">
                  <c:v>640356.22222222225</c:v>
                </c:pt>
                <c:pt idx="484">
                  <c:v>640356.22222222225</c:v>
                </c:pt>
                <c:pt idx="485">
                  <c:v>640356.22222222225</c:v>
                </c:pt>
                <c:pt idx="486">
                  <c:v>640356.22222222225</c:v>
                </c:pt>
                <c:pt idx="487">
                  <c:v>640356.22222222225</c:v>
                </c:pt>
                <c:pt idx="488">
                  <c:v>640356.22222222225</c:v>
                </c:pt>
                <c:pt idx="489">
                  <c:v>640356.22222222225</c:v>
                </c:pt>
                <c:pt idx="490">
                  <c:v>640356.22222222225</c:v>
                </c:pt>
                <c:pt idx="491">
                  <c:v>640356.22222222225</c:v>
                </c:pt>
                <c:pt idx="492">
                  <c:v>640356.22222222225</c:v>
                </c:pt>
                <c:pt idx="493">
                  <c:v>640356.22222222225</c:v>
                </c:pt>
                <c:pt idx="494">
                  <c:v>640356.22222222225</c:v>
                </c:pt>
                <c:pt idx="495">
                  <c:v>640356.22222222225</c:v>
                </c:pt>
                <c:pt idx="496">
                  <c:v>640356.22222222225</c:v>
                </c:pt>
                <c:pt idx="497">
                  <c:v>640356.22222222225</c:v>
                </c:pt>
                <c:pt idx="498">
                  <c:v>640356.22222222225</c:v>
                </c:pt>
                <c:pt idx="499">
                  <c:v>640356.22222222225</c:v>
                </c:pt>
                <c:pt idx="500">
                  <c:v>640356.22222222225</c:v>
                </c:pt>
                <c:pt idx="501">
                  <c:v>640356.22222222225</c:v>
                </c:pt>
                <c:pt idx="502">
                  <c:v>640356.22222222225</c:v>
                </c:pt>
                <c:pt idx="503">
                  <c:v>640356.22222222225</c:v>
                </c:pt>
                <c:pt idx="504">
                  <c:v>640356.22222222225</c:v>
                </c:pt>
                <c:pt idx="505">
                  <c:v>640356.22222222225</c:v>
                </c:pt>
                <c:pt idx="506">
                  <c:v>640356.22222222225</c:v>
                </c:pt>
                <c:pt idx="507">
                  <c:v>640356.22222222225</c:v>
                </c:pt>
                <c:pt idx="508">
                  <c:v>640356.22222222225</c:v>
                </c:pt>
                <c:pt idx="509">
                  <c:v>640356.22222222225</c:v>
                </c:pt>
                <c:pt idx="510">
                  <c:v>640356.22222222225</c:v>
                </c:pt>
                <c:pt idx="511">
                  <c:v>640356.22222222225</c:v>
                </c:pt>
                <c:pt idx="512">
                  <c:v>640356.22222222225</c:v>
                </c:pt>
                <c:pt idx="513">
                  <c:v>640356.22222222225</c:v>
                </c:pt>
                <c:pt idx="514">
                  <c:v>640356.22222222225</c:v>
                </c:pt>
                <c:pt idx="515">
                  <c:v>640356.22222222225</c:v>
                </c:pt>
                <c:pt idx="516">
                  <c:v>640356.22222222225</c:v>
                </c:pt>
                <c:pt idx="517">
                  <c:v>640356.22222222225</c:v>
                </c:pt>
                <c:pt idx="518">
                  <c:v>640356.22222222225</c:v>
                </c:pt>
                <c:pt idx="519">
                  <c:v>640356.22222222225</c:v>
                </c:pt>
                <c:pt idx="520">
                  <c:v>640356.22222222225</c:v>
                </c:pt>
                <c:pt idx="521">
                  <c:v>640356.22222222225</c:v>
                </c:pt>
                <c:pt idx="522">
                  <c:v>640356.22222222225</c:v>
                </c:pt>
                <c:pt idx="523">
                  <c:v>640356.22222222225</c:v>
                </c:pt>
                <c:pt idx="524">
                  <c:v>640356.22222222225</c:v>
                </c:pt>
                <c:pt idx="525">
                  <c:v>640356.22222222225</c:v>
                </c:pt>
                <c:pt idx="526">
                  <c:v>640356.22222222225</c:v>
                </c:pt>
                <c:pt idx="527">
                  <c:v>640356.22222222225</c:v>
                </c:pt>
                <c:pt idx="528">
                  <c:v>640356.22222222225</c:v>
                </c:pt>
                <c:pt idx="529">
                  <c:v>640356.22222222225</c:v>
                </c:pt>
                <c:pt idx="530">
                  <c:v>640356.22222222225</c:v>
                </c:pt>
                <c:pt idx="531">
                  <c:v>640356.22222222225</c:v>
                </c:pt>
                <c:pt idx="532">
                  <c:v>640356.22222222225</c:v>
                </c:pt>
                <c:pt idx="533">
                  <c:v>640356.22222222225</c:v>
                </c:pt>
                <c:pt idx="534">
                  <c:v>640356.22222222225</c:v>
                </c:pt>
                <c:pt idx="535">
                  <c:v>640356.22222222225</c:v>
                </c:pt>
                <c:pt idx="536">
                  <c:v>640356.22222222225</c:v>
                </c:pt>
                <c:pt idx="537">
                  <c:v>640356.22222222225</c:v>
                </c:pt>
                <c:pt idx="538">
                  <c:v>640356.22222222225</c:v>
                </c:pt>
                <c:pt idx="539">
                  <c:v>640356.22222222225</c:v>
                </c:pt>
                <c:pt idx="540">
                  <c:v>640356.22222222225</c:v>
                </c:pt>
                <c:pt idx="541">
                  <c:v>640356.22222222225</c:v>
                </c:pt>
                <c:pt idx="542">
                  <c:v>640356.22222222225</c:v>
                </c:pt>
                <c:pt idx="543">
                  <c:v>640356.22222222225</c:v>
                </c:pt>
                <c:pt idx="544">
                  <c:v>640356.22222222225</c:v>
                </c:pt>
                <c:pt idx="545">
                  <c:v>640356.22222222225</c:v>
                </c:pt>
                <c:pt idx="546">
                  <c:v>640356.22222222225</c:v>
                </c:pt>
                <c:pt idx="547">
                  <c:v>640356.22222222225</c:v>
                </c:pt>
                <c:pt idx="548">
                  <c:v>640356.22222222225</c:v>
                </c:pt>
                <c:pt idx="549">
                  <c:v>640356.22222222225</c:v>
                </c:pt>
                <c:pt idx="550">
                  <c:v>640356.22222222225</c:v>
                </c:pt>
                <c:pt idx="551">
                  <c:v>640356.22222222225</c:v>
                </c:pt>
                <c:pt idx="552">
                  <c:v>640356.22222222225</c:v>
                </c:pt>
                <c:pt idx="553">
                  <c:v>640356.22222222225</c:v>
                </c:pt>
                <c:pt idx="554">
                  <c:v>640356.22222222225</c:v>
                </c:pt>
                <c:pt idx="555">
                  <c:v>640356.22222222225</c:v>
                </c:pt>
                <c:pt idx="556">
                  <c:v>640356.22222222225</c:v>
                </c:pt>
                <c:pt idx="557">
                  <c:v>640356.22222222225</c:v>
                </c:pt>
                <c:pt idx="558">
                  <c:v>640356.22222222225</c:v>
                </c:pt>
                <c:pt idx="559">
                  <c:v>640356.22222222225</c:v>
                </c:pt>
                <c:pt idx="560">
                  <c:v>640356.22222222225</c:v>
                </c:pt>
                <c:pt idx="561">
                  <c:v>640356.22222222225</c:v>
                </c:pt>
                <c:pt idx="562">
                  <c:v>640356.22222222225</c:v>
                </c:pt>
                <c:pt idx="563">
                  <c:v>640356.22222222225</c:v>
                </c:pt>
                <c:pt idx="564">
                  <c:v>640356.22222222225</c:v>
                </c:pt>
                <c:pt idx="565">
                  <c:v>640356.22222222225</c:v>
                </c:pt>
                <c:pt idx="566">
                  <c:v>640356.22222222225</c:v>
                </c:pt>
                <c:pt idx="567">
                  <c:v>640356.22222222225</c:v>
                </c:pt>
                <c:pt idx="568">
                  <c:v>640356.22222222225</c:v>
                </c:pt>
                <c:pt idx="569">
                  <c:v>640356.22222222225</c:v>
                </c:pt>
                <c:pt idx="570">
                  <c:v>640356.22222222225</c:v>
                </c:pt>
                <c:pt idx="571">
                  <c:v>640356.22222222225</c:v>
                </c:pt>
                <c:pt idx="572">
                  <c:v>640356.22222222225</c:v>
                </c:pt>
                <c:pt idx="573">
                  <c:v>640356.22222222225</c:v>
                </c:pt>
                <c:pt idx="574">
                  <c:v>640356.22222222225</c:v>
                </c:pt>
                <c:pt idx="575">
                  <c:v>640356.22222222225</c:v>
                </c:pt>
                <c:pt idx="576">
                  <c:v>640356.22222222225</c:v>
                </c:pt>
                <c:pt idx="577">
                  <c:v>640356.22222222225</c:v>
                </c:pt>
                <c:pt idx="578">
                  <c:v>640356.22222222225</c:v>
                </c:pt>
                <c:pt idx="579">
                  <c:v>640356.22222222225</c:v>
                </c:pt>
                <c:pt idx="580">
                  <c:v>640356.22222222225</c:v>
                </c:pt>
                <c:pt idx="581">
                  <c:v>640356.22222222225</c:v>
                </c:pt>
                <c:pt idx="582">
                  <c:v>640356.22222222225</c:v>
                </c:pt>
                <c:pt idx="583">
                  <c:v>640356.22222222225</c:v>
                </c:pt>
                <c:pt idx="584">
                  <c:v>640356.22222222225</c:v>
                </c:pt>
                <c:pt idx="585">
                  <c:v>640356.22222222225</c:v>
                </c:pt>
                <c:pt idx="586">
                  <c:v>640356.22222222225</c:v>
                </c:pt>
                <c:pt idx="587">
                  <c:v>640356.22222222225</c:v>
                </c:pt>
                <c:pt idx="588">
                  <c:v>640356.22222222225</c:v>
                </c:pt>
                <c:pt idx="589">
                  <c:v>640356.22222222225</c:v>
                </c:pt>
                <c:pt idx="590">
                  <c:v>640356.22222222225</c:v>
                </c:pt>
                <c:pt idx="591">
                  <c:v>640356.22222222225</c:v>
                </c:pt>
                <c:pt idx="592">
                  <c:v>640356.22222222225</c:v>
                </c:pt>
                <c:pt idx="593">
                  <c:v>640356.22222222225</c:v>
                </c:pt>
                <c:pt idx="594">
                  <c:v>640356.22222222225</c:v>
                </c:pt>
                <c:pt idx="595">
                  <c:v>640356.22222222225</c:v>
                </c:pt>
                <c:pt idx="596">
                  <c:v>640356.22222222225</c:v>
                </c:pt>
                <c:pt idx="597">
                  <c:v>640356.22222222225</c:v>
                </c:pt>
                <c:pt idx="598">
                  <c:v>640356.22222222225</c:v>
                </c:pt>
                <c:pt idx="599">
                  <c:v>640356.22222222225</c:v>
                </c:pt>
                <c:pt idx="600">
                  <c:v>640356.22222222225</c:v>
                </c:pt>
                <c:pt idx="601">
                  <c:v>640356.22222222225</c:v>
                </c:pt>
                <c:pt idx="602">
                  <c:v>640356.22222222225</c:v>
                </c:pt>
                <c:pt idx="603">
                  <c:v>640356.22222222225</c:v>
                </c:pt>
                <c:pt idx="604">
                  <c:v>640356.22222222225</c:v>
                </c:pt>
                <c:pt idx="605">
                  <c:v>640356.22222222225</c:v>
                </c:pt>
                <c:pt idx="606">
                  <c:v>640356.22222222225</c:v>
                </c:pt>
                <c:pt idx="607">
                  <c:v>640356.22222222225</c:v>
                </c:pt>
                <c:pt idx="608">
                  <c:v>640356.22222222225</c:v>
                </c:pt>
                <c:pt idx="609">
                  <c:v>640356.22222222225</c:v>
                </c:pt>
                <c:pt idx="610">
                  <c:v>640356.22222222225</c:v>
                </c:pt>
                <c:pt idx="611">
                  <c:v>640356.22222222225</c:v>
                </c:pt>
                <c:pt idx="612">
                  <c:v>640356.22222222225</c:v>
                </c:pt>
                <c:pt idx="613">
                  <c:v>640356.22222222225</c:v>
                </c:pt>
                <c:pt idx="614">
                  <c:v>640356.22222222225</c:v>
                </c:pt>
                <c:pt idx="615">
                  <c:v>640356.22222222225</c:v>
                </c:pt>
                <c:pt idx="616">
                  <c:v>640356.22222222225</c:v>
                </c:pt>
                <c:pt idx="617">
                  <c:v>640356.22222222225</c:v>
                </c:pt>
                <c:pt idx="618">
                  <c:v>640356.22222222225</c:v>
                </c:pt>
                <c:pt idx="619">
                  <c:v>640356.22222222225</c:v>
                </c:pt>
                <c:pt idx="620">
                  <c:v>640356.22222222225</c:v>
                </c:pt>
                <c:pt idx="621">
                  <c:v>640356.22222222225</c:v>
                </c:pt>
                <c:pt idx="622">
                  <c:v>640356.22222222225</c:v>
                </c:pt>
                <c:pt idx="623">
                  <c:v>640356.22222222225</c:v>
                </c:pt>
                <c:pt idx="624">
                  <c:v>640356.22222222225</c:v>
                </c:pt>
                <c:pt idx="625">
                  <c:v>640356.22222222225</c:v>
                </c:pt>
                <c:pt idx="626">
                  <c:v>640356.22222222225</c:v>
                </c:pt>
                <c:pt idx="627">
                  <c:v>640356.22222222225</c:v>
                </c:pt>
                <c:pt idx="628">
                  <c:v>640356.22222222225</c:v>
                </c:pt>
                <c:pt idx="629">
                  <c:v>640356.22222222225</c:v>
                </c:pt>
                <c:pt idx="630">
                  <c:v>640356.22222222225</c:v>
                </c:pt>
                <c:pt idx="631">
                  <c:v>640356.22222222225</c:v>
                </c:pt>
                <c:pt idx="632">
                  <c:v>640356.22222222225</c:v>
                </c:pt>
                <c:pt idx="633">
                  <c:v>640356.22222222225</c:v>
                </c:pt>
                <c:pt idx="634">
                  <c:v>640356.22222222225</c:v>
                </c:pt>
                <c:pt idx="635">
                  <c:v>640356.22222222225</c:v>
                </c:pt>
                <c:pt idx="636">
                  <c:v>640356.22222222225</c:v>
                </c:pt>
                <c:pt idx="637">
                  <c:v>640356.22222222225</c:v>
                </c:pt>
                <c:pt idx="638">
                  <c:v>640356.22222222225</c:v>
                </c:pt>
                <c:pt idx="639">
                  <c:v>640356.22222222225</c:v>
                </c:pt>
                <c:pt idx="640">
                  <c:v>640356.22222222225</c:v>
                </c:pt>
                <c:pt idx="641">
                  <c:v>640356.22222222225</c:v>
                </c:pt>
                <c:pt idx="642">
                  <c:v>640356.22222222225</c:v>
                </c:pt>
                <c:pt idx="643">
                  <c:v>640356.22222222225</c:v>
                </c:pt>
                <c:pt idx="644">
                  <c:v>640356.22222222225</c:v>
                </c:pt>
                <c:pt idx="645">
                  <c:v>640356.22222222225</c:v>
                </c:pt>
                <c:pt idx="646">
                  <c:v>640356.22222222225</c:v>
                </c:pt>
                <c:pt idx="647">
                  <c:v>640356.22222222225</c:v>
                </c:pt>
                <c:pt idx="648">
                  <c:v>640356.22222222225</c:v>
                </c:pt>
                <c:pt idx="649">
                  <c:v>640356.22222222225</c:v>
                </c:pt>
                <c:pt idx="650">
                  <c:v>640356.22222222225</c:v>
                </c:pt>
                <c:pt idx="651">
                  <c:v>640356.22222222225</c:v>
                </c:pt>
                <c:pt idx="652">
                  <c:v>640356.22222222225</c:v>
                </c:pt>
                <c:pt idx="653">
                  <c:v>640356.22222222225</c:v>
                </c:pt>
                <c:pt idx="654">
                  <c:v>640356.22222222225</c:v>
                </c:pt>
                <c:pt idx="655">
                  <c:v>640356.22222222225</c:v>
                </c:pt>
                <c:pt idx="656">
                  <c:v>640356.22222222225</c:v>
                </c:pt>
                <c:pt idx="657">
                  <c:v>640356.22222222225</c:v>
                </c:pt>
                <c:pt idx="658">
                  <c:v>640356.22222222225</c:v>
                </c:pt>
                <c:pt idx="659">
                  <c:v>640356.22222222225</c:v>
                </c:pt>
                <c:pt idx="660">
                  <c:v>640356.22222222225</c:v>
                </c:pt>
                <c:pt idx="661">
                  <c:v>640356.22222222225</c:v>
                </c:pt>
                <c:pt idx="662">
                  <c:v>640356.22222222225</c:v>
                </c:pt>
                <c:pt idx="663">
                  <c:v>640356.22222222225</c:v>
                </c:pt>
                <c:pt idx="664">
                  <c:v>640356.22222222225</c:v>
                </c:pt>
                <c:pt idx="665">
                  <c:v>640356.22222222225</c:v>
                </c:pt>
                <c:pt idx="666">
                  <c:v>640356.22222222225</c:v>
                </c:pt>
                <c:pt idx="667">
                  <c:v>640356.22222222225</c:v>
                </c:pt>
                <c:pt idx="668">
                  <c:v>640356.22222222225</c:v>
                </c:pt>
                <c:pt idx="669">
                  <c:v>640356.22222222225</c:v>
                </c:pt>
                <c:pt idx="670">
                  <c:v>640356.22222222225</c:v>
                </c:pt>
                <c:pt idx="671">
                  <c:v>640356.22222222225</c:v>
                </c:pt>
                <c:pt idx="672">
                  <c:v>640356.22222222225</c:v>
                </c:pt>
                <c:pt idx="673">
                  <c:v>640356.22222222225</c:v>
                </c:pt>
                <c:pt idx="674">
                  <c:v>640356.22222222225</c:v>
                </c:pt>
                <c:pt idx="675">
                  <c:v>640356.22222222225</c:v>
                </c:pt>
                <c:pt idx="676">
                  <c:v>640356.22222222225</c:v>
                </c:pt>
                <c:pt idx="677">
                  <c:v>640356.22222222225</c:v>
                </c:pt>
                <c:pt idx="678">
                  <c:v>640356.22222222225</c:v>
                </c:pt>
                <c:pt idx="679">
                  <c:v>640356.22222222225</c:v>
                </c:pt>
                <c:pt idx="680">
                  <c:v>640356.22222222225</c:v>
                </c:pt>
                <c:pt idx="681">
                  <c:v>640356.22222222225</c:v>
                </c:pt>
                <c:pt idx="682">
                  <c:v>640356.22222222225</c:v>
                </c:pt>
                <c:pt idx="683">
                  <c:v>640356.22222222225</c:v>
                </c:pt>
                <c:pt idx="684">
                  <c:v>640356.22222222225</c:v>
                </c:pt>
                <c:pt idx="685">
                  <c:v>640356.22222222225</c:v>
                </c:pt>
                <c:pt idx="686">
                  <c:v>640356.22222222225</c:v>
                </c:pt>
                <c:pt idx="687">
                  <c:v>640356.22222222225</c:v>
                </c:pt>
                <c:pt idx="688">
                  <c:v>640356.22222222225</c:v>
                </c:pt>
                <c:pt idx="689">
                  <c:v>640356.22222222225</c:v>
                </c:pt>
                <c:pt idx="690">
                  <c:v>640356.22222222225</c:v>
                </c:pt>
                <c:pt idx="691">
                  <c:v>640356.22222222225</c:v>
                </c:pt>
                <c:pt idx="692">
                  <c:v>640356.22222222225</c:v>
                </c:pt>
                <c:pt idx="693">
                  <c:v>640356.22222222225</c:v>
                </c:pt>
                <c:pt idx="694">
                  <c:v>640356.22222222225</c:v>
                </c:pt>
                <c:pt idx="695">
                  <c:v>640356.22222222225</c:v>
                </c:pt>
                <c:pt idx="696">
                  <c:v>640356.22222222225</c:v>
                </c:pt>
                <c:pt idx="697">
                  <c:v>640356.22222222225</c:v>
                </c:pt>
                <c:pt idx="698">
                  <c:v>640356.22222222225</c:v>
                </c:pt>
                <c:pt idx="699">
                  <c:v>640356.22222222225</c:v>
                </c:pt>
                <c:pt idx="700">
                  <c:v>640356.22222222225</c:v>
                </c:pt>
                <c:pt idx="701">
                  <c:v>640356.22222222225</c:v>
                </c:pt>
                <c:pt idx="702">
                  <c:v>640356.22222222225</c:v>
                </c:pt>
                <c:pt idx="703">
                  <c:v>640356.22222222225</c:v>
                </c:pt>
                <c:pt idx="704">
                  <c:v>640356.22222222225</c:v>
                </c:pt>
                <c:pt idx="705">
                  <c:v>640356.22222222225</c:v>
                </c:pt>
                <c:pt idx="706">
                  <c:v>640356.22222222225</c:v>
                </c:pt>
                <c:pt idx="707">
                  <c:v>640356.22222222225</c:v>
                </c:pt>
                <c:pt idx="708">
                  <c:v>640356.22222222225</c:v>
                </c:pt>
                <c:pt idx="709">
                  <c:v>640356.22222222225</c:v>
                </c:pt>
                <c:pt idx="710">
                  <c:v>640356.22222222225</c:v>
                </c:pt>
                <c:pt idx="711">
                  <c:v>640356.22222222225</c:v>
                </c:pt>
                <c:pt idx="712">
                  <c:v>640356.22222222225</c:v>
                </c:pt>
                <c:pt idx="713">
                  <c:v>640356.22222222225</c:v>
                </c:pt>
                <c:pt idx="714">
                  <c:v>640356.22222222225</c:v>
                </c:pt>
                <c:pt idx="715">
                  <c:v>640356.22222222225</c:v>
                </c:pt>
                <c:pt idx="716">
                  <c:v>640356.22222222225</c:v>
                </c:pt>
                <c:pt idx="717">
                  <c:v>640356.22222222225</c:v>
                </c:pt>
                <c:pt idx="718">
                  <c:v>640356.22222222225</c:v>
                </c:pt>
                <c:pt idx="719">
                  <c:v>640356.22222222225</c:v>
                </c:pt>
                <c:pt idx="720">
                  <c:v>640356.22222222225</c:v>
                </c:pt>
                <c:pt idx="721">
                  <c:v>640356.22222222225</c:v>
                </c:pt>
                <c:pt idx="722">
                  <c:v>640356.22222222225</c:v>
                </c:pt>
                <c:pt idx="723">
                  <c:v>640356.22222222225</c:v>
                </c:pt>
                <c:pt idx="724">
                  <c:v>640356.22222222225</c:v>
                </c:pt>
                <c:pt idx="725">
                  <c:v>640356.22222222225</c:v>
                </c:pt>
                <c:pt idx="726">
                  <c:v>640356.22222222225</c:v>
                </c:pt>
                <c:pt idx="727">
                  <c:v>640356.22222222225</c:v>
                </c:pt>
                <c:pt idx="728">
                  <c:v>640356.22222222225</c:v>
                </c:pt>
                <c:pt idx="729">
                  <c:v>640356.22222222225</c:v>
                </c:pt>
                <c:pt idx="730">
                  <c:v>640356.22222222225</c:v>
                </c:pt>
                <c:pt idx="731">
                  <c:v>640356.22222222225</c:v>
                </c:pt>
                <c:pt idx="732">
                  <c:v>640356.22222222225</c:v>
                </c:pt>
                <c:pt idx="733">
                  <c:v>640356.22222222225</c:v>
                </c:pt>
                <c:pt idx="734">
                  <c:v>640356.22222222225</c:v>
                </c:pt>
                <c:pt idx="735">
                  <c:v>640356.22222222225</c:v>
                </c:pt>
                <c:pt idx="736">
                  <c:v>640356.22222222225</c:v>
                </c:pt>
                <c:pt idx="737">
                  <c:v>640356.22222222225</c:v>
                </c:pt>
                <c:pt idx="738">
                  <c:v>640356.22222222225</c:v>
                </c:pt>
                <c:pt idx="739">
                  <c:v>640356.22222222225</c:v>
                </c:pt>
                <c:pt idx="740">
                  <c:v>640356.22222222225</c:v>
                </c:pt>
                <c:pt idx="741">
                  <c:v>640356.22222222225</c:v>
                </c:pt>
                <c:pt idx="742">
                  <c:v>640356.22222222225</c:v>
                </c:pt>
                <c:pt idx="743">
                  <c:v>640356.22222222225</c:v>
                </c:pt>
                <c:pt idx="744">
                  <c:v>640356.22222222225</c:v>
                </c:pt>
                <c:pt idx="745">
                  <c:v>640356.22222222225</c:v>
                </c:pt>
                <c:pt idx="746">
                  <c:v>640356.22222222225</c:v>
                </c:pt>
                <c:pt idx="747">
                  <c:v>640356.22222222225</c:v>
                </c:pt>
                <c:pt idx="748">
                  <c:v>640356.22222222225</c:v>
                </c:pt>
                <c:pt idx="749">
                  <c:v>640356.22222222225</c:v>
                </c:pt>
                <c:pt idx="750">
                  <c:v>640356.22222222225</c:v>
                </c:pt>
                <c:pt idx="751">
                  <c:v>640356.22222222225</c:v>
                </c:pt>
                <c:pt idx="752">
                  <c:v>640356.22222222225</c:v>
                </c:pt>
                <c:pt idx="753">
                  <c:v>640356.22222222225</c:v>
                </c:pt>
                <c:pt idx="754">
                  <c:v>640356.22222222225</c:v>
                </c:pt>
                <c:pt idx="755">
                  <c:v>640356.22222222225</c:v>
                </c:pt>
                <c:pt idx="756">
                  <c:v>640356.22222222225</c:v>
                </c:pt>
                <c:pt idx="757">
                  <c:v>640356.22222222225</c:v>
                </c:pt>
                <c:pt idx="758">
                  <c:v>640356.22222222225</c:v>
                </c:pt>
                <c:pt idx="759">
                  <c:v>640356.22222222225</c:v>
                </c:pt>
                <c:pt idx="760">
                  <c:v>640356.22222222225</c:v>
                </c:pt>
                <c:pt idx="761">
                  <c:v>640356.22222222225</c:v>
                </c:pt>
                <c:pt idx="762">
                  <c:v>640356.22222222225</c:v>
                </c:pt>
                <c:pt idx="763">
                  <c:v>640356.22222222225</c:v>
                </c:pt>
                <c:pt idx="764">
                  <c:v>640356.22222222225</c:v>
                </c:pt>
                <c:pt idx="765">
                  <c:v>640356.22222222225</c:v>
                </c:pt>
                <c:pt idx="766">
                  <c:v>640356.22222222225</c:v>
                </c:pt>
                <c:pt idx="767">
                  <c:v>640356.22222222225</c:v>
                </c:pt>
                <c:pt idx="768">
                  <c:v>640356.22222222225</c:v>
                </c:pt>
                <c:pt idx="769">
                  <c:v>640356.22222222225</c:v>
                </c:pt>
                <c:pt idx="770">
                  <c:v>640356.22222222225</c:v>
                </c:pt>
                <c:pt idx="771">
                  <c:v>640356.22222222225</c:v>
                </c:pt>
                <c:pt idx="772">
                  <c:v>640356.22222222225</c:v>
                </c:pt>
                <c:pt idx="773">
                  <c:v>640356.22222222225</c:v>
                </c:pt>
                <c:pt idx="774">
                  <c:v>640356.22222222225</c:v>
                </c:pt>
                <c:pt idx="775">
                  <c:v>640356.22222222225</c:v>
                </c:pt>
                <c:pt idx="776">
                  <c:v>640356.22222222225</c:v>
                </c:pt>
                <c:pt idx="777">
                  <c:v>640356.22222222225</c:v>
                </c:pt>
                <c:pt idx="778">
                  <c:v>640356.22222222225</c:v>
                </c:pt>
                <c:pt idx="779">
                  <c:v>640356.22222222225</c:v>
                </c:pt>
                <c:pt idx="780">
                  <c:v>640356.22222222225</c:v>
                </c:pt>
                <c:pt idx="781">
                  <c:v>640356.22222222225</c:v>
                </c:pt>
                <c:pt idx="782">
                  <c:v>640356.22222222225</c:v>
                </c:pt>
                <c:pt idx="783">
                  <c:v>640356.22222222225</c:v>
                </c:pt>
                <c:pt idx="784">
                  <c:v>640356.22222222225</c:v>
                </c:pt>
                <c:pt idx="785">
                  <c:v>640356.22222222225</c:v>
                </c:pt>
                <c:pt idx="786">
                  <c:v>640356.22222222225</c:v>
                </c:pt>
                <c:pt idx="787">
                  <c:v>640356.22222222225</c:v>
                </c:pt>
                <c:pt idx="788">
                  <c:v>640356.22222222225</c:v>
                </c:pt>
                <c:pt idx="789">
                  <c:v>640356.22222222225</c:v>
                </c:pt>
                <c:pt idx="790">
                  <c:v>640356.22222222225</c:v>
                </c:pt>
                <c:pt idx="791">
                  <c:v>640356.22222222225</c:v>
                </c:pt>
                <c:pt idx="792">
                  <c:v>640356.22222222225</c:v>
                </c:pt>
                <c:pt idx="793">
                  <c:v>640356.22222222225</c:v>
                </c:pt>
                <c:pt idx="794">
                  <c:v>640356.22222222225</c:v>
                </c:pt>
                <c:pt idx="795">
                  <c:v>640356.22222222225</c:v>
                </c:pt>
                <c:pt idx="796">
                  <c:v>640356.22222222225</c:v>
                </c:pt>
                <c:pt idx="797">
                  <c:v>640356.22222222225</c:v>
                </c:pt>
                <c:pt idx="798">
                  <c:v>640356.22222222225</c:v>
                </c:pt>
                <c:pt idx="799">
                  <c:v>640356.22222222225</c:v>
                </c:pt>
                <c:pt idx="800">
                  <c:v>640356.22222222225</c:v>
                </c:pt>
                <c:pt idx="801">
                  <c:v>640356.22222222225</c:v>
                </c:pt>
                <c:pt idx="802">
                  <c:v>640356.22222222225</c:v>
                </c:pt>
                <c:pt idx="803">
                  <c:v>640356.22222222225</c:v>
                </c:pt>
                <c:pt idx="804">
                  <c:v>640356.22222222225</c:v>
                </c:pt>
                <c:pt idx="805">
                  <c:v>640356.22222222225</c:v>
                </c:pt>
                <c:pt idx="806">
                  <c:v>640356.22222222225</c:v>
                </c:pt>
                <c:pt idx="807">
                  <c:v>640356.22222222225</c:v>
                </c:pt>
                <c:pt idx="808">
                  <c:v>640356.22222222225</c:v>
                </c:pt>
                <c:pt idx="809">
                  <c:v>640356.22222222225</c:v>
                </c:pt>
                <c:pt idx="810">
                  <c:v>640356.22222222225</c:v>
                </c:pt>
                <c:pt idx="811">
                  <c:v>640356.22222222225</c:v>
                </c:pt>
                <c:pt idx="812">
                  <c:v>640356.22222222225</c:v>
                </c:pt>
                <c:pt idx="813">
                  <c:v>640356.22222222225</c:v>
                </c:pt>
                <c:pt idx="814">
                  <c:v>640356.22222222225</c:v>
                </c:pt>
                <c:pt idx="815">
                  <c:v>640356.22222222225</c:v>
                </c:pt>
                <c:pt idx="816">
                  <c:v>640356.22222222225</c:v>
                </c:pt>
                <c:pt idx="817">
                  <c:v>640356.22222222225</c:v>
                </c:pt>
                <c:pt idx="818">
                  <c:v>640356.22222222225</c:v>
                </c:pt>
                <c:pt idx="819">
                  <c:v>640356.22222222225</c:v>
                </c:pt>
                <c:pt idx="820">
                  <c:v>640356.22222222225</c:v>
                </c:pt>
                <c:pt idx="821">
                  <c:v>640356.22222222225</c:v>
                </c:pt>
                <c:pt idx="822">
                  <c:v>640356.22222222225</c:v>
                </c:pt>
                <c:pt idx="823">
                  <c:v>640356.22222222225</c:v>
                </c:pt>
                <c:pt idx="824">
                  <c:v>640356.22222222225</c:v>
                </c:pt>
                <c:pt idx="825">
                  <c:v>640356.22222222225</c:v>
                </c:pt>
                <c:pt idx="826">
                  <c:v>640356.22222222225</c:v>
                </c:pt>
                <c:pt idx="827">
                  <c:v>640356.22222222225</c:v>
                </c:pt>
                <c:pt idx="828">
                  <c:v>640356.22222222225</c:v>
                </c:pt>
                <c:pt idx="829">
                  <c:v>640356.22222222225</c:v>
                </c:pt>
                <c:pt idx="830">
                  <c:v>640356.22222222225</c:v>
                </c:pt>
                <c:pt idx="831">
                  <c:v>640356.22222222225</c:v>
                </c:pt>
                <c:pt idx="832">
                  <c:v>640356.22222222225</c:v>
                </c:pt>
                <c:pt idx="833">
                  <c:v>640356.22222222225</c:v>
                </c:pt>
                <c:pt idx="834">
                  <c:v>640356.22222222225</c:v>
                </c:pt>
                <c:pt idx="835">
                  <c:v>640356.22222222225</c:v>
                </c:pt>
                <c:pt idx="836">
                  <c:v>640356.22222222225</c:v>
                </c:pt>
                <c:pt idx="837">
                  <c:v>640356.22222222225</c:v>
                </c:pt>
                <c:pt idx="838">
                  <c:v>640356.22222222225</c:v>
                </c:pt>
                <c:pt idx="839">
                  <c:v>640356.22222222225</c:v>
                </c:pt>
                <c:pt idx="840">
                  <c:v>640356.22222222225</c:v>
                </c:pt>
                <c:pt idx="841">
                  <c:v>640356.22222222225</c:v>
                </c:pt>
                <c:pt idx="842">
                  <c:v>640356.22222222225</c:v>
                </c:pt>
                <c:pt idx="843">
                  <c:v>640356.22222222225</c:v>
                </c:pt>
                <c:pt idx="844">
                  <c:v>640356.22222222225</c:v>
                </c:pt>
                <c:pt idx="845">
                  <c:v>640356.22222222225</c:v>
                </c:pt>
                <c:pt idx="846">
                  <c:v>640356.22222222225</c:v>
                </c:pt>
                <c:pt idx="847">
                  <c:v>640356.22222222225</c:v>
                </c:pt>
                <c:pt idx="848">
                  <c:v>640356.22222222225</c:v>
                </c:pt>
                <c:pt idx="849">
                  <c:v>640356.22222222225</c:v>
                </c:pt>
                <c:pt idx="850">
                  <c:v>640356.22222222225</c:v>
                </c:pt>
                <c:pt idx="851">
                  <c:v>640356.22222222225</c:v>
                </c:pt>
                <c:pt idx="852">
                  <c:v>640356.22222222225</c:v>
                </c:pt>
                <c:pt idx="853">
                  <c:v>640356.22222222225</c:v>
                </c:pt>
                <c:pt idx="854">
                  <c:v>640356.22222222225</c:v>
                </c:pt>
                <c:pt idx="855">
                  <c:v>640356.22222222225</c:v>
                </c:pt>
                <c:pt idx="856">
                  <c:v>640356.22222222225</c:v>
                </c:pt>
                <c:pt idx="857">
                  <c:v>640356.22222222225</c:v>
                </c:pt>
                <c:pt idx="858">
                  <c:v>640356.22222222225</c:v>
                </c:pt>
                <c:pt idx="859">
                  <c:v>640356.22222222225</c:v>
                </c:pt>
                <c:pt idx="860">
                  <c:v>640356.22222222225</c:v>
                </c:pt>
                <c:pt idx="861">
                  <c:v>640356.22222222225</c:v>
                </c:pt>
                <c:pt idx="862">
                  <c:v>640356.22222222225</c:v>
                </c:pt>
                <c:pt idx="863">
                  <c:v>640356.22222222225</c:v>
                </c:pt>
                <c:pt idx="864">
                  <c:v>640356.22222222225</c:v>
                </c:pt>
                <c:pt idx="865">
                  <c:v>640356.22222222225</c:v>
                </c:pt>
                <c:pt idx="866">
                  <c:v>640356.22222222225</c:v>
                </c:pt>
                <c:pt idx="867">
                  <c:v>640356.22222222225</c:v>
                </c:pt>
                <c:pt idx="868">
                  <c:v>640356.22222222225</c:v>
                </c:pt>
                <c:pt idx="869">
                  <c:v>640356.22222222225</c:v>
                </c:pt>
                <c:pt idx="870">
                  <c:v>640356.22222222225</c:v>
                </c:pt>
                <c:pt idx="871">
                  <c:v>640356.22222222225</c:v>
                </c:pt>
                <c:pt idx="872">
                  <c:v>640356.22222222225</c:v>
                </c:pt>
                <c:pt idx="873">
                  <c:v>640356.22222222225</c:v>
                </c:pt>
                <c:pt idx="874">
                  <c:v>640356.22222222225</c:v>
                </c:pt>
                <c:pt idx="875">
                  <c:v>640356.22222222225</c:v>
                </c:pt>
                <c:pt idx="876">
                  <c:v>640356.22222222225</c:v>
                </c:pt>
                <c:pt idx="877">
                  <c:v>640356.22222222225</c:v>
                </c:pt>
                <c:pt idx="878">
                  <c:v>640356.22222222225</c:v>
                </c:pt>
                <c:pt idx="879">
                  <c:v>640356.22222222225</c:v>
                </c:pt>
                <c:pt idx="880">
                  <c:v>640356.22222222225</c:v>
                </c:pt>
                <c:pt idx="881">
                  <c:v>640356.22222222225</c:v>
                </c:pt>
                <c:pt idx="882">
                  <c:v>640356.22222222225</c:v>
                </c:pt>
                <c:pt idx="883">
                  <c:v>640356.22222222225</c:v>
                </c:pt>
                <c:pt idx="884">
                  <c:v>640356.22222222225</c:v>
                </c:pt>
                <c:pt idx="885">
                  <c:v>640356.22222222225</c:v>
                </c:pt>
                <c:pt idx="886">
                  <c:v>640356.22222222225</c:v>
                </c:pt>
                <c:pt idx="887">
                  <c:v>640356.22222222225</c:v>
                </c:pt>
                <c:pt idx="888">
                  <c:v>640356.22222222225</c:v>
                </c:pt>
                <c:pt idx="889">
                  <c:v>640356.22222222225</c:v>
                </c:pt>
                <c:pt idx="890">
                  <c:v>640356.22222222225</c:v>
                </c:pt>
                <c:pt idx="891">
                  <c:v>640356.22222222225</c:v>
                </c:pt>
                <c:pt idx="892">
                  <c:v>640356.22222222225</c:v>
                </c:pt>
                <c:pt idx="893">
                  <c:v>640356.22222222225</c:v>
                </c:pt>
                <c:pt idx="894">
                  <c:v>640356.22222222225</c:v>
                </c:pt>
                <c:pt idx="895">
                  <c:v>640356.22222222225</c:v>
                </c:pt>
                <c:pt idx="896">
                  <c:v>640356.22222222225</c:v>
                </c:pt>
                <c:pt idx="897">
                  <c:v>640356.22222222225</c:v>
                </c:pt>
                <c:pt idx="898">
                  <c:v>640356.22222222225</c:v>
                </c:pt>
                <c:pt idx="899">
                  <c:v>640356.22222222225</c:v>
                </c:pt>
                <c:pt idx="900">
                  <c:v>640356.22222222225</c:v>
                </c:pt>
                <c:pt idx="901">
                  <c:v>640356.22222222225</c:v>
                </c:pt>
                <c:pt idx="902">
                  <c:v>640356.22222222225</c:v>
                </c:pt>
                <c:pt idx="903">
                  <c:v>640356.22222222225</c:v>
                </c:pt>
                <c:pt idx="904">
                  <c:v>640356.22222222225</c:v>
                </c:pt>
                <c:pt idx="905">
                  <c:v>640356.22222222225</c:v>
                </c:pt>
                <c:pt idx="906">
                  <c:v>640356.22222222225</c:v>
                </c:pt>
                <c:pt idx="907">
                  <c:v>640356.22222222225</c:v>
                </c:pt>
                <c:pt idx="908">
                  <c:v>640356.22222222225</c:v>
                </c:pt>
                <c:pt idx="909">
                  <c:v>640356.22222222225</c:v>
                </c:pt>
                <c:pt idx="910">
                  <c:v>640356.22222222225</c:v>
                </c:pt>
                <c:pt idx="911">
                  <c:v>640356.22222222225</c:v>
                </c:pt>
                <c:pt idx="912">
                  <c:v>640356.22222222225</c:v>
                </c:pt>
                <c:pt idx="913">
                  <c:v>640356.22222222225</c:v>
                </c:pt>
                <c:pt idx="914">
                  <c:v>640356.22222222225</c:v>
                </c:pt>
                <c:pt idx="915">
                  <c:v>640356.22222222225</c:v>
                </c:pt>
                <c:pt idx="916">
                  <c:v>640356.22222222225</c:v>
                </c:pt>
                <c:pt idx="917">
                  <c:v>640356.22222222225</c:v>
                </c:pt>
                <c:pt idx="918">
                  <c:v>640356.22222222225</c:v>
                </c:pt>
                <c:pt idx="919">
                  <c:v>640356.22222222225</c:v>
                </c:pt>
                <c:pt idx="920">
                  <c:v>640356.22222222225</c:v>
                </c:pt>
                <c:pt idx="921">
                  <c:v>640356.22222222225</c:v>
                </c:pt>
                <c:pt idx="922">
                  <c:v>640356.22222222225</c:v>
                </c:pt>
                <c:pt idx="923">
                  <c:v>640356.22222222225</c:v>
                </c:pt>
                <c:pt idx="924">
                  <c:v>640356.22222222225</c:v>
                </c:pt>
                <c:pt idx="925">
                  <c:v>640356.22222222225</c:v>
                </c:pt>
                <c:pt idx="926">
                  <c:v>640356.22222222225</c:v>
                </c:pt>
                <c:pt idx="927">
                  <c:v>640356.22222222225</c:v>
                </c:pt>
                <c:pt idx="928">
                  <c:v>640356.22222222225</c:v>
                </c:pt>
                <c:pt idx="929">
                  <c:v>640356.22222222225</c:v>
                </c:pt>
                <c:pt idx="930">
                  <c:v>640356.22222222225</c:v>
                </c:pt>
                <c:pt idx="931">
                  <c:v>640356.22222222225</c:v>
                </c:pt>
                <c:pt idx="932">
                  <c:v>640356.22222222225</c:v>
                </c:pt>
                <c:pt idx="933">
                  <c:v>640356.22222222225</c:v>
                </c:pt>
                <c:pt idx="934">
                  <c:v>640356.22222222225</c:v>
                </c:pt>
                <c:pt idx="935">
                  <c:v>640356.22222222225</c:v>
                </c:pt>
                <c:pt idx="936">
                  <c:v>640356.22222222225</c:v>
                </c:pt>
                <c:pt idx="937">
                  <c:v>640356.22222222225</c:v>
                </c:pt>
                <c:pt idx="938">
                  <c:v>640356.22222222225</c:v>
                </c:pt>
                <c:pt idx="939">
                  <c:v>640356.22222222225</c:v>
                </c:pt>
                <c:pt idx="940">
                  <c:v>640356.22222222225</c:v>
                </c:pt>
                <c:pt idx="941">
                  <c:v>640356.22222222225</c:v>
                </c:pt>
                <c:pt idx="942">
                  <c:v>640356.22222222225</c:v>
                </c:pt>
                <c:pt idx="943">
                  <c:v>640356.22222222225</c:v>
                </c:pt>
                <c:pt idx="944">
                  <c:v>640356.22222222225</c:v>
                </c:pt>
                <c:pt idx="945">
                  <c:v>640356.22222222225</c:v>
                </c:pt>
                <c:pt idx="946">
                  <c:v>640356.22222222225</c:v>
                </c:pt>
                <c:pt idx="947">
                  <c:v>640356.22222222225</c:v>
                </c:pt>
                <c:pt idx="948">
                  <c:v>640356.22222222225</c:v>
                </c:pt>
                <c:pt idx="949">
                  <c:v>640356.22222222225</c:v>
                </c:pt>
                <c:pt idx="950">
                  <c:v>640356.22222222225</c:v>
                </c:pt>
                <c:pt idx="951">
                  <c:v>640356.22222222225</c:v>
                </c:pt>
                <c:pt idx="952">
                  <c:v>640356.22222222225</c:v>
                </c:pt>
                <c:pt idx="953">
                  <c:v>640356.22222222225</c:v>
                </c:pt>
                <c:pt idx="954">
                  <c:v>640356.22222222225</c:v>
                </c:pt>
                <c:pt idx="955">
                  <c:v>640356.22222222225</c:v>
                </c:pt>
                <c:pt idx="956">
                  <c:v>640356.22222222225</c:v>
                </c:pt>
                <c:pt idx="957">
                  <c:v>640356.22222222225</c:v>
                </c:pt>
                <c:pt idx="958">
                  <c:v>640356.22222222225</c:v>
                </c:pt>
                <c:pt idx="959">
                  <c:v>640356.22222222225</c:v>
                </c:pt>
                <c:pt idx="960">
                  <c:v>640356.22222222225</c:v>
                </c:pt>
                <c:pt idx="961">
                  <c:v>640356.22222222225</c:v>
                </c:pt>
                <c:pt idx="962">
                  <c:v>640356.22222222225</c:v>
                </c:pt>
                <c:pt idx="963">
                  <c:v>640356.22222222225</c:v>
                </c:pt>
                <c:pt idx="964">
                  <c:v>640356.22222222225</c:v>
                </c:pt>
                <c:pt idx="965">
                  <c:v>640356.22222222225</c:v>
                </c:pt>
                <c:pt idx="966">
                  <c:v>640356.22222222225</c:v>
                </c:pt>
                <c:pt idx="967">
                  <c:v>640356.22222222225</c:v>
                </c:pt>
                <c:pt idx="968">
                  <c:v>640356.22222222225</c:v>
                </c:pt>
                <c:pt idx="969">
                  <c:v>640356.22222222225</c:v>
                </c:pt>
                <c:pt idx="970">
                  <c:v>640356.22222222225</c:v>
                </c:pt>
                <c:pt idx="971">
                  <c:v>640356.22222222225</c:v>
                </c:pt>
                <c:pt idx="972">
                  <c:v>640356.22222222225</c:v>
                </c:pt>
                <c:pt idx="973">
                  <c:v>640356.22222222225</c:v>
                </c:pt>
                <c:pt idx="974">
                  <c:v>640356.22222222225</c:v>
                </c:pt>
                <c:pt idx="975">
                  <c:v>640356.22222222225</c:v>
                </c:pt>
                <c:pt idx="976">
                  <c:v>640356.22222222225</c:v>
                </c:pt>
                <c:pt idx="977">
                  <c:v>640356.22222222225</c:v>
                </c:pt>
                <c:pt idx="978">
                  <c:v>640356.22222222225</c:v>
                </c:pt>
                <c:pt idx="979">
                  <c:v>640356.22222222225</c:v>
                </c:pt>
                <c:pt idx="980">
                  <c:v>640356.22222222225</c:v>
                </c:pt>
                <c:pt idx="981">
                  <c:v>640356.22222222225</c:v>
                </c:pt>
                <c:pt idx="982">
                  <c:v>640356.22222222225</c:v>
                </c:pt>
                <c:pt idx="983">
                  <c:v>640356.22222222225</c:v>
                </c:pt>
                <c:pt idx="984">
                  <c:v>640356.22222222225</c:v>
                </c:pt>
                <c:pt idx="985">
                  <c:v>640356.22222222225</c:v>
                </c:pt>
                <c:pt idx="986">
                  <c:v>640356.22222222225</c:v>
                </c:pt>
                <c:pt idx="987">
                  <c:v>640356.22222222225</c:v>
                </c:pt>
                <c:pt idx="988">
                  <c:v>640356.22222222225</c:v>
                </c:pt>
                <c:pt idx="989">
                  <c:v>640356.22222222225</c:v>
                </c:pt>
                <c:pt idx="990">
                  <c:v>640356.22222222225</c:v>
                </c:pt>
                <c:pt idx="991">
                  <c:v>640356.22222222225</c:v>
                </c:pt>
                <c:pt idx="992">
                  <c:v>640356.22222222225</c:v>
                </c:pt>
                <c:pt idx="993">
                  <c:v>640356.22222222225</c:v>
                </c:pt>
                <c:pt idx="994">
                  <c:v>640356.22222222225</c:v>
                </c:pt>
                <c:pt idx="995">
                  <c:v>640356.22222222225</c:v>
                </c:pt>
                <c:pt idx="996">
                  <c:v>640356.22222222225</c:v>
                </c:pt>
                <c:pt idx="997">
                  <c:v>640356.22222222225</c:v>
                </c:pt>
                <c:pt idx="998">
                  <c:v>640356.22222222225</c:v>
                </c:pt>
                <c:pt idx="999">
                  <c:v>640356.22222222225</c:v>
                </c:pt>
                <c:pt idx="1000">
                  <c:v>640356.22222222225</c:v>
                </c:pt>
                <c:pt idx="1001">
                  <c:v>640356.22222222225</c:v>
                </c:pt>
                <c:pt idx="1002">
                  <c:v>640356.22222222225</c:v>
                </c:pt>
                <c:pt idx="1003">
                  <c:v>640356.22222222225</c:v>
                </c:pt>
                <c:pt idx="1004">
                  <c:v>640356.22222222225</c:v>
                </c:pt>
                <c:pt idx="1005">
                  <c:v>640356.22222222225</c:v>
                </c:pt>
                <c:pt idx="1006">
                  <c:v>640356.22222222225</c:v>
                </c:pt>
                <c:pt idx="1007">
                  <c:v>640356.22222222225</c:v>
                </c:pt>
                <c:pt idx="1008">
                  <c:v>640356.22222222225</c:v>
                </c:pt>
                <c:pt idx="1009">
                  <c:v>640356.22222222225</c:v>
                </c:pt>
                <c:pt idx="1010">
                  <c:v>640356.22222222225</c:v>
                </c:pt>
                <c:pt idx="1011">
                  <c:v>640356.22222222225</c:v>
                </c:pt>
                <c:pt idx="1012">
                  <c:v>640356.22222222225</c:v>
                </c:pt>
                <c:pt idx="1013">
                  <c:v>640356.22222222225</c:v>
                </c:pt>
                <c:pt idx="1014">
                  <c:v>640356.22222222225</c:v>
                </c:pt>
                <c:pt idx="1015">
                  <c:v>640356.22222222225</c:v>
                </c:pt>
                <c:pt idx="1016">
                  <c:v>640356.22222222225</c:v>
                </c:pt>
                <c:pt idx="1017">
                  <c:v>640356.22222222225</c:v>
                </c:pt>
                <c:pt idx="1018">
                  <c:v>640356.22222222225</c:v>
                </c:pt>
                <c:pt idx="1019">
                  <c:v>640356.22222222225</c:v>
                </c:pt>
                <c:pt idx="1020">
                  <c:v>640356.22222222225</c:v>
                </c:pt>
                <c:pt idx="1021">
                  <c:v>640356.22222222225</c:v>
                </c:pt>
                <c:pt idx="1022">
                  <c:v>640356.22222222225</c:v>
                </c:pt>
                <c:pt idx="1023">
                  <c:v>640356.22222222225</c:v>
                </c:pt>
                <c:pt idx="1024">
                  <c:v>640356.22222222225</c:v>
                </c:pt>
                <c:pt idx="1025">
                  <c:v>640356.22222222225</c:v>
                </c:pt>
                <c:pt idx="1026">
                  <c:v>640356.22222222225</c:v>
                </c:pt>
                <c:pt idx="1027">
                  <c:v>640356.22222222225</c:v>
                </c:pt>
                <c:pt idx="1028">
                  <c:v>640356.22222222225</c:v>
                </c:pt>
                <c:pt idx="1029">
                  <c:v>640356.22222222225</c:v>
                </c:pt>
                <c:pt idx="1030">
                  <c:v>640356.22222222225</c:v>
                </c:pt>
                <c:pt idx="1031">
                  <c:v>640356.22222222225</c:v>
                </c:pt>
                <c:pt idx="1032">
                  <c:v>640356.22222222225</c:v>
                </c:pt>
                <c:pt idx="1033">
                  <c:v>640356.22222222225</c:v>
                </c:pt>
                <c:pt idx="1034">
                  <c:v>640356.22222222225</c:v>
                </c:pt>
                <c:pt idx="1035">
                  <c:v>640356.22222222225</c:v>
                </c:pt>
                <c:pt idx="1036">
                  <c:v>640356.22222222225</c:v>
                </c:pt>
                <c:pt idx="1037">
                  <c:v>640356.22222222225</c:v>
                </c:pt>
                <c:pt idx="1038">
                  <c:v>640356.22222222225</c:v>
                </c:pt>
                <c:pt idx="1039">
                  <c:v>640356.22222222225</c:v>
                </c:pt>
                <c:pt idx="1040">
                  <c:v>640356.22222222225</c:v>
                </c:pt>
                <c:pt idx="1041">
                  <c:v>640356.22222222225</c:v>
                </c:pt>
                <c:pt idx="1042">
                  <c:v>640356.22222222225</c:v>
                </c:pt>
                <c:pt idx="1043">
                  <c:v>640356.22222222225</c:v>
                </c:pt>
                <c:pt idx="1044">
                  <c:v>640356.22222222225</c:v>
                </c:pt>
                <c:pt idx="1045">
                  <c:v>640356.22222222225</c:v>
                </c:pt>
                <c:pt idx="1046">
                  <c:v>640356.22222222225</c:v>
                </c:pt>
                <c:pt idx="1047">
                  <c:v>640356.22222222225</c:v>
                </c:pt>
                <c:pt idx="1048">
                  <c:v>640356.22222222225</c:v>
                </c:pt>
                <c:pt idx="1049">
                  <c:v>640356.22222222225</c:v>
                </c:pt>
                <c:pt idx="1050">
                  <c:v>640356.22222222225</c:v>
                </c:pt>
                <c:pt idx="1051">
                  <c:v>640356.22222222225</c:v>
                </c:pt>
                <c:pt idx="1052">
                  <c:v>640356.22222222225</c:v>
                </c:pt>
                <c:pt idx="1053">
                  <c:v>640356.22222222225</c:v>
                </c:pt>
                <c:pt idx="1054">
                  <c:v>640356.22222222225</c:v>
                </c:pt>
                <c:pt idx="1055">
                  <c:v>640356.22222222225</c:v>
                </c:pt>
                <c:pt idx="1056">
                  <c:v>640356.22222222225</c:v>
                </c:pt>
                <c:pt idx="1057">
                  <c:v>640356.22222222225</c:v>
                </c:pt>
                <c:pt idx="1058">
                  <c:v>640356.22222222225</c:v>
                </c:pt>
                <c:pt idx="1059">
                  <c:v>640356.22222222225</c:v>
                </c:pt>
                <c:pt idx="1060">
                  <c:v>640356.22222222225</c:v>
                </c:pt>
                <c:pt idx="1061">
                  <c:v>640356.22222222225</c:v>
                </c:pt>
                <c:pt idx="1062">
                  <c:v>640356.22222222225</c:v>
                </c:pt>
                <c:pt idx="1063">
                  <c:v>640356.22222222225</c:v>
                </c:pt>
                <c:pt idx="1064">
                  <c:v>640356.22222222225</c:v>
                </c:pt>
                <c:pt idx="1065">
                  <c:v>640356.22222222225</c:v>
                </c:pt>
                <c:pt idx="1066">
                  <c:v>640356.22222222225</c:v>
                </c:pt>
                <c:pt idx="1067">
                  <c:v>640356.22222222225</c:v>
                </c:pt>
                <c:pt idx="1068">
                  <c:v>640356.22222222225</c:v>
                </c:pt>
                <c:pt idx="1069">
                  <c:v>640356.22222222225</c:v>
                </c:pt>
                <c:pt idx="1070">
                  <c:v>640356.22222222225</c:v>
                </c:pt>
                <c:pt idx="1071">
                  <c:v>640356.22222222225</c:v>
                </c:pt>
                <c:pt idx="1072">
                  <c:v>640356.22222222225</c:v>
                </c:pt>
                <c:pt idx="1073">
                  <c:v>640356.22222222225</c:v>
                </c:pt>
                <c:pt idx="1074">
                  <c:v>640356.22222222225</c:v>
                </c:pt>
                <c:pt idx="1075">
                  <c:v>640356.22222222225</c:v>
                </c:pt>
                <c:pt idx="1076">
                  <c:v>640356.22222222225</c:v>
                </c:pt>
                <c:pt idx="1077">
                  <c:v>640356.22222222225</c:v>
                </c:pt>
                <c:pt idx="1078">
                  <c:v>640356.22222222225</c:v>
                </c:pt>
                <c:pt idx="1079">
                  <c:v>640356.22222222225</c:v>
                </c:pt>
                <c:pt idx="1080">
                  <c:v>640356.22222222225</c:v>
                </c:pt>
                <c:pt idx="1081">
                  <c:v>640356.22222222225</c:v>
                </c:pt>
                <c:pt idx="1082">
                  <c:v>640356.22222222225</c:v>
                </c:pt>
                <c:pt idx="1083">
                  <c:v>640356.22222222225</c:v>
                </c:pt>
                <c:pt idx="1084">
                  <c:v>640356.22222222225</c:v>
                </c:pt>
                <c:pt idx="1085">
                  <c:v>640356.22222222225</c:v>
                </c:pt>
                <c:pt idx="1086">
                  <c:v>640356.22222222225</c:v>
                </c:pt>
                <c:pt idx="1087">
                  <c:v>640356.22222222225</c:v>
                </c:pt>
                <c:pt idx="1088">
                  <c:v>640356.22222222225</c:v>
                </c:pt>
                <c:pt idx="1089">
                  <c:v>640356.22222222225</c:v>
                </c:pt>
                <c:pt idx="1090">
                  <c:v>640356.22222222225</c:v>
                </c:pt>
                <c:pt idx="1091">
                  <c:v>640356.22222222225</c:v>
                </c:pt>
                <c:pt idx="1092">
                  <c:v>640356.22222222225</c:v>
                </c:pt>
                <c:pt idx="1093">
                  <c:v>640356.22222222225</c:v>
                </c:pt>
                <c:pt idx="1094">
                  <c:v>640356.22222222225</c:v>
                </c:pt>
                <c:pt idx="1095">
                  <c:v>640356.22222222225</c:v>
                </c:pt>
                <c:pt idx="1096">
                  <c:v>640356.22222222225</c:v>
                </c:pt>
                <c:pt idx="1097">
                  <c:v>640356.22222222225</c:v>
                </c:pt>
                <c:pt idx="1098">
                  <c:v>640356.22222222225</c:v>
                </c:pt>
                <c:pt idx="1099">
                  <c:v>640356.22222222225</c:v>
                </c:pt>
                <c:pt idx="1100">
                  <c:v>640356.22222222225</c:v>
                </c:pt>
                <c:pt idx="1101">
                  <c:v>640356.22222222225</c:v>
                </c:pt>
                <c:pt idx="1102">
                  <c:v>640356.22222222225</c:v>
                </c:pt>
                <c:pt idx="1103">
                  <c:v>640356.22222222225</c:v>
                </c:pt>
                <c:pt idx="1104">
                  <c:v>640356.22222222225</c:v>
                </c:pt>
                <c:pt idx="1105">
                  <c:v>640356.22222222225</c:v>
                </c:pt>
                <c:pt idx="1106">
                  <c:v>640356.22222222225</c:v>
                </c:pt>
                <c:pt idx="1107">
                  <c:v>640356.22222222225</c:v>
                </c:pt>
                <c:pt idx="1108">
                  <c:v>640356.22222222225</c:v>
                </c:pt>
                <c:pt idx="1109">
                  <c:v>640356.22222222225</c:v>
                </c:pt>
                <c:pt idx="1110">
                  <c:v>640356.22222222225</c:v>
                </c:pt>
                <c:pt idx="1111">
                  <c:v>640356.22222222225</c:v>
                </c:pt>
                <c:pt idx="1112">
                  <c:v>640356.22222222225</c:v>
                </c:pt>
                <c:pt idx="1113">
                  <c:v>640356.22222222225</c:v>
                </c:pt>
                <c:pt idx="1114">
                  <c:v>640356.22222222225</c:v>
                </c:pt>
                <c:pt idx="1115">
                  <c:v>640356.22222222225</c:v>
                </c:pt>
                <c:pt idx="1116">
                  <c:v>640356.22222222225</c:v>
                </c:pt>
                <c:pt idx="1117">
                  <c:v>640356.22222222225</c:v>
                </c:pt>
                <c:pt idx="1118">
                  <c:v>640356.22222222225</c:v>
                </c:pt>
                <c:pt idx="1119">
                  <c:v>640356.22222222225</c:v>
                </c:pt>
                <c:pt idx="1120">
                  <c:v>640356.22222222225</c:v>
                </c:pt>
                <c:pt idx="1121">
                  <c:v>640356.22222222225</c:v>
                </c:pt>
                <c:pt idx="1122">
                  <c:v>640356.22222222225</c:v>
                </c:pt>
                <c:pt idx="1123">
                  <c:v>640356.22222222225</c:v>
                </c:pt>
                <c:pt idx="1124">
                  <c:v>640356.22222222225</c:v>
                </c:pt>
                <c:pt idx="1125">
                  <c:v>640356.22222222225</c:v>
                </c:pt>
                <c:pt idx="1126">
                  <c:v>640356.22222222225</c:v>
                </c:pt>
                <c:pt idx="1127">
                  <c:v>640356.22222222225</c:v>
                </c:pt>
                <c:pt idx="1128">
                  <c:v>640356.22222222225</c:v>
                </c:pt>
                <c:pt idx="1129">
                  <c:v>640356.22222222225</c:v>
                </c:pt>
                <c:pt idx="1130">
                  <c:v>640356.22222222225</c:v>
                </c:pt>
                <c:pt idx="1131">
                  <c:v>640356.22222222225</c:v>
                </c:pt>
                <c:pt idx="1132">
                  <c:v>640356.22222222225</c:v>
                </c:pt>
                <c:pt idx="1133">
                  <c:v>640356.22222222225</c:v>
                </c:pt>
                <c:pt idx="1134">
                  <c:v>640356.22222222225</c:v>
                </c:pt>
                <c:pt idx="1135">
                  <c:v>640356.22222222225</c:v>
                </c:pt>
                <c:pt idx="1136">
                  <c:v>640356.22222222225</c:v>
                </c:pt>
                <c:pt idx="1137">
                  <c:v>640356.22222222225</c:v>
                </c:pt>
                <c:pt idx="1138">
                  <c:v>640356.22222222225</c:v>
                </c:pt>
                <c:pt idx="1139">
                  <c:v>640356.22222222225</c:v>
                </c:pt>
                <c:pt idx="1140">
                  <c:v>640356.22222222225</c:v>
                </c:pt>
                <c:pt idx="1141">
                  <c:v>640356.22222222225</c:v>
                </c:pt>
                <c:pt idx="1142">
                  <c:v>640356.22222222225</c:v>
                </c:pt>
                <c:pt idx="1143">
                  <c:v>640356.22222222225</c:v>
                </c:pt>
                <c:pt idx="1144">
                  <c:v>640356.22222222225</c:v>
                </c:pt>
                <c:pt idx="1145">
                  <c:v>640356.22222222225</c:v>
                </c:pt>
                <c:pt idx="1146">
                  <c:v>640356.22222222225</c:v>
                </c:pt>
                <c:pt idx="1147">
                  <c:v>640356.22222222225</c:v>
                </c:pt>
                <c:pt idx="1148">
                  <c:v>640356.22222222225</c:v>
                </c:pt>
                <c:pt idx="1149">
                  <c:v>640356.22222222225</c:v>
                </c:pt>
                <c:pt idx="1150">
                  <c:v>640356.22222222225</c:v>
                </c:pt>
                <c:pt idx="1151">
                  <c:v>640356.22222222225</c:v>
                </c:pt>
                <c:pt idx="1152">
                  <c:v>640356.22222222225</c:v>
                </c:pt>
                <c:pt idx="1153">
                  <c:v>640356.22222222225</c:v>
                </c:pt>
                <c:pt idx="1154">
                  <c:v>640356.22222222225</c:v>
                </c:pt>
                <c:pt idx="1155">
                  <c:v>640356.22222222225</c:v>
                </c:pt>
                <c:pt idx="1156">
                  <c:v>640356.22222222225</c:v>
                </c:pt>
                <c:pt idx="1157">
                  <c:v>640356.22222222225</c:v>
                </c:pt>
                <c:pt idx="1158">
                  <c:v>640356.22222222225</c:v>
                </c:pt>
                <c:pt idx="1159">
                  <c:v>640356.22222222225</c:v>
                </c:pt>
                <c:pt idx="1160">
                  <c:v>640356.22222222225</c:v>
                </c:pt>
                <c:pt idx="1161">
                  <c:v>640356.22222222225</c:v>
                </c:pt>
                <c:pt idx="1162">
                  <c:v>640356.22222222225</c:v>
                </c:pt>
                <c:pt idx="1163">
                  <c:v>640356.22222222225</c:v>
                </c:pt>
                <c:pt idx="1164">
                  <c:v>640356.22222222225</c:v>
                </c:pt>
                <c:pt idx="1165">
                  <c:v>640356.22222222225</c:v>
                </c:pt>
                <c:pt idx="1166">
                  <c:v>640356.22222222225</c:v>
                </c:pt>
                <c:pt idx="1167">
                  <c:v>640356.22222222225</c:v>
                </c:pt>
                <c:pt idx="1168">
                  <c:v>640356.22222222225</c:v>
                </c:pt>
                <c:pt idx="1169">
                  <c:v>640356.22222222225</c:v>
                </c:pt>
                <c:pt idx="1170">
                  <c:v>640356.22222222225</c:v>
                </c:pt>
                <c:pt idx="1171">
                  <c:v>640356.22222222225</c:v>
                </c:pt>
                <c:pt idx="1172">
                  <c:v>640356.22222222225</c:v>
                </c:pt>
                <c:pt idx="1173">
                  <c:v>640356.22222222225</c:v>
                </c:pt>
                <c:pt idx="1174">
                  <c:v>640356.22222222225</c:v>
                </c:pt>
                <c:pt idx="1175">
                  <c:v>640356.22222222225</c:v>
                </c:pt>
                <c:pt idx="1176">
                  <c:v>640356.22222222225</c:v>
                </c:pt>
                <c:pt idx="1177">
                  <c:v>640356.22222222225</c:v>
                </c:pt>
                <c:pt idx="1178">
                  <c:v>640356.22222222225</c:v>
                </c:pt>
                <c:pt idx="1179">
                  <c:v>640356.22222222225</c:v>
                </c:pt>
                <c:pt idx="1180">
                  <c:v>640356.22222222225</c:v>
                </c:pt>
                <c:pt idx="1181">
                  <c:v>640356.22222222225</c:v>
                </c:pt>
                <c:pt idx="1182">
                  <c:v>640356.22222222225</c:v>
                </c:pt>
                <c:pt idx="1183">
                  <c:v>640356.22222222225</c:v>
                </c:pt>
                <c:pt idx="1184">
                  <c:v>640356.22222222225</c:v>
                </c:pt>
                <c:pt idx="1185">
                  <c:v>640356.22222222225</c:v>
                </c:pt>
                <c:pt idx="1186">
                  <c:v>640356.22222222225</c:v>
                </c:pt>
                <c:pt idx="1187">
                  <c:v>640356.22222222225</c:v>
                </c:pt>
                <c:pt idx="1188">
                  <c:v>640356.22222222225</c:v>
                </c:pt>
                <c:pt idx="1189">
                  <c:v>640356.22222222225</c:v>
                </c:pt>
                <c:pt idx="1190">
                  <c:v>640356.22222222225</c:v>
                </c:pt>
                <c:pt idx="1191">
                  <c:v>640356.22222222225</c:v>
                </c:pt>
                <c:pt idx="1192">
                  <c:v>640356.22222222225</c:v>
                </c:pt>
                <c:pt idx="1193">
                  <c:v>640356.22222222225</c:v>
                </c:pt>
                <c:pt idx="1194">
                  <c:v>640356.22222222225</c:v>
                </c:pt>
                <c:pt idx="1195">
                  <c:v>640356.22222222225</c:v>
                </c:pt>
                <c:pt idx="1196">
                  <c:v>640356.22222222225</c:v>
                </c:pt>
                <c:pt idx="1197">
                  <c:v>640356.22222222225</c:v>
                </c:pt>
                <c:pt idx="1198">
                  <c:v>640356.22222222225</c:v>
                </c:pt>
                <c:pt idx="1199">
                  <c:v>640356.22222222225</c:v>
                </c:pt>
                <c:pt idx="1200">
                  <c:v>640356.22222222225</c:v>
                </c:pt>
                <c:pt idx="1201">
                  <c:v>640356.22222222225</c:v>
                </c:pt>
                <c:pt idx="1202">
                  <c:v>640356.22222222225</c:v>
                </c:pt>
                <c:pt idx="1203">
                  <c:v>640356.22222222225</c:v>
                </c:pt>
                <c:pt idx="1204">
                  <c:v>640356.22222222225</c:v>
                </c:pt>
                <c:pt idx="1205">
                  <c:v>640356.22222222225</c:v>
                </c:pt>
                <c:pt idx="1206">
                  <c:v>640356.22222222225</c:v>
                </c:pt>
                <c:pt idx="1207">
                  <c:v>640356.22222222225</c:v>
                </c:pt>
                <c:pt idx="1208">
                  <c:v>640356.22222222225</c:v>
                </c:pt>
                <c:pt idx="1209">
                  <c:v>640356.22222222225</c:v>
                </c:pt>
                <c:pt idx="1210">
                  <c:v>640356.22222222225</c:v>
                </c:pt>
                <c:pt idx="1211">
                  <c:v>640356.22222222225</c:v>
                </c:pt>
                <c:pt idx="1212">
                  <c:v>640356.22222222225</c:v>
                </c:pt>
                <c:pt idx="1213">
                  <c:v>640356.22222222225</c:v>
                </c:pt>
                <c:pt idx="1214">
                  <c:v>640356.22222222225</c:v>
                </c:pt>
                <c:pt idx="1215">
                  <c:v>640356.22222222225</c:v>
                </c:pt>
                <c:pt idx="1216">
                  <c:v>640356.22222222225</c:v>
                </c:pt>
                <c:pt idx="1217">
                  <c:v>640356.22222222225</c:v>
                </c:pt>
                <c:pt idx="1218">
                  <c:v>640356.22222222225</c:v>
                </c:pt>
                <c:pt idx="1219">
                  <c:v>640356.22222222225</c:v>
                </c:pt>
                <c:pt idx="1220">
                  <c:v>640356.22222222225</c:v>
                </c:pt>
                <c:pt idx="1221">
                  <c:v>640356.22222222225</c:v>
                </c:pt>
                <c:pt idx="1222">
                  <c:v>640356.22222222225</c:v>
                </c:pt>
                <c:pt idx="1223">
                  <c:v>640356.22222222225</c:v>
                </c:pt>
                <c:pt idx="1224">
                  <c:v>640356.22222222225</c:v>
                </c:pt>
                <c:pt idx="1225">
                  <c:v>640356.22222222225</c:v>
                </c:pt>
                <c:pt idx="1226">
                  <c:v>640356.22222222225</c:v>
                </c:pt>
                <c:pt idx="1227">
                  <c:v>640356.22222222225</c:v>
                </c:pt>
                <c:pt idx="1228">
                  <c:v>640356.22222222225</c:v>
                </c:pt>
                <c:pt idx="1229">
                  <c:v>640356.22222222225</c:v>
                </c:pt>
                <c:pt idx="1230">
                  <c:v>640356.22222222225</c:v>
                </c:pt>
                <c:pt idx="1231">
                  <c:v>640356.22222222225</c:v>
                </c:pt>
                <c:pt idx="1232">
                  <c:v>640356.22222222225</c:v>
                </c:pt>
                <c:pt idx="1233">
                  <c:v>640356.22222222225</c:v>
                </c:pt>
                <c:pt idx="1234">
                  <c:v>640356.22222222225</c:v>
                </c:pt>
                <c:pt idx="1235">
                  <c:v>640356.22222222225</c:v>
                </c:pt>
                <c:pt idx="1236">
                  <c:v>640356.22222222225</c:v>
                </c:pt>
                <c:pt idx="1237">
                  <c:v>640356.22222222225</c:v>
                </c:pt>
                <c:pt idx="1238">
                  <c:v>640356.22222222225</c:v>
                </c:pt>
                <c:pt idx="1239">
                  <c:v>640356.22222222225</c:v>
                </c:pt>
                <c:pt idx="1240">
                  <c:v>640356.22222222225</c:v>
                </c:pt>
                <c:pt idx="1241">
                  <c:v>640356.22222222225</c:v>
                </c:pt>
                <c:pt idx="1242">
                  <c:v>640356.22222222225</c:v>
                </c:pt>
                <c:pt idx="1243">
                  <c:v>640356.22222222225</c:v>
                </c:pt>
                <c:pt idx="1244">
                  <c:v>640356.22222222225</c:v>
                </c:pt>
                <c:pt idx="1245">
                  <c:v>640356.22222222225</c:v>
                </c:pt>
                <c:pt idx="1246">
                  <c:v>640356.22222222225</c:v>
                </c:pt>
                <c:pt idx="1247">
                  <c:v>640356.22222222225</c:v>
                </c:pt>
                <c:pt idx="1248">
                  <c:v>640356.22222222225</c:v>
                </c:pt>
                <c:pt idx="1249">
                  <c:v>640356.22222222225</c:v>
                </c:pt>
                <c:pt idx="1250">
                  <c:v>640356.22222222225</c:v>
                </c:pt>
                <c:pt idx="1251">
                  <c:v>640356.22222222225</c:v>
                </c:pt>
                <c:pt idx="1252">
                  <c:v>640356.22222222225</c:v>
                </c:pt>
                <c:pt idx="1253">
                  <c:v>640356.22222222225</c:v>
                </c:pt>
                <c:pt idx="1254">
                  <c:v>640356.22222222225</c:v>
                </c:pt>
                <c:pt idx="1255">
                  <c:v>640356.22222222225</c:v>
                </c:pt>
                <c:pt idx="1256">
                  <c:v>640356.22222222225</c:v>
                </c:pt>
                <c:pt idx="1257">
                  <c:v>640356.22222222225</c:v>
                </c:pt>
                <c:pt idx="1258">
                  <c:v>640356.22222222225</c:v>
                </c:pt>
                <c:pt idx="1259">
                  <c:v>640356.22222222225</c:v>
                </c:pt>
                <c:pt idx="1260">
                  <c:v>640356.22222222225</c:v>
                </c:pt>
                <c:pt idx="1261">
                  <c:v>640356.22222222225</c:v>
                </c:pt>
                <c:pt idx="1262">
                  <c:v>640356.22222222225</c:v>
                </c:pt>
                <c:pt idx="1263">
                  <c:v>640356.22222222225</c:v>
                </c:pt>
                <c:pt idx="1264">
                  <c:v>640356.22222222225</c:v>
                </c:pt>
                <c:pt idx="1265">
                  <c:v>640356.22222222225</c:v>
                </c:pt>
                <c:pt idx="1266">
                  <c:v>640356.22222222225</c:v>
                </c:pt>
                <c:pt idx="1267">
                  <c:v>640356.22222222225</c:v>
                </c:pt>
                <c:pt idx="1268">
                  <c:v>640356.22222222225</c:v>
                </c:pt>
                <c:pt idx="1269">
                  <c:v>640356.22222222225</c:v>
                </c:pt>
                <c:pt idx="1270">
                  <c:v>640356.22222222225</c:v>
                </c:pt>
                <c:pt idx="1271">
                  <c:v>640356.22222222225</c:v>
                </c:pt>
                <c:pt idx="1272">
                  <c:v>640356.22222222225</c:v>
                </c:pt>
                <c:pt idx="1273">
                  <c:v>640356.22222222225</c:v>
                </c:pt>
                <c:pt idx="1274">
                  <c:v>640356.22222222225</c:v>
                </c:pt>
                <c:pt idx="1275">
                  <c:v>640356.22222222225</c:v>
                </c:pt>
                <c:pt idx="1276">
                  <c:v>640356.22222222225</c:v>
                </c:pt>
                <c:pt idx="1277">
                  <c:v>640356.22222222225</c:v>
                </c:pt>
                <c:pt idx="1278">
                  <c:v>640356.22222222225</c:v>
                </c:pt>
                <c:pt idx="1279">
                  <c:v>640356.22222222225</c:v>
                </c:pt>
                <c:pt idx="1280">
                  <c:v>640356.22222222225</c:v>
                </c:pt>
                <c:pt idx="1281">
                  <c:v>640356.22222222225</c:v>
                </c:pt>
                <c:pt idx="1282">
                  <c:v>640356.22222222225</c:v>
                </c:pt>
                <c:pt idx="1283">
                  <c:v>640356.22222222225</c:v>
                </c:pt>
                <c:pt idx="1284">
                  <c:v>640356.22222222225</c:v>
                </c:pt>
                <c:pt idx="1285">
                  <c:v>640356.22222222225</c:v>
                </c:pt>
                <c:pt idx="1286">
                  <c:v>640356.22222222225</c:v>
                </c:pt>
                <c:pt idx="1287">
                  <c:v>640356.22222222225</c:v>
                </c:pt>
                <c:pt idx="1288">
                  <c:v>640356.22222222225</c:v>
                </c:pt>
                <c:pt idx="1289">
                  <c:v>640356.22222222225</c:v>
                </c:pt>
                <c:pt idx="1290">
                  <c:v>640356.22222222225</c:v>
                </c:pt>
                <c:pt idx="1291">
                  <c:v>640356.22222222225</c:v>
                </c:pt>
                <c:pt idx="1292">
                  <c:v>640356.22222222225</c:v>
                </c:pt>
                <c:pt idx="1293">
                  <c:v>640356.22222222225</c:v>
                </c:pt>
                <c:pt idx="1294">
                  <c:v>640356.22222222225</c:v>
                </c:pt>
                <c:pt idx="1295">
                  <c:v>640356.22222222225</c:v>
                </c:pt>
                <c:pt idx="1296">
                  <c:v>640356.22222222225</c:v>
                </c:pt>
                <c:pt idx="1297">
                  <c:v>640356.22222222225</c:v>
                </c:pt>
                <c:pt idx="1298">
                  <c:v>640356.22222222225</c:v>
                </c:pt>
                <c:pt idx="1299">
                  <c:v>640356.22222222225</c:v>
                </c:pt>
                <c:pt idx="1300">
                  <c:v>640356.22222222225</c:v>
                </c:pt>
                <c:pt idx="1301">
                  <c:v>640356.22222222225</c:v>
                </c:pt>
                <c:pt idx="1302">
                  <c:v>640356.22222222225</c:v>
                </c:pt>
                <c:pt idx="1303">
                  <c:v>640356.22222222225</c:v>
                </c:pt>
                <c:pt idx="1304">
                  <c:v>640356.22222222225</c:v>
                </c:pt>
                <c:pt idx="1305">
                  <c:v>640356.22222222225</c:v>
                </c:pt>
                <c:pt idx="1306">
                  <c:v>640356.22222222225</c:v>
                </c:pt>
                <c:pt idx="1307">
                  <c:v>640356.22222222225</c:v>
                </c:pt>
                <c:pt idx="1308">
                  <c:v>640356.22222222225</c:v>
                </c:pt>
                <c:pt idx="1309">
                  <c:v>640356.22222222225</c:v>
                </c:pt>
                <c:pt idx="1310">
                  <c:v>640356.22222222225</c:v>
                </c:pt>
                <c:pt idx="1311">
                  <c:v>640356.22222222225</c:v>
                </c:pt>
                <c:pt idx="1312">
                  <c:v>640356.22222222225</c:v>
                </c:pt>
                <c:pt idx="1313">
                  <c:v>640356.22222222225</c:v>
                </c:pt>
                <c:pt idx="1314">
                  <c:v>640356.22222222225</c:v>
                </c:pt>
                <c:pt idx="1315">
                  <c:v>640356.22222222225</c:v>
                </c:pt>
                <c:pt idx="1316">
                  <c:v>640356.22222222225</c:v>
                </c:pt>
                <c:pt idx="1317">
                  <c:v>640356.22222222225</c:v>
                </c:pt>
                <c:pt idx="1318">
                  <c:v>640356.22222222225</c:v>
                </c:pt>
                <c:pt idx="1319">
                  <c:v>640356.22222222225</c:v>
                </c:pt>
                <c:pt idx="1320">
                  <c:v>640356.22222222225</c:v>
                </c:pt>
                <c:pt idx="1321">
                  <c:v>640356.22222222225</c:v>
                </c:pt>
                <c:pt idx="1322">
                  <c:v>640356.22222222225</c:v>
                </c:pt>
                <c:pt idx="1323">
                  <c:v>640356.22222222225</c:v>
                </c:pt>
                <c:pt idx="1324">
                  <c:v>640356.22222222225</c:v>
                </c:pt>
                <c:pt idx="1325">
                  <c:v>640356.22222222225</c:v>
                </c:pt>
                <c:pt idx="1326">
                  <c:v>640356.22222222225</c:v>
                </c:pt>
                <c:pt idx="1327">
                  <c:v>640356.22222222225</c:v>
                </c:pt>
                <c:pt idx="1328">
                  <c:v>640356.22222222225</c:v>
                </c:pt>
                <c:pt idx="1329">
                  <c:v>640356.22222222225</c:v>
                </c:pt>
                <c:pt idx="1330">
                  <c:v>640356.22222222225</c:v>
                </c:pt>
                <c:pt idx="1331">
                  <c:v>640356.22222222225</c:v>
                </c:pt>
                <c:pt idx="1332">
                  <c:v>640356.22222222225</c:v>
                </c:pt>
                <c:pt idx="1333">
                  <c:v>640356.22222222225</c:v>
                </c:pt>
                <c:pt idx="1334">
                  <c:v>640356.22222222225</c:v>
                </c:pt>
                <c:pt idx="1335">
                  <c:v>640356.22222222225</c:v>
                </c:pt>
                <c:pt idx="1336">
                  <c:v>640356.22222222225</c:v>
                </c:pt>
                <c:pt idx="1337">
                  <c:v>640356.22222222225</c:v>
                </c:pt>
                <c:pt idx="1338">
                  <c:v>640356.22222222225</c:v>
                </c:pt>
                <c:pt idx="1339">
                  <c:v>640356.22222222225</c:v>
                </c:pt>
                <c:pt idx="1340">
                  <c:v>640356.22222222225</c:v>
                </c:pt>
                <c:pt idx="1341">
                  <c:v>640356.22222222225</c:v>
                </c:pt>
                <c:pt idx="1342">
                  <c:v>640356.22222222225</c:v>
                </c:pt>
                <c:pt idx="1343">
                  <c:v>640356.22222222225</c:v>
                </c:pt>
                <c:pt idx="1344">
                  <c:v>640356.22222222225</c:v>
                </c:pt>
                <c:pt idx="1345">
                  <c:v>640356.22222222225</c:v>
                </c:pt>
                <c:pt idx="1346">
                  <c:v>640356.22222222225</c:v>
                </c:pt>
                <c:pt idx="1347">
                  <c:v>640356.22222222225</c:v>
                </c:pt>
                <c:pt idx="1348">
                  <c:v>640356.22222222225</c:v>
                </c:pt>
                <c:pt idx="1349">
                  <c:v>640356.22222222225</c:v>
                </c:pt>
                <c:pt idx="1350">
                  <c:v>640356.22222222225</c:v>
                </c:pt>
                <c:pt idx="1351">
                  <c:v>640356.22222222225</c:v>
                </c:pt>
                <c:pt idx="1352">
                  <c:v>640356.22222222225</c:v>
                </c:pt>
                <c:pt idx="1353">
                  <c:v>640356.22222222225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-18000</c:v>
                </c:pt>
                <c:pt idx="14">
                  <c:v>-18000</c:v>
                </c:pt>
                <c:pt idx="15">
                  <c:v>-18000</c:v>
                </c:pt>
                <c:pt idx="16">
                  <c:v>-18000</c:v>
                </c:pt>
                <c:pt idx="17">
                  <c:v>306425.8477777777</c:v>
                </c:pt>
                <c:pt idx="18">
                  <c:v>-89174.152222222299</c:v>
                </c:pt>
                <c:pt idx="19">
                  <c:v>-89174.152222222299</c:v>
                </c:pt>
                <c:pt idx="20">
                  <c:v>-89174.152222222299</c:v>
                </c:pt>
                <c:pt idx="21">
                  <c:v>744743.91777777788</c:v>
                </c:pt>
                <c:pt idx="22">
                  <c:v>967258.15777777787</c:v>
                </c:pt>
                <c:pt idx="23">
                  <c:v>1258159.8177777778</c:v>
                </c:pt>
                <c:pt idx="24">
                  <c:v>1258159.8177777778</c:v>
                </c:pt>
                <c:pt idx="25">
                  <c:v>1258159.8177777778</c:v>
                </c:pt>
                <c:pt idx="26">
                  <c:v>1258159.8177777778</c:v>
                </c:pt>
                <c:pt idx="27">
                  <c:v>1258159.8177777778</c:v>
                </c:pt>
                <c:pt idx="28">
                  <c:v>1258159.8177777778</c:v>
                </c:pt>
                <c:pt idx="29">
                  <c:v>1258159.8177777778</c:v>
                </c:pt>
                <c:pt idx="30">
                  <c:v>1258159.8177777778</c:v>
                </c:pt>
                <c:pt idx="31">
                  <c:v>1258159.8177777778</c:v>
                </c:pt>
                <c:pt idx="32">
                  <c:v>1258159.8177777778</c:v>
                </c:pt>
                <c:pt idx="33">
                  <c:v>1258159.8177777778</c:v>
                </c:pt>
                <c:pt idx="34">
                  <c:v>1258159.8177777778</c:v>
                </c:pt>
                <c:pt idx="35">
                  <c:v>1258159.8177777778</c:v>
                </c:pt>
                <c:pt idx="36">
                  <c:v>1258159.8177777778</c:v>
                </c:pt>
                <c:pt idx="37">
                  <c:v>1258159.8177777778</c:v>
                </c:pt>
                <c:pt idx="38">
                  <c:v>1298988.1477777779</c:v>
                </c:pt>
                <c:pt idx="39">
                  <c:v>1298988.1477777779</c:v>
                </c:pt>
                <c:pt idx="40">
                  <c:v>1298988.1477777779</c:v>
                </c:pt>
                <c:pt idx="41">
                  <c:v>1298988.1477777779</c:v>
                </c:pt>
                <c:pt idx="42">
                  <c:v>1298988.1477777779</c:v>
                </c:pt>
                <c:pt idx="43">
                  <c:v>1298988.1477777779</c:v>
                </c:pt>
                <c:pt idx="44">
                  <c:v>1298988.1477777779</c:v>
                </c:pt>
                <c:pt idx="45">
                  <c:v>1401058.8977777779</c:v>
                </c:pt>
                <c:pt idx="46">
                  <c:v>1401058.8977777779</c:v>
                </c:pt>
                <c:pt idx="47">
                  <c:v>1401058.8977777779</c:v>
                </c:pt>
                <c:pt idx="48">
                  <c:v>1401058.8977777779</c:v>
                </c:pt>
                <c:pt idx="49">
                  <c:v>1401058.8977777779</c:v>
                </c:pt>
                <c:pt idx="50">
                  <c:v>1401058.8977777779</c:v>
                </c:pt>
                <c:pt idx="51">
                  <c:v>1401058.8977777779</c:v>
                </c:pt>
                <c:pt idx="52">
                  <c:v>1401058.8977777779</c:v>
                </c:pt>
                <c:pt idx="53">
                  <c:v>1401058.8977777779</c:v>
                </c:pt>
                <c:pt idx="54">
                  <c:v>1401058.8977777779</c:v>
                </c:pt>
                <c:pt idx="55">
                  <c:v>1401058.8977777779</c:v>
                </c:pt>
                <c:pt idx="56">
                  <c:v>1401058.8977777779</c:v>
                </c:pt>
                <c:pt idx="57">
                  <c:v>1401058.8977777779</c:v>
                </c:pt>
                <c:pt idx="58">
                  <c:v>1401058.8977777779</c:v>
                </c:pt>
                <c:pt idx="59">
                  <c:v>1401058.8977777779</c:v>
                </c:pt>
                <c:pt idx="60">
                  <c:v>1401058.8977777779</c:v>
                </c:pt>
                <c:pt idx="61">
                  <c:v>1401058.8977777779</c:v>
                </c:pt>
                <c:pt idx="62">
                  <c:v>1401058.8977777779</c:v>
                </c:pt>
                <c:pt idx="63">
                  <c:v>1401058.8977777779</c:v>
                </c:pt>
                <c:pt idx="64">
                  <c:v>1401058.8977777779</c:v>
                </c:pt>
                <c:pt idx="65">
                  <c:v>1401058.8977777779</c:v>
                </c:pt>
                <c:pt idx="66">
                  <c:v>1401058.8977777779</c:v>
                </c:pt>
                <c:pt idx="67">
                  <c:v>1401058.8977777779</c:v>
                </c:pt>
                <c:pt idx="68">
                  <c:v>1401058.8977777779</c:v>
                </c:pt>
                <c:pt idx="69">
                  <c:v>1401058.8977777779</c:v>
                </c:pt>
                <c:pt idx="70">
                  <c:v>1401058.8977777779</c:v>
                </c:pt>
                <c:pt idx="71">
                  <c:v>1401058.8977777779</c:v>
                </c:pt>
                <c:pt idx="72">
                  <c:v>1401058.8977777779</c:v>
                </c:pt>
                <c:pt idx="73">
                  <c:v>1401058.8977777779</c:v>
                </c:pt>
                <c:pt idx="74">
                  <c:v>1401058.8977777779</c:v>
                </c:pt>
                <c:pt idx="75">
                  <c:v>1401058.8977777779</c:v>
                </c:pt>
                <c:pt idx="76">
                  <c:v>1401058.8977777779</c:v>
                </c:pt>
                <c:pt idx="77">
                  <c:v>1401058.8977777779</c:v>
                </c:pt>
                <c:pt idx="78">
                  <c:v>1401058.8977777779</c:v>
                </c:pt>
                <c:pt idx="79">
                  <c:v>1401058.8977777779</c:v>
                </c:pt>
                <c:pt idx="80">
                  <c:v>1401058.8977777779</c:v>
                </c:pt>
                <c:pt idx="81">
                  <c:v>1401058.8977777779</c:v>
                </c:pt>
                <c:pt idx="82">
                  <c:v>1401058.8977777779</c:v>
                </c:pt>
                <c:pt idx="83">
                  <c:v>1401058.8977777779</c:v>
                </c:pt>
                <c:pt idx="84">
                  <c:v>1401058.8977777779</c:v>
                </c:pt>
                <c:pt idx="85">
                  <c:v>1401058.8977777779</c:v>
                </c:pt>
                <c:pt idx="86">
                  <c:v>1401058.8977777779</c:v>
                </c:pt>
                <c:pt idx="87">
                  <c:v>1401058.8977777779</c:v>
                </c:pt>
                <c:pt idx="88">
                  <c:v>1401058.8977777779</c:v>
                </c:pt>
                <c:pt idx="89">
                  <c:v>1401058.8977777779</c:v>
                </c:pt>
                <c:pt idx="90">
                  <c:v>1401058.8977777779</c:v>
                </c:pt>
                <c:pt idx="91">
                  <c:v>1401058.8977777779</c:v>
                </c:pt>
                <c:pt idx="92">
                  <c:v>1401058.8977777779</c:v>
                </c:pt>
                <c:pt idx="93">
                  <c:v>1401058.8977777779</c:v>
                </c:pt>
                <c:pt idx="94">
                  <c:v>1401058.8977777779</c:v>
                </c:pt>
                <c:pt idx="95">
                  <c:v>1401058.8977777779</c:v>
                </c:pt>
                <c:pt idx="96">
                  <c:v>1401058.8977777779</c:v>
                </c:pt>
                <c:pt idx="97">
                  <c:v>1401058.8977777779</c:v>
                </c:pt>
                <c:pt idx="98">
                  <c:v>1401058.8977777779</c:v>
                </c:pt>
                <c:pt idx="99">
                  <c:v>1401058.8977777779</c:v>
                </c:pt>
                <c:pt idx="100">
                  <c:v>1401058.8977777779</c:v>
                </c:pt>
                <c:pt idx="101">
                  <c:v>1401058.8977777779</c:v>
                </c:pt>
                <c:pt idx="102">
                  <c:v>1401058.8977777779</c:v>
                </c:pt>
                <c:pt idx="103">
                  <c:v>1401058.8977777779</c:v>
                </c:pt>
                <c:pt idx="104">
                  <c:v>1401058.8977777779</c:v>
                </c:pt>
                <c:pt idx="105">
                  <c:v>1401058.8977777779</c:v>
                </c:pt>
                <c:pt idx="106">
                  <c:v>1401058.8977777779</c:v>
                </c:pt>
                <c:pt idx="107">
                  <c:v>1401058.8977777779</c:v>
                </c:pt>
                <c:pt idx="108">
                  <c:v>1401058.8977777779</c:v>
                </c:pt>
                <c:pt idx="109">
                  <c:v>1401058.8977777779</c:v>
                </c:pt>
                <c:pt idx="110">
                  <c:v>1401058.8977777779</c:v>
                </c:pt>
                <c:pt idx="111">
                  <c:v>1401058.8977777779</c:v>
                </c:pt>
                <c:pt idx="112">
                  <c:v>1401058.8977777779</c:v>
                </c:pt>
                <c:pt idx="113">
                  <c:v>1401058.8977777779</c:v>
                </c:pt>
                <c:pt idx="114">
                  <c:v>1401058.8977777779</c:v>
                </c:pt>
                <c:pt idx="115">
                  <c:v>1401058.8977777779</c:v>
                </c:pt>
                <c:pt idx="116">
                  <c:v>1401058.8977777779</c:v>
                </c:pt>
                <c:pt idx="117">
                  <c:v>1401058.8977777779</c:v>
                </c:pt>
                <c:pt idx="118">
                  <c:v>1401058.8977777779</c:v>
                </c:pt>
                <c:pt idx="119">
                  <c:v>1401058.8977777779</c:v>
                </c:pt>
                <c:pt idx="120">
                  <c:v>1401058.8977777779</c:v>
                </c:pt>
                <c:pt idx="121">
                  <c:v>1401058.8977777779</c:v>
                </c:pt>
                <c:pt idx="122">
                  <c:v>1401058.8977777779</c:v>
                </c:pt>
                <c:pt idx="123">
                  <c:v>1401058.8977777779</c:v>
                </c:pt>
                <c:pt idx="124">
                  <c:v>1401058.8977777779</c:v>
                </c:pt>
                <c:pt idx="125">
                  <c:v>1401058.8977777779</c:v>
                </c:pt>
                <c:pt idx="126">
                  <c:v>1401058.8977777779</c:v>
                </c:pt>
                <c:pt idx="127">
                  <c:v>1401058.8977777779</c:v>
                </c:pt>
                <c:pt idx="128">
                  <c:v>1401058.8977777779</c:v>
                </c:pt>
                <c:pt idx="129">
                  <c:v>1401058.8977777779</c:v>
                </c:pt>
                <c:pt idx="130">
                  <c:v>1401058.8977777779</c:v>
                </c:pt>
                <c:pt idx="131">
                  <c:v>1401058.8977777779</c:v>
                </c:pt>
                <c:pt idx="132">
                  <c:v>1401058.8977777779</c:v>
                </c:pt>
                <c:pt idx="133">
                  <c:v>1401058.8977777779</c:v>
                </c:pt>
                <c:pt idx="134">
                  <c:v>1401058.8977777779</c:v>
                </c:pt>
                <c:pt idx="135">
                  <c:v>1401058.8977777779</c:v>
                </c:pt>
                <c:pt idx="136">
                  <c:v>1401058.8977777779</c:v>
                </c:pt>
                <c:pt idx="137">
                  <c:v>1401058.8977777779</c:v>
                </c:pt>
                <c:pt idx="138">
                  <c:v>1401058.8977777779</c:v>
                </c:pt>
                <c:pt idx="139">
                  <c:v>1401058.8977777779</c:v>
                </c:pt>
                <c:pt idx="140">
                  <c:v>1401058.8977777779</c:v>
                </c:pt>
                <c:pt idx="141">
                  <c:v>1401058.8977777779</c:v>
                </c:pt>
                <c:pt idx="142">
                  <c:v>1401058.8977777779</c:v>
                </c:pt>
                <c:pt idx="143">
                  <c:v>1401058.8977777779</c:v>
                </c:pt>
                <c:pt idx="144">
                  <c:v>1401058.8977777779</c:v>
                </c:pt>
                <c:pt idx="145">
                  <c:v>1401058.8977777779</c:v>
                </c:pt>
                <c:pt idx="146">
                  <c:v>1401058.8977777779</c:v>
                </c:pt>
                <c:pt idx="147">
                  <c:v>1401058.8977777779</c:v>
                </c:pt>
                <c:pt idx="148">
                  <c:v>1401058.8977777779</c:v>
                </c:pt>
                <c:pt idx="149">
                  <c:v>1401058.8977777779</c:v>
                </c:pt>
                <c:pt idx="150">
                  <c:v>1401058.8977777779</c:v>
                </c:pt>
                <c:pt idx="151">
                  <c:v>1401058.8977777779</c:v>
                </c:pt>
                <c:pt idx="152">
                  <c:v>1401058.8977777779</c:v>
                </c:pt>
                <c:pt idx="153">
                  <c:v>1401058.8977777779</c:v>
                </c:pt>
                <c:pt idx="154">
                  <c:v>1401058.8977777779</c:v>
                </c:pt>
                <c:pt idx="155">
                  <c:v>1401058.8977777779</c:v>
                </c:pt>
                <c:pt idx="156">
                  <c:v>1401058.8977777779</c:v>
                </c:pt>
                <c:pt idx="157">
                  <c:v>1401058.8977777779</c:v>
                </c:pt>
                <c:pt idx="158">
                  <c:v>1401058.8977777779</c:v>
                </c:pt>
                <c:pt idx="159">
                  <c:v>1401058.8977777779</c:v>
                </c:pt>
                <c:pt idx="160">
                  <c:v>1401058.8977777779</c:v>
                </c:pt>
                <c:pt idx="161">
                  <c:v>1401058.8977777779</c:v>
                </c:pt>
                <c:pt idx="162">
                  <c:v>1401058.8977777779</c:v>
                </c:pt>
                <c:pt idx="163">
                  <c:v>1401058.8977777779</c:v>
                </c:pt>
                <c:pt idx="164">
                  <c:v>1401058.8977777779</c:v>
                </c:pt>
                <c:pt idx="165">
                  <c:v>1401058.8977777779</c:v>
                </c:pt>
                <c:pt idx="166">
                  <c:v>1401058.8977777779</c:v>
                </c:pt>
                <c:pt idx="167">
                  <c:v>1401058.8977777779</c:v>
                </c:pt>
                <c:pt idx="168">
                  <c:v>1401058.8977777779</c:v>
                </c:pt>
                <c:pt idx="169">
                  <c:v>1401058.8977777779</c:v>
                </c:pt>
                <c:pt idx="170">
                  <c:v>1401058.8977777779</c:v>
                </c:pt>
                <c:pt idx="171">
                  <c:v>1401058.8977777779</c:v>
                </c:pt>
                <c:pt idx="172">
                  <c:v>1401058.8977777779</c:v>
                </c:pt>
                <c:pt idx="173">
                  <c:v>1401058.8977777779</c:v>
                </c:pt>
                <c:pt idx="174">
                  <c:v>1401058.8977777779</c:v>
                </c:pt>
                <c:pt idx="175">
                  <c:v>1401058.8977777779</c:v>
                </c:pt>
                <c:pt idx="176">
                  <c:v>1401058.8977777779</c:v>
                </c:pt>
                <c:pt idx="177">
                  <c:v>1401058.8977777779</c:v>
                </c:pt>
                <c:pt idx="178">
                  <c:v>1401058.8977777779</c:v>
                </c:pt>
                <c:pt idx="179">
                  <c:v>1401058.8977777779</c:v>
                </c:pt>
                <c:pt idx="180">
                  <c:v>1401058.8977777779</c:v>
                </c:pt>
                <c:pt idx="181">
                  <c:v>1401058.8977777779</c:v>
                </c:pt>
                <c:pt idx="182">
                  <c:v>1401058.8977777779</c:v>
                </c:pt>
                <c:pt idx="183">
                  <c:v>1401058.8977777779</c:v>
                </c:pt>
                <c:pt idx="184">
                  <c:v>1401058.8977777779</c:v>
                </c:pt>
                <c:pt idx="185">
                  <c:v>1401058.8977777779</c:v>
                </c:pt>
                <c:pt idx="186">
                  <c:v>1401058.8977777779</c:v>
                </c:pt>
                <c:pt idx="187">
                  <c:v>1401058.8977777779</c:v>
                </c:pt>
                <c:pt idx="188">
                  <c:v>1401058.8977777779</c:v>
                </c:pt>
                <c:pt idx="189">
                  <c:v>1401058.8977777779</c:v>
                </c:pt>
                <c:pt idx="190">
                  <c:v>1401058.8977777779</c:v>
                </c:pt>
                <c:pt idx="191">
                  <c:v>1401058.8977777779</c:v>
                </c:pt>
                <c:pt idx="192">
                  <c:v>1401058.8977777779</c:v>
                </c:pt>
                <c:pt idx="193">
                  <c:v>1401058.8977777779</c:v>
                </c:pt>
                <c:pt idx="194">
                  <c:v>1401058.8977777779</c:v>
                </c:pt>
                <c:pt idx="195">
                  <c:v>1401058.8977777779</c:v>
                </c:pt>
                <c:pt idx="196">
                  <c:v>1401058.8977777779</c:v>
                </c:pt>
                <c:pt idx="197">
                  <c:v>1401058.8977777779</c:v>
                </c:pt>
                <c:pt idx="198">
                  <c:v>1401058.8977777779</c:v>
                </c:pt>
                <c:pt idx="199">
                  <c:v>1401058.8977777779</c:v>
                </c:pt>
                <c:pt idx="200">
                  <c:v>1401058.8977777779</c:v>
                </c:pt>
                <c:pt idx="201">
                  <c:v>1401058.8977777779</c:v>
                </c:pt>
                <c:pt idx="202">
                  <c:v>1401058.8977777779</c:v>
                </c:pt>
                <c:pt idx="203">
                  <c:v>1401058.8977777779</c:v>
                </c:pt>
                <c:pt idx="204">
                  <c:v>1401058.8977777779</c:v>
                </c:pt>
                <c:pt idx="205">
                  <c:v>1401058.8977777779</c:v>
                </c:pt>
                <c:pt idx="206">
                  <c:v>1401058.8977777779</c:v>
                </c:pt>
                <c:pt idx="207">
                  <c:v>1401058.8977777779</c:v>
                </c:pt>
                <c:pt idx="208">
                  <c:v>1401058.8977777779</c:v>
                </c:pt>
                <c:pt idx="209">
                  <c:v>1401058.8977777779</c:v>
                </c:pt>
                <c:pt idx="210">
                  <c:v>1401058.8977777779</c:v>
                </c:pt>
                <c:pt idx="211">
                  <c:v>1401058.8977777779</c:v>
                </c:pt>
                <c:pt idx="212">
                  <c:v>1401058.8977777779</c:v>
                </c:pt>
                <c:pt idx="213">
                  <c:v>1401058.8977777779</c:v>
                </c:pt>
                <c:pt idx="214">
                  <c:v>1401058.8977777779</c:v>
                </c:pt>
                <c:pt idx="215">
                  <c:v>1401058.8977777779</c:v>
                </c:pt>
                <c:pt idx="216">
                  <c:v>1401058.8977777779</c:v>
                </c:pt>
                <c:pt idx="217">
                  <c:v>1401058.8977777779</c:v>
                </c:pt>
                <c:pt idx="218">
                  <c:v>1401058.8977777779</c:v>
                </c:pt>
                <c:pt idx="219">
                  <c:v>1401058.8977777779</c:v>
                </c:pt>
                <c:pt idx="220">
                  <c:v>1401058.8977777779</c:v>
                </c:pt>
                <c:pt idx="221">
                  <c:v>1401058.8977777779</c:v>
                </c:pt>
                <c:pt idx="222">
                  <c:v>1401058.8977777779</c:v>
                </c:pt>
                <c:pt idx="223">
                  <c:v>1401058.8977777779</c:v>
                </c:pt>
                <c:pt idx="224">
                  <c:v>1401058.8977777779</c:v>
                </c:pt>
                <c:pt idx="225">
                  <c:v>1401058.8977777779</c:v>
                </c:pt>
                <c:pt idx="226">
                  <c:v>1401058.8977777779</c:v>
                </c:pt>
                <c:pt idx="227">
                  <c:v>1401058.8977777779</c:v>
                </c:pt>
                <c:pt idx="228">
                  <c:v>1401058.8977777779</c:v>
                </c:pt>
                <c:pt idx="229">
                  <c:v>1401058.8977777779</c:v>
                </c:pt>
                <c:pt idx="230">
                  <c:v>1401058.8977777779</c:v>
                </c:pt>
                <c:pt idx="231">
                  <c:v>1401058.8977777779</c:v>
                </c:pt>
                <c:pt idx="232">
                  <c:v>1401058.8977777779</c:v>
                </c:pt>
                <c:pt idx="233">
                  <c:v>1401058.8977777779</c:v>
                </c:pt>
                <c:pt idx="234">
                  <c:v>1401058.8977777779</c:v>
                </c:pt>
                <c:pt idx="235">
                  <c:v>1401058.8977777779</c:v>
                </c:pt>
                <c:pt idx="236">
                  <c:v>1401058.8977777779</c:v>
                </c:pt>
                <c:pt idx="237">
                  <c:v>1401058.8977777779</c:v>
                </c:pt>
                <c:pt idx="238">
                  <c:v>1401058.8977777779</c:v>
                </c:pt>
                <c:pt idx="239">
                  <c:v>1401058.8977777779</c:v>
                </c:pt>
                <c:pt idx="240">
                  <c:v>1401058.8977777779</c:v>
                </c:pt>
                <c:pt idx="241">
                  <c:v>1401058.8977777779</c:v>
                </c:pt>
                <c:pt idx="242">
                  <c:v>1401058.8977777779</c:v>
                </c:pt>
                <c:pt idx="243">
                  <c:v>1401058.8977777779</c:v>
                </c:pt>
                <c:pt idx="244">
                  <c:v>1401058.8977777779</c:v>
                </c:pt>
                <c:pt idx="245">
                  <c:v>1401058.8977777779</c:v>
                </c:pt>
                <c:pt idx="246">
                  <c:v>1401058.8977777779</c:v>
                </c:pt>
                <c:pt idx="247">
                  <c:v>1401058.8977777779</c:v>
                </c:pt>
                <c:pt idx="248">
                  <c:v>1401058.8977777779</c:v>
                </c:pt>
                <c:pt idx="249">
                  <c:v>1401058.8977777779</c:v>
                </c:pt>
                <c:pt idx="250">
                  <c:v>1401058.8977777779</c:v>
                </c:pt>
                <c:pt idx="251">
                  <c:v>1401058.8977777779</c:v>
                </c:pt>
                <c:pt idx="252">
                  <c:v>1401058.8977777779</c:v>
                </c:pt>
                <c:pt idx="253">
                  <c:v>1401058.8977777779</c:v>
                </c:pt>
                <c:pt idx="254">
                  <c:v>1401058.8977777779</c:v>
                </c:pt>
                <c:pt idx="255">
                  <c:v>1401058.8977777779</c:v>
                </c:pt>
                <c:pt idx="256">
                  <c:v>1401058.8977777779</c:v>
                </c:pt>
                <c:pt idx="257">
                  <c:v>1401058.8977777779</c:v>
                </c:pt>
                <c:pt idx="258">
                  <c:v>1401058.8977777779</c:v>
                </c:pt>
                <c:pt idx="259">
                  <c:v>1401058.8977777779</c:v>
                </c:pt>
                <c:pt idx="260">
                  <c:v>1401058.8977777779</c:v>
                </c:pt>
                <c:pt idx="261">
                  <c:v>1401058.8977777779</c:v>
                </c:pt>
                <c:pt idx="262">
                  <c:v>1401058.8977777779</c:v>
                </c:pt>
                <c:pt idx="263">
                  <c:v>1401058.8977777779</c:v>
                </c:pt>
                <c:pt idx="264">
                  <c:v>1401058.8977777779</c:v>
                </c:pt>
                <c:pt idx="265">
                  <c:v>1401058.8977777779</c:v>
                </c:pt>
                <c:pt idx="266">
                  <c:v>1401058.8977777779</c:v>
                </c:pt>
                <c:pt idx="267">
                  <c:v>1401058.8977777779</c:v>
                </c:pt>
                <c:pt idx="268">
                  <c:v>1401058.8977777779</c:v>
                </c:pt>
                <c:pt idx="269">
                  <c:v>1401058.8977777779</c:v>
                </c:pt>
                <c:pt idx="270">
                  <c:v>1401058.8977777779</c:v>
                </c:pt>
                <c:pt idx="271">
                  <c:v>1401058.8977777779</c:v>
                </c:pt>
                <c:pt idx="272">
                  <c:v>1401058.8977777779</c:v>
                </c:pt>
                <c:pt idx="273">
                  <c:v>1401058.8977777779</c:v>
                </c:pt>
                <c:pt idx="274">
                  <c:v>1401058.8977777779</c:v>
                </c:pt>
                <c:pt idx="275">
                  <c:v>1401058.8977777779</c:v>
                </c:pt>
                <c:pt idx="276">
                  <c:v>1401058.8977777779</c:v>
                </c:pt>
                <c:pt idx="277">
                  <c:v>1401058.8977777779</c:v>
                </c:pt>
                <c:pt idx="278">
                  <c:v>1401058.8977777779</c:v>
                </c:pt>
                <c:pt idx="279">
                  <c:v>1401058.8977777779</c:v>
                </c:pt>
                <c:pt idx="280">
                  <c:v>1401058.8977777779</c:v>
                </c:pt>
                <c:pt idx="281">
                  <c:v>1401058.8977777779</c:v>
                </c:pt>
                <c:pt idx="282">
                  <c:v>1401058.8977777779</c:v>
                </c:pt>
                <c:pt idx="283">
                  <c:v>1401058.8977777779</c:v>
                </c:pt>
                <c:pt idx="284">
                  <c:v>1401058.8977777779</c:v>
                </c:pt>
                <c:pt idx="285">
                  <c:v>1401058.8977777779</c:v>
                </c:pt>
                <c:pt idx="286">
                  <c:v>1401058.8977777779</c:v>
                </c:pt>
                <c:pt idx="287">
                  <c:v>1401058.8977777779</c:v>
                </c:pt>
                <c:pt idx="288">
                  <c:v>1401058.8977777779</c:v>
                </c:pt>
                <c:pt idx="289">
                  <c:v>1401058.8977777779</c:v>
                </c:pt>
                <c:pt idx="290">
                  <c:v>1401058.8977777779</c:v>
                </c:pt>
                <c:pt idx="291">
                  <c:v>1401058.8977777779</c:v>
                </c:pt>
                <c:pt idx="292">
                  <c:v>1401058.8977777779</c:v>
                </c:pt>
                <c:pt idx="293">
                  <c:v>1401058.8977777779</c:v>
                </c:pt>
                <c:pt idx="294">
                  <c:v>1401058.8977777779</c:v>
                </c:pt>
                <c:pt idx="295">
                  <c:v>1401058.8977777779</c:v>
                </c:pt>
                <c:pt idx="296">
                  <c:v>1401058.8977777779</c:v>
                </c:pt>
                <c:pt idx="297">
                  <c:v>1401058.8977777779</c:v>
                </c:pt>
                <c:pt idx="298">
                  <c:v>1401058.8977777779</c:v>
                </c:pt>
                <c:pt idx="299">
                  <c:v>1401058.8977777779</c:v>
                </c:pt>
                <c:pt idx="300">
                  <c:v>1401058.8977777779</c:v>
                </c:pt>
                <c:pt idx="301">
                  <c:v>1401058.8977777779</c:v>
                </c:pt>
                <c:pt idx="302">
                  <c:v>1401058.8977777779</c:v>
                </c:pt>
                <c:pt idx="303">
                  <c:v>1401058.8977777779</c:v>
                </c:pt>
                <c:pt idx="304">
                  <c:v>1401058.8977777779</c:v>
                </c:pt>
                <c:pt idx="305">
                  <c:v>1401058.8977777779</c:v>
                </c:pt>
                <c:pt idx="306">
                  <c:v>1401058.8977777779</c:v>
                </c:pt>
                <c:pt idx="307">
                  <c:v>1401058.8977777779</c:v>
                </c:pt>
                <c:pt idx="308">
                  <c:v>1401058.8977777779</c:v>
                </c:pt>
                <c:pt idx="309">
                  <c:v>1401058.8977777779</c:v>
                </c:pt>
                <c:pt idx="310">
                  <c:v>1401058.8977777779</c:v>
                </c:pt>
                <c:pt idx="311">
                  <c:v>1401058.8977777779</c:v>
                </c:pt>
                <c:pt idx="312">
                  <c:v>1401058.8977777779</c:v>
                </c:pt>
                <c:pt idx="313">
                  <c:v>1401058.8977777779</c:v>
                </c:pt>
                <c:pt idx="314">
                  <c:v>1401058.8977777779</c:v>
                </c:pt>
                <c:pt idx="315">
                  <c:v>1401058.8977777779</c:v>
                </c:pt>
                <c:pt idx="316">
                  <c:v>1401058.8977777779</c:v>
                </c:pt>
                <c:pt idx="317">
                  <c:v>1401058.8977777779</c:v>
                </c:pt>
                <c:pt idx="318">
                  <c:v>1401058.8977777779</c:v>
                </c:pt>
                <c:pt idx="319">
                  <c:v>1401058.8977777779</c:v>
                </c:pt>
                <c:pt idx="320">
                  <c:v>1401058.8977777779</c:v>
                </c:pt>
                <c:pt idx="321">
                  <c:v>1401058.8977777779</c:v>
                </c:pt>
                <c:pt idx="322">
                  <c:v>1401058.8977777779</c:v>
                </c:pt>
                <c:pt idx="323">
                  <c:v>1401058.8977777779</c:v>
                </c:pt>
                <c:pt idx="324">
                  <c:v>1401058.8977777779</c:v>
                </c:pt>
                <c:pt idx="325">
                  <c:v>1401058.8977777779</c:v>
                </c:pt>
                <c:pt idx="326">
                  <c:v>1401058.8977777779</c:v>
                </c:pt>
                <c:pt idx="327">
                  <c:v>1401058.8977777779</c:v>
                </c:pt>
                <c:pt idx="328">
                  <c:v>1401058.8977777779</c:v>
                </c:pt>
                <c:pt idx="329">
                  <c:v>1401058.8977777779</c:v>
                </c:pt>
                <c:pt idx="330">
                  <c:v>1401058.8977777779</c:v>
                </c:pt>
                <c:pt idx="331">
                  <c:v>1401058.8977777779</c:v>
                </c:pt>
                <c:pt idx="332">
                  <c:v>1401058.8977777779</c:v>
                </c:pt>
                <c:pt idx="333">
                  <c:v>1401058.8977777779</c:v>
                </c:pt>
                <c:pt idx="334">
                  <c:v>1401058.8977777779</c:v>
                </c:pt>
                <c:pt idx="335">
                  <c:v>1401058.8977777779</c:v>
                </c:pt>
                <c:pt idx="336">
                  <c:v>1401058.8977777779</c:v>
                </c:pt>
                <c:pt idx="337">
                  <c:v>1401058.8977777779</c:v>
                </c:pt>
                <c:pt idx="338">
                  <c:v>1401058.8977777779</c:v>
                </c:pt>
                <c:pt idx="339">
                  <c:v>1401058.8977777779</c:v>
                </c:pt>
                <c:pt idx="340">
                  <c:v>1401058.8977777779</c:v>
                </c:pt>
                <c:pt idx="341">
                  <c:v>1401058.8977777779</c:v>
                </c:pt>
                <c:pt idx="342">
                  <c:v>1401058.8977777779</c:v>
                </c:pt>
                <c:pt idx="343">
                  <c:v>1401058.8977777779</c:v>
                </c:pt>
                <c:pt idx="344">
                  <c:v>1401058.8977777779</c:v>
                </c:pt>
                <c:pt idx="345">
                  <c:v>1401058.8977777779</c:v>
                </c:pt>
                <c:pt idx="346">
                  <c:v>1401058.8977777779</c:v>
                </c:pt>
                <c:pt idx="347">
                  <c:v>1401058.8977777779</c:v>
                </c:pt>
                <c:pt idx="348">
                  <c:v>1401058.8977777779</c:v>
                </c:pt>
                <c:pt idx="349">
                  <c:v>1401058.8977777779</c:v>
                </c:pt>
                <c:pt idx="350">
                  <c:v>1401058.8977777779</c:v>
                </c:pt>
                <c:pt idx="351">
                  <c:v>1401058.8977777779</c:v>
                </c:pt>
                <c:pt idx="352">
                  <c:v>1401058.8977777779</c:v>
                </c:pt>
                <c:pt idx="353">
                  <c:v>1401058.8977777779</c:v>
                </c:pt>
                <c:pt idx="354">
                  <c:v>1401058.8977777779</c:v>
                </c:pt>
                <c:pt idx="355">
                  <c:v>1401058.8977777779</c:v>
                </c:pt>
                <c:pt idx="356">
                  <c:v>1401058.8977777779</c:v>
                </c:pt>
                <c:pt idx="357">
                  <c:v>1401058.8977777779</c:v>
                </c:pt>
                <c:pt idx="358">
                  <c:v>1401058.8977777779</c:v>
                </c:pt>
                <c:pt idx="359">
                  <c:v>1401058.8977777779</c:v>
                </c:pt>
                <c:pt idx="360">
                  <c:v>1401058.8977777779</c:v>
                </c:pt>
                <c:pt idx="361">
                  <c:v>1401058.8977777779</c:v>
                </c:pt>
                <c:pt idx="362">
                  <c:v>1401058.8977777779</c:v>
                </c:pt>
                <c:pt idx="363">
                  <c:v>1401058.8977777779</c:v>
                </c:pt>
                <c:pt idx="364">
                  <c:v>1401058.8977777779</c:v>
                </c:pt>
                <c:pt idx="365">
                  <c:v>1401058.8977777779</c:v>
                </c:pt>
                <c:pt idx="366">
                  <c:v>1401058.8977777779</c:v>
                </c:pt>
                <c:pt idx="367">
                  <c:v>1401058.8977777779</c:v>
                </c:pt>
                <c:pt idx="368">
                  <c:v>1401058.8977777779</c:v>
                </c:pt>
                <c:pt idx="369">
                  <c:v>1401058.8977777779</c:v>
                </c:pt>
                <c:pt idx="370">
                  <c:v>1401058.8977777779</c:v>
                </c:pt>
                <c:pt idx="371">
                  <c:v>1401058.8977777779</c:v>
                </c:pt>
                <c:pt idx="372">
                  <c:v>1401058.8977777779</c:v>
                </c:pt>
                <c:pt idx="373">
                  <c:v>1401058.8977777779</c:v>
                </c:pt>
                <c:pt idx="374">
                  <c:v>1401058.8977777779</c:v>
                </c:pt>
                <c:pt idx="375">
                  <c:v>1401058.8977777779</c:v>
                </c:pt>
                <c:pt idx="376">
                  <c:v>1401058.8977777779</c:v>
                </c:pt>
                <c:pt idx="377">
                  <c:v>1401058.8977777779</c:v>
                </c:pt>
                <c:pt idx="378">
                  <c:v>1401058.8977777779</c:v>
                </c:pt>
                <c:pt idx="379">
                  <c:v>1401058.8977777779</c:v>
                </c:pt>
                <c:pt idx="380">
                  <c:v>1401058.8977777779</c:v>
                </c:pt>
                <c:pt idx="381">
                  <c:v>1401058.8977777779</c:v>
                </c:pt>
                <c:pt idx="382">
                  <c:v>1401058.8977777779</c:v>
                </c:pt>
                <c:pt idx="383">
                  <c:v>1401058.8977777779</c:v>
                </c:pt>
                <c:pt idx="384">
                  <c:v>1401058.8977777779</c:v>
                </c:pt>
                <c:pt idx="385">
                  <c:v>1401058.8977777779</c:v>
                </c:pt>
                <c:pt idx="386">
                  <c:v>1401058.8977777779</c:v>
                </c:pt>
                <c:pt idx="387">
                  <c:v>1401058.8977777779</c:v>
                </c:pt>
                <c:pt idx="388">
                  <c:v>1401058.8977777779</c:v>
                </c:pt>
                <c:pt idx="389">
                  <c:v>1401058.8977777779</c:v>
                </c:pt>
                <c:pt idx="390">
                  <c:v>1401058.8977777779</c:v>
                </c:pt>
                <c:pt idx="391">
                  <c:v>1401058.8977777779</c:v>
                </c:pt>
                <c:pt idx="392">
                  <c:v>1401058.8977777779</c:v>
                </c:pt>
                <c:pt idx="393">
                  <c:v>1401058.8977777779</c:v>
                </c:pt>
                <c:pt idx="394">
                  <c:v>1401058.8977777779</c:v>
                </c:pt>
                <c:pt idx="395">
                  <c:v>1401058.8977777779</c:v>
                </c:pt>
                <c:pt idx="396">
                  <c:v>1401058.8977777779</c:v>
                </c:pt>
                <c:pt idx="397">
                  <c:v>1401058.8977777779</c:v>
                </c:pt>
                <c:pt idx="398">
                  <c:v>1401058.8977777779</c:v>
                </c:pt>
                <c:pt idx="399">
                  <c:v>1401058.8977777779</c:v>
                </c:pt>
                <c:pt idx="400">
                  <c:v>1401058.8977777779</c:v>
                </c:pt>
                <c:pt idx="401">
                  <c:v>1401058.8977777779</c:v>
                </c:pt>
                <c:pt idx="402">
                  <c:v>1401058.8977777779</c:v>
                </c:pt>
                <c:pt idx="403">
                  <c:v>1401058.8977777779</c:v>
                </c:pt>
                <c:pt idx="404">
                  <c:v>1401058.8977777779</c:v>
                </c:pt>
                <c:pt idx="405">
                  <c:v>1401058.8977777779</c:v>
                </c:pt>
                <c:pt idx="406">
                  <c:v>1401058.8977777779</c:v>
                </c:pt>
                <c:pt idx="407">
                  <c:v>1401058.8977777779</c:v>
                </c:pt>
                <c:pt idx="408">
                  <c:v>1401058.8977777779</c:v>
                </c:pt>
                <c:pt idx="409">
                  <c:v>1401058.8977777779</c:v>
                </c:pt>
                <c:pt idx="410">
                  <c:v>1401058.8977777779</c:v>
                </c:pt>
                <c:pt idx="411">
                  <c:v>1401058.8977777779</c:v>
                </c:pt>
                <c:pt idx="412">
                  <c:v>1401058.8977777779</c:v>
                </c:pt>
                <c:pt idx="413">
                  <c:v>1401058.8977777779</c:v>
                </c:pt>
                <c:pt idx="414">
                  <c:v>1401058.8977777779</c:v>
                </c:pt>
                <c:pt idx="415">
                  <c:v>1401058.8977777779</c:v>
                </c:pt>
                <c:pt idx="416">
                  <c:v>1401058.8977777779</c:v>
                </c:pt>
                <c:pt idx="417">
                  <c:v>1401058.8977777779</c:v>
                </c:pt>
                <c:pt idx="418">
                  <c:v>1401058.8977777779</c:v>
                </c:pt>
                <c:pt idx="419">
                  <c:v>1401058.8977777779</c:v>
                </c:pt>
                <c:pt idx="420">
                  <c:v>1401058.8977777779</c:v>
                </c:pt>
                <c:pt idx="421">
                  <c:v>1401058.8977777779</c:v>
                </c:pt>
                <c:pt idx="422">
                  <c:v>1401058.8977777779</c:v>
                </c:pt>
                <c:pt idx="423">
                  <c:v>1401058.8977777779</c:v>
                </c:pt>
                <c:pt idx="424">
                  <c:v>1401058.8977777779</c:v>
                </c:pt>
                <c:pt idx="425">
                  <c:v>1401058.8977777779</c:v>
                </c:pt>
                <c:pt idx="426">
                  <c:v>1401058.8977777779</c:v>
                </c:pt>
                <c:pt idx="427">
                  <c:v>1401058.8977777779</c:v>
                </c:pt>
                <c:pt idx="428">
                  <c:v>1401058.8977777779</c:v>
                </c:pt>
                <c:pt idx="429">
                  <c:v>1401058.8977777779</c:v>
                </c:pt>
                <c:pt idx="430">
                  <c:v>1401058.8977777779</c:v>
                </c:pt>
                <c:pt idx="431">
                  <c:v>1401058.8977777779</c:v>
                </c:pt>
                <c:pt idx="432">
                  <c:v>1401058.8977777779</c:v>
                </c:pt>
                <c:pt idx="433">
                  <c:v>1401058.8977777779</c:v>
                </c:pt>
                <c:pt idx="434">
                  <c:v>1401058.8977777779</c:v>
                </c:pt>
                <c:pt idx="435">
                  <c:v>1401058.8977777779</c:v>
                </c:pt>
                <c:pt idx="436">
                  <c:v>1401058.8977777779</c:v>
                </c:pt>
                <c:pt idx="437">
                  <c:v>1401058.8977777779</c:v>
                </c:pt>
                <c:pt idx="438">
                  <c:v>1401058.8977777779</c:v>
                </c:pt>
                <c:pt idx="439">
                  <c:v>1401058.8977777779</c:v>
                </c:pt>
                <c:pt idx="440">
                  <c:v>1401058.8977777779</c:v>
                </c:pt>
                <c:pt idx="441">
                  <c:v>1401058.8977777779</c:v>
                </c:pt>
                <c:pt idx="442">
                  <c:v>1401058.8977777779</c:v>
                </c:pt>
                <c:pt idx="443">
                  <c:v>1401058.8977777779</c:v>
                </c:pt>
                <c:pt idx="444">
                  <c:v>1401058.8977777779</c:v>
                </c:pt>
                <c:pt idx="445">
                  <c:v>1401058.8977777779</c:v>
                </c:pt>
                <c:pt idx="446">
                  <c:v>1401058.8977777779</c:v>
                </c:pt>
                <c:pt idx="447">
                  <c:v>1401058.8977777779</c:v>
                </c:pt>
                <c:pt idx="448">
                  <c:v>1401058.8977777779</c:v>
                </c:pt>
                <c:pt idx="449">
                  <c:v>1401058.8977777779</c:v>
                </c:pt>
                <c:pt idx="450">
                  <c:v>1401058.8977777779</c:v>
                </c:pt>
                <c:pt idx="451">
                  <c:v>1401058.8977777779</c:v>
                </c:pt>
                <c:pt idx="452">
                  <c:v>1401058.8977777779</c:v>
                </c:pt>
                <c:pt idx="453">
                  <c:v>1401058.8977777779</c:v>
                </c:pt>
                <c:pt idx="454">
                  <c:v>1401058.8977777779</c:v>
                </c:pt>
                <c:pt idx="455">
                  <c:v>1401058.8977777779</c:v>
                </c:pt>
                <c:pt idx="456">
                  <c:v>1401058.8977777779</c:v>
                </c:pt>
                <c:pt idx="457">
                  <c:v>1401058.8977777779</c:v>
                </c:pt>
                <c:pt idx="458">
                  <c:v>1401058.8977777779</c:v>
                </c:pt>
                <c:pt idx="459">
                  <c:v>1401058.8977777779</c:v>
                </c:pt>
                <c:pt idx="460">
                  <c:v>1401058.8977777779</c:v>
                </c:pt>
                <c:pt idx="461">
                  <c:v>1401058.8977777779</c:v>
                </c:pt>
                <c:pt idx="462">
                  <c:v>1401058.8977777779</c:v>
                </c:pt>
                <c:pt idx="463">
                  <c:v>1401058.8977777779</c:v>
                </c:pt>
                <c:pt idx="464">
                  <c:v>1401058.8977777779</c:v>
                </c:pt>
                <c:pt idx="465">
                  <c:v>1401058.8977777779</c:v>
                </c:pt>
                <c:pt idx="466">
                  <c:v>1401058.8977777779</c:v>
                </c:pt>
                <c:pt idx="467">
                  <c:v>1401058.8977777779</c:v>
                </c:pt>
                <c:pt idx="468">
                  <c:v>1401058.8977777779</c:v>
                </c:pt>
                <c:pt idx="469">
                  <c:v>1401058.8977777779</c:v>
                </c:pt>
                <c:pt idx="470">
                  <c:v>1401058.8977777779</c:v>
                </c:pt>
                <c:pt idx="471">
                  <c:v>1401058.8977777779</c:v>
                </c:pt>
                <c:pt idx="472">
                  <c:v>1401058.8977777779</c:v>
                </c:pt>
                <c:pt idx="473">
                  <c:v>1401058.8977777779</c:v>
                </c:pt>
                <c:pt idx="474">
                  <c:v>1401058.8977777779</c:v>
                </c:pt>
                <c:pt idx="475">
                  <c:v>1401058.8977777779</c:v>
                </c:pt>
                <c:pt idx="476">
                  <c:v>1401058.8977777779</c:v>
                </c:pt>
                <c:pt idx="477">
                  <c:v>1401058.8977777779</c:v>
                </c:pt>
                <c:pt idx="478">
                  <c:v>1401058.8977777779</c:v>
                </c:pt>
                <c:pt idx="479">
                  <c:v>1401058.8977777779</c:v>
                </c:pt>
                <c:pt idx="480">
                  <c:v>1401058.8977777779</c:v>
                </c:pt>
                <c:pt idx="481">
                  <c:v>1401058.8977777779</c:v>
                </c:pt>
                <c:pt idx="482">
                  <c:v>1401058.8977777779</c:v>
                </c:pt>
                <c:pt idx="483">
                  <c:v>1401058.8977777779</c:v>
                </c:pt>
                <c:pt idx="484">
                  <c:v>1401058.8977777779</c:v>
                </c:pt>
                <c:pt idx="485">
                  <c:v>1401058.8977777779</c:v>
                </c:pt>
                <c:pt idx="486">
                  <c:v>1401058.8977777779</c:v>
                </c:pt>
                <c:pt idx="487">
                  <c:v>1401058.8977777779</c:v>
                </c:pt>
                <c:pt idx="488">
                  <c:v>1401058.8977777779</c:v>
                </c:pt>
                <c:pt idx="489">
                  <c:v>1401058.8977777779</c:v>
                </c:pt>
                <c:pt idx="490">
                  <c:v>1401058.8977777779</c:v>
                </c:pt>
                <c:pt idx="491">
                  <c:v>1401058.8977777779</c:v>
                </c:pt>
                <c:pt idx="492">
                  <c:v>1401058.8977777779</c:v>
                </c:pt>
                <c:pt idx="493">
                  <c:v>1401058.8977777779</c:v>
                </c:pt>
                <c:pt idx="494">
                  <c:v>1401058.8977777779</c:v>
                </c:pt>
                <c:pt idx="495">
                  <c:v>1401058.8977777779</c:v>
                </c:pt>
                <c:pt idx="496">
                  <c:v>1401058.8977777779</c:v>
                </c:pt>
                <c:pt idx="497">
                  <c:v>1401058.8977777779</c:v>
                </c:pt>
                <c:pt idx="498">
                  <c:v>1401058.8977777779</c:v>
                </c:pt>
                <c:pt idx="499">
                  <c:v>1401058.8977777779</c:v>
                </c:pt>
                <c:pt idx="500">
                  <c:v>1401058.8977777779</c:v>
                </c:pt>
                <c:pt idx="501">
                  <c:v>1401058.8977777779</c:v>
                </c:pt>
                <c:pt idx="502">
                  <c:v>1401058.8977777779</c:v>
                </c:pt>
                <c:pt idx="503">
                  <c:v>1401058.8977777779</c:v>
                </c:pt>
                <c:pt idx="504">
                  <c:v>1401058.8977777779</c:v>
                </c:pt>
                <c:pt idx="505">
                  <c:v>1401058.8977777779</c:v>
                </c:pt>
                <c:pt idx="506">
                  <c:v>1401058.8977777779</c:v>
                </c:pt>
                <c:pt idx="507">
                  <c:v>1401058.8977777779</c:v>
                </c:pt>
                <c:pt idx="508">
                  <c:v>1401058.8977777779</c:v>
                </c:pt>
                <c:pt idx="509">
                  <c:v>1401058.8977777779</c:v>
                </c:pt>
                <c:pt idx="510">
                  <c:v>1401058.8977777779</c:v>
                </c:pt>
                <c:pt idx="511">
                  <c:v>1401058.8977777779</c:v>
                </c:pt>
                <c:pt idx="512">
                  <c:v>1401058.8977777779</c:v>
                </c:pt>
                <c:pt idx="513">
                  <c:v>1401058.8977777779</c:v>
                </c:pt>
                <c:pt idx="514">
                  <c:v>1401058.8977777779</c:v>
                </c:pt>
                <c:pt idx="515">
                  <c:v>1401058.8977777779</c:v>
                </c:pt>
                <c:pt idx="516">
                  <c:v>1401058.8977777779</c:v>
                </c:pt>
                <c:pt idx="517">
                  <c:v>1401058.8977777779</c:v>
                </c:pt>
                <c:pt idx="518">
                  <c:v>1401058.8977777779</c:v>
                </c:pt>
                <c:pt idx="519">
                  <c:v>1401058.8977777779</c:v>
                </c:pt>
                <c:pt idx="520">
                  <c:v>1401058.8977777779</c:v>
                </c:pt>
                <c:pt idx="521">
                  <c:v>1401058.8977777779</c:v>
                </c:pt>
                <c:pt idx="522">
                  <c:v>1401058.8977777779</c:v>
                </c:pt>
                <c:pt idx="523">
                  <c:v>1401058.8977777779</c:v>
                </c:pt>
                <c:pt idx="524">
                  <c:v>1401058.8977777779</c:v>
                </c:pt>
                <c:pt idx="525">
                  <c:v>1401058.8977777779</c:v>
                </c:pt>
                <c:pt idx="526">
                  <c:v>1401058.8977777779</c:v>
                </c:pt>
                <c:pt idx="527">
                  <c:v>1401058.8977777779</c:v>
                </c:pt>
                <c:pt idx="528">
                  <c:v>1401058.8977777779</c:v>
                </c:pt>
                <c:pt idx="529">
                  <c:v>1401058.8977777779</c:v>
                </c:pt>
                <c:pt idx="530">
                  <c:v>1401058.8977777779</c:v>
                </c:pt>
                <c:pt idx="531">
                  <c:v>1401058.8977777779</c:v>
                </c:pt>
                <c:pt idx="532">
                  <c:v>1401058.8977777779</c:v>
                </c:pt>
                <c:pt idx="533">
                  <c:v>1401058.8977777779</c:v>
                </c:pt>
                <c:pt idx="534">
                  <c:v>1401058.8977777779</c:v>
                </c:pt>
                <c:pt idx="535">
                  <c:v>1401058.8977777779</c:v>
                </c:pt>
                <c:pt idx="536">
                  <c:v>1401058.8977777779</c:v>
                </c:pt>
                <c:pt idx="537">
                  <c:v>1401058.8977777779</c:v>
                </c:pt>
                <c:pt idx="538">
                  <c:v>1401058.8977777779</c:v>
                </c:pt>
                <c:pt idx="539">
                  <c:v>1401058.8977777779</c:v>
                </c:pt>
                <c:pt idx="540">
                  <c:v>1401058.8977777779</c:v>
                </c:pt>
                <c:pt idx="541">
                  <c:v>1401058.8977777779</c:v>
                </c:pt>
                <c:pt idx="542">
                  <c:v>1401058.8977777779</c:v>
                </c:pt>
                <c:pt idx="543">
                  <c:v>1401058.8977777779</c:v>
                </c:pt>
                <c:pt idx="544">
                  <c:v>1401058.8977777779</c:v>
                </c:pt>
                <c:pt idx="545">
                  <c:v>1401058.8977777779</c:v>
                </c:pt>
                <c:pt idx="546">
                  <c:v>1401058.8977777779</c:v>
                </c:pt>
                <c:pt idx="547">
                  <c:v>1401058.8977777779</c:v>
                </c:pt>
                <c:pt idx="548">
                  <c:v>1401058.8977777779</c:v>
                </c:pt>
                <c:pt idx="549">
                  <c:v>1401058.8977777779</c:v>
                </c:pt>
                <c:pt idx="550">
                  <c:v>1401058.8977777779</c:v>
                </c:pt>
                <c:pt idx="551">
                  <c:v>1401058.8977777779</c:v>
                </c:pt>
                <c:pt idx="552">
                  <c:v>1401058.8977777779</c:v>
                </c:pt>
                <c:pt idx="553">
                  <c:v>1401058.8977777779</c:v>
                </c:pt>
                <c:pt idx="554">
                  <c:v>1401058.8977777779</c:v>
                </c:pt>
                <c:pt idx="555">
                  <c:v>1401058.8977777779</c:v>
                </c:pt>
                <c:pt idx="556">
                  <c:v>1401058.8977777779</c:v>
                </c:pt>
                <c:pt idx="557">
                  <c:v>1401058.8977777779</c:v>
                </c:pt>
                <c:pt idx="558">
                  <c:v>1401058.8977777779</c:v>
                </c:pt>
                <c:pt idx="559">
                  <c:v>1401058.8977777779</c:v>
                </c:pt>
                <c:pt idx="560">
                  <c:v>1401058.8977777779</c:v>
                </c:pt>
                <c:pt idx="561">
                  <c:v>1401058.8977777779</c:v>
                </c:pt>
                <c:pt idx="562">
                  <c:v>1401058.8977777779</c:v>
                </c:pt>
                <c:pt idx="563">
                  <c:v>1401058.8977777779</c:v>
                </c:pt>
                <c:pt idx="564">
                  <c:v>1401058.8977777779</c:v>
                </c:pt>
                <c:pt idx="565">
                  <c:v>1401058.8977777779</c:v>
                </c:pt>
                <c:pt idx="566">
                  <c:v>1401058.8977777779</c:v>
                </c:pt>
                <c:pt idx="567">
                  <c:v>1401058.8977777779</c:v>
                </c:pt>
                <c:pt idx="568">
                  <c:v>1401058.8977777779</c:v>
                </c:pt>
                <c:pt idx="569">
                  <c:v>1401058.8977777779</c:v>
                </c:pt>
                <c:pt idx="570">
                  <c:v>1401058.8977777779</c:v>
                </c:pt>
                <c:pt idx="571">
                  <c:v>1401058.8977777779</c:v>
                </c:pt>
                <c:pt idx="572">
                  <c:v>1401058.8977777779</c:v>
                </c:pt>
                <c:pt idx="573">
                  <c:v>1401058.8977777779</c:v>
                </c:pt>
                <c:pt idx="574">
                  <c:v>1401058.8977777779</c:v>
                </c:pt>
                <c:pt idx="575">
                  <c:v>1401058.8977777779</c:v>
                </c:pt>
                <c:pt idx="576">
                  <c:v>1401058.8977777779</c:v>
                </c:pt>
                <c:pt idx="577">
                  <c:v>1401058.8977777779</c:v>
                </c:pt>
                <c:pt idx="578">
                  <c:v>1401058.8977777779</c:v>
                </c:pt>
                <c:pt idx="579">
                  <c:v>1401058.8977777779</c:v>
                </c:pt>
                <c:pt idx="580">
                  <c:v>1401058.8977777779</c:v>
                </c:pt>
                <c:pt idx="581">
                  <c:v>1401058.8977777779</c:v>
                </c:pt>
                <c:pt idx="582">
                  <c:v>1401058.8977777779</c:v>
                </c:pt>
                <c:pt idx="583">
                  <c:v>1401058.8977777779</c:v>
                </c:pt>
                <c:pt idx="584">
                  <c:v>1401058.8977777779</c:v>
                </c:pt>
                <c:pt idx="585">
                  <c:v>1401058.8977777779</c:v>
                </c:pt>
                <c:pt idx="586">
                  <c:v>1401058.8977777779</c:v>
                </c:pt>
                <c:pt idx="587">
                  <c:v>1401058.8977777779</c:v>
                </c:pt>
                <c:pt idx="588">
                  <c:v>1401058.8977777779</c:v>
                </c:pt>
                <c:pt idx="589">
                  <c:v>1401058.8977777779</c:v>
                </c:pt>
                <c:pt idx="590">
                  <c:v>1401058.8977777779</c:v>
                </c:pt>
                <c:pt idx="591">
                  <c:v>1401058.8977777779</c:v>
                </c:pt>
                <c:pt idx="592">
                  <c:v>1401058.8977777779</c:v>
                </c:pt>
                <c:pt idx="593">
                  <c:v>1401058.8977777779</c:v>
                </c:pt>
                <c:pt idx="594">
                  <c:v>1401058.8977777779</c:v>
                </c:pt>
                <c:pt idx="595">
                  <c:v>1401058.8977777779</c:v>
                </c:pt>
                <c:pt idx="596">
                  <c:v>1401058.8977777779</c:v>
                </c:pt>
                <c:pt idx="597">
                  <c:v>1401058.8977777779</c:v>
                </c:pt>
                <c:pt idx="598">
                  <c:v>1401058.8977777779</c:v>
                </c:pt>
                <c:pt idx="599">
                  <c:v>1401058.8977777779</c:v>
                </c:pt>
                <c:pt idx="600">
                  <c:v>1401058.8977777779</c:v>
                </c:pt>
                <c:pt idx="601">
                  <c:v>1401058.8977777779</c:v>
                </c:pt>
                <c:pt idx="602">
                  <c:v>1401058.8977777779</c:v>
                </c:pt>
                <c:pt idx="603">
                  <c:v>1401058.8977777779</c:v>
                </c:pt>
                <c:pt idx="604">
                  <c:v>1401058.8977777779</c:v>
                </c:pt>
                <c:pt idx="605">
                  <c:v>1401058.8977777779</c:v>
                </c:pt>
                <c:pt idx="606">
                  <c:v>1401058.8977777779</c:v>
                </c:pt>
                <c:pt idx="607">
                  <c:v>1401058.8977777779</c:v>
                </c:pt>
                <c:pt idx="608">
                  <c:v>1401058.8977777779</c:v>
                </c:pt>
                <c:pt idx="609">
                  <c:v>1401058.8977777779</c:v>
                </c:pt>
                <c:pt idx="610">
                  <c:v>1401058.8977777779</c:v>
                </c:pt>
                <c:pt idx="611">
                  <c:v>1401058.8977777779</c:v>
                </c:pt>
                <c:pt idx="612">
                  <c:v>1401058.8977777779</c:v>
                </c:pt>
                <c:pt idx="613">
                  <c:v>1401058.8977777779</c:v>
                </c:pt>
                <c:pt idx="614">
                  <c:v>1401058.8977777779</c:v>
                </c:pt>
                <c:pt idx="615">
                  <c:v>1401058.8977777779</c:v>
                </c:pt>
                <c:pt idx="616">
                  <c:v>1401058.8977777779</c:v>
                </c:pt>
                <c:pt idx="617">
                  <c:v>1401058.8977777779</c:v>
                </c:pt>
                <c:pt idx="618">
                  <c:v>1401058.8977777779</c:v>
                </c:pt>
                <c:pt idx="619">
                  <c:v>1401058.8977777779</c:v>
                </c:pt>
                <c:pt idx="620">
                  <c:v>1401058.8977777779</c:v>
                </c:pt>
                <c:pt idx="621">
                  <c:v>1401058.8977777779</c:v>
                </c:pt>
                <c:pt idx="622">
                  <c:v>1401058.8977777779</c:v>
                </c:pt>
                <c:pt idx="623">
                  <c:v>1401058.8977777779</c:v>
                </c:pt>
                <c:pt idx="624">
                  <c:v>1401058.8977777779</c:v>
                </c:pt>
                <c:pt idx="625">
                  <c:v>1401058.8977777779</c:v>
                </c:pt>
                <c:pt idx="626">
                  <c:v>1401058.8977777779</c:v>
                </c:pt>
                <c:pt idx="627">
                  <c:v>1401058.8977777779</c:v>
                </c:pt>
                <c:pt idx="628">
                  <c:v>1401058.8977777779</c:v>
                </c:pt>
                <c:pt idx="629">
                  <c:v>1401058.8977777779</c:v>
                </c:pt>
                <c:pt idx="630">
                  <c:v>1401058.8977777779</c:v>
                </c:pt>
                <c:pt idx="631">
                  <c:v>1401058.8977777779</c:v>
                </c:pt>
                <c:pt idx="632">
                  <c:v>1401058.8977777779</c:v>
                </c:pt>
                <c:pt idx="633">
                  <c:v>1401058.8977777779</c:v>
                </c:pt>
                <c:pt idx="634">
                  <c:v>1401058.8977777779</c:v>
                </c:pt>
                <c:pt idx="635">
                  <c:v>1401058.8977777779</c:v>
                </c:pt>
                <c:pt idx="636">
                  <c:v>1401058.8977777779</c:v>
                </c:pt>
                <c:pt idx="637">
                  <c:v>1401058.8977777779</c:v>
                </c:pt>
                <c:pt idx="638">
                  <c:v>1401058.8977777779</c:v>
                </c:pt>
                <c:pt idx="639">
                  <c:v>1401058.8977777779</c:v>
                </c:pt>
                <c:pt idx="640">
                  <c:v>1401058.8977777779</c:v>
                </c:pt>
                <c:pt idx="641">
                  <c:v>1401058.8977777779</c:v>
                </c:pt>
                <c:pt idx="642">
                  <c:v>1401058.8977777779</c:v>
                </c:pt>
                <c:pt idx="643">
                  <c:v>1401058.8977777779</c:v>
                </c:pt>
                <c:pt idx="644">
                  <c:v>1401058.8977777779</c:v>
                </c:pt>
                <c:pt idx="645">
                  <c:v>1401058.8977777779</c:v>
                </c:pt>
                <c:pt idx="646">
                  <c:v>1401058.8977777779</c:v>
                </c:pt>
                <c:pt idx="647">
                  <c:v>1401058.8977777779</c:v>
                </c:pt>
                <c:pt idx="648">
                  <c:v>1401058.8977777779</c:v>
                </c:pt>
                <c:pt idx="649">
                  <c:v>1401058.8977777779</c:v>
                </c:pt>
                <c:pt idx="650">
                  <c:v>1401058.8977777779</c:v>
                </c:pt>
                <c:pt idx="651">
                  <c:v>1401058.8977777779</c:v>
                </c:pt>
                <c:pt idx="652">
                  <c:v>1401058.8977777779</c:v>
                </c:pt>
                <c:pt idx="653">
                  <c:v>1401058.8977777779</c:v>
                </c:pt>
                <c:pt idx="654">
                  <c:v>1401058.8977777779</c:v>
                </c:pt>
                <c:pt idx="655">
                  <c:v>1401058.8977777779</c:v>
                </c:pt>
                <c:pt idx="656">
                  <c:v>1401058.8977777779</c:v>
                </c:pt>
                <c:pt idx="657">
                  <c:v>1401058.8977777779</c:v>
                </c:pt>
                <c:pt idx="658">
                  <c:v>1401058.8977777779</c:v>
                </c:pt>
                <c:pt idx="659">
                  <c:v>1401058.8977777779</c:v>
                </c:pt>
                <c:pt idx="660">
                  <c:v>1401058.8977777779</c:v>
                </c:pt>
                <c:pt idx="661">
                  <c:v>1401058.8977777779</c:v>
                </c:pt>
                <c:pt idx="662">
                  <c:v>1401058.8977777779</c:v>
                </c:pt>
                <c:pt idx="663">
                  <c:v>1401058.8977777779</c:v>
                </c:pt>
                <c:pt idx="664">
                  <c:v>1401058.8977777779</c:v>
                </c:pt>
                <c:pt idx="665">
                  <c:v>1401058.8977777779</c:v>
                </c:pt>
                <c:pt idx="666">
                  <c:v>1401058.8977777779</c:v>
                </c:pt>
                <c:pt idx="667">
                  <c:v>1401058.8977777779</c:v>
                </c:pt>
                <c:pt idx="668">
                  <c:v>1401058.8977777779</c:v>
                </c:pt>
                <c:pt idx="669">
                  <c:v>1401058.8977777779</c:v>
                </c:pt>
                <c:pt idx="670">
                  <c:v>1401058.8977777779</c:v>
                </c:pt>
                <c:pt idx="671">
                  <c:v>1401058.8977777779</c:v>
                </c:pt>
                <c:pt idx="672">
                  <c:v>1401058.8977777779</c:v>
                </c:pt>
                <c:pt idx="673">
                  <c:v>1401058.8977777779</c:v>
                </c:pt>
                <c:pt idx="674">
                  <c:v>1401058.8977777779</c:v>
                </c:pt>
                <c:pt idx="675">
                  <c:v>1401058.8977777779</c:v>
                </c:pt>
                <c:pt idx="676">
                  <c:v>1401058.8977777779</c:v>
                </c:pt>
                <c:pt idx="677">
                  <c:v>1401058.8977777779</c:v>
                </c:pt>
                <c:pt idx="678">
                  <c:v>1401058.8977777779</c:v>
                </c:pt>
                <c:pt idx="679">
                  <c:v>1401058.8977777779</c:v>
                </c:pt>
                <c:pt idx="680">
                  <c:v>1401058.8977777779</c:v>
                </c:pt>
                <c:pt idx="681">
                  <c:v>1401058.8977777779</c:v>
                </c:pt>
                <c:pt idx="682">
                  <c:v>1401058.8977777779</c:v>
                </c:pt>
                <c:pt idx="683">
                  <c:v>1401058.8977777779</c:v>
                </c:pt>
                <c:pt idx="684">
                  <c:v>1401058.8977777779</c:v>
                </c:pt>
                <c:pt idx="685">
                  <c:v>1401058.8977777779</c:v>
                </c:pt>
                <c:pt idx="686">
                  <c:v>1401058.8977777779</c:v>
                </c:pt>
                <c:pt idx="687">
                  <c:v>1401058.8977777779</c:v>
                </c:pt>
                <c:pt idx="688">
                  <c:v>1401058.8977777779</c:v>
                </c:pt>
                <c:pt idx="689">
                  <c:v>1401058.8977777779</c:v>
                </c:pt>
                <c:pt idx="690">
                  <c:v>1401058.8977777779</c:v>
                </c:pt>
                <c:pt idx="691">
                  <c:v>1401058.8977777779</c:v>
                </c:pt>
                <c:pt idx="692">
                  <c:v>1401058.8977777779</c:v>
                </c:pt>
                <c:pt idx="693">
                  <c:v>1401058.8977777779</c:v>
                </c:pt>
                <c:pt idx="694">
                  <c:v>1401058.8977777779</c:v>
                </c:pt>
                <c:pt idx="695">
                  <c:v>1401058.8977777779</c:v>
                </c:pt>
                <c:pt idx="696">
                  <c:v>1401058.8977777779</c:v>
                </c:pt>
                <c:pt idx="697">
                  <c:v>1401058.8977777779</c:v>
                </c:pt>
                <c:pt idx="698">
                  <c:v>1401058.8977777779</c:v>
                </c:pt>
                <c:pt idx="699">
                  <c:v>1401058.8977777779</c:v>
                </c:pt>
                <c:pt idx="700">
                  <c:v>1401058.8977777779</c:v>
                </c:pt>
                <c:pt idx="701">
                  <c:v>1401058.8977777779</c:v>
                </c:pt>
                <c:pt idx="702">
                  <c:v>1401058.8977777779</c:v>
                </c:pt>
                <c:pt idx="703">
                  <c:v>1401058.8977777779</c:v>
                </c:pt>
                <c:pt idx="704">
                  <c:v>1401058.8977777779</c:v>
                </c:pt>
                <c:pt idx="705">
                  <c:v>1401058.8977777779</c:v>
                </c:pt>
                <c:pt idx="706">
                  <c:v>1401058.8977777779</c:v>
                </c:pt>
                <c:pt idx="707">
                  <c:v>1401058.8977777779</c:v>
                </c:pt>
                <c:pt idx="708">
                  <c:v>1401058.8977777779</c:v>
                </c:pt>
                <c:pt idx="709">
                  <c:v>1401058.8977777779</c:v>
                </c:pt>
                <c:pt idx="710">
                  <c:v>1401058.8977777779</c:v>
                </c:pt>
                <c:pt idx="711">
                  <c:v>1401058.8977777779</c:v>
                </c:pt>
                <c:pt idx="712">
                  <c:v>1401058.8977777779</c:v>
                </c:pt>
                <c:pt idx="713">
                  <c:v>1401058.8977777779</c:v>
                </c:pt>
                <c:pt idx="714">
                  <c:v>1401058.8977777779</c:v>
                </c:pt>
                <c:pt idx="715">
                  <c:v>1401058.8977777779</c:v>
                </c:pt>
                <c:pt idx="716">
                  <c:v>1401058.8977777779</c:v>
                </c:pt>
                <c:pt idx="717">
                  <c:v>1401058.8977777779</c:v>
                </c:pt>
                <c:pt idx="718">
                  <c:v>1401058.8977777779</c:v>
                </c:pt>
                <c:pt idx="719">
                  <c:v>1401058.8977777779</c:v>
                </c:pt>
                <c:pt idx="720">
                  <c:v>1401058.8977777779</c:v>
                </c:pt>
                <c:pt idx="721">
                  <c:v>1401058.8977777779</c:v>
                </c:pt>
                <c:pt idx="722">
                  <c:v>1401058.8977777779</c:v>
                </c:pt>
                <c:pt idx="723">
                  <c:v>1401058.8977777779</c:v>
                </c:pt>
                <c:pt idx="724">
                  <c:v>1401058.8977777779</c:v>
                </c:pt>
                <c:pt idx="725">
                  <c:v>1401058.8977777779</c:v>
                </c:pt>
                <c:pt idx="726">
                  <c:v>1401058.8977777779</c:v>
                </c:pt>
                <c:pt idx="727">
                  <c:v>1401058.8977777779</c:v>
                </c:pt>
                <c:pt idx="728">
                  <c:v>1401058.8977777779</c:v>
                </c:pt>
                <c:pt idx="729">
                  <c:v>1401058.8977777779</c:v>
                </c:pt>
                <c:pt idx="730">
                  <c:v>1401058.8977777779</c:v>
                </c:pt>
                <c:pt idx="731">
                  <c:v>1401058.8977777779</c:v>
                </c:pt>
                <c:pt idx="732">
                  <c:v>1401058.8977777779</c:v>
                </c:pt>
                <c:pt idx="733">
                  <c:v>1401058.8977777779</c:v>
                </c:pt>
                <c:pt idx="734">
                  <c:v>1401058.8977777779</c:v>
                </c:pt>
                <c:pt idx="735">
                  <c:v>1401058.8977777779</c:v>
                </c:pt>
                <c:pt idx="736">
                  <c:v>1401058.8977777779</c:v>
                </c:pt>
                <c:pt idx="737">
                  <c:v>1401058.8977777779</c:v>
                </c:pt>
                <c:pt idx="738">
                  <c:v>1401058.8977777779</c:v>
                </c:pt>
                <c:pt idx="739">
                  <c:v>1401058.8977777779</c:v>
                </c:pt>
                <c:pt idx="740">
                  <c:v>1401058.8977777779</c:v>
                </c:pt>
                <c:pt idx="741">
                  <c:v>1401058.8977777779</c:v>
                </c:pt>
                <c:pt idx="742">
                  <c:v>1401058.8977777779</c:v>
                </c:pt>
                <c:pt idx="743">
                  <c:v>1401058.8977777779</c:v>
                </c:pt>
                <c:pt idx="744">
                  <c:v>1401058.8977777779</c:v>
                </c:pt>
                <c:pt idx="745">
                  <c:v>1401058.8977777779</c:v>
                </c:pt>
                <c:pt idx="746">
                  <c:v>1401058.8977777779</c:v>
                </c:pt>
                <c:pt idx="747">
                  <c:v>1401058.8977777779</c:v>
                </c:pt>
                <c:pt idx="748">
                  <c:v>1401058.8977777779</c:v>
                </c:pt>
                <c:pt idx="749">
                  <c:v>1401058.8977777779</c:v>
                </c:pt>
                <c:pt idx="750">
                  <c:v>1401058.8977777779</c:v>
                </c:pt>
                <c:pt idx="751">
                  <c:v>1401058.8977777779</c:v>
                </c:pt>
                <c:pt idx="752">
                  <c:v>1401058.8977777779</c:v>
                </c:pt>
                <c:pt idx="753">
                  <c:v>1401058.8977777779</c:v>
                </c:pt>
                <c:pt idx="754">
                  <c:v>1401058.8977777779</c:v>
                </c:pt>
                <c:pt idx="755">
                  <c:v>1401058.8977777779</c:v>
                </c:pt>
                <c:pt idx="756">
                  <c:v>1401058.8977777779</c:v>
                </c:pt>
                <c:pt idx="757">
                  <c:v>1401058.8977777779</c:v>
                </c:pt>
                <c:pt idx="758">
                  <c:v>1401058.8977777779</c:v>
                </c:pt>
                <c:pt idx="759">
                  <c:v>1401058.8977777779</c:v>
                </c:pt>
                <c:pt idx="760">
                  <c:v>1401058.8977777779</c:v>
                </c:pt>
                <c:pt idx="761">
                  <c:v>1401058.8977777779</c:v>
                </c:pt>
                <c:pt idx="762">
                  <c:v>1401058.8977777779</c:v>
                </c:pt>
                <c:pt idx="763">
                  <c:v>1401058.8977777779</c:v>
                </c:pt>
                <c:pt idx="764">
                  <c:v>1401058.8977777779</c:v>
                </c:pt>
                <c:pt idx="765">
                  <c:v>1401058.8977777779</c:v>
                </c:pt>
                <c:pt idx="766">
                  <c:v>1401058.8977777779</c:v>
                </c:pt>
                <c:pt idx="767">
                  <c:v>1401058.8977777779</c:v>
                </c:pt>
                <c:pt idx="768">
                  <c:v>1401058.8977777779</c:v>
                </c:pt>
                <c:pt idx="769">
                  <c:v>1401058.8977777779</c:v>
                </c:pt>
                <c:pt idx="770">
                  <c:v>1401058.8977777779</c:v>
                </c:pt>
                <c:pt idx="771">
                  <c:v>1401058.8977777779</c:v>
                </c:pt>
                <c:pt idx="772">
                  <c:v>1401058.8977777779</c:v>
                </c:pt>
                <c:pt idx="773">
                  <c:v>1401058.8977777779</c:v>
                </c:pt>
                <c:pt idx="774">
                  <c:v>1401058.8977777779</c:v>
                </c:pt>
                <c:pt idx="775">
                  <c:v>1401058.8977777779</c:v>
                </c:pt>
                <c:pt idx="776">
                  <c:v>1401058.8977777779</c:v>
                </c:pt>
                <c:pt idx="777">
                  <c:v>1401058.8977777779</c:v>
                </c:pt>
                <c:pt idx="778">
                  <c:v>1401058.8977777779</c:v>
                </c:pt>
                <c:pt idx="779">
                  <c:v>1401058.8977777779</c:v>
                </c:pt>
                <c:pt idx="780">
                  <c:v>1401058.8977777779</c:v>
                </c:pt>
                <c:pt idx="781">
                  <c:v>1401058.8977777779</c:v>
                </c:pt>
                <c:pt idx="782">
                  <c:v>1401058.8977777779</c:v>
                </c:pt>
                <c:pt idx="783">
                  <c:v>1401058.8977777779</c:v>
                </c:pt>
                <c:pt idx="784">
                  <c:v>1401058.8977777779</c:v>
                </c:pt>
                <c:pt idx="785">
                  <c:v>1401058.8977777779</c:v>
                </c:pt>
                <c:pt idx="786">
                  <c:v>1401058.8977777779</c:v>
                </c:pt>
                <c:pt idx="787">
                  <c:v>1401058.8977777779</c:v>
                </c:pt>
                <c:pt idx="788">
                  <c:v>1401058.8977777779</c:v>
                </c:pt>
                <c:pt idx="789">
                  <c:v>1401058.8977777779</c:v>
                </c:pt>
                <c:pt idx="790">
                  <c:v>1401058.8977777779</c:v>
                </c:pt>
                <c:pt idx="791">
                  <c:v>1401058.8977777779</c:v>
                </c:pt>
                <c:pt idx="792">
                  <c:v>1401058.8977777779</c:v>
                </c:pt>
                <c:pt idx="793">
                  <c:v>1401058.8977777779</c:v>
                </c:pt>
                <c:pt idx="794">
                  <c:v>1401058.8977777779</c:v>
                </c:pt>
                <c:pt idx="795">
                  <c:v>1401058.8977777779</c:v>
                </c:pt>
                <c:pt idx="796">
                  <c:v>1401058.8977777779</c:v>
                </c:pt>
                <c:pt idx="797">
                  <c:v>1401058.8977777779</c:v>
                </c:pt>
                <c:pt idx="798">
                  <c:v>1401058.8977777779</c:v>
                </c:pt>
                <c:pt idx="799">
                  <c:v>1401058.8977777779</c:v>
                </c:pt>
                <c:pt idx="800">
                  <c:v>1401058.8977777779</c:v>
                </c:pt>
                <c:pt idx="801">
                  <c:v>1401058.8977777779</c:v>
                </c:pt>
                <c:pt idx="802">
                  <c:v>1401058.8977777779</c:v>
                </c:pt>
                <c:pt idx="803">
                  <c:v>1401058.8977777779</c:v>
                </c:pt>
                <c:pt idx="804">
                  <c:v>1401058.8977777779</c:v>
                </c:pt>
                <c:pt idx="805">
                  <c:v>1401058.8977777779</c:v>
                </c:pt>
                <c:pt idx="806">
                  <c:v>1401058.8977777779</c:v>
                </c:pt>
                <c:pt idx="807">
                  <c:v>1401058.8977777779</c:v>
                </c:pt>
                <c:pt idx="808">
                  <c:v>1401058.8977777779</c:v>
                </c:pt>
                <c:pt idx="809">
                  <c:v>1401058.8977777779</c:v>
                </c:pt>
                <c:pt idx="810">
                  <c:v>1401058.8977777779</c:v>
                </c:pt>
                <c:pt idx="811">
                  <c:v>1401058.8977777779</c:v>
                </c:pt>
                <c:pt idx="812">
                  <c:v>1401058.8977777779</c:v>
                </c:pt>
                <c:pt idx="813">
                  <c:v>1401058.8977777779</c:v>
                </c:pt>
                <c:pt idx="814">
                  <c:v>1401058.8977777779</c:v>
                </c:pt>
                <c:pt idx="815">
                  <c:v>1401058.8977777779</c:v>
                </c:pt>
                <c:pt idx="816">
                  <c:v>1401058.8977777779</c:v>
                </c:pt>
                <c:pt idx="817">
                  <c:v>1401058.8977777779</c:v>
                </c:pt>
                <c:pt idx="818">
                  <c:v>1401058.8977777779</c:v>
                </c:pt>
                <c:pt idx="819">
                  <c:v>1401058.8977777779</c:v>
                </c:pt>
                <c:pt idx="820">
                  <c:v>1401058.8977777779</c:v>
                </c:pt>
                <c:pt idx="821">
                  <c:v>1401058.8977777779</c:v>
                </c:pt>
                <c:pt idx="822">
                  <c:v>1401058.8977777779</c:v>
                </c:pt>
                <c:pt idx="823">
                  <c:v>1401058.8977777779</c:v>
                </c:pt>
                <c:pt idx="824">
                  <c:v>1401058.8977777779</c:v>
                </c:pt>
                <c:pt idx="825">
                  <c:v>1401058.8977777779</c:v>
                </c:pt>
                <c:pt idx="826">
                  <c:v>1401058.8977777779</c:v>
                </c:pt>
                <c:pt idx="827">
                  <c:v>1401058.8977777779</c:v>
                </c:pt>
                <c:pt idx="828">
                  <c:v>1401058.8977777779</c:v>
                </c:pt>
                <c:pt idx="829">
                  <c:v>1401058.8977777779</c:v>
                </c:pt>
                <c:pt idx="830">
                  <c:v>1401058.8977777779</c:v>
                </c:pt>
                <c:pt idx="831">
                  <c:v>1401058.8977777779</c:v>
                </c:pt>
                <c:pt idx="832">
                  <c:v>1401058.8977777779</c:v>
                </c:pt>
                <c:pt idx="833">
                  <c:v>1401058.8977777779</c:v>
                </c:pt>
                <c:pt idx="834">
                  <c:v>1401058.8977777779</c:v>
                </c:pt>
                <c:pt idx="835">
                  <c:v>1401058.8977777779</c:v>
                </c:pt>
                <c:pt idx="836">
                  <c:v>1401058.8977777779</c:v>
                </c:pt>
                <c:pt idx="837">
                  <c:v>1401058.8977777779</c:v>
                </c:pt>
                <c:pt idx="838">
                  <c:v>1401058.8977777779</c:v>
                </c:pt>
                <c:pt idx="839">
                  <c:v>1401058.8977777779</c:v>
                </c:pt>
                <c:pt idx="840">
                  <c:v>1401058.8977777779</c:v>
                </c:pt>
                <c:pt idx="841">
                  <c:v>1401058.8977777779</c:v>
                </c:pt>
                <c:pt idx="842">
                  <c:v>1401058.8977777779</c:v>
                </c:pt>
                <c:pt idx="843">
                  <c:v>1401058.8977777779</c:v>
                </c:pt>
                <c:pt idx="844">
                  <c:v>1401058.8977777779</c:v>
                </c:pt>
                <c:pt idx="845">
                  <c:v>1401058.8977777779</c:v>
                </c:pt>
                <c:pt idx="846">
                  <c:v>1401058.8977777779</c:v>
                </c:pt>
                <c:pt idx="847">
                  <c:v>1401058.8977777779</c:v>
                </c:pt>
                <c:pt idx="848">
                  <c:v>1401058.8977777779</c:v>
                </c:pt>
                <c:pt idx="849">
                  <c:v>1401058.8977777779</c:v>
                </c:pt>
                <c:pt idx="850">
                  <c:v>1401058.8977777779</c:v>
                </c:pt>
                <c:pt idx="851">
                  <c:v>1401058.8977777779</c:v>
                </c:pt>
                <c:pt idx="852">
                  <c:v>1401058.8977777779</c:v>
                </c:pt>
                <c:pt idx="853">
                  <c:v>1401058.8977777779</c:v>
                </c:pt>
                <c:pt idx="854">
                  <c:v>1401058.8977777779</c:v>
                </c:pt>
                <c:pt idx="855">
                  <c:v>1401058.8977777779</c:v>
                </c:pt>
                <c:pt idx="856">
                  <c:v>1401058.8977777779</c:v>
                </c:pt>
                <c:pt idx="857">
                  <c:v>1401058.8977777779</c:v>
                </c:pt>
                <c:pt idx="858">
                  <c:v>1401058.8977777779</c:v>
                </c:pt>
                <c:pt idx="859">
                  <c:v>1401058.8977777779</c:v>
                </c:pt>
                <c:pt idx="860">
                  <c:v>1401058.8977777779</c:v>
                </c:pt>
                <c:pt idx="861">
                  <c:v>1401058.8977777779</c:v>
                </c:pt>
                <c:pt idx="862">
                  <c:v>1401058.8977777779</c:v>
                </c:pt>
                <c:pt idx="863">
                  <c:v>1401058.8977777779</c:v>
                </c:pt>
                <c:pt idx="864">
                  <c:v>1401058.8977777779</c:v>
                </c:pt>
                <c:pt idx="865">
                  <c:v>1401058.8977777779</c:v>
                </c:pt>
                <c:pt idx="866">
                  <c:v>1401058.8977777779</c:v>
                </c:pt>
                <c:pt idx="867">
                  <c:v>1401058.8977777779</c:v>
                </c:pt>
                <c:pt idx="868">
                  <c:v>1401058.8977777779</c:v>
                </c:pt>
                <c:pt idx="869">
                  <c:v>1401058.8977777779</c:v>
                </c:pt>
                <c:pt idx="870">
                  <c:v>1401058.8977777779</c:v>
                </c:pt>
                <c:pt idx="871">
                  <c:v>1401058.8977777779</c:v>
                </c:pt>
                <c:pt idx="872">
                  <c:v>1401058.8977777779</c:v>
                </c:pt>
                <c:pt idx="873">
                  <c:v>1401058.8977777779</c:v>
                </c:pt>
                <c:pt idx="874">
                  <c:v>1401058.8977777779</c:v>
                </c:pt>
                <c:pt idx="875">
                  <c:v>1401058.8977777779</c:v>
                </c:pt>
                <c:pt idx="876">
                  <c:v>1401058.8977777779</c:v>
                </c:pt>
                <c:pt idx="877">
                  <c:v>1401058.8977777779</c:v>
                </c:pt>
                <c:pt idx="878">
                  <c:v>1401058.8977777779</c:v>
                </c:pt>
                <c:pt idx="879">
                  <c:v>1401058.8977777779</c:v>
                </c:pt>
                <c:pt idx="880">
                  <c:v>1401058.8977777779</c:v>
                </c:pt>
                <c:pt idx="881">
                  <c:v>1401058.8977777779</c:v>
                </c:pt>
                <c:pt idx="882">
                  <c:v>1401058.8977777779</c:v>
                </c:pt>
                <c:pt idx="883">
                  <c:v>1401058.8977777779</c:v>
                </c:pt>
                <c:pt idx="884">
                  <c:v>1401058.8977777779</c:v>
                </c:pt>
                <c:pt idx="885">
                  <c:v>1401058.8977777779</c:v>
                </c:pt>
                <c:pt idx="886">
                  <c:v>1401058.8977777779</c:v>
                </c:pt>
                <c:pt idx="887">
                  <c:v>1401058.8977777779</c:v>
                </c:pt>
                <c:pt idx="888">
                  <c:v>1401058.8977777779</c:v>
                </c:pt>
                <c:pt idx="889">
                  <c:v>1401058.8977777779</c:v>
                </c:pt>
                <c:pt idx="890">
                  <c:v>1401058.8977777779</c:v>
                </c:pt>
                <c:pt idx="891">
                  <c:v>1401058.8977777779</c:v>
                </c:pt>
                <c:pt idx="892">
                  <c:v>1401058.8977777779</c:v>
                </c:pt>
                <c:pt idx="893">
                  <c:v>1401058.8977777779</c:v>
                </c:pt>
                <c:pt idx="894">
                  <c:v>1401058.8977777779</c:v>
                </c:pt>
                <c:pt idx="895">
                  <c:v>1401058.8977777779</c:v>
                </c:pt>
                <c:pt idx="896">
                  <c:v>1401058.8977777779</c:v>
                </c:pt>
                <c:pt idx="897">
                  <c:v>1401058.8977777779</c:v>
                </c:pt>
                <c:pt idx="898">
                  <c:v>1401058.8977777779</c:v>
                </c:pt>
                <c:pt idx="899">
                  <c:v>1401058.8977777779</c:v>
                </c:pt>
                <c:pt idx="900">
                  <c:v>1401058.8977777779</c:v>
                </c:pt>
                <c:pt idx="901">
                  <c:v>1401058.8977777779</c:v>
                </c:pt>
                <c:pt idx="902">
                  <c:v>1401058.8977777779</c:v>
                </c:pt>
                <c:pt idx="903">
                  <c:v>1401058.8977777779</c:v>
                </c:pt>
                <c:pt idx="904">
                  <c:v>1401058.8977777779</c:v>
                </c:pt>
                <c:pt idx="905">
                  <c:v>1401058.8977777779</c:v>
                </c:pt>
                <c:pt idx="906">
                  <c:v>1401058.8977777779</c:v>
                </c:pt>
                <c:pt idx="907">
                  <c:v>1401058.8977777779</c:v>
                </c:pt>
                <c:pt idx="908">
                  <c:v>1401058.8977777779</c:v>
                </c:pt>
                <c:pt idx="909">
                  <c:v>1401058.8977777779</c:v>
                </c:pt>
                <c:pt idx="910">
                  <c:v>1401058.8977777779</c:v>
                </c:pt>
                <c:pt idx="911">
                  <c:v>1401058.8977777779</c:v>
                </c:pt>
                <c:pt idx="912">
                  <c:v>1401058.8977777779</c:v>
                </c:pt>
                <c:pt idx="913">
                  <c:v>1401058.8977777779</c:v>
                </c:pt>
                <c:pt idx="914">
                  <c:v>1401058.8977777779</c:v>
                </c:pt>
                <c:pt idx="915">
                  <c:v>1401058.8977777779</c:v>
                </c:pt>
                <c:pt idx="916">
                  <c:v>1401058.8977777779</c:v>
                </c:pt>
                <c:pt idx="917">
                  <c:v>1401058.8977777779</c:v>
                </c:pt>
                <c:pt idx="918">
                  <c:v>1401058.8977777779</c:v>
                </c:pt>
                <c:pt idx="919">
                  <c:v>1401058.8977777779</c:v>
                </c:pt>
                <c:pt idx="920">
                  <c:v>1401058.8977777779</c:v>
                </c:pt>
                <c:pt idx="921">
                  <c:v>1401058.8977777779</c:v>
                </c:pt>
                <c:pt idx="922">
                  <c:v>1401058.8977777779</c:v>
                </c:pt>
                <c:pt idx="923">
                  <c:v>1401058.8977777779</c:v>
                </c:pt>
                <c:pt idx="924">
                  <c:v>1401058.8977777779</c:v>
                </c:pt>
                <c:pt idx="925">
                  <c:v>1401058.8977777779</c:v>
                </c:pt>
                <c:pt idx="926">
                  <c:v>1401058.8977777779</c:v>
                </c:pt>
                <c:pt idx="927">
                  <c:v>1401058.8977777779</c:v>
                </c:pt>
                <c:pt idx="928">
                  <c:v>1401058.8977777779</c:v>
                </c:pt>
                <c:pt idx="929">
                  <c:v>1401058.8977777779</c:v>
                </c:pt>
                <c:pt idx="930">
                  <c:v>1401058.8977777779</c:v>
                </c:pt>
                <c:pt idx="931">
                  <c:v>1401058.8977777779</c:v>
                </c:pt>
                <c:pt idx="932">
                  <c:v>1401058.8977777779</c:v>
                </c:pt>
                <c:pt idx="933">
                  <c:v>1401058.8977777779</c:v>
                </c:pt>
                <c:pt idx="934">
                  <c:v>1401058.8977777779</c:v>
                </c:pt>
                <c:pt idx="935">
                  <c:v>1401058.8977777779</c:v>
                </c:pt>
                <c:pt idx="936">
                  <c:v>1401058.8977777779</c:v>
                </c:pt>
                <c:pt idx="937">
                  <c:v>1401058.8977777779</c:v>
                </c:pt>
                <c:pt idx="938">
                  <c:v>1401058.8977777779</c:v>
                </c:pt>
                <c:pt idx="939">
                  <c:v>1401058.8977777779</c:v>
                </c:pt>
                <c:pt idx="940">
                  <c:v>1401058.8977777779</c:v>
                </c:pt>
                <c:pt idx="941">
                  <c:v>1401058.8977777779</c:v>
                </c:pt>
                <c:pt idx="942">
                  <c:v>1401058.8977777779</c:v>
                </c:pt>
                <c:pt idx="943">
                  <c:v>1401058.8977777779</c:v>
                </c:pt>
                <c:pt idx="944">
                  <c:v>1401058.8977777779</c:v>
                </c:pt>
                <c:pt idx="945">
                  <c:v>1401058.8977777779</c:v>
                </c:pt>
                <c:pt idx="946">
                  <c:v>1401058.8977777779</c:v>
                </c:pt>
                <c:pt idx="947">
                  <c:v>1401058.8977777779</c:v>
                </c:pt>
                <c:pt idx="948">
                  <c:v>1401058.8977777779</c:v>
                </c:pt>
                <c:pt idx="949">
                  <c:v>1401058.8977777779</c:v>
                </c:pt>
                <c:pt idx="950">
                  <c:v>1401058.8977777779</c:v>
                </c:pt>
                <c:pt idx="951">
                  <c:v>1401058.8977777779</c:v>
                </c:pt>
                <c:pt idx="952">
                  <c:v>1401058.8977777779</c:v>
                </c:pt>
                <c:pt idx="953">
                  <c:v>1401058.8977777779</c:v>
                </c:pt>
                <c:pt idx="954">
                  <c:v>1401058.8977777779</c:v>
                </c:pt>
                <c:pt idx="955">
                  <c:v>1401058.8977777779</c:v>
                </c:pt>
                <c:pt idx="956">
                  <c:v>1401058.8977777779</c:v>
                </c:pt>
                <c:pt idx="957">
                  <c:v>1401058.8977777779</c:v>
                </c:pt>
                <c:pt idx="958">
                  <c:v>1401058.8977777779</c:v>
                </c:pt>
                <c:pt idx="959">
                  <c:v>1401058.8977777779</c:v>
                </c:pt>
                <c:pt idx="960">
                  <c:v>1401058.8977777779</c:v>
                </c:pt>
                <c:pt idx="961">
                  <c:v>1401058.8977777779</c:v>
                </c:pt>
                <c:pt idx="962">
                  <c:v>1401058.8977777779</c:v>
                </c:pt>
                <c:pt idx="963">
                  <c:v>1401058.8977777779</c:v>
                </c:pt>
                <c:pt idx="964">
                  <c:v>1401058.8977777779</c:v>
                </c:pt>
                <c:pt idx="965">
                  <c:v>1401058.8977777779</c:v>
                </c:pt>
                <c:pt idx="966">
                  <c:v>1401058.8977777779</c:v>
                </c:pt>
                <c:pt idx="967">
                  <c:v>1401058.8977777779</c:v>
                </c:pt>
                <c:pt idx="968">
                  <c:v>1401058.8977777779</c:v>
                </c:pt>
                <c:pt idx="969">
                  <c:v>1401058.8977777779</c:v>
                </c:pt>
                <c:pt idx="970">
                  <c:v>1401058.8977777779</c:v>
                </c:pt>
                <c:pt idx="971">
                  <c:v>1401058.8977777779</c:v>
                </c:pt>
                <c:pt idx="972">
                  <c:v>1401058.8977777779</c:v>
                </c:pt>
                <c:pt idx="973">
                  <c:v>1401058.8977777779</c:v>
                </c:pt>
                <c:pt idx="974">
                  <c:v>1401058.8977777779</c:v>
                </c:pt>
                <c:pt idx="975">
                  <c:v>1401058.8977777779</c:v>
                </c:pt>
                <c:pt idx="976">
                  <c:v>1401058.8977777779</c:v>
                </c:pt>
                <c:pt idx="977">
                  <c:v>1401058.8977777779</c:v>
                </c:pt>
                <c:pt idx="978">
                  <c:v>1401058.8977777779</c:v>
                </c:pt>
                <c:pt idx="979">
                  <c:v>1401058.8977777779</c:v>
                </c:pt>
                <c:pt idx="980">
                  <c:v>1401058.8977777779</c:v>
                </c:pt>
                <c:pt idx="981">
                  <c:v>1401058.8977777779</c:v>
                </c:pt>
                <c:pt idx="982">
                  <c:v>1401058.8977777779</c:v>
                </c:pt>
                <c:pt idx="983">
                  <c:v>1401058.8977777779</c:v>
                </c:pt>
                <c:pt idx="984">
                  <c:v>1401058.8977777779</c:v>
                </c:pt>
                <c:pt idx="985">
                  <c:v>1401058.8977777779</c:v>
                </c:pt>
                <c:pt idx="986">
                  <c:v>1401058.8977777779</c:v>
                </c:pt>
                <c:pt idx="987">
                  <c:v>1401058.8977777779</c:v>
                </c:pt>
                <c:pt idx="988">
                  <c:v>1401058.8977777779</c:v>
                </c:pt>
                <c:pt idx="989">
                  <c:v>1401058.8977777779</c:v>
                </c:pt>
                <c:pt idx="990">
                  <c:v>1401058.8977777779</c:v>
                </c:pt>
                <c:pt idx="991">
                  <c:v>1401058.8977777779</c:v>
                </c:pt>
                <c:pt idx="992">
                  <c:v>1401058.8977777779</c:v>
                </c:pt>
                <c:pt idx="993">
                  <c:v>1401058.8977777779</c:v>
                </c:pt>
                <c:pt idx="994">
                  <c:v>1401058.8977777779</c:v>
                </c:pt>
                <c:pt idx="995">
                  <c:v>1401058.8977777779</c:v>
                </c:pt>
                <c:pt idx="996">
                  <c:v>1401058.8977777779</c:v>
                </c:pt>
                <c:pt idx="997">
                  <c:v>1401058.8977777779</c:v>
                </c:pt>
                <c:pt idx="998">
                  <c:v>1401058.8977777779</c:v>
                </c:pt>
                <c:pt idx="999">
                  <c:v>1401058.8977777779</c:v>
                </c:pt>
                <c:pt idx="1000">
                  <c:v>1401058.8977777779</c:v>
                </c:pt>
                <c:pt idx="1001">
                  <c:v>1401058.8977777779</c:v>
                </c:pt>
                <c:pt idx="1002">
                  <c:v>1401058.8977777779</c:v>
                </c:pt>
                <c:pt idx="1003">
                  <c:v>1401058.8977777779</c:v>
                </c:pt>
                <c:pt idx="1004">
                  <c:v>1401058.8977777779</c:v>
                </c:pt>
                <c:pt idx="1005">
                  <c:v>1401058.8977777779</c:v>
                </c:pt>
                <c:pt idx="1006">
                  <c:v>1401058.8977777779</c:v>
                </c:pt>
                <c:pt idx="1007">
                  <c:v>1401058.8977777779</c:v>
                </c:pt>
                <c:pt idx="1008">
                  <c:v>1401058.8977777779</c:v>
                </c:pt>
                <c:pt idx="1009">
                  <c:v>1401058.8977777779</c:v>
                </c:pt>
                <c:pt idx="1010">
                  <c:v>1401058.8977777779</c:v>
                </c:pt>
                <c:pt idx="1011">
                  <c:v>1401058.8977777779</c:v>
                </c:pt>
                <c:pt idx="1012">
                  <c:v>1401058.8977777779</c:v>
                </c:pt>
                <c:pt idx="1013">
                  <c:v>1401058.8977777779</c:v>
                </c:pt>
                <c:pt idx="1014">
                  <c:v>1401058.8977777779</c:v>
                </c:pt>
                <c:pt idx="1015">
                  <c:v>1401058.8977777779</c:v>
                </c:pt>
                <c:pt idx="1016">
                  <c:v>1401058.8977777779</c:v>
                </c:pt>
                <c:pt idx="1017">
                  <c:v>1401058.8977777779</c:v>
                </c:pt>
                <c:pt idx="1018">
                  <c:v>1401058.8977777779</c:v>
                </c:pt>
                <c:pt idx="1019">
                  <c:v>1401058.8977777779</c:v>
                </c:pt>
                <c:pt idx="1020">
                  <c:v>1401058.8977777779</c:v>
                </c:pt>
                <c:pt idx="1021">
                  <c:v>1401058.8977777779</c:v>
                </c:pt>
                <c:pt idx="1022">
                  <c:v>1401058.8977777779</c:v>
                </c:pt>
                <c:pt idx="1023">
                  <c:v>1401058.8977777779</c:v>
                </c:pt>
                <c:pt idx="1024">
                  <c:v>1401058.8977777779</c:v>
                </c:pt>
                <c:pt idx="1025">
                  <c:v>1401058.8977777779</c:v>
                </c:pt>
                <c:pt idx="1026">
                  <c:v>1401058.8977777779</c:v>
                </c:pt>
                <c:pt idx="1027">
                  <c:v>1401058.8977777779</c:v>
                </c:pt>
                <c:pt idx="1028">
                  <c:v>1401058.8977777779</c:v>
                </c:pt>
                <c:pt idx="1029">
                  <c:v>1401058.8977777779</c:v>
                </c:pt>
                <c:pt idx="1030">
                  <c:v>1401058.8977777779</c:v>
                </c:pt>
                <c:pt idx="1031">
                  <c:v>1401058.8977777779</c:v>
                </c:pt>
                <c:pt idx="1032">
                  <c:v>1401058.8977777779</c:v>
                </c:pt>
                <c:pt idx="1033">
                  <c:v>1401058.8977777779</c:v>
                </c:pt>
                <c:pt idx="1034">
                  <c:v>1401058.8977777779</c:v>
                </c:pt>
                <c:pt idx="1035">
                  <c:v>1401058.8977777779</c:v>
                </c:pt>
                <c:pt idx="1036">
                  <c:v>1401058.8977777779</c:v>
                </c:pt>
                <c:pt idx="1037">
                  <c:v>1401058.8977777779</c:v>
                </c:pt>
                <c:pt idx="1038">
                  <c:v>1401058.8977777779</c:v>
                </c:pt>
                <c:pt idx="1039">
                  <c:v>1401058.8977777779</c:v>
                </c:pt>
                <c:pt idx="1040">
                  <c:v>1401058.8977777779</c:v>
                </c:pt>
                <c:pt idx="1041">
                  <c:v>1401058.8977777779</c:v>
                </c:pt>
                <c:pt idx="1042">
                  <c:v>1401058.8977777779</c:v>
                </c:pt>
                <c:pt idx="1043">
                  <c:v>1401058.8977777779</c:v>
                </c:pt>
                <c:pt idx="1044">
                  <c:v>1401058.8977777779</c:v>
                </c:pt>
                <c:pt idx="1045">
                  <c:v>1401058.8977777779</c:v>
                </c:pt>
                <c:pt idx="1046">
                  <c:v>1401058.8977777779</c:v>
                </c:pt>
                <c:pt idx="1047">
                  <c:v>1401058.8977777779</c:v>
                </c:pt>
                <c:pt idx="1048">
                  <c:v>1401058.8977777779</c:v>
                </c:pt>
                <c:pt idx="1049">
                  <c:v>1401058.8977777779</c:v>
                </c:pt>
                <c:pt idx="1050">
                  <c:v>1401058.8977777779</c:v>
                </c:pt>
                <c:pt idx="1051">
                  <c:v>1401058.8977777779</c:v>
                </c:pt>
                <c:pt idx="1052">
                  <c:v>1401058.8977777779</c:v>
                </c:pt>
                <c:pt idx="1053">
                  <c:v>1401058.8977777779</c:v>
                </c:pt>
                <c:pt idx="1054">
                  <c:v>1401058.8977777779</c:v>
                </c:pt>
                <c:pt idx="1055">
                  <c:v>1401058.8977777779</c:v>
                </c:pt>
                <c:pt idx="1056">
                  <c:v>1401058.8977777779</c:v>
                </c:pt>
                <c:pt idx="1057">
                  <c:v>1401058.8977777779</c:v>
                </c:pt>
                <c:pt idx="1058">
                  <c:v>1401058.8977777779</c:v>
                </c:pt>
                <c:pt idx="1059">
                  <c:v>1401058.8977777779</c:v>
                </c:pt>
                <c:pt idx="1060">
                  <c:v>1401058.8977777779</c:v>
                </c:pt>
                <c:pt idx="1061">
                  <c:v>1401058.8977777779</c:v>
                </c:pt>
                <c:pt idx="1062">
                  <c:v>1401058.8977777779</c:v>
                </c:pt>
                <c:pt idx="1063">
                  <c:v>1401058.8977777779</c:v>
                </c:pt>
                <c:pt idx="1064">
                  <c:v>1401058.8977777779</c:v>
                </c:pt>
                <c:pt idx="1065">
                  <c:v>1401058.8977777779</c:v>
                </c:pt>
                <c:pt idx="1066">
                  <c:v>1401058.8977777779</c:v>
                </c:pt>
                <c:pt idx="1067">
                  <c:v>1401058.8977777779</c:v>
                </c:pt>
                <c:pt idx="1068">
                  <c:v>1401058.8977777779</c:v>
                </c:pt>
                <c:pt idx="1069">
                  <c:v>1401058.8977777779</c:v>
                </c:pt>
                <c:pt idx="1070">
                  <c:v>1401058.8977777779</c:v>
                </c:pt>
                <c:pt idx="1071">
                  <c:v>1401058.8977777779</c:v>
                </c:pt>
                <c:pt idx="1072">
                  <c:v>1401058.8977777779</c:v>
                </c:pt>
                <c:pt idx="1073">
                  <c:v>1401058.8977777779</c:v>
                </c:pt>
                <c:pt idx="1074">
                  <c:v>1401058.8977777779</c:v>
                </c:pt>
                <c:pt idx="1075">
                  <c:v>1401058.8977777779</c:v>
                </c:pt>
                <c:pt idx="1076">
                  <c:v>1401058.8977777779</c:v>
                </c:pt>
                <c:pt idx="1077">
                  <c:v>1401058.8977777779</c:v>
                </c:pt>
                <c:pt idx="1078">
                  <c:v>1401058.8977777779</c:v>
                </c:pt>
                <c:pt idx="1079">
                  <c:v>1401058.8977777779</c:v>
                </c:pt>
                <c:pt idx="1080">
                  <c:v>1401058.8977777779</c:v>
                </c:pt>
                <c:pt idx="1081">
                  <c:v>1401058.8977777779</c:v>
                </c:pt>
                <c:pt idx="1082">
                  <c:v>1401058.8977777779</c:v>
                </c:pt>
                <c:pt idx="1083">
                  <c:v>1401058.8977777779</c:v>
                </c:pt>
                <c:pt idx="1084">
                  <c:v>1401058.8977777779</c:v>
                </c:pt>
                <c:pt idx="1085">
                  <c:v>1401058.8977777779</c:v>
                </c:pt>
                <c:pt idx="1086">
                  <c:v>1401058.8977777779</c:v>
                </c:pt>
                <c:pt idx="1087">
                  <c:v>1401058.8977777779</c:v>
                </c:pt>
                <c:pt idx="1088">
                  <c:v>1401058.8977777779</c:v>
                </c:pt>
                <c:pt idx="1089">
                  <c:v>1401058.8977777779</c:v>
                </c:pt>
                <c:pt idx="1090">
                  <c:v>1401058.8977777779</c:v>
                </c:pt>
                <c:pt idx="1091">
                  <c:v>1401058.8977777779</c:v>
                </c:pt>
                <c:pt idx="1092">
                  <c:v>1401058.8977777779</c:v>
                </c:pt>
                <c:pt idx="1093">
                  <c:v>1401058.8977777779</c:v>
                </c:pt>
                <c:pt idx="1094">
                  <c:v>1401058.8977777779</c:v>
                </c:pt>
                <c:pt idx="1095">
                  <c:v>1401058.8977777779</c:v>
                </c:pt>
                <c:pt idx="1096">
                  <c:v>1401058.8977777779</c:v>
                </c:pt>
                <c:pt idx="1097">
                  <c:v>1401058.8977777779</c:v>
                </c:pt>
                <c:pt idx="1098">
                  <c:v>1401058.8977777779</c:v>
                </c:pt>
                <c:pt idx="1099">
                  <c:v>1401058.8977777779</c:v>
                </c:pt>
                <c:pt idx="1100">
                  <c:v>1401058.8977777779</c:v>
                </c:pt>
                <c:pt idx="1101">
                  <c:v>1401058.8977777779</c:v>
                </c:pt>
                <c:pt idx="1102">
                  <c:v>1401058.8977777779</c:v>
                </c:pt>
                <c:pt idx="1103">
                  <c:v>1401058.8977777779</c:v>
                </c:pt>
                <c:pt idx="1104">
                  <c:v>1401058.8977777779</c:v>
                </c:pt>
                <c:pt idx="1105">
                  <c:v>1401058.8977777779</c:v>
                </c:pt>
                <c:pt idx="1106">
                  <c:v>1401058.8977777779</c:v>
                </c:pt>
                <c:pt idx="1107">
                  <c:v>1401058.8977777779</c:v>
                </c:pt>
                <c:pt idx="1108">
                  <c:v>1401058.8977777779</c:v>
                </c:pt>
                <c:pt idx="1109">
                  <c:v>1401058.8977777779</c:v>
                </c:pt>
                <c:pt idx="1110">
                  <c:v>1401058.8977777779</c:v>
                </c:pt>
                <c:pt idx="1111">
                  <c:v>1401058.8977777779</c:v>
                </c:pt>
                <c:pt idx="1112">
                  <c:v>1401058.8977777779</c:v>
                </c:pt>
                <c:pt idx="1113">
                  <c:v>1401058.8977777779</c:v>
                </c:pt>
                <c:pt idx="1114">
                  <c:v>1401058.8977777779</c:v>
                </c:pt>
                <c:pt idx="1115">
                  <c:v>1401058.8977777779</c:v>
                </c:pt>
                <c:pt idx="1116">
                  <c:v>1401058.8977777779</c:v>
                </c:pt>
                <c:pt idx="1117">
                  <c:v>1401058.8977777779</c:v>
                </c:pt>
                <c:pt idx="1118">
                  <c:v>1401058.8977777779</c:v>
                </c:pt>
                <c:pt idx="1119">
                  <c:v>1401058.8977777779</c:v>
                </c:pt>
                <c:pt idx="1120">
                  <c:v>1401058.8977777779</c:v>
                </c:pt>
                <c:pt idx="1121">
                  <c:v>1401058.8977777779</c:v>
                </c:pt>
                <c:pt idx="1122">
                  <c:v>1401058.8977777779</c:v>
                </c:pt>
                <c:pt idx="1123">
                  <c:v>1401058.8977777779</c:v>
                </c:pt>
                <c:pt idx="1124">
                  <c:v>1401058.8977777779</c:v>
                </c:pt>
                <c:pt idx="1125">
                  <c:v>1401058.8977777779</c:v>
                </c:pt>
                <c:pt idx="1126">
                  <c:v>1401058.8977777779</c:v>
                </c:pt>
                <c:pt idx="1127">
                  <c:v>1401058.8977777779</c:v>
                </c:pt>
                <c:pt idx="1128">
                  <c:v>1401058.8977777779</c:v>
                </c:pt>
                <c:pt idx="1129">
                  <c:v>1401058.8977777779</c:v>
                </c:pt>
                <c:pt idx="1130">
                  <c:v>1401058.8977777779</c:v>
                </c:pt>
                <c:pt idx="1131">
                  <c:v>1401058.8977777779</c:v>
                </c:pt>
                <c:pt idx="1132">
                  <c:v>1401058.8977777779</c:v>
                </c:pt>
                <c:pt idx="1133">
                  <c:v>1401058.8977777779</c:v>
                </c:pt>
                <c:pt idx="1134">
                  <c:v>1401058.8977777779</c:v>
                </c:pt>
                <c:pt idx="1135">
                  <c:v>1401058.8977777779</c:v>
                </c:pt>
                <c:pt idx="1136">
                  <c:v>1401058.8977777779</c:v>
                </c:pt>
                <c:pt idx="1137">
                  <c:v>1401058.8977777779</c:v>
                </c:pt>
                <c:pt idx="1138">
                  <c:v>1401058.8977777779</c:v>
                </c:pt>
                <c:pt idx="1139">
                  <c:v>1401058.8977777779</c:v>
                </c:pt>
                <c:pt idx="1140">
                  <c:v>1401058.8977777779</c:v>
                </c:pt>
                <c:pt idx="1141">
                  <c:v>1401058.8977777779</c:v>
                </c:pt>
                <c:pt idx="1142">
                  <c:v>1401058.8977777779</c:v>
                </c:pt>
                <c:pt idx="1143">
                  <c:v>1401058.8977777779</c:v>
                </c:pt>
                <c:pt idx="1144">
                  <c:v>1401058.8977777779</c:v>
                </c:pt>
                <c:pt idx="1145">
                  <c:v>1401058.8977777779</c:v>
                </c:pt>
                <c:pt idx="1146">
                  <c:v>1401058.8977777779</c:v>
                </c:pt>
                <c:pt idx="1147">
                  <c:v>1401058.8977777779</c:v>
                </c:pt>
                <c:pt idx="1148">
                  <c:v>1401058.8977777779</c:v>
                </c:pt>
                <c:pt idx="1149">
                  <c:v>1401058.8977777779</c:v>
                </c:pt>
                <c:pt idx="1150">
                  <c:v>1401058.8977777779</c:v>
                </c:pt>
                <c:pt idx="1151">
                  <c:v>1401058.8977777779</c:v>
                </c:pt>
                <c:pt idx="1152">
                  <c:v>1401058.8977777779</c:v>
                </c:pt>
                <c:pt idx="1153">
                  <c:v>1401058.8977777779</c:v>
                </c:pt>
                <c:pt idx="1154">
                  <c:v>1401058.8977777779</c:v>
                </c:pt>
                <c:pt idx="1155">
                  <c:v>1401058.8977777779</c:v>
                </c:pt>
                <c:pt idx="1156">
                  <c:v>1401058.8977777779</c:v>
                </c:pt>
                <c:pt idx="1157">
                  <c:v>1401058.8977777779</c:v>
                </c:pt>
                <c:pt idx="1158">
                  <c:v>1401058.8977777779</c:v>
                </c:pt>
                <c:pt idx="1159">
                  <c:v>1401058.8977777779</c:v>
                </c:pt>
                <c:pt idx="1160">
                  <c:v>1401058.8977777779</c:v>
                </c:pt>
                <c:pt idx="1161">
                  <c:v>1401058.8977777779</c:v>
                </c:pt>
                <c:pt idx="1162">
                  <c:v>1401058.8977777779</c:v>
                </c:pt>
                <c:pt idx="1163">
                  <c:v>1401058.8977777779</c:v>
                </c:pt>
                <c:pt idx="1164">
                  <c:v>1401058.8977777779</c:v>
                </c:pt>
                <c:pt idx="1165">
                  <c:v>1401058.8977777779</c:v>
                </c:pt>
                <c:pt idx="1166">
                  <c:v>1401058.8977777779</c:v>
                </c:pt>
                <c:pt idx="1167">
                  <c:v>1401058.8977777779</c:v>
                </c:pt>
                <c:pt idx="1168">
                  <c:v>1401058.8977777779</c:v>
                </c:pt>
                <c:pt idx="1169">
                  <c:v>1401058.8977777779</c:v>
                </c:pt>
                <c:pt idx="1170">
                  <c:v>1401058.8977777779</c:v>
                </c:pt>
                <c:pt idx="1171">
                  <c:v>1401058.8977777779</c:v>
                </c:pt>
                <c:pt idx="1172">
                  <c:v>1401058.8977777779</c:v>
                </c:pt>
                <c:pt idx="1173">
                  <c:v>1401058.8977777779</c:v>
                </c:pt>
                <c:pt idx="1174">
                  <c:v>1401058.8977777779</c:v>
                </c:pt>
                <c:pt idx="1175">
                  <c:v>1401058.8977777779</c:v>
                </c:pt>
                <c:pt idx="1176">
                  <c:v>1401058.8977777779</c:v>
                </c:pt>
                <c:pt idx="1177">
                  <c:v>1401058.8977777779</c:v>
                </c:pt>
                <c:pt idx="1178">
                  <c:v>1401058.8977777779</c:v>
                </c:pt>
                <c:pt idx="1179">
                  <c:v>1401058.8977777779</c:v>
                </c:pt>
                <c:pt idx="1180">
                  <c:v>1401058.8977777779</c:v>
                </c:pt>
                <c:pt idx="1181">
                  <c:v>1401058.8977777779</c:v>
                </c:pt>
                <c:pt idx="1182">
                  <c:v>1401058.8977777779</c:v>
                </c:pt>
                <c:pt idx="1183">
                  <c:v>1401058.8977777779</c:v>
                </c:pt>
                <c:pt idx="1184">
                  <c:v>1401058.8977777779</c:v>
                </c:pt>
                <c:pt idx="1185">
                  <c:v>1401058.8977777779</c:v>
                </c:pt>
                <c:pt idx="1186">
                  <c:v>1401058.8977777779</c:v>
                </c:pt>
                <c:pt idx="1187">
                  <c:v>1401058.8977777779</c:v>
                </c:pt>
                <c:pt idx="1188">
                  <c:v>1401058.8977777779</c:v>
                </c:pt>
                <c:pt idx="1189">
                  <c:v>1401058.8977777779</c:v>
                </c:pt>
                <c:pt idx="1190">
                  <c:v>1401058.8977777779</c:v>
                </c:pt>
                <c:pt idx="1191">
                  <c:v>1401058.8977777779</c:v>
                </c:pt>
                <c:pt idx="1192">
                  <c:v>1401058.8977777779</c:v>
                </c:pt>
                <c:pt idx="1193">
                  <c:v>1401058.8977777779</c:v>
                </c:pt>
                <c:pt idx="1194">
                  <c:v>1401058.8977777779</c:v>
                </c:pt>
                <c:pt idx="1195">
                  <c:v>1401058.8977777779</c:v>
                </c:pt>
                <c:pt idx="1196">
                  <c:v>1401058.8977777779</c:v>
                </c:pt>
                <c:pt idx="1197">
                  <c:v>1401058.8977777779</c:v>
                </c:pt>
                <c:pt idx="1198">
                  <c:v>1401058.8977777779</c:v>
                </c:pt>
                <c:pt idx="1199">
                  <c:v>1401058.8977777779</c:v>
                </c:pt>
                <c:pt idx="1200">
                  <c:v>1401058.8977777779</c:v>
                </c:pt>
                <c:pt idx="1201">
                  <c:v>1401058.8977777779</c:v>
                </c:pt>
                <c:pt idx="1202">
                  <c:v>1401058.8977777779</c:v>
                </c:pt>
                <c:pt idx="1203">
                  <c:v>1401058.8977777779</c:v>
                </c:pt>
                <c:pt idx="1204">
                  <c:v>1401058.8977777779</c:v>
                </c:pt>
                <c:pt idx="1205">
                  <c:v>1401058.8977777779</c:v>
                </c:pt>
                <c:pt idx="1206">
                  <c:v>1401058.8977777779</c:v>
                </c:pt>
                <c:pt idx="1207">
                  <c:v>1401058.8977777779</c:v>
                </c:pt>
                <c:pt idx="1208">
                  <c:v>1401058.8977777779</c:v>
                </c:pt>
                <c:pt idx="1209">
                  <c:v>1401058.8977777779</c:v>
                </c:pt>
                <c:pt idx="1210">
                  <c:v>1401058.8977777779</c:v>
                </c:pt>
                <c:pt idx="1211">
                  <c:v>1401058.8977777779</c:v>
                </c:pt>
                <c:pt idx="1212">
                  <c:v>1401058.8977777779</c:v>
                </c:pt>
                <c:pt idx="1213">
                  <c:v>1401058.8977777779</c:v>
                </c:pt>
                <c:pt idx="1214">
                  <c:v>1401058.8977777779</c:v>
                </c:pt>
                <c:pt idx="1215">
                  <c:v>1401058.8977777779</c:v>
                </c:pt>
                <c:pt idx="1216">
                  <c:v>1401058.8977777779</c:v>
                </c:pt>
                <c:pt idx="1217">
                  <c:v>1401058.8977777779</c:v>
                </c:pt>
                <c:pt idx="1218">
                  <c:v>1401058.8977777779</c:v>
                </c:pt>
                <c:pt idx="1219">
                  <c:v>1401058.8977777779</c:v>
                </c:pt>
                <c:pt idx="1220">
                  <c:v>1401058.8977777779</c:v>
                </c:pt>
                <c:pt idx="1221">
                  <c:v>1401058.8977777779</c:v>
                </c:pt>
                <c:pt idx="1222">
                  <c:v>1401058.8977777779</c:v>
                </c:pt>
                <c:pt idx="1223">
                  <c:v>1401058.8977777779</c:v>
                </c:pt>
                <c:pt idx="1224">
                  <c:v>1401058.8977777779</c:v>
                </c:pt>
                <c:pt idx="1225">
                  <c:v>1401058.8977777779</c:v>
                </c:pt>
                <c:pt idx="1226">
                  <c:v>1401058.8977777779</c:v>
                </c:pt>
                <c:pt idx="1227">
                  <c:v>1401058.8977777779</c:v>
                </c:pt>
                <c:pt idx="1228">
                  <c:v>1401058.8977777779</c:v>
                </c:pt>
                <c:pt idx="1229">
                  <c:v>1401058.8977777779</c:v>
                </c:pt>
                <c:pt idx="1230">
                  <c:v>1401058.8977777779</c:v>
                </c:pt>
                <c:pt idx="1231">
                  <c:v>1401058.8977777779</c:v>
                </c:pt>
                <c:pt idx="1232">
                  <c:v>1401058.8977777779</c:v>
                </c:pt>
                <c:pt idx="1233">
                  <c:v>1401058.8977777779</c:v>
                </c:pt>
                <c:pt idx="1234">
                  <c:v>1401058.8977777779</c:v>
                </c:pt>
                <c:pt idx="1235">
                  <c:v>1401058.8977777779</c:v>
                </c:pt>
                <c:pt idx="1236">
                  <c:v>1401058.8977777779</c:v>
                </c:pt>
                <c:pt idx="1237">
                  <c:v>1401058.8977777779</c:v>
                </c:pt>
                <c:pt idx="1238">
                  <c:v>1401058.8977777779</c:v>
                </c:pt>
                <c:pt idx="1239">
                  <c:v>1401058.8977777779</c:v>
                </c:pt>
                <c:pt idx="1240">
                  <c:v>1401058.8977777779</c:v>
                </c:pt>
                <c:pt idx="1241">
                  <c:v>1401058.8977777779</c:v>
                </c:pt>
                <c:pt idx="1242">
                  <c:v>1401058.8977777779</c:v>
                </c:pt>
                <c:pt idx="1243">
                  <c:v>1401058.8977777779</c:v>
                </c:pt>
                <c:pt idx="1244">
                  <c:v>1401058.8977777779</c:v>
                </c:pt>
                <c:pt idx="1245">
                  <c:v>1401058.8977777779</c:v>
                </c:pt>
                <c:pt idx="1246">
                  <c:v>1401058.8977777779</c:v>
                </c:pt>
                <c:pt idx="1247">
                  <c:v>1401058.8977777779</c:v>
                </c:pt>
                <c:pt idx="1248">
                  <c:v>1401058.8977777779</c:v>
                </c:pt>
                <c:pt idx="1249">
                  <c:v>1401058.8977777779</c:v>
                </c:pt>
                <c:pt idx="1250">
                  <c:v>1401058.8977777779</c:v>
                </c:pt>
                <c:pt idx="1251">
                  <c:v>1401058.8977777779</c:v>
                </c:pt>
                <c:pt idx="1252">
                  <c:v>1401058.8977777779</c:v>
                </c:pt>
                <c:pt idx="1253">
                  <c:v>1401058.8977777779</c:v>
                </c:pt>
                <c:pt idx="1254">
                  <c:v>1401058.8977777779</c:v>
                </c:pt>
                <c:pt idx="1255">
                  <c:v>1401058.8977777779</c:v>
                </c:pt>
                <c:pt idx="1256">
                  <c:v>1401058.8977777779</c:v>
                </c:pt>
                <c:pt idx="1257">
                  <c:v>1401058.8977777779</c:v>
                </c:pt>
                <c:pt idx="1258">
                  <c:v>1401058.8977777779</c:v>
                </c:pt>
                <c:pt idx="1259">
                  <c:v>1401058.8977777779</c:v>
                </c:pt>
                <c:pt idx="1260">
                  <c:v>1401058.8977777779</c:v>
                </c:pt>
                <c:pt idx="1261">
                  <c:v>1401058.8977777779</c:v>
                </c:pt>
                <c:pt idx="1262">
                  <c:v>1401058.8977777779</c:v>
                </c:pt>
                <c:pt idx="1263">
                  <c:v>1401058.8977777779</c:v>
                </c:pt>
                <c:pt idx="1264">
                  <c:v>1401058.8977777779</c:v>
                </c:pt>
                <c:pt idx="1265">
                  <c:v>1401058.8977777779</c:v>
                </c:pt>
                <c:pt idx="1266">
                  <c:v>1401058.8977777779</c:v>
                </c:pt>
                <c:pt idx="1267">
                  <c:v>1401058.8977777779</c:v>
                </c:pt>
                <c:pt idx="1268">
                  <c:v>1401058.8977777779</c:v>
                </c:pt>
                <c:pt idx="1269">
                  <c:v>1401058.8977777779</c:v>
                </c:pt>
                <c:pt idx="1270">
                  <c:v>1401058.8977777779</c:v>
                </c:pt>
                <c:pt idx="1271">
                  <c:v>1401058.8977777779</c:v>
                </c:pt>
                <c:pt idx="1272">
                  <c:v>1401058.8977777779</c:v>
                </c:pt>
                <c:pt idx="1273">
                  <c:v>1401058.8977777779</c:v>
                </c:pt>
                <c:pt idx="1274">
                  <c:v>1401058.8977777779</c:v>
                </c:pt>
                <c:pt idx="1275">
                  <c:v>1401058.8977777779</c:v>
                </c:pt>
                <c:pt idx="1276">
                  <c:v>1401058.8977777779</c:v>
                </c:pt>
                <c:pt idx="1277">
                  <c:v>1401058.8977777779</c:v>
                </c:pt>
                <c:pt idx="1278">
                  <c:v>1401058.8977777779</c:v>
                </c:pt>
                <c:pt idx="1279">
                  <c:v>1401058.8977777779</c:v>
                </c:pt>
                <c:pt idx="1280">
                  <c:v>1401058.8977777779</c:v>
                </c:pt>
                <c:pt idx="1281">
                  <c:v>1401058.8977777779</c:v>
                </c:pt>
                <c:pt idx="1282">
                  <c:v>1401058.8977777779</c:v>
                </c:pt>
                <c:pt idx="1283">
                  <c:v>1401058.8977777779</c:v>
                </c:pt>
                <c:pt idx="1284">
                  <c:v>1401058.8977777779</c:v>
                </c:pt>
                <c:pt idx="1285">
                  <c:v>1401058.8977777779</c:v>
                </c:pt>
                <c:pt idx="1286">
                  <c:v>1401058.8977777779</c:v>
                </c:pt>
                <c:pt idx="1287">
                  <c:v>1401058.8977777779</c:v>
                </c:pt>
                <c:pt idx="1288">
                  <c:v>1401058.8977777779</c:v>
                </c:pt>
                <c:pt idx="1289">
                  <c:v>1401058.8977777779</c:v>
                </c:pt>
                <c:pt idx="1290">
                  <c:v>1401058.8977777779</c:v>
                </c:pt>
                <c:pt idx="1291">
                  <c:v>1401058.8977777779</c:v>
                </c:pt>
                <c:pt idx="1292">
                  <c:v>1401058.8977777779</c:v>
                </c:pt>
                <c:pt idx="1293">
                  <c:v>1401058.8977777779</c:v>
                </c:pt>
                <c:pt idx="1294">
                  <c:v>1401058.8977777779</c:v>
                </c:pt>
                <c:pt idx="1295">
                  <c:v>1401058.8977777779</c:v>
                </c:pt>
                <c:pt idx="1296">
                  <c:v>1401058.8977777779</c:v>
                </c:pt>
                <c:pt idx="1297">
                  <c:v>1401058.8977777779</c:v>
                </c:pt>
                <c:pt idx="1298">
                  <c:v>1401058.8977777779</c:v>
                </c:pt>
                <c:pt idx="1299">
                  <c:v>1401058.8977777779</c:v>
                </c:pt>
                <c:pt idx="1300">
                  <c:v>1401058.8977777779</c:v>
                </c:pt>
                <c:pt idx="1301">
                  <c:v>1401058.8977777779</c:v>
                </c:pt>
                <c:pt idx="1302">
                  <c:v>1401058.8977777779</c:v>
                </c:pt>
                <c:pt idx="1303">
                  <c:v>1401058.8977777779</c:v>
                </c:pt>
                <c:pt idx="1304">
                  <c:v>1401058.8977777779</c:v>
                </c:pt>
                <c:pt idx="1305">
                  <c:v>1401058.8977777779</c:v>
                </c:pt>
                <c:pt idx="1306">
                  <c:v>1401058.8977777779</c:v>
                </c:pt>
                <c:pt idx="1307">
                  <c:v>1401058.8977777779</c:v>
                </c:pt>
                <c:pt idx="1308">
                  <c:v>1401058.8977777779</c:v>
                </c:pt>
                <c:pt idx="1309">
                  <c:v>1401058.8977777779</c:v>
                </c:pt>
                <c:pt idx="1310">
                  <c:v>1401058.8977777779</c:v>
                </c:pt>
                <c:pt idx="1311">
                  <c:v>1401058.8977777779</c:v>
                </c:pt>
                <c:pt idx="1312">
                  <c:v>1401058.8977777779</c:v>
                </c:pt>
                <c:pt idx="1313">
                  <c:v>1401058.8977777779</c:v>
                </c:pt>
                <c:pt idx="1314">
                  <c:v>1401058.8977777779</c:v>
                </c:pt>
                <c:pt idx="1315">
                  <c:v>1401058.8977777779</c:v>
                </c:pt>
                <c:pt idx="1316">
                  <c:v>1401058.8977777779</c:v>
                </c:pt>
                <c:pt idx="1317">
                  <c:v>1401058.8977777779</c:v>
                </c:pt>
                <c:pt idx="1318">
                  <c:v>1401058.8977777779</c:v>
                </c:pt>
                <c:pt idx="1319">
                  <c:v>1401058.8977777779</c:v>
                </c:pt>
                <c:pt idx="1320">
                  <c:v>1401058.8977777779</c:v>
                </c:pt>
                <c:pt idx="1321">
                  <c:v>1401058.8977777779</c:v>
                </c:pt>
                <c:pt idx="1322">
                  <c:v>1401058.8977777779</c:v>
                </c:pt>
                <c:pt idx="1323">
                  <c:v>1401058.8977777779</c:v>
                </c:pt>
                <c:pt idx="1324">
                  <c:v>1401058.8977777779</c:v>
                </c:pt>
                <c:pt idx="1325">
                  <c:v>1401058.8977777779</c:v>
                </c:pt>
                <c:pt idx="1326">
                  <c:v>1401058.8977777779</c:v>
                </c:pt>
                <c:pt idx="1327">
                  <c:v>1401058.8977777779</c:v>
                </c:pt>
                <c:pt idx="1328">
                  <c:v>1401058.8977777779</c:v>
                </c:pt>
                <c:pt idx="1329">
                  <c:v>1401058.8977777779</c:v>
                </c:pt>
                <c:pt idx="1330">
                  <c:v>1401058.8977777779</c:v>
                </c:pt>
                <c:pt idx="1331">
                  <c:v>1401058.8977777779</c:v>
                </c:pt>
                <c:pt idx="1332">
                  <c:v>1401058.8977777779</c:v>
                </c:pt>
                <c:pt idx="1333">
                  <c:v>1401058.8977777779</c:v>
                </c:pt>
                <c:pt idx="1334">
                  <c:v>1401058.8977777779</c:v>
                </c:pt>
                <c:pt idx="1335">
                  <c:v>1401058.8977777779</c:v>
                </c:pt>
                <c:pt idx="1336">
                  <c:v>1401058.8977777779</c:v>
                </c:pt>
                <c:pt idx="1337">
                  <c:v>1401058.8977777779</c:v>
                </c:pt>
                <c:pt idx="1338">
                  <c:v>1401058.8977777779</c:v>
                </c:pt>
                <c:pt idx="1339">
                  <c:v>1401058.8977777779</c:v>
                </c:pt>
                <c:pt idx="1340">
                  <c:v>1401058.8977777779</c:v>
                </c:pt>
                <c:pt idx="1341">
                  <c:v>1401058.8977777779</c:v>
                </c:pt>
                <c:pt idx="1342">
                  <c:v>1401058.8977777779</c:v>
                </c:pt>
                <c:pt idx="1343">
                  <c:v>1401058.8977777779</c:v>
                </c:pt>
                <c:pt idx="1344">
                  <c:v>1401058.8977777779</c:v>
                </c:pt>
                <c:pt idx="1345">
                  <c:v>1401058.8977777779</c:v>
                </c:pt>
                <c:pt idx="1346">
                  <c:v>1401058.8977777779</c:v>
                </c:pt>
                <c:pt idx="1347">
                  <c:v>1401058.8977777779</c:v>
                </c:pt>
                <c:pt idx="1348">
                  <c:v>1401058.8977777779</c:v>
                </c:pt>
                <c:pt idx="1349">
                  <c:v>1401058.8977777779</c:v>
                </c:pt>
                <c:pt idx="1350">
                  <c:v>1401058.8977777779</c:v>
                </c:pt>
                <c:pt idx="1351">
                  <c:v>1401058.8977777779</c:v>
                </c:pt>
                <c:pt idx="1352">
                  <c:v>1401058.8977777779</c:v>
                </c:pt>
                <c:pt idx="1353">
                  <c:v>1401058.8977777779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551182.06999999995</c:v>
                </c:pt>
                <c:pt idx="21">
                  <c:v>551182.06999999995</c:v>
                </c:pt>
                <c:pt idx="22">
                  <c:v>551182.06999999995</c:v>
                </c:pt>
                <c:pt idx="23">
                  <c:v>551182.06999999995</c:v>
                </c:pt>
                <c:pt idx="24">
                  <c:v>551182.06999999995</c:v>
                </c:pt>
                <c:pt idx="25">
                  <c:v>551182.06999999995</c:v>
                </c:pt>
                <c:pt idx="26">
                  <c:v>551182.06999999995</c:v>
                </c:pt>
                <c:pt idx="27">
                  <c:v>551182.06999999995</c:v>
                </c:pt>
                <c:pt idx="28">
                  <c:v>551182.06999999995</c:v>
                </c:pt>
                <c:pt idx="29">
                  <c:v>551182.06999999995</c:v>
                </c:pt>
                <c:pt idx="30">
                  <c:v>551182.06999999995</c:v>
                </c:pt>
                <c:pt idx="31">
                  <c:v>551182.06999999995</c:v>
                </c:pt>
                <c:pt idx="32">
                  <c:v>551182.06999999995</c:v>
                </c:pt>
                <c:pt idx="33">
                  <c:v>2000586.79</c:v>
                </c:pt>
                <c:pt idx="34">
                  <c:v>2000586.79</c:v>
                </c:pt>
                <c:pt idx="35">
                  <c:v>2000586.79</c:v>
                </c:pt>
                <c:pt idx="36">
                  <c:v>2000586.79</c:v>
                </c:pt>
                <c:pt idx="37">
                  <c:v>2000586.79</c:v>
                </c:pt>
                <c:pt idx="38">
                  <c:v>2041415.12</c:v>
                </c:pt>
                <c:pt idx="39">
                  <c:v>2041415.12</c:v>
                </c:pt>
                <c:pt idx="40">
                  <c:v>2041415.12</c:v>
                </c:pt>
                <c:pt idx="41">
                  <c:v>2041415.12</c:v>
                </c:pt>
                <c:pt idx="42">
                  <c:v>2041415.12</c:v>
                </c:pt>
                <c:pt idx="43">
                  <c:v>2041415.12</c:v>
                </c:pt>
                <c:pt idx="44">
                  <c:v>2041415.12</c:v>
                </c:pt>
                <c:pt idx="45">
                  <c:v>2041415.12</c:v>
                </c:pt>
                <c:pt idx="46">
                  <c:v>2041415.12</c:v>
                </c:pt>
                <c:pt idx="47">
                  <c:v>2041415.12</c:v>
                </c:pt>
                <c:pt idx="48">
                  <c:v>2041415.12</c:v>
                </c:pt>
                <c:pt idx="49">
                  <c:v>2041415.12</c:v>
                </c:pt>
                <c:pt idx="50">
                  <c:v>2041415.12</c:v>
                </c:pt>
                <c:pt idx="51">
                  <c:v>2041415.12</c:v>
                </c:pt>
                <c:pt idx="52">
                  <c:v>2041415.12</c:v>
                </c:pt>
                <c:pt idx="53">
                  <c:v>2041415.12</c:v>
                </c:pt>
                <c:pt idx="54">
                  <c:v>2041415.12</c:v>
                </c:pt>
                <c:pt idx="55">
                  <c:v>2041415.12</c:v>
                </c:pt>
                <c:pt idx="56">
                  <c:v>2041415.12</c:v>
                </c:pt>
                <c:pt idx="57">
                  <c:v>2041415.12</c:v>
                </c:pt>
                <c:pt idx="58">
                  <c:v>2041415.12</c:v>
                </c:pt>
                <c:pt idx="59">
                  <c:v>2041415.12</c:v>
                </c:pt>
                <c:pt idx="60">
                  <c:v>2041415.12</c:v>
                </c:pt>
                <c:pt idx="61">
                  <c:v>2041415.12</c:v>
                </c:pt>
                <c:pt idx="62">
                  <c:v>2041415.12</c:v>
                </c:pt>
                <c:pt idx="63">
                  <c:v>2041415.12</c:v>
                </c:pt>
                <c:pt idx="64">
                  <c:v>2041415.12</c:v>
                </c:pt>
                <c:pt idx="65">
                  <c:v>2041415.12</c:v>
                </c:pt>
                <c:pt idx="66">
                  <c:v>2041415.12</c:v>
                </c:pt>
                <c:pt idx="67">
                  <c:v>2041415.12</c:v>
                </c:pt>
                <c:pt idx="68">
                  <c:v>2041415.12</c:v>
                </c:pt>
                <c:pt idx="69">
                  <c:v>2041415.12</c:v>
                </c:pt>
                <c:pt idx="70">
                  <c:v>2041415.12</c:v>
                </c:pt>
                <c:pt idx="71">
                  <c:v>2041415.12</c:v>
                </c:pt>
                <c:pt idx="72">
                  <c:v>2041415.12</c:v>
                </c:pt>
                <c:pt idx="73">
                  <c:v>2041415.12</c:v>
                </c:pt>
                <c:pt idx="74">
                  <c:v>2041415.12</c:v>
                </c:pt>
                <c:pt idx="75">
                  <c:v>2041415.12</c:v>
                </c:pt>
                <c:pt idx="76">
                  <c:v>2041415.12</c:v>
                </c:pt>
                <c:pt idx="77">
                  <c:v>2041415.12</c:v>
                </c:pt>
                <c:pt idx="78">
                  <c:v>2041415.12</c:v>
                </c:pt>
                <c:pt idx="79">
                  <c:v>2041415.12</c:v>
                </c:pt>
                <c:pt idx="80">
                  <c:v>2041415.12</c:v>
                </c:pt>
                <c:pt idx="81">
                  <c:v>2041415.12</c:v>
                </c:pt>
                <c:pt idx="82">
                  <c:v>2041415.12</c:v>
                </c:pt>
                <c:pt idx="83">
                  <c:v>2041415.12</c:v>
                </c:pt>
                <c:pt idx="84">
                  <c:v>2041415.12</c:v>
                </c:pt>
                <c:pt idx="85">
                  <c:v>2041415.12</c:v>
                </c:pt>
                <c:pt idx="86">
                  <c:v>2041415.12</c:v>
                </c:pt>
                <c:pt idx="87">
                  <c:v>2041415.12</c:v>
                </c:pt>
                <c:pt idx="88">
                  <c:v>2041415.12</c:v>
                </c:pt>
                <c:pt idx="89">
                  <c:v>2041415.12</c:v>
                </c:pt>
                <c:pt idx="90">
                  <c:v>2041415.12</c:v>
                </c:pt>
                <c:pt idx="91">
                  <c:v>2041415.12</c:v>
                </c:pt>
                <c:pt idx="92">
                  <c:v>2041415.12</c:v>
                </c:pt>
                <c:pt idx="93">
                  <c:v>2041415.12</c:v>
                </c:pt>
                <c:pt idx="94">
                  <c:v>2041415.12</c:v>
                </c:pt>
                <c:pt idx="95">
                  <c:v>2041415.12</c:v>
                </c:pt>
                <c:pt idx="96">
                  <c:v>2041415.12</c:v>
                </c:pt>
                <c:pt idx="97">
                  <c:v>2041415.12</c:v>
                </c:pt>
                <c:pt idx="98">
                  <c:v>2041415.12</c:v>
                </c:pt>
                <c:pt idx="99">
                  <c:v>2041415.12</c:v>
                </c:pt>
                <c:pt idx="100">
                  <c:v>2041415.12</c:v>
                </c:pt>
                <c:pt idx="101">
                  <c:v>2041415.12</c:v>
                </c:pt>
                <c:pt idx="102">
                  <c:v>2041415.12</c:v>
                </c:pt>
                <c:pt idx="103">
                  <c:v>2041415.12</c:v>
                </c:pt>
                <c:pt idx="104">
                  <c:v>2041415.12</c:v>
                </c:pt>
                <c:pt idx="105">
                  <c:v>2041415.12</c:v>
                </c:pt>
                <c:pt idx="106">
                  <c:v>2041415.12</c:v>
                </c:pt>
                <c:pt idx="107">
                  <c:v>2041415.12</c:v>
                </c:pt>
                <c:pt idx="108">
                  <c:v>2041415.12</c:v>
                </c:pt>
                <c:pt idx="109">
                  <c:v>2041415.12</c:v>
                </c:pt>
                <c:pt idx="110">
                  <c:v>2041415.12</c:v>
                </c:pt>
                <c:pt idx="111">
                  <c:v>2041415.12</c:v>
                </c:pt>
                <c:pt idx="112">
                  <c:v>2041415.12</c:v>
                </c:pt>
                <c:pt idx="113">
                  <c:v>2041415.12</c:v>
                </c:pt>
                <c:pt idx="114">
                  <c:v>2041415.12</c:v>
                </c:pt>
                <c:pt idx="115">
                  <c:v>2041415.12</c:v>
                </c:pt>
                <c:pt idx="116">
                  <c:v>2041415.12</c:v>
                </c:pt>
                <c:pt idx="117">
                  <c:v>2041415.12</c:v>
                </c:pt>
                <c:pt idx="118">
                  <c:v>2041415.12</c:v>
                </c:pt>
                <c:pt idx="119">
                  <c:v>2041415.12</c:v>
                </c:pt>
                <c:pt idx="120">
                  <c:v>2041415.12</c:v>
                </c:pt>
                <c:pt idx="121">
                  <c:v>2041415.12</c:v>
                </c:pt>
                <c:pt idx="122">
                  <c:v>2041415.12</c:v>
                </c:pt>
                <c:pt idx="123">
                  <c:v>2041415.12</c:v>
                </c:pt>
                <c:pt idx="124">
                  <c:v>2041415.12</c:v>
                </c:pt>
                <c:pt idx="125">
                  <c:v>2041415.12</c:v>
                </c:pt>
                <c:pt idx="126">
                  <c:v>2041415.12</c:v>
                </c:pt>
                <c:pt idx="127">
                  <c:v>2041415.12</c:v>
                </c:pt>
                <c:pt idx="128">
                  <c:v>2041415.12</c:v>
                </c:pt>
                <c:pt idx="129">
                  <c:v>2041415.12</c:v>
                </c:pt>
                <c:pt idx="130">
                  <c:v>2041415.12</c:v>
                </c:pt>
                <c:pt idx="131">
                  <c:v>2041415.12</c:v>
                </c:pt>
                <c:pt idx="132">
                  <c:v>2041415.12</c:v>
                </c:pt>
                <c:pt idx="133">
                  <c:v>2041415.12</c:v>
                </c:pt>
                <c:pt idx="134">
                  <c:v>2041415.12</c:v>
                </c:pt>
                <c:pt idx="135">
                  <c:v>2041415.12</c:v>
                </c:pt>
                <c:pt idx="136">
                  <c:v>2041415.12</c:v>
                </c:pt>
                <c:pt idx="137">
                  <c:v>2041415.12</c:v>
                </c:pt>
                <c:pt idx="138">
                  <c:v>2041415.12</c:v>
                </c:pt>
                <c:pt idx="139">
                  <c:v>2041415.12</c:v>
                </c:pt>
                <c:pt idx="140">
                  <c:v>2041415.12</c:v>
                </c:pt>
                <c:pt idx="141">
                  <c:v>2041415.12</c:v>
                </c:pt>
                <c:pt idx="142">
                  <c:v>2041415.12</c:v>
                </c:pt>
                <c:pt idx="143">
                  <c:v>2041415.12</c:v>
                </c:pt>
                <c:pt idx="144">
                  <c:v>2041415.12</c:v>
                </c:pt>
                <c:pt idx="145">
                  <c:v>2041415.12</c:v>
                </c:pt>
                <c:pt idx="146">
                  <c:v>2041415.12</c:v>
                </c:pt>
                <c:pt idx="147">
                  <c:v>2041415.12</c:v>
                </c:pt>
                <c:pt idx="148">
                  <c:v>2041415.12</c:v>
                </c:pt>
                <c:pt idx="149">
                  <c:v>2041415.12</c:v>
                </c:pt>
                <c:pt idx="150">
                  <c:v>2041415.12</c:v>
                </c:pt>
                <c:pt idx="151">
                  <c:v>2041415.12</c:v>
                </c:pt>
                <c:pt idx="152">
                  <c:v>2041415.12</c:v>
                </c:pt>
                <c:pt idx="153">
                  <c:v>2041415.12</c:v>
                </c:pt>
                <c:pt idx="154">
                  <c:v>2041415.12</c:v>
                </c:pt>
                <c:pt idx="155">
                  <c:v>2041415.12</c:v>
                </c:pt>
                <c:pt idx="156">
                  <c:v>2041415.12</c:v>
                </c:pt>
                <c:pt idx="157">
                  <c:v>2041415.12</c:v>
                </c:pt>
                <c:pt idx="158">
                  <c:v>2041415.12</c:v>
                </c:pt>
                <c:pt idx="159">
                  <c:v>2041415.12</c:v>
                </c:pt>
                <c:pt idx="160">
                  <c:v>2041415.12</c:v>
                </c:pt>
                <c:pt idx="161">
                  <c:v>2041415.12</c:v>
                </c:pt>
                <c:pt idx="162">
                  <c:v>2041415.12</c:v>
                </c:pt>
                <c:pt idx="163">
                  <c:v>2041415.12</c:v>
                </c:pt>
                <c:pt idx="164">
                  <c:v>2041415.12</c:v>
                </c:pt>
                <c:pt idx="165">
                  <c:v>2041415.12</c:v>
                </c:pt>
                <c:pt idx="166">
                  <c:v>2041415.12</c:v>
                </c:pt>
                <c:pt idx="167">
                  <c:v>2041415.12</c:v>
                </c:pt>
                <c:pt idx="168">
                  <c:v>2041415.12</c:v>
                </c:pt>
                <c:pt idx="169">
                  <c:v>2041415.12</c:v>
                </c:pt>
                <c:pt idx="170">
                  <c:v>2041415.12</c:v>
                </c:pt>
                <c:pt idx="171">
                  <c:v>2041415.12</c:v>
                </c:pt>
                <c:pt idx="172">
                  <c:v>2041415.12</c:v>
                </c:pt>
                <c:pt idx="173">
                  <c:v>2041415.12</c:v>
                </c:pt>
                <c:pt idx="174">
                  <c:v>2041415.12</c:v>
                </c:pt>
                <c:pt idx="175">
                  <c:v>2041415.12</c:v>
                </c:pt>
                <c:pt idx="176">
                  <c:v>2041415.12</c:v>
                </c:pt>
                <c:pt idx="177">
                  <c:v>2041415.12</c:v>
                </c:pt>
                <c:pt idx="178">
                  <c:v>2041415.12</c:v>
                </c:pt>
                <c:pt idx="179">
                  <c:v>2041415.12</c:v>
                </c:pt>
                <c:pt idx="180">
                  <c:v>2041415.12</c:v>
                </c:pt>
                <c:pt idx="181">
                  <c:v>2041415.12</c:v>
                </c:pt>
                <c:pt idx="182">
                  <c:v>2041415.12</c:v>
                </c:pt>
                <c:pt idx="183">
                  <c:v>2041415.12</c:v>
                </c:pt>
                <c:pt idx="184">
                  <c:v>2041415.12</c:v>
                </c:pt>
                <c:pt idx="185">
                  <c:v>2041415.12</c:v>
                </c:pt>
                <c:pt idx="186">
                  <c:v>2041415.12</c:v>
                </c:pt>
                <c:pt idx="187">
                  <c:v>2041415.12</c:v>
                </c:pt>
                <c:pt idx="188">
                  <c:v>2041415.12</c:v>
                </c:pt>
                <c:pt idx="189">
                  <c:v>2041415.12</c:v>
                </c:pt>
                <c:pt idx="190">
                  <c:v>2041415.12</c:v>
                </c:pt>
                <c:pt idx="191">
                  <c:v>2041415.12</c:v>
                </c:pt>
                <c:pt idx="192">
                  <c:v>2041415.12</c:v>
                </c:pt>
                <c:pt idx="193">
                  <c:v>2041415.12</c:v>
                </c:pt>
                <c:pt idx="194">
                  <c:v>2041415.12</c:v>
                </c:pt>
                <c:pt idx="195">
                  <c:v>2041415.12</c:v>
                </c:pt>
                <c:pt idx="196">
                  <c:v>2041415.12</c:v>
                </c:pt>
                <c:pt idx="197">
                  <c:v>2041415.12</c:v>
                </c:pt>
                <c:pt idx="198">
                  <c:v>2041415.12</c:v>
                </c:pt>
                <c:pt idx="199">
                  <c:v>2041415.12</c:v>
                </c:pt>
                <c:pt idx="200">
                  <c:v>2041415.12</c:v>
                </c:pt>
                <c:pt idx="201">
                  <c:v>2041415.12</c:v>
                </c:pt>
                <c:pt idx="202">
                  <c:v>2041415.12</c:v>
                </c:pt>
                <c:pt idx="203">
                  <c:v>2041415.12</c:v>
                </c:pt>
                <c:pt idx="204">
                  <c:v>2041415.12</c:v>
                </c:pt>
                <c:pt idx="205">
                  <c:v>2041415.12</c:v>
                </c:pt>
                <c:pt idx="206">
                  <c:v>2041415.12</c:v>
                </c:pt>
                <c:pt idx="207">
                  <c:v>2041415.12</c:v>
                </c:pt>
                <c:pt idx="208">
                  <c:v>2041415.12</c:v>
                </c:pt>
                <c:pt idx="209">
                  <c:v>2041415.12</c:v>
                </c:pt>
                <c:pt idx="210">
                  <c:v>2041415.12</c:v>
                </c:pt>
                <c:pt idx="211">
                  <c:v>2041415.12</c:v>
                </c:pt>
                <c:pt idx="212">
                  <c:v>2041415.12</c:v>
                </c:pt>
                <c:pt idx="213">
                  <c:v>2041415.12</c:v>
                </c:pt>
                <c:pt idx="214">
                  <c:v>2041415.12</c:v>
                </c:pt>
                <c:pt idx="215">
                  <c:v>2041415.12</c:v>
                </c:pt>
                <c:pt idx="216">
                  <c:v>2041415.12</c:v>
                </c:pt>
                <c:pt idx="217">
                  <c:v>2041415.12</c:v>
                </c:pt>
                <c:pt idx="218">
                  <c:v>2041415.12</c:v>
                </c:pt>
                <c:pt idx="219">
                  <c:v>2041415.12</c:v>
                </c:pt>
                <c:pt idx="220">
                  <c:v>2041415.12</c:v>
                </c:pt>
                <c:pt idx="221">
                  <c:v>2041415.12</c:v>
                </c:pt>
                <c:pt idx="222">
                  <c:v>2041415.12</c:v>
                </c:pt>
                <c:pt idx="223">
                  <c:v>2041415.12</c:v>
                </c:pt>
                <c:pt idx="224">
                  <c:v>2041415.12</c:v>
                </c:pt>
                <c:pt idx="225">
                  <c:v>2041415.12</c:v>
                </c:pt>
                <c:pt idx="226">
                  <c:v>2041415.12</c:v>
                </c:pt>
                <c:pt idx="227">
                  <c:v>2041415.12</c:v>
                </c:pt>
                <c:pt idx="228">
                  <c:v>2041415.12</c:v>
                </c:pt>
                <c:pt idx="229">
                  <c:v>2041415.12</c:v>
                </c:pt>
                <c:pt idx="230">
                  <c:v>2041415.12</c:v>
                </c:pt>
                <c:pt idx="231">
                  <c:v>2041415.12</c:v>
                </c:pt>
                <c:pt idx="232">
                  <c:v>2041415.12</c:v>
                </c:pt>
                <c:pt idx="233">
                  <c:v>2041415.12</c:v>
                </c:pt>
                <c:pt idx="234">
                  <c:v>2041415.12</c:v>
                </c:pt>
                <c:pt idx="235">
                  <c:v>2041415.12</c:v>
                </c:pt>
                <c:pt idx="236">
                  <c:v>2041415.12</c:v>
                </c:pt>
                <c:pt idx="237">
                  <c:v>2041415.12</c:v>
                </c:pt>
                <c:pt idx="238">
                  <c:v>2041415.12</c:v>
                </c:pt>
                <c:pt idx="239">
                  <c:v>2041415.12</c:v>
                </c:pt>
                <c:pt idx="240">
                  <c:v>2041415.12</c:v>
                </c:pt>
                <c:pt idx="241">
                  <c:v>2041415.12</c:v>
                </c:pt>
                <c:pt idx="242">
                  <c:v>2041415.12</c:v>
                </c:pt>
                <c:pt idx="243">
                  <c:v>2041415.12</c:v>
                </c:pt>
                <c:pt idx="244">
                  <c:v>2041415.12</c:v>
                </c:pt>
                <c:pt idx="245">
                  <c:v>2041415.12</c:v>
                </c:pt>
                <c:pt idx="246">
                  <c:v>2041415.12</c:v>
                </c:pt>
                <c:pt idx="247">
                  <c:v>2041415.12</c:v>
                </c:pt>
                <c:pt idx="248">
                  <c:v>2041415.12</c:v>
                </c:pt>
                <c:pt idx="249">
                  <c:v>2041415.12</c:v>
                </c:pt>
                <c:pt idx="250">
                  <c:v>2041415.12</c:v>
                </c:pt>
                <c:pt idx="251">
                  <c:v>2041415.12</c:v>
                </c:pt>
                <c:pt idx="252">
                  <c:v>2041415.12</c:v>
                </c:pt>
                <c:pt idx="253">
                  <c:v>2041415.12</c:v>
                </c:pt>
                <c:pt idx="254">
                  <c:v>2041415.12</c:v>
                </c:pt>
                <c:pt idx="255">
                  <c:v>2041415.12</c:v>
                </c:pt>
                <c:pt idx="256">
                  <c:v>2041415.12</c:v>
                </c:pt>
                <c:pt idx="257">
                  <c:v>2041415.12</c:v>
                </c:pt>
                <c:pt idx="258">
                  <c:v>2041415.12</c:v>
                </c:pt>
                <c:pt idx="259">
                  <c:v>2041415.12</c:v>
                </c:pt>
                <c:pt idx="260">
                  <c:v>2041415.12</c:v>
                </c:pt>
                <c:pt idx="261">
                  <c:v>2041415.12</c:v>
                </c:pt>
                <c:pt idx="262">
                  <c:v>2041415.12</c:v>
                </c:pt>
                <c:pt idx="263">
                  <c:v>2041415.12</c:v>
                </c:pt>
                <c:pt idx="264">
                  <c:v>2041415.12</c:v>
                </c:pt>
                <c:pt idx="265">
                  <c:v>2041415.12</c:v>
                </c:pt>
                <c:pt idx="266">
                  <c:v>2041415.12</c:v>
                </c:pt>
                <c:pt idx="267">
                  <c:v>2041415.12</c:v>
                </c:pt>
                <c:pt idx="268">
                  <c:v>2041415.12</c:v>
                </c:pt>
                <c:pt idx="269">
                  <c:v>2041415.12</c:v>
                </c:pt>
                <c:pt idx="270">
                  <c:v>2041415.12</c:v>
                </c:pt>
                <c:pt idx="271">
                  <c:v>2041415.12</c:v>
                </c:pt>
                <c:pt idx="272">
                  <c:v>2041415.12</c:v>
                </c:pt>
                <c:pt idx="273">
                  <c:v>2041415.12</c:v>
                </c:pt>
                <c:pt idx="274">
                  <c:v>2041415.12</c:v>
                </c:pt>
                <c:pt idx="275">
                  <c:v>2041415.12</c:v>
                </c:pt>
                <c:pt idx="276">
                  <c:v>2041415.12</c:v>
                </c:pt>
                <c:pt idx="277">
                  <c:v>2041415.12</c:v>
                </c:pt>
                <c:pt idx="278">
                  <c:v>2041415.12</c:v>
                </c:pt>
                <c:pt idx="279">
                  <c:v>2041415.12</c:v>
                </c:pt>
                <c:pt idx="280">
                  <c:v>2041415.12</c:v>
                </c:pt>
                <c:pt idx="281">
                  <c:v>2041415.12</c:v>
                </c:pt>
                <c:pt idx="282">
                  <c:v>2041415.12</c:v>
                </c:pt>
                <c:pt idx="283">
                  <c:v>2041415.12</c:v>
                </c:pt>
                <c:pt idx="284">
                  <c:v>2041415.12</c:v>
                </c:pt>
                <c:pt idx="285">
                  <c:v>2041415.12</c:v>
                </c:pt>
                <c:pt idx="286">
                  <c:v>2041415.12</c:v>
                </c:pt>
                <c:pt idx="287">
                  <c:v>2041415.12</c:v>
                </c:pt>
                <c:pt idx="288">
                  <c:v>2041415.12</c:v>
                </c:pt>
                <c:pt idx="289">
                  <c:v>2041415.12</c:v>
                </c:pt>
                <c:pt idx="290">
                  <c:v>2041415.12</c:v>
                </c:pt>
                <c:pt idx="291">
                  <c:v>2041415.12</c:v>
                </c:pt>
                <c:pt idx="292">
                  <c:v>2041415.12</c:v>
                </c:pt>
                <c:pt idx="293">
                  <c:v>2041415.12</c:v>
                </c:pt>
                <c:pt idx="294">
                  <c:v>2041415.12</c:v>
                </c:pt>
                <c:pt idx="295">
                  <c:v>2041415.12</c:v>
                </c:pt>
                <c:pt idx="296">
                  <c:v>2041415.12</c:v>
                </c:pt>
                <c:pt idx="297">
                  <c:v>2041415.12</c:v>
                </c:pt>
                <c:pt idx="298">
                  <c:v>2041415.12</c:v>
                </c:pt>
                <c:pt idx="299">
                  <c:v>2041415.12</c:v>
                </c:pt>
                <c:pt idx="300">
                  <c:v>2041415.12</c:v>
                </c:pt>
                <c:pt idx="301">
                  <c:v>2041415.12</c:v>
                </c:pt>
                <c:pt idx="302">
                  <c:v>2041415.12</c:v>
                </c:pt>
                <c:pt idx="303">
                  <c:v>2041415.12</c:v>
                </c:pt>
                <c:pt idx="304">
                  <c:v>2041415.12</c:v>
                </c:pt>
                <c:pt idx="305">
                  <c:v>2041415.12</c:v>
                </c:pt>
                <c:pt idx="306">
                  <c:v>2041415.12</c:v>
                </c:pt>
                <c:pt idx="307">
                  <c:v>2041415.12</c:v>
                </c:pt>
                <c:pt idx="308">
                  <c:v>2041415.12</c:v>
                </c:pt>
                <c:pt idx="309">
                  <c:v>2041415.12</c:v>
                </c:pt>
                <c:pt idx="310">
                  <c:v>2041415.12</c:v>
                </c:pt>
                <c:pt idx="311">
                  <c:v>2041415.12</c:v>
                </c:pt>
                <c:pt idx="312">
                  <c:v>2041415.12</c:v>
                </c:pt>
                <c:pt idx="313">
                  <c:v>2041415.12</c:v>
                </c:pt>
                <c:pt idx="314">
                  <c:v>2041415.12</c:v>
                </c:pt>
                <c:pt idx="315">
                  <c:v>2041415.12</c:v>
                </c:pt>
                <c:pt idx="316">
                  <c:v>2041415.12</c:v>
                </c:pt>
                <c:pt idx="317">
                  <c:v>2041415.12</c:v>
                </c:pt>
                <c:pt idx="318">
                  <c:v>2041415.12</c:v>
                </c:pt>
                <c:pt idx="319">
                  <c:v>2041415.12</c:v>
                </c:pt>
                <c:pt idx="320">
                  <c:v>2041415.12</c:v>
                </c:pt>
                <c:pt idx="321">
                  <c:v>2041415.12</c:v>
                </c:pt>
                <c:pt idx="322">
                  <c:v>2041415.12</c:v>
                </c:pt>
                <c:pt idx="323">
                  <c:v>2041415.12</c:v>
                </c:pt>
                <c:pt idx="324">
                  <c:v>2041415.12</c:v>
                </c:pt>
                <c:pt idx="325">
                  <c:v>2041415.12</c:v>
                </c:pt>
                <c:pt idx="326">
                  <c:v>2041415.12</c:v>
                </c:pt>
                <c:pt idx="327">
                  <c:v>2041415.12</c:v>
                </c:pt>
                <c:pt idx="328">
                  <c:v>2041415.12</c:v>
                </c:pt>
                <c:pt idx="329">
                  <c:v>2041415.12</c:v>
                </c:pt>
                <c:pt idx="330">
                  <c:v>2041415.12</c:v>
                </c:pt>
                <c:pt idx="331">
                  <c:v>2041415.12</c:v>
                </c:pt>
                <c:pt idx="332">
                  <c:v>2041415.12</c:v>
                </c:pt>
                <c:pt idx="333">
                  <c:v>2041415.12</c:v>
                </c:pt>
                <c:pt idx="334">
                  <c:v>2041415.12</c:v>
                </c:pt>
                <c:pt idx="335">
                  <c:v>2041415.12</c:v>
                </c:pt>
                <c:pt idx="336">
                  <c:v>2041415.12</c:v>
                </c:pt>
                <c:pt idx="337">
                  <c:v>2041415.12</c:v>
                </c:pt>
                <c:pt idx="338">
                  <c:v>2041415.12</c:v>
                </c:pt>
                <c:pt idx="339">
                  <c:v>2041415.12</c:v>
                </c:pt>
                <c:pt idx="340">
                  <c:v>2041415.12</c:v>
                </c:pt>
                <c:pt idx="341">
                  <c:v>2041415.12</c:v>
                </c:pt>
                <c:pt idx="342">
                  <c:v>2041415.12</c:v>
                </c:pt>
                <c:pt idx="343">
                  <c:v>2041415.12</c:v>
                </c:pt>
                <c:pt idx="344">
                  <c:v>2041415.12</c:v>
                </c:pt>
                <c:pt idx="345">
                  <c:v>2041415.12</c:v>
                </c:pt>
                <c:pt idx="346">
                  <c:v>2041415.12</c:v>
                </c:pt>
                <c:pt idx="347">
                  <c:v>2041415.12</c:v>
                </c:pt>
                <c:pt idx="348">
                  <c:v>2041415.12</c:v>
                </c:pt>
                <c:pt idx="349">
                  <c:v>2041415.12</c:v>
                </c:pt>
                <c:pt idx="350">
                  <c:v>2041415.12</c:v>
                </c:pt>
                <c:pt idx="351">
                  <c:v>2041415.12</c:v>
                </c:pt>
                <c:pt idx="352">
                  <c:v>2041415.12</c:v>
                </c:pt>
                <c:pt idx="353">
                  <c:v>2041415.12</c:v>
                </c:pt>
                <c:pt idx="354">
                  <c:v>2041415.12</c:v>
                </c:pt>
                <c:pt idx="355">
                  <c:v>2041415.12</c:v>
                </c:pt>
                <c:pt idx="356">
                  <c:v>2041415.12</c:v>
                </c:pt>
                <c:pt idx="357">
                  <c:v>2041415.12</c:v>
                </c:pt>
                <c:pt idx="358">
                  <c:v>2041415.12</c:v>
                </c:pt>
                <c:pt idx="359">
                  <c:v>2041415.12</c:v>
                </c:pt>
                <c:pt idx="360">
                  <c:v>2041415.12</c:v>
                </c:pt>
                <c:pt idx="361">
                  <c:v>2041415.12</c:v>
                </c:pt>
                <c:pt idx="362">
                  <c:v>2041415.12</c:v>
                </c:pt>
                <c:pt idx="363">
                  <c:v>2041415.12</c:v>
                </c:pt>
                <c:pt idx="364">
                  <c:v>2041415.12</c:v>
                </c:pt>
                <c:pt idx="365">
                  <c:v>2041415.12</c:v>
                </c:pt>
                <c:pt idx="366">
                  <c:v>2041415.12</c:v>
                </c:pt>
                <c:pt idx="367">
                  <c:v>2041415.12</c:v>
                </c:pt>
                <c:pt idx="368">
                  <c:v>2041415.12</c:v>
                </c:pt>
                <c:pt idx="369">
                  <c:v>2041415.12</c:v>
                </c:pt>
                <c:pt idx="370">
                  <c:v>2041415.12</c:v>
                </c:pt>
                <c:pt idx="371">
                  <c:v>2041415.12</c:v>
                </c:pt>
                <c:pt idx="372">
                  <c:v>2041415.12</c:v>
                </c:pt>
                <c:pt idx="373">
                  <c:v>2041415.12</c:v>
                </c:pt>
                <c:pt idx="374">
                  <c:v>2041415.12</c:v>
                </c:pt>
                <c:pt idx="375">
                  <c:v>2041415.12</c:v>
                </c:pt>
                <c:pt idx="376">
                  <c:v>2041415.12</c:v>
                </c:pt>
                <c:pt idx="377">
                  <c:v>2041415.12</c:v>
                </c:pt>
                <c:pt idx="378">
                  <c:v>2041415.12</c:v>
                </c:pt>
                <c:pt idx="379">
                  <c:v>2041415.12</c:v>
                </c:pt>
                <c:pt idx="380">
                  <c:v>2041415.12</c:v>
                </c:pt>
                <c:pt idx="381">
                  <c:v>2041415.12</c:v>
                </c:pt>
                <c:pt idx="382">
                  <c:v>2041415.12</c:v>
                </c:pt>
                <c:pt idx="383">
                  <c:v>2041415.12</c:v>
                </c:pt>
                <c:pt idx="384">
                  <c:v>2041415.12</c:v>
                </c:pt>
                <c:pt idx="385">
                  <c:v>2041415.12</c:v>
                </c:pt>
                <c:pt idx="386">
                  <c:v>2041415.12</c:v>
                </c:pt>
                <c:pt idx="387">
                  <c:v>2041415.12</c:v>
                </c:pt>
                <c:pt idx="388">
                  <c:v>2041415.12</c:v>
                </c:pt>
                <c:pt idx="389">
                  <c:v>2041415.12</c:v>
                </c:pt>
                <c:pt idx="390">
                  <c:v>2041415.12</c:v>
                </c:pt>
                <c:pt idx="391">
                  <c:v>2041415.12</c:v>
                </c:pt>
                <c:pt idx="392">
                  <c:v>2041415.12</c:v>
                </c:pt>
                <c:pt idx="393">
                  <c:v>2041415.12</c:v>
                </c:pt>
                <c:pt idx="394">
                  <c:v>2041415.12</c:v>
                </c:pt>
                <c:pt idx="395">
                  <c:v>2041415.12</c:v>
                </c:pt>
                <c:pt idx="396">
                  <c:v>2041415.12</c:v>
                </c:pt>
                <c:pt idx="397">
                  <c:v>2041415.12</c:v>
                </c:pt>
                <c:pt idx="398">
                  <c:v>2041415.12</c:v>
                </c:pt>
                <c:pt idx="399">
                  <c:v>2041415.12</c:v>
                </c:pt>
                <c:pt idx="400">
                  <c:v>2041415.12</c:v>
                </c:pt>
                <c:pt idx="401">
                  <c:v>2041415.12</c:v>
                </c:pt>
                <c:pt idx="402">
                  <c:v>2041415.12</c:v>
                </c:pt>
                <c:pt idx="403">
                  <c:v>2041415.12</c:v>
                </c:pt>
                <c:pt idx="404">
                  <c:v>2041415.12</c:v>
                </c:pt>
                <c:pt idx="405">
                  <c:v>2041415.12</c:v>
                </c:pt>
                <c:pt idx="406">
                  <c:v>2041415.12</c:v>
                </c:pt>
                <c:pt idx="407">
                  <c:v>2041415.12</c:v>
                </c:pt>
                <c:pt idx="408">
                  <c:v>2041415.12</c:v>
                </c:pt>
                <c:pt idx="409">
                  <c:v>2041415.12</c:v>
                </c:pt>
                <c:pt idx="410">
                  <c:v>2041415.12</c:v>
                </c:pt>
                <c:pt idx="411">
                  <c:v>2041415.12</c:v>
                </c:pt>
                <c:pt idx="412">
                  <c:v>2041415.12</c:v>
                </c:pt>
                <c:pt idx="413">
                  <c:v>2041415.12</c:v>
                </c:pt>
                <c:pt idx="414">
                  <c:v>2041415.12</c:v>
                </c:pt>
                <c:pt idx="415">
                  <c:v>2041415.12</c:v>
                </c:pt>
                <c:pt idx="416">
                  <c:v>2041415.12</c:v>
                </c:pt>
                <c:pt idx="417">
                  <c:v>2041415.12</c:v>
                </c:pt>
                <c:pt idx="418">
                  <c:v>2041415.12</c:v>
                </c:pt>
                <c:pt idx="419">
                  <c:v>2041415.12</c:v>
                </c:pt>
                <c:pt idx="420">
                  <c:v>2041415.12</c:v>
                </c:pt>
                <c:pt idx="421">
                  <c:v>2041415.12</c:v>
                </c:pt>
                <c:pt idx="422">
                  <c:v>2041415.12</c:v>
                </c:pt>
                <c:pt idx="423">
                  <c:v>2041415.12</c:v>
                </c:pt>
                <c:pt idx="424">
                  <c:v>2041415.12</c:v>
                </c:pt>
                <c:pt idx="425">
                  <c:v>2041415.12</c:v>
                </c:pt>
                <c:pt idx="426">
                  <c:v>2041415.12</c:v>
                </c:pt>
                <c:pt idx="427">
                  <c:v>2041415.12</c:v>
                </c:pt>
                <c:pt idx="428">
                  <c:v>2041415.12</c:v>
                </c:pt>
                <c:pt idx="429">
                  <c:v>2041415.12</c:v>
                </c:pt>
                <c:pt idx="430">
                  <c:v>2041415.12</c:v>
                </c:pt>
                <c:pt idx="431">
                  <c:v>2041415.12</c:v>
                </c:pt>
                <c:pt idx="432">
                  <c:v>2041415.12</c:v>
                </c:pt>
                <c:pt idx="433">
                  <c:v>2041415.12</c:v>
                </c:pt>
                <c:pt idx="434">
                  <c:v>2041415.12</c:v>
                </c:pt>
                <c:pt idx="435">
                  <c:v>2041415.12</c:v>
                </c:pt>
                <c:pt idx="436">
                  <c:v>2041415.12</c:v>
                </c:pt>
                <c:pt idx="437">
                  <c:v>2041415.12</c:v>
                </c:pt>
                <c:pt idx="438">
                  <c:v>2041415.12</c:v>
                </c:pt>
                <c:pt idx="439">
                  <c:v>2041415.12</c:v>
                </c:pt>
                <c:pt idx="440">
                  <c:v>2041415.12</c:v>
                </c:pt>
                <c:pt idx="441">
                  <c:v>2041415.12</c:v>
                </c:pt>
                <c:pt idx="442">
                  <c:v>2041415.12</c:v>
                </c:pt>
                <c:pt idx="443">
                  <c:v>2041415.12</c:v>
                </c:pt>
                <c:pt idx="444">
                  <c:v>2041415.12</c:v>
                </c:pt>
                <c:pt idx="445">
                  <c:v>2041415.12</c:v>
                </c:pt>
                <c:pt idx="446">
                  <c:v>2041415.12</c:v>
                </c:pt>
                <c:pt idx="447">
                  <c:v>2041415.12</c:v>
                </c:pt>
                <c:pt idx="448">
                  <c:v>2041415.12</c:v>
                </c:pt>
                <c:pt idx="449">
                  <c:v>2041415.12</c:v>
                </c:pt>
                <c:pt idx="450">
                  <c:v>2041415.12</c:v>
                </c:pt>
                <c:pt idx="451">
                  <c:v>2041415.12</c:v>
                </c:pt>
                <c:pt idx="452">
                  <c:v>2041415.12</c:v>
                </c:pt>
                <c:pt idx="453">
                  <c:v>2041415.12</c:v>
                </c:pt>
                <c:pt idx="454">
                  <c:v>2041415.12</c:v>
                </c:pt>
                <c:pt idx="455">
                  <c:v>2041415.12</c:v>
                </c:pt>
                <c:pt idx="456">
                  <c:v>2041415.12</c:v>
                </c:pt>
                <c:pt idx="457">
                  <c:v>2041415.12</c:v>
                </c:pt>
                <c:pt idx="458">
                  <c:v>2041415.12</c:v>
                </c:pt>
                <c:pt idx="459">
                  <c:v>2041415.12</c:v>
                </c:pt>
                <c:pt idx="460">
                  <c:v>2041415.12</c:v>
                </c:pt>
                <c:pt idx="461">
                  <c:v>2041415.12</c:v>
                </c:pt>
                <c:pt idx="462">
                  <c:v>2041415.12</c:v>
                </c:pt>
                <c:pt idx="463">
                  <c:v>2041415.12</c:v>
                </c:pt>
                <c:pt idx="464">
                  <c:v>2041415.12</c:v>
                </c:pt>
                <c:pt idx="465">
                  <c:v>2041415.12</c:v>
                </c:pt>
                <c:pt idx="466">
                  <c:v>2041415.12</c:v>
                </c:pt>
                <c:pt idx="467">
                  <c:v>2041415.12</c:v>
                </c:pt>
                <c:pt idx="468">
                  <c:v>2041415.12</c:v>
                </c:pt>
                <c:pt idx="469">
                  <c:v>2041415.12</c:v>
                </c:pt>
                <c:pt idx="470">
                  <c:v>2041415.12</c:v>
                </c:pt>
                <c:pt idx="471">
                  <c:v>2041415.12</c:v>
                </c:pt>
                <c:pt idx="472">
                  <c:v>2041415.12</c:v>
                </c:pt>
                <c:pt idx="473">
                  <c:v>2041415.12</c:v>
                </c:pt>
                <c:pt idx="474">
                  <c:v>2041415.12</c:v>
                </c:pt>
                <c:pt idx="475">
                  <c:v>2041415.12</c:v>
                </c:pt>
                <c:pt idx="476">
                  <c:v>2041415.12</c:v>
                </c:pt>
                <c:pt idx="477">
                  <c:v>2041415.12</c:v>
                </c:pt>
                <c:pt idx="478">
                  <c:v>2041415.12</c:v>
                </c:pt>
                <c:pt idx="479">
                  <c:v>2041415.12</c:v>
                </c:pt>
                <c:pt idx="480">
                  <c:v>2041415.12</c:v>
                </c:pt>
                <c:pt idx="481">
                  <c:v>2041415.12</c:v>
                </c:pt>
                <c:pt idx="482">
                  <c:v>2041415.12</c:v>
                </c:pt>
                <c:pt idx="483">
                  <c:v>2041415.12</c:v>
                </c:pt>
                <c:pt idx="484">
                  <c:v>2041415.12</c:v>
                </c:pt>
                <c:pt idx="485">
                  <c:v>2041415.12</c:v>
                </c:pt>
                <c:pt idx="486">
                  <c:v>2041415.12</c:v>
                </c:pt>
                <c:pt idx="487">
                  <c:v>2041415.12</c:v>
                </c:pt>
                <c:pt idx="488">
                  <c:v>2041415.12</c:v>
                </c:pt>
                <c:pt idx="489">
                  <c:v>2041415.12</c:v>
                </c:pt>
                <c:pt idx="490">
                  <c:v>2041415.12</c:v>
                </c:pt>
                <c:pt idx="491">
                  <c:v>2041415.12</c:v>
                </c:pt>
                <c:pt idx="492">
                  <c:v>2041415.12</c:v>
                </c:pt>
                <c:pt idx="493">
                  <c:v>2041415.12</c:v>
                </c:pt>
                <c:pt idx="494">
                  <c:v>2041415.12</c:v>
                </c:pt>
                <c:pt idx="495">
                  <c:v>2041415.12</c:v>
                </c:pt>
                <c:pt idx="496">
                  <c:v>2041415.12</c:v>
                </c:pt>
                <c:pt idx="497">
                  <c:v>2041415.12</c:v>
                </c:pt>
                <c:pt idx="498">
                  <c:v>2041415.12</c:v>
                </c:pt>
                <c:pt idx="499">
                  <c:v>2041415.12</c:v>
                </c:pt>
                <c:pt idx="500">
                  <c:v>2041415.12</c:v>
                </c:pt>
                <c:pt idx="501">
                  <c:v>2041415.12</c:v>
                </c:pt>
                <c:pt idx="502">
                  <c:v>2041415.12</c:v>
                </c:pt>
                <c:pt idx="503">
                  <c:v>2041415.12</c:v>
                </c:pt>
                <c:pt idx="504">
                  <c:v>2041415.12</c:v>
                </c:pt>
                <c:pt idx="505">
                  <c:v>2041415.12</c:v>
                </c:pt>
                <c:pt idx="506">
                  <c:v>2041415.12</c:v>
                </c:pt>
                <c:pt idx="507">
                  <c:v>2041415.12</c:v>
                </c:pt>
                <c:pt idx="508">
                  <c:v>2041415.12</c:v>
                </c:pt>
                <c:pt idx="509">
                  <c:v>2041415.12</c:v>
                </c:pt>
                <c:pt idx="510">
                  <c:v>2041415.12</c:v>
                </c:pt>
                <c:pt idx="511">
                  <c:v>2041415.12</c:v>
                </c:pt>
                <c:pt idx="512">
                  <c:v>2041415.12</c:v>
                </c:pt>
                <c:pt idx="513">
                  <c:v>2041415.12</c:v>
                </c:pt>
                <c:pt idx="514">
                  <c:v>2041415.12</c:v>
                </c:pt>
                <c:pt idx="515">
                  <c:v>2041415.12</c:v>
                </c:pt>
                <c:pt idx="516">
                  <c:v>2041415.12</c:v>
                </c:pt>
                <c:pt idx="517">
                  <c:v>2041415.12</c:v>
                </c:pt>
                <c:pt idx="518">
                  <c:v>2041415.12</c:v>
                </c:pt>
                <c:pt idx="519">
                  <c:v>2041415.12</c:v>
                </c:pt>
                <c:pt idx="520">
                  <c:v>2041415.12</c:v>
                </c:pt>
                <c:pt idx="521">
                  <c:v>2041415.12</c:v>
                </c:pt>
                <c:pt idx="522">
                  <c:v>2041415.12</c:v>
                </c:pt>
                <c:pt idx="523">
                  <c:v>2041415.12</c:v>
                </c:pt>
                <c:pt idx="524">
                  <c:v>2041415.12</c:v>
                </c:pt>
                <c:pt idx="525">
                  <c:v>2041415.12</c:v>
                </c:pt>
                <c:pt idx="526">
                  <c:v>2041415.12</c:v>
                </c:pt>
                <c:pt idx="527">
                  <c:v>2041415.12</c:v>
                </c:pt>
                <c:pt idx="528">
                  <c:v>2041415.12</c:v>
                </c:pt>
                <c:pt idx="529">
                  <c:v>2041415.12</c:v>
                </c:pt>
                <c:pt idx="530">
                  <c:v>2041415.12</c:v>
                </c:pt>
                <c:pt idx="531">
                  <c:v>2041415.12</c:v>
                </c:pt>
                <c:pt idx="532">
                  <c:v>2041415.12</c:v>
                </c:pt>
                <c:pt idx="533">
                  <c:v>2041415.12</c:v>
                </c:pt>
                <c:pt idx="534">
                  <c:v>2041415.12</c:v>
                </c:pt>
                <c:pt idx="535">
                  <c:v>2041415.12</c:v>
                </c:pt>
                <c:pt idx="536">
                  <c:v>2041415.12</c:v>
                </c:pt>
                <c:pt idx="537">
                  <c:v>2041415.12</c:v>
                </c:pt>
                <c:pt idx="538">
                  <c:v>2041415.12</c:v>
                </c:pt>
                <c:pt idx="539">
                  <c:v>2041415.12</c:v>
                </c:pt>
                <c:pt idx="540">
                  <c:v>2041415.12</c:v>
                </c:pt>
                <c:pt idx="541">
                  <c:v>2041415.12</c:v>
                </c:pt>
                <c:pt idx="542">
                  <c:v>2041415.12</c:v>
                </c:pt>
                <c:pt idx="543">
                  <c:v>2041415.12</c:v>
                </c:pt>
                <c:pt idx="544">
                  <c:v>2041415.12</c:v>
                </c:pt>
                <c:pt idx="545">
                  <c:v>2041415.12</c:v>
                </c:pt>
                <c:pt idx="546">
                  <c:v>2041415.12</c:v>
                </c:pt>
                <c:pt idx="547">
                  <c:v>2041415.12</c:v>
                </c:pt>
                <c:pt idx="548">
                  <c:v>2041415.12</c:v>
                </c:pt>
                <c:pt idx="549">
                  <c:v>2041415.12</c:v>
                </c:pt>
                <c:pt idx="550">
                  <c:v>2041415.12</c:v>
                </c:pt>
                <c:pt idx="551">
                  <c:v>2041415.12</c:v>
                </c:pt>
                <c:pt idx="552">
                  <c:v>2041415.12</c:v>
                </c:pt>
                <c:pt idx="553">
                  <c:v>2041415.12</c:v>
                </c:pt>
                <c:pt idx="554">
                  <c:v>2041415.12</c:v>
                </c:pt>
                <c:pt idx="555">
                  <c:v>2041415.12</c:v>
                </c:pt>
                <c:pt idx="556">
                  <c:v>2041415.12</c:v>
                </c:pt>
                <c:pt idx="557">
                  <c:v>2041415.12</c:v>
                </c:pt>
                <c:pt idx="558">
                  <c:v>2041415.12</c:v>
                </c:pt>
                <c:pt idx="559">
                  <c:v>2041415.12</c:v>
                </c:pt>
                <c:pt idx="560">
                  <c:v>2041415.12</c:v>
                </c:pt>
                <c:pt idx="561">
                  <c:v>2041415.12</c:v>
                </c:pt>
                <c:pt idx="562">
                  <c:v>2041415.12</c:v>
                </c:pt>
                <c:pt idx="563">
                  <c:v>2041415.12</c:v>
                </c:pt>
                <c:pt idx="564">
                  <c:v>2041415.12</c:v>
                </c:pt>
                <c:pt idx="565">
                  <c:v>2041415.12</c:v>
                </c:pt>
                <c:pt idx="566">
                  <c:v>2041415.12</c:v>
                </c:pt>
                <c:pt idx="567">
                  <c:v>2041415.12</c:v>
                </c:pt>
                <c:pt idx="568">
                  <c:v>2041415.12</c:v>
                </c:pt>
                <c:pt idx="569">
                  <c:v>2041415.12</c:v>
                </c:pt>
                <c:pt idx="570">
                  <c:v>2041415.12</c:v>
                </c:pt>
                <c:pt idx="571">
                  <c:v>2041415.12</c:v>
                </c:pt>
                <c:pt idx="572">
                  <c:v>2041415.12</c:v>
                </c:pt>
                <c:pt idx="573">
                  <c:v>2041415.12</c:v>
                </c:pt>
                <c:pt idx="574">
                  <c:v>2041415.12</c:v>
                </c:pt>
                <c:pt idx="575">
                  <c:v>2041415.12</c:v>
                </c:pt>
                <c:pt idx="576">
                  <c:v>2041415.12</c:v>
                </c:pt>
                <c:pt idx="577">
                  <c:v>2041415.12</c:v>
                </c:pt>
                <c:pt idx="578">
                  <c:v>2041415.12</c:v>
                </c:pt>
                <c:pt idx="579">
                  <c:v>2041415.12</c:v>
                </c:pt>
                <c:pt idx="580">
                  <c:v>2041415.12</c:v>
                </c:pt>
                <c:pt idx="581">
                  <c:v>2041415.12</c:v>
                </c:pt>
                <c:pt idx="582">
                  <c:v>2041415.12</c:v>
                </c:pt>
                <c:pt idx="583">
                  <c:v>2041415.12</c:v>
                </c:pt>
                <c:pt idx="584">
                  <c:v>2041415.12</c:v>
                </c:pt>
                <c:pt idx="585">
                  <c:v>2041415.12</c:v>
                </c:pt>
                <c:pt idx="586">
                  <c:v>2041415.12</c:v>
                </c:pt>
                <c:pt idx="587">
                  <c:v>2041415.12</c:v>
                </c:pt>
                <c:pt idx="588">
                  <c:v>2041415.12</c:v>
                </c:pt>
                <c:pt idx="589">
                  <c:v>2041415.12</c:v>
                </c:pt>
                <c:pt idx="590">
                  <c:v>2041415.12</c:v>
                </c:pt>
                <c:pt idx="591">
                  <c:v>2041415.12</c:v>
                </c:pt>
                <c:pt idx="592">
                  <c:v>2041415.12</c:v>
                </c:pt>
                <c:pt idx="593">
                  <c:v>2041415.12</c:v>
                </c:pt>
                <c:pt idx="594">
                  <c:v>2041415.12</c:v>
                </c:pt>
                <c:pt idx="595">
                  <c:v>2041415.12</c:v>
                </c:pt>
                <c:pt idx="596">
                  <c:v>2041415.12</c:v>
                </c:pt>
                <c:pt idx="597">
                  <c:v>2041415.12</c:v>
                </c:pt>
                <c:pt idx="598">
                  <c:v>2041415.12</c:v>
                </c:pt>
                <c:pt idx="599">
                  <c:v>2041415.12</c:v>
                </c:pt>
                <c:pt idx="600">
                  <c:v>2041415.12</c:v>
                </c:pt>
                <c:pt idx="601">
                  <c:v>2041415.12</c:v>
                </c:pt>
                <c:pt idx="602">
                  <c:v>2041415.12</c:v>
                </c:pt>
                <c:pt idx="603">
                  <c:v>2041415.12</c:v>
                </c:pt>
                <c:pt idx="604">
                  <c:v>2041415.12</c:v>
                </c:pt>
                <c:pt idx="605">
                  <c:v>2041415.12</c:v>
                </c:pt>
                <c:pt idx="606">
                  <c:v>2041415.12</c:v>
                </c:pt>
                <c:pt idx="607">
                  <c:v>2041415.12</c:v>
                </c:pt>
                <c:pt idx="608">
                  <c:v>2041415.12</c:v>
                </c:pt>
                <c:pt idx="609">
                  <c:v>2041415.12</c:v>
                </c:pt>
                <c:pt idx="610">
                  <c:v>2041415.12</c:v>
                </c:pt>
                <c:pt idx="611">
                  <c:v>2041415.12</c:v>
                </c:pt>
                <c:pt idx="612">
                  <c:v>2041415.12</c:v>
                </c:pt>
                <c:pt idx="613">
                  <c:v>2041415.12</c:v>
                </c:pt>
                <c:pt idx="614">
                  <c:v>2041415.12</c:v>
                </c:pt>
                <c:pt idx="615">
                  <c:v>2041415.12</c:v>
                </c:pt>
                <c:pt idx="616">
                  <c:v>2041415.12</c:v>
                </c:pt>
                <c:pt idx="617">
                  <c:v>2041415.12</c:v>
                </c:pt>
                <c:pt idx="618">
                  <c:v>2041415.12</c:v>
                </c:pt>
                <c:pt idx="619">
                  <c:v>2041415.12</c:v>
                </c:pt>
                <c:pt idx="620">
                  <c:v>2041415.12</c:v>
                </c:pt>
                <c:pt idx="621">
                  <c:v>2041415.12</c:v>
                </c:pt>
                <c:pt idx="622">
                  <c:v>2041415.12</c:v>
                </c:pt>
                <c:pt idx="623">
                  <c:v>2041415.12</c:v>
                </c:pt>
                <c:pt idx="624">
                  <c:v>2041415.12</c:v>
                </c:pt>
                <c:pt idx="625">
                  <c:v>2041415.12</c:v>
                </c:pt>
                <c:pt idx="626">
                  <c:v>2041415.12</c:v>
                </c:pt>
                <c:pt idx="627">
                  <c:v>2041415.12</c:v>
                </c:pt>
                <c:pt idx="628">
                  <c:v>2041415.12</c:v>
                </c:pt>
                <c:pt idx="629">
                  <c:v>2041415.12</c:v>
                </c:pt>
                <c:pt idx="630">
                  <c:v>2041415.12</c:v>
                </c:pt>
                <c:pt idx="631">
                  <c:v>2041415.12</c:v>
                </c:pt>
                <c:pt idx="632">
                  <c:v>2041415.12</c:v>
                </c:pt>
                <c:pt idx="633">
                  <c:v>2041415.12</c:v>
                </c:pt>
                <c:pt idx="634">
                  <c:v>2041415.12</c:v>
                </c:pt>
                <c:pt idx="635">
                  <c:v>2041415.12</c:v>
                </c:pt>
                <c:pt idx="636">
                  <c:v>2041415.12</c:v>
                </c:pt>
                <c:pt idx="637">
                  <c:v>2041415.12</c:v>
                </c:pt>
                <c:pt idx="638">
                  <c:v>2041415.12</c:v>
                </c:pt>
                <c:pt idx="639">
                  <c:v>2041415.12</c:v>
                </c:pt>
                <c:pt idx="640">
                  <c:v>2041415.12</c:v>
                </c:pt>
                <c:pt idx="641">
                  <c:v>2041415.12</c:v>
                </c:pt>
                <c:pt idx="642">
                  <c:v>2041415.12</c:v>
                </c:pt>
                <c:pt idx="643">
                  <c:v>2041415.12</c:v>
                </c:pt>
                <c:pt idx="644">
                  <c:v>2041415.12</c:v>
                </c:pt>
                <c:pt idx="645">
                  <c:v>2041415.12</c:v>
                </c:pt>
                <c:pt idx="646">
                  <c:v>2041415.12</c:v>
                </c:pt>
                <c:pt idx="647">
                  <c:v>2041415.12</c:v>
                </c:pt>
                <c:pt idx="648">
                  <c:v>2041415.12</c:v>
                </c:pt>
                <c:pt idx="649">
                  <c:v>2041415.12</c:v>
                </c:pt>
                <c:pt idx="650">
                  <c:v>2041415.12</c:v>
                </c:pt>
                <c:pt idx="651">
                  <c:v>2041415.12</c:v>
                </c:pt>
                <c:pt idx="652">
                  <c:v>2041415.12</c:v>
                </c:pt>
                <c:pt idx="653">
                  <c:v>2041415.12</c:v>
                </c:pt>
                <c:pt idx="654">
                  <c:v>2041415.12</c:v>
                </c:pt>
                <c:pt idx="655">
                  <c:v>2041415.12</c:v>
                </c:pt>
                <c:pt idx="656">
                  <c:v>2041415.12</c:v>
                </c:pt>
                <c:pt idx="657">
                  <c:v>2041415.12</c:v>
                </c:pt>
                <c:pt idx="658">
                  <c:v>2041415.12</c:v>
                </c:pt>
                <c:pt idx="659">
                  <c:v>2041415.12</c:v>
                </c:pt>
                <c:pt idx="660">
                  <c:v>2041415.12</c:v>
                </c:pt>
                <c:pt idx="661">
                  <c:v>2041415.12</c:v>
                </c:pt>
                <c:pt idx="662">
                  <c:v>2041415.12</c:v>
                </c:pt>
                <c:pt idx="663">
                  <c:v>2041415.12</c:v>
                </c:pt>
                <c:pt idx="664">
                  <c:v>2041415.12</c:v>
                </c:pt>
                <c:pt idx="665">
                  <c:v>2041415.12</c:v>
                </c:pt>
                <c:pt idx="666">
                  <c:v>2041415.12</c:v>
                </c:pt>
                <c:pt idx="667">
                  <c:v>2041415.12</c:v>
                </c:pt>
                <c:pt idx="668">
                  <c:v>2041415.12</c:v>
                </c:pt>
                <c:pt idx="669">
                  <c:v>2041415.12</c:v>
                </c:pt>
                <c:pt idx="670">
                  <c:v>2041415.12</c:v>
                </c:pt>
                <c:pt idx="671">
                  <c:v>2041415.12</c:v>
                </c:pt>
                <c:pt idx="672">
                  <c:v>2041415.12</c:v>
                </c:pt>
                <c:pt idx="673">
                  <c:v>2041415.12</c:v>
                </c:pt>
                <c:pt idx="674">
                  <c:v>2041415.12</c:v>
                </c:pt>
                <c:pt idx="675">
                  <c:v>2041415.12</c:v>
                </c:pt>
                <c:pt idx="676">
                  <c:v>2041415.12</c:v>
                </c:pt>
                <c:pt idx="677">
                  <c:v>2041415.12</c:v>
                </c:pt>
                <c:pt idx="678">
                  <c:v>2041415.12</c:v>
                </c:pt>
                <c:pt idx="679">
                  <c:v>2041415.12</c:v>
                </c:pt>
                <c:pt idx="680">
                  <c:v>2041415.12</c:v>
                </c:pt>
                <c:pt idx="681">
                  <c:v>2041415.12</c:v>
                </c:pt>
                <c:pt idx="682">
                  <c:v>2041415.12</c:v>
                </c:pt>
                <c:pt idx="683">
                  <c:v>2041415.12</c:v>
                </c:pt>
                <c:pt idx="684">
                  <c:v>2041415.12</c:v>
                </c:pt>
                <c:pt idx="685">
                  <c:v>2041415.12</c:v>
                </c:pt>
                <c:pt idx="686">
                  <c:v>2041415.12</c:v>
                </c:pt>
                <c:pt idx="687">
                  <c:v>2041415.12</c:v>
                </c:pt>
                <c:pt idx="688">
                  <c:v>2041415.12</c:v>
                </c:pt>
                <c:pt idx="689">
                  <c:v>2041415.12</c:v>
                </c:pt>
                <c:pt idx="690">
                  <c:v>2041415.12</c:v>
                </c:pt>
                <c:pt idx="691">
                  <c:v>2041415.12</c:v>
                </c:pt>
                <c:pt idx="692">
                  <c:v>2041415.12</c:v>
                </c:pt>
                <c:pt idx="693">
                  <c:v>2041415.12</c:v>
                </c:pt>
                <c:pt idx="694">
                  <c:v>2041415.12</c:v>
                </c:pt>
                <c:pt idx="695">
                  <c:v>2041415.12</c:v>
                </c:pt>
                <c:pt idx="696">
                  <c:v>2041415.12</c:v>
                </c:pt>
                <c:pt idx="697">
                  <c:v>2041415.12</c:v>
                </c:pt>
                <c:pt idx="698">
                  <c:v>2041415.12</c:v>
                </c:pt>
                <c:pt idx="699">
                  <c:v>2041415.12</c:v>
                </c:pt>
                <c:pt idx="700">
                  <c:v>2041415.12</c:v>
                </c:pt>
                <c:pt idx="701">
                  <c:v>2041415.12</c:v>
                </c:pt>
                <c:pt idx="702">
                  <c:v>2041415.12</c:v>
                </c:pt>
                <c:pt idx="703">
                  <c:v>2041415.12</c:v>
                </c:pt>
                <c:pt idx="704">
                  <c:v>2041415.12</c:v>
                </c:pt>
                <c:pt idx="705">
                  <c:v>2041415.12</c:v>
                </c:pt>
                <c:pt idx="706">
                  <c:v>2041415.12</c:v>
                </c:pt>
                <c:pt idx="707">
                  <c:v>2041415.12</c:v>
                </c:pt>
                <c:pt idx="708">
                  <c:v>2041415.12</c:v>
                </c:pt>
                <c:pt idx="709">
                  <c:v>2041415.12</c:v>
                </c:pt>
                <c:pt idx="710">
                  <c:v>2041415.12</c:v>
                </c:pt>
                <c:pt idx="711">
                  <c:v>2041415.12</c:v>
                </c:pt>
                <c:pt idx="712">
                  <c:v>2041415.12</c:v>
                </c:pt>
                <c:pt idx="713">
                  <c:v>2041415.12</c:v>
                </c:pt>
                <c:pt idx="714">
                  <c:v>2041415.12</c:v>
                </c:pt>
                <c:pt idx="715">
                  <c:v>2041415.12</c:v>
                </c:pt>
                <c:pt idx="716">
                  <c:v>2041415.12</c:v>
                </c:pt>
                <c:pt idx="717">
                  <c:v>2041415.12</c:v>
                </c:pt>
                <c:pt idx="718">
                  <c:v>2041415.12</c:v>
                </c:pt>
                <c:pt idx="719">
                  <c:v>2041415.12</c:v>
                </c:pt>
                <c:pt idx="720">
                  <c:v>2041415.12</c:v>
                </c:pt>
                <c:pt idx="721">
                  <c:v>2041415.12</c:v>
                </c:pt>
                <c:pt idx="722">
                  <c:v>2041415.12</c:v>
                </c:pt>
                <c:pt idx="723">
                  <c:v>2041415.12</c:v>
                </c:pt>
                <c:pt idx="724">
                  <c:v>2041415.12</c:v>
                </c:pt>
                <c:pt idx="725">
                  <c:v>2041415.12</c:v>
                </c:pt>
                <c:pt idx="726">
                  <c:v>2041415.12</c:v>
                </c:pt>
                <c:pt idx="727">
                  <c:v>2041415.12</c:v>
                </c:pt>
                <c:pt idx="728">
                  <c:v>2041415.12</c:v>
                </c:pt>
                <c:pt idx="729">
                  <c:v>2041415.12</c:v>
                </c:pt>
                <c:pt idx="730">
                  <c:v>2041415.12</c:v>
                </c:pt>
                <c:pt idx="731">
                  <c:v>2041415.12</c:v>
                </c:pt>
                <c:pt idx="732">
                  <c:v>2041415.12</c:v>
                </c:pt>
                <c:pt idx="733">
                  <c:v>2041415.12</c:v>
                </c:pt>
                <c:pt idx="734">
                  <c:v>2041415.12</c:v>
                </c:pt>
                <c:pt idx="735">
                  <c:v>2041415.12</c:v>
                </c:pt>
                <c:pt idx="736">
                  <c:v>2041415.12</c:v>
                </c:pt>
                <c:pt idx="737">
                  <c:v>2041415.12</c:v>
                </c:pt>
                <c:pt idx="738">
                  <c:v>2041415.12</c:v>
                </c:pt>
                <c:pt idx="739">
                  <c:v>2041415.12</c:v>
                </c:pt>
                <c:pt idx="740">
                  <c:v>2041415.12</c:v>
                </c:pt>
                <c:pt idx="741">
                  <c:v>2041415.12</c:v>
                </c:pt>
                <c:pt idx="742">
                  <c:v>2041415.12</c:v>
                </c:pt>
                <c:pt idx="743">
                  <c:v>2041415.12</c:v>
                </c:pt>
                <c:pt idx="744">
                  <c:v>2041415.12</c:v>
                </c:pt>
                <c:pt idx="745">
                  <c:v>2041415.12</c:v>
                </c:pt>
                <c:pt idx="746">
                  <c:v>2041415.12</c:v>
                </c:pt>
                <c:pt idx="747">
                  <c:v>2041415.12</c:v>
                </c:pt>
                <c:pt idx="748">
                  <c:v>2041415.12</c:v>
                </c:pt>
                <c:pt idx="749">
                  <c:v>2041415.12</c:v>
                </c:pt>
                <c:pt idx="750">
                  <c:v>2041415.12</c:v>
                </c:pt>
                <c:pt idx="751">
                  <c:v>2041415.12</c:v>
                </c:pt>
                <c:pt idx="752">
                  <c:v>2041415.12</c:v>
                </c:pt>
                <c:pt idx="753">
                  <c:v>2041415.12</c:v>
                </c:pt>
                <c:pt idx="754">
                  <c:v>2041415.12</c:v>
                </c:pt>
                <c:pt idx="755">
                  <c:v>2041415.12</c:v>
                </c:pt>
                <c:pt idx="756">
                  <c:v>2041415.12</c:v>
                </c:pt>
                <c:pt idx="757">
                  <c:v>2041415.12</c:v>
                </c:pt>
                <c:pt idx="758">
                  <c:v>2041415.12</c:v>
                </c:pt>
                <c:pt idx="759">
                  <c:v>2041415.12</c:v>
                </c:pt>
                <c:pt idx="760">
                  <c:v>2041415.12</c:v>
                </c:pt>
                <c:pt idx="761">
                  <c:v>2041415.12</c:v>
                </c:pt>
                <c:pt idx="762">
                  <c:v>2041415.12</c:v>
                </c:pt>
                <c:pt idx="763">
                  <c:v>2041415.12</c:v>
                </c:pt>
                <c:pt idx="764">
                  <c:v>2041415.12</c:v>
                </c:pt>
                <c:pt idx="765">
                  <c:v>2041415.12</c:v>
                </c:pt>
                <c:pt idx="766">
                  <c:v>2041415.12</c:v>
                </c:pt>
                <c:pt idx="767">
                  <c:v>2041415.12</c:v>
                </c:pt>
                <c:pt idx="768">
                  <c:v>2041415.12</c:v>
                </c:pt>
                <c:pt idx="769">
                  <c:v>2041415.12</c:v>
                </c:pt>
                <c:pt idx="770">
                  <c:v>2041415.12</c:v>
                </c:pt>
                <c:pt idx="771">
                  <c:v>2041415.12</c:v>
                </c:pt>
                <c:pt idx="772">
                  <c:v>2041415.12</c:v>
                </c:pt>
                <c:pt idx="773">
                  <c:v>2041415.12</c:v>
                </c:pt>
                <c:pt idx="774">
                  <c:v>2041415.12</c:v>
                </c:pt>
                <c:pt idx="775">
                  <c:v>2041415.12</c:v>
                </c:pt>
                <c:pt idx="776">
                  <c:v>2041415.12</c:v>
                </c:pt>
                <c:pt idx="777">
                  <c:v>2041415.12</c:v>
                </c:pt>
                <c:pt idx="778">
                  <c:v>2041415.12</c:v>
                </c:pt>
                <c:pt idx="779">
                  <c:v>2041415.12</c:v>
                </c:pt>
                <c:pt idx="780">
                  <c:v>2041415.12</c:v>
                </c:pt>
                <c:pt idx="781">
                  <c:v>2041415.12</c:v>
                </c:pt>
                <c:pt idx="782">
                  <c:v>2041415.12</c:v>
                </c:pt>
                <c:pt idx="783">
                  <c:v>2041415.12</c:v>
                </c:pt>
                <c:pt idx="784">
                  <c:v>2041415.12</c:v>
                </c:pt>
                <c:pt idx="785">
                  <c:v>2041415.12</c:v>
                </c:pt>
                <c:pt idx="786">
                  <c:v>2041415.12</c:v>
                </c:pt>
                <c:pt idx="787">
                  <c:v>2041415.12</c:v>
                </c:pt>
                <c:pt idx="788">
                  <c:v>2041415.12</c:v>
                </c:pt>
                <c:pt idx="789">
                  <c:v>2041415.12</c:v>
                </c:pt>
                <c:pt idx="790">
                  <c:v>2041415.12</c:v>
                </c:pt>
                <c:pt idx="791">
                  <c:v>2041415.12</c:v>
                </c:pt>
                <c:pt idx="792">
                  <c:v>2041415.12</c:v>
                </c:pt>
                <c:pt idx="793">
                  <c:v>2041415.12</c:v>
                </c:pt>
                <c:pt idx="794">
                  <c:v>2041415.12</c:v>
                </c:pt>
                <c:pt idx="795">
                  <c:v>2041415.12</c:v>
                </c:pt>
                <c:pt idx="796">
                  <c:v>2041415.12</c:v>
                </c:pt>
                <c:pt idx="797">
                  <c:v>2041415.12</c:v>
                </c:pt>
                <c:pt idx="798">
                  <c:v>2041415.12</c:v>
                </c:pt>
                <c:pt idx="799">
                  <c:v>2041415.12</c:v>
                </c:pt>
                <c:pt idx="800">
                  <c:v>2041415.12</c:v>
                </c:pt>
                <c:pt idx="801">
                  <c:v>2041415.12</c:v>
                </c:pt>
                <c:pt idx="802">
                  <c:v>2041415.12</c:v>
                </c:pt>
                <c:pt idx="803">
                  <c:v>2041415.12</c:v>
                </c:pt>
                <c:pt idx="804">
                  <c:v>2041415.12</c:v>
                </c:pt>
                <c:pt idx="805">
                  <c:v>2041415.12</c:v>
                </c:pt>
                <c:pt idx="806">
                  <c:v>2041415.12</c:v>
                </c:pt>
                <c:pt idx="807">
                  <c:v>2041415.12</c:v>
                </c:pt>
                <c:pt idx="808">
                  <c:v>2041415.12</c:v>
                </c:pt>
                <c:pt idx="809">
                  <c:v>2041415.12</c:v>
                </c:pt>
                <c:pt idx="810">
                  <c:v>2041415.12</c:v>
                </c:pt>
                <c:pt idx="811">
                  <c:v>2041415.12</c:v>
                </c:pt>
                <c:pt idx="812">
                  <c:v>2041415.12</c:v>
                </c:pt>
                <c:pt idx="813">
                  <c:v>2041415.12</c:v>
                </c:pt>
                <c:pt idx="814">
                  <c:v>2041415.12</c:v>
                </c:pt>
                <c:pt idx="815">
                  <c:v>2041415.12</c:v>
                </c:pt>
                <c:pt idx="816">
                  <c:v>2041415.12</c:v>
                </c:pt>
                <c:pt idx="817">
                  <c:v>2041415.12</c:v>
                </c:pt>
                <c:pt idx="818">
                  <c:v>2041415.12</c:v>
                </c:pt>
                <c:pt idx="819">
                  <c:v>2041415.12</c:v>
                </c:pt>
                <c:pt idx="820">
                  <c:v>2041415.12</c:v>
                </c:pt>
                <c:pt idx="821">
                  <c:v>2041415.12</c:v>
                </c:pt>
                <c:pt idx="822">
                  <c:v>2041415.12</c:v>
                </c:pt>
                <c:pt idx="823">
                  <c:v>2041415.12</c:v>
                </c:pt>
                <c:pt idx="824">
                  <c:v>2041415.12</c:v>
                </c:pt>
                <c:pt idx="825">
                  <c:v>2041415.12</c:v>
                </c:pt>
                <c:pt idx="826">
                  <c:v>2041415.12</c:v>
                </c:pt>
                <c:pt idx="827">
                  <c:v>2041415.12</c:v>
                </c:pt>
                <c:pt idx="828">
                  <c:v>2041415.12</c:v>
                </c:pt>
                <c:pt idx="829">
                  <c:v>2041415.12</c:v>
                </c:pt>
                <c:pt idx="830">
                  <c:v>2041415.12</c:v>
                </c:pt>
                <c:pt idx="831">
                  <c:v>2041415.12</c:v>
                </c:pt>
                <c:pt idx="832">
                  <c:v>2041415.12</c:v>
                </c:pt>
                <c:pt idx="833">
                  <c:v>2041415.12</c:v>
                </c:pt>
                <c:pt idx="834">
                  <c:v>2041415.12</c:v>
                </c:pt>
                <c:pt idx="835">
                  <c:v>2041415.12</c:v>
                </c:pt>
                <c:pt idx="836">
                  <c:v>2041415.12</c:v>
                </c:pt>
                <c:pt idx="837">
                  <c:v>2041415.12</c:v>
                </c:pt>
                <c:pt idx="838">
                  <c:v>2041415.12</c:v>
                </c:pt>
                <c:pt idx="839">
                  <c:v>2041415.12</c:v>
                </c:pt>
                <c:pt idx="840">
                  <c:v>2041415.12</c:v>
                </c:pt>
                <c:pt idx="841">
                  <c:v>2041415.12</c:v>
                </c:pt>
                <c:pt idx="842">
                  <c:v>2041415.12</c:v>
                </c:pt>
                <c:pt idx="843">
                  <c:v>2041415.12</c:v>
                </c:pt>
                <c:pt idx="844">
                  <c:v>2041415.12</c:v>
                </c:pt>
                <c:pt idx="845">
                  <c:v>2041415.12</c:v>
                </c:pt>
                <c:pt idx="846">
                  <c:v>2041415.12</c:v>
                </c:pt>
                <c:pt idx="847">
                  <c:v>2041415.12</c:v>
                </c:pt>
                <c:pt idx="848">
                  <c:v>2041415.12</c:v>
                </c:pt>
                <c:pt idx="849">
                  <c:v>2041415.12</c:v>
                </c:pt>
                <c:pt idx="850">
                  <c:v>2041415.12</c:v>
                </c:pt>
                <c:pt idx="851">
                  <c:v>2041415.12</c:v>
                </c:pt>
                <c:pt idx="852">
                  <c:v>2041415.12</c:v>
                </c:pt>
                <c:pt idx="853">
                  <c:v>2041415.12</c:v>
                </c:pt>
                <c:pt idx="854">
                  <c:v>2041415.12</c:v>
                </c:pt>
                <c:pt idx="855">
                  <c:v>2041415.12</c:v>
                </c:pt>
                <c:pt idx="856">
                  <c:v>2041415.12</c:v>
                </c:pt>
                <c:pt idx="857">
                  <c:v>2041415.12</c:v>
                </c:pt>
                <c:pt idx="858">
                  <c:v>2041415.12</c:v>
                </c:pt>
                <c:pt idx="859">
                  <c:v>2041415.12</c:v>
                </c:pt>
                <c:pt idx="860">
                  <c:v>2041415.12</c:v>
                </c:pt>
                <c:pt idx="861">
                  <c:v>2041415.12</c:v>
                </c:pt>
                <c:pt idx="862">
                  <c:v>2041415.12</c:v>
                </c:pt>
                <c:pt idx="863">
                  <c:v>2041415.12</c:v>
                </c:pt>
                <c:pt idx="864">
                  <c:v>2041415.12</c:v>
                </c:pt>
                <c:pt idx="865">
                  <c:v>2041415.12</c:v>
                </c:pt>
                <c:pt idx="866">
                  <c:v>2041415.12</c:v>
                </c:pt>
                <c:pt idx="867">
                  <c:v>2041415.12</c:v>
                </c:pt>
                <c:pt idx="868">
                  <c:v>2041415.12</c:v>
                </c:pt>
                <c:pt idx="869">
                  <c:v>2041415.12</c:v>
                </c:pt>
                <c:pt idx="870">
                  <c:v>2041415.12</c:v>
                </c:pt>
                <c:pt idx="871">
                  <c:v>2041415.12</c:v>
                </c:pt>
                <c:pt idx="872">
                  <c:v>2041415.12</c:v>
                </c:pt>
                <c:pt idx="873">
                  <c:v>2041415.12</c:v>
                </c:pt>
                <c:pt idx="874">
                  <c:v>2041415.12</c:v>
                </c:pt>
                <c:pt idx="875">
                  <c:v>2041415.12</c:v>
                </c:pt>
                <c:pt idx="876">
                  <c:v>2041415.12</c:v>
                </c:pt>
                <c:pt idx="877">
                  <c:v>2041415.12</c:v>
                </c:pt>
                <c:pt idx="878">
                  <c:v>2041415.12</c:v>
                </c:pt>
                <c:pt idx="879">
                  <c:v>2041415.12</c:v>
                </c:pt>
                <c:pt idx="880">
                  <c:v>2041415.12</c:v>
                </c:pt>
                <c:pt idx="881">
                  <c:v>2041415.12</c:v>
                </c:pt>
                <c:pt idx="882">
                  <c:v>2041415.12</c:v>
                </c:pt>
                <c:pt idx="883">
                  <c:v>2041415.12</c:v>
                </c:pt>
                <c:pt idx="884">
                  <c:v>2041415.12</c:v>
                </c:pt>
                <c:pt idx="885">
                  <c:v>2041415.12</c:v>
                </c:pt>
                <c:pt idx="886">
                  <c:v>2041415.12</c:v>
                </c:pt>
                <c:pt idx="887">
                  <c:v>2041415.12</c:v>
                </c:pt>
                <c:pt idx="888">
                  <c:v>2041415.12</c:v>
                </c:pt>
                <c:pt idx="889">
                  <c:v>2041415.12</c:v>
                </c:pt>
                <c:pt idx="890">
                  <c:v>2041415.12</c:v>
                </c:pt>
                <c:pt idx="891">
                  <c:v>2041415.12</c:v>
                </c:pt>
                <c:pt idx="892">
                  <c:v>2041415.12</c:v>
                </c:pt>
                <c:pt idx="893">
                  <c:v>2041415.12</c:v>
                </c:pt>
                <c:pt idx="894">
                  <c:v>2041415.12</c:v>
                </c:pt>
                <c:pt idx="895">
                  <c:v>2041415.12</c:v>
                </c:pt>
                <c:pt idx="896">
                  <c:v>2041415.12</c:v>
                </c:pt>
                <c:pt idx="897">
                  <c:v>2041415.12</c:v>
                </c:pt>
                <c:pt idx="898">
                  <c:v>2041415.12</c:v>
                </c:pt>
                <c:pt idx="899">
                  <c:v>2041415.12</c:v>
                </c:pt>
                <c:pt idx="900">
                  <c:v>2041415.12</c:v>
                </c:pt>
                <c:pt idx="901">
                  <c:v>2041415.12</c:v>
                </c:pt>
                <c:pt idx="902">
                  <c:v>2041415.12</c:v>
                </c:pt>
                <c:pt idx="903">
                  <c:v>2041415.12</c:v>
                </c:pt>
                <c:pt idx="904">
                  <c:v>2041415.12</c:v>
                </c:pt>
                <c:pt idx="905">
                  <c:v>2041415.12</c:v>
                </c:pt>
                <c:pt idx="906">
                  <c:v>2041415.12</c:v>
                </c:pt>
                <c:pt idx="907">
                  <c:v>2041415.12</c:v>
                </c:pt>
                <c:pt idx="908">
                  <c:v>2041415.12</c:v>
                </c:pt>
                <c:pt idx="909">
                  <c:v>2041415.12</c:v>
                </c:pt>
                <c:pt idx="910">
                  <c:v>2041415.12</c:v>
                </c:pt>
                <c:pt idx="911">
                  <c:v>2041415.12</c:v>
                </c:pt>
                <c:pt idx="912">
                  <c:v>2041415.12</c:v>
                </c:pt>
                <c:pt idx="913">
                  <c:v>2041415.12</c:v>
                </c:pt>
                <c:pt idx="914">
                  <c:v>2041415.12</c:v>
                </c:pt>
                <c:pt idx="915">
                  <c:v>2041415.12</c:v>
                </c:pt>
                <c:pt idx="916">
                  <c:v>2041415.12</c:v>
                </c:pt>
                <c:pt idx="917">
                  <c:v>2041415.12</c:v>
                </c:pt>
                <c:pt idx="918">
                  <c:v>2041415.12</c:v>
                </c:pt>
                <c:pt idx="919">
                  <c:v>2041415.12</c:v>
                </c:pt>
                <c:pt idx="920">
                  <c:v>2041415.12</c:v>
                </c:pt>
                <c:pt idx="921">
                  <c:v>2041415.12</c:v>
                </c:pt>
                <c:pt idx="922">
                  <c:v>2041415.12</c:v>
                </c:pt>
                <c:pt idx="923">
                  <c:v>2041415.12</c:v>
                </c:pt>
                <c:pt idx="924">
                  <c:v>2041415.12</c:v>
                </c:pt>
                <c:pt idx="925">
                  <c:v>2041415.12</c:v>
                </c:pt>
                <c:pt idx="926">
                  <c:v>2041415.12</c:v>
                </c:pt>
                <c:pt idx="927">
                  <c:v>2041415.12</c:v>
                </c:pt>
                <c:pt idx="928">
                  <c:v>2041415.12</c:v>
                </c:pt>
                <c:pt idx="929">
                  <c:v>2041415.12</c:v>
                </c:pt>
                <c:pt idx="930">
                  <c:v>2041415.12</c:v>
                </c:pt>
                <c:pt idx="931">
                  <c:v>2041415.12</c:v>
                </c:pt>
                <c:pt idx="932">
                  <c:v>2041415.12</c:v>
                </c:pt>
                <c:pt idx="933">
                  <c:v>2041415.12</c:v>
                </c:pt>
                <c:pt idx="934">
                  <c:v>2041415.12</c:v>
                </c:pt>
                <c:pt idx="935">
                  <c:v>2041415.12</c:v>
                </c:pt>
                <c:pt idx="936">
                  <c:v>2041415.12</c:v>
                </c:pt>
                <c:pt idx="937">
                  <c:v>2041415.12</c:v>
                </c:pt>
                <c:pt idx="938">
                  <c:v>2041415.12</c:v>
                </c:pt>
                <c:pt idx="939">
                  <c:v>2041415.12</c:v>
                </c:pt>
                <c:pt idx="940">
                  <c:v>2041415.12</c:v>
                </c:pt>
                <c:pt idx="941">
                  <c:v>2041415.12</c:v>
                </c:pt>
                <c:pt idx="942">
                  <c:v>2041415.12</c:v>
                </c:pt>
                <c:pt idx="943">
                  <c:v>2041415.12</c:v>
                </c:pt>
                <c:pt idx="944">
                  <c:v>2041415.12</c:v>
                </c:pt>
                <c:pt idx="945">
                  <c:v>2041415.12</c:v>
                </c:pt>
                <c:pt idx="946">
                  <c:v>2041415.12</c:v>
                </c:pt>
                <c:pt idx="947">
                  <c:v>2041415.12</c:v>
                </c:pt>
                <c:pt idx="948">
                  <c:v>2041415.12</c:v>
                </c:pt>
                <c:pt idx="949">
                  <c:v>2041415.12</c:v>
                </c:pt>
                <c:pt idx="950">
                  <c:v>2041415.12</c:v>
                </c:pt>
                <c:pt idx="951">
                  <c:v>2041415.12</c:v>
                </c:pt>
                <c:pt idx="952">
                  <c:v>2041415.12</c:v>
                </c:pt>
                <c:pt idx="953">
                  <c:v>2041415.12</c:v>
                </c:pt>
                <c:pt idx="954">
                  <c:v>2041415.12</c:v>
                </c:pt>
                <c:pt idx="955">
                  <c:v>2041415.12</c:v>
                </c:pt>
                <c:pt idx="956">
                  <c:v>2041415.12</c:v>
                </c:pt>
                <c:pt idx="957">
                  <c:v>2041415.12</c:v>
                </c:pt>
                <c:pt idx="958">
                  <c:v>2041415.12</c:v>
                </c:pt>
                <c:pt idx="959">
                  <c:v>2041415.12</c:v>
                </c:pt>
                <c:pt idx="960">
                  <c:v>2041415.12</c:v>
                </c:pt>
                <c:pt idx="961">
                  <c:v>2041415.12</c:v>
                </c:pt>
                <c:pt idx="962">
                  <c:v>2041415.12</c:v>
                </c:pt>
                <c:pt idx="963">
                  <c:v>2041415.12</c:v>
                </c:pt>
                <c:pt idx="964">
                  <c:v>2041415.12</c:v>
                </c:pt>
                <c:pt idx="965">
                  <c:v>2041415.12</c:v>
                </c:pt>
                <c:pt idx="966">
                  <c:v>2041415.12</c:v>
                </c:pt>
                <c:pt idx="967">
                  <c:v>2041415.12</c:v>
                </c:pt>
                <c:pt idx="968">
                  <c:v>2041415.12</c:v>
                </c:pt>
                <c:pt idx="969">
                  <c:v>2041415.12</c:v>
                </c:pt>
                <c:pt idx="970">
                  <c:v>2041415.12</c:v>
                </c:pt>
                <c:pt idx="971">
                  <c:v>2041415.12</c:v>
                </c:pt>
                <c:pt idx="972">
                  <c:v>2041415.12</c:v>
                </c:pt>
                <c:pt idx="973">
                  <c:v>2041415.12</c:v>
                </c:pt>
                <c:pt idx="974">
                  <c:v>2041415.12</c:v>
                </c:pt>
                <c:pt idx="975">
                  <c:v>2041415.12</c:v>
                </c:pt>
                <c:pt idx="976">
                  <c:v>2041415.12</c:v>
                </c:pt>
                <c:pt idx="977">
                  <c:v>2041415.12</c:v>
                </c:pt>
                <c:pt idx="978">
                  <c:v>2041415.12</c:v>
                </c:pt>
                <c:pt idx="979">
                  <c:v>2041415.12</c:v>
                </c:pt>
                <c:pt idx="980">
                  <c:v>2041415.12</c:v>
                </c:pt>
                <c:pt idx="981">
                  <c:v>2041415.12</c:v>
                </c:pt>
                <c:pt idx="982">
                  <c:v>2041415.12</c:v>
                </c:pt>
                <c:pt idx="983">
                  <c:v>2041415.12</c:v>
                </c:pt>
                <c:pt idx="984">
                  <c:v>2041415.12</c:v>
                </c:pt>
                <c:pt idx="985">
                  <c:v>2041415.12</c:v>
                </c:pt>
                <c:pt idx="986">
                  <c:v>2041415.12</c:v>
                </c:pt>
                <c:pt idx="987">
                  <c:v>2041415.12</c:v>
                </c:pt>
                <c:pt idx="988">
                  <c:v>2041415.12</c:v>
                </c:pt>
                <c:pt idx="989">
                  <c:v>2041415.12</c:v>
                </c:pt>
                <c:pt idx="990">
                  <c:v>2041415.12</c:v>
                </c:pt>
                <c:pt idx="991">
                  <c:v>2041415.12</c:v>
                </c:pt>
                <c:pt idx="992">
                  <c:v>2041415.12</c:v>
                </c:pt>
                <c:pt idx="993">
                  <c:v>2041415.12</c:v>
                </c:pt>
                <c:pt idx="994">
                  <c:v>2041415.12</c:v>
                </c:pt>
                <c:pt idx="995">
                  <c:v>2041415.12</c:v>
                </c:pt>
                <c:pt idx="996">
                  <c:v>2041415.12</c:v>
                </c:pt>
                <c:pt idx="997">
                  <c:v>2041415.12</c:v>
                </c:pt>
                <c:pt idx="998">
                  <c:v>2041415.12</c:v>
                </c:pt>
                <c:pt idx="999">
                  <c:v>2041415.12</c:v>
                </c:pt>
                <c:pt idx="1000">
                  <c:v>2041415.12</c:v>
                </c:pt>
                <c:pt idx="1001">
                  <c:v>2041415.12</c:v>
                </c:pt>
                <c:pt idx="1002">
                  <c:v>2041415.12</c:v>
                </c:pt>
                <c:pt idx="1003">
                  <c:v>2041415.12</c:v>
                </c:pt>
                <c:pt idx="1004">
                  <c:v>2041415.12</c:v>
                </c:pt>
                <c:pt idx="1005">
                  <c:v>2041415.12</c:v>
                </c:pt>
                <c:pt idx="1006">
                  <c:v>2041415.12</c:v>
                </c:pt>
                <c:pt idx="1007">
                  <c:v>2041415.12</c:v>
                </c:pt>
                <c:pt idx="1008">
                  <c:v>2041415.12</c:v>
                </c:pt>
                <c:pt idx="1009">
                  <c:v>2041415.12</c:v>
                </c:pt>
                <c:pt idx="1010">
                  <c:v>2041415.12</c:v>
                </c:pt>
                <c:pt idx="1011">
                  <c:v>2041415.12</c:v>
                </c:pt>
                <c:pt idx="1012">
                  <c:v>2041415.12</c:v>
                </c:pt>
                <c:pt idx="1013">
                  <c:v>2041415.12</c:v>
                </c:pt>
                <c:pt idx="1014">
                  <c:v>2041415.12</c:v>
                </c:pt>
                <c:pt idx="1015">
                  <c:v>2041415.12</c:v>
                </c:pt>
                <c:pt idx="1016">
                  <c:v>2041415.12</c:v>
                </c:pt>
                <c:pt idx="1017">
                  <c:v>2041415.12</c:v>
                </c:pt>
                <c:pt idx="1018">
                  <c:v>2041415.12</c:v>
                </c:pt>
                <c:pt idx="1019">
                  <c:v>2041415.12</c:v>
                </c:pt>
                <c:pt idx="1020">
                  <c:v>2041415.12</c:v>
                </c:pt>
                <c:pt idx="1021">
                  <c:v>2041415.12</c:v>
                </c:pt>
                <c:pt idx="1022">
                  <c:v>2041415.12</c:v>
                </c:pt>
                <c:pt idx="1023">
                  <c:v>2041415.12</c:v>
                </c:pt>
                <c:pt idx="1024">
                  <c:v>2041415.12</c:v>
                </c:pt>
                <c:pt idx="1025">
                  <c:v>2041415.12</c:v>
                </c:pt>
                <c:pt idx="1026">
                  <c:v>2041415.12</c:v>
                </c:pt>
                <c:pt idx="1027">
                  <c:v>2041415.12</c:v>
                </c:pt>
                <c:pt idx="1028">
                  <c:v>2041415.12</c:v>
                </c:pt>
                <c:pt idx="1029">
                  <c:v>2041415.12</c:v>
                </c:pt>
                <c:pt idx="1030">
                  <c:v>2041415.12</c:v>
                </c:pt>
                <c:pt idx="1031">
                  <c:v>2041415.12</c:v>
                </c:pt>
                <c:pt idx="1032">
                  <c:v>2041415.12</c:v>
                </c:pt>
                <c:pt idx="1033">
                  <c:v>2041415.12</c:v>
                </c:pt>
                <c:pt idx="1034">
                  <c:v>2041415.12</c:v>
                </c:pt>
                <c:pt idx="1035">
                  <c:v>2041415.12</c:v>
                </c:pt>
                <c:pt idx="1036">
                  <c:v>2041415.12</c:v>
                </c:pt>
                <c:pt idx="1037">
                  <c:v>2041415.12</c:v>
                </c:pt>
                <c:pt idx="1038">
                  <c:v>2041415.12</c:v>
                </c:pt>
                <c:pt idx="1039">
                  <c:v>2041415.12</c:v>
                </c:pt>
                <c:pt idx="1040">
                  <c:v>2041415.12</c:v>
                </c:pt>
                <c:pt idx="1041">
                  <c:v>2041415.12</c:v>
                </c:pt>
                <c:pt idx="1042">
                  <c:v>2041415.12</c:v>
                </c:pt>
                <c:pt idx="1043">
                  <c:v>2041415.12</c:v>
                </c:pt>
                <c:pt idx="1044">
                  <c:v>2041415.12</c:v>
                </c:pt>
                <c:pt idx="1045">
                  <c:v>2041415.12</c:v>
                </c:pt>
                <c:pt idx="1046">
                  <c:v>2041415.12</c:v>
                </c:pt>
                <c:pt idx="1047">
                  <c:v>2041415.12</c:v>
                </c:pt>
                <c:pt idx="1048">
                  <c:v>2041415.12</c:v>
                </c:pt>
                <c:pt idx="1049">
                  <c:v>2041415.12</c:v>
                </c:pt>
                <c:pt idx="1050">
                  <c:v>2041415.12</c:v>
                </c:pt>
                <c:pt idx="1051">
                  <c:v>2041415.12</c:v>
                </c:pt>
                <c:pt idx="1052">
                  <c:v>2041415.12</c:v>
                </c:pt>
                <c:pt idx="1053">
                  <c:v>2041415.12</c:v>
                </c:pt>
                <c:pt idx="1054">
                  <c:v>2041415.12</c:v>
                </c:pt>
                <c:pt idx="1055">
                  <c:v>2041415.12</c:v>
                </c:pt>
                <c:pt idx="1056">
                  <c:v>2041415.12</c:v>
                </c:pt>
                <c:pt idx="1057">
                  <c:v>2041415.12</c:v>
                </c:pt>
                <c:pt idx="1058">
                  <c:v>2041415.12</c:v>
                </c:pt>
                <c:pt idx="1059">
                  <c:v>2041415.12</c:v>
                </c:pt>
                <c:pt idx="1060">
                  <c:v>2041415.12</c:v>
                </c:pt>
                <c:pt idx="1061">
                  <c:v>2041415.12</c:v>
                </c:pt>
                <c:pt idx="1062">
                  <c:v>2041415.12</c:v>
                </c:pt>
                <c:pt idx="1063">
                  <c:v>2041415.12</c:v>
                </c:pt>
                <c:pt idx="1064">
                  <c:v>2041415.12</c:v>
                </c:pt>
                <c:pt idx="1065">
                  <c:v>2041415.12</c:v>
                </c:pt>
                <c:pt idx="1066">
                  <c:v>2041415.12</c:v>
                </c:pt>
                <c:pt idx="1067">
                  <c:v>2041415.12</c:v>
                </c:pt>
                <c:pt idx="1068">
                  <c:v>2041415.12</c:v>
                </c:pt>
                <c:pt idx="1069">
                  <c:v>2041415.12</c:v>
                </c:pt>
                <c:pt idx="1070">
                  <c:v>2041415.12</c:v>
                </c:pt>
                <c:pt idx="1071">
                  <c:v>2041415.12</c:v>
                </c:pt>
                <c:pt idx="1072">
                  <c:v>2041415.12</c:v>
                </c:pt>
                <c:pt idx="1073">
                  <c:v>2041415.12</c:v>
                </c:pt>
                <c:pt idx="1074">
                  <c:v>2041415.12</c:v>
                </c:pt>
                <c:pt idx="1075">
                  <c:v>2041415.12</c:v>
                </c:pt>
                <c:pt idx="1076">
                  <c:v>2041415.12</c:v>
                </c:pt>
                <c:pt idx="1077">
                  <c:v>2041415.12</c:v>
                </c:pt>
                <c:pt idx="1078">
                  <c:v>2041415.12</c:v>
                </c:pt>
                <c:pt idx="1079">
                  <c:v>2041415.12</c:v>
                </c:pt>
                <c:pt idx="1080">
                  <c:v>2041415.12</c:v>
                </c:pt>
                <c:pt idx="1081">
                  <c:v>2041415.12</c:v>
                </c:pt>
                <c:pt idx="1082">
                  <c:v>2041415.12</c:v>
                </c:pt>
                <c:pt idx="1083">
                  <c:v>2041415.12</c:v>
                </c:pt>
                <c:pt idx="1084">
                  <c:v>2041415.12</c:v>
                </c:pt>
                <c:pt idx="1085">
                  <c:v>2041415.12</c:v>
                </c:pt>
                <c:pt idx="1086">
                  <c:v>2041415.12</c:v>
                </c:pt>
                <c:pt idx="1087">
                  <c:v>2041415.12</c:v>
                </c:pt>
                <c:pt idx="1088">
                  <c:v>2041415.12</c:v>
                </c:pt>
                <c:pt idx="1089">
                  <c:v>2041415.12</c:v>
                </c:pt>
                <c:pt idx="1090">
                  <c:v>2041415.12</c:v>
                </c:pt>
                <c:pt idx="1091">
                  <c:v>2041415.12</c:v>
                </c:pt>
                <c:pt idx="1092">
                  <c:v>2041415.12</c:v>
                </c:pt>
                <c:pt idx="1093">
                  <c:v>2041415.12</c:v>
                </c:pt>
                <c:pt idx="1094">
                  <c:v>2041415.12</c:v>
                </c:pt>
                <c:pt idx="1095">
                  <c:v>2041415.12</c:v>
                </c:pt>
                <c:pt idx="1096">
                  <c:v>2041415.12</c:v>
                </c:pt>
                <c:pt idx="1097">
                  <c:v>2041415.12</c:v>
                </c:pt>
                <c:pt idx="1098">
                  <c:v>2041415.12</c:v>
                </c:pt>
                <c:pt idx="1099">
                  <c:v>2041415.12</c:v>
                </c:pt>
                <c:pt idx="1100">
                  <c:v>2041415.12</c:v>
                </c:pt>
                <c:pt idx="1101">
                  <c:v>2041415.12</c:v>
                </c:pt>
                <c:pt idx="1102">
                  <c:v>2041415.12</c:v>
                </c:pt>
                <c:pt idx="1103">
                  <c:v>2041415.12</c:v>
                </c:pt>
                <c:pt idx="1104">
                  <c:v>2041415.12</c:v>
                </c:pt>
                <c:pt idx="1105">
                  <c:v>2041415.12</c:v>
                </c:pt>
                <c:pt idx="1106">
                  <c:v>2041415.12</c:v>
                </c:pt>
                <c:pt idx="1107">
                  <c:v>2041415.12</c:v>
                </c:pt>
                <c:pt idx="1108">
                  <c:v>2041415.12</c:v>
                </c:pt>
                <c:pt idx="1109">
                  <c:v>2041415.12</c:v>
                </c:pt>
                <c:pt idx="1110">
                  <c:v>2041415.12</c:v>
                </c:pt>
                <c:pt idx="1111">
                  <c:v>2041415.12</c:v>
                </c:pt>
                <c:pt idx="1112">
                  <c:v>2041415.12</c:v>
                </c:pt>
                <c:pt idx="1113">
                  <c:v>2041415.12</c:v>
                </c:pt>
                <c:pt idx="1114">
                  <c:v>2041415.12</c:v>
                </c:pt>
                <c:pt idx="1115">
                  <c:v>2041415.12</c:v>
                </c:pt>
                <c:pt idx="1116">
                  <c:v>2041415.12</c:v>
                </c:pt>
                <c:pt idx="1117">
                  <c:v>2041415.12</c:v>
                </c:pt>
                <c:pt idx="1118">
                  <c:v>2041415.12</c:v>
                </c:pt>
                <c:pt idx="1119">
                  <c:v>2041415.12</c:v>
                </c:pt>
                <c:pt idx="1120">
                  <c:v>2041415.12</c:v>
                </c:pt>
                <c:pt idx="1121">
                  <c:v>2041415.12</c:v>
                </c:pt>
                <c:pt idx="1122">
                  <c:v>2041415.12</c:v>
                </c:pt>
                <c:pt idx="1123">
                  <c:v>2041415.12</c:v>
                </c:pt>
                <c:pt idx="1124">
                  <c:v>2041415.12</c:v>
                </c:pt>
                <c:pt idx="1125">
                  <c:v>2041415.12</c:v>
                </c:pt>
                <c:pt idx="1126">
                  <c:v>2041415.12</c:v>
                </c:pt>
                <c:pt idx="1127">
                  <c:v>2041415.12</c:v>
                </c:pt>
                <c:pt idx="1128">
                  <c:v>2041415.12</c:v>
                </c:pt>
                <c:pt idx="1129">
                  <c:v>2041415.12</c:v>
                </c:pt>
                <c:pt idx="1130">
                  <c:v>2041415.12</c:v>
                </c:pt>
                <c:pt idx="1131">
                  <c:v>2041415.12</c:v>
                </c:pt>
                <c:pt idx="1132">
                  <c:v>2041415.12</c:v>
                </c:pt>
                <c:pt idx="1133">
                  <c:v>2041415.12</c:v>
                </c:pt>
                <c:pt idx="1134">
                  <c:v>2041415.12</c:v>
                </c:pt>
                <c:pt idx="1135">
                  <c:v>2041415.12</c:v>
                </c:pt>
                <c:pt idx="1136">
                  <c:v>2041415.12</c:v>
                </c:pt>
                <c:pt idx="1137">
                  <c:v>2041415.12</c:v>
                </c:pt>
                <c:pt idx="1138">
                  <c:v>2041415.12</c:v>
                </c:pt>
                <c:pt idx="1139">
                  <c:v>2041415.12</c:v>
                </c:pt>
                <c:pt idx="1140">
                  <c:v>2041415.12</c:v>
                </c:pt>
                <c:pt idx="1141">
                  <c:v>2041415.12</c:v>
                </c:pt>
                <c:pt idx="1142">
                  <c:v>2041415.12</c:v>
                </c:pt>
                <c:pt idx="1143">
                  <c:v>2041415.12</c:v>
                </c:pt>
                <c:pt idx="1144">
                  <c:v>2041415.12</c:v>
                </c:pt>
                <c:pt idx="1145">
                  <c:v>2041415.12</c:v>
                </c:pt>
                <c:pt idx="1146">
                  <c:v>2041415.12</c:v>
                </c:pt>
                <c:pt idx="1147">
                  <c:v>2041415.12</c:v>
                </c:pt>
                <c:pt idx="1148">
                  <c:v>2041415.12</c:v>
                </c:pt>
                <c:pt idx="1149">
                  <c:v>2041415.12</c:v>
                </c:pt>
                <c:pt idx="1150">
                  <c:v>2041415.12</c:v>
                </c:pt>
                <c:pt idx="1151">
                  <c:v>2041415.12</c:v>
                </c:pt>
                <c:pt idx="1152">
                  <c:v>2041415.12</c:v>
                </c:pt>
                <c:pt idx="1153">
                  <c:v>2041415.12</c:v>
                </c:pt>
                <c:pt idx="1154">
                  <c:v>2041415.12</c:v>
                </c:pt>
                <c:pt idx="1155">
                  <c:v>2041415.12</c:v>
                </c:pt>
                <c:pt idx="1156">
                  <c:v>2041415.12</c:v>
                </c:pt>
                <c:pt idx="1157">
                  <c:v>2041415.12</c:v>
                </c:pt>
                <c:pt idx="1158">
                  <c:v>2041415.12</c:v>
                </c:pt>
                <c:pt idx="1159">
                  <c:v>2041415.12</c:v>
                </c:pt>
                <c:pt idx="1160">
                  <c:v>2041415.12</c:v>
                </c:pt>
                <c:pt idx="1161">
                  <c:v>2041415.12</c:v>
                </c:pt>
                <c:pt idx="1162">
                  <c:v>2041415.12</c:v>
                </c:pt>
                <c:pt idx="1163">
                  <c:v>2041415.12</c:v>
                </c:pt>
                <c:pt idx="1164">
                  <c:v>2041415.12</c:v>
                </c:pt>
                <c:pt idx="1165">
                  <c:v>2041415.12</c:v>
                </c:pt>
                <c:pt idx="1166">
                  <c:v>2041415.12</c:v>
                </c:pt>
                <c:pt idx="1167">
                  <c:v>2041415.12</c:v>
                </c:pt>
                <c:pt idx="1168">
                  <c:v>2041415.12</c:v>
                </c:pt>
                <c:pt idx="1169">
                  <c:v>2041415.12</c:v>
                </c:pt>
                <c:pt idx="1170">
                  <c:v>2041415.12</c:v>
                </c:pt>
                <c:pt idx="1171">
                  <c:v>2041415.12</c:v>
                </c:pt>
                <c:pt idx="1172">
                  <c:v>2041415.12</c:v>
                </c:pt>
                <c:pt idx="1173">
                  <c:v>2041415.12</c:v>
                </c:pt>
                <c:pt idx="1174">
                  <c:v>2041415.12</c:v>
                </c:pt>
                <c:pt idx="1175">
                  <c:v>2041415.12</c:v>
                </c:pt>
                <c:pt idx="1176">
                  <c:v>2041415.12</c:v>
                </c:pt>
                <c:pt idx="1177">
                  <c:v>2041415.12</c:v>
                </c:pt>
                <c:pt idx="1178">
                  <c:v>2041415.12</c:v>
                </c:pt>
                <c:pt idx="1179">
                  <c:v>2041415.12</c:v>
                </c:pt>
                <c:pt idx="1180">
                  <c:v>2041415.12</c:v>
                </c:pt>
                <c:pt idx="1181">
                  <c:v>2041415.12</c:v>
                </c:pt>
                <c:pt idx="1182">
                  <c:v>2041415.12</c:v>
                </c:pt>
                <c:pt idx="1183">
                  <c:v>2041415.12</c:v>
                </c:pt>
                <c:pt idx="1184">
                  <c:v>2041415.12</c:v>
                </c:pt>
                <c:pt idx="1185">
                  <c:v>2041415.12</c:v>
                </c:pt>
                <c:pt idx="1186">
                  <c:v>2041415.12</c:v>
                </c:pt>
                <c:pt idx="1187">
                  <c:v>2041415.12</c:v>
                </c:pt>
                <c:pt idx="1188">
                  <c:v>2041415.12</c:v>
                </c:pt>
                <c:pt idx="1189">
                  <c:v>2041415.12</c:v>
                </c:pt>
                <c:pt idx="1190">
                  <c:v>2041415.12</c:v>
                </c:pt>
                <c:pt idx="1191">
                  <c:v>2041415.12</c:v>
                </c:pt>
                <c:pt idx="1192">
                  <c:v>2041415.12</c:v>
                </c:pt>
                <c:pt idx="1193">
                  <c:v>2041415.12</c:v>
                </c:pt>
                <c:pt idx="1194">
                  <c:v>2041415.12</c:v>
                </c:pt>
                <c:pt idx="1195">
                  <c:v>2041415.12</c:v>
                </c:pt>
                <c:pt idx="1196">
                  <c:v>2041415.12</c:v>
                </c:pt>
                <c:pt idx="1197">
                  <c:v>2041415.12</c:v>
                </c:pt>
                <c:pt idx="1198">
                  <c:v>2041415.12</c:v>
                </c:pt>
                <c:pt idx="1199">
                  <c:v>2041415.12</c:v>
                </c:pt>
                <c:pt idx="1200">
                  <c:v>2041415.12</c:v>
                </c:pt>
                <c:pt idx="1201">
                  <c:v>2041415.12</c:v>
                </c:pt>
                <c:pt idx="1202">
                  <c:v>2041415.12</c:v>
                </c:pt>
                <c:pt idx="1203">
                  <c:v>2041415.12</c:v>
                </c:pt>
                <c:pt idx="1204">
                  <c:v>2041415.12</c:v>
                </c:pt>
                <c:pt idx="1205">
                  <c:v>2041415.12</c:v>
                </c:pt>
                <c:pt idx="1206">
                  <c:v>2041415.12</c:v>
                </c:pt>
                <c:pt idx="1207">
                  <c:v>2041415.12</c:v>
                </c:pt>
                <c:pt idx="1208">
                  <c:v>2041415.12</c:v>
                </c:pt>
                <c:pt idx="1209">
                  <c:v>2041415.12</c:v>
                </c:pt>
                <c:pt idx="1210">
                  <c:v>2041415.12</c:v>
                </c:pt>
                <c:pt idx="1211">
                  <c:v>2041415.12</c:v>
                </c:pt>
                <c:pt idx="1212">
                  <c:v>2041415.12</c:v>
                </c:pt>
                <c:pt idx="1213">
                  <c:v>2041415.12</c:v>
                </c:pt>
                <c:pt idx="1214">
                  <c:v>2041415.12</c:v>
                </c:pt>
                <c:pt idx="1215">
                  <c:v>2041415.12</c:v>
                </c:pt>
                <c:pt idx="1216">
                  <c:v>2041415.12</c:v>
                </c:pt>
                <c:pt idx="1217">
                  <c:v>2041415.12</c:v>
                </c:pt>
                <c:pt idx="1218">
                  <c:v>2041415.12</c:v>
                </c:pt>
                <c:pt idx="1219">
                  <c:v>2041415.12</c:v>
                </c:pt>
                <c:pt idx="1220">
                  <c:v>2041415.12</c:v>
                </c:pt>
                <c:pt idx="1221">
                  <c:v>2041415.12</c:v>
                </c:pt>
                <c:pt idx="1222">
                  <c:v>2041415.12</c:v>
                </c:pt>
                <c:pt idx="1223">
                  <c:v>2041415.12</c:v>
                </c:pt>
                <c:pt idx="1224">
                  <c:v>2041415.12</c:v>
                </c:pt>
                <c:pt idx="1225">
                  <c:v>2041415.12</c:v>
                </c:pt>
                <c:pt idx="1226">
                  <c:v>2041415.12</c:v>
                </c:pt>
                <c:pt idx="1227">
                  <c:v>2041415.12</c:v>
                </c:pt>
                <c:pt idx="1228">
                  <c:v>2041415.12</c:v>
                </c:pt>
                <c:pt idx="1229">
                  <c:v>2041415.12</c:v>
                </c:pt>
                <c:pt idx="1230">
                  <c:v>2041415.12</c:v>
                </c:pt>
                <c:pt idx="1231">
                  <c:v>2041415.12</c:v>
                </c:pt>
                <c:pt idx="1232">
                  <c:v>2041415.12</c:v>
                </c:pt>
                <c:pt idx="1233">
                  <c:v>2041415.12</c:v>
                </c:pt>
                <c:pt idx="1234">
                  <c:v>2041415.12</c:v>
                </c:pt>
                <c:pt idx="1235">
                  <c:v>2041415.12</c:v>
                </c:pt>
                <c:pt idx="1236">
                  <c:v>2041415.12</c:v>
                </c:pt>
                <c:pt idx="1237">
                  <c:v>2041415.12</c:v>
                </c:pt>
                <c:pt idx="1238">
                  <c:v>2041415.12</c:v>
                </c:pt>
                <c:pt idx="1239">
                  <c:v>2041415.12</c:v>
                </c:pt>
                <c:pt idx="1240">
                  <c:v>2041415.12</c:v>
                </c:pt>
                <c:pt idx="1241">
                  <c:v>2041415.12</c:v>
                </c:pt>
                <c:pt idx="1242">
                  <c:v>2041415.12</c:v>
                </c:pt>
                <c:pt idx="1243">
                  <c:v>2041415.12</c:v>
                </c:pt>
                <c:pt idx="1244">
                  <c:v>2041415.12</c:v>
                </c:pt>
                <c:pt idx="1245">
                  <c:v>2041415.12</c:v>
                </c:pt>
                <c:pt idx="1246">
                  <c:v>2041415.12</c:v>
                </c:pt>
                <c:pt idx="1247">
                  <c:v>2041415.12</c:v>
                </c:pt>
                <c:pt idx="1248">
                  <c:v>2041415.12</c:v>
                </c:pt>
                <c:pt idx="1249">
                  <c:v>2041415.12</c:v>
                </c:pt>
                <c:pt idx="1250">
                  <c:v>2041415.12</c:v>
                </c:pt>
                <c:pt idx="1251">
                  <c:v>2041415.12</c:v>
                </c:pt>
                <c:pt idx="1252">
                  <c:v>2041415.12</c:v>
                </c:pt>
                <c:pt idx="1253">
                  <c:v>2041415.12</c:v>
                </c:pt>
                <c:pt idx="1254">
                  <c:v>2041415.12</c:v>
                </c:pt>
                <c:pt idx="1255">
                  <c:v>2041415.12</c:v>
                </c:pt>
                <c:pt idx="1256">
                  <c:v>2041415.12</c:v>
                </c:pt>
                <c:pt idx="1257">
                  <c:v>2041415.12</c:v>
                </c:pt>
                <c:pt idx="1258">
                  <c:v>2041415.12</c:v>
                </c:pt>
                <c:pt idx="1259">
                  <c:v>2041415.12</c:v>
                </c:pt>
                <c:pt idx="1260">
                  <c:v>2041415.12</c:v>
                </c:pt>
                <c:pt idx="1261">
                  <c:v>2041415.12</c:v>
                </c:pt>
                <c:pt idx="1262">
                  <c:v>2041415.12</c:v>
                </c:pt>
                <c:pt idx="1263">
                  <c:v>2041415.12</c:v>
                </c:pt>
                <c:pt idx="1264">
                  <c:v>2041415.12</c:v>
                </c:pt>
                <c:pt idx="1265">
                  <c:v>2041415.12</c:v>
                </c:pt>
                <c:pt idx="1266">
                  <c:v>2041415.12</c:v>
                </c:pt>
                <c:pt idx="1267">
                  <c:v>2041415.12</c:v>
                </c:pt>
                <c:pt idx="1268">
                  <c:v>2041415.12</c:v>
                </c:pt>
                <c:pt idx="1269">
                  <c:v>2041415.12</c:v>
                </c:pt>
                <c:pt idx="1270">
                  <c:v>2041415.12</c:v>
                </c:pt>
                <c:pt idx="1271">
                  <c:v>2041415.12</c:v>
                </c:pt>
                <c:pt idx="1272">
                  <c:v>2041415.12</c:v>
                </c:pt>
                <c:pt idx="1273">
                  <c:v>2041415.12</c:v>
                </c:pt>
                <c:pt idx="1274">
                  <c:v>2041415.12</c:v>
                </c:pt>
                <c:pt idx="1275">
                  <c:v>2041415.12</c:v>
                </c:pt>
                <c:pt idx="1276">
                  <c:v>2041415.12</c:v>
                </c:pt>
                <c:pt idx="1277">
                  <c:v>2041415.12</c:v>
                </c:pt>
                <c:pt idx="1278">
                  <c:v>2041415.12</c:v>
                </c:pt>
                <c:pt idx="1279">
                  <c:v>2041415.12</c:v>
                </c:pt>
                <c:pt idx="1280">
                  <c:v>2041415.12</c:v>
                </c:pt>
                <c:pt idx="1281">
                  <c:v>2041415.12</c:v>
                </c:pt>
                <c:pt idx="1282">
                  <c:v>2041415.12</c:v>
                </c:pt>
                <c:pt idx="1283">
                  <c:v>2041415.12</c:v>
                </c:pt>
                <c:pt idx="1284">
                  <c:v>2041415.12</c:v>
                </c:pt>
                <c:pt idx="1285">
                  <c:v>2041415.12</c:v>
                </c:pt>
                <c:pt idx="1286">
                  <c:v>2041415.12</c:v>
                </c:pt>
                <c:pt idx="1287">
                  <c:v>2041415.12</c:v>
                </c:pt>
                <c:pt idx="1288">
                  <c:v>2041415.12</c:v>
                </c:pt>
                <c:pt idx="1289">
                  <c:v>2041415.12</c:v>
                </c:pt>
                <c:pt idx="1290">
                  <c:v>2041415.12</c:v>
                </c:pt>
                <c:pt idx="1291">
                  <c:v>2041415.12</c:v>
                </c:pt>
                <c:pt idx="1292">
                  <c:v>2041415.12</c:v>
                </c:pt>
                <c:pt idx="1293">
                  <c:v>2041415.12</c:v>
                </c:pt>
                <c:pt idx="1294">
                  <c:v>2041415.12</c:v>
                </c:pt>
                <c:pt idx="1295">
                  <c:v>2041415.12</c:v>
                </c:pt>
                <c:pt idx="1296">
                  <c:v>2041415.12</c:v>
                </c:pt>
                <c:pt idx="1297">
                  <c:v>2041415.12</c:v>
                </c:pt>
                <c:pt idx="1298">
                  <c:v>2041415.12</c:v>
                </c:pt>
                <c:pt idx="1299">
                  <c:v>2041415.12</c:v>
                </c:pt>
                <c:pt idx="1300">
                  <c:v>2041415.12</c:v>
                </c:pt>
                <c:pt idx="1301">
                  <c:v>2041415.12</c:v>
                </c:pt>
                <c:pt idx="1302">
                  <c:v>2041415.12</c:v>
                </c:pt>
                <c:pt idx="1303">
                  <c:v>2041415.12</c:v>
                </c:pt>
                <c:pt idx="1304">
                  <c:v>2041415.12</c:v>
                </c:pt>
                <c:pt idx="1305">
                  <c:v>2041415.12</c:v>
                </c:pt>
                <c:pt idx="1306">
                  <c:v>2041415.12</c:v>
                </c:pt>
                <c:pt idx="1307">
                  <c:v>2041415.12</c:v>
                </c:pt>
                <c:pt idx="1308">
                  <c:v>2041415.12</c:v>
                </c:pt>
                <c:pt idx="1309">
                  <c:v>2041415.12</c:v>
                </c:pt>
                <c:pt idx="1310">
                  <c:v>2041415.12</c:v>
                </c:pt>
                <c:pt idx="1311">
                  <c:v>2041415.12</c:v>
                </c:pt>
                <c:pt idx="1312">
                  <c:v>2041415.12</c:v>
                </c:pt>
                <c:pt idx="1313">
                  <c:v>2041415.12</c:v>
                </c:pt>
                <c:pt idx="1314">
                  <c:v>2041415.12</c:v>
                </c:pt>
                <c:pt idx="1315">
                  <c:v>2041415.12</c:v>
                </c:pt>
                <c:pt idx="1316">
                  <c:v>2041415.12</c:v>
                </c:pt>
                <c:pt idx="1317">
                  <c:v>2041415.12</c:v>
                </c:pt>
                <c:pt idx="1318">
                  <c:v>2041415.12</c:v>
                </c:pt>
                <c:pt idx="1319">
                  <c:v>2041415.12</c:v>
                </c:pt>
                <c:pt idx="1320">
                  <c:v>2041415.12</c:v>
                </c:pt>
                <c:pt idx="1321">
                  <c:v>2041415.12</c:v>
                </c:pt>
                <c:pt idx="1322">
                  <c:v>2041415.12</c:v>
                </c:pt>
                <c:pt idx="1323">
                  <c:v>2041415.12</c:v>
                </c:pt>
                <c:pt idx="1324">
                  <c:v>2041415.12</c:v>
                </c:pt>
                <c:pt idx="1325">
                  <c:v>2041415.12</c:v>
                </c:pt>
                <c:pt idx="1326">
                  <c:v>2041415.12</c:v>
                </c:pt>
                <c:pt idx="1327">
                  <c:v>2041415.12</c:v>
                </c:pt>
                <c:pt idx="1328">
                  <c:v>2041415.12</c:v>
                </c:pt>
                <c:pt idx="1329">
                  <c:v>2041415.12</c:v>
                </c:pt>
                <c:pt idx="1330">
                  <c:v>2041415.12</c:v>
                </c:pt>
                <c:pt idx="1331">
                  <c:v>2041415.12</c:v>
                </c:pt>
                <c:pt idx="1332">
                  <c:v>2041415.12</c:v>
                </c:pt>
                <c:pt idx="1333">
                  <c:v>2041415.12</c:v>
                </c:pt>
                <c:pt idx="1334">
                  <c:v>2041415.12</c:v>
                </c:pt>
                <c:pt idx="1335">
                  <c:v>2041415.12</c:v>
                </c:pt>
                <c:pt idx="1336">
                  <c:v>2041415.12</c:v>
                </c:pt>
                <c:pt idx="1337">
                  <c:v>2041415.12</c:v>
                </c:pt>
                <c:pt idx="1338">
                  <c:v>2041415.12</c:v>
                </c:pt>
                <c:pt idx="1339">
                  <c:v>2041415.12</c:v>
                </c:pt>
                <c:pt idx="1340">
                  <c:v>2041415.12</c:v>
                </c:pt>
                <c:pt idx="1341">
                  <c:v>2041415.12</c:v>
                </c:pt>
                <c:pt idx="1342">
                  <c:v>2041415.12</c:v>
                </c:pt>
                <c:pt idx="1343">
                  <c:v>2041415.12</c:v>
                </c:pt>
                <c:pt idx="1344">
                  <c:v>2041415.12</c:v>
                </c:pt>
                <c:pt idx="1345">
                  <c:v>2041415.12</c:v>
                </c:pt>
                <c:pt idx="1346">
                  <c:v>2041415.12</c:v>
                </c:pt>
                <c:pt idx="1347">
                  <c:v>2041415.12</c:v>
                </c:pt>
                <c:pt idx="1348">
                  <c:v>2041415.12</c:v>
                </c:pt>
                <c:pt idx="1349">
                  <c:v>2041415.12</c:v>
                </c:pt>
                <c:pt idx="1350">
                  <c:v>2041415.12</c:v>
                </c:pt>
                <c:pt idx="1351">
                  <c:v>2041415.12</c:v>
                </c:pt>
                <c:pt idx="1352">
                  <c:v>2041415.12</c:v>
                </c:pt>
                <c:pt idx="1353">
                  <c:v>2041415.12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138000</c:v>
                </c:pt>
                <c:pt idx="16">
                  <c:v>138000</c:v>
                </c:pt>
                <c:pt idx="17">
                  <c:v>138023.79999999999</c:v>
                </c:pt>
                <c:pt idx="18">
                  <c:v>139687.9</c:v>
                </c:pt>
                <c:pt idx="19">
                  <c:v>139687.9</c:v>
                </c:pt>
                <c:pt idx="20">
                  <c:v>508337.97</c:v>
                </c:pt>
                <c:pt idx="21">
                  <c:v>509698.17</c:v>
                </c:pt>
                <c:pt idx="22">
                  <c:v>669329.94042606791</c:v>
                </c:pt>
                <c:pt idx="23">
                  <c:v>758098.17</c:v>
                </c:pt>
                <c:pt idx="24">
                  <c:v>758098.17</c:v>
                </c:pt>
                <c:pt idx="25">
                  <c:v>801578.93</c:v>
                </c:pt>
                <c:pt idx="26">
                  <c:v>854363.51</c:v>
                </c:pt>
                <c:pt idx="27">
                  <c:v>854363.51</c:v>
                </c:pt>
                <c:pt idx="28">
                  <c:v>854363.51</c:v>
                </c:pt>
                <c:pt idx="29">
                  <c:v>1065032.5031992022</c:v>
                </c:pt>
                <c:pt idx="30">
                  <c:v>1065232.4231992022</c:v>
                </c:pt>
                <c:pt idx="31">
                  <c:v>1065232.4231992022</c:v>
                </c:pt>
                <c:pt idx="32">
                  <c:v>1085957.4231992022</c:v>
                </c:pt>
                <c:pt idx="33">
                  <c:v>1371576.1763984044</c:v>
                </c:pt>
                <c:pt idx="34">
                  <c:v>1377826.1763984044</c:v>
                </c:pt>
                <c:pt idx="35">
                  <c:v>1377826.1763984044</c:v>
                </c:pt>
                <c:pt idx="36">
                  <c:v>1377826.1763984044</c:v>
                </c:pt>
                <c:pt idx="37">
                  <c:v>1377826.1763984044</c:v>
                </c:pt>
                <c:pt idx="38">
                  <c:v>1377826.1763984044</c:v>
                </c:pt>
                <c:pt idx="39">
                  <c:v>1377826.1763984044</c:v>
                </c:pt>
                <c:pt idx="40">
                  <c:v>1377826.1763984044</c:v>
                </c:pt>
                <c:pt idx="41">
                  <c:v>1377826.1763984044</c:v>
                </c:pt>
                <c:pt idx="42">
                  <c:v>1377826.1763984044</c:v>
                </c:pt>
                <c:pt idx="43">
                  <c:v>1377826.1763984044</c:v>
                </c:pt>
                <c:pt idx="44">
                  <c:v>1377826.1763984044</c:v>
                </c:pt>
                <c:pt idx="45">
                  <c:v>1377826.1763984044</c:v>
                </c:pt>
                <c:pt idx="46">
                  <c:v>1377826.1763984044</c:v>
                </c:pt>
                <c:pt idx="47">
                  <c:v>1377826.1763984044</c:v>
                </c:pt>
                <c:pt idx="48">
                  <c:v>1377826.1763984044</c:v>
                </c:pt>
                <c:pt idx="49">
                  <c:v>1377826.1763984044</c:v>
                </c:pt>
                <c:pt idx="50">
                  <c:v>1377826.1763984044</c:v>
                </c:pt>
                <c:pt idx="51">
                  <c:v>1377826.1763984044</c:v>
                </c:pt>
                <c:pt idx="52">
                  <c:v>1377826.1763984044</c:v>
                </c:pt>
                <c:pt idx="53">
                  <c:v>1377826.1763984044</c:v>
                </c:pt>
                <c:pt idx="54">
                  <c:v>1377826.1763984044</c:v>
                </c:pt>
                <c:pt idx="55">
                  <c:v>1377826.1763984044</c:v>
                </c:pt>
                <c:pt idx="56">
                  <c:v>1377826.1763984044</c:v>
                </c:pt>
                <c:pt idx="57">
                  <c:v>1377826.1763984044</c:v>
                </c:pt>
                <c:pt idx="58">
                  <c:v>1377826.1763984044</c:v>
                </c:pt>
                <c:pt idx="59">
                  <c:v>1377826.1763984044</c:v>
                </c:pt>
                <c:pt idx="60">
                  <c:v>1377826.1763984044</c:v>
                </c:pt>
                <c:pt idx="61">
                  <c:v>1377826.1763984044</c:v>
                </c:pt>
                <c:pt idx="62">
                  <c:v>1377826.1763984044</c:v>
                </c:pt>
                <c:pt idx="63">
                  <c:v>1377826.1763984044</c:v>
                </c:pt>
                <c:pt idx="64">
                  <c:v>1377826.1763984044</c:v>
                </c:pt>
                <c:pt idx="65">
                  <c:v>1377826.1763984044</c:v>
                </c:pt>
                <c:pt idx="66">
                  <c:v>1377826.1763984044</c:v>
                </c:pt>
                <c:pt idx="67">
                  <c:v>1377826.1763984044</c:v>
                </c:pt>
                <c:pt idx="68">
                  <c:v>1377826.1763984044</c:v>
                </c:pt>
                <c:pt idx="69">
                  <c:v>1377826.1763984044</c:v>
                </c:pt>
                <c:pt idx="70">
                  <c:v>1377826.1763984044</c:v>
                </c:pt>
                <c:pt idx="71">
                  <c:v>1377826.1763984044</c:v>
                </c:pt>
                <c:pt idx="72">
                  <c:v>1377826.1763984044</c:v>
                </c:pt>
                <c:pt idx="73">
                  <c:v>1377826.1763984044</c:v>
                </c:pt>
                <c:pt idx="74">
                  <c:v>1377826.1763984044</c:v>
                </c:pt>
                <c:pt idx="75">
                  <c:v>1377826.1763984044</c:v>
                </c:pt>
                <c:pt idx="76">
                  <c:v>1377826.1763984044</c:v>
                </c:pt>
                <c:pt idx="77">
                  <c:v>1377826.1763984044</c:v>
                </c:pt>
                <c:pt idx="78">
                  <c:v>1377826.1763984044</c:v>
                </c:pt>
                <c:pt idx="79">
                  <c:v>1377826.1763984044</c:v>
                </c:pt>
                <c:pt idx="80">
                  <c:v>1377826.1763984044</c:v>
                </c:pt>
                <c:pt idx="81">
                  <c:v>1377826.1763984044</c:v>
                </c:pt>
                <c:pt idx="82">
                  <c:v>1377826.1763984044</c:v>
                </c:pt>
                <c:pt idx="83">
                  <c:v>1377826.1763984044</c:v>
                </c:pt>
                <c:pt idx="84">
                  <c:v>1377826.1763984044</c:v>
                </c:pt>
                <c:pt idx="85">
                  <c:v>1377826.1763984044</c:v>
                </c:pt>
                <c:pt idx="86">
                  <c:v>1377826.1763984044</c:v>
                </c:pt>
                <c:pt idx="87">
                  <c:v>1377826.1763984044</c:v>
                </c:pt>
                <c:pt idx="88">
                  <c:v>1377826.1763984044</c:v>
                </c:pt>
                <c:pt idx="89">
                  <c:v>1377826.1763984044</c:v>
                </c:pt>
                <c:pt idx="90">
                  <c:v>1377826.1763984044</c:v>
                </c:pt>
                <c:pt idx="91">
                  <c:v>1377826.1763984044</c:v>
                </c:pt>
                <c:pt idx="92">
                  <c:v>1377826.1763984044</c:v>
                </c:pt>
                <c:pt idx="93">
                  <c:v>1377826.1763984044</c:v>
                </c:pt>
                <c:pt idx="94">
                  <c:v>1377826.1763984044</c:v>
                </c:pt>
                <c:pt idx="95">
                  <c:v>1377826.1763984044</c:v>
                </c:pt>
                <c:pt idx="96">
                  <c:v>1377826.1763984044</c:v>
                </c:pt>
                <c:pt idx="97">
                  <c:v>1377826.1763984044</c:v>
                </c:pt>
                <c:pt idx="98">
                  <c:v>1377826.1763984044</c:v>
                </c:pt>
                <c:pt idx="99">
                  <c:v>1377826.1763984044</c:v>
                </c:pt>
                <c:pt idx="100">
                  <c:v>1377826.1763984044</c:v>
                </c:pt>
                <c:pt idx="101">
                  <c:v>1377826.1763984044</c:v>
                </c:pt>
                <c:pt idx="102">
                  <c:v>1377826.1763984044</c:v>
                </c:pt>
                <c:pt idx="103">
                  <c:v>1377826.1763984044</c:v>
                </c:pt>
                <c:pt idx="104">
                  <c:v>1377826.1763984044</c:v>
                </c:pt>
                <c:pt idx="105">
                  <c:v>1377826.1763984044</c:v>
                </c:pt>
                <c:pt idx="106">
                  <c:v>1377826.1763984044</c:v>
                </c:pt>
                <c:pt idx="107">
                  <c:v>1377826.1763984044</c:v>
                </c:pt>
                <c:pt idx="108">
                  <c:v>1377826.1763984044</c:v>
                </c:pt>
                <c:pt idx="109">
                  <c:v>1377826.1763984044</c:v>
                </c:pt>
                <c:pt idx="110">
                  <c:v>1377826.1763984044</c:v>
                </c:pt>
                <c:pt idx="111">
                  <c:v>1377826.1763984044</c:v>
                </c:pt>
                <c:pt idx="112">
                  <c:v>1377826.1763984044</c:v>
                </c:pt>
                <c:pt idx="113">
                  <c:v>1377826.1763984044</c:v>
                </c:pt>
                <c:pt idx="114">
                  <c:v>1377826.1763984044</c:v>
                </c:pt>
                <c:pt idx="115">
                  <c:v>1377826.1763984044</c:v>
                </c:pt>
                <c:pt idx="116">
                  <c:v>1377826.1763984044</c:v>
                </c:pt>
                <c:pt idx="117">
                  <c:v>1377826.1763984044</c:v>
                </c:pt>
                <c:pt idx="118">
                  <c:v>1377826.1763984044</c:v>
                </c:pt>
                <c:pt idx="119">
                  <c:v>1377826.1763984044</c:v>
                </c:pt>
                <c:pt idx="120">
                  <c:v>1377826.1763984044</c:v>
                </c:pt>
                <c:pt idx="121">
                  <c:v>1377826.1763984044</c:v>
                </c:pt>
                <c:pt idx="122">
                  <c:v>1377826.1763984044</c:v>
                </c:pt>
                <c:pt idx="123">
                  <c:v>1377826.1763984044</c:v>
                </c:pt>
                <c:pt idx="124">
                  <c:v>1377826.1763984044</c:v>
                </c:pt>
                <c:pt idx="125">
                  <c:v>1377826.1763984044</c:v>
                </c:pt>
                <c:pt idx="126">
                  <c:v>1377826.1763984044</c:v>
                </c:pt>
                <c:pt idx="127">
                  <c:v>1377826.1763984044</c:v>
                </c:pt>
                <c:pt idx="128">
                  <c:v>1377826.1763984044</c:v>
                </c:pt>
                <c:pt idx="129">
                  <c:v>1377826.1763984044</c:v>
                </c:pt>
                <c:pt idx="130">
                  <c:v>1377826.1763984044</c:v>
                </c:pt>
                <c:pt idx="131">
                  <c:v>1377826.1763984044</c:v>
                </c:pt>
                <c:pt idx="132">
                  <c:v>1377826.1763984044</c:v>
                </c:pt>
                <c:pt idx="133">
                  <c:v>1377826.1763984044</c:v>
                </c:pt>
                <c:pt idx="134">
                  <c:v>1377826.1763984044</c:v>
                </c:pt>
                <c:pt idx="135">
                  <c:v>1377826.1763984044</c:v>
                </c:pt>
                <c:pt idx="136">
                  <c:v>1377826.1763984044</c:v>
                </c:pt>
                <c:pt idx="137">
                  <c:v>1377826.1763984044</c:v>
                </c:pt>
                <c:pt idx="138">
                  <c:v>1377826.1763984044</c:v>
                </c:pt>
                <c:pt idx="139">
                  <c:v>1377826.1763984044</c:v>
                </c:pt>
                <c:pt idx="140">
                  <c:v>1377826.1763984044</c:v>
                </c:pt>
                <c:pt idx="141">
                  <c:v>1377826.1763984044</c:v>
                </c:pt>
                <c:pt idx="142">
                  <c:v>1377826.1763984044</c:v>
                </c:pt>
                <c:pt idx="143">
                  <c:v>1377826.1763984044</c:v>
                </c:pt>
                <c:pt idx="144">
                  <c:v>1377826.1763984044</c:v>
                </c:pt>
                <c:pt idx="145">
                  <c:v>1377826.1763984044</c:v>
                </c:pt>
                <c:pt idx="146">
                  <c:v>1377826.1763984044</c:v>
                </c:pt>
                <c:pt idx="147">
                  <c:v>1377826.1763984044</c:v>
                </c:pt>
                <c:pt idx="148">
                  <c:v>1377826.1763984044</c:v>
                </c:pt>
                <c:pt idx="149">
                  <c:v>1377826.1763984044</c:v>
                </c:pt>
                <c:pt idx="150">
                  <c:v>1377826.1763984044</c:v>
                </c:pt>
                <c:pt idx="151">
                  <c:v>1377826.1763984044</c:v>
                </c:pt>
                <c:pt idx="152">
                  <c:v>1377826.1763984044</c:v>
                </c:pt>
                <c:pt idx="153">
                  <c:v>1377826.1763984044</c:v>
                </c:pt>
                <c:pt idx="154">
                  <c:v>1377826.1763984044</c:v>
                </c:pt>
                <c:pt idx="155">
                  <c:v>1377826.1763984044</c:v>
                </c:pt>
                <c:pt idx="156">
                  <c:v>1377826.1763984044</c:v>
                </c:pt>
                <c:pt idx="157">
                  <c:v>1377826.1763984044</c:v>
                </c:pt>
                <c:pt idx="158">
                  <c:v>1377826.1763984044</c:v>
                </c:pt>
                <c:pt idx="159">
                  <c:v>1377826.1763984044</c:v>
                </c:pt>
                <c:pt idx="160">
                  <c:v>1377826.1763984044</c:v>
                </c:pt>
                <c:pt idx="161">
                  <c:v>1377826.1763984044</c:v>
                </c:pt>
                <c:pt idx="162">
                  <c:v>1377826.1763984044</c:v>
                </c:pt>
                <c:pt idx="163">
                  <c:v>1377826.1763984044</c:v>
                </c:pt>
                <c:pt idx="164">
                  <c:v>1377826.1763984044</c:v>
                </c:pt>
                <c:pt idx="165">
                  <c:v>1377826.1763984044</c:v>
                </c:pt>
                <c:pt idx="166">
                  <c:v>1377826.1763984044</c:v>
                </c:pt>
                <c:pt idx="167">
                  <c:v>1377826.1763984044</c:v>
                </c:pt>
                <c:pt idx="168">
                  <c:v>1377826.1763984044</c:v>
                </c:pt>
                <c:pt idx="169">
                  <c:v>1377826.1763984044</c:v>
                </c:pt>
                <c:pt idx="170">
                  <c:v>1377826.1763984044</c:v>
                </c:pt>
                <c:pt idx="171">
                  <c:v>1377826.1763984044</c:v>
                </c:pt>
                <c:pt idx="172">
                  <c:v>1377826.1763984044</c:v>
                </c:pt>
                <c:pt idx="173">
                  <c:v>1377826.1763984044</c:v>
                </c:pt>
                <c:pt idx="174">
                  <c:v>1377826.1763984044</c:v>
                </c:pt>
                <c:pt idx="175">
                  <c:v>1377826.1763984044</c:v>
                </c:pt>
                <c:pt idx="176">
                  <c:v>1377826.1763984044</c:v>
                </c:pt>
                <c:pt idx="177">
                  <c:v>1377826.1763984044</c:v>
                </c:pt>
                <c:pt idx="178">
                  <c:v>1377826.1763984044</c:v>
                </c:pt>
                <c:pt idx="179">
                  <c:v>1377826.1763984044</c:v>
                </c:pt>
                <c:pt idx="180">
                  <c:v>1377826.1763984044</c:v>
                </c:pt>
                <c:pt idx="181">
                  <c:v>1377826.1763984044</c:v>
                </c:pt>
                <c:pt idx="182">
                  <c:v>1377826.1763984044</c:v>
                </c:pt>
                <c:pt idx="183">
                  <c:v>1377826.1763984044</c:v>
                </c:pt>
                <c:pt idx="184">
                  <c:v>1377826.1763984044</c:v>
                </c:pt>
                <c:pt idx="185">
                  <c:v>1377826.1763984044</c:v>
                </c:pt>
                <c:pt idx="186">
                  <c:v>1377826.1763984044</c:v>
                </c:pt>
                <c:pt idx="187">
                  <c:v>1377826.1763984044</c:v>
                </c:pt>
                <c:pt idx="188">
                  <c:v>1377826.1763984044</c:v>
                </c:pt>
                <c:pt idx="189">
                  <c:v>1377826.1763984044</c:v>
                </c:pt>
                <c:pt idx="190">
                  <c:v>1377826.1763984044</c:v>
                </c:pt>
                <c:pt idx="191">
                  <c:v>1377826.1763984044</c:v>
                </c:pt>
                <c:pt idx="192">
                  <c:v>1377826.1763984044</c:v>
                </c:pt>
                <c:pt idx="193">
                  <c:v>1377826.1763984044</c:v>
                </c:pt>
                <c:pt idx="194">
                  <c:v>1377826.1763984044</c:v>
                </c:pt>
                <c:pt idx="195">
                  <c:v>1377826.1763984044</c:v>
                </c:pt>
                <c:pt idx="196">
                  <c:v>1377826.1763984044</c:v>
                </c:pt>
                <c:pt idx="197">
                  <c:v>1377826.1763984044</c:v>
                </c:pt>
                <c:pt idx="198">
                  <c:v>1377826.1763984044</c:v>
                </c:pt>
                <c:pt idx="199">
                  <c:v>1377826.1763984044</c:v>
                </c:pt>
                <c:pt idx="200">
                  <c:v>1377826.1763984044</c:v>
                </c:pt>
                <c:pt idx="201">
                  <c:v>1377826.1763984044</c:v>
                </c:pt>
                <c:pt idx="202">
                  <c:v>1377826.1763984044</c:v>
                </c:pt>
                <c:pt idx="203">
                  <c:v>1377826.1763984044</c:v>
                </c:pt>
                <c:pt idx="204">
                  <c:v>1377826.1763984044</c:v>
                </c:pt>
                <c:pt idx="205">
                  <c:v>1377826.1763984044</c:v>
                </c:pt>
                <c:pt idx="206">
                  <c:v>1377826.1763984044</c:v>
                </c:pt>
                <c:pt idx="207">
                  <c:v>1377826.1763984044</c:v>
                </c:pt>
                <c:pt idx="208">
                  <c:v>1377826.1763984044</c:v>
                </c:pt>
                <c:pt idx="209">
                  <c:v>1377826.1763984044</c:v>
                </c:pt>
                <c:pt idx="210">
                  <c:v>1377826.1763984044</c:v>
                </c:pt>
                <c:pt idx="211">
                  <c:v>1377826.1763984044</c:v>
                </c:pt>
                <c:pt idx="212">
                  <c:v>1377826.1763984044</c:v>
                </c:pt>
                <c:pt idx="213">
                  <c:v>1377826.1763984044</c:v>
                </c:pt>
                <c:pt idx="214">
                  <c:v>1377826.1763984044</c:v>
                </c:pt>
                <c:pt idx="215">
                  <c:v>1377826.1763984044</c:v>
                </c:pt>
                <c:pt idx="216">
                  <c:v>1377826.1763984044</c:v>
                </c:pt>
                <c:pt idx="217">
                  <c:v>1377826.1763984044</c:v>
                </c:pt>
                <c:pt idx="218">
                  <c:v>1377826.1763984044</c:v>
                </c:pt>
                <c:pt idx="219">
                  <c:v>1377826.1763984044</c:v>
                </c:pt>
                <c:pt idx="220">
                  <c:v>1377826.1763984044</c:v>
                </c:pt>
                <c:pt idx="221">
                  <c:v>1377826.1763984044</c:v>
                </c:pt>
                <c:pt idx="222">
                  <c:v>1377826.1763984044</c:v>
                </c:pt>
                <c:pt idx="223">
                  <c:v>1377826.1763984044</c:v>
                </c:pt>
                <c:pt idx="224">
                  <c:v>1377826.1763984044</c:v>
                </c:pt>
                <c:pt idx="225">
                  <c:v>1377826.1763984044</c:v>
                </c:pt>
                <c:pt idx="226">
                  <c:v>1377826.1763984044</c:v>
                </c:pt>
                <c:pt idx="227">
                  <c:v>1377826.1763984044</c:v>
                </c:pt>
                <c:pt idx="228">
                  <c:v>1377826.1763984044</c:v>
                </c:pt>
                <c:pt idx="229">
                  <c:v>1377826.1763984044</c:v>
                </c:pt>
                <c:pt idx="230">
                  <c:v>1377826.1763984044</c:v>
                </c:pt>
                <c:pt idx="231">
                  <c:v>1377826.1763984044</c:v>
                </c:pt>
                <c:pt idx="232">
                  <c:v>1377826.1763984044</c:v>
                </c:pt>
                <c:pt idx="233">
                  <c:v>1377826.1763984044</c:v>
                </c:pt>
                <c:pt idx="234">
                  <c:v>1377826.1763984044</c:v>
                </c:pt>
                <c:pt idx="235">
                  <c:v>1377826.1763984044</c:v>
                </c:pt>
                <c:pt idx="236">
                  <c:v>1377826.1763984044</c:v>
                </c:pt>
                <c:pt idx="237">
                  <c:v>1377826.1763984044</c:v>
                </c:pt>
                <c:pt idx="238">
                  <c:v>1377826.1763984044</c:v>
                </c:pt>
                <c:pt idx="239">
                  <c:v>1377826.1763984044</c:v>
                </c:pt>
                <c:pt idx="240">
                  <c:v>1377826.1763984044</c:v>
                </c:pt>
                <c:pt idx="241">
                  <c:v>1377826.1763984044</c:v>
                </c:pt>
                <c:pt idx="242">
                  <c:v>1377826.1763984044</c:v>
                </c:pt>
                <c:pt idx="243">
                  <c:v>1377826.1763984044</c:v>
                </c:pt>
                <c:pt idx="244">
                  <c:v>1377826.1763984044</c:v>
                </c:pt>
                <c:pt idx="245">
                  <c:v>1377826.1763984044</c:v>
                </c:pt>
                <c:pt idx="246">
                  <c:v>1377826.1763984044</c:v>
                </c:pt>
                <c:pt idx="247">
                  <c:v>1377826.1763984044</c:v>
                </c:pt>
                <c:pt idx="248">
                  <c:v>1377826.1763984044</c:v>
                </c:pt>
                <c:pt idx="249">
                  <c:v>1377826.1763984044</c:v>
                </c:pt>
                <c:pt idx="250">
                  <c:v>1377826.1763984044</c:v>
                </c:pt>
                <c:pt idx="251">
                  <c:v>1377826.1763984044</c:v>
                </c:pt>
                <c:pt idx="252">
                  <c:v>1377826.1763984044</c:v>
                </c:pt>
                <c:pt idx="253">
                  <c:v>1377826.1763984044</c:v>
                </c:pt>
                <c:pt idx="254">
                  <c:v>1377826.1763984044</c:v>
                </c:pt>
                <c:pt idx="255">
                  <c:v>1377826.1763984044</c:v>
                </c:pt>
                <c:pt idx="256">
                  <c:v>1377826.1763984044</c:v>
                </c:pt>
                <c:pt idx="257">
                  <c:v>1377826.1763984044</c:v>
                </c:pt>
                <c:pt idx="258">
                  <c:v>1377826.1763984044</c:v>
                </c:pt>
                <c:pt idx="259">
                  <c:v>1377826.1763984044</c:v>
                </c:pt>
                <c:pt idx="260">
                  <c:v>1377826.1763984044</c:v>
                </c:pt>
                <c:pt idx="261">
                  <c:v>1377826.1763984044</c:v>
                </c:pt>
                <c:pt idx="262">
                  <c:v>1377826.1763984044</c:v>
                </c:pt>
                <c:pt idx="263">
                  <c:v>1377826.1763984044</c:v>
                </c:pt>
                <c:pt idx="264">
                  <c:v>1377826.1763984044</c:v>
                </c:pt>
                <c:pt idx="265">
                  <c:v>1377826.1763984044</c:v>
                </c:pt>
                <c:pt idx="266">
                  <c:v>1377826.1763984044</c:v>
                </c:pt>
                <c:pt idx="267">
                  <c:v>1377826.1763984044</c:v>
                </c:pt>
                <c:pt idx="268">
                  <c:v>1377826.1763984044</c:v>
                </c:pt>
                <c:pt idx="269">
                  <c:v>1377826.1763984044</c:v>
                </c:pt>
                <c:pt idx="270">
                  <c:v>1377826.1763984044</c:v>
                </c:pt>
                <c:pt idx="271">
                  <c:v>1377826.1763984044</c:v>
                </c:pt>
                <c:pt idx="272">
                  <c:v>1377826.1763984044</c:v>
                </c:pt>
                <c:pt idx="273">
                  <c:v>1377826.1763984044</c:v>
                </c:pt>
                <c:pt idx="274">
                  <c:v>1377826.1763984044</c:v>
                </c:pt>
                <c:pt idx="275">
                  <c:v>1377826.1763984044</c:v>
                </c:pt>
                <c:pt idx="276">
                  <c:v>1377826.1763984044</c:v>
                </c:pt>
                <c:pt idx="277">
                  <c:v>1377826.1763984044</c:v>
                </c:pt>
                <c:pt idx="278">
                  <c:v>1377826.1763984044</c:v>
                </c:pt>
                <c:pt idx="279">
                  <c:v>1377826.1763984044</c:v>
                </c:pt>
                <c:pt idx="280">
                  <c:v>1377826.1763984044</c:v>
                </c:pt>
                <c:pt idx="281">
                  <c:v>1377826.1763984044</c:v>
                </c:pt>
                <c:pt idx="282">
                  <c:v>1377826.1763984044</c:v>
                </c:pt>
                <c:pt idx="283">
                  <c:v>1377826.1763984044</c:v>
                </c:pt>
                <c:pt idx="284">
                  <c:v>1377826.1763984044</c:v>
                </c:pt>
                <c:pt idx="285">
                  <c:v>1377826.1763984044</c:v>
                </c:pt>
                <c:pt idx="286">
                  <c:v>1377826.1763984044</c:v>
                </c:pt>
                <c:pt idx="287">
                  <c:v>1377826.1763984044</c:v>
                </c:pt>
                <c:pt idx="288">
                  <c:v>1377826.1763984044</c:v>
                </c:pt>
                <c:pt idx="289">
                  <c:v>1377826.1763984044</c:v>
                </c:pt>
                <c:pt idx="290">
                  <c:v>1377826.1763984044</c:v>
                </c:pt>
                <c:pt idx="291">
                  <c:v>1377826.1763984044</c:v>
                </c:pt>
                <c:pt idx="292">
                  <c:v>1377826.1763984044</c:v>
                </c:pt>
                <c:pt idx="293">
                  <c:v>1377826.1763984044</c:v>
                </c:pt>
                <c:pt idx="294">
                  <c:v>1377826.1763984044</c:v>
                </c:pt>
                <c:pt idx="295">
                  <c:v>1377826.1763984044</c:v>
                </c:pt>
                <c:pt idx="296">
                  <c:v>1377826.1763984044</c:v>
                </c:pt>
                <c:pt idx="297">
                  <c:v>1377826.1763984044</c:v>
                </c:pt>
                <c:pt idx="298">
                  <c:v>1377826.1763984044</c:v>
                </c:pt>
                <c:pt idx="299">
                  <c:v>1377826.1763984044</c:v>
                </c:pt>
                <c:pt idx="300">
                  <c:v>1377826.1763984044</c:v>
                </c:pt>
                <c:pt idx="301">
                  <c:v>1377826.1763984044</c:v>
                </c:pt>
                <c:pt idx="302">
                  <c:v>1377826.1763984044</c:v>
                </c:pt>
                <c:pt idx="303">
                  <c:v>1377826.1763984044</c:v>
                </c:pt>
                <c:pt idx="304">
                  <c:v>1377826.1763984044</c:v>
                </c:pt>
                <c:pt idx="305">
                  <c:v>1377826.1763984044</c:v>
                </c:pt>
                <c:pt idx="306">
                  <c:v>1377826.1763984044</c:v>
                </c:pt>
                <c:pt idx="307">
                  <c:v>1377826.1763984044</c:v>
                </c:pt>
                <c:pt idx="308">
                  <c:v>1377826.1763984044</c:v>
                </c:pt>
                <c:pt idx="309">
                  <c:v>1377826.1763984044</c:v>
                </c:pt>
                <c:pt idx="310">
                  <c:v>1377826.1763984044</c:v>
                </c:pt>
                <c:pt idx="311">
                  <c:v>1377826.1763984044</c:v>
                </c:pt>
                <c:pt idx="312">
                  <c:v>1377826.1763984044</c:v>
                </c:pt>
                <c:pt idx="313">
                  <c:v>1377826.1763984044</c:v>
                </c:pt>
                <c:pt idx="314">
                  <c:v>1377826.1763984044</c:v>
                </c:pt>
                <c:pt idx="315">
                  <c:v>1377826.1763984044</c:v>
                </c:pt>
                <c:pt idx="316">
                  <c:v>1377826.1763984044</c:v>
                </c:pt>
                <c:pt idx="317">
                  <c:v>1377826.1763984044</c:v>
                </c:pt>
                <c:pt idx="318">
                  <c:v>1377826.1763984044</c:v>
                </c:pt>
                <c:pt idx="319">
                  <c:v>1377826.1763984044</c:v>
                </c:pt>
                <c:pt idx="320">
                  <c:v>1377826.1763984044</c:v>
                </c:pt>
                <c:pt idx="321">
                  <c:v>1377826.1763984044</c:v>
                </c:pt>
                <c:pt idx="322">
                  <c:v>1377826.1763984044</c:v>
                </c:pt>
                <c:pt idx="323">
                  <c:v>1377826.1763984044</c:v>
                </c:pt>
                <c:pt idx="324">
                  <c:v>1377826.1763984044</c:v>
                </c:pt>
                <c:pt idx="325">
                  <c:v>1377826.1763984044</c:v>
                </c:pt>
                <c:pt idx="326">
                  <c:v>1377826.1763984044</c:v>
                </c:pt>
                <c:pt idx="327">
                  <c:v>1377826.1763984044</c:v>
                </c:pt>
                <c:pt idx="328">
                  <c:v>1377826.1763984044</c:v>
                </c:pt>
                <c:pt idx="329">
                  <c:v>1377826.1763984044</c:v>
                </c:pt>
                <c:pt idx="330">
                  <c:v>1377826.1763984044</c:v>
                </c:pt>
                <c:pt idx="331">
                  <c:v>1377826.1763984044</c:v>
                </c:pt>
                <c:pt idx="332">
                  <c:v>1377826.1763984044</c:v>
                </c:pt>
                <c:pt idx="333">
                  <c:v>1377826.1763984044</c:v>
                </c:pt>
                <c:pt idx="334">
                  <c:v>1377826.1763984044</c:v>
                </c:pt>
                <c:pt idx="335">
                  <c:v>1377826.1763984044</c:v>
                </c:pt>
                <c:pt idx="336">
                  <c:v>1377826.1763984044</c:v>
                </c:pt>
                <c:pt idx="337">
                  <c:v>1377826.1763984044</c:v>
                </c:pt>
                <c:pt idx="338">
                  <c:v>1377826.1763984044</c:v>
                </c:pt>
                <c:pt idx="339">
                  <c:v>1377826.1763984044</c:v>
                </c:pt>
                <c:pt idx="340">
                  <c:v>1377826.1763984044</c:v>
                </c:pt>
                <c:pt idx="341">
                  <c:v>1377826.1763984044</c:v>
                </c:pt>
                <c:pt idx="342">
                  <c:v>1377826.1763984044</c:v>
                </c:pt>
                <c:pt idx="343">
                  <c:v>1377826.1763984044</c:v>
                </c:pt>
                <c:pt idx="344">
                  <c:v>1377826.1763984044</c:v>
                </c:pt>
                <c:pt idx="345">
                  <c:v>1377826.1763984044</c:v>
                </c:pt>
                <c:pt idx="346">
                  <c:v>1377826.1763984044</c:v>
                </c:pt>
                <c:pt idx="347">
                  <c:v>1377826.1763984044</c:v>
                </c:pt>
                <c:pt idx="348">
                  <c:v>1377826.1763984044</c:v>
                </c:pt>
                <c:pt idx="349">
                  <c:v>1377826.1763984044</c:v>
                </c:pt>
                <c:pt idx="350">
                  <c:v>1377826.1763984044</c:v>
                </c:pt>
                <c:pt idx="351">
                  <c:v>1377826.1763984044</c:v>
                </c:pt>
                <c:pt idx="352">
                  <c:v>1377826.1763984044</c:v>
                </c:pt>
                <c:pt idx="353">
                  <c:v>1377826.1763984044</c:v>
                </c:pt>
                <c:pt idx="354">
                  <c:v>1377826.1763984044</c:v>
                </c:pt>
                <c:pt idx="355">
                  <c:v>1377826.1763984044</c:v>
                </c:pt>
                <c:pt idx="356">
                  <c:v>1377826.1763984044</c:v>
                </c:pt>
                <c:pt idx="357">
                  <c:v>1377826.1763984044</c:v>
                </c:pt>
                <c:pt idx="358">
                  <c:v>1377826.1763984044</c:v>
                </c:pt>
                <c:pt idx="359">
                  <c:v>1377826.1763984044</c:v>
                </c:pt>
                <c:pt idx="360">
                  <c:v>1377826.1763984044</c:v>
                </c:pt>
                <c:pt idx="361">
                  <c:v>1377826.1763984044</c:v>
                </c:pt>
                <c:pt idx="362">
                  <c:v>1377826.1763984044</c:v>
                </c:pt>
                <c:pt idx="363">
                  <c:v>1377826.1763984044</c:v>
                </c:pt>
                <c:pt idx="364">
                  <c:v>1377826.1763984044</c:v>
                </c:pt>
                <c:pt idx="365">
                  <c:v>1377826.1763984044</c:v>
                </c:pt>
                <c:pt idx="366">
                  <c:v>1377826.1763984044</c:v>
                </c:pt>
                <c:pt idx="367">
                  <c:v>1377826.1763984044</c:v>
                </c:pt>
                <c:pt idx="368">
                  <c:v>1377826.1763984044</c:v>
                </c:pt>
                <c:pt idx="369">
                  <c:v>1377826.1763984044</c:v>
                </c:pt>
                <c:pt idx="370">
                  <c:v>1377826.1763984044</c:v>
                </c:pt>
                <c:pt idx="371">
                  <c:v>1377826.1763984044</c:v>
                </c:pt>
                <c:pt idx="372">
                  <c:v>1377826.1763984044</c:v>
                </c:pt>
                <c:pt idx="373">
                  <c:v>1377826.1763984044</c:v>
                </c:pt>
                <c:pt idx="374">
                  <c:v>1377826.1763984044</c:v>
                </c:pt>
                <c:pt idx="375">
                  <c:v>1377826.1763984044</c:v>
                </c:pt>
                <c:pt idx="376">
                  <c:v>1377826.1763984044</c:v>
                </c:pt>
                <c:pt idx="377">
                  <c:v>1377826.1763984044</c:v>
                </c:pt>
                <c:pt idx="378">
                  <c:v>1377826.1763984044</c:v>
                </c:pt>
                <c:pt idx="379">
                  <c:v>1377826.1763984044</c:v>
                </c:pt>
                <c:pt idx="380">
                  <c:v>1377826.1763984044</c:v>
                </c:pt>
                <c:pt idx="381">
                  <c:v>1377826.1763984044</c:v>
                </c:pt>
                <c:pt idx="382">
                  <c:v>1377826.1763984044</c:v>
                </c:pt>
                <c:pt idx="383">
                  <c:v>1377826.1763984044</c:v>
                </c:pt>
                <c:pt idx="384">
                  <c:v>1377826.1763984044</c:v>
                </c:pt>
                <c:pt idx="385">
                  <c:v>1377826.1763984044</c:v>
                </c:pt>
                <c:pt idx="386">
                  <c:v>1377826.1763984044</c:v>
                </c:pt>
                <c:pt idx="387">
                  <c:v>1377826.1763984044</c:v>
                </c:pt>
                <c:pt idx="388">
                  <c:v>1377826.1763984044</c:v>
                </c:pt>
                <c:pt idx="389">
                  <c:v>1377826.1763984044</c:v>
                </c:pt>
                <c:pt idx="390">
                  <c:v>1377826.1763984044</c:v>
                </c:pt>
                <c:pt idx="391">
                  <c:v>1377826.1763984044</c:v>
                </c:pt>
                <c:pt idx="392">
                  <c:v>1377826.1763984044</c:v>
                </c:pt>
                <c:pt idx="393">
                  <c:v>1377826.1763984044</c:v>
                </c:pt>
                <c:pt idx="394">
                  <c:v>1377826.1763984044</c:v>
                </c:pt>
                <c:pt idx="395">
                  <c:v>1377826.1763984044</c:v>
                </c:pt>
                <c:pt idx="396">
                  <c:v>1377826.1763984044</c:v>
                </c:pt>
                <c:pt idx="397">
                  <c:v>1377826.1763984044</c:v>
                </c:pt>
                <c:pt idx="398">
                  <c:v>1377826.1763984044</c:v>
                </c:pt>
                <c:pt idx="399">
                  <c:v>1377826.1763984044</c:v>
                </c:pt>
                <c:pt idx="400">
                  <c:v>1377826.1763984044</c:v>
                </c:pt>
                <c:pt idx="401">
                  <c:v>1377826.1763984044</c:v>
                </c:pt>
                <c:pt idx="402">
                  <c:v>1377826.1763984044</c:v>
                </c:pt>
                <c:pt idx="403">
                  <c:v>1377826.1763984044</c:v>
                </c:pt>
                <c:pt idx="404">
                  <c:v>1377826.1763984044</c:v>
                </c:pt>
                <c:pt idx="405">
                  <c:v>1377826.1763984044</c:v>
                </c:pt>
                <c:pt idx="406">
                  <c:v>1377826.1763984044</c:v>
                </c:pt>
                <c:pt idx="407">
                  <c:v>1377826.1763984044</c:v>
                </c:pt>
                <c:pt idx="408">
                  <c:v>1377826.1763984044</c:v>
                </c:pt>
                <c:pt idx="409">
                  <c:v>1377826.1763984044</c:v>
                </c:pt>
                <c:pt idx="410">
                  <c:v>1377826.1763984044</c:v>
                </c:pt>
                <c:pt idx="411">
                  <c:v>1377826.1763984044</c:v>
                </c:pt>
                <c:pt idx="412">
                  <c:v>1377826.1763984044</c:v>
                </c:pt>
                <c:pt idx="413">
                  <c:v>1377826.1763984044</c:v>
                </c:pt>
                <c:pt idx="414">
                  <c:v>1377826.1763984044</c:v>
                </c:pt>
                <c:pt idx="415">
                  <c:v>1377826.1763984044</c:v>
                </c:pt>
                <c:pt idx="416">
                  <c:v>1377826.1763984044</c:v>
                </c:pt>
                <c:pt idx="417">
                  <c:v>1377826.1763984044</c:v>
                </c:pt>
                <c:pt idx="418">
                  <c:v>1377826.1763984044</c:v>
                </c:pt>
                <c:pt idx="419">
                  <c:v>1377826.1763984044</c:v>
                </c:pt>
                <c:pt idx="420">
                  <c:v>1377826.1763984044</c:v>
                </c:pt>
                <c:pt idx="421">
                  <c:v>1377826.1763984044</c:v>
                </c:pt>
                <c:pt idx="422">
                  <c:v>1377826.1763984044</c:v>
                </c:pt>
                <c:pt idx="423">
                  <c:v>1377826.1763984044</c:v>
                </c:pt>
                <c:pt idx="424">
                  <c:v>1377826.1763984044</c:v>
                </c:pt>
                <c:pt idx="425">
                  <c:v>1377826.1763984044</c:v>
                </c:pt>
                <c:pt idx="426">
                  <c:v>1377826.1763984044</c:v>
                </c:pt>
                <c:pt idx="427">
                  <c:v>1377826.1763984044</c:v>
                </c:pt>
                <c:pt idx="428">
                  <c:v>1377826.1763984044</c:v>
                </c:pt>
                <c:pt idx="429">
                  <c:v>1377826.1763984044</c:v>
                </c:pt>
                <c:pt idx="430">
                  <c:v>1377826.1763984044</c:v>
                </c:pt>
                <c:pt idx="431">
                  <c:v>1377826.1763984044</c:v>
                </c:pt>
                <c:pt idx="432">
                  <c:v>1377826.1763984044</c:v>
                </c:pt>
                <c:pt idx="433">
                  <c:v>1377826.1763984044</c:v>
                </c:pt>
                <c:pt idx="434">
                  <c:v>1377826.1763984044</c:v>
                </c:pt>
                <c:pt idx="435">
                  <c:v>1377826.1763984044</c:v>
                </c:pt>
                <c:pt idx="436">
                  <c:v>1377826.1763984044</c:v>
                </c:pt>
                <c:pt idx="437">
                  <c:v>1377826.1763984044</c:v>
                </c:pt>
                <c:pt idx="438">
                  <c:v>1377826.1763984044</c:v>
                </c:pt>
                <c:pt idx="439">
                  <c:v>1377826.1763984044</c:v>
                </c:pt>
                <c:pt idx="440">
                  <c:v>1377826.1763984044</c:v>
                </c:pt>
                <c:pt idx="441">
                  <c:v>1377826.1763984044</c:v>
                </c:pt>
                <c:pt idx="442">
                  <c:v>1377826.1763984044</c:v>
                </c:pt>
                <c:pt idx="443">
                  <c:v>1377826.1763984044</c:v>
                </c:pt>
                <c:pt idx="444">
                  <c:v>1377826.1763984044</c:v>
                </c:pt>
                <c:pt idx="445">
                  <c:v>1377826.1763984044</c:v>
                </c:pt>
                <c:pt idx="446">
                  <c:v>1377826.1763984044</c:v>
                </c:pt>
                <c:pt idx="447">
                  <c:v>1377826.1763984044</c:v>
                </c:pt>
                <c:pt idx="448">
                  <c:v>1377826.1763984044</c:v>
                </c:pt>
                <c:pt idx="449">
                  <c:v>1377826.1763984044</c:v>
                </c:pt>
                <c:pt idx="450">
                  <c:v>1377826.1763984044</c:v>
                </c:pt>
                <c:pt idx="451">
                  <c:v>1377826.1763984044</c:v>
                </c:pt>
                <c:pt idx="452">
                  <c:v>1377826.1763984044</c:v>
                </c:pt>
                <c:pt idx="453">
                  <c:v>1377826.1763984044</c:v>
                </c:pt>
                <c:pt idx="454">
                  <c:v>1377826.1763984044</c:v>
                </c:pt>
                <c:pt idx="455">
                  <c:v>1377826.1763984044</c:v>
                </c:pt>
                <c:pt idx="456">
                  <c:v>1377826.1763984044</c:v>
                </c:pt>
                <c:pt idx="457">
                  <c:v>1377826.1763984044</c:v>
                </c:pt>
                <c:pt idx="458">
                  <c:v>1377826.1763984044</c:v>
                </c:pt>
                <c:pt idx="459">
                  <c:v>1377826.1763984044</c:v>
                </c:pt>
                <c:pt idx="460">
                  <c:v>1377826.1763984044</c:v>
                </c:pt>
                <c:pt idx="461">
                  <c:v>1377826.1763984044</c:v>
                </c:pt>
                <c:pt idx="462">
                  <c:v>1377826.1763984044</c:v>
                </c:pt>
                <c:pt idx="463">
                  <c:v>1377826.1763984044</c:v>
                </c:pt>
                <c:pt idx="464">
                  <c:v>1377826.1763984044</c:v>
                </c:pt>
                <c:pt idx="465">
                  <c:v>1377826.1763984044</c:v>
                </c:pt>
                <c:pt idx="466">
                  <c:v>1377826.1763984044</c:v>
                </c:pt>
                <c:pt idx="467">
                  <c:v>1377826.1763984044</c:v>
                </c:pt>
                <c:pt idx="468">
                  <c:v>1377826.1763984044</c:v>
                </c:pt>
                <c:pt idx="469">
                  <c:v>1377826.1763984044</c:v>
                </c:pt>
                <c:pt idx="470">
                  <c:v>1377826.1763984044</c:v>
                </c:pt>
                <c:pt idx="471">
                  <c:v>1377826.1763984044</c:v>
                </c:pt>
                <c:pt idx="472">
                  <c:v>1377826.1763984044</c:v>
                </c:pt>
                <c:pt idx="473">
                  <c:v>1377826.1763984044</c:v>
                </c:pt>
                <c:pt idx="474">
                  <c:v>1377826.1763984044</c:v>
                </c:pt>
                <c:pt idx="475">
                  <c:v>1377826.1763984044</c:v>
                </c:pt>
                <c:pt idx="476">
                  <c:v>1377826.1763984044</c:v>
                </c:pt>
                <c:pt idx="477">
                  <c:v>1377826.1763984044</c:v>
                </c:pt>
                <c:pt idx="478">
                  <c:v>1377826.1763984044</c:v>
                </c:pt>
                <c:pt idx="479">
                  <c:v>1377826.1763984044</c:v>
                </c:pt>
                <c:pt idx="480">
                  <c:v>1377826.1763984044</c:v>
                </c:pt>
                <c:pt idx="481">
                  <c:v>1377826.1763984044</c:v>
                </c:pt>
                <c:pt idx="482">
                  <c:v>1377826.1763984044</c:v>
                </c:pt>
                <c:pt idx="483">
                  <c:v>1377826.1763984044</c:v>
                </c:pt>
                <c:pt idx="484">
                  <c:v>1377826.1763984044</c:v>
                </c:pt>
                <c:pt idx="485">
                  <c:v>1377826.1763984044</c:v>
                </c:pt>
                <c:pt idx="486">
                  <c:v>1377826.1763984044</c:v>
                </c:pt>
                <c:pt idx="487">
                  <c:v>1377826.1763984044</c:v>
                </c:pt>
                <c:pt idx="488">
                  <c:v>1377826.1763984044</c:v>
                </c:pt>
                <c:pt idx="489">
                  <c:v>1377826.1763984044</c:v>
                </c:pt>
                <c:pt idx="490">
                  <c:v>1377826.1763984044</c:v>
                </c:pt>
                <c:pt idx="491">
                  <c:v>1377826.1763984044</c:v>
                </c:pt>
                <c:pt idx="492">
                  <c:v>1377826.1763984044</c:v>
                </c:pt>
                <c:pt idx="493">
                  <c:v>1377826.1763984044</c:v>
                </c:pt>
                <c:pt idx="494">
                  <c:v>1377826.1763984044</c:v>
                </c:pt>
                <c:pt idx="495">
                  <c:v>1377826.1763984044</c:v>
                </c:pt>
                <c:pt idx="496">
                  <c:v>1377826.1763984044</c:v>
                </c:pt>
                <c:pt idx="497">
                  <c:v>1377826.1763984044</c:v>
                </c:pt>
                <c:pt idx="498">
                  <c:v>1377826.1763984044</c:v>
                </c:pt>
                <c:pt idx="499">
                  <c:v>1377826.1763984044</c:v>
                </c:pt>
                <c:pt idx="500">
                  <c:v>1377826.1763984044</c:v>
                </c:pt>
                <c:pt idx="501">
                  <c:v>1377826.1763984044</c:v>
                </c:pt>
                <c:pt idx="502">
                  <c:v>1377826.1763984044</c:v>
                </c:pt>
                <c:pt idx="503">
                  <c:v>1377826.1763984044</c:v>
                </c:pt>
                <c:pt idx="504">
                  <c:v>1377826.1763984044</c:v>
                </c:pt>
                <c:pt idx="505">
                  <c:v>1377826.1763984044</c:v>
                </c:pt>
                <c:pt idx="506">
                  <c:v>1377826.1763984044</c:v>
                </c:pt>
                <c:pt idx="507">
                  <c:v>1377826.1763984044</c:v>
                </c:pt>
                <c:pt idx="508">
                  <c:v>1377826.1763984044</c:v>
                </c:pt>
                <c:pt idx="509">
                  <c:v>1377826.1763984044</c:v>
                </c:pt>
                <c:pt idx="510">
                  <c:v>1377826.1763984044</c:v>
                </c:pt>
                <c:pt idx="511">
                  <c:v>1377826.1763984044</c:v>
                </c:pt>
                <c:pt idx="512">
                  <c:v>1377826.1763984044</c:v>
                </c:pt>
                <c:pt idx="513">
                  <c:v>1377826.1763984044</c:v>
                </c:pt>
                <c:pt idx="514">
                  <c:v>1377826.1763984044</c:v>
                </c:pt>
                <c:pt idx="515">
                  <c:v>1377826.1763984044</c:v>
                </c:pt>
                <c:pt idx="516">
                  <c:v>1377826.1763984044</c:v>
                </c:pt>
                <c:pt idx="517">
                  <c:v>1377826.1763984044</c:v>
                </c:pt>
                <c:pt idx="518">
                  <c:v>1377826.1763984044</c:v>
                </c:pt>
                <c:pt idx="519">
                  <c:v>1377826.1763984044</c:v>
                </c:pt>
                <c:pt idx="520">
                  <c:v>1377826.1763984044</c:v>
                </c:pt>
                <c:pt idx="521">
                  <c:v>1377826.1763984044</c:v>
                </c:pt>
                <c:pt idx="522">
                  <c:v>1377826.1763984044</c:v>
                </c:pt>
                <c:pt idx="523">
                  <c:v>1377826.1763984044</c:v>
                </c:pt>
                <c:pt idx="524">
                  <c:v>1377826.1763984044</c:v>
                </c:pt>
                <c:pt idx="525">
                  <c:v>1377826.1763984044</c:v>
                </c:pt>
                <c:pt idx="526">
                  <c:v>1377826.1763984044</c:v>
                </c:pt>
                <c:pt idx="527">
                  <c:v>1377826.1763984044</c:v>
                </c:pt>
                <c:pt idx="528">
                  <c:v>1377826.1763984044</c:v>
                </c:pt>
                <c:pt idx="529">
                  <c:v>1377826.1763984044</c:v>
                </c:pt>
                <c:pt idx="530">
                  <c:v>1377826.1763984044</c:v>
                </c:pt>
                <c:pt idx="531">
                  <c:v>1377826.1763984044</c:v>
                </c:pt>
                <c:pt idx="532">
                  <c:v>1377826.1763984044</c:v>
                </c:pt>
                <c:pt idx="533">
                  <c:v>1377826.1763984044</c:v>
                </c:pt>
                <c:pt idx="534">
                  <c:v>1377826.1763984044</c:v>
                </c:pt>
                <c:pt idx="535">
                  <c:v>1377826.1763984044</c:v>
                </c:pt>
                <c:pt idx="536">
                  <c:v>1377826.1763984044</c:v>
                </c:pt>
                <c:pt idx="537">
                  <c:v>1377826.1763984044</c:v>
                </c:pt>
                <c:pt idx="538">
                  <c:v>1377826.1763984044</c:v>
                </c:pt>
                <c:pt idx="539">
                  <c:v>1377826.1763984044</c:v>
                </c:pt>
                <c:pt idx="540">
                  <c:v>1377826.1763984044</c:v>
                </c:pt>
                <c:pt idx="541">
                  <c:v>1377826.1763984044</c:v>
                </c:pt>
                <c:pt idx="542">
                  <c:v>1377826.1763984044</c:v>
                </c:pt>
                <c:pt idx="543">
                  <c:v>1377826.1763984044</c:v>
                </c:pt>
                <c:pt idx="544">
                  <c:v>1377826.1763984044</c:v>
                </c:pt>
                <c:pt idx="545">
                  <c:v>1377826.1763984044</c:v>
                </c:pt>
                <c:pt idx="546">
                  <c:v>1377826.1763984044</c:v>
                </c:pt>
                <c:pt idx="547">
                  <c:v>1377826.1763984044</c:v>
                </c:pt>
                <c:pt idx="548">
                  <c:v>1377826.1763984044</c:v>
                </c:pt>
                <c:pt idx="549">
                  <c:v>1377826.1763984044</c:v>
                </c:pt>
                <c:pt idx="550">
                  <c:v>1377826.1763984044</c:v>
                </c:pt>
                <c:pt idx="551">
                  <c:v>1377826.1763984044</c:v>
                </c:pt>
                <c:pt idx="552">
                  <c:v>1377826.1763984044</c:v>
                </c:pt>
                <c:pt idx="553">
                  <c:v>1377826.1763984044</c:v>
                </c:pt>
                <c:pt idx="554">
                  <c:v>1377826.1763984044</c:v>
                </c:pt>
                <c:pt idx="555">
                  <c:v>1377826.1763984044</c:v>
                </c:pt>
                <c:pt idx="556">
                  <c:v>1377826.1763984044</c:v>
                </c:pt>
                <c:pt idx="557">
                  <c:v>1377826.1763984044</c:v>
                </c:pt>
                <c:pt idx="558">
                  <c:v>1377826.1763984044</c:v>
                </c:pt>
                <c:pt idx="559">
                  <c:v>1377826.1763984044</c:v>
                </c:pt>
                <c:pt idx="560">
                  <c:v>1377826.1763984044</c:v>
                </c:pt>
                <c:pt idx="561">
                  <c:v>1377826.1763984044</c:v>
                </c:pt>
                <c:pt idx="562">
                  <c:v>1377826.1763984044</c:v>
                </c:pt>
                <c:pt idx="563">
                  <c:v>1377826.1763984044</c:v>
                </c:pt>
                <c:pt idx="564">
                  <c:v>1377826.1763984044</c:v>
                </c:pt>
                <c:pt idx="565">
                  <c:v>1377826.1763984044</c:v>
                </c:pt>
                <c:pt idx="566">
                  <c:v>1377826.1763984044</c:v>
                </c:pt>
                <c:pt idx="567">
                  <c:v>1377826.1763984044</c:v>
                </c:pt>
                <c:pt idx="568">
                  <c:v>1377826.1763984044</c:v>
                </c:pt>
                <c:pt idx="569">
                  <c:v>1377826.1763984044</c:v>
                </c:pt>
                <c:pt idx="570">
                  <c:v>1377826.1763984044</c:v>
                </c:pt>
                <c:pt idx="571">
                  <c:v>1377826.1763984044</c:v>
                </c:pt>
                <c:pt idx="572">
                  <c:v>1377826.1763984044</c:v>
                </c:pt>
                <c:pt idx="573">
                  <c:v>1377826.1763984044</c:v>
                </c:pt>
                <c:pt idx="574">
                  <c:v>1377826.1763984044</c:v>
                </c:pt>
                <c:pt idx="575">
                  <c:v>1377826.1763984044</c:v>
                </c:pt>
                <c:pt idx="576">
                  <c:v>1377826.1763984044</c:v>
                </c:pt>
                <c:pt idx="577">
                  <c:v>1377826.1763984044</c:v>
                </c:pt>
                <c:pt idx="578">
                  <c:v>1377826.1763984044</c:v>
                </c:pt>
                <c:pt idx="579">
                  <c:v>1377826.1763984044</c:v>
                </c:pt>
                <c:pt idx="580">
                  <c:v>1377826.1763984044</c:v>
                </c:pt>
                <c:pt idx="581">
                  <c:v>1377826.1763984044</c:v>
                </c:pt>
                <c:pt idx="582">
                  <c:v>1377826.1763984044</c:v>
                </c:pt>
                <c:pt idx="583">
                  <c:v>1377826.1763984044</c:v>
                </c:pt>
                <c:pt idx="584">
                  <c:v>1377826.1763984044</c:v>
                </c:pt>
                <c:pt idx="585">
                  <c:v>1377826.1763984044</c:v>
                </c:pt>
                <c:pt idx="586">
                  <c:v>1377826.1763984044</c:v>
                </c:pt>
                <c:pt idx="587">
                  <c:v>1377826.1763984044</c:v>
                </c:pt>
                <c:pt idx="588">
                  <c:v>1377826.1763984044</c:v>
                </c:pt>
                <c:pt idx="589">
                  <c:v>1377826.1763984044</c:v>
                </c:pt>
                <c:pt idx="590">
                  <c:v>1377826.1763984044</c:v>
                </c:pt>
                <c:pt idx="591">
                  <c:v>1377826.1763984044</c:v>
                </c:pt>
                <c:pt idx="592">
                  <c:v>1377826.1763984044</c:v>
                </c:pt>
                <c:pt idx="593">
                  <c:v>1377826.1763984044</c:v>
                </c:pt>
                <c:pt idx="594">
                  <c:v>1377826.1763984044</c:v>
                </c:pt>
                <c:pt idx="595">
                  <c:v>1377826.1763984044</c:v>
                </c:pt>
                <c:pt idx="596">
                  <c:v>1377826.1763984044</c:v>
                </c:pt>
                <c:pt idx="597">
                  <c:v>1377826.1763984044</c:v>
                </c:pt>
                <c:pt idx="598">
                  <c:v>1377826.1763984044</c:v>
                </c:pt>
                <c:pt idx="599">
                  <c:v>1377826.1763984044</c:v>
                </c:pt>
                <c:pt idx="600">
                  <c:v>1377826.1763984044</c:v>
                </c:pt>
                <c:pt idx="601">
                  <c:v>1377826.1763984044</c:v>
                </c:pt>
                <c:pt idx="602">
                  <c:v>1377826.1763984044</c:v>
                </c:pt>
                <c:pt idx="603">
                  <c:v>1377826.1763984044</c:v>
                </c:pt>
                <c:pt idx="604">
                  <c:v>1377826.1763984044</c:v>
                </c:pt>
                <c:pt idx="605">
                  <c:v>1377826.1763984044</c:v>
                </c:pt>
                <c:pt idx="606">
                  <c:v>1377826.1763984044</c:v>
                </c:pt>
                <c:pt idx="607">
                  <c:v>1377826.1763984044</c:v>
                </c:pt>
                <c:pt idx="608">
                  <c:v>1377826.1763984044</c:v>
                </c:pt>
                <c:pt idx="609">
                  <c:v>1377826.1763984044</c:v>
                </c:pt>
                <c:pt idx="610">
                  <c:v>1377826.1763984044</c:v>
                </c:pt>
                <c:pt idx="611">
                  <c:v>1377826.1763984044</c:v>
                </c:pt>
                <c:pt idx="612">
                  <c:v>1377826.1763984044</c:v>
                </c:pt>
                <c:pt idx="613">
                  <c:v>1377826.1763984044</c:v>
                </c:pt>
                <c:pt idx="614">
                  <c:v>1377826.1763984044</c:v>
                </c:pt>
                <c:pt idx="615">
                  <c:v>1377826.1763984044</c:v>
                </c:pt>
                <c:pt idx="616">
                  <c:v>1377826.1763984044</c:v>
                </c:pt>
                <c:pt idx="617">
                  <c:v>1377826.1763984044</c:v>
                </c:pt>
                <c:pt idx="618">
                  <c:v>1377826.1763984044</c:v>
                </c:pt>
                <c:pt idx="619">
                  <c:v>1377826.1763984044</c:v>
                </c:pt>
                <c:pt idx="620">
                  <c:v>1377826.1763984044</c:v>
                </c:pt>
                <c:pt idx="621">
                  <c:v>1377826.1763984044</c:v>
                </c:pt>
                <c:pt idx="622">
                  <c:v>1377826.1763984044</c:v>
                </c:pt>
                <c:pt idx="623">
                  <c:v>1377826.1763984044</c:v>
                </c:pt>
                <c:pt idx="624">
                  <c:v>1377826.1763984044</c:v>
                </c:pt>
                <c:pt idx="625">
                  <c:v>1377826.1763984044</c:v>
                </c:pt>
                <c:pt idx="626">
                  <c:v>1377826.1763984044</c:v>
                </c:pt>
                <c:pt idx="627">
                  <c:v>1377826.1763984044</c:v>
                </c:pt>
                <c:pt idx="628">
                  <c:v>1377826.1763984044</c:v>
                </c:pt>
                <c:pt idx="629">
                  <c:v>1377826.1763984044</c:v>
                </c:pt>
                <c:pt idx="630">
                  <c:v>1377826.1763984044</c:v>
                </c:pt>
                <c:pt idx="631">
                  <c:v>1377826.1763984044</c:v>
                </c:pt>
                <c:pt idx="632">
                  <c:v>1377826.1763984044</c:v>
                </c:pt>
                <c:pt idx="633">
                  <c:v>1377826.1763984044</c:v>
                </c:pt>
                <c:pt idx="634">
                  <c:v>1377826.1763984044</c:v>
                </c:pt>
                <c:pt idx="635">
                  <c:v>1377826.1763984044</c:v>
                </c:pt>
                <c:pt idx="636">
                  <c:v>1377826.1763984044</c:v>
                </c:pt>
                <c:pt idx="637">
                  <c:v>1377826.1763984044</c:v>
                </c:pt>
                <c:pt idx="638">
                  <c:v>1377826.1763984044</c:v>
                </c:pt>
                <c:pt idx="639">
                  <c:v>1377826.1763984044</c:v>
                </c:pt>
                <c:pt idx="640">
                  <c:v>1377826.1763984044</c:v>
                </c:pt>
                <c:pt idx="641">
                  <c:v>1377826.1763984044</c:v>
                </c:pt>
                <c:pt idx="642">
                  <c:v>1377826.1763984044</c:v>
                </c:pt>
                <c:pt idx="643">
                  <c:v>1377826.1763984044</c:v>
                </c:pt>
                <c:pt idx="644">
                  <c:v>1377826.1763984044</c:v>
                </c:pt>
                <c:pt idx="645">
                  <c:v>1377826.1763984044</c:v>
                </c:pt>
                <c:pt idx="646">
                  <c:v>1377826.1763984044</c:v>
                </c:pt>
                <c:pt idx="647">
                  <c:v>1377826.1763984044</c:v>
                </c:pt>
                <c:pt idx="648">
                  <c:v>1377826.1763984044</c:v>
                </c:pt>
                <c:pt idx="649">
                  <c:v>1377826.1763984044</c:v>
                </c:pt>
                <c:pt idx="650">
                  <c:v>1377826.1763984044</c:v>
                </c:pt>
                <c:pt idx="651">
                  <c:v>1377826.1763984044</c:v>
                </c:pt>
                <c:pt idx="652">
                  <c:v>1377826.1763984044</c:v>
                </c:pt>
                <c:pt idx="653">
                  <c:v>1377826.1763984044</c:v>
                </c:pt>
                <c:pt idx="654">
                  <c:v>1377826.1763984044</c:v>
                </c:pt>
                <c:pt idx="655">
                  <c:v>1377826.1763984044</c:v>
                </c:pt>
                <c:pt idx="656">
                  <c:v>1377826.1763984044</c:v>
                </c:pt>
                <c:pt idx="657">
                  <c:v>1377826.1763984044</c:v>
                </c:pt>
                <c:pt idx="658">
                  <c:v>1377826.1763984044</c:v>
                </c:pt>
                <c:pt idx="659">
                  <c:v>1377826.1763984044</c:v>
                </c:pt>
                <c:pt idx="660">
                  <c:v>1377826.1763984044</c:v>
                </c:pt>
                <c:pt idx="661">
                  <c:v>1377826.1763984044</c:v>
                </c:pt>
                <c:pt idx="662">
                  <c:v>1377826.1763984044</c:v>
                </c:pt>
                <c:pt idx="663">
                  <c:v>1377826.1763984044</c:v>
                </c:pt>
                <c:pt idx="664">
                  <c:v>1377826.1763984044</c:v>
                </c:pt>
                <c:pt idx="665">
                  <c:v>1377826.1763984044</c:v>
                </c:pt>
                <c:pt idx="666">
                  <c:v>1377826.1763984044</c:v>
                </c:pt>
                <c:pt idx="667">
                  <c:v>1377826.1763984044</c:v>
                </c:pt>
                <c:pt idx="668">
                  <c:v>1377826.1763984044</c:v>
                </c:pt>
                <c:pt idx="669">
                  <c:v>1377826.1763984044</c:v>
                </c:pt>
                <c:pt idx="670">
                  <c:v>1377826.1763984044</c:v>
                </c:pt>
                <c:pt idx="671">
                  <c:v>1377826.1763984044</c:v>
                </c:pt>
                <c:pt idx="672">
                  <c:v>1377826.1763984044</c:v>
                </c:pt>
                <c:pt idx="673">
                  <c:v>1377826.1763984044</c:v>
                </c:pt>
                <c:pt idx="674">
                  <c:v>1377826.1763984044</c:v>
                </c:pt>
                <c:pt idx="675">
                  <c:v>1377826.1763984044</c:v>
                </c:pt>
                <c:pt idx="676">
                  <c:v>1377826.1763984044</c:v>
                </c:pt>
                <c:pt idx="677">
                  <c:v>1377826.1763984044</c:v>
                </c:pt>
                <c:pt idx="678">
                  <c:v>1377826.1763984044</c:v>
                </c:pt>
                <c:pt idx="679">
                  <c:v>1377826.1763984044</c:v>
                </c:pt>
                <c:pt idx="680">
                  <c:v>1377826.1763984044</c:v>
                </c:pt>
                <c:pt idx="681">
                  <c:v>1377826.1763984044</c:v>
                </c:pt>
                <c:pt idx="682">
                  <c:v>1377826.1763984044</c:v>
                </c:pt>
                <c:pt idx="683">
                  <c:v>1377826.1763984044</c:v>
                </c:pt>
                <c:pt idx="684">
                  <c:v>1377826.1763984044</c:v>
                </c:pt>
                <c:pt idx="685">
                  <c:v>1377826.1763984044</c:v>
                </c:pt>
                <c:pt idx="686">
                  <c:v>1377826.1763984044</c:v>
                </c:pt>
                <c:pt idx="687">
                  <c:v>1377826.1763984044</c:v>
                </c:pt>
                <c:pt idx="688">
                  <c:v>1377826.1763984044</c:v>
                </c:pt>
                <c:pt idx="689">
                  <c:v>1377826.1763984044</c:v>
                </c:pt>
                <c:pt idx="690">
                  <c:v>1377826.1763984044</c:v>
                </c:pt>
                <c:pt idx="691">
                  <c:v>1377826.1763984044</c:v>
                </c:pt>
                <c:pt idx="692">
                  <c:v>1377826.1763984044</c:v>
                </c:pt>
                <c:pt idx="693">
                  <c:v>1377826.1763984044</c:v>
                </c:pt>
                <c:pt idx="694">
                  <c:v>1377826.1763984044</c:v>
                </c:pt>
                <c:pt idx="695">
                  <c:v>1377826.1763984044</c:v>
                </c:pt>
                <c:pt idx="696">
                  <c:v>1377826.1763984044</c:v>
                </c:pt>
                <c:pt idx="697">
                  <c:v>1377826.1763984044</c:v>
                </c:pt>
                <c:pt idx="698">
                  <c:v>1377826.1763984044</c:v>
                </c:pt>
                <c:pt idx="699">
                  <c:v>1377826.1763984044</c:v>
                </c:pt>
                <c:pt idx="700">
                  <c:v>1377826.1763984044</c:v>
                </c:pt>
                <c:pt idx="701">
                  <c:v>1377826.1763984044</c:v>
                </c:pt>
                <c:pt idx="702">
                  <c:v>1377826.1763984044</c:v>
                </c:pt>
                <c:pt idx="703">
                  <c:v>1377826.1763984044</c:v>
                </c:pt>
                <c:pt idx="704">
                  <c:v>1377826.1763984044</c:v>
                </c:pt>
                <c:pt idx="705">
                  <c:v>1377826.1763984044</c:v>
                </c:pt>
                <c:pt idx="706">
                  <c:v>1377826.1763984044</c:v>
                </c:pt>
                <c:pt idx="707">
                  <c:v>1377826.1763984044</c:v>
                </c:pt>
                <c:pt idx="708">
                  <c:v>1377826.1763984044</c:v>
                </c:pt>
                <c:pt idx="709">
                  <c:v>1377826.1763984044</c:v>
                </c:pt>
                <c:pt idx="710">
                  <c:v>1377826.1763984044</c:v>
                </c:pt>
                <c:pt idx="711">
                  <c:v>1377826.1763984044</c:v>
                </c:pt>
                <c:pt idx="712">
                  <c:v>1377826.1763984044</c:v>
                </c:pt>
                <c:pt idx="713">
                  <c:v>1377826.1763984044</c:v>
                </c:pt>
                <c:pt idx="714">
                  <c:v>1377826.1763984044</c:v>
                </c:pt>
                <c:pt idx="715">
                  <c:v>1377826.1763984044</c:v>
                </c:pt>
                <c:pt idx="716">
                  <c:v>1377826.1763984044</c:v>
                </c:pt>
                <c:pt idx="717">
                  <c:v>1377826.1763984044</c:v>
                </c:pt>
                <c:pt idx="718">
                  <c:v>1377826.1763984044</c:v>
                </c:pt>
                <c:pt idx="719">
                  <c:v>1377826.1763984044</c:v>
                </c:pt>
                <c:pt idx="720">
                  <c:v>1377826.1763984044</c:v>
                </c:pt>
                <c:pt idx="721">
                  <c:v>1377826.1763984044</c:v>
                </c:pt>
                <c:pt idx="722">
                  <c:v>1377826.1763984044</c:v>
                </c:pt>
                <c:pt idx="723">
                  <c:v>1377826.1763984044</c:v>
                </c:pt>
                <c:pt idx="724">
                  <c:v>1377826.1763984044</c:v>
                </c:pt>
                <c:pt idx="725">
                  <c:v>1377826.1763984044</c:v>
                </c:pt>
                <c:pt idx="726">
                  <c:v>1377826.1763984044</c:v>
                </c:pt>
                <c:pt idx="727">
                  <c:v>1377826.1763984044</c:v>
                </c:pt>
                <c:pt idx="728">
                  <c:v>1377826.1763984044</c:v>
                </c:pt>
                <c:pt idx="729">
                  <c:v>1377826.1763984044</c:v>
                </c:pt>
                <c:pt idx="730">
                  <c:v>1377826.1763984044</c:v>
                </c:pt>
                <c:pt idx="731">
                  <c:v>1377826.1763984044</c:v>
                </c:pt>
                <c:pt idx="732">
                  <c:v>1377826.1763984044</c:v>
                </c:pt>
                <c:pt idx="733">
                  <c:v>1377826.1763984044</c:v>
                </c:pt>
                <c:pt idx="734">
                  <c:v>1377826.1763984044</c:v>
                </c:pt>
                <c:pt idx="735">
                  <c:v>1377826.1763984044</c:v>
                </c:pt>
                <c:pt idx="736">
                  <c:v>1377826.1763984044</c:v>
                </c:pt>
                <c:pt idx="737">
                  <c:v>1377826.1763984044</c:v>
                </c:pt>
                <c:pt idx="738">
                  <c:v>1377826.1763984044</c:v>
                </c:pt>
                <c:pt idx="739">
                  <c:v>1377826.1763984044</c:v>
                </c:pt>
                <c:pt idx="740">
                  <c:v>1377826.1763984044</c:v>
                </c:pt>
                <c:pt idx="741">
                  <c:v>1377826.1763984044</c:v>
                </c:pt>
                <c:pt idx="742">
                  <c:v>1377826.1763984044</c:v>
                </c:pt>
                <c:pt idx="743">
                  <c:v>1377826.1763984044</c:v>
                </c:pt>
                <c:pt idx="744">
                  <c:v>1377826.1763984044</c:v>
                </c:pt>
                <c:pt idx="745">
                  <c:v>1377826.1763984044</c:v>
                </c:pt>
                <c:pt idx="746">
                  <c:v>1377826.1763984044</c:v>
                </c:pt>
                <c:pt idx="747">
                  <c:v>1377826.1763984044</c:v>
                </c:pt>
                <c:pt idx="748">
                  <c:v>1377826.1763984044</c:v>
                </c:pt>
                <c:pt idx="749">
                  <c:v>1377826.1763984044</c:v>
                </c:pt>
                <c:pt idx="750">
                  <c:v>1377826.1763984044</c:v>
                </c:pt>
                <c:pt idx="751">
                  <c:v>1377826.1763984044</c:v>
                </c:pt>
                <c:pt idx="752">
                  <c:v>1377826.1763984044</c:v>
                </c:pt>
                <c:pt idx="753">
                  <c:v>1377826.1763984044</c:v>
                </c:pt>
                <c:pt idx="754">
                  <c:v>1377826.1763984044</c:v>
                </c:pt>
                <c:pt idx="755">
                  <c:v>1377826.1763984044</c:v>
                </c:pt>
                <c:pt idx="756">
                  <c:v>1377826.1763984044</c:v>
                </c:pt>
                <c:pt idx="757">
                  <c:v>1377826.1763984044</c:v>
                </c:pt>
                <c:pt idx="758">
                  <c:v>1377826.1763984044</c:v>
                </c:pt>
                <c:pt idx="759">
                  <c:v>1377826.1763984044</c:v>
                </c:pt>
                <c:pt idx="760">
                  <c:v>1377826.1763984044</c:v>
                </c:pt>
                <c:pt idx="761">
                  <c:v>1377826.1763984044</c:v>
                </c:pt>
                <c:pt idx="762">
                  <c:v>1377826.1763984044</c:v>
                </c:pt>
                <c:pt idx="763">
                  <c:v>1377826.1763984044</c:v>
                </c:pt>
                <c:pt idx="764">
                  <c:v>1377826.1763984044</c:v>
                </c:pt>
                <c:pt idx="765">
                  <c:v>1377826.1763984044</c:v>
                </c:pt>
                <c:pt idx="766">
                  <c:v>1377826.1763984044</c:v>
                </c:pt>
                <c:pt idx="767">
                  <c:v>1377826.1763984044</c:v>
                </c:pt>
                <c:pt idx="768">
                  <c:v>1377826.1763984044</c:v>
                </c:pt>
                <c:pt idx="769">
                  <c:v>1377826.1763984044</c:v>
                </c:pt>
                <c:pt idx="770">
                  <c:v>1377826.1763984044</c:v>
                </c:pt>
                <c:pt idx="771">
                  <c:v>1377826.1763984044</c:v>
                </c:pt>
                <c:pt idx="772">
                  <c:v>1377826.1763984044</c:v>
                </c:pt>
                <c:pt idx="773">
                  <c:v>1377826.1763984044</c:v>
                </c:pt>
                <c:pt idx="774">
                  <c:v>1377826.1763984044</c:v>
                </c:pt>
                <c:pt idx="775">
                  <c:v>1377826.1763984044</c:v>
                </c:pt>
                <c:pt idx="776">
                  <c:v>1377826.1763984044</c:v>
                </c:pt>
                <c:pt idx="777">
                  <c:v>1377826.1763984044</c:v>
                </c:pt>
                <c:pt idx="778">
                  <c:v>1377826.1763984044</c:v>
                </c:pt>
                <c:pt idx="779">
                  <c:v>1377826.1763984044</c:v>
                </c:pt>
                <c:pt idx="780">
                  <c:v>1377826.1763984044</c:v>
                </c:pt>
                <c:pt idx="781">
                  <c:v>1377826.1763984044</c:v>
                </c:pt>
                <c:pt idx="782">
                  <c:v>1377826.1763984044</c:v>
                </c:pt>
                <c:pt idx="783">
                  <c:v>1377826.1763984044</c:v>
                </c:pt>
                <c:pt idx="784">
                  <c:v>1377826.1763984044</c:v>
                </c:pt>
                <c:pt idx="785">
                  <c:v>1377826.1763984044</c:v>
                </c:pt>
                <c:pt idx="786">
                  <c:v>1377826.1763984044</c:v>
                </c:pt>
                <c:pt idx="787">
                  <c:v>1377826.1763984044</c:v>
                </c:pt>
                <c:pt idx="788">
                  <c:v>1377826.1763984044</c:v>
                </c:pt>
                <c:pt idx="789">
                  <c:v>1377826.1763984044</c:v>
                </c:pt>
                <c:pt idx="790">
                  <c:v>1377826.1763984044</c:v>
                </c:pt>
                <c:pt idx="791">
                  <c:v>1377826.1763984044</c:v>
                </c:pt>
                <c:pt idx="792">
                  <c:v>1377826.1763984044</c:v>
                </c:pt>
                <c:pt idx="793">
                  <c:v>1377826.1763984044</c:v>
                </c:pt>
                <c:pt idx="794">
                  <c:v>1377826.1763984044</c:v>
                </c:pt>
                <c:pt idx="795">
                  <c:v>1377826.1763984044</c:v>
                </c:pt>
                <c:pt idx="796">
                  <c:v>1377826.1763984044</c:v>
                </c:pt>
                <c:pt idx="797">
                  <c:v>1377826.1763984044</c:v>
                </c:pt>
                <c:pt idx="798">
                  <c:v>1377826.1763984044</c:v>
                </c:pt>
                <c:pt idx="799">
                  <c:v>1377826.1763984044</c:v>
                </c:pt>
                <c:pt idx="800">
                  <c:v>1377826.1763984044</c:v>
                </c:pt>
                <c:pt idx="801">
                  <c:v>1377826.1763984044</c:v>
                </c:pt>
                <c:pt idx="802">
                  <c:v>1377826.1763984044</c:v>
                </c:pt>
                <c:pt idx="803">
                  <c:v>1377826.1763984044</c:v>
                </c:pt>
                <c:pt idx="804">
                  <c:v>1377826.1763984044</c:v>
                </c:pt>
                <c:pt idx="805">
                  <c:v>1377826.1763984044</c:v>
                </c:pt>
                <c:pt idx="806">
                  <c:v>1377826.1763984044</c:v>
                </c:pt>
                <c:pt idx="807">
                  <c:v>1377826.1763984044</c:v>
                </c:pt>
                <c:pt idx="808">
                  <c:v>1377826.1763984044</c:v>
                </c:pt>
                <c:pt idx="809">
                  <c:v>1377826.1763984044</c:v>
                </c:pt>
                <c:pt idx="810">
                  <c:v>1377826.1763984044</c:v>
                </c:pt>
                <c:pt idx="811">
                  <c:v>1377826.1763984044</c:v>
                </c:pt>
                <c:pt idx="812">
                  <c:v>1377826.1763984044</c:v>
                </c:pt>
                <c:pt idx="813">
                  <c:v>1377826.1763984044</c:v>
                </c:pt>
                <c:pt idx="814">
                  <c:v>1377826.1763984044</c:v>
                </c:pt>
                <c:pt idx="815">
                  <c:v>1377826.1763984044</c:v>
                </c:pt>
                <c:pt idx="816">
                  <c:v>1377826.1763984044</c:v>
                </c:pt>
                <c:pt idx="817">
                  <c:v>1377826.1763984044</c:v>
                </c:pt>
                <c:pt idx="818">
                  <c:v>1377826.1763984044</c:v>
                </c:pt>
                <c:pt idx="819">
                  <c:v>1377826.1763984044</c:v>
                </c:pt>
                <c:pt idx="820">
                  <c:v>1377826.1763984044</c:v>
                </c:pt>
                <c:pt idx="821">
                  <c:v>1377826.1763984044</c:v>
                </c:pt>
                <c:pt idx="822">
                  <c:v>1377826.1763984044</c:v>
                </c:pt>
                <c:pt idx="823">
                  <c:v>1377826.1763984044</c:v>
                </c:pt>
                <c:pt idx="824">
                  <c:v>1377826.1763984044</c:v>
                </c:pt>
                <c:pt idx="825">
                  <c:v>1377826.1763984044</c:v>
                </c:pt>
                <c:pt idx="826">
                  <c:v>1377826.1763984044</c:v>
                </c:pt>
                <c:pt idx="827">
                  <c:v>1377826.1763984044</c:v>
                </c:pt>
                <c:pt idx="828">
                  <c:v>1377826.1763984044</c:v>
                </c:pt>
                <c:pt idx="829">
                  <c:v>1377826.1763984044</c:v>
                </c:pt>
                <c:pt idx="830">
                  <c:v>1377826.1763984044</c:v>
                </c:pt>
                <c:pt idx="831">
                  <c:v>1377826.1763984044</c:v>
                </c:pt>
                <c:pt idx="832">
                  <c:v>1377826.1763984044</c:v>
                </c:pt>
                <c:pt idx="833">
                  <c:v>1377826.1763984044</c:v>
                </c:pt>
                <c:pt idx="834">
                  <c:v>1377826.1763984044</c:v>
                </c:pt>
                <c:pt idx="835">
                  <c:v>1377826.1763984044</c:v>
                </c:pt>
                <c:pt idx="836">
                  <c:v>1377826.1763984044</c:v>
                </c:pt>
                <c:pt idx="837">
                  <c:v>1377826.1763984044</c:v>
                </c:pt>
                <c:pt idx="838">
                  <c:v>1377826.1763984044</c:v>
                </c:pt>
                <c:pt idx="839">
                  <c:v>1377826.1763984044</c:v>
                </c:pt>
                <c:pt idx="840">
                  <c:v>1377826.1763984044</c:v>
                </c:pt>
                <c:pt idx="841">
                  <c:v>1377826.1763984044</c:v>
                </c:pt>
                <c:pt idx="842">
                  <c:v>1377826.1763984044</c:v>
                </c:pt>
                <c:pt idx="843">
                  <c:v>1377826.1763984044</c:v>
                </c:pt>
                <c:pt idx="844">
                  <c:v>1377826.1763984044</c:v>
                </c:pt>
                <c:pt idx="845">
                  <c:v>1377826.1763984044</c:v>
                </c:pt>
                <c:pt idx="846">
                  <c:v>1377826.1763984044</c:v>
                </c:pt>
                <c:pt idx="847">
                  <c:v>1377826.1763984044</c:v>
                </c:pt>
                <c:pt idx="848">
                  <c:v>1377826.1763984044</c:v>
                </c:pt>
                <c:pt idx="849">
                  <c:v>1377826.1763984044</c:v>
                </c:pt>
                <c:pt idx="850">
                  <c:v>1377826.1763984044</c:v>
                </c:pt>
                <c:pt idx="851">
                  <c:v>1377826.1763984044</c:v>
                </c:pt>
                <c:pt idx="852">
                  <c:v>1377826.1763984044</c:v>
                </c:pt>
                <c:pt idx="853">
                  <c:v>1377826.1763984044</c:v>
                </c:pt>
                <c:pt idx="854">
                  <c:v>1377826.1763984044</c:v>
                </c:pt>
                <c:pt idx="855">
                  <c:v>1377826.1763984044</c:v>
                </c:pt>
                <c:pt idx="856">
                  <c:v>1377826.1763984044</c:v>
                </c:pt>
                <c:pt idx="857">
                  <c:v>1377826.1763984044</c:v>
                </c:pt>
                <c:pt idx="858">
                  <c:v>1377826.1763984044</c:v>
                </c:pt>
                <c:pt idx="859">
                  <c:v>1377826.1763984044</c:v>
                </c:pt>
                <c:pt idx="860">
                  <c:v>1377826.1763984044</c:v>
                </c:pt>
                <c:pt idx="861">
                  <c:v>1377826.1763984044</c:v>
                </c:pt>
                <c:pt idx="862">
                  <c:v>1377826.1763984044</c:v>
                </c:pt>
                <c:pt idx="863">
                  <c:v>1377826.1763984044</c:v>
                </c:pt>
                <c:pt idx="864">
                  <c:v>1377826.1763984044</c:v>
                </c:pt>
                <c:pt idx="865">
                  <c:v>1377826.1763984044</c:v>
                </c:pt>
                <c:pt idx="866">
                  <c:v>1377826.1763984044</c:v>
                </c:pt>
                <c:pt idx="867">
                  <c:v>1377826.1763984044</c:v>
                </c:pt>
                <c:pt idx="868">
                  <c:v>1377826.1763984044</c:v>
                </c:pt>
                <c:pt idx="869">
                  <c:v>1377826.1763984044</c:v>
                </c:pt>
                <c:pt idx="870">
                  <c:v>1377826.1763984044</c:v>
                </c:pt>
                <c:pt idx="871">
                  <c:v>1377826.1763984044</c:v>
                </c:pt>
                <c:pt idx="872">
                  <c:v>1377826.1763984044</c:v>
                </c:pt>
                <c:pt idx="873">
                  <c:v>1377826.1763984044</c:v>
                </c:pt>
                <c:pt idx="874">
                  <c:v>1377826.1763984044</c:v>
                </c:pt>
                <c:pt idx="875">
                  <c:v>1377826.1763984044</c:v>
                </c:pt>
                <c:pt idx="876">
                  <c:v>1377826.1763984044</c:v>
                </c:pt>
                <c:pt idx="877">
                  <c:v>1377826.1763984044</c:v>
                </c:pt>
                <c:pt idx="878">
                  <c:v>1377826.1763984044</c:v>
                </c:pt>
                <c:pt idx="879">
                  <c:v>1377826.1763984044</c:v>
                </c:pt>
                <c:pt idx="880">
                  <c:v>1377826.1763984044</c:v>
                </c:pt>
                <c:pt idx="881">
                  <c:v>1377826.1763984044</c:v>
                </c:pt>
                <c:pt idx="882">
                  <c:v>1377826.1763984044</c:v>
                </c:pt>
                <c:pt idx="883">
                  <c:v>1377826.1763984044</c:v>
                </c:pt>
                <c:pt idx="884">
                  <c:v>1377826.1763984044</c:v>
                </c:pt>
                <c:pt idx="885">
                  <c:v>1377826.1763984044</c:v>
                </c:pt>
                <c:pt idx="886">
                  <c:v>1377826.1763984044</c:v>
                </c:pt>
                <c:pt idx="887">
                  <c:v>1377826.1763984044</c:v>
                </c:pt>
                <c:pt idx="888">
                  <c:v>1377826.1763984044</c:v>
                </c:pt>
                <c:pt idx="889">
                  <c:v>1377826.1763984044</c:v>
                </c:pt>
                <c:pt idx="890">
                  <c:v>1377826.1763984044</c:v>
                </c:pt>
                <c:pt idx="891">
                  <c:v>1377826.1763984044</c:v>
                </c:pt>
                <c:pt idx="892">
                  <c:v>1377826.1763984044</c:v>
                </c:pt>
                <c:pt idx="893">
                  <c:v>1377826.1763984044</c:v>
                </c:pt>
                <c:pt idx="894">
                  <c:v>1377826.1763984044</c:v>
                </c:pt>
                <c:pt idx="895">
                  <c:v>1377826.1763984044</c:v>
                </c:pt>
                <c:pt idx="896">
                  <c:v>1377826.1763984044</c:v>
                </c:pt>
                <c:pt idx="897">
                  <c:v>1377826.1763984044</c:v>
                </c:pt>
                <c:pt idx="898">
                  <c:v>1377826.1763984044</c:v>
                </c:pt>
                <c:pt idx="899">
                  <c:v>1377826.1763984044</c:v>
                </c:pt>
                <c:pt idx="900">
                  <c:v>1377826.1763984044</c:v>
                </c:pt>
                <c:pt idx="901">
                  <c:v>1377826.1763984044</c:v>
                </c:pt>
                <c:pt idx="902">
                  <c:v>1377826.1763984044</c:v>
                </c:pt>
                <c:pt idx="903">
                  <c:v>1377826.1763984044</c:v>
                </c:pt>
                <c:pt idx="904">
                  <c:v>1377826.1763984044</c:v>
                </c:pt>
                <c:pt idx="905">
                  <c:v>1377826.1763984044</c:v>
                </c:pt>
                <c:pt idx="906">
                  <c:v>1377826.1763984044</c:v>
                </c:pt>
                <c:pt idx="907">
                  <c:v>1377826.1763984044</c:v>
                </c:pt>
                <c:pt idx="908">
                  <c:v>1377826.1763984044</c:v>
                </c:pt>
                <c:pt idx="909">
                  <c:v>1377826.1763984044</c:v>
                </c:pt>
                <c:pt idx="910">
                  <c:v>1377826.1763984044</c:v>
                </c:pt>
                <c:pt idx="911">
                  <c:v>1377826.1763984044</c:v>
                </c:pt>
                <c:pt idx="912">
                  <c:v>1377826.1763984044</c:v>
                </c:pt>
                <c:pt idx="913">
                  <c:v>1377826.1763984044</c:v>
                </c:pt>
                <c:pt idx="914">
                  <c:v>1377826.1763984044</c:v>
                </c:pt>
                <c:pt idx="915">
                  <c:v>1377826.1763984044</c:v>
                </c:pt>
                <c:pt idx="916">
                  <c:v>1377826.1763984044</c:v>
                </c:pt>
                <c:pt idx="917">
                  <c:v>1377826.1763984044</c:v>
                </c:pt>
                <c:pt idx="918">
                  <c:v>1377826.1763984044</c:v>
                </c:pt>
                <c:pt idx="919">
                  <c:v>1377826.1763984044</c:v>
                </c:pt>
                <c:pt idx="920">
                  <c:v>1377826.1763984044</c:v>
                </c:pt>
                <c:pt idx="921">
                  <c:v>1377826.1763984044</c:v>
                </c:pt>
                <c:pt idx="922">
                  <c:v>1377826.1763984044</c:v>
                </c:pt>
                <c:pt idx="923">
                  <c:v>1377826.1763984044</c:v>
                </c:pt>
                <c:pt idx="924">
                  <c:v>1377826.1763984044</c:v>
                </c:pt>
                <c:pt idx="925">
                  <c:v>1377826.1763984044</c:v>
                </c:pt>
                <c:pt idx="926">
                  <c:v>1377826.1763984044</c:v>
                </c:pt>
                <c:pt idx="927">
                  <c:v>1377826.1763984044</c:v>
                </c:pt>
                <c:pt idx="928">
                  <c:v>1377826.1763984044</c:v>
                </c:pt>
                <c:pt idx="929">
                  <c:v>1377826.1763984044</c:v>
                </c:pt>
                <c:pt idx="930">
                  <c:v>1377826.1763984044</c:v>
                </c:pt>
                <c:pt idx="931">
                  <c:v>1377826.1763984044</c:v>
                </c:pt>
                <c:pt idx="932">
                  <c:v>1377826.1763984044</c:v>
                </c:pt>
                <c:pt idx="933">
                  <c:v>1377826.1763984044</c:v>
                </c:pt>
                <c:pt idx="934">
                  <c:v>1377826.1763984044</c:v>
                </c:pt>
                <c:pt idx="935">
                  <c:v>1377826.1763984044</c:v>
                </c:pt>
                <c:pt idx="936">
                  <c:v>1377826.1763984044</c:v>
                </c:pt>
                <c:pt idx="937">
                  <c:v>1377826.1763984044</c:v>
                </c:pt>
                <c:pt idx="938">
                  <c:v>1377826.1763984044</c:v>
                </c:pt>
                <c:pt idx="939">
                  <c:v>1377826.1763984044</c:v>
                </c:pt>
                <c:pt idx="940">
                  <c:v>1377826.1763984044</c:v>
                </c:pt>
                <c:pt idx="941">
                  <c:v>1377826.1763984044</c:v>
                </c:pt>
                <c:pt idx="942">
                  <c:v>1377826.1763984044</c:v>
                </c:pt>
                <c:pt idx="943">
                  <c:v>1377826.1763984044</c:v>
                </c:pt>
                <c:pt idx="944">
                  <c:v>1377826.1763984044</c:v>
                </c:pt>
                <c:pt idx="945">
                  <c:v>1377826.1763984044</c:v>
                </c:pt>
                <c:pt idx="946">
                  <c:v>1377826.1763984044</c:v>
                </c:pt>
                <c:pt idx="947">
                  <c:v>1377826.1763984044</c:v>
                </c:pt>
                <c:pt idx="948">
                  <c:v>1377826.1763984044</c:v>
                </c:pt>
                <c:pt idx="949">
                  <c:v>1377826.1763984044</c:v>
                </c:pt>
                <c:pt idx="950">
                  <c:v>1377826.1763984044</c:v>
                </c:pt>
                <c:pt idx="951">
                  <c:v>1377826.1763984044</c:v>
                </c:pt>
                <c:pt idx="952">
                  <c:v>1377826.1763984044</c:v>
                </c:pt>
                <c:pt idx="953">
                  <c:v>1377826.1763984044</c:v>
                </c:pt>
                <c:pt idx="954">
                  <c:v>1377826.1763984044</c:v>
                </c:pt>
                <c:pt idx="955">
                  <c:v>1377826.1763984044</c:v>
                </c:pt>
                <c:pt idx="956">
                  <c:v>1377826.1763984044</c:v>
                </c:pt>
                <c:pt idx="957">
                  <c:v>1377826.1763984044</c:v>
                </c:pt>
                <c:pt idx="958">
                  <c:v>1377826.1763984044</c:v>
                </c:pt>
                <c:pt idx="959">
                  <c:v>1377826.1763984044</c:v>
                </c:pt>
                <c:pt idx="960">
                  <c:v>1377826.1763984044</c:v>
                </c:pt>
                <c:pt idx="961">
                  <c:v>1377826.1763984044</c:v>
                </c:pt>
                <c:pt idx="962">
                  <c:v>1377826.1763984044</c:v>
                </c:pt>
                <c:pt idx="963">
                  <c:v>1377826.1763984044</c:v>
                </c:pt>
                <c:pt idx="964">
                  <c:v>1377826.1763984044</c:v>
                </c:pt>
                <c:pt idx="965">
                  <c:v>1377826.1763984044</c:v>
                </c:pt>
                <c:pt idx="966">
                  <c:v>1377826.1763984044</c:v>
                </c:pt>
                <c:pt idx="967">
                  <c:v>1377826.1763984044</c:v>
                </c:pt>
                <c:pt idx="968">
                  <c:v>1377826.1763984044</c:v>
                </c:pt>
                <c:pt idx="969">
                  <c:v>1377826.1763984044</c:v>
                </c:pt>
                <c:pt idx="970">
                  <c:v>1377826.1763984044</c:v>
                </c:pt>
                <c:pt idx="971">
                  <c:v>1377826.1763984044</c:v>
                </c:pt>
                <c:pt idx="972">
                  <c:v>1377826.1763984044</c:v>
                </c:pt>
                <c:pt idx="973">
                  <c:v>1377826.1763984044</c:v>
                </c:pt>
                <c:pt idx="974">
                  <c:v>1377826.1763984044</c:v>
                </c:pt>
                <c:pt idx="975">
                  <c:v>1377826.1763984044</c:v>
                </c:pt>
                <c:pt idx="976">
                  <c:v>1377826.1763984044</c:v>
                </c:pt>
                <c:pt idx="977">
                  <c:v>1377826.1763984044</c:v>
                </c:pt>
                <c:pt idx="978">
                  <c:v>1377826.1763984044</c:v>
                </c:pt>
                <c:pt idx="979">
                  <c:v>1377826.1763984044</c:v>
                </c:pt>
                <c:pt idx="980">
                  <c:v>1377826.1763984044</c:v>
                </c:pt>
                <c:pt idx="981">
                  <c:v>1377826.1763984044</c:v>
                </c:pt>
                <c:pt idx="982">
                  <c:v>1377826.1763984044</c:v>
                </c:pt>
                <c:pt idx="983">
                  <c:v>1377826.1763984044</c:v>
                </c:pt>
                <c:pt idx="984">
                  <c:v>1377826.1763984044</c:v>
                </c:pt>
                <c:pt idx="985">
                  <c:v>1377826.1763984044</c:v>
                </c:pt>
                <c:pt idx="986">
                  <c:v>1377826.1763984044</c:v>
                </c:pt>
                <c:pt idx="987">
                  <c:v>1377826.1763984044</c:v>
                </c:pt>
                <c:pt idx="988">
                  <c:v>1377826.1763984044</c:v>
                </c:pt>
                <c:pt idx="989">
                  <c:v>1377826.1763984044</c:v>
                </c:pt>
                <c:pt idx="990">
                  <c:v>1377826.1763984044</c:v>
                </c:pt>
                <c:pt idx="991">
                  <c:v>1377826.1763984044</c:v>
                </c:pt>
                <c:pt idx="992">
                  <c:v>1377826.1763984044</c:v>
                </c:pt>
                <c:pt idx="993">
                  <c:v>1377826.1763984044</c:v>
                </c:pt>
                <c:pt idx="994">
                  <c:v>1377826.1763984044</c:v>
                </c:pt>
                <c:pt idx="995">
                  <c:v>1377826.1763984044</c:v>
                </c:pt>
                <c:pt idx="996">
                  <c:v>1377826.1763984044</c:v>
                </c:pt>
                <c:pt idx="997">
                  <c:v>1377826.1763984044</c:v>
                </c:pt>
                <c:pt idx="998">
                  <c:v>1377826.1763984044</c:v>
                </c:pt>
                <c:pt idx="999">
                  <c:v>1377826.1763984044</c:v>
                </c:pt>
                <c:pt idx="1000">
                  <c:v>1377826.1763984044</c:v>
                </c:pt>
                <c:pt idx="1001">
                  <c:v>1377826.1763984044</c:v>
                </c:pt>
                <c:pt idx="1002">
                  <c:v>1377826.1763984044</c:v>
                </c:pt>
                <c:pt idx="1003">
                  <c:v>1377826.1763984044</c:v>
                </c:pt>
                <c:pt idx="1004">
                  <c:v>1377826.1763984044</c:v>
                </c:pt>
                <c:pt idx="1005">
                  <c:v>1377826.1763984044</c:v>
                </c:pt>
                <c:pt idx="1006">
                  <c:v>1377826.1763984044</c:v>
                </c:pt>
                <c:pt idx="1007">
                  <c:v>1377826.1763984044</c:v>
                </c:pt>
                <c:pt idx="1008">
                  <c:v>1377826.1763984044</c:v>
                </c:pt>
                <c:pt idx="1009">
                  <c:v>1377826.1763984044</c:v>
                </c:pt>
                <c:pt idx="1010">
                  <c:v>1377826.1763984044</c:v>
                </c:pt>
                <c:pt idx="1011">
                  <c:v>1377826.1763984044</c:v>
                </c:pt>
                <c:pt idx="1012">
                  <c:v>1377826.1763984044</c:v>
                </c:pt>
                <c:pt idx="1013">
                  <c:v>1377826.1763984044</c:v>
                </c:pt>
                <c:pt idx="1014">
                  <c:v>1377826.1763984044</c:v>
                </c:pt>
                <c:pt idx="1015">
                  <c:v>1377826.1763984044</c:v>
                </c:pt>
                <c:pt idx="1016">
                  <c:v>1377826.1763984044</c:v>
                </c:pt>
                <c:pt idx="1017">
                  <c:v>1377826.1763984044</c:v>
                </c:pt>
                <c:pt idx="1018">
                  <c:v>1377826.1763984044</c:v>
                </c:pt>
                <c:pt idx="1019">
                  <c:v>1377826.1763984044</c:v>
                </c:pt>
                <c:pt idx="1020">
                  <c:v>1377826.1763984044</c:v>
                </c:pt>
                <c:pt idx="1021">
                  <c:v>1377826.1763984044</c:v>
                </c:pt>
                <c:pt idx="1022">
                  <c:v>1377826.1763984044</c:v>
                </c:pt>
                <c:pt idx="1023">
                  <c:v>1377826.1763984044</c:v>
                </c:pt>
                <c:pt idx="1024">
                  <c:v>1377826.1763984044</c:v>
                </c:pt>
                <c:pt idx="1025">
                  <c:v>1377826.1763984044</c:v>
                </c:pt>
                <c:pt idx="1026">
                  <c:v>1377826.1763984044</c:v>
                </c:pt>
                <c:pt idx="1027">
                  <c:v>1377826.1763984044</c:v>
                </c:pt>
                <c:pt idx="1028">
                  <c:v>1377826.1763984044</c:v>
                </c:pt>
                <c:pt idx="1029">
                  <c:v>1377826.1763984044</c:v>
                </c:pt>
                <c:pt idx="1030">
                  <c:v>1377826.1763984044</c:v>
                </c:pt>
                <c:pt idx="1031">
                  <c:v>1377826.1763984044</c:v>
                </c:pt>
                <c:pt idx="1032">
                  <c:v>1377826.1763984044</c:v>
                </c:pt>
                <c:pt idx="1033">
                  <c:v>1377826.1763984044</c:v>
                </c:pt>
                <c:pt idx="1034">
                  <c:v>1377826.1763984044</c:v>
                </c:pt>
                <c:pt idx="1035">
                  <c:v>1377826.1763984044</c:v>
                </c:pt>
                <c:pt idx="1036">
                  <c:v>1377826.1763984044</c:v>
                </c:pt>
                <c:pt idx="1037">
                  <c:v>1377826.1763984044</c:v>
                </c:pt>
                <c:pt idx="1038">
                  <c:v>1377826.1763984044</c:v>
                </c:pt>
                <c:pt idx="1039">
                  <c:v>1377826.1763984044</c:v>
                </c:pt>
                <c:pt idx="1040">
                  <c:v>1377826.1763984044</c:v>
                </c:pt>
                <c:pt idx="1041">
                  <c:v>1377826.1763984044</c:v>
                </c:pt>
                <c:pt idx="1042">
                  <c:v>1377826.1763984044</c:v>
                </c:pt>
                <c:pt idx="1043">
                  <c:v>1377826.1763984044</c:v>
                </c:pt>
                <c:pt idx="1044">
                  <c:v>1377826.1763984044</c:v>
                </c:pt>
                <c:pt idx="1045">
                  <c:v>1377826.1763984044</c:v>
                </c:pt>
                <c:pt idx="1046">
                  <c:v>1377826.1763984044</c:v>
                </c:pt>
                <c:pt idx="1047">
                  <c:v>1377826.1763984044</c:v>
                </c:pt>
                <c:pt idx="1048">
                  <c:v>1377826.1763984044</c:v>
                </c:pt>
                <c:pt idx="1049">
                  <c:v>1377826.1763984044</c:v>
                </c:pt>
                <c:pt idx="1050">
                  <c:v>1377826.1763984044</c:v>
                </c:pt>
                <c:pt idx="1051">
                  <c:v>1377826.1763984044</c:v>
                </c:pt>
                <c:pt idx="1052">
                  <c:v>1377826.1763984044</c:v>
                </c:pt>
                <c:pt idx="1053">
                  <c:v>1377826.1763984044</c:v>
                </c:pt>
                <c:pt idx="1054">
                  <c:v>1377826.1763984044</c:v>
                </c:pt>
                <c:pt idx="1055">
                  <c:v>1377826.1763984044</c:v>
                </c:pt>
                <c:pt idx="1056">
                  <c:v>1377826.1763984044</c:v>
                </c:pt>
                <c:pt idx="1057">
                  <c:v>1377826.1763984044</c:v>
                </c:pt>
                <c:pt idx="1058">
                  <c:v>1377826.1763984044</c:v>
                </c:pt>
                <c:pt idx="1059">
                  <c:v>1377826.1763984044</c:v>
                </c:pt>
                <c:pt idx="1060">
                  <c:v>1377826.1763984044</c:v>
                </c:pt>
                <c:pt idx="1061">
                  <c:v>1377826.1763984044</c:v>
                </c:pt>
                <c:pt idx="1062">
                  <c:v>1377826.1763984044</c:v>
                </c:pt>
                <c:pt idx="1063">
                  <c:v>1377826.1763984044</c:v>
                </c:pt>
                <c:pt idx="1064">
                  <c:v>1377826.1763984044</c:v>
                </c:pt>
                <c:pt idx="1065">
                  <c:v>1377826.1763984044</c:v>
                </c:pt>
                <c:pt idx="1066">
                  <c:v>1377826.1763984044</c:v>
                </c:pt>
                <c:pt idx="1067">
                  <c:v>1377826.1763984044</c:v>
                </c:pt>
                <c:pt idx="1068">
                  <c:v>1377826.1763984044</c:v>
                </c:pt>
                <c:pt idx="1069">
                  <c:v>1377826.1763984044</c:v>
                </c:pt>
                <c:pt idx="1070">
                  <c:v>1377826.1763984044</c:v>
                </c:pt>
                <c:pt idx="1071">
                  <c:v>1377826.1763984044</c:v>
                </c:pt>
                <c:pt idx="1072">
                  <c:v>1377826.1763984044</c:v>
                </c:pt>
                <c:pt idx="1073">
                  <c:v>1377826.1763984044</c:v>
                </c:pt>
                <c:pt idx="1074">
                  <c:v>1377826.1763984044</c:v>
                </c:pt>
                <c:pt idx="1075">
                  <c:v>1377826.1763984044</c:v>
                </c:pt>
                <c:pt idx="1076">
                  <c:v>1377826.1763984044</c:v>
                </c:pt>
                <c:pt idx="1077">
                  <c:v>1377826.1763984044</c:v>
                </c:pt>
                <c:pt idx="1078">
                  <c:v>1377826.1763984044</c:v>
                </c:pt>
                <c:pt idx="1079">
                  <c:v>1377826.1763984044</c:v>
                </c:pt>
                <c:pt idx="1080">
                  <c:v>1377826.1763984044</c:v>
                </c:pt>
                <c:pt idx="1081">
                  <c:v>1377826.1763984044</c:v>
                </c:pt>
                <c:pt idx="1082">
                  <c:v>1377826.1763984044</c:v>
                </c:pt>
                <c:pt idx="1083">
                  <c:v>1377826.1763984044</c:v>
                </c:pt>
                <c:pt idx="1084">
                  <c:v>1377826.1763984044</c:v>
                </c:pt>
                <c:pt idx="1085">
                  <c:v>1377826.1763984044</c:v>
                </c:pt>
                <c:pt idx="1086">
                  <c:v>1377826.1763984044</c:v>
                </c:pt>
                <c:pt idx="1087">
                  <c:v>1377826.1763984044</c:v>
                </c:pt>
                <c:pt idx="1088">
                  <c:v>1377826.1763984044</c:v>
                </c:pt>
                <c:pt idx="1089">
                  <c:v>1377826.1763984044</c:v>
                </c:pt>
                <c:pt idx="1090">
                  <c:v>1377826.1763984044</c:v>
                </c:pt>
                <c:pt idx="1091">
                  <c:v>1377826.1763984044</c:v>
                </c:pt>
                <c:pt idx="1092">
                  <c:v>1377826.1763984044</c:v>
                </c:pt>
                <c:pt idx="1093">
                  <c:v>1377826.1763984044</c:v>
                </c:pt>
                <c:pt idx="1094">
                  <c:v>1377826.1763984044</c:v>
                </c:pt>
                <c:pt idx="1095">
                  <c:v>1377826.1763984044</c:v>
                </c:pt>
                <c:pt idx="1096">
                  <c:v>1377826.1763984044</c:v>
                </c:pt>
                <c:pt idx="1097">
                  <c:v>1377826.1763984044</c:v>
                </c:pt>
                <c:pt idx="1098">
                  <c:v>1377826.1763984044</c:v>
                </c:pt>
                <c:pt idx="1099">
                  <c:v>1377826.1763984044</c:v>
                </c:pt>
                <c:pt idx="1100">
                  <c:v>1377826.1763984044</c:v>
                </c:pt>
                <c:pt idx="1101">
                  <c:v>1377826.1763984044</c:v>
                </c:pt>
                <c:pt idx="1102">
                  <c:v>1377826.1763984044</c:v>
                </c:pt>
                <c:pt idx="1103">
                  <c:v>1377826.1763984044</c:v>
                </c:pt>
                <c:pt idx="1104">
                  <c:v>1377826.1763984044</c:v>
                </c:pt>
                <c:pt idx="1105">
                  <c:v>1377826.1763984044</c:v>
                </c:pt>
                <c:pt idx="1106">
                  <c:v>1377826.1763984044</c:v>
                </c:pt>
                <c:pt idx="1107">
                  <c:v>1377826.1763984044</c:v>
                </c:pt>
                <c:pt idx="1108">
                  <c:v>1377826.1763984044</c:v>
                </c:pt>
                <c:pt idx="1109">
                  <c:v>1377826.1763984044</c:v>
                </c:pt>
                <c:pt idx="1110">
                  <c:v>1377826.1763984044</c:v>
                </c:pt>
                <c:pt idx="1111">
                  <c:v>1377826.1763984044</c:v>
                </c:pt>
                <c:pt idx="1112">
                  <c:v>1377826.1763984044</c:v>
                </c:pt>
                <c:pt idx="1113">
                  <c:v>1377826.1763984044</c:v>
                </c:pt>
                <c:pt idx="1114">
                  <c:v>1377826.1763984044</c:v>
                </c:pt>
                <c:pt idx="1115">
                  <c:v>1377826.1763984044</c:v>
                </c:pt>
                <c:pt idx="1116">
                  <c:v>1377826.1763984044</c:v>
                </c:pt>
                <c:pt idx="1117">
                  <c:v>1377826.1763984044</c:v>
                </c:pt>
                <c:pt idx="1118">
                  <c:v>1377826.1763984044</c:v>
                </c:pt>
                <c:pt idx="1119">
                  <c:v>1377826.1763984044</c:v>
                </c:pt>
                <c:pt idx="1120">
                  <c:v>1377826.1763984044</c:v>
                </c:pt>
                <c:pt idx="1121">
                  <c:v>1377826.1763984044</c:v>
                </c:pt>
                <c:pt idx="1122">
                  <c:v>1377826.1763984044</c:v>
                </c:pt>
                <c:pt idx="1123">
                  <c:v>1377826.1763984044</c:v>
                </c:pt>
                <c:pt idx="1124">
                  <c:v>1377826.1763984044</c:v>
                </c:pt>
                <c:pt idx="1125">
                  <c:v>1377826.1763984044</c:v>
                </c:pt>
                <c:pt idx="1126">
                  <c:v>1377826.1763984044</c:v>
                </c:pt>
                <c:pt idx="1127">
                  <c:v>1377826.1763984044</c:v>
                </c:pt>
                <c:pt idx="1128">
                  <c:v>1377826.1763984044</c:v>
                </c:pt>
                <c:pt idx="1129">
                  <c:v>1377826.1763984044</c:v>
                </c:pt>
                <c:pt idx="1130">
                  <c:v>1377826.1763984044</c:v>
                </c:pt>
                <c:pt idx="1131">
                  <c:v>1377826.1763984044</c:v>
                </c:pt>
                <c:pt idx="1132">
                  <c:v>1377826.1763984044</c:v>
                </c:pt>
                <c:pt idx="1133">
                  <c:v>1377826.1763984044</c:v>
                </c:pt>
                <c:pt idx="1134">
                  <c:v>1377826.1763984044</c:v>
                </c:pt>
                <c:pt idx="1135">
                  <c:v>1377826.1763984044</c:v>
                </c:pt>
                <c:pt idx="1136">
                  <c:v>1377826.1763984044</c:v>
                </c:pt>
                <c:pt idx="1137">
                  <c:v>1377826.1763984044</c:v>
                </c:pt>
                <c:pt idx="1138">
                  <c:v>1377826.1763984044</c:v>
                </c:pt>
                <c:pt idx="1139">
                  <c:v>1377826.1763984044</c:v>
                </c:pt>
                <c:pt idx="1140">
                  <c:v>1377826.1763984044</c:v>
                </c:pt>
                <c:pt idx="1141">
                  <c:v>1377826.1763984044</c:v>
                </c:pt>
                <c:pt idx="1142">
                  <c:v>1377826.1763984044</c:v>
                </c:pt>
                <c:pt idx="1143">
                  <c:v>1377826.1763984044</c:v>
                </c:pt>
                <c:pt idx="1144">
                  <c:v>1377826.1763984044</c:v>
                </c:pt>
                <c:pt idx="1145">
                  <c:v>1377826.1763984044</c:v>
                </c:pt>
                <c:pt idx="1146">
                  <c:v>1377826.1763984044</c:v>
                </c:pt>
                <c:pt idx="1147">
                  <c:v>1377826.1763984044</c:v>
                </c:pt>
                <c:pt idx="1148">
                  <c:v>1377826.1763984044</c:v>
                </c:pt>
                <c:pt idx="1149">
                  <c:v>1377826.1763984044</c:v>
                </c:pt>
                <c:pt idx="1150">
                  <c:v>1377826.1763984044</c:v>
                </c:pt>
                <c:pt idx="1151">
                  <c:v>1377826.1763984044</c:v>
                </c:pt>
                <c:pt idx="1152">
                  <c:v>1377826.1763984044</c:v>
                </c:pt>
                <c:pt idx="1153">
                  <c:v>1377826.1763984044</c:v>
                </c:pt>
                <c:pt idx="1154">
                  <c:v>1377826.1763984044</c:v>
                </c:pt>
                <c:pt idx="1155">
                  <c:v>1377826.1763984044</c:v>
                </c:pt>
                <c:pt idx="1156">
                  <c:v>1377826.1763984044</c:v>
                </c:pt>
                <c:pt idx="1157">
                  <c:v>1377826.1763984044</c:v>
                </c:pt>
                <c:pt idx="1158">
                  <c:v>1377826.1763984044</c:v>
                </c:pt>
                <c:pt idx="1159">
                  <c:v>1377826.1763984044</c:v>
                </c:pt>
                <c:pt idx="1160">
                  <c:v>1377826.1763984044</c:v>
                </c:pt>
                <c:pt idx="1161">
                  <c:v>1377826.1763984044</c:v>
                </c:pt>
                <c:pt idx="1162">
                  <c:v>1377826.1763984044</c:v>
                </c:pt>
                <c:pt idx="1163">
                  <c:v>1377826.1763984044</c:v>
                </c:pt>
                <c:pt idx="1164">
                  <c:v>1377826.1763984044</c:v>
                </c:pt>
                <c:pt idx="1165">
                  <c:v>1377826.1763984044</c:v>
                </c:pt>
                <c:pt idx="1166">
                  <c:v>1377826.1763984044</c:v>
                </c:pt>
                <c:pt idx="1167">
                  <c:v>1377826.1763984044</c:v>
                </c:pt>
                <c:pt idx="1168">
                  <c:v>1377826.1763984044</c:v>
                </c:pt>
                <c:pt idx="1169">
                  <c:v>1377826.1763984044</c:v>
                </c:pt>
                <c:pt idx="1170">
                  <c:v>1377826.1763984044</c:v>
                </c:pt>
                <c:pt idx="1171">
                  <c:v>1377826.1763984044</c:v>
                </c:pt>
                <c:pt idx="1172">
                  <c:v>1377826.1763984044</c:v>
                </c:pt>
                <c:pt idx="1173">
                  <c:v>1377826.1763984044</c:v>
                </c:pt>
                <c:pt idx="1174">
                  <c:v>1377826.1763984044</c:v>
                </c:pt>
                <c:pt idx="1175">
                  <c:v>1377826.1763984044</c:v>
                </c:pt>
                <c:pt idx="1176">
                  <c:v>1377826.1763984044</c:v>
                </c:pt>
                <c:pt idx="1177">
                  <c:v>1377826.1763984044</c:v>
                </c:pt>
                <c:pt idx="1178">
                  <c:v>1377826.1763984044</c:v>
                </c:pt>
                <c:pt idx="1179">
                  <c:v>1377826.1763984044</c:v>
                </c:pt>
                <c:pt idx="1180">
                  <c:v>1377826.1763984044</c:v>
                </c:pt>
                <c:pt idx="1181">
                  <c:v>1377826.1763984044</c:v>
                </c:pt>
                <c:pt idx="1182">
                  <c:v>1377826.1763984044</c:v>
                </c:pt>
                <c:pt idx="1183">
                  <c:v>1377826.1763984044</c:v>
                </c:pt>
                <c:pt idx="1184">
                  <c:v>1377826.1763984044</c:v>
                </c:pt>
                <c:pt idx="1185">
                  <c:v>1377826.1763984044</c:v>
                </c:pt>
                <c:pt idx="1186">
                  <c:v>1377826.1763984044</c:v>
                </c:pt>
                <c:pt idx="1187">
                  <c:v>1377826.1763984044</c:v>
                </c:pt>
                <c:pt idx="1188">
                  <c:v>1377826.1763984044</c:v>
                </c:pt>
                <c:pt idx="1189">
                  <c:v>1377826.1763984044</c:v>
                </c:pt>
                <c:pt idx="1190">
                  <c:v>1377826.1763984044</c:v>
                </c:pt>
                <c:pt idx="1191">
                  <c:v>1377826.1763984044</c:v>
                </c:pt>
                <c:pt idx="1192">
                  <c:v>1377826.1763984044</c:v>
                </c:pt>
                <c:pt idx="1193">
                  <c:v>1377826.1763984044</c:v>
                </c:pt>
                <c:pt idx="1194">
                  <c:v>1377826.1763984044</c:v>
                </c:pt>
                <c:pt idx="1195">
                  <c:v>1377826.1763984044</c:v>
                </c:pt>
                <c:pt idx="1196">
                  <c:v>1377826.1763984044</c:v>
                </c:pt>
                <c:pt idx="1197">
                  <c:v>1377826.1763984044</c:v>
                </c:pt>
                <c:pt idx="1198">
                  <c:v>1377826.1763984044</c:v>
                </c:pt>
                <c:pt idx="1199">
                  <c:v>1377826.1763984044</c:v>
                </c:pt>
                <c:pt idx="1200">
                  <c:v>1377826.1763984044</c:v>
                </c:pt>
                <c:pt idx="1201">
                  <c:v>1377826.1763984044</c:v>
                </c:pt>
                <c:pt idx="1202">
                  <c:v>1377826.1763984044</c:v>
                </c:pt>
                <c:pt idx="1203">
                  <c:v>1377826.1763984044</c:v>
                </c:pt>
                <c:pt idx="1204">
                  <c:v>1377826.1763984044</c:v>
                </c:pt>
                <c:pt idx="1205">
                  <c:v>1377826.1763984044</c:v>
                </c:pt>
                <c:pt idx="1206">
                  <c:v>1377826.1763984044</c:v>
                </c:pt>
                <c:pt idx="1207">
                  <c:v>1377826.1763984044</c:v>
                </c:pt>
                <c:pt idx="1208">
                  <c:v>1377826.1763984044</c:v>
                </c:pt>
                <c:pt idx="1209">
                  <c:v>1377826.1763984044</c:v>
                </c:pt>
                <c:pt idx="1210">
                  <c:v>1377826.1763984044</c:v>
                </c:pt>
                <c:pt idx="1211">
                  <c:v>1377826.1763984044</c:v>
                </c:pt>
                <c:pt idx="1212">
                  <c:v>1377826.1763984044</c:v>
                </c:pt>
                <c:pt idx="1213">
                  <c:v>1377826.1763984044</c:v>
                </c:pt>
                <c:pt idx="1214">
                  <c:v>1377826.1763984044</c:v>
                </c:pt>
                <c:pt idx="1215">
                  <c:v>1377826.1763984044</c:v>
                </c:pt>
                <c:pt idx="1216">
                  <c:v>1377826.1763984044</c:v>
                </c:pt>
                <c:pt idx="1217">
                  <c:v>1377826.1763984044</c:v>
                </c:pt>
                <c:pt idx="1218">
                  <c:v>1377826.1763984044</c:v>
                </c:pt>
                <c:pt idx="1219">
                  <c:v>1377826.1763984044</c:v>
                </c:pt>
                <c:pt idx="1220">
                  <c:v>1377826.1763984044</c:v>
                </c:pt>
                <c:pt idx="1221">
                  <c:v>1377826.1763984044</c:v>
                </c:pt>
                <c:pt idx="1222">
                  <c:v>1377826.1763984044</c:v>
                </c:pt>
                <c:pt idx="1223">
                  <c:v>1377826.1763984044</c:v>
                </c:pt>
                <c:pt idx="1224">
                  <c:v>1377826.1763984044</c:v>
                </c:pt>
                <c:pt idx="1225">
                  <c:v>1377826.1763984044</c:v>
                </c:pt>
                <c:pt idx="1226">
                  <c:v>1377826.1763984044</c:v>
                </c:pt>
                <c:pt idx="1227">
                  <c:v>1377826.1763984044</c:v>
                </c:pt>
                <c:pt idx="1228">
                  <c:v>1377826.1763984044</c:v>
                </c:pt>
                <c:pt idx="1229">
                  <c:v>1377826.1763984044</c:v>
                </c:pt>
                <c:pt idx="1230">
                  <c:v>1377826.1763984044</c:v>
                </c:pt>
                <c:pt idx="1231">
                  <c:v>1377826.1763984044</c:v>
                </c:pt>
                <c:pt idx="1232">
                  <c:v>1377826.1763984044</c:v>
                </c:pt>
                <c:pt idx="1233">
                  <c:v>1377826.1763984044</c:v>
                </c:pt>
                <c:pt idx="1234">
                  <c:v>1377826.1763984044</c:v>
                </c:pt>
                <c:pt idx="1235">
                  <c:v>1377826.1763984044</c:v>
                </c:pt>
                <c:pt idx="1236">
                  <c:v>1377826.1763984044</c:v>
                </c:pt>
                <c:pt idx="1237">
                  <c:v>1377826.1763984044</c:v>
                </c:pt>
                <c:pt idx="1238">
                  <c:v>1377826.1763984044</c:v>
                </c:pt>
                <c:pt idx="1239">
                  <c:v>1377826.1763984044</c:v>
                </c:pt>
                <c:pt idx="1240">
                  <c:v>1377826.1763984044</c:v>
                </c:pt>
                <c:pt idx="1241">
                  <c:v>1377826.1763984044</c:v>
                </c:pt>
                <c:pt idx="1242">
                  <c:v>1377826.1763984044</c:v>
                </c:pt>
                <c:pt idx="1243">
                  <c:v>1377826.1763984044</c:v>
                </c:pt>
                <c:pt idx="1244">
                  <c:v>1377826.1763984044</c:v>
                </c:pt>
                <c:pt idx="1245">
                  <c:v>1377826.1763984044</c:v>
                </c:pt>
                <c:pt idx="1246">
                  <c:v>1377826.1763984044</c:v>
                </c:pt>
                <c:pt idx="1247">
                  <c:v>1377826.1763984044</c:v>
                </c:pt>
                <c:pt idx="1248">
                  <c:v>1377826.1763984044</c:v>
                </c:pt>
                <c:pt idx="1249">
                  <c:v>1377826.1763984044</c:v>
                </c:pt>
                <c:pt idx="1250">
                  <c:v>1377826.1763984044</c:v>
                </c:pt>
                <c:pt idx="1251">
                  <c:v>1377826.1763984044</c:v>
                </c:pt>
                <c:pt idx="1252">
                  <c:v>1377826.1763984044</c:v>
                </c:pt>
                <c:pt idx="1253">
                  <c:v>1377826.1763984044</c:v>
                </c:pt>
                <c:pt idx="1254">
                  <c:v>1377826.1763984044</c:v>
                </c:pt>
                <c:pt idx="1255">
                  <c:v>1377826.1763984044</c:v>
                </c:pt>
                <c:pt idx="1256">
                  <c:v>1377826.1763984044</c:v>
                </c:pt>
                <c:pt idx="1257">
                  <c:v>1377826.1763984044</c:v>
                </c:pt>
                <c:pt idx="1258">
                  <c:v>1377826.1763984044</c:v>
                </c:pt>
                <c:pt idx="1259">
                  <c:v>1377826.1763984044</c:v>
                </c:pt>
                <c:pt idx="1260">
                  <c:v>1377826.1763984044</c:v>
                </c:pt>
                <c:pt idx="1261">
                  <c:v>1377826.1763984044</c:v>
                </c:pt>
                <c:pt idx="1262">
                  <c:v>1377826.1763984044</c:v>
                </c:pt>
                <c:pt idx="1263">
                  <c:v>1377826.1763984044</c:v>
                </c:pt>
                <c:pt idx="1264">
                  <c:v>1377826.1763984044</c:v>
                </c:pt>
                <c:pt idx="1265">
                  <c:v>1377826.1763984044</c:v>
                </c:pt>
                <c:pt idx="1266">
                  <c:v>1377826.1763984044</c:v>
                </c:pt>
                <c:pt idx="1267">
                  <c:v>1377826.1763984044</c:v>
                </c:pt>
                <c:pt idx="1268">
                  <c:v>1377826.1763984044</c:v>
                </c:pt>
                <c:pt idx="1269">
                  <c:v>1377826.1763984044</c:v>
                </c:pt>
                <c:pt idx="1270">
                  <c:v>1377826.1763984044</c:v>
                </c:pt>
                <c:pt idx="1271">
                  <c:v>1377826.1763984044</c:v>
                </c:pt>
                <c:pt idx="1272">
                  <c:v>1377826.1763984044</c:v>
                </c:pt>
                <c:pt idx="1273">
                  <c:v>1377826.1763984044</c:v>
                </c:pt>
                <c:pt idx="1274">
                  <c:v>1377826.1763984044</c:v>
                </c:pt>
                <c:pt idx="1275">
                  <c:v>1377826.1763984044</c:v>
                </c:pt>
                <c:pt idx="1276">
                  <c:v>1377826.1763984044</c:v>
                </c:pt>
                <c:pt idx="1277">
                  <c:v>1377826.1763984044</c:v>
                </c:pt>
                <c:pt idx="1278">
                  <c:v>1377826.1763984044</c:v>
                </c:pt>
                <c:pt idx="1279">
                  <c:v>1377826.1763984044</c:v>
                </c:pt>
                <c:pt idx="1280">
                  <c:v>1377826.1763984044</c:v>
                </c:pt>
                <c:pt idx="1281">
                  <c:v>1377826.1763984044</c:v>
                </c:pt>
                <c:pt idx="1282">
                  <c:v>1377826.1763984044</c:v>
                </c:pt>
                <c:pt idx="1283">
                  <c:v>1377826.1763984044</c:v>
                </c:pt>
                <c:pt idx="1284">
                  <c:v>1377826.1763984044</c:v>
                </c:pt>
                <c:pt idx="1285">
                  <c:v>1377826.1763984044</c:v>
                </c:pt>
                <c:pt idx="1286">
                  <c:v>1377826.1763984044</c:v>
                </c:pt>
                <c:pt idx="1287">
                  <c:v>1377826.1763984044</c:v>
                </c:pt>
                <c:pt idx="1288">
                  <c:v>1377826.1763984044</c:v>
                </c:pt>
                <c:pt idx="1289">
                  <c:v>1377826.1763984044</c:v>
                </c:pt>
                <c:pt idx="1290">
                  <c:v>1377826.1763984044</c:v>
                </c:pt>
                <c:pt idx="1291">
                  <c:v>1377826.1763984044</c:v>
                </c:pt>
                <c:pt idx="1292">
                  <c:v>1377826.1763984044</c:v>
                </c:pt>
                <c:pt idx="1293">
                  <c:v>1377826.1763984044</c:v>
                </c:pt>
                <c:pt idx="1294">
                  <c:v>1377826.1763984044</c:v>
                </c:pt>
                <c:pt idx="1295">
                  <c:v>1377826.1763984044</c:v>
                </c:pt>
                <c:pt idx="1296">
                  <c:v>1377826.1763984044</c:v>
                </c:pt>
                <c:pt idx="1297">
                  <c:v>1377826.1763984044</c:v>
                </c:pt>
                <c:pt idx="1298">
                  <c:v>1377826.1763984044</c:v>
                </c:pt>
                <c:pt idx="1299">
                  <c:v>1377826.1763984044</c:v>
                </c:pt>
                <c:pt idx="1300">
                  <c:v>1377826.1763984044</c:v>
                </c:pt>
                <c:pt idx="1301">
                  <c:v>1377826.1763984044</c:v>
                </c:pt>
                <c:pt idx="1302">
                  <c:v>1377826.1763984044</c:v>
                </c:pt>
                <c:pt idx="1303">
                  <c:v>1377826.1763984044</c:v>
                </c:pt>
                <c:pt idx="1304">
                  <c:v>1377826.1763984044</c:v>
                </c:pt>
                <c:pt idx="1305">
                  <c:v>1377826.1763984044</c:v>
                </c:pt>
                <c:pt idx="1306">
                  <c:v>1377826.1763984044</c:v>
                </c:pt>
                <c:pt idx="1307">
                  <c:v>1377826.1763984044</c:v>
                </c:pt>
                <c:pt idx="1308">
                  <c:v>1377826.1763984044</c:v>
                </c:pt>
                <c:pt idx="1309">
                  <c:v>1377826.1763984044</c:v>
                </c:pt>
                <c:pt idx="1310">
                  <c:v>1377826.1763984044</c:v>
                </c:pt>
                <c:pt idx="1311">
                  <c:v>1377826.1763984044</c:v>
                </c:pt>
                <c:pt idx="1312">
                  <c:v>1377826.1763984044</c:v>
                </c:pt>
                <c:pt idx="1313">
                  <c:v>1377826.1763984044</c:v>
                </c:pt>
                <c:pt idx="1314">
                  <c:v>1377826.1763984044</c:v>
                </c:pt>
                <c:pt idx="1315">
                  <c:v>1377826.1763984044</c:v>
                </c:pt>
                <c:pt idx="1316">
                  <c:v>1377826.1763984044</c:v>
                </c:pt>
                <c:pt idx="1317">
                  <c:v>1377826.1763984044</c:v>
                </c:pt>
                <c:pt idx="1318">
                  <c:v>1377826.1763984044</c:v>
                </c:pt>
                <c:pt idx="1319">
                  <c:v>1377826.1763984044</c:v>
                </c:pt>
                <c:pt idx="1320">
                  <c:v>1377826.1763984044</c:v>
                </c:pt>
                <c:pt idx="1321">
                  <c:v>1377826.1763984044</c:v>
                </c:pt>
                <c:pt idx="1322">
                  <c:v>1377826.1763984044</c:v>
                </c:pt>
                <c:pt idx="1323">
                  <c:v>1377826.1763984044</c:v>
                </c:pt>
                <c:pt idx="1324">
                  <c:v>1377826.1763984044</c:v>
                </c:pt>
                <c:pt idx="1325">
                  <c:v>1377826.1763984044</c:v>
                </c:pt>
                <c:pt idx="1326">
                  <c:v>1377826.1763984044</c:v>
                </c:pt>
                <c:pt idx="1327">
                  <c:v>1377826.1763984044</c:v>
                </c:pt>
                <c:pt idx="1328">
                  <c:v>1377826.1763984044</c:v>
                </c:pt>
                <c:pt idx="1329">
                  <c:v>1377826.1763984044</c:v>
                </c:pt>
                <c:pt idx="1330">
                  <c:v>1377826.1763984044</c:v>
                </c:pt>
                <c:pt idx="1331">
                  <c:v>1377826.1763984044</c:v>
                </c:pt>
                <c:pt idx="1332">
                  <c:v>1377826.1763984044</c:v>
                </c:pt>
                <c:pt idx="1333">
                  <c:v>1377826.1763984044</c:v>
                </c:pt>
                <c:pt idx="1334">
                  <c:v>1377826.1763984044</c:v>
                </c:pt>
                <c:pt idx="1335">
                  <c:v>1377826.1763984044</c:v>
                </c:pt>
                <c:pt idx="1336">
                  <c:v>1377826.1763984044</c:v>
                </c:pt>
                <c:pt idx="1337">
                  <c:v>1377826.1763984044</c:v>
                </c:pt>
                <c:pt idx="1338">
                  <c:v>1377826.1763984044</c:v>
                </c:pt>
                <c:pt idx="1339">
                  <c:v>1377826.1763984044</c:v>
                </c:pt>
                <c:pt idx="1340">
                  <c:v>1377826.1763984044</c:v>
                </c:pt>
                <c:pt idx="1341">
                  <c:v>1377826.1763984044</c:v>
                </c:pt>
                <c:pt idx="1342">
                  <c:v>1377826.1763984044</c:v>
                </c:pt>
                <c:pt idx="1343">
                  <c:v>1377826.1763984044</c:v>
                </c:pt>
                <c:pt idx="1344">
                  <c:v>1377826.1763984044</c:v>
                </c:pt>
                <c:pt idx="1345">
                  <c:v>1377826.1763984044</c:v>
                </c:pt>
                <c:pt idx="1346">
                  <c:v>1377826.1763984044</c:v>
                </c:pt>
                <c:pt idx="1347">
                  <c:v>1377826.1763984044</c:v>
                </c:pt>
                <c:pt idx="1348">
                  <c:v>1377826.1763984044</c:v>
                </c:pt>
                <c:pt idx="1349">
                  <c:v>1377826.1763984044</c:v>
                </c:pt>
                <c:pt idx="1350">
                  <c:v>1377826.1763984044</c:v>
                </c:pt>
                <c:pt idx="1351">
                  <c:v>1377826.1763984044</c:v>
                </c:pt>
                <c:pt idx="1352">
                  <c:v>1377826.1763984044</c:v>
                </c:pt>
                <c:pt idx="1353">
                  <c:v>1377826.1763984044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-138000</c:v>
                </c:pt>
                <c:pt idx="16">
                  <c:v>-138000</c:v>
                </c:pt>
                <c:pt idx="17">
                  <c:v>-138023.79999999999</c:v>
                </c:pt>
                <c:pt idx="18">
                  <c:v>-139687.9</c:v>
                </c:pt>
                <c:pt idx="19">
                  <c:v>-139687.9</c:v>
                </c:pt>
                <c:pt idx="20">
                  <c:v>42844.099999999977</c:v>
                </c:pt>
                <c:pt idx="21">
                  <c:v>41483.899999999965</c:v>
                </c:pt>
                <c:pt idx="22">
                  <c:v>-118147.87042606797</c:v>
                </c:pt>
                <c:pt idx="23">
                  <c:v>-206916.10000000009</c:v>
                </c:pt>
                <c:pt idx="24">
                  <c:v>-206916.10000000009</c:v>
                </c:pt>
                <c:pt idx="25">
                  <c:v>-250396.8600000001</c:v>
                </c:pt>
                <c:pt idx="26">
                  <c:v>-303181.44000000006</c:v>
                </c:pt>
                <c:pt idx="27">
                  <c:v>-303181.44000000006</c:v>
                </c:pt>
                <c:pt idx="28">
                  <c:v>-303181.44000000006</c:v>
                </c:pt>
                <c:pt idx="29">
                  <c:v>-513850.43319920229</c:v>
                </c:pt>
                <c:pt idx="30">
                  <c:v>-514050.35319920222</c:v>
                </c:pt>
                <c:pt idx="31">
                  <c:v>-514050.35319920222</c:v>
                </c:pt>
                <c:pt idx="32">
                  <c:v>-534775.35319920222</c:v>
                </c:pt>
                <c:pt idx="33">
                  <c:v>629010.61360159563</c:v>
                </c:pt>
                <c:pt idx="34">
                  <c:v>622760.61360159563</c:v>
                </c:pt>
                <c:pt idx="35">
                  <c:v>622760.61360159563</c:v>
                </c:pt>
                <c:pt idx="36">
                  <c:v>622760.61360159563</c:v>
                </c:pt>
                <c:pt idx="37">
                  <c:v>622760.61360159563</c:v>
                </c:pt>
                <c:pt idx="38">
                  <c:v>663588.9436015957</c:v>
                </c:pt>
                <c:pt idx="39">
                  <c:v>663588.9436015957</c:v>
                </c:pt>
                <c:pt idx="40">
                  <c:v>663588.9436015957</c:v>
                </c:pt>
                <c:pt idx="41">
                  <c:v>663588.9436015957</c:v>
                </c:pt>
                <c:pt idx="42">
                  <c:v>663588.9436015957</c:v>
                </c:pt>
                <c:pt idx="43">
                  <c:v>663588.9436015957</c:v>
                </c:pt>
                <c:pt idx="44">
                  <c:v>663588.9436015957</c:v>
                </c:pt>
                <c:pt idx="45">
                  <c:v>663588.9436015957</c:v>
                </c:pt>
                <c:pt idx="46">
                  <c:v>663588.9436015957</c:v>
                </c:pt>
                <c:pt idx="47">
                  <c:v>663588.9436015957</c:v>
                </c:pt>
                <c:pt idx="48">
                  <c:v>663588.9436015957</c:v>
                </c:pt>
                <c:pt idx="49">
                  <c:v>663588.9436015957</c:v>
                </c:pt>
                <c:pt idx="50">
                  <c:v>663588.9436015957</c:v>
                </c:pt>
                <c:pt idx="51">
                  <c:v>663588.9436015957</c:v>
                </c:pt>
                <c:pt idx="52">
                  <c:v>663588.9436015957</c:v>
                </c:pt>
                <c:pt idx="53">
                  <c:v>663588.9436015957</c:v>
                </c:pt>
                <c:pt idx="54">
                  <c:v>663588.9436015957</c:v>
                </c:pt>
                <c:pt idx="55">
                  <c:v>663588.9436015957</c:v>
                </c:pt>
                <c:pt idx="56">
                  <c:v>663588.9436015957</c:v>
                </c:pt>
                <c:pt idx="57">
                  <c:v>663588.9436015957</c:v>
                </c:pt>
                <c:pt idx="58">
                  <c:v>663588.9436015957</c:v>
                </c:pt>
                <c:pt idx="59">
                  <c:v>663588.9436015957</c:v>
                </c:pt>
                <c:pt idx="60">
                  <c:v>663588.9436015957</c:v>
                </c:pt>
                <c:pt idx="61">
                  <c:v>663588.9436015957</c:v>
                </c:pt>
                <c:pt idx="62">
                  <c:v>663588.9436015957</c:v>
                </c:pt>
                <c:pt idx="63">
                  <c:v>663588.9436015957</c:v>
                </c:pt>
                <c:pt idx="64">
                  <c:v>663588.9436015957</c:v>
                </c:pt>
                <c:pt idx="65">
                  <c:v>663588.9436015957</c:v>
                </c:pt>
                <c:pt idx="66">
                  <c:v>663588.9436015957</c:v>
                </c:pt>
                <c:pt idx="67">
                  <c:v>663588.9436015957</c:v>
                </c:pt>
                <c:pt idx="68">
                  <c:v>663588.9436015957</c:v>
                </c:pt>
                <c:pt idx="69">
                  <c:v>663588.9436015957</c:v>
                </c:pt>
                <c:pt idx="70">
                  <c:v>663588.9436015957</c:v>
                </c:pt>
                <c:pt idx="71">
                  <c:v>663588.9436015957</c:v>
                </c:pt>
                <c:pt idx="72">
                  <c:v>663588.9436015957</c:v>
                </c:pt>
                <c:pt idx="73">
                  <c:v>663588.9436015957</c:v>
                </c:pt>
                <c:pt idx="74">
                  <c:v>663588.9436015957</c:v>
                </c:pt>
                <c:pt idx="75">
                  <c:v>663588.9436015957</c:v>
                </c:pt>
                <c:pt idx="76">
                  <c:v>663588.9436015957</c:v>
                </c:pt>
                <c:pt idx="77">
                  <c:v>663588.9436015957</c:v>
                </c:pt>
                <c:pt idx="78">
                  <c:v>663588.9436015957</c:v>
                </c:pt>
                <c:pt idx="79">
                  <c:v>663588.9436015957</c:v>
                </c:pt>
                <c:pt idx="80">
                  <c:v>663588.9436015957</c:v>
                </c:pt>
                <c:pt idx="81">
                  <c:v>663588.9436015957</c:v>
                </c:pt>
                <c:pt idx="82">
                  <c:v>663588.9436015957</c:v>
                </c:pt>
                <c:pt idx="83">
                  <c:v>663588.9436015957</c:v>
                </c:pt>
                <c:pt idx="84">
                  <c:v>663588.9436015957</c:v>
                </c:pt>
                <c:pt idx="85">
                  <c:v>663588.9436015957</c:v>
                </c:pt>
                <c:pt idx="86">
                  <c:v>663588.9436015957</c:v>
                </c:pt>
                <c:pt idx="87">
                  <c:v>663588.9436015957</c:v>
                </c:pt>
                <c:pt idx="88">
                  <c:v>663588.9436015957</c:v>
                </c:pt>
                <c:pt idx="89">
                  <c:v>663588.9436015957</c:v>
                </c:pt>
                <c:pt idx="90">
                  <c:v>663588.9436015957</c:v>
                </c:pt>
                <c:pt idx="91">
                  <c:v>663588.9436015957</c:v>
                </c:pt>
                <c:pt idx="92">
                  <c:v>663588.9436015957</c:v>
                </c:pt>
                <c:pt idx="93">
                  <c:v>663588.9436015957</c:v>
                </c:pt>
                <c:pt idx="94">
                  <c:v>663588.9436015957</c:v>
                </c:pt>
                <c:pt idx="95">
                  <c:v>663588.9436015957</c:v>
                </c:pt>
                <c:pt idx="96">
                  <c:v>663588.9436015957</c:v>
                </c:pt>
                <c:pt idx="97">
                  <c:v>663588.9436015957</c:v>
                </c:pt>
                <c:pt idx="98">
                  <c:v>663588.9436015957</c:v>
                </c:pt>
                <c:pt idx="99">
                  <c:v>663588.9436015957</c:v>
                </c:pt>
                <c:pt idx="100">
                  <c:v>663588.9436015957</c:v>
                </c:pt>
                <c:pt idx="101">
                  <c:v>663588.9436015957</c:v>
                </c:pt>
                <c:pt idx="102">
                  <c:v>663588.9436015957</c:v>
                </c:pt>
                <c:pt idx="103">
                  <c:v>663588.9436015957</c:v>
                </c:pt>
                <c:pt idx="104">
                  <c:v>663588.9436015957</c:v>
                </c:pt>
                <c:pt idx="105">
                  <c:v>663588.9436015957</c:v>
                </c:pt>
                <c:pt idx="106">
                  <c:v>663588.9436015957</c:v>
                </c:pt>
                <c:pt idx="107">
                  <c:v>663588.9436015957</c:v>
                </c:pt>
                <c:pt idx="108">
                  <c:v>663588.9436015957</c:v>
                </c:pt>
                <c:pt idx="109">
                  <c:v>663588.9436015957</c:v>
                </c:pt>
                <c:pt idx="110">
                  <c:v>663588.9436015957</c:v>
                </c:pt>
                <c:pt idx="111">
                  <c:v>663588.9436015957</c:v>
                </c:pt>
                <c:pt idx="112">
                  <c:v>663588.9436015957</c:v>
                </c:pt>
                <c:pt idx="113">
                  <c:v>663588.9436015957</c:v>
                </c:pt>
                <c:pt idx="114">
                  <c:v>663588.9436015957</c:v>
                </c:pt>
                <c:pt idx="115">
                  <c:v>663588.9436015957</c:v>
                </c:pt>
                <c:pt idx="116">
                  <c:v>663588.9436015957</c:v>
                </c:pt>
                <c:pt idx="117">
                  <c:v>663588.9436015957</c:v>
                </c:pt>
                <c:pt idx="118">
                  <c:v>663588.9436015957</c:v>
                </c:pt>
                <c:pt idx="119">
                  <c:v>663588.9436015957</c:v>
                </c:pt>
                <c:pt idx="120">
                  <c:v>663588.9436015957</c:v>
                </c:pt>
                <c:pt idx="121">
                  <c:v>663588.9436015957</c:v>
                </c:pt>
                <c:pt idx="122">
                  <c:v>663588.9436015957</c:v>
                </c:pt>
                <c:pt idx="123">
                  <c:v>663588.9436015957</c:v>
                </c:pt>
                <c:pt idx="124">
                  <c:v>663588.9436015957</c:v>
                </c:pt>
                <c:pt idx="125">
                  <c:v>663588.9436015957</c:v>
                </c:pt>
                <c:pt idx="126">
                  <c:v>663588.9436015957</c:v>
                </c:pt>
                <c:pt idx="127">
                  <c:v>663588.9436015957</c:v>
                </c:pt>
                <c:pt idx="128">
                  <c:v>663588.9436015957</c:v>
                </c:pt>
                <c:pt idx="129">
                  <c:v>663588.9436015957</c:v>
                </c:pt>
                <c:pt idx="130">
                  <c:v>663588.9436015957</c:v>
                </c:pt>
                <c:pt idx="131">
                  <c:v>663588.9436015957</c:v>
                </c:pt>
                <c:pt idx="132">
                  <c:v>663588.9436015957</c:v>
                </c:pt>
                <c:pt idx="133">
                  <c:v>663588.9436015957</c:v>
                </c:pt>
                <c:pt idx="134">
                  <c:v>663588.9436015957</c:v>
                </c:pt>
                <c:pt idx="135">
                  <c:v>663588.9436015957</c:v>
                </c:pt>
                <c:pt idx="136">
                  <c:v>663588.9436015957</c:v>
                </c:pt>
                <c:pt idx="137">
                  <c:v>663588.9436015957</c:v>
                </c:pt>
                <c:pt idx="138">
                  <c:v>663588.9436015957</c:v>
                </c:pt>
                <c:pt idx="139">
                  <c:v>663588.9436015957</c:v>
                </c:pt>
                <c:pt idx="140">
                  <c:v>663588.9436015957</c:v>
                </c:pt>
                <c:pt idx="141">
                  <c:v>663588.9436015957</c:v>
                </c:pt>
                <c:pt idx="142">
                  <c:v>663588.9436015957</c:v>
                </c:pt>
                <c:pt idx="143">
                  <c:v>663588.9436015957</c:v>
                </c:pt>
                <c:pt idx="144">
                  <c:v>663588.9436015957</c:v>
                </c:pt>
                <c:pt idx="145">
                  <c:v>663588.9436015957</c:v>
                </c:pt>
                <c:pt idx="146">
                  <c:v>663588.9436015957</c:v>
                </c:pt>
                <c:pt idx="147">
                  <c:v>663588.9436015957</c:v>
                </c:pt>
                <c:pt idx="148">
                  <c:v>663588.9436015957</c:v>
                </c:pt>
                <c:pt idx="149">
                  <c:v>663588.9436015957</c:v>
                </c:pt>
                <c:pt idx="150">
                  <c:v>663588.9436015957</c:v>
                </c:pt>
                <c:pt idx="151">
                  <c:v>663588.9436015957</c:v>
                </c:pt>
                <c:pt idx="152">
                  <c:v>663588.9436015957</c:v>
                </c:pt>
                <c:pt idx="153">
                  <c:v>663588.9436015957</c:v>
                </c:pt>
                <c:pt idx="154">
                  <c:v>663588.9436015957</c:v>
                </c:pt>
                <c:pt idx="155">
                  <c:v>663588.9436015957</c:v>
                </c:pt>
                <c:pt idx="156">
                  <c:v>663588.9436015957</c:v>
                </c:pt>
                <c:pt idx="157">
                  <c:v>663588.9436015957</c:v>
                </c:pt>
                <c:pt idx="158">
                  <c:v>663588.9436015957</c:v>
                </c:pt>
                <c:pt idx="159">
                  <c:v>663588.9436015957</c:v>
                </c:pt>
                <c:pt idx="160">
                  <c:v>663588.9436015957</c:v>
                </c:pt>
                <c:pt idx="161">
                  <c:v>663588.9436015957</c:v>
                </c:pt>
                <c:pt idx="162">
                  <c:v>663588.9436015957</c:v>
                </c:pt>
                <c:pt idx="163">
                  <c:v>663588.9436015957</c:v>
                </c:pt>
                <c:pt idx="164">
                  <c:v>663588.9436015957</c:v>
                </c:pt>
                <c:pt idx="165">
                  <c:v>663588.9436015957</c:v>
                </c:pt>
                <c:pt idx="166">
                  <c:v>663588.9436015957</c:v>
                </c:pt>
                <c:pt idx="167">
                  <c:v>663588.9436015957</c:v>
                </c:pt>
                <c:pt idx="168">
                  <c:v>663588.9436015957</c:v>
                </c:pt>
                <c:pt idx="169">
                  <c:v>663588.9436015957</c:v>
                </c:pt>
                <c:pt idx="170">
                  <c:v>663588.9436015957</c:v>
                </c:pt>
                <c:pt idx="171">
                  <c:v>663588.9436015957</c:v>
                </c:pt>
                <c:pt idx="172">
                  <c:v>663588.9436015957</c:v>
                </c:pt>
                <c:pt idx="173">
                  <c:v>663588.9436015957</c:v>
                </c:pt>
                <c:pt idx="174">
                  <c:v>663588.9436015957</c:v>
                </c:pt>
                <c:pt idx="175">
                  <c:v>663588.9436015957</c:v>
                </c:pt>
                <c:pt idx="176">
                  <c:v>663588.9436015957</c:v>
                </c:pt>
                <c:pt idx="177">
                  <c:v>663588.9436015957</c:v>
                </c:pt>
                <c:pt idx="178">
                  <c:v>663588.9436015957</c:v>
                </c:pt>
                <c:pt idx="179">
                  <c:v>663588.9436015957</c:v>
                </c:pt>
                <c:pt idx="180">
                  <c:v>663588.9436015957</c:v>
                </c:pt>
                <c:pt idx="181">
                  <c:v>663588.9436015957</c:v>
                </c:pt>
                <c:pt idx="182">
                  <c:v>663588.9436015957</c:v>
                </c:pt>
                <c:pt idx="183">
                  <c:v>663588.9436015957</c:v>
                </c:pt>
                <c:pt idx="184">
                  <c:v>663588.9436015957</c:v>
                </c:pt>
                <c:pt idx="185">
                  <c:v>663588.9436015957</c:v>
                </c:pt>
                <c:pt idx="186">
                  <c:v>663588.9436015957</c:v>
                </c:pt>
                <c:pt idx="187">
                  <c:v>663588.9436015957</c:v>
                </c:pt>
                <c:pt idx="188">
                  <c:v>663588.9436015957</c:v>
                </c:pt>
                <c:pt idx="189">
                  <c:v>663588.9436015957</c:v>
                </c:pt>
                <c:pt idx="190">
                  <c:v>663588.9436015957</c:v>
                </c:pt>
                <c:pt idx="191">
                  <c:v>663588.9436015957</c:v>
                </c:pt>
                <c:pt idx="192">
                  <c:v>663588.9436015957</c:v>
                </c:pt>
                <c:pt idx="193">
                  <c:v>663588.9436015957</c:v>
                </c:pt>
                <c:pt idx="194">
                  <c:v>663588.9436015957</c:v>
                </c:pt>
                <c:pt idx="195">
                  <c:v>663588.9436015957</c:v>
                </c:pt>
                <c:pt idx="196">
                  <c:v>663588.9436015957</c:v>
                </c:pt>
                <c:pt idx="197">
                  <c:v>663588.9436015957</c:v>
                </c:pt>
                <c:pt idx="198">
                  <c:v>663588.9436015957</c:v>
                </c:pt>
                <c:pt idx="199">
                  <c:v>663588.9436015957</c:v>
                </c:pt>
                <c:pt idx="200">
                  <c:v>663588.9436015957</c:v>
                </c:pt>
                <c:pt idx="201">
                  <c:v>663588.9436015957</c:v>
                </c:pt>
                <c:pt idx="202">
                  <c:v>663588.9436015957</c:v>
                </c:pt>
                <c:pt idx="203">
                  <c:v>663588.9436015957</c:v>
                </c:pt>
                <c:pt idx="204">
                  <c:v>663588.9436015957</c:v>
                </c:pt>
                <c:pt idx="205">
                  <c:v>663588.9436015957</c:v>
                </c:pt>
                <c:pt idx="206">
                  <c:v>663588.9436015957</c:v>
                </c:pt>
                <c:pt idx="207">
                  <c:v>663588.9436015957</c:v>
                </c:pt>
                <c:pt idx="208">
                  <c:v>663588.9436015957</c:v>
                </c:pt>
                <c:pt idx="209">
                  <c:v>663588.9436015957</c:v>
                </c:pt>
                <c:pt idx="210">
                  <c:v>663588.9436015957</c:v>
                </c:pt>
                <c:pt idx="211">
                  <c:v>663588.9436015957</c:v>
                </c:pt>
                <c:pt idx="212">
                  <c:v>663588.9436015957</c:v>
                </c:pt>
                <c:pt idx="213">
                  <c:v>663588.9436015957</c:v>
                </c:pt>
                <c:pt idx="214">
                  <c:v>663588.9436015957</c:v>
                </c:pt>
                <c:pt idx="215">
                  <c:v>663588.9436015957</c:v>
                </c:pt>
                <c:pt idx="216">
                  <c:v>663588.9436015957</c:v>
                </c:pt>
                <c:pt idx="217">
                  <c:v>663588.9436015957</c:v>
                </c:pt>
                <c:pt idx="218">
                  <c:v>663588.9436015957</c:v>
                </c:pt>
                <c:pt idx="219">
                  <c:v>663588.9436015957</c:v>
                </c:pt>
                <c:pt idx="220">
                  <c:v>663588.9436015957</c:v>
                </c:pt>
                <c:pt idx="221">
                  <c:v>663588.9436015957</c:v>
                </c:pt>
                <c:pt idx="222">
                  <c:v>663588.9436015957</c:v>
                </c:pt>
                <c:pt idx="223">
                  <c:v>663588.9436015957</c:v>
                </c:pt>
                <c:pt idx="224">
                  <c:v>663588.9436015957</c:v>
                </c:pt>
                <c:pt idx="225">
                  <c:v>663588.9436015957</c:v>
                </c:pt>
                <c:pt idx="226">
                  <c:v>663588.9436015957</c:v>
                </c:pt>
                <c:pt idx="227">
                  <c:v>663588.9436015957</c:v>
                </c:pt>
                <c:pt idx="228">
                  <c:v>663588.9436015957</c:v>
                </c:pt>
                <c:pt idx="229">
                  <c:v>663588.9436015957</c:v>
                </c:pt>
                <c:pt idx="230">
                  <c:v>663588.9436015957</c:v>
                </c:pt>
                <c:pt idx="231">
                  <c:v>663588.9436015957</c:v>
                </c:pt>
                <c:pt idx="232">
                  <c:v>663588.9436015957</c:v>
                </c:pt>
                <c:pt idx="233">
                  <c:v>663588.9436015957</c:v>
                </c:pt>
                <c:pt idx="234">
                  <c:v>663588.9436015957</c:v>
                </c:pt>
                <c:pt idx="235">
                  <c:v>663588.9436015957</c:v>
                </c:pt>
                <c:pt idx="236">
                  <c:v>663588.9436015957</c:v>
                </c:pt>
                <c:pt idx="237">
                  <c:v>663588.9436015957</c:v>
                </c:pt>
                <c:pt idx="238">
                  <c:v>663588.9436015957</c:v>
                </c:pt>
                <c:pt idx="239">
                  <c:v>663588.9436015957</c:v>
                </c:pt>
                <c:pt idx="240">
                  <c:v>663588.9436015957</c:v>
                </c:pt>
                <c:pt idx="241">
                  <c:v>663588.9436015957</c:v>
                </c:pt>
                <c:pt idx="242">
                  <c:v>663588.9436015957</c:v>
                </c:pt>
                <c:pt idx="243">
                  <c:v>663588.9436015957</c:v>
                </c:pt>
                <c:pt idx="244">
                  <c:v>663588.9436015957</c:v>
                </c:pt>
                <c:pt idx="245">
                  <c:v>663588.9436015957</c:v>
                </c:pt>
                <c:pt idx="246">
                  <c:v>663588.9436015957</c:v>
                </c:pt>
                <c:pt idx="247">
                  <c:v>663588.9436015957</c:v>
                </c:pt>
                <c:pt idx="248">
                  <c:v>663588.9436015957</c:v>
                </c:pt>
                <c:pt idx="249">
                  <c:v>663588.9436015957</c:v>
                </c:pt>
                <c:pt idx="250">
                  <c:v>663588.9436015957</c:v>
                </c:pt>
                <c:pt idx="251">
                  <c:v>663588.9436015957</c:v>
                </c:pt>
                <c:pt idx="252">
                  <c:v>663588.9436015957</c:v>
                </c:pt>
                <c:pt idx="253">
                  <c:v>663588.9436015957</c:v>
                </c:pt>
                <c:pt idx="254">
                  <c:v>663588.9436015957</c:v>
                </c:pt>
                <c:pt idx="255">
                  <c:v>663588.9436015957</c:v>
                </c:pt>
                <c:pt idx="256">
                  <c:v>663588.9436015957</c:v>
                </c:pt>
                <c:pt idx="257">
                  <c:v>663588.9436015957</c:v>
                </c:pt>
                <c:pt idx="258">
                  <c:v>663588.9436015957</c:v>
                </c:pt>
                <c:pt idx="259">
                  <c:v>663588.9436015957</c:v>
                </c:pt>
                <c:pt idx="260">
                  <c:v>663588.9436015957</c:v>
                </c:pt>
                <c:pt idx="261">
                  <c:v>663588.9436015957</c:v>
                </c:pt>
                <c:pt idx="262">
                  <c:v>663588.9436015957</c:v>
                </c:pt>
                <c:pt idx="263">
                  <c:v>663588.9436015957</c:v>
                </c:pt>
                <c:pt idx="264">
                  <c:v>663588.9436015957</c:v>
                </c:pt>
                <c:pt idx="265">
                  <c:v>663588.9436015957</c:v>
                </c:pt>
                <c:pt idx="266">
                  <c:v>663588.9436015957</c:v>
                </c:pt>
                <c:pt idx="267">
                  <c:v>663588.9436015957</c:v>
                </c:pt>
                <c:pt idx="268">
                  <c:v>663588.9436015957</c:v>
                </c:pt>
                <c:pt idx="269">
                  <c:v>663588.9436015957</c:v>
                </c:pt>
                <c:pt idx="270">
                  <c:v>663588.9436015957</c:v>
                </c:pt>
                <c:pt idx="271">
                  <c:v>663588.9436015957</c:v>
                </c:pt>
                <c:pt idx="272">
                  <c:v>663588.9436015957</c:v>
                </c:pt>
                <c:pt idx="273">
                  <c:v>663588.9436015957</c:v>
                </c:pt>
                <c:pt idx="274">
                  <c:v>663588.9436015957</c:v>
                </c:pt>
                <c:pt idx="275">
                  <c:v>663588.9436015957</c:v>
                </c:pt>
                <c:pt idx="276">
                  <c:v>663588.9436015957</c:v>
                </c:pt>
                <c:pt idx="277">
                  <c:v>663588.9436015957</c:v>
                </c:pt>
                <c:pt idx="278">
                  <c:v>663588.9436015957</c:v>
                </c:pt>
                <c:pt idx="279">
                  <c:v>663588.9436015957</c:v>
                </c:pt>
                <c:pt idx="280">
                  <c:v>663588.9436015957</c:v>
                </c:pt>
                <c:pt idx="281">
                  <c:v>663588.9436015957</c:v>
                </c:pt>
                <c:pt idx="282">
                  <c:v>663588.9436015957</c:v>
                </c:pt>
                <c:pt idx="283">
                  <c:v>663588.9436015957</c:v>
                </c:pt>
                <c:pt idx="284">
                  <c:v>663588.9436015957</c:v>
                </c:pt>
                <c:pt idx="285">
                  <c:v>663588.9436015957</c:v>
                </c:pt>
                <c:pt idx="286">
                  <c:v>663588.9436015957</c:v>
                </c:pt>
                <c:pt idx="287">
                  <c:v>663588.9436015957</c:v>
                </c:pt>
                <c:pt idx="288">
                  <c:v>663588.9436015957</c:v>
                </c:pt>
                <c:pt idx="289">
                  <c:v>663588.9436015957</c:v>
                </c:pt>
                <c:pt idx="290">
                  <c:v>663588.9436015957</c:v>
                </c:pt>
                <c:pt idx="291">
                  <c:v>663588.9436015957</c:v>
                </c:pt>
                <c:pt idx="292">
                  <c:v>663588.9436015957</c:v>
                </c:pt>
                <c:pt idx="293">
                  <c:v>663588.9436015957</c:v>
                </c:pt>
                <c:pt idx="294">
                  <c:v>663588.9436015957</c:v>
                </c:pt>
                <c:pt idx="295">
                  <c:v>663588.9436015957</c:v>
                </c:pt>
                <c:pt idx="296">
                  <c:v>663588.9436015957</c:v>
                </c:pt>
                <c:pt idx="297">
                  <c:v>663588.9436015957</c:v>
                </c:pt>
                <c:pt idx="298">
                  <c:v>663588.9436015957</c:v>
                </c:pt>
                <c:pt idx="299">
                  <c:v>663588.9436015957</c:v>
                </c:pt>
                <c:pt idx="300">
                  <c:v>663588.9436015957</c:v>
                </c:pt>
                <c:pt idx="301">
                  <c:v>663588.9436015957</c:v>
                </c:pt>
                <c:pt idx="302">
                  <c:v>663588.9436015957</c:v>
                </c:pt>
                <c:pt idx="303">
                  <c:v>663588.9436015957</c:v>
                </c:pt>
                <c:pt idx="304">
                  <c:v>663588.9436015957</c:v>
                </c:pt>
                <c:pt idx="305">
                  <c:v>663588.9436015957</c:v>
                </c:pt>
                <c:pt idx="306">
                  <c:v>663588.9436015957</c:v>
                </c:pt>
                <c:pt idx="307">
                  <c:v>663588.9436015957</c:v>
                </c:pt>
                <c:pt idx="308">
                  <c:v>663588.9436015957</c:v>
                </c:pt>
                <c:pt idx="309">
                  <c:v>663588.9436015957</c:v>
                </c:pt>
                <c:pt idx="310">
                  <c:v>663588.9436015957</c:v>
                </c:pt>
                <c:pt idx="311">
                  <c:v>663588.9436015957</c:v>
                </c:pt>
                <c:pt idx="312">
                  <c:v>663588.9436015957</c:v>
                </c:pt>
                <c:pt idx="313">
                  <c:v>663588.9436015957</c:v>
                </c:pt>
                <c:pt idx="314">
                  <c:v>663588.9436015957</c:v>
                </c:pt>
                <c:pt idx="315">
                  <c:v>663588.9436015957</c:v>
                </c:pt>
                <c:pt idx="316">
                  <c:v>663588.9436015957</c:v>
                </c:pt>
                <c:pt idx="317">
                  <c:v>663588.9436015957</c:v>
                </c:pt>
                <c:pt idx="318">
                  <c:v>663588.9436015957</c:v>
                </c:pt>
                <c:pt idx="319">
                  <c:v>663588.9436015957</c:v>
                </c:pt>
                <c:pt idx="320">
                  <c:v>663588.9436015957</c:v>
                </c:pt>
                <c:pt idx="321">
                  <c:v>663588.9436015957</c:v>
                </c:pt>
                <c:pt idx="322">
                  <c:v>663588.9436015957</c:v>
                </c:pt>
                <c:pt idx="323">
                  <c:v>663588.9436015957</c:v>
                </c:pt>
                <c:pt idx="324">
                  <c:v>663588.9436015957</c:v>
                </c:pt>
                <c:pt idx="325">
                  <c:v>663588.9436015957</c:v>
                </c:pt>
                <c:pt idx="326">
                  <c:v>663588.9436015957</c:v>
                </c:pt>
                <c:pt idx="327">
                  <c:v>663588.9436015957</c:v>
                </c:pt>
                <c:pt idx="328">
                  <c:v>663588.9436015957</c:v>
                </c:pt>
                <c:pt idx="329">
                  <c:v>663588.9436015957</c:v>
                </c:pt>
                <c:pt idx="330">
                  <c:v>663588.9436015957</c:v>
                </c:pt>
                <c:pt idx="331">
                  <c:v>663588.9436015957</c:v>
                </c:pt>
                <c:pt idx="332">
                  <c:v>663588.9436015957</c:v>
                </c:pt>
                <c:pt idx="333">
                  <c:v>663588.9436015957</c:v>
                </c:pt>
                <c:pt idx="334">
                  <c:v>663588.9436015957</c:v>
                </c:pt>
                <c:pt idx="335">
                  <c:v>663588.9436015957</c:v>
                </c:pt>
                <c:pt idx="336">
                  <c:v>663588.9436015957</c:v>
                </c:pt>
                <c:pt idx="337">
                  <c:v>663588.9436015957</c:v>
                </c:pt>
                <c:pt idx="338">
                  <c:v>663588.9436015957</c:v>
                </c:pt>
                <c:pt idx="339">
                  <c:v>663588.9436015957</c:v>
                </c:pt>
                <c:pt idx="340">
                  <c:v>663588.9436015957</c:v>
                </c:pt>
                <c:pt idx="341">
                  <c:v>663588.9436015957</c:v>
                </c:pt>
                <c:pt idx="342">
                  <c:v>663588.9436015957</c:v>
                </c:pt>
                <c:pt idx="343">
                  <c:v>663588.9436015957</c:v>
                </c:pt>
                <c:pt idx="344">
                  <c:v>663588.9436015957</c:v>
                </c:pt>
                <c:pt idx="345">
                  <c:v>663588.9436015957</c:v>
                </c:pt>
                <c:pt idx="346">
                  <c:v>663588.9436015957</c:v>
                </c:pt>
                <c:pt idx="347">
                  <c:v>663588.9436015957</c:v>
                </c:pt>
                <c:pt idx="348">
                  <c:v>663588.9436015957</c:v>
                </c:pt>
                <c:pt idx="349">
                  <c:v>663588.9436015957</c:v>
                </c:pt>
                <c:pt idx="350">
                  <c:v>663588.9436015957</c:v>
                </c:pt>
                <c:pt idx="351">
                  <c:v>663588.9436015957</c:v>
                </c:pt>
                <c:pt idx="352">
                  <c:v>663588.9436015957</c:v>
                </c:pt>
                <c:pt idx="353">
                  <c:v>663588.9436015957</c:v>
                </c:pt>
                <c:pt idx="354">
                  <c:v>663588.9436015957</c:v>
                </c:pt>
                <c:pt idx="355">
                  <c:v>663588.9436015957</c:v>
                </c:pt>
                <c:pt idx="356">
                  <c:v>663588.9436015957</c:v>
                </c:pt>
                <c:pt idx="357">
                  <c:v>663588.9436015957</c:v>
                </c:pt>
                <c:pt idx="358">
                  <c:v>663588.9436015957</c:v>
                </c:pt>
                <c:pt idx="359">
                  <c:v>663588.9436015957</c:v>
                </c:pt>
                <c:pt idx="360">
                  <c:v>663588.9436015957</c:v>
                </c:pt>
                <c:pt idx="361">
                  <c:v>663588.9436015957</c:v>
                </c:pt>
                <c:pt idx="362">
                  <c:v>663588.9436015957</c:v>
                </c:pt>
                <c:pt idx="363">
                  <c:v>663588.9436015957</c:v>
                </c:pt>
                <c:pt idx="364">
                  <c:v>663588.9436015957</c:v>
                </c:pt>
                <c:pt idx="365">
                  <c:v>663588.9436015957</c:v>
                </c:pt>
                <c:pt idx="366">
                  <c:v>663588.9436015957</c:v>
                </c:pt>
                <c:pt idx="367">
                  <c:v>663588.9436015957</c:v>
                </c:pt>
                <c:pt idx="368">
                  <c:v>663588.9436015957</c:v>
                </c:pt>
                <c:pt idx="369">
                  <c:v>663588.9436015957</c:v>
                </c:pt>
                <c:pt idx="370">
                  <c:v>663588.9436015957</c:v>
                </c:pt>
                <c:pt idx="371">
                  <c:v>663588.9436015957</c:v>
                </c:pt>
                <c:pt idx="372">
                  <c:v>663588.9436015957</c:v>
                </c:pt>
                <c:pt idx="373">
                  <c:v>663588.9436015957</c:v>
                </c:pt>
                <c:pt idx="374">
                  <c:v>663588.9436015957</c:v>
                </c:pt>
                <c:pt idx="375">
                  <c:v>663588.9436015957</c:v>
                </c:pt>
                <c:pt idx="376">
                  <c:v>663588.9436015957</c:v>
                </c:pt>
                <c:pt idx="377">
                  <c:v>663588.9436015957</c:v>
                </c:pt>
                <c:pt idx="378">
                  <c:v>663588.9436015957</c:v>
                </c:pt>
                <c:pt idx="379">
                  <c:v>663588.9436015957</c:v>
                </c:pt>
                <c:pt idx="380">
                  <c:v>663588.9436015957</c:v>
                </c:pt>
                <c:pt idx="381">
                  <c:v>663588.9436015957</c:v>
                </c:pt>
                <c:pt idx="382">
                  <c:v>663588.9436015957</c:v>
                </c:pt>
                <c:pt idx="383">
                  <c:v>663588.9436015957</c:v>
                </c:pt>
                <c:pt idx="384">
                  <c:v>663588.9436015957</c:v>
                </c:pt>
                <c:pt idx="385">
                  <c:v>663588.9436015957</c:v>
                </c:pt>
                <c:pt idx="386">
                  <c:v>663588.9436015957</c:v>
                </c:pt>
                <c:pt idx="387">
                  <c:v>663588.9436015957</c:v>
                </c:pt>
                <c:pt idx="388">
                  <c:v>663588.9436015957</c:v>
                </c:pt>
                <c:pt idx="389">
                  <c:v>663588.9436015957</c:v>
                </c:pt>
                <c:pt idx="390">
                  <c:v>663588.9436015957</c:v>
                </c:pt>
                <c:pt idx="391">
                  <c:v>663588.9436015957</c:v>
                </c:pt>
                <c:pt idx="392">
                  <c:v>663588.9436015957</c:v>
                </c:pt>
                <c:pt idx="393">
                  <c:v>663588.9436015957</c:v>
                </c:pt>
                <c:pt idx="394">
                  <c:v>663588.9436015957</c:v>
                </c:pt>
                <c:pt idx="395">
                  <c:v>663588.9436015957</c:v>
                </c:pt>
                <c:pt idx="396">
                  <c:v>663588.9436015957</c:v>
                </c:pt>
                <c:pt idx="397">
                  <c:v>663588.9436015957</c:v>
                </c:pt>
                <c:pt idx="398">
                  <c:v>663588.9436015957</c:v>
                </c:pt>
                <c:pt idx="399">
                  <c:v>663588.9436015957</c:v>
                </c:pt>
                <c:pt idx="400">
                  <c:v>663588.9436015957</c:v>
                </c:pt>
                <c:pt idx="401">
                  <c:v>663588.9436015957</c:v>
                </c:pt>
                <c:pt idx="402">
                  <c:v>663588.9436015957</c:v>
                </c:pt>
                <c:pt idx="403">
                  <c:v>663588.9436015957</c:v>
                </c:pt>
                <c:pt idx="404">
                  <c:v>663588.9436015957</c:v>
                </c:pt>
                <c:pt idx="405">
                  <c:v>663588.9436015957</c:v>
                </c:pt>
                <c:pt idx="406">
                  <c:v>663588.9436015957</c:v>
                </c:pt>
                <c:pt idx="407">
                  <c:v>663588.9436015957</c:v>
                </c:pt>
                <c:pt idx="408">
                  <c:v>663588.9436015957</c:v>
                </c:pt>
                <c:pt idx="409">
                  <c:v>663588.9436015957</c:v>
                </c:pt>
                <c:pt idx="410">
                  <c:v>663588.9436015957</c:v>
                </c:pt>
                <c:pt idx="411">
                  <c:v>663588.9436015957</c:v>
                </c:pt>
                <c:pt idx="412">
                  <c:v>663588.9436015957</c:v>
                </c:pt>
                <c:pt idx="413">
                  <c:v>663588.9436015957</c:v>
                </c:pt>
                <c:pt idx="414">
                  <c:v>663588.9436015957</c:v>
                </c:pt>
                <c:pt idx="415">
                  <c:v>663588.9436015957</c:v>
                </c:pt>
                <c:pt idx="416">
                  <c:v>663588.9436015957</c:v>
                </c:pt>
                <c:pt idx="417">
                  <c:v>663588.9436015957</c:v>
                </c:pt>
                <c:pt idx="418">
                  <c:v>663588.9436015957</c:v>
                </c:pt>
                <c:pt idx="419">
                  <c:v>663588.9436015957</c:v>
                </c:pt>
                <c:pt idx="420">
                  <c:v>663588.9436015957</c:v>
                </c:pt>
                <c:pt idx="421">
                  <c:v>663588.9436015957</c:v>
                </c:pt>
                <c:pt idx="422">
                  <c:v>663588.9436015957</c:v>
                </c:pt>
                <c:pt idx="423">
                  <c:v>663588.9436015957</c:v>
                </c:pt>
                <c:pt idx="424">
                  <c:v>663588.9436015957</c:v>
                </c:pt>
                <c:pt idx="425">
                  <c:v>663588.9436015957</c:v>
                </c:pt>
                <c:pt idx="426">
                  <c:v>663588.9436015957</c:v>
                </c:pt>
                <c:pt idx="427">
                  <c:v>663588.9436015957</c:v>
                </c:pt>
                <c:pt idx="428">
                  <c:v>663588.9436015957</c:v>
                </c:pt>
                <c:pt idx="429">
                  <c:v>663588.9436015957</c:v>
                </c:pt>
                <c:pt idx="430">
                  <c:v>663588.9436015957</c:v>
                </c:pt>
                <c:pt idx="431">
                  <c:v>663588.9436015957</c:v>
                </c:pt>
                <c:pt idx="432">
                  <c:v>663588.9436015957</c:v>
                </c:pt>
                <c:pt idx="433">
                  <c:v>663588.9436015957</c:v>
                </c:pt>
                <c:pt idx="434">
                  <c:v>663588.9436015957</c:v>
                </c:pt>
                <c:pt idx="435">
                  <c:v>663588.9436015957</c:v>
                </c:pt>
                <c:pt idx="436">
                  <c:v>663588.9436015957</c:v>
                </c:pt>
                <c:pt idx="437">
                  <c:v>663588.9436015957</c:v>
                </c:pt>
                <c:pt idx="438">
                  <c:v>663588.9436015957</c:v>
                </c:pt>
                <c:pt idx="439">
                  <c:v>663588.9436015957</c:v>
                </c:pt>
                <c:pt idx="440">
                  <c:v>663588.9436015957</c:v>
                </c:pt>
                <c:pt idx="441">
                  <c:v>663588.9436015957</c:v>
                </c:pt>
                <c:pt idx="442">
                  <c:v>663588.9436015957</c:v>
                </c:pt>
                <c:pt idx="443">
                  <c:v>663588.9436015957</c:v>
                </c:pt>
                <c:pt idx="444">
                  <c:v>663588.9436015957</c:v>
                </c:pt>
                <c:pt idx="445">
                  <c:v>663588.9436015957</c:v>
                </c:pt>
                <c:pt idx="446">
                  <c:v>663588.9436015957</c:v>
                </c:pt>
                <c:pt idx="447">
                  <c:v>663588.9436015957</c:v>
                </c:pt>
                <c:pt idx="448">
                  <c:v>663588.9436015957</c:v>
                </c:pt>
                <c:pt idx="449">
                  <c:v>663588.9436015957</c:v>
                </c:pt>
                <c:pt idx="450">
                  <c:v>663588.9436015957</c:v>
                </c:pt>
                <c:pt idx="451">
                  <c:v>663588.9436015957</c:v>
                </c:pt>
                <c:pt idx="452">
                  <c:v>663588.9436015957</c:v>
                </c:pt>
                <c:pt idx="453">
                  <c:v>663588.9436015957</c:v>
                </c:pt>
                <c:pt idx="454">
                  <c:v>663588.9436015957</c:v>
                </c:pt>
                <c:pt idx="455">
                  <c:v>663588.9436015957</c:v>
                </c:pt>
                <c:pt idx="456">
                  <c:v>663588.9436015957</c:v>
                </c:pt>
                <c:pt idx="457">
                  <c:v>663588.9436015957</c:v>
                </c:pt>
                <c:pt idx="458">
                  <c:v>663588.9436015957</c:v>
                </c:pt>
                <c:pt idx="459">
                  <c:v>663588.9436015957</c:v>
                </c:pt>
                <c:pt idx="460">
                  <c:v>663588.9436015957</c:v>
                </c:pt>
                <c:pt idx="461">
                  <c:v>663588.9436015957</c:v>
                </c:pt>
                <c:pt idx="462">
                  <c:v>663588.9436015957</c:v>
                </c:pt>
                <c:pt idx="463">
                  <c:v>663588.9436015957</c:v>
                </c:pt>
                <c:pt idx="464">
                  <c:v>663588.9436015957</c:v>
                </c:pt>
                <c:pt idx="465">
                  <c:v>663588.9436015957</c:v>
                </c:pt>
                <c:pt idx="466">
                  <c:v>663588.9436015957</c:v>
                </c:pt>
                <c:pt idx="467">
                  <c:v>663588.9436015957</c:v>
                </c:pt>
                <c:pt idx="468">
                  <c:v>663588.9436015957</c:v>
                </c:pt>
                <c:pt idx="469">
                  <c:v>663588.9436015957</c:v>
                </c:pt>
                <c:pt idx="470">
                  <c:v>663588.9436015957</c:v>
                </c:pt>
                <c:pt idx="471">
                  <c:v>663588.9436015957</c:v>
                </c:pt>
                <c:pt idx="472">
                  <c:v>663588.9436015957</c:v>
                </c:pt>
                <c:pt idx="473">
                  <c:v>663588.9436015957</c:v>
                </c:pt>
                <c:pt idx="474">
                  <c:v>663588.9436015957</c:v>
                </c:pt>
                <c:pt idx="475">
                  <c:v>663588.9436015957</c:v>
                </c:pt>
                <c:pt idx="476">
                  <c:v>663588.9436015957</c:v>
                </c:pt>
                <c:pt idx="477">
                  <c:v>663588.9436015957</c:v>
                </c:pt>
                <c:pt idx="478">
                  <c:v>663588.9436015957</c:v>
                </c:pt>
                <c:pt idx="479">
                  <c:v>663588.9436015957</c:v>
                </c:pt>
                <c:pt idx="480">
                  <c:v>663588.9436015957</c:v>
                </c:pt>
                <c:pt idx="481">
                  <c:v>663588.9436015957</c:v>
                </c:pt>
                <c:pt idx="482">
                  <c:v>663588.9436015957</c:v>
                </c:pt>
                <c:pt idx="483">
                  <c:v>663588.9436015957</c:v>
                </c:pt>
                <c:pt idx="484">
                  <c:v>663588.9436015957</c:v>
                </c:pt>
                <c:pt idx="485">
                  <c:v>663588.9436015957</c:v>
                </c:pt>
                <c:pt idx="486">
                  <c:v>663588.9436015957</c:v>
                </c:pt>
                <c:pt idx="487">
                  <c:v>663588.9436015957</c:v>
                </c:pt>
                <c:pt idx="488">
                  <c:v>663588.9436015957</c:v>
                </c:pt>
                <c:pt idx="489">
                  <c:v>663588.9436015957</c:v>
                </c:pt>
                <c:pt idx="490">
                  <c:v>663588.9436015957</c:v>
                </c:pt>
                <c:pt idx="491">
                  <c:v>663588.9436015957</c:v>
                </c:pt>
                <c:pt idx="492">
                  <c:v>663588.9436015957</c:v>
                </c:pt>
                <c:pt idx="493">
                  <c:v>663588.9436015957</c:v>
                </c:pt>
                <c:pt idx="494">
                  <c:v>663588.9436015957</c:v>
                </c:pt>
                <c:pt idx="495">
                  <c:v>663588.9436015957</c:v>
                </c:pt>
                <c:pt idx="496">
                  <c:v>663588.9436015957</c:v>
                </c:pt>
                <c:pt idx="497">
                  <c:v>663588.9436015957</c:v>
                </c:pt>
                <c:pt idx="498">
                  <c:v>663588.9436015957</c:v>
                </c:pt>
                <c:pt idx="499">
                  <c:v>663588.9436015957</c:v>
                </c:pt>
                <c:pt idx="500">
                  <c:v>663588.9436015957</c:v>
                </c:pt>
                <c:pt idx="501">
                  <c:v>663588.9436015957</c:v>
                </c:pt>
                <c:pt idx="502">
                  <c:v>663588.9436015957</c:v>
                </c:pt>
                <c:pt idx="503">
                  <c:v>663588.9436015957</c:v>
                </c:pt>
                <c:pt idx="504">
                  <c:v>663588.9436015957</c:v>
                </c:pt>
                <c:pt idx="505">
                  <c:v>663588.9436015957</c:v>
                </c:pt>
                <c:pt idx="506">
                  <c:v>663588.9436015957</c:v>
                </c:pt>
                <c:pt idx="507">
                  <c:v>663588.9436015957</c:v>
                </c:pt>
                <c:pt idx="508">
                  <c:v>663588.9436015957</c:v>
                </c:pt>
                <c:pt idx="509">
                  <c:v>663588.9436015957</c:v>
                </c:pt>
                <c:pt idx="510">
                  <c:v>663588.9436015957</c:v>
                </c:pt>
                <c:pt idx="511">
                  <c:v>663588.9436015957</c:v>
                </c:pt>
                <c:pt idx="512">
                  <c:v>663588.9436015957</c:v>
                </c:pt>
                <c:pt idx="513">
                  <c:v>663588.9436015957</c:v>
                </c:pt>
                <c:pt idx="514">
                  <c:v>663588.9436015957</c:v>
                </c:pt>
                <c:pt idx="515">
                  <c:v>663588.9436015957</c:v>
                </c:pt>
                <c:pt idx="516">
                  <c:v>663588.9436015957</c:v>
                </c:pt>
                <c:pt idx="517">
                  <c:v>663588.9436015957</c:v>
                </c:pt>
                <c:pt idx="518">
                  <c:v>663588.9436015957</c:v>
                </c:pt>
                <c:pt idx="519">
                  <c:v>663588.9436015957</c:v>
                </c:pt>
                <c:pt idx="520">
                  <c:v>663588.9436015957</c:v>
                </c:pt>
                <c:pt idx="521">
                  <c:v>663588.9436015957</c:v>
                </c:pt>
                <c:pt idx="522">
                  <c:v>663588.9436015957</c:v>
                </c:pt>
                <c:pt idx="523">
                  <c:v>663588.9436015957</c:v>
                </c:pt>
                <c:pt idx="524">
                  <c:v>663588.9436015957</c:v>
                </c:pt>
                <c:pt idx="525">
                  <c:v>663588.9436015957</c:v>
                </c:pt>
                <c:pt idx="526">
                  <c:v>663588.9436015957</c:v>
                </c:pt>
                <c:pt idx="527">
                  <c:v>663588.9436015957</c:v>
                </c:pt>
                <c:pt idx="528">
                  <c:v>663588.9436015957</c:v>
                </c:pt>
                <c:pt idx="529">
                  <c:v>663588.9436015957</c:v>
                </c:pt>
                <c:pt idx="530">
                  <c:v>663588.9436015957</c:v>
                </c:pt>
                <c:pt idx="531">
                  <c:v>663588.9436015957</c:v>
                </c:pt>
                <c:pt idx="532">
                  <c:v>663588.9436015957</c:v>
                </c:pt>
                <c:pt idx="533">
                  <c:v>663588.9436015957</c:v>
                </c:pt>
                <c:pt idx="534">
                  <c:v>663588.9436015957</c:v>
                </c:pt>
                <c:pt idx="535">
                  <c:v>663588.9436015957</c:v>
                </c:pt>
                <c:pt idx="536">
                  <c:v>663588.9436015957</c:v>
                </c:pt>
                <c:pt idx="537">
                  <c:v>663588.9436015957</c:v>
                </c:pt>
                <c:pt idx="538">
                  <c:v>663588.9436015957</c:v>
                </c:pt>
                <c:pt idx="539">
                  <c:v>663588.9436015957</c:v>
                </c:pt>
                <c:pt idx="540">
                  <c:v>663588.9436015957</c:v>
                </c:pt>
                <c:pt idx="541">
                  <c:v>663588.9436015957</c:v>
                </c:pt>
                <c:pt idx="542">
                  <c:v>663588.9436015957</c:v>
                </c:pt>
                <c:pt idx="543">
                  <c:v>663588.9436015957</c:v>
                </c:pt>
                <c:pt idx="544">
                  <c:v>663588.9436015957</c:v>
                </c:pt>
                <c:pt idx="545">
                  <c:v>663588.9436015957</c:v>
                </c:pt>
                <c:pt idx="546">
                  <c:v>663588.9436015957</c:v>
                </c:pt>
                <c:pt idx="547">
                  <c:v>663588.9436015957</c:v>
                </c:pt>
                <c:pt idx="548">
                  <c:v>663588.9436015957</c:v>
                </c:pt>
                <c:pt idx="549">
                  <c:v>663588.9436015957</c:v>
                </c:pt>
                <c:pt idx="550">
                  <c:v>663588.9436015957</c:v>
                </c:pt>
                <c:pt idx="551">
                  <c:v>663588.9436015957</c:v>
                </c:pt>
                <c:pt idx="552">
                  <c:v>663588.9436015957</c:v>
                </c:pt>
                <c:pt idx="553">
                  <c:v>663588.9436015957</c:v>
                </c:pt>
                <c:pt idx="554">
                  <c:v>663588.9436015957</c:v>
                </c:pt>
                <c:pt idx="555">
                  <c:v>663588.9436015957</c:v>
                </c:pt>
                <c:pt idx="556">
                  <c:v>663588.9436015957</c:v>
                </c:pt>
                <c:pt idx="557">
                  <c:v>663588.9436015957</c:v>
                </c:pt>
                <c:pt idx="558">
                  <c:v>663588.9436015957</c:v>
                </c:pt>
                <c:pt idx="559">
                  <c:v>663588.9436015957</c:v>
                </c:pt>
                <c:pt idx="560">
                  <c:v>663588.9436015957</c:v>
                </c:pt>
                <c:pt idx="561">
                  <c:v>663588.9436015957</c:v>
                </c:pt>
                <c:pt idx="562">
                  <c:v>663588.9436015957</c:v>
                </c:pt>
                <c:pt idx="563">
                  <c:v>663588.9436015957</c:v>
                </c:pt>
                <c:pt idx="564">
                  <c:v>663588.9436015957</c:v>
                </c:pt>
                <c:pt idx="565">
                  <c:v>663588.9436015957</c:v>
                </c:pt>
                <c:pt idx="566">
                  <c:v>663588.9436015957</c:v>
                </c:pt>
                <c:pt idx="567">
                  <c:v>663588.9436015957</c:v>
                </c:pt>
                <c:pt idx="568">
                  <c:v>663588.9436015957</c:v>
                </c:pt>
                <c:pt idx="569">
                  <c:v>663588.9436015957</c:v>
                </c:pt>
                <c:pt idx="570">
                  <c:v>663588.9436015957</c:v>
                </c:pt>
                <c:pt idx="571">
                  <c:v>663588.9436015957</c:v>
                </c:pt>
                <c:pt idx="572">
                  <c:v>663588.9436015957</c:v>
                </c:pt>
                <c:pt idx="573">
                  <c:v>663588.9436015957</c:v>
                </c:pt>
                <c:pt idx="574">
                  <c:v>663588.9436015957</c:v>
                </c:pt>
                <c:pt idx="575">
                  <c:v>663588.9436015957</c:v>
                </c:pt>
                <c:pt idx="576">
                  <c:v>663588.9436015957</c:v>
                </c:pt>
                <c:pt idx="577">
                  <c:v>663588.9436015957</c:v>
                </c:pt>
                <c:pt idx="578">
                  <c:v>663588.9436015957</c:v>
                </c:pt>
                <c:pt idx="579">
                  <c:v>663588.9436015957</c:v>
                </c:pt>
                <c:pt idx="580">
                  <c:v>663588.9436015957</c:v>
                </c:pt>
                <c:pt idx="581">
                  <c:v>663588.9436015957</c:v>
                </c:pt>
                <c:pt idx="582">
                  <c:v>663588.9436015957</c:v>
                </c:pt>
                <c:pt idx="583">
                  <c:v>663588.9436015957</c:v>
                </c:pt>
                <c:pt idx="584">
                  <c:v>663588.9436015957</c:v>
                </c:pt>
                <c:pt idx="585">
                  <c:v>663588.9436015957</c:v>
                </c:pt>
                <c:pt idx="586">
                  <c:v>663588.9436015957</c:v>
                </c:pt>
                <c:pt idx="587">
                  <c:v>663588.9436015957</c:v>
                </c:pt>
                <c:pt idx="588">
                  <c:v>663588.9436015957</c:v>
                </c:pt>
                <c:pt idx="589">
                  <c:v>663588.9436015957</c:v>
                </c:pt>
                <c:pt idx="590">
                  <c:v>663588.9436015957</c:v>
                </c:pt>
                <c:pt idx="591">
                  <c:v>663588.9436015957</c:v>
                </c:pt>
                <c:pt idx="592">
                  <c:v>663588.9436015957</c:v>
                </c:pt>
                <c:pt idx="593">
                  <c:v>663588.9436015957</c:v>
                </c:pt>
                <c:pt idx="594">
                  <c:v>663588.9436015957</c:v>
                </c:pt>
                <c:pt idx="595">
                  <c:v>663588.9436015957</c:v>
                </c:pt>
                <c:pt idx="596">
                  <c:v>663588.9436015957</c:v>
                </c:pt>
                <c:pt idx="597">
                  <c:v>663588.9436015957</c:v>
                </c:pt>
                <c:pt idx="598">
                  <c:v>663588.9436015957</c:v>
                </c:pt>
                <c:pt idx="599">
                  <c:v>663588.9436015957</c:v>
                </c:pt>
                <c:pt idx="600">
                  <c:v>663588.9436015957</c:v>
                </c:pt>
                <c:pt idx="601">
                  <c:v>663588.9436015957</c:v>
                </c:pt>
                <c:pt idx="602">
                  <c:v>663588.9436015957</c:v>
                </c:pt>
                <c:pt idx="603">
                  <c:v>663588.9436015957</c:v>
                </c:pt>
                <c:pt idx="604">
                  <c:v>663588.9436015957</c:v>
                </c:pt>
                <c:pt idx="605">
                  <c:v>663588.9436015957</c:v>
                </c:pt>
                <c:pt idx="606">
                  <c:v>663588.9436015957</c:v>
                </c:pt>
                <c:pt idx="607">
                  <c:v>663588.9436015957</c:v>
                </c:pt>
                <c:pt idx="608">
                  <c:v>663588.9436015957</c:v>
                </c:pt>
                <c:pt idx="609">
                  <c:v>663588.9436015957</c:v>
                </c:pt>
                <c:pt idx="610">
                  <c:v>663588.9436015957</c:v>
                </c:pt>
                <c:pt idx="611">
                  <c:v>663588.9436015957</c:v>
                </c:pt>
                <c:pt idx="612">
                  <c:v>663588.9436015957</c:v>
                </c:pt>
                <c:pt idx="613">
                  <c:v>663588.9436015957</c:v>
                </c:pt>
                <c:pt idx="614">
                  <c:v>663588.9436015957</c:v>
                </c:pt>
                <c:pt idx="615">
                  <c:v>663588.9436015957</c:v>
                </c:pt>
                <c:pt idx="616">
                  <c:v>663588.9436015957</c:v>
                </c:pt>
                <c:pt idx="617">
                  <c:v>663588.9436015957</c:v>
                </c:pt>
                <c:pt idx="618">
                  <c:v>663588.9436015957</c:v>
                </c:pt>
                <c:pt idx="619">
                  <c:v>663588.9436015957</c:v>
                </c:pt>
                <c:pt idx="620">
                  <c:v>663588.9436015957</c:v>
                </c:pt>
                <c:pt idx="621">
                  <c:v>663588.9436015957</c:v>
                </c:pt>
                <c:pt idx="622">
                  <c:v>663588.9436015957</c:v>
                </c:pt>
                <c:pt idx="623">
                  <c:v>663588.9436015957</c:v>
                </c:pt>
                <c:pt idx="624">
                  <c:v>663588.9436015957</c:v>
                </c:pt>
                <c:pt idx="625">
                  <c:v>663588.9436015957</c:v>
                </c:pt>
                <c:pt idx="626">
                  <c:v>663588.9436015957</c:v>
                </c:pt>
                <c:pt idx="627">
                  <c:v>663588.9436015957</c:v>
                </c:pt>
                <c:pt idx="628">
                  <c:v>663588.9436015957</c:v>
                </c:pt>
                <c:pt idx="629">
                  <c:v>663588.9436015957</c:v>
                </c:pt>
                <c:pt idx="630">
                  <c:v>663588.9436015957</c:v>
                </c:pt>
                <c:pt idx="631">
                  <c:v>663588.9436015957</c:v>
                </c:pt>
                <c:pt idx="632">
                  <c:v>663588.9436015957</c:v>
                </c:pt>
                <c:pt idx="633">
                  <c:v>663588.9436015957</c:v>
                </c:pt>
                <c:pt idx="634">
                  <c:v>663588.9436015957</c:v>
                </c:pt>
                <c:pt idx="635">
                  <c:v>663588.9436015957</c:v>
                </c:pt>
                <c:pt idx="636">
                  <c:v>663588.9436015957</c:v>
                </c:pt>
                <c:pt idx="637">
                  <c:v>663588.9436015957</c:v>
                </c:pt>
                <c:pt idx="638">
                  <c:v>663588.9436015957</c:v>
                </c:pt>
                <c:pt idx="639">
                  <c:v>663588.9436015957</c:v>
                </c:pt>
                <c:pt idx="640">
                  <c:v>663588.9436015957</c:v>
                </c:pt>
                <c:pt idx="641">
                  <c:v>663588.9436015957</c:v>
                </c:pt>
                <c:pt idx="642">
                  <c:v>663588.9436015957</c:v>
                </c:pt>
                <c:pt idx="643">
                  <c:v>663588.9436015957</c:v>
                </c:pt>
                <c:pt idx="644">
                  <c:v>663588.9436015957</c:v>
                </c:pt>
                <c:pt idx="645">
                  <c:v>663588.9436015957</c:v>
                </c:pt>
                <c:pt idx="646">
                  <c:v>663588.9436015957</c:v>
                </c:pt>
                <c:pt idx="647">
                  <c:v>663588.9436015957</c:v>
                </c:pt>
                <c:pt idx="648">
                  <c:v>663588.9436015957</c:v>
                </c:pt>
                <c:pt idx="649">
                  <c:v>663588.9436015957</c:v>
                </c:pt>
                <c:pt idx="650">
                  <c:v>663588.9436015957</c:v>
                </c:pt>
                <c:pt idx="651">
                  <c:v>663588.9436015957</c:v>
                </c:pt>
                <c:pt idx="652">
                  <c:v>663588.9436015957</c:v>
                </c:pt>
                <c:pt idx="653">
                  <c:v>663588.9436015957</c:v>
                </c:pt>
                <c:pt idx="654">
                  <c:v>663588.9436015957</c:v>
                </c:pt>
                <c:pt idx="655">
                  <c:v>663588.9436015957</c:v>
                </c:pt>
                <c:pt idx="656">
                  <c:v>663588.9436015957</c:v>
                </c:pt>
                <c:pt idx="657">
                  <c:v>663588.9436015957</c:v>
                </c:pt>
                <c:pt idx="658">
                  <c:v>663588.9436015957</c:v>
                </c:pt>
                <c:pt idx="659">
                  <c:v>663588.9436015957</c:v>
                </c:pt>
                <c:pt idx="660">
                  <c:v>663588.9436015957</c:v>
                </c:pt>
                <c:pt idx="661">
                  <c:v>663588.9436015957</c:v>
                </c:pt>
                <c:pt idx="662">
                  <c:v>663588.9436015957</c:v>
                </c:pt>
                <c:pt idx="663">
                  <c:v>663588.9436015957</c:v>
                </c:pt>
                <c:pt idx="664">
                  <c:v>663588.9436015957</c:v>
                </c:pt>
                <c:pt idx="665">
                  <c:v>663588.9436015957</c:v>
                </c:pt>
                <c:pt idx="666">
                  <c:v>663588.9436015957</c:v>
                </c:pt>
                <c:pt idx="667">
                  <c:v>663588.9436015957</c:v>
                </c:pt>
                <c:pt idx="668">
                  <c:v>663588.9436015957</c:v>
                </c:pt>
                <c:pt idx="669">
                  <c:v>663588.9436015957</c:v>
                </c:pt>
                <c:pt idx="670">
                  <c:v>663588.9436015957</c:v>
                </c:pt>
                <c:pt idx="671">
                  <c:v>663588.9436015957</c:v>
                </c:pt>
                <c:pt idx="672">
                  <c:v>663588.9436015957</c:v>
                </c:pt>
                <c:pt idx="673">
                  <c:v>663588.9436015957</c:v>
                </c:pt>
                <c:pt idx="674">
                  <c:v>663588.9436015957</c:v>
                </c:pt>
                <c:pt idx="675">
                  <c:v>663588.9436015957</c:v>
                </c:pt>
                <c:pt idx="676">
                  <c:v>663588.9436015957</c:v>
                </c:pt>
                <c:pt idx="677">
                  <c:v>663588.9436015957</c:v>
                </c:pt>
                <c:pt idx="678">
                  <c:v>663588.9436015957</c:v>
                </c:pt>
                <c:pt idx="679">
                  <c:v>663588.9436015957</c:v>
                </c:pt>
                <c:pt idx="680">
                  <c:v>663588.9436015957</c:v>
                </c:pt>
                <c:pt idx="681">
                  <c:v>663588.9436015957</c:v>
                </c:pt>
                <c:pt idx="682">
                  <c:v>663588.9436015957</c:v>
                </c:pt>
                <c:pt idx="683">
                  <c:v>663588.9436015957</c:v>
                </c:pt>
                <c:pt idx="684">
                  <c:v>663588.9436015957</c:v>
                </c:pt>
                <c:pt idx="685">
                  <c:v>663588.9436015957</c:v>
                </c:pt>
                <c:pt idx="686">
                  <c:v>663588.9436015957</c:v>
                </c:pt>
                <c:pt idx="687">
                  <c:v>663588.9436015957</c:v>
                </c:pt>
                <c:pt idx="688">
                  <c:v>663588.9436015957</c:v>
                </c:pt>
                <c:pt idx="689">
                  <c:v>663588.9436015957</c:v>
                </c:pt>
                <c:pt idx="690">
                  <c:v>663588.9436015957</c:v>
                </c:pt>
                <c:pt idx="691">
                  <c:v>663588.9436015957</c:v>
                </c:pt>
                <c:pt idx="692">
                  <c:v>663588.9436015957</c:v>
                </c:pt>
                <c:pt idx="693">
                  <c:v>663588.9436015957</c:v>
                </c:pt>
                <c:pt idx="694">
                  <c:v>663588.9436015957</c:v>
                </c:pt>
                <c:pt idx="695">
                  <c:v>663588.9436015957</c:v>
                </c:pt>
                <c:pt idx="696">
                  <c:v>663588.9436015957</c:v>
                </c:pt>
                <c:pt idx="697">
                  <c:v>663588.9436015957</c:v>
                </c:pt>
                <c:pt idx="698">
                  <c:v>663588.9436015957</c:v>
                </c:pt>
                <c:pt idx="699">
                  <c:v>663588.9436015957</c:v>
                </c:pt>
                <c:pt idx="700">
                  <c:v>663588.9436015957</c:v>
                </c:pt>
                <c:pt idx="701">
                  <c:v>663588.9436015957</c:v>
                </c:pt>
                <c:pt idx="702">
                  <c:v>663588.9436015957</c:v>
                </c:pt>
                <c:pt idx="703">
                  <c:v>663588.9436015957</c:v>
                </c:pt>
                <c:pt idx="704">
                  <c:v>663588.9436015957</c:v>
                </c:pt>
                <c:pt idx="705">
                  <c:v>663588.9436015957</c:v>
                </c:pt>
                <c:pt idx="706">
                  <c:v>663588.9436015957</c:v>
                </c:pt>
                <c:pt idx="707">
                  <c:v>663588.9436015957</c:v>
                </c:pt>
                <c:pt idx="708">
                  <c:v>663588.9436015957</c:v>
                </c:pt>
                <c:pt idx="709">
                  <c:v>663588.9436015957</c:v>
                </c:pt>
                <c:pt idx="710">
                  <c:v>663588.9436015957</c:v>
                </c:pt>
                <c:pt idx="711">
                  <c:v>663588.9436015957</c:v>
                </c:pt>
                <c:pt idx="712">
                  <c:v>663588.9436015957</c:v>
                </c:pt>
                <c:pt idx="713">
                  <c:v>663588.9436015957</c:v>
                </c:pt>
                <c:pt idx="714">
                  <c:v>663588.9436015957</c:v>
                </c:pt>
                <c:pt idx="715">
                  <c:v>663588.9436015957</c:v>
                </c:pt>
                <c:pt idx="716">
                  <c:v>663588.9436015957</c:v>
                </c:pt>
                <c:pt idx="717">
                  <c:v>663588.9436015957</c:v>
                </c:pt>
                <c:pt idx="718">
                  <c:v>663588.9436015957</c:v>
                </c:pt>
                <c:pt idx="719">
                  <c:v>663588.9436015957</c:v>
                </c:pt>
                <c:pt idx="720">
                  <c:v>663588.9436015957</c:v>
                </c:pt>
                <c:pt idx="721">
                  <c:v>663588.9436015957</c:v>
                </c:pt>
                <c:pt idx="722">
                  <c:v>663588.9436015957</c:v>
                </c:pt>
                <c:pt idx="723">
                  <c:v>663588.9436015957</c:v>
                </c:pt>
                <c:pt idx="724">
                  <c:v>663588.9436015957</c:v>
                </c:pt>
                <c:pt idx="725">
                  <c:v>663588.9436015957</c:v>
                </c:pt>
                <c:pt idx="726">
                  <c:v>663588.9436015957</c:v>
                </c:pt>
                <c:pt idx="727">
                  <c:v>663588.9436015957</c:v>
                </c:pt>
                <c:pt idx="728">
                  <c:v>663588.9436015957</c:v>
                </c:pt>
                <c:pt idx="729">
                  <c:v>663588.9436015957</c:v>
                </c:pt>
                <c:pt idx="730">
                  <c:v>663588.9436015957</c:v>
                </c:pt>
                <c:pt idx="731">
                  <c:v>663588.9436015957</c:v>
                </c:pt>
                <c:pt idx="732">
                  <c:v>663588.9436015957</c:v>
                </c:pt>
                <c:pt idx="733">
                  <c:v>663588.9436015957</c:v>
                </c:pt>
                <c:pt idx="734">
                  <c:v>663588.9436015957</c:v>
                </c:pt>
                <c:pt idx="735">
                  <c:v>663588.9436015957</c:v>
                </c:pt>
                <c:pt idx="736">
                  <c:v>663588.9436015957</c:v>
                </c:pt>
                <c:pt idx="737">
                  <c:v>663588.9436015957</c:v>
                </c:pt>
                <c:pt idx="738">
                  <c:v>663588.9436015957</c:v>
                </c:pt>
                <c:pt idx="739">
                  <c:v>663588.9436015957</c:v>
                </c:pt>
                <c:pt idx="740">
                  <c:v>663588.9436015957</c:v>
                </c:pt>
                <c:pt idx="741">
                  <c:v>663588.9436015957</c:v>
                </c:pt>
                <c:pt idx="742">
                  <c:v>663588.9436015957</c:v>
                </c:pt>
                <c:pt idx="743">
                  <c:v>663588.9436015957</c:v>
                </c:pt>
                <c:pt idx="744">
                  <c:v>663588.9436015957</c:v>
                </c:pt>
                <c:pt idx="745">
                  <c:v>663588.9436015957</c:v>
                </c:pt>
                <c:pt idx="746">
                  <c:v>663588.9436015957</c:v>
                </c:pt>
                <c:pt idx="747">
                  <c:v>663588.9436015957</c:v>
                </c:pt>
                <c:pt idx="748">
                  <c:v>663588.9436015957</c:v>
                </c:pt>
                <c:pt idx="749">
                  <c:v>663588.9436015957</c:v>
                </c:pt>
                <c:pt idx="750">
                  <c:v>663588.9436015957</c:v>
                </c:pt>
                <c:pt idx="751">
                  <c:v>663588.9436015957</c:v>
                </c:pt>
                <c:pt idx="752">
                  <c:v>663588.9436015957</c:v>
                </c:pt>
                <c:pt idx="753">
                  <c:v>663588.9436015957</c:v>
                </c:pt>
                <c:pt idx="754">
                  <c:v>663588.9436015957</c:v>
                </c:pt>
                <c:pt idx="755">
                  <c:v>663588.9436015957</c:v>
                </c:pt>
                <c:pt idx="756">
                  <c:v>663588.9436015957</c:v>
                </c:pt>
                <c:pt idx="757">
                  <c:v>663588.9436015957</c:v>
                </c:pt>
                <c:pt idx="758">
                  <c:v>663588.9436015957</c:v>
                </c:pt>
                <c:pt idx="759">
                  <c:v>663588.9436015957</c:v>
                </c:pt>
                <c:pt idx="760">
                  <c:v>663588.9436015957</c:v>
                </c:pt>
                <c:pt idx="761">
                  <c:v>663588.9436015957</c:v>
                </c:pt>
                <c:pt idx="762">
                  <c:v>663588.9436015957</c:v>
                </c:pt>
                <c:pt idx="763">
                  <c:v>663588.9436015957</c:v>
                </c:pt>
                <c:pt idx="764">
                  <c:v>663588.9436015957</c:v>
                </c:pt>
                <c:pt idx="765">
                  <c:v>663588.9436015957</c:v>
                </c:pt>
                <c:pt idx="766">
                  <c:v>663588.9436015957</c:v>
                </c:pt>
                <c:pt idx="767">
                  <c:v>663588.9436015957</c:v>
                </c:pt>
                <c:pt idx="768">
                  <c:v>663588.9436015957</c:v>
                </c:pt>
                <c:pt idx="769">
                  <c:v>663588.9436015957</c:v>
                </c:pt>
                <c:pt idx="770">
                  <c:v>663588.9436015957</c:v>
                </c:pt>
                <c:pt idx="771">
                  <c:v>663588.9436015957</c:v>
                </c:pt>
                <c:pt idx="772">
                  <c:v>663588.9436015957</c:v>
                </c:pt>
                <c:pt idx="773">
                  <c:v>663588.9436015957</c:v>
                </c:pt>
                <c:pt idx="774">
                  <c:v>663588.9436015957</c:v>
                </c:pt>
                <c:pt idx="775">
                  <c:v>663588.9436015957</c:v>
                </c:pt>
                <c:pt idx="776">
                  <c:v>663588.9436015957</c:v>
                </c:pt>
                <c:pt idx="777">
                  <c:v>663588.9436015957</c:v>
                </c:pt>
                <c:pt idx="778">
                  <c:v>663588.9436015957</c:v>
                </c:pt>
                <c:pt idx="779">
                  <c:v>663588.9436015957</c:v>
                </c:pt>
                <c:pt idx="780">
                  <c:v>663588.9436015957</c:v>
                </c:pt>
                <c:pt idx="781">
                  <c:v>663588.9436015957</c:v>
                </c:pt>
                <c:pt idx="782">
                  <c:v>663588.9436015957</c:v>
                </c:pt>
                <c:pt idx="783">
                  <c:v>663588.9436015957</c:v>
                </c:pt>
                <c:pt idx="784">
                  <c:v>663588.9436015957</c:v>
                </c:pt>
                <c:pt idx="785">
                  <c:v>663588.9436015957</c:v>
                </c:pt>
                <c:pt idx="786">
                  <c:v>663588.9436015957</c:v>
                </c:pt>
                <c:pt idx="787">
                  <c:v>663588.9436015957</c:v>
                </c:pt>
                <c:pt idx="788">
                  <c:v>663588.9436015957</c:v>
                </c:pt>
                <c:pt idx="789">
                  <c:v>663588.9436015957</c:v>
                </c:pt>
                <c:pt idx="790">
                  <c:v>663588.9436015957</c:v>
                </c:pt>
                <c:pt idx="791">
                  <c:v>663588.9436015957</c:v>
                </c:pt>
                <c:pt idx="792">
                  <c:v>663588.9436015957</c:v>
                </c:pt>
                <c:pt idx="793">
                  <c:v>663588.9436015957</c:v>
                </c:pt>
                <c:pt idx="794">
                  <c:v>663588.9436015957</c:v>
                </c:pt>
                <c:pt idx="795">
                  <c:v>663588.9436015957</c:v>
                </c:pt>
                <c:pt idx="796">
                  <c:v>663588.9436015957</c:v>
                </c:pt>
                <c:pt idx="797">
                  <c:v>663588.9436015957</c:v>
                </c:pt>
                <c:pt idx="798">
                  <c:v>663588.9436015957</c:v>
                </c:pt>
                <c:pt idx="799">
                  <c:v>663588.9436015957</c:v>
                </c:pt>
                <c:pt idx="800">
                  <c:v>663588.9436015957</c:v>
                </c:pt>
                <c:pt idx="801">
                  <c:v>663588.9436015957</c:v>
                </c:pt>
                <c:pt idx="802">
                  <c:v>663588.9436015957</c:v>
                </c:pt>
                <c:pt idx="803">
                  <c:v>663588.9436015957</c:v>
                </c:pt>
                <c:pt idx="804">
                  <c:v>663588.9436015957</c:v>
                </c:pt>
                <c:pt idx="805">
                  <c:v>663588.9436015957</c:v>
                </c:pt>
                <c:pt idx="806">
                  <c:v>663588.9436015957</c:v>
                </c:pt>
                <c:pt idx="807">
                  <c:v>663588.9436015957</c:v>
                </c:pt>
                <c:pt idx="808">
                  <c:v>663588.9436015957</c:v>
                </c:pt>
                <c:pt idx="809">
                  <c:v>663588.9436015957</c:v>
                </c:pt>
                <c:pt idx="810">
                  <c:v>663588.9436015957</c:v>
                </c:pt>
                <c:pt idx="811">
                  <c:v>663588.9436015957</c:v>
                </c:pt>
                <c:pt idx="812">
                  <c:v>663588.9436015957</c:v>
                </c:pt>
                <c:pt idx="813">
                  <c:v>663588.9436015957</c:v>
                </c:pt>
                <c:pt idx="814">
                  <c:v>663588.9436015957</c:v>
                </c:pt>
                <c:pt idx="815">
                  <c:v>663588.9436015957</c:v>
                </c:pt>
                <c:pt idx="816">
                  <c:v>663588.9436015957</c:v>
                </c:pt>
                <c:pt idx="817">
                  <c:v>663588.9436015957</c:v>
                </c:pt>
                <c:pt idx="818">
                  <c:v>663588.9436015957</c:v>
                </c:pt>
                <c:pt idx="819">
                  <c:v>663588.9436015957</c:v>
                </c:pt>
                <c:pt idx="820">
                  <c:v>663588.9436015957</c:v>
                </c:pt>
                <c:pt idx="821">
                  <c:v>663588.9436015957</c:v>
                </c:pt>
                <c:pt idx="822">
                  <c:v>663588.9436015957</c:v>
                </c:pt>
                <c:pt idx="823">
                  <c:v>663588.9436015957</c:v>
                </c:pt>
                <c:pt idx="824">
                  <c:v>663588.9436015957</c:v>
                </c:pt>
                <c:pt idx="825">
                  <c:v>663588.9436015957</c:v>
                </c:pt>
                <c:pt idx="826">
                  <c:v>663588.9436015957</c:v>
                </c:pt>
                <c:pt idx="827">
                  <c:v>663588.9436015957</c:v>
                </c:pt>
                <c:pt idx="828">
                  <c:v>663588.9436015957</c:v>
                </c:pt>
                <c:pt idx="829">
                  <c:v>663588.9436015957</c:v>
                </c:pt>
                <c:pt idx="830">
                  <c:v>663588.9436015957</c:v>
                </c:pt>
                <c:pt idx="831">
                  <c:v>663588.9436015957</c:v>
                </c:pt>
                <c:pt idx="832">
                  <c:v>663588.9436015957</c:v>
                </c:pt>
                <c:pt idx="833">
                  <c:v>663588.9436015957</c:v>
                </c:pt>
                <c:pt idx="834">
                  <c:v>663588.9436015957</c:v>
                </c:pt>
                <c:pt idx="835">
                  <c:v>663588.9436015957</c:v>
                </c:pt>
                <c:pt idx="836">
                  <c:v>663588.9436015957</c:v>
                </c:pt>
                <c:pt idx="837">
                  <c:v>663588.9436015957</c:v>
                </c:pt>
                <c:pt idx="838">
                  <c:v>663588.9436015957</c:v>
                </c:pt>
                <c:pt idx="839">
                  <c:v>663588.9436015957</c:v>
                </c:pt>
                <c:pt idx="840">
                  <c:v>663588.9436015957</c:v>
                </c:pt>
                <c:pt idx="841">
                  <c:v>663588.9436015957</c:v>
                </c:pt>
                <c:pt idx="842">
                  <c:v>663588.9436015957</c:v>
                </c:pt>
                <c:pt idx="843">
                  <c:v>663588.9436015957</c:v>
                </c:pt>
                <c:pt idx="844">
                  <c:v>663588.9436015957</c:v>
                </c:pt>
                <c:pt idx="845">
                  <c:v>663588.9436015957</c:v>
                </c:pt>
                <c:pt idx="846">
                  <c:v>663588.9436015957</c:v>
                </c:pt>
                <c:pt idx="847">
                  <c:v>663588.9436015957</c:v>
                </c:pt>
                <c:pt idx="848">
                  <c:v>663588.9436015957</c:v>
                </c:pt>
                <c:pt idx="849">
                  <c:v>663588.9436015957</c:v>
                </c:pt>
                <c:pt idx="850">
                  <c:v>663588.9436015957</c:v>
                </c:pt>
                <c:pt idx="851">
                  <c:v>663588.9436015957</c:v>
                </c:pt>
                <c:pt idx="852">
                  <c:v>663588.9436015957</c:v>
                </c:pt>
                <c:pt idx="853">
                  <c:v>663588.9436015957</c:v>
                </c:pt>
                <c:pt idx="854">
                  <c:v>663588.9436015957</c:v>
                </c:pt>
                <c:pt idx="855">
                  <c:v>663588.9436015957</c:v>
                </c:pt>
                <c:pt idx="856">
                  <c:v>663588.9436015957</c:v>
                </c:pt>
                <c:pt idx="857">
                  <c:v>663588.9436015957</c:v>
                </c:pt>
                <c:pt idx="858">
                  <c:v>663588.9436015957</c:v>
                </c:pt>
                <c:pt idx="859">
                  <c:v>663588.9436015957</c:v>
                </c:pt>
                <c:pt idx="860">
                  <c:v>663588.9436015957</c:v>
                </c:pt>
                <c:pt idx="861">
                  <c:v>663588.9436015957</c:v>
                </c:pt>
                <c:pt idx="862">
                  <c:v>663588.9436015957</c:v>
                </c:pt>
                <c:pt idx="863">
                  <c:v>663588.9436015957</c:v>
                </c:pt>
                <c:pt idx="864">
                  <c:v>663588.9436015957</c:v>
                </c:pt>
                <c:pt idx="865">
                  <c:v>663588.9436015957</c:v>
                </c:pt>
                <c:pt idx="866">
                  <c:v>663588.9436015957</c:v>
                </c:pt>
                <c:pt idx="867">
                  <c:v>663588.9436015957</c:v>
                </c:pt>
                <c:pt idx="868">
                  <c:v>663588.9436015957</c:v>
                </c:pt>
                <c:pt idx="869">
                  <c:v>663588.9436015957</c:v>
                </c:pt>
                <c:pt idx="870">
                  <c:v>663588.9436015957</c:v>
                </c:pt>
                <c:pt idx="871">
                  <c:v>663588.9436015957</c:v>
                </c:pt>
                <c:pt idx="872">
                  <c:v>663588.9436015957</c:v>
                </c:pt>
                <c:pt idx="873">
                  <c:v>663588.9436015957</c:v>
                </c:pt>
                <c:pt idx="874">
                  <c:v>663588.9436015957</c:v>
                </c:pt>
                <c:pt idx="875">
                  <c:v>663588.9436015957</c:v>
                </c:pt>
                <c:pt idx="876">
                  <c:v>663588.9436015957</c:v>
                </c:pt>
                <c:pt idx="877">
                  <c:v>663588.9436015957</c:v>
                </c:pt>
                <c:pt idx="878">
                  <c:v>663588.9436015957</c:v>
                </c:pt>
                <c:pt idx="879">
                  <c:v>663588.9436015957</c:v>
                </c:pt>
                <c:pt idx="880">
                  <c:v>663588.9436015957</c:v>
                </c:pt>
                <c:pt idx="881">
                  <c:v>663588.9436015957</c:v>
                </c:pt>
                <c:pt idx="882">
                  <c:v>663588.9436015957</c:v>
                </c:pt>
                <c:pt idx="883">
                  <c:v>663588.9436015957</c:v>
                </c:pt>
                <c:pt idx="884">
                  <c:v>663588.9436015957</c:v>
                </c:pt>
                <c:pt idx="885">
                  <c:v>663588.9436015957</c:v>
                </c:pt>
                <c:pt idx="886">
                  <c:v>663588.9436015957</c:v>
                </c:pt>
                <c:pt idx="887">
                  <c:v>663588.9436015957</c:v>
                </c:pt>
                <c:pt idx="888">
                  <c:v>663588.9436015957</c:v>
                </c:pt>
                <c:pt idx="889">
                  <c:v>663588.9436015957</c:v>
                </c:pt>
                <c:pt idx="890">
                  <c:v>663588.9436015957</c:v>
                </c:pt>
                <c:pt idx="891">
                  <c:v>663588.9436015957</c:v>
                </c:pt>
                <c:pt idx="892">
                  <c:v>663588.9436015957</c:v>
                </c:pt>
                <c:pt idx="893">
                  <c:v>663588.9436015957</c:v>
                </c:pt>
                <c:pt idx="894">
                  <c:v>663588.9436015957</c:v>
                </c:pt>
                <c:pt idx="895">
                  <c:v>663588.9436015957</c:v>
                </c:pt>
                <c:pt idx="896">
                  <c:v>663588.9436015957</c:v>
                </c:pt>
                <c:pt idx="897">
                  <c:v>663588.9436015957</c:v>
                </c:pt>
                <c:pt idx="898">
                  <c:v>663588.9436015957</c:v>
                </c:pt>
                <c:pt idx="899">
                  <c:v>663588.9436015957</c:v>
                </c:pt>
                <c:pt idx="900">
                  <c:v>663588.9436015957</c:v>
                </c:pt>
                <c:pt idx="901">
                  <c:v>663588.9436015957</c:v>
                </c:pt>
                <c:pt idx="902">
                  <c:v>663588.9436015957</c:v>
                </c:pt>
                <c:pt idx="903">
                  <c:v>663588.9436015957</c:v>
                </c:pt>
                <c:pt idx="904">
                  <c:v>663588.9436015957</c:v>
                </c:pt>
                <c:pt idx="905">
                  <c:v>663588.9436015957</c:v>
                </c:pt>
                <c:pt idx="906">
                  <c:v>663588.9436015957</c:v>
                </c:pt>
                <c:pt idx="907">
                  <c:v>663588.9436015957</c:v>
                </c:pt>
                <c:pt idx="908">
                  <c:v>663588.9436015957</c:v>
                </c:pt>
                <c:pt idx="909">
                  <c:v>663588.9436015957</c:v>
                </c:pt>
                <c:pt idx="910">
                  <c:v>663588.9436015957</c:v>
                </c:pt>
                <c:pt idx="911">
                  <c:v>663588.9436015957</c:v>
                </c:pt>
                <c:pt idx="912">
                  <c:v>663588.9436015957</c:v>
                </c:pt>
                <c:pt idx="913">
                  <c:v>663588.9436015957</c:v>
                </c:pt>
                <c:pt idx="914">
                  <c:v>663588.9436015957</c:v>
                </c:pt>
                <c:pt idx="915">
                  <c:v>663588.9436015957</c:v>
                </c:pt>
                <c:pt idx="916">
                  <c:v>663588.9436015957</c:v>
                </c:pt>
                <c:pt idx="917">
                  <c:v>663588.9436015957</c:v>
                </c:pt>
                <c:pt idx="918">
                  <c:v>663588.9436015957</c:v>
                </c:pt>
                <c:pt idx="919">
                  <c:v>663588.9436015957</c:v>
                </c:pt>
                <c:pt idx="920">
                  <c:v>663588.9436015957</c:v>
                </c:pt>
                <c:pt idx="921">
                  <c:v>663588.9436015957</c:v>
                </c:pt>
                <c:pt idx="922">
                  <c:v>663588.9436015957</c:v>
                </c:pt>
                <c:pt idx="923">
                  <c:v>663588.9436015957</c:v>
                </c:pt>
                <c:pt idx="924">
                  <c:v>663588.9436015957</c:v>
                </c:pt>
                <c:pt idx="925">
                  <c:v>663588.9436015957</c:v>
                </c:pt>
                <c:pt idx="926">
                  <c:v>663588.9436015957</c:v>
                </c:pt>
                <c:pt idx="927">
                  <c:v>663588.9436015957</c:v>
                </c:pt>
                <c:pt idx="928">
                  <c:v>663588.9436015957</c:v>
                </c:pt>
                <c:pt idx="929">
                  <c:v>663588.9436015957</c:v>
                </c:pt>
                <c:pt idx="930">
                  <c:v>663588.9436015957</c:v>
                </c:pt>
                <c:pt idx="931">
                  <c:v>663588.9436015957</c:v>
                </c:pt>
                <c:pt idx="932">
                  <c:v>663588.9436015957</c:v>
                </c:pt>
                <c:pt idx="933">
                  <c:v>663588.9436015957</c:v>
                </c:pt>
                <c:pt idx="934">
                  <c:v>663588.9436015957</c:v>
                </c:pt>
                <c:pt idx="935">
                  <c:v>663588.9436015957</c:v>
                </c:pt>
                <c:pt idx="936">
                  <c:v>663588.9436015957</c:v>
                </c:pt>
                <c:pt idx="937">
                  <c:v>663588.9436015957</c:v>
                </c:pt>
                <c:pt idx="938">
                  <c:v>663588.9436015957</c:v>
                </c:pt>
                <c:pt idx="939">
                  <c:v>663588.9436015957</c:v>
                </c:pt>
                <c:pt idx="940">
                  <c:v>663588.9436015957</c:v>
                </c:pt>
                <c:pt idx="941">
                  <c:v>663588.9436015957</c:v>
                </c:pt>
                <c:pt idx="942">
                  <c:v>663588.9436015957</c:v>
                </c:pt>
                <c:pt idx="943">
                  <c:v>663588.9436015957</c:v>
                </c:pt>
                <c:pt idx="944">
                  <c:v>663588.9436015957</c:v>
                </c:pt>
                <c:pt idx="945">
                  <c:v>663588.9436015957</c:v>
                </c:pt>
                <c:pt idx="946">
                  <c:v>663588.9436015957</c:v>
                </c:pt>
                <c:pt idx="947">
                  <c:v>663588.9436015957</c:v>
                </c:pt>
                <c:pt idx="948">
                  <c:v>663588.9436015957</c:v>
                </c:pt>
                <c:pt idx="949">
                  <c:v>663588.9436015957</c:v>
                </c:pt>
                <c:pt idx="950">
                  <c:v>663588.9436015957</c:v>
                </c:pt>
                <c:pt idx="951">
                  <c:v>663588.9436015957</c:v>
                </c:pt>
                <c:pt idx="952">
                  <c:v>663588.9436015957</c:v>
                </c:pt>
                <c:pt idx="953">
                  <c:v>663588.9436015957</c:v>
                </c:pt>
                <c:pt idx="954">
                  <c:v>663588.9436015957</c:v>
                </c:pt>
                <c:pt idx="955">
                  <c:v>663588.9436015957</c:v>
                </c:pt>
                <c:pt idx="956">
                  <c:v>663588.9436015957</c:v>
                </c:pt>
                <c:pt idx="957">
                  <c:v>663588.9436015957</c:v>
                </c:pt>
                <c:pt idx="958">
                  <c:v>663588.9436015957</c:v>
                </c:pt>
                <c:pt idx="959">
                  <c:v>663588.9436015957</c:v>
                </c:pt>
                <c:pt idx="960">
                  <c:v>663588.9436015957</c:v>
                </c:pt>
                <c:pt idx="961">
                  <c:v>663588.9436015957</c:v>
                </c:pt>
                <c:pt idx="962">
                  <c:v>663588.9436015957</c:v>
                </c:pt>
                <c:pt idx="963">
                  <c:v>663588.9436015957</c:v>
                </c:pt>
                <c:pt idx="964">
                  <c:v>663588.9436015957</c:v>
                </c:pt>
                <c:pt idx="965">
                  <c:v>663588.9436015957</c:v>
                </c:pt>
                <c:pt idx="966">
                  <c:v>663588.9436015957</c:v>
                </c:pt>
                <c:pt idx="967">
                  <c:v>663588.9436015957</c:v>
                </c:pt>
                <c:pt idx="968">
                  <c:v>663588.9436015957</c:v>
                </c:pt>
                <c:pt idx="969">
                  <c:v>663588.9436015957</c:v>
                </c:pt>
                <c:pt idx="970">
                  <c:v>663588.9436015957</c:v>
                </c:pt>
                <c:pt idx="971">
                  <c:v>663588.9436015957</c:v>
                </c:pt>
                <c:pt idx="972">
                  <c:v>663588.9436015957</c:v>
                </c:pt>
                <c:pt idx="973">
                  <c:v>663588.9436015957</c:v>
                </c:pt>
                <c:pt idx="974">
                  <c:v>663588.9436015957</c:v>
                </c:pt>
                <c:pt idx="975">
                  <c:v>663588.9436015957</c:v>
                </c:pt>
                <c:pt idx="976">
                  <c:v>663588.9436015957</c:v>
                </c:pt>
                <c:pt idx="977">
                  <c:v>663588.9436015957</c:v>
                </c:pt>
                <c:pt idx="978">
                  <c:v>663588.9436015957</c:v>
                </c:pt>
                <c:pt idx="979">
                  <c:v>663588.9436015957</c:v>
                </c:pt>
                <c:pt idx="980">
                  <c:v>663588.9436015957</c:v>
                </c:pt>
                <c:pt idx="981">
                  <c:v>663588.9436015957</c:v>
                </c:pt>
                <c:pt idx="982">
                  <c:v>663588.9436015957</c:v>
                </c:pt>
                <c:pt idx="983">
                  <c:v>663588.9436015957</c:v>
                </c:pt>
                <c:pt idx="984">
                  <c:v>663588.9436015957</c:v>
                </c:pt>
                <c:pt idx="985">
                  <c:v>663588.9436015957</c:v>
                </c:pt>
                <c:pt idx="986">
                  <c:v>663588.9436015957</c:v>
                </c:pt>
                <c:pt idx="987">
                  <c:v>663588.9436015957</c:v>
                </c:pt>
                <c:pt idx="988">
                  <c:v>663588.9436015957</c:v>
                </c:pt>
                <c:pt idx="989">
                  <c:v>663588.9436015957</c:v>
                </c:pt>
                <c:pt idx="990">
                  <c:v>663588.9436015957</c:v>
                </c:pt>
                <c:pt idx="991">
                  <c:v>663588.9436015957</c:v>
                </c:pt>
                <c:pt idx="992">
                  <c:v>663588.9436015957</c:v>
                </c:pt>
                <c:pt idx="993">
                  <c:v>663588.9436015957</c:v>
                </c:pt>
                <c:pt idx="994">
                  <c:v>663588.9436015957</c:v>
                </c:pt>
                <c:pt idx="995">
                  <c:v>663588.9436015957</c:v>
                </c:pt>
                <c:pt idx="996">
                  <c:v>663588.9436015957</c:v>
                </c:pt>
                <c:pt idx="997">
                  <c:v>663588.9436015957</c:v>
                </c:pt>
                <c:pt idx="998">
                  <c:v>663588.9436015957</c:v>
                </c:pt>
                <c:pt idx="999">
                  <c:v>663588.9436015957</c:v>
                </c:pt>
                <c:pt idx="1000">
                  <c:v>663588.9436015957</c:v>
                </c:pt>
                <c:pt idx="1001">
                  <c:v>663588.9436015957</c:v>
                </c:pt>
                <c:pt idx="1002">
                  <c:v>663588.9436015957</c:v>
                </c:pt>
                <c:pt idx="1003">
                  <c:v>663588.9436015957</c:v>
                </c:pt>
                <c:pt idx="1004">
                  <c:v>663588.9436015957</c:v>
                </c:pt>
                <c:pt idx="1005">
                  <c:v>663588.9436015957</c:v>
                </c:pt>
                <c:pt idx="1006">
                  <c:v>663588.9436015957</c:v>
                </c:pt>
                <c:pt idx="1007">
                  <c:v>663588.9436015957</c:v>
                </c:pt>
                <c:pt idx="1008">
                  <c:v>663588.9436015957</c:v>
                </c:pt>
                <c:pt idx="1009">
                  <c:v>663588.9436015957</c:v>
                </c:pt>
                <c:pt idx="1010">
                  <c:v>663588.9436015957</c:v>
                </c:pt>
                <c:pt idx="1011">
                  <c:v>663588.9436015957</c:v>
                </c:pt>
                <c:pt idx="1012">
                  <c:v>663588.9436015957</c:v>
                </c:pt>
                <c:pt idx="1013">
                  <c:v>663588.9436015957</c:v>
                </c:pt>
                <c:pt idx="1014">
                  <c:v>663588.9436015957</c:v>
                </c:pt>
                <c:pt idx="1015">
                  <c:v>663588.9436015957</c:v>
                </c:pt>
                <c:pt idx="1016">
                  <c:v>663588.9436015957</c:v>
                </c:pt>
                <c:pt idx="1017">
                  <c:v>663588.9436015957</c:v>
                </c:pt>
                <c:pt idx="1018">
                  <c:v>663588.9436015957</c:v>
                </c:pt>
                <c:pt idx="1019">
                  <c:v>663588.9436015957</c:v>
                </c:pt>
                <c:pt idx="1020">
                  <c:v>663588.9436015957</c:v>
                </c:pt>
                <c:pt idx="1021">
                  <c:v>663588.9436015957</c:v>
                </c:pt>
                <c:pt idx="1022">
                  <c:v>663588.9436015957</c:v>
                </c:pt>
                <c:pt idx="1023">
                  <c:v>663588.9436015957</c:v>
                </c:pt>
                <c:pt idx="1024">
                  <c:v>663588.9436015957</c:v>
                </c:pt>
                <c:pt idx="1025">
                  <c:v>663588.9436015957</c:v>
                </c:pt>
                <c:pt idx="1026">
                  <c:v>663588.9436015957</c:v>
                </c:pt>
                <c:pt idx="1027">
                  <c:v>663588.9436015957</c:v>
                </c:pt>
                <c:pt idx="1028">
                  <c:v>663588.9436015957</c:v>
                </c:pt>
                <c:pt idx="1029">
                  <c:v>663588.9436015957</c:v>
                </c:pt>
                <c:pt idx="1030">
                  <c:v>663588.9436015957</c:v>
                </c:pt>
                <c:pt idx="1031">
                  <c:v>663588.9436015957</c:v>
                </c:pt>
                <c:pt idx="1032">
                  <c:v>663588.9436015957</c:v>
                </c:pt>
                <c:pt idx="1033">
                  <c:v>663588.9436015957</c:v>
                </c:pt>
                <c:pt idx="1034">
                  <c:v>663588.9436015957</c:v>
                </c:pt>
                <c:pt idx="1035">
                  <c:v>663588.9436015957</c:v>
                </c:pt>
                <c:pt idx="1036">
                  <c:v>663588.9436015957</c:v>
                </c:pt>
                <c:pt idx="1037">
                  <c:v>663588.9436015957</c:v>
                </c:pt>
                <c:pt idx="1038">
                  <c:v>663588.9436015957</c:v>
                </c:pt>
                <c:pt idx="1039">
                  <c:v>663588.9436015957</c:v>
                </c:pt>
                <c:pt idx="1040">
                  <c:v>663588.9436015957</c:v>
                </c:pt>
                <c:pt idx="1041">
                  <c:v>663588.9436015957</c:v>
                </c:pt>
                <c:pt idx="1042">
                  <c:v>663588.9436015957</c:v>
                </c:pt>
                <c:pt idx="1043">
                  <c:v>663588.9436015957</c:v>
                </c:pt>
                <c:pt idx="1044">
                  <c:v>663588.9436015957</c:v>
                </c:pt>
                <c:pt idx="1045">
                  <c:v>663588.9436015957</c:v>
                </c:pt>
                <c:pt idx="1046">
                  <c:v>663588.9436015957</c:v>
                </c:pt>
                <c:pt idx="1047">
                  <c:v>663588.9436015957</c:v>
                </c:pt>
                <c:pt idx="1048">
                  <c:v>663588.9436015957</c:v>
                </c:pt>
                <c:pt idx="1049">
                  <c:v>663588.9436015957</c:v>
                </c:pt>
                <c:pt idx="1050">
                  <c:v>663588.9436015957</c:v>
                </c:pt>
                <c:pt idx="1051">
                  <c:v>663588.9436015957</c:v>
                </c:pt>
                <c:pt idx="1052">
                  <c:v>663588.9436015957</c:v>
                </c:pt>
                <c:pt idx="1053">
                  <c:v>663588.9436015957</c:v>
                </c:pt>
                <c:pt idx="1054">
                  <c:v>663588.9436015957</c:v>
                </c:pt>
                <c:pt idx="1055">
                  <c:v>663588.9436015957</c:v>
                </c:pt>
                <c:pt idx="1056">
                  <c:v>663588.9436015957</c:v>
                </c:pt>
                <c:pt idx="1057">
                  <c:v>663588.9436015957</c:v>
                </c:pt>
                <c:pt idx="1058">
                  <c:v>663588.9436015957</c:v>
                </c:pt>
                <c:pt idx="1059">
                  <c:v>663588.9436015957</c:v>
                </c:pt>
                <c:pt idx="1060">
                  <c:v>663588.9436015957</c:v>
                </c:pt>
                <c:pt idx="1061">
                  <c:v>663588.9436015957</c:v>
                </c:pt>
                <c:pt idx="1062">
                  <c:v>663588.9436015957</c:v>
                </c:pt>
                <c:pt idx="1063">
                  <c:v>663588.9436015957</c:v>
                </c:pt>
                <c:pt idx="1064">
                  <c:v>663588.9436015957</c:v>
                </c:pt>
                <c:pt idx="1065">
                  <c:v>663588.9436015957</c:v>
                </c:pt>
                <c:pt idx="1066">
                  <c:v>663588.9436015957</c:v>
                </c:pt>
                <c:pt idx="1067">
                  <c:v>663588.9436015957</c:v>
                </c:pt>
                <c:pt idx="1068">
                  <c:v>663588.9436015957</c:v>
                </c:pt>
                <c:pt idx="1069">
                  <c:v>663588.9436015957</c:v>
                </c:pt>
                <c:pt idx="1070">
                  <c:v>663588.9436015957</c:v>
                </c:pt>
                <c:pt idx="1071">
                  <c:v>663588.9436015957</c:v>
                </c:pt>
                <c:pt idx="1072">
                  <c:v>663588.9436015957</c:v>
                </c:pt>
                <c:pt idx="1073">
                  <c:v>663588.9436015957</c:v>
                </c:pt>
                <c:pt idx="1074">
                  <c:v>663588.9436015957</c:v>
                </c:pt>
                <c:pt idx="1075">
                  <c:v>663588.9436015957</c:v>
                </c:pt>
                <c:pt idx="1076">
                  <c:v>663588.9436015957</c:v>
                </c:pt>
                <c:pt idx="1077">
                  <c:v>663588.9436015957</c:v>
                </c:pt>
                <c:pt idx="1078">
                  <c:v>663588.9436015957</c:v>
                </c:pt>
                <c:pt idx="1079">
                  <c:v>663588.9436015957</c:v>
                </c:pt>
                <c:pt idx="1080">
                  <c:v>663588.9436015957</c:v>
                </c:pt>
                <c:pt idx="1081">
                  <c:v>663588.9436015957</c:v>
                </c:pt>
                <c:pt idx="1082">
                  <c:v>663588.9436015957</c:v>
                </c:pt>
                <c:pt idx="1083">
                  <c:v>663588.9436015957</c:v>
                </c:pt>
                <c:pt idx="1084">
                  <c:v>663588.9436015957</c:v>
                </c:pt>
                <c:pt idx="1085">
                  <c:v>663588.9436015957</c:v>
                </c:pt>
                <c:pt idx="1086">
                  <c:v>663588.9436015957</c:v>
                </c:pt>
                <c:pt idx="1087">
                  <c:v>663588.9436015957</c:v>
                </c:pt>
                <c:pt idx="1088">
                  <c:v>663588.9436015957</c:v>
                </c:pt>
                <c:pt idx="1089">
                  <c:v>663588.9436015957</c:v>
                </c:pt>
                <c:pt idx="1090">
                  <c:v>663588.9436015957</c:v>
                </c:pt>
                <c:pt idx="1091">
                  <c:v>663588.9436015957</c:v>
                </c:pt>
                <c:pt idx="1092">
                  <c:v>663588.9436015957</c:v>
                </c:pt>
                <c:pt idx="1093">
                  <c:v>663588.9436015957</c:v>
                </c:pt>
                <c:pt idx="1094">
                  <c:v>663588.9436015957</c:v>
                </c:pt>
                <c:pt idx="1095">
                  <c:v>663588.9436015957</c:v>
                </c:pt>
                <c:pt idx="1096">
                  <c:v>663588.9436015957</c:v>
                </c:pt>
                <c:pt idx="1097">
                  <c:v>663588.9436015957</c:v>
                </c:pt>
                <c:pt idx="1098">
                  <c:v>663588.9436015957</c:v>
                </c:pt>
                <c:pt idx="1099">
                  <c:v>663588.9436015957</c:v>
                </c:pt>
                <c:pt idx="1100">
                  <c:v>663588.9436015957</c:v>
                </c:pt>
                <c:pt idx="1101">
                  <c:v>663588.9436015957</c:v>
                </c:pt>
                <c:pt idx="1102">
                  <c:v>663588.9436015957</c:v>
                </c:pt>
                <c:pt idx="1103">
                  <c:v>663588.9436015957</c:v>
                </c:pt>
                <c:pt idx="1104">
                  <c:v>663588.9436015957</c:v>
                </c:pt>
                <c:pt idx="1105">
                  <c:v>663588.9436015957</c:v>
                </c:pt>
                <c:pt idx="1106">
                  <c:v>663588.9436015957</c:v>
                </c:pt>
                <c:pt idx="1107">
                  <c:v>663588.9436015957</c:v>
                </c:pt>
                <c:pt idx="1108">
                  <c:v>663588.9436015957</c:v>
                </c:pt>
                <c:pt idx="1109">
                  <c:v>663588.9436015957</c:v>
                </c:pt>
                <c:pt idx="1110">
                  <c:v>663588.9436015957</c:v>
                </c:pt>
                <c:pt idx="1111">
                  <c:v>663588.9436015957</c:v>
                </c:pt>
                <c:pt idx="1112">
                  <c:v>663588.9436015957</c:v>
                </c:pt>
                <c:pt idx="1113">
                  <c:v>663588.9436015957</c:v>
                </c:pt>
                <c:pt idx="1114">
                  <c:v>663588.9436015957</c:v>
                </c:pt>
                <c:pt idx="1115">
                  <c:v>663588.9436015957</c:v>
                </c:pt>
                <c:pt idx="1116">
                  <c:v>663588.9436015957</c:v>
                </c:pt>
                <c:pt idx="1117">
                  <c:v>663588.9436015957</c:v>
                </c:pt>
                <c:pt idx="1118">
                  <c:v>663588.9436015957</c:v>
                </c:pt>
                <c:pt idx="1119">
                  <c:v>663588.9436015957</c:v>
                </c:pt>
                <c:pt idx="1120">
                  <c:v>663588.9436015957</c:v>
                </c:pt>
                <c:pt idx="1121">
                  <c:v>663588.9436015957</c:v>
                </c:pt>
                <c:pt idx="1122">
                  <c:v>663588.9436015957</c:v>
                </c:pt>
                <c:pt idx="1123">
                  <c:v>663588.9436015957</c:v>
                </c:pt>
                <c:pt idx="1124">
                  <c:v>663588.9436015957</c:v>
                </c:pt>
                <c:pt idx="1125">
                  <c:v>663588.9436015957</c:v>
                </c:pt>
                <c:pt idx="1126">
                  <c:v>663588.9436015957</c:v>
                </c:pt>
                <c:pt idx="1127">
                  <c:v>663588.9436015957</c:v>
                </c:pt>
                <c:pt idx="1128">
                  <c:v>663588.9436015957</c:v>
                </c:pt>
                <c:pt idx="1129">
                  <c:v>663588.9436015957</c:v>
                </c:pt>
                <c:pt idx="1130">
                  <c:v>663588.9436015957</c:v>
                </c:pt>
                <c:pt idx="1131">
                  <c:v>663588.9436015957</c:v>
                </c:pt>
                <c:pt idx="1132">
                  <c:v>663588.9436015957</c:v>
                </c:pt>
                <c:pt idx="1133">
                  <c:v>663588.9436015957</c:v>
                </c:pt>
                <c:pt idx="1134">
                  <c:v>663588.9436015957</c:v>
                </c:pt>
                <c:pt idx="1135">
                  <c:v>663588.9436015957</c:v>
                </c:pt>
                <c:pt idx="1136">
                  <c:v>663588.9436015957</c:v>
                </c:pt>
                <c:pt idx="1137">
                  <c:v>663588.9436015957</c:v>
                </c:pt>
                <c:pt idx="1138">
                  <c:v>663588.9436015957</c:v>
                </c:pt>
                <c:pt idx="1139">
                  <c:v>663588.9436015957</c:v>
                </c:pt>
                <c:pt idx="1140">
                  <c:v>663588.9436015957</c:v>
                </c:pt>
                <c:pt idx="1141">
                  <c:v>663588.9436015957</c:v>
                </c:pt>
                <c:pt idx="1142">
                  <c:v>663588.9436015957</c:v>
                </c:pt>
                <c:pt idx="1143">
                  <c:v>663588.9436015957</c:v>
                </c:pt>
                <c:pt idx="1144">
                  <c:v>663588.9436015957</c:v>
                </c:pt>
                <c:pt idx="1145">
                  <c:v>663588.9436015957</c:v>
                </c:pt>
                <c:pt idx="1146">
                  <c:v>663588.9436015957</c:v>
                </c:pt>
                <c:pt idx="1147">
                  <c:v>663588.9436015957</c:v>
                </c:pt>
                <c:pt idx="1148">
                  <c:v>663588.9436015957</c:v>
                </c:pt>
                <c:pt idx="1149">
                  <c:v>663588.9436015957</c:v>
                </c:pt>
                <c:pt idx="1150">
                  <c:v>663588.9436015957</c:v>
                </c:pt>
                <c:pt idx="1151">
                  <c:v>663588.9436015957</c:v>
                </c:pt>
                <c:pt idx="1152">
                  <c:v>663588.9436015957</c:v>
                </c:pt>
                <c:pt idx="1153">
                  <c:v>663588.9436015957</c:v>
                </c:pt>
                <c:pt idx="1154">
                  <c:v>663588.9436015957</c:v>
                </c:pt>
                <c:pt idx="1155">
                  <c:v>663588.9436015957</c:v>
                </c:pt>
                <c:pt idx="1156">
                  <c:v>663588.9436015957</c:v>
                </c:pt>
                <c:pt idx="1157">
                  <c:v>663588.9436015957</c:v>
                </c:pt>
                <c:pt idx="1158">
                  <c:v>663588.9436015957</c:v>
                </c:pt>
                <c:pt idx="1159">
                  <c:v>663588.9436015957</c:v>
                </c:pt>
                <c:pt idx="1160">
                  <c:v>663588.9436015957</c:v>
                </c:pt>
                <c:pt idx="1161">
                  <c:v>663588.9436015957</c:v>
                </c:pt>
                <c:pt idx="1162">
                  <c:v>663588.9436015957</c:v>
                </c:pt>
                <c:pt idx="1163">
                  <c:v>663588.9436015957</c:v>
                </c:pt>
                <c:pt idx="1164">
                  <c:v>663588.9436015957</c:v>
                </c:pt>
                <c:pt idx="1165">
                  <c:v>663588.9436015957</c:v>
                </c:pt>
                <c:pt idx="1166">
                  <c:v>663588.9436015957</c:v>
                </c:pt>
                <c:pt idx="1167">
                  <c:v>663588.9436015957</c:v>
                </c:pt>
                <c:pt idx="1168">
                  <c:v>663588.9436015957</c:v>
                </c:pt>
                <c:pt idx="1169">
                  <c:v>663588.9436015957</c:v>
                </c:pt>
                <c:pt idx="1170">
                  <c:v>663588.9436015957</c:v>
                </c:pt>
                <c:pt idx="1171">
                  <c:v>663588.9436015957</c:v>
                </c:pt>
                <c:pt idx="1172">
                  <c:v>663588.9436015957</c:v>
                </c:pt>
                <c:pt idx="1173">
                  <c:v>663588.9436015957</c:v>
                </c:pt>
                <c:pt idx="1174">
                  <c:v>663588.9436015957</c:v>
                </c:pt>
                <c:pt idx="1175">
                  <c:v>663588.9436015957</c:v>
                </c:pt>
                <c:pt idx="1176">
                  <c:v>663588.9436015957</c:v>
                </c:pt>
                <c:pt idx="1177">
                  <c:v>663588.9436015957</c:v>
                </c:pt>
                <c:pt idx="1178">
                  <c:v>663588.9436015957</c:v>
                </c:pt>
                <c:pt idx="1179">
                  <c:v>663588.9436015957</c:v>
                </c:pt>
                <c:pt idx="1180">
                  <c:v>663588.9436015957</c:v>
                </c:pt>
                <c:pt idx="1181">
                  <c:v>663588.9436015957</c:v>
                </c:pt>
                <c:pt idx="1182">
                  <c:v>663588.9436015957</c:v>
                </c:pt>
                <c:pt idx="1183">
                  <c:v>663588.9436015957</c:v>
                </c:pt>
                <c:pt idx="1184">
                  <c:v>663588.9436015957</c:v>
                </c:pt>
                <c:pt idx="1185">
                  <c:v>663588.9436015957</c:v>
                </c:pt>
                <c:pt idx="1186">
                  <c:v>663588.9436015957</c:v>
                </c:pt>
                <c:pt idx="1187">
                  <c:v>663588.9436015957</c:v>
                </c:pt>
                <c:pt idx="1188">
                  <c:v>663588.9436015957</c:v>
                </c:pt>
                <c:pt idx="1189">
                  <c:v>663588.9436015957</c:v>
                </c:pt>
                <c:pt idx="1190">
                  <c:v>663588.9436015957</c:v>
                </c:pt>
                <c:pt idx="1191">
                  <c:v>663588.9436015957</c:v>
                </c:pt>
                <c:pt idx="1192">
                  <c:v>663588.9436015957</c:v>
                </c:pt>
                <c:pt idx="1193">
                  <c:v>663588.9436015957</c:v>
                </c:pt>
                <c:pt idx="1194">
                  <c:v>663588.9436015957</c:v>
                </c:pt>
                <c:pt idx="1195">
                  <c:v>663588.9436015957</c:v>
                </c:pt>
                <c:pt idx="1196">
                  <c:v>663588.9436015957</c:v>
                </c:pt>
                <c:pt idx="1197">
                  <c:v>663588.9436015957</c:v>
                </c:pt>
                <c:pt idx="1198">
                  <c:v>663588.9436015957</c:v>
                </c:pt>
                <c:pt idx="1199">
                  <c:v>663588.9436015957</c:v>
                </c:pt>
                <c:pt idx="1200">
                  <c:v>663588.9436015957</c:v>
                </c:pt>
                <c:pt idx="1201">
                  <c:v>663588.9436015957</c:v>
                </c:pt>
                <c:pt idx="1202">
                  <c:v>663588.9436015957</c:v>
                </c:pt>
                <c:pt idx="1203">
                  <c:v>663588.9436015957</c:v>
                </c:pt>
                <c:pt idx="1204">
                  <c:v>663588.9436015957</c:v>
                </c:pt>
                <c:pt idx="1205">
                  <c:v>663588.9436015957</c:v>
                </c:pt>
                <c:pt idx="1206">
                  <c:v>663588.9436015957</c:v>
                </c:pt>
                <c:pt idx="1207">
                  <c:v>663588.9436015957</c:v>
                </c:pt>
                <c:pt idx="1208">
                  <c:v>663588.9436015957</c:v>
                </c:pt>
                <c:pt idx="1209">
                  <c:v>663588.9436015957</c:v>
                </c:pt>
                <c:pt idx="1210">
                  <c:v>663588.9436015957</c:v>
                </c:pt>
                <c:pt idx="1211">
                  <c:v>663588.9436015957</c:v>
                </c:pt>
                <c:pt idx="1212">
                  <c:v>663588.9436015957</c:v>
                </c:pt>
                <c:pt idx="1213">
                  <c:v>663588.9436015957</c:v>
                </c:pt>
                <c:pt idx="1214">
                  <c:v>663588.9436015957</c:v>
                </c:pt>
                <c:pt idx="1215">
                  <c:v>663588.9436015957</c:v>
                </c:pt>
                <c:pt idx="1216">
                  <c:v>663588.9436015957</c:v>
                </c:pt>
                <c:pt idx="1217">
                  <c:v>663588.9436015957</c:v>
                </c:pt>
                <c:pt idx="1218">
                  <c:v>663588.9436015957</c:v>
                </c:pt>
                <c:pt idx="1219">
                  <c:v>663588.9436015957</c:v>
                </c:pt>
                <c:pt idx="1220">
                  <c:v>663588.9436015957</c:v>
                </c:pt>
                <c:pt idx="1221">
                  <c:v>663588.9436015957</c:v>
                </c:pt>
                <c:pt idx="1222">
                  <c:v>663588.9436015957</c:v>
                </c:pt>
                <c:pt idx="1223">
                  <c:v>663588.9436015957</c:v>
                </c:pt>
                <c:pt idx="1224">
                  <c:v>663588.9436015957</c:v>
                </c:pt>
                <c:pt idx="1225">
                  <c:v>663588.9436015957</c:v>
                </c:pt>
                <c:pt idx="1226">
                  <c:v>663588.9436015957</c:v>
                </c:pt>
                <c:pt idx="1227">
                  <c:v>663588.9436015957</c:v>
                </c:pt>
                <c:pt idx="1228">
                  <c:v>663588.9436015957</c:v>
                </c:pt>
                <c:pt idx="1229">
                  <c:v>663588.9436015957</c:v>
                </c:pt>
                <c:pt idx="1230">
                  <c:v>663588.9436015957</c:v>
                </c:pt>
                <c:pt idx="1231">
                  <c:v>663588.9436015957</c:v>
                </c:pt>
                <c:pt idx="1232">
                  <c:v>663588.9436015957</c:v>
                </c:pt>
                <c:pt idx="1233">
                  <c:v>663588.9436015957</c:v>
                </c:pt>
                <c:pt idx="1234">
                  <c:v>663588.9436015957</c:v>
                </c:pt>
                <c:pt idx="1235">
                  <c:v>663588.9436015957</c:v>
                </c:pt>
                <c:pt idx="1236">
                  <c:v>663588.9436015957</c:v>
                </c:pt>
                <c:pt idx="1237">
                  <c:v>663588.9436015957</c:v>
                </c:pt>
                <c:pt idx="1238">
                  <c:v>663588.9436015957</c:v>
                </c:pt>
                <c:pt idx="1239">
                  <c:v>663588.9436015957</c:v>
                </c:pt>
                <c:pt idx="1240">
                  <c:v>663588.9436015957</c:v>
                </c:pt>
                <c:pt idx="1241">
                  <c:v>663588.9436015957</c:v>
                </c:pt>
                <c:pt idx="1242">
                  <c:v>663588.9436015957</c:v>
                </c:pt>
                <c:pt idx="1243">
                  <c:v>663588.9436015957</c:v>
                </c:pt>
                <c:pt idx="1244">
                  <c:v>663588.9436015957</c:v>
                </c:pt>
                <c:pt idx="1245">
                  <c:v>663588.9436015957</c:v>
                </c:pt>
                <c:pt idx="1246">
                  <c:v>663588.9436015957</c:v>
                </c:pt>
                <c:pt idx="1247">
                  <c:v>663588.9436015957</c:v>
                </c:pt>
                <c:pt idx="1248">
                  <c:v>663588.9436015957</c:v>
                </c:pt>
                <c:pt idx="1249">
                  <c:v>663588.9436015957</c:v>
                </c:pt>
                <c:pt idx="1250">
                  <c:v>663588.9436015957</c:v>
                </c:pt>
                <c:pt idx="1251">
                  <c:v>663588.9436015957</c:v>
                </c:pt>
                <c:pt idx="1252">
                  <c:v>663588.9436015957</c:v>
                </c:pt>
                <c:pt idx="1253">
                  <c:v>663588.9436015957</c:v>
                </c:pt>
                <c:pt idx="1254">
                  <c:v>663588.9436015957</c:v>
                </c:pt>
                <c:pt idx="1255">
                  <c:v>663588.9436015957</c:v>
                </c:pt>
                <c:pt idx="1256">
                  <c:v>663588.9436015957</c:v>
                </c:pt>
                <c:pt idx="1257">
                  <c:v>663588.9436015957</c:v>
                </c:pt>
                <c:pt idx="1258">
                  <c:v>663588.9436015957</c:v>
                </c:pt>
                <c:pt idx="1259">
                  <c:v>663588.9436015957</c:v>
                </c:pt>
                <c:pt idx="1260">
                  <c:v>663588.9436015957</c:v>
                </c:pt>
                <c:pt idx="1261">
                  <c:v>663588.9436015957</c:v>
                </c:pt>
                <c:pt idx="1262">
                  <c:v>663588.9436015957</c:v>
                </c:pt>
                <c:pt idx="1263">
                  <c:v>663588.9436015957</c:v>
                </c:pt>
                <c:pt idx="1264">
                  <c:v>663588.9436015957</c:v>
                </c:pt>
                <c:pt idx="1265">
                  <c:v>663588.9436015957</c:v>
                </c:pt>
                <c:pt idx="1266">
                  <c:v>663588.9436015957</c:v>
                </c:pt>
                <c:pt idx="1267">
                  <c:v>663588.9436015957</c:v>
                </c:pt>
                <c:pt idx="1268">
                  <c:v>663588.9436015957</c:v>
                </c:pt>
                <c:pt idx="1269">
                  <c:v>663588.9436015957</c:v>
                </c:pt>
                <c:pt idx="1270">
                  <c:v>663588.9436015957</c:v>
                </c:pt>
                <c:pt idx="1271">
                  <c:v>663588.9436015957</c:v>
                </c:pt>
                <c:pt idx="1272">
                  <c:v>663588.9436015957</c:v>
                </c:pt>
                <c:pt idx="1273">
                  <c:v>663588.9436015957</c:v>
                </c:pt>
                <c:pt idx="1274">
                  <c:v>663588.9436015957</c:v>
                </c:pt>
                <c:pt idx="1275">
                  <c:v>663588.9436015957</c:v>
                </c:pt>
                <c:pt idx="1276">
                  <c:v>663588.9436015957</c:v>
                </c:pt>
                <c:pt idx="1277">
                  <c:v>663588.9436015957</c:v>
                </c:pt>
                <c:pt idx="1278">
                  <c:v>663588.9436015957</c:v>
                </c:pt>
                <c:pt idx="1279">
                  <c:v>663588.9436015957</c:v>
                </c:pt>
                <c:pt idx="1280">
                  <c:v>663588.9436015957</c:v>
                </c:pt>
                <c:pt idx="1281">
                  <c:v>663588.9436015957</c:v>
                </c:pt>
                <c:pt idx="1282">
                  <c:v>663588.9436015957</c:v>
                </c:pt>
                <c:pt idx="1283">
                  <c:v>663588.9436015957</c:v>
                </c:pt>
                <c:pt idx="1284">
                  <c:v>663588.9436015957</c:v>
                </c:pt>
                <c:pt idx="1285">
                  <c:v>663588.9436015957</c:v>
                </c:pt>
                <c:pt idx="1286">
                  <c:v>663588.9436015957</c:v>
                </c:pt>
                <c:pt idx="1287">
                  <c:v>663588.9436015957</c:v>
                </c:pt>
                <c:pt idx="1288">
                  <c:v>663588.9436015957</c:v>
                </c:pt>
                <c:pt idx="1289">
                  <c:v>663588.9436015957</c:v>
                </c:pt>
                <c:pt idx="1290">
                  <c:v>663588.9436015957</c:v>
                </c:pt>
                <c:pt idx="1291">
                  <c:v>663588.9436015957</c:v>
                </c:pt>
                <c:pt idx="1292">
                  <c:v>663588.9436015957</c:v>
                </c:pt>
                <c:pt idx="1293">
                  <c:v>663588.9436015957</c:v>
                </c:pt>
                <c:pt idx="1294">
                  <c:v>663588.9436015957</c:v>
                </c:pt>
                <c:pt idx="1295">
                  <c:v>663588.9436015957</c:v>
                </c:pt>
                <c:pt idx="1296">
                  <c:v>663588.9436015957</c:v>
                </c:pt>
                <c:pt idx="1297">
                  <c:v>663588.9436015957</c:v>
                </c:pt>
                <c:pt idx="1298">
                  <c:v>663588.9436015957</c:v>
                </c:pt>
                <c:pt idx="1299">
                  <c:v>663588.9436015957</c:v>
                </c:pt>
                <c:pt idx="1300">
                  <c:v>663588.9436015957</c:v>
                </c:pt>
                <c:pt idx="1301">
                  <c:v>663588.9436015957</c:v>
                </c:pt>
                <c:pt idx="1302">
                  <c:v>663588.9436015957</c:v>
                </c:pt>
                <c:pt idx="1303">
                  <c:v>663588.9436015957</c:v>
                </c:pt>
                <c:pt idx="1304">
                  <c:v>663588.9436015957</c:v>
                </c:pt>
                <c:pt idx="1305">
                  <c:v>663588.9436015957</c:v>
                </c:pt>
                <c:pt idx="1306">
                  <c:v>663588.9436015957</c:v>
                </c:pt>
                <c:pt idx="1307">
                  <c:v>663588.9436015957</c:v>
                </c:pt>
                <c:pt idx="1308">
                  <c:v>663588.9436015957</c:v>
                </c:pt>
                <c:pt idx="1309">
                  <c:v>663588.9436015957</c:v>
                </c:pt>
                <c:pt idx="1310">
                  <c:v>663588.9436015957</c:v>
                </c:pt>
                <c:pt idx="1311">
                  <c:v>663588.9436015957</c:v>
                </c:pt>
                <c:pt idx="1312">
                  <c:v>663588.9436015957</c:v>
                </c:pt>
                <c:pt idx="1313">
                  <c:v>663588.9436015957</c:v>
                </c:pt>
                <c:pt idx="1314">
                  <c:v>663588.9436015957</c:v>
                </c:pt>
                <c:pt idx="1315">
                  <c:v>663588.9436015957</c:v>
                </c:pt>
                <c:pt idx="1316">
                  <c:v>663588.9436015957</c:v>
                </c:pt>
                <c:pt idx="1317">
                  <c:v>663588.9436015957</c:v>
                </c:pt>
                <c:pt idx="1318">
                  <c:v>663588.9436015957</c:v>
                </c:pt>
                <c:pt idx="1319">
                  <c:v>663588.9436015957</c:v>
                </c:pt>
                <c:pt idx="1320">
                  <c:v>663588.9436015957</c:v>
                </c:pt>
                <c:pt idx="1321">
                  <c:v>663588.9436015957</c:v>
                </c:pt>
                <c:pt idx="1322">
                  <c:v>663588.9436015957</c:v>
                </c:pt>
                <c:pt idx="1323">
                  <c:v>663588.9436015957</c:v>
                </c:pt>
                <c:pt idx="1324">
                  <c:v>663588.9436015957</c:v>
                </c:pt>
                <c:pt idx="1325">
                  <c:v>663588.9436015957</c:v>
                </c:pt>
                <c:pt idx="1326">
                  <c:v>663588.9436015957</c:v>
                </c:pt>
                <c:pt idx="1327">
                  <c:v>663588.9436015957</c:v>
                </c:pt>
                <c:pt idx="1328">
                  <c:v>663588.9436015957</c:v>
                </c:pt>
                <c:pt idx="1329">
                  <c:v>663588.9436015957</c:v>
                </c:pt>
                <c:pt idx="1330">
                  <c:v>663588.9436015957</c:v>
                </c:pt>
                <c:pt idx="1331">
                  <c:v>663588.9436015957</c:v>
                </c:pt>
                <c:pt idx="1332">
                  <c:v>663588.9436015957</c:v>
                </c:pt>
                <c:pt idx="1333">
                  <c:v>663588.9436015957</c:v>
                </c:pt>
                <c:pt idx="1334">
                  <c:v>663588.9436015957</c:v>
                </c:pt>
                <c:pt idx="1335">
                  <c:v>663588.9436015957</c:v>
                </c:pt>
                <c:pt idx="1336">
                  <c:v>663588.9436015957</c:v>
                </c:pt>
                <c:pt idx="1337">
                  <c:v>663588.9436015957</c:v>
                </c:pt>
                <c:pt idx="1338">
                  <c:v>663588.9436015957</c:v>
                </c:pt>
                <c:pt idx="1339">
                  <c:v>663588.9436015957</c:v>
                </c:pt>
                <c:pt idx="1340">
                  <c:v>663588.9436015957</c:v>
                </c:pt>
                <c:pt idx="1341">
                  <c:v>663588.9436015957</c:v>
                </c:pt>
                <c:pt idx="1342">
                  <c:v>663588.9436015957</c:v>
                </c:pt>
                <c:pt idx="1343">
                  <c:v>663588.9436015957</c:v>
                </c:pt>
                <c:pt idx="1344">
                  <c:v>663588.9436015957</c:v>
                </c:pt>
                <c:pt idx="1345">
                  <c:v>663588.9436015957</c:v>
                </c:pt>
                <c:pt idx="1346">
                  <c:v>663588.9436015957</c:v>
                </c:pt>
                <c:pt idx="1347">
                  <c:v>663588.9436015957</c:v>
                </c:pt>
                <c:pt idx="1348">
                  <c:v>663588.9436015957</c:v>
                </c:pt>
                <c:pt idx="1349">
                  <c:v>663588.9436015957</c:v>
                </c:pt>
                <c:pt idx="1350">
                  <c:v>663588.9436015957</c:v>
                </c:pt>
                <c:pt idx="1351">
                  <c:v>663588.9436015957</c:v>
                </c:pt>
                <c:pt idx="1352">
                  <c:v>663588.9436015957</c:v>
                </c:pt>
                <c:pt idx="1353">
                  <c:v>663588.9436015957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654686.889623233</c:v>
                </c:pt>
                <c:pt idx="17">
                  <c:v>654686.889623233</c:v>
                </c:pt>
                <c:pt idx="18">
                  <c:v>654686.889623233</c:v>
                </c:pt>
                <c:pt idx="19">
                  <c:v>654686.889623233</c:v>
                </c:pt>
                <c:pt idx="20">
                  <c:v>795885.01578509086</c:v>
                </c:pt>
                <c:pt idx="21">
                  <c:v>795885.01578509086</c:v>
                </c:pt>
                <c:pt idx="22">
                  <c:v>795885.01578509086</c:v>
                </c:pt>
                <c:pt idx="23">
                  <c:v>795885.01578509086</c:v>
                </c:pt>
                <c:pt idx="24">
                  <c:v>795885.01578509086</c:v>
                </c:pt>
                <c:pt idx="25">
                  <c:v>1263912.4880716857</c:v>
                </c:pt>
                <c:pt idx="26">
                  <c:v>1263912.4880716857</c:v>
                </c:pt>
                <c:pt idx="27">
                  <c:v>1263912.4880716857</c:v>
                </c:pt>
                <c:pt idx="28">
                  <c:v>1263912.4880716857</c:v>
                </c:pt>
                <c:pt idx="29">
                  <c:v>1644080.0028173611</c:v>
                </c:pt>
                <c:pt idx="30">
                  <c:v>1644080.0028173611</c:v>
                </c:pt>
                <c:pt idx="31">
                  <c:v>1644080.0028173611</c:v>
                </c:pt>
                <c:pt idx="32">
                  <c:v>1644080.0028173611</c:v>
                </c:pt>
                <c:pt idx="33">
                  <c:v>2041415.1179001904</c:v>
                </c:pt>
                <c:pt idx="34">
                  <c:v>2041415.1179001904</c:v>
                </c:pt>
                <c:pt idx="35">
                  <c:v>2041415.1179001904</c:v>
                </c:pt>
                <c:pt idx="36">
                  <c:v>2041415.1179001904</c:v>
                </c:pt>
                <c:pt idx="37">
                  <c:v>2041415.1179001904</c:v>
                </c:pt>
                <c:pt idx="38">
                  <c:v>2041415.1179001904</c:v>
                </c:pt>
                <c:pt idx="39">
                  <c:v>2041415.1179001904</c:v>
                </c:pt>
                <c:pt idx="40">
                  <c:v>2041415.1179001904</c:v>
                </c:pt>
                <c:pt idx="41">
                  <c:v>2041415.1179001904</c:v>
                </c:pt>
                <c:pt idx="42">
                  <c:v>2041415.1179001904</c:v>
                </c:pt>
                <c:pt idx="43">
                  <c:v>2041415.1179001904</c:v>
                </c:pt>
                <c:pt idx="44">
                  <c:v>2041415.1179001904</c:v>
                </c:pt>
                <c:pt idx="45">
                  <c:v>2041415.1179001904</c:v>
                </c:pt>
                <c:pt idx="46">
                  <c:v>2041415.1179001904</c:v>
                </c:pt>
                <c:pt idx="47">
                  <c:v>2041415.1179001904</c:v>
                </c:pt>
                <c:pt idx="48">
                  <c:v>2041415.1179001904</c:v>
                </c:pt>
                <c:pt idx="49">
                  <c:v>2041415.1179001904</c:v>
                </c:pt>
                <c:pt idx="50">
                  <c:v>2041415.1179001904</c:v>
                </c:pt>
                <c:pt idx="51">
                  <c:v>2041415.1179001904</c:v>
                </c:pt>
                <c:pt idx="52">
                  <c:v>2041415.1179001904</c:v>
                </c:pt>
                <c:pt idx="53">
                  <c:v>2041415.1179001904</c:v>
                </c:pt>
                <c:pt idx="54">
                  <c:v>2041415.1179001904</c:v>
                </c:pt>
                <c:pt idx="55">
                  <c:v>2041415.1179001904</c:v>
                </c:pt>
                <c:pt idx="56">
                  <c:v>2041415.1179001904</c:v>
                </c:pt>
                <c:pt idx="57">
                  <c:v>2041415.1179001904</c:v>
                </c:pt>
                <c:pt idx="58">
                  <c:v>2041415.1179001904</c:v>
                </c:pt>
                <c:pt idx="59">
                  <c:v>2041415.1179001904</c:v>
                </c:pt>
                <c:pt idx="60">
                  <c:v>2041415.1179001904</c:v>
                </c:pt>
                <c:pt idx="61">
                  <c:v>2041415.1179001904</c:v>
                </c:pt>
                <c:pt idx="62">
                  <c:v>2041415.1179001904</c:v>
                </c:pt>
                <c:pt idx="63">
                  <c:v>2041415.1179001904</c:v>
                </c:pt>
                <c:pt idx="64">
                  <c:v>2041415.1179001904</c:v>
                </c:pt>
                <c:pt idx="65">
                  <c:v>2041415.1179001904</c:v>
                </c:pt>
                <c:pt idx="66">
                  <c:v>2041415.1179001904</c:v>
                </c:pt>
                <c:pt idx="67">
                  <c:v>2041415.1179001904</c:v>
                </c:pt>
                <c:pt idx="68">
                  <c:v>2041415.1179001904</c:v>
                </c:pt>
                <c:pt idx="69">
                  <c:v>2041415.1179001904</c:v>
                </c:pt>
                <c:pt idx="70">
                  <c:v>2041415.1179001904</c:v>
                </c:pt>
                <c:pt idx="71">
                  <c:v>2041415.1179001904</c:v>
                </c:pt>
                <c:pt idx="72">
                  <c:v>2041415.1179001904</c:v>
                </c:pt>
                <c:pt idx="73">
                  <c:v>2041415.1179001904</c:v>
                </c:pt>
                <c:pt idx="74">
                  <c:v>2041415.1179001904</c:v>
                </c:pt>
                <c:pt idx="75">
                  <c:v>2041415.1179001904</c:v>
                </c:pt>
                <c:pt idx="76">
                  <c:v>2041415.1179001904</c:v>
                </c:pt>
                <c:pt idx="77">
                  <c:v>2041415.1179001904</c:v>
                </c:pt>
                <c:pt idx="78">
                  <c:v>2041415.1179001904</c:v>
                </c:pt>
                <c:pt idx="79">
                  <c:v>2041415.1179001904</c:v>
                </c:pt>
                <c:pt idx="80">
                  <c:v>2041415.1179001904</c:v>
                </c:pt>
                <c:pt idx="81">
                  <c:v>2041415.1179001904</c:v>
                </c:pt>
                <c:pt idx="82">
                  <c:v>2041415.1179001904</c:v>
                </c:pt>
                <c:pt idx="83">
                  <c:v>2041415.1179001904</c:v>
                </c:pt>
                <c:pt idx="84">
                  <c:v>2041415.1179001904</c:v>
                </c:pt>
                <c:pt idx="85">
                  <c:v>2041415.1179001904</c:v>
                </c:pt>
                <c:pt idx="86">
                  <c:v>2041415.1179001904</c:v>
                </c:pt>
                <c:pt idx="87">
                  <c:v>2041415.1179001904</c:v>
                </c:pt>
                <c:pt idx="88">
                  <c:v>2041415.1179001904</c:v>
                </c:pt>
                <c:pt idx="89">
                  <c:v>2041415.1179001904</c:v>
                </c:pt>
                <c:pt idx="90">
                  <c:v>2041415.1179001904</c:v>
                </c:pt>
                <c:pt idx="91">
                  <c:v>2041415.1179001904</c:v>
                </c:pt>
                <c:pt idx="92">
                  <c:v>2041415.1179001904</c:v>
                </c:pt>
                <c:pt idx="93">
                  <c:v>2041415.1179001904</c:v>
                </c:pt>
                <c:pt idx="94">
                  <c:v>2041415.1179001904</c:v>
                </c:pt>
                <c:pt idx="95">
                  <c:v>2041415.1179001904</c:v>
                </c:pt>
                <c:pt idx="96">
                  <c:v>2041415.1179001904</c:v>
                </c:pt>
                <c:pt idx="97">
                  <c:v>2041415.1179001904</c:v>
                </c:pt>
                <c:pt idx="98">
                  <c:v>2041415.1179001904</c:v>
                </c:pt>
                <c:pt idx="99">
                  <c:v>2041415.1179001904</c:v>
                </c:pt>
                <c:pt idx="100">
                  <c:v>2041415.1179001904</c:v>
                </c:pt>
                <c:pt idx="101">
                  <c:v>2041415.1179001904</c:v>
                </c:pt>
                <c:pt idx="102">
                  <c:v>2041415.1179001904</c:v>
                </c:pt>
                <c:pt idx="103">
                  <c:v>2041415.1179001904</c:v>
                </c:pt>
                <c:pt idx="104">
                  <c:v>2041415.1179001904</c:v>
                </c:pt>
                <c:pt idx="105">
                  <c:v>2041415.1179001904</c:v>
                </c:pt>
                <c:pt idx="106">
                  <c:v>2041415.1179001904</c:v>
                </c:pt>
                <c:pt idx="107">
                  <c:v>2041415.1179001904</c:v>
                </c:pt>
                <c:pt idx="108">
                  <c:v>2041415.1179001904</c:v>
                </c:pt>
                <c:pt idx="109">
                  <c:v>2041415.1179001904</c:v>
                </c:pt>
                <c:pt idx="110">
                  <c:v>2041415.1179001904</c:v>
                </c:pt>
                <c:pt idx="111">
                  <c:v>2041415.1179001904</c:v>
                </c:pt>
                <c:pt idx="112">
                  <c:v>2041415.1179001904</c:v>
                </c:pt>
                <c:pt idx="113">
                  <c:v>2041415.1179001904</c:v>
                </c:pt>
                <c:pt idx="114">
                  <c:v>2041415.1179001904</c:v>
                </c:pt>
                <c:pt idx="115">
                  <c:v>2041415.1179001904</c:v>
                </c:pt>
                <c:pt idx="116">
                  <c:v>2041415.1179001904</c:v>
                </c:pt>
                <c:pt idx="117">
                  <c:v>2041415.1179001904</c:v>
                </c:pt>
                <c:pt idx="118">
                  <c:v>2041415.1179001904</c:v>
                </c:pt>
                <c:pt idx="119">
                  <c:v>2041415.1179001904</c:v>
                </c:pt>
                <c:pt idx="120">
                  <c:v>2041415.1179001904</c:v>
                </c:pt>
                <c:pt idx="121">
                  <c:v>2041415.1179001904</c:v>
                </c:pt>
                <c:pt idx="122">
                  <c:v>2041415.1179001904</c:v>
                </c:pt>
                <c:pt idx="123">
                  <c:v>2041415.1179001904</c:v>
                </c:pt>
                <c:pt idx="124">
                  <c:v>2041415.1179001904</c:v>
                </c:pt>
                <c:pt idx="125">
                  <c:v>2041415.1179001904</c:v>
                </c:pt>
                <c:pt idx="126">
                  <c:v>2041415.1179001904</c:v>
                </c:pt>
                <c:pt idx="127">
                  <c:v>2041415.1179001904</c:v>
                </c:pt>
                <c:pt idx="128">
                  <c:v>2041415.1179001904</c:v>
                </c:pt>
                <c:pt idx="129">
                  <c:v>2041415.1179001904</c:v>
                </c:pt>
                <c:pt idx="130">
                  <c:v>2041415.1179001904</c:v>
                </c:pt>
                <c:pt idx="131">
                  <c:v>2041415.1179001904</c:v>
                </c:pt>
                <c:pt idx="132">
                  <c:v>2041415.1179001904</c:v>
                </c:pt>
                <c:pt idx="133">
                  <c:v>2041415.1179001904</c:v>
                </c:pt>
                <c:pt idx="134">
                  <c:v>2041415.1179001904</c:v>
                </c:pt>
                <c:pt idx="135">
                  <c:v>2041415.1179001904</c:v>
                </c:pt>
                <c:pt idx="136">
                  <c:v>2041415.1179001904</c:v>
                </c:pt>
                <c:pt idx="137">
                  <c:v>2041415.1179001904</c:v>
                </c:pt>
                <c:pt idx="138">
                  <c:v>2041415.1179001904</c:v>
                </c:pt>
                <c:pt idx="139">
                  <c:v>2041415.1179001904</c:v>
                </c:pt>
                <c:pt idx="140">
                  <c:v>2041415.1179001904</c:v>
                </c:pt>
                <c:pt idx="141">
                  <c:v>2041415.1179001904</c:v>
                </c:pt>
                <c:pt idx="142">
                  <c:v>2041415.1179001904</c:v>
                </c:pt>
                <c:pt idx="143">
                  <c:v>2041415.1179001904</c:v>
                </c:pt>
                <c:pt idx="144">
                  <c:v>2041415.1179001904</c:v>
                </c:pt>
                <c:pt idx="145">
                  <c:v>2041415.1179001904</c:v>
                </c:pt>
                <c:pt idx="146">
                  <c:v>2041415.1179001904</c:v>
                </c:pt>
                <c:pt idx="147">
                  <c:v>2041415.1179001904</c:v>
                </c:pt>
                <c:pt idx="148">
                  <c:v>2041415.1179001904</c:v>
                </c:pt>
                <c:pt idx="149">
                  <c:v>2041415.1179001904</c:v>
                </c:pt>
                <c:pt idx="150">
                  <c:v>2041415.1179001904</c:v>
                </c:pt>
                <c:pt idx="151">
                  <c:v>2041415.1179001904</c:v>
                </c:pt>
                <c:pt idx="152">
                  <c:v>2041415.1179001904</c:v>
                </c:pt>
                <c:pt idx="153">
                  <c:v>2041415.1179001904</c:v>
                </c:pt>
                <c:pt idx="154">
                  <c:v>2041415.1179001904</c:v>
                </c:pt>
                <c:pt idx="155">
                  <c:v>2041415.1179001904</c:v>
                </c:pt>
                <c:pt idx="156">
                  <c:v>2041415.1179001904</c:v>
                </c:pt>
                <c:pt idx="157">
                  <c:v>2041415.1179001904</c:v>
                </c:pt>
                <c:pt idx="158">
                  <c:v>2041415.1179001904</c:v>
                </c:pt>
                <c:pt idx="159">
                  <c:v>2041415.1179001904</c:v>
                </c:pt>
                <c:pt idx="160">
                  <c:v>2041415.1179001904</c:v>
                </c:pt>
                <c:pt idx="161">
                  <c:v>2041415.1179001904</c:v>
                </c:pt>
                <c:pt idx="162">
                  <c:v>2041415.1179001904</c:v>
                </c:pt>
                <c:pt idx="163">
                  <c:v>2041415.1179001904</c:v>
                </c:pt>
                <c:pt idx="164">
                  <c:v>2041415.1179001904</c:v>
                </c:pt>
                <c:pt idx="165">
                  <c:v>2041415.1179001904</c:v>
                </c:pt>
                <c:pt idx="166">
                  <c:v>2041415.1179001904</c:v>
                </c:pt>
                <c:pt idx="167">
                  <c:v>2041415.1179001904</c:v>
                </c:pt>
                <c:pt idx="168">
                  <c:v>2041415.1179001904</c:v>
                </c:pt>
                <c:pt idx="169">
                  <c:v>2041415.1179001904</c:v>
                </c:pt>
                <c:pt idx="170">
                  <c:v>2041415.1179001904</c:v>
                </c:pt>
                <c:pt idx="171">
                  <c:v>2041415.1179001904</c:v>
                </c:pt>
                <c:pt idx="172">
                  <c:v>2041415.1179001904</c:v>
                </c:pt>
                <c:pt idx="173">
                  <c:v>2041415.1179001904</c:v>
                </c:pt>
                <c:pt idx="174">
                  <c:v>2041415.1179001904</c:v>
                </c:pt>
                <c:pt idx="175">
                  <c:v>2041415.1179001904</c:v>
                </c:pt>
                <c:pt idx="176">
                  <c:v>2041415.1179001904</c:v>
                </c:pt>
                <c:pt idx="177">
                  <c:v>2041415.1179001904</c:v>
                </c:pt>
                <c:pt idx="178">
                  <c:v>2041415.1179001904</c:v>
                </c:pt>
                <c:pt idx="179">
                  <c:v>2041415.1179001904</c:v>
                </c:pt>
                <c:pt idx="180">
                  <c:v>2041415.1179001904</c:v>
                </c:pt>
                <c:pt idx="181">
                  <c:v>2041415.1179001904</c:v>
                </c:pt>
                <c:pt idx="182">
                  <c:v>2041415.1179001904</c:v>
                </c:pt>
                <c:pt idx="183">
                  <c:v>2041415.1179001904</c:v>
                </c:pt>
                <c:pt idx="184">
                  <c:v>2041415.1179001904</c:v>
                </c:pt>
                <c:pt idx="185">
                  <c:v>2041415.1179001904</c:v>
                </c:pt>
                <c:pt idx="186">
                  <c:v>2041415.1179001904</c:v>
                </c:pt>
                <c:pt idx="187">
                  <c:v>2041415.1179001904</c:v>
                </c:pt>
                <c:pt idx="188">
                  <c:v>2041415.1179001904</c:v>
                </c:pt>
                <c:pt idx="189">
                  <c:v>2041415.1179001904</c:v>
                </c:pt>
                <c:pt idx="190">
                  <c:v>2041415.1179001904</c:v>
                </c:pt>
                <c:pt idx="191">
                  <c:v>2041415.1179001904</c:v>
                </c:pt>
                <c:pt idx="192">
                  <c:v>2041415.1179001904</c:v>
                </c:pt>
                <c:pt idx="193">
                  <c:v>2041415.1179001904</c:v>
                </c:pt>
                <c:pt idx="194">
                  <c:v>2041415.1179001904</c:v>
                </c:pt>
                <c:pt idx="195">
                  <c:v>2041415.1179001904</c:v>
                </c:pt>
                <c:pt idx="196">
                  <c:v>2041415.1179001904</c:v>
                </c:pt>
                <c:pt idx="197">
                  <c:v>2041415.1179001904</c:v>
                </c:pt>
                <c:pt idx="198">
                  <c:v>2041415.1179001904</c:v>
                </c:pt>
                <c:pt idx="199">
                  <c:v>2041415.1179001904</c:v>
                </c:pt>
                <c:pt idx="200">
                  <c:v>2041415.1179001904</c:v>
                </c:pt>
                <c:pt idx="201">
                  <c:v>2041415.1179001904</c:v>
                </c:pt>
                <c:pt idx="202">
                  <c:v>2041415.1179001904</c:v>
                </c:pt>
                <c:pt idx="203">
                  <c:v>2041415.1179001904</c:v>
                </c:pt>
                <c:pt idx="204">
                  <c:v>2041415.1179001904</c:v>
                </c:pt>
                <c:pt idx="205">
                  <c:v>2041415.1179001904</c:v>
                </c:pt>
                <c:pt idx="206">
                  <c:v>2041415.1179001904</c:v>
                </c:pt>
                <c:pt idx="207">
                  <c:v>2041415.1179001904</c:v>
                </c:pt>
                <c:pt idx="208">
                  <c:v>2041415.1179001904</c:v>
                </c:pt>
                <c:pt idx="209">
                  <c:v>2041415.1179001904</c:v>
                </c:pt>
                <c:pt idx="210">
                  <c:v>2041415.1179001904</c:v>
                </c:pt>
                <c:pt idx="211">
                  <c:v>2041415.1179001904</c:v>
                </c:pt>
                <c:pt idx="212">
                  <c:v>2041415.1179001904</c:v>
                </c:pt>
                <c:pt idx="213">
                  <c:v>2041415.1179001904</c:v>
                </c:pt>
                <c:pt idx="214">
                  <c:v>2041415.1179001904</c:v>
                </c:pt>
                <c:pt idx="215">
                  <c:v>2041415.1179001904</c:v>
                </c:pt>
                <c:pt idx="216">
                  <c:v>2041415.1179001904</c:v>
                </c:pt>
                <c:pt idx="217">
                  <c:v>2041415.1179001904</c:v>
                </c:pt>
                <c:pt idx="218">
                  <c:v>2041415.1179001904</c:v>
                </c:pt>
                <c:pt idx="219">
                  <c:v>2041415.1179001904</c:v>
                </c:pt>
                <c:pt idx="220">
                  <c:v>2041415.1179001904</c:v>
                </c:pt>
                <c:pt idx="221">
                  <c:v>2041415.1179001904</c:v>
                </c:pt>
                <c:pt idx="222">
                  <c:v>2041415.1179001904</c:v>
                </c:pt>
                <c:pt idx="223">
                  <c:v>2041415.1179001904</c:v>
                </c:pt>
                <c:pt idx="224">
                  <c:v>2041415.1179001904</c:v>
                </c:pt>
                <c:pt idx="225">
                  <c:v>2041415.1179001904</c:v>
                </c:pt>
                <c:pt idx="226">
                  <c:v>2041415.1179001904</c:v>
                </c:pt>
                <c:pt idx="227">
                  <c:v>2041415.1179001904</c:v>
                </c:pt>
                <c:pt idx="228">
                  <c:v>2041415.1179001904</c:v>
                </c:pt>
                <c:pt idx="229">
                  <c:v>2041415.1179001904</c:v>
                </c:pt>
                <c:pt idx="230">
                  <c:v>2041415.1179001904</c:v>
                </c:pt>
                <c:pt idx="231">
                  <c:v>2041415.1179001904</c:v>
                </c:pt>
                <c:pt idx="232">
                  <c:v>2041415.1179001904</c:v>
                </c:pt>
                <c:pt idx="233">
                  <c:v>2041415.1179001904</c:v>
                </c:pt>
                <c:pt idx="234">
                  <c:v>2041415.1179001904</c:v>
                </c:pt>
                <c:pt idx="235">
                  <c:v>2041415.1179001904</c:v>
                </c:pt>
                <c:pt idx="236">
                  <c:v>2041415.1179001904</c:v>
                </c:pt>
                <c:pt idx="237">
                  <c:v>2041415.1179001904</c:v>
                </c:pt>
                <c:pt idx="238">
                  <c:v>2041415.1179001904</c:v>
                </c:pt>
                <c:pt idx="239">
                  <c:v>2041415.1179001904</c:v>
                </c:pt>
                <c:pt idx="240">
                  <c:v>2041415.1179001904</c:v>
                </c:pt>
                <c:pt idx="241">
                  <c:v>2041415.1179001904</c:v>
                </c:pt>
                <c:pt idx="242">
                  <c:v>2041415.1179001904</c:v>
                </c:pt>
                <c:pt idx="243">
                  <c:v>2041415.1179001904</c:v>
                </c:pt>
                <c:pt idx="244">
                  <c:v>2041415.1179001904</c:v>
                </c:pt>
                <c:pt idx="245">
                  <c:v>2041415.1179001904</c:v>
                </c:pt>
                <c:pt idx="246">
                  <c:v>2041415.1179001904</c:v>
                </c:pt>
                <c:pt idx="247">
                  <c:v>2041415.1179001904</c:v>
                </c:pt>
                <c:pt idx="248">
                  <c:v>2041415.1179001904</c:v>
                </c:pt>
                <c:pt idx="249">
                  <c:v>2041415.1179001904</c:v>
                </c:pt>
                <c:pt idx="250">
                  <c:v>2041415.1179001904</c:v>
                </c:pt>
                <c:pt idx="251">
                  <c:v>2041415.1179001904</c:v>
                </c:pt>
                <c:pt idx="252">
                  <c:v>2041415.1179001904</c:v>
                </c:pt>
                <c:pt idx="253">
                  <c:v>2041415.1179001904</c:v>
                </c:pt>
                <c:pt idx="254">
                  <c:v>2041415.1179001904</c:v>
                </c:pt>
                <c:pt idx="255">
                  <c:v>2041415.1179001904</c:v>
                </c:pt>
                <c:pt idx="256">
                  <c:v>2041415.1179001904</c:v>
                </c:pt>
                <c:pt idx="257">
                  <c:v>2041415.1179001904</c:v>
                </c:pt>
                <c:pt idx="258">
                  <c:v>2041415.1179001904</c:v>
                </c:pt>
                <c:pt idx="259">
                  <c:v>2041415.1179001904</c:v>
                </c:pt>
                <c:pt idx="260">
                  <c:v>2041415.1179001904</c:v>
                </c:pt>
                <c:pt idx="261">
                  <c:v>2041415.1179001904</c:v>
                </c:pt>
                <c:pt idx="262">
                  <c:v>2041415.1179001904</c:v>
                </c:pt>
                <c:pt idx="263">
                  <c:v>2041415.1179001904</c:v>
                </c:pt>
                <c:pt idx="264">
                  <c:v>2041415.1179001904</c:v>
                </c:pt>
                <c:pt idx="265">
                  <c:v>2041415.1179001904</c:v>
                </c:pt>
                <c:pt idx="266">
                  <c:v>2041415.1179001904</c:v>
                </c:pt>
                <c:pt idx="267">
                  <c:v>2041415.1179001904</c:v>
                </c:pt>
                <c:pt idx="268">
                  <c:v>2041415.1179001904</c:v>
                </c:pt>
                <c:pt idx="269">
                  <c:v>2041415.1179001904</c:v>
                </c:pt>
                <c:pt idx="270">
                  <c:v>2041415.1179001904</c:v>
                </c:pt>
                <c:pt idx="271">
                  <c:v>2041415.1179001904</c:v>
                </c:pt>
                <c:pt idx="272">
                  <c:v>2041415.1179001904</c:v>
                </c:pt>
                <c:pt idx="273">
                  <c:v>2041415.1179001904</c:v>
                </c:pt>
                <c:pt idx="274">
                  <c:v>2041415.1179001904</c:v>
                </c:pt>
                <c:pt idx="275">
                  <c:v>2041415.1179001904</c:v>
                </c:pt>
                <c:pt idx="276">
                  <c:v>2041415.1179001904</c:v>
                </c:pt>
                <c:pt idx="277">
                  <c:v>2041415.1179001904</c:v>
                </c:pt>
                <c:pt idx="278">
                  <c:v>2041415.1179001904</c:v>
                </c:pt>
                <c:pt idx="279">
                  <c:v>2041415.1179001904</c:v>
                </c:pt>
                <c:pt idx="280">
                  <c:v>2041415.1179001904</c:v>
                </c:pt>
                <c:pt idx="281">
                  <c:v>2041415.1179001904</c:v>
                </c:pt>
                <c:pt idx="282">
                  <c:v>2041415.1179001904</c:v>
                </c:pt>
                <c:pt idx="283">
                  <c:v>2041415.1179001904</c:v>
                </c:pt>
                <c:pt idx="284">
                  <c:v>2041415.1179001904</c:v>
                </c:pt>
                <c:pt idx="285">
                  <c:v>2041415.1179001904</c:v>
                </c:pt>
                <c:pt idx="286">
                  <c:v>2041415.1179001904</c:v>
                </c:pt>
                <c:pt idx="287">
                  <c:v>2041415.1179001904</c:v>
                </c:pt>
                <c:pt idx="288">
                  <c:v>2041415.1179001904</c:v>
                </c:pt>
                <c:pt idx="289">
                  <c:v>2041415.1179001904</c:v>
                </c:pt>
                <c:pt idx="290">
                  <c:v>2041415.1179001904</c:v>
                </c:pt>
                <c:pt idx="291">
                  <c:v>2041415.1179001904</c:v>
                </c:pt>
                <c:pt idx="292">
                  <c:v>2041415.1179001904</c:v>
                </c:pt>
                <c:pt idx="293">
                  <c:v>2041415.1179001904</c:v>
                </c:pt>
                <c:pt idx="294">
                  <c:v>2041415.1179001904</c:v>
                </c:pt>
                <c:pt idx="295">
                  <c:v>2041415.1179001904</c:v>
                </c:pt>
                <c:pt idx="296">
                  <c:v>2041415.1179001904</c:v>
                </c:pt>
                <c:pt idx="297">
                  <c:v>2041415.1179001904</c:v>
                </c:pt>
                <c:pt idx="298">
                  <c:v>2041415.1179001904</c:v>
                </c:pt>
                <c:pt idx="299">
                  <c:v>2041415.1179001904</c:v>
                </c:pt>
                <c:pt idx="300">
                  <c:v>2041415.1179001904</c:v>
                </c:pt>
                <c:pt idx="301">
                  <c:v>2041415.1179001904</c:v>
                </c:pt>
                <c:pt idx="302">
                  <c:v>2041415.1179001904</c:v>
                </c:pt>
                <c:pt idx="303">
                  <c:v>2041415.1179001904</c:v>
                </c:pt>
                <c:pt idx="304">
                  <c:v>2041415.1179001904</c:v>
                </c:pt>
                <c:pt idx="305">
                  <c:v>2041415.1179001904</c:v>
                </c:pt>
                <c:pt idx="306">
                  <c:v>2041415.1179001904</c:v>
                </c:pt>
                <c:pt idx="307">
                  <c:v>2041415.1179001904</c:v>
                </c:pt>
                <c:pt idx="308">
                  <c:v>2041415.1179001904</c:v>
                </c:pt>
                <c:pt idx="309">
                  <c:v>2041415.1179001904</c:v>
                </c:pt>
                <c:pt idx="310">
                  <c:v>2041415.1179001904</c:v>
                </c:pt>
                <c:pt idx="311">
                  <c:v>2041415.1179001904</c:v>
                </c:pt>
                <c:pt idx="312">
                  <c:v>2041415.1179001904</c:v>
                </c:pt>
                <c:pt idx="313">
                  <c:v>2041415.1179001904</c:v>
                </c:pt>
                <c:pt idx="314">
                  <c:v>2041415.1179001904</c:v>
                </c:pt>
                <c:pt idx="315">
                  <c:v>2041415.1179001904</c:v>
                </c:pt>
                <c:pt idx="316">
                  <c:v>2041415.1179001904</c:v>
                </c:pt>
                <c:pt idx="317">
                  <c:v>2041415.1179001904</c:v>
                </c:pt>
                <c:pt idx="318">
                  <c:v>2041415.1179001904</c:v>
                </c:pt>
                <c:pt idx="319">
                  <c:v>2041415.1179001904</c:v>
                </c:pt>
                <c:pt idx="320">
                  <c:v>2041415.1179001904</c:v>
                </c:pt>
                <c:pt idx="321">
                  <c:v>2041415.1179001904</c:v>
                </c:pt>
                <c:pt idx="322">
                  <c:v>2041415.1179001904</c:v>
                </c:pt>
                <c:pt idx="323">
                  <c:v>2041415.1179001904</c:v>
                </c:pt>
                <c:pt idx="324">
                  <c:v>2041415.1179001904</c:v>
                </c:pt>
                <c:pt idx="325">
                  <c:v>2041415.1179001904</c:v>
                </c:pt>
                <c:pt idx="326">
                  <c:v>2041415.1179001904</c:v>
                </c:pt>
                <c:pt idx="327">
                  <c:v>2041415.1179001904</c:v>
                </c:pt>
                <c:pt idx="328">
                  <c:v>2041415.1179001904</c:v>
                </c:pt>
                <c:pt idx="329">
                  <c:v>2041415.1179001904</c:v>
                </c:pt>
                <c:pt idx="330">
                  <c:v>2041415.1179001904</c:v>
                </c:pt>
                <c:pt idx="331">
                  <c:v>2041415.1179001904</c:v>
                </c:pt>
                <c:pt idx="332">
                  <c:v>2041415.1179001904</c:v>
                </c:pt>
                <c:pt idx="333">
                  <c:v>2041415.1179001904</c:v>
                </c:pt>
                <c:pt idx="334">
                  <c:v>2041415.1179001904</c:v>
                </c:pt>
                <c:pt idx="335">
                  <c:v>2041415.1179001904</c:v>
                </c:pt>
                <c:pt idx="336">
                  <c:v>2041415.1179001904</c:v>
                </c:pt>
                <c:pt idx="337">
                  <c:v>2041415.1179001904</c:v>
                </c:pt>
                <c:pt idx="338">
                  <c:v>2041415.1179001904</c:v>
                </c:pt>
                <c:pt idx="339">
                  <c:v>2041415.1179001904</c:v>
                </c:pt>
                <c:pt idx="340">
                  <c:v>2041415.1179001904</c:v>
                </c:pt>
                <c:pt idx="341">
                  <c:v>2041415.1179001904</c:v>
                </c:pt>
                <c:pt idx="342">
                  <c:v>2041415.1179001904</c:v>
                </c:pt>
                <c:pt idx="343">
                  <c:v>2041415.1179001904</c:v>
                </c:pt>
                <c:pt idx="344">
                  <c:v>2041415.1179001904</c:v>
                </c:pt>
                <c:pt idx="345">
                  <c:v>2041415.1179001904</c:v>
                </c:pt>
                <c:pt idx="346">
                  <c:v>2041415.1179001904</c:v>
                </c:pt>
                <c:pt idx="347">
                  <c:v>2041415.1179001904</c:v>
                </c:pt>
                <c:pt idx="348">
                  <c:v>2041415.1179001904</c:v>
                </c:pt>
                <c:pt idx="349">
                  <c:v>2041415.1179001904</c:v>
                </c:pt>
                <c:pt idx="350">
                  <c:v>2041415.1179001904</c:v>
                </c:pt>
                <c:pt idx="351">
                  <c:v>2041415.1179001904</c:v>
                </c:pt>
                <c:pt idx="352">
                  <c:v>2041415.1179001904</c:v>
                </c:pt>
                <c:pt idx="353">
                  <c:v>2041415.1179001904</c:v>
                </c:pt>
                <c:pt idx="354">
                  <c:v>2041415.1179001904</c:v>
                </c:pt>
                <c:pt idx="355">
                  <c:v>2041415.1179001904</c:v>
                </c:pt>
                <c:pt idx="356">
                  <c:v>2041415.1179001904</c:v>
                </c:pt>
                <c:pt idx="357">
                  <c:v>2041415.1179001904</c:v>
                </c:pt>
                <c:pt idx="358">
                  <c:v>2041415.1179001904</c:v>
                </c:pt>
                <c:pt idx="359">
                  <c:v>2041415.1179001904</c:v>
                </c:pt>
                <c:pt idx="360">
                  <c:v>2041415.1179001904</c:v>
                </c:pt>
                <c:pt idx="361">
                  <c:v>2041415.1179001904</c:v>
                </c:pt>
                <c:pt idx="362">
                  <c:v>2041415.1179001904</c:v>
                </c:pt>
                <c:pt idx="363">
                  <c:v>2041415.1179001904</c:v>
                </c:pt>
                <c:pt idx="364">
                  <c:v>2041415.1179001904</c:v>
                </c:pt>
                <c:pt idx="365">
                  <c:v>2041415.1179001904</c:v>
                </c:pt>
                <c:pt idx="366">
                  <c:v>2041415.1179001904</c:v>
                </c:pt>
                <c:pt idx="367">
                  <c:v>2041415.1179001904</c:v>
                </c:pt>
                <c:pt idx="368">
                  <c:v>2041415.1179001904</c:v>
                </c:pt>
                <c:pt idx="369">
                  <c:v>2041415.1179001904</c:v>
                </c:pt>
                <c:pt idx="370">
                  <c:v>2041415.1179001904</c:v>
                </c:pt>
                <c:pt idx="371">
                  <c:v>2041415.1179001904</c:v>
                </c:pt>
                <c:pt idx="372">
                  <c:v>2041415.1179001904</c:v>
                </c:pt>
                <c:pt idx="373">
                  <c:v>2041415.1179001904</c:v>
                </c:pt>
                <c:pt idx="374">
                  <c:v>2041415.1179001904</c:v>
                </c:pt>
                <c:pt idx="375">
                  <c:v>2041415.1179001904</c:v>
                </c:pt>
                <c:pt idx="376">
                  <c:v>2041415.1179001904</c:v>
                </c:pt>
                <c:pt idx="377">
                  <c:v>2041415.1179001904</c:v>
                </c:pt>
                <c:pt idx="378">
                  <c:v>2041415.1179001904</c:v>
                </c:pt>
                <c:pt idx="379">
                  <c:v>2041415.1179001904</c:v>
                </c:pt>
                <c:pt idx="380">
                  <c:v>2041415.1179001904</c:v>
                </c:pt>
                <c:pt idx="381">
                  <c:v>2041415.1179001904</c:v>
                </c:pt>
                <c:pt idx="382">
                  <c:v>2041415.1179001904</c:v>
                </c:pt>
                <c:pt idx="383">
                  <c:v>2041415.1179001904</c:v>
                </c:pt>
                <c:pt idx="384">
                  <c:v>2041415.1179001904</c:v>
                </c:pt>
                <c:pt idx="385">
                  <c:v>2041415.1179001904</c:v>
                </c:pt>
                <c:pt idx="386">
                  <c:v>2041415.1179001904</c:v>
                </c:pt>
                <c:pt idx="387">
                  <c:v>2041415.1179001904</c:v>
                </c:pt>
                <c:pt idx="388">
                  <c:v>2041415.1179001904</c:v>
                </c:pt>
                <c:pt idx="389">
                  <c:v>2041415.1179001904</c:v>
                </c:pt>
                <c:pt idx="390">
                  <c:v>2041415.1179001904</c:v>
                </c:pt>
                <c:pt idx="391">
                  <c:v>2041415.1179001904</c:v>
                </c:pt>
                <c:pt idx="392">
                  <c:v>2041415.1179001904</c:v>
                </c:pt>
                <c:pt idx="393">
                  <c:v>2041415.1179001904</c:v>
                </c:pt>
                <c:pt idx="394">
                  <c:v>2041415.1179001904</c:v>
                </c:pt>
                <c:pt idx="395">
                  <c:v>2041415.1179001904</c:v>
                </c:pt>
                <c:pt idx="396">
                  <c:v>2041415.1179001904</c:v>
                </c:pt>
                <c:pt idx="397">
                  <c:v>2041415.1179001904</c:v>
                </c:pt>
                <c:pt idx="398">
                  <c:v>2041415.1179001904</c:v>
                </c:pt>
                <c:pt idx="399">
                  <c:v>2041415.1179001904</c:v>
                </c:pt>
                <c:pt idx="400">
                  <c:v>2041415.1179001904</c:v>
                </c:pt>
                <c:pt idx="401">
                  <c:v>2041415.1179001904</c:v>
                </c:pt>
                <c:pt idx="402">
                  <c:v>2041415.1179001904</c:v>
                </c:pt>
                <c:pt idx="403">
                  <c:v>2041415.1179001904</c:v>
                </c:pt>
                <c:pt idx="404">
                  <c:v>2041415.1179001904</c:v>
                </c:pt>
                <c:pt idx="405">
                  <c:v>2041415.1179001904</c:v>
                </c:pt>
                <c:pt idx="406">
                  <c:v>2041415.1179001904</c:v>
                </c:pt>
                <c:pt idx="407">
                  <c:v>2041415.1179001904</c:v>
                </c:pt>
                <c:pt idx="408">
                  <c:v>2041415.1179001904</c:v>
                </c:pt>
                <c:pt idx="409">
                  <c:v>2041415.1179001904</c:v>
                </c:pt>
                <c:pt idx="410">
                  <c:v>2041415.1179001904</c:v>
                </c:pt>
                <c:pt idx="411">
                  <c:v>2041415.1179001904</c:v>
                </c:pt>
                <c:pt idx="412">
                  <c:v>2041415.1179001904</c:v>
                </c:pt>
                <c:pt idx="413">
                  <c:v>2041415.1179001904</c:v>
                </c:pt>
                <c:pt idx="414">
                  <c:v>2041415.1179001904</c:v>
                </c:pt>
                <c:pt idx="415">
                  <c:v>2041415.1179001904</c:v>
                </c:pt>
                <c:pt idx="416">
                  <c:v>2041415.1179001904</c:v>
                </c:pt>
                <c:pt idx="417">
                  <c:v>2041415.1179001904</c:v>
                </c:pt>
                <c:pt idx="418">
                  <c:v>2041415.1179001904</c:v>
                </c:pt>
                <c:pt idx="419">
                  <c:v>2041415.1179001904</c:v>
                </c:pt>
                <c:pt idx="420">
                  <c:v>2041415.1179001904</c:v>
                </c:pt>
                <c:pt idx="421">
                  <c:v>2041415.1179001904</c:v>
                </c:pt>
                <c:pt idx="422">
                  <c:v>2041415.1179001904</c:v>
                </c:pt>
                <c:pt idx="423">
                  <c:v>2041415.1179001904</c:v>
                </c:pt>
                <c:pt idx="424">
                  <c:v>2041415.1179001904</c:v>
                </c:pt>
                <c:pt idx="425">
                  <c:v>2041415.1179001904</c:v>
                </c:pt>
                <c:pt idx="426">
                  <c:v>2041415.1179001904</c:v>
                </c:pt>
                <c:pt idx="427">
                  <c:v>2041415.1179001904</c:v>
                </c:pt>
                <c:pt idx="428">
                  <c:v>2041415.1179001904</c:v>
                </c:pt>
                <c:pt idx="429">
                  <c:v>2041415.1179001904</c:v>
                </c:pt>
                <c:pt idx="430">
                  <c:v>2041415.1179001904</c:v>
                </c:pt>
                <c:pt idx="431">
                  <c:v>2041415.1179001904</c:v>
                </c:pt>
                <c:pt idx="432">
                  <c:v>2041415.1179001904</c:v>
                </c:pt>
                <c:pt idx="433">
                  <c:v>2041415.1179001904</c:v>
                </c:pt>
                <c:pt idx="434">
                  <c:v>2041415.1179001904</c:v>
                </c:pt>
                <c:pt idx="435">
                  <c:v>2041415.1179001904</c:v>
                </c:pt>
                <c:pt idx="436">
                  <c:v>2041415.1179001904</c:v>
                </c:pt>
                <c:pt idx="437">
                  <c:v>2041415.1179001904</c:v>
                </c:pt>
                <c:pt idx="438">
                  <c:v>2041415.1179001904</c:v>
                </c:pt>
                <c:pt idx="439">
                  <c:v>2041415.1179001904</c:v>
                </c:pt>
                <c:pt idx="440">
                  <c:v>2041415.1179001904</c:v>
                </c:pt>
                <c:pt idx="441">
                  <c:v>2041415.1179001904</c:v>
                </c:pt>
                <c:pt idx="442">
                  <c:v>2041415.1179001904</c:v>
                </c:pt>
                <c:pt idx="443">
                  <c:v>2041415.1179001904</c:v>
                </c:pt>
                <c:pt idx="444">
                  <c:v>2041415.1179001904</c:v>
                </c:pt>
                <c:pt idx="445">
                  <c:v>2041415.1179001904</c:v>
                </c:pt>
                <c:pt idx="446">
                  <c:v>2041415.1179001904</c:v>
                </c:pt>
                <c:pt idx="447">
                  <c:v>2041415.1179001904</c:v>
                </c:pt>
                <c:pt idx="448">
                  <c:v>2041415.1179001904</c:v>
                </c:pt>
                <c:pt idx="449">
                  <c:v>2041415.1179001904</c:v>
                </c:pt>
                <c:pt idx="450">
                  <c:v>2041415.1179001904</c:v>
                </c:pt>
                <c:pt idx="451">
                  <c:v>2041415.1179001904</c:v>
                </c:pt>
                <c:pt idx="452">
                  <c:v>2041415.1179001904</c:v>
                </c:pt>
                <c:pt idx="453">
                  <c:v>2041415.1179001904</c:v>
                </c:pt>
                <c:pt idx="454">
                  <c:v>2041415.1179001904</c:v>
                </c:pt>
                <c:pt idx="455">
                  <c:v>2041415.1179001904</c:v>
                </c:pt>
                <c:pt idx="456">
                  <c:v>2041415.1179001904</c:v>
                </c:pt>
                <c:pt idx="457">
                  <c:v>2041415.1179001904</c:v>
                </c:pt>
                <c:pt idx="458">
                  <c:v>2041415.1179001904</c:v>
                </c:pt>
                <c:pt idx="459">
                  <c:v>2041415.1179001904</c:v>
                </c:pt>
                <c:pt idx="460">
                  <c:v>2041415.1179001904</c:v>
                </c:pt>
                <c:pt idx="461">
                  <c:v>2041415.1179001904</c:v>
                </c:pt>
                <c:pt idx="462">
                  <c:v>2041415.1179001904</c:v>
                </c:pt>
                <c:pt idx="463">
                  <c:v>2041415.1179001904</c:v>
                </c:pt>
                <c:pt idx="464">
                  <c:v>2041415.1179001904</c:v>
                </c:pt>
                <c:pt idx="465">
                  <c:v>2041415.1179001904</c:v>
                </c:pt>
                <c:pt idx="466">
                  <c:v>2041415.1179001904</c:v>
                </c:pt>
                <c:pt idx="467">
                  <c:v>2041415.1179001904</c:v>
                </c:pt>
                <c:pt idx="468">
                  <c:v>2041415.1179001904</c:v>
                </c:pt>
                <c:pt idx="469">
                  <c:v>2041415.1179001904</c:v>
                </c:pt>
                <c:pt idx="470">
                  <c:v>2041415.1179001904</c:v>
                </c:pt>
                <c:pt idx="471">
                  <c:v>2041415.1179001904</c:v>
                </c:pt>
                <c:pt idx="472">
                  <c:v>2041415.1179001904</c:v>
                </c:pt>
                <c:pt idx="473">
                  <c:v>2041415.1179001904</c:v>
                </c:pt>
                <c:pt idx="474">
                  <c:v>2041415.1179001904</c:v>
                </c:pt>
                <c:pt idx="475">
                  <c:v>2041415.1179001904</c:v>
                </c:pt>
                <c:pt idx="476">
                  <c:v>2041415.1179001904</c:v>
                </c:pt>
                <c:pt idx="477">
                  <c:v>2041415.1179001904</c:v>
                </c:pt>
                <c:pt idx="478">
                  <c:v>2041415.1179001904</c:v>
                </c:pt>
                <c:pt idx="479">
                  <c:v>2041415.1179001904</c:v>
                </c:pt>
                <c:pt idx="480">
                  <c:v>2041415.1179001904</c:v>
                </c:pt>
                <c:pt idx="481">
                  <c:v>2041415.1179001904</c:v>
                </c:pt>
                <c:pt idx="482">
                  <c:v>2041415.1179001904</c:v>
                </c:pt>
                <c:pt idx="483">
                  <c:v>2041415.1179001904</c:v>
                </c:pt>
                <c:pt idx="484">
                  <c:v>2041415.1179001904</c:v>
                </c:pt>
                <c:pt idx="485">
                  <c:v>2041415.1179001904</c:v>
                </c:pt>
                <c:pt idx="486">
                  <c:v>2041415.1179001904</c:v>
                </c:pt>
                <c:pt idx="487">
                  <c:v>2041415.1179001904</c:v>
                </c:pt>
                <c:pt idx="488">
                  <c:v>2041415.1179001904</c:v>
                </c:pt>
                <c:pt idx="489">
                  <c:v>2041415.1179001904</c:v>
                </c:pt>
                <c:pt idx="490">
                  <c:v>2041415.1179001904</c:v>
                </c:pt>
                <c:pt idx="491">
                  <c:v>2041415.1179001904</c:v>
                </c:pt>
                <c:pt idx="492">
                  <c:v>2041415.1179001904</c:v>
                </c:pt>
                <c:pt idx="493">
                  <c:v>2041415.1179001904</c:v>
                </c:pt>
                <c:pt idx="494">
                  <c:v>2041415.1179001904</c:v>
                </c:pt>
                <c:pt idx="495">
                  <c:v>2041415.1179001904</c:v>
                </c:pt>
                <c:pt idx="496">
                  <c:v>2041415.1179001904</c:v>
                </c:pt>
                <c:pt idx="497">
                  <c:v>2041415.1179001904</c:v>
                </c:pt>
                <c:pt idx="498">
                  <c:v>2041415.1179001904</c:v>
                </c:pt>
                <c:pt idx="499">
                  <c:v>2041415.1179001904</c:v>
                </c:pt>
                <c:pt idx="500">
                  <c:v>2041415.1179001904</c:v>
                </c:pt>
                <c:pt idx="501">
                  <c:v>2041415.1179001904</c:v>
                </c:pt>
                <c:pt idx="502">
                  <c:v>2041415.1179001904</c:v>
                </c:pt>
                <c:pt idx="503">
                  <c:v>2041415.1179001904</c:v>
                </c:pt>
                <c:pt idx="504">
                  <c:v>2041415.1179001904</c:v>
                </c:pt>
                <c:pt idx="505">
                  <c:v>2041415.1179001904</c:v>
                </c:pt>
                <c:pt idx="506">
                  <c:v>2041415.1179001904</c:v>
                </c:pt>
                <c:pt idx="507">
                  <c:v>2041415.1179001904</c:v>
                </c:pt>
                <c:pt idx="508">
                  <c:v>2041415.1179001904</c:v>
                </c:pt>
                <c:pt idx="509">
                  <c:v>2041415.1179001904</c:v>
                </c:pt>
                <c:pt idx="510">
                  <c:v>2041415.1179001904</c:v>
                </c:pt>
                <c:pt idx="511">
                  <c:v>2041415.1179001904</c:v>
                </c:pt>
                <c:pt idx="512">
                  <c:v>2041415.1179001904</c:v>
                </c:pt>
                <c:pt idx="513">
                  <c:v>2041415.1179001904</c:v>
                </c:pt>
                <c:pt idx="514">
                  <c:v>2041415.1179001904</c:v>
                </c:pt>
                <c:pt idx="515">
                  <c:v>2041415.1179001904</c:v>
                </c:pt>
                <c:pt idx="516">
                  <c:v>2041415.1179001904</c:v>
                </c:pt>
                <c:pt idx="517">
                  <c:v>2041415.1179001904</c:v>
                </c:pt>
                <c:pt idx="518">
                  <c:v>2041415.1179001904</c:v>
                </c:pt>
                <c:pt idx="519">
                  <c:v>2041415.1179001904</c:v>
                </c:pt>
                <c:pt idx="520">
                  <c:v>2041415.1179001904</c:v>
                </c:pt>
                <c:pt idx="521">
                  <c:v>2041415.1179001904</c:v>
                </c:pt>
                <c:pt idx="522">
                  <c:v>2041415.1179001904</c:v>
                </c:pt>
                <c:pt idx="523">
                  <c:v>2041415.1179001904</c:v>
                </c:pt>
                <c:pt idx="524">
                  <c:v>2041415.1179001904</c:v>
                </c:pt>
                <c:pt idx="525">
                  <c:v>2041415.1179001904</c:v>
                </c:pt>
                <c:pt idx="526">
                  <c:v>2041415.1179001904</c:v>
                </c:pt>
                <c:pt idx="527">
                  <c:v>2041415.1179001904</c:v>
                </c:pt>
                <c:pt idx="528">
                  <c:v>2041415.1179001904</c:v>
                </c:pt>
                <c:pt idx="529">
                  <c:v>2041415.1179001904</c:v>
                </c:pt>
                <c:pt idx="530">
                  <c:v>2041415.1179001904</c:v>
                </c:pt>
                <c:pt idx="531">
                  <c:v>2041415.1179001904</c:v>
                </c:pt>
                <c:pt idx="532">
                  <c:v>2041415.1179001904</c:v>
                </c:pt>
                <c:pt idx="533">
                  <c:v>2041415.1179001904</c:v>
                </c:pt>
                <c:pt idx="534">
                  <c:v>2041415.1179001904</c:v>
                </c:pt>
                <c:pt idx="535">
                  <c:v>2041415.1179001904</c:v>
                </c:pt>
                <c:pt idx="536">
                  <c:v>2041415.1179001904</c:v>
                </c:pt>
                <c:pt idx="537">
                  <c:v>2041415.1179001904</c:v>
                </c:pt>
                <c:pt idx="538">
                  <c:v>2041415.1179001904</c:v>
                </c:pt>
                <c:pt idx="539">
                  <c:v>2041415.1179001904</c:v>
                </c:pt>
                <c:pt idx="540">
                  <c:v>2041415.1179001904</c:v>
                </c:pt>
                <c:pt idx="541">
                  <c:v>2041415.1179001904</c:v>
                </c:pt>
                <c:pt idx="542">
                  <c:v>2041415.1179001904</c:v>
                </c:pt>
                <c:pt idx="543">
                  <c:v>2041415.1179001904</c:v>
                </c:pt>
                <c:pt idx="544">
                  <c:v>2041415.1179001904</c:v>
                </c:pt>
                <c:pt idx="545">
                  <c:v>2041415.1179001904</c:v>
                </c:pt>
                <c:pt idx="546">
                  <c:v>2041415.1179001904</c:v>
                </c:pt>
                <c:pt idx="547">
                  <c:v>2041415.1179001904</c:v>
                </c:pt>
                <c:pt idx="548">
                  <c:v>2041415.1179001904</c:v>
                </c:pt>
                <c:pt idx="549">
                  <c:v>2041415.1179001904</c:v>
                </c:pt>
                <c:pt idx="550">
                  <c:v>2041415.1179001904</c:v>
                </c:pt>
                <c:pt idx="551">
                  <c:v>2041415.1179001904</c:v>
                </c:pt>
                <c:pt idx="552">
                  <c:v>2041415.1179001904</c:v>
                </c:pt>
                <c:pt idx="553">
                  <c:v>2041415.1179001904</c:v>
                </c:pt>
                <c:pt idx="554">
                  <c:v>2041415.1179001904</c:v>
                </c:pt>
                <c:pt idx="555">
                  <c:v>2041415.1179001904</c:v>
                </c:pt>
                <c:pt idx="556">
                  <c:v>2041415.1179001904</c:v>
                </c:pt>
                <c:pt idx="557">
                  <c:v>2041415.1179001904</c:v>
                </c:pt>
                <c:pt idx="558">
                  <c:v>2041415.1179001904</c:v>
                </c:pt>
                <c:pt idx="559">
                  <c:v>2041415.1179001904</c:v>
                </c:pt>
                <c:pt idx="560">
                  <c:v>2041415.1179001904</c:v>
                </c:pt>
                <c:pt idx="561">
                  <c:v>2041415.1179001904</c:v>
                </c:pt>
                <c:pt idx="562">
                  <c:v>2041415.1179001904</c:v>
                </c:pt>
                <c:pt idx="563">
                  <c:v>2041415.1179001904</c:v>
                </c:pt>
                <c:pt idx="564">
                  <c:v>2041415.1179001904</c:v>
                </c:pt>
                <c:pt idx="565">
                  <c:v>2041415.1179001904</c:v>
                </c:pt>
                <c:pt idx="566">
                  <c:v>2041415.1179001904</c:v>
                </c:pt>
                <c:pt idx="567">
                  <c:v>2041415.1179001904</c:v>
                </c:pt>
                <c:pt idx="568">
                  <c:v>2041415.1179001904</c:v>
                </c:pt>
                <c:pt idx="569">
                  <c:v>2041415.1179001904</c:v>
                </c:pt>
                <c:pt idx="570">
                  <c:v>2041415.1179001904</c:v>
                </c:pt>
                <c:pt idx="571">
                  <c:v>2041415.1179001904</c:v>
                </c:pt>
                <c:pt idx="572">
                  <c:v>2041415.1179001904</c:v>
                </c:pt>
                <c:pt idx="573">
                  <c:v>2041415.1179001904</c:v>
                </c:pt>
                <c:pt idx="574">
                  <c:v>2041415.1179001904</c:v>
                </c:pt>
                <c:pt idx="575">
                  <c:v>2041415.1179001904</c:v>
                </c:pt>
                <c:pt idx="576">
                  <c:v>2041415.1179001904</c:v>
                </c:pt>
                <c:pt idx="577">
                  <c:v>2041415.1179001904</c:v>
                </c:pt>
                <c:pt idx="578">
                  <c:v>2041415.1179001904</c:v>
                </c:pt>
                <c:pt idx="579">
                  <c:v>2041415.1179001904</c:v>
                </c:pt>
                <c:pt idx="580">
                  <c:v>2041415.1179001904</c:v>
                </c:pt>
                <c:pt idx="581">
                  <c:v>2041415.1179001904</c:v>
                </c:pt>
                <c:pt idx="582">
                  <c:v>2041415.1179001904</c:v>
                </c:pt>
                <c:pt idx="583">
                  <c:v>2041415.1179001904</c:v>
                </c:pt>
                <c:pt idx="584">
                  <c:v>2041415.1179001904</c:v>
                </c:pt>
                <c:pt idx="585">
                  <c:v>2041415.1179001904</c:v>
                </c:pt>
                <c:pt idx="586">
                  <c:v>2041415.1179001904</c:v>
                </c:pt>
                <c:pt idx="587">
                  <c:v>2041415.1179001904</c:v>
                </c:pt>
                <c:pt idx="588">
                  <c:v>2041415.1179001904</c:v>
                </c:pt>
                <c:pt idx="589">
                  <c:v>2041415.1179001904</c:v>
                </c:pt>
                <c:pt idx="590">
                  <c:v>2041415.1179001904</c:v>
                </c:pt>
                <c:pt idx="591">
                  <c:v>2041415.1179001904</c:v>
                </c:pt>
                <c:pt idx="592">
                  <c:v>2041415.1179001904</c:v>
                </c:pt>
                <c:pt idx="593">
                  <c:v>2041415.1179001904</c:v>
                </c:pt>
                <c:pt idx="594">
                  <c:v>2041415.1179001904</c:v>
                </c:pt>
                <c:pt idx="595">
                  <c:v>2041415.1179001904</c:v>
                </c:pt>
                <c:pt idx="596">
                  <c:v>2041415.1179001904</c:v>
                </c:pt>
                <c:pt idx="597">
                  <c:v>2041415.1179001904</c:v>
                </c:pt>
                <c:pt idx="598">
                  <c:v>2041415.1179001904</c:v>
                </c:pt>
                <c:pt idx="599">
                  <c:v>2041415.1179001904</c:v>
                </c:pt>
                <c:pt idx="600">
                  <c:v>2041415.1179001904</c:v>
                </c:pt>
                <c:pt idx="601">
                  <c:v>2041415.1179001904</c:v>
                </c:pt>
                <c:pt idx="602">
                  <c:v>2041415.1179001904</c:v>
                </c:pt>
                <c:pt idx="603">
                  <c:v>2041415.1179001904</c:v>
                </c:pt>
                <c:pt idx="604">
                  <c:v>2041415.1179001904</c:v>
                </c:pt>
                <c:pt idx="605">
                  <c:v>2041415.1179001904</c:v>
                </c:pt>
                <c:pt idx="606">
                  <c:v>2041415.1179001904</c:v>
                </c:pt>
                <c:pt idx="607">
                  <c:v>2041415.1179001904</c:v>
                </c:pt>
                <c:pt idx="608">
                  <c:v>2041415.1179001904</c:v>
                </c:pt>
                <c:pt idx="609">
                  <c:v>2041415.1179001904</c:v>
                </c:pt>
                <c:pt idx="610">
                  <c:v>2041415.1179001904</c:v>
                </c:pt>
                <c:pt idx="611">
                  <c:v>2041415.1179001904</c:v>
                </c:pt>
                <c:pt idx="612">
                  <c:v>2041415.1179001904</c:v>
                </c:pt>
                <c:pt idx="613">
                  <c:v>2041415.1179001904</c:v>
                </c:pt>
                <c:pt idx="614">
                  <c:v>2041415.1179001904</c:v>
                </c:pt>
                <c:pt idx="615">
                  <c:v>2041415.1179001904</c:v>
                </c:pt>
                <c:pt idx="616">
                  <c:v>2041415.1179001904</c:v>
                </c:pt>
                <c:pt idx="617">
                  <c:v>2041415.1179001904</c:v>
                </c:pt>
                <c:pt idx="618">
                  <c:v>2041415.1179001904</c:v>
                </c:pt>
                <c:pt idx="619">
                  <c:v>2041415.1179001904</c:v>
                </c:pt>
                <c:pt idx="620">
                  <c:v>2041415.1179001904</c:v>
                </c:pt>
                <c:pt idx="621">
                  <c:v>2041415.1179001904</c:v>
                </c:pt>
                <c:pt idx="622">
                  <c:v>2041415.1179001904</c:v>
                </c:pt>
                <c:pt idx="623">
                  <c:v>2041415.1179001904</c:v>
                </c:pt>
                <c:pt idx="624">
                  <c:v>2041415.1179001904</c:v>
                </c:pt>
                <c:pt idx="625">
                  <c:v>2041415.1179001904</c:v>
                </c:pt>
                <c:pt idx="626">
                  <c:v>2041415.1179001904</c:v>
                </c:pt>
                <c:pt idx="627">
                  <c:v>2041415.1179001904</c:v>
                </c:pt>
                <c:pt idx="628">
                  <c:v>2041415.1179001904</c:v>
                </c:pt>
                <c:pt idx="629">
                  <c:v>2041415.1179001904</c:v>
                </c:pt>
                <c:pt idx="630">
                  <c:v>2041415.1179001904</c:v>
                </c:pt>
                <c:pt idx="631">
                  <c:v>2041415.1179001904</c:v>
                </c:pt>
                <c:pt idx="632">
                  <c:v>2041415.1179001904</c:v>
                </c:pt>
                <c:pt idx="633">
                  <c:v>2041415.1179001904</c:v>
                </c:pt>
                <c:pt idx="634">
                  <c:v>2041415.1179001904</c:v>
                </c:pt>
                <c:pt idx="635">
                  <c:v>2041415.1179001904</c:v>
                </c:pt>
                <c:pt idx="636">
                  <c:v>2041415.1179001904</c:v>
                </c:pt>
                <c:pt idx="637">
                  <c:v>2041415.1179001904</c:v>
                </c:pt>
                <c:pt idx="638">
                  <c:v>2041415.1179001904</c:v>
                </c:pt>
                <c:pt idx="639">
                  <c:v>2041415.1179001904</c:v>
                </c:pt>
                <c:pt idx="640">
                  <c:v>2041415.1179001904</c:v>
                </c:pt>
                <c:pt idx="641">
                  <c:v>2041415.1179001904</c:v>
                </c:pt>
                <c:pt idx="642">
                  <c:v>2041415.1179001904</c:v>
                </c:pt>
                <c:pt idx="643">
                  <c:v>2041415.1179001904</c:v>
                </c:pt>
                <c:pt idx="644">
                  <c:v>2041415.1179001904</c:v>
                </c:pt>
                <c:pt idx="645">
                  <c:v>2041415.1179001904</c:v>
                </c:pt>
                <c:pt idx="646">
                  <c:v>2041415.1179001904</c:v>
                </c:pt>
                <c:pt idx="647">
                  <c:v>2041415.1179001904</c:v>
                </c:pt>
                <c:pt idx="648">
                  <c:v>2041415.1179001904</c:v>
                </c:pt>
                <c:pt idx="649">
                  <c:v>2041415.1179001904</c:v>
                </c:pt>
                <c:pt idx="650">
                  <c:v>2041415.1179001904</c:v>
                </c:pt>
                <c:pt idx="651">
                  <c:v>2041415.1179001904</c:v>
                </c:pt>
                <c:pt idx="652">
                  <c:v>2041415.1179001904</c:v>
                </c:pt>
                <c:pt idx="653">
                  <c:v>2041415.1179001904</c:v>
                </c:pt>
                <c:pt idx="654">
                  <c:v>2041415.1179001904</c:v>
                </c:pt>
                <c:pt idx="655">
                  <c:v>2041415.1179001904</c:v>
                </c:pt>
                <c:pt idx="656">
                  <c:v>2041415.1179001904</c:v>
                </c:pt>
                <c:pt idx="657">
                  <c:v>2041415.1179001904</c:v>
                </c:pt>
                <c:pt idx="658">
                  <c:v>2041415.1179001904</c:v>
                </c:pt>
                <c:pt idx="659">
                  <c:v>2041415.1179001904</c:v>
                </c:pt>
                <c:pt idx="660">
                  <c:v>2041415.1179001904</c:v>
                </c:pt>
                <c:pt idx="661">
                  <c:v>2041415.1179001904</c:v>
                </c:pt>
                <c:pt idx="662">
                  <c:v>2041415.1179001904</c:v>
                </c:pt>
                <c:pt idx="663">
                  <c:v>2041415.1179001904</c:v>
                </c:pt>
                <c:pt idx="664">
                  <c:v>2041415.1179001904</c:v>
                </c:pt>
                <c:pt idx="665">
                  <c:v>2041415.1179001904</c:v>
                </c:pt>
                <c:pt idx="666">
                  <c:v>2041415.1179001904</c:v>
                </c:pt>
                <c:pt idx="667">
                  <c:v>2041415.1179001904</c:v>
                </c:pt>
                <c:pt idx="668">
                  <c:v>2041415.1179001904</c:v>
                </c:pt>
                <c:pt idx="669">
                  <c:v>2041415.1179001904</c:v>
                </c:pt>
                <c:pt idx="670">
                  <c:v>2041415.1179001904</c:v>
                </c:pt>
                <c:pt idx="671">
                  <c:v>2041415.1179001904</c:v>
                </c:pt>
                <c:pt idx="672">
                  <c:v>2041415.1179001904</c:v>
                </c:pt>
                <c:pt idx="673">
                  <c:v>2041415.1179001904</c:v>
                </c:pt>
                <c:pt idx="674">
                  <c:v>2041415.1179001904</c:v>
                </c:pt>
                <c:pt idx="675">
                  <c:v>2041415.1179001904</c:v>
                </c:pt>
                <c:pt idx="676">
                  <c:v>2041415.1179001904</c:v>
                </c:pt>
                <c:pt idx="677">
                  <c:v>2041415.1179001904</c:v>
                </c:pt>
                <c:pt idx="678">
                  <c:v>2041415.1179001904</c:v>
                </c:pt>
                <c:pt idx="679">
                  <c:v>2041415.1179001904</c:v>
                </c:pt>
                <c:pt idx="680">
                  <c:v>2041415.1179001904</c:v>
                </c:pt>
                <c:pt idx="681">
                  <c:v>2041415.1179001904</c:v>
                </c:pt>
                <c:pt idx="682">
                  <c:v>2041415.1179001904</c:v>
                </c:pt>
                <c:pt idx="683">
                  <c:v>2041415.1179001904</c:v>
                </c:pt>
                <c:pt idx="684">
                  <c:v>2041415.1179001904</c:v>
                </c:pt>
                <c:pt idx="685">
                  <c:v>2041415.1179001904</c:v>
                </c:pt>
                <c:pt idx="686">
                  <c:v>2041415.1179001904</c:v>
                </c:pt>
                <c:pt idx="687">
                  <c:v>2041415.1179001904</c:v>
                </c:pt>
                <c:pt idx="688">
                  <c:v>2041415.1179001904</c:v>
                </c:pt>
                <c:pt idx="689">
                  <c:v>2041415.1179001904</c:v>
                </c:pt>
                <c:pt idx="690">
                  <c:v>2041415.1179001904</c:v>
                </c:pt>
                <c:pt idx="691">
                  <c:v>2041415.1179001904</c:v>
                </c:pt>
                <c:pt idx="692">
                  <c:v>2041415.1179001904</c:v>
                </c:pt>
                <c:pt idx="693">
                  <c:v>2041415.1179001904</c:v>
                </c:pt>
                <c:pt idx="694">
                  <c:v>2041415.1179001904</c:v>
                </c:pt>
                <c:pt idx="695">
                  <c:v>2041415.1179001904</c:v>
                </c:pt>
                <c:pt idx="696">
                  <c:v>2041415.1179001904</c:v>
                </c:pt>
                <c:pt idx="697">
                  <c:v>2041415.1179001904</c:v>
                </c:pt>
                <c:pt idx="698">
                  <c:v>2041415.1179001904</c:v>
                </c:pt>
                <c:pt idx="699">
                  <c:v>2041415.1179001904</c:v>
                </c:pt>
                <c:pt idx="700">
                  <c:v>2041415.1179001904</c:v>
                </c:pt>
                <c:pt idx="701">
                  <c:v>2041415.1179001904</c:v>
                </c:pt>
                <c:pt idx="702">
                  <c:v>2041415.1179001904</c:v>
                </c:pt>
                <c:pt idx="703">
                  <c:v>2041415.1179001904</c:v>
                </c:pt>
                <c:pt idx="704">
                  <c:v>2041415.1179001904</c:v>
                </c:pt>
                <c:pt idx="705">
                  <c:v>2041415.1179001904</c:v>
                </c:pt>
                <c:pt idx="706">
                  <c:v>2041415.1179001904</c:v>
                </c:pt>
                <c:pt idx="707">
                  <c:v>2041415.1179001904</c:v>
                </c:pt>
                <c:pt idx="708">
                  <c:v>2041415.1179001904</c:v>
                </c:pt>
                <c:pt idx="709">
                  <c:v>2041415.1179001904</c:v>
                </c:pt>
                <c:pt idx="710">
                  <c:v>2041415.1179001904</c:v>
                </c:pt>
                <c:pt idx="711">
                  <c:v>2041415.1179001904</c:v>
                </c:pt>
                <c:pt idx="712">
                  <c:v>2041415.1179001904</c:v>
                </c:pt>
                <c:pt idx="713">
                  <c:v>2041415.1179001904</c:v>
                </c:pt>
                <c:pt idx="714">
                  <c:v>2041415.1179001904</c:v>
                </c:pt>
                <c:pt idx="715">
                  <c:v>2041415.1179001904</c:v>
                </c:pt>
                <c:pt idx="716">
                  <c:v>2041415.1179001904</c:v>
                </c:pt>
                <c:pt idx="717">
                  <c:v>2041415.1179001904</c:v>
                </c:pt>
                <c:pt idx="718">
                  <c:v>2041415.1179001904</c:v>
                </c:pt>
                <c:pt idx="719">
                  <c:v>2041415.1179001904</c:v>
                </c:pt>
                <c:pt idx="720">
                  <c:v>2041415.1179001904</c:v>
                </c:pt>
                <c:pt idx="721">
                  <c:v>2041415.1179001904</c:v>
                </c:pt>
                <c:pt idx="722">
                  <c:v>2041415.1179001904</c:v>
                </c:pt>
                <c:pt idx="723">
                  <c:v>2041415.1179001904</c:v>
                </c:pt>
                <c:pt idx="724">
                  <c:v>2041415.1179001904</c:v>
                </c:pt>
                <c:pt idx="725">
                  <c:v>2041415.1179001904</c:v>
                </c:pt>
                <c:pt idx="726">
                  <c:v>2041415.1179001904</c:v>
                </c:pt>
                <c:pt idx="727">
                  <c:v>2041415.1179001904</c:v>
                </c:pt>
                <c:pt idx="728">
                  <c:v>2041415.1179001904</c:v>
                </c:pt>
                <c:pt idx="729">
                  <c:v>2041415.1179001904</c:v>
                </c:pt>
                <c:pt idx="730">
                  <c:v>2041415.1179001904</c:v>
                </c:pt>
                <c:pt idx="731">
                  <c:v>2041415.1179001904</c:v>
                </c:pt>
                <c:pt idx="732">
                  <c:v>2041415.1179001904</c:v>
                </c:pt>
                <c:pt idx="733">
                  <c:v>2041415.1179001904</c:v>
                </c:pt>
                <c:pt idx="734">
                  <c:v>2041415.1179001904</c:v>
                </c:pt>
                <c:pt idx="735">
                  <c:v>2041415.1179001904</c:v>
                </c:pt>
                <c:pt idx="736">
                  <c:v>2041415.1179001904</c:v>
                </c:pt>
                <c:pt idx="737">
                  <c:v>2041415.1179001904</c:v>
                </c:pt>
                <c:pt idx="738">
                  <c:v>2041415.1179001904</c:v>
                </c:pt>
                <c:pt idx="739">
                  <c:v>2041415.1179001904</c:v>
                </c:pt>
                <c:pt idx="740">
                  <c:v>2041415.1179001904</c:v>
                </c:pt>
                <c:pt idx="741">
                  <c:v>2041415.1179001904</c:v>
                </c:pt>
                <c:pt idx="742">
                  <c:v>2041415.1179001904</c:v>
                </c:pt>
                <c:pt idx="743">
                  <c:v>2041415.1179001904</c:v>
                </c:pt>
                <c:pt idx="744">
                  <c:v>2041415.1179001904</c:v>
                </c:pt>
                <c:pt idx="745">
                  <c:v>2041415.1179001904</c:v>
                </c:pt>
                <c:pt idx="746">
                  <c:v>2041415.1179001904</c:v>
                </c:pt>
                <c:pt idx="747">
                  <c:v>2041415.1179001904</c:v>
                </c:pt>
                <c:pt idx="748">
                  <c:v>2041415.1179001904</c:v>
                </c:pt>
                <c:pt idx="749">
                  <c:v>2041415.1179001904</c:v>
                </c:pt>
                <c:pt idx="750">
                  <c:v>2041415.1179001904</c:v>
                </c:pt>
                <c:pt idx="751">
                  <c:v>2041415.1179001904</c:v>
                </c:pt>
                <c:pt idx="752">
                  <c:v>2041415.1179001904</c:v>
                </c:pt>
                <c:pt idx="753">
                  <c:v>2041415.1179001904</c:v>
                </c:pt>
                <c:pt idx="754">
                  <c:v>2041415.1179001904</c:v>
                </c:pt>
                <c:pt idx="755">
                  <c:v>2041415.1179001904</c:v>
                </c:pt>
                <c:pt idx="756">
                  <c:v>2041415.1179001904</c:v>
                </c:pt>
                <c:pt idx="757">
                  <c:v>2041415.1179001904</c:v>
                </c:pt>
                <c:pt idx="758">
                  <c:v>2041415.1179001904</c:v>
                </c:pt>
                <c:pt idx="759">
                  <c:v>2041415.1179001904</c:v>
                </c:pt>
                <c:pt idx="760">
                  <c:v>2041415.1179001904</c:v>
                </c:pt>
                <c:pt idx="761">
                  <c:v>2041415.1179001904</c:v>
                </c:pt>
                <c:pt idx="762">
                  <c:v>2041415.1179001904</c:v>
                </c:pt>
                <c:pt idx="763">
                  <c:v>2041415.1179001904</c:v>
                </c:pt>
                <c:pt idx="764">
                  <c:v>2041415.1179001904</c:v>
                </c:pt>
                <c:pt idx="765">
                  <c:v>2041415.1179001904</c:v>
                </c:pt>
                <c:pt idx="766">
                  <c:v>2041415.1179001904</c:v>
                </c:pt>
                <c:pt idx="767">
                  <c:v>2041415.1179001904</c:v>
                </c:pt>
                <c:pt idx="768">
                  <c:v>2041415.1179001904</c:v>
                </c:pt>
                <c:pt idx="769">
                  <c:v>2041415.1179001904</c:v>
                </c:pt>
                <c:pt idx="770">
                  <c:v>2041415.1179001904</c:v>
                </c:pt>
                <c:pt idx="771">
                  <c:v>2041415.1179001904</c:v>
                </c:pt>
                <c:pt idx="772">
                  <c:v>2041415.1179001904</c:v>
                </c:pt>
                <c:pt idx="773">
                  <c:v>2041415.1179001904</c:v>
                </c:pt>
                <c:pt idx="774">
                  <c:v>2041415.1179001904</c:v>
                </c:pt>
                <c:pt idx="775">
                  <c:v>2041415.1179001904</c:v>
                </c:pt>
                <c:pt idx="776">
                  <c:v>2041415.1179001904</c:v>
                </c:pt>
                <c:pt idx="777">
                  <c:v>2041415.1179001904</c:v>
                </c:pt>
                <c:pt idx="778">
                  <c:v>2041415.1179001904</c:v>
                </c:pt>
                <c:pt idx="779">
                  <c:v>2041415.1179001904</c:v>
                </c:pt>
                <c:pt idx="780">
                  <c:v>2041415.1179001904</c:v>
                </c:pt>
                <c:pt idx="781">
                  <c:v>2041415.1179001904</c:v>
                </c:pt>
                <c:pt idx="782">
                  <c:v>2041415.1179001904</c:v>
                </c:pt>
                <c:pt idx="783">
                  <c:v>2041415.1179001904</c:v>
                </c:pt>
                <c:pt idx="784">
                  <c:v>2041415.1179001904</c:v>
                </c:pt>
                <c:pt idx="785">
                  <c:v>2041415.1179001904</c:v>
                </c:pt>
                <c:pt idx="786">
                  <c:v>2041415.1179001904</c:v>
                </c:pt>
                <c:pt idx="787">
                  <c:v>2041415.1179001904</c:v>
                </c:pt>
                <c:pt idx="788">
                  <c:v>2041415.1179001904</c:v>
                </c:pt>
                <c:pt idx="789">
                  <c:v>2041415.1179001904</c:v>
                </c:pt>
                <c:pt idx="790">
                  <c:v>2041415.1179001904</c:v>
                </c:pt>
                <c:pt idx="791">
                  <c:v>2041415.1179001904</c:v>
                </c:pt>
                <c:pt idx="792">
                  <c:v>2041415.1179001904</c:v>
                </c:pt>
                <c:pt idx="793">
                  <c:v>2041415.1179001904</c:v>
                </c:pt>
                <c:pt idx="794">
                  <c:v>2041415.1179001904</c:v>
                </c:pt>
                <c:pt idx="795">
                  <c:v>2041415.1179001904</c:v>
                </c:pt>
                <c:pt idx="796">
                  <c:v>2041415.1179001904</c:v>
                </c:pt>
                <c:pt idx="797">
                  <c:v>2041415.1179001904</c:v>
                </c:pt>
                <c:pt idx="798">
                  <c:v>2041415.1179001904</c:v>
                </c:pt>
                <c:pt idx="799">
                  <c:v>2041415.1179001904</c:v>
                </c:pt>
                <c:pt idx="800">
                  <c:v>2041415.1179001904</c:v>
                </c:pt>
                <c:pt idx="801">
                  <c:v>2041415.1179001904</c:v>
                </c:pt>
                <c:pt idx="802">
                  <c:v>2041415.1179001904</c:v>
                </c:pt>
                <c:pt idx="803">
                  <c:v>2041415.1179001904</c:v>
                </c:pt>
                <c:pt idx="804">
                  <c:v>2041415.1179001904</c:v>
                </c:pt>
                <c:pt idx="805">
                  <c:v>2041415.1179001904</c:v>
                </c:pt>
                <c:pt idx="806">
                  <c:v>2041415.1179001904</c:v>
                </c:pt>
                <c:pt idx="807">
                  <c:v>2041415.1179001904</c:v>
                </c:pt>
                <c:pt idx="808">
                  <c:v>2041415.1179001904</c:v>
                </c:pt>
                <c:pt idx="809">
                  <c:v>2041415.1179001904</c:v>
                </c:pt>
                <c:pt idx="810">
                  <c:v>2041415.1179001904</c:v>
                </c:pt>
                <c:pt idx="811">
                  <c:v>2041415.1179001904</c:v>
                </c:pt>
                <c:pt idx="812">
                  <c:v>2041415.1179001904</c:v>
                </c:pt>
                <c:pt idx="813">
                  <c:v>2041415.1179001904</c:v>
                </c:pt>
                <c:pt idx="814">
                  <c:v>2041415.1179001904</c:v>
                </c:pt>
                <c:pt idx="815">
                  <c:v>2041415.1179001904</c:v>
                </c:pt>
                <c:pt idx="816">
                  <c:v>2041415.1179001904</c:v>
                </c:pt>
                <c:pt idx="817">
                  <c:v>2041415.1179001904</c:v>
                </c:pt>
                <c:pt idx="818">
                  <c:v>2041415.1179001904</c:v>
                </c:pt>
                <c:pt idx="819">
                  <c:v>2041415.1179001904</c:v>
                </c:pt>
                <c:pt idx="820">
                  <c:v>2041415.1179001904</c:v>
                </c:pt>
                <c:pt idx="821">
                  <c:v>2041415.1179001904</c:v>
                </c:pt>
                <c:pt idx="822">
                  <c:v>2041415.1179001904</c:v>
                </c:pt>
                <c:pt idx="823">
                  <c:v>2041415.1179001904</c:v>
                </c:pt>
                <c:pt idx="824">
                  <c:v>2041415.1179001904</c:v>
                </c:pt>
                <c:pt idx="825">
                  <c:v>2041415.1179001904</c:v>
                </c:pt>
                <c:pt idx="826">
                  <c:v>2041415.1179001904</c:v>
                </c:pt>
                <c:pt idx="827">
                  <c:v>2041415.1179001904</c:v>
                </c:pt>
                <c:pt idx="828">
                  <c:v>2041415.1179001904</c:v>
                </c:pt>
                <c:pt idx="829">
                  <c:v>2041415.1179001904</c:v>
                </c:pt>
                <c:pt idx="830">
                  <c:v>2041415.1179001904</c:v>
                </c:pt>
                <c:pt idx="831">
                  <c:v>2041415.1179001904</c:v>
                </c:pt>
                <c:pt idx="832">
                  <c:v>2041415.1179001904</c:v>
                </c:pt>
                <c:pt idx="833">
                  <c:v>2041415.1179001904</c:v>
                </c:pt>
                <c:pt idx="834">
                  <c:v>2041415.1179001904</c:v>
                </c:pt>
                <c:pt idx="835">
                  <c:v>2041415.1179001904</c:v>
                </c:pt>
                <c:pt idx="836">
                  <c:v>2041415.1179001904</c:v>
                </c:pt>
                <c:pt idx="837">
                  <c:v>2041415.1179001904</c:v>
                </c:pt>
                <c:pt idx="838">
                  <c:v>2041415.1179001904</c:v>
                </c:pt>
                <c:pt idx="839">
                  <c:v>2041415.1179001904</c:v>
                </c:pt>
                <c:pt idx="840">
                  <c:v>2041415.1179001904</c:v>
                </c:pt>
                <c:pt idx="841">
                  <c:v>2041415.1179001904</c:v>
                </c:pt>
                <c:pt idx="842">
                  <c:v>2041415.1179001904</c:v>
                </c:pt>
                <c:pt idx="843">
                  <c:v>2041415.1179001904</c:v>
                </c:pt>
                <c:pt idx="844">
                  <c:v>2041415.1179001904</c:v>
                </c:pt>
                <c:pt idx="845">
                  <c:v>2041415.1179001904</c:v>
                </c:pt>
                <c:pt idx="846">
                  <c:v>2041415.1179001904</c:v>
                </c:pt>
                <c:pt idx="847">
                  <c:v>2041415.1179001904</c:v>
                </c:pt>
                <c:pt idx="848">
                  <c:v>2041415.1179001904</c:v>
                </c:pt>
                <c:pt idx="849">
                  <c:v>2041415.1179001904</c:v>
                </c:pt>
                <c:pt idx="850">
                  <c:v>2041415.1179001904</c:v>
                </c:pt>
                <c:pt idx="851">
                  <c:v>2041415.1179001904</c:v>
                </c:pt>
                <c:pt idx="852">
                  <c:v>2041415.1179001904</c:v>
                </c:pt>
                <c:pt idx="853">
                  <c:v>2041415.1179001904</c:v>
                </c:pt>
                <c:pt idx="854">
                  <c:v>2041415.1179001904</c:v>
                </c:pt>
                <c:pt idx="855">
                  <c:v>2041415.1179001904</c:v>
                </c:pt>
                <c:pt idx="856">
                  <c:v>2041415.1179001904</c:v>
                </c:pt>
                <c:pt idx="857">
                  <c:v>2041415.1179001904</c:v>
                </c:pt>
                <c:pt idx="858">
                  <c:v>2041415.1179001904</c:v>
                </c:pt>
                <c:pt idx="859">
                  <c:v>2041415.1179001904</c:v>
                </c:pt>
                <c:pt idx="860">
                  <c:v>2041415.1179001904</c:v>
                </c:pt>
                <c:pt idx="861">
                  <c:v>2041415.1179001904</c:v>
                </c:pt>
                <c:pt idx="862">
                  <c:v>2041415.1179001904</c:v>
                </c:pt>
                <c:pt idx="863">
                  <c:v>2041415.1179001904</c:v>
                </c:pt>
                <c:pt idx="864">
                  <c:v>2041415.1179001904</c:v>
                </c:pt>
                <c:pt idx="865">
                  <c:v>2041415.1179001904</c:v>
                </c:pt>
                <c:pt idx="866">
                  <c:v>2041415.1179001904</c:v>
                </c:pt>
                <c:pt idx="867">
                  <c:v>2041415.1179001904</c:v>
                </c:pt>
                <c:pt idx="868">
                  <c:v>2041415.1179001904</c:v>
                </c:pt>
                <c:pt idx="869">
                  <c:v>2041415.1179001904</c:v>
                </c:pt>
                <c:pt idx="870">
                  <c:v>2041415.1179001904</c:v>
                </c:pt>
                <c:pt idx="871">
                  <c:v>2041415.1179001904</c:v>
                </c:pt>
                <c:pt idx="872">
                  <c:v>2041415.1179001904</c:v>
                </c:pt>
                <c:pt idx="873">
                  <c:v>2041415.1179001904</c:v>
                </c:pt>
                <c:pt idx="874">
                  <c:v>2041415.1179001904</c:v>
                </c:pt>
                <c:pt idx="875">
                  <c:v>2041415.1179001904</c:v>
                </c:pt>
                <c:pt idx="876">
                  <c:v>2041415.1179001904</c:v>
                </c:pt>
                <c:pt idx="877">
                  <c:v>2041415.1179001904</c:v>
                </c:pt>
                <c:pt idx="878">
                  <c:v>2041415.1179001904</c:v>
                </c:pt>
                <c:pt idx="879">
                  <c:v>2041415.1179001904</c:v>
                </c:pt>
                <c:pt idx="880">
                  <c:v>2041415.1179001904</c:v>
                </c:pt>
                <c:pt idx="881">
                  <c:v>2041415.1179001904</c:v>
                </c:pt>
                <c:pt idx="882">
                  <c:v>2041415.1179001904</c:v>
                </c:pt>
                <c:pt idx="883">
                  <c:v>2041415.1179001904</c:v>
                </c:pt>
                <c:pt idx="884">
                  <c:v>2041415.1179001904</c:v>
                </c:pt>
                <c:pt idx="885">
                  <c:v>2041415.1179001904</c:v>
                </c:pt>
                <c:pt idx="886">
                  <c:v>2041415.1179001904</c:v>
                </c:pt>
                <c:pt idx="887">
                  <c:v>2041415.1179001904</c:v>
                </c:pt>
                <c:pt idx="888">
                  <c:v>2041415.1179001904</c:v>
                </c:pt>
                <c:pt idx="889">
                  <c:v>2041415.1179001904</c:v>
                </c:pt>
                <c:pt idx="890">
                  <c:v>2041415.1179001904</c:v>
                </c:pt>
                <c:pt idx="891">
                  <c:v>2041415.1179001904</c:v>
                </c:pt>
                <c:pt idx="892">
                  <c:v>2041415.1179001904</c:v>
                </c:pt>
                <c:pt idx="893">
                  <c:v>2041415.1179001904</c:v>
                </c:pt>
                <c:pt idx="894">
                  <c:v>2041415.1179001904</c:v>
                </c:pt>
                <c:pt idx="895">
                  <c:v>2041415.1179001904</c:v>
                </c:pt>
                <c:pt idx="896">
                  <c:v>2041415.1179001904</c:v>
                </c:pt>
                <c:pt idx="897">
                  <c:v>2041415.1179001904</c:v>
                </c:pt>
                <c:pt idx="898">
                  <c:v>2041415.1179001904</c:v>
                </c:pt>
                <c:pt idx="899">
                  <c:v>2041415.1179001904</c:v>
                </c:pt>
                <c:pt idx="900">
                  <c:v>2041415.1179001904</c:v>
                </c:pt>
                <c:pt idx="901">
                  <c:v>2041415.1179001904</c:v>
                </c:pt>
                <c:pt idx="902">
                  <c:v>2041415.1179001904</c:v>
                </c:pt>
                <c:pt idx="903">
                  <c:v>2041415.1179001904</c:v>
                </c:pt>
                <c:pt idx="904">
                  <c:v>2041415.1179001904</c:v>
                </c:pt>
                <c:pt idx="905">
                  <c:v>2041415.1179001904</c:v>
                </c:pt>
                <c:pt idx="906">
                  <c:v>2041415.1179001904</c:v>
                </c:pt>
                <c:pt idx="907">
                  <c:v>2041415.1179001904</c:v>
                </c:pt>
                <c:pt idx="908">
                  <c:v>2041415.1179001904</c:v>
                </c:pt>
                <c:pt idx="909">
                  <c:v>2041415.1179001904</c:v>
                </c:pt>
                <c:pt idx="910">
                  <c:v>2041415.1179001904</c:v>
                </c:pt>
                <c:pt idx="911">
                  <c:v>2041415.1179001904</c:v>
                </c:pt>
                <c:pt idx="912">
                  <c:v>2041415.1179001904</c:v>
                </c:pt>
                <c:pt idx="913">
                  <c:v>2041415.1179001904</c:v>
                </c:pt>
                <c:pt idx="914">
                  <c:v>2041415.1179001904</c:v>
                </c:pt>
                <c:pt idx="915">
                  <c:v>2041415.1179001904</c:v>
                </c:pt>
                <c:pt idx="916">
                  <c:v>2041415.1179001904</c:v>
                </c:pt>
                <c:pt idx="917">
                  <c:v>2041415.1179001904</c:v>
                </c:pt>
                <c:pt idx="918">
                  <c:v>2041415.1179001904</c:v>
                </c:pt>
                <c:pt idx="919">
                  <c:v>2041415.1179001904</c:v>
                </c:pt>
                <c:pt idx="920">
                  <c:v>2041415.1179001904</c:v>
                </c:pt>
                <c:pt idx="921">
                  <c:v>2041415.1179001904</c:v>
                </c:pt>
                <c:pt idx="922">
                  <c:v>2041415.1179001904</c:v>
                </c:pt>
                <c:pt idx="923">
                  <c:v>2041415.1179001904</c:v>
                </c:pt>
                <c:pt idx="924">
                  <c:v>2041415.1179001904</c:v>
                </c:pt>
                <c:pt idx="925">
                  <c:v>2041415.1179001904</c:v>
                </c:pt>
                <c:pt idx="926">
                  <c:v>2041415.1179001904</c:v>
                </c:pt>
                <c:pt idx="927">
                  <c:v>2041415.1179001904</c:v>
                </c:pt>
                <c:pt idx="928">
                  <c:v>2041415.1179001904</c:v>
                </c:pt>
                <c:pt idx="929">
                  <c:v>2041415.1179001904</c:v>
                </c:pt>
                <c:pt idx="930">
                  <c:v>2041415.1179001904</c:v>
                </c:pt>
                <c:pt idx="931">
                  <c:v>2041415.1179001904</c:v>
                </c:pt>
                <c:pt idx="932">
                  <c:v>2041415.1179001904</c:v>
                </c:pt>
                <c:pt idx="933">
                  <c:v>2041415.1179001904</c:v>
                </c:pt>
                <c:pt idx="934">
                  <c:v>2041415.1179001904</c:v>
                </c:pt>
                <c:pt idx="935">
                  <c:v>2041415.1179001904</c:v>
                </c:pt>
                <c:pt idx="936">
                  <c:v>2041415.1179001904</c:v>
                </c:pt>
                <c:pt idx="937">
                  <c:v>2041415.1179001904</c:v>
                </c:pt>
                <c:pt idx="938">
                  <c:v>2041415.1179001904</c:v>
                </c:pt>
                <c:pt idx="939">
                  <c:v>2041415.1179001904</c:v>
                </c:pt>
                <c:pt idx="940">
                  <c:v>2041415.1179001904</c:v>
                </c:pt>
                <c:pt idx="941">
                  <c:v>2041415.1179001904</c:v>
                </c:pt>
                <c:pt idx="942">
                  <c:v>2041415.1179001904</c:v>
                </c:pt>
                <c:pt idx="943">
                  <c:v>2041415.1179001904</c:v>
                </c:pt>
                <c:pt idx="944">
                  <c:v>2041415.1179001904</c:v>
                </c:pt>
                <c:pt idx="945">
                  <c:v>2041415.1179001904</c:v>
                </c:pt>
                <c:pt idx="946">
                  <c:v>2041415.1179001904</c:v>
                </c:pt>
                <c:pt idx="947">
                  <c:v>2041415.1179001904</c:v>
                </c:pt>
                <c:pt idx="948">
                  <c:v>2041415.1179001904</c:v>
                </c:pt>
                <c:pt idx="949">
                  <c:v>2041415.1179001904</c:v>
                </c:pt>
                <c:pt idx="950">
                  <c:v>2041415.1179001904</c:v>
                </c:pt>
                <c:pt idx="951">
                  <c:v>2041415.1179001904</c:v>
                </c:pt>
                <c:pt idx="952">
                  <c:v>2041415.1179001904</c:v>
                </c:pt>
                <c:pt idx="953">
                  <c:v>2041415.1179001904</c:v>
                </c:pt>
                <c:pt idx="954">
                  <c:v>2041415.1179001904</c:v>
                </c:pt>
                <c:pt idx="955">
                  <c:v>2041415.1179001904</c:v>
                </c:pt>
                <c:pt idx="956">
                  <c:v>2041415.1179001904</c:v>
                </c:pt>
                <c:pt idx="957">
                  <c:v>2041415.1179001904</c:v>
                </c:pt>
                <c:pt idx="958">
                  <c:v>2041415.1179001904</c:v>
                </c:pt>
                <c:pt idx="959">
                  <c:v>2041415.1179001904</c:v>
                </c:pt>
                <c:pt idx="960">
                  <c:v>2041415.1179001904</c:v>
                </c:pt>
                <c:pt idx="961">
                  <c:v>2041415.1179001904</c:v>
                </c:pt>
                <c:pt idx="962">
                  <c:v>2041415.1179001904</c:v>
                </c:pt>
                <c:pt idx="963">
                  <c:v>2041415.1179001904</c:v>
                </c:pt>
                <c:pt idx="964">
                  <c:v>2041415.1179001904</c:v>
                </c:pt>
                <c:pt idx="965">
                  <c:v>2041415.1179001904</c:v>
                </c:pt>
                <c:pt idx="966">
                  <c:v>2041415.1179001904</c:v>
                </c:pt>
                <c:pt idx="967">
                  <c:v>2041415.1179001904</c:v>
                </c:pt>
                <c:pt idx="968">
                  <c:v>2041415.1179001904</c:v>
                </c:pt>
                <c:pt idx="969">
                  <c:v>2041415.1179001904</c:v>
                </c:pt>
                <c:pt idx="970">
                  <c:v>2041415.1179001904</c:v>
                </c:pt>
                <c:pt idx="971">
                  <c:v>2041415.1179001904</c:v>
                </c:pt>
                <c:pt idx="972">
                  <c:v>2041415.1179001904</c:v>
                </c:pt>
                <c:pt idx="973">
                  <c:v>2041415.1179001904</c:v>
                </c:pt>
                <c:pt idx="974">
                  <c:v>2041415.1179001904</c:v>
                </c:pt>
                <c:pt idx="975">
                  <c:v>2041415.1179001904</c:v>
                </c:pt>
                <c:pt idx="976">
                  <c:v>2041415.1179001904</c:v>
                </c:pt>
                <c:pt idx="977">
                  <c:v>2041415.1179001904</c:v>
                </c:pt>
                <c:pt idx="978">
                  <c:v>2041415.1179001904</c:v>
                </c:pt>
                <c:pt idx="979">
                  <c:v>2041415.1179001904</c:v>
                </c:pt>
                <c:pt idx="980">
                  <c:v>2041415.1179001904</c:v>
                </c:pt>
                <c:pt idx="981">
                  <c:v>2041415.1179001904</c:v>
                </c:pt>
                <c:pt idx="982">
                  <c:v>2041415.1179001904</c:v>
                </c:pt>
                <c:pt idx="983">
                  <c:v>2041415.1179001904</c:v>
                </c:pt>
                <c:pt idx="984">
                  <c:v>2041415.1179001904</c:v>
                </c:pt>
                <c:pt idx="985">
                  <c:v>2041415.1179001904</c:v>
                </c:pt>
                <c:pt idx="986">
                  <c:v>2041415.1179001904</c:v>
                </c:pt>
                <c:pt idx="987">
                  <c:v>2041415.1179001904</c:v>
                </c:pt>
                <c:pt idx="988">
                  <c:v>2041415.1179001904</c:v>
                </c:pt>
                <c:pt idx="989">
                  <c:v>2041415.1179001904</c:v>
                </c:pt>
                <c:pt idx="990">
                  <c:v>2041415.1179001904</c:v>
                </c:pt>
                <c:pt idx="991">
                  <c:v>2041415.1179001904</c:v>
                </c:pt>
                <c:pt idx="992">
                  <c:v>2041415.1179001904</c:v>
                </c:pt>
                <c:pt idx="993">
                  <c:v>2041415.1179001904</c:v>
                </c:pt>
                <c:pt idx="994">
                  <c:v>2041415.1179001904</c:v>
                </c:pt>
                <c:pt idx="995">
                  <c:v>2041415.1179001904</c:v>
                </c:pt>
                <c:pt idx="996">
                  <c:v>2041415.1179001904</c:v>
                </c:pt>
                <c:pt idx="997">
                  <c:v>2041415.1179001904</c:v>
                </c:pt>
                <c:pt idx="998">
                  <c:v>2041415.1179001904</c:v>
                </c:pt>
                <c:pt idx="999">
                  <c:v>2041415.1179001904</c:v>
                </c:pt>
                <c:pt idx="1000">
                  <c:v>2041415.1179001904</c:v>
                </c:pt>
                <c:pt idx="1001">
                  <c:v>2041415.1179001904</c:v>
                </c:pt>
                <c:pt idx="1002">
                  <c:v>2041415.1179001904</c:v>
                </c:pt>
                <c:pt idx="1003">
                  <c:v>2041415.1179001904</c:v>
                </c:pt>
                <c:pt idx="1004">
                  <c:v>2041415.1179001904</c:v>
                </c:pt>
                <c:pt idx="1005">
                  <c:v>2041415.1179001904</c:v>
                </c:pt>
                <c:pt idx="1006">
                  <c:v>2041415.1179001904</c:v>
                </c:pt>
                <c:pt idx="1007">
                  <c:v>2041415.1179001904</c:v>
                </c:pt>
                <c:pt idx="1008">
                  <c:v>2041415.1179001904</c:v>
                </c:pt>
                <c:pt idx="1009">
                  <c:v>2041415.1179001904</c:v>
                </c:pt>
                <c:pt idx="1010">
                  <c:v>2041415.1179001904</c:v>
                </c:pt>
                <c:pt idx="1011">
                  <c:v>2041415.1179001904</c:v>
                </c:pt>
                <c:pt idx="1012">
                  <c:v>2041415.1179001904</c:v>
                </c:pt>
                <c:pt idx="1013">
                  <c:v>2041415.1179001904</c:v>
                </c:pt>
                <c:pt idx="1014">
                  <c:v>2041415.1179001904</c:v>
                </c:pt>
                <c:pt idx="1015">
                  <c:v>2041415.1179001904</c:v>
                </c:pt>
                <c:pt idx="1016">
                  <c:v>2041415.1179001904</c:v>
                </c:pt>
                <c:pt idx="1017">
                  <c:v>2041415.1179001904</c:v>
                </c:pt>
                <c:pt idx="1018">
                  <c:v>2041415.1179001904</c:v>
                </c:pt>
                <c:pt idx="1019">
                  <c:v>2041415.1179001904</c:v>
                </c:pt>
                <c:pt idx="1020">
                  <c:v>2041415.1179001904</c:v>
                </c:pt>
                <c:pt idx="1021">
                  <c:v>2041415.1179001904</c:v>
                </c:pt>
                <c:pt idx="1022">
                  <c:v>2041415.1179001904</c:v>
                </c:pt>
                <c:pt idx="1023">
                  <c:v>2041415.1179001904</c:v>
                </c:pt>
                <c:pt idx="1024">
                  <c:v>2041415.1179001904</c:v>
                </c:pt>
                <c:pt idx="1025">
                  <c:v>2041415.1179001904</c:v>
                </c:pt>
                <c:pt idx="1026">
                  <c:v>2041415.1179001904</c:v>
                </c:pt>
                <c:pt idx="1027">
                  <c:v>2041415.1179001904</c:v>
                </c:pt>
                <c:pt idx="1028">
                  <c:v>2041415.1179001904</c:v>
                </c:pt>
                <c:pt idx="1029">
                  <c:v>2041415.1179001904</c:v>
                </c:pt>
                <c:pt idx="1030">
                  <c:v>2041415.1179001904</c:v>
                </c:pt>
                <c:pt idx="1031">
                  <c:v>2041415.1179001904</c:v>
                </c:pt>
                <c:pt idx="1032">
                  <c:v>2041415.1179001904</c:v>
                </c:pt>
                <c:pt idx="1033">
                  <c:v>2041415.1179001904</c:v>
                </c:pt>
                <c:pt idx="1034">
                  <c:v>2041415.1179001904</c:v>
                </c:pt>
                <c:pt idx="1035">
                  <c:v>2041415.1179001904</c:v>
                </c:pt>
                <c:pt idx="1036">
                  <c:v>2041415.1179001904</c:v>
                </c:pt>
                <c:pt idx="1037">
                  <c:v>2041415.1179001904</c:v>
                </c:pt>
                <c:pt idx="1038">
                  <c:v>2041415.1179001904</c:v>
                </c:pt>
                <c:pt idx="1039">
                  <c:v>2041415.1179001904</c:v>
                </c:pt>
                <c:pt idx="1040">
                  <c:v>2041415.1179001904</c:v>
                </c:pt>
                <c:pt idx="1041">
                  <c:v>2041415.1179001904</c:v>
                </c:pt>
                <c:pt idx="1042">
                  <c:v>2041415.1179001904</c:v>
                </c:pt>
                <c:pt idx="1043">
                  <c:v>2041415.1179001904</c:v>
                </c:pt>
                <c:pt idx="1044">
                  <c:v>2041415.1179001904</c:v>
                </c:pt>
                <c:pt idx="1045">
                  <c:v>2041415.1179001904</c:v>
                </c:pt>
                <c:pt idx="1046">
                  <c:v>2041415.1179001904</c:v>
                </c:pt>
                <c:pt idx="1047">
                  <c:v>2041415.1179001904</c:v>
                </c:pt>
                <c:pt idx="1048">
                  <c:v>2041415.1179001904</c:v>
                </c:pt>
                <c:pt idx="1049">
                  <c:v>2041415.1179001904</c:v>
                </c:pt>
                <c:pt idx="1050">
                  <c:v>2041415.1179001904</c:v>
                </c:pt>
                <c:pt idx="1051">
                  <c:v>2041415.1179001904</c:v>
                </c:pt>
                <c:pt idx="1052">
                  <c:v>2041415.1179001904</c:v>
                </c:pt>
                <c:pt idx="1053">
                  <c:v>2041415.1179001904</c:v>
                </c:pt>
                <c:pt idx="1054">
                  <c:v>2041415.1179001904</c:v>
                </c:pt>
                <c:pt idx="1055">
                  <c:v>2041415.1179001904</c:v>
                </c:pt>
                <c:pt idx="1056">
                  <c:v>2041415.1179001904</c:v>
                </c:pt>
                <c:pt idx="1057">
                  <c:v>2041415.1179001904</c:v>
                </c:pt>
                <c:pt idx="1058">
                  <c:v>2041415.1179001904</c:v>
                </c:pt>
                <c:pt idx="1059">
                  <c:v>2041415.1179001904</c:v>
                </c:pt>
                <c:pt idx="1060">
                  <c:v>2041415.1179001904</c:v>
                </c:pt>
                <c:pt idx="1061">
                  <c:v>2041415.1179001904</c:v>
                </c:pt>
                <c:pt idx="1062">
                  <c:v>2041415.1179001904</c:v>
                </c:pt>
                <c:pt idx="1063">
                  <c:v>2041415.1179001904</c:v>
                </c:pt>
                <c:pt idx="1064">
                  <c:v>2041415.1179001904</c:v>
                </c:pt>
                <c:pt idx="1065">
                  <c:v>2041415.1179001904</c:v>
                </c:pt>
                <c:pt idx="1066">
                  <c:v>2041415.1179001904</c:v>
                </c:pt>
                <c:pt idx="1067">
                  <c:v>2041415.1179001904</c:v>
                </c:pt>
                <c:pt idx="1068">
                  <c:v>2041415.1179001904</c:v>
                </c:pt>
                <c:pt idx="1069">
                  <c:v>2041415.1179001904</c:v>
                </c:pt>
                <c:pt idx="1070">
                  <c:v>2041415.1179001904</c:v>
                </c:pt>
                <c:pt idx="1071">
                  <c:v>2041415.1179001904</c:v>
                </c:pt>
                <c:pt idx="1072">
                  <c:v>2041415.1179001904</c:v>
                </c:pt>
                <c:pt idx="1073">
                  <c:v>2041415.1179001904</c:v>
                </c:pt>
                <c:pt idx="1074">
                  <c:v>2041415.1179001904</c:v>
                </c:pt>
                <c:pt idx="1075">
                  <c:v>2041415.1179001904</c:v>
                </c:pt>
                <c:pt idx="1076">
                  <c:v>2041415.1179001904</c:v>
                </c:pt>
                <c:pt idx="1077">
                  <c:v>2041415.1179001904</c:v>
                </c:pt>
                <c:pt idx="1078">
                  <c:v>2041415.1179001904</c:v>
                </c:pt>
                <c:pt idx="1079">
                  <c:v>2041415.1179001904</c:v>
                </c:pt>
                <c:pt idx="1080">
                  <c:v>2041415.1179001904</c:v>
                </c:pt>
                <c:pt idx="1081">
                  <c:v>2041415.1179001904</c:v>
                </c:pt>
                <c:pt idx="1082">
                  <c:v>2041415.1179001904</c:v>
                </c:pt>
                <c:pt idx="1083">
                  <c:v>2041415.1179001904</c:v>
                </c:pt>
                <c:pt idx="1084">
                  <c:v>2041415.1179001904</c:v>
                </c:pt>
                <c:pt idx="1085">
                  <c:v>2041415.1179001904</c:v>
                </c:pt>
                <c:pt idx="1086">
                  <c:v>2041415.1179001904</c:v>
                </c:pt>
                <c:pt idx="1087">
                  <c:v>2041415.1179001904</c:v>
                </c:pt>
                <c:pt idx="1088">
                  <c:v>2041415.1179001904</c:v>
                </c:pt>
                <c:pt idx="1089">
                  <c:v>2041415.1179001904</c:v>
                </c:pt>
                <c:pt idx="1090">
                  <c:v>2041415.1179001904</c:v>
                </c:pt>
                <c:pt idx="1091">
                  <c:v>2041415.1179001904</c:v>
                </c:pt>
                <c:pt idx="1092">
                  <c:v>2041415.1179001904</c:v>
                </c:pt>
                <c:pt idx="1093">
                  <c:v>2041415.1179001904</c:v>
                </c:pt>
                <c:pt idx="1094">
                  <c:v>2041415.1179001904</c:v>
                </c:pt>
                <c:pt idx="1095">
                  <c:v>2041415.1179001904</c:v>
                </c:pt>
                <c:pt idx="1096">
                  <c:v>2041415.1179001904</c:v>
                </c:pt>
                <c:pt idx="1097">
                  <c:v>2041415.1179001904</c:v>
                </c:pt>
                <c:pt idx="1098">
                  <c:v>2041415.1179001904</c:v>
                </c:pt>
                <c:pt idx="1099">
                  <c:v>2041415.1179001904</c:v>
                </c:pt>
                <c:pt idx="1100">
                  <c:v>2041415.1179001904</c:v>
                </c:pt>
                <c:pt idx="1101">
                  <c:v>2041415.1179001904</c:v>
                </c:pt>
                <c:pt idx="1102">
                  <c:v>2041415.1179001904</c:v>
                </c:pt>
                <c:pt idx="1103">
                  <c:v>2041415.1179001904</c:v>
                </c:pt>
                <c:pt idx="1104">
                  <c:v>2041415.1179001904</c:v>
                </c:pt>
                <c:pt idx="1105">
                  <c:v>2041415.1179001904</c:v>
                </c:pt>
                <c:pt idx="1106">
                  <c:v>2041415.1179001904</c:v>
                </c:pt>
                <c:pt idx="1107">
                  <c:v>2041415.1179001904</c:v>
                </c:pt>
                <c:pt idx="1108">
                  <c:v>2041415.1179001904</c:v>
                </c:pt>
                <c:pt idx="1109">
                  <c:v>2041415.1179001904</c:v>
                </c:pt>
                <c:pt idx="1110">
                  <c:v>2041415.1179001904</c:v>
                </c:pt>
                <c:pt idx="1111">
                  <c:v>2041415.1179001904</c:v>
                </c:pt>
                <c:pt idx="1112">
                  <c:v>2041415.1179001904</c:v>
                </c:pt>
                <c:pt idx="1113">
                  <c:v>2041415.1179001904</c:v>
                </c:pt>
                <c:pt idx="1114">
                  <c:v>2041415.1179001904</c:v>
                </c:pt>
                <c:pt idx="1115">
                  <c:v>2041415.1179001904</c:v>
                </c:pt>
                <c:pt idx="1116">
                  <c:v>2041415.1179001904</c:v>
                </c:pt>
                <c:pt idx="1117">
                  <c:v>2041415.1179001904</c:v>
                </c:pt>
                <c:pt idx="1118">
                  <c:v>2041415.1179001904</c:v>
                </c:pt>
                <c:pt idx="1119">
                  <c:v>2041415.1179001904</c:v>
                </c:pt>
                <c:pt idx="1120">
                  <c:v>2041415.1179001904</c:v>
                </c:pt>
                <c:pt idx="1121">
                  <c:v>2041415.1179001904</c:v>
                </c:pt>
                <c:pt idx="1122">
                  <c:v>2041415.1179001904</c:v>
                </c:pt>
                <c:pt idx="1123">
                  <c:v>2041415.1179001904</c:v>
                </c:pt>
                <c:pt idx="1124">
                  <c:v>2041415.1179001904</c:v>
                </c:pt>
                <c:pt idx="1125">
                  <c:v>2041415.1179001904</c:v>
                </c:pt>
                <c:pt idx="1126">
                  <c:v>2041415.1179001904</c:v>
                </c:pt>
                <c:pt idx="1127">
                  <c:v>2041415.1179001904</c:v>
                </c:pt>
                <c:pt idx="1128">
                  <c:v>2041415.1179001904</c:v>
                </c:pt>
                <c:pt idx="1129">
                  <c:v>2041415.1179001904</c:v>
                </c:pt>
                <c:pt idx="1130">
                  <c:v>2041415.1179001904</c:v>
                </c:pt>
                <c:pt idx="1131">
                  <c:v>2041415.1179001904</c:v>
                </c:pt>
                <c:pt idx="1132">
                  <c:v>2041415.1179001904</c:v>
                </c:pt>
                <c:pt idx="1133">
                  <c:v>2041415.1179001904</c:v>
                </c:pt>
                <c:pt idx="1134">
                  <c:v>2041415.1179001904</c:v>
                </c:pt>
                <c:pt idx="1135">
                  <c:v>2041415.1179001904</c:v>
                </c:pt>
                <c:pt idx="1136">
                  <c:v>2041415.1179001904</c:v>
                </c:pt>
                <c:pt idx="1137">
                  <c:v>2041415.1179001904</c:v>
                </c:pt>
                <c:pt idx="1138">
                  <c:v>2041415.1179001904</c:v>
                </c:pt>
                <c:pt idx="1139">
                  <c:v>2041415.1179001904</c:v>
                </c:pt>
                <c:pt idx="1140">
                  <c:v>2041415.1179001904</c:v>
                </c:pt>
                <c:pt idx="1141">
                  <c:v>2041415.1179001904</c:v>
                </c:pt>
                <c:pt idx="1142">
                  <c:v>2041415.1179001904</c:v>
                </c:pt>
                <c:pt idx="1143">
                  <c:v>2041415.1179001904</c:v>
                </c:pt>
                <c:pt idx="1144">
                  <c:v>2041415.1179001904</c:v>
                </c:pt>
                <c:pt idx="1145">
                  <c:v>2041415.1179001904</c:v>
                </c:pt>
                <c:pt idx="1146">
                  <c:v>2041415.1179001904</c:v>
                </c:pt>
                <c:pt idx="1147">
                  <c:v>2041415.1179001904</c:v>
                </c:pt>
                <c:pt idx="1148">
                  <c:v>2041415.1179001904</c:v>
                </c:pt>
                <c:pt idx="1149">
                  <c:v>2041415.1179001904</c:v>
                </c:pt>
                <c:pt idx="1150">
                  <c:v>2041415.1179001904</c:v>
                </c:pt>
                <c:pt idx="1151">
                  <c:v>2041415.1179001904</c:v>
                </c:pt>
                <c:pt idx="1152">
                  <c:v>2041415.1179001904</c:v>
                </c:pt>
                <c:pt idx="1153">
                  <c:v>2041415.1179001904</c:v>
                </c:pt>
                <c:pt idx="1154">
                  <c:v>2041415.1179001904</c:v>
                </c:pt>
                <c:pt idx="1155">
                  <c:v>2041415.1179001904</c:v>
                </c:pt>
                <c:pt idx="1156">
                  <c:v>2041415.1179001904</c:v>
                </c:pt>
                <c:pt idx="1157">
                  <c:v>2041415.1179001904</c:v>
                </c:pt>
                <c:pt idx="1158">
                  <c:v>2041415.1179001904</c:v>
                </c:pt>
                <c:pt idx="1159">
                  <c:v>2041415.1179001904</c:v>
                </c:pt>
                <c:pt idx="1160">
                  <c:v>2041415.1179001904</c:v>
                </c:pt>
                <c:pt idx="1161">
                  <c:v>2041415.1179001904</c:v>
                </c:pt>
                <c:pt idx="1162">
                  <c:v>2041415.1179001904</c:v>
                </c:pt>
                <c:pt idx="1163">
                  <c:v>2041415.1179001904</c:v>
                </c:pt>
                <c:pt idx="1164">
                  <c:v>2041415.1179001904</c:v>
                </c:pt>
                <c:pt idx="1165">
                  <c:v>2041415.1179001904</c:v>
                </c:pt>
                <c:pt idx="1166">
                  <c:v>2041415.1179001904</c:v>
                </c:pt>
                <c:pt idx="1167">
                  <c:v>2041415.1179001904</c:v>
                </c:pt>
                <c:pt idx="1168">
                  <c:v>2041415.1179001904</c:v>
                </c:pt>
                <c:pt idx="1169">
                  <c:v>2041415.1179001904</c:v>
                </c:pt>
                <c:pt idx="1170">
                  <c:v>2041415.1179001904</c:v>
                </c:pt>
                <c:pt idx="1171">
                  <c:v>2041415.1179001904</c:v>
                </c:pt>
                <c:pt idx="1172">
                  <c:v>2041415.1179001904</c:v>
                </c:pt>
                <c:pt idx="1173">
                  <c:v>2041415.1179001904</c:v>
                </c:pt>
                <c:pt idx="1174">
                  <c:v>2041415.1179001904</c:v>
                </c:pt>
                <c:pt idx="1175">
                  <c:v>2041415.1179001904</c:v>
                </c:pt>
                <c:pt idx="1176">
                  <c:v>2041415.1179001904</c:v>
                </c:pt>
                <c:pt idx="1177">
                  <c:v>2041415.1179001904</c:v>
                </c:pt>
                <c:pt idx="1178">
                  <c:v>2041415.1179001904</c:v>
                </c:pt>
                <c:pt idx="1179">
                  <c:v>2041415.1179001904</c:v>
                </c:pt>
                <c:pt idx="1180">
                  <c:v>2041415.1179001904</c:v>
                </c:pt>
                <c:pt idx="1181">
                  <c:v>2041415.1179001904</c:v>
                </c:pt>
                <c:pt idx="1182">
                  <c:v>2041415.1179001904</c:v>
                </c:pt>
                <c:pt idx="1183">
                  <c:v>2041415.1179001904</c:v>
                </c:pt>
                <c:pt idx="1184">
                  <c:v>2041415.1179001904</c:v>
                </c:pt>
                <c:pt idx="1185">
                  <c:v>2041415.1179001904</c:v>
                </c:pt>
                <c:pt idx="1186">
                  <c:v>2041415.1179001904</c:v>
                </c:pt>
                <c:pt idx="1187">
                  <c:v>2041415.1179001904</c:v>
                </c:pt>
                <c:pt idx="1188">
                  <c:v>2041415.1179001904</c:v>
                </c:pt>
                <c:pt idx="1189">
                  <c:v>2041415.1179001904</c:v>
                </c:pt>
                <c:pt idx="1190">
                  <c:v>2041415.1179001904</c:v>
                </c:pt>
                <c:pt idx="1191">
                  <c:v>2041415.1179001904</c:v>
                </c:pt>
                <c:pt idx="1192">
                  <c:v>2041415.1179001904</c:v>
                </c:pt>
                <c:pt idx="1193">
                  <c:v>2041415.1179001904</c:v>
                </c:pt>
                <c:pt idx="1194">
                  <c:v>2041415.1179001904</c:v>
                </c:pt>
                <c:pt idx="1195">
                  <c:v>2041415.1179001904</c:v>
                </c:pt>
                <c:pt idx="1196">
                  <c:v>2041415.1179001904</c:v>
                </c:pt>
                <c:pt idx="1197">
                  <c:v>2041415.1179001904</c:v>
                </c:pt>
                <c:pt idx="1198">
                  <c:v>2041415.1179001904</c:v>
                </c:pt>
                <c:pt idx="1199">
                  <c:v>2041415.1179001904</c:v>
                </c:pt>
                <c:pt idx="1200">
                  <c:v>2041415.1179001904</c:v>
                </c:pt>
                <c:pt idx="1201">
                  <c:v>2041415.1179001904</c:v>
                </c:pt>
                <c:pt idx="1202">
                  <c:v>2041415.1179001904</c:v>
                </c:pt>
                <c:pt idx="1203">
                  <c:v>2041415.1179001904</c:v>
                </c:pt>
                <c:pt idx="1204">
                  <c:v>2041415.1179001904</c:v>
                </c:pt>
                <c:pt idx="1205">
                  <c:v>2041415.1179001904</c:v>
                </c:pt>
                <c:pt idx="1206">
                  <c:v>2041415.1179001904</c:v>
                </c:pt>
                <c:pt idx="1207">
                  <c:v>2041415.1179001904</c:v>
                </c:pt>
                <c:pt idx="1208">
                  <c:v>2041415.1179001904</c:v>
                </c:pt>
                <c:pt idx="1209">
                  <c:v>2041415.1179001904</c:v>
                </c:pt>
                <c:pt idx="1210">
                  <c:v>2041415.1179001904</c:v>
                </c:pt>
                <c:pt idx="1211">
                  <c:v>2041415.1179001904</c:v>
                </c:pt>
                <c:pt idx="1212">
                  <c:v>2041415.1179001904</c:v>
                </c:pt>
                <c:pt idx="1213">
                  <c:v>2041415.1179001904</c:v>
                </c:pt>
                <c:pt idx="1214">
                  <c:v>2041415.1179001904</c:v>
                </c:pt>
                <c:pt idx="1215">
                  <c:v>2041415.1179001904</c:v>
                </c:pt>
                <c:pt idx="1216">
                  <c:v>2041415.1179001904</c:v>
                </c:pt>
                <c:pt idx="1217">
                  <c:v>2041415.1179001904</c:v>
                </c:pt>
                <c:pt idx="1218">
                  <c:v>2041415.1179001904</c:v>
                </c:pt>
                <c:pt idx="1219">
                  <c:v>2041415.1179001904</c:v>
                </c:pt>
                <c:pt idx="1220">
                  <c:v>2041415.1179001904</c:v>
                </c:pt>
                <c:pt idx="1221">
                  <c:v>2041415.1179001904</c:v>
                </c:pt>
                <c:pt idx="1222">
                  <c:v>2041415.1179001904</c:v>
                </c:pt>
                <c:pt idx="1223">
                  <c:v>2041415.1179001904</c:v>
                </c:pt>
                <c:pt idx="1224">
                  <c:v>2041415.1179001904</c:v>
                </c:pt>
                <c:pt idx="1225">
                  <c:v>2041415.1179001904</c:v>
                </c:pt>
                <c:pt idx="1226">
                  <c:v>2041415.1179001904</c:v>
                </c:pt>
                <c:pt idx="1227">
                  <c:v>2041415.1179001904</c:v>
                </c:pt>
                <c:pt idx="1228">
                  <c:v>2041415.1179001904</c:v>
                </c:pt>
                <c:pt idx="1229">
                  <c:v>2041415.1179001904</c:v>
                </c:pt>
                <c:pt idx="1230">
                  <c:v>2041415.1179001904</c:v>
                </c:pt>
                <c:pt idx="1231">
                  <c:v>2041415.1179001904</c:v>
                </c:pt>
                <c:pt idx="1232">
                  <c:v>2041415.1179001904</c:v>
                </c:pt>
                <c:pt idx="1233">
                  <c:v>2041415.1179001904</c:v>
                </c:pt>
                <c:pt idx="1234">
                  <c:v>2041415.1179001904</c:v>
                </c:pt>
                <c:pt idx="1235">
                  <c:v>2041415.1179001904</c:v>
                </c:pt>
                <c:pt idx="1236">
                  <c:v>2041415.1179001904</c:v>
                </c:pt>
                <c:pt idx="1237">
                  <c:v>2041415.1179001904</c:v>
                </c:pt>
                <c:pt idx="1238">
                  <c:v>2041415.1179001904</c:v>
                </c:pt>
                <c:pt idx="1239">
                  <c:v>2041415.1179001904</c:v>
                </c:pt>
                <c:pt idx="1240">
                  <c:v>2041415.1179001904</c:v>
                </c:pt>
                <c:pt idx="1241">
                  <c:v>2041415.1179001904</c:v>
                </c:pt>
                <c:pt idx="1242">
                  <c:v>2041415.1179001904</c:v>
                </c:pt>
                <c:pt idx="1243">
                  <c:v>2041415.1179001904</c:v>
                </c:pt>
                <c:pt idx="1244">
                  <c:v>2041415.1179001904</c:v>
                </c:pt>
                <c:pt idx="1245">
                  <c:v>2041415.1179001904</c:v>
                </c:pt>
                <c:pt idx="1246">
                  <c:v>2041415.1179001904</c:v>
                </c:pt>
                <c:pt idx="1247">
                  <c:v>2041415.1179001904</c:v>
                </c:pt>
                <c:pt idx="1248">
                  <c:v>2041415.1179001904</c:v>
                </c:pt>
                <c:pt idx="1249">
                  <c:v>2041415.1179001904</c:v>
                </c:pt>
                <c:pt idx="1250">
                  <c:v>2041415.1179001904</c:v>
                </c:pt>
                <c:pt idx="1251">
                  <c:v>2041415.1179001904</c:v>
                </c:pt>
                <c:pt idx="1252">
                  <c:v>2041415.1179001904</c:v>
                </c:pt>
                <c:pt idx="1253">
                  <c:v>2041415.1179001904</c:v>
                </c:pt>
                <c:pt idx="1254">
                  <c:v>2041415.1179001904</c:v>
                </c:pt>
                <c:pt idx="1255">
                  <c:v>2041415.1179001904</c:v>
                </c:pt>
                <c:pt idx="1256">
                  <c:v>2041415.1179001904</c:v>
                </c:pt>
                <c:pt idx="1257">
                  <c:v>2041415.1179001904</c:v>
                </c:pt>
                <c:pt idx="1258">
                  <c:v>2041415.1179001904</c:v>
                </c:pt>
                <c:pt idx="1259">
                  <c:v>2041415.1179001904</c:v>
                </c:pt>
                <c:pt idx="1260">
                  <c:v>2041415.1179001904</c:v>
                </c:pt>
                <c:pt idx="1261">
                  <c:v>2041415.1179001904</c:v>
                </c:pt>
                <c:pt idx="1262">
                  <c:v>2041415.1179001904</c:v>
                </c:pt>
                <c:pt idx="1263">
                  <c:v>2041415.1179001904</c:v>
                </c:pt>
                <c:pt idx="1264">
                  <c:v>2041415.1179001904</c:v>
                </c:pt>
                <c:pt idx="1265">
                  <c:v>2041415.1179001904</c:v>
                </c:pt>
                <c:pt idx="1266">
                  <c:v>2041415.1179001904</c:v>
                </c:pt>
                <c:pt idx="1267">
                  <c:v>2041415.1179001904</c:v>
                </c:pt>
                <c:pt idx="1268">
                  <c:v>2041415.1179001904</c:v>
                </c:pt>
                <c:pt idx="1269">
                  <c:v>2041415.1179001904</c:v>
                </c:pt>
                <c:pt idx="1270">
                  <c:v>2041415.1179001904</c:v>
                </c:pt>
                <c:pt idx="1271">
                  <c:v>2041415.1179001904</c:v>
                </c:pt>
                <c:pt idx="1272">
                  <c:v>2041415.1179001904</c:v>
                </c:pt>
                <c:pt idx="1273">
                  <c:v>2041415.1179001904</c:v>
                </c:pt>
                <c:pt idx="1274">
                  <c:v>2041415.1179001904</c:v>
                </c:pt>
                <c:pt idx="1275">
                  <c:v>2041415.1179001904</c:v>
                </c:pt>
                <c:pt idx="1276">
                  <c:v>2041415.1179001904</c:v>
                </c:pt>
                <c:pt idx="1277">
                  <c:v>2041415.1179001904</c:v>
                </c:pt>
                <c:pt idx="1278">
                  <c:v>2041415.1179001904</c:v>
                </c:pt>
                <c:pt idx="1279">
                  <c:v>2041415.1179001904</c:v>
                </c:pt>
                <c:pt idx="1280">
                  <c:v>2041415.1179001904</c:v>
                </c:pt>
                <c:pt idx="1281">
                  <c:v>2041415.1179001904</c:v>
                </c:pt>
                <c:pt idx="1282">
                  <c:v>2041415.1179001904</c:v>
                </c:pt>
                <c:pt idx="1283">
                  <c:v>2041415.1179001904</c:v>
                </c:pt>
                <c:pt idx="1284">
                  <c:v>2041415.1179001904</c:v>
                </c:pt>
                <c:pt idx="1285">
                  <c:v>2041415.1179001904</c:v>
                </c:pt>
                <c:pt idx="1286">
                  <c:v>2041415.1179001904</c:v>
                </c:pt>
                <c:pt idx="1287">
                  <c:v>2041415.1179001904</c:v>
                </c:pt>
                <c:pt idx="1288">
                  <c:v>2041415.1179001904</c:v>
                </c:pt>
                <c:pt idx="1289">
                  <c:v>2041415.1179001904</c:v>
                </c:pt>
                <c:pt idx="1290">
                  <c:v>2041415.1179001904</c:v>
                </c:pt>
                <c:pt idx="1291">
                  <c:v>2041415.1179001904</c:v>
                </c:pt>
                <c:pt idx="1292">
                  <c:v>2041415.1179001904</c:v>
                </c:pt>
                <c:pt idx="1293">
                  <c:v>2041415.1179001904</c:v>
                </c:pt>
                <c:pt idx="1294">
                  <c:v>2041415.1179001904</c:v>
                </c:pt>
                <c:pt idx="1295">
                  <c:v>2041415.1179001904</c:v>
                </c:pt>
                <c:pt idx="1296">
                  <c:v>2041415.1179001904</c:v>
                </c:pt>
                <c:pt idx="1297">
                  <c:v>2041415.1179001904</c:v>
                </c:pt>
                <c:pt idx="1298">
                  <c:v>2041415.1179001904</c:v>
                </c:pt>
                <c:pt idx="1299">
                  <c:v>2041415.1179001904</c:v>
                </c:pt>
                <c:pt idx="1300">
                  <c:v>2041415.1179001904</c:v>
                </c:pt>
                <c:pt idx="1301">
                  <c:v>2041415.1179001904</c:v>
                </c:pt>
                <c:pt idx="1302">
                  <c:v>2041415.1179001904</c:v>
                </c:pt>
                <c:pt idx="1303">
                  <c:v>2041415.1179001904</c:v>
                </c:pt>
                <c:pt idx="1304">
                  <c:v>2041415.1179001904</c:v>
                </c:pt>
                <c:pt idx="1305">
                  <c:v>2041415.1179001904</c:v>
                </c:pt>
                <c:pt idx="1306">
                  <c:v>2041415.1179001904</c:v>
                </c:pt>
                <c:pt idx="1307">
                  <c:v>2041415.1179001904</c:v>
                </c:pt>
                <c:pt idx="1308">
                  <c:v>2041415.1179001904</c:v>
                </c:pt>
                <c:pt idx="1309">
                  <c:v>2041415.1179001904</c:v>
                </c:pt>
                <c:pt idx="1310">
                  <c:v>2041415.1179001904</c:v>
                </c:pt>
                <c:pt idx="1311">
                  <c:v>2041415.1179001904</c:v>
                </c:pt>
                <c:pt idx="1312">
                  <c:v>2041415.1179001904</c:v>
                </c:pt>
                <c:pt idx="1313">
                  <c:v>2041415.1179001904</c:v>
                </c:pt>
                <c:pt idx="1314">
                  <c:v>2041415.1179001904</c:v>
                </c:pt>
                <c:pt idx="1315">
                  <c:v>2041415.1179001904</c:v>
                </c:pt>
                <c:pt idx="1316">
                  <c:v>2041415.1179001904</c:v>
                </c:pt>
                <c:pt idx="1317">
                  <c:v>2041415.1179001904</c:v>
                </c:pt>
                <c:pt idx="1318">
                  <c:v>2041415.1179001904</c:v>
                </c:pt>
                <c:pt idx="1319">
                  <c:v>2041415.1179001904</c:v>
                </c:pt>
                <c:pt idx="1320">
                  <c:v>2041415.1179001904</c:v>
                </c:pt>
                <c:pt idx="1321">
                  <c:v>2041415.1179001904</c:v>
                </c:pt>
                <c:pt idx="1322">
                  <c:v>2041415.1179001904</c:v>
                </c:pt>
                <c:pt idx="1323">
                  <c:v>2041415.1179001904</c:v>
                </c:pt>
                <c:pt idx="1324">
                  <c:v>2041415.1179001904</c:v>
                </c:pt>
                <c:pt idx="1325">
                  <c:v>2041415.1179001904</c:v>
                </c:pt>
                <c:pt idx="1326">
                  <c:v>2041415.1179001904</c:v>
                </c:pt>
                <c:pt idx="1327">
                  <c:v>2041415.1179001904</c:v>
                </c:pt>
                <c:pt idx="1328">
                  <c:v>2041415.1179001904</c:v>
                </c:pt>
                <c:pt idx="1329">
                  <c:v>2041415.1179001904</c:v>
                </c:pt>
                <c:pt idx="1330">
                  <c:v>2041415.1179001904</c:v>
                </c:pt>
                <c:pt idx="1331">
                  <c:v>2041415.1179001904</c:v>
                </c:pt>
                <c:pt idx="1332">
                  <c:v>2041415.1179001904</c:v>
                </c:pt>
                <c:pt idx="1333">
                  <c:v>2041415.1179001904</c:v>
                </c:pt>
                <c:pt idx="1334">
                  <c:v>2041415.1179001904</c:v>
                </c:pt>
                <c:pt idx="1335">
                  <c:v>2041415.1179001904</c:v>
                </c:pt>
                <c:pt idx="1336">
                  <c:v>2041415.1179001904</c:v>
                </c:pt>
                <c:pt idx="1337">
                  <c:v>2041415.1179001904</c:v>
                </c:pt>
                <c:pt idx="1338">
                  <c:v>2041415.1179001904</c:v>
                </c:pt>
                <c:pt idx="1339">
                  <c:v>2041415.1179001904</c:v>
                </c:pt>
                <c:pt idx="1340">
                  <c:v>2041415.1179001904</c:v>
                </c:pt>
                <c:pt idx="1341">
                  <c:v>2041415.1179001904</c:v>
                </c:pt>
                <c:pt idx="1342">
                  <c:v>2041415.1179001904</c:v>
                </c:pt>
                <c:pt idx="1343">
                  <c:v>2041415.1179001904</c:v>
                </c:pt>
                <c:pt idx="1344">
                  <c:v>2041415.1179001904</c:v>
                </c:pt>
                <c:pt idx="1345">
                  <c:v>2041415.1179001904</c:v>
                </c:pt>
                <c:pt idx="1346">
                  <c:v>2041415.1179001904</c:v>
                </c:pt>
                <c:pt idx="1347">
                  <c:v>2041415.1179001904</c:v>
                </c:pt>
                <c:pt idx="1348">
                  <c:v>2041415.1179001904</c:v>
                </c:pt>
                <c:pt idx="1349">
                  <c:v>2041415.1179001904</c:v>
                </c:pt>
                <c:pt idx="1350">
                  <c:v>2041415.1179001904</c:v>
                </c:pt>
                <c:pt idx="1351">
                  <c:v>2041415.1179001904</c:v>
                </c:pt>
                <c:pt idx="1352">
                  <c:v>2041415.1179001904</c:v>
                </c:pt>
                <c:pt idx="1353">
                  <c:v>2041415.1179001904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67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87332</xdr:colOff>
      <xdr:row>71</xdr:row>
      <xdr:rowOff>47310</xdr:rowOff>
    </xdr:from>
    <xdr:to>
      <xdr:col>7</xdr:col>
      <xdr:colOff>289</xdr:colOff>
      <xdr:row>103</xdr:row>
      <xdr:rowOff>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F1EC2F-464F-23A2-84F4-95880FE1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2" y="8487288"/>
          <a:ext cx="6629863" cy="5785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27909</xdr:colOff>
      <xdr:row>74</xdr:row>
      <xdr:rowOff>6613</xdr:rowOff>
    </xdr:from>
    <xdr:to>
      <xdr:col>14</xdr:col>
      <xdr:colOff>4379852</xdr:colOff>
      <xdr:row>79</xdr:row>
      <xdr:rowOff>18042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BB2D16-0D48-EC7C-FF75-FB3790BF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148" y="6442200"/>
          <a:ext cx="6240378" cy="933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86591</xdr:colOff>
      <xdr:row>104</xdr:row>
      <xdr:rowOff>115804</xdr:rowOff>
    </xdr:from>
    <xdr:to>
      <xdr:col>10</xdr:col>
      <xdr:colOff>1845</xdr:colOff>
      <xdr:row>127</xdr:row>
      <xdr:rowOff>59307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BA3C16-BCD5-761F-2C3A-B676040FF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591" y="13511418"/>
          <a:ext cx="8712717" cy="4134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08286" cy="125593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Thami Cambalele" id="{8EDE9AE6-3EE9-4BC5-92DB-2733349A8FD1}" userId="S::thami@emergentenergy.co.za::dcae580f-55a1-44d7-89b7-bae90a9ddc2e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5.431898958333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4000" maxValue="463747.56824472587"/>
    </cacheField>
    <cacheField name="Rate / Unit" numFmtId="0">
      <sharedItems containsString="0" containsBlank="1" containsNumber="1" minValue="0.05" maxValue="14"/>
    </cacheField>
    <cacheField name="Actual Total " numFmtId="0">
      <sharedItems containsString="0" containsBlank="1" containsNumber="1" minValue="-56000" maxValue="307922.8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7">
        <m/>
        <d v="2025-10-31T00:00:00"/>
        <d v="2025-12-31T00:00:00"/>
        <d v="2025-11-30T00:00:00"/>
        <s v=""/>
        <d v="2026-01-31T00:00:00"/>
        <d v="2026-02-28T00:00:00"/>
        <d v="2025-12-30T00:00:00" u="1"/>
        <d v="2025-01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704.84" maxValue="419817.36296222889"/>
    </cacheField>
    <cacheField name="CHECK" numFmtId="0">
      <sharedItems containsString="0" containsBlank="1" containsNumber="1" minValue="-109171.6808419163" maxValue="4.3483834306243807E-3"/>
    </cacheField>
    <cacheField name="FINANCE PAYMENT DATE" numFmtId="0">
      <sharedItems containsNonDate="0" containsDate="1" containsString="0" containsBlank="1" minDate="2025-10-24T00:00:00" maxDate="2026-03-31T00:00:00"/>
    </cacheField>
    <cacheField name="Total COS" numFmtId="0">
      <sharedItems containsString="0" containsBlank="1" containsNumber="1" minValue="0" maxValue="463747.568244725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m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s v="Schletter Structure"/>
    <m/>
    <m/>
    <n v="307922.87"/>
    <s v="PO4368-STD-20251014 - RV Approved"/>
    <s v="Schletter - INV2313"/>
    <x v="1"/>
    <n v="419817.36296222889"/>
    <n v="0"/>
    <d v="2025-11-28T00:00:00"/>
    <n v="392315.21"/>
  </r>
  <r>
    <n v="3"/>
    <x v="3"/>
    <m/>
    <m/>
    <m/>
    <n v="15800"/>
    <m/>
    <s v="Schletter - INV2479"/>
    <x v="2"/>
    <n v="0"/>
    <m/>
    <d v="2025-12-30T00:00:00"/>
    <m/>
  </r>
  <r>
    <n v="3"/>
    <x v="3"/>
    <s v="Internal Connectors"/>
    <m/>
    <m/>
    <n v="1578"/>
    <s v="PO4516-STD-20251202 - RV Approved"/>
    <s v="Schletter - INV2483"/>
    <x v="2"/>
    <n v="0"/>
    <m/>
    <d v="2025-12-30T00:00:00"/>
    <m/>
  </r>
  <r>
    <n v="3"/>
    <x v="3"/>
    <s v="FA Screw M10 x 25 &amp; Flange"/>
    <m/>
    <m/>
    <n v="22002.2"/>
    <s v="PO4405-STD-20251024 - RV Approved"/>
    <s v="Schletter - INV2317"/>
    <x v="1"/>
    <n v="29997.465220324666"/>
    <m/>
    <d v="2025-11-28T00:00:00"/>
    <m/>
  </r>
  <r>
    <n v="3"/>
    <x v="3"/>
    <m/>
    <m/>
    <m/>
    <n v="19475"/>
    <m/>
    <s v="Schletter - INV2333"/>
    <x v="1"/>
    <n v="26551.919133805841"/>
    <m/>
    <d v="2025-11-28T00:00:00"/>
    <m/>
  </r>
  <r>
    <n v="3"/>
    <x v="3"/>
    <s v="New Rails"/>
    <m/>
    <m/>
    <n v="65115"/>
    <s v="PO4440-STD-20251104 - RV Approved"/>
    <s v="Schletter - INV2392"/>
    <x v="3"/>
    <n v="88776.801766252494"/>
    <m/>
    <d v="2025-12-30T00:00:00"/>
    <m/>
  </r>
  <r>
    <n v="3"/>
    <x v="3"/>
    <s v="Credit for old Rails"/>
    <m/>
    <m/>
    <n v="-50525"/>
    <m/>
    <s v="Schletter - CRN0282"/>
    <x v="3"/>
    <n v="0"/>
    <m/>
    <d v="2025-12-30T00:00:00"/>
    <m/>
  </r>
  <r>
    <n v="3"/>
    <x v="3"/>
    <m/>
    <m/>
    <m/>
    <n v="5195.3999999999996"/>
    <s v="PO4480-STD-20251120 - RV Approved"/>
    <s v="Schletter - INV2449"/>
    <x v="3"/>
    <n v="0"/>
    <m/>
    <d v="2025-12-30T00:00:00"/>
    <m/>
  </r>
  <r>
    <n v="3"/>
    <x v="3"/>
    <s v="Additional Rails"/>
    <m/>
    <m/>
    <n v="5751.74"/>
    <s v="PO4470-STD-20251113 - RV Approved"/>
    <s v="Schletter - INV2415"/>
    <x v="3"/>
    <n v="0"/>
    <m/>
    <d v="2025-12-30T00:00:00"/>
    <m/>
  </r>
  <r>
    <m/>
    <x v="0"/>
    <m/>
    <m/>
    <m/>
    <m/>
    <m/>
    <m/>
    <x v="4"/>
    <m/>
    <m/>
    <m/>
    <m/>
  </r>
  <r>
    <n v="4"/>
    <x v="4"/>
    <m/>
    <m/>
    <m/>
    <m/>
    <m/>
    <m/>
    <x v="0"/>
    <n v="0"/>
    <n v="-1.262506797502283E-3"/>
    <m/>
    <n v="103899.7776680892"/>
  </r>
  <r>
    <n v="4"/>
    <x v="4"/>
    <s v="DC Cable - Rubicon + Delivery"/>
    <n v="8000"/>
    <m/>
    <n v="117500"/>
    <s v="PO4497-STB-20251126 - RV Approved"/>
    <s v="Rubicon INVRED-0136070"/>
    <x v="2"/>
    <n v="34768.209351765458"/>
    <m/>
    <d v="2026-01-30T00:00:00"/>
    <m/>
  </r>
  <r>
    <n v="4"/>
    <x v="4"/>
    <s v="DC Cable allocated to Superspar Despatch"/>
    <n v="-4000"/>
    <n v="14"/>
    <n v="-56000"/>
    <m/>
    <s v="Allocated to superspar Despatch - PH2"/>
    <x v="5"/>
    <n v="-2704.84"/>
    <m/>
    <d v="2026-01-31T00:00:00"/>
    <m/>
  </r>
  <r>
    <n v="4"/>
    <x v="4"/>
    <m/>
    <m/>
    <m/>
    <m/>
    <m/>
    <m/>
    <x v="4"/>
    <n v="0"/>
    <m/>
    <m/>
    <m/>
  </r>
  <r>
    <n v="4"/>
    <x v="4"/>
    <s v="Project Kick Off"/>
    <n v="42399.77766808922"/>
    <n v="0.1"/>
    <n v="4239.9777668089218"/>
    <s v="PO4351-STD-20251009 - RV Approved"/>
    <s v="Luken Solar INV-0673"/>
    <x v="1"/>
    <n v="6308.5714285714284"/>
    <m/>
    <d v="2025-10-24T00:00:00"/>
    <m/>
  </r>
  <r>
    <n v="4"/>
    <x v="4"/>
    <s v="Site Establishment"/>
    <m/>
    <n v="0.15"/>
    <n v="6359.9666502133832"/>
    <m/>
    <s v="Luken Solar INV-0674"/>
    <x v="1"/>
    <n v="9462.8571428571431"/>
    <m/>
    <d v="2025-10-24T00:00:00"/>
    <m/>
  </r>
  <r>
    <n v="4"/>
    <x v="4"/>
    <s v="AC Installation Complete"/>
    <m/>
    <n v="0.2"/>
    <n v="8479.9555336178437"/>
    <m/>
    <s v="Luken Solar INV-0689"/>
    <x v="2"/>
    <n v="3345.6209867897692"/>
    <m/>
    <d v="2025-12-12T00:00:00"/>
    <m/>
  </r>
  <r>
    <n v="4"/>
    <x v="4"/>
    <s v="DC Installation Complete"/>
    <m/>
    <n v="0.1"/>
    <n v="4239.9777668089218"/>
    <m/>
    <s v="Luken Solar INV-0684"/>
    <x v="2"/>
    <n v="1672.8104933948846"/>
    <m/>
    <d v="2025-12-18T00:00:00"/>
    <m/>
  </r>
  <r>
    <n v="4"/>
    <x v="4"/>
    <s v="DC Installation Complete"/>
    <m/>
    <n v="0.15"/>
    <n v="6359.9666502133832"/>
    <m/>
    <s v="Luken INV0692"/>
    <x v="2"/>
    <n v="2509.2157400923265"/>
    <m/>
    <d v="2025-12-18T00:00:00"/>
    <m/>
  </r>
  <r>
    <n v="4"/>
    <x v="4"/>
    <s v="Commissioning Complete"/>
    <m/>
    <n v="0.1"/>
    <n v="4239.9777668089218"/>
    <m/>
    <s v="Luken Solar INV-0699"/>
    <x v="5"/>
    <n v="2574.4234682500237"/>
    <m/>
    <d v="2026-01-29T00:00:00"/>
    <m/>
  </r>
  <r>
    <n v="4"/>
    <x v="4"/>
    <s v="Site De-establisment"/>
    <m/>
    <n v="0.1"/>
    <n v="4239.9777668089218"/>
    <m/>
    <s v="Luken Solar INV-0706"/>
    <x v="5"/>
    <n v="2574.4234682500237"/>
    <m/>
    <d v="2026-01-29T00:00:00"/>
    <m/>
  </r>
  <r>
    <n v="4"/>
    <x v="4"/>
    <s v="Handover Document Complete"/>
    <m/>
    <n v="0.05"/>
    <n v="2119.9888834044609"/>
    <m/>
    <s v="Luken Solar INV-0702"/>
    <x v="5"/>
    <n v="1287.2117341250118"/>
    <m/>
    <d v="2026-01-29T00:00:00"/>
    <m/>
  </r>
  <r>
    <n v="4"/>
    <x v="4"/>
    <s v="End of Defects Period"/>
    <m/>
    <n v="0.05"/>
    <n v="2119.9888834044609"/>
    <m/>
    <s v="Luken Solar INV-0705"/>
    <x v="5"/>
    <n v="1287.2117341250118"/>
    <m/>
    <d v="2026-02-2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m/>
    <m/>
    <m/>
    <m/>
    <m/>
    <m/>
    <x v="4"/>
    <n v="0"/>
    <n v="-8.2806761201936752E-4"/>
    <m/>
    <n v="31776.719999999998"/>
  </r>
  <r>
    <n v="5"/>
    <x v="5"/>
    <s v="CTs &amp; Meters"/>
    <m/>
    <m/>
    <n v="18378"/>
    <s v="PO4449-STD-20251106 - RV Approved"/>
    <s v="Accuenergy Inv: ASAI-006805"/>
    <x v="3"/>
    <n v="16958.361035993639"/>
    <m/>
    <d v="2026-01-07T00:00:00"/>
    <m/>
  </r>
  <r>
    <n v="5"/>
    <x v="5"/>
    <s v="Techsitter"/>
    <m/>
    <m/>
    <n v="11169"/>
    <m/>
    <s v="Matriarch Inv: 6200"/>
    <x v="5"/>
    <n v="13841.301053331765"/>
    <m/>
    <d v="2026-01-29T00:00:00"/>
    <m/>
  </r>
  <r>
    <n v="5"/>
    <x v="5"/>
    <s v="Delivery of Techsitter"/>
    <m/>
    <m/>
    <n v="307.94"/>
    <m/>
    <s v="DSV Inv: 180156055"/>
    <x v="3"/>
    <n v="284.15266609118947"/>
    <m/>
    <d v="2025-12-30T00:00:00"/>
    <m/>
  </r>
  <r>
    <n v="5"/>
    <x v="5"/>
    <s v="Power Supply"/>
    <m/>
    <m/>
    <n v="1664.1"/>
    <s v="PO4452-STD-20251107 - RV Approved"/>
    <s v="Current Automotion - INV346556"/>
    <x v="3"/>
    <n v="1535.5538469908047"/>
    <m/>
    <d v="2025-11-11T00:00:00"/>
    <m/>
  </r>
  <r>
    <n v="5"/>
    <x v="5"/>
    <s v="Delivery"/>
    <m/>
    <m/>
    <n v="257.68"/>
    <m/>
    <s v="DSV Inv: 180155155"/>
    <x v="3"/>
    <n v="237.77508280307109"/>
    <m/>
    <d v="2025-12-30T00:00:00"/>
    <m/>
  </r>
  <r>
    <n v="5"/>
    <x v="5"/>
    <m/>
    <m/>
    <m/>
    <m/>
    <m/>
    <m/>
    <x v="4"/>
    <n v="0"/>
    <m/>
    <m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0"/>
    <m/>
    <n v="17282.518071232025"/>
  </r>
  <r>
    <n v="6"/>
    <x v="6"/>
    <m/>
    <m/>
    <m/>
    <m/>
    <m/>
    <m/>
    <x v="0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17282.518071232022"/>
    <n v="0.1"/>
    <n v="1728.2518071232023"/>
    <s v="PO4351-STD-20251009 - RV Approved"/>
    <s v="Luken Solar INV-0673"/>
    <x v="1"/>
    <n v="2571.4285714285711"/>
    <m/>
    <d v="2025-10-24T00:00:00"/>
    <m/>
  </r>
  <r>
    <n v="6"/>
    <x v="6"/>
    <s v="Site Establishment"/>
    <m/>
    <n v="0.15"/>
    <n v="2592.3777106848033"/>
    <m/>
    <s v="Luken Solar INV-0674"/>
    <x v="1"/>
    <n v="3857.1428571428564"/>
    <m/>
    <d v="2025-10-24T00:00:00"/>
    <m/>
  </r>
  <r>
    <n v="6"/>
    <x v="6"/>
    <s v="AC Installation Complete"/>
    <m/>
    <n v="0.2"/>
    <n v="3456.5036142464046"/>
    <m/>
    <s v="Luken Solar INV-0689"/>
    <x v="2"/>
    <n v="5142.8571428571422"/>
    <m/>
    <d v="2025-12-12T00:00:00"/>
    <m/>
  </r>
  <r>
    <n v="6"/>
    <x v="6"/>
    <s v="DC Installation Complete"/>
    <m/>
    <n v="0.1"/>
    <n v="1728.2518071232023"/>
    <m/>
    <s v="Luken Solar INV-0684"/>
    <x v="2"/>
    <n v="2571.4285714285711"/>
    <m/>
    <d v="2025-12-18T00:00:00"/>
    <m/>
  </r>
  <r>
    <n v="6"/>
    <x v="6"/>
    <s v="DC Installation Complete"/>
    <m/>
    <n v="0.15"/>
    <n v="2592.3777106848033"/>
    <m/>
    <s v="Luken INV0692"/>
    <x v="2"/>
    <n v="3857.1428571428564"/>
    <m/>
    <d v="2025-12-18T00:00:00"/>
    <m/>
  </r>
  <r>
    <n v="6"/>
    <x v="6"/>
    <s v="Commissioning Complete"/>
    <m/>
    <n v="0.1"/>
    <n v="1728.2518071232023"/>
    <m/>
    <s v="Luken Solar INV-0699"/>
    <x v="5"/>
    <n v="2571.4285714285711"/>
    <m/>
    <d v="2026-01-29T00:00:00"/>
    <m/>
  </r>
  <r>
    <n v="6"/>
    <x v="6"/>
    <s v="Site De-establisment"/>
    <m/>
    <n v="0.1"/>
    <n v="1728.2518071232023"/>
    <m/>
    <s v="Luken Solar INV-0706"/>
    <x v="5"/>
    <n v="2571.4285714285711"/>
    <m/>
    <d v="2026-01-29T00:00:00"/>
    <m/>
  </r>
  <r>
    <n v="6"/>
    <x v="6"/>
    <s v="Handover Document Complete"/>
    <m/>
    <n v="0.05"/>
    <n v="864.12590356160115"/>
    <m/>
    <s v="Luken Solar INV-0702"/>
    <x v="5"/>
    <n v="1285.7142857142856"/>
    <m/>
    <d v="2026-01-29T00:00:00"/>
    <m/>
  </r>
  <r>
    <n v="6"/>
    <x v="6"/>
    <s v="End of Defects Period"/>
    <m/>
    <n v="0.05"/>
    <n v="864.12590356160115"/>
    <m/>
    <s v="Luken Solar INV-0705"/>
    <x v="5"/>
    <n v="1285.7142857142856"/>
    <m/>
    <d v="2026-02-21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Contigency"/>
    <m/>
    <m/>
    <n v="166769.48000000001"/>
    <m/>
    <m/>
    <x v="6"/>
    <n v="351114.9990055298"/>
    <n v="-109171.6808419163"/>
    <d v="2026-02-28T00:00:00"/>
    <n v="312807.06000000006"/>
  </r>
  <r>
    <n v="8"/>
    <x v="8"/>
    <m/>
    <m/>
    <m/>
    <m/>
    <m/>
    <m/>
    <x v="4"/>
    <m/>
    <m/>
    <m/>
    <m/>
  </r>
  <r>
    <n v="8"/>
    <x v="8"/>
    <s v="Customized Maintenance"/>
    <m/>
    <m/>
    <n v="90120"/>
    <m/>
    <s v="Matriarch - iNV-6240"/>
    <x v="5"/>
    <n v="125017.29874861483"/>
    <m/>
    <d v="2026-02-28T00:00:00"/>
    <m/>
  </r>
  <r>
    <n v="8"/>
    <x v="8"/>
    <m/>
    <m/>
    <m/>
    <m/>
    <m/>
    <m/>
    <x v="4"/>
    <n v="0"/>
    <m/>
    <m/>
    <m/>
  </r>
  <r>
    <n v="8"/>
    <x v="8"/>
    <s v="Lightning Protection System"/>
    <m/>
    <m/>
    <n v="34320.9"/>
    <s v="PO4421-STD-20251029 - RV Approved"/>
    <s v="LPS - IN307558"/>
    <x v="2"/>
    <n v="53378.258435017051"/>
    <m/>
    <d v="2026-01-09T00:00:00"/>
    <m/>
  </r>
  <r>
    <n v="8"/>
    <x v="8"/>
    <m/>
    <m/>
    <m/>
    <m/>
    <m/>
    <m/>
    <x v="4"/>
    <n v="0"/>
    <m/>
    <m/>
    <m/>
  </r>
  <r>
    <n v="8"/>
    <x v="8"/>
    <s v="Toilet Hire"/>
    <m/>
    <m/>
    <n v="1217.4000000000001"/>
    <s v="PO4432-STD-20251031 - RV Approved"/>
    <s v="Talisman - 00216340"/>
    <x v="3"/>
    <n v="1893.3854245893831"/>
    <m/>
    <d v="2025-12-04T00:00:00"/>
    <m/>
  </r>
  <r>
    <n v="8"/>
    <x v="8"/>
    <s v="RS 485 SPD - Luken Supply &amp; Install"/>
    <m/>
    <m/>
    <n v="1129.28"/>
    <s v="PO4609-STD-20260204 - RV Approved"/>
    <m/>
    <x v="6"/>
    <n v="1638.3198609635569"/>
    <m/>
    <d v="2026-02-28T00:00:00"/>
    <m/>
  </r>
  <r>
    <n v="8"/>
    <x v="8"/>
    <s v="Trench scanning"/>
    <m/>
    <m/>
    <n v="19250"/>
    <s v="PO4503-STD-20251127  -RV Approved"/>
    <s v="Luken INV-0683"/>
    <x v="3"/>
    <n v="29938.943176725497"/>
    <m/>
    <d v="2025-11-28T00:00:00"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0"/>
    <m/>
    <n v="463747.56824472587"/>
  </r>
  <r>
    <n v="9"/>
    <x v="9"/>
    <s v="Project Kick Off"/>
    <n v="463747.56824472587"/>
    <n v="0.1"/>
    <n v="46374.756824472592"/>
    <s v="PO4351-STD-20251009 - RV Approved"/>
    <s v="Luken Solar INV-0673"/>
    <x v="1"/>
    <n v="55120.778811996948"/>
    <m/>
    <d v="2025-10-24T00:00:00"/>
    <m/>
  </r>
  <r>
    <n v="9"/>
    <x v="9"/>
    <s v="Site Establishment"/>
    <m/>
    <n v="0.15"/>
    <n v="69562.135236708884"/>
    <m/>
    <s v="Luken Solar INV-0674"/>
    <x v="1"/>
    <n v="82681.168217995408"/>
    <m/>
    <d v="2025-10-24T00:00:00"/>
    <m/>
  </r>
  <r>
    <n v="9"/>
    <x v="9"/>
    <s v="AC Installation Complete"/>
    <m/>
    <n v="0.2"/>
    <n v="92749.513648945183"/>
    <m/>
    <s v="Luken Solar INV-0689"/>
    <x v="2"/>
    <n v="110241.5576239939"/>
    <m/>
    <d v="2025-12-12T00:00:00"/>
    <m/>
  </r>
  <r>
    <n v="9"/>
    <x v="9"/>
    <s v="DC Installation Complete"/>
    <m/>
    <n v="0.1"/>
    <n v="46374.756824472592"/>
    <m/>
    <s v="Luken Solar INV-0684"/>
    <x v="2"/>
    <n v="55120.778811996948"/>
    <m/>
    <d v="2025-12-12T00:00:00"/>
    <m/>
  </r>
  <r>
    <n v="9"/>
    <x v="9"/>
    <s v="DC Installation Complete"/>
    <m/>
    <n v="0.15"/>
    <n v="69562.135236708884"/>
    <m/>
    <s v="Luken INV0692"/>
    <x v="2"/>
    <n v="82681.168217995408"/>
    <m/>
    <d v="2025-12-18T00:00:00"/>
    <m/>
  </r>
  <r>
    <n v="9"/>
    <x v="9"/>
    <s v="Commissioning Complete"/>
    <m/>
    <n v="0.1"/>
    <n v="46374.756824472592"/>
    <m/>
    <s v="Luken Solar INV-0699"/>
    <x v="5"/>
    <n v="55120.778811996948"/>
    <m/>
    <d v="2026-01-29T00:00:00"/>
    <m/>
  </r>
  <r>
    <n v="9"/>
    <x v="9"/>
    <s v="Site De-establisment"/>
    <m/>
    <n v="0.1"/>
    <n v="46374.756824472592"/>
    <m/>
    <s v="Luken Solar INV-0706"/>
    <x v="5"/>
    <n v="55120.778811996948"/>
    <m/>
    <d v="2026-01-29T00:00:00"/>
    <m/>
  </r>
  <r>
    <n v="9"/>
    <x v="9"/>
    <s v="Handover Document Complete"/>
    <m/>
    <n v="0.05"/>
    <n v="23187.378412236296"/>
    <m/>
    <s v="Luken Solar INV-0702"/>
    <x v="5"/>
    <n v="27560.389405998474"/>
    <m/>
    <d v="2026-01-29T00:00:00"/>
    <m/>
  </r>
  <r>
    <n v="9"/>
    <x v="9"/>
    <s v="End of Defects Period"/>
    <m/>
    <n v="0.05"/>
    <n v="23187.378412236296"/>
    <m/>
    <s v="Luken Solar INV-0705"/>
    <x v="5"/>
    <n v="27560.389405998474"/>
    <m/>
    <d v="2026-02-21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0"/>
    <m/>
    <m/>
    <x v="0"/>
    <n v="0"/>
    <n v="4.3483834306243807E-3"/>
    <m/>
    <n v="28570.122414357571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28570.136015952856"/>
    <n v="0.1"/>
    <n v="2857.0136015952858"/>
    <s v="PO4351-STD-20251009 - RV Approved"/>
    <s v="Luken Solar INV-0673"/>
    <x v="1"/>
    <n v="7306.2469135802476"/>
    <m/>
    <d v="2025-10-24T00:00:00"/>
    <m/>
  </r>
  <r>
    <n v="10"/>
    <x v="10"/>
    <s v="Site Establishment"/>
    <m/>
    <n v="0.15"/>
    <n v="4285.5204023929282"/>
    <m/>
    <s v="Luken Solar INV-0674"/>
    <x v="1"/>
    <n v="10959.37037037037"/>
    <m/>
    <d v="2025-10-24T00:00:00"/>
    <m/>
  </r>
  <r>
    <n v="10"/>
    <x v="10"/>
    <s v="AC Installation Complete"/>
    <m/>
    <n v="0.2"/>
    <n v="5714.0272031905715"/>
    <m/>
    <s v="Luken Solar INV-0689"/>
    <x v="2"/>
    <n v="14612.493827160493"/>
    <m/>
    <d v="2025-12-12T00:00:00"/>
    <m/>
  </r>
  <r>
    <n v="10"/>
    <x v="10"/>
    <s v="DC Installation Complete"/>
    <m/>
    <n v="0.1"/>
    <n v="2857.0136015952858"/>
    <m/>
    <s v="Luken Solar INV-0684"/>
    <x v="2"/>
    <n v="7306.2469135802467"/>
    <m/>
    <d v="2025-12-12T00:00:00"/>
    <m/>
  </r>
  <r>
    <n v="10"/>
    <x v="10"/>
    <s v="DC Installation Complete"/>
    <m/>
    <n v="0.15"/>
    <n v="4285.5204023929282"/>
    <m/>
    <s v="Luken INV0692"/>
    <x v="2"/>
    <n v="10959.370370370369"/>
    <m/>
    <d v="2025-12-18T00:00:00"/>
    <m/>
  </r>
  <r>
    <n v="10"/>
    <x v="10"/>
    <s v="Commissioning Complete"/>
    <m/>
    <n v="0.1"/>
    <n v="2857.0136015952858"/>
    <m/>
    <s v="Luken Solar INV-0699"/>
    <x v="5"/>
    <n v="7306.2703919207379"/>
    <m/>
    <d v="2026-01-29T00:00:00"/>
    <m/>
  </r>
  <r>
    <n v="10"/>
    <x v="10"/>
    <s v="Site De-establisment"/>
    <m/>
    <n v="0.1"/>
    <n v="2857.0136015952858"/>
    <m/>
    <s v="Luken Solar INV-0706"/>
    <x v="5"/>
    <n v="7306.2503919207375"/>
    <m/>
    <d v="2026-01-29T00:00:00"/>
    <m/>
  </r>
  <r>
    <n v="10"/>
    <x v="10"/>
    <s v="Handover Document Complete"/>
    <m/>
    <n v="0.05"/>
    <n v="1428.5"/>
    <m/>
    <s v="Luken Solar INV-0702"/>
    <x v="5"/>
    <n v="3653.107804257922"/>
    <m/>
    <d v="2026-01-29T00:00:00"/>
    <m/>
  </r>
  <r>
    <n v="10"/>
    <x v="10"/>
    <s v="End of Defects Period"/>
    <m/>
    <n v="0.05"/>
    <n v="1428.5"/>
    <m/>
    <s v="Luken Solar INV-0705"/>
    <x v="5"/>
    <n v="3653.107804257922"/>
    <m/>
    <d v="2026-02-21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Pr.Eng sign-off"/>
    <m/>
    <m/>
    <n v="20725"/>
    <m/>
    <s v="SunSpot - E036"/>
    <x v="2"/>
    <n v="78841.596507639537"/>
    <n v="0"/>
    <d v="2026-01-31T00:00:00"/>
    <n v="26725"/>
  </r>
  <r>
    <n v="11"/>
    <x v="11"/>
    <s v="Structural Sign Off"/>
    <m/>
    <m/>
    <n v="0"/>
    <m/>
    <m/>
    <x v="0"/>
    <n v="0"/>
    <m/>
    <m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s v="Matriarch - INV-6235"/>
    <x v="5"/>
    <n v="22825.070159027127"/>
    <m/>
    <d v="2026-03-02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0"/>
    <m/>
    <s v="Customized Maintenance Agreement"/>
    <x v="5"/>
    <n v="15923.525883838385"/>
    <n v="0"/>
    <d v="2026-03-02T00:00:00"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4"/>
    <m/>
    <m/>
    <m/>
    <m/>
  </r>
  <r>
    <n v="14"/>
    <x v="14"/>
    <s v="Travel"/>
    <m/>
    <m/>
    <n v="23.8"/>
    <m/>
    <s v="Expense Claim"/>
    <x v="1"/>
    <n v="52.57799293069003"/>
    <n v="6.8391663262445945E-4"/>
    <d v="2025-11-06T00:00:00"/>
    <n v="702.2"/>
  </r>
  <r>
    <n v="14"/>
    <x v="14"/>
    <s v="Travel"/>
    <m/>
    <m/>
    <n v="142.80000000000001"/>
    <m/>
    <s v="Expense Claim"/>
    <x v="3"/>
    <n v="1573.153162411812"/>
    <m/>
    <d v="2025-12-05T00:00:00"/>
    <m/>
  </r>
  <r>
    <n v="14"/>
    <x v="14"/>
    <s v="Travel"/>
    <m/>
    <m/>
    <n v="85.68"/>
    <m/>
    <s v="Expense Claim"/>
    <x v="2"/>
    <n v="1018.7164353698093"/>
    <m/>
    <d v="2026-01-08T00:00:00"/>
    <m/>
  </r>
  <r>
    <n v="14"/>
    <x v="14"/>
    <s v="Travel"/>
    <m/>
    <m/>
    <n v="199.92"/>
    <m/>
    <s v="Expense Claim"/>
    <x v="5"/>
    <n v="2546.5299534795404"/>
    <m/>
    <d v="2026-02-05T00:00:00"/>
    <m/>
  </r>
  <r>
    <n v="14"/>
    <x v="14"/>
    <s v="Travel"/>
    <m/>
    <m/>
    <n v="250"/>
    <m/>
    <m/>
    <x v="6"/>
    <n v="3753.4662163359603"/>
    <m/>
    <d v="2026-03-06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0"/>
  </r>
  <r>
    <n v="15"/>
    <x v="15"/>
    <s v="Mounting Structure Inpsection"/>
    <m/>
    <m/>
    <n v="0"/>
    <s v="PO4469-STD-20251113 - RV Approved"/>
    <m/>
    <x v="6"/>
    <m/>
    <m/>
    <d v="2026-03-30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0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0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87" dT="2026-02-03T07:22:17.70" personId="{8EDE9AE6-3EE9-4BC5-92DB-2733349A8FD1}" id="{142AA0F0-FC8C-45F6-9AD2-0C07ED77AFAB}">
    <text>Charged amount to match inv - OG amount was 87000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12" sqref="C12:E12"/>
    </sheetView>
  </sheetViews>
  <sheetFormatPr defaultRowHeight="1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.75" thickBot="1"/>
    <row r="2" spans="2:15" ht="18.75">
      <c r="B2" s="690" t="s">
        <v>0</v>
      </c>
      <c r="C2" s="690"/>
      <c r="D2" s="690"/>
      <c r="E2" s="690"/>
      <c r="H2" s="691" t="s">
        <v>1</v>
      </c>
      <c r="I2" s="692"/>
      <c r="J2" s="692"/>
      <c r="K2" s="692"/>
      <c r="L2" s="692"/>
      <c r="M2" s="692"/>
      <c r="N2" s="692"/>
      <c r="O2" s="693"/>
    </row>
    <row r="3" spans="2:15">
      <c r="B3" s="616"/>
      <c r="H3" s="694"/>
      <c r="I3" s="695"/>
      <c r="J3" s="695"/>
      <c r="K3" s="695"/>
      <c r="L3" s="695"/>
      <c r="M3" s="695"/>
      <c r="N3" s="695"/>
      <c r="O3" s="696"/>
    </row>
    <row r="4" spans="2:15">
      <c r="B4" s="617" t="s">
        <v>2</v>
      </c>
      <c r="C4" s="618" t="str">
        <f>'Project Plan'!E2</f>
        <v>Standard Bank GQ</v>
      </c>
      <c r="H4" s="694"/>
      <c r="I4" s="695"/>
      <c r="J4" s="695"/>
      <c r="K4" s="695"/>
      <c r="L4" s="695"/>
      <c r="M4" s="695"/>
      <c r="N4" s="695"/>
      <c r="O4" s="696"/>
    </row>
    <row r="5" spans="2:15">
      <c r="B5" s="617" t="s">
        <v>3</v>
      </c>
      <c r="C5" s="618" t="s">
        <v>4</v>
      </c>
      <c r="H5" s="694"/>
      <c r="I5" s="695"/>
      <c r="J5" s="695"/>
      <c r="K5" s="695"/>
      <c r="L5" s="695"/>
      <c r="M5" s="695"/>
      <c r="N5" s="695"/>
      <c r="O5" s="696"/>
    </row>
    <row r="6" spans="2:15">
      <c r="B6" s="617" t="s">
        <v>5</v>
      </c>
      <c r="C6" s="618" t="s">
        <v>6</v>
      </c>
      <c r="H6" s="694"/>
      <c r="I6" s="695"/>
      <c r="J6" s="695"/>
      <c r="K6" s="695"/>
      <c r="L6" s="695"/>
      <c r="M6" s="695"/>
      <c r="N6" s="695"/>
      <c r="O6" s="696"/>
    </row>
    <row r="7" spans="2:15">
      <c r="B7" s="617" t="s">
        <v>7</v>
      </c>
      <c r="C7" s="618" t="s">
        <v>8</v>
      </c>
      <c r="H7" s="694"/>
      <c r="I7" s="695"/>
      <c r="J7" s="695"/>
      <c r="K7" s="695"/>
      <c r="L7" s="695"/>
      <c r="M7" s="695"/>
      <c r="N7" s="695"/>
      <c r="O7" s="696"/>
    </row>
    <row r="8" spans="2:15">
      <c r="B8" s="616"/>
      <c r="H8" s="694"/>
      <c r="I8" s="695"/>
      <c r="J8" s="695"/>
      <c r="K8" s="695"/>
      <c r="L8" s="695"/>
      <c r="M8" s="695"/>
      <c r="N8" s="695"/>
      <c r="O8" s="696"/>
    </row>
    <row r="9" spans="2:15">
      <c r="B9" s="700" t="s">
        <v>9</v>
      </c>
      <c r="C9" s="700"/>
      <c r="D9" s="700"/>
      <c r="E9" s="700"/>
      <c r="H9" s="694"/>
      <c r="I9" s="695"/>
      <c r="J9" s="695"/>
      <c r="K9" s="695"/>
      <c r="L9" s="695"/>
      <c r="M9" s="695"/>
      <c r="N9" s="695"/>
      <c r="O9" s="696"/>
    </row>
    <row r="10" spans="2:15" ht="15.75" thickBot="1">
      <c r="B10" s="700" t="s">
        <v>10</v>
      </c>
      <c r="C10" s="700"/>
      <c r="D10" s="700"/>
      <c r="E10" s="700"/>
      <c r="H10" s="697"/>
      <c r="I10" s="698"/>
      <c r="J10" s="698"/>
      <c r="K10" s="698"/>
      <c r="L10" s="698"/>
      <c r="M10" s="698"/>
      <c r="N10" s="698"/>
      <c r="O10" s="699"/>
    </row>
    <row r="11" spans="2:15">
      <c r="B11" s="619" t="s">
        <v>11</v>
      </c>
      <c r="C11" s="689"/>
      <c r="D11" s="689"/>
      <c r="E11" s="689"/>
    </row>
    <row r="12" spans="2:15">
      <c r="B12" s="619" t="s">
        <v>12</v>
      </c>
      <c r="C12" s="689"/>
      <c r="D12" s="689"/>
      <c r="E12" s="689"/>
    </row>
    <row r="13" spans="2:15">
      <c r="B13" s="619" t="s">
        <v>13</v>
      </c>
      <c r="C13" s="689"/>
      <c r="D13" s="689"/>
      <c r="E13" s="689"/>
    </row>
    <row r="14" spans="2:15">
      <c r="B14" s="619" t="s">
        <v>14</v>
      </c>
      <c r="C14" s="689"/>
      <c r="D14" s="689"/>
      <c r="E14" s="689"/>
    </row>
    <row r="15" spans="2:15">
      <c r="B15" s="619" t="s">
        <v>15</v>
      </c>
      <c r="C15" s="689"/>
      <c r="D15" s="689"/>
      <c r="E15" s="689"/>
    </row>
    <row r="16" spans="2:15" ht="15" customHeight="1">
      <c r="B16" s="619" t="s">
        <v>16</v>
      </c>
      <c r="C16" s="689"/>
      <c r="D16" s="689"/>
      <c r="E16" s="689"/>
    </row>
    <row r="17" spans="2:5">
      <c r="B17" s="616"/>
    </row>
    <row r="18" spans="2:5">
      <c r="B18" s="701" t="s">
        <v>17</v>
      </c>
      <c r="C18" s="701"/>
      <c r="D18" s="701"/>
      <c r="E18" s="701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G2" sqref="G2"/>
    </sheetView>
  </sheetViews>
  <sheetFormatPr defaultRowHeight="1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.75" thickBot="1"/>
    <row r="2" spans="2:15" ht="18.75">
      <c r="B2" s="690" t="s">
        <v>22</v>
      </c>
      <c r="C2" s="690"/>
      <c r="D2" s="690"/>
      <c r="E2" s="690"/>
      <c r="H2" s="691" t="s">
        <v>23</v>
      </c>
      <c r="I2" s="692"/>
      <c r="J2" s="692"/>
      <c r="K2" s="692"/>
      <c r="L2" s="692"/>
      <c r="M2" s="692"/>
      <c r="N2" s="692"/>
      <c r="O2" s="693"/>
    </row>
    <row r="3" spans="2:15">
      <c r="B3" s="616"/>
      <c r="H3" s="694"/>
      <c r="I3" s="695"/>
      <c r="J3" s="695"/>
      <c r="K3" s="695"/>
      <c r="L3" s="695"/>
      <c r="M3" s="695"/>
      <c r="N3" s="695"/>
      <c r="O3" s="696"/>
    </row>
    <row r="4" spans="2:15">
      <c r="B4" s="617" t="s">
        <v>2</v>
      </c>
      <c r="C4" s="618" t="str">
        <f>'Project Plan'!E2</f>
        <v>Standard Bank GQ</v>
      </c>
      <c r="H4" s="694"/>
      <c r="I4" s="695"/>
      <c r="J4" s="695"/>
      <c r="K4" s="695"/>
      <c r="L4" s="695"/>
      <c r="M4" s="695"/>
      <c r="N4" s="695"/>
      <c r="O4" s="696"/>
    </row>
    <row r="5" spans="2:15">
      <c r="B5" s="617" t="s">
        <v>24</v>
      </c>
      <c r="C5" s="618"/>
      <c r="H5" s="694"/>
      <c r="I5" s="695"/>
      <c r="J5" s="695"/>
      <c r="K5" s="695"/>
      <c r="L5" s="695"/>
      <c r="M5" s="695"/>
      <c r="N5" s="695"/>
      <c r="O5" s="696"/>
    </row>
    <row r="6" spans="2:15">
      <c r="B6" s="617" t="s">
        <v>5</v>
      </c>
      <c r="C6" s="618" t="s">
        <v>6</v>
      </c>
      <c r="H6" s="694"/>
      <c r="I6" s="695"/>
      <c r="J6" s="695"/>
      <c r="K6" s="695"/>
      <c r="L6" s="695"/>
      <c r="M6" s="695"/>
      <c r="N6" s="695"/>
      <c r="O6" s="696"/>
    </row>
    <row r="7" spans="2:15">
      <c r="B7" s="617" t="s">
        <v>25</v>
      </c>
      <c r="C7" s="618" t="str">
        <f>'Project Plan'!E5</f>
        <v>Lloyd Brown</v>
      </c>
      <c r="H7" s="694"/>
      <c r="I7" s="695"/>
      <c r="J7" s="695"/>
      <c r="K7" s="695"/>
      <c r="L7" s="695"/>
      <c r="M7" s="695"/>
      <c r="N7" s="695"/>
      <c r="O7" s="696"/>
    </row>
    <row r="8" spans="2:15">
      <c r="B8" s="617" t="s">
        <v>26</v>
      </c>
      <c r="C8" s="618"/>
      <c r="H8" s="694"/>
      <c r="I8" s="695"/>
      <c r="J8" s="695"/>
      <c r="K8" s="695"/>
      <c r="L8" s="695"/>
      <c r="M8" s="695"/>
      <c r="N8" s="695"/>
      <c r="O8" s="696"/>
    </row>
    <row r="9" spans="2:15">
      <c r="B9" s="616"/>
      <c r="H9" s="694"/>
      <c r="I9" s="695"/>
      <c r="J9" s="695"/>
      <c r="K9" s="695"/>
      <c r="L9" s="695"/>
      <c r="M9" s="695"/>
      <c r="N9" s="695"/>
      <c r="O9" s="696"/>
    </row>
    <row r="10" spans="2:15">
      <c r="B10" s="700" t="s">
        <v>9</v>
      </c>
      <c r="C10" s="700"/>
      <c r="D10" s="700"/>
      <c r="E10" s="700"/>
      <c r="H10" s="694"/>
      <c r="I10" s="695"/>
      <c r="J10" s="695"/>
      <c r="K10" s="695"/>
      <c r="L10" s="695"/>
      <c r="M10" s="695"/>
      <c r="N10" s="695"/>
      <c r="O10" s="696"/>
    </row>
    <row r="11" spans="2:15" ht="15.75" thickBot="1">
      <c r="B11" s="700" t="s">
        <v>10</v>
      </c>
      <c r="C11" s="700"/>
      <c r="D11" s="700"/>
      <c r="E11" s="700"/>
      <c r="H11" s="697"/>
      <c r="I11" s="698"/>
      <c r="J11" s="698"/>
      <c r="K11" s="698"/>
      <c r="L11" s="698"/>
      <c r="M11" s="698"/>
      <c r="N11" s="698"/>
      <c r="O11" s="699"/>
    </row>
    <row r="12" spans="2:15" ht="24.75">
      <c r="B12" s="619" t="s">
        <v>27</v>
      </c>
      <c r="C12" s="689"/>
      <c r="D12" s="689"/>
      <c r="E12" s="689"/>
    </row>
    <row r="13" spans="2:15">
      <c r="B13" s="619" t="s">
        <v>28</v>
      </c>
      <c r="C13" s="689"/>
      <c r="D13" s="689"/>
      <c r="E13" s="689"/>
    </row>
    <row r="14" spans="2:15">
      <c r="B14" s="619" t="s">
        <v>29</v>
      </c>
      <c r="C14" s="689"/>
      <c r="D14" s="689"/>
      <c r="E14" s="689"/>
    </row>
    <row r="15" spans="2:15">
      <c r="B15" s="619" t="s">
        <v>30</v>
      </c>
      <c r="C15" s="689"/>
      <c r="D15" s="689"/>
      <c r="E15" s="689"/>
    </row>
    <row r="16" spans="2:15" ht="24.75">
      <c r="B16" s="619" t="s">
        <v>31</v>
      </c>
      <c r="C16" s="689"/>
      <c r="D16" s="689"/>
      <c r="E16" s="689"/>
    </row>
    <row r="17" spans="2:5">
      <c r="B17" s="619" t="s">
        <v>32</v>
      </c>
      <c r="C17" s="689"/>
      <c r="D17" s="689"/>
      <c r="E17" s="689"/>
    </row>
    <row r="18" spans="2:5">
      <c r="B18" s="619" t="s">
        <v>33</v>
      </c>
      <c r="C18" s="689"/>
      <c r="D18" s="689"/>
      <c r="E18" s="689"/>
    </row>
    <row r="19" spans="2:5">
      <c r="B19" s="619" t="s">
        <v>34</v>
      </c>
      <c r="C19" s="689"/>
      <c r="D19" s="689"/>
      <c r="E19" s="689"/>
    </row>
    <row r="20" spans="2:5">
      <c r="B20" s="619" t="s">
        <v>35</v>
      </c>
      <c r="C20" s="689"/>
      <c r="D20" s="689"/>
      <c r="E20" s="689"/>
    </row>
    <row r="21" spans="2:5">
      <c r="B21" s="619" t="s">
        <v>36</v>
      </c>
      <c r="C21" s="689"/>
      <c r="D21" s="689"/>
      <c r="E21" s="689"/>
    </row>
    <row r="22" spans="2:5" ht="15" customHeight="1">
      <c r="B22" s="619" t="s">
        <v>16</v>
      </c>
      <c r="C22" s="689"/>
      <c r="D22" s="689"/>
      <c r="E22" s="689"/>
    </row>
    <row r="23" spans="2:5">
      <c r="B23" s="616"/>
    </row>
    <row r="24" spans="2:5">
      <c r="B24" s="701" t="s">
        <v>17</v>
      </c>
      <c r="C24" s="701"/>
      <c r="D24" s="701"/>
      <c r="E24" s="701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="112" zoomScaleNormal="80" workbookViewId="0">
      <selection activeCell="C5" sqref="C5"/>
    </sheetView>
  </sheetViews>
  <sheetFormatPr defaultColWidth="9.42578125" defaultRowHeight="15"/>
  <cols>
    <col min="1" max="1" width="0.5703125" customWidth="1"/>
    <col min="2" max="2" width="8.42578125" bestFit="1" customWidth="1"/>
    <col min="3" max="3" width="45.42578125" customWidth="1"/>
    <col min="4" max="4" width="16.5703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5703125" bestFit="1" customWidth="1"/>
    <col min="10" max="10" width="10.28515625" customWidth="1"/>
    <col min="11" max="11" width="33.42578125" customWidth="1"/>
  </cols>
  <sheetData>
    <row r="1" spans="2:15">
      <c r="B1" s="704"/>
      <c r="C1" s="705"/>
      <c r="D1" s="705"/>
      <c r="E1" s="705"/>
      <c r="F1" s="702" t="s">
        <v>37</v>
      </c>
      <c r="G1" s="702"/>
      <c r="H1" s="702"/>
      <c r="I1" s="702"/>
      <c r="J1" s="702"/>
      <c r="K1" s="703"/>
      <c r="L1" s="13"/>
      <c r="M1" s="13"/>
      <c r="N1" s="13"/>
      <c r="O1" s="13"/>
    </row>
    <row r="2" spans="2:15" ht="6.75" customHeight="1"/>
    <row r="3" spans="2:15" ht="27.75">
      <c r="B3" s="8" t="s">
        <v>38</v>
      </c>
      <c r="C3" s="8" t="s">
        <v>39</v>
      </c>
      <c r="D3" s="14" t="s">
        <v>40</v>
      </c>
      <c r="E3" s="8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21</v>
      </c>
      <c r="K3" s="14" t="s">
        <v>46</v>
      </c>
    </row>
    <row r="4" spans="2:15">
      <c r="B4" s="12" t="s">
        <v>47</v>
      </c>
      <c r="C4" s="10"/>
      <c r="D4" s="10"/>
      <c r="E4" s="10"/>
      <c r="F4" s="10"/>
      <c r="G4" s="10"/>
      <c r="H4" s="12"/>
      <c r="I4" s="12"/>
      <c r="J4" s="12"/>
      <c r="K4" s="7"/>
    </row>
    <row r="5" spans="2:15">
      <c r="B5" s="12" t="s">
        <v>48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49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50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51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52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53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54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55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56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57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58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59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60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61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62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63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64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65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66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67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68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69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70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71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72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73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74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75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76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="130" zoomScaleNormal="130" workbookViewId="0">
      <pane ySplit="2" topLeftCell="A3" activePane="bottomLeft" state="frozen"/>
      <selection pane="bottomLeft" activeCell="B14" sqref="B14"/>
      <selection activeCell="B14" sqref="B14"/>
    </sheetView>
  </sheetViews>
  <sheetFormatPr defaultColWidth="8.42578125" defaultRowHeight="14.25"/>
  <cols>
    <col min="1" max="1" width="1.42578125" style="4" customWidth="1"/>
    <col min="2" max="2" width="30.5703125" style="4" bestFit="1" customWidth="1"/>
    <col min="3" max="3" width="19.5703125" style="4" customWidth="1"/>
    <col min="4" max="4" width="32.570312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5">
      <c r="A2" s="126"/>
      <c r="B2" s="8" t="s">
        <v>77</v>
      </c>
      <c r="C2" s="8" t="s">
        <v>78</v>
      </c>
      <c r="D2" s="8" t="s">
        <v>39</v>
      </c>
      <c r="E2" s="8" t="s">
        <v>79</v>
      </c>
      <c r="F2" s="8" t="s">
        <v>80</v>
      </c>
      <c r="G2" s="1"/>
    </row>
    <row r="3" spans="1:7">
      <c r="A3" s="126"/>
      <c r="B3" s="604" t="s">
        <v>81</v>
      </c>
      <c r="C3" s="604"/>
      <c r="D3" s="604"/>
      <c r="E3" s="607"/>
      <c r="F3" s="604"/>
      <c r="G3" s="1"/>
    </row>
    <row r="4" spans="1:7">
      <c r="A4" s="126"/>
      <c r="B4" s="604" t="s">
        <v>82</v>
      </c>
      <c r="C4" s="604"/>
      <c r="D4" s="604"/>
      <c r="E4" s="607"/>
      <c r="F4" s="604"/>
      <c r="G4" s="1"/>
    </row>
    <row r="5" spans="1:7">
      <c r="A5" s="126"/>
      <c r="B5" s="604" t="s">
        <v>83</v>
      </c>
      <c r="C5" s="604"/>
      <c r="D5" s="604"/>
      <c r="E5" s="607"/>
      <c r="F5" s="604"/>
      <c r="G5" s="1"/>
    </row>
    <row r="6" spans="1:7">
      <c r="A6" s="126"/>
      <c r="B6" s="604" t="s">
        <v>84</v>
      </c>
      <c r="C6" s="604"/>
      <c r="D6" s="604"/>
      <c r="E6" s="607"/>
      <c r="F6" s="604"/>
      <c r="G6" s="1"/>
    </row>
    <row r="7" spans="1:7">
      <c r="A7" s="126"/>
      <c r="B7" s="604" t="s">
        <v>85</v>
      </c>
      <c r="C7" s="604"/>
      <c r="D7" s="604"/>
      <c r="E7" s="607"/>
      <c r="F7" s="604"/>
      <c r="G7" s="1"/>
    </row>
    <row r="8" spans="1:7">
      <c r="A8" s="126"/>
      <c r="B8" s="604" t="s">
        <v>86</v>
      </c>
      <c r="C8" s="604"/>
      <c r="D8" s="604"/>
      <c r="E8" s="607"/>
      <c r="F8" s="604"/>
      <c r="G8" s="1"/>
    </row>
    <row r="9" spans="1:7">
      <c r="A9" s="126"/>
      <c r="B9" s="604" t="s">
        <v>87</v>
      </c>
      <c r="C9" s="604"/>
      <c r="D9" s="604"/>
      <c r="E9" s="607"/>
      <c r="F9" s="604"/>
      <c r="G9" s="1"/>
    </row>
    <row r="10" spans="1:7">
      <c r="A10" s="126"/>
      <c r="B10" s="604" t="s">
        <v>88</v>
      </c>
      <c r="C10" s="604"/>
      <c r="D10" s="604"/>
      <c r="E10" s="607"/>
      <c r="F10" s="604"/>
      <c r="G10" s="1"/>
    </row>
    <row r="11" spans="1:7">
      <c r="A11" s="126"/>
      <c r="B11" s="604" t="s">
        <v>89</v>
      </c>
      <c r="C11" s="604"/>
      <c r="D11" s="604"/>
      <c r="E11" s="607"/>
      <c r="F11" s="604"/>
      <c r="G11" s="1"/>
    </row>
    <row r="12" spans="1:7">
      <c r="A12" s="126"/>
      <c r="B12" s="604" t="s">
        <v>90</v>
      </c>
      <c r="C12" s="604"/>
      <c r="D12" s="604"/>
      <c r="E12" s="607"/>
      <c r="F12" s="604"/>
      <c r="G12" s="1"/>
    </row>
    <row r="13" spans="1:7">
      <c r="A13" s="126"/>
      <c r="B13" s="604" t="s">
        <v>91</v>
      </c>
      <c r="C13" s="604"/>
      <c r="D13" s="604"/>
      <c r="E13" s="607"/>
      <c r="F13" s="604"/>
      <c r="G13" s="1"/>
    </row>
    <row r="14" spans="1:7">
      <c r="A14" s="126"/>
      <c r="B14" s="604" t="s">
        <v>92</v>
      </c>
      <c r="C14" s="604"/>
      <c r="D14" s="604"/>
      <c r="E14" s="607"/>
      <c r="F14" s="604"/>
      <c r="G14" s="1"/>
    </row>
    <row r="15" spans="1:7">
      <c r="A15" s="126"/>
      <c r="B15" s="604"/>
      <c r="C15" s="604"/>
      <c r="D15" s="604"/>
      <c r="E15" s="607"/>
      <c r="F15" s="604"/>
      <c r="G15" s="1"/>
    </row>
    <row r="16" spans="1:7">
      <c r="A16" s="126"/>
      <c r="B16" s="604"/>
      <c r="C16" s="604"/>
      <c r="D16" s="604"/>
      <c r="E16" s="607"/>
      <c r="F16" s="604"/>
      <c r="G16" s="1"/>
    </row>
    <row r="17" spans="1:7">
      <c r="A17" s="126"/>
      <c r="B17" s="604"/>
      <c r="C17" s="604"/>
      <c r="D17" s="604"/>
      <c r="E17" s="607"/>
      <c r="F17" s="604"/>
      <c r="G17" s="1"/>
    </row>
    <row r="18" spans="1:7">
      <c r="A18" s="126"/>
      <c r="B18" s="604"/>
      <c r="C18" s="604"/>
      <c r="D18" s="604"/>
      <c r="E18" s="607"/>
      <c r="F18" s="604"/>
      <c r="G18" s="1"/>
    </row>
    <row r="19" spans="1:7">
      <c r="A19" s="126"/>
      <c r="B19" s="604"/>
      <c r="C19" s="604"/>
      <c r="D19" s="604"/>
      <c r="E19" s="607"/>
      <c r="F19" s="604"/>
      <c r="G19" s="1"/>
    </row>
    <row r="20" spans="1:7">
      <c r="A20" s="126"/>
      <c r="B20" s="604"/>
      <c r="C20" s="604"/>
      <c r="D20" s="604"/>
      <c r="E20" s="607"/>
      <c r="F20" s="604"/>
      <c r="G20" s="1"/>
    </row>
    <row r="21" spans="1:7">
      <c r="A21" s="126"/>
      <c r="B21" s="604"/>
      <c r="C21" s="604"/>
      <c r="D21" s="604"/>
      <c r="E21" s="607"/>
      <c r="F21" s="604"/>
      <c r="G21" s="1"/>
    </row>
    <row r="22" spans="1:7" s="1" customFormat="1"/>
    <row r="23" spans="1:7">
      <c r="A23" s="26"/>
      <c r="B23" s="606" t="s">
        <v>93</v>
      </c>
      <c r="C23" s="26"/>
      <c r="D23" s="26"/>
      <c r="E23" s="26"/>
      <c r="F23" s="26"/>
      <c r="G23" s="26"/>
    </row>
    <row r="24" spans="1:7">
      <c r="A24" s="26"/>
      <c r="B24" s="605" t="s">
        <v>94</v>
      </c>
      <c r="C24" s="26"/>
      <c r="D24" s="26"/>
      <c r="E24" s="26"/>
      <c r="F24" s="26"/>
    </row>
    <row r="25" spans="1:7">
      <c r="A25" s="26"/>
      <c r="B25" s="605" t="s">
        <v>95</v>
      </c>
      <c r="C25" s="26"/>
      <c r="D25" s="26"/>
      <c r="E25" s="26"/>
      <c r="F25" s="26"/>
    </row>
    <row r="26" spans="1:7">
      <c r="A26" s="26"/>
      <c r="B26" s="605" t="s">
        <v>96</v>
      </c>
      <c r="C26" s="26"/>
      <c r="D26" s="26"/>
      <c r="E26" s="26"/>
      <c r="F26" s="26"/>
    </row>
    <row r="27" spans="1:7">
      <c r="A27" s="26"/>
      <c r="B27" s="605" t="s">
        <v>97</v>
      </c>
      <c r="C27" s="26"/>
      <c r="D27" s="26"/>
      <c r="E27" s="26"/>
      <c r="F27" s="26"/>
    </row>
    <row r="28" spans="1:7">
      <c r="A28" s="26"/>
      <c r="B28" s="605" t="s">
        <v>98</v>
      </c>
      <c r="C28" s="26"/>
      <c r="D28" s="26"/>
      <c r="E28" s="26"/>
      <c r="F28" s="26"/>
    </row>
    <row r="29" spans="1:7">
      <c r="A29" s="26"/>
      <c r="B29" s="605" t="s">
        <v>99</v>
      </c>
      <c r="C29" s="26"/>
      <c r="D29" s="26"/>
      <c r="E29" s="26"/>
      <c r="F29" s="26"/>
    </row>
    <row r="30" spans="1:7">
      <c r="A30" s="26"/>
      <c r="B30" s="605" t="s">
        <v>100</v>
      </c>
      <c r="C30" s="26"/>
      <c r="D30" s="26"/>
      <c r="E30" s="26"/>
      <c r="F30" s="26"/>
    </row>
    <row r="31" spans="1:7">
      <c r="A31" s="26"/>
      <c r="B31" s="605"/>
      <c r="C31" s="26"/>
      <c r="D31" s="26"/>
      <c r="E31" s="26"/>
      <c r="F31" s="26"/>
    </row>
    <row r="32" spans="1:7">
      <c r="A32" s="26"/>
      <c r="B32" s="605"/>
      <c r="C32" s="26"/>
      <c r="D32" s="26"/>
      <c r="E32" s="26"/>
      <c r="F32" s="26"/>
    </row>
    <row r="33" spans="1:6">
      <c r="A33" s="26"/>
      <c r="B33" s="605"/>
      <c r="C33" s="26"/>
      <c r="D33" s="26"/>
      <c r="E33" s="26"/>
      <c r="F33" s="26"/>
    </row>
    <row r="34" spans="1:6">
      <c r="A34" s="26"/>
      <c r="B34" s="605"/>
      <c r="C34" s="26"/>
      <c r="D34" s="26"/>
      <c r="E34" s="26"/>
      <c r="F34" s="26"/>
    </row>
    <row r="35" spans="1:6" s="26" customFormat="1">
      <c r="B35" s="605"/>
    </row>
    <row r="36" spans="1:6" s="26" customFormat="1">
      <c r="B36" s="605"/>
    </row>
    <row r="37" spans="1:6" s="26" customFormat="1">
      <c r="B37" s="605"/>
    </row>
    <row r="38" spans="1:6" s="26" customFormat="1">
      <c r="B38" s="605"/>
    </row>
    <row r="39" spans="1:6" s="26" customFormat="1">
      <c r="B39" s="605"/>
    </row>
    <row r="40" spans="1:6" s="26" customFormat="1">
      <c r="B40" s="605"/>
    </row>
    <row r="41" spans="1:6" s="26" customFormat="1">
      <c r="B41" s="605"/>
    </row>
    <row r="42" spans="1:6" s="26" customFormat="1">
      <c r="B42" s="605"/>
    </row>
    <row r="43" spans="1:6" s="26" customFormat="1">
      <c r="B43" s="605"/>
    </row>
    <row r="44" spans="1:6" s="26" customFormat="1">
      <c r="B44" s="605"/>
    </row>
    <row r="45" spans="1:6" s="26" customFormat="1">
      <c r="B45" s="605"/>
    </row>
    <row r="46" spans="1:6" s="26" customFormat="1">
      <c r="B46" s="605"/>
    </row>
    <row r="47" spans="1:6" s="26" customFormat="1">
      <c r="B47" s="605"/>
    </row>
    <row r="48" spans="1:6" s="26" customFormat="1">
      <c r="B48" s="605"/>
    </row>
    <row r="49" spans="2:2" s="26" customFormat="1">
      <c r="B49" s="605"/>
    </row>
    <row r="50" spans="2:2" s="26" customFormat="1">
      <c r="B50" s="605"/>
    </row>
    <row r="51" spans="2:2" s="26" customFormat="1">
      <c r="B51" s="605"/>
    </row>
    <row r="52" spans="2:2" s="26" customFormat="1">
      <c r="B52" s="605"/>
    </row>
    <row r="53" spans="2:2" s="26" customFormat="1">
      <c r="B53" s="605"/>
    </row>
    <row r="54" spans="2:2" s="26" customFormat="1">
      <c r="B54" s="605"/>
    </row>
    <row r="55" spans="2:2" s="26" customFormat="1">
      <c r="B55" s="605"/>
    </row>
    <row r="56" spans="2:2" s="26" customFormat="1">
      <c r="B56" s="605"/>
    </row>
    <row r="57" spans="2:2" s="26" customFormat="1">
      <c r="B57" s="605"/>
    </row>
    <row r="58" spans="2:2" s="26" customFormat="1">
      <c r="B58" s="605"/>
    </row>
    <row r="59" spans="2:2" s="26" customFormat="1">
      <c r="B59" s="605"/>
    </row>
    <row r="60" spans="2:2" s="26" customFormat="1">
      <c r="B60" s="605"/>
    </row>
    <row r="61" spans="2:2" s="26" customFormat="1">
      <c r="B61" s="605"/>
    </row>
    <row r="62" spans="2:2" s="26" customFormat="1">
      <c r="B62" s="605"/>
    </row>
    <row r="63" spans="2:2" s="26" customFormat="1">
      <c r="B63" s="605"/>
    </row>
    <row r="64" spans="2:2" s="26" customFormat="1">
      <c r="B64" s="605"/>
    </row>
    <row r="65" spans="2:2" s="26" customFormat="1">
      <c r="B65" s="605"/>
    </row>
    <row r="66" spans="2:2" s="26" customFormat="1">
      <c r="B66" s="605"/>
    </row>
    <row r="67" spans="2:2" s="26" customFormat="1">
      <c r="B67" s="605"/>
    </row>
    <row r="68" spans="2:2" s="26" customFormat="1">
      <c r="B68" s="605"/>
    </row>
    <row r="69" spans="2:2" s="26" customFormat="1">
      <c r="B69" s="605"/>
    </row>
    <row r="70" spans="2:2" s="26" customFormat="1">
      <c r="B70" s="605"/>
    </row>
    <row r="71" spans="2:2" s="26" customFormat="1">
      <c r="B71" s="605"/>
    </row>
    <row r="72" spans="2:2" s="26" customFormat="1">
      <c r="B72" s="605"/>
    </row>
    <row r="73" spans="2:2" s="26" customFormat="1">
      <c r="B73" s="605"/>
    </row>
    <row r="74" spans="2:2" s="26" customFormat="1">
      <c r="B74" s="605"/>
    </row>
    <row r="75" spans="2:2" s="26" customFormat="1">
      <c r="B75" s="605"/>
    </row>
    <row r="76" spans="2:2" s="26" customFormat="1">
      <c r="B76" s="605"/>
    </row>
    <row r="77" spans="2:2" s="26" customFormat="1">
      <c r="B77" s="605"/>
    </row>
    <row r="78" spans="2:2" s="26" customFormat="1">
      <c r="B78" s="605"/>
    </row>
    <row r="79" spans="2:2" s="26" customFormat="1">
      <c r="B79" s="605"/>
    </row>
    <row r="80" spans="2:2" s="26" customFormat="1">
      <c r="B80" s="605"/>
    </row>
    <row r="81" spans="2:2" s="26" customFormat="1">
      <c r="B81" s="605"/>
    </row>
    <row r="82" spans="2:2" s="26" customFormat="1">
      <c r="B82" s="605"/>
    </row>
    <row r="83" spans="2:2" s="26" customFormat="1">
      <c r="B83" s="605"/>
    </row>
    <row r="84" spans="2:2" s="26" customFormat="1">
      <c r="B84" s="605"/>
    </row>
    <row r="85" spans="2:2" s="26" customFormat="1">
      <c r="B85" s="605"/>
    </row>
    <row r="86" spans="2:2" s="26" customFormat="1">
      <c r="B86" s="605"/>
    </row>
    <row r="87" spans="2:2" s="26" customFormat="1">
      <c r="B87" s="605"/>
    </row>
    <row r="88" spans="2:2" s="26" customFormat="1">
      <c r="B88" s="605"/>
    </row>
    <row r="89" spans="2:2" s="26" customFormat="1">
      <c r="B89" s="605"/>
    </row>
    <row r="90" spans="2:2" s="26" customFormat="1">
      <c r="B90" s="605"/>
    </row>
    <row r="91" spans="2:2" s="26" customFormat="1">
      <c r="B91" s="605"/>
    </row>
    <row r="92" spans="2:2" s="26" customFormat="1">
      <c r="B92" s="605"/>
    </row>
    <row r="93" spans="2:2" s="26" customFormat="1">
      <c r="B93" s="605"/>
    </row>
    <row r="94" spans="2:2" s="26" customFormat="1">
      <c r="B94" s="605"/>
    </row>
    <row r="95" spans="2:2" s="26" customFormat="1">
      <c r="B95" s="605"/>
    </row>
    <row r="96" spans="2:2" s="26" customFormat="1">
      <c r="B96" s="605"/>
    </row>
    <row r="97" spans="2:2" s="26" customFormat="1">
      <c r="B97" s="605"/>
    </row>
    <row r="98" spans="2:2" s="26" customFormat="1">
      <c r="B98" s="605"/>
    </row>
    <row r="99" spans="2:2" s="26" customFormat="1">
      <c r="B99" s="605"/>
    </row>
    <row r="100" spans="2:2" s="26" customFormat="1">
      <c r="B100" s="605"/>
    </row>
    <row r="101" spans="2:2" s="26" customFormat="1">
      <c r="B101" s="605"/>
    </row>
    <row r="102" spans="2:2" s="26" customFormat="1">
      <c r="B102" s="605"/>
    </row>
    <row r="103" spans="2:2" s="26" customFormat="1">
      <c r="B103" s="605"/>
    </row>
    <row r="104" spans="2:2" s="26" customFormat="1">
      <c r="B104" s="605"/>
    </row>
    <row r="105" spans="2:2" s="26" customFormat="1">
      <c r="B105" s="605"/>
    </row>
    <row r="106" spans="2:2" s="26" customFormat="1">
      <c r="B106" s="605"/>
    </row>
    <row r="107" spans="2:2" s="26" customFormat="1">
      <c r="B107" s="605"/>
    </row>
    <row r="108" spans="2:2" s="26" customFormat="1">
      <c r="B108" s="605"/>
    </row>
    <row r="109" spans="2:2" s="26" customFormat="1">
      <c r="B109" s="605"/>
    </row>
    <row r="110" spans="2:2" s="26" customFormat="1">
      <c r="B110" s="605"/>
    </row>
    <row r="111" spans="2:2" s="26" customFormat="1">
      <c r="B111" s="605"/>
    </row>
    <row r="112" spans="2:2" s="26" customFormat="1">
      <c r="B112" s="605"/>
    </row>
    <row r="113" spans="2:2" s="26" customFormat="1">
      <c r="B113" s="605"/>
    </row>
    <row r="114" spans="2:2" s="26" customFormat="1">
      <c r="B114" s="605"/>
    </row>
    <row r="115" spans="2:2" s="26" customFormat="1">
      <c r="B115" s="605"/>
    </row>
    <row r="116" spans="2:2" s="26" customFormat="1">
      <c r="B116" s="605"/>
    </row>
    <row r="117" spans="2:2" s="26" customFormat="1">
      <c r="B117" s="605"/>
    </row>
    <row r="118" spans="2:2" s="26" customFormat="1">
      <c r="B118" s="605"/>
    </row>
    <row r="119" spans="2:2" s="26" customFormat="1">
      <c r="B119" s="605"/>
    </row>
    <row r="120" spans="2:2" s="26" customFormat="1">
      <c r="B120" s="605"/>
    </row>
    <row r="121" spans="2:2" s="26" customFormat="1">
      <c r="B121" s="605"/>
    </row>
    <row r="122" spans="2:2" s="26" customFormat="1">
      <c r="B122" s="605"/>
    </row>
    <row r="123" spans="2:2" s="26" customFormat="1">
      <c r="B123" s="605"/>
    </row>
    <row r="124" spans="2:2" s="26" customFormat="1">
      <c r="B124" s="605"/>
    </row>
    <row r="125" spans="2:2" s="26" customFormat="1">
      <c r="B125" s="605"/>
    </row>
    <row r="126" spans="2:2" s="26" customFormat="1">
      <c r="B126" s="605"/>
    </row>
    <row r="127" spans="2:2" s="26" customFormat="1">
      <c r="B127" s="605"/>
    </row>
    <row r="128" spans="2:2" s="26" customFormat="1">
      <c r="B128" s="605"/>
    </row>
    <row r="129" spans="2:2" s="26" customFormat="1">
      <c r="B129" s="605"/>
    </row>
    <row r="130" spans="2:2" s="26" customFormat="1">
      <c r="B130" s="605"/>
    </row>
    <row r="131" spans="2:2" s="26" customFormat="1">
      <c r="B131" s="605"/>
    </row>
    <row r="132" spans="2:2" s="26" customFormat="1">
      <c r="B132" s="605"/>
    </row>
    <row r="133" spans="2:2" s="26" customFormat="1">
      <c r="B133" s="605"/>
    </row>
    <row r="134" spans="2:2" s="26" customFormat="1">
      <c r="B134" s="605"/>
    </row>
    <row r="135" spans="2:2" s="26" customFormat="1">
      <c r="B135" s="605"/>
    </row>
    <row r="136" spans="2:2" s="26" customFormat="1">
      <c r="B136" s="605"/>
    </row>
    <row r="137" spans="2:2" s="26" customFormat="1">
      <c r="B137" s="605"/>
    </row>
    <row r="138" spans="2:2" s="26" customFormat="1">
      <c r="B138" s="605"/>
    </row>
    <row r="139" spans="2:2" s="26" customFormat="1">
      <c r="B139" s="605"/>
    </row>
    <row r="140" spans="2:2" s="26" customFormat="1">
      <c r="B140" s="605"/>
    </row>
    <row r="141" spans="2:2" s="26" customFormat="1">
      <c r="B141" s="605"/>
    </row>
    <row r="142" spans="2:2" s="26" customFormat="1">
      <c r="B142" s="605"/>
    </row>
    <row r="143" spans="2:2" s="26" customFormat="1">
      <c r="B143" s="605"/>
    </row>
    <row r="144" spans="2:2" s="26" customFormat="1">
      <c r="B144" s="605"/>
    </row>
    <row r="145" spans="2:2" s="26" customFormat="1">
      <c r="B145" s="605"/>
    </row>
    <row r="146" spans="2:2" s="26" customFormat="1">
      <c r="B146" s="605"/>
    </row>
    <row r="147" spans="2:2" s="26" customFormat="1">
      <c r="B147" s="605"/>
    </row>
    <row r="148" spans="2:2" s="26" customFormat="1">
      <c r="B148" s="605"/>
    </row>
    <row r="149" spans="2:2" s="26" customFormat="1">
      <c r="B149" s="605"/>
    </row>
    <row r="150" spans="2:2" s="26" customFormat="1"/>
    <row r="151" spans="2:2" s="26" customFormat="1"/>
    <row r="152" spans="2:2" s="26" customFormat="1"/>
    <row r="153" spans="2:2" s="26" customFormat="1"/>
    <row r="154" spans="2:2" s="26" customFormat="1"/>
    <row r="155" spans="2:2" s="26" customFormat="1"/>
    <row r="156" spans="2:2" s="26" customFormat="1"/>
    <row r="157" spans="2:2" s="26" customFormat="1"/>
    <row r="158" spans="2:2" s="26" customFormat="1"/>
    <row r="159" spans="2:2" s="26" customFormat="1"/>
    <row r="160" spans="2:2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="79" zoomScaleNormal="130" workbookViewId="0">
      <selection activeCell="B24" sqref="B24"/>
    </sheetView>
  </sheetViews>
  <sheetFormatPr defaultColWidth="9.42578125" defaultRowHeight="1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42578125" bestFit="1" customWidth="1"/>
    <col min="6" max="6" width="33.42578125" customWidth="1"/>
  </cols>
  <sheetData>
    <row r="1" spans="2:10" ht="15.75" thickBot="1"/>
    <row r="2" spans="2:10" ht="16.5" thickTop="1" thickBot="1">
      <c r="B2" s="706" t="s">
        <v>101</v>
      </c>
      <c r="C2" s="707"/>
      <c r="D2" s="707"/>
      <c r="E2" s="707"/>
      <c r="F2" s="708"/>
      <c r="G2" s="13"/>
      <c r="H2" s="13"/>
      <c r="I2" s="13"/>
      <c r="J2" s="13"/>
    </row>
    <row r="3" spans="2:10" ht="6.75" customHeight="1" thickTop="1"/>
    <row r="4" spans="2:10">
      <c r="B4" s="8" t="s">
        <v>102</v>
      </c>
      <c r="C4" s="14" t="s">
        <v>44</v>
      </c>
      <c r="D4" s="14" t="s">
        <v>45</v>
      </c>
      <c r="E4" s="14" t="s">
        <v>21</v>
      </c>
      <c r="F4" s="14" t="s">
        <v>46</v>
      </c>
    </row>
    <row r="5" spans="2:10">
      <c r="B5" s="10" t="s">
        <v>103</v>
      </c>
      <c r="C5" s="12"/>
      <c r="D5" s="12"/>
      <c r="E5" s="12"/>
      <c r="F5" s="7"/>
    </row>
    <row r="6" spans="2:10">
      <c r="B6" s="10" t="s">
        <v>104</v>
      </c>
      <c r="C6" s="12"/>
      <c r="D6" s="12"/>
      <c r="E6" s="12"/>
      <c r="F6" s="7"/>
    </row>
    <row r="7" spans="2:10">
      <c r="B7" s="10" t="s">
        <v>105</v>
      </c>
      <c r="C7" s="12"/>
      <c r="D7" s="12"/>
      <c r="E7" s="12"/>
      <c r="F7" s="7"/>
    </row>
    <row r="8" spans="2:10">
      <c r="B8" s="10" t="s">
        <v>106</v>
      </c>
      <c r="C8" s="12"/>
      <c r="D8" s="12"/>
      <c r="E8" s="12"/>
      <c r="F8" s="7"/>
    </row>
    <row r="9" spans="2:10">
      <c r="B9" s="11" t="s">
        <v>107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.75" thickBot="1"/>
    <row r="16" spans="2:10" ht="16.5" thickTop="1" thickBot="1">
      <c r="B16" s="706" t="s">
        <v>108</v>
      </c>
      <c r="C16" s="707"/>
      <c r="D16" s="707"/>
      <c r="E16" s="707"/>
      <c r="F16" s="708"/>
    </row>
    <row r="17" spans="2:6" ht="15.75" thickTop="1"/>
    <row r="18" spans="2:6">
      <c r="B18" s="8" t="s">
        <v>102</v>
      </c>
      <c r="C18" s="14" t="s">
        <v>44</v>
      </c>
      <c r="D18" s="14" t="s">
        <v>45</v>
      </c>
      <c r="E18" s="14" t="s">
        <v>21</v>
      </c>
      <c r="F18" s="14" t="s">
        <v>46</v>
      </c>
    </row>
    <row r="19" spans="2:6">
      <c r="B19" s="10" t="s">
        <v>36</v>
      </c>
      <c r="C19" s="12" t="s">
        <v>109</v>
      </c>
      <c r="D19" s="12"/>
      <c r="E19" s="627">
        <v>45946</v>
      </c>
      <c r="F19" s="7" t="s">
        <v>110</v>
      </c>
    </row>
    <row r="20" spans="2:6">
      <c r="B20" s="10" t="s">
        <v>111</v>
      </c>
      <c r="C20" s="12" t="s">
        <v>109</v>
      </c>
      <c r="D20" s="12"/>
      <c r="E20" s="627">
        <v>45946</v>
      </c>
      <c r="F20" s="7" t="s">
        <v>110</v>
      </c>
    </row>
    <row r="21" spans="2:6">
      <c r="B21" s="10" t="s">
        <v>112</v>
      </c>
      <c r="C21" s="12" t="s">
        <v>109</v>
      </c>
      <c r="D21" s="12"/>
      <c r="E21" s="627">
        <v>45946</v>
      </c>
      <c r="F21" s="7" t="s">
        <v>110</v>
      </c>
    </row>
    <row r="22" spans="2:6">
      <c r="B22" s="10" t="s">
        <v>113</v>
      </c>
      <c r="C22" s="12" t="s">
        <v>109</v>
      </c>
      <c r="D22" s="12"/>
      <c r="E22" s="627">
        <v>45946</v>
      </c>
      <c r="F22" s="7" t="s">
        <v>110</v>
      </c>
    </row>
    <row r="23" spans="2:6">
      <c r="B23" s="11" t="s">
        <v>114</v>
      </c>
      <c r="C23" s="12" t="s">
        <v>109</v>
      </c>
      <c r="D23" s="11"/>
      <c r="E23" s="627">
        <v>45946</v>
      </c>
      <c r="F23" s="7" t="s">
        <v>110</v>
      </c>
    </row>
    <row r="24" spans="2:6">
      <c r="B24" s="11"/>
      <c r="C24" s="12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9"/>
  <sheetViews>
    <sheetView topLeftCell="A27" zoomScale="90" zoomScaleNormal="90" workbookViewId="0">
      <selection activeCell="E8" sqref="E8:E9"/>
    </sheetView>
  </sheetViews>
  <sheetFormatPr defaultColWidth="8.42578125" defaultRowHeight="14.25"/>
  <cols>
    <col min="1" max="1" width="1.42578125" style="26" customWidth="1"/>
    <col min="2" max="2" width="6.42578125" style="83" bestFit="1" customWidth="1"/>
    <col min="3" max="3" width="44.5703125" style="4" customWidth="1"/>
    <col min="4" max="4" width="5.140625" style="26" customWidth="1"/>
    <col min="5" max="5" width="14.5703125" style="4" customWidth="1"/>
    <col min="6" max="6" width="10.28515625" style="80" customWidth="1"/>
    <col min="7" max="7" width="13.5703125" style="5" customWidth="1"/>
    <col min="8" max="8" width="4.570312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4" width="13.42578125" style="26" customWidth="1"/>
    <col min="15" max="15" width="72.5703125" style="26" customWidth="1"/>
    <col min="16" max="16" width="1.42578125" style="26" customWidth="1"/>
    <col min="17" max="17" width="6.42578125" style="1" customWidth="1"/>
    <col min="18" max="18" width="8.42578125" style="26"/>
    <col min="19" max="19" width="21.5703125" style="26" customWidth="1"/>
    <col min="20" max="22" width="12.5703125" style="26" customWidth="1"/>
    <col min="23" max="23" width="8.42578125" style="26"/>
    <col min="24" max="25" width="10.2851562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46076</v>
      </c>
      <c r="O1" s="305">
        <f ca="1">TODAY()</f>
        <v>46076</v>
      </c>
      <c r="Q1" s="1"/>
    </row>
    <row r="2" spans="2:28" ht="15" customHeight="1" thickBot="1">
      <c r="B2" s="88"/>
      <c r="C2" s="89" t="s">
        <v>115</v>
      </c>
      <c r="D2" s="90"/>
      <c r="E2" s="568" t="s">
        <v>116</v>
      </c>
      <c r="F2" s="569"/>
      <c r="G2" s="569"/>
      <c r="H2" s="570"/>
      <c r="I2" s="709" t="s">
        <v>117</v>
      </c>
      <c r="J2" s="710"/>
      <c r="K2" s="589">
        <f>NETWORKDAYS(I20,K55,Data!C3:C60)</f>
        <v>44</v>
      </c>
      <c r="N2" s="306">
        <v>0</v>
      </c>
      <c r="O2" s="306">
        <v>1</v>
      </c>
    </row>
    <row r="3" spans="2:28" s="26" customFormat="1" ht="15" thickBot="1">
      <c r="B3" s="91"/>
      <c r="C3" s="92" t="s">
        <v>118</v>
      </c>
      <c r="D3" s="90"/>
      <c r="E3" s="312">
        <v>460</v>
      </c>
      <c r="F3" s="93"/>
      <c r="G3" s="94"/>
      <c r="H3" s="94"/>
      <c r="I3" s="709" t="s">
        <v>119</v>
      </c>
      <c r="J3" s="710"/>
      <c r="K3" s="589">
        <f>K2/5</f>
        <v>8.8000000000000007</v>
      </c>
      <c r="Q3" s="1"/>
    </row>
    <row r="4" spans="2:28" s="26" customFormat="1" ht="15" thickBot="1">
      <c r="B4" s="91"/>
      <c r="C4" s="92" t="s">
        <v>120</v>
      </c>
      <c r="D4" s="90"/>
      <c r="E4" s="567" t="s">
        <v>121</v>
      </c>
      <c r="F4" s="94"/>
      <c r="G4" s="94"/>
      <c r="H4" s="94"/>
      <c r="I4" s="709" t="s">
        <v>122</v>
      </c>
      <c r="J4" s="710"/>
      <c r="K4" s="590">
        <f>E3/K3</f>
        <v>52.272727272727266</v>
      </c>
      <c r="Q4" s="1"/>
    </row>
    <row r="5" spans="2:28" s="26" customFormat="1">
      <c r="B5" s="91"/>
      <c r="C5" s="92" t="s">
        <v>123</v>
      </c>
      <c r="D5" s="90"/>
      <c r="E5" s="567" t="s">
        <v>124</v>
      </c>
      <c r="F5" s="94"/>
      <c r="G5" s="94"/>
      <c r="H5" s="94"/>
      <c r="Q5" s="1"/>
    </row>
    <row r="6" spans="2:28">
      <c r="B6" s="95"/>
      <c r="C6" s="96" t="s">
        <v>125</v>
      </c>
      <c r="D6" s="90"/>
      <c r="E6" s="546">
        <f>1891415.11</f>
        <v>1891415.11</v>
      </c>
      <c r="F6" s="571"/>
      <c r="G6" s="571"/>
      <c r="H6" s="572"/>
    </row>
    <row r="7" spans="2:28" s="26" customFormat="1">
      <c r="B7" s="79"/>
      <c r="C7" s="680" t="s">
        <v>126</v>
      </c>
      <c r="E7" s="679" t="s">
        <v>127</v>
      </c>
      <c r="F7" s="80"/>
      <c r="G7" s="97"/>
      <c r="J7" s="27"/>
      <c r="Q7" s="1"/>
    </row>
    <row r="8" spans="2:28" ht="30" customHeight="1">
      <c r="B8" s="713" t="s">
        <v>128</v>
      </c>
      <c r="C8" s="714" t="s">
        <v>129</v>
      </c>
      <c r="D8" s="126"/>
      <c r="E8" s="715" t="s">
        <v>130</v>
      </c>
      <c r="F8" s="148" t="s">
        <v>131</v>
      </c>
      <c r="G8" s="715" t="s">
        <v>132</v>
      </c>
      <c r="H8" s="149"/>
      <c r="I8" s="715" t="s">
        <v>133</v>
      </c>
      <c r="J8" s="148" t="s">
        <v>131</v>
      </c>
      <c r="K8" s="715" t="s">
        <v>134</v>
      </c>
      <c r="M8" s="586" t="s">
        <v>44</v>
      </c>
      <c r="N8" s="587" t="s">
        <v>135</v>
      </c>
      <c r="O8" s="711" t="s">
        <v>136</v>
      </c>
      <c r="Z8" s="26"/>
      <c r="AA8" s="26"/>
      <c r="AB8" s="26"/>
    </row>
    <row r="9" spans="2:28">
      <c r="B9" s="713"/>
      <c r="C9" s="714"/>
      <c r="D9" s="126"/>
      <c r="E9" s="715"/>
      <c r="F9" s="40" t="e">
        <f>G57-E21</f>
        <v>#NUM!</v>
      </c>
      <c r="G9" s="715"/>
      <c r="H9" s="149"/>
      <c r="I9" s="715"/>
      <c r="J9" s="41">
        <f>K57-I21</f>
        <v>54</v>
      </c>
      <c r="K9" s="715"/>
      <c r="M9" s="265">
        <f>AVERAGE(M11,M20,M23,M30,M49,M55,M66,M61)</f>
        <v>0.9642857142857143</v>
      </c>
      <c r="N9" s="265">
        <f ca="1">AVERAGE(N11,N20,N23,N30,N49,N55,N66,N61)</f>
        <v>0.97916327357879385</v>
      </c>
      <c r="O9" s="712"/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</row>
    <row r="11" spans="2:28" s="28" customFormat="1">
      <c r="B11" s="155">
        <v>1</v>
      </c>
      <c r="C11" s="156" t="s">
        <v>137</v>
      </c>
      <c r="D11" s="130"/>
      <c r="E11" s="573">
        <f>MIN(E12:E19)</f>
        <v>45909</v>
      </c>
      <c r="F11" s="574">
        <f>G11-E11</f>
        <v>37</v>
      </c>
      <c r="G11" s="573">
        <f>MAX(G12:G19)</f>
        <v>45946</v>
      </c>
      <c r="H11" s="575"/>
      <c r="I11" s="573">
        <f>MIN(I12:I19)</f>
        <v>45909</v>
      </c>
      <c r="J11" s="574">
        <f>K11-I11</f>
        <v>52</v>
      </c>
      <c r="K11" s="573">
        <f>MAX(K12:K19)</f>
        <v>45961</v>
      </c>
      <c r="L11" s="576"/>
      <c r="M11" s="577">
        <v>1</v>
      </c>
      <c r="N11" s="577">
        <v>1</v>
      </c>
      <c r="O11" s="26"/>
      <c r="P11" s="26"/>
      <c r="Q11" s="34"/>
    </row>
    <row r="12" spans="2:28" s="26" customFormat="1">
      <c r="B12" s="157" t="s">
        <v>138</v>
      </c>
      <c r="C12" s="158" t="s">
        <v>139</v>
      </c>
      <c r="D12" s="126"/>
      <c r="E12" s="578">
        <v>45909</v>
      </c>
      <c r="F12" s="579">
        <v>1</v>
      </c>
      <c r="G12" s="578">
        <f>WORKDAY.INTL(E12,F12,1,Data!$C$3:$C$60)</f>
        <v>45910</v>
      </c>
      <c r="H12" s="580"/>
      <c r="I12" s="578">
        <v>45909</v>
      </c>
      <c r="J12" s="579">
        <v>1</v>
      </c>
      <c r="K12" s="578">
        <f>WORKDAY.INTL(I12,J12,1,Data!$C$3:$C$60)</f>
        <v>45910</v>
      </c>
      <c r="L12" s="77"/>
      <c r="M12" s="581">
        <v>1</v>
      </c>
      <c r="N12" s="581">
        <f ca="1">_xlfn.LET(
  _xlpm.s,VALUE($I12),
  _xlpm.e,VALUE($K12),
  IF(OR(_xlpm.s="",_xlpm.e=""),"", IF(_xlpm.e&lt;=_xlpm.s, IF(TODAY()&gt;=_xlpm.e,1,0), MAX(0,MIN(1,(TODAY()-_xlpm.s)/(_xlpm.e-_xlpm.s)))))
)</f>
        <v>1</v>
      </c>
      <c r="Q12" s="1"/>
    </row>
    <row r="13" spans="2:28" s="26" customFormat="1">
      <c r="B13" s="157" t="s">
        <v>140</v>
      </c>
      <c r="C13" s="158" t="s">
        <v>141</v>
      </c>
      <c r="D13" s="126"/>
      <c r="E13" s="578">
        <f>WORKDAY.INTL(G12,0,1,Data!$C$3:$C$60)</f>
        <v>45910</v>
      </c>
      <c r="F13" s="579">
        <v>25</v>
      </c>
      <c r="G13" s="578">
        <f>WORKDAY.INTL(E13,F13,1,Data!$C$3:$C$60)</f>
        <v>45946</v>
      </c>
      <c r="H13" s="580"/>
      <c r="I13" s="578">
        <f>WORKDAY.INTL(K12,0,1,Data!$C$3:$C$60)</f>
        <v>45910</v>
      </c>
      <c r="J13" s="579">
        <v>26</v>
      </c>
      <c r="K13" s="578">
        <f>WORKDAY.INTL(I13,J13,1,Data!$C$3:$C$60)</f>
        <v>45947</v>
      </c>
      <c r="L13" s="77"/>
      <c r="M13" s="581">
        <v>1</v>
      </c>
      <c r="N13" s="581">
        <f t="shared" ref="N13:N18" ca="1" si="0">_xlfn.LET(
  _xlpm.s,VALUE($I13),
  _xlpm.e,VALUE($K13),
  IF(OR(_xlpm.s="",_xlpm.e=""),"", IF(_xlpm.e&lt;=_xlpm.s, IF(TODAY()&gt;=_xlpm.e,1,0), MAX(0,MIN(1,(TODAY()-_xlpm.s)/(_xlpm.e-_xlpm.s)))))
)</f>
        <v>1</v>
      </c>
      <c r="Q13" s="1"/>
    </row>
    <row r="14" spans="2:28" s="26" customFormat="1">
      <c r="B14" s="157" t="s">
        <v>142</v>
      </c>
      <c r="C14" s="158" t="s">
        <v>143</v>
      </c>
      <c r="D14" s="126"/>
      <c r="E14" s="578"/>
      <c r="F14" s="579"/>
      <c r="G14" s="578"/>
      <c r="H14" s="580"/>
      <c r="I14" s="578">
        <v>45943</v>
      </c>
      <c r="J14" s="579">
        <v>14</v>
      </c>
      <c r="K14" s="578">
        <f>WORKDAY.INTL(I14,J14,1,Data!$C$3:$C$60)</f>
        <v>45961</v>
      </c>
      <c r="L14" s="77"/>
      <c r="M14" s="581">
        <v>1</v>
      </c>
      <c r="N14" s="581">
        <f t="shared" ca="1" si="0"/>
        <v>1</v>
      </c>
      <c r="Q14" s="1"/>
    </row>
    <row r="15" spans="2:28" s="26" customFormat="1">
      <c r="B15" s="157" t="s">
        <v>144</v>
      </c>
      <c r="C15" s="158" t="s">
        <v>145</v>
      </c>
      <c r="D15" s="126"/>
      <c r="E15" s="578"/>
      <c r="F15" s="579"/>
      <c r="G15" s="578"/>
      <c r="H15" s="580"/>
      <c r="I15" s="578">
        <f>WORKDAY.INTL(K13,0,1,Data!$C$3:$C$60)-2</f>
        <v>45945</v>
      </c>
      <c r="J15" s="579">
        <v>2</v>
      </c>
      <c r="K15" s="578">
        <f>WORKDAY.INTL(I15,J15,1,Data!$C$3:$C$60)</f>
        <v>45947</v>
      </c>
      <c r="L15" s="77"/>
      <c r="M15" s="581">
        <v>1</v>
      </c>
      <c r="N15" s="581">
        <f t="shared" ca="1" si="0"/>
        <v>1</v>
      </c>
      <c r="Q15" s="1"/>
    </row>
    <row r="16" spans="2:28" s="26" customFormat="1">
      <c r="B16" s="157" t="s">
        <v>146</v>
      </c>
      <c r="C16" s="158" t="s">
        <v>147</v>
      </c>
      <c r="D16" s="126"/>
      <c r="E16" s="578">
        <f>WORKDAY.INTL(G12,0,1,Data!$C$3:$C$60)+14</f>
        <v>45924</v>
      </c>
      <c r="F16" s="579">
        <v>1</v>
      </c>
      <c r="G16" s="578">
        <f>WORKDAY.INTL(E16,F16,1,Data!$C$3:$C$60)</f>
        <v>45925</v>
      </c>
      <c r="H16" s="580"/>
      <c r="I16" s="578">
        <f>WORKDAY.INTL(K12,0,1,Data!$C$3:$C$60)+14</f>
        <v>45924</v>
      </c>
      <c r="J16" s="579">
        <v>1</v>
      </c>
      <c r="K16" s="578">
        <f>WORKDAY.INTL(I16,J16,1,Data!$C$3:$C$60)</f>
        <v>45925</v>
      </c>
      <c r="L16" s="77"/>
      <c r="M16" s="581">
        <v>1</v>
      </c>
      <c r="N16" s="581">
        <f t="shared" ca="1" si="0"/>
        <v>1</v>
      </c>
      <c r="Q16" s="1"/>
    </row>
    <row r="17" spans="2:28" s="26" customFormat="1">
      <c r="B17" s="157" t="s">
        <v>148</v>
      </c>
      <c r="C17" s="158" t="s">
        <v>149</v>
      </c>
      <c r="D17" s="126"/>
      <c r="E17" s="578">
        <f>WORKDAY.INTL(E16,0,1,Data!$C$3:$C$60)+7</f>
        <v>45931</v>
      </c>
      <c r="F17" s="579">
        <v>1</v>
      </c>
      <c r="G17" s="578">
        <f>WORKDAY.INTL(E17,F17,1,Data!$C$3:$C$60)</f>
        <v>45932</v>
      </c>
      <c r="H17" s="580"/>
      <c r="I17" s="578">
        <f>WORKDAY.INTL(I16,0,1,Data!$C$3:$C$60)+7</f>
        <v>45931</v>
      </c>
      <c r="J17" s="579">
        <v>1</v>
      </c>
      <c r="K17" s="578">
        <f>WORKDAY.INTL(I17,J17,1,Data!$C$3:$C$60)</f>
        <v>45932</v>
      </c>
      <c r="L17" s="77"/>
      <c r="M17" s="581">
        <v>1</v>
      </c>
      <c r="N17" s="581">
        <f t="shared" ca="1" si="0"/>
        <v>1</v>
      </c>
      <c r="Q17" s="1"/>
    </row>
    <row r="18" spans="2:28" s="26" customFormat="1">
      <c r="B18" s="157" t="s">
        <v>150</v>
      </c>
      <c r="C18" s="158" t="s">
        <v>151</v>
      </c>
      <c r="D18" s="126"/>
      <c r="E18" s="578">
        <f>WORKDAY.INTL(E17,0,1,Data!$C$3:$C$60)+10</f>
        <v>45941</v>
      </c>
      <c r="F18" s="579">
        <v>1</v>
      </c>
      <c r="G18" s="578">
        <f>WORKDAY.INTL(E18,F18,1,Data!$C$3:$C$60)</f>
        <v>45943</v>
      </c>
      <c r="H18" s="580"/>
      <c r="I18" s="578">
        <f>WORKDAY.INTL(I17,0,1,Data!$C$3:$C$60)+10</f>
        <v>45941</v>
      </c>
      <c r="J18" s="579">
        <v>1</v>
      </c>
      <c r="K18" s="578">
        <f>WORKDAY.INTL(I18,J18,1,Data!$C$3:$C$60)</f>
        <v>45943</v>
      </c>
      <c r="L18" s="77"/>
      <c r="M18" s="581">
        <v>1</v>
      </c>
      <c r="N18" s="581">
        <f t="shared" ca="1" si="0"/>
        <v>1</v>
      </c>
      <c r="Q18" s="1"/>
    </row>
    <row r="19" spans="2:28" s="26" customFormat="1">
      <c r="B19" s="150"/>
      <c r="C19" s="126"/>
      <c r="D19" s="126"/>
      <c r="E19" s="582"/>
      <c r="F19" s="582"/>
      <c r="G19" s="582"/>
      <c r="H19" s="580"/>
      <c r="I19" s="582"/>
      <c r="J19" s="582"/>
      <c r="K19" s="582"/>
      <c r="L19" s="77"/>
      <c r="M19" s="77"/>
      <c r="N19" s="77"/>
      <c r="Q19" s="1"/>
    </row>
    <row r="20" spans="2:28" s="28" customFormat="1">
      <c r="B20" s="155">
        <v>2</v>
      </c>
      <c r="C20" s="156" t="s">
        <v>152</v>
      </c>
      <c r="D20" s="130"/>
      <c r="E20" s="573">
        <f>MIN(E21:E22)</f>
        <v>45947</v>
      </c>
      <c r="F20" s="574">
        <f>G20-E20</f>
        <v>1</v>
      </c>
      <c r="G20" s="573">
        <f>MAX(G21:G22)</f>
        <v>45948</v>
      </c>
      <c r="H20" s="575"/>
      <c r="I20" s="573">
        <f>MIN(I21:I22)</f>
        <v>45950</v>
      </c>
      <c r="J20" s="574">
        <f>K20-I20</f>
        <v>1</v>
      </c>
      <c r="K20" s="573">
        <f>MAX(K21:K22)</f>
        <v>45951</v>
      </c>
      <c r="L20" s="576"/>
      <c r="M20" s="577">
        <f>(J21*M21)/J20</f>
        <v>1</v>
      </c>
      <c r="N20" s="577">
        <f ca="1">(K21*N21)/K20</f>
        <v>1</v>
      </c>
      <c r="O20" s="33"/>
      <c r="P20" s="26"/>
      <c r="Q20" s="37"/>
      <c r="Z20" s="35"/>
      <c r="AA20" s="35"/>
      <c r="AB20" s="32"/>
    </row>
    <row r="21" spans="2:28" s="26" customFormat="1">
      <c r="B21" s="157" t="s">
        <v>153</v>
      </c>
      <c r="C21" s="158" t="s">
        <v>154</v>
      </c>
      <c r="D21" s="126"/>
      <c r="E21" s="578">
        <v>45947</v>
      </c>
      <c r="F21" s="579">
        <v>1</v>
      </c>
      <c r="G21" s="578">
        <f>E21+F21</f>
        <v>45948</v>
      </c>
      <c r="H21" s="580"/>
      <c r="I21" s="578">
        <v>45950</v>
      </c>
      <c r="J21" s="579">
        <v>1</v>
      </c>
      <c r="K21" s="578">
        <f>I21+J21</f>
        <v>45951</v>
      </c>
      <c r="L21" s="77"/>
      <c r="M21" s="581">
        <v>1</v>
      </c>
      <c r="N21" s="581">
        <f ca="1">_xlfn.LET(
  _xlpm.s,VALUE($I21),
  _xlpm.e,VALUE($K21),
  IF(OR(_xlpm.s="",_xlpm.e=""),"", IF(_xlpm.e&lt;=_xlpm.s, IF(TODAY()&gt;=_xlpm.e,1,0), MAX(0,MIN(1,(TODAY()-_xlpm.s)/(_xlpm.e-_xlpm.s)))))
)</f>
        <v>1</v>
      </c>
      <c r="O21" s="625" t="s">
        <v>155</v>
      </c>
      <c r="Q21" s="38"/>
      <c r="Z21" s="35"/>
      <c r="AA21" s="35"/>
      <c r="AB21" s="35"/>
    </row>
    <row r="22" spans="2:28" s="26" customFormat="1">
      <c r="B22" s="150"/>
      <c r="C22" s="126"/>
      <c r="D22" s="126"/>
      <c r="E22" s="582"/>
      <c r="F22" s="582"/>
      <c r="G22" s="582"/>
      <c r="H22" s="580"/>
      <c r="I22" s="582"/>
      <c r="J22" s="582"/>
      <c r="K22" s="582"/>
      <c r="L22" s="77"/>
      <c r="M22" s="77"/>
      <c r="N22" s="77"/>
      <c r="Q22" s="1"/>
    </row>
    <row r="23" spans="2:28" s="28" customFormat="1">
      <c r="B23" s="155">
        <v>3</v>
      </c>
      <c r="C23" s="156" t="s">
        <v>156</v>
      </c>
      <c r="D23" s="130"/>
      <c r="E23" s="573">
        <f>MIN(E24:E29)</f>
        <v>45910</v>
      </c>
      <c r="F23" s="574">
        <f>G23-E23</f>
        <v>49</v>
      </c>
      <c r="G23" s="573">
        <f>MAX(G24:G29)</f>
        <v>45959</v>
      </c>
      <c r="H23" s="583"/>
      <c r="I23" s="573">
        <f>MIN(I24:I29)</f>
        <v>45909</v>
      </c>
      <c r="J23" s="574">
        <f>K23-I23</f>
        <v>80</v>
      </c>
      <c r="K23" s="573">
        <f>MAX(K24:K29)</f>
        <v>45989</v>
      </c>
      <c r="L23" s="576"/>
      <c r="M23" s="577">
        <f>(J24*M24+J25*M25+J26*M26+J27*M27+J28*M28)/SUM(J24:J28)</f>
        <v>1</v>
      </c>
      <c r="N23" s="577">
        <f ca="1">(J24*N24+J25*N25+J26*N26+J27*N27+J28*N28)/SUM(J24:J28)</f>
        <v>1</v>
      </c>
      <c r="O23" s="33"/>
      <c r="P23" s="26"/>
      <c r="Q23" s="37"/>
      <c r="Z23" s="35"/>
      <c r="AA23" s="35"/>
      <c r="AB23" s="32"/>
    </row>
    <row r="24" spans="2:28" s="26" customFormat="1">
      <c r="B24" s="157" t="s">
        <v>157</v>
      </c>
      <c r="C24" s="158" t="s">
        <v>158</v>
      </c>
      <c r="D24" s="126"/>
      <c r="E24" s="578">
        <f>WORKDAY.INTL(G21,0,1,Data!$C$3:$C$60)</f>
        <v>45948</v>
      </c>
      <c r="F24" s="579">
        <v>1</v>
      </c>
      <c r="G24" s="578">
        <f>WORKDAY.INTL(E24,F24,1,Data!$C$3:$C$60)</f>
        <v>45950</v>
      </c>
      <c r="H24" s="580"/>
      <c r="I24" s="578">
        <f>WORKDAY.INTL(I26,0,1,Data!$C$3:$C$60)</f>
        <v>45910</v>
      </c>
      <c r="J24" s="579">
        <v>0</v>
      </c>
      <c r="K24" s="578">
        <f>WORKDAY.INTL(I24,J24,1,Data!$C$3:$C$60)</f>
        <v>45910</v>
      </c>
      <c r="L24" s="77"/>
      <c r="M24" s="581">
        <v>1</v>
      </c>
      <c r="N24" s="581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8">
        <f>WORKDAY.INTL(G24,0,1,Data!$C$3:$C$60)</f>
        <v>45950</v>
      </c>
      <c r="F25" s="579">
        <v>2</v>
      </c>
      <c r="G25" s="578">
        <f>WORKDAY.INTL(E25,F25,1,Data!$C$3:$C$60)</f>
        <v>45952</v>
      </c>
      <c r="H25" s="580"/>
      <c r="I25" s="578">
        <f>WORKDAY.INTL(K24,0,1,Data!$C$3:$C$60)</f>
        <v>45910</v>
      </c>
      <c r="J25" s="579">
        <v>0</v>
      </c>
      <c r="K25" s="578">
        <f>WORKDAY.INTL(I25,J25,1,Data!$C$3:$C$60)</f>
        <v>45910</v>
      </c>
      <c r="L25" s="77"/>
      <c r="M25" s="581">
        <v>1</v>
      </c>
      <c r="N25" s="581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8">
        <f>WORKDAY.INTL(E16,0,1,Data!$C$3:$C$60)-14</f>
        <v>45910</v>
      </c>
      <c r="F26" s="579">
        <v>0</v>
      </c>
      <c r="G26" s="578">
        <v>45910</v>
      </c>
      <c r="H26" s="580"/>
      <c r="I26" s="578">
        <f>WORKDAY.INTL(I16,0,1,Data!$C$3:$C$60)-14</f>
        <v>45910</v>
      </c>
      <c r="J26" s="579">
        <v>0</v>
      </c>
      <c r="K26" s="578">
        <v>45910</v>
      </c>
      <c r="L26" s="77"/>
      <c r="M26" s="581">
        <v>1</v>
      </c>
      <c r="N26" s="581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8">
        <f>WORKDAY.INTL(G25,0,1,Data!$C$3:$C$60)</f>
        <v>45952</v>
      </c>
      <c r="F27" s="579">
        <v>5</v>
      </c>
      <c r="G27" s="578">
        <f>WORKDAY.INTL(E27,F27,1,Data!$C$3:$C$60)</f>
        <v>45959</v>
      </c>
      <c r="H27" s="580"/>
      <c r="I27" s="578">
        <v>45975</v>
      </c>
      <c r="J27" s="579">
        <v>10</v>
      </c>
      <c r="K27" s="578">
        <f>WORKDAY.INTL(I27,J27,1,Data!$C$3:$C$60)</f>
        <v>45989</v>
      </c>
      <c r="L27" s="77"/>
      <c r="M27" s="581">
        <v>1</v>
      </c>
      <c r="N27" s="581">
        <f ca="1">_xlfn.LET(
  _xlpm.s,VALUE($I27),
  _xlpm.e,VALUE($K27),
  IF(OR(_xlpm.s="",_xlpm.e=""),"", IF(_xlpm.e&lt;=_xlpm.s, IF(TODAY()&gt;=_xlpm.e,1,0), MAX(0,MIN(1,(TODAY()-_xlpm.s)/(_xlpm.e-_xlpm.s)))))
)</f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165</v>
      </c>
      <c r="C28" s="158" t="s">
        <v>166</v>
      </c>
      <c r="D28" s="126"/>
      <c r="E28" s="578">
        <f>WORKDAY.INTL(E27,0,1,Data!$C$3:$C$60)</f>
        <v>45952</v>
      </c>
      <c r="F28" s="579">
        <v>1</v>
      </c>
      <c r="G28" s="578">
        <f>WORKDAY.INTL(E28,F28,1,Data!$C$3:$C$60)</f>
        <v>45953</v>
      </c>
      <c r="H28" s="580"/>
      <c r="I28" s="578">
        <f>WORKDAY.INTL(I12,0,1,Data!$C$3:$C$60)</f>
        <v>45909</v>
      </c>
      <c r="J28" s="579">
        <v>1</v>
      </c>
      <c r="K28" s="578">
        <f>WORKDAY.INTL(I28,J28,1,Data!$C$3:$C$60)</f>
        <v>45910</v>
      </c>
      <c r="L28" s="77"/>
      <c r="M28" s="581">
        <v>1</v>
      </c>
      <c r="N28" s="581">
        <f t="shared" ca="1" si="1"/>
        <v>1</v>
      </c>
      <c r="O28" s="625" t="s">
        <v>167</v>
      </c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2"/>
      <c r="F29" s="582"/>
      <c r="G29" s="582"/>
      <c r="H29" s="580"/>
      <c r="I29" s="582"/>
      <c r="J29" s="582"/>
      <c r="K29" s="582"/>
      <c r="L29" s="77"/>
      <c r="M29" s="77"/>
      <c r="N29" s="77"/>
      <c r="Q29" s="1"/>
    </row>
    <row r="30" spans="2:28" s="160" customFormat="1">
      <c r="B30" s="645">
        <v>4</v>
      </c>
      <c r="C30" s="646" t="s">
        <v>168</v>
      </c>
      <c r="D30" s="647"/>
      <c r="E30" s="573">
        <f>MIN(E32:E48)</f>
        <v>-3</v>
      </c>
      <c r="F30" s="574" t="e">
        <f>G30-E30</f>
        <v>#NUM!</v>
      </c>
      <c r="G30" s="573" t="e">
        <f>MAX(G32:G48)</f>
        <v>#NUM!</v>
      </c>
      <c r="H30" s="583"/>
      <c r="I30" s="573">
        <f>MIN(I32:I48)</f>
        <v>45950</v>
      </c>
      <c r="J30" s="574">
        <f>K30-I30</f>
        <v>91</v>
      </c>
      <c r="K30" s="573">
        <f>MAX(K32:K48)</f>
        <v>46041</v>
      </c>
      <c r="L30" s="576"/>
      <c r="M30" s="577">
        <v>1</v>
      </c>
      <c r="N30" s="577">
        <v>1</v>
      </c>
      <c r="O30" s="648"/>
      <c r="Q30" s="643"/>
      <c r="R30" s="644"/>
      <c r="S30" s="644"/>
      <c r="T30" s="644"/>
      <c r="U30" s="644"/>
      <c r="V30" s="644"/>
      <c r="W30" s="644"/>
      <c r="X30" s="644"/>
      <c r="Y30" s="644"/>
      <c r="Z30" s="644"/>
      <c r="AA30" s="644"/>
      <c r="AB30" s="644"/>
    </row>
    <row r="31" spans="2:28" s="160" customFormat="1">
      <c r="B31" s="640"/>
      <c r="C31" s="641"/>
      <c r="D31" s="642"/>
      <c r="E31" s="578"/>
      <c r="F31" s="579"/>
      <c r="G31" s="578"/>
      <c r="H31" s="580"/>
      <c r="I31" s="578"/>
      <c r="J31" s="579"/>
      <c r="K31" s="578"/>
      <c r="L31" s="77"/>
      <c r="M31" s="581"/>
      <c r="N31" s="581"/>
      <c r="O31" s="649"/>
      <c r="Q31" s="643"/>
      <c r="R31" s="644"/>
      <c r="S31" s="644"/>
      <c r="T31" s="644"/>
      <c r="U31" s="644"/>
      <c r="V31" s="644"/>
      <c r="W31" s="644"/>
      <c r="X31" s="644"/>
      <c r="Y31" s="644"/>
      <c r="Z31" s="644"/>
      <c r="AA31" s="644"/>
      <c r="AB31" s="644"/>
    </row>
    <row r="32" spans="2:28" s="160" customFormat="1">
      <c r="B32" s="640" t="s">
        <v>169</v>
      </c>
      <c r="C32" s="641" t="s">
        <v>170</v>
      </c>
      <c r="D32" s="642"/>
      <c r="E32" s="578">
        <f>E21</f>
        <v>45947</v>
      </c>
      <c r="F32" s="579">
        <v>1</v>
      </c>
      <c r="G32" s="578">
        <f>WORKDAY.INTL(E32,F32,1,Data!$C$3:$C$60)</f>
        <v>45950</v>
      </c>
      <c r="H32" s="580"/>
      <c r="I32" s="578">
        <f>I21</f>
        <v>45950</v>
      </c>
      <c r="J32" s="579">
        <v>1</v>
      </c>
      <c r="K32" s="578">
        <f>WORKDAY.INTL(I32,J32,1,Data!$C$3:$C$60)</f>
        <v>45951</v>
      </c>
      <c r="L32" s="77"/>
      <c r="M32" s="581">
        <v>1</v>
      </c>
      <c r="N32" s="581">
        <f t="shared" ref="N32:N46" ca="1" si="2">_xlfn.LET(
  _xlpm.s,VALUE($I32),
  _xlpm.e,VALUE($K32),
  IF(OR(_xlpm.s="",_xlpm.e=""),"", IF(_xlpm.e&lt;=_xlpm.s, IF(TODAY()&gt;=_xlpm.e,1,0), MAX(0,MIN(1,(TODAY()-_xlpm.s)/(_xlpm.e-_xlpm.s)))))
)</f>
        <v>1</v>
      </c>
      <c r="O32" s="649"/>
      <c r="Q32" s="643"/>
      <c r="R32" s="644"/>
      <c r="S32" s="644"/>
      <c r="T32" s="644"/>
      <c r="U32" s="644"/>
      <c r="V32" s="644"/>
      <c r="W32" s="644"/>
      <c r="X32" s="644"/>
      <c r="Y32" s="644"/>
      <c r="Z32" s="644"/>
      <c r="AA32" s="644"/>
      <c r="AB32" s="644"/>
    </row>
    <row r="33" spans="1:28" s="160" customFormat="1" ht="22.5">
      <c r="B33" s="640" t="s">
        <v>171</v>
      </c>
      <c r="C33" s="641" t="s">
        <v>172</v>
      </c>
      <c r="D33" s="642"/>
      <c r="E33" s="578">
        <f>WORKDAY.INTL(G32,0,1,Data!$C$3:$C$60)</f>
        <v>45950</v>
      </c>
      <c r="F33" s="579">
        <v>6</v>
      </c>
      <c r="G33" s="578">
        <f>WORKDAY.INTL(E33,F33,1,Data!$C$3:$C$60)</f>
        <v>45958</v>
      </c>
      <c r="H33" s="580"/>
      <c r="I33" s="578">
        <v>45950</v>
      </c>
      <c r="J33" s="579">
        <v>22</v>
      </c>
      <c r="K33" s="578">
        <f>WORKDAY.INTL(I33,J33,1,Data!$C$3:$C$60)</f>
        <v>45980</v>
      </c>
      <c r="L33" s="77"/>
      <c r="M33" s="581">
        <v>1</v>
      </c>
      <c r="N33" s="581">
        <f t="shared" ca="1" si="2"/>
        <v>1</v>
      </c>
      <c r="O33" s="639" t="s">
        <v>173</v>
      </c>
      <c r="Q33" s="643"/>
      <c r="R33" s="644"/>
      <c r="S33" s="644"/>
      <c r="T33" s="644"/>
      <c r="U33" s="644"/>
      <c r="V33" s="644"/>
      <c r="W33" s="644"/>
      <c r="X33" s="644"/>
      <c r="Y33" s="644"/>
      <c r="Z33" s="644"/>
      <c r="AA33" s="644"/>
      <c r="AB33" s="644"/>
    </row>
    <row r="34" spans="1:28" s="160" customFormat="1">
      <c r="B34" s="640"/>
      <c r="C34" s="641" t="s">
        <v>174</v>
      </c>
      <c r="D34" s="642"/>
      <c r="E34" s="578"/>
      <c r="F34" s="579"/>
      <c r="G34" s="578"/>
      <c r="H34" s="580"/>
      <c r="I34" s="578"/>
      <c r="J34" s="579"/>
      <c r="K34" s="578"/>
      <c r="L34" s="77"/>
      <c r="M34" s="581">
        <v>1</v>
      </c>
      <c r="N34" s="581">
        <v>1</v>
      </c>
      <c r="O34" s="648"/>
      <c r="Q34" s="643"/>
      <c r="R34" s="644"/>
      <c r="S34" s="644"/>
      <c r="T34" s="644"/>
      <c r="U34" s="644"/>
      <c r="V34" s="644"/>
      <c r="W34" s="644"/>
      <c r="X34" s="644"/>
      <c r="Y34" s="644"/>
      <c r="Z34" s="644"/>
      <c r="AA34" s="644"/>
      <c r="AB34" s="644"/>
    </row>
    <row r="35" spans="1:28" s="160" customFormat="1" ht="22.5">
      <c r="B35" s="640" t="s">
        <v>175</v>
      </c>
      <c r="C35" s="641" t="s">
        <v>176</v>
      </c>
      <c r="D35" s="642"/>
      <c r="E35" s="578"/>
      <c r="F35" s="579"/>
      <c r="G35" s="578"/>
      <c r="H35" s="580"/>
      <c r="I35" s="578">
        <v>45971</v>
      </c>
      <c r="J35" s="579">
        <v>12</v>
      </c>
      <c r="K35" s="578">
        <f>WORKDAY.INTL(I35,J35,1,Data!$C$3:$C$60)</f>
        <v>45987</v>
      </c>
      <c r="L35" s="77"/>
      <c r="M35" s="581">
        <v>1</v>
      </c>
      <c r="N35" s="581">
        <f t="shared" ca="1" si="2"/>
        <v>1</v>
      </c>
      <c r="O35" s="639" t="s">
        <v>177</v>
      </c>
      <c r="Q35" s="643"/>
      <c r="R35" s="644"/>
      <c r="S35" s="644"/>
      <c r="T35" s="644"/>
      <c r="U35" s="644"/>
      <c r="V35" s="644"/>
      <c r="W35" s="644"/>
      <c r="X35" s="644"/>
      <c r="Y35" s="644"/>
      <c r="Z35" s="644"/>
      <c r="AA35" s="644"/>
      <c r="AB35" s="644"/>
    </row>
    <row r="36" spans="1:28" s="160" customFormat="1">
      <c r="B36" s="640" t="s">
        <v>178</v>
      </c>
      <c r="C36" s="641" t="s">
        <v>179</v>
      </c>
      <c r="D36" s="642"/>
      <c r="E36" s="578"/>
      <c r="F36" s="579"/>
      <c r="G36" s="578"/>
      <c r="H36" s="580"/>
      <c r="I36" s="578">
        <v>45950</v>
      </c>
      <c r="J36" s="579">
        <v>19</v>
      </c>
      <c r="K36" s="578">
        <f>WORKDAY.INTL(I36,J36,1,Data!$C$3:$C$60)</f>
        <v>45975</v>
      </c>
      <c r="L36" s="77"/>
      <c r="M36" s="581">
        <v>1</v>
      </c>
      <c r="N36" s="581">
        <f t="shared" ca="1" si="2"/>
        <v>1</v>
      </c>
      <c r="O36" s="649"/>
      <c r="Q36" s="643"/>
      <c r="R36" s="644"/>
      <c r="S36" s="644"/>
      <c r="T36" s="644"/>
      <c r="U36" s="644"/>
      <c r="V36" s="644"/>
      <c r="W36" s="644"/>
      <c r="X36" s="644"/>
      <c r="Y36" s="644"/>
      <c r="Z36" s="644"/>
      <c r="AA36" s="644"/>
      <c r="AB36" s="644"/>
    </row>
    <row r="37" spans="1:28" s="160" customFormat="1">
      <c r="B37" s="640"/>
      <c r="C37" s="641" t="s">
        <v>180</v>
      </c>
      <c r="D37" s="642"/>
      <c r="E37" s="578"/>
      <c r="F37" s="579"/>
      <c r="G37" s="578"/>
      <c r="H37" s="580"/>
      <c r="I37" s="578"/>
      <c r="J37" s="579"/>
      <c r="K37" s="578"/>
      <c r="L37" s="77"/>
      <c r="M37" s="581">
        <v>1</v>
      </c>
      <c r="N37" s="581">
        <v>1</v>
      </c>
      <c r="O37" s="649"/>
      <c r="Q37" s="643"/>
      <c r="R37" s="644"/>
      <c r="S37" s="644"/>
      <c r="T37" s="644"/>
      <c r="U37" s="644"/>
      <c r="V37" s="644"/>
      <c r="W37" s="644"/>
      <c r="X37" s="644"/>
      <c r="Y37" s="644"/>
      <c r="Z37" s="644"/>
      <c r="AA37" s="644"/>
      <c r="AB37" s="644"/>
    </row>
    <row r="38" spans="1:28" s="160" customFormat="1">
      <c r="B38" s="640" t="s">
        <v>181</v>
      </c>
      <c r="C38" s="641" t="s">
        <v>182</v>
      </c>
      <c r="D38" s="642"/>
      <c r="E38" s="578"/>
      <c r="F38" s="579"/>
      <c r="G38" s="578"/>
      <c r="H38" s="580"/>
      <c r="I38" s="578">
        <v>45972</v>
      </c>
      <c r="J38" s="579">
        <v>3</v>
      </c>
      <c r="K38" s="578">
        <f>WORKDAY.INTL(I38,J38,1,Data!$C$3:$C$60)</f>
        <v>45975</v>
      </c>
      <c r="L38" s="77"/>
      <c r="M38" s="581">
        <v>1</v>
      </c>
      <c r="N38" s="581">
        <f t="shared" ca="1" si="2"/>
        <v>1</v>
      </c>
      <c r="O38" s="649"/>
      <c r="Q38" s="643"/>
      <c r="R38" s="644"/>
      <c r="S38" s="644"/>
      <c r="T38" s="644"/>
      <c r="U38" s="644"/>
      <c r="V38" s="644"/>
      <c r="W38" s="644"/>
      <c r="X38" s="644"/>
      <c r="Y38" s="644"/>
      <c r="Z38" s="644"/>
      <c r="AA38" s="644"/>
      <c r="AB38" s="644"/>
    </row>
    <row r="39" spans="1:28" s="160" customFormat="1">
      <c r="B39" s="640" t="s">
        <v>183</v>
      </c>
      <c r="C39" s="641" t="s">
        <v>184</v>
      </c>
      <c r="D39" s="642"/>
      <c r="E39" s="578"/>
      <c r="F39" s="579"/>
      <c r="G39" s="578"/>
      <c r="H39" s="580"/>
      <c r="I39" s="578">
        <v>45957</v>
      </c>
      <c r="J39" s="579">
        <v>16</v>
      </c>
      <c r="K39" s="578">
        <f>WORKDAY.INTL(I39,J39,1,Data!$C$3:$C$60)</f>
        <v>45979</v>
      </c>
      <c r="L39" s="77"/>
      <c r="M39" s="581">
        <f>AVERAGE(M40:M41)</f>
        <v>1</v>
      </c>
      <c r="N39" s="581">
        <f t="shared" ca="1" si="2"/>
        <v>1</v>
      </c>
      <c r="O39" s="649"/>
      <c r="Q39" s="643"/>
      <c r="R39" s="644"/>
      <c r="S39" s="644"/>
      <c r="T39" s="644"/>
      <c r="U39" s="644"/>
      <c r="V39" s="644"/>
      <c r="W39" s="644"/>
      <c r="X39" s="644"/>
      <c r="Y39" s="644"/>
      <c r="Z39" s="644"/>
      <c r="AA39" s="644"/>
      <c r="AB39" s="644"/>
    </row>
    <row r="40" spans="1:28" s="160" customFormat="1">
      <c r="B40" s="640" t="s">
        <v>185</v>
      </c>
      <c r="C40" s="641" t="s">
        <v>186</v>
      </c>
      <c r="D40" s="642"/>
      <c r="E40" s="578"/>
      <c r="F40" s="579"/>
      <c r="G40" s="578"/>
      <c r="H40" s="580"/>
      <c r="I40" s="578"/>
      <c r="J40" s="579"/>
      <c r="K40" s="578"/>
      <c r="L40" s="77"/>
      <c r="M40" s="581">
        <v>1</v>
      </c>
      <c r="N40" s="581">
        <v>1</v>
      </c>
      <c r="O40" s="649"/>
      <c r="Q40" s="643"/>
      <c r="R40" s="644"/>
      <c r="S40" s="644"/>
      <c r="T40" s="644"/>
      <c r="U40" s="644"/>
      <c r="V40" s="644"/>
      <c r="W40" s="644"/>
      <c r="X40" s="644"/>
      <c r="Y40" s="644"/>
      <c r="Z40" s="644"/>
      <c r="AA40" s="644"/>
      <c r="AB40" s="644"/>
    </row>
    <row r="41" spans="1:28" s="160" customFormat="1">
      <c r="B41" s="640" t="s">
        <v>187</v>
      </c>
      <c r="C41" s="641" t="s">
        <v>188</v>
      </c>
      <c r="D41" s="642"/>
      <c r="E41" s="578"/>
      <c r="F41" s="579"/>
      <c r="G41" s="578"/>
      <c r="H41" s="580"/>
      <c r="I41" s="578">
        <v>45974</v>
      </c>
      <c r="J41" s="579">
        <v>3</v>
      </c>
      <c r="K41" s="578">
        <f>WORKDAY.INTL(I41,J41,1,Data!$C$3:$C$60)</f>
        <v>45979</v>
      </c>
      <c r="L41" s="77"/>
      <c r="M41" s="581">
        <v>1</v>
      </c>
      <c r="N41" s="581">
        <f t="shared" ca="1" si="2"/>
        <v>1</v>
      </c>
      <c r="O41" s="649"/>
      <c r="Q41" s="643"/>
      <c r="R41" s="644"/>
      <c r="S41" s="644"/>
      <c r="T41" s="644"/>
      <c r="U41" s="644"/>
      <c r="V41" s="644"/>
      <c r="W41" s="644"/>
      <c r="X41" s="644"/>
      <c r="Y41" s="644"/>
      <c r="Z41" s="644"/>
      <c r="AA41" s="644"/>
      <c r="AB41" s="644"/>
    </row>
    <row r="42" spans="1:28" s="160" customFormat="1">
      <c r="B42" s="640" t="s">
        <v>189</v>
      </c>
      <c r="C42" s="650" t="s">
        <v>190</v>
      </c>
      <c r="D42" s="642"/>
      <c r="E42" s="578"/>
      <c r="F42" s="579"/>
      <c r="G42" s="578"/>
      <c r="H42" s="580"/>
      <c r="I42" s="578">
        <v>45982</v>
      </c>
      <c r="J42" s="579">
        <v>2</v>
      </c>
      <c r="K42" s="578">
        <f>I42+J42</f>
        <v>45984</v>
      </c>
      <c r="L42" s="77"/>
      <c r="M42" s="581">
        <v>1</v>
      </c>
      <c r="N42" s="581">
        <f t="shared" ca="1" si="2"/>
        <v>1</v>
      </c>
      <c r="O42" s="660" t="s">
        <v>191</v>
      </c>
      <c r="Q42" s="643"/>
      <c r="R42" s="644"/>
      <c r="S42" s="644"/>
      <c r="T42" s="644"/>
      <c r="U42" s="644"/>
      <c r="V42" s="644"/>
      <c r="W42" s="644"/>
      <c r="X42" s="644"/>
      <c r="Y42" s="644"/>
      <c r="Z42" s="644"/>
      <c r="AA42" s="644"/>
      <c r="AB42" s="644"/>
    </row>
    <row r="43" spans="1:28" s="160" customFormat="1">
      <c r="B43" s="640" t="s">
        <v>192</v>
      </c>
      <c r="C43" s="650" t="s">
        <v>193</v>
      </c>
      <c r="D43" s="642"/>
      <c r="E43" s="578"/>
      <c r="F43" s="579"/>
      <c r="G43" s="578"/>
      <c r="H43" s="580"/>
      <c r="I43" s="578">
        <v>45972</v>
      </c>
      <c r="J43" s="579">
        <v>4</v>
      </c>
      <c r="K43" s="578">
        <f>WORKDAY.INTL(I43,J43,1,Data!$C$3:$C$60)</f>
        <v>45978</v>
      </c>
      <c r="L43" s="77"/>
      <c r="M43" s="581">
        <v>1</v>
      </c>
      <c r="N43" s="581">
        <f t="shared" ca="1" si="2"/>
        <v>1</v>
      </c>
      <c r="O43" s="649" t="s">
        <v>194</v>
      </c>
      <c r="Q43" s="643"/>
      <c r="R43" s="644"/>
      <c r="S43" s="644"/>
      <c r="T43" s="644"/>
      <c r="U43" s="644"/>
      <c r="V43" s="644"/>
      <c r="W43" s="644"/>
      <c r="X43" s="644"/>
      <c r="Y43" s="644"/>
      <c r="Z43" s="644"/>
      <c r="AA43" s="644"/>
      <c r="AB43" s="644"/>
    </row>
    <row r="44" spans="1:28" s="160" customFormat="1">
      <c r="B44" s="640" t="s">
        <v>195</v>
      </c>
      <c r="C44" s="641" t="s">
        <v>196</v>
      </c>
      <c r="D44" s="642"/>
      <c r="E44" s="578">
        <f>E32</f>
        <v>45947</v>
      </c>
      <c r="F44" s="579">
        <v>1</v>
      </c>
      <c r="G44" s="578">
        <f>WORKDAY.INTL(E44,F44,1,Data!$C$3:$C$60)</f>
        <v>45950</v>
      </c>
      <c r="H44" s="580"/>
      <c r="I44" s="578">
        <v>45950</v>
      </c>
      <c r="J44" s="579">
        <v>1</v>
      </c>
      <c r="K44" s="578">
        <f>WORKDAY.INTL(I44,J44,1,Data!$C$3:$C$60)</f>
        <v>45951</v>
      </c>
      <c r="L44" s="77"/>
      <c r="M44" s="581">
        <v>1</v>
      </c>
      <c r="N44" s="581">
        <f t="shared" ca="1" si="2"/>
        <v>1</v>
      </c>
      <c r="O44" s="649" t="s">
        <v>197</v>
      </c>
      <c r="Q44" s="643"/>
      <c r="R44" s="644"/>
      <c r="S44" s="644"/>
      <c r="T44" s="644"/>
      <c r="U44" s="644"/>
      <c r="V44" s="644"/>
      <c r="W44" s="644"/>
      <c r="X44" s="644"/>
      <c r="Y44" s="644"/>
      <c r="Z44" s="644"/>
      <c r="AA44" s="644"/>
      <c r="AB44" s="644"/>
    </row>
    <row r="45" spans="1:28" s="254" customFormat="1" ht="15">
      <c r="A45" s="160"/>
      <c r="B45" s="640" t="s">
        <v>195</v>
      </c>
      <c r="C45" s="651" t="s">
        <v>198</v>
      </c>
      <c r="D45" s="642"/>
      <c r="E45" s="584">
        <f>WORKDAY.INTL(G51,0,1,Data!$C$3:$C$60)-3</f>
        <v>45968</v>
      </c>
      <c r="F45" s="579">
        <v>10</v>
      </c>
      <c r="G45" s="584">
        <f>WORKDAY.INTL(E45,F45,1,Data!$C$3:$C$60)</f>
        <v>45982</v>
      </c>
      <c r="H45" s="580"/>
      <c r="I45" s="584">
        <v>45980</v>
      </c>
      <c r="J45" s="579">
        <v>14</v>
      </c>
      <c r="K45" s="584">
        <f>WORKDAY.INTL(I45,J45,1,Data!$C$3:$C$60)</f>
        <v>46000</v>
      </c>
      <c r="L45" s="77"/>
      <c r="M45" s="581">
        <v>1</v>
      </c>
      <c r="N45" s="581">
        <f t="shared" ca="1" si="2"/>
        <v>1</v>
      </c>
      <c r="O45" s="649" t="s">
        <v>199</v>
      </c>
      <c r="P45" s="160"/>
      <c r="Q45" s="652"/>
      <c r="R45" s="160"/>
      <c r="S45" s="160"/>
      <c r="T45" s="160"/>
      <c r="U45" s="653"/>
      <c r="V45" s="160"/>
      <c r="W45" s="160"/>
      <c r="X45" s="160"/>
    </row>
    <row r="46" spans="1:28" s="254" customFormat="1" ht="15">
      <c r="A46" s="160"/>
      <c r="B46" s="640" t="s">
        <v>200</v>
      </c>
      <c r="C46" s="651" t="s">
        <v>201</v>
      </c>
      <c r="D46" s="642"/>
      <c r="E46" s="584">
        <f>WORKDAY.INTL(G52,0,1,Data!$C$3:$C$60)-3</f>
        <v>-3</v>
      </c>
      <c r="F46" s="579">
        <v>10</v>
      </c>
      <c r="G46" s="584" t="e">
        <f>WORKDAY.INTL(E46,F46,1,Data!$C$3:$C$60)</f>
        <v>#NUM!</v>
      </c>
      <c r="H46" s="580"/>
      <c r="I46" s="584">
        <v>45982</v>
      </c>
      <c r="J46" s="579">
        <v>12</v>
      </c>
      <c r="K46" s="584">
        <f>WORKDAY.INTL(I46,J46,1,Data!$C$3:$C$60)</f>
        <v>46000</v>
      </c>
      <c r="L46" s="77"/>
      <c r="M46" s="581">
        <v>1</v>
      </c>
      <c r="N46" s="581">
        <f t="shared" ca="1" si="2"/>
        <v>1</v>
      </c>
      <c r="O46" s="649"/>
      <c r="P46" s="160"/>
      <c r="Q46" s="652"/>
      <c r="R46" s="160"/>
      <c r="S46" s="160"/>
      <c r="T46" s="160"/>
      <c r="U46" s="653"/>
      <c r="V46" s="160"/>
      <c r="W46" s="160"/>
      <c r="X46" s="160"/>
    </row>
    <row r="47" spans="1:28" s="254" customFormat="1" ht="15">
      <c r="A47" s="160"/>
      <c r="B47" s="640" t="s">
        <v>202</v>
      </c>
      <c r="C47" s="651" t="s">
        <v>203</v>
      </c>
      <c r="D47" s="642"/>
      <c r="E47" s="584">
        <f>WORKDAY.INTL(G53,0,1,Data!$C$3:$C$60)-3</f>
        <v>-3</v>
      </c>
      <c r="F47" s="579">
        <v>10</v>
      </c>
      <c r="G47" s="584" t="e">
        <f>WORKDAY.INTL(E47,F47,1,Data!$C$3:$C$60)</f>
        <v>#NUM!</v>
      </c>
      <c r="H47" s="580"/>
      <c r="I47" s="584">
        <f>K46-4</f>
        <v>45996</v>
      </c>
      <c r="J47" s="579">
        <v>6</v>
      </c>
      <c r="K47" s="584">
        <f>WORKDAY.INTL(I47,J47,1,Data!$C$3:$C$60)</f>
        <v>46041</v>
      </c>
      <c r="L47" s="77"/>
      <c r="M47" s="581">
        <v>1</v>
      </c>
      <c r="N47" s="581">
        <v>1</v>
      </c>
      <c r="O47" s="649"/>
      <c r="P47" s="160"/>
      <c r="Q47" s="652"/>
      <c r="R47" s="160"/>
      <c r="S47" s="160"/>
      <c r="T47" s="160"/>
      <c r="U47" s="653"/>
      <c r="V47" s="160"/>
      <c r="W47" s="160"/>
      <c r="X47" s="160"/>
    </row>
    <row r="48" spans="1:28" s="26" customFormat="1" ht="4.5" customHeight="1">
      <c r="B48" s="150"/>
      <c r="C48" s="126"/>
      <c r="D48" s="126"/>
      <c r="E48" s="582"/>
      <c r="F48" s="582"/>
      <c r="G48" s="582"/>
      <c r="H48" s="580"/>
      <c r="I48" s="582"/>
      <c r="J48" s="582"/>
      <c r="K48" s="582"/>
      <c r="L48" s="77"/>
      <c r="M48" s="77"/>
      <c r="N48" s="77"/>
      <c r="Q48" s="1"/>
    </row>
    <row r="49" spans="2:28" s="26" customFormat="1">
      <c r="B49" s="155">
        <v>5</v>
      </c>
      <c r="C49" s="156" t="s">
        <v>204</v>
      </c>
      <c r="D49" s="130"/>
      <c r="E49" s="573">
        <f>MIN(E50:E54)</f>
        <v>45947</v>
      </c>
      <c r="F49" s="574">
        <f>G49-E49</f>
        <v>24</v>
      </c>
      <c r="G49" s="573">
        <f>MAX(G50:G54)</f>
        <v>45971</v>
      </c>
      <c r="H49" s="575"/>
      <c r="I49" s="573">
        <f>MIN(I50:I54)</f>
        <v>45950</v>
      </c>
      <c r="J49" s="574">
        <f>K49-I49</f>
        <v>53</v>
      </c>
      <c r="K49" s="573">
        <f>MAX(K50:K54)</f>
        <v>46003</v>
      </c>
      <c r="L49" s="576"/>
      <c r="M49" s="577">
        <f>(J50*M50+J51*M51)/SUM(J50:J51)</f>
        <v>1</v>
      </c>
      <c r="N49" s="577">
        <f ca="1">(J50*N50+J51*N51)/SUM(J50:J51)</f>
        <v>1</v>
      </c>
      <c r="O49" s="638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 s="26" customFormat="1">
      <c r="B50" s="157" t="s">
        <v>205</v>
      </c>
      <c r="C50" s="158" t="s">
        <v>206</v>
      </c>
      <c r="D50" s="126"/>
      <c r="E50" s="584">
        <f>WORKDAY.INTL(E21,0,1,Data!$C$3:$C$60)</f>
        <v>45947</v>
      </c>
      <c r="F50" s="579">
        <v>1</v>
      </c>
      <c r="G50" s="578">
        <f>WORKDAY.INTL(E50,F50,1,Data!$C$3:$C$60)</f>
        <v>45950</v>
      </c>
      <c r="H50" s="580"/>
      <c r="I50" s="584">
        <f>WORKDAY.INTL(I21,0,1,Data!$C$3:$C$60)</f>
        <v>45950</v>
      </c>
      <c r="J50" s="579">
        <v>1</v>
      </c>
      <c r="K50" s="578">
        <f>WORKDAY.INTL(I50,J50,1,Data!$C$3:$C$60)</f>
        <v>45951</v>
      </c>
      <c r="L50" s="77"/>
      <c r="M50" s="581">
        <v>1</v>
      </c>
      <c r="N50" s="581">
        <f t="shared" ref="N50:N53" ca="1" si="3">_xlfn.LET(
  _xlpm.s,VALUE($I50),
  _xlpm.e,VALUE($K50),
  IF(OR(_xlpm.s="",_xlpm.e=""),"", IF(_xlpm.e&lt;=_xlpm.s, IF(TODAY()&gt;=_xlpm.e,1,0), MAX(0,MIN(1,(TODAY()-_xlpm.s)/(_xlpm.e-_xlpm.s)))))
)</f>
        <v>1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 s="26" customFormat="1">
      <c r="B51" s="157" t="s">
        <v>207</v>
      </c>
      <c r="C51" s="158" t="s">
        <v>208</v>
      </c>
      <c r="D51" s="126"/>
      <c r="E51" s="584">
        <f>G33</f>
        <v>45958</v>
      </c>
      <c r="F51" s="579">
        <v>9</v>
      </c>
      <c r="G51" s="578">
        <f>WORKDAY.INTL(E51,F51,1,Data!$C$3:$C$60)</f>
        <v>45971</v>
      </c>
      <c r="H51" s="580"/>
      <c r="I51" s="584">
        <v>45980</v>
      </c>
      <c r="J51" s="579">
        <v>12</v>
      </c>
      <c r="K51" s="578">
        <f>WORKDAY.INTL(I51,J51,1,Data!$C$3:$C$60)</f>
        <v>45996</v>
      </c>
      <c r="L51" s="77"/>
      <c r="M51" s="581">
        <v>1</v>
      </c>
      <c r="N51" s="581">
        <f t="shared" ca="1" si="3"/>
        <v>1</v>
      </c>
      <c r="O51" s="36"/>
      <c r="Q51" s="38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2:28" s="26" customFormat="1">
      <c r="B52" s="157" t="s">
        <v>209</v>
      </c>
      <c r="C52" s="158" t="s">
        <v>210</v>
      </c>
      <c r="D52" s="126"/>
      <c r="E52" s="584"/>
      <c r="F52" s="579"/>
      <c r="G52" s="578"/>
      <c r="H52" s="580"/>
      <c r="I52" s="584">
        <v>45980</v>
      </c>
      <c r="J52" s="579">
        <v>5</v>
      </c>
      <c r="K52" s="578">
        <f>WORKDAY.INTL(I52,J52,1,Data!$C$3:$C$60)</f>
        <v>45987</v>
      </c>
      <c r="L52" s="77"/>
      <c r="M52" s="581">
        <v>1</v>
      </c>
      <c r="N52" s="581">
        <f t="shared" ca="1" si="3"/>
        <v>1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26" customFormat="1">
      <c r="B53" s="157" t="s">
        <v>211</v>
      </c>
      <c r="C53" s="158" t="s">
        <v>212</v>
      </c>
      <c r="D53" s="126"/>
      <c r="E53" s="584"/>
      <c r="F53" s="579"/>
      <c r="G53" s="578"/>
      <c r="H53" s="580"/>
      <c r="I53" s="584">
        <v>45983</v>
      </c>
      <c r="J53" s="579">
        <v>15</v>
      </c>
      <c r="K53" s="578">
        <f>WORKDAY.INTL(I53,J53,1,Data!$C$3:$C$60)</f>
        <v>46003</v>
      </c>
      <c r="L53" s="77"/>
      <c r="M53" s="581">
        <v>1</v>
      </c>
      <c r="N53" s="581">
        <f t="shared" ca="1" si="3"/>
        <v>1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26" customFormat="1" ht="4.5" customHeight="1">
      <c r="B54" s="150"/>
      <c r="C54" s="126"/>
      <c r="D54" s="126"/>
      <c r="E54" s="582"/>
      <c r="F54" s="582"/>
      <c r="G54" s="582"/>
      <c r="H54" s="580"/>
      <c r="I54" s="582"/>
      <c r="J54" s="582"/>
      <c r="K54" s="582"/>
      <c r="L54" s="77"/>
      <c r="M54" s="77"/>
      <c r="N54" s="77"/>
      <c r="Q54" s="1"/>
    </row>
    <row r="55" spans="2:28" s="26" customFormat="1">
      <c r="B55" s="155">
        <v>6</v>
      </c>
      <c r="C55" s="156" t="s">
        <v>213</v>
      </c>
      <c r="D55" s="130"/>
      <c r="E55" s="573" t="e">
        <f>MIN(E56:E60)</f>
        <v>#NUM!</v>
      </c>
      <c r="F55" s="574" t="e">
        <f>G55-E55</f>
        <v>#NUM!</v>
      </c>
      <c r="G55" s="573" t="e">
        <f>MAX(G56:G60)</f>
        <v>#NUM!</v>
      </c>
      <c r="H55" s="575"/>
      <c r="I55" s="573">
        <f>MIN(I56:I60)</f>
        <v>45989</v>
      </c>
      <c r="J55" s="574">
        <f>K55-I55</f>
        <v>55</v>
      </c>
      <c r="K55" s="573">
        <f>MAX(K56:K58)</f>
        <v>46044</v>
      </c>
      <c r="L55" s="576"/>
      <c r="M55" s="577">
        <f>(J56*M56+J57*M57+J58*M58)/SUM(J56:J58)</f>
        <v>1</v>
      </c>
      <c r="N55" s="577">
        <f ca="1">(K56*N56+K57*N57)/SUM(K56:K57)</f>
        <v>1</v>
      </c>
      <c r="O55" s="662"/>
      <c r="Q55" s="38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2:28">
      <c r="B56" s="157" t="s">
        <v>214</v>
      </c>
      <c r="C56" s="154" t="s">
        <v>215</v>
      </c>
      <c r="D56" s="126"/>
      <c r="E56" s="584" t="e">
        <f>WORKDAY.INTL(MAX(G23,G30,G49),0,1,Data!$C$3:$C$60)</f>
        <v>#NUM!</v>
      </c>
      <c r="F56" s="579">
        <v>1</v>
      </c>
      <c r="G56" s="584" t="e">
        <f>WORKDAY.INTL(E56,F56,1,Data!$C$3:$C$60)</f>
        <v>#NUM!</v>
      </c>
      <c r="H56" s="580"/>
      <c r="I56" s="584">
        <f>WORKDAY.INTL(MAX(K23),0,1,Data!$C$3:$C$60)</f>
        <v>45989</v>
      </c>
      <c r="J56" s="579">
        <v>1</v>
      </c>
      <c r="K56" s="584">
        <f>WORKDAY.INTL(I56,J56,1,Data!$C$3:$C$60)</f>
        <v>45992</v>
      </c>
      <c r="L56" s="77"/>
      <c r="M56" s="581">
        <v>1</v>
      </c>
      <c r="N56" s="581">
        <f t="shared" ref="N56:N57" ca="1" si="4">_xlfn.LET(
  _xlpm.s,VALUE($I56),
  _xlpm.e,VALUE($K56),
  IF(OR(_xlpm.s="",_xlpm.e=""),"", IF(_xlpm.e&lt;=_xlpm.s, IF(TODAY()&gt;=_xlpm.e,1,0), MAX(0,MIN(1,(TODAY()-_xlpm.s)/(_xlpm.e-_xlpm.s)))))
)</f>
        <v>1</v>
      </c>
      <c r="O56" s="625"/>
      <c r="Y56" s="4"/>
    </row>
    <row r="57" spans="2:28">
      <c r="B57" s="157" t="s">
        <v>216</v>
      </c>
      <c r="C57" s="154" t="s">
        <v>217</v>
      </c>
      <c r="D57" s="126"/>
      <c r="E57" s="584" t="e">
        <f>WORKDAY.INTL(G56,0,1,Data!$C$3:$C$60)</f>
        <v>#NUM!</v>
      </c>
      <c r="F57" s="579">
        <v>1</v>
      </c>
      <c r="G57" s="584" t="e">
        <f>WORKDAY.INTL(E57,F57,1,Data!$C$3:$C$60)</f>
        <v>#NUM!</v>
      </c>
      <c r="H57" s="580"/>
      <c r="I57" s="584">
        <v>45999</v>
      </c>
      <c r="J57" s="579">
        <v>5</v>
      </c>
      <c r="K57" s="584">
        <f>I57+J57</f>
        <v>46004</v>
      </c>
      <c r="L57" s="77"/>
      <c r="M57" s="581">
        <v>1</v>
      </c>
      <c r="N57" s="581">
        <f t="shared" ca="1" si="4"/>
        <v>1</v>
      </c>
      <c r="O57" s="625"/>
      <c r="Y57" s="4"/>
    </row>
    <row r="58" spans="2:28">
      <c r="B58" s="157" t="s">
        <v>218</v>
      </c>
      <c r="C58" s="154" t="s">
        <v>219</v>
      </c>
      <c r="D58" s="126"/>
      <c r="E58" s="584" t="e">
        <f>WORKDAY.INTL(G57,0,1,Data!$C$3:$C$60)</f>
        <v>#NUM!</v>
      </c>
      <c r="F58" s="579">
        <v>5</v>
      </c>
      <c r="G58" s="584" t="e">
        <f>WORKDAY.INTL(E58,F58,1,Data!$C$3:$C$60)</f>
        <v>#NUM!</v>
      </c>
      <c r="H58" s="580"/>
      <c r="I58" s="584">
        <f>K57</f>
        <v>46004</v>
      </c>
      <c r="J58" s="579">
        <v>4</v>
      </c>
      <c r="K58" s="584">
        <f>WORKDAY.INTL(I58,J58,1,Data!$C$3:$C$60)</f>
        <v>46044</v>
      </c>
      <c r="L58" s="77"/>
      <c r="M58" s="581">
        <v>1</v>
      </c>
      <c r="N58" s="581">
        <v>1</v>
      </c>
      <c r="O58" s="36"/>
      <c r="Y58" s="4"/>
    </row>
    <row r="59" spans="2:28">
      <c r="B59" s="157" t="s">
        <v>220</v>
      </c>
      <c r="C59" s="154" t="s">
        <v>221</v>
      </c>
      <c r="D59" s="126"/>
      <c r="E59" s="584" t="e">
        <f>WORKDAY.INTL(G58,0,1,Data!$C$3:$C$60)</f>
        <v>#NUM!</v>
      </c>
      <c r="F59" s="579">
        <v>5</v>
      </c>
      <c r="G59" s="584" t="e">
        <f>WORKDAY.INTL(E59,F59,1,Data!$C$3:$C$60)</f>
        <v>#NUM!</v>
      </c>
      <c r="H59" s="580"/>
      <c r="I59" s="584">
        <f>WORKDAY.INTL(K58,0,1,Data!$C$3:$C$60)</f>
        <v>46044</v>
      </c>
      <c r="J59" s="579">
        <v>2</v>
      </c>
      <c r="K59" s="584">
        <f>WORKDAY.INTL(I59,J59,1,Data!$C$3:$C$60)</f>
        <v>46048</v>
      </c>
      <c r="L59" s="77"/>
      <c r="M59" s="581">
        <v>1</v>
      </c>
      <c r="N59" s="581">
        <v>1</v>
      </c>
      <c r="O59" s="36"/>
      <c r="Y59" s="4"/>
    </row>
    <row r="60" spans="2:28" s="26" customFormat="1" ht="4.5" customHeight="1">
      <c r="B60" s="150"/>
      <c r="C60" s="126"/>
      <c r="D60" s="126"/>
      <c r="E60" s="582"/>
      <c r="F60" s="582"/>
      <c r="G60" s="582"/>
      <c r="H60" s="580"/>
      <c r="I60" s="582"/>
      <c r="J60" s="582"/>
      <c r="K60" s="582"/>
      <c r="L60" s="77"/>
      <c r="M60" s="77"/>
      <c r="N60" s="77"/>
      <c r="Q60" s="1"/>
    </row>
    <row r="61" spans="2:28" s="26" customFormat="1">
      <c r="B61" s="155">
        <v>7</v>
      </c>
      <c r="C61" s="156" t="s">
        <v>222</v>
      </c>
      <c r="D61" s="130"/>
      <c r="E61" s="573" t="e">
        <f>MIN(E62:E65)</f>
        <v>#NUM!</v>
      </c>
      <c r="F61" s="574" t="e">
        <f>G61-E61</f>
        <v>#NUM!</v>
      </c>
      <c r="G61" s="573" t="e">
        <f>MAX(G62:G65)</f>
        <v>#NUM!</v>
      </c>
      <c r="H61" s="575"/>
      <c r="I61" s="573">
        <f>MIN(I62:I65)</f>
        <v>46037</v>
      </c>
      <c r="J61" s="574">
        <f>K61-I61</f>
        <v>7</v>
      </c>
      <c r="K61" s="573">
        <f>MAX(K62:K65)</f>
        <v>46044</v>
      </c>
      <c r="L61" s="576"/>
      <c r="M61" s="577">
        <f>(J62*M62+J63*M63)/SUM(J62:J63)</f>
        <v>1</v>
      </c>
      <c r="N61" s="577">
        <f>(K62*N62)/SUM(K62)</f>
        <v>1</v>
      </c>
      <c r="O61" s="36"/>
      <c r="Q61" s="38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2:28">
      <c r="B62" s="157" t="s">
        <v>223</v>
      </c>
      <c r="C62" s="154" t="s">
        <v>224</v>
      </c>
      <c r="D62" s="126"/>
      <c r="E62" s="584" t="e">
        <f>WORKDAY.INTL(E58,0,1,Data!$C$3:$C$60)</f>
        <v>#NUM!</v>
      </c>
      <c r="F62" s="579">
        <v>3</v>
      </c>
      <c r="G62" s="584" t="e">
        <f>WORKDAY.INTL(E62,F62,1,Data!$C$3:$C$60)</f>
        <v>#NUM!</v>
      </c>
      <c r="H62" s="580"/>
      <c r="I62" s="584">
        <v>46037</v>
      </c>
      <c r="J62" s="579">
        <v>2</v>
      </c>
      <c r="K62" s="584">
        <f>WORKDAY.INTL(I62,J62,1,Data!$C$3:$C$60)</f>
        <v>46042</v>
      </c>
      <c r="L62" s="77"/>
      <c r="M62" s="581">
        <v>1</v>
      </c>
      <c r="N62" s="581">
        <v>1</v>
      </c>
      <c r="O62" s="36" t="s">
        <v>225</v>
      </c>
      <c r="Y62" s="4"/>
    </row>
    <row r="63" spans="2:28">
      <c r="B63" s="157" t="s">
        <v>226</v>
      </c>
      <c r="C63" s="154" t="s">
        <v>227</v>
      </c>
      <c r="D63" s="126"/>
      <c r="E63" s="584" t="e">
        <f>G62</f>
        <v>#NUM!</v>
      </c>
      <c r="F63" s="579">
        <v>7</v>
      </c>
      <c r="G63" s="584" t="e">
        <f>WORKDAY.INTL(E63,F63,1,Data!$C$3:$C$60)</f>
        <v>#NUM!</v>
      </c>
      <c r="H63" s="580"/>
      <c r="I63" s="584">
        <f>K62</f>
        <v>46042</v>
      </c>
      <c r="J63" s="579">
        <v>2</v>
      </c>
      <c r="K63" s="584">
        <f>WORKDAY.INTL(I63,J63,1,Data!$C$3:$C$60)</f>
        <v>46044</v>
      </c>
      <c r="L63" s="77"/>
      <c r="M63" s="581">
        <v>1</v>
      </c>
      <c r="N63" s="581">
        <v>1</v>
      </c>
      <c r="O63" s="36"/>
      <c r="Y63" s="4"/>
    </row>
    <row r="64" spans="2:28">
      <c r="B64" s="157" t="s">
        <v>228</v>
      </c>
      <c r="C64" s="626" t="s">
        <v>229</v>
      </c>
      <c r="D64" s="126"/>
      <c r="E64" s="584" t="e">
        <f>G63</f>
        <v>#NUM!</v>
      </c>
      <c r="F64" s="579">
        <v>7</v>
      </c>
      <c r="G64" s="584" t="e">
        <f>WORKDAY.INTL(E64,F64,1,Data!$C$3:$C$60)</f>
        <v>#NUM!</v>
      </c>
      <c r="H64" s="580"/>
      <c r="I64" s="584">
        <f>I63</f>
        <v>46042</v>
      </c>
      <c r="J64" s="579">
        <v>2</v>
      </c>
      <c r="K64" s="584">
        <f>WORKDAY.INTL(I64,J64,1,Data!$C$3:$C$60)</f>
        <v>46044</v>
      </c>
      <c r="L64" s="77"/>
      <c r="M64" s="581">
        <v>1</v>
      </c>
      <c r="N64" s="581">
        <v>1</v>
      </c>
      <c r="O64" s="625"/>
      <c r="Y64" s="4"/>
    </row>
    <row r="65" spans="2:28" s="26" customFormat="1" ht="4.5" customHeight="1">
      <c r="B65" s="150"/>
      <c r="C65" s="126"/>
      <c r="D65" s="126"/>
      <c r="E65" s="582"/>
      <c r="F65" s="582"/>
      <c r="G65" s="582"/>
      <c r="H65" s="580"/>
      <c r="I65" s="582"/>
      <c r="J65" s="582"/>
      <c r="K65" s="582"/>
      <c r="L65" s="77"/>
      <c r="M65" s="77"/>
      <c r="N65" s="77"/>
      <c r="Q65" s="1"/>
    </row>
    <row r="66" spans="2:28" s="26" customFormat="1">
      <c r="B66" s="155">
        <v>8</v>
      </c>
      <c r="C66" s="156" t="s">
        <v>230</v>
      </c>
      <c r="D66" s="130"/>
      <c r="E66" s="573" t="e">
        <f>MIN(E67:E69)</f>
        <v>#NUM!</v>
      </c>
      <c r="F66" s="574" t="e">
        <f>G66-E66</f>
        <v>#NUM!</v>
      </c>
      <c r="G66" s="573" t="e">
        <f>MAX(G67:G69)</f>
        <v>#NUM!</v>
      </c>
      <c r="H66" s="575"/>
      <c r="I66" s="573">
        <f>MIN(I67:I69)</f>
        <v>46042</v>
      </c>
      <c r="J66" s="574">
        <f>K66-I66</f>
        <v>15</v>
      </c>
      <c r="K66" s="573">
        <f>MAX(K67:K69)</f>
        <v>46057</v>
      </c>
      <c r="L66" s="576"/>
      <c r="M66" s="577">
        <f>(J67*M67+J68*M68+J69*M69)/SUM(J67:J69)</f>
        <v>0.7142857142857143</v>
      </c>
      <c r="N66" s="577">
        <f ca="1">(K63*N63+K58*N58+K67*N67+K68*N68+K69*N69)/SUM(K63:K69)</f>
        <v>0.83330618863035066</v>
      </c>
      <c r="O66" s="36"/>
      <c r="Q66" s="38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2:28">
      <c r="B67" s="157" t="s">
        <v>231</v>
      </c>
      <c r="C67" s="154" t="s">
        <v>232</v>
      </c>
      <c r="D67" s="126"/>
      <c r="E67" s="584" t="e">
        <f>WORKDAY.INTL(E63,0,1,Data!$C$3:$C$60)</f>
        <v>#NUM!</v>
      </c>
      <c r="F67" s="579">
        <v>7</v>
      </c>
      <c r="G67" s="584" t="e">
        <f>WORKDAY.INTL(E67,F67,1,Data!$C$3:$C$60)</f>
        <v>#NUM!</v>
      </c>
      <c r="H67" s="580"/>
      <c r="I67" s="584">
        <f>WORKDAY.INTL(I63,0,1,Data!$C$3:$C$60)</f>
        <v>46042</v>
      </c>
      <c r="J67" s="579">
        <v>3</v>
      </c>
      <c r="K67" s="584">
        <f>WORKDAY.INTL(I67,J67,1,Data!$C$3:$C$60)</f>
        <v>46045</v>
      </c>
      <c r="L67" s="77"/>
      <c r="M67" s="581">
        <v>1</v>
      </c>
      <c r="N67" s="581">
        <f t="shared" ref="N67:N69" ca="1" si="5">_xlfn.LET(
  _xlpm.s,VALUE($I67),
  _xlpm.e,VALUE($K67),
  IF(OR(_xlpm.s="",_xlpm.e=""),"", IF(_xlpm.e&lt;=_xlpm.s, IF(TODAY()&gt;=_xlpm.e,1,0), MAX(0,MIN(1,(TODAY()-_xlpm.s)/(_xlpm.e-_xlpm.s)))))
)</f>
        <v>1</v>
      </c>
      <c r="O67" s="36" t="s">
        <v>233</v>
      </c>
      <c r="Y67" s="4"/>
    </row>
    <row r="68" spans="2:28">
      <c r="B68" s="157" t="s">
        <v>234</v>
      </c>
      <c r="C68" s="154" t="s">
        <v>235</v>
      </c>
      <c r="D68" s="126"/>
      <c r="E68" s="584" t="e">
        <f>WORKDAY.INTL(G67,0,1,Data!$C$3:$C$60)</f>
        <v>#NUM!</v>
      </c>
      <c r="F68" s="579">
        <v>1</v>
      </c>
      <c r="G68" s="584" t="e">
        <f>WORKDAY.INTL(E68,F68,1,Data!$C$3:$C$60)</f>
        <v>#NUM!</v>
      </c>
      <c r="H68" s="580"/>
      <c r="I68" s="584">
        <f>WORKDAY.INTL(K67,0,1,Data!$C$3:$C$60)</f>
        <v>46045</v>
      </c>
      <c r="J68" s="579">
        <v>3</v>
      </c>
      <c r="K68" s="584">
        <f>WORKDAY.INTL(I68,J68,1,Data!$C$3:$C$60)</f>
        <v>46050</v>
      </c>
      <c r="L68" s="77"/>
      <c r="M68" s="581">
        <v>1</v>
      </c>
      <c r="N68" s="581">
        <f t="shared" ca="1" si="5"/>
        <v>1</v>
      </c>
      <c r="Y68" s="4"/>
    </row>
    <row r="69" spans="2:28">
      <c r="B69" s="157" t="s">
        <v>236</v>
      </c>
      <c r="C69" s="626" t="s">
        <v>237</v>
      </c>
      <c r="D69" s="126"/>
      <c r="E69" s="584" t="e">
        <f>WORKDAY.INTL(G67,0,1,Data!$C$3:$C$60)</f>
        <v>#NUM!</v>
      </c>
      <c r="F69" s="579">
        <v>1</v>
      </c>
      <c r="G69" s="584" t="e">
        <f>WORKDAY.INTL(E69,F69,1,Data!$C$3:$C$60)</f>
        <v>#NUM!</v>
      </c>
      <c r="H69" s="580"/>
      <c r="I69" s="584">
        <f>WORKDAY.INTL(K67,0,1,Data!$C$3:$C$60)</f>
        <v>46045</v>
      </c>
      <c r="J69" s="579">
        <v>8</v>
      </c>
      <c r="K69" s="584">
        <f>WORKDAY.INTL(I69,J69,1,Data!$C$3:$C$60)</f>
        <v>46057</v>
      </c>
      <c r="L69" s="77"/>
      <c r="M69" s="581">
        <v>0.5</v>
      </c>
      <c r="N69" s="581">
        <f t="shared" ca="1" si="5"/>
        <v>1</v>
      </c>
      <c r="Y69" s="4"/>
    </row>
    <row r="70" spans="2:28" s="26" customFormat="1" ht="4.5" customHeight="1">
      <c r="B70" s="150"/>
      <c r="C70" s="126"/>
      <c r="D70" s="126"/>
      <c r="E70" s="585"/>
      <c r="F70" s="585"/>
      <c r="G70" s="585"/>
      <c r="H70" s="585"/>
      <c r="I70" s="585"/>
      <c r="J70" s="585"/>
      <c r="K70" s="585"/>
      <c r="L70" s="585"/>
      <c r="M70" s="585"/>
      <c r="N70" s="585"/>
      <c r="O70" s="126"/>
      <c r="Q70" s="38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2:28" s="1" customFormat="1">
      <c r="B71" s="81"/>
      <c r="E71" s="82"/>
      <c r="F71" s="25"/>
      <c r="J71" s="25"/>
    </row>
    <row r="72" spans="2:28">
      <c r="B72" s="79"/>
      <c r="C72" s="26"/>
      <c r="E72" s="26"/>
      <c r="G72" s="27"/>
    </row>
    <row r="73" spans="2:28">
      <c r="B73" s="79"/>
      <c r="C73" s="26"/>
      <c r="E73" s="26"/>
      <c r="G73" s="27"/>
    </row>
    <row r="74" spans="2:28">
      <c r="B74" s="79"/>
      <c r="C74" s="26"/>
      <c r="E74" s="26"/>
      <c r="G74" s="27"/>
      <c r="M74" s="28" t="s">
        <v>238</v>
      </c>
    </row>
    <row r="75" spans="2:28">
      <c r="B75" s="79"/>
      <c r="C75" s="26"/>
      <c r="E75" s="26"/>
      <c r="G75" s="27"/>
      <c r="S75" s="588">
        <f ca="1">TODAY()</f>
        <v>46076</v>
      </c>
      <c r="T75" s="588">
        <f ca="1">TODAY()</f>
        <v>46076</v>
      </c>
    </row>
    <row r="76" spans="2:28">
      <c r="B76" s="79"/>
      <c r="C76" s="26"/>
      <c r="E76" s="26"/>
      <c r="G76" s="27"/>
      <c r="S76" s="90">
        <v>1</v>
      </c>
      <c r="T76" s="90">
        <v>0</v>
      </c>
    </row>
    <row r="77" spans="2:28">
      <c r="B77" s="79"/>
      <c r="C77" s="26"/>
      <c r="E77" s="26"/>
      <c r="G77" s="27"/>
      <c r="R77" s="28"/>
      <c r="S77" s="28"/>
      <c r="T77" s="28"/>
      <c r="U77" s="28"/>
      <c r="V77" s="28"/>
      <c r="W77" s="28"/>
      <c r="X77" s="28"/>
      <c r="Y77" s="28"/>
    </row>
    <row r="78" spans="2:28">
      <c r="B78" s="79"/>
      <c r="C78" s="26"/>
      <c r="E78" s="26"/>
      <c r="G78" s="27"/>
      <c r="S78" s="377" t="s">
        <v>239</v>
      </c>
      <c r="T78" s="539" t="s">
        <v>240</v>
      </c>
      <c r="U78" s="539" t="s">
        <v>131</v>
      </c>
      <c r="V78" s="539" t="s">
        <v>241</v>
      </c>
    </row>
    <row r="79" spans="2:28">
      <c r="B79" s="79"/>
      <c r="C79" s="26"/>
      <c r="E79" s="26"/>
      <c r="G79" s="27"/>
      <c r="S79" s="538" t="str">
        <f>C11</f>
        <v>Project Initiation</v>
      </c>
      <c r="T79" s="540">
        <f>I11</f>
        <v>45909</v>
      </c>
      <c r="U79" s="541">
        <f>J11</f>
        <v>52</v>
      </c>
      <c r="V79" s="540">
        <f>K11</f>
        <v>45961</v>
      </c>
    </row>
    <row r="80" spans="2:28">
      <c r="B80" s="79"/>
      <c r="C80" s="26"/>
      <c r="E80" s="26"/>
      <c r="G80" s="27"/>
      <c r="S80" s="538" t="str">
        <f>C20</f>
        <v>Site Establishment</v>
      </c>
      <c r="T80" s="540">
        <f>I20</f>
        <v>45950</v>
      </c>
      <c r="U80" s="541">
        <f>J20</f>
        <v>1</v>
      </c>
      <c r="V80" s="540">
        <f>K20</f>
        <v>45951</v>
      </c>
    </row>
    <row r="81" spans="2:25">
      <c r="B81" s="79"/>
      <c r="C81" s="26"/>
      <c r="E81" s="26"/>
      <c r="G81" s="27"/>
      <c r="S81" s="538" t="str">
        <f>C23</f>
        <v>AC Installation</v>
      </c>
      <c r="T81" s="540">
        <f>I23</f>
        <v>45909</v>
      </c>
      <c r="U81" s="541">
        <f>J23</f>
        <v>80</v>
      </c>
      <c r="V81" s="540">
        <f>K23</f>
        <v>45989</v>
      </c>
    </row>
    <row r="82" spans="2:25" ht="15">
      <c r="B82" s="79"/>
      <c r="C82"/>
      <c r="E82" s="26"/>
      <c r="G82" s="27"/>
      <c r="S82" s="661" t="str">
        <f>C30</f>
        <v>DC Works</v>
      </c>
      <c r="T82" s="540">
        <f>I30</f>
        <v>45950</v>
      </c>
      <c r="U82" s="541">
        <f>J30</f>
        <v>91</v>
      </c>
      <c r="V82" s="540">
        <f>K30</f>
        <v>46041</v>
      </c>
    </row>
    <row r="83" spans="2:25">
      <c r="B83" s="79"/>
      <c r="C83" s="26"/>
      <c r="E83" s="26"/>
      <c r="G83" s="27"/>
      <c r="S83" s="538" t="str">
        <f>C49</f>
        <v>Module installation</v>
      </c>
      <c r="T83" s="540">
        <f>I49</f>
        <v>45950</v>
      </c>
      <c r="U83" s="541">
        <f>J49</f>
        <v>53</v>
      </c>
      <c r="V83" s="540">
        <f>K49</f>
        <v>46003</v>
      </c>
    </row>
    <row r="84" spans="2:25">
      <c r="B84" s="79"/>
      <c r="C84" s="26"/>
      <c r="E84" s="26"/>
      <c r="G84" s="27"/>
      <c r="S84" s="538" t="str">
        <f>C49</f>
        <v>Module installation</v>
      </c>
      <c r="T84" s="540">
        <f>I49</f>
        <v>45950</v>
      </c>
      <c r="U84" s="541">
        <f>J49</f>
        <v>53</v>
      </c>
      <c r="V84" s="540">
        <f>K49</f>
        <v>46003</v>
      </c>
    </row>
    <row r="85" spans="2:25">
      <c r="B85" s="79"/>
      <c r="C85" s="26"/>
      <c r="E85" s="26"/>
      <c r="G85" s="27"/>
      <c r="R85" s="32"/>
      <c r="S85" s="538" t="str">
        <f>C55</f>
        <v>Commissioning</v>
      </c>
      <c r="T85" s="540">
        <f>I55</f>
        <v>45989</v>
      </c>
      <c r="U85" s="541">
        <f>J55</f>
        <v>55</v>
      </c>
      <c r="V85" s="540">
        <f>K55</f>
        <v>46044</v>
      </c>
      <c r="W85" s="35"/>
      <c r="X85" s="35"/>
      <c r="Y85" s="35"/>
    </row>
    <row r="86" spans="2:25">
      <c r="B86" s="79"/>
      <c r="C86" s="26"/>
      <c r="E86" s="26"/>
      <c r="G86" s="27"/>
      <c r="R86" s="35"/>
      <c r="S86" s="538" t="str">
        <f>C61</f>
        <v>QA Inspections</v>
      </c>
      <c r="T86" s="540">
        <f>I61</f>
        <v>46037</v>
      </c>
      <c r="U86" s="541">
        <f>J61</f>
        <v>7</v>
      </c>
      <c r="V86" s="540">
        <f>K61</f>
        <v>46044</v>
      </c>
      <c r="W86" s="35"/>
      <c r="X86" s="35"/>
    </row>
    <row r="87" spans="2:25">
      <c r="B87" s="79"/>
      <c r="C87" s="26"/>
      <c r="E87" s="26"/>
      <c r="G87" s="27"/>
      <c r="S87" s="538" t="str">
        <f>C66</f>
        <v>Project Closure</v>
      </c>
      <c r="T87" s="540">
        <f>I66</f>
        <v>46042</v>
      </c>
      <c r="U87" s="541">
        <f>J66</f>
        <v>15</v>
      </c>
      <c r="V87" s="540">
        <f>K66</f>
        <v>46057</v>
      </c>
    </row>
    <row r="88" spans="2:25">
      <c r="B88" s="79"/>
      <c r="C88" s="26"/>
      <c r="E88" s="26"/>
      <c r="G88" s="27"/>
      <c r="R88" s="32"/>
      <c r="U88" s="35"/>
      <c r="V88" s="35"/>
      <c r="W88" s="35"/>
      <c r="X88" s="35"/>
      <c r="Y88" s="35"/>
    </row>
    <row r="89" spans="2:25">
      <c r="B89" s="79"/>
      <c r="C89" s="26"/>
      <c r="E89" s="26"/>
      <c r="G89" s="27"/>
    </row>
    <row r="90" spans="2:25">
      <c r="B90" s="79"/>
      <c r="C90" s="26"/>
      <c r="E90" s="26"/>
      <c r="G90" s="27"/>
    </row>
    <row r="91" spans="2:25">
      <c r="B91" s="79"/>
      <c r="C91" s="26"/>
      <c r="E91" s="26"/>
      <c r="G91" s="27"/>
    </row>
    <row r="92" spans="2:25">
      <c r="B92" s="79"/>
      <c r="C92" s="26"/>
      <c r="E92" s="26"/>
      <c r="G92" s="27"/>
    </row>
    <row r="93" spans="2:25">
      <c r="B93" s="79"/>
      <c r="C93" s="26"/>
      <c r="E93" s="26"/>
      <c r="G93" s="27"/>
    </row>
    <row r="94" spans="2:25">
      <c r="B94" s="79"/>
      <c r="C94" s="26"/>
      <c r="E94" s="26"/>
      <c r="G94" s="27"/>
    </row>
    <row r="95" spans="2:25">
      <c r="B95" s="79"/>
      <c r="C95" s="26"/>
      <c r="E95" s="26"/>
      <c r="G95" s="27"/>
    </row>
    <row r="96" spans="2:25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  <row r="226" spans="2:7">
      <c r="B226" s="79"/>
      <c r="C226" s="26"/>
      <c r="E226" s="26"/>
      <c r="G226" s="27"/>
    </row>
    <row r="227" spans="2:7">
      <c r="B227" s="79"/>
      <c r="C227" s="26"/>
      <c r="E227" s="26"/>
      <c r="G227" s="27"/>
    </row>
    <row r="228" spans="2:7">
      <c r="B228" s="79"/>
      <c r="C228" s="26"/>
      <c r="E228" s="26"/>
      <c r="G228" s="27"/>
    </row>
    <row r="229" spans="2:7">
      <c r="B229" s="79"/>
      <c r="C229" s="26"/>
      <c r="E229" s="26"/>
      <c r="G229" s="27"/>
    </row>
    <row r="230" spans="2:7">
      <c r="B230" s="79"/>
      <c r="C230" s="26"/>
      <c r="E230" s="26"/>
      <c r="G230" s="27"/>
    </row>
    <row r="231" spans="2:7">
      <c r="B231" s="79"/>
      <c r="C231" s="26"/>
      <c r="E231" s="26"/>
      <c r="G231" s="27"/>
    </row>
    <row r="232" spans="2:7">
      <c r="B232" s="79"/>
      <c r="C232" s="26"/>
      <c r="E232" s="26"/>
      <c r="G232" s="27"/>
    </row>
    <row r="233" spans="2:7">
      <c r="B233" s="79"/>
      <c r="C233" s="26"/>
      <c r="E233" s="26"/>
      <c r="G233" s="27"/>
    </row>
    <row r="234" spans="2:7">
      <c r="B234" s="79"/>
      <c r="C234" s="26"/>
      <c r="E234" s="26"/>
      <c r="G234" s="27"/>
    </row>
    <row r="235" spans="2:7">
      <c r="B235" s="79"/>
      <c r="C235" s="26"/>
      <c r="E235" s="26"/>
      <c r="G235" s="27"/>
    </row>
    <row r="236" spans="2:7">
      <c r="B236" s="79"/>
      <c r="C236" s="26"/>
      <c r="E236" s="26"/>
      <c r="G236" s="27"/>
    </row>
    <row r="237" spans="2:7">
      <c r="B237" s="79"/>
      <c r="C237" s="26"/>
      <c r="E237" s="26"/>
      <c r="G237" s="27"/>
    </row>
    <row r="238" spans="2:7">
      <c r="B238" s="79"/>
      <c r="C238" s="26"/>
      <c r="E238" s="26"/>
      <c r="G238" s="27"/>
    </row>
    <row r="239" spans="2:7">
      <c r="B239" s="79"/>
      <c r="C239" s="26"/>
      <c r="E239" s="26"/>
      <c r="G239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71:P1048576 N1:O2 N6:O7 M1:M7 O8:O67 P1:P70" name="Range1"/>
    <protectedRange algorithmName="SHA-512" hashValue="0fHuZEaiYGK5sqlV/38Hfc0T7yH0tOTbdy5iYtX6c3lYp4VF2ar7IMEIVGfLLUnhvJzWsmOZSDZnUiLySCBxdg==" saltValue="oeJbzSFL5Q9rgT2MjiMjew==" spinCount="100000" sqref="M8:N69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21:N21 M24:N28 M50:N53 M12:N18 M31:N47 M56:N59 M62:N64 M67:N6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ignoredErrors>
    <ignoredError sqref="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5"/>
  <sheetViews>
    <sheetView zoomScale="145" zoomScaleNormal="145" workbookViewId="0">
      <selection activeCell="F44" sqref="F44"/>
    </sheetView>
  </sheetViews>
  <sheetFormatPr defaultColWidth="8.42578125" defaultRowHeight="15" customHeight="1"/>
  <cols>
    <col min="1" max="1" width="5.5703125" style="24" customWidth="1"/>
    <col min="2" max="2" width="5.5703125" style="45" customWidth="1"/>
    <col min="3" max="4" width="23.42578125" style="43" customWidth="1"/>
    <col min="5" max="5" width="6.5703125" style="43" customWidth="1"/>
    <col min="6" max="6" width="16.42578125" style="43" customWidth="1"/>
    <col min="7" max="7" width="12.5703125" style="43" bestFit="1" customWidth="1"/>
    <col min="8" max="8" width="18.140625" style="43" bestFit="1" customWidth="1"/>
    <col min="9" max="9" width="1.42578125" style="43" customWidth="1"/>
    <col min="10" max="10" width="3.42578125" style="24" customWidth="1"/>
    <col min="11" max="11" width="1.42578125" style="87" customWidth="1"/>
    <col min="12" max="12" width="29.42578125" style="24" customWidth="1"/>
    <col min="13" max="13" width="1.42578125" style="43" customWidth="1"/>
    <col min="14" max="14" width="29.42578125" style="43" customWidth="1"/>
    <col min="15" max="15" width="1.42578125" style="43" customWidth="1"/>
    <col min="16" max="16" width="16.5703125" style="43" customWidth="1"/>
    <col min="17" max="17" width="5.5703125" style="43" customWidth="1"/>
    <col min="18" max="18" width="112.42578125" style="43" bestFit="1" customWidth="1"/>
    <col min="19" max="19" width="4.42578125" style="43" customWidth="1"/>
    <col min="20" max="20" width="18" style="43" bestFit="1" customWidth="1"/>
    <col min="21" max="21" width="15" style="24" bestFit="1" customWidth="1"/>
    <col min="22" max="22" width="19" style="24" bestFit="1" customWidth="1"/>
    <col min="23" max="23" width="15.5703125" style="24" bestFit="1" customWidth="1"/>
    <col min="24" max="24" width="18" style="24" bestFit="1" customWidth="1"/>
    <col min="25" max="25" width="15" style="24" bestFit="1" customWidth="1"/>
    <col min="26" max="26" width="8.42578125" style="24"/>
    <col min="27" max="27" width="14.42578125" style="24" bestFit="1" customWidth="1"/>
    <col min="28" max="28" width="8.42578125" style="43"/>
    <col min="29" max="29" width="12.57031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>
      <c r="A2" s="278"/>
      <c r="B2" s="42" t="s">
        <v>242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2.75">
      <c r="B3" s="31"/>
      <c r="D3" s="39" t="s">
        <v>243</v>
      </c>
      <c r="F3" s="39" t="s">
        <v>244</v>
      </c>
      <c r="J3" s="53"/>
      <c r="L3" s="310" t="s">
        <v>245</v>
      </c>
      <c r="N3" s="310" t="s">
        <v>246</v>
      </c>
      <c r="S3" s="53"/>
      <c r="T3" s="632" t="s">
        <v>247</v>
      </c>
      <c r="U3" s="632" t="s">
        <v>248</v>
      </c>
      <c r="V3" s="632" t="s">
        <v>249</v>
      </c>
      <c r="W3" s="632" t="s">
        <v>250</v>
      </c>
      <c r="X3" s="632" t="s">
        <v>251</v>
      </c>
      <c r="Y3" s="632" t="s">
        <v>252</v>
      </c>
    </row>
    <row r="4" spans="1:41" s="24" customFormat="1" ht="12.75">
      <c r="B4" s="256">
        <v>1</v>
      </c>
      <c r="C4" s="257" t="s">
        <v>253</v>
      </c>
      <c r="D4" s="258">
        <f>'Project Plan'!E6</f>
        <v>1891415.11</v>
      </c>
      <c r="E4" s="259"/>
      <c r="F4" s="258">
        <f>F28</f>
        <v>2041415.1199999999</v>
      </c>
      <c r="H4" s="624"/>
      <c r="J4" s="53"/>
      <c r="L4" s="276"/>
      <c r="N4" s="276" t="s">
        <v>240</v>
      </c>
      <c r="Q4" s="44"/>
      <c r="S4" s="53"/>
      <c r="T4" s="633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3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3">
        <f>SUMIFS('Expenditure Breakdown'!$U:$U,
        'Expenditure Breakdown'!$T:$T, "&gt;"&amp;DATE(2025,8,31),
        'Expenditure Breakdown'!$T:$T, "&lt;="&amp;DATE(2026,8,31))</f>
        <v>2041415.1179001906</v>
      </c>
      <c r="W4" s="633">
        <f>SUMIFS('Expenditure Breakdown'!$Q:$Q,
        'Expenditure Breakdown'!$T:$T, "&gt;"&amp;DATE(2025,8,31),
        'Expenditure Breakdown'!$T:$T, "&lt;="&amp;DATE(2026,8,31))</f>
        <v>1377826.1763984049</v>
      </c>
      <c r="X4" s="633">
        <f>SUMIFS('Expenditure Breakdown'!$U:$U,
        'Expenditure Breakdown'!$T:$T, "&gt;"&amp;DATE(2025,8,31),
        'Expenditure Breakdown'!$T:$T, "&lt;="&amp;DATE(2026,8,31),
        'Expenditure Breakdown'!$S:$S, "&lt;&gt;")</f>
        <v>1645718.3226783252</v>
      </c>
      <c r="Y4" s="633">
        <f>SUMIFS('Expenditure Breakdown'!$Q:$Q,
        'Expenditure Breakdown'!$T:$T, "&gt;"&amp;DATE(2025,8,31),
        'Expenditure Breakdown'!$T:$T, "&lt;="&amp;DATE(2026,8,31),
        'Expenditure Breakdown'!$S:$S, "&lt;&gt;")</f>
        <v>1210806.6963984047</v>
      </c>
    </row>
    <row r="5" spans="1:41" s="24" customFormat="1" ht="15" customHeight="1">
      <c r="B5" s="256">
        <v>2</v>
      </c>
      <c r="C5" s="257" t="s">
        <v>254</v>
      </c>
      <c r="D5" s="258">
        <f>+'Expenditure Tracking'!F5</f>
        <v>1645950.6998642778</v>
      </c>
      <c r="E5" s="259"/>
      <c r="F5" s="258">
        <f>+'Expenditure Tracking'!H5</f>
        <v>1377826.1763984046</v>
      </c>
      <c r="G5" s="682" t="s">
        <v>255</v>
      </c>
      <c r="H5" s="682" t="s">
        <v>256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257</v>
      </c>
      <c r="D6" s="258">
        <f>+D4-D5</f>
        <v>245464.41013572225</v>
      </c>
      <c r="E6" s="259"/>
      <c r="F6" s="258">
        <f>+F4-F5</f>
        <v>663588.94360159524</v>
      </c>
      <c r="G6" s="545">
        <f>D6*0.05</f>
        <v>12273.220506786114</v>
      </c>
      <c r="H6">
        <f>SUMIF('Expenditure Breakdown'!N:N,"*VO*",'Expenditure Breakdown'!Q:Q)</f>
        <v>0</v>
      </c>
      <c r="J6" s="53"/>
      <c r="L6" s="276"/>
      <c r="N6" s="276" t="s">
        <v>258</v>
      </c>
      <c r="S6" s="53"/>
    </row>
    <row r="7" spans="1:41" s="24" customFormat="1" ht="15" customHeight="1">
      <c r="B7" s="256">
        <v>4</v>
      </c>
      <c r="C7" s="257" t="s">
        <v>259</v>
      </c>
      <c r="D7" s="260">
        <f>+D6/D4</f>
        <v>0.12977817975437567</v>
      </c>
      <c r="E7" s="259"/>
      <c r="F7" s="260">
        <f>+F6/F4</f>
        <v>0.32506320595959692</v>
      </c>
      <c r="H7" s="545"/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2.75">
      <c r="B10" s="42" t="s">
        <v>260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4.75">
      <c r="B12" s="46" t="s">
        <v>128</v>
      </c>
      <c r="C12" s="47" t="s">
        <v>261</v>
      </c>
      <c r="D12" s="48"/>
      <c r="E12" s="46" t="s">
        <v>262</v>
      </c>
      <c r="F12" s="46" t="s">
        <v>263</v>
      </c>
      <c r="H12" s="261" t="s">
        <v>264</v>
      </c>
      <c r="J12" s="53"/>
      <c r="L12" s="78" t="s">
        <v>265</v>
      </c>
      <c r="M12" s="49"/>
      <c r="N12" s="78" t="s">
        <v>266</v>
      </c>
      <c r="O12" s="49"/>
      <c r="P12" s="78" t="s">
        <v>267</v>
      </c>
      <c r="R12" s="279" t="s">
        <v>268</v>
      </c>
      <c r="S12" s="53"/>
    </row>
    <row r="13" spans="1:41" s="24" customFormat="1" ht="12.75">
      <c r="B13" s="591">
        <v>1</v>
      </c>
      <c r="C13" s="718" t="s">
        <v>269</v>
      </c>
      <c r="D13" s="719"/>
      <c r="E13" s="592">
        <v>0.28499999835898149</v>
      </c>
      <c r="F13" s="593">
        <v>551182.06999999995</v>
      </c>
      <c r="G13" s="594"/>
      <c r="H13" s="595">
        <v>45968</v>
      </c>
      <c r="I13" s="596"/>
      <c r="J13" s="597"/>
      <c r="K13" s="596"/>
      <c r="L13" s="598" t="s">
        <v>270</v>
      </c>
      <c r="M13" s="599"/>
      <c r="N13" s="595" t="s">
        <v>271</v>
      </c>
      <c r="O13" s="599"/>
      <c r="P13" s="664">
        <v>45989</v>
      </c>
      <c r="R13" s="86"/>
      <c r="S13" s="53"/>
      <c r="AO13" s="526">
        <f>'Change Register'!$Q$14+ 7</f>
        <v>7</v>
      </c>
    </row>
    <row r="14" spans="1:41" s="24" customFormat="1" ht="12.75" hidden="1">
      <c r="B14" s="591">
        <v>2</v>
      </c>
      <c r="C14" s="718" t="s">
        <v>272</v>
      </c>
      <c r="D14" s="719"/>
      <c r="E14" s="592"/>
      <c r="F14" s="593"/>
      <c r="G14" s="594"/>
      <c r="H14" s="595"/>
      <c r="I14" s="596"/>
      <c r="J14" s="597"/>
      <c r="K14" s="596"/>
      <c r="L14" s="598"/>
      <c r="M14" s="599"/>
      <c r="N14" s="595"/>
      <c r="O14" s="599"/>
      <c r="P14" s="600"/>
      <c r="R14" s="86"/>
      <c r="S14" s="53"/>
      <c r="AO14" s="526"/>
    </row>
    <row r="15" spans="1:41" s="24" customFormat="1" ht="12.75">
      <c r="A15" s="669"/>
      <c r="B15" s="601">
        <v>3</v>
      </c>
      <c r="C15" s="718" t="s">
        <v>273</v>
      </c>
      <c r="D15" s="719"/>
      <c r="E15" s="592">
        <v>0.190000000538842</v>
      </c>
      <c r="F15" s="593">
        <v>349081.98</v>
      </c>
      <c r="G15" s="602"/>
      <c r="H15" s="595">
        <v>45993</v>
      </c>
      <c r="I15" s="596"/>
      <c r="J15" s="597"/>
      <c r="K15" s="596"/>
      <c r="L15" s="598" t="s">
        <v>274</v>
      </c>
      <c r="M15" s="596"/>
      <c r="N15" s="595">
        <v>45989</v>
      </c>
      <c r="O15" s="596"/>
      <c r="P15" s="600">
        <v>46081</v>
      </c>
      <c r="R15" s="280"/>
      <c r="S15" s="53"/>
    </row>
    <row r="16" spans="1:41" s="24" customFormat="1" ht="12.75">
      <c r="B16" s="601">
        <v>4</v>
      </c>
      <c r="C16" s="716" t="s">
        <v>275</v>
      </c>
      <c r="D16" s="717"/>
      <c r="E16" s="592"/>
      <c r="F16" s="593">
        <v>38786.89</v>
      </c>
      <c r="G16" s="602"/>
      <c r="H16" s="595">
        <v>46002</v>
      </c>
      <c r="I16" s="596"/>
      <c r="J16" s="597"/>
      <c r="K16" s="596"/>
      <c r="L16" s="598" t="s">
        <v>276</v>
      </c>
      <c r="M16" s="596"/>
      <c r="N16" s="595">
        <v>46009</v>
      </c>
      <c r="O16" s="596"/>
      <c r="P16" s="600">
        <v>46081</v>
      </c>
      <c r="R16" s="280"/>
      <c r="S16" s="53"/>
    </row>
    <row r="17" spans="2:19" s="24" customFormat="1" ht="12.75">
      <c r="B17" s="591">
        <v>5</v>
      </c>
      <c r="C17" s="718" t="s">
        <v>277</v>
      </c>
      <c r="D17" s="719"/>
      <c r="E17" s="592">
        <v>0.190000000538842</v>
      </c>
      <c r="F17" s="593">
        <v>116360.66</v>
      </c>
      <c r="G17" s="602"/>
      <c r="H17" s="595">
        <v>45994</v>
      </c>
      <c r="I17" s="596"/>
      <c r="J17" s="597"/>
      <c r="K17" s="596"/>
      <c r="L17" s="598" t="s">
        <v>274</v>
      </c>
      <c r="M17" s="596"/>
      <c r="N17" s="595">
        <v>45989</v>
      </c>
      <c r="O17" s="596"/>
      <c r="P17" s="600">
        <v>46081</v>
      </c>
      <c r="R17" s="280"/>
      <c r="S17" s="53"/>
    </row>
    <row r="18" spans="2:19" s="24" customFormat="1" ht="12.75">
      <c r="B18" s="591">
        <v>6</v>
      </c>
      <c r="C18" s="716" t="s">
        <v>278</v>
      </c>
      <c r="D18" s="717"/>
      <c r="E18" s="592"/>
      <c r="F18" s="593">
        <v>271508.21000000002</v>
      </c>
      <c r="G18" s="602"/>
      <c r="H18" s="595">
        <v>45993</v>
      </c>
      <c r="I18" s="596"/>
      <c r="J18" s="597"/>
      <c r="K18" s="596"/>
      <c r="L18" s="598" t="s">
        <v>276</v>
      </c>
      <c r="M18" s="596"/>
      <c r="N18" s="595">
        <v>46009</v>
      </c>
      <c r="O18" s="596"/>
      <c r="P18" s="600">
        <v>46081</v>
      </c>
      <c r="R18" s="280"/>
      <c r="S18" s="53"/>
    </row>
    <row r="19" spans="2:19" s="24" customFormat="1" ht="12.75">
      <c r="B19" s="591">
        <v>7</v>
      </c>
      <c r="C19" s="716" t="s">
        <v>279</v>
      </c>
      <c r="D19" s="717"/>
      <c r="E19" s="592">
        <v>9.4999997820139598E-2</v>
      </c>
      <c r="F19" s="593">
        <v>183727.35</v>
      </c>
      <c r="G19" s="602"/>
      <c r="H19" s="595">
        <v>46002</v>
      </c>
      <c r="I19" s="596"/>
      <c r="J19" s="597"/>
      <c r="K19" s="596"/>
      <c r="L19" s="598" t="s">
        <v>276</v>
      </c>
      <c r="M19" s="603"/>
      <c r="N19" s="595">
        <v>46009</v>
      </c>
      <c r="O19" s="603"/>
      <c r="P19" s="600">
        <v>46081</v>
      </c>
      <c r="R19" s="280"/>
      <c r="S19" s="53"/>
    </row>
    <row r="20" spans="2:19" s="24" customFormat="1" ht="12.75" hidden="1">
      <c r="B20" s="591">
        <v>8</v>
      </c>
      <c r="C20" s="718" t="s">
        <v>280</v>
      </c>
      <c r="D20" s="719"/>
      <c r="E20" s="592"/>
      <c r="F20" s="593"/>
      <c r="G20" s="602"/>
      <c r="H20" s="595"/>
      <c r="I20" s="596"/>
      <c r="J20" s="597"/>
      <c r="K20" s="596"/>
      <c r="L20" s="598"/>
      <c r="M20" s="603"/>
      <c r="N20" s="595"/>
      <c r="O20" s="603"/>
      <c r="P20" s="600">
        <v>46081</v>
      </c>
      <c r="R20" s="280"/>
      <c r="S20" s="53"/>
    </row>
    <row r="21" spans="2:19" s="24" customFormat="1" ht="12.75">
      <c r="B21" s="591">
        <v>9</v>
      </c>
      <c r="C21" s="718" t="s">
        <v>281</v>
      </c>
      <c r="D21" s="719"/>
      <c r="E21" s="592">
        <v>4.7499998910069799E-2</v>
      </c>
      <c r="F21" s="593">
        <v>96967.22</v>
      </c>
      <c r="G21" s="602"/>
      <c r="H21" s="595">
        <v>45996</v>
      </c>
      <c r="I21" s="596"/>
      <c r="J21" s="597"/>
      <c r="K21" s="596"/>
      <c r="L21" s="598" t="s">
        <v>282</v>
      </c>
      <c r="M21" s="596"/>
      <c r="N21" s="595">
        <v>46044</v>
      </c>
      <c r="O21" s="596"/>
      <c r="P21" s="600">
        <v>46081</v>
      </c>
      <c r="R21" s="681" t="s">
        <v>283</v>
      </c>
      <c r="S21" s="53"/>
    </row>
    <row r="22" spans="2:19" s="24" customFormat="1" ht="12.75" hidden="1">
      <c r="B22" s="591">
        <v>10</v>
      </c>
      <c r="C22" s="718" t="s">
        <v>284</v>
      </c>
      <c r="D22" s="719"/>
      <c r="E22" s="592"/>
      <c r="F22" s="593"/>
      <c r="G22" s="602"/>
      <c r="H22" s="595">
        <v>46180</v>
      </c>
      <c r="I22" s="596"/>
      <c r="J22" s="597"/>
      <c r="K22" s="596"/>
      <c r="L22" s="598"/>
      <c r="M22" s="596"/>
      <c r="N22" s="595"/>
      <c r="O22" s="596"/>
      <c r="P22" s="600">
        <v>46081</v>
      </c>
      <c r="R22" s="280"/>
      <c r="S22" s="53"/>
    </row>
    <row r="23" spans="2:19" s="24" customFormat="1" ht="12.75">
      <c r="B23" s="591">
        <v>11</v>
      </c>
      <c r="C23" s="718" t="s">
        <v>285</v>
      </c>
      <c r="D23" s="719"/>
      <c r="E23" s="592">
        <v>0.14250000162877199</v>
      </c>
      <c r="F23" s="593">
        <v>290901.65999999997</v>
      </c>
      <c r="G23" s="684"/>
      <c r="H23" s="595">
        <v>46007</v>
      </c>
      <c r="I23" s="596"/>
      <c r="J23" s="597"/>
      <c r="K23" s="596"/>
      <c r="L23" s="598" t="s">
        <v>282</v>
      </c>
      <c r="M23" s="594"/>
      <c r="N23" s="595">
        <v>46044</v>
      </c>
      <c r="O23" s="594"/>
      <c r="P23" s="600">
        <v>46081</v>
      </c>
      <c r="R23" s="280"/>
      <c r="S23" s="53"/>
    </row>
    <row r="24" spans="2:19" s="24" customFormat="1" ht="12.75" hidden="1">
      <c r="B24" s="591">
        <v>12</v>
      </c>
      <c r="C24" s="718" t="s">
        <v>286</v>
      </c>
      <c r="D24" s="719"/>
      <c r="E24" s="592"/>
      <c r="F24" s="593"/>
      <c r="G24" s="684"/>
      <c r="H24" s="595">
        <v>46180</v>
      </c>
      <c r="I24" s="596"/>
      <c r="J24" s="597"/>
      <c r="K24" s="596"/>
      <c r="L24" s="598"/>
      <c r="M24" s="594"/>
      <c r="N24" s="595"/>
      <c r="O24" s="594"/>
      <c r="P24" s="600">
        <v>46081</v>
      </c>
      <c r="R24" s="280"/>
      <c r="S24" s="53"/>
    </row>
    <row r="25" spans="2:19" s="24" customFormat="1" ht="12.75">
      <c r="B25" s="591">
        <v>13</v>
      </c>
      <c r="C25" s="718" t="s">
        <v>287</v>
      </c>
      <c r="D25" s="719"/>
      <c r="E25" s="592"/>
      <c r="F25" s="593">
        <v>102070.75</v>
      </c>
      <c r="G25" s="684"/>
      <c r="H25" s="595">
        <v>46165</v>
      </c>
      <c r="I25" s="596"/>
      <c r="J25" s="597"/>
      <c r="K25" s="596"/>
      <c r="L25" s="598" t="s">
        <v>282</v>
      </c>
      <c r="M25" s="594"/>
      <c r="N25" s="595">
        <v>46044</v>
      </c>
      <c r="O25" s="594"/>
      <c r="P25" s="600">
        <v>46081</v>
      </c>
      <c r="R25" s="280"/>
      <c r="S25" s="53"/>
    </row>
    <row r="26" spans="2:19" s="24" customFormat="1" ht="12.75">
      <c r="B26" s="591">
        <v>14</v>
      </c>
      <c r="C26" s="718" t="s">
        <v>288</v>
      </c>
      <c r="D26" s="719"/>
      <c r="E26" s="592">
        <v>0.05</v>
      </c>
      <c r="F26" s="593">
        <v>40828.33</v>
      </c>
      <c r="G26" s="683"/>
      <c r="H26" s="595">
        <v>46112</v>
      </c>
      <c r="I26" s="596"/>
      <c r="J26" s="597"/>
      <c r="K26" s="596"/>
      <c r="L26" s="598" t="s">
        <v>289</v>
      </c>
      <c r="M26" s="596"/>
      <c r="N26" s="595">
        <v>46071</v>
      </c>
      <c r="O26" s="596"/>
      <c r="P26" s="600">
        <v>46112</v>
      </c>
      <c r="R26" s="280"/>
      <c r="S26" s="53"/>
    </row>
    <row r="27" spans="2:19" s="24" customFormat="1" ht="9" customHeight="1">
      <c r="B27" s="31"/>
      <c r="E27" s="52"/>
      <c r="F27" s="30"/>
      <c r="H27" s="262"/>
      <c r="J27" s="53"/>
      <c r="S27" s="53"/>
    </row>
    <row r="28" spans="2:19" s="24" customFormat="1" ht="12.75">
      <c r="B28" s="31"/>
      <c r="E28" s="263">
        <f>SUM(E13:E26)</f>
        <v>0.99999999779564697</v>
      </c>
      <c r="F28" s="264">
        <f>SUM(F13:F26)</f>
        <v>2041415.1199999999</v>
      </c>
      <c r="J28" s="53"/>
      <c r="S28" s="53"/>
    </row>
    <row r="29" spans="2:19" s="53" customFormat="1" ht="25.5" customHeight="1">
      <c r="B29" s="54"/>
      <c r="F29" s="55"/>
    </row>
    <row r="30" spans="2:19" s="24" customFormat="1" ht="24.75" customHeight="1">
      <c r="B30" s="56" t="s">
        <v>290</v>
      </c>
      <c r="C30" s="57" t="s">
        <v>291</v>
      </c>
      <c r="D30" s="57"/>
      <c r="F30" s="58"/>
      <c r="H30" s="30"/>
    </row>
    <row r="31" spans="2:19" s="24" customFormat="1" ht="12.75">
      <c r="C31" s="59" t="s">
        <v>292</v>
      </c>
      <c r="D31" s="60"/>
      <c r="F31" s="61"/>
      <c r="H31" s="624"/>
      <c r="L31" s="624">
        <f>F17+20414.15</f>
        <v>136774.81</v>
      </c>
    </row>
    <row r="32" spans="2:19" s="24" customFormat="1" ht="12.75">
      <c r="C32" s="59" t="s">
        <v>293</v>
      </c>
      <c r="D32" s="60"/>
    </row>
    <row r="33" spans="2:14" s="24" customFormat="1" ht="12.75">
      <c r="C33" s="62" t="s">
        <v>294</v>
      </c>
      <c r="D33" s="63"/>
    </row>
    <row r="34" spans="2:14" s="24" customFormat="1" ht="12.75">
      <c r="C34" s="64" t="s">
        <v>295</v>
      </c>
      <c r="D34" s="60"/>
      <c r="N34" s="545"/>
    </row>
    <row r="35" spans="2:14" s="24" customFormat="1" ht="12.75">
      <c r="B35" s="31"/>
      <c r="C35" s="64" t="s">
        <v>296</v>
      </c>
      <c r="D35" s="60"/>
    </row>
    <row r="36" spans="2:14" s="24" customFormat="1" ht="12.75">
      <c r="B36" s="31"/>
      <c r="C36" s="24" t="s">
        <v>297</v>
      </c>
    </row>
    <row r="37" spans="2:14" s="24" customFormat="1" ht="27.75" customHeight="1">
      <c r="B37" s="31"/>
      <c r="C37" s="65" t="s">
        <v>298</v>
      </c>
      <c r="D37" s="65"/>
      <c r="F37" s="61"/>
    </row>
    <row r="38" spans="2:14" s="24" customFormat="1" ht="12.75">
      <c r="B38" s="31"/>
      <c r="F38" s="58"/>
      <c r="N38" s="545"/>
    </row>
    <row r="39" spans="2:14" s="24" customFormat="1" ht="12.75">
      <c r="B39" s="31"/>
      <c r="F39" s="58"/>
    </row>
    <row r="40" spans="2:14" s="24" customFormat="1" ht="12.75">
      <c r="B40" s="31"/>
      <c r="F40" s="58"/>
    </row>
    <row r="41" spans="2:14" s="24" customFormat="1" ht="12.75">
      <c r="B41" s="31"/>
      <c r="F41" s="58"/>
    </row>
    <row r="42" spans="2:14" s="24" customFormat="1" ht="12.75">
      <c r="B42" s="31"/>
    </row>
    <row r="43" spans="2:14" s="24" customFormat="1" ht="12.75">
      <c r="B43" s="31"/>
    </row>
    <row r="44" spans="2:14" s="24" customFormat="1" ht="12.75">
      <c r="B44" s="31"/>
    </row>
    <row r="45" spans="2:14" s="24" customFormat="1" ht="12.75" hidden="1" customHeight="1">
      <c r="B45" s="31"/>
    </row>
    <row r="46" spans="2:14" s="24" customFormat="1" ht="12.75" hidden="1" customHeight="1">
      <c r="B46" s="31"/>
    </row>
    <row r="47" spans="2:14" s="24" customFormat="1" ht="13.5" hidden="1" customHeight="1">
      <c r="B47" s="46" t="s">
        <v>128</v>
      </c>
      <c r="C47" s="47" t="s">
        <v>261</v>
      </c>
      <c r="D47" s="48"/>
      <c r="E47" s="46" t="s">
        <v>262</v>
      </c>
      <c r="F47" s="46" t="s">
        <v>263</v>
      </c>
    </row>
    <row r="48" spans="2:14" s="24" customFormat="1" ht="12.75" hidden="1" customHeight="1">
      <c r="B48" s="66">
        <v>1</v>
      </c>
      <c r="C48" s="67" t="s">
        <v>299</v>
      </c>
      <c r="D48" s="67"/>
      <c r="E48" s="50">
        <v>0.35</v>
      </c>
      <c r="F48" s="51">
        <f>$F$54*E48</f>
        <v>714495.2919999999</v>
      </c>
    </row>
    <row r="49" spans="2:6" s="24" customFormat="1" ht="12.75" hidden="1" customHeight="1">
      <c r="B49" s="66">
        <v>2</v>
      </c>
      <c r="C49" s="67" t="s">
        <v>300</v>
      </c>
      <c r="D49" s="67"/>
      <c r="E49" s="50">
        <v>0.3</v>
      </c>
      <c r="F49" s="51">
        <f>$F$54*E49</f>
        <v>612424.53599999996</v>
      </c>
    </row>
    <row r="50" spans="2:6" s="24" customFormat="1" ht="12.75" hidden="1" customHeight="1">
      <c r="B50" s="66">
        <v>3</v>
      </c>
      <c r="C50" s="67" t="s">
        <v>301</v>
      </c>
      <c r="D50" s="67"/>
      <c r="E50" s="50">
        <v>0.2</v>
      </c>
      <c r="F50" s="51">
        <f>$F$54*E50</f>
        <v>408283.02399999998</v>
      </c>
    </row>
    <row r="51" spans="2:6" s="24" customFormat="1" ht="12.75" hidden="1" customHeight="1">
      <c r="B51" s="66">
        <v>4</v>
      </c>
      <c r="C51" s="67" t="s">
        <v>302</v>
      </c>
      <c r="D51" s="67"/>
      <c r="E51" s="50">
        <v>0.1</v>
      </c>
      <c r="F51" s="51">
        <f>$F$54*E51</f>
        <v>204141.51199999999</v>
      </c>
    </row>
    <row r="52" spans="2:6" s="24" customFormat="1" ht="13.5" hidden="1" customHeight="1">
      <c r="B52" s="68">
        <v>5</v>
      </c>
      <c r="C52" s="69" t="s">
        <v>303</v>
      </c>
      <c r="D52" s="69"/>
      <c r="E52" s="70">
        <v>0.05</v>
      </c>
      <c r="F52" s="71">
        <f>$F$54*E52</f>
        <v>102070.75599999999</v>
      </c>
    </row>
    <row r="53" spans="2:6" s="24" customFormat="1" ht="13.5" hidden="1" customHeight="1">
      <c r="B53" s="72"/>
      <c r="C53" s="73" t="s">
        <v>304</v>
      </c>
      <c r="D53" s="73"/>
      <c r="E53" s="74">
        <f>SUM(E48:E52)</f>
        <v>0.99999999999999989</v>
      </c>
      <c r="F53" s="75">
        <f>SUM(F48:F52)</f>
        <v>2041415.1199999996</v>
      </c>
    </row>
    <row r="54" spans="2:6" s="24" customFormat="1" ht="12.75" hidden="1" customHeight="1">
      <c r="B54" s="31"/>
      <c r="E54" s="52">
        <f>SUM(E48:E52)</f>
        <v>0.99999999999999989</v>
      </c>
      <c r="F54" s="30">
        <f>F28</f>
        <v>2041415.1199999999</v>
      </c>
    </row>
    <row r="55" spans="2:6" s="24" customFormat="1" ht="12.75" hidden="1" customHeight="1">
      <c r="B55" s="31"/>
    </row>
    <row r="56" spans="2:6" s="24" customFormat="1" ht="12.75">
      <c r="B56" s="31"/>
    </row>
    <row r="57" spans="2:6" s="24" customFormat="1" ht="12.75">
      <c r="B57" s="31"/>
    </row>
    <row r="58" spans="2:6" s="24" customFormat="1" ht="12.75">
      <c r="B58" s="31"/>
    </row>
    <row r="59" spans="2:6" s="24" customFormat="1" ht="12.75">
      <c r="B59" s="31"/>
    </row>
    <row r="60" spans="2:6" s="24" customFormat="1" ht="12.75">
      <c r="B60" s="31"/>
    </row>
    <row r="61" spans="2:6" s="24" customFormat="1" ht="12.75">
      <c r="B61" s="31"/>
    </row>
    <row r="62" spans="2:6" s="24" customFormat="1" ht="12.75">
      <c r="B62" s="31"/>
    </row>
    <row r="63" spans="2:6" s="24" customFormat="1" ht="12.75">
      <c r="B63" s="31"/>
    </row>
    <row r="64" spans="2:6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  <row r="219" spans="2:2" s="24" customFormat="1" ht="12.75">
      <c r="B219" s="31"/>
    </row>
    <row r="220" spans="2:2" s="24" customFormat="1" ht="12.75">
      <c r="B220" s="31"/>
    </row>
    <row r="221" spans="2:2" s="24" customFormat="1" ht="12.75">
      <c r="B221" s="31"/>
    </row>
    <row r="222" spans="2:2" s="24" customFormat="1" ht="12.75">
      <c r="B222" s="31"/>
    </row>
    <row r="223" spans="2:2" s="24" customFormat="1" ht="12.75">
      <c r="B223" s="31"/>
    </row>
    <row r="224" spans="2:2" s="24" customFormat="1" ht="12.75">
      <c r="B224" s="31"/>
    </row>
    <row r="225" spans="2:2" s="24" customFormat="1" ht="12.75">
      <c r="B225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26 P26" name="Range1"/>
    <protectedRange algorithmName="SHA-512" hashValue="j+J/mkM11pEvvijaHO5iUaruLLhC+RSVAwxUkpdaj8w4JbnfejNcvtHn72PbQbDuFDX4JCXvt3S335YosPtFPw==" saltValue="EsOtAVk3La2RofAAR7kZEA==" spinCount="100000" sqref="L13:N24 L25:L26 M25 N25:N26 P13:P25" name="Range1_1"/>
  </protectedRanges>
  <mergeCells count="14">
    <mergeCell ref="C19:D19"/>
    <mergeCell ref="C26:D26"/>
    <mergeCell ref="C13:D13"/>
    <mergeCell ref="C15:D15"/>
    <mergeCell ref="C17:D17"/>
    <mergeCell ref="C21:D21"/>
    <mergeCell ref="C23:D23"/>
    <mergeCell ref="C14:D14"/>
    <mergeCell ref="C16:D16"/>
    <mergeCell ref="C18:D18"/>
    <mergeCell ref="C20:D20"/>
    <mergeCell ref="C22:D22"/>
    <mergeCell ref="C24:D24"/>
    <mergeCell ref="C25:D25"/>
  </mergeCells>
  <conditionalFormatting sqref="F28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5:F10 I5:XFD10 A27:XFD27 A13:B13 D13 G15 G13 A26 D26 A4:C4 G17 A17 A19 G19 A21 A23 E4:F4 A29:XFD30 A28:D28 G28:XFD28 Q15:XFD15 Q21 Q13:XFD13 Q17:XFD17 Q19:XFD19 Q23:XFD23 Q26:XFD26 I23:K23 I19:K19 I17:K17 I13:K13 I21:K21 I15:K15 I14:O14 I16:K16 I22:O22 I18:K18 I20:O20 I24:O24 A32:XFD33 A31:E31 I31:K31 M13 O13 A3:G3 Z3:XFD3 I4:S4 Z4:XFD4 A35:XFD37 A34:M34 O34:XFD34 M15 M17 O15 O17 M31:XFD31 M16 M18 M19 O16 O18 O19 S21:XFD21 M21 M23 O21 O23 A39:XFD1048576 A38:O38 Q38:XFD38 A2:G2 I2:XFD2 I3:S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abSelected="1" topLeftCell="V1" zoomScale="115" zoomScaleNormal="115" workbookViewId="0">
      <pane ySplit="4" topLeftCell="M129" activePane="bottomLeft" state="frozen"/>
      <selection pane="bottomLeft" activeCell="W135" sqref="W135"/>
      <selection activeCell="J25" sqref="J25"/>
    </sheetView>
  </sheetViews>
  <sheetFormatPr defaultColWidth="9.42578125" defaultRowHeight="14.25"/>
  <cols>
    <col min="1" max="1" width="2.42578125" style="26" customWidth="1"/>
    <col min="2" max="2" width="6.42578125" style="4" customWidth="1"/>
    <col min="3" max="3" width="20.42578125" style="4" customWidth="1"/>
    <col min="4" max="4" width="51.5703125" style="4" customWidth="1"/>
    <col min="5" max="5" width="13" style="6" customWidth="1"/>
    <col min="6" max="6" width="16.5703125" style="372" customWidth="1"/>
    <col min="7" max="8" width="17.42578125" style="4" customWidth="1"/>
    <col min="9" max="10" width="22.42578125" style="254" customWidth="1"/>
    <col min="11" max="12" width="5.57031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8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42578125" style="26" customWidth="1"/>
    <col min="25" max="25" width="29.42578125" style="26" bestFit="1" customWidth="1"/>
    <col min="26" max="26" width="24.4257812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67" t="s">
        <v>305</v>
      </c>
      <c r="C2" s="768"/>
      <c r="D2" s="768"/>
      <c r="E2" s="768"/>
      <c r="F2" s="768"/>
      <c r="G2" s="768"/>
      <c r="H2" s="395"/>
      <c r="I2" s="162">
        <f>SUM(I6:I167)</f>
        <v>1645950.6998642778</v>
      </c>
      <c r="J2" s="162">
        <f>SUM(J6:J167)</f>
        <v>1891415.11</v>
      </c>
      <c r="L2" s="769" t="s">
        <v>306</v>
      </c>
      <c r="M2" s="770"/>
      <c r="N2" s="770"/>
      <c r="O2" s="770"/>
      <c r="P2" s="770"/>
      <c r="Q2" s="770"/>
      <c r="R2" s="771" t="s">
        <v>307</v>
      </c>
      <c r="S2" s="772"/>
      <c r="T2" s="772"/>
      <c r="U2" s="772"/>
      <c r="V2" s="772"/>
      <c r="W2" s="773"/>
      <c r="X2" s="162">
        <f>SUM(X6:X167)</f>
        <v>1377826.1763984046</v>
      </c>
    </row>
    <row r="3" spans="1:76" s="26" customFormat="1" ht="13.5" customHeight="1" thickBot="1">
      <c r="E3" s="77"/>
      <c r="F3" s="362"/>
      <c r="I3" s="621"/>
      <c r="J3" s="271"/>
      <c r="O3" s="77"/>
      <c r="P3" s="362"/>
      <c r="Q3" s="161"/>
      <c r="T3" s="431"/>
      <c r="U3" s="431"/>
      <c r="W3" s="431"/>
      <c r="X3" s="614"/>
    </row>
    <row r="4" spans="1:76" s="6" customFormat="1" ht="41.25" thickBot="1">
      <c r="A4" s="77"/>
      <c r="B4" s="163" t="s">
        <v>308</v>
      </c>
      <c r="C4" s="164" t="s">
        <v>309</v>
      </c>
      <c r="D4" s="164" t="s">
        <v>310</v>
      </c>
      <c r="E4" s="164" t="s">
        <v>311</v>
      </c>
      <c r="F4" s="363" t="s">
        <v>312</v>
      </c>
      <c r="G4" s="165" t="s">
        <v>313</v>
      </c>
      <c r="H4" s="273" t="s">
        <v>314</v>
      </c>
      <c r="I4" s="166" t="s">
        <v>315</v>
      </c>
      <c r="J4" s="166" t="str">
        <f>IF(J2-'Revenue Tracking'!D4&gt;=0, "Total Revenue", "ERROR on REV" )</f>
        <v>Total Revenue</v>
      </c>
      <c r="K4" s="77"/>
      <c r="L4" s="163" t="s">
        <v>308</v>
      </c>
      <c r="M4" s="164" t="s">
        <v>316</v>
      </c>
      <c r="N4" s="164" t="s">
        <v>310</v>
      </c>
      <c r="O4" s="164" t="s">
        <v>311</v>
      </c>
      <c r="P4" s="363" t="s">
        <v>312</v>
      </c>
      <c r="Q4" s="274" t="s">
        <v>317</v>
      </c>
      <c r="R4" s="497" t="s">
        <v>318</v>
      </c>
      <c r="S4" s="498" t="s">
        <v>265</v>
      </c>
      <c r="T4" s="522" t="s">
        <v>266</v>
      </c>
      <c r="U4" s="523" t="s">
        <v>319</v>
      </c>
      <c r="V4" s="274" t="s">
        <v>320</v>
      </c>
      <c r="W4" s="522" t="s">
        <v>321</v>
      </c>
      <c r="X4" s="166" t="s">
        <v>315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8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322</v>
      </c>
      <c r="D6" s="186" t="s">
        <v>323</v>
      </c>
      <c r="E6" s="187"/>
      <c r="F6" s="336"/>
      <c r="G6" s="292">
        <f>D168</f>
        <v>0</v>
      </c>
      <c r="H6" s="552"/>
      <c r="I6" s="720">
        <f>SUM(G6:G11)</f>
        <v>0</v>
      </c>
      <c r="J6" s="723">
        <f>F168</f>
        <v>0</v>
      </c>
      <c r="K6" s="289"/>
      <c r="L6" s="185">
        <v>1</v>
      </c>
      <c r="M6" s="316" t="s">
        <v>324</v>
      </c>
      <c r="N6" s="186"/>
      <c r="O6" s="521"/>
      <c r="P6" s="336"/>
      <c r="Q6" s="292"/>
      <c r="R6" s="469"/>
      <c r="S6" s="500"/>
      <c r="T6" s="411"/>
      <c r="U6" s="397"/>
      <c r="V6" s="732"/>
      <c r="W6" s="453"/>
      <c r="X6" s="720">
        <f>SUM(Q6:Q11)</f>
        <v>0</v>
      </c>
    </row>
    <row r="7" spans="1:76" ht="15" customHeight="1">
      <c r="B7" s="215">
        <v>1</v>
      </c>
      <c r="C7" s="317"/>
      <c r="D7" s="290" t="s">
        <v>325</v>
      </c>
      <c r="E7" s="291"/>
      <c r="F7" s="357"/>
      <c r="G7" s="219"/>
      <c r="H7" s="543"/>
      <c r="I7" s="721"/>
      <c r="J7" s="724"/>
      <c r="K7" s="192"/>
      <c r="L7" s="215">
        <v>1</v>
      </c>
      <c r="M7" s="217" t="s">
        <v>324</v>
      </c>
      <c r="N7" s="290"/>
      <c r="O7" s="433"/>
      <c r="P7" s="343"/>
      <c r="Q7" s="219"/>
      <c r="R7" s="470"/>
      <c r="S7" s="501"/>
      <c r="T7" s="411"/>
      <c r="U7" s="397"/>
      <c r="V7" s="733"/>
      <c r="W7" s="454"/>
      <c r="X7" s="721"/>
    </row>
    <row r="8" spans="1:76" ht="15" customHeight="1">
      <c r="B8" s="284">
        <v>1</v>
      </c>
      <c r="C8" s="378"/>
      <c r="D8" s="379"/>
      <c r="E8" s="380"/>
      <c r="F8" s="343"/>
      <c r="G8" s="287"/>
      <c r="H8" s="543"/>
      <c r="I8" s="721"/>
      <c r="J8" s="724"/>
      <c r="K8" s="192"/>
      <c r="L8" s="215">
        <v>1</v>
      </c>
      <c r="M8" s="217" t="s">
        <v>324</v>
      </c>
      <c r="N8" s="379"/>
      <c r="O8" s="434"/>
      <c r="P8" s="343"/>
      <c r="Q8" s="219"/>
      <c r="R8" s="470"/>
      <c r="S8" s="501"/>
      <c r="T8" s="411"/>
      <c r="U8" s="397"/>
      <c r="V8" s="733"/>
      <c r="W8" s="454"/>
      <c r="X8" s="721"/>
    </row>
    <row r="9" spans="1:76" ht="15" customHeight="1">
      <c r="B9" s="284">
        <v>1</v>
      </c>
      <c r="C9" s="378"/>
      <c r="D9" s="379"/>
      <c r="E9" s="380"/>
      <c r="F9" s="343"/>
      <c r="G9" s="287"/>
      <c r="H9" s="543"/>
      <c r="I9" s="721"/>
      <c r="J9" s="724"/>
      <c r="K9" s="192"/>
      <c r="L9" s="215">
        <v>1</v>
      </c>
      <c r="M9" s="217" t="s">
        <v>324</v>
      </c>
      <c r="N9" s="379"/>
      <c r="O9" s="434"/>
      <c r="P9" s="343"/>
      <c r="Q9" s="287"/>
      <c r="R9" s="471"/>
      <c r="S9" s="502"/>
      <c r="T9" s="412"/>
      <c r="U9" s="397"/>
      <c r="V9" s="733"/>
      <c r="W9" s="455"/>
      <c r="X9" s="72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3"/>
      <c r="I10" s="721"/>
      <c r="J10" s="724"/>
      <c r="K10" s="192"/>
      <c r="L10" s="215">
        <v>1</v>
      </c>
      <c r="M10" s="217" t="s">
        <v>324</v>
      </c>
      <c r="N10" s="379"/>
      <c r="O10" s="434"/>
      <c r="P10" s="343"/>
      <c r="Q10" s="287"/>
      <c r="R10" s="471"/>
      <c r="S10" s="502"/>
      <c r="T10" s="412"/>
      <c r="U10" s="397"/>
      <c r="V10" s="733"/>
      <c r="W10" s="455"/>
      <c r="X10" s="72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4"/>
      <c r="I11" s="722"/>
      <c r="J11" s="725"/>
      <c r="K11" s="193"/>
      <c r="L11" s="220">
        <v>1</v>
      </c>
      <c r="M11" s="318" t="s">
        <v>324</v>
      </c>
      <c r="N11" s="293"/>
      <c r="O11" s="435"/>
      <c r="P11" s="358"/>
      <c r="Q11" s="234"/>
      <c r="R11" s="472"/>
      <c r="S11" s="503"/>
      <c r="T11" s="413"/>
      <c r="U11" s="397"/>
      <c r="V11" s="734"/>
      <c r="W11" s="456"/>
      <c r="X11" s="722"/>
      <c r="Y11" s="608" t="s">
        <v>326</v>
      </c>
      <c r="Z11" s="487" t="s">
        <v>327</v>
      </c>
    </row>
    <row r="12" spans="1:76" ht="15" thickBot="1">
      <c r="A12" s="4"/>
      <c r="B12" s="180"/>
      <c r="C12" s="181"/>
      <c r="D12" s="182"/>
      <c r="E12" s="195"/>
      <c r="F12" s="354"/>
      <c r="G12" s="183"/>
      <c r="H12" s="555"/>
      <c r="I12" s="549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9"/>
      <c r="Y12" s="609" t="s">
        <v>328</v>
      </c>
      <c r="Z12" s="488">
        <f>G57</f>
        <v>18000</v>
      </c>
      <c r="AA12" s="622"/>
      <c r="AB12" s="528"/>
    </row>
    <row r="13" spans="1:76" ht="14.25" customHeight="1">
      <c r="B13" s="197">
        <v>2</v>
      </c>
      <c r="C13" s="223" t="s">
        <v>84</v>
      </c>
      <c r="D13" s="223" t="s">
        <v>329</v>
      </c>
      <c r="E13" s="268"/>
      <c r="F13" s="355"/>
      <c r="G13" s="200">
        <f>D169</f>
        <v>0</v>
      </c>
      <c r="H13" s="556"/>
      <c r="I13" s="749">
        <f>SUM(G13:G19)</f>
        <v>0</v>
      </c>
      <c r="J13" s="752">
        <f>F169</f>
        <v>0</v>
      </c>
      <c r="K13" s="201"/>
      <c r="L13" s="197">
        <v>2</v>
      </c>
      <c r="M13" s="319" t="s">
        <v>330</v>
      </c>
      <c r="N13" s="223"/>
      <c r="O13" s="437"/>
      <c r="P13" s="355"/>
      <c r="Q13" s="200"/>
      <c r="R13" s="474"/>
      <c r="S13" s="505"/>
      <c r="T13" s="415"/>
      <c r="U13" s="401"/>
      <c r="V13" s="764"/>
      <c r="W13" s="458"/>
      <c r="X13" s="749">
        <f>SUM(Q13:Q19)</f>
        <v>0</v>
      </c>
      <c r="Y13" s="609" t="s">
        <v>331</v>
      </c>
      <c r="Z13" s="489">
        <f>G32</f>
        <v>44160</v>
      </c>
      <c r="AA13" s="622"/>
      <c r="AB13" s="528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7"/>
      <c r="I14" s="750"/>
      <c r="J14" s="753"/>
      <c r="K14" s="205"/>
      <c r="L14" s="202">
        <v>2</v>
      </c>
      <c r="M14" s="325" t="s">
        <v>330</v>
      </c>
      <c r="N14" s="309"/>
      <c r="O14" s="438"/>
      <c r="P14" s="351"/>
      <c r="Q14" s="375"/>
      <c r="R14" s="475"/>
      <c r="S14" s="506"/>
      <c r="T14" s="416"/>
      <c r="U14" s="401"/>
      <c r="V14" s="765"/>
      <c r="W14" s="527"/>
      <c r="X14" s="750"/>
      <c r="Y14" s="609" t="s">
        <v>332</v>
      </c>
      <c r="Z14" s="488">
        <f>G95</f>
        <v>161000</v>
      </c>
      <c r="AA14" s="622"/>
      <c r="AB14" s="528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7"/>
      <c r="I15" s="750"/>
      <c r="J15" s="753"/>
      <c r="K15" s="205"/>
      <c r="L15" s="202">
        <v>2</v>
      </c>
      <c r="M15" s="325" t="s">
        <v>330</v>
      </c>
      <c r="N15" s="309"/>
      <c r="O15" s="438"/>
      <c r="P15" s="351"/>
      <c r="Q15" s="375"/>
      <c r="R15" s="475"/>
      <c r="S15" s="506"/>
      <c r="T15" s="416"/>
      <c r="U15" s="401"/>
      <c r="V15" s="765"/>
      <c r="W15" s="459"/>
      <c r="X15" s="750"/>
      <c r="Y15" s="609" t="s">
        <v>333</v>
      </c>
      <c r="Z15" s="488">
        <f>G96</f>
        <v>322000</v>
      </c>
      <c r="AA15" s="622"/>
      <c r="AB15" s="528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7"/>
      <c r="I16" s="750"/>
      <c r="J16" s="753"/>
      <c r="K16" s="205"/>
      <c r="L16" s="202">
        <v>2</v>
      </c>
      <c r="M16" s="325" t="s">
        <v>330</v>
      </c>
      <c r="N16" s="309"/>
      <c r="O16" s="438"/>
      <c r="P16" s="351"/>
      <c r="Q16" s="375"/>
      <c r="R16" s="475"/>
      <c r="S16" s="506"/>
      <c r="T16" s="416"/>
      <c r="U16" s="401"/>
      <c r="V16" s="765"/>
      <c r="W16" s="459"/>
      <c r="X16" s="750"/>
      <c r="Y16" s="609" t="s">
        <v>334</v>
      </c>
      <c r="Z16" s="488">
        <f>G109</f>
        <v>8500</v>
      </c>
      <c r="AA16" s="622"/>
      <c r="AB16" s="528"/>
    </row>
    <row r="17" spans="1:28" ht="14.25" customHeight="1">
      <c r="B17" s="202">
        <v>2</v>
      </c>
      <c r="C17" s="325"/>
      <c r="D17" s="309"/>
      <c r="E17" s="381"/>
      <c r="F17" s="351"/>
      <c r="G17" s="375"/>
      <c r="H17" s="547"/>
      <c r="I17" s="750"/>
      <c r="J17" s="753"/>
      <c r="K17" s="205"/>
      <c r="L17" s="202">
        <v>2</v>
      </c>
      <c r="M17" s="325" t="s">
        <v>330</v>
      </c>
      <c r="N17" s="309"/>
      <c r="O17" s="438"/>
      <c r="P17" s="351"/>
      <c r="Q17" s="375"/>
      <c r="R17" s="475"/>
      <c r="S17" s="506"/>
      <c r="T17" s="416"/>
      <c r="U17" s="401"/>
      <c r="V17" s="765"/>
      <c r="W17" s="459"/>
      <c r="X17" s="750"/>
      <c r="Y17" s="609" t="s">
        <v>335</v>
      </c>
      <c r="Z17" s="488">
        <f>G110</f>
        <v>17474</v>
      </c>
      <c r="AA17" s="622"/>
      <c r="AB17" s="528"/>
    </row>
    <row r="18" spans="1:28" ht="14.25" customHeight="1">
      <c r="B18" s="202">
        <v>2</v>
      </c>
      <c r="C18" s="325"/>
      <c r="D18" s="309"/>
      <c r="E18" s="381"/>
      <c r="F18" s="351"/>
      <c r="G18" s="375"/>
      <c r="H18" s="547"/>
      <c r="I18" s="750"/>
      <c r="J18" s="753"/>
      <c r="K18" s="205"/>
      <c r="L18" s="202">
        <v>2</v>
      </c>
      <c r="M18" s="325" t="s">
        <v>330</v>
      </c>
      <c r="N18" s="309"/>
      <c r="O18" s="438"/>
      <c r="P18" s="351"/>
      <c r="Q18" s="375"/>
      <c r="R18" s="475"/>
      <c r="S18" s="506"/>
      <c r="T18" s="416"/>
      <c r="U18" s="401"/>
      <c r="V18" s="765"/>
      <c r="W18" s="459"/>
      <c r="X18" s="750"/>
      <c r="Y18" s="609" t="s">
        <v>336</v>
      </c>
      <c r="Z18" s="488">
        <f>G112</f>
        <v>3782.2222222222222</v>
      </c>
      <c r="AA18" s="622"/>
      <c r="AB18" s="528"/>
    </row>
    <row r="19" spans="1:28" ht="15" customHeight="1" thickBot="1">
      <c r="B19" s="296">
        <v>2</v>
      </c>
      <c r="C19" s="297"/>
      <c r="D19" s="297"/>
      <c r="E19" s="298"/>
      <c r="F19" s="365"/>
      <c r="G19" s="299"/>
      <c r="H19" s="557"/>
      <c r="I19" s="751"/>
      <c r="J19" s="754"/>
      <c r="K19" s="210"/>
      <c r="L19" s="296">
        <v>2</v>
      </c>
      <c r="M19" s="320" t="s">
        <v>330</v>
      </c>
      <c r="N19" s="297"/>
      <c r="O19" s="439"/>
      <c r="P19" s="365"/>
      <c r="Q19" s="299"/>
      <c r="R19" s="476"/>
      <c r="S19" s="507"/>
      <c r="T19" s="417"/>
      <c r="U19" s="402"/>
      <c r="V19" s="766"/>
      <c r="W19" s="460"/>
      <c r="X19" s="751"/>
      <c r="Y19" s="609" t="s">
        <v>337</v>
      </c>
      <c r="Z19" s="488">
        <v>0</v>
      </c>
      <c r="AA19" s="528"/>
    </row>
    <row r="20" spans="1:28" ht="15" thickBot="1">
      <c r="A20" s="4"/>
      <c r="B20" s="194"/>
      <c r="C20" s="181"/>
      <c r="D20" s="181"/>
      <c r="E20" s="195"/>
      <c r="F20" s="354"/>
      <c r="G20" s="196"/>
      <c r="H20" s="555"/>
      <c r="I20" s="549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9"/>
      <c r="Y20" s="609"/>
      <c r="Z20" s="488"/>
      <c r="AA20" s="528"/>
    </row>
    <row r="21" spans="1:28" ht="14.25" customHeight="1">
      <c r="B21" s="185">
        <v>3</v>
      </c>
      <c r="C21" s="213" t="s">
        <v>338</v>
      </c>
      <c r="D21" s="231" t="s">
        <v>339</v>
      </c>
      <c r="E21" s="187"/>
      <c r="F21" s="336"/>
      <c r="G21" s="188">
        <f>D170</f>
        <v>395600</v>
      </c>
      <c r="H21" s="544">
        <f>'Project Plan'!E32+30</f>
        <v>45977</v>
      </c>
      <c r="I21" s="720">
        <f>SUM(G21:G29)</f>
        <v>395600</v>
      </c>
      <c r="J21" s="723">
        <f>F170</f>
        <v>565143.54908261192</v>
      </c>
      <c r="K21" s="189"/>
      <c r="L21" s="185">
        <v>3</v>
      </c>
      <c r="M21" s="321" t="s">
        <v>340</v>
      </c>
      <c r="N21" s="231" t="s">
        <v>341</v>
      </c>
      <c r="O21" s="432"/>
      <c r="P21" s="336"/>
      <c r="Q21" s="188">
        <f>329925.07-Q24</f>
        <v>307922.87</v>
      </c>
      <c r="R21" s="477" t="s">
        <v>342</v>
      </c>
      <c r="S21" s="508" t="s">
        <v>343</v>
      </c>
      <c r="T21" s="544">
        <v>45961</v>
      </c>
      <c r="U21" s="656">
        <v>419817.36296222889</v>
      </c>
      <c r="V21" s="732">
        <f>J21-SUM(U21:U29)</f>
        <v>0</v>
      </c>
      <c r="W21" s="666">
        <v>45989</v>
      </c>
      <c r="X21" s="720">
        <f>SUM(Q21:Q29)</f>
        <v>392315.21</v>
      </c>
      <c r="Y21" s="609" t="s">
        <v>344</v>
      </c>
      <c r="Z21" s="490">
        <v>0</v>
      </c>
      <c r="AA21" s="528"/>
    </row>
    <row r="22" spans="1:28" ht="14.25" customHeight="1">
      <c r="B22" s="190"/>
      <c r="C22" s="214"/>
      <c r="D22" s="667"/>
      <c r="E22" s="349"/>
      <c r="F22" s="350"/>
      <c r="G22" s="668"/>
      <c r="H22" s="544"/>
      <c r="I22" s="721"/>
      <c r="J22" s="724"/>
      <c r="K22" s="192"/>
      <c r="L22" s="190">
        <v>3</v>
      </c>
      <c r="M22" s="322" t="s">
        <v>340</v>
      </c>
      <c r="N22" s="667"/>
      <c r="O22" s="440"/>
      <c r="P22" s="350"/>
      <c r="Q22" s="668">
        <v>15800</v>
      </c>
      <c r="R22" s="477"/>
      <c r="S22" s="508" t="s">
        <v>345</v>
      </c>
      <c r="T22" s="544">
        <v>46022</v>
      </c>
      <c r="U22" s="656">
        <v>0</v>
      </c>
      <c r="V22" s="733"/>
      <c r="W22" s="685">
        <v>46021</v>
      </c>
      <c r="X22" s="721"/>
      <c r="Y22" s="609"/>
      <c r="Z22" s="488"/>
      <c r="AA22" s="528"/>
    </row>
    <row r="23" spans="1:28" ht="14.25" customHeight="1">
      <c r="B23" s="190"/>
      <c r="C23" s="214"/>
      <c r="D23" s="667"/>
      <c r="E23" s="349"/>
      <c r="F23" s="350"/>
      <c r="G23" s="668"/>
      <c r="H23" s="544"/>
      <c r="I23" s="721"/>
      <c r="J23" s="724"/>
      <c r="K23" s="192"/>
      <c r="L23" s="190">
        <v>3</v>
      </c>
      <c r="M23" s="322" t="s">
        <v>340</v>
      </c>
      <c r="N23" s="667" t="s">
        <v>346</v>
      </c>
      <c r="O23" s="440"/>
      <c r="P23" s="350"/>
      <c r="Q23" s="668">
        <v>1578</v>
      </c>
      <c r="R23" s="477" t="s">
        <v>347</v>
      </c>
      <c r="S23" s="508" t="s">
        <v>348</v>
      </c>
      <c r="T23" s="544">
        <v>46022</v>
      </c>
      <c r="U23" s="656">
        <v>0</v>
      </c>
      <c r="V23" s="733"/>
      <c r="W23" s="685">
        <v>46021</v>
      </c>
      <c r="X23" s="721"/>
      <c r="Y23" s="609"/>
      <c r="Z23" s="488"/>
      <c r="AA23" s="528"/>
    </row>
    <row r="24" spans="1:28" ht="14.25" customHeight="1">
      <c r="B24" s="215">
        <v>3</v>
      </c>
      <c r="C24" s="216"/>
      <c r="D24" s="232"/>
      <c r="E24" s="218"/>
      <c r="F24" s="357"/>
      <c r="G24" s="219"/>
      <c r="H24" s="543"/>
      <c r="I24" s="721"/>
      <c r="J24" s="724"/>
      <c r="K24" s="192"/>
      <c r="L24" s="215">
        <v>3</v>
      </c>
      <c r="M24" s="322" t="s">
        <v>340</v>
      </c>
      <c r="N24" s="232" t="s">
        <v>349</v>
      </c>
      <c r="O24" s="433"/>
      <c r="P24" s="357"/>
      <c r="Q24" s="219">
        <v>22002.2</v>
      </c>
      <c r="R24" s="470" t="s">
        <v>350</v>
      </c>
      <c r="S24" s="501" t="s">
        <v>351</v>
      </c>
      <c r="T24" s="543">
        <v>45961</v>
      </c>
      <c r="U24" s="656">
        <v>29997.465220324666</v>
      </c>
      <c r="V24" s="733"/>
      <c r="W24" s="634">
        <f>W21</f>
        <v>45989</v>
      </c>
      <c r="X24" s="721"/>
      <c r="Y24" s="609" t="s">
        <v>304</v>
      </c>
      <c r="Z24" s="488">
        <f>SUM(Z12:Z21)</f>
        <v>574916.22222222225</v>
      </c>
      <c r="AB24" s="623"/>
    </row>
    <row r="25" spans="1:28" ht="14.25" customHeight="1">
      <c r="B25" s="215">
        <v>3</v>
      </c>
      <c r="C25" s="216"/>
      <c r="D25" s="232"/>
      <c r="E25" s="218"/>
      <c r="F25" s="357"/>
      <c r="G25" s="219"/>
      <c r="H25" s="543"/>
      <c r="I25" s="721"/>
      <c r="J25" s="724"/>
      <c r="K25" s="192"/>
      <c r="L25" s="215">
        <v>3</v>
      </c>
      <c r="M25" s="322" t="s">
        <v>340</v>
      </c>
      <c r="N25" s="232"/>
      <c r="O25" s="433"/>
      <c r="P25" s="357"/>
      <c r="Q25" s="219">
        <v>19475</v>
      </c>
      <c r="R25" s="470"/>
      <c r="S25" s="501" t="s">
        <v>352</v>
      </c>
      <c r="T25" s="543">
        <v>45961</v>
      </c>
      <c r="U25" s="656">
        <v>26551.919133805841</v>
      </c>
      <c r="V25" s="733"/>
      <c r="W25" s="634">
        <v>45989</v>
      </c>
      <c r="X25" s="721"/>
      <c r="Y25" s="609" t="s">
        <v>353</v>
      </c>
      <c r="Z25" s="491">
        <f>+Z24*0.85</f>
        <v>488678.7888888889</v>
      </c>
    </row>
    <row r="26" spans="1:28" ht="14.25" customHeight="1">
      <c r="B26" s="215">
        <v>3</v>
      </c>
      <c r="C26" s="285"/>
      <c r="D26" s="286"/>
      <c r="E26" s="307"/>
      <c r="F26" s="343"/>
      <c r="G26" s="287"/>
      <c r="H26" s="553"/>
      <c r="I26" s="721"/>
      <c r="J26" s="724"/>
      <c r="K26" s="192"/>
      <c r="L26" s="215">
        <v>3</v>
      </c>
      <c r="M26" s="322" t="s">
        <v>340</v>
      </c>
      <c r="N26" s="286" t="s">
        <v>354</v>
      </c>
      <c r="O26" s="434"/>
      <c r="P26" s="343"/>
      <c r="Q26" s="287">
        <v>65115</v>
      </c>
      <c r="R26" s="471" t="s">
        <v>355</v>
      </c>
      <c r="S26" s="501" t="s">
        <v>356</v>
      </c>
      <c r="T26" s="629">
        <v>45991</v>
      </c>
      <c r="U26" s="656">
        <v>88776.801766252494</v>
      </c>
      <c r="V26" s="733"/>
      <c r="W26" s="675">
        <f>T26+30</f>
        <v>46021</v>
      </c>
      <c r="X26" s="721"/>
      <c r="Y26" s="610" t="s">
        <v>357</v>
      </c>
      <c r="Z26" s="490">
        <f>Z25/'Project Plan'!$E$3/1000</f>
        <v>1.0623451932367149</v>
      </c>
    </row>
    <row r="27" spans="1:28" ht="14.25" customHeight="1">
      <c r="B27" s="215">
        <v>3</v>
      </c>
      <c r="C27" s="285"/>
      <c r="D27" s="286"/>
      <c r="E27" s="307"/>
      <c r="F27" s="343"/>
      <c r="G27" s="287"/>
      <c r="H27" s="553"/>
      <c r="I27" s="721"/>
      <c r="J27" s="724"/>
      <c r="K27" s="192"/>
      <c r="L27" s="215">
        <v>3</v>
      </c>
      <c r="M27" s="322" t="s">
        <v>340</v>
      </c>
      <c r="N27" s="286" t="s">
        <v>358</v>
      </c>
      <c r="O27" s="434"/>
      <c r="P27" s="343"/>
      <c r="Q27" s="287">
        <v>-50525</v>
      </c>
      <c r="R27" s="471"/>
      <c r="S27" s="502" t="s">
        <v>359</v>
      </c>
      <c r="T27" s="553">
        <v>45991</v>
      </c>
      <c r="U27" s="656">
        <v>0</v>
      </c>
      <c r="V27" s="733"/>
      <c r="W27" s="675">
        <f>T27+30</f>
        <v>46021</v>
      </c>
      <c r="X27" s="721"/>
    </row>
    <row r="28" spans="1:28" ht="14.25" customHeight="1">
      <c r="B28" s="284"/>
      <c r="C28" s="285"/>
      <c r="D28" s="286"/>
      <c r="E28" s="307"/>
      <c r="F28" s="343"/>
      <c r="G28" s="287"/>
      <c r="H28" s="553"/>
      <c r="I28" s="721"/>
      <c r="J28" s="724"/>
      <c r="K28" s="192"/>
      <c r="L28" s="215">
        <v>3</v>
      </c>
      <c r="M28" s="322" t="s">
        <v>340</v>
      </c>
      <c r="N28" s="286"/>
      <c r="O28" s="434"/>
      <c r="P28" s="343"/>
      <c r="Q28" s="287">
        <v>5195.3999999999996</v>
      </c>
      <c r="R28" s="471" t="s">
        <v>360</v>
      </c>
      <c r="S28" s="502" t="s">
        <v>361</v>
      </c>
      <c r="T28" s="553">
        <v>45991</v>
      </c>
      <c r="U28" s="656">
        <v>0</v>
      </c>
      <c r="V28" s="733"/>
      <c r="W28" s="675">
        <f>T28+30</f>
        <v>46021</v>
      </c>
      <c r="X28" s="721"/>
    </row>
    <row r="29" spans="1:28" ht="15" customHeight="1" thickBot="1">
      <c r="B29" s="220">
        <v>3</v>
      </c>
      <c r="C29" s="241"/>
      <c r="D29" s="233"/>
      <c r="E29" s="222"/>
      <c r="F29" s="358"/>
      <c r="G29" s="234"/>
      <c r="H29" s="554"/>
      <c r="I29" s="722"/>
      <c r="J29" s="725"/>
      <c r="K29" s="193"/>
      <c r="L29" s="220">
        <v>3</v>
      </c>
      <c r="M29" s="323" t="s">
        <v>340</v>
      </c>
      <c r="N29" s="233" t="s">
        <v>362</v>
      </c>
      <c r="O29" s="435"/>
      <c r="P29" s="358"/>
      <c r="Q29" s="234">
        <v>5751.74</v>
      </c>
      <c r="R29" s="472" t="s">
        <v>363</v>
      </c>
      <c r="S29" s="503" t="s">
        <v>364</v>
      </c>
      <c r="T29" s="554">
        <v>45991</v>
      </c>
      <c r="U29" s="673">
        <v>0</v>
      </c>
      <c r="V29" s="734"/>
      <c r="W29" s="678">
        <f>T29+30</f>
        <v>46021</v>
      </c>
      <c r="X29" s="722"/>
      <c r="Y29" s="611" t="s">
        <v>365</v>
      </c>
      <c r="Z29" s="492" t="s">
        <v>366</v>
      </c>
    </row>
    <row r="30" spans="1:28" ht="15" thickBot="1">
      <c r="A30" s="4"/>
      <c r="B30" s="194"/>
      <c r="C30" s="211"/>
      <c r="D30" s="212"/>
      <c r="E30" s="195"/>
      <c r="F30" s="354"/>
      <c r="G30" s="196"/>
      <c r="H30" s="555"/>
      <c r="I30" s="549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ref="T30:T75" si="0">IF(W30&gt;1,EOMONTH(W30,0),"")</f>
        <v/>
      </c>
      <c r="U30" s="403"/>
      <c r="V30" s="385"/>
      <c r="W30" s="457"/>
      <c r="X30" s="549"/>
      <c r="Y30" s="612" t="str">
        <f>Y12</f>
        <v>AC Equipment</v>
      </c>
      <c r="Z30" s="493">
        <v>17282.518071232022</v>
      </c>
    </row>
    <row r="31" spans="1:28" ht="14.25" customHeight="1">
      <c r="B31" s="197">
        <v>4</v>
      </c>
      <c r="C31" s="198" t="s">
        <v>331</v>
      </c>
      <c r="D31" s="198" t="s">
        <v>367</v>
      </c>
      <c r="E31" s="268">
        <v>0</v>
      </c>
      <c r="F31" s="355"/>
      <c r="G31" s="200">
        <v>0</v>
      </c>
      <c r="H31" s="556"/>
      <c r="I31" s="749">
        <f>SUM(G31:G46)</f>
        <v>44160</v>
      </c>
      <c r="J31" s="752">
        <f>F171</f>
        <v>63085.71428571429</v>
      </c>
      <c r="K31" s="201"/>
      <c r="L31" s="197">
        <v>4</v>
      </c>
      <c r="M31" s="324" t="s">
        <v>368</v>
      </c>
      <c r="N31" s="198"/>
      <c r="O31" s="429"/>
      <c r="P31" s="355"/>
      <c r="Q31" s="200"/>
      <c r="R31" s="474"/>
      <c r="S31" s="505"/>
      <c r="T31" s="415"/>
      <c r="U31" s="401">
        <f t="shared" ref="U31:U46" si="1">(Q31/$X$31*$J$31)</f>
        <v>0</v>
      </c>
      <c r="V31" s="764">
        <f>J31-SUM(U31:U46)</f>
        <v>-1.262506797502283E-3</v>
      </c>
      <c r="W31" s="458"/>
      <c r="X31" s="749">
        <f>SUM(Q31:Q46)</f>
        <v>103899.7776680892</v>
      </c>
      <c r="Y31" s="612" t="str">
        <f>Y13</f>
        <v>DC Equipment</v>
      </c>
      <c r="Z31" s="493">
        <v>42399.77766808922</v>
      </c>
    </row>
    <row r="32" spans="1:28" ht="14.25" customHeight="1">
      <c r="B32" s="224">
        <v>4</v>
      </c>
      <c r="C32" s="309"/>
      <c r="D32" s="309" t="s">
        <v>369</v>
      </c>
      <c r="E32" s="295"/>
      <c r="F32" s="351"/>
      <c r="G32" s="517">
        <f>D171-G31</f>
        <v>44160</v>
      </c>
      <c r="H32" s="547" t="e">
        <f>'Project Plan'!G30</f>
        <v>#NUM!</v>
      </c>
      <c r="I32" s="750"/>
      <c r="J32" s="753"/>
      <c r="K32" s="205"/>
      <c r="L32" s="202">
        <v>4</v>
      </c>
      <c r="M32" s="325" t="s">
        <v>368</v>
      </c>
      <c r="N32" s="309" t="s">
        <v>370</v>
      </c>
      <c r="O32" s="430">
        <v>8000</v>
      </c>
      <c r="P32" s="351"/>
      <c r="Q32" s="204">
        <v>117500</v>
      </c>
      <c r="R32" s="475" t="s">
        <v>371</v>
      </c>
      <c r="S32" s="506" t="s">
        <v>372</v>
      </c>
      <c r="T32" s="547">
        <v>46022</v>
      </c>
      <c r="U32" s="657">
        <v>34768.209351765458</v>
      </c>
      <c r="V32" s="765"/>
      <c r="W32" s="637">
        <f>T32+30</f>
        <v>46052</v>
      </c>
      <c r="X32" s="750"/>
      <c r="Y32" s="612" t="str">
        <f>Y14</f>
        <v>AC Labour</v>
      </c>
      <c r="Z32" s="493">
        <v>154582.52274824196</v>
      </c>
      <c r="AA32" s="528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7"/>
      <c r="I33" s="750"/>
      <c r="J33" s="753"/>
      <c r="K33" s="205"/>
      <c r="L33" s="202">
        <v>4</v>
      </c>
      <c r="M33" s="325" t="s">
        <v>368</v>
      </c>
      <c r="N33" s="309" t="s">
        <v>373</v>
      </c>
      <c r="O33" s="430">
        <v>-4000</v>
      </c>
      <c r="P33" s="351">
        <v>14</v>
      </c>
      <c r="Q33" s="204">
        <f>O33*P33</f>
        <v>-56000</v>
      </c>
      <c r="R33" s="475"/>
      <c r="S33" s="506" t="s">
        <v>374</v>
      </c>
      <c r="T33" s="631">
        <v>46053</v>
      </c>
      <c r="U33" s="657">
        <v>-2704.84</v>
      </c>
      <c r="V33" s="765"/>
      <c r="W33" s="677">
        <v>46053</v>
      </c>
      <c r="X33" s="750"/>
      <c r="Y33" s="612" t="str">
        <f>Y15</f>
        <v>DC Labour</v>
      </c>
      <c r="Z33" s="493">
        <v>309165.04549648392</v>
      </c>
      <c r="AA33" s="528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7"/>
      <c r="I34" s="750"/>
      <c r="J34" s="753"/>
      <c r="K34" s="205"/>
      <c r="L34" s="202">
        <v>4</v>
      </c>
      <c r="M34" s="325" t="s">
        <v>368</v>
      </c>
      <c r="N34" s="309"/>
      <c r="O34" s="438"/>
      <c r="P34" s="351"/>
      <c r="Q34" s="204"/>
      <c r="R34" s="475"/>
      <c r="S34" s="506"/>
      <c r="T34" s="416" t="str">
        <f t="shared" si="0"/>
        <v/>
      </c>
      <c r="U34" s="401">
        <f t="shared" si="1"/>
        <v>0</v>
      </c>
      <c r="V34" s="765"/>
      <c r="W34" s="459"/>
      <c r="X34" s="750"/>
      <c r="Y34" s="612" t="s">
        <v>375</v>
      </c>
      <c r="Z34" s="493">
        <v>8161.1890891928979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7"/>
      <c r="I35" s="750"/>
      <c r="J35" s="753"/>
      <c r="K35" s="205"/>
      <c r="L35" s="202">
        <v>4</v>
      </c>
      <c r="M35" s="325" t="s">
        <v>368</v>
      </c>
      <c r="N35" s="309" t="s">
        <v>376</v>
      </c>
      <c r="O35" s="447">
        <f>Z31</f>
        <v>42399.77766808922</v>
      </c>
      <c r="P35" s="448">
        <v>0.1</v>
      </c>
      <c r="Q35" s="204">
        <f>$O$35*P35</f>
        <v>4239.9777668089218</v>
      </c>
      <c r="R35" s="746" t="s">
        <v>377</v>
      </c>
      <c r="S35" s="506" t="s">
        <v>378</v>
      </c>
      <c r="T35" s="547">
        <f>T96</f>
        <v>45961</v>
      </c>
      <c r="U35" s="657">
        <v>6308.5714285714284</v>
      </c>
      <c r="V35" s="765"/>
      <c r="W35" s="637">
        <f>W96</f>
        <v>45954</v>
      </c>
      <c r="X35" s="750"/>
      <c r="Y35" s="612" t="s">
        <v>379</v>
      </c>
      <c r="Z35" s="493">
        <v>16777.484487594906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7"/>
      <c r="I36" s="750"/>
      <c r="J36" s="753"/>
      <c r="K36" s="205"/>
      <c r="L36" s="202">
        <v>4</v>
      </c>
      <c r="M36" s="325" t="s">
        <v>368</v>
      </c>
      <c r="N36" s="309" t="s">
        <v>152</v>
      </c>
      <c r="O36" s="438"/>
      <c r="P36" s="448">
        <v>0.15</v>
      </c>
      <c r="Q36" s="204">
        <f t="shared" ref="Q36:Q43" si="2">$O$35*P36</f>
        <v>6359.9666502133832</v>
      </c>
      <c r="R36" s="747"/>
      <c r="S36" s="506" t="s">
        <v>380</v>
      </c>
      <c r="T36" s="631">
        <f>T97</f>
        <v>45961</v>
      </c>
      <c r="U36" s="657">
        <v>9462.8571428571431</v>
      </c>
      <c r="V36" s="765"/>
      <c r="W36" s="637">
        <f>W97</f>
        <v>45954</v>
      </c>
      <c r="X36" s="750"/>
      <c r="Y36" s="612" t="s">
        <v>381</v>
      </c>
      <c r="Z36" s="493">
        <v>3631.4624391650495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7"/>
      <c r="I37" s="750"/>
      <c r="J37" s="753"/>
      <c r="K37" s="205"/>
      <c r="L37" s="202">
        <v>4</v>
      </c>
      <c r="M37" s="325" t="s">
        <v>368</v>
      </c>
      <c r="N37" s="309" t="s">
        <v>382</v>
      </c>
      <c r="O37" s="438"/>
      <c r="P37" s="448">
        <v>0.2</v>
      </c>
      <c r="Q37" s="204">
        <f t="shared" si="2"/>
        <v>8479.9555336178437</v>
      </c>
      <c r="R37" s="747"/>
      <c r="S37" s="506" t="s">
        <v>383</v>
      </c>
      <c r="T37" s="547">
        <f t="shared" ref="T37" si="3">T98</f>
        <v>46022</v>
      </c>
      <c r="U37" s="657">
        <v>3345.6209867897692</v>
      </c>
      <c r="V37" s="765"/>
      <c r="W37" s="637">
        <f t="shared" ref="W37" si="4">W98</f>
        <v>46003</v>
      </c>
      <c r="X37" s="750"/>
      <c r="Y37" s="612" t="s">
        <v>384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7"/>
      <c r="I38" s="750"/>
      <c r="J38" s="753"/>
      <c r="K38" s="205"/>
      <c r="L38" s="202">
        <v>4</v>
      </c>
      <c r="M38" s="325" t="s">
        <v>368</v>
      </c>
      <c r="N38" s="309" t="s">
        <v>385</v>
      </c>
      <c r="O38" s="438"/>
      <c r="P38" s="448">
        <v>0.1</v>
      </c>
      <c r="Q38" s="204">
        <f t="shared" si="2"/>
        <v>4239.9777668089218</v>
      </c>
      <c r="R38" s="747"/>
      <c r="S38" s="506" t="s">
        <v>386</v>
      </c>
      <c r="T38" s="547">
        <f t="shared" ref="T38:T43" si="5">T99</f>
        <v>46022</v>
      </c>
      <c r="U38" s="657">
        <v>1672.8104933948846</v>
      </c>
      <c r="V38" s="765"/>
      <c r="W38" s="637">
        <v>46009</v>
      </c>
      <c r="X38" s="750"/>
      <c r="Y38" s="612" t="s">
        <v>101</v>
      </c>
      <c r="Z38" s="493">
        <v>0</v>
      </c>
    </row>
    <row r="39" spans="1:27" ht="14.25" customHeight="1">
      <c r="B39" s="224"/>
      <c r="C39" s="309"/>
      <c r="D39" s="309"/>
      <c r="E39" s="295"/>
      <c r="F39" s="351"/>
      <c r="G39" s="204"/>
      <c r="H39" s="547"/>
      <c r="I39" s="750"/>
      <c r="J39" s="753"/>
      <c r="K39" s="205"/>
      <c r="L39" s="202">
        <v>4</v>
      </c>
      <c r="M39" s="325" t="s">
        <v>368</v>
      </c>
      <c r="N39" s="309" t="s">
        <v>385</v>
      </c>
      <c r="O39" s="438"/>
      <c r="P39" s="448">
        <v>0.15</v>
      </c>
      <c r="Q39" s="204">
        <f>O35*P39</f>
        <v>6359.9666502133832</v>
      </c>
      <c r="R39" s="747"/>
      <c r="S39" s="506" t="str">
        <f>S100</f>
        <v>Luken INV0692</v>
      </c>
      <c r="T39" s="631">
        <f t="shared" si="5"/>
        <v>46022</v>
      </c>
      <c r="U39" s="657">
        <v>2509.2157400923265</v>
      </c>
      <c r="V39" s="765"/>
      <c r="W39" s="677">
        <f t="shared" ref="W39:W43" si="6">W100</f>
        <v>46009</v>
      </c>
      <c r="X39" s="750"/>
      <c r="Y39" s="612"/>
      <c r="Z39" s="493"/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7"/>
      <c r="I40" s="750"/>
      <c r="J40" s="753"/>
      <c r="K40" s="205"/>
      <c r="L40" s="202">
        <v>4</v>
      </c>
      <c r="M40" s="325" t="s">
        <v>368</v>
      </c>
      <c r="N40" s="309" t="s">
        <v>387</v>
      </c>
      <c r="O40" s="438"/>
      <c r="P40" s="448">
        <v>0.1</v>
      </c>
      <c r="Q40" s="204">
        <f t="shared" si="2"/>
        <v>4239.9777668089218</v>
      </c>
      <c r="R40" s="747"/>
      <c r="S40" s="506" t="str">
        <f>S101</f>
        <v>Luken Solar INV-0699</v>
      </c>
      <c r="T40" s="547">
        <f t="shared" si="5"/>
        <v>46053</v>
      </c>
      <c r="U40" s="657">
        <v>2574.4234682500237</v>
      </c>
      <c r="V40" s="765"/>
      <c r="W40" s="637">
        <f t="shared" si="6"/>
        <v>46051</v>
      </c>
      <c r="X40" s="750"/>
      <c r="Y40" s="612" t="s">
        <v>344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7"/>
      <c r="I41" s="750"/>
      <c r="J41" s="753"/>
      <c r="K41" s="205"/>
      <c r="L41" s="202">
        <v>4</v>
      </c>
      <c r="M41" s="325" t="s">
        <v>368</v>
      </c>
      <c r="N41" s="309" t="s">
        <v>388</v>
      </c>
      <c r="O41" s="438"/>
      <c r="P41" s="448">
        <v>0.1</v>
      </c>
      <c r="Q41" s="204">
        <f t="shared" si="2"/>
        <v>4239.9777668089218</v>
      </c>
      <c r="R41" s="747"/>
      <c r="S41" s="506" t="str">
        <f>S102</f>
        <v>Luken Solar INV-0706</v>
      </c>
      <c r="T41" s="547">
        <f t="shared" si="5"/>
        <v>46053</v>
      </c>
      <c r="U41" s="657">
        <v>2574.4234682500237</v>
      </c>
      <c r="V41" s="765"/>
      <c r="W41" s="637">
        <f t="shared" si="6"/>
        <v>46051</v>
      </c>
      <c r="X41" s="750"/>
      <c r="Y41" s="612" t="s">
        <v>344</v>
      </c>
      <c r="Z41" s="494">
        <v>0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7"/>
      <c r="I42" s="750"/>
      <c r="J42" s="753"/>
      <c r="K42" s="205"/>
      <c r="L42" s="202">
        <v>4</v>
      </c>
      <c r="M42" s="325" t="s">
        <v>368</v>
      </c>
      <c r="N42" s="309" t="s">
        <v>389</v>
      </c>
      <c r="O42" s="438"/>
      <c r="P42" s="448">
        <v>0.05</v>
      </c>
      <c r="Q42" s="204">
        <f t="shared" si="2"/>
        <v>2119.9888834044609</v>
      </c>
      <c r="R42" s="747"/>
      <c r="S42" s="506" t="str">
        <f>S103</f>
        <v>Luken Solar INV-0702</v>
      </c>
      <c r="T42" s="547">
        <f t="shared" si="5"/>
        <v>46053</v>
      </c>
      <c r="U42" s="657">
        <v>1287.2117341250118</v>
      </c>
      <c r="V42" s="765"/>
      <c r="W42" s="637">
        <f t="shared" si="6"/>
        <v>46051</v>
      </c>
      <c r="X42" s="750"/>
      <c r="Y42" s="612" t="s">
        <v>304</v>
      </c>
      <c r="Z42" s="493">
        <f>SUM(Z30:Z41)</f>
        <v>552000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7"/>
      <c r="I43" s="750"/>
      <c r="J43" s="753"/>
      <c r="K43" s="205"/>
      <c r="L43" s="202">
        <v>4</v>
      </c>
      <c r="M43" s="325" t="s">
        <v>368</v>
      </c>
      <c r="N43" s="309" t="s">
        <v>390</v>
      </c>
      <c r="O43" s="438"/>
      <c r="P43" s="448">
        <v>0.05</v>
      </c>
      <c r="Q43" s="204">
        <f t="shared" si="2"/>
        <v>2119.9888834044609</v>
      </c>
      <c r="R43" s="748"/>
      <c r="S43" s="506" t="str">
        <f>S104</f>
        <v>Luken Solar INV-0705</v>
      </c>
      <c r="T43" s="547">
        <f t="shared" si="5"/>
        <v>46053</v>
      </c>
      <c r="U43" s="657">
        <v>1287.2117341250118</v>
      </c>
      <c r="V43" s="765"/>
      <c r="W43" s="459">
        <v>46079</v>
      </c>
      <c r="X43" s="750"/>
      <c r="Y43" s="613" t="s">
        <v>357</v>
      </c>
      <c r="Z43" s="494">
        <f>Z42/'Project Plan'!$E$3/1000</f>
        <v>1.2</v>
      </c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7"/>
      <c r="I44" s="750"/>
      <c r="J44" s="753"/>
      <c r="K44" s="205"/>
      <c r="L44" s="202">
        <v>4</v>
      </c>
      <c r="M44" s="325" t="s">
        <v>368</v>
      </c>
      <c r="N44" s="309"/>
      <c r="O44" s="438"/>
      <c r="P44" s="351"/>
      <c r="Q44" s="204"/>
      <c r="R44" s="475"/>
      <c r="S44" s="506"/>
      <c r="T44" s="416" t="str">
        <f t="shared" si="0"/>
        <v/>
      </c>
      <c r="U44" s="401">
        <f t="shared" si="1"/>
        <v>0</v>
      </c>
      <c r="V44" s="765"/>
      <c r="W44" s="459"/>
      <c r="X44" s="750"/>
    </row>
    <row r="45" spans="1:27" ht="14.25" customHeight="1">
      <c r="B45" s="224">
        <v>4</v>
      </c>
      <c r="C45" s="309"/>
      <c r="D45" s="309"/>
      <c r="E45" s="295"/>
      <c r="F45" s="351"/>
      <c r="G45" s="204"/>
      <c r="H45" s="547"/>
      <c r="I45" s="750"/>
      <c r="J45" s="753"/>
      <c r="K45" s="205"/>
      <c r="L45" s="202">
        <v>4</v>
      </c>
      <c r="M45" s="325" t="s">
        <v>368</v>
      </c>
      <c r="N45" s="309"/>
      <c r="O45" s="438"/>
      <c r="P45" s="351"/>
      <c r="Q45" s="204"/>
      <c r="R45" s="475"/>
      <c r="S45" s="506"/>
      <c r="T45" s="416" t="str">
        <f t="shared" si="0"/>
        <v/>
      </c>
      <c r="U45" s="401">
        <f t="shared" si="1"/>
        <v>0</v>
      </c>
      <c r="V45" s="765"/>
      <c r="W45" s="459"/>
      <c r="X45" s="750"/>
    </row>
    <row r="46" spans="1:27" ht="15" customHeight="1" thickBot="1">
      <c r="B46" s="206">
        <v>4</v>
      </c>
      <c r="C46" s="229"/>
      <c r="D46" s="229"/>
      <c r="E46" s="298"/>
      <c r="F46" s="353"/>
      <c r="G46" s="209"/>
      <c r="H46" s="557"/>
      <c r="I46" s="751"/>
      <c r="J46" s="754"/>
      <c r="K46" s="210"/>
      <c r="L46" s="206">
        <v>4</v>
      </c>
      <c r="M46" s="326" t="s">
        <v>368</v>
      </c>
      <c r="N46" s="229"/>
      <c r="O46" s="439"/>
      <c r="P46" s="353"/>
      <c r="Q46" s="209"/>
      <c r="R46" s="476"/>
      <c r="S46" s="507"/>
      <c r="T46" s="417" t="str">
        <f t="shared" si="0"/>
        <v/>
      </c>
      <c r="U46" s="402">
        <f t="shared" si="1"/>
        <v>0</v>
      </c>
      <c r="V46" s="766"/>
      <c r="W46" s="460"/>
      <c r="X46" s="751"/>
    </row>
    <row r="47" spans="1:27" ht="15" thickBot="1">
      <c r="A47" s="4"/>
      <c r="B47" s="180"/>
      <c r="C47" s="181"/>
      <c r="D47" s="212"/>
      <c r="E47" s="195"/>
      <c r="F47" s="354"/>
      <c r="G47" s="196"/>
      <c r="H47" s="558"/>
      <c r="I47" s="549"/>
      <c r="J47" s="184"/>
      <c r="K47" s="4"/>
      <c r="L47" s="180"/>
      <c r="M47" s="181"/>
      <c r="N47" s="212"/>
      <c r="O47" s="436"/>
      <c r="P47" s="354"/>
      <c r="Q47" s="196"/>
      <c r="R47" s="478"/>
      <c r="S47" s="509"/>
      <c r="T47" s="414" t="str">
        <f t="shared" si="0"/>
        <v/>
      </c>
      <c r="U47" s="405"/>
      <c r="V47" s="388"/>
      <c r="W47" s="457"/>
      <c r="X47" s="549"/>
    </row>
    <row r="48" spans="1:27" ht="14.25" customHeight="1">
      <c r="B48" s="185">
        <v>5</v>
      </c>
      <c r="C48" s="213" t="s">
        <v>391</v>
      </c>
      <c r="D48" s="231" t="s">
        <v>392</v>
      </c>
      <c r="E48" s="187"/>
      <c r="F48" s="336"/>
      <c r="G48" s="188">
        <f>D173-G49</f>
        <v>8000</v>
      </c>
      <c r="H48" s="544" t="e">
        <f>H32</f>
        <v>#NUM!</v>
      </c>
      <c r="I48" s="720">
        <f>SUM(G48:G55)</f>
        <v>23000</v>
      </c>
      <c r="J48" s="723">
        <f>F173</f>
        <v>32857.142857142855</v>
      </c>
      <c r="K48" s="189"/>
      <c r="L48" s="185">
        <v>5</v>
      </c>
      <c r="M48" s="321" t="s">
        <v>393</v>
      </c>
      <c r="N48" s="231"/>
      <c r="O48" s="432"/>
      <c r="P48" s="336"/>
      <c r="Q48" s="188"/>
      <c r="R48" s="477"/>
      <c r="S48" s="508"/>
      <c r="T48" s="418" t="str">
        <f t="shared" si="0"/>
        <v/>
      </c>
      <c r="U48" s="396">
        <f t="shared" ref="U48:U55" si="7">(Q48/$X$48*$J$48)</f>
        <v>0</v>
      </c>
      <c r="V48" s="732">
        <f>J48-SUM(U48:U55)</f>
        <v>-8.2806761201936752E-4</v>
      </c>
      <c r="W48" s="461"/>
      <c r="X48" s="720">
        <f>SUM(Q48:Q55)</f>
        <v>31776.719999999998</v>
      </c>
    </row>
    <row r="49" spans="1:24" ht="14.25" customHeight="1">
      <c r="B49" s="190">
        <v>5</v>
      </c>
      <c r="C49" s="214"/>
      <c r="D49" s="217" t="s">
        <v>394</v>
      </c>
      <c r="E49" s="349"/>
      <c r="F49" s="350"/>
      <c r="G49" s="219">
        <v>15000</v>
      </c>
      <c r="H49" s="543" t="e">
        <f>H48</f>
        <v>#NUM!</v>
      </c>
      <c r="I49" s="721"/>
      <c r="J49" s="724"/>
      <c r="K49" s="192"/>
      <c r="L49" s="190">
        <v>5</v>
      </c>
      <c r="M49" s="327" t="s">
        <v>393</v>
      </c>
      <c r="N49" s="191" t="s">
        <v>395</v>
      </c>
      <c r="O49" s="440"/>
      <c r="P49" s="350"/>
      <c r="Q49" s="219">
        <v>18378</v>
      </c>
      <c r="R49" s="518" t="s">
        <v>396</v>
      </c>
      <c r="S49" s="501" t="s">
        <v>397</v>
      </c>
      <c r="T49" s="665">
        <v>45991</v>
      </c>
      <c r="U49" s="670">
        <v>16958.361035993639</v>
      </c>
      <c r="V49" s="733"/>
      <c r="W49" s="676">
        <v>46029</v>
      </c>
      <c r="X49" s="721"/>
    </row>
    <row r="50" spans="1:24" ht="14.25" customHeight="1">
      <c r="B50" s="190">
        <v>5</v>
      </c>
      <c r="C50" s="214"/>
      <c r="D50" s="217"/>
      <c r="E50" s="218"/>
      <c r="F50" s="357"/>
      <c r="G50" s="219"/>
      <c r="H50" s="543"/>
      <c r="I50" s="721"/>
      <c r="J50" s="724"/>
      <c r="K50" s="192"/>
      <c r="L50" s="190">
        <v>5</v>
      </c>
      <c r="M50" s="327" t="s">
        <v>393</v>
      </c>
      <c r="N50" s="217" t="s">
        <v>100</v>
      </c>
      <c r="O50" s="433"/>
      <c r="P50" s="357"/>
      <c r="Q50" s="219">
        <v>11169</v>
      </c>
      <c r="R50" s="470"/>
      <c r="S50" s="501" t="s">
        <v>398</v>
      </c>
      <c r="T50" s="665">
        <v>46053</v>
      </c>
      <c r="U50" s="670">
        <v>13841.301053331765</v>
      </c>
      <c r="V50" s="733"/>
      <c r="W50" s="676">
        <v>46051</v>
      </c>
      <c r="X50" s="721"/>
    </row>
    <row r="51" spans="1:24" ht="14.25" customHeight="1">
      <c r="B51" s="190"/>
      <c r="C51" s="214"/>
      <c r="D51" s="217"/>
      <c r="E51" s="218"/>
      <c r="F51" s="357"/>
      <c r="G51" s="219"/>
      <c r="H51" s="543"/>
      <c r="I51" s="721"/>
      <c r="J51" s="724"/>
      <c r="K51" s="192"/>
      <c r="L51" s="190">
        <v>5</v>
      </c>
      <c r="M51" s="327" t="s">
        <v>393</v>
      </c>
      <c r="N51" s="217" t="s">
        <v>399</v>
      </c>
      <c r="O51" s="433"/>
      <c r="P51" s="357"/>
      <c r="Q51" s="219">
        <v>307.94</v>
      </c>
      <c r="R51" s="470"/>
      <c r="S51" s="502" t="s">
        <v>400</v>
      </c>
      <c r="T51" s="665">
        <v>45991</v>
      </c>
      <c r="U51" s="670">
        <v>284.15266609118947</v>
      </c>
      <c r="V51" s="733"/>
      <c r="W51" s="676">
        <v>46021</v>
      </c>
      <c r="X51" s="721"/>
    </row>
    <row r="52" spans="1:24" ht="14.25" customHeight="1">
      <c r="B52" s="215">
        <v>5</v>
      </c>
      <c r="C52" s="216"/>
      <c r="D52" s="217"/>
      <c r="E52" s="218"/>
      <c r="F52" s="357"/>
      <c r="G52" s="219"/>
      <c r="H52" s="543"/>
      <c r="I52" s="721"/>
      <c r="J52" s="724"/>
      <c r="K52" s="192"/>
      <c r="L52" s="215">
        <v>5</v>
      </c>
      <c r="M52" s="327" t="s">
        <v>393</v>
      </c>
      <c r="N52" s="217" t="s">
        <v>401</v>
      </c>
      <c r="O52" s="433"/>
      <c r="P52" s="357"/>
      <c r="Q52" s="219">
        <v>1664.1</v>
      </c>
      <c r="R52" s="470" t="s">
        <v>402</v>
      </c>
      <c r="S52" s="501" t="s">
        <v>403</v>
      </c>
      <c r="T52" s="543">
        <v>45991</v>
      </c>
      <c r="U52" s="670">
        <v>1535.5538469908047</v>
      </c>
      <c r="V52" s="733"/>
      <c r="W52" s="676">
        <v>45972</v>
      </c>
      <c r="X52" s="721"/>
    </row>
    <row r="53" spans="1:24" ht="14.25" customHeight="1">
      <c r="B53" s="284">
        <v>5</v>
      </c>
      <c r="C53" s="285"/>
      <c r="D53" s="288"/>
      <c r="E53" s="307"/>
      <c r="F53" s="343"/>
      <c r="G53" s="287"/>
      <c r="H53" s="553"/>
      <c r="I53" s="721"/>
      <c r="J53" s="724"/>
      <c r="K53" s="192"/>
      <c r="L53" s="215">
        <v>5</v>
      </c>
      <c r="M53" s="327" t="s">
        <v>393</v>
      </c>
      <c r="N53" s="288" t="s">
        <v>404</v>
      </c>
      <c r="O53" s="434"/>
      <c r="P53" s="343"/>
      <c r="Q53" s="287">
        <v>257.68</v>
      </c>
      <c r="R53" s="471"/>
      <c r="S53" s="502" t="s">
        <v>405</v>
      </c>
      <c r="T53" s="629">
        <v>45991</v>
      </c>
      <c r="U53" s="670">
        <v>237.77508280307109</v>
      </c>
      <c r="V53" s="733"/>
      <c r="W53" s="675">
        <v>46021</v>
      </c>
      <c r="X53" s="721"/>
    </row>
    <row r="54" spans="1:24" ht="14.25" customHeight="1">
      <c r="B54" s="284">
        <v>5</v>
      </c>
      <c r="C54" s="285"/>
      <c r="D54" s="288"/>
      <c r="E54" s="307"/>
      <c r="F54" s="343"/>
      <c r="G54" s="287"/>
      <c r="H54" s="553"/>
      <c r="I54" s="721"/>
      <c r="J54" s="724"/>
      <c r="K54" s="192"/>
      <c r="L54" s="215">
        <v>5</v>
      </c>
      <c r="M54" s="327" t="s">
        <v>393</v>
      </c>
      <c r="N54" s="288"/>
      <c r="O54" s="434"/>
      <c r="P54" s="343"/>
      <c r="Q54" s="287"/>
      <c r="R54" s="471"/>
      <c r="S54" s="502"/>
      <c r="T54" s="412" t="str">
        <f t="shared" si="0"/>
        <v/>
      </c>
      <c r="U54" s="397">
        <f t="shared" si="7"/>
        <v>0</v>
      </c>
      <c r="V54" s="733"/>
      <c r="W54" s="455"/>
      <c r="X54" s="721"/>
    </row>
    <row r="55" spans="1:24" ht="15" customHeight="1" thickBot="1">
      <c r="B55" s="220">
        <v>5</v>
      </c>
      <c r="C55" s="241"/>
      <c r="D55" s="221"/>
      <c r="E55" s="222"/>
      <c r="F55" s="358"/>
      <c r="G55" s="234"/>
      <c r="H55" s="554"/>
      <c r="I55" s="722"/>
      <c r="J55" s="725"/>
      <c r="K55" s="193"/>
      <c r="L55" s="220">
        <v>5</v>
      </c>
      <c r="M55" s="323" t="s">
        <v>393</v>
      </c>
      <c r="N55" s="221"/>
      <c r="O55" s="435"/>
      <c r="P55" s="358"/>
      <c r="Q55" s="234"/>
      <c r="R55" s="472"/>
      <c r="S55" s="503"/>
      <c r="T55" s="413" t="str">
        <f t="shared" si="0"/>
        <v/>
      </c>
      <c r="U55" s="398">
        <f t="shared" si="7"/>
        <v>0</v>
      </c>
      <c r="V55" s="734"/>
      <c r="W55" s="456"/>
      <c r="X55" s="722"/>
    </row>
    <row r="56" spans="1:24" ht="15" thickBot="1">
      <c r="A56" s="4"/>
      <c r="B56" s="194"/>
      <c r="C56" s="211"/>
      <c r="D56" s="182"/>
      <c r="E56" s="195"/>
      <c r="F56" s="354"/>
      <c r="G56" s="196"/>
      <c r="H56" s="555"/>
      <c r="I56" s="550"/>
      <c r="J56" s="230"/>
      <c r="K56" s="4"/>
      <c r="L56" s="194"/>
      <c r="M56" s="211"/>
      <c r="N56" s="182"/>
      <c r="O56" s="436"/>
      <c r="P56" s="354"/>
      <c r="Q56" s="196"/>
      <c r="R56" s="473"/>
      <c r="S56" s="504"/>
      <c r="T56" s="414" t="str">
        <f t="shared" si="0"/>
        <v/>
      </c>
      <c r="U56" s="403"/>
      <c r="V56" s="385"/>
      <c r="W56" s="457"/>
      <c r="X56" s="550"/>
    </row>
    <row r="57" spans="1:24" ht="14.25" customHeight="1">
      <c r="B57" s="197">
        <v>6</v>
      </c>
      <c r="C57" s="198" t="s">
        <v>328</v>
      </c>
      <c r="D57" s="199" t="s">
        <v>406</v>
      </c>
      <c r="E57" s="373"/>
      <c r="F57" s="355"/>
      <c r="G57" s="200">
        <f>D172</f>
        <v>18000</v>
      </c>
      <c r="H57" s="556">
        <f>'Project Plan'!G26+30</f>
        <v>45940</v>
      </c>
      <c r="I57" s="749">
        <f>SUM(G57:G74)</f>
        <v>18000</v>
      </c>
      <c r="J57" s="752">
        <f>F172</f>
        <v>25714.285714285714</v>
      </c>
      <c r="K57" s="201"/>
      <c r="L57" s="197">
        <v>6</v>
      </c>
      <c r="M57" s="330" t="s">
        <v>407</v>
      </c>
      <c r="N57" s="199"/>
      <c r="O57" s="428"/>
      <c r="P57" s="355"/>
      <c r="Q57" s="200"/>
      <c r="R57" s="474"/>
      <c r="S57" s="505"/>
      <c r="T57" s="415" t="str">
        <f t="shared" si="0"/>
        <v/>
      </c>
      <c r="U57" s="400">
        <f t="shared" ref="U57:U74" si="8">(Q57/$X$57*$J$57)</f>
        <v>0</v>
      </c>
      <c r="V57" s="764">
        <f>J57-SUM(U57:U74)</f>
        <v>0</v>
      </c>
      <c r="W57" s="458"/>
      <c r="X57" s="749">
        <f>SUM(Q57:Q74)</f>
        <v>17282.518071232025</v>
      </c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7"/>
      <c r="I58" s="750"/>
      <c r="J58" s="753"/>
      <c r="K58" s="205"/>
      <c r="L58" s="202">
        <v>6</v>
      </c>
      <c r="M58" s="328" t="s">
        <v>407</v>
      </c>
      <c r="N58" s="342"/>
      <c r="O58" s="438"/>
      <c r="P58" s="351"/>
      <c r="Q58" s="225"/>
      <c r="R58" s="475"/>
      <c r="S58" s="506"/>
      <c r="T58" s="416"/>
      <c r="U58" s="401">
        <f t="shared" si="8"/>
        <v>0</v>
      </c>
      <c r="V58" s="765"/>
      <c r="W58" s="459"/>
      <c r="X58" s="750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7"/>
      <c r="I59" s="750"/>
      <c r="J59" s="753"/>
      <c r="K59" s="205"/>
      <c r="L59" s="202">
        <v>6</v>
      </c>
      <c r="M59" s="328" t="s">
        <v>407</v>
      </c>
      <c r="N59" s="342"/>
      <c r="O59" s="438"/>
      <c r="P59" s="351"/>
      <c r="Q59" s="225"/>
      <c r="R59" s="475"/>
      <c r="S59" s="506"/>
      <c r="T59" s="416" t="str">
        <f t="shared" si="0"/>
        <v/>
      </c>
      <c r="U59" s="401">
        <f t="shared" si="8"/>
        <v>0</v>
      </c>
      <c r="V59" s="765"/>
      <c r="W59" s="459"/>
      <c r="X59" s="750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7"/>
      <c r="I60" s="750"/>
      <c r="J60" s="753"/>
      <c r="K60" s="205"/>
      <c r="L60" s="202">
        <v>6</v>
      </c>
      <c r="M60" s="328" t="s">
        <v>407</v>
      </c>
      <c r="N60" s="342"/>
      <c r="O60" s="438"/>
      <c r="P60" s="351"/>
      <c r="Q60" s="225"/>
      <c r="R60" s="475"/>
      <c r="S60" s="506"/>
      <c r="T60" s="416" t="str">
        <f t="shared" si="0"/>
        <v/>
      </c>
      <c r="U60" s="401">
        <f t="shared" si="8"/>
        <v>0</v>
      </c>
      <c r="V60" s="765"/>
      <c r="W60" s="459"/>
      <c r="X60" s="750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7"/>
      <c r="I61" s="750"/>
      <c r="J61" s="753"/>
      <c r="K61" s="205"/>
      <c r="L61" s="202">
        <v>6</v>
      </c>
      <c r="M61" s="328" t="s">
        <v>407</v>
      </c>
      <c r="N61" s="342"/>
      <c r="O61" s="438"/>
      <c r="P61" s="351"/>
      <c r="Q61" s="225"/>
      <c r="R61" s="475"/>
      <c r="S61" s="506"/>
      <c r="T61" s="416" t="str">
        <f t="shared" si="0"/>
        <v/>
      </c>
      <c r="U61" s="401">
        <f t="shared" si="8"/>
        <v>0</v>
      </c>
      <c r="V61" s="765"/>
      <c r="W61" s="459"/>
      <c r="X61" s="750"/>
    </row>
    <row r="62" spans="1:24" ht="14.25" customHeight="1">
      <c r="B62" s="202">
        <v>6</v>
      </c>
      <c r="C62" s="309"/>
      <c r="D62" s="342"/>
      <c r="E62" s="295"/>
      <c r="F62" s="351"/>
      <c r="G62" s="225"/>
      <c r="H62" s="547"/>
      <c r="I62" s="750"/>
      <c r="J62" s="753"/>
      <c r="K62" s="205"/>
      <c r="L62" s="202">
        <v>6</v>
      </c>
      <c r="M62" s="328" t="s">
        <v>407</v>
      </c>
      <c r="N62" s="342"/>
      <c r="O62" s="438"/>
      <c r="P62" s="351"/>
      <c r="Q62" s="225"/>
      <c r="R62" s="475"/>
      <c r="S62" s="506"/>
      <c r="T62" s="416" t="str">
        <f t="shared" si="0"/>
        <v/>
      </c>
      <c r="U62" s="401">
        <f t="shared" si="8"/>
        <v>0</v>
      </c>
      <c r="V62" s="765"/>
      <c r="W62" s="459"/>
      <c r="X62" s="750"/>
    </row>
    <row r="63" spans="1:24" ht="14.25" customHeight="1">
      <c r="B63" s="202">
        <v>6</v>
      </c>
      <c r="C63" s="348"/>
      <c r="D63" s="203"/>
      <c r="E63" s="300"/>
      <c r="F63" s="352"/>
      <c r="G63" s="225"/>
      <c r="H63" s="547"/>
      <c r="I63" s="750"/>
      <c r="J63" s="753"/>
      <c r="K63" s="205"/>
      <c r="L63" s="202">
        <v>6</v>
      </c>
      <c r="M63" s="328" t="s">
        <v>407</v>
      </c>
      <c r="N63" s="309" t="s">
        <v>376</v>
      </c>
      <c r="O63" s="447">
        <f>Z30</f>
        <v>17282.518071232022</v>
      </c>
      <c r="P63" s="448">
        <v>0.1</v>
      </c>
      <c r="Q63" s="204">
        <f>$O$63*P63</f>
        <v>1728.2518071232023</v>
      </c>
      <c r="R63" s="746" t="s">
        <v>377</v>
      </c>
      <c r="S63" s="506" t="s">
        <v>378</v>
      </c>
      <c r="T63" s="562">
        <f>T96</f>
        <v>45961</v>
      </c>
      <c r="U63" s="657">
        <v>2571.4285714285711</v>
      </c>
      <c r="V63" s="765"/>
      <c r="W63" s="637">
        <f>W96</f>
        <v>45954</v>
      </c>
      <c r="X63" s="750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7"/>
      <c r="I64" s="750"/>
      <c r="J64" s="753"/>
      <c r="K64" s="205"/>
      <c r="L64" s="202">
        <v>6</v>
      </c>
      <c r="M64" s="329" t="s">
        <v>407</v>
      </c>
      <c r="N64" s="309" t="s">
        <v>152</v>
      </c>
      <c r="O64" s="438"/>
      <c r="P64" s="448">
        <v>0.15</v>
      </c>
      <c r="Q64" s="204">
        <f t="shared" ref="Q64:Q71" si="9">$O$63*P64</f>
        <v>2592.3777106848033</v>
      </c>
      <c r="R64" s="747"/>
      <c r="S64" s="506" t="s">
        <v>380</v>
      </c>
      <c r="T64" s="630">
        <f t="shared" ref="T64:T66" si="10">T97</f>
        <v>45961</v>
      </c>
      <c r="U64" s="657">
        <v>3857.1428571428564</v>
      </c>
      <c r="V64" s="765"/>
      <c r="W64" s="637">
        <f t="shared" ref="W64:W65" si="11">W97</f>
        <v>45954</v>
      </c>
      <c r="X64" s="750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7"/>
      <c r="I65" s="750"/>
      <c r="J65" s="753"/>
      <c r="K65" s="205"/>
      <c r="L65" s="202">
        <v>6</v>
      </c>
      <c r="M65" s="329" t="s">
        <v>407</v>
      </c>
      <c r="N65" s="309" t="s">
        <v>382</v>
      </c>
      <c r="O65" s="438"/>
      <c r="P65" s="448">
        <v>0.2</v>
      </c>
      <c r="Q65" s="204">
        <f t="shared" si="9"/>
        <v>3456.5036142464046</v>
      </c>
      <c r="R65" s="747"/>
      <c r="S65" s="506" t="s">
        <v>383</v>
      </c>
      <c r="T65" s="562">
        <f t="shared" si="10"/>
        <v>46022</v>
      </c>
      <c r="U65" s="657">
        <v>5142.8571428571422</v>
      </c>
      <c r="V65" s="765"/>
      <c r="W65" s="637">
        <f t="shared" si="11"/>
        <v>46003</v>
      </c>
      <c r="X65" s="750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7"/>
      <c r="I66" s="750"/>
      <c r="J66" s="753"/>
      <c r="K66" s="205"/>
      <c r="L66" s="202">
        <v>6</v>
      </c>
      <c r="M66" s="329" t="s">
        <v>407</v>
      </c>
      <c r="N66" s="309" t="s">
        <v>385</v>
      </c>
      <c r="O66" s="438"/>
      <c r="P66" s="448">
        <v>0.1</v>
      </c>
      <c r="Q66" s="204">
        <f t="shared" si="9"/>
        <v>1728.2518071232023</v>
      </c>
      <c r="R66" s="747"/>
      <c r="S66" s="506" t="s">
        <v>386</v>
      </c>
      <c r="T66" s="562">
        <f t="shared" si="10"/>
        <v>46022</v>
      </c>
      <c r="U66" s="657">
        <v>2571.4285714285711</v>
      </c>
      <c r="V66" s="765"/>
      <c r="W66" s="637">
        <v>46009</v>
      </c>
      <c r="X66" s="750"/>
    </row>
    <row r="67" spans="1:24" ht="14.25" customHeight="1">
      <c r="B67" s="202"/>
      <c r="C67" s="301"/>
      <c r="D67" s="203"/>
      <c r="E67" s="300"/>
      <c r="F67" s="352"/>
      <c r="G67" s="225"/>
      <c r="H67" s="547"/>
      <c r="I67" s="750"/>
      <c r="J67" s="753"/>
      <c r="K67" s="205"/>
      <c r="L67" s="202">
        <v>6</v>
      </c>
      <c r="M67" s="329" t="s">
        <v>407</v>
      </c>
      <c r="N67" s="309" t="s">
        <v>385</v>
      </c>
      <c r="O67" s="438"/>
      <c r="P67" s="448">
        <v>0.15</v>
      </c>
      <c r="Q67" s="204">
        <f t="shared" ref="Q67" si="12">$O$63*P67</f>
        <v>2592.3777106848033</v>
      </c>
      <c r="R67" s="747"/>
      <c r="S67" s="506" t="str">
        <f t="shared" ref="S67:T69" si="13">S100</f>
        <v>Luken INV0692</v>
      </c>
      <c r="T67" s="630">
        <f t="shared" si="13"/>
        <v>46022</v>
      </c>
      <c r="U67" s="657">
        <v>3857.1428571428564</v>
      </c>
      <c r="V67" s="765"/>
      <c r="W67" s="677">
        <f>W117</f>
        <v>46009</v>
      </c>
      <c r="X67" s="750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7"/>
      <c r="I68" s="750"/>
      <c r="J68" s="753"/>
      <c r="K68" s="205"/>
      <c r="L68" s="202">
        <v>6</v>
      </c>
      <c r="M68" s="329" t="s">
        <v>407</v>
      </c>
      <c r="N68" s="309" t="s">
        <v>387</v>
      </c>
      <c r="O68" s="438"/>
      <c r="P68" s="448">
        <v>0.1</v>
      </c>
      <c r="Q68" s="204">
        <f t="shared" si="9"/>
        <v>1728.2518071232023</v>
      </c>
      <c r="R68" s="747"/>
      <c r="S68" s="506" t="str">
        <f t="shared" si="13"/>
        <v>Luken Solar INV-0699</v>
      </c>
      <c r="T68" s="562">
        <f t="shared" si="13"/>
        <v>46053</v>
      </c>
      <c r="U68" s="657">
        <v>2571.4285714285711</v>
      </c>
      <c r="V68" s="765"/>
      <c r="W68" s="637">
        <f>W101</f>
        <v>46051</v>
      </c>
      <c r="X68" s="750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7"/>
      <c r="I69" s="750"/>
      <c r="J69" s="753"/>
      <c r="K69" s="205"/>
      <c r="L69" s="202">
        <v>6</v>
      </c>
      <c r="M69" s="329" t="s">
        <v>407</v>
      </c>
      <c r="N69" s="309" t="s">
        <v>388</v>
      </c>
      <c r="O69" s="438"/>
      <c r="P69" s="448">
        <v>0.1</v>
      </c>
      <c r="Q69" s="204">
        <f t="shared" si="9"/>
        <v>1728.2518071232023</v>
      </c>
      <c r="R69" s="747"/>
      <c r="S69" s="510" t="str">
        <f t="shared" si="13"/>
        <v>Luken Solar INV-0706</v>
      </c>
      <c r="T69" s="562">
        <f t="shared" si="13"/>
        <v>46053</v>
      </c>
      <c r="U69" s="671">
        <v>2571.4285714285711</v>
      </c>
      <c r="V69" s="765"/>
      <c r="W69" s="637">
        <f>W102</f>
        <v>46051</v>
      </c>
      <c r="X69" s="750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7"/>
      <c r="I70" s="750"/>
      <c r="J70" s="753"/>
      <c r="K70" s="205"/>
      <c r="L70" s="202">
        <v>6</v>
      </c>
      <c r="M70" s="329" t="s">
        <v>407</v>
      </c>
      <c r="N70" s="309" t="s">
        <v>389</v>
      </c>
      <c r="O70" s="438"/>
      <c r="P70" s="448">
        <v>0.05</v>
      </c>
      <c r="Q70" s="204">
        <f t="shared" si="9"/>
        <v>864.12590356160115</v>
      </c>
      <c r="R70" s="747"/>
      <c r="S70" s="510" t="str">
        <f>S103</f>
        <v>Luken Solar INV-0702</v>
      </c>
      <c r="T70" s="562">
        <f>T103</f>
        <v>46053</v>
      </c>
      <c r="U70" s="671">
        <v>1285.7142857142856</v>
      </c>
      <c r="V70" s="765"/>
      <c r="W70" s="637">
        <f>W103</f>
        <v>46051</v>
      </c>
      <c r="X70" s="750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7"/>
      <c r="I71" s="750"/>
      <c r="J71" s="753"/>
      <c r="K71" s="205"/>
      <c r="L71" s="202">
        <v>6</v>
      </c>
      <c r="M71" s="329" t="s">
        <v>407</v>
      </c>
      <c r="N71" s="309" t="s">
        <v>390</v>
      </c>
      <c r="O71" s="438"/>
      <c r="P71" s="448">
        <v>0.05</v>
      </c>
      <c r="Q71" s="204">
        <f t="shared" si="9"/>
        <v>864.12590356160115</v>
      </c>
      <c r="R71" s="748"/>
      <c r="S71" s="510" t="str">
        <f>S104</f>
        <v>Luken Solar INV-0705</v>
      </c>
      <c r="T71" s="562">
        <f>T104</f>
        <v>46053</v>
      </c>
      <c r="U71" s="671">
        <v>1285.7142857142856</v>
      </c>
      <c r="V71" s="765"/>
      <c r="W71" s="459">
        <v>46079</v>
      </c>
      <c r="X71" s="750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7"/>
      <c r="I72" s="750"/>
      <c r="J72" s="753"/>
      <c r="K72" s="205"/>
      <c r="L72" s="202">
        <v>6</v>
      </c>
      <c r="M72" s="329" t="s">
        <v>407</v>
      </c>
      <c r="N72" s="309"/>
      <c r="O72" s="438"/>
      <c r="P72" s="448"/>
      <c r="Q72" s="204"/>
      <c r="R72" s="479"/>
      <c r="S72" s="510"/>
      <c r="T72" s="419" t="str">
        <f t="shared" si="0"/>
        <v/>
      </c>
      <c r="U72" s="406">
        <f t="shared" si="8"/>
        <v>0</v>
      </c>
      <c r="V72" s="765"/>
      <c r="W72" s="462"/>
      <c r="X72" s="750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7"/>
      <c r="I73" s="750"/>
      <c r="J73" s="753"/>
      <c r="K73" s="205"/>
      <c r="L73" s="202">
        <v>6</v>
      </c>
      <c r="M73" s="329" t="s">
        <v>407</v>
      </c>
      <c r="N73" s="309"/>
      <c r="O73" s="438"/>
      <c r="P73" s="448"/>
      <c r="Q73" s="204"/>
      <c r="R73" s="479"/>
      <c r="S73" s="510"/>
      <c r="T73" s="419" t="str">
        <f t="shared" si="0"/>
        <v/>
      </c>
      <c r="U73" s="406">
        <f t="shared" si="8"/>
        <v>0</v>
      </c>
      <c r="V73" s="765"/>
      <c r="W73" s="462"/>
      <c r="X73" s="750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7"/>
      <c r="I74" s="751"/>
      <c r="J74" s="754"/>
      <c r="K74" s="210"/>
      <c r="L74" s="206">
        <v>6</v>
      </c>
      <c r="M74" s="331" t="s">
        <v>407</v>
      </c>
      <c r="N74" s="208"/>
      <c r="O74" s="442"/>
      <c r="P74" s="353"/>
      <c r="Q74" s="209"/>
      <c r="R74" s="476"/>
      <c r="S74" s="507"/>
      <c r="T74" s="417" t="str">
        <f t="shared" si="0"/>
        <v/>
      </c>
      <c r="U74" s="402">
        <f t="shared" si="8"/>
        <v>0</v>
      </c>
      <c r="V74" s="766"/>
      <c r="W74" s="460"/>
      <c r="X74" s="751"/>
    </row>
    <row r="75" spans="1:24" ht="15" thickBot="1">
      <c r="A75" s="4"/>
      <c r="B75" s="194"/>
      <c r="C75" s="235"/>
      <c r="D75" s="212"/>
      <c r="E75" s="195"/>
      <c r="F75" s="354"/>
      <c r="G75" s="196"/>
      <c r="H75" s="559"/>
      <c r="I75" s="549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0"/>
        <v/>
      </c>
      <c r="U75" s="407"/>
      <c r="V75" s="382"/>
      <c r="W75" s="463"/>
      <c r="X75" s="549"/>
    </row>
    <row r="76" spans="1:24" ht="14.25" customHeight="1">
      <c r="B76" s="281">
        <v>7</v>
      </c>
      <c r="C76" s="213" t="s">
        <v>408</v>
      </c>
      <c r="D76" s="282"/>
      <c r="E76" s="360"/>
      <c r="F76" s="366"/>
      <c r="G76" s="283"/>
      <c r="H76" s="560"/>
      <c r="I76" s="720">
        <f>SUM(G76:G83)</f>
        <v>0</v>
      </c>
      <c r="J76" s="723">
        <f>F177</f>
        <v>0</v>
      </c>
      <c r="K76" s="189"/>
      <c r="L76" s="281">
        <v>7</v>
      </c>
      <c r="M76" s="213" t="s">
        <v>409</v>
      </c>
      <c r="N76" s="282"/>
      <c r="O76" s="360"/>
      <c r="P76" s="366"/>
      <c r="Q76" s="283"/>
      <c r="R76" s="481"/>
      <c r="S76" s="512"/>
      <c r="T76" s="421"/>
      <c r="U76" s="525"/>
      <c r="V76" s="761">
        <f>J76-SUM(U76:U83)</f>
        <v>0</v>
      </c>
      <c r="W76" s="464"/>
      <c r="X76" s="720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3"/>
      <c r="I77" s="721"/>
      <c r="J77" s="724"/>
      <c r="K77" s="192"/>
      <c r="L77" s="284">
        <v>7</v>
      </c>
      <c r="M77" s="285" t="s">
        <v>409</v>
      </c>
      <c r="N77" s="286"/>
      <c r="O77" s="307"/>
      <c r="P77" s="343"/>
      <c r="Q77" s="287"/>
      <c r="R77" s="471"/>
      <c r="S77" s="502"/>
      <c r="T77" s="412"/>
      <c r="U77" s="397"/>
      <c r="V77" s="762"/>
      <c r="W77" s="455"/>
      <c r="X77" s="721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3"/>
      <c r="I78" s="721"/>
      <c r="J78" s="724"/>
      <c r="K78" s="192"/>
      <c r="L78" s="284">
        <v>7</v>
      </c>
      <c r="M78" s="285" t="s">
        <v>409</v>
      </c>
      <c r="N78" s="286"/>
      <c r="O78" s="307"/>
      <c r="P78" s="343"/>
      <c r="Q78" s="287"/>
      <c r="R78" s="471"/>
      <c r="S78" s="502"/>
      <c r="T78" s="412"/>
      <c r="U78" s="397"/>
      <c r="V78" s="762"/>
      <c r="W78" s="455"/>
      <c r="X78" s="721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3"/>
      <c r="I79" s="721"/>
      <c r="J79" s="724"/>
      <c r="K79" s="192"/>
      <c r="L79" s="284">
        <v>7</v>
      </c>
      <c r="M79" s="285" t="s">
        <v>409</v>
      </c>
      <c r="N79" s="286"/>
      <c r="O79" s="307"/>
      <c r="P79" s="343"/>
      <c r="Q79" s="287"/>
      <c r="R79" s="471"/>
      <c r="S79" s="502"/>
      <c r="T79" s="412"/>
      <c r="U79" s="397"/>
      <c r="V79" s="762"/>
      <c r="W79" s="455"/>
      <c r="X79" s="721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3"/>
      <c r="I80" s="721"/>
      <c r="J80" s="724"/>
      <c r="K80" s="192"/>
      <c r="L80" s="284">
        <v>7</v>
      </c>
      <c r="M80" s="285" t="s">
        <v>409</v>
      </c>
      <c r="N80" s="286"/>
      <c r="O80" s="307"/>
      <c r="P80" s="343"/>
      <c r="Q80" s="287"/>
      <c r="R80" s="471"/>
      <c r="S80" s="502"/>
      <c r="T80" s="412"/>
      <c r="U80" s="397"/>
      <c r="V80" s="762"/>
      <c r="W80" s="455"/>
      <c r="X80" s="721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3"/>
      <c r="I81" s="721"/>
      <c r="J81" s="724"/>
      <c r="K81" s="192"/>
      <c r="L81" s="284">
        <v>7</v>
      </c>
      <c r="M81" s="285" t="s">
        <v>409</v>
      </c>
      <c r="N81" s="286"/>
      <c r="O81" s="434"/>
      <c r="P81" s="343"/>
      <c r="Q81" s="287"/>
      <c r="R81" s="471"/>
      <c r="S81" s="502"/>
      <c r="T81" s="412"/>
      <c r="U81" s="397"/>
      <c r="V81" s="762"/>
      <c r="W81" s="455"/>
      <c r="X81" s="721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3"/>
      <c r="I82" s="721"/>
      <c r="J82" s="724"/>
      <c r="K82" s="192"/>
      <c r="L82" s="284">
        <v>7</v>
      </c>
      <c r="M82" s="285" t="s">
        <v>409</v>
      </c>
      <c r="N82" s="286"/>
      <c r="O82" s="434"/>
      <c r="P82" s="343"/>
      <c r="Q82" s="287"/>
      <c r="R82" s="471"/>
      <c r="S82" s="502"/>
      <c r="T82" s="412"/>
      <c r="U82" s="397"/>
      <c r="V82" s="762"/>
      <c r="W82" s="455"/>
      <c r="X82" s="721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61"/>
      <c r="I83" s="722"/>
      <c r="J83" s="725"/>
      <c r="K83" s="193"/>
      <c r="L83" s="220">
        <v>7</v>
      </c>
      <c r="M83" s="241" t="s">
        <v>409</v>
      </c>
      <c r="N83" s="233"/>
      <c r="O83" s="435"/>
      <c r="P83" s="358"/>
      <c r="Q83" s="234"/>
      <c r="R83" s="472"/>
      <c r="S83" s="503"/>
      <c r="T83" s="413"/>
      <c r="U83" s="398"/>
      <c r="V83" s="763"/>
      <c r="W83" s="456"/>
      <c r="X83" s="722"/>
    </row>
    <row r="84" spans="1:24" ht="15" thickBot="1">
      <c r="A84" s="4"/>
      <c r="B84" s="194"/>
      <c r="C84" s="235"/>
      <c r="D84" s="212"/>
      <c r="E84" s="195"/>
      <c r="F84" s="354"/>
      <c r="G84" s="196"/>
      <c r="H84" s="555"/>
      <c r="I84" s="549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/>
      <c r="U84" s="403"/>
      <c r="V84" s="385"/>
      <c r="W84" s="457"/>
      <c r="X84" s="549"/>
    </row>
    <row r="85" spans="1:24" ht="14.25" customHeight="1">
      <c r="B85" s="236">
        <v>8</v>
      </c>
      <c r="C85" s="198" t="s">
        <v>410</v>
      </c>
      <c r="D85" s="237" t="s">
        <v>411</v>
      </c>
      <c r="E85" s="361"/>
      <c r="F85" s="315"/>
      <c r="G85" s="238">
        <v>150000</v>
      </c>
      <c r="H85" s="556" t="e">
        <f>H88</f>
        <v>#NUM!</v>
      </c>
      <c r="I85" s="749">
        <f>SUM(G85:G93)</f>
        <v>487000</v>
      </c>
      <c r="J85" s="752">
        <f>F176+F191</f>
        <v>453809.52380952385</v>
      </c>
      <c r="K85" s="201"/>
      <c r="L85" s="236">
        <v>8</v>
      </c>
      <c r="M85" s="324" t="s">
        <v>412</v>
      </c>
      <c r="N85" s="237" t="s">
        <v>411</v>
      </c>
      <c r="O85" s="361"/>
      <c r="P85" s="315"/>
      <c r="Q85" s="238">
        <f>1129.28+165640.2</f>
        <v>166769.48000000001</v>
      </c>
      <c r="R85" s="474"/>
      <c r="S85" s="505"/>
      <c r="T85" s="415">
        <v>46081</v>
      </c>
      <c r="U85" s="401">
        <f>(Q85/$X$85*$J$85)+109171.68</f>
        <v>351114.9990055298</v>
      </c>
      <c r="V85" s="758">
        <f>J85-SUM(U85:U93)</f>
        <v>-150000.01084191626</v>
      </c>
      <c r="W85" s="458">
        <f>T85</f>
        <v>46081</v>
      </c>
      <c r="X85" s="749">
        <f>SUM(Q85:Q93)</f>
        <v>312807.06000000006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7"/>
      <c r="I86" s="750"/>
      <c r="J86" s="753"/>
      <c r="K86" s="205"/>
      <c r="L86" s="226">
        <v>8</v>
      </c>
      <c r="M86" s="332" t="s">
        <v>412</v>
      </c>
      <c r="N86" s="239"/>
      <c r="O86" s="314"/>
      <c r="P86" s="359"/>
      <c r="Q86" s="228"/>
      <c r="R86" s="475"/>
      <c r="S86" s="506"/>
      <c r="T86" s="415">
        <v>46081</v>
      </c>
      <c r="U86" s="401">
        <v>40828.33</v>
      </c>
      <c r="V86" s="759"/>
      <c r="W86" s="459"/>
      <c r="X86" s="750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7"/>
      <c r="I87" s="750"/>
      <c r="J87" s="753"/>
      <c r="K87" s="205"/>
      <c r="L87" s="226">
        <v>8</v>
      </c>
      <c r="M87" s="332" t="s">
        <v>412</v>
      </c>
      <c r="N87" s="239" t="s">
        <v>413</v>
      </c>
      <c r="O87" s="314"/>
      <c r="P87" s="359"/>
      <c r="Q87" s="228">
        <v>90120</v>
      </c>
      <c r="R87" s="475"/>
      <c r="S87" s="506" t="s">
        <v>414</v>
      </c>
      <c r="T87" s="547">
        <v>46053</v>
      </c>
      <c r="U87" s="657">
        <v>125017.29874861483</v>
      </c>
      <c r="V87" s="759"/>
      <c r="W87" s="459">
        <v>46081</v>
      </c>
      <c r="X87" s="750"/>
    </row>
    <row r="88" spans="1:24" ht="14.25" customHeight="1">
      <c r="B88" s="226">
        <v>8</v>
      </c>
      <c r="C88" s="227"/>
      <c r="D88" s="239" t="s">
        <v>415</v>
      </c>
      <c r="E88" s="314"/>
      <c r="F88" s="359"/>
      <c r="G88" s="228">
        <f>D191</f>
        <v>87000</v>
      </c>
      <c r="H88" s="547" t="e">
        <f>H96</f>
        <v>#NUM!</v>
      </c>
      <c r="I88" s="750"/>
      <c r="J88" s="753"/>
      <c r="K88" s="205"/>
      <c r="L88" s="226">
        <v>8</v>
      </c>
      <c r="M88" s="332" t="s">
        <v>412</v>
      </c>
      <c r="N88" s="239"/>
      <c r="O88" s="314"/>
      <c r="P88" s="359"/>
      <c r="Q88" s="228"/>
      <c r="R88" s="475"/>
      <c r="S88" s="506"/>
      <c r="T88" s="416" t="str">
        <f t="shared" ref="T86:T90" si="14">IF(W88&gt;1,EOMONTH(W88,0),"")</f>
        <v/>
      </c>
      <c r="U88" s="401">
        <f t="shared" ref="U88:U90" si="15">(Q88/$X$85*$J$85)</f>
        <v>0</v>
      </c>
      <c r="V88" s="759"/>
      <c r="W88" s="459"/>
      <c r="X88" s="750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7"/>
      <c r="I89" s="750"/>
      <c r="J89" s="753"/>
      <c r="K89" s="205"/>
      <c r="L89" s="226">
        <v>8</v>
      </c>
      <c r="M89" s="332" t="s">
        <v>412</v>
      </c>
      <c r="N89" s="239" t="s">
        <v>416</v>
      </c>
      <c r="O89" s="314"/>
      <c r="P89" s="359"/>
      <c r="Q89" s="228">
        <v>34320.9</v>
      </c>
      <c r="R89" s="475" t="s">
        <v>417</v>
      </c>
      <c r="S89" s="506" t="s">
        <v>418</v>
      </c>
      <c r="T89" s="547">
        <v>46022</v>
      </c>
      <c r="U89" s="657">
        <v>53378.258435017051</v>
      </c>
      <c r="V89" s="759"/>
      <c r="W89" s="677">
        <v>46031</v>
      </c>
      <c r="X89" s="750"/>
    </row>
    <row r="90" spans="1:24" ht="14.25" customHeight="1">
      <c r="B90" s="226">
        <v>8</v>
      </c>
      <c r="C90" s="227"/>
      <c r="D90" s="239" t="s">
        <v>416</v>
      </c>
      <c r="E90" s="314"/>
      <c r="F90" s="359"/>
      <c r="G90" s="228">
        <v>250000</v>
      </c>
      <c r="H90" s="547" t="e">
        <f>H88</f>
        <v>#NUM!</v>
      </c>
      <c r="I90" s="750"/>
      <c r="J90" s="753"/>
      <c r="K90" s="205"/>
      <c r="L90" s="226">
        <v>8</v>
      </c>
      <c r="M90" s="332" t="s">
        <v>412</v>
      </c>
      <c r="N90" s="239"/>
      <c r="O90" s="441"/>
      <c r="P90" s="535"/>
      <c r="Q90" s="228"/>
      <c r="R90" s="475"/>
      <c r="S90" s="506"/>
      <c r="T90" s="416" t="str">
        <f t="shared" si="14"/>
        <v/>
      </c>
      <c r="U90" s="401">
        <f t="shared" si="15"/>
        <v>0</v>
      </c>
      <c r="V90" s="759"/>
      <c r="W90" s="459"/>
      <c r="X90" s="750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7"/>
      <c r="I91" s="750"/>
      <c r="J91" s="753"/>
      <c r="K91" s="205"/>
      <c r="L91" s="226">
        <v>8</v>
      </c>
      <c r="M91" s="332" t="s">
        <v>412</v>
      </c>
      <c r="N91" s="239" t="s">
        <v>419</v>
      </c>
      <c r="O91" s="441"/>
      <c r="P91" s="359"/>
      <c r="Q91" s="228">
        <v>1217.4000000000001</v>
      </c>
      <c r="R91" s="475" t="s">
        <v>420</v>
      </c>
      <c r="S91" s="506" t="s">
        <v>421</v>
      </c>
      <c r="T91" s="547">
        <v>45991</v>
      </c>
      <c r="U91" s="657">
        <v>1893.3854245893831</v>
      </c>
      <c r="V91" s="759"/>
      <c r="W91" s="677">
        <v>45995</v>
      </c>
      <c r="X91" s="750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2"/>
      <c r="I92" s="750"/>
      <c r="J92" s="753"/>
      <c r="K92" s="205"/>
      <c r="L92" s="226">
        <v>8</v>
      </c>
      <c r="M92" s="332" t="s">
        <v>412</v>
      </c>
      <c r="N92" s="239" t="s">
        <v>422</v>
      </c>
      <c r="O92" s="441"/>
      <c r="P92" s="359"/>
      <c r="Q92" s="228">
        <v>1129.28</v>
      </c>
      <c r="R92" s="479" t="s">
        <v>423</v>
      </c>
      <c r="S92" s="510" t="s">
        <v>424</v>
      </c>
      <c r="T92" s="562">
        <v>46081</v>
      </c>
      <c r="U92" s="406">
        <f>(Q92/$X$85*$J$85)</f>
        <v>1638.3198609635569</v>
      </c>
      <c r="V92" s="759"/>
      <c r="W92" s="462">
        <f>T92</f>
        <v>46081</v>
      </c>
      <c r="X92" s="750"/>
    </row>
    <row r="93" spans="1:24" ht="15" customHeight="1">
      <c r="B93" s="226">
        <v>8</v>
      </c>
      <c r="C93" s="207"/>
      <c r="D93" s="208"/>
      <c r="E93" s="356"/>
      <c r="F93" s="353"/>
      <c r="G93" s="209"/>
      <c r="H93" s="557"/>
      <c r="I93" s="751"/>
      <c r="J93" s="754"/>
      <c r="K93" s="210"/>
      <c r="L93" s="206">
        <v>8</v>
      </c>
      <c r="M93" s="331" t="s">
        <v>412</v>
      </c>
      <c r="N93" s="208" t="s">
        <v>425</v>
      </c>
      <c r="O93" s="442"/>
      <c r="P93" s="353"/>
      <c r="Q93" s="209">
        <v>19250</v>
      </c>
      <c r="R93" s="476" t="s">
        <v>426</v>
      </c>
      <c r="S93" s="507" t="s">
        <v>427</v>
      </c>
      <c r="T93" s="557">
        <v>45991</v>
      </c>
      <c r="U93" s="672">
        <v>29938.943176725497</v>
      </c>
      <c r="V93" s="760"/>
      <c r="W93" s="663">
        <v>45989</v>
      </c>
      <c r="X93" s="751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428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ref="T94:T147" si="16">IF(W94&gt;1,EOMONTH(W94,0),"")</f>
        <v/>
      </c>
      <c r="U94" s="387"/>
      <c r="V94" s="387"/>
      <c r="W94" s="427"/>
      <c r="X94" s="615"/>
    </row>
    <row r="95" spans="1:24" ht="15" customHeight="1">
      <c r="B95" s="215">
        <v>9</v>
      </c>
      <c r="C95" s="341" t="s">
        <v>429</v>
      </c>
      <c r="D95" s="231" t="s">
        <v>430</v>
      </c>
      <c r="E95" s="218"/>
      <c r="F95" s="336"/>
      <c r="G95" s="496">
        <f>D181</f>
        <v>161000</v>
      </c>
      <c r="H95" s="544">
        <f>'Project Plan'!G23+7</f>
        <v>45966</v>
      </c>
      <c r="I95" s="755">
        <f>SUM(G95:G107)</f>
        <v>483000</v>
      </c>
      <c r="J95" s="723">
        <f>F181+F182</f>
        <v>551207.78811996942</v>
      </c>
      <c r="K95" s="192"/>
      <c r="L95" s="215">
        <v>9</v>
      </c>
      <c r="M95" s="322" t="s">
        <v>431</v>
      </c>
      <c r="N95" s="231"/>
      <c r="O95" s="433"/>
      <c r="P95" s="336"/>
      <c r="Q95" s="219"/>
      <c r="R95" s="477"/>
      <c r="S95" s="508"/>
      <c r="T95" s="418" t="str">
        <f t="shared" si="16"/>
        <v/>
      </c>
      <c r="U95" s="404">
        <f t="shared" ref="U95:U107" si="17">(Q95/$X$95*$J$95)</f>
        <v>0</v>
      </c>
      <c r="V95" s="732">
        <f>J95-SUM(U95:U107)</f>
        <v>0</v>
      </c>
      <c r="W95" s="461"/>
      <c r="X95" s="720">
        <f>SUM(Q95:Q107)</f>
        <v>463747.56824472587</v>
      </c>
    </row>
    <row r="96" spans="1:24" ht="15" customHeight="1">
      <c r="B96" s="215">
        <v>9</v>
      </c>
      <c r="C96" s="341"/>
      <c r="D96" s="232" t="s">
        <v>432</v>
      </c>
      <c r="E96" s="218"/>
      <c r="F96" s="357"/>
      <c r="G96" s="496">
        <f>D182</f>
        <v>322000</v>
      </c>
      <c r="H96" s="543" t="e">
        <f>'Project Plan'!G30+7</f>
        <v>#NUM!</v>
      </c>
      <c r="I96" s="756"/>
      <c r="J96" s="724"/>
      <c r="K96" s="192"/>
      <c r="L96" s="215">
        <v>9</v>
      </c>
      <c r="M96" s="322" t="s">
        <v>431</v>
      </c>
      <c r="N96" s="232" t="s">
        <v>376</v>
      </c>
      <c r="O96" s="450">
        <f>Z33+Z32</f>
        <v>463747.56824472587</v>
      </c>
      <c r="P96" s="451">
        <v>0.1</v>
      </c>
      <c r="Q96" s="219">
        <f>$O$96*P96</f>
        <v>46374.756824472592</v>
      </c>
      <c r="R96" s="741" t="s">
        <v>377</v>
      </c>
      <c r="S96" s="501" t="s">
        <v>378</v>
      </c>
      <c r="T96" s="553">
        <v>45961</v>
      </c>
      <c r="U96" s="656">
        <v>55120.778811996948</v>
      </c>
      <c r="V96" s="733"/>
      <c r="W96" s="634">
        <v>45954</v>
      </c>
      <c r="X96" s="72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3"/>
      <c r="I97" s="756"/>
      <c r="J97" s="724"/>
      <c r="K97" s="192"/>
      <c r="L97" s="284">
        <v>9</v>
      </c>
      <c r="M97" s="394" t="s">
        <v>431</v>
      </c>
      <c r="N97" s="286" t="s">
        <v>152</v>
      </c>
      <c r="O97" s="434"/>
      <c r="P97" s="449">
        <v>0.15</v>
      </c>
      <c r="Q97" s="219">
        <f t="shared" ref="Q97:Q104" si="18">$O$96*P97</f>
        <v>69562.135236708884</v>
      </c>
      <c r="R97" s="742"/>
      <c r="S97" s="502" t="s">
        <v>380</v>
      </c>
      <c r="T97" s="629">
        <v>45961</v>
      </c>
      <c r="U97" s="656">
        <v>82681.168217995408</v>
      </c>
      <c r="V97" s="733"/>
      <c r="W97" s="635">
        <v>45954</v>
      </c>
      <c r="X97" s="72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3"/>
      <c r="I98" s="756"/>
      <c r="J98" s="724"/>
      <c r="K98" s="192"/>
      <c r="L98" s="284">
        <v>9</v>
      </c>
      <c r="M98" s="394" t="s">
        <v>431</v>
      </c>
      <c r="N98" s="286" t="s">
        <v>382</v>
      </c>
      <c r="O98" s="434"/>
      <c r="P98" s="449">
        <v>0.2</v>
      </c>
      <c r="Q98" s="219">
        <f t="shared" si="18"/>
        <v>92749.513648945183</v>
      </c>
      <c r="R98" s="742"/>
      <c r="S98" s="502" t="s">
        <v>383</v>
      </c>
      <c r="T98" s="553">
        <v>46022</v>
      </c>
      <c r="U98" s="656">
        <v>110241.5576239939</v>
      </c>
      <c r="V98" s="733"/>
      <c r="W98" s="635">
        <f>'Project Plan'!K23+14</f>
        <v>46003</v>
      </c>
      <c r="X98" s="72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3"/>
      <c r="I99" s="756"/>
      <c r="J99" s="724"/>
      <c r="K99" s="192"/>
      <c r="L99" s="284">
        <v>9</v>
      </c>
      <c r="M99" s="394" t="s">
        <v>431</v>
      </c>
      <c r="N99" s="286" t="s">
        <v>385</v>
      </c>
      <c r="O99" s="434"/>
      <c r="P99" s="449">
        <v>0.1</v>
      </c>
      <c r="Q99" s="219">
        <f t="shared" si="18"/>
        <v>46374.756824472592</v>
      </c>
      <c r="R99" s="742"/>
      <c r="S99" s="502" t="s">
        <v>386</v>
      </c>
      <c r="T99" s="553">
        <v>46022</v>
      </c>
      <c r="U99" s="656">
        <v>55120.778811996948</v>
      </c>
      <c r="V99" s="733"/>
      <c r="W99" s="635">
        <v>46003</v>
      </c>
      <c r="X99" s="721"/>
    </row>
    <row r="100" spans="1:24" ht="15" customHeight="1">
      <c r="B100" s="284"/>
      <c r="C100" s="393"/>
      <c r="D100" s="286"/>
      <c r="E100" s="307"/>
      <c r="F100" s="343"/>
      <c r="G100" s="287"/>
      <c r="H100" s="553"/>
      <c r="I100" s="756"/>
      <c r="J100" s="724"/>
      <c r="K100" s="192"/>
      <c r="L100" s="284">
        <v>9</v>
      </c>
      <c r="M100" s="394" t="s">
        <v>431</v>
      </c>
      <c r="N100" s="286" t="s">
        <v>385</v>
      </c>
      <c r="O100" s="434"/>
      <c r="P100" s="449">
        <v>0.15</v>
      </c>
      <c r="Q100" s="219">
        <f t="shared" ref="Q100" si="19">$O$96*P100</f>
        <v>69562.135236708884</v>
      </c>
      <c r="R100" s="742"/>
      <c r="S100" s="502" t="s">
        <v>433</v>
      </c>
      <c r="T100" s="674">
        <v>46022</v>
      </c>
      <c r="U100" s="656">
        <v>82681.168217995408</v>
      </c>
      <c r="V100" s="733"/>
      <c r="W100" s="675">
        <v>46009</v>
      </c>
      <c r="X100" s="72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3"/>
      <c r="I101" s="756"/>
      <c r="J101" s="724"/>
      <c r="K101" s="192"/>
      <c r="L101" s="284">
        <v>9</v>
      </c>
      <c r="M101" s="394" t="s">
        <v>431</v>
      </c>
      <c r="N101" s="286" t="s">
        <v>387</v>
      </c>
      <c r="O101" s="434"/>
      <c r="P101" s="449">
        <v>0.1</v>
      </c>
      <c r="Q101" s="219">
        <f t="shared" si="18"/>
        <v>46374.756824472592</v>
      </c>
      <c r="R101" s="742"/>
      <c r="S101" s="502" t="s">
        <v>434</v>
      </c>
      <c r="T101" s="553">
        <v>46053</v>
      </c>
      <c r="U101" s="656">
        <v>55120.778811996948</v>
      </c>
      <c r="V101" s="733"/>
      <c r="W101" s="635">
        <f>'Project Plan'!K55+7</f>
        <v>46051</v>
      </c>
      <c r="X101" s="72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3"/>
      <c r="I102" s="756"/>
      <c r="J102" s="724"/>
      <c r="K102" s="192"/>
      <c r="L102" s="284">
        <v>9</v>
      </c>
      <c r="M102" s="394" t="s">
        <v>431</v>
      </c>
      <c r="N102" s="286" t="s">
        <v>388</v>
      </c>
      <c r="O102" s="434"/>
      <c r="P102" s="449">
        <v>0.1</v>
      </c>
      <c r="Q102" s="219">
        <f t="shared" si="18"/>
        <v>46374.756824472592</v>
      </c>
      <c r="R102" s="742"/>
      <c r="S102" s="502" t="s">
        <v>435</v>
      </c>
      <c r="T102" s="553">
        <v>46053</v>
      </c>
      <c r="U102" s="656">
        <v>55120.778811996948</v>
      </c>
      <c r="V102" s="733"/>
      <c r="W102" s="635">
        <f>'Project Plan'!K63+7</f>
        <v>46051</v>
      </c>
      <c r="X102" s="72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3"/>
      <c r="I103" s="756"/>
      <c r="J103" s="724"/>
      <c r="K103" s="192"/>
      <c r="L103" s="284">
        <v>9</v>
      </c>
      <c r="M103" s="394" t="s">
        <v>431</v>
      </c>
      <c r="N103" s="286" t="s">
        <v>389</v>
      </c>
      <c r="O103" s="434"/>
      <c r="P103" s="449">
        <v>0.05</v>
      </c>
      <c r="Q103" s="219">
        <f t="shared" si="18"/>
        <v>23187.378412236296</v>
      </c>
      <c r="R103" s="742"/>
      <c r="S103" s="502" t="s">
        <v>436</v>
      </c>
      <c r="T103" s="553">
        <v>46053</v>
      </c>
      <c r="U103" s="656">
        <v>27560.389405998474</v>
      </c>
      <c r="V103" s="733"/>
      <c r="W103" s="635">
        <f>'Project Plan'!K63+7</f>
        <v>46051</v>
      </c>
      <c r="X103" s="721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3"/>
      <c r="I104" s="756"/>
      <c r="J104" s="724"/>
      <c r="K104" s="192"/>
      <c r="L104" s="284">
        <v>9</v>
      </c>
      <c r="M104" s="394" t="s">
        <v>431</v>
      </c>
      <c r="N104" s="286" t="s">
        <v>390</v>
      </c>
      <c r="O104" s="434"/>
      <c r="P104" s="449">
        <v>0.05</v>
      </c>
      <c r="Q104" s="219">
        <f t="shared" si="18"/>
        <v>23187.378412236296</v>
      </c>
      <c r="R104" s="743"/>
      <c r="S104" s="502" t="s">
        <v>437</v>
      </c>
      <c r="T104" s="553">
        <v>46053</v>
      </c>
      <c r="U104" s="656">
        <v>27560.389405998474</v>
      </c>
      <c r="V104" s="733"/>
      <c r="W104" s="455">
        <v>46079</v>
      </c>
      <c r="X104" s="721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3"/>
      <c r="I105" s="756"/>
      <c r="J105" s="724"/>
      <c r="K105" s="192"/>
      <c r="L105" s="284">
        <v>9</v>
      </c>
      <c r="M105" s="394" t="s">
        <v>431</v>
      </c>
      <c r="N105" s="286"/>
      <c r="O105" s="434"/>
      <c r="P105" s="343"/>
      <c r="Q105" s="287"/>
      <c r="R105" s="471"/>
      <c r="S105" s="502"/>
      <c r="T105" s="412" t="str">
        <f t="shared" si="16"/>
        <v/>
      </c>
      <c r="U105" s="397">
        <f t="shared" si="17"/>
        <v>0</v>
      </c>
      <c r="V105" s="733"/>
      <c r="W105" s="455"/>
      <c r="X105" s="721"/>
    </row>
    <row r="106" spans="1:24" ht="15" customHeight="1">
      <c r="B106" s="284">
        <v>9</v>
      </c>
      <c r="C106" s="393"/>
      <c r="D106" s="286"/>
      <c r="E106" s="307"/>
      <c r="F106" s="343"/>
      <c r="G106" s="287"/>
      <c r="H106" s="553"/>
      <c r="I106" s="756"/>
      <c r="J106" s="724"/>
      <c r="K106" s="192"/>
      <c r="L106" s="284">
        <v>9</v>
      </c>
      <c r="M106" s="394" t="s">
        <v>431</v>
      </c>
      <c r="N106" s="286"/>
      <c r="O106" s="434"/>
      <c r="P106" s="343"/>
      <c r="Q106" s="287"/>
      <c r="R106" s="471"/>
      <c r="S106" s="502"/>
      <c r="T106" s="412"/>
      <c r="U106" s="397">
        <f t="shared" si="17"/>
        <v>0</v>
      </c>
      <c r="V106" s="733"/>
      <c r="W106" s="455"/>
      <c r="X106" s="721"/>
    </row>
    <row r="107" spans="1:24" ht="15" customHeight="1" thickBot="1">
      <c r="B107" s="220">
        <v>9</v>
      </c>
      <c r="C107" s="337"/>
      <c r="D107" s="233"/>
      <c r="E107" s="222"/>
      <c r="F107" s="358"/>
      <c r="G107" s="234"/>
      <c r="H107" s="554"/>
      <c r="I107" s="757"/>
      <c r="J107" s="725"/>
      <c r="K107" s="267"/>
      <c r="L107" s="220">
        <v>9</v>
      </c>
      <c r="M107" s="340" t="s">
        <v>431</v>
      </c>
      <c r="N107" s="233"/>
      <c r="O107" s="435"/>
      <c r="P107" s="358"/>
      <c r="Q107" s="234"/>
      <c r="R107" s="472"/>
      <c r="S107" s="503"/>
      <c r="T107" s="413" t="str">
        <f t="shared" si="16"/>
        <v/>
      </c>
      <c r="U107" s="398">
        <f t="shared" si="17"/>
        <v>0</v>
      </c>
      <c r="V107" s="734"/>
      <c r="W107" s="456"/>
      <c r="X107" s="722"/>
    </row>
    <row r="108" spans="1:24" ht="15" thickBot="1">
      <c r="A108" s="4"/>
      <c r="B108" s="194"/>
      <c r="C108" s="211"/>
      <c r="D108" s="212"/>
      <c r="E108" s="195"/>
      <c r="F108" s="354"/>
      <c r="G108" s="196"/>
      <c r="H108" s="555"/>
      <c r="I108" s="549"/>
      <c r="J108" s="303"/>
      <c r="K108" s="4"/>
      <c r="L108" s="194"/>
      <c r="M108" s="211"/>
      <c r="N108" s="212"/>
      <c r="O108" s="436"/>
      <c r="P108" s="354"/>
      <c r="Q108" s="196"/>
      <c r="R108" s="473"/>
      <c r="S108" s="504"/>
      <c r="T108" s="414" t="str">
        <f>IF(W108&gt;1,EOMONTH(W108,0),"")</f>
        <v/>
      </c>
      <c r="U108" s="403"/>
      <c r="V108" s="385"/>
      <c r="W108" s="457"/>
      <c r="X108" s="549"/>
    </row>
    <row r="109" spans="1:24" ht="14.25" customHeight="1">
      <c r="B109" s="173">
        <v>10</v>
      </c>
      <c r="C109" s="174" t="s">
        <v>438</v>
      </c>
      <c r="D109" s="174" t="s">
        <v>334</v>
      </c>
      <c r="E109" s="175"/>
      <c r="F109" s="368"/>
      <c r="G109" s="242">
        <f>D185</f>
        <v>8500</v>
      </c>
      <c r="H109" s="563">
        <f>H95</f>
        <v>45966</v>
      </c>
      <c r="I109" s="726">
        <f>SUM(G109:G124)</f>
        <v>65756.222222222219</v>
      </c>
      <c r="J109" s="729">
        <f>F185+F188+F189+F187+F186</f>
        <v>73062.469135802472</v>
      </c>
      <c r="K109" s="243"/>
      <c r="L109" s="173">
        <v>10</v>
      </c>
      <c r="M109" s="333" t="s">
        <v>439</v>
      </c>
      <c r="N109" s="174" t="s">
        <v>440</v>
      </c>
      <c r="O109" s="444"/>
      <c r="P109" s="368"/>
      <c r="Q109" s="242">
        <v>0</v>
      </c>
      <c r="R109" s="483"/>
      <c r="S109" s="513"/>
      <c r="T109" s="423"/>
      <c r="U109" s="408">
        <f t="shared" ref="U109:U123" si="20">(Q109/$X$109*$J$109)</f>
        <v>0</v>
      </c>
      <c r="V109" s="735">
        <f>J109-SUM(U109:U124)</f>
        <v>4.3483834306243807E-3</v>
      </c>
      <c r="W109" s="465"/>
      <c r="X109" s="726">
        <f>SUM(Q109:Q124)</f>
        <v>28570.122414357571</v>
      </c>
    </row>
    <row r="110" spans="1:24" ht="14.25" customHeight="1">
      <c r="B110" s="244">
        <v>10</v>
      </c>
      <c r="C110" s="245"/>
      <c r="D110" s="245" t="s">
        <v>335</v>
      </c>
      <c r="E110" s="246"/>
      <c r="F110" s="369"/>
      <c r="G110" s="247">
        <f>D189</f>
        <v>17474</v>
      </c>
      <c r="H110" s="564">
        <f>H95</f>
        <v>45966</v>
      </c>
      <c r="I110" s="727"/>
      <c r="J110" s="730"/>
      <c r="K110" s="176"/>
      <c r="L110" s="244">
        <v>10</v>
      </c>
      <c r="M110" s="334" t="s">
        <v>439</v>
      </c>
      <c r="N110" s="245"/>
      <c r="O110" s="445"/>
      <c r="P110" s="369"/>
      <c r="Q110" s="247"/>
      <c r="R110" s="484"/>
      <c r="S110" s="514"/>
      <c r="T110" s="424" t="str">
        <f t="shared" si="16"/>
        <v/>
      </c>
      <c r="U110" s="524">
        <f t="shared" si="20"/>
        <v>0</v>
      </c>
      <c r="V110" s="736"/>
      <c r="W110" s="466"/>
      <c r="X110" s="727"/>
    </row>
    <row r="111" spans="1:24" ht="14.25" customHeight="1">
      <c r="B111" s="244">
        <v>10</v>
      </c>
      <c r="C111" s="245"/>
      <c r="D111" s="245" t="s">
        <v>440</v>
      </c>
      <c r="E111" s="246"/>
      <c r="F111" s="369"/>
      <c r="G111" s="247">
        <f>D188</f>
        <v>36000</v>
      </c>
      <c r="H111" s="564">
        <f>H95</f>
        <v>45966</v>
      </c>
      <c r="I111" s="727"/>
      <c r="J111" s="730"/>
      <c r="K111" s="176"/>
      <c r="L111" s="244">
        <v>10</v>
      </c>
      <c r="M111" s="334" t="s">
        <v>439</v>
      </c>
      <c r="N111" s="245"/>
      <c r="O111" s="445"/>
      <c r="P111" s="369"/>
      <c r="Q111" s="247"/>
      <c r="R111" s="484"/>
      <c r="S111" s="514"/>
      <c r="T111" s="424" t="str">
        <f t="shared" si="16"/>
        <v/>
      </c>
      <c r="U111" s="409">
        <f t="shared" si="20"/>
        <v>0</v>
      </c>
      <c r="V111" s="736"/>
      <c r="W111" s="466"/>
      <c r="X111" s="727"/>
    </row>
    <row r="112" spans="1:24" ht="14.25" customHeight="1">
      <c r="B112" s="244">
        <v>10</v>
      </c>
      <c r="C112" s="245"/>
      <c r="D112" s="245" t="s">
        <v>336</v>
      </c>
      <c r="E112" s="246"/>
      <c r="F112" s="369"/>
      <c r="G112" s="247">
        <f>D187</f>
        <v>3782.2222222222222</v>
      </c>
      <c r="H112" s="564">
        <f>H95</f>
        <v>45966</v>
      </c>
      <c r="I112" s="727"/>
      <c r="J112" s="730"/>
      <c r="K112" s="176"/>
      <c r="L112" s="244">
        <v>10</v>
      </c>
      <c r="M112" s="334" t="s">
        <v>439</v>
      </c>
      <c r="N112" s="245"/>
      <c r="O112" s="445"/>
      <c r="P112" s="369"/>
      <c r="Q112" s="247"/>
      <c r="R112" s="484"/>
      <c r="S112" s="514"/>
      <c r="T112" s="424" t="str">
        <f t="shared" si="16"/>
        <v/>
      </c>
      <c r="U112" s="409">
        <f t="shared" si="20"/>
        <v>0</v>
      </c>
      <c r="V112" s="736"/>
      <c r="W112" s="466"/>
      <c r="X112" s="72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5"/>
      <c r="I113" s="727"/>
      <c r="J113" s="730"/>
      <c r="K113" s="176"/>
      <c r="L113" s="244">
        <v>10</v>
      </c>
      <c r="M113" s="334" t="s">
        <v>439</v>
      </c>
      <c r="N113" s="245" t="s">
        <v>376</v>
      </c>
      <c r="O113" s="495">
        <f>SUM(Z34:Z38)</f>
        <v>28570.136015952856</v>
      </c>
      <c r="P113" s="452">
        <v>0.1</v>
      </c>
      <c r="Q113" s="247">
        <f>$O$113*P113</f>
        <v>2857.0136015952858</v>
      </c>
      <c r="R113" s="738" t="s">
        <v>377</v>
      </c>
      <c r="S113" s="515" t="s">
        <v>378</v>
      </c>
      <c r="T113" s="565">
        <v>45961</v>
      </c>
      <c r="U113" s="658">
        <v>7306.2469135802476</v>
      </c>
      <c r="V113" s="736"/>
      <c r="W113" s="636">
        <f>W96</f>
        <v>45954</v>
      </c>
      <c r="X113" s="72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5"/>
      <c r="I114" s="727"/>
      <c r="J114" s="730"/>
      <c r="K114" s="176"/>
      <c r="L114" s="244">
        <v>10</v>
      </c>
      <c r="M114" s="334" t="s">
        <v>439</v>
      </c>
      <c r="N114" s="245" t="s">
        <v>152</v>
      </c>
      <c r="O114" s="445"/>
      <c r="P114" s="452">
        <v>0.15</v>
      </c>
      <c r="Q114" s="247">
        <f t="shared" ref="Q114:Q119" si="21">$O$113*P114</f>
        <v>4285.5204023929282</v>
      </c>
      <c r="R114" s="739"/>
      <c r="S114" s="520" t="s">
        <v>380</v>
      </c>
      <c r="T114" s="628">
        <v>45961</v>
      </c>
      <c r="U114" s="658">
        <v>10959.37037037037</v>
      </c>
      <c r="V114" s="736"/>
      <c r="W114" s="636">
        <f>W97</f>
        <v>45954</v>
      </c>
      <c r="X114" s="72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5"/>
      <c r="I115" s="727"/>
      <c r="J115" s="730"/>
      <c r="K115" s="176"/>
      <c r="L115" s="244">
        <v>10</v>
      </c>
      <c r="M115" s="334" t="s">
        <v>439</v>
      </c>
      <c r="N115" s="245" t="s">
        <v>382</v>
      </c>
      <c r="O115" s="445"/>
      <c r="P115" s="452">
        <v>0.2</v>
      </c>
      <c r="Q115" s="247">
        <f t="shared" si="21"/>
        <v>5714.0272031905715</v>
      </c>
      <c r="R115" s="739"/>
      <c r="S115" s="515" t="s">
        <v>383</v>
      </c>
      <c r="T115" s="565">
        <v>46022</v>
      </c>
      <c r="U115" s="658">
        <v>14612.493827160493</v>
      </c>
      <c r="V115" s="736"/>
      <c r="W115" s="636">
        <f>W98</f>
        <v>46003</v>
      </c>
      <c r="X115" s="72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5"/>
      <c r="I116" s="727"/>
      <c r="J116" s="730"/>
      <c r="K116" s="176"/>
      <c r="L116" s="244">
        <v>10</v>
      </c>
      <c r="M116" s="334" t="s">
        <v>439</v>
      </c>
      <c r="N116" s="245" t="s">
        <v>385</v>
      </c>
      <c r="O116" s="445"/>
      <c r="P116" s="452">
        <v>0.1</v>
      </c>
      <c r="Q116" s="247">
        <f t="shared" si="21"/>
        <v>2857.0136015952858</v>
      </c>
      <c r="R116" s="739"/>
      <c r="S116" s="515" t="s">
        <v>386</v>
      </c>
      <c r="T116" s="565">
        <v>46022</v>
      </c>
      <c r="U116" s="658">
        <v>7306.2469135802467</v>
      </c>
      <c r="V116" s="736"/>
      <c r="W116" s="636">
        <f>W99</f>
        <v>46003</v>
      </c>
      <c r="X116" s="727"/>
    </row>
    <row r="117" spans="1:24" ht="14.25" customHeight="1">
      <c r="B117" s="244"/>
      <c r="C117" s="245"/>
      <c r="D117" s="245"/>
      <c r="E117" s="246"/>
      <c r="F117" s="369"/>
      <c r="G117" s="247"/>
      <c r="H117" s="565"/>
      <c r="I117" s="727"/>
      <c r="J117" s="730"/>
      <c r="K117" s="176"/>
      <c r="L117" s="244">
        <v>10</v>
      </c>
      <c r="M117" s="334" t="s">
        <v>439</v>
      </c>
      <c r="N117" s="245" t="s">
        <v>385</v>
      </c>
      <c r="O117" s="445"/>
      <c r="P117" s="452">
        <v>0.15</v>
      </c>
      <c r="Q117" s="247">
        <f t="shared" ref="Q117" si="22">$O$113*P117</f>
        <v>4285.5204023929282</v>
      </c>
      <c r="R117" s="739"/>
      <c r="S117" s="515" t="str">
        <f>S100</f>
        <v>Luken INV0692</v>
      </c>
      <c r="T117" s="628">
        <v>46022</v>
      </c>
      <c r="U117" s="658">
        <v>10959.370370370369</v>
      </c>
      <c r="V117" s="736"/>
      <c r="W117" s="655">
        <f>W100</f>
        <v>46009</v>
      </c>
      <c r="X117" s="72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5"/>
      <c r="I118" s="727"/>
      <c r="J118" s="730"/>
      <c r="K118" s="176"/>
      <c r="L118" s="244">
        <v>10</v>
      </c>
      <c r="M118" s="334" t="s">
        <v>439</v>
      </c>
      <c r="N118" s="245" t="s">
        <v>387</v>
      </c>
      <c r="O118" s="445"/>
      <c r="P118" s="452">
        <v>0.1</v>
      </c>
      <c r="Q118" s="247">
        <f t="shared" si="21"/>
        <v>2857.0136015952858</v>
      </c>
      <c r="R118" s="739"/>
      <c r="S118" s="515" t="str">
        <f>S101</f>
        <v>Luken Solar INV-0699</v>
      </c>
      <c r="T118" s="565">
        <v>46053</v>
      </c>
      <c r="U118" s="658">
        <v>7306.2703919207379</v>
      </c>
      <c r="V118" s="736"/>
      <c r="W118" s="636">
        <f t="shared" ref="W118:W121" si="23">W101</f>
        <v>46051</v>
      </c>
      <c r="X118" s="72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5"/>
      <c r="I119" s="727"/>
      <c r="J119" s="730"/>
      <c r="K119" s="176"/>
      <c r="L119" s="244">
        <v>10</v>
      </c>
      <c r="M119" s="334" t="s">
        <v>439</v>
      </c>
      <c r="N119" s="245" t="s">
        <v>388</v>
      </c>
      <c r="O119" s="445"/>
      <c r="P119" s="452">
        <v>0.1</v>
      </c>
      <c r="Q119" s="247">
        <f t="shared" si="21"/>
        <v>2857.0136015952858</v>
      </c>
      <c r="R119" s="739"/>
      <c r="S119" s="515" t="str">
        <f>S102</f>
        <v>Luken Solar INV-0706</v>
      </c>
      <c r="T119" s="565">
        <f t="shared" ref="T119:T121" si="24">T102</f>
        <v>46053</v>
      </c>
      <c r="U119" s="658">
        <v>7306.2503919207375</v>
      </c>
      <c r="V119" s="736"/>
      <c r="W119" s="636">
        <f t="shared" si="23"/>
        <v>46051</v>
      </c>
      <c r="X119" s="727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5"/>
      <c r="I120" s="727"/>
      <c r="J120" s="730"/>
      <c r="K120" s="176"/>
      <c r="L120" s="244">
        <v>10</v>
      </c>
      <c r="M120" s="334" t="s">
        <v>439</v>
      </c>
      <c r="N120" s="245" t="s">
        <v>389</v>
      </c>
      <c r="O120" s="445"/>
      <c r="P120" s="452">
        <v>0.05</v>
      </c>
      <c r="Q120" s="247">
        <v>1428.5</v>
      </c>
      <c r="R120" s="739"/>
      <c r="S120" s="515" t="str">
        <f>S103</f>
        <v>Luken Solar INV-0702</v>
      </c>
      <c r="T120" s="565">
        <f t="shared" si="24"/>
        <v>46053</v>
      </c>
      <c r="U120" s="658">
        <v>3653.107804257922</v>
      </c>
      <c r="V120" s="736"/>
      <c r="W120" s="636">
        <f t="shared" si="23"/>
        <v>46051</v>
      </c>
      <c r="X120" s="727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5"/>
      <c r="I121" s="727"/>
      <c r="J121" s="730"/>
      <c r="K121" s="176"/>
      <c r="L121" s="244">
        <v>10</v>
      </c>
      <c r="M121" s="334" t="s">
        <v>439</v>
      </c>
      <c r="N121" s="245" t="s">
        <v>390</v>
      </c>
      <c r="O121" s="445"/>
      <c r="P121" s="452">
        <v>0.05</v>
      </c>
      <c r="Q121" s="247">
        <v>1428.5</v>
      </c>
      <c r="R121" s="740"/>
      <c r="S121" s="515" t="str">
        <f>S104</f>
        <v>Luken Solar INV-0705</v>
      </c>
      <c r="T121" s="565">
        <f t="shared" si="24"/>
        <v>46053</v>
      </c>
      <c r="U121" s="658">
        <v>3653.107804257922</v>
      </c>
      <c r="V121" s="736"/>
      <c r="W121" s="467">
        <f t="shared" si="23"/>
        <v>46079</v>
      </c>
      <c r="X121" s="727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5"/>
      <c r="I122" s="727"/>
      <c r="J122" s="730"/>
      <c r="K122" s="176"/>
      <c r="L122" s="244">
        <v>10</v>
      </c>
      <c r="M122" s="334" t="s">
        <v>439</v>
      </c>
      <c r="N122" s="245"/>
      <c r="O122" s="445"/>
      <c r="P122" s="369"/>
      <c r="Q122" s="247"/>
      <c r="R122" s="485"/>
      <c r="S122" s="515"/>
      <c r="T122" s="425" t="str">
        <f t="shared" si="16"/>
        <v/>
      </c>
      <c r="U122" s="409">
        <f t="shared" si="20"/>
        <v>0</v>
      </c>
      <c r="V122" s="736"/>
      <c r="W122" s="467"/>
      <c r="X122" s="727"/>
    </row>
    <row r="123" spans="1:24" ht="14.25" customHeight="1">
      <c r="B123" s="244">
        <v>10</v>
      </c>
      <c r="C123" s="245"/>
      <c r="D123" s="245"/>
      <c r="E123" s="246"/>
      <c r="F123" s="369"/>
      <c r="G123" s="247"/>
      <c r="H123" s="565"/>
      <c r="I123" s="727"/>
      <c r="J123" s="730"/>
      <c r="K123" s="176"/>
      <c r="L123" s="244">
        <v>10</v>
      </c>
      <c r="M123" s="334" t="s">
        <v>439</v>
      </c>
      <c r="N123" s="245"/>
      <c r="O123" s="445"/>
      <c r="P123" s="369"/>
      <c r="Q123" s="247"/>
      <c r="R123" s="485"/>
      <c r="S123" s="515"/>
      <c r="T123" s="425" t="str">
        <f t="shared" si="16"/>
        <v/>
      </c>
      <c r="U123" s="409">
        <f t="shared" si="20"/>
        <v>0</v>
      </c>
      <c r="V123" s="736"/>
      <c r="W123" s="467"/>
      <c r="X123" s="727"/>
    </row>
    <row r="124" spans="1:24" ht="15" customHeight="1" thickBot="1">
      <c r="B124" s="177">
        <v>10</v>
      </c>
      <c r="C124" s="248"/>
      <c r="D124" s="248"/>
      <c r="E124" s="249"/>
      <c r="F124" s="370"/>
      <c r="G124" s="178"/>
      <c r="H124" s="566"/>
      <c r="I124" s="728"/>
      <c r="J124" s="731"/>
      <c r="K124" s="179"/>
      <c r="L124" s="177">
        <v>10</v>
      </c>
      <c r="M124" s="335" t="s">
        <v>439</v>
      </c>
      <c r="N124" s="248"/>
      <c r="O124" s="446"/>
      <c r="P124" s="370"/>
      <c r="Q124" s="178"/>
      <c r="R124" s="486"/>
      <c r="S124" s="516"/>
      <c r="T124" s="426" t="str">
        <f t="shared" si="16"/>
        <v/>
      </c>
      <c r="U124" s="410"/>
      <c r="V124" s="737"/>
      <c r="W124" s="468"/>
      <c r="X124" s="728"/>
    </row>
    <row r="125" spans="1:24" ht="15" thickBot="1">
      <c r="A125" s="4"/>
      <c r="B125" s="180"/>
      <c r="C125" s="181"/>
      <c r="D125" s="181"/>
      <c r="E125" s="195"/>
      <c r="F125" s="354"/>
      <c r="G125" s="183"/>
      <c r="H125" s="558"/>
      <c r="I125" s="549"/>
      <c r="J125" s="303"/>
      <c r="K125" s="4"/>
      <c r="L125" s="180"/>
      <c r="M125" s="181"/>
      <c r="N125" s="181"/>
      <c r="O125" s="436"/>
      <c r="P125" s="354"/>
      <c r="Q125" s="536"/>
      <c r="R125" s="478"/>
      <c r="S125" s="509"/>
      <c r="T125" s="414" t="str">
        <f t="shared" si="16"/>
        <v/>
      </c>
      <c r="U125" s="399"/>
      <c r="V125" s="386"/>
      <c r="W125" s="457"/>
      <c r="X125" s="549"/>
    </row>
    <row r="126" spans="1:24" ht="14.25" customHeight="1">
      <c r="B126" s="185">
        <v>11</v>
      </c>
      <c r="C126" s="186" t="s">
        <v>441</v>
      </c>
      <c r="D126" s="255" t="s">
        <v>442</v>
      </c>
      <c r="E126" s="187"/>
      <c r="F126" s="336"/>
      <c r="G126" s="188">
        <v>11500</v>
      </c>
      <c r="H126" s="544" t="e">
        <f>'Project Plan'!G55</f>
        <v>#NUM!</v>
      </c>
      <c r="I126" s="720">
        <f>SUM(G126:G130)</f>
        <v>91500</v>
      </c>
      <c r="J126" s="723">
        <f>F184</f>
        <v>101666.66666666667</v>
      </c>
      <c r="K126" s="189"/>
      <c r="L126" s="185">
        <v>11</v>
      </c>
      <c r="M126" s="255" t="s">
        <v>443</v>
      </c>
      <c r="N126" s="255" t="s">
        <v>444</v>
      </c>
      <c r="O126" s="187"/>
      <c r="P126" s="336"/>
      <c r="Q126" s="188">
        <v>20725</v>
      </c>
      <c r="R126" s="537"/>
      <c r="S126" s="508" t="s">
        <v>445</v>
      </c>
      <c r="T126" s="544">
        <v>46022</v>
      </c>
      <c r="U126" s="656">
        <v>78841.596507639537</v>
      </c>
      <c r="V126" s="732">
        <f>J126-SUM(U126:U130)</f>
        <v>0</v>
      </c>
      <c r="W126" s="461">
        <v>46073</v>
      </c>
      <c r="X126" s="720">
        <f>SUM(Q126:Q130)</f>
        <v>26725</v>
      </c>
    </row>
    <row r="127" spans="1:24" ht="15" customHeight="1">
      <c r="B127" s="215">
        <v>11</v>
      </c>
      <c r="C127" s="217"/>
      <c r="D127" s="217"/>
      <c r="E127" s="218"/>
      <c r="F127" s="357"/>
      <c r="G127" s="219"/>
      <c r="H127" s="544"/>
      <c r="I127" s="721"/>
      <c r="J127" s="724"/>
      <c r="K127" s="192"/>
      <c r="L127" s="215">
        <v>11</v>
      </c>
      <c r="M127" s="290" t="s">
        <v>443</v>
      </c>
      <c r="N127" s="217" t="s">
        <v>446</v>
      </c>
      <c r="O127" s="218"/>
      <c r="P127" s="357"/>
      <c r="Q127" s="219">
        <v>0</v>
      </c>
      <c r="R127" s="518"/>
      <c r="S127" s="501"/>
      <c r="T127" s="411"/>
      <c r="U127" s="397">
        <f>(Q127/$X$126*$J$126)</f>
        <v>0</v>
      </c>
      <c r="V127" s="733"/>
      <c r="W127" s="454"/>
      <c r="X127" s="721"/>
    </row>
    <row r="128" spans="1:24" ht="15" customHeight="1">
      <c r="B128" s="215">
        <v>11</v>
      </c>
      <c r="C128" s="217"/>
      <c r="D128" s="217" t="s">
        <v>447</v>
      </c>
      <c r="E128" s="218"/>
      <c r="F128" s="357"/>
      <c r="G128" s="219">
        <v>80000</v>
      </c>
      <c r="H128" s="544" t="e">
        <f>H126</f>
        <v>#NUM!</v>
      </c>
      <c r="I128" s="721"/>
      <c r="J128" s="724"/>
      <c r="K128" s="192"/>
      <c r="L128" s="215">
        <v>11</v>
      </c>
      <c r="M128" s="290" t="s">
        <v>443</v>
      </c>
      <c r="N128" s="288" t="s">
        <v>447</v>
      </c>
      <c r="O128" s="218"/>
      <c r="P128" s="357"/>
      <c r="Q128" s="219">
        <v>0</v>
      </c>
      <c r="R128" s="470"/>
      <c r="S128" s="501"/>
      <c r="T128" s="411"/>
      <c r="U128" s="397">
        <f>(Q128/$X$126*$J$126)</f>
        <v>0</v>
      </c>
      <c r="V128" s="733"/>
      <c r="W128" s="454"/>
      <c r="X128" s="721"/>
    </row>
    <row r="129" spans="1:24" ht="15" customHeight="1">
      <c r="B129" s="215">
        <v>11</v>
      </c>
      <c r="C129" s="288"/>
      <c r="D129" s="288"/>
      <c r="E129" s="307"/>
      <c r="F129" s="343"/>
      <c r="G129" s="287"/>
      <c r="H129" s="553"/>
      <c r="I129" s="721"/>
      <c r="J129" s="724"/>
      <c r="K129" s="192"/>
      <c r="L129" s="215">
        <v>11</v>
      </c>
      <c r="M129" s="290" t="s">
        <v>443</v>
      </c>
      <c r="N129" s="288" t="s">
        <v>448</v>
      </c>
      <c r="O129" s="434"/>
      <c r="P129" s="343"/>
      <c r="Q129" s="287">
        <v>6000</v>
      </c>
      <c r="R129" s="471"/>
      <c r="S129" s="502" t="s">
        <v>449</v>
      </c>
      <c r="T129" s="543">
        <v>46053</v>
      </c>
      <c r="U129" s="656">
        <v>22825.070159027127</v>
      </c>
      <c r="V129" s="733"/>
      <c r="W129" s="455">
        <f>T129+30</f>
        <v>46083</v>
      </c>
      <c r="X129" s="721"/>
    </row>
    <row r="130" spans="1:24" ht="15" customHeight="1" thickBot="1">
      <c r="B130" s="220">
        <v>11</v>
      </c>
      <c r="C130" s="221"/>
      <c r="D130" s="221"/>
      <c r="E130" s="222"/>
      <c r="F130" s="358"/>
      <c r="G130" s="234"/>
      <c r="H130" s="554"/>
      <c r="I130" s="722"/>
      <c r="J130" s="725"/>
      <c r="K130" s="193"/>
      <c r="L130" s="220">
        <v>11</v>
      </c>
      <c r="M130" s="318" t="s">
        <v>443</v>
      </c>
      <c r="N130" s="221"/>
      <c r="O130" s="222"/>
      <c r="P130" s="358"/>
      <c r="Q130" s="234"/>
      <c r="R130" s="472"/>
      <c r="S130" s="503"/>
      <c r="T130" s="413" t="str">
        <f t="shared" si="16"/>
        <v/>
      </c>
      <c r="U130" s="398">
        <f>(Q130/$X$126*$J$126)</f>
        <v>0</v>
      </c>
      <c r="V130" s="734"/>
      <c r="W130" s="456"/>
      <c r="X130" s="722"/>
    </row>
    <row r="131" spans="1:24" ht="15" customHeight="1" thickBot="1">
      <c r="A131" s="4"/>
      <c r="B131" s="194"/>
      <c r="C131" s="181"/>
      <c r="D131" s="181"/>
      <c r="E131" s="195"/>
      <c r="F131" s="354"/>
      <c r="G131" s="196"/>
      <c r="H131" s="555"/>
      <c r="I131" s="549"/>
      <c r="J131" s="184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6"/>
        <v/>
      </c>
      <c r="U131" s="403"/>
      <c r="V131" s="385"/>
      <c r="W131" s="457"/>
      <c r="X131" s="549"/>
    </row>
    <row r="132" spans="1:24">
      <c r="B132" s="173">
        <v>12</v>
      </c>
      <c r="C132" s="174" t="s">
        <v>450</v>
      </c>
      <c r="D132" s="174" t="s">
        <v>451</v>
      </c>
      <c r="E132" s="175"/>
      <c r="F132" s="368"/>
      <c r="G132" s="242">
        <v>15871.774864277701</v>
      </c>
      <c r="H132" s="563" t="e">
        <f>'Project Plan'!G66</f>
        <v>#NUM!</v>
      </c>
      <c r="I132" s="726">
        <f>SUM(G132:G133)</f>
        <v>15871.774864277701</v>
      </c>
      <c r="J132" s="729">
        <v>0</v>
      </c>
      <c r="K132" s="744"/>
      <c r="L132" s="173">
        <v>12</v>
      </c>
      <c r="M132" s="174" t="s">
        <v>452</v>
      </c>
      <c r="N132" s="174" t="s">
        <v>451</v>
      </c>
      <c r="O132" s="444"/>
      <c r="P132" s="368"/>
      <c r="Q132" s="242">
        <v>0</v>
      </c>
      <c r="R132" s="483"/>
      <c r="S132" s="513"/>
      <c r="T132" s="423"/>
      <c r="U132" s="408"/>
      <c r="V132" s="384"/>
      <c r="W132" s="465"/>
      <c r="X132" s="726">
        <f>SUM(Q132:Q133)</f>
        <v>0</v>
      </c>
    </row>
    <row r="133" spans="1:24" ht="15" customHeight="1" thickBot="1">
      <c r="B133" s="177">
        <v>12</v>
      </c>
      <c r="C133" s="248" t="s">
        <v>450</v>
      </c>
      <c r="D133" s="248"/>
      <c r="E133" s="249"/>
      <c r="F133" s="370"/>
      <c r="G133" s="178"/>
      <c r="H133" s="566"/>
      <c r="I133" s="728"/>
      <c r="J133" s="731"/>
      <c r="K133" s="745"/>
      <c r="L133" s="177">
        <v>12</v>
      </c>
      <c r="M133" s="248" t="s">
        <v>452</v>
      </c>
      <c r="N133" s="248"/>
      <c r="O133" s="446"/>
      <c r="P133" s="370"/>
      <c r="Q133" s="178"/>
      <c r="R133" s="486"/>
      <c r="S133" s="516"/>
      <c r="T133" s="426" t="str">
        <f t="shared" si="16"/>
        <v/>
      </c>
      <c r="U133" s="410"/>
      <c r="V133" s="383"/>
      <c r="W133" s="468"/>
      <c r="X133" s="728"/>
    </row>
    <row r="134" spans="1:24" ht="15" thickBot="1">
      <c r="A134" s="4"/>
      <c r="B134" s="194"/>
      <c r="C134" s="181"/>
      <c r="D134" s="181"/>
      <c r="E134" s="195"/>
      <c r="F134" s="354"/>
      <c r="G134" s="196"/>
      <c r="H134" s="555"/>
      <c r="I134" s="550"/>
      <c r="J134" s="230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6"/>
        <v/>
      </c>
      <c r="U134" s="403"/>
      <c r="V134" s="385"/>
      <c r="W134" s="457"/>
      <c r="X134" s="550"/>
    </row>
    <row r="135" spans="1:24" ht="15.75" customHeight="1">
      <c r="B135" s="185">
        <v>13</v>
      </c>
      <c r="C135" s="186" t="s">
        <v>453</v>
      </c>
      <c r="D135" s="255" t="s">
        <v>454</v>
      </c>
      <c r="E135" s="187"/>
      <c r="F135" s="336"/>
      <c r="G135" s="188">
        <f>D183</f>
        <v>14012.702777777778</v>
      </c>
      <c r="H135" s="544" t="e">
        <f>'Project Plan'!G66</f>
        <v>#NUM!</v>
      </c>
      <c r="I135" s="720">
        <f>SUM(G135:G139)</f>
        <v>14012.702777777778</v>
      </c>
      <c r="J135" s="723">
        <f>F183</f>
        <v>15923.525883838385</v>
      </c>
      <c r="K135" s="189"/>
      <c r="L135" s="185">
        <v>13</v>
      </c>
      <c r="M135" s="255" t="s">
        <v>455</v>
      </c>
      <c r="N135" s="255" t="s">
        <v>456</v>
      </c>
      <c r="O135" s="432"/>
      <c r="P135" s="336"/>
      <c r="Q135" s="188">
        <v>0</v>
      </c>
      <c r="R135" s="477"/>
      <c r="S135" s="508" t="s">
        <v>457</v>
      </c>
      <c r="T135" s="687">
        <v>46053</v>
      </c>
      <c r="U135" s="686">
        <v>15923.525883838385</v>
      </c>
      <c r="V135" s="732">
        <f>J135-SUM(U135:U140)</f>
        <v>0</v>
      </c>
      <c r="W135" s="685">
        <f>T135+30</f>
        <v>46083</v>
      </c>
      <c r="X135" s="720">
        <f>SUM(Q135:Q140)</f>
        <v>0</v>
      </c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3"/>
      <c r="I136" s="721"/>
      <c r="J136" s="724"/>
      <c r="K136" s="192"/>
      <c r="L136" s="215">
        <v>13</v>
      </c>
      <c r="M136" s="290" t="s">
        <v>455</v>
      </c>
      <c r="N136" s="217"/>
      <c r="O136" s="433"/>
      <c r="P136" s="357"/>
      <c r="Q136" s="219"/>
      <c r="R136" s="470"/>
      <c r="S136" s="501"/>
      <c r="T136" s="411"/>
      <c r="U136" s="396"/>
      <c r="V136" s="733"/>
      <c r="W136" s="454"/>
      <c r="X136" s="721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3"/>
      <c r="I137" s="721"/>
      <c r="J137" s="724"/>
      <c r="K137" s="192"/>
      <c r="L137" s="215">
        <v>13</v>
      </c>
      <c r="M137" s="290" t="s">
        <v>455</v>
      </c>
      <c r="N137" s="217"/>
      <c r="O137" s="433"/>
      <c r="P137" s="357"/>
      <c r="Q137" s="219"/>
      <c r="R137" s="470"/>
      <c r="S137" s="501"/>
      <c r="T137" s="411"/>
      <c r="U137" s="396"/>
      <c r="V137" s="733"/>
      <c r="W137" s="454"/>
      <c r="X137" s="721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3"/>
      <c r="I138" s="721"/>
      <c r="J138" s="724"/>
      <c r="K138" s="192"/>
      <c r="L138" s="215">
        <v>13</v>
      </c>
      <c r="M138" s="290" t="s">
        <v>455</v>
      </c>
      <c r="N138" s="217"/>
      <c r="O138" s="433"/>
      <c r="P138" s="357"/>
      <c r="Q138" s="219"/>
      <c r="R138" s="470"/>
      <c r="S138" s="501"/>
      <c r="T138" s="411"/>
      <c r="U138" s="396"/>
      <c r="V138" s="733"/>
      <c r="W138" s="454"/>
      <c r="X138" s="721"/>
    </row>
    <row r="139" spans="1:24" ht="15.75" customHeight="1">
      <c r="B139" s="215">
        <v>13</v>
      </c>
      <c r="C139" s="217"/>
      <c r="D139" s="217"/>
      <c r="E139" s="218"/>
      <c r="F139" s="357"/>
      <c r="G139" s="219"/>
      <c r="H139" s="543"/>
      <c r="I139" s="721"/>
      <c r="J139" s="724"/>
      <c r="K139" s="192"/>
      <c r="L139" s="215">
        <v>13</v>
      </c>
      <c r="M139" s="290" t="s">
        <v>455</v>
      </c>
      <c r="N139" s="217"/>
      <c r="O139" s="433"/>
      <c r="P139" s="357"/>
      <c r="Q139" s="219"/>
      <c r="R139" s="470"/>
      <c r="S139" s="501"/>
      <c r="T139" s="411"/>
      <c r="U139" s="396"/>
      <c r="V139" s="733"/>
      <c r="W139" s="454"/>
      <c r="X139" s="721"/>
    </row>
    <row r="140" spans="1:24" ht="15.75" customHeight="1" thickBot="1">
      <c r="B140" s="220">
        <v>13</v>
      </c>
      <c r="C140" s="221"/>
      <c r="D140" s="221"/>
      <c r="E140" s="222"/>
      <c r="F140" s="358"/>
      <c r="G140" s="234"/>
      <c r="H140" s="554"/>
      <c r="I140" s="722"/>
      <c r="J140" s="725"/>
      <c r="K140" s="267"/>
      <c r="L140" s="220">
        <v>13</v>
      </c>
      <c r="M140" s="318" t="s">
        <v>455</v>
      </c>
      <c r="N140" s="221"/>
      <c r="O140" s="435"/>
      <c r="P140" s="358"/>
      <c r="Q140" s="234"/>
      <c r="R140" s="472"/>
      <c r="S140" s="503"/>
      <c r="T140" s="413"/>
      <c r="U140" s="398"/>
      <c r="V140" s="734"/>
      <c r="W140" s="456"/>
      <c r="X140" s="722"/>
    </row>
    <row r="141" spans="1:24" ht="15" thickBot="1">
      <c r="A141" s="4"/>
      <c r="B141" s="194"/>
      <c r="C141" s="181"/>
      <c r="D141" s="181"/>
      <c r="E141" s="195"/>
      <c r="F141" s="354"/>
      <c r="G141" s="196"/>
      <c r="H141" s="555"/>
      <c r="I141" s="549"/>
      <c r="J141" s="184"/>
      <c r="K141" s="4"/>
      <c r="L141" s="194"/>
      <c r="M141" s="181"/>
      <c r="N141" s="181"/>
      <c r="O141" s="436"/>
      <c r="P141" s="354"/>
      <c r="Q141" s="196"/>
      <c r="R141" s="473"/>
      <c r="S141" s="504"/>
      <c r="T141" s="414" t="str">
        <f t="shared" si="16"/>
        <v/>
      </c>
      <c r="U141" s="403"/>
      <c r="V141" s="385"/>
      <c r="W141" s="457"/>
      <c r="X141" s="550"/>
    </row>
    <row r="142" spans="1:24" ht="14.25" customHeight="1">
      <c r="B142" s="173">
        <v>14</v>
      </c>
      <c r="C142" s="174" t="s">
        <v>458</v>
      </c>
      <c r="D142" s="174" t="s">
        <v>459</v>
      </c>
      <c r="E142" s="175"/>
      <c r="F142" s="368"/>
      <c r="G142" s="242">
        <f>D194</f>
        <v>8050</v>
      </c>
      <c r="H142" s="563" t="e">
        <f>'Project Plan'!G66</f>
        <v>#NUM!</v>
      </c>
      <c r="I142" s="726">
        <f>SUM(G142:G153)</f>
        <v>8050</v>
      </c>
      <c r="J142" s="729">
        <f>F194</f>
        <v>8944.4444444444453</v>
      </c>
      <c r="K142" s="243"/>
      <c r="L142" s="173">
        <v>14</v>
      </c>
      <c r="M142" s="333" t="s">
        <v>460</v>
      </c>
      <c r="N142" s="174" t="s">
        <v>461</v>
      </c>
      <c r="O142" s="444"/>
      <c r="P142" s="529"/>
      <c r="Q142" s="534">
        <v>23.8</v>
      </c>
      <c r="R142" s="531"/>
      <c r="S142" s="519" t="s">
        <v>462</v>
      </c>
      <c r="T142" s="654">
        <v>45961</v>
      </c>
      <c r="U142" s="659">
        <v>52.57799293069003</v>
      </c>
      <c r="V142" s="735">
        <f>J142-SUM(U142:U153)</f>
        <v>6.8391663262445945E-4</v>
      </c>
      <c r="W142" s="655">
        <v>45967</v>
      </c>
      <c r="X142" s="726">
        <f>SUM(Q142:Q153)</f>
        <v>702.2</v>
      </c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5"/>
      <c r="I143" s="727"/>
      <c r="J143" s="730"/>
      <c r="K143" s="176"/>
      <c r="L143" s="244">
        <v>14</v>
      </c>
      <c r="M143" s="334" t="s">
        <v>460</v>
      </c>
      <c r="N143" s="245" t="s">
        <v>461</v>
      </c>
      <c r="O143" s="445"/>
      <c r="P143" s="530"/>
      <c r="Q143" s="533">
        <v>142.80000000000001</v>
      </c>
      <c r="R143" s="532"/>
      <c r="S143" s="519" t="s">
        <v>462</v>
      </c>
      <c r="T143" s="628">
        <v>45991</v>
      </c>
      <c r="U143" s="658">
        <v>1573.153162411812</v>
      </c>
      <c r="V143" s="736"/>
      <c r="W143" s="655">
        <v>45996</v>
      </c>
      <c r="X143" s="72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5"/>
      <c r="I144" s="727"/>
      <c r="J144" s="730"/>
      <c r="K144" s="176"/>
      <c r="L144" s="244">
        <v>14</v>
      </c>
      <c r="M144" s="334" t="s">
        <v>460</v>
      </c>
      <c r="N144" s="245" t="s">
        <v>461</v>
      </c>
      <c r="O144" s="445"/>
      <c r="P144" s="369"/>
      <c r="Q144" s="247">
        <v>85.68</v>
      </c>
      <c r="R144" s="485"/>
      <c r="S144" s="519" t="s">
        <v>462</v>
      </c>
      <c r="T144" s="628">
        <v>46022</v>
      </c>
      <c r="U144" s="658">
        <v>1018.7164353698093</v>
      </c>
      <c r="V144" s="736"/>
      <c r="W144" s="655">
        <v>46030</v>
      </c>
      <c r="X144" s="72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5"/>
      <c r="I145" s="727"/>
      <c r="J145" s="730"/>
      <c r="K145" s="176"/>
      <c r="L145" s="244">
        <v>14</v>
      </c>
      <c r="M145" s="334" t="s">
        <v>460</v>
      </c>
      <c r="N145" s="245" t="s">
        <v>461</v>
      </c>
      <c r="O145" s="445"/>
      <c r="P145" s="369"/>
      <c r="Q145" s="247">
        <v>199.92</v>
      </c>
      <c r="R145" s="485"/>
      <c r="S145" s="519" t="s">
        <v>462</v>
      </c>
      <c r="T145" s="628">
        <v>46053</v>
      </c>
      <c r="U145" s="658">
        <v>2546.5299534795404</v>
      </c>
      <c r="V145" s="736"/>
      <c r="W145" s="655">
        <v>46058</v>
      </c>
      <c r="X145" s="72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5"/>
      <c r="I146" s="727"/>
      <c r="J146" s="730"/>
      <c r="K146" s="176"/>
      <c r="L146" s="244">
        <v>14</v>
      </c>
      <c r="M146" s="334" t="s">
        <v>460</v>
      </c>
      <c r="N146" s="245" t="s">
        <v>461</v>
      </c>
      <c r="O146" s="445"/>
      <c r="P146" s="369"/>
      <c r="Q146" s="247">
        <v>250</v>
      </c>
      <c r="R146" s="485"/>
      <c r="S146" s="513"/>
      <c r="T146" s="425">
        <v>46081</v>
      </c>
      <c r="U146" s="409">
        <f>(Q146/$X$142*$J$142)+355.11+213.92</f>
        <v>3753.4662163359603</v>
      </c>
      <c r="V146" s="736"/>
      <c r="W146" s="467">
        <v>46087</v>
      </c>
      <c r="X146" s="72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5"/>
      <c r="I147" s="727"/>
      <c r="J147" s="730"/>
      <c r="K147" s="176"/>
      <c r="L147" s="244">
        <v>14</v>
      </c>
      <c r="M147" s="334" t="s">
        <v>460</v>
      </c>
      <c r="N147" s="245" t="s">
        <v>461</v>
      </c>
      <c r="O147" s="445"/>
      <c r="P147" s="369"/>
      <c r="Q147" s="247"/>
      <c r="R147" s="485"/>
      <c r="S147" s="513"/>
      <c r="T147" s="425" t="str">
        <f t="shared" si="16"/>
        <v/>
      </c>
      <c r="U147" s="409">
        <f t="shared" ref="U147:U153" si="25">(Q147/$X$142*$J$142)</f>
        <v>0</v>
      </c>
      <c r="V147" s="736"/>
      <c r="W147" s="467"/>
      <c r="X147" s="72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5"/>
      <c r="I148" s="727"/>
      <c r="J148" s="730"/>
      <c r="K148" s="176"/>
      <c r="L148" s="244">
        <v>14</v>
      </c>
      <c r="M148" s="334" t="s">
        <v>460</v>
      </c>
      <c r="N148" s="245" t="s">
        <v>461</v>
      </c>
      <c r="O148" s="445"/>
      <c r="P148" s="369"/>
      <c r="Q148" s="247"/>
      <c r="R148" s="485"/>
      <c r="S148" s="513"/>
      <c r="T148" s="425" t="str">
        <f t="shared" ref="T148:T166" si="26">IF(W148&gt;1,EOMONTH(W148,0),"")</f>
        <v/>
      </c>
      <c r="U148" s="409">
        <f t="shared" si="25"/>
        <v>0</v>
      </c>
      <c r="V148" s="736"/>
      <c r="W148" s="467"/>
      <c r="X148" s="727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5"/>
      <c r="I149" s="727"/>
      <c r="J149" s="730"/>
      <c r="K149" s="176"/>
      <c r="L149" s="244">
        <v>14</v>
      </c>
      <c r="M149" s="334" t="s">
        <v>460</v>
      </c>
      <c r="N149" s="245" t="s">
        <v>461</v>
      </c>
      <c r="O149" s="445"/>
      <c r="P149" s="369"/>
      <c r="Q149" s="247"/>
      <c r="R149" s="485"/>
      <c r="S149" s="513"/>
      <c r="T149" s="425" t="str">
        <f t="shared" si="26"/>
        <v/>
      </c>
      <c r="U149" s="409">
        <f t="shared" si="25"/>
        <v>0</v>
      </c>
      <c r="V149" s="736"/>
      <c r="W149" s="467"/>
      <c r="X149" s="727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5"/>
      <c r="I150" s="727"/>
      <c r="J150" s="730"/>
      <c r="K150" s="176"/>
      <c r="L150" s="244">
        <v>14</v>
      </c>
      <c r="M150" s="334" t="s">
        <v>460</v>
      </c>
      <c r="N150" s="245" t="s">
        <v>461</v>
      </c>
      <c r="O150" s="445"/>
      <c r="P150" s="369"/>
      <c r="Q150" s="247"/>
      <c r="R150" s="485"/>
      <c r="S150" s="513"/>
      <c r="T150" s="425" t="str">
        <f t="shared" si="26"/>
        <v/>
      </c>
      <c r="U150" s="409">
        <f t="shared" si="25"/>
        <v>0</v>
      </c>
      <c r="V150" s="736"/>
      <c r="W150" s="467"/>
      <c r="X150" s="727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5"/>
      <c r="I151" s="727"/>
      <c r="J151" s="730"/>
      <c r="K151" s="176"/>
      <c r="L151" s="244">
        <v>14</v>
      </c>
      <c r="M151" s="334" t="s">
        <v>460</v>
      </c>
      <c r="N151" s="245" t="s">
        <v>461</v>
      </c>
      <c r="O151" s="445"/>
      <c r="P151" s="369"/>
      <c r="Q151" s="247"/>
      <c r="R151" s="485"/>
      <c r="S151" s="513"/>
      <c r="T151" s="425" t="str">
        <f t="shared" si="26"/>
        <v/>
      </c>
      <c r="U151" s="409">
        <f t="shared" si="25"/>
        <v>0</v>
      </c>
      <c r="V151" s="736"/>
      <c r="W151" s="467"/>
      <c r="X151" s="727"/>
    </row>
    <row r="152" spans="1:24" ht="14.25" customHeight="1">
      <c r="B152" s="244">
        <v>14</v>
      </c>
      <c r="C152" s="245"/>
      <c r="D152" s="245"/>
      <c r="E152" s="246"/>
      <c r="F152" s="369"/>
      <c r="G152" s="247"/>
      <c r="H152" s="565"/>
      <c r="I152" s="727"/>
      <c r="J152" s="730"/>
      <c r="K152" s="176"/>
      <c r="L152" s="244">
        <v>14</v>
      </c>
      <c r="M152" s="334" t="s">
        <v>460</v>
      </c>
      <c r="N152" s="245"/>
      <c r="O152" s="445"/>
      <c r="P152" s="369"/>
      <c r="Q152" s="247"/>
      <c r="R152" s="485"/>
      <c r="S152" s="515"/>
      <c r="T152" s="425" t="str">
        <f t="shared" si="26"/>
        <v/>
      </c>
      <c r="U152" s="409">
        <f t="shared" si="25"/>
        <v>0</v>
      </c>
      <c r="V152" s="736"/>
      <c r="W152" s="467"/>
      <c r="X152" s="727"/>
    </row>
    <row r="153" spans="1:24" ht="15" customHeight="1" thickBot="1">
      <c r="B153" s="177">
        <v>14</v>
      </c>
      <c r="C153" s="248"/>
      <c r="D153" s="248"/>
      <c r="E153" s="249"/>
      <c r="F153" s="370"/>
      <c r="G153" s="178"/>
      <c r="H153" s="566"/>
      <c r="I153" s="728"/>
      <c r="J153" s="731"/>
      <c r="K153" s="179"/>
      <c r="L153" s="177">
        <v>14</v>
      </c>
      <c r="M153" s="335" t="s">
        <v>460</v>
      </c>
      <c r="N153" s="248"/>
      <c r="O153" s="446"/>
      <c r="P153" s="370"/>
      <c r="Q153" s="178"/>
      <c r="R153" s="486"/>
      <c r="S153" s="516"/>
      <c r="T153" s="426" t="str">
        <f t="shared" si="26"/>
        <v/>
      </c>
      <c r="U153" s="410">
        <f t="shared" si="25"/>
        <v>0</v>
      </c>
      <c r="V153" s="737"/>
      <c r="W153" s="468"/>
      <c r="X153" s="728"/>
    </row>
    <row r="154" spans="1:24" ht="15" thickBot="1">
      <c r="A154" s="4"/>
      <c r="B154" s="194"/>
      <c r="C154" s="181"/>
      <c r="D154" s="181"/>
      <c r="E154" s="195"/>
      <c r="F154" s="354"/>
      <c r="G154" s="196"/>
      <c r="H154" s="555"/>
      <c r="I154" s="551"/>
      <c r="J154" s="250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6"/>
        <v/>
      </c>
      <c r="U154" s="403"/>
      <c r="V154" s="385"/>
      <c r="W154" s="457"/>
      <c r="X154" s="551"/>
    </row>
    <row r="155" spans="1:24">
      <c r="B155" s="185">
        <v>15</v>
      </c>
      <c r="C155" s="186" t="s">
        <v>463</v>
      </c>
      <c r="D155" s="186"/>
      <c r="E155" s="187"/>
      <c r="F155" s="336"/>
      <c r="G155" s="188"/>
      <c r="H155" s="544"/>
      <c r="I155" s="720">
        <f>SUM(G155:G166)</f>
        <v>0</v>
      </c>
      <c r="J155" s="723">
        <v>0</v>
      </c>
      <c r="K155" s="189"/>
      <c r="L155" s="185">
        <v>15</v>
      </c>
      <c r="M155" s="255" t="s">
        <v>464</v>
      </c>
      <c r="N155" s="186"/>
      <c r="O155" s="187"/>
      <c r="P155" s="336"/>
      <c r="Q155" s="188"/>
      <c r="R155" s="477"/>
      <c r="S155" s="508"/>
      <c r="T155" s="418" t="str">
        <f t="shared" si="26"/>
        <v/>
      </c>
      <c r="U155" s="404"/>
      <c r="V155" s="732">
        <v>0</v>
      </c>
      <c r="W155" s="461"/>
      <c r="X155" s="720">
        <f>SUM(Q155:Q166)</f>
        <v>0</v>
      </c>
    </row>
    <row r="156" spans="1:24">
      <c r="B156" s="215">
        <v>15</v>
      </c>
      <c r="C156" s="217"/>
      <c r="D156" s="217"/>
      <c r="E156" s="218"/>
      <c r="F156" s="357"/>
      <c r="G156" s="219"/>
      <c r="H156" s="543"/>
      <c r="I156" s="721"/>
      <c r="J156" s="724"/>
      <c r="K156" s="192"/>
      <c r="L156" s="215">
        <v>15</v>
      </c>
      <c r="M156" s="290" t="s">
        <v>464</v>
      </c>
      <c r="N156" s="217" t="s">
        <v>465</v>
      </c>
      <c r="O156" s="433"/>
      <c r="P156" s="357"/>
      <c r="Q156" s="219">
        <v>0</v>
      </c>
      <c r="R156" s="470" t="s">
        <v>466</v>
      </c>
      <c r="S156" s="501"/>
      <c r="T156" s="543">
        <v>46081</v>
      </c>
      <c r="U156" s="396"/>
      <c r="V156" s="733"/>
      <c r="W156" s="454">
        <f>T156+30</f>
        <v>46111</v>
      </c>
      <c r="X156" s="721"/>
    </row>
    <row r="157" spans="1:24">
      <c r="B157" s="215">
        <v>15</v>
      </c>
      <c r="C157" s="217"/>
      <c r="D157" s="217"/>
      <c r="E157" s="218"/>
      <c r="F157" s="357"/>
      <c r="G157" s="219"/>
      <c r="H157" s="543"/>
      <c r="I157" s="721"/>
      <c r="J157" s="724"/>
      <c r="K157" s="192"/>
      <c r="L157" s="215">
        <v>15</v>
      </c>
      <c r="M157" s="290" t="s">
        <v>464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733"/>
      <c r="W157" s="454"/>
      <c r="X157" s="721"/>
    </row>
    <row r="158" spans="1:24">
      <c r="B158" s="215">
        <v>15</v>
      </c>
      <c r="C158" s="217"/>
      <c r="D158" s="217"/>
      <c r="E158" s="218"/>
      <c r="F158" s="357"/>
      <c r="G158" s="219"/>
      <c r="H158" s="543"/>
      <c r="I158" s="721"/>
      <c r="J158" s="724"/>
      <c r="K158" s="192"/>
      <c r="L158" s="215">
        <v>15</v>
      </c>
      <c r="M158" s="290" t="s">
        <v>464</v>
      </c>
      <c r="N158" s="217"/>
      <c r="O158" s="433"/>
      <c r="P158" s="357"/>
      <c r="Q158" s="219"/>
      <c r="R158" s="470"/>
      <c r="S158" s="501"/>
      <c r="T158" s="411" t="str">
        <f t="shared" si="26"/>
        <v/>
      </c>
      <c r="U158" s="396"/>
      <c r="V158" s="733"/>
      <c r="W158" s="454"/>
      <c r="X158" s="721"/>
    </row>
    <row r="159" spans="1:24">
      <c r="B159" s="215">
        <v>15</v>
      </c>
      <c r="C159" s="217"/>
      <c r="D159" s="217"/>
      <c r="E159" s="218"/>
      <c r="F159" s="357"/>
      <c r="G159" s="219"/>
      <c r="H159" s="543"/>
      <c r="I159" s="721"/>
      <c r="J159" s="724"/>
      <c r="K159" s="192"/>
      <c r="L159" s="215">
        <v>15</v>
      </c>
      <c r="M159" s="290" t="s">
        <v>464</v>
      </c>
      <c r="N159" s="217"/>
      <c r="O159" s="433"/>
      <c r="P159" s="357"/>
      <c r="Q159" s="219"/>
      <c r="R159" s="470"/>
      <c r="S159" s="501"/>
      <c r="T159" s="411" t="str">
        <f t="shared" si="26"/>
        <v/>
      </c>
      <c r="U159" s="396"/>
      <c r="V159" s="733"/>
      <c r="W159" s="454"/>
      <c r="X159" s="721"/>
    </row>
    <row r="160" spans="1:24">
      <c r="B160" s="215">
        <v>15</v>
      </c>
      <c r="C160" s="217"/>
      <c r="D160" s="217"/>
      <c r="E160" s="218"/>
      <c r="F160" s="357"/>
      <c r="G160" s="219"/>
      <c r="H160" s="543"/>
      <c r="I160" s="721"/>
      <c r="J160" s="724"/>
      <c r="K160" s="192"/>
      <c r="L160" s="215">
        <v>15</v>
      </c>
      <c r="M160" s="290" t="s">
        <v>464</v>
      </c>
      <c r="N160" s="217"/>
      <c r="O160" s="433"/>
      <c r="P160" s="357"/>
      <c r="Q160" s="219"/>
      <c r="R160" s="470"/>
      <c r="S160" s="501"/>
      <c r="T160" s="411" t="str">
        <f t="shared" si="26"/>
        <v/>
      </c>
      <c r="U160" s="396"/>
      <c r="V160" s="733"/>
      <c r="W160" s="454"/>
      <c r="X160" s="721"/>
    </row>
    <row r="161" spans="2:24">
      <c r="B161" s="215">
        <v>15</v>
      </c>
      <c r="C161" s="217"/>
      <c r="D161" s="217"/>
      <c r="E161" s="218"/>
      <c r="F161" s="357"/>
      <c r="G161" s="219"/>
      <c r="H161" s="543"/>
      <c r="I161" s="721"/>
      <c r="J161" s="724"/>
      <c r="K161" s="192"/>
      <c r="L161" s="215">
        <v>15</v>
      </c>
      <c r="M161" s="290" t="s">
        <v>464</v>
      </c>
      <c r="N161" s="217"/>
      <c r="O161" s="433"/>
      <c r="P161" s="357"/>
      <c r="Q161" s="219"/>
      <c r="R161" s="470"/>
      <c r="S161" s="501"/>
      <c r="T161" s="411" t="str">
        <f t="shared" si="26"/>
        <v/>
      </c>
      <c r="U161" s="396"/>
      <c r="V161" s="733"/>
      <c r="W161" s="454"/>
      <c r="X161" s="721"/>
    </row>
    <row r="162" spans="2:24">
      <c r="B162" s="215">
        <v>15</v>
      </c>
      <c r="C162" s="217"/>
      <c r="D162" s="217"/>
      <c r="E162" s="218"/>
      <c r="F162" s="357"/>
      <c r="G162" s="219"/>
      <c r="H162" s="543"/>
      <c r="I162" s="721"/>
      <c r="J162" s="724"/>
      <c r="K162" s="192"/>
      <c r="L162" s="215">
        <v>15</v>
      </c>
      <c r="M162" s="290" t="s">
        <v>464</v>
      </c>
      <c r="N162" s="217"/>
      <c r="O162" s="433"/>
      <c r="P162" s="357"/>
      <c r="Q162" s="219"/>
      <c r="R162" s="470"/>
      <c r="S162" s="501"/>
      <c r="T162" s="411" t="str">
        <f t="shared" si="26"/>
        <v/>
      </c>
      <c r="U162" s="396"/>
      <c r="V162" s="733"/>
      <c r="W162" s="454"/>
      <c r="X162" s="721"/>
    </row>
    <row r="163" spans="2:24">
      <c r="B163" s="215">
        <v>15</v>
      </c>
      <c r="C163" s="217"/>
      <c r="D163" s="217"/>
      <c r="E163" s="218"/>
      <c r="F163" s="357"/>
      <c r="G163" s="219"/>
      <c r="H163" s="543"/>
      <c r="I163" s="721"/>
      <c r="J163" s="724"/>
      <c r="K163" s="192"/>
      <c r="L163" s="215">
        <v>15</v>
      </c>
      <c r="M163" s="290" t="s">
        <v>464</v>
      </c>
      <c r="N163" s="217"/>
      <c r="O163" s="433"/>
      <c r="P163" s="357"/>
      <c r="Q163" s="219"/>
      <c r="R163" s="470"/>
      <c r="S163" s="501"/>
      <c r="T163" s="411" t="str">
        <f t="shared" si="26"/>
        <v/>
      </c>
      <c r="U163" s="396"/>
      <c r="V163" s="733"/>
      <c r="W163" s="454"/>
      <c r="X163" s="721"/>
    </row>
    <row r="164" spans="2:24">
      <c r="B164" s="215">
        <v>15</v>
      </c>
      <c r="C164" s="217"/>
      <c r="D164" s="217"/>
      <c r="E164" s="218"/>
      <c r="F164" s="357"/>
      <c r="G164" s="219"/>
      <c r="H164" s="543"/>
      <c r="I164" s="721"/>
      <c r="J164" s="724"/>
      <c r="K164" s="192"/>
      <c r="L164" s="215">
        <v>15</v>
      </c>
      <c r="M164" s="290" t="s">
        <v>464</v>
      </c>
      <c r="N164" s="217"/>
      <c r="O164" s="433"/>
      <c r="P164" s="357"/>
      <c r="Q164" s="219"/>
      <c r="R164" s="470"/>
      <c r="S164" s="501"/>
      <c r="T164" s="411" t="str">
        <f t="shared" si="26"/>
        <v/>
      </c>
      <c r="U164" s="396"/>
      <c r="V164" s="733"/>
      <c r="W164" s="454"/>
      <c r="X164" s="721"/>
    </row>
    <row r="165" spans="2:24">
      <c r="B165" s="215">
        <v>15</v>
      </c>
      <c r="C165" s="217"/>
      <c r="D165" s="217"/>
      <c r="E165" s="218"/>
      <c r="F165" s="357"/>
      <c r="G165" s="219"/>
      <c r="H165" s="543"/>
      <c r="I165" s="721"/>
      <c r="J165" s="724"/>
      <c r="K165" s="192"/>
      <c r="L165" s="215">
        <v>15</v>
      </c>
      <c r="M165" s="290" t="s">
        <v>464</v>
      </c>
      <c r="N165" s="217"/>
      <c r="O165" s="433"/>
      <c r="P165" s="357"/>
      <c r="Q165" s="219"/>
      <c r="R165" s="470"/>
      <c r="S165" s="501"/>
      <c r="T165" s="411" t="str">
        <f t="shared" si="26"/>
        <v/>
      </c>
      <c r="U165" s="396"/>
      <c r="V165" s="733"/>
      <c r="W165" s="454"/>
      <c r="X165" s="721"/>
    </row>
    <row r="166" spans="2:24" ht="15" customHeight="1" thickBot="1">
      <c r="B166" s="220">
        <v>15</v>
      </c>
      <c r="C166" s="221"/>
      <c r="D166" s="221"/>
      <c r="E166" s="222"/>
      <c r="F166" s="358"/>
      <c r="G166" s="234"/>
      <c r="H166" s="554"/>
      <c r="I166" s="722"/>
      <c r="J166" s="725"/>
      <c r="K166" s="193"/>
      <c r="L166" s="220">
        <v>15</v>
      </c>
      <c r="M166" s="318" t="s">
        <v>464</v>
      </c>
      <c r="N166" s="221"/>
      <c r="O166" s="435"/>
      <c r="P166" s="358"/>
      <c r="Q166" s="234"/>
      <c r="R166" s="472"/>
      <c r="S166" s="503"/>
      <c r="T166" s="413" t="str">
        <f t="shared" si="26"/>
        <v/>
      </c>
      <c r="U166" s="398"/>
      <c r="V166" s="734"/>
      <c r="W166" s="456"/>
      <c r="X166" s="722"/>
    </row>
    <row r="167" spans="2:24" s="1" customFormat="1">
      <c r="B167" s="25"/>
      <c r="E167" s="2"/>
      <c r="F167" s="371"/>
      <c r="G167" s="3"/>
      <c r="H167" s="3"/>
      <c r="I167" s="251"/>
      <c r="J167" s="251"/>
      <c r="L167" s="25"/>
      <c r="O167" s="2"/>
      <c r="P167" s="371"/>
      <c r="Q167" s="252"/>
      <c r="R167" s="252"/>
      <c r="S167" s="252"/>
      <c r="T167" s="252"/>
      <c r="U167" s="252"/>
      <c r="V167" s="252"/>
      <c r="W167" s="252"/>
      <c r="X167" s="252"/>
    </row>
    <row r="168" spans="2:24">
      <c r="B168" s="26"/>
      <c r="C168" s="431" t="s">
        <v>467</v>
      </c>
      <c r="D168" s="4">
        <v>0</v>
      </c>
      <c r="E168" s="77"/>
      <c r="F168" s="431">
        <v>0</v>
      </c>
      <c r="G168" s="26"/>
      <c r="H168" s="26"/>
      <c r="I168" s="26"/>
      <c r="J168" s="26"/>
    </row>
    <row r="169" spans="2:24">
      <c r="B169" s="26"/>
      <c r="C169" s="431" t="s">
        <v>468</v>
      </c>
      <c r="D169" s="4">
        <v>0</v>
      </c>
      <c r="E169" s="77"/>
      <c r="F169" s="431">
        <v>0</v>
      </c>
      <c r="G169" s="26"/>
      <c r="H169" s="26"/>
      <c r="I169" s="160"/>
      <c r="J169" s="160"/>
      <c r="U169" s="688">
        <f>SUM(U6:U166)</f>
        <v>2041415.1179001906</v>
      </c>
    </row>
    <row r="170" spans="2:24">
      <c r="B170" s="26"/>
      <c r="C170" s="431" t="s">
        <v>469</v>
      </c>
      <c r="D170" s="4">
        <v>395600</v>
      </c>
      <c r="E170" s="77"/>
      <c r="F170" s="431">
        <f>565142.857142857+0.691939754877239</f>
        <v>565143.54908261192</v>
      </c>
      <c r="G170" s="26"/>
      <c r="H170" s="26"/>
      <c r="I170" s="253"/>
      <c r="J170" s="253"/>
    </row>
    <row r="171" spans="2:24">
      <c r="B171" s="26"/>
      <c r="C171" s="431" t="s">
        <v>369</v>
      </c>
      <c r="D171" s="4">
        <v>44160</v>
      </c>
      <c r="E171" s="77"/>
      <c r="F171" s="431">
        <v>63085.71428571429</v>
      </c>
      <c r="G171" s="26"/>
      <c r="H171" s="26"/>
      <c r="I171" s="160"/>
      <c r="J171" s="160"/>
      <c r="U171" s="431">
        <f>'Revenue Tracking'!F4</f>
        <v>2041415.1199999999</v>
      </c>
    </row>
    <row r="172" spans="2:24">
      <c r="B172" s="26"/>
      <c r="C172" s="431" t="s">
        <v>406</v>
      </c>
      <c r="D172" s="4">
        <v>18000</v>
      </c>
      <c r="E172" s="77"/>
      <c r="F172" s="431">
        <v>25714.285714285714</v>
      </c>
      <c r="G172" s="26"/>
      <c r="H172" s="26"/>
      <c r="I172" s="253"/>
      <c r="J172" s="253"/>
    </row>
    <row r="173" spans="2:24">
      <c r="B173" s="26"/>
      <c r="C173" s="431" t="s">
        <v>392</v>
      </c>
      <c r="D173" s="4">
        <v>23000</v>
      </c>
      <c r="E173" s="77"/>
      <c r="F173" s="431">
        <v>32857.142857142855</v>
      </c>
      <c r="G173" s="26"/>
      <c r="H173" s="26"/>
      <c r="I173" s="160"/>
      <c r="J173" s="160"/>
      <c r="U173" s="688">
        <f>U171-U169</f>
        <v>2.0998092368245125E-3</v>
      </c>
    </row>
    <row r="174" spans="2:24">
      <c r="B174" s="26"/>
      <c r="C174" s="431" t="s">
        <v>470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471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472</v>
      </c>
      <c r="D176" s="4">
        <v>250000</v>
      </c>
      <c r="E176" s="77"/>
      <c r="F176" s="431">
        <v>357142.85714285716</v>
      </c>
      <c r="G176" s="26"/>
      <c r="H176" s="26"/>
      <c r="I176" s="160"/>
      <c r="J176" s="160"/>
    </row>
    <row r="177" spans="2:23">
      <c r="B177" s="26"/>
      <c r="C177" s="431" t="s">
        <v>473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474</v>
      </c>
      <c r="D178" s="4">
        <v>0</v>
      </c>
      <c r="E178" s="77"/>
      <c r="F178" s="431">
        <v>0</v>
      </c>
      <c r="G178" s="26"/>
      <c r="H178" s="26"/>
      <c r="I178" s="160"/>
      <c r="J178" s="160"/>
    </row>
    <row r="179" spans="2:23">
      <c r="B179" s="26"/>
      <c r="C179" s="431" t="s">
        <v>475</v>
      </c>
      <c r="E179" s="77"/>
      <c r="F179" s="431"/>
      <c r="G179" s="26"/>
      <c r="H179" s="26"/>
      <c r="I179" s="160"/>
      <c r="J179" s="160"/>
    </row>
    <row r="180" spans="2:23">
      <c r="B180" s="26"/>
      <c r="C180" s="431"/>
      <c r="E180" s="77"/>
      <c r="F180" s="431"/>
      <c r="G180" s="26"/>
      <c r="H180" s="26"/>
      <c r="I180" s="160"/>
      <c r="J180" s="160"/>
    </row>
    <row r="181" spans="2:23" s="26" customFormat="1">
      <c r="C181" s="431" t="s">
        <v>476</v>
      </c>
      <c r="D181" s="26">
        <v>161000</v>
      </c>
      <c r="E181" s="77"/>
      <c r="F181" s="431">
        <v>178888.88888888888</v>
      </c>
      <c r="I181" s="160"/>
      <c r="J181" s="160"/>
      <c r="T181" s="431"/>
      <c r="U181" s="431"/>
      <c r="W181" s="431"/>
    </row>
    <row r="182" spans="2:23" s="26" customFormat="1">
      <c r="C182" s="431" t="s">
        <v>477</v>
      </c>
      <c r="D182" s="26">
        <v>322000</v>
      </c>
      <c r="E182" s="77"/>
      <c r="F182" s="431">
        <v>372318.89923108055</v>
      </c>
      <c r="I182" s="160"/>
      <c r="J182" s="160"/>
      <c r="T182" s="431"/>
      <c r="U182" s="431"/>
      <c r="W182" s="431"/>
    </row>
    <row r="183" spans="2:23" s="26" customFormat="1">
      <c r="C183" s="431" t="s">
        <v>478</v>
      </c>
      <c r="D183" s="26">
        <v>14012.702777777778</v>
      </c>
      <c r="E183" s="77"/>
      <c r="F183" s="431">
        <v>15923.525883838385</v>
      </c>
      <c r="I183" s="160"/>
      <c r="J183" s="160"/>
      <c r="T183" s="431"/>
      <c r="U183" s="431"/>
      <c r="W183" s="431"/>
    </row>
    <row r="184" spans="2:23" s="26" customFormat="1">
      <c r="C184" s="431" t="s">
        <v>479</v>
      </c>
      <c r="D184" s="26">
        <v>91500</v>
      </c>
      <c r="E184" s="77"/>
      <c r="F184" s="431">
        <v>101666.66666666667</v>
      </c>
      <c r="I184" s="160"/>
      <c r="J184" s="160"/>
      <c r="T184" s="431"/>
      <c r="U184" s="431"/>
      <c r="W184" s="431"/>
    </row>
    <row r="185" spans="2:23" s="26" customFormat="1">
      <c r="C185" s="431" t="s">
        <v>480</v>
      </c>
      <c r="D185" s="26">
        <v>8500</v>
      </c>
      <c r="E185" s="77"/>
      <c r="F185" s="431">
        <v>9444.4444444444453</v>
      </c>
      <c r="I185" s="160"/>
      <c r="J185" s="160"/>
      <c r="T185" s="431"/>
      <c r="U185" s="431"/>
      <c r="W185" s="431"/>
    </row>
    <row r="186" spans="2:23" s="26" customFormat="1">
      <c r="C186" s="431" t="s">
        <v>481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482</v>
      </c>
      <c r="D187" s="26">
        <v>3782.2222222222222</v>
      </c>
      <c r="E187" s="77"/>
      <c r="F187" s="431">
        <v>4202.4691358024693</v>
      </c>
      <c r="I187" s="160"/>
      <c r="J187" s="160"/>
      <c r="T187" s="431"/>
      <c r="U187" s="431"/>
      <c r="W187" s="431"/>
    </row>
    <row r="188" spans="2:23" s="26" customFormat="1">
      <c r="C188" s="431" t="s">
        <v>483</v>
      </c>
      <c r="D188" s="26">
        <v>36000</v>
      </c>
      <c r="E188" s="77"/>
      <c r="F188" s="431">
        <v>40000</v>
      </c>
      <c r="I188" s="160"/>
      <c r="J188" s="160"/>
      <c r="T188" s="431"/>
      <c r="U188" s="431"/>
      <c r="W188" s="431"/>
    </row>
    <row r="189" spans="2:23" s="26" customFormat="1">
      <c r="C189" s="431" t="s">
        <v>484</v>
      </c>
      <c r="D189" s="26">
        <v>17474</v>
      </c>
      <c r="E189" s="77"/>
      <c r="F189" s="431">
        <v>19415.555555555555</v>
      </c>
      <c r="I189" s="160"/>
      <c r="J189" s="160"/>
      <c r="T189" s="431"/>
      <c r="U189" s="431"/>
      <c r="W189" s="431"/>
    </row>
    <row r="190" spans="2:23" s="26" customFormat="1">
      <c r="C190" s="431" t="s">
        <v>485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 t="s">
        <v>472</v>
      </c>
      <c r="D191" s="26">
        <v>87000</v>
      </c>
      <c r="E191" s="77"/>
      <c r="F191" s="431">
        <v>96666.666666666672</v>
      </c>
      <c r="I191" s="160"/>
      <c r="J191" s="160"/>
      <c r="T191" s="431"/>
      <c r="U191" s="431"/>
      <c r="W191" s="431"/>
    </row>
    <row r="192" spans="2:23" s="26" customFormat="1">
      <c r="C192" s="431"/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486</v>
      </c>
      <c r="E193" s="77"/>
      <c r="F193" s="431"/>
      <c r="I193" s="160"/>
      <c r="J193" s="160"/>
      <c r="T193" s="431"/>
      <c r="U193" s="431"/>
      <c r="W193" s="431"/>
    </row>
    <row r="194" spans="3:23" s="26" customFormat="1">
      <c r="C194" s="431" t="s">
        <v>487</v>
      </c>
      <c r="D194" s="26">
        <v>8050</v>
      </c>
      <c r="E194" s="77"/>
      <c r="F194" s="431">
        <v>8944.4444444444453</v>
      </c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8:X55"/>
    <mergeCell ref="I57:I74"/>
    <mergeCell ref="J57:J74"/>
    <mergeCell ref="X57:X74"/>
    <mergeCell ref="X6:X11"/>
    <mergeCell ref="V6:V11"/>
    <mergeCell ref="V13:V19"/>
    <mergeCell ref="V21:V29"/>
    <mergeCell ref="V31:V46"/>
    <mergeCell ref="X21:X29"/>
    <mergeCell ref="I31:I46"/>
    <mergeCell ref="J31:J46"/>
    <mergeCell ref="X31:X46"/>
    <mergeCell ref="I13:I19"/>
    <mergeCell ref="J13:J19"/>
    <mergeCell ref="X13:X19"/>
    <mergeCell ref="I76:I83"/>
    <mergeCell ref="J76:J83"/>
    <mergeCell ref="V76:V83"/>
    <mergeCell ref="V48:V55"/>
    <mergeCell ref="V57:V74"/>
    <mergeCell ref="R63:R71"/>
    <mergeCell ref="I48:I55"/>
    <mergeCell ref="J48:J55"/>
    <mergeCell ref="R35:R43"/>
    <mergeCell ref="X76:X83"/>
    <mergeCell ref="I21:I29"/>
    <mergeCell ref="J21:J29"/>
    <mergeCell ref="I109:I124"/>
    <mergeCell ref="J109:J124"/>
    <mergeCell ref="X109:X124"/>
    <mergeCell ref="I85:I93"/>
    <mergeCell ref="J85:J93"/>
    <mergeCell ref="X85:X93"/>
    <mergeCell ref="I95:I107"/>
    <mergeCell ref="J95:J107"/>
    <mergeCell ref="X95:X107"/>
    <mergeCell ref="V109:V124"/>
    <mergeCell ref="V85:V93"/>
    <mergeCell ref="V95:V107"/>
    <mergeCell ref="R113:R121"/>
    <mergeCell ref="R96:R104"/>
    <mergeCell ref="X126:X130"/>
    <mergeCell ref="I132:I133"/>
    <mergeCell ref="J132:J133"/>
    <mergeCell ref="K132:K133"/>
    <mergeCell ref="X132:X133"/>
    <mergeCell ref="V126:V130"/>
    <mergeCell ref="I126:I130"/>
    <mergeCell ref="J126:J130"/>
    <mergeCell ref="I155:I166"/>
    <mergeCell ref="J155:J166"/>
    <mergeCell ref="X155:X166"/>
    <mergeCell ref="I135:I140"/>
    <mergeCell ref="J135:J140"/>
    <mergeCell ref="X135:X140"/>
    <mergeCell ref="I142:I153"/>
    <mergeCell ref="J142:J153"/>
    <mergeCell ref="X142:X153"/>
    <mergeCell ref="V135:V140"/>
    <mergeCell ref="V142:V153"/>
    <mergeCell ref="V155:V166"/>
  </mergeCells>
  <phoneticPr fontId="11" type="noConversion"/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J25" activePane="bottomLeft" state="frozen"/>
      <selection pane="bottomLeft" activeCell="J25" sqref="J25"/>
      <selection activeCell="J25" sqref="J25"/>
    </sheetView>
  </sheetViews>
  <sheetFormatPr defaultColWidth="8.42578125" defaultRowHeight="14.25"/>
  <cols>
    <col min="1" max="1" width="1.42578125" style="4" customWidth="1"/>
    <col min="2" max="2" width="8.42578125" style="5"/>
    <col min="3" max="3" width="2.42578125" style="5" customWidth="1"/>
    <col min="4" max="4" width="21.425781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488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5" thickBot="1">
      <c r="A4" s="126"/>
      <c r="B4" s="774"/>
      <c r="C4" s="774"/>
      <c r="D4" s="774"/>
      <c r="E4" s="313"/>
      <c r="F4" s="131" t="s">
        <v>243</v>
      </c>
      <c r="G4" s="126"/>
      <c r="H4" s="131" t="s">
        <v>244</v>
      </c>
      <c r="I4" s="126"/>
      <c r="J4" s="132" t="s">
        <v>489</v>
      </c>
      <c r="K4" s="26"/>
      <c r="L4" s="26"/>
    </row>
    <row r="5" spans="1:12" ht="15" thickBot="1">
      <c r="A5" s="126"/>
      <c r="B5" s="775" t="s">
        <v>490</v>
      </c>
      <c r="C5" s="775"/>
      <c r="D5" s="775"/>
      <c r="E5" s="313"/>
      <c r="F5" s="133">
        <f>SUM(F9:F23)</f>
        <v>1645950.6998642778</v>
      </c>
      <c r="G5" s="128"/>
      <c r="H5" s="133">
        <f>SUM(H9:H23)</f>
        <v>1377826.1763984046</v>
      </c>
      <c r="I5" s="126"/>
      <c r="J5" s="134">
        <f>SUM(J9:J23)</f>
        <v>268124.52346587298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5.5" thickBot="1">
      <c r="A7" s="126"/>
      <c r="B7" s="136" t="s">
        <v>128</v>
      </c>
      <c r="C7" s="137"/>
      <c r="D7" s="136" t="s">
        <v>77</v>
      </c>
      <c r="E7" s="137"/>
      <c r="F7" s="138" t="s">
        <v>491</v>
      </c>
      <c r="G7" s="139"/>
      <c r="H7" s="138" t="s">
        <v>492</v>
      </c>
      <c r="I7" s="139"/>
      <c r="J7" s="138" t="s">
        <v>493</v>
      </c>
      <c r="K7" s="84"/>
      <c r="L7" s="29" t="s">
        <v>494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395600</v>
      </c>
      <c r="G11" s="21"/>
      <c r="H11" s="142">
        <f>'Expenditure Breakdown'!X21</f>
        <v>392315.21</v>
      </c>
      <c r="I11" s="23"/>
      <c r="J11" s="143">
        <f t="shared" si="0"/>
        <v>3284.789999999979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44160</v>
      </c>
      <c r="G12" s="21"/>
      <c r="H12" s="142">
        <f>'Expenditure Breakdown'!X31</f>
        <v>103899.7776680892</v>
      </c>
      <c r="I12" s="23"/>
      <c r="J12" s="143">
        <f t="shared" si="0"/>
        <v>-59739.777668089198</v>
      </c>
      <c r="K12" s="85"/>
      <c r="L12" s="159"/>
    </row>
    <row r="13" spans="1:12">
      <c r="A13" s="126"/>
      <c r="B13" s="140">
        <f>'Expenditure Breakdown'!L48</f>
        <v>5</v>
      </c>
      <c r="C13" s="129"/>
      <c r="D13" s="141" t="str">
        <f>'Expenditure Breakdown'!M48</f>
        <v>5. Monitoring</v>
      </c>
      <c r="E13" s="144"/>
      <c r="F13" s="142">
        <f>'Expenditure Breakdown'!I48</f>
        <v>23000</v>
      </c>
      <c r="G13" s="21"/>
      <c r="H13" s="142">
        <f>'Expenditure Breakdown'!X48</f>
        <v>31776.719999999998</v>
      </c>
      <c r="I13" s="23"/>
      <c r="J13" s="143">
        <f t="shared" si="0"/>
        <v>-8776.7199999999975</v>
      </c>
      <c r="K13" s="85"/>
      <c r="L13" s="159"/>
    </row>
    <row r="14" spans="1:12">
      <c r="A14" s="126"/>
      <c r="B14" s="140">
        <f>'Expenditure Breakdown'!L57</f>
        <v>6</v>
      </c>
      <c r="C14" s="129"/>
      <c r="D14" s="141" t="str">
        <f>'Expenditure Breakdown'!M57</f>
        <v>6. AC Equipment</v>
      </c>
      <c r="E14" s="144"/>
      <c r="F14" s="142">
        <f>'Expenditure Breakdown'!I57</f>
        <v>18000</v>
      </c>
      <c r="G14" s="21"/>
      <c r="H14" s="142">
        <f>'Expenditure Breakdown'!X57</f>
        <v>17282.518071232025</v>
      </c>
      <c r="I14" s="23"/>
      <c r="J14" s="143">
        <f t="shared" si="0"/>
        <v>717.48192876797475</v>
      </c>
      <c r="K14" s="85"/>
      <c r="L14" s="159"/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487000</v>
      </c>
      <c r="G16" s="21"/>
      <c r="H16" s="142">
        <f>'Expenditure Breakdown'!X85</f>
        <v>312807.06000000006</v>
      </c>
      <c r="I16" s="23"/>
      <c r="J16" s="143">
        <f t="shared" si="0"/>
        <v>174192.93999999994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483000</v>
      </c>
      <c r="G17" s="21"/>
      <c r="H17" s="142">
        <f>'Expenditure Breakdown'!X95</f>
        <v>463747.56824472587</v>
      </c>
      <c r="I17" s="23"/>
      <c r="J17" s="143">
        <f t="shared" si="0"/>
        <v>19252.431755274127</v>
      </c>
      <c r="K17" s="85"/>
      <c r="L17" s="159"/>
    </row>
    <row r="18" spans="1:12">
      <c r="A18" s="126"/>
      <c r="B18" s="140">
        <f>'Expenditure Breakdown'!L109</f>
        <v>10</v>
      </c>
      <c r="C18" s="129"/>
      <c r="D18" s="141" t="str">
        <f>'Expenditure Breakdown'!M109</f>
        <v>10. Site Logistics</v>
      </c>
      <c r="E18" s="21"/>
      <c r="F18" s="142">
        <f>'Expenditure Breakdown'!I109</f>
        <v>65756.222222222219</v>
      </c>
      <c r="G18" s="21"/>
      <c r="H18" s="142">
        <f>'Expenditure Breakdown'!X109</f>
        <v>28570.122414357571</v>
      </c>
      <c r="I18" s="23"/>
      <c r="J18" s="143">
        <f t="shared" si="0"/>
        <v>37186.099807864652</v>
      </c>
      <c r="K18" s="85"/>
      <c r="L18" s="159"/>
    </row>
    <row r="19" spans="1:12">
      <c r="A19" s="126"/>
      <c r="B19" s="140">
        <f>'Expenditure Breakdown'!L126</f>
        <v>11</v>
      </c>
      <c r="C19" s="129"/>
      <c r="D19" s="141" t="str">
        <f>'Expenditure Breakdown'!M126</f>
        <v>11. Due Dilligence</v>
      </c>
      <c r="E19" s="21"/>
      <c r="F19" s="142">
        <f>'Expenditure Breakdown'!I126</f>
        <v>91500</v>
      </c>
      <c r="G19" s="21"/>
      <c r="H19" s="142">
        <f>'Expenditure Breakdown'!X126</f>
        <v>26725</v>
      </c>
      <c r="I19" s="23"/>
      <c r="J19" s="143">
        <f t="shared" si="0"/>
        <v>64775</v>
      </c>
      <c r="K19" s="85"/>
      <c r="L19" s="159"/>
    </row>
    <row r="20" spans="1:12">
      <c r="A20" s="126"/>
      <c r="B20" s="140">
        <f>'Expenditure Breakdown'!L132</f>
        <v>12</v>
      </c>
      <c r="C20" s="129"/>
      <c r="D20" s="141" t="str">
        <f>'Expenditure Breakdown'!M132</f>
        <v>12. BDP Commission</v>
      </c>
      <c r="E20" s="21"/>
      <c r="F20" s="142">
        <f>'Expenditure Breakdown'!I132</f>
        <v>15871.774864277701</v>
      </c>
      <c r="G20" s="21"/>
      <c r="H20" s="142">
        <f>'Expenditure Breakdown'!X132</f>
        <v>0</v>
      </c>
      <c r="I20" s="23"/>
      <c r="J20" s="143">
        <f t="shared" si="0"/>
        <v>15871.774864277701</v>
      </c>
      <c r="K20" s="85"/>
      <c r="L20" s="159"/>
    </row>
    <row r="21" spans="1:12">
      <c r="A21" s="126"/>
      <c r="B21" s="140">
        <f>'Expenditure Breakdown'!L135</f>
        <v>13</v>
      </c>
      <c r="C21" s="129"/>
      <c r="D21" s="141" t="str">
        <f>'Expenditure Breakdown'!M136</f>
        <v>13. Engineering</v>
      </c>
      <c r="E21" s="21"/>
      <c r="F21" s="142">
        <f>'Expenditure Breakdown'!I135</f>
        <v>14012.702777777778</v>
      </c>
      <c r="G21" s="21"/>
      <c r="H21" s="142">
        <f>'Expenditure Breakdown'!X135</f>
        <v>0</v>
      </c>
      <c r="I21" s="23"/>
      <c r="J21" s="143">
        <f t="shared" si="0"/>
        <v>14012.702777777778</v>
      </c>
      <c r="K21" s="85"/>
      <c r="L21" s="159"/>
    </row>
    <row r="22" spans="1:12">
      <c r="A22" s="126"/>
      <c r="B22" s="140">
        <f>'Expenditure Breakdown'!L142</f>
        <v>14</v>
      </c>
      <c r="C22" s="129"/>
      <c r="D22" s="141" t="str">
        <f>'Expenditure Breakdown'!M142</f>
        <v>14. General Expenses</v>
      </c>
      <c r="E22" s="21"/>
      <c r="F22" s="142">
        <f>'Expenditure Breakdown'!I142</f>
        <v>8050</v>
      </c>
      <c r="G22" s="21"/>
      <c r="H22" s="142">
        <f>'Expenditure Breakdown'!X142</f>
        <v>702.2</v>
      </c>
      <c r="I22" s="23"/>
      <c r="J22" s="143">
        <f t="shared" si="0"/>
        <v>7347.8</v>
      </c>
      <c r="K22" s="85"/>
      <c r="L22" s="159"/>
    </row>
    <row r="23" spans="1:12">
      <c r="A23" s="126"/>
      <c r="B23" s="140">
        <f>'Expenditure Breakdown'!L155</f>
        <v>15</v>
      </c>
      <c r="C23" s="129"/>
      <c r="D23" s="141" t="str">
        <f>'Expenditure Breakdown'!M155</f>
        <v>15. Service Add On</v>
      </c>
      <c r="E23" s="21"/>
      <c r="F23" s="142">
        <f>'Expenditure Breakdown'!I155</f>
        <v>0</v>
      </c>
      <c r="G23" s="21"/>
      <c r="H23" s="142">
        <f>'Expenditure Breakdown'!X155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495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Normal="100" workbookViewId="0">
      <pane xSplit="5" ySplit="15" topLeftCell="J25" activePane="bottomRight" state="frozen"/>
      <selection pane="bottomRight" activeCell="J25" sqref="J25"/>
      <selection pane="bottomLeft" activeCell="J25" sqref="J25"/>
      <selection pane="topRight" activeCell="J25" sqref="J25"/>
    </sheetView>
  </sheetViews>
  <sheetFormatPr defaultColWidth="9.42578125" defaultRowHeight="1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02"/>
  </cols>
  <sheetData>
    <row r="1" spans="1:1837">
      <c r="D1" s="98" t="s">
        <v>496</v>
      </c>
      <c r="E1" s="99"/>
      <c r="F1" s="100">
        <v>45845</v>
      </c>
      <c r="G1" s="101">
        <f>F1+7</f>
        <v>45852</v>
      </c>
      <c r="H1" s="101">
        <f>G1+7</f>
        <v>45859</v>
      </c>
      <c r="I1" s="101">
        <f t="shared" ref="I1:BT1" si="0">H1+7</f>
        <v>45866</v>
      </c>
      <c r="J1" s="101">
        <f t="shared" si="0"/>
        <v>45873</v>
      </c>
      <c r="K1" s="101">
        <f t="shared" si="0"/>
        <v>45880</v>
      </c>
      <c r="L1" s="101">
        <f t="shared" si="0"/>
        <v>45887</v>
      </c>
      <c r="M1" s="101">
        <f t="shared" si="0"/>
        <v>45894</v>
      </c>
      <c r="N1" s="101">
        <f t="shared" si="0"/>
        <v>45901</v>
      </c>
      <c r="O1" s="101">
        <f t="shared" si="0"/>
        <v>45908</v>
      </c>
      <c r="P1" s="101">
        <f t="shared" si="0"/>
        <v>45915</v>
      </c>
      <c r="Q1" s="101">
        <f t="shared" si="0"/>
        <v>45922</v>
      </c>
      <c r="R1" s="101">
        <f t="shared" si="0"/>
        <v>45929</v>
      </c>
      <c r="S1" s="101">
        <f t="shared" si="0"/>
        <v>45936</v>
      </c>
      <c r="T1" s="101">
        <f t="shared" si="0"/>
        <v>45943</v>
      </c>
      <c r="U1" s="101">
        <f t="shared" si="0"/>
        <v>45950</v>
      </c>
      <c r="V1" s="101">
        <f t="shared" si="0"/>
        <v>45957</v>
      </c>
      <c r="W1" s="101">
        <f t="shared" si="0"/>
        <v>45964</v>
      </c>
      <c r="X1" s="101">
        <f t="shared" si="0"/>
        <v>45971</v>
      </c>
      <c r="Y1" s="101">
        <f t="shared" si="0"/>
        <v>45978</v>
      </c>
      <c r="Z1" s="101">
        <f t="shared" si="0"/>
        <v>45985</v>
      </c>
      <c r="AA1" s="101">
        <f t="shared" si="0"/>
        <v>45992</v>
      </c>
      <c r="AB1" s="101">
        <f t="shared" si="0"/>
        <v>45999</v>
      </c>
      <c r="AC1" s="101">
        <f t="shared" si="0"/>
        <v>46006</v>
      </c>
      <c r="AD1" s="101">
        <f>AC1+7</f>
        <v>46013</v>
      </c>
      <c r="AE1" s="101">
        <f t="shared" si="0"/>
        <v>46020</v>
      </c>
      <c r="AF1" s="101">
        <f t="shared" si="0"/>
        <v>46027</v>
      </c>
      <c r="AG1" s="101">
        <f t="shared" si="0"/>
        <v>46034</v>
      </c>
      <c r="AH1" s="101">
        <f t="shared" si="0"/>
        <v>46041</v>
      </c>
      <c r="AI1" s="101">
        <f t="shared" si="0"/>
        <v>46048</v>
      </c>
      <c r="AJ1" s="101">
        <f t="shared" si="0"/>
        <v>46055</v>
      </c>
      <c r="AK1" s="101">
        <f t="shared" si="0"/>
        <v>46062</v>
      </c>
      <c r="AL1" s="101">
        <f t="shared" si="0"/>
        <v>46069</v>
      </c>
      <c r="AM1" s="101">
        <f t="shared" si="0"/>
        <v>46076</v>
      </c>
      <c r="AN1" s="101">
        <f t="shared" si="0"/>
        <v>46083</v>
      </c>
      <c r="AO1" s="101">
        <f t="shared" si="0"/>
        <v>46090</v>
      </c>
      <c r="AP1" s="101">
        <f t="shared" si="0"/>
        <v>46097</v>
      </c>
      <c r="AQ1" s="101">
        <f t="shared" si="0"/>
        <v>46104</v>
      </c>
      <c r="AR1" s="101">
        <f t="shared" si="0"/>
        <v>46111</v>
      </c>
      <c r="AS1" s="101">
        <f t="shared" si="0"/>
        <v>46118</v>
      </c>
      <c r="AT1" s="101">
        <f t="shared" si="0"/>
        <v>46125</v>
      </c>
      <c r="AU1" s="101">
        <f t="shared" si="0"/>
        <v>46132</v>
      </c>
      <c r="AV1" s="101">
        <f t="shared" si="0"/>
        <v>46139</v>
      </c>
      <c r="AW1" s="101">
        <f t="shared" si="0"/>
        <v>46146</v>
      </c>
      <c r="AX1" s="101">
        <f t="shared" si="0"/>
        <v>46153</v>
      </c>
      <c r="AY1" s="101">
        <f t="shared" si="0"/>
        <v>46160</v>
      </c>
      <c r="AZ1" s="101">
        <f t="shared" si="0"/>
        <v>46167</v>
      </c>
      <c r="BA1" s="101">
        <f t="shared" si="0"/>
        <v>46174</v>
      </c>
      <c r="BB1" s="101">
        <f t="shared" si="0"/>
        <v>46181</v>
      </c>
      <c r="BC1" s="101">
        <f t="shared" si="0"/>
        <v>46188</v>
      </c>
      <c r="BD1" s="101">
        <f t="shared" si="0"/>
        <v>46195</v>
      </c>
      <c r="BE1" s="101">
        <f t="shared" si="0"/>
        <v>46202</v>
      </c>
      <c r="BF1" s="101">
        <f t="shared" si="0"/>
        <v>46209</v>
      </c>
      <c r="BG1" s="101">
        <f t="shared" si="0"/>
        <v>46216</v>
      </c>
      <c r="BH1" s="101">
        <f t="shared" si="0"/>
        <v>46223</v>
      </c>
      <c r="BI1" s="101">
        <f t="shared" si="0"/>
        <v>46230</v>
      </c>
      <c r="BJ1" s="101">
        <f t="shared" si="0"/>
        <v>46237</v>
      </c>
      <c r="BK1" s="101">
        <f t="shared" si="0"/>
        <v>46244</v>
      </c>
      <c r="BL1" s="101">
        <f t="shared" si="0"/>
        <v>46251</v>
      </c>
      <c r="BM1" s="101">
        <f t="shared" si="0"/>
        <v>46258</v>
      </c>
      <c r="BN1" s="101">
        <f t="shared" si="0"/>
        <v>46265</v>
      </c>
      <c r="BO1" s="101">
        <f t="shared" si="0"/>
        <v>46272</v>
      </c>
      <c r="BP1" s="101">
        <f t="shared" si="0"/>
        <v>46279</v>
      </c>
      <c r="BQ1" s="101">
        <f t="shared" si="0"/>
        <v>46286</v>
      </c>
      <c r="BR1" s="101">
        <f t="shared" si="0"/>
        <v>46293</v>
      </c>
      <c r="BS1" s="101">
        <f t="shared" si="0"/>
        <v>46300</v>
      </c>
      <c r="BT1" s="101">
        <f t="shared" si="0"/>
        <v>46307</v>
      </c>
      <c r="BU1" s="101">
        <f t="shared" ref="BU1:EF1" si="1">BT1+7</f>
        <v>46314</v>
      </c>
      <c r="BV1" s="101">
        <f t="shared" si="1"/>
        <v>46321</v>
      </c>
      <c r="BW1" s="101">
        <f t="shared" si="1"/>
        <v>46328</v>
      </c>
      <c r="BX1" s="101">
        <f t="shared" si="1"/>
        <v>46335</v>
      </c>
      <c r="BY1" s="101">
        <f t="shared" si="1"/>
        <v>46342</v>
      </c>
      <c r="BZ1" s="101">
        <f t="shared" si="1"/>
        <v>46349</v>
      </c>
      <c r="CA1" s="101">
        <f t="shared" si="1"/>
        <v>46356</v>
      </c>
      <c r="CB1" s="101">
        <f t="shared" si="1"/>
        <v>46363</v>
      </c>
      <c r="CC1" s="101">
        <f t="shared" si="1"/>
        <v>46370</v>
      </c>
      <c r="CD1" s="101">
        <f t="shared" si="1"/>
        <v>46377</v>
      </c>
      <c r="CE1" s="101">
        <f t="shared" si="1"/>
        <v>46384</v>
      </c>
      <c r="CF1" s="101">
        <f t="shared" si="1"/>
        <v>46391</v>
      </c>
      <c r="CG1" s="101">
        <f t="shared" si="1"/>
        <v>46398</v>
      </c>
      <c r="CH1" s="101">
        <f t="shared" si="1"/>
        <v>46405</v>
      </c>
      <c r="CI1" s="101">
        <f t="shared" si="1"/>
        <v>46412</v>
      </c>
      <c r="CJ1" s="101">
        <f t="shared" si="1"/>
        <v>46419</v>
      </c>
      <c r="CK1" s="101">
        <f t="shared" si="1"/>
        <v>46426</v>
      </c>
      <c r="CL1" s="101">
        <f t="shared" si="1"/>
        <v>46433</v>
      </c>
      <c r="CM1" s="101">
        <f t="shared" si="1"/>
        <v>46440</v>
      </c>
      <c r="CN1" s="101">
        <f t="shared" si="1"/>
        <v>46447</v>
      </c>
      <c r="CO1" s="101">
        <f t="shared" si="1"/>
        <v>46454</v>
      </c>
      <c r="CP1" s="101">
        <f t="shared" si="1"/>
        <v>46461</v>
      </c>
      <c r="CQ1" s="101">
        <f t="shared" si="1"/>
        <v>46468</v>
      </c>
      <c r="CR1" s="101">
        <f t="shared" si="1"/>
        <v>46475</v>
      </c>
      <c r="CS1" s="101">
        <f t="shared" si="1"/>
        <v>46482</v>
      </c>
      <c r="CT1" s="101">
        <f t="shared" si="1"/>
        <v>46489</v>
      </c>
      <c r="CU1" s="101">
        <f t="shared" si="1"/>
        <v>46496</v>
      </c>
      <c r="CV1" s="101">
        <f t="shared" si="1"/>
        <v>46503</v>
      </c>
      <c r="CW1" s="101">
        <f t="shared" si="1"/>
        <v>46510</v>
      </c>
      <c r="CX1" s="101">
        <f t="shared" si="1"/>
        <v>46517</v>
      </c>
      <c r="CY1" s="101">
        <f t="shared" si="1"/>
        <v>46524</v>
      </c>
      <c r="CZ1" s="101">
        <f t="shared" si="1"/>
        <v>46531</v>
      </c>
      <c r="DA1" s="101">
        <f t="shared" si="1"/>
        <v>46538</v>
      </c>
      <c r="DB1" s="101">
        <f t="shared" si="1"/>
        <v>46545</v>
      </c>
      <c r="DC1" s="101">
        <f t="shared" si="1"/>
        <v>46552</v>
      </c>
      <c r="DD1" s="101">
        <f t="shared" si="1"/>
        <v>46559</v>
      </c>
      <c r="DE1" s="101">
        <f t="shared" si="1"/>
        <v>46566</v>
      </c>
      <c r="DF1" s="101">
        <f t="shared" si="1"/>
        <v>46573</v>
      </c>
      <c r="DG1" s="101">
        <f t="shared" si="1"/>
        <v>46580</v>
      </c>
      <c r="DH1" s="101">
        <f t="shared" si="1"/>
        <v>46587</v>
      </c>
      <c r="DI1" s="101">
        <f t="shared" si="1"/>
        <v>46594</v>
      </c>
      <c r="DJ1" s="101">
        <f t="shared" si="1"/>
        <v>46601</v>
      </c>
      <c r="DK1" s="101">
        <f t="shared" si="1"/>
        <v>46608</v>
      </c>
      <c r="DL1" s="101">
        <f t="shared" si="1"/>
        <v>46615</v>
      </c>
      <c r="DM1" s="101">
        <f t="shared" si="1"/>
        <v>46622</v>
      </c>
      <c r="DN1" s="101">
        <f t="shared" si="1"/>
        <v>46629</v>
      </c>
      <c r="DO1" s="101">
        <f t="shared" si="1"/>
        <v>46636</v>
      </c>
      <c r="DP1" s="101">
        <f t="shared" si="1"/>
        <v>46643</v>
      </c>
      <c r="DQ1" s="101">
        <f t="shared" si="1"/>
        <v>46650</v>
      </c>
      <c r="DR1" s="101">
        <f t="shared" si="1"/>
        <v>46657</v>
      </c>
      <c r="DS1" s="101">
        <f t="shared" si="1"/>
        <v>46664</v>
      </c>
      <c r="DT1" s="101">
        <f t="shared" si="1"/>
        <v>46671</v>
      </c>
      <c r="DU1" s="101">
        <f t="shared" si="1"/>
        <v>46678</v>
      </c>
      <c r="DV1" s="101">
        <f t="shared" si="1"/>
        <v>46685</v>
      </c>
      <c r="DW1" s="101">
        <f t="shared" si="1"/>
        <v>46692</v>
      </c>
      <c r="DX1" s="101">
        <f t="shared" si="1"/>
        <v>46699</v>
      </c>
      <c r="DY1" s="101">
        <f t="shared" si="1"/>
        <v>46706</v>
      </c>
      <c r="DZ1" s="101">
        <f t="shared" si="1"/>
        <v>46713</v>
      </c>
      <c r="EA1" s="101">
        <f t="shared" si="1"/>
        <v>46720</v>
      </c>
      <c r="EB1" s="101">
        <f t="shared" si="1"/>
        <v>46727</v>
      </c>
      <c r="EC1" s="101">
        <f t="shared" si="1"/>
        <v>46734</v>
      </c>
      <c r="ED1" s="101">
        <f t="shared" si="1"/>
        <v>46741</v>
      </c>
      <c r="EE1" s="101">
        <f t="shared" si="1"/>
        <v>46748</v>
      </c>
      <c r="EF1" s="101">
        <f t="shared" si="1"/>
        <v>46755</v>
      </c>
      <c r="EG1" s="101">
        <f t="shared" ref="EG1:GR1" si="2">EF1+7</f>
        <v>46762</v>
      </c>
      <c r="EH1" s="101">
        <f t="shared" si="2"/>
        <v>46769</v>
      </c>
      <c r="EI1" s="101">
        <f t="shared" si="2"/>
        <v>46776</v>
      </c>
      <c r="EJ1" s="101">
        <f t="shared" si="2"/>
        <v>46783</v>
      </c>
      <c r="EK1" s="101">
        <f t="shared" si="2"/>
        <v>46790</v>
      </c>
      <c r="EL1" s="101">
        <f t="shared" si="2"/>
        <v>46797</v>
      </c>
      <c r="EM1" s="101">
        <f t="shared" si="2"/>
        <v>46804</v>
      </c>
      <c r="EN1" s="101">
        <f t="shared" si="2"/>
        <v>46811</v>
      </c>
      <c r="EO1" s="101">
        <f t="shared" si="2"/>
        <v>46818</v>
      </c>
      <c r="EP1" s="101">
        <f t="shared" si="2"/>
        <v>46825</v>
      </c>
      <c r="EQ1" s="101">
        <f t="shared" si="2"/>
        <v>46832</v>
      </c>
      <c r="ER1" s="101">
        <f t="shared" si="2"/>
        <v>46839</v>
      </c>
      <c r="ES1" s="101">
        <f t="shared" si="2"/>
        <v>46846</v>
      </c>
      <c r="ET1" s="101">
        <f t="shared" si="2"/>
        <v>46853</v>
      </c>
      <c r="EU1" s="101">
        <f t="shared" si="2"/>
        <v>46860</v>
      </c>
      <c r="EV1" s="101">
        <f t="shared" si="2"/>
        <v>46867</v>
      </c>
      <c r="EW1" s="101">
        <f t="shared" si="2"/>
        <v>46874</v>
      </c>
      <c r="EX1" s="101">
        <f t="shared" si="2"/>
        <v>46881</v>
      </c>
      <c r="EY1" s="101">
        <f t="shared" si="2"/>
        <v>46888</v>
      </c>
      <c r="EZ1" s="101">
        <f t="shared" si="2"/>
        <v>46895</v>
      </c>
      <c r="FA1" s="101">
        <f t="shared" si="2"/>
        <v>46902</v>
      </c>
      <c r="FB1" s="101">
        <f t="shared" si="2"/>
        <v>46909</v>
      </c>
      <c r="FC1" s="101">
        <f t="shared" si="2"/>
        <v>46916</v>
      </c>
      <c r="FD1" s="101">
        <f t="shared" si="2"/>
        <v>46923</v>
      </c>
      <c r="FE1" s="101">
        <f t="shared" si="2"/>
        <v>46930</v>
      </c>
      <c r="FF1" s="101">
        <f t="shared" si="2"/>
        <v>46937</v>
      </c>
      <c r="FG1" s="101">
        <f t="shared" si="2"/>
        <v>46944</v>
      </c>
      <c r="FH1" s="101">
        <f t="shared" si="2"/>
        <v>46951</v>
      </c>
      <c r="FI1" s="101">
        <f t="shared" si="2"/>
        <v>46958</v>
      </c>
      <c r="FJ1" s="101">
        <f t="shared" si="2"/>
        <v>46965</v>
      </c>
      <c r="FK1" s="101">
        <f t="shared" si="2"/>
        <v>46972</v>
      </c>
      <c r="FL1" s="101">
        <f t="shared" si="2"/>
        <v>46979</v>
      </c>
      <c r="FM1" s="101">
        <f t="shared" si="2"/>
        <v>46986</v>
      </c>
      <c r="FN1" s="101">
        <f t="shared" si="2"/>
        <v>46993</v>
      </c>
      <c r="FO1" s="101">
        <f t="shared" si="2"/>
        <v>47000</v>
      </c>
      <c r="FP1" s="101">
        <f t="shared" si="2"/>
        <v>47007</v>
      </c>
      <c r="FQ1" s="101">
        <f t="shared" si="2"/>
        <v>47014</v>
      </c>
      <c r="FR1" s="101">
        <f t="shared" si="2"/>
        <v>47021</v>
      </c>
      <c r="FS1" s="101">
        <f t="shared" si="2"/>
        <v>47028</v>
      </c>
      <c r="FT1" s="101">
        <f t="shared" si="2"/>
        <v>47035</v>
      </c>
      <c r="FU1" s="101">
        <f t="shared" si="2"/>
        <v>47042</v>
      </c>
      <c r="FV1" s="101">
        <f t="shared" si="2"/>
        <v>47049</v>
      </c>
      <c r="FW1" s="101">
        <f t="shared" si="2"/>
        <v>47056</v>
      </c>
      <c r="FX1" s="101">
        <f t="shared" si="2"/>
        <v>47063</v>
      </c>
      <c r="FY1" s="101">
        <f t="shared" si="2"/>
        <v>47070</v>
      </c>
      <c r="FZ1" s="101">
        <f t="shared" si="2"/>
        <v>47077</v>
      </c>
      <c r="GA1" s="101">
        <f t="shared" si="2"/>
        <v>47084</v>
      </c>
      <c r="GB1" s="101">
        <f t="shared" si="2"/>
        <v>47091</v>
      </c>
      <c r="GC1" s="101">
        <f t="shared" si="2"/>
        <v>47098</v>
      </c>
      <c r="GD1" s="101">
        <f t="shared" si="2"/>
        <v>47105</v>
      </c>
      <c r="GE1" s="101">
        <f t="shared" si="2"/>
        <v>47112</v>
      </c>
      <c r="GF1" s="101">
        <f t="shared" si="2"/>
        <v>47119</v>
      </c>
      <c r="GG1" s="101">
        <f t="shared" si="2"/>
        <v>47126</v>
      </c>
      <c r="GH1" s="101">
        <f t="shared" si="2"/>
        <v>47133</v>
      </c>
      <c r="GI1" s="101">
        <f t="shared" si="2"/>
        <v>47140</v>
      </c>
      <c r="GJ1" s="101">
        <f t="shared" si="2"/>
        <v>47147</v>
      </c>
      <c r="GK1" s="101">
        <f t="shared" si="2"/>
        <v>47154</v>
      </c>
      <c r="GL1" s="101">
        <f t="shared" si="2"/>
        <v>47161</v>
      </c>
      <c r="GM1" s="101">
        <f t="shared" si="2"/>
        <v>47168</v>
      </c>
      <c r="GN1" s="101">
        <f t="shared" si="2"/>
        <v>47175</v>
      </c>
      <c r="GO1" s="101">
        <f t="shared" si="2"/>
        <v>47182</v>
      </c>
      <c r="GP1" s="101">
        <f t="shared" si="2"/>
        <v>47189</v>
      </c>
      <c r="GQ1" s="101">
        <f t="shared" si="2"/>
        <v>47196</v>
      </c>
      <c r="GR1" s="101">
        <f t="shared" si="2"/>
        <v>47203</v>
      </c>
      <c r="GS1" s="101">
        <f t="shared" ref="GS1:JD1" si="3">GR1+7</f>
        <v>47210</v>
      </c>
      <c r="GT1" s="101">
        <f t="shared" si="3"/>
        <v>47217</v>
      </c>
      <c r="GU1" s="101">
        <f t="shared" si="3"/>
        <v>47224</v>
      </c>
      <c r="GV1" s="101">
        <f t="shared" si="3"/>
        <v>47231</v>
      </c>
      <c r="GW1" s="101">
        <f t="shared" si="3"/>
        <v>47238</v>
      </c>
      <c r="GX1" s="101">
        <f t="shared" si="3"/>
        <v>47245</v>
      </c>
      <c r="GY1" s="101">
        <f t="shared" si="3"/>
        <v>47252</v>
      </c>
      <c r="GZ1" s="101">
        <f t="shared" si="3"/>
        <v>47259</v>
      </c>
      <c r="HA1" s="101">
        <f t="shared" si="3"/>
        <v>47266</v>
      </c>
      <c r="HB1" s="101">
        <f t="shared" si="3"/>
        <v>47273</v>
      </c>
      <c r="HC1" s="101">
        <f t="shared" si="3"/>
        <v>47280</v>
      </c>
      <c r="HD1" s="101">
        <f t="shared" si="3"/>
        <v>47287</v>
      </c>
      <c r="HE1" s="101">
        <f t="shared" si="3"/>
        <v>47294</v>
      </c>
      <c r="HF1" s="101">
        <f t="shared" si="3"/>
        <v>47301</v>
      </c>
      <c r="HG1" s="101">
        <f t="shared" si="3"/>
        <v>47308</v>
      </c>
      <c r="HH1" s="101">
        <f t="shared" si="3"/>
        <v>47315</v>
      </c>
      <c r="HI1" s="101">
        <f t="shared" si="3"/>
        <v>47322</v>
      </c>
      <c r="HJ1" s="101">
        <f t="shared" si="3"/>
        <v>47329</v>
      </c>
      <c r="HK1" s="101">
        <f t="shared" si="3"/>
        <v>47336</v>
      </c>
      <c r="HL1" s="101">
        <f t="shared" si="3"/>
        <v>47343</v>
      </c>
      <c r="HM1" s="101">
        <f t="shared" si="3"/>
        <v>47350</v>
      </c>
      <c r="HN1" s="101">
        <f t="shared" si="3"/>
        <v>47357</v>
      </c>
      <c r="HO1" s="101">
        <f t="shared" si="3"/>
        <v>47364</v>
      </c>
      <c r="HP1" s="101">
        <f t="shared" si="3"/>
        <v>47371</v>
      </c>
      <c r="HQ1" s="101">
        <f t="shared" si="3"/>
        <v>47378</v>
      </c>
      <c r="HR1" s="101">
        <f t="shared" si="3"/>
        <v>47385</v>
      </c>
      <c r="HS1" s="101">
        <f t="shared" si="3"/>
        <v>47392</v>
      </c>
      <c r="HT1" s="101">
        <f t="shared" si="3"/>
        <v>47399</v>
      </c>
      <c r="HU1" s="101">
        <f t="shared" si="3"/>
        <v>47406</v>
      </c>
      <c r="HV1" s="101">
        <f t="shared" si="3"/>
        <v>47413</v>
      </c>
      <c r="HW1" s="101">
        <f t="shared" si="3"/>
        <v>47420</v>
      </c>
      <c r="HX1" s="101">
        <f t="shared" si="3"/>
        <v>47427</v>
      </c>
      <c r="HY1" s="101">
        <f t="shared" si="3"/>
        <v>47434</v>
      </c>
      <c r="HZ1" s="101">
        <f t="shared" si="3"/>
        <v>47441</v>
      </c>
      <c r="IA1" s="101">
        <f t="shared" si="3"/>
        <v>47448</v>
      </c>
      <c r="IB1" s="101">
        <f t="shared" si="3"/>
        <v>47455</v>
      </c>
      <c r="IC1" s="101">
        <f t="shared" si="3"/>
        <v>47462</v>
      </c>
      <c r="ID1" s="101">
        <f t="shared" si="3"/>
        <v>47469</v>
      </c>
      <c r="IE1" s="101">
        <f t="shared" si="3"/>
        <v>47476</v>
      </c>
      <c r="IF1" s="101">
        <f t="shared" si="3"/>
        <v>47483</v>
      </c>
      <c r="IG1" s="101">
        <f t="shared" si="3"/>
        <v>47490</v>
      </c>
      <c r="IH1" s="101">
        <f t="shared" si="3"/>
        <v>47497</v>
      </c>
      <c r="II1" s="101">
        <f t="shared" si="3"/>
        <v>47504</v>
      </c>
      <c r="IJ1" s="101">
        <f t="shared" si="3"/>
        <v>47511</v>
      </c>
      <c r="IK1" s="101">
        <f t="shared" si="3"/>
        <v>47518</v>
      </c>
      <c r="IL1" s="101">
        <f t="shared" si="3"/>
        <v>47525</v>
      </c>
      <c r="IM1" s="101">
        <f t="shared" si="3"/>
        <v>47532</v>
      </c>
      <c r="IN1" s="101">
        <f t="shared" si="3"/>
        <v>47539</v>
      </c>
      <c r="IO1" s="101">
        <f t="shared" si="3"/>
        <v>47546</v>
      </c>
      <c r="IP1" s="101">
        <f t="shared" si="3"/>
        <v>47553</v>
      </c>
      <c r="IQ1" s="101">
        <f t="shared" si="3"/>
        <v>47560</v>
      </c>
      <c r="IR1" s="101">
        <f t="shared" si="3"/>
        <v>47567</v>
      </c>
      <c r="IS1" s="101">
        <f t="shared" si="3"/>
        <v>47574</v>
      </c>
      <c r="IT1" s="101">
        <f t="shared" si="3"/>
        <v>47581</v>
      </c>
      <c r="IU1" s="101">
        <f t="shared" si="3"/>
        <v>47588</v>
      </c>
      <c r="IV1" s="101">
        <f t="shared" si="3"/>
        <v>47595</v>
      </c>
      <c r="IW1" s="101">
        <f t="shared" si="3"/>
        <v>47602</v>
      </c>
      <c r="IX1" s="101">
        <f t="shared" si="3"/>
        <v>47609</v>
      </c>
      <c r="IY1" s="101">
        <f t="shared" si="3"/>
        <v>47616</v>
      </c>
      <c r="IZ1" s="101">
        <f t="shared" si="3"/>
        <v>47623</v>
      </c>
      <c r="JA1" s="101">
        <f t="shared" si="3"/>
        <v>47630</v>
      </c>
      <c r="JB1" s="101">
        <f t="shared" si="3"/>
        <v>47637</v>
      </c>
      <c r="JC1" s="101">
        <f t="shared" si="3"/>
        <v>47644</v>
      </c>
      <c r="JD1" s="101">
        <f t="shared" si="3"/>
        <v>47651</v>
      </c>
      <c r="JE1" s="101">
        <f t="shared" ref="JE1:LP1" si="4">JD1+7</f>
        <v>47658</v>
      </c>
      <c r="JF1" s="101">
        <f t="shared" si="4"/>
        <v>47665</v>
      </c>
      <c r="JG1" s="101">
        <f t="shared" si="4"/>
        <v>47672</v>
      </c>
      <c r="JH1" s="101">
        <f t="shared" si="4"/>
        <v>47679</v>
      </c>
      <c r="JI1" s="101">
        <f t="shared" si="4"/>
        <v>47686</v>
      </c>
      <c r="JJ1" s="101">
        <f t="shared" si="4"/>
        <v>47693</v>
      </c>
      <c r="JK1" s="101">
        <f t="shared" si="4"/>
        <v>47700</v>
      </c>
      <c r="JL1" s="101">
        <f t="shared" si="4"/>
        <v>47707</v>
      </c>
      <c r="JM1" s="101">
        <f t="shared" si="4"/>
        <v>47714</v>
      </c>
      <c r="JN1" s="101">
        <f t="shared" si="4"/>
        <v>47721</v>
      </c>
      <c r="JO1" s="101">
        <f t="shared" si="4"/>
        <v>47728</v>
      </c>
      <c r="JP1" s="101">
        <f t="shared" si="4"/>
        <v>47735</v>
      </c>
      <c r="JQ1" s="101">
        <f t="shared" si="4"/>
        <v>47742</v>
      </c>
      <c r="JR1" s="101">
        <f t="shared" si="4"/>
        <v>47749</v>
      </c>
      <c r="JS1" s="101">
        <f t="shared" si="4"/>
        <v>47756</v>
      </c>
      <c r="JT1" s="101">
        <f t="shared" si="4"/>
        <v>47763</v>
      </c>
      <c r="JU1" s="101">
        <f t="shared" si="4"/>
        <v>47770</v>
      </c>
      <c r="JV1" s="101">
        <f t="shared" si="4"/>
        <v>47777</v>
      </c>
      <c r="JW1" s="101">
        <f t="shared" si="4"/>
        <v>47784</v>
      </c>
      <c r="JX1" s="101">
        <f t="shared" si="4"/>
        <v>47791</v>
      </c>
      <c r="JY1" s="101">
        <f t="shared" si="4"/>
        <v>47798</v>
      </c>
      <c r="JZ1" s="101">
        <f t="shared" si="4"/>
        <v>47805</v>
      </c>
      <c r="KA1" s="101">
        <f t="shared" si="4"/>
        <v>47812</v>
      </c>
      <c r="KB1" s="101">
        <f t="shared" si="4"/>
        <v>47819</v>
      </c>
      <c r="KC1" s="101">
        <f t="shared" si="4"/>
        <v>47826</v>
      </c>
      <c r="KD1" s="101">
        <f t="shared" si="4"/>
        <v>47833</v>
      </c>
      <c r="KE1" s="101">
        <f t="shared" si="4"/>
        <v>47840</v>
      </c>
      <c r="KF1" s="101">
        <f t="shared" si="4"/>
        <v>47847</v>
      </c>
      <c r="KG1" s="101">
        <f t="shared" si="4"/>
        <v>47854</v>
      </c>
      <c r="KH1" s="101">
        <f t="shared" si="4"/>
        <v>47861</v>
      </c>
      <c r="KI1" s="101">
        <f t="shared" si="4"/>
        <v>47868</v>
      </c>
      <c r="KJ1" s="101">
        <f t="shared" si="4"/>
        <v>47875</v>
      </c>
      <c r="KK1" s="101">
        <f t="shared" si="4"/>
        <v>47882</v>
      </c>
      <c r="KL1" s="101">
        <f t="shared" si="4"/>
        <v>47889</v>
      </c>
      <c r="KM1" s="101">
        <f t="shared" si="4"/>
        <v>47896</v>
      </c>
      <c r="KN1" s="101">
        <f t="shared" si="4"/>
        <v>47903</v>
      </c>
      <c r="KO1" s="101">
        <f t="shared" si="4"/>
        <v>47910</v>
      </c>
      <c r="KP1" s="101">
        <f t="shared" si="4"/>
        <v>47917</v>
      </c>
      <c r="KQ1" s="101">
        <f t="shared" si="4"/>
        <v>47924</v>
      </c>
      <c r="KR1" s="101">
        <f t="shared" si="4"/>
        <v>47931</v>
      </c>
      <c r="KS1" s="101">
        <f t="shared" si="4"/>
        <v>47938</v>
      </c>
      <c r="KT1" s="101">
        <f t="shared" si="4"/>
        <v>47945</v>
      </c>
      <c r="KU1" s="101">
        <f t="shared" si="4"/>
        <v>47952</v>
      </c>
      <c r="KV1" s="101">
        <f t="shared" si="4"/>
        <v>47959</v>
      </c>
      <c r="KW1" s="101">
        <f t="shared" si="4"/>
        <v>47966</v>
      </c>
      <c r="KX1" s="101">
        <f t="shared" si="4"/>
        <v>47973</v>
      </c>
      <c r="KY1" s="101">
        <f t="shared" si="4"/>
        <v>47980</v>
      </c>
      <c r="KZ1" s="101">
        <f t="shared" si="4"/>
        <v>47987</v>
      </c>
      <c r="LA1" s="101">
        <f t="shared" si="4"/>
        <v>47994</v>
      </c>
      <c r="LB1" s="101">
        <f t="shared" si="4"/>
        <v>48001</v>
      </c>
      <c r="LC1" s="101">
        <f t="shared" si="4"/>
        <v>48008</v>
      </c>
      <c r="LD1" s="101">
        <f t="shared" si="4"/>
        <v>48015</v>
      </c>
      <c r="LE1" s="101">
        <f t="shared" si="4"/>
        <v>48022</v>
      </c>
      <c r="LF1" s="101">
        <f t="shared" si="4"/>
        <v>48029</v>
      </c>
      <c r="LG1" s="101">
        <f t="shared" si="4"/>
        <v>48036</v>
      </c>
      <c r="LH1" s="101">
        <f t="shared" si="4"/>
        <v>48043</v>
      </c>
      <c r="LI1" s="101">
        <f t="shared" si="4"/>
        <v>48050</v>
      </c>
      <c r="LJ1" s="101">
        <f t="shared" si="4"/>
        <v>48057</v>
      </c>
      <c r="LK1" s="101">
        <f t="shared" si="4"/>
        <v>48064</v>
      </c>
      <c r="LL1" s="101">
        <f t="shared" si="4"/>
        <v>48071</v>
      </c>
      <c r="LM1" s="101">
        <f t="shared" si="4"/>
        <v>48078</v>
      </c>
      <c r="LN1" s="101">
        <f t="shared" si="4"/>
        <v>48085</v>
      </c>
      <c r="LO1" s="101">
        <f t="shared" si="4"/>
        <v>48092</v>
      </c>
      <c r="LP1" s="101">
        <f t="shared" si="4"/>
        <v>48099</v>
      </c>
      <c r="LQ1" s="101">
        <f t="shared" ref="LQ1:OB1" si="5">LP1+7</f>
        <v>48106</v>
      </c>
      <c r="LR1" s="101">
        <f t="shared" si="5"/>
        <v>48113</v>
      </c>
      <c r="LS1" s="101">
        <f t="shared" si="5"/>
        <v>48120</v>
      </c>
      <c r="LT1" s="101">
        <f t="shared" si="5"/>
        <v>48127</v>
      </c>
      <c r="LU1" s="101">
        <f t="shared" si="5"/>
        <v>48134</v>
      </c>
      <c r="LV1" s="101">
        <f t="shared" si="5"/>
        <v>48141</v>
      </c>
      <c r="LW1" s="101">
        <f t="shared" si="5"/>
        <v>48148</v>
      </c>
      <c r="LX1" s="101">
        <f t="shared" si="5"/>
        <v>48155</v>
      </c>
      <c r="LY1" s="101">
        <f t="shared" si="5"/>
        <v>48162</v>
      </c>
      <c r="LZ1" s="101">
        <f t="shared" si="5"/>
        <v>48169</v>
      </c>
      <c r="MA1" s="101">
        <f t="shared" si="5"/>
        <v>48176</v>
      </c>
      <c r="MB1" s="101">
        <f t="shared" si="5"/>
        <v>48183</v>
      </c>
      <c r="MC1" s="101">
        <f t="shared" si="5"/>
        <v>48190</v>
      </c>
      <c r="MD1" s="101">
        <f t="shared" si="5"/>
        <v>48197</v>
      </c>
      <c r="ME1" s="101">
        <f t="shared" si="5"/>
        <v>48204</v>
      </c>
      <c r="MF1" s="101">
        <f t="shared" si="5"/>
        <v>48211</v>
      </c>
      <c r="MG1" s="101">
        <f t="shared" si="5"/>
        <v>48218</v>
      </c>
      <c r="MH1" s="101">
        <f t="shared" si="5"/>
        <v>48225</v>
      </c>
      <c r="MI1" s="101">
        <f t="shared" si="5"/>
        <v>48232</v>
      </c>
      <c r="MJ1" s="101">
        <f t="shared" si="5"/>
        <v>48239</v>
      </c>
      <c r="MK1" s="101">
        <f t="shared" si="5"/>
        <v>48246</v>
      </c>
      <c r="ML1" s="101">
        <f t="shared" si="5"/>
        <v>48253</v>
      </c>
      <c r="MM1" s="101">
        <f t="shared" si="5"/>
        <v>48260</v>
      </c>
      <c r="MN1" s="101">
        <f t="shared" si="5"/>
        <v>48267</v>
      </c>
      <c r="MO1" s="101">
        <f t="shared" si="5"/>
        <v>48274</v>
      </c>
      <c r="MP1" s="101">
        <f t="shared" si="5"/>
        <v>48281</v>
      </c>
      <c r="MQ1" s="101">
        <f t="shared" si="5"/>
        <v>48288</v>
      </c>
      <c r="MR1" s="101">
        <f t="shared" si="5"/>
        <v>48295</v>
      </c>
      <c r="MS1" s="101">
        <f t="shared" si="5"/>
        <v>48302</v>
      </c>
      <c r="MT1" s="101">
        <f t="shared" si="5"/>
        <v>48309</v>
      </c>
      <c r="MU1" s="101">
        <f t="shared" si="5"/>
        <v>48316</v>
      </c>
      <c r="MV1" s="101">
        <f t="shared" si="5"/>
        <v>48323</v>
      </c>
      <c r="MW1" s="101">
        <f t="shared" si="5"/>
        <v>48330</v>
      </c>
      <c r="MX1" s="101">
        <f t="shared" si="5"/>
        <v>48337</v>
      </c>
      <c r="MY1" s="101">
        <f t="shared" si="5"/>
        <v>48344</v>
      </c>
      <c r="MZ1" s="101">
        <f t="shared" si="5"/>
        <v>48351</v>
      </c>
      <c r="NA1" s="101">
        <f t="shared" si="5"/>
        <v>48358</v>
      </c>
      <c r="NB1" s="101">
        <f t="shared" si="5"/>
        <v>48365</v>
      </c>
      <c r="NC1" s="101">
        <f t="shared" si="5"/>
        <v>48372</v>
      </c>
      <c r="ND1" s="101">
        <f t="shared" si="5"/>
        <v>48379</v>
      </c>
      <c r="NE1" s="101">
        <f t="shared" si="5"/>
        <v>48386</v>
      </c>
      <c r="NF1" s="101">
        <f t="shared" si="5"/>
        <v>48393</v>
      </c>
      <c r="NG1" s="101">
        <f t="shared" si="5"/>
        <v>48400</v>
      </c>
      <c r="NH1" s="101">
        <f t="shared" si="5"/>
        <v>48407</v>
      </c>
      <c r="NI1" s="101">
        <f t="shared" si="5"/>
        <v>48414</v>
      </c>
      <c r="NJ1" s="101">
        <f t="shared" si="5"/>
        <v>48421</v>
      </c>
      <c r="NK1" s="101">
        <f t="shared" si="5"/>
        <v>48428</v>
      </c>
      <c r="NL1" s="101">
        <f t="shared" si="5"/>
        <v>48435</v>
      </c>
      <c r="NM1" s="101">
        <f t="shared" si="5"/>
        <v>48442</v>
      </c>
      <c r="NN1" s="101">
        <f t="shared" si="5"/>
        <v>48449</v>
      </c>
      <c r="NO1" s="101">
        <f t="shared" si="5"/>
        <v>48456</v>
      </c>
      <c r="NP1" s="101">
        <f t="shared" si="5"/>
        <v>48463</v>
      </c>
      <c r="NQ1" s="101">
        <f t="shared" si="5"/>
        <v>48470</v>
      </c>
      <c r="NR1" s="101">
        <f t="shared" si="5"/>
        <v>48477</v>
      </c>
      <c r="NS1" s="101">
        <f t="shared" si="5"/>
        <v>48484</v>
      </c>
      <c r="NT1" s="101">
        <f t="shared" si="5"/>
        <v>48491</v>
      </c>
      <c r="NU1" s="101">
        <f t="shared" si="5"/>
        <v>48498</v>
      </c>
      <c r="NV1" s="101">
        <f t="shared" si="5"/>
        <v>48505</v>
      </c>
      <c r="NW1" s="101">
        <f t="shared" si="5"/>
        <v>48512</v>
      </c>
      <c r="NX1" s="101">
        <f t="shared" si="5"/>
        <v>48519</v>
      </c>
      <c r="NY1" s="101">
        <f t="shared" si="5"/>
        <v>48526</v>
      </c>
      <c r="NZ1" s="101">
        <f t="shared" si="5"/>
        <v>48533</v>
      </c>
      <c r="OA1" s="101">
        <f t="shared" si="5"/>
        <v>48540</v>
      </c>
      <c r="OB1" s="101">
        <f t="shared" si="5"/>
        <v>48547</v>
      </c>
      <c r="OC1" s="101">
        <f t="shared" ref="OC1:QN1" si="6">OB1+7</f>
        <v>48554</v>
      </c>
      <c r="OD1" s="101">
        <f t="shared" si="6"/>
        <v>48561</v>
      </c>
      <c r="OE1" s="101">
        <f t="shared" si="6"/>
        <v>48568</v>
      </c>
      <c r="OF1" s="101">
        <f t="shared" si="6"/>
        <v>48575</v>
      </c>
      <c r="OG1" s="101">
        <f t="shared" si="6"/>
        <v>48582</v>
      </c>
      <c r="OH1" s="101">
        <f t="shared" si="6"/>
        <v>48589</v>
      </c>
      <c r="OI1" s="101">
        <f t="shared" si="6"/>
        <v>48596</v>
      </c>
      <c r="OJ1" s="101">
        <f t="shared" si="6"/>
        <v>48603</v>
      </c>
      <c r="OK1" s="101">
        <f t="shared" si="6"/>
        <v>48610</v>
      </c>
      <c r="OL1" s="101">
        <f t="shared" si="6"/>
        <v>48617</v>
      </c>
      <c r="OM1" s="101">
        <f t="shared" si="6"/>
        <v>48624</v>
      </c>
      <c r="ON1" s="101">
        <f t="shared" si="6"/>
        <v>48631</v>
      </c>
      <c r="OO1" s="101">
        <f t="shared" si="6"/>
        <v>48638</v>
      </c>
      <c r="OP1" s="101">
        <f t="shared" si="6"/>
        <v>48645</v>
      </c>
      <c r="OQ1" s="101">
        <f t="shared" si="6"/>
        <v>48652</v>
      </c>
      <c r="OR1" s="101">
        <f t="shared" si="6"/>
        <v>48659</v>
      </c>
      <c r="OS1" s="101">
        <f t="shared" si="6"/>
        <v>48666</v>
      </c>
      <c r="OT1" s="101">
        <f t="shared" si="6"/>
        <v>48673</v>
      </c>
      <c r="OU1" s="101">
        <f t="shared" si="6"/>
        <v>48680</v>
      </c>
      <c r="OV1" s="101">
        <f t="shared" si="6"/>
        <v>48687</v>
      </c>
      <c r="OW1" s="101">
        <f t="shared" si="6"/>
        <v>48694</v>
      </c>
      <c r="OX1" s="101">
        <f t="shared" si="6"/>
        <v>48701</v>
      </c>
      <c r="OY1" s="101">
        <f t="shared" si="6"/>
        <v>48708</v>
      </c>
      <c r="OZ1" s="101">
        <f t="shared" si="6"/>
        <v>48715</v>
      </c>
      <c r="PA1" s="101">
        <f t="shared" si="6"/>
        <v>48722</v>
      </c>
      <c r="PB1" s="101">
        <f t="shared" si="6"/>
        <v>48729</v>
      </c>
      <c r="PC1" s="101">
        <f t="shared" si="6"/>
        <v>48736</v>
      </c>
      <c r="PD1" s="101">
        <f t="shared" si="6"/>
        <v>48743</v>
      </c>
      <c r="PE1" s="101">
        <f t="shared" si="6"/>
        <v>48750</v>
      </c>
      <c r="PF1" s="101">
        <f t="shared" si="6"/>
        <v>48757</v>
      </c>
      <c r="PG1" s="101">
        <f t="shared" si="6"/>
        <v>48764</v>
      </c>
      <c r="PH1" s="101">
        <f t="shared" si="6"/>
        <v>48771</v>
      </c>
      <c r="PI1" s="101">
        <f t="shared" si="6"/>
        <v>48778</v>
      </c>
      <c r="PJ1" s="101">
        <f t="shared" si="6"/>
        <v>48785</v>
      </c>
      <c r="PK1" s="101">
        <f t="shared" si="6"/>
        <v>48792</v>
      </c>
      <c r="PL1" s="101">
        <f t="shared" si="6"/>
        <v>48799</v>
      </c>
      <c r="PM1" s="101">
        <f t="shared" si="6"/>
        <v>48806</v>
      </c>
      <c r="PN1" s="101">
        <f t="shared" si="6"/>
        <v>48813</v>
      </c>
      <c r="PO1" s="101">
        <f t="shared" si="6"/>
        <v>48820</v>
      </c>
      <c r="PP1" s="101">
        <f t="shared" si="6"/>
        <v>48827</v>
      </c>
      <c r="PQ1" s="101">
        <f t="shared" si="6"/>
        <v>48834</v>
      </c>
      <c r="PR1" s="101">
        <f t="shared" si="6"/>
        <v>48841</v>
      </c>
      <c r="PS1" s="101">
        <f t="shared" si="6"/>
        <v>48848</v>
      </c>
      <c r="PT1" s="101">
        <f t="shared" si="6"/>
        <v>48855</v>
      </c>
      <c r="PU1" s="101">
        <f t="shared" si="6"/>
        <v>48862</v>
      </c>
      <c r="PV1" s="101">
        <f t="shared" si="6"/>
        <v>48869</v>
      </c>
      <c r="PW1" s="101">
        <f t="shared" si="6"/>
        <v>48876</v>
      </c>
      <c r="PX1" s="101">
        <f t="shared" si="6"/>
        <v>48883</v>
      </c>
      <c r="PY1" s="101">
        <f t="shared" si="6"/>
        <v>48890</v>
      </c>
      <c r="PZ1" s="101">
        <f t="shared" si="6"/>
        <v>48897</v>
      </c>
      <c r="QA1" s="101">
        <f t="shared" si="6"/>
        <v>48904</v>
      </c>
      <c r="QB1" s="101">
        <f t="shared" si="6"/>
        <v>48911</v>
      </c>
      <c r="QC1" s="101">
        <f t="shared" si="6"/>
        <v>48918</v>
      </c>
      <c r="QD1" s="101">
        <f t="shared" si="6"/>
        <v>48925</v>
      </c>
      <c r="QE1" s="101">
        <f t="shared" si="6"/>
        <v>48932</v>
      </c>
      <c r="QF1" s="101">
        <f t="shared" si="6"/>
        <v>48939</v>
      </c>
      <c r="QG1" s="101">
        <f t="shared" si="6"/>
        <v>48946</v>
      </c>
      <c r="QH1" s="101">
        <f t="shared" si="6"/>
        <v>48953</v>
      </c>
      <c r="QI1" s="101">
        <f t="shared" si="6"/>
        <v>48960</v>
      </c>
      <c r="QJ1" s="101">
        <f t="shared" si="6"/>
        <v>48967</v>
      </c>
      <c r="QK1" s="101">
        <f t="shared" si="6"/>
        <v>48974</v>
      </c>
      <c r="QL1" s="101">
        <f t="shared" si="6"/>
        <v>48981</v>
      </c>
      <c r="QM1" s="101">
        <f t="shared" si="6"/>
        <v>48988</v>
      </c>
      <c r="QN1" s="101">
        <f t="shared" si="6"/>
        <v>48995</v>
      </c>
      <c r="QO1" s="101">
        <f t="shared" ref="QO1:SZ1" si="7">QN1+7</f>
        <v>49002</v>
      </c>
      <c r="QP1" s="101">
        <f t="shared" si="7"/>
        <v>49009</v>
      </c>
      <c r="QQ1" s="101">
        <f t="shared" si="7"/>
        <v>49016</v>
      </c>
      <c r="QR1" s="101">
        <f t="shared" si="7"/>
        <v>49023</v>
      </c>
      <c r="QS1" s="101">
        <f t="shared" si="7"/>
        <v>49030</v>
      </c>
      <c r="QT1" s="101">
        <f t="shared" si="7"/>
        <v>49037</v>
      </c>
      <c r="QU1" s="101">
        <f t="shared" si="7"/>
        <v>49044</v>
      </c>
      <c r="QV1" s="101">
        <f t="shared" si="7"/>
        <v>49051</v>
      </c>
      <c r="QW1" s="101">
        <f t="shared" si="7"/>
        <v>49058</v>
      </c>
      <c r="QX1" s="101">
        <f t="shared" si="7"/>
        <v>49065</v>
      </c>
      <c r="QY1" s="101">
        <f t="shared" si="7"/>
        <v>49072</v>
      </c>
      <c r="QZ1" s="101">
        <f t="shared" si="7"/>
        <v>49079</v>
      </c>
      <c r="RA1" s="101">
        <f t="shared" si="7"/>
        <v>49086</v>
      </c>
      <c r="RB1" s="101">
        <f t="shared" si="7"/>
        <v>49093</v>
      </c>
      <c r="RC1" s="101">
        <f t="shared" si="7"/>
        <v>49100</v>
      </c>
      <c r="RD1" s="101">
        <f t="shared" si="7"/>
        <v>49107</v>
      </c>
      <c r="RE1" s="101">
        <f t="shared" si="7"/>
        <v>49114</v>
      </c>
      <c r="RF1" s="101">
        <f t="shared" si="7"/>
        <v>49121</v>
      </c>
      <c r="RG1" s="101">
        <f t="shared" si="7"/>
        <v>49128</v>
      </c>
      <c r="RH1" s="101">
        <f t="shared" si="7"/>
        <v>49135</v>
      </c>
      <c r="RI1" s="101">
        <f t="shared" si="7"/>
        <v>49142</v>
      </c>
      <c r="RJ1" s="101">
        <f t="shared" si="7"/>
        <v>49149</v>
      </c>
      <c r="RK1" s="101">
        <f t="shared" si="7"/>
        <v>49156</v>
      </c>
      <c r="RL1" s="101">
        <f t="shared" si="7"/>
        <v>49163</v>
      </c>
      <c r="RM1" s="101">
        <f t="shared" si="7"/>
        <v>49170</v>
      </c>
      <c r="RN1" s="101">
        <f t="shared" si="7"/>
        <v>49177</v>
      </c>
      <c r="RO1" s="101">
        <f t="shared" si="7"/>
        <v>49184</v>
      </c>
      <c r="RP1" s="101">
        <f t="shared" si="7"/>
        <v>49191</v>
      </c>
      <c r="RQ1" s="101">
        <f t="shared" si="7"/>
        <v>49198</v>
      </c>
      <c r="RR1" s="101">
        <f t="shared" si="7"/>
        <v>49205</v>
      </c>
      <c r="RS1" s="101">
        <f t="shared" si="7"/>
        <v>49212</v>
      </c>
      <c r="RT1" s="101">
        <f t="shared" si="7"/>
        <v>49219</v>
      </c>
      <c r="RU1" s="101">
        <f t="shared" si="7"/>
        <v>49226</v>
      </c>
      <c r="RV1" s="101">
        <f t="shared" si="7"/>
        <v>49233</v>
      </c>
      <c r="RW1" s="101">
        <f t="shared" si="7"/>
        <v>49240</v>
      </c>
      <c r="RX1" s="101">
        <f t="shared" si="7"/>
        <v>49247</v>
      </c>
      <c r="RY1" s="101">
        <f t="shared" si="7"/>
        <v>49254</v>
      </c>
      <c r="RZ1" s="101">
        <f t="shared" si="7"/>
        <v>49261</v>
      </c>
      <c r="SA1" s="101">
        <f t="shared" si="7"/>
        <v>49268</v>
      </c>
      <c r="SB1" s="101">
        <f t="shared" si="7"/>
        <v>49275</v>
      </c>
      <c r="SC1" s="101">
        <f t="shared" si="7"/>
        <v>49282</v>
      </c>
      <c r="SD1" s="101">
        <f t="shared" si="7"/>
        <v>49289</v>
      </c>
      <c r="SE1" s="101">
        <f t="shared" si="7"/>
        <v>49296</v>
      </c>
      <c r="SF1" s="101">
        <f t="shared" si="7"/>
        <v>49303</v>
      </c>
      <c r="SG1" s="101">
        <f t="shared" si="7"/>
        <v>49310</v>
      </c>
      <c r="SH1" s="101">
        <f t="shared" si="7"/>
        <v>49317</v>
      </c>
      <c r="SI1" s="101">
        <f t="shared" si="7"/>
        <v>49324</v>
      </c>
      <c r="SJ1" s="101">
        <f t="shared" si="7"/>
        <v>49331</v>
      </c>
      <c r="SK1" s="101">
        <f t="shared" si="7"/>
        <v>49338</v>
      </c>
      <c r="SL1" s="101">
        <f t="shared" si="7"/>
        <v>49345</v>
      </c>
      <c r="SM1" s="101">
        <f t="shared" si="7"/>
        <v>49352</v>
      </c>
      <c r="SN1" s="101">
        <f t="shared" si="7"/>
        <v>49359</v>
      </c>
      <c r="SO1" s="101">
        <f t="shared" si="7"/>
        <v>49366</v>
      </c>
      <c r="SP1" s="101">
        <f t="shared" si="7"/>
        <v>49373</v>
      </c>
      <c r="SQ1" s="101">
        <f t="shared" si="7"/>
        <v>49380</v>
      </c>
      <c r="SR1" s="101">
        <f t="shared" si="7"/>
        <v>49387</v>
      </c>
      <c r="SS1" s="101">
        <f t="shared" si="7"/>
        <v>49394</v>
      </c>
      <c r="ST1" s="101">
        <f t="shared" si="7"/>
        <v>49401</v>
      </c>
      <c r="SU1" s="101">
        <f t="shared" si="7"/>
        <v>49408</v>
      </c>
      <c r="SV1" s="101">
        <f t="shared" si="7"/>
        <v>49415</v>
      </c>
      <c r="SW1" s="101">
        <f t="shared" si="7"/>
        <v>49422</v>
      </c>
      <c r="SX1" s="101">
        <f t="shared" si="7"/>
        <v>49429</v>
      </c>
      <c r="SY1" s="101">
        <f t="shared" si="7"/>
        <v>49436</v>
      </c>
      <c r="SZ1" s="101">
        <f t="shared" si="7"/>
        <v>49443</v>
      </c>
      <c r="TA1" s="101">
        <f t="shared" ref="TA1:VL1" si="8">SZ1+7</f>
        <v>49450</v>
      </c>
      <c r="TB1" s="101">
        <f t="shared" si="8"/>
        <v>49457</v>
      </c>
      <c r="TC1" s="101">
        <f t="shared" si="8"/>
        <v>49464</v>
      </c>
      <c r="TD1" s="101">
        <f t="shared" si="8"/>
        <v>49471</v>
      </c>
      <c r="TE1" s="101">
        <f t="shared" si="8"/>
        <v>49478</v>
      </c>
      <c r="TF1" s="101">
        <f t="shared" si="8"/>
        <v>49485</v>
      </c>
      <c r="TG1" s="101">
        <f t="shared" si="8"/>
        <v>49492</v>
      </c>
      <c r="TH1" s="101">
        <f t="shared" si="8"/>
        <v>49499</v>
      </c>
      <c r="TI1" s="101">
        <f t="shared" si="8"/>
        <v>49506</v>
      </c>
      <c r="TJ1" s="101">
        <f t="shared" si="8"/>
        <v>49513</v>
      </c>
      <c r="TK1" s="101">
        <f t="shared" si="8"/>
        <v>49520</v>
      </c>
      <c r="TL1" s="101">
        <f t="shared" si="8"/>
        <v>49527</v>
      </c>
      <c r="TM1" s="101">
        <f t="shared" si="8"/>
        <v>49534</v>
      </c>
      <c r="TN1" s="101">
        <f t="shared" si="8"/>
        <v>49541</v>
      </c>
      <c r="TO1" s="101">
        <f t="shared" si="8"/>
        <v>49548</v>
      </c>
      <c r="TP1" s="101">
        <f t="shared" si="8"/>
        <v>49555</v>
      </c>
      <c r="TQ1" s="101">
        <f t="shared" si="8"/>
        <v>49562</v>
      </c>
      <c r="TR1" s="101">
        <f t="shared" si="8"/>
        <v>49569</v>
      </c>
      <c r="TS1" s="101">
        <f t="shared" si="8"/>
        <v>49576</v>
      </c>
      <c r="TT1" s="101">
        <f t="shared" si="8"/>
        <v>49583</v>
      </c>
      <c r="TU1" s="101">
        <f t="shared" si="8"/>
        <v>49590</v>
      </c>
      <c r="TV1" s="101">
        <f t="shared" si="8"/>
        <v>49597</v>
      </c>
      <c r="TW1" s="101">
        <f t="shared" si="8"/>
        <v>49604</v>
      </c>
      <c r="TX1" s="101">
        <f t="shared" si="8"/>
        <v>49611</v>
      </c>
      <c r="TY1" s="101">
        <f t="shared" si="8"/>
        <v>49618</v>
      </c>
      <c r="TZ1" s="101">
        <f t="shared" si="8"/>
        <v>49625</v>
      </c>
      <c r="UA1" s="101">
        <f t="shared" si="8"/>
        <v>49632</v>
      </c>
      <c r="UB1" s="101">
        <f t="shared" si="8"/>
        <v>49639</v>
      </c>
      <c r="UC1" s="101">
        <f t="shared" si="8"/>
        <v>49646</v>
      </c>
      <c r="UD1" s="101">
        <f t="shared" si="8"/>
        <v>49653</v>
      </c>
      <c r="UE1" s="101">
        <f t="shared" si="8"/>
        <v>49660</v>
      </c>
      <c r="UF1" s="101">
        <f t="shared" si="8"/>
        <v>49667</v>
      </c>
      <c r="UG1" s="101">
        <f t="shared" si="8"/>
        <v>49674</v>
      </c>
      <c r="UH1" s="101">
        <f t="shared" si="8"/>
        <v>49681</v>
      </c>
      <c r="UI1" s="101">
        <f t="shared" si="8"/>
        <v>49688</v>
      </c>
      <c r="UJ1" s="101">
        <f t="shared" si="8"/>
        <v>49695</v>
      </c>
      <c r="UK1" s="101">
        <f t="shared" si="8"/>
        <v>49702</v>
      </c>
      <c r="UL1" s="101">
        <f t="shared" si="8"/>
        <v>49709</v>
      </c>
      <c r="UM1" s="101">
        <f t="shared" si="8"/>
        <v>49716</v>
      </c>
      <c r="UN1" s="101">
        <f t="shared" si="8"/>
        <v>49723</v>
      </c>
      <c r="UO1" s="101">
        <f t="shared" si="8"/>
        <v>49730</v>
      </c>
      <c r="UP1" s="101">
        <f t="shared" si="8"/>
        <v>49737</v>
      </c>
      <c r="UQ1" s="101">
        <f t="shared" si="8"/>
        <v>49744</v>
      </c>
      <c r="UR1" s="101">
        <f t="shared" si="8"/>
        <v>49751</v>
      </c>
      <c r="US1" s="101">
        <f t="shared" si="8"/>
        <v>49758</v>
      </c>
      <c r="UT1" s="101">
        <f t="shared" si="8"/>
        <v>49765</v>
      </c>
      <c r="UU1" s="101">
        <f t="shared" si="8"/>
        <v>49772</v>
      </c>
      <c r="UV1" s="101">
        <f t="shared" si="8"/>
        <v>49779</v>
      </c>
      <c r="UW1" s="101">
        <f t="shared" si="8"/>
        <v>49786</v>
      </c>
      <c r="UX1" s="101">
        <f t="shared" si="8"/>
        <v>49793</v>
      </c>
      <c r="UY1" s="101">
        <f t="shared" si="8"/>
        <v>49800</v>
      </c>
      <c r="UZ1" s="101">
        <f t="shared" si="8"/>
        <v>49807</v>
      </c>
      <c r="VA1" s="101">
        <f t="shared" si="8"/>
        <v>49814</v>
      </c>
      <c r="VB1" s="101">
        <f t="shared" si="8"/>
        <v>49821</v>
      </c>
      <c r="VC1" s="101">
        <f t="shared" si="8"/>
        <v>49828</v>
      </c>
      <c r="VD1" s="101">
        <f t="shared" si="8"/>
        <v>49835</v>
      </c>
      <c r="VE1" s="101">
        <f t="shared" si="8"/>
        <v>49842</v>
      </c>
      <c r="VF1" s="101">
        <f t="shared" si="8"/>
        <v>49849</v>
      </c>
      <c r="VG1" s="101">
        <f t="shared" si="8"/>
        <v>49856</v>
      </c>
      <c r="VH1" s="101">
        <f t="shared" si="8"/>
        <v>49863</v>
      </c>
      <c r="VI1" s="101">
        <f t="shared" si="8"/>
        <v>49870</v>
      </c>
      <c r="VJ1" s="101">
        <f t="shared" si="8"/>
        <v>49877</v>
      </c>
      <c r="VK1" s="101">
        <f t="shared" si="8"/>
        <v>49884</v>
      </c>
      <c r="VL1" s="101">
        <f t="shared" si="8"/>
        <v>49891</v>
      </c>
      <c r="VM1" s="101">
        <f t="shared" ref="VM1:XX1" si="9">VL1+7</f>
        <v>49898</v>
      </c>
      <c r="VN1" s="101">
        <f t="shared" si="9"/>
        <v>49905</v>
      </c>
      <c r="VO1" s="101">
        <f t="shared" si="9"/>
        <v>49912</v>
      </c>
      <c r="VP1" s="101">
        <f t="shared" si="9"/>
        <v>49919</v>
      </c>
      <c r="VQ1" s="101">
        <f t="shared" si="9"/>
        <v>49926</v>
      </c>
      <c r="VR1" s="101">
        <f t="shared" si="9"/>
        <v>49933</v>
      </c>
      <c r="VS1" s="101">
        <f t="shared" si="9"/>
        <v>49940</v>
      </c>
      <c r="VT1" s="101">
        <f t="shared" si="9"/>
        <v>49947</v>
      </c>
      <c r="VU1" s="101">
        <f t="shared" si="9"/>
        <v>49954</v>
      </c>
      <c r="VV1" s="101">
        <f t="shared" si="9"/>
        <v>49961</v>
      </c>
      <c r="VW1" s="101">
        <f t="shared" si="9"/>
        <v>49968</v>
      </c>
      <c r="VX1" s="101">
        <f t="shared" si="9"/>
        <v>49975</v>
      </c>
      <c r="VY1" s="101">
        <f t="shared" si="9"/>
        <v>49982</v>
      </c>
      <c r="VZ1" s="101">
        <f t="shared" si="9"/>
        <v>49989</v>
      </c>
      <c r="WA1" s="101">
        <f t="shared" si="9"/>
        <v>49996</v>
      </c>
      <c r="WB1" s="101">
        <f t="shared" si="9"/>
        <v>50003</v>
      </c>
      <c r="WC1" s="101">
        <f t="shared" si="9"/>
        <v>50010</v>
      </c>
      <c r="WD1" s="101">
        <f t="shared" si="9"/>
        <v>50017</v>
      </c>
      <c r="WE1" s="101">
        <f t="shared" si="9"/>
        <v>50024</v>
      </c>
      <c r="WF1" s="101">
        <f t="shared" si="9"/>
        <v>50031</v>
      </c>
      <c r="WG1" s="101">
        <f t="shared" si="9"/>
        <v>50038</v>
      </c>
      <c r="WH1" s="101">
        <f t="shared" si="9"/>
        <v>50045</v>
      </c>
      <c r="WI1" s="101">
        <f t="shared" si="9"/>
        <v>50052</v>
      </c>
      <c r="WJ1" s="101">
        <f t="shared" si="9"/>
        <v>50059</v>
      </c>
      <c r="WK1" s="101">
        <f t="shared" si="9"/>
        <v>50066</v>
      </c>
      <c r="WL1" s="101">
        <f t="shared" si="9"/>
        <v>50073</v>
      </c>
      <c r="WM1" s="101">
        <f t="shared" si="9"/>
        <v>50080</v>
      </c>
      <c r="WN1" s="101">
        <f t="shared" si="9"/>
        <v>50087</v>
      </c>
      <c r="WO1" s="101">
        <f t="shared" si="9"/>
        <v>50094</v>
      </c>
      <c r="WP1" s="101">
        <f t="shared" si="9"/>
        <v>50101</v>
      </c>
      <c r="WQ1" s="101">
        <f t="shared" si="9"/>
        <v>50108</v>
      </c>
      <c r="WR1" s="101">
        <f t="shared" si="9"/>
        <v>50115</v>
      </c>
      <c r="WS1" s="101">
        <f t="shared" si="9"/>
        <v>50122</v>
      </c>
      <c r="WT1" s="101">
        <f t="shared" si="9"/>
        <v>50129</v>
      </c>
      <c r="WU1" s="101">
        <f t="shared" si="9"/>
        <v>50136</v>
      </c>
      <c r="WV1" s="101">
        <f t="shared" si="9"/>
        <v>50143</v>
      </c>
      <c r="WW1" s="101">
        <f t="shared" si="9"/>
        <v>50150</v>
      </c>
      <c r="WX1" s="101">
        <f t="shared" si="9"/>
        <v>50157</v>
      </c>
      <c r="WY1" s="101">
        <f t="shared" si="9"/>
        <v>50164</v>
      </c>
      <c r="WZ1" s="101">
        <f t="shared" si="9"/>
        <v>50171</v>
      </c>
      <c r="XA1" s="101">
        <f t="shared" si="9"/>
        <v>50178</v>
      </c>
      <c r="XB1" s="101">
        <f t="shared" si="9"/>
        <v>50185</v>
      </c>
      <c r="XC1" s="101">
        <f t="shared" si="9"/>
        <v>50192</v>
      </c>
      <c r="XD1" s="101">
        <f t="shared" si="9"/>
        <v>50199</v>
      </c>
      <c r="XE1" s="101">
        <f t="shared" si="9"/>
        <v>50206</v>
      </c>
      <c r="XF1" s="101">
        <f t="shared" si="9"/>
        <v>50213</v>
      </c>
      <c r="XG1" s="101">
        <f t="shared" si="9"/>
        <v>50220</v>
      </c>
      <c r="XH1" s="101">
        <f t="shared" si="9"/>
        <v>50227</v>
      </c>
      <c r="XI1" s="101">
        <f t="shared" si="9"/>
        <v>50234</v>
      </c>
      <c r="XJ1" s="101">
        <f t="shared" si="9"/>
        <v>50241</v>
      </c>
      <c r="XK1" s="101">
        <f t="shared" si="9"/>
        <v>50248</v>
      </c>
      <c r="XL1" s="101">
        <f t="shared" si="9"/>
        <v>50255</v>
      </c>
      <c r="XM1" s="101">
        <f t="shared" si="9"/>
        <v>50262</v>
      </c>
      <c r="XN1" s="101">
        <f t="shared" si="9"/>
        <v>50269</v>
      </c>
      <c r="XO1" s="101">
        <f t="shared" si="9"/>
        <v>50276</v>
      </c>
      <c r="XP1" s="101">
        <f t="shared" si="9"/>
        <v>50283</v>
      </c>
      <c r="XQ1" s="101">
        <f t="shared" si="9"/>
        <v>50290</v>
      </c>
      <c r="XR1" s="101">
        <f t="shared" si="9"/>
        <v>50297</v>
      </c>
      <c r="XS1" s="101">
        <f t="shared" si="9"/>
        <v>50304</v>
      </c>
      <c r="XT1" s="101">
        <f t="shared" si="9"/>
        <v>50311</v>
      </c>
      <c r="XU1" s="101">
        <f t="shared" si="9"/>
        <v>50318</v>
      </c>
      <c r="XV1" s="101">
        <f t="shared" si="9"/>
        <v>50325</v>
      </c>
      <c r="XW1" s="101">
        <f t="shared" si="9"/>
        <v>50332</v>
      </c>
      <c r="XX1" s="101">
        <f t="shared" si="9"/>
        <v>50339</v>
      </c>
      <c r="XY1" s="101">
        <f t="shared" ref="XY1:AAJ1" si="10">XX1+7</f>
        <v>50346</v>
      </c>
      <c r="XZ1" s="101">
        <f t="shared" si="10"/>
        <v>50353</v>
      </c>
      <c r="YA1" s="101">
        <f t="shared" si="10"/>
        <v>50360</v>
      </c>
      <c r="YB1" s="101">
        <f t="shared" si="10"/>
        <v>50367</v>
      </c>
      <c r="YC1" s="101">
        <f t="shared" si="10"/>
        <v>50374</v>
      </c>
      <c r="YD1" s="101">
        <f t="shared" si="10"/>
        <v>50381</v>
      </c>
      <c r="YE1" s="101">
        <f t="shared" si="10"/>
        <v>50388</v>
      </c>
      <c r="YF1" s="101">
        <f t="shared" si="10"/>
        <v>50395</v>
      </c>
      <c r="YG1" s="101">
        <f t="shared" si="10"/>
        <v>50402</v>
      </c>
      <c r="YH1" s="101">
        <f t="shared" si="10"/>
        <v>50409</v>
      </c>
      <c r="YI1" s="101">
        <f t="shared" si="10"/>
        <v>50416</v>
      </c>
      <c r="YJ1" s="101">
        <f t="shared" si="10"/>
        <v>50423</v>
      </c>
      <c r="YK1" s="101">
        <f t="shared" si="10"/>
        <v>50430</v>
      </c>
      <c r="YL1" s="101">
        <f t="shared" si="10"/>
        <v>50437</v>
      </c>
      <c r="YM1" s="101">
        <f t="shared" si="10"/>
        <v>50444</v>
      </c>
      <c r="YN1" s="101">
        <f t="shared" si="10"/>
        <v>50451</v>
      </c>
      <c r="YO1" s="101">
        <f t="shared" si="10"/>
        <v>50458</v>
      </c>
      <c r="YP1" s="101">
        <f t="shared" si="10"/>
        <v>50465</v>
      </c>
      <c r="YQ1" s="101">
        <f t="shared" si="10"/>
        <v>50472</v>
      </c>
      <c r="YR1" s="101">
        <f t="shared" si="10"/>
        <v>50479</v>
      </c>
      <c r="YS1" s="101">
        <f t="shared" si="10"/>
        <v>50486</v>
      </c>
      <c r="YT1" s="101">
        <f t="shared" si="10"/>
        <v>50493</v>
      </c>
      <c r="YU1" s="101">
        <f t="shared" si="10"/>
        <v>50500</v>
      </c>
      <c r="YV1" s="101">
        <f t="shared" si="10"/>
        <v>50507</v>
      </c>
      <c r="YW1" s="101">
        <f t="shared" si="10"/>
        <v>50514</v>
      </c>
      <c r="YX1" s="101">
        <f t="shared" si="10"/>
        <v>50521</v>
      </c>
      <c r="YY1" s="101">
        <f t="shared" si="10"/>
        <v>50528</v>
      </c>
      <c r="YZ1" s="101">
        <f t="shared" si="10"/>
        <v>50535</v>
      </c>
      <c r="ZA1" s="101">
        <f t="shared" si="10"/>
        <v>50542</v>
      </c>
      <c r="ZB1" s="101">
        <f t="shared" si="10"/>
        <v>50549</v>
      </c>
      <c r="ZC1" s="101">
        <f t="shared" si="10"/>
        <v>50556</v>
      </c>
      <c r="ZD1" s="101">
        <f t="shared" si="10"/>
        <v>50563</v>
      </c>
      <c r="ZE1" s="101">
        <f t="shared" si="10"/>
        <v>50570</v>
      </c>
      <c r="ZF1" s="101">
        <f t="shared" si="10"/>
        <v>50577</v>
      </c>
      <c r="ZG1" s="101">
        <f t="shared" si="10"/>
        <v>50584</v>
      </c>
      <c r="ZH1" s="101">
        <f t="shared" si="10"/>
        <v>50591</v>
      </c>
      <c r="ZI1" s="101">
        <f t="shared" si="10"/>
        <v>50598</v>
      </c>
      <c r="ZJ1" s="101">
        <f t="shared" si="10"/>
        <v>50605</v>
      </c>
      <c r="ZK1" s="101">
        <f t="shared" si="10"/>
        <v>50612</v>
      </c>
      <c r="ZL1" s="101">
        <f t="shared" si="10"/>
        <v>50619</v>
      </c>
      <c r="ZM1" s="101">
        <f t="shared" si="10"/>
        <v>50626</v>
      </c>
      <c r="ZN1" s="101">
        <f t="shared" si="10"/>
        <v>50633</v>
      </c>
      <c r="ZO1" s="101">
        <f t="shared" si="10"/>
        <v>50640</v>
      </c>
      <c r="ZP1" s="101">
        <f t="shared" si="10"/>
        <v>50647</v>
      </c>
      <c r="ZQ1" s="101">
        <f t="shared" si="10"/>
        <v>50654</v>
      </c>
      <c r="ZR1" s="101">
        <f t="shared" si="10"/>
        <v>50661</v>
      </c>
      <c r="ZS1" s="101">
        <f t="shared" si="10"/>
        <v>50668</v>
      </c>
      <c r="ZT1" s="101">
        <f t="shared" si="10"/>
        <v>50675</v>
      </c>
      <c r="ZU1" s="101">
        <f t="shared" si="10"/>
        <v>50682</v>
      </c>
      <c r="ZV1" s="101">
        <f t="shared" si="10"/>
        <v>50689</v>
      </c>
      <c r="ZW1" s="101">
        <f t="shared" si="10"/>
        <v>50696</v>
      </c>
      <c r="ZX1" s="101">
        <f t="shared" si="10"/>
        <v>50703</v>
      </c>
      <c r="ZY1" s="101">
        <f t="shared" si="10"/>
        <v>50710</v>
      </c>
      <c r="ZZ1" s="101">
        <f t="shared" si="10"/>
        <v>50717</v>
      </c>
      <c r="AAA1" s="101">
        <f t="shared" si="10"/>
        <v>50724</v>
      </c>
      <c r="AAB1" s="101">
        <f t="shared" si="10"/>
        <v>50731</v>
      </c>
      <c r="AAC1" s="101">
        <f t="shared" si="10"/>
        <v>50738</v>
      </c>
      <c r="AAD1" s="101">
        <f t="shared" si="10"/>
        <v>50745</v>
      </c>
      <c r="AAE1" s="101">
        <f t="shared" si="10"/>
        <v>50752</v>
      </c>
      <c r="AAF1" s="101">
        <f t="shared" si="10"/>
        <v>50759</v>
      </c>
      <c r="AAG1" s="101">
        <f t="shared" si="10"/>
        <v>50766</v>
      </c>
      <c r="AAH1" s="101">
        <f t="shared" si="10"/>
        <v>50773</v>
      </c>
      <c r="AAI1" s="101">
        <f t="shared" si="10"/>
        <v>50780</v>
      </c>
      <c r="AAJ1" s="101">
        <f t="shared" si="10"/>
        <v>50787</v>
      </c>
      <c r="AAK1" s="101">
        <f t="shared" ref="AAK1:ACV1" si="11">AAJ1+7</f>
        <v>50794</v>
      </c>
      <c r="AAL1" s="101">
        <f t="shared" si="11"/>
        <v>50801</v>
      </c>
      <c r="AAM1" s="101">
        <f t="shared" si="11"/>
        <v>50808</v>
      </c>
      <c r="AAN1" s="101">
        <f t="shared" si="11"/>
        <v>50815</v>
      </c>
      <c r="AAO1" s="101">
        <f t="shared" si="11"/>
        <v>50822</v>
      </c>
      <c r="AAP1" s="101">
        <f t="shared" si="11"/>
        <v>50829</v>
      </c>
      <c r="AAQ1" s="101">
        <f t="shared" si="11"/>
        <v>50836</v>
      </c>
      <c r="AAR1" s="101">
        <f t="shared" si="11"/>
        <v>50843</v>
      </c>
      <c r="AAS1" s="101">
        <f t="shared" si="11"/>
        <v>50850</v>
      </c>
      <c r="AAT1" s="101">
        <f t="shared" si="11"/>
        <v>50857</v>
      </c>
      <c r="AAU1" s="101">
        <f t="shared" si="11"/>
        <v>50864</v>
      </c>
      <c r="AAV1" s="101">
        <f t="shared" si="11"/>
        <v>50871</v>
      </c>
      <c r="AAW1" s="101">
        <f t="shared" si="11"/>
        <v>50878</v>
      </c>
      <c r="AAX1" s="101">
        <f t="shared" si="11"/>
        <v>50885</v>
      </c>
      <c r="AAY1" s="101">
        <f t="shared" si="11"/>
        <v>50892</v>
      </c>
      <c r="AAZ1" s="101">
        <f t="shared" si="11"/>
        <v>50899</v>
      </c>
      <c r="ABA1" s="101">
        <f t="shared" si="11"/>
        <v>50906</v>
      </c>
      <c r="ABB1" s="101">
        <f t="shared" si="11"/>
        <v>50913</v>
      </c>
      <c r="ABC1" s="101">
        <f t="shared" si="11"/>
        <v>50920</v>
      </c>
      <c r="ABD1" s="101">
        <f t="shared" si="11"/>
        <v>50927</v>
      </c>
      <c r="ABE1" s="101">
        <f t="shared" si="11"/>
        <v>50934</v>
      </c>
      <c r="ABF1" s="101">
        <f t="shared" si="11"/>
        <v>50941</v>
      </c>
      <c r="ABG1" s="101">
        <f t="shared" si="11"/>
        <v>50948</v>
      </c>
      <c r="ABH1" s="101">
        <f t="shared" si="11"/>
        <v>50955</v>
      </c>
      <c r="ABI1" s="101">
        <f t="shared" si="11"/>
        <v>50962</v>
      </c>
      <c r="ABJ1" s="101">
        <f t="shared" si="11"/>
        <v>50969</v>
      </c>
      <c r="ABK1" s="101">
        <f t="shared" si="11"/>
        <v>50976</v>
      </c>
      <c r="ABL1" s="101">
        <f t="shared" si="11"/>
        <v>50983</v>
      </c>
      <c r="ABM1" s="101">
        <f t="shared" si="11"/>
        <v>50990</v>
      </c>
      <c r="ABN1" s="101">
        <f t="shared" si="11"/>
        <v>50997</v>
      </c>
      <c r="ABO1" s="101">
        <f t="shared" si="11"/>
        <v>51004</v>
      </c>
      <c r="ABP1" s="101">
        <f t="shared" si="11"/>
        <v>51011</v>
      </c>
      <c r="ABQ1" s="101">
        <f t="shared" si="11"/>
        <v>51018</v>
      </c>
      <c r="ABR1" s="101">
        <f t="shared" si="11"/>
        <v>51025</v>
      </c>
      <c r="ABS1" s="101">
        <f t="shared" si="11"/>
        <v>51032</v>
      </c>
      <c r="ABT1" s="101">
        <f t="shared" si="11"/>
        <v>51039</v>
      </c>
      <c r="ABU1" s="101">
        <f t="shared" si="11"/>
        <v>51046</v>
      </c>
      <c r="ABV1" s="101">
        <f t="shared" si="11"/>
        <v>51053</v>
      </c>
      <c r="ABW1" s="101">
        <f t="shared" si="11"/>
        <v>51060</v>
      </c>
      <c r="ABX1" s="101">
        <f t="shared" si="11"/>
        <v>51067</v>
      </c>
      <c r="ABY1" s="101">
        <f t="shared" si="11"/>
        <v>51074</v>
      </c>
      <c r="ABZ1" s="101">
        <f t="shared" si="11"/>
        <v>51081</v>
      </c>
      <c r="ACA1" s="101">
        <f t="shared" si="11"/>
        <v>51088</v>
      </c>
      <c r="ACB1" s="101">
        <f t="shared" si="11"/>
        <v>51095</v>
      </c>
      <c r="ACC1" s="101">
        <f t="shared" si="11"/>
        <v>51102</v>
      </c>
      <c r="ACD1" s="101">
        <f t="shared" si="11"/>
        <v>51109</v>
      </c>
      <c r="ACE1" s="101">
        <f t="shared" si="11"/>
        <v>51116</v>
      </c>
      <c r="ACF1" s="101">
        <f t="shared" si="11"/>
        <v>51123</v>
      </c>
      <c r="ACG1" s="101">
        <f t="shared" si="11"/>
        <v>51130</v>
      </c>
      <c r="ACH1" s="101">
        <f t="shared" si="11"/>
        <v>51137</v>
      </c>
      <c r="ACI1" s="101">
        <f t="shared" si="11"/>
        <v>51144</v>
      </c>
      <c r="ACJ1" s="101">
        <f t="shared" si="11"/>
        <v>51151</v>
      </c>
      <c r="ACK1" s="101">
        <f t="shared" si="11"/>
        <v>51158</v>
      </c>
      <c r="ACL1" s="101">
        <f t="shared" si="11"/>
        <v>51165</v>
      </c>
      <c r="ACM1" s="101">
        <f t="shared" si="11"/>
        <v>51172</v>
      </c>
      <c r="ACN1" s="101">
        <f t="shared" si="11"/>
        <v>51179</v>
      </c>
      <c r="ACO1" s="101">
        <f t="shared" si="11"/>
        <v>51186</v>
      </c>
      <c r="ACP1" s="101">
        <f t="shared" si="11"/>
        <v>51193</v>
      </c>
      <c r="ACQ1" s="101">
        <f t="shared" si="11"/>
        <v>51200</v>
      </c>
      <c r="ACR1" s="101">
        <f t="shared" si="11"/>
        <v>51207</v>
      </c>
      <c r="ACS1" s="101">
        <f t="shared" si="11"/>
        <v>51214</v>
      </c>
      <c r="ACT1" s="101">
        <f t="shared" si="11"/>
        <v>51221</v>
      </c>
      <c r="ACU1" s="101">
        <f t="shared" si="11"/>
        <v>51228</v>
      </c>
      <c r="ACV1" s="101">
        <f t="shared" si="11"/>
        <v>51235</v>
      </c>
      <c r="ACW1" s="101">
        <f t="shared" ref="ACW1:AFH1" si="12">ACV1+7</f>
        <v>51242</v>
      </c>
      <c r="ACX1" s="101">
        <f t="shared" si="12"/>
        <v>51249</v>
      </c>
      <c r="ACY1" s="101">
        <f t="shared" si="12"/>
        <v>51256</v>
      </c>
      <c r="ACZ1" s="101">
        <f t="shared" si="12"/>
        <v>51263</v>
      </c>
      <c r="ADA1" s="101">
        <f t="shared" si="12"/>
        <v>51270</v>
      </c>
      <c r="ADB1" s="101">
        <f t="shared" si="12"/>
        <v>51277</v>
      </c>
      <c r="ADC1" s="101">
        <f t="shared" si="12"/>
        <v>51284</v>
      </c>
      <c r="ADD1" s="101">
        <f t="shared" si="12"/>
        <v>51291</v>
      </c>
      <c r="ADE1" s="101">
        <f t="shared" si="12"/>
        <v>51298</v>
      </c>
      <c r="ADF1" s="101">
        <f t="shared" si="12"/>
        <v>51305</v>
      </c>
      <c r="ADG1" s="101">
        <f t="shared" si="12"/>
        <v>51312</v>
      </c>
      <c r="ADH1" s="101">
        <f t="shared" si="12"/>
        <v>51319</v>
      </c>
      <c r="ADI1" s="101">
        <f t="shared" si="12"/>
        <v>51326</v>
      </c>
      <c r="ADJ1" s="101">
        <f t="shared" si="12"/>
        <v>51333</v>
      </c>
      <c r="ADK1" s="101">
        <f t="shared" si="12"/>
        <v>51340</v>
      </c>
      <c r="ADL1" s="101">
        <f t="shared" si="12"/>
        <v>51347</v>
      </c>
      <c r="ADM1" s="101">
        <f t="shared" si="12"/>
        <v>51354</v>
      </c>
      <c r="ADN1" s="101">
        <f t="shared" si="12"/>
        <v>51361</v>
      </c>
      <c r="ADO1" s="101">
        <f t="shared" si="12"/>
        <v>51368</v>
      </c>
      <c r="ADP1" s="101">
        <f t="shared" si="12"/>
        <v>51375</v>
      </c>
      <c r="ADQ1" s="101">
        <f t="shared" si="12"/>
        <v>51382</v>
      </c>
      <c r="ADR1" s="101">
        <f t="shared" si="12"/>
        <v>51389</v>
      </c>
      <c r="ADS1" s="101">
        <f t="shared" si="12"/>
        <v>51396</v>
      </c>
      <c r="ADT1" s="101">
        <f t="shared" si="12"/>
        <v>51403</v>
      </c>
      <c r="ADU1" s="101">
        <f t="shared" si="12"/>
        <v>51410</v>
      </c>
      <c r="ADV1" s="101">
        <f t="shared" si="12"/>
        <v>51417</v>
      </c>
      <c r="ADW1" s="101">
        <f t="shared" si="12"/>
        <v>51424</v>
      </c>
      <c r="ADX1" s="101">
        <f t="shared" si="12"/>
        <v>51431</v>
      </c>
      <c r="ADY1" s="101">
        <f t="shared" si="12"/>
        <v>51438</v>
      </c>
      <c r="ADZ1" s="101">
        <f t="shared" si="12"/>
        <v>51445</v>
      </c>
      <c r="AEA1" s="101">
        <f t="shared" si="12"/>
        <v>51452</v>
      </c>
      <c r="AEB1" s="101">
        <f t="shared" si="12"/>
        <v>51459</v>
      </c>
      <c r="AEC1" s="101">
        <f t="shared" si="12"/>
        <v>51466</v>
      </c>
      <c r="AED1" s="101">
        <f t="shared" si="12"/>
        <v>51473</v>
      </c>
      <c r="AEE1" s="101">
        <f t="shared" si="12"/>
        <v>51480</v>
      </c>
      <c r="AEF1" s="101">
        <f t="shared" si="12"/>
        <v>51487</v>
      </c>
      <c r="AEG1" s="101">
        <f t="shared" si="12"/>
        <v>51494</v>
      </c>
      <c r="AEH1" s="101">
        <f t="shared" si="12"/>
        <v>51501</v>
      </c>
      <c r="AEI1" s="101">
        <f t="shared" si="12"/>
        <v>51508</v>
      </c>
      <c r="AEJ1" s="101">
        <f t="shared" si="12"/>
        <v>51515</v>
      </c>
      <c r="AEK1" s="101">
        <f t="shared" si="12"/>
        <v>51522</v>
      </c>
      <c r="AEL1" s="101">
        <f t="shared" si="12"/>
        <v>51529</v>
      </c>
      <c r="AEM1" s="101">
        <f t="shared" si="12"/>
        <v>51536</v>
      </c>
      <c r="AEN1" s="101">
        <f t="shared" si="12"/>
        <v>51543</v>
      </c>
      <c r="AEO1" s="101">
        <f t="shared" si="12"/>
        <v>51550</v>
      </c>
      <c r="AEP1" s="101">
        <f t="shared" si="12"/>
        <v>51557</v>
      </c>
      <c r="AEQ1" s="101">
        <f t="shared" si="12"/>
        <v>51564</v>
      </c>
      <c r="AER1" s="101">
        <f t="shared" si="12"/>
        <v>51571</v>
      </c>
      <c r="AES1" s="101">
        <f t="shared" si="12"/>
        <v>51578</v>
      </c>
      <c r="AET1" s="101">
        <f t="shared" si="12"/>
        <v>51585</v>
      </c>
      <c r="AEU1" s="101">
        <f t="shared" si="12"/>
        <v>51592</v>
      </c>
      <c r="AEV1" s="101">
        <f t="shared" si="12"/>
        <v>51599</v>
      </c>
      <c r="AEW1" s="101">
        <f t="shared" si="12"/>
        <v>51606</v>
      </c>
      <c r="AEX1" s="101">
        <f t="shared" si="12"/>
        <v>51613</v>
      </c>
      <c r="AEY1" s="101">
        <f t="shared" si="12"/>
        <v>51620</v>
      </c>
      <c r="AEZ1" s="101">
        <f t="shared" si="12"/>
        <v>51627</v>
      </c>
      <c r="AFA1" s="101">
        <f t="shared" si="12"/>
        <v>51634</v>
      </c>
      <c r="AFB1" s="101">
        <f t="shared" si="12"/>
        <v>51641</v>
      </c>
      <c r="AFC1" s="101">
        <f t="shared" si="12"/>
        <v>51648</v>
      </c>
      <c r="AFD1" s="101">
        <f t="shared" si="12"/>
        <v>51655</v>
      </c>
      <c r="AFE1" s="101">
        <f t="shared" si="12"/>
        <v>51662</v>
      </c>
      <c r="AFF1" s="101">
        <f t="shared" si="12"/>
        <v>51669</v>
      </c>
      <c r="AFG1" s="101">
        <f t="shared" si="12"/>
        <v>51676</v>
      </c>
      <c r="AFH1" s="101">
        <f t="shared" si="12"/>
        <v>51683</v>
      </c>
      <c r="AFI1" s="101">
        <f t="shared" ref="AFI1:AHT1" si="13">AFH1+7</f>
        <v>51690</v>
      </c>
      <c r="AFJ1" s="101">
        <f t="shared" si="13"/>
        <v>51697</v>
      </c>
      <c r="AFK1" s="101">
        <f t="shared" si="13"/>
        <v>51704</v>
      </c>
      <c r="AFL1" s="101">
        <f t="shared" si="13"/>
        <v>51711</v>
      </c>
      <c r="AFM1" s="101">
        <f t="shared" si="13"/>
        <v>51718</v>
      </c>
      <c r="AFN1" s="101">
        <f t="shared" si="13"/>
        <v>51725</v>
      </c>
      <c r="AFO1" s="101">
        <f t="shared" si="13"/>
        <v>51732</v>
      </c>
      <c r="AFP1" s="101">
        <f t="shared" si="13"/>
        <v>51739</v>
      </c>
      <c r="AFQ1" s="101">
        <f t="shared" si="13"/>
        <v>51746</v>
      </c>
      <c r="AFR1" s="101">
        <f t="shared" si="13"/>
        <v>51753</v>
      </c>
      <c r="AFS1" s="101">
        <f t="shared" si="13"/>
        <v>51760</v>
      </c>
      <c r="AFT1" s="101">
        <f t="shared" si="13"/>
        <v>51767</v>
      </c>
      <c r="AFU1" s="101">
        <f t="shared" si="13"/>
        <v>51774</v>
      </c>
      <c r="AFV1" s="101">
        <f t="shared" si="13"/>
        <v>51781</v>
      </c>
      <c r="AFW1" s="101">
        <f t="shared" si="13"/>
        <v>51788</v>
      </c>
      <c r="AFX1" s="101">
        <f t="shared" si="13"/>
        <v>51795</v>
      </c>
      <c r="AFY1" s="101">
        <f t="shared" si="13"/>
        <v>51802</v>
      </c>
      <c r="AFZ1" s="101">
        <f t="shared" si="13"/>
        <v>51809</v>
      </c>
      <c r="AGA1" s="101">
        <f t="shared" si="13"/>
        <v>51816</v>
      </c>
      <c r="AGB1" s="101">
        <f t="shared" si="13"/>
        <v>51823</v>
      </c>
      <c r="AGC1" s="101">
        <f t="shared" si="13"/>
        <v>51830</v>
      </c>
      <c r="AGD1" s="101">
        <f t="shared" si="13"/>
        <v>51837</v>
      </c>
      <c r="AGE1" s="101">
        <f t="shared" si="13"/>
        <v>51844</v>
      </c>
      <c r="AGF1" s="101">
        <f t="shared" si="13"/>
        <v>51851</v>
      </c>
      <c r="AGG1" s="101">
        <f t="shared" si="13"/>
        <v>51858</v>
      </c>
      <c r="AGH1" s="101">
        <f t="shared" si="13"/>
        <v>51865</v>
      </c>
      <c r="AGI1" s="101">
        <f t="shared" si="13"/>
        <v>51872</v>
      </c>
      <c r="AGJ1" s="101">
        <f t="shared" si="13"/>
        <v>51879</v>
      </c>
      <c r="AGK1" s="101">
        <f t="shared" si="13"/>
        <v>51886</v>
      </c>
      <c r="AGL1" s="101">
        <f t="shared" si="13"/>
        <v>51893</v>
      </c>
      <c r="AGM1" s="101">
        <f t="shared" si="13"/>
        <v>51900</v>
      </c>
      <c r="AGN1" s="101">
        <f t="shared" si="13"/>
        <v>51907</v>
      </c>
      <c r="AGO1" s="101">
        <f t="shared" si="13"/>
        <v>51914</v>
      </c>
      <c r="AGP1" s="101">
        <f t="shared" si="13"/>
        <v>51921</v>
      </c>
      <c r="AGQ1" s="101">
        <f t="shared" si="13"/>
        <v>51928</v>
      </c>
      <c r="AGR1" s="101">
        <f t="shared" si="13"/>
        <v>51935</v>
      </c>
      <c r="AGS1" s="101">
        <f t="shared" si="13"/>
        <v>51942</v>
      </c>
      <c r="AGT1" s="101">
        <f t="shared" si="13"/>
        <v>51949</v>
      </c>
      <c r="AGU1" s="101">
        <f t="shared" si="13"/>
        <v>51956</v>
      </c>
      <c r="AGV1" s="101">
        <f t="shared" si="13"/>
        <v>51963</v>
      </c>
      <c r="AGW1" s="101">
        <f t="shared" si="13"/>
        <v>51970</v>
      </c>
      <c r="AGX1" s="101">
        <f t="shared" si="13"/>
        <v>51977</v>
      </c>
      <c r="AGY1" s="101">
        <f t="shared" si="13"/>
        <v>51984</v>
      </c>
      <c r="AGZ1" s="101">
        <f t="shared" si="13"/>
        <v>51991</v>
      </c>
      <c r="AHA1" s="101">
        <f t="shared" si="13"/>
        <v>51998</v>
      </c>
      <c r="AHB1" s="101">
        <f t="shared" si="13"/>
        <v>52005</v>
      </c>
      <c r="AHC1" s="101">
        <f t="shared" si="13"/>
        <v>52012</v>
      </c>
      <c r="AHD1" s="101">
        <f t="shared" si="13"/>
        <v>52019</v>
      </c>
      <c r="AHE1" s="101">
        <f t="shared" si="13"/>
        <v>52026</v>
      </c>
      <c r="AHF1" s="101">
        <f t="shared" si="13"/>
        <v>52033</v>
      </c>
      <c r="AHG1" s="101">
        <f t="shared" si="13"/>
        <v>52040</v>
      </c>
      <c r="AHH1" s="101">
        <f t="shared" si="13"/>
        <v>52047</v>
      </c>
      <c r="AHI1" s="101">
        <f t="shared" si="13"/>
        <v>52054</v>
      </c>
      <c r="AHJ1" s="101">
        <f t="shared" si="13"/>
        <v>52061</v>
      </c>
      <c r="AHK1" s="101">
        <f t="shared" si="13"/>
        <v>52068</v>
      </c>
      <c r="AHL1" s="101">
        <f t="shared" si="13"/>
        <v>52075</v>
      </c>
      <c r="AHM1" s="101">
        <f t="shared" si="13"/>
        <v>52082</v>
      </c>
      <c r="AHN1" s="101">
        <f t="shared" si="13"/>
        <v>52089</v>
      </c>
      <c r="AHO1" s="101">
        <f t="shared" si="13"/>
        <v>52096</v>
      </c>
      <c r="AHP1" s="101">
        <f t="shared" si="13"/>
        <v>52103</v>
      </c>
      <c r="AHQ1" s="101">
        <f t="shared" si="13"/>
        <v>52110</v>
      </c>
      <c r="AHR1" s="101">
        <f t="shared" si="13"/>
        <v>52117</v>
      </c>
      <c r="AHS1" s="101">
        <f t="shared" si="13"/>
        <v>52124</v>
      </c>
      <c r="AHT1" s="101">
        <f t="shared" si="13"/>
        <v>52131</v>
      </c>
      <c r="AHU1" s="101">
        <f t="shared" ref="AHU1:AKF1" si="14">AHT1+7</f>
        <v>52138</v>
      </c>
      <c r="AHV1" s="101">
        <f t="shared" si="14"/>
        <v>52145</v>
      </c>
      <c r="AHW1" s="101">
        <f t="shared" si="14"/>
        <v>52152</v>
      </c>
      <c r="AHX1" s="101">
        <f t="shared" si="14"/>
        <v>52159</v>
      </c>
      <c r="AHY1" s="101">
        <f t="shared" si="14"/>
        <v>52166</v>
      </c>
      <c r="AHZ1" s="101">
        <f t="shared" si="14"/>
        <v>52173</v>
      </c>
      <c r="AIA1" s="101">
        <f t="shared" si="14"/>
        <v>52180</v>
      </c>
      <c r="AIB1" s="101">
        <f t="shared" si="14"/>
        <v>52187</v>
      </c>
      <c r="AIC1" s="101">
        <f t="shared" si="14"/>
        <v>52194</v>
      </c>
      <c r="AID1" s="101">
        <f t="shared" si="14"/>
        <v>52201</v>
      </c>
      <c r="AIE1" s="101">
        <f t="shared" si="14"/>
        <v>52208</v>
      </c>
      <c r="AIF1" s="101">
        <f t="shared" si="14"/>
        <v>52215</v>
      </c>
      <c r="AIG1" s="101">
        <f t="shared" si="14"/>
        <v>52222</v>
      </c>
      <c r="AIH1" s="101">
        <f t="shared" si="14"/>
        <v>52229</v>
      </c>
      <c r="AII1" s="101">
        <f t="shared" si="14"/>
        <v>52236</v>
      </c>
      <c r="AIJ1" s="101">
        <f t="shared" si="14"/>
        <v>52243</v>
      </c>
      <c r="AIK1" s="101">
        <f t="shared" si="14"/>
        <v>52250</v>
      </c>
      <c r="AIL1" s="101">
        <f t="shared" si="14"/>
        <v>52257</v>
      </c>
      <c r="AIM1" s="101">
        <f t="shared" si="14"/>
        <v>52264</v>
      </c>
      <c r="AIN1" s="101">
        <f t="shared" si="14"/>
        <v>52271</v>
      </c>
      <c r="AIO1" s="101">
        <f t="shared" si="14"/>
        <v>52278</v>
      </c>
      <c r="AIP1" s="101">
        <f t="shared" si="14"/>
        <v>52285</v>
      </c>
      <c r="AIQ1" s="101">
        <f t="shared" si="14"/>
        <v>52292</v>
      </c>
      <c r="AIR1" s="101">
        <f t="shared" si="14"/>
        <v>52299</v>
      </c>
      <c r="AIS1" s="101">
        <f t="shared" si="14"/>
        <v>52306</v>
      </c>
      <c r="AIT1" s="101">
        <f t="shared" si="14"/>
        <v>52313</v>
      </c>
      <c r="AIU1" s="101">
        <f t="shared" si="14"/>
        <v>52320</v>
      </c>
      <c r="AIV1" s="101">
        <f t="shared" si="14"/>
        <v>52327</v>
      </c>
      <c r="AIW1" s="101">
        <f t="shared" si="14"/>
        <v>52334</v>
      </c>
      <c r="AIX1" s="101">
        <f t="shared" si="14"/>
        <v>52341</v>
      </c>
      <c r="AIY1" s="101">
        <f t="shared" si="14"/>
        <v>52348</v>
      </c>
      <c r="AIZ1" s="101">
        <f t="shared" si="14"/>
        <v>52355</v>
      </c>
      <c r="AJA1" s="101">
        <f t="shared" si="14"/>
        <v>52362</v>
      </c>
      <c r="AJB1" s="101">
        <f t="shared" si="14"/>
        <v>52369</v>
      </c>
      <c r="AJC1" s="101">
        <f t="shared" si="14"/>
        <v>52376</v>
      </c>
      <c r="AJD1" s="101">
        <f t="shared" si="14"/>
        <v>52383</v>
      </c>
      <c r="AJE1" s="101">
        <f t="shared" si="14"/>
        <v>52390</v>
      </c>
      <c r="AJF1" s="101">
        <f t="shared" si="14"/>
        <v>52397</v>
      </c>
      <c r="AJG1" s="101">
        <f t="shared" si="14"/>
        <v>52404</v>
      </c>
      <c r="AJH1" s="101">
        <f t="shared" si="14"/>
        <v>52411</v>
      </c>
      <c r="AJI1" s="101">
        <f t="shared" si="14"/>
        <v>52418</v>
      </c>
      <c r="AJJ1" s="101">
        <f t="shared" si="14"/>
        <v>52425</v>
      </c>
      <c r="AJK1" s="101">
        <f t="shared" si="14"/>
        <v>52432</v>
      </c>
      <c r="AJL1" s="101">
        <f t="shared" si="14"/>
        <v>52439</v>
      </c>
      <c r="AJM1" s="101">
        <f t="shared" si="14"/>
        <v>52446</v>
      </c>
      <c r="AJN1" s="101">
        <f t="shared" si="14"/>
        <v>52453</v>
      </c>
      <c r="AJO1" s="101">
        <f t="shared" si="14"/>
        <v>52460</v>
      </c>
      <c r="AJP1" s="101">
        <f t="shared" si="14"/>
        <v>52467</v>
      </c>
      <c r="AJQ1" s="101">
        <f t="shared" si="14"/>
        <v>52474</v>
      </c>
      <c r="AJR1" s="101">
        <f t="shared" si="14"/>
        <v>52481</v>
      </c>
      <c r="AJS1" s="101">
        <f t="shared" si="14"/>
        <v>52488</v>
      </c>
      <c r="AJT1" s="101">
        <f t="shared" si="14"/>
        <v>52495</v>
      </c>
      <c r="AJU1" s="101">
        <f t="shared" si="14"/>
        <v>52502</v>
      </c>
      <c r="AJV1" s="101">
        <f t="shared" si="14"/>
        <v>52509</v>
      </c>
      <c r="AJW1" s="101">
        <f t="shared" si="14"/>
        <v>52516</v>
      </c>
      <c r="AJX1" s="101">
        <f t="shared" si="14"/>
        <v>52523</v>
      </c>
      <c r="AJY1" s="101">
        <f t="shared" si="14"/>
        <v>52530</v>
      </c>
      <c r="AJZ1" s="101">
        <f t="shared" si="14"/>
        <v>52537</v>
      </c>
      <c r="AKA1" s="101">
        <f t="shared" si="14"/>
        <v>52544</v>
      </c>
      <c r="AKB1" s="101">
        <f t="shared" si="14"/>
        <v>52551</v>
      </c>
      <c r="AKC1" s="101">
        <f t="shared" si="14"/>
        <v>52558</v>
      </c>
      <c r="AKD1" s="101">
        <f t="shared" si="14"/>
        <v>52565</v>
      </c>
      <c r="AKE1" s="101">
        <f t="shared" si="14"/>
        <v>52572</v>
      </c>
      <c r="AKF1" s="101">
        <f t="shared" si="14"/>
        <v>52579</v>
      </c>
      <c r="AKG1" s="101">
        <f t="shared" ref="AKG1:AMR1" si="15">AKF1+7</f>
        <v>52586</v>
      </c>
      <c r="AKH1" s="101">
        <f t="shared" si="15"/>
        <v>52593</v>
      </c>
      <c r="AKI1" s="101">
        <f t="shared" si="15"/>
        <v>52600</v>
      </c>
      <c r="AKJ1" s="101">
        <f t="shared" si="15"/>
        <v>52607</v>
      </c>
      <c r="AKK1" s="101">
        <f t="shared" si="15"/>
        <v>52614</v>
      </c>
      <c r="AKL1" s="101">
        <f t="shared" si="15"/>
        <v>52621</v>
      </c>
      <c r="AKM1" s="101">
        <f t="shared" si="15"/>
        <v>52628</v>
      </c>
      <c r="AKN1" s="101">
        <f t="shared" si="15"/>
        <v>52635</v>
      </c>
      <c r="AKO1" s="101">
        <f t="shared" si="15"/>
        <v>52642</v>
      </c>
      <c r="AKP1" s="101">
        <f t="shared" si="15"/>
        <v>52649</v>
      </c>
      <c r="AKQ1" s="101">
        <f t="shared" si="15"/>
        <v>52656</v>
      </c>
      <c r="AKR1" s="101">
        <f t="shared" si="15"/>
        <v>52663</v>
      </c>
      <c r="AKS1" s="101">
        <f t="shared" si="15"/>
        <v>52670</v>
      </c>
      <c r="AKT1" s="101">
        <f t="shared" si="15"/>
        <v>52677</v>
      </c>
      <c r="AKU1" s="101">
        <f t="shared" si="15"/>
        <v>52684</v>
      </c>
      <c r="AKV1" s="101">
        <f t="shared" si="15"/>
        <v>52691</v>
      </c>
      <c r="AKW1" s="101">
        <f t="shared" si="15"/>
        <v>52698</v>
      </c>
      <c r="AKX1" s="101">
        <f t="shared" si="15"/>
        <v>52705</v>
      </c>
      <c r="AKY1" s="101">
        <f t="shared" si="15"/>
        <v>52712</v>
      </c>
      <c r="AKZ1" s="101">
        <f t="shared" si="15"/>
        <v>52719</v>
      </c>
      <c r="ALA1" s="101">
        <f t="shared" si="15"/>
        <v>52726</v>
      </c>
      <c r="ALB1" s="101">
        <f t="shared" si="15"/>
        <v>52733</v>
      </c>
      <c r="ALC1" s="101">
        <f t="shared" si="15"/>
        <v>52740</v>
      </c>
      <c r="ALD1" s="101">
        <f t="shared" si="15"/>
        <v>52747</v>
      </c>
      <c r="ALE1" s="101">
        <f t="shared" si="15"/>
        <v>52754</v>
      </c>
      <c r="ALF1" s="101">
        <f t="shared" si="15"/>
        <v>52761</v>
      </c>
      <c r="ALG1" s="101">
        <f t="shared" si="15"/>
        <v>52768</v>
      </c>
      <c r="ALH1" s="101">
        <f t="shared" si="15"/>
        <v>52775</v>
      </c>
      <c r="ALI1" s="101">
        <f t="shared" si="15"/>
        <v>52782</v>
      </c>
      <c r="ALJ1" s="101">
        <f t="shared" si="15"/>
        <v>52789</v>
      </c>
      <c r="ALK1" s="101">
        <f t="shared" si="15"/>
        <v>52796</v>
      </c>
      <c r="ALL1" s="101">
        <f t="shared" si="15"/>
        <v>52803</v>
      </c>
      <c r="ALM1" s="101">
        <f t="shared" si="15"/>
        <v>52810</v>
      </c>
      <c r="ALN1" s="101">
        <f t="shared" si="15"/>
        <v>52817</v>
      </c>
      <c r="ALO1" s="101">
        <f t="shared" si="15"/>
        <v>52824</v>
      </c>
      <c r="ALP1" s="101">
        <f t="shared" si="15"/>
        <v>52831</v>
      </c>
      <c r="ALQ1" s="101">
        <f t="shared" si="15"/>
        <v>52838</v>
      </c>
      <c r="ALR1" s="101">
        <f t="shared" si="15"/>
        <v>52845</v>
      </c>
      <c r="ALS1" s="101">
        <f t="shared" si="15"/>
        <v>52852</v>
      </c>
      <c r="ALT1" s="101">
        <f t="shared" si="15"/>
        <v>52859</v>
      </c>
      <c r="ALU1" s="101">
        <f t="shared" si="15"/>
        <v>52866</v>
      </c>
      <c r="ALV1" s="101">
        <f t="shared" si="15"/>
        <v>52873</v>
      </c>
      <c r="ALW1" s="101">
        <f t="shared" si="15"/>
        <v>52880</v>
      </c>
      <c r="ALX1" s="101">
        <f t="shared" si="15"/>
        <v>52887</v>
      </c>
      <c r="ALY1" s="101">
        <f t="shared" si="15"/>
        <v>52894</v>
      </c>
      <c r="ALZ1" s="101">
        <f t="shared" si="15"/>
        <v>52901</v>
      </c>
      <c r="AMA1" s="101">
        <f t="shared" si="15"/>
        <v>52908</v>
      </c>
      <c r="AMB1" s="101">
        <f t="shared" si="15"/>
        <v>52915</v>
      </c>
      <c r="AMC1" s="101">
        <f t="shared" si="15"/>
        <v>52922</v>
      </c>
      <c r="AMD1" s="101">
        <f t="shared" si="15"/>
        <v>52929</v>
      </c>
      <c r="AME1" s="101">
        <f t="shared" si="15"/>
        <v>52936</v>
      </c>
      <c r="AMF1" s="101">
        <f t="shared" si="15"/>
        <v>52943</v>
      </c>
      <c r="AMG1" s="101">
        <f t="shared" si="15"/>
        <v>52950</v>
      </c>
      <c r="AMH1" s="101">
        <f t="shared" si="15"/>
        <v>52957</v>
      </c>
      <c r="AMI1" s="101">
        <f t="shared" si="15"/>
        <v>52964</v>
      </c>
      <c r="AMJ1" s="101">
        <f t="shared" si="15"/>
        <v>52971</v>
      </c>
      <c r="AMK1" s="101">
        <f t="shared" si="15"/>
        <v>52978</v>
      </c>
      <c r="AML1" s="101">
        <f t="shared" si="15"/>
        <v>52985</v>
      </c>
      <c r="AMM1" s="101">
        <f t="shared" si="15"/>
        <v>52992</v>
      </c>
      <c r="AMN1" s="101">
        <f t="shared" si="15"/>
        <v>52999</v>
      </c>
      <c r="AMO1" s="101">
        <f t="shared" si="15"/>
        <v>53006</v>
      </c>
      <c r="AMP1" s="101">
        <f t="shared" si="15"/>
        <v>53013</v>
      </c>
      <c r="AMQ1" s="101">
        <f t="shared" si="15"/>
        <v>53020</v>
      </c>
      <c r="AMR1" s="101">
        <f t="shared" si="15"/>
        <v>53027</v>
      </c>
      <c r="AMS1" s="101">
        <f t="shared" ref="AMS1:APD1" si="16">AMR1+7</f>
        <v>53034</v>
      </c>
      <c r="AMT1" s="101">
        <f t="shared" si="16"/>
        <v>53041</v>
      </c>
      <c r="AMU1" s="101">
        <f t="shared" si="16"/>
        <v>53048</v>
      </c>
      <c r="AMV1" s="101">
        <f t="shared" si="16"/>
        <v>53055</v>
      </c>
      <c r="AMW1" s="101">
        <f t="shared" si="16"/>
        <v>53062</v>
      </c>
      <c r="AMX1" s="101">
        <f t="shared" si="16"/>
        <v>53069</v>
      </c>
      <c r="AMY1" s="101">
        <f t="shared" si="16"/>
        <v>53076</v>
      </c>
      <c r="AMZ1" s="101">
        <f t="shared" si="16"/>
        <v>53083</v>
      </c>
      <c r="ANA1" s="101">
        <f t="shared" si="16"/>
        <v>53090</v>
      </c>
      <c r="ANB1" s="101">
        <f t="shared" si="16"/>
        <v>53097</v>
      </c>
      <c r="ANC1" s="101">
        <f t="shared" si="16"/>
        <v>53104</v>
      </c>
      <c r="AND1" s="101">
        <f t="shared" si="16"/>
        <v>53111</v>
      </c>
      <c r="ANE1" s="101">
        <f t="shared" si="16"/>
        <v>53118</v>
      </c>
      <c r="ANF1" s="101">
        <f t="shared" si="16"/>
        <v>53125</v>
      </c>
      <c r="ANG1" s="101">
        <f t="shared" si="16"/>
        <v>53132</v>
      </c>
      <c r="ANH1" s="101">
        <f t="shared" si="16"/>
        <v>53139</v>
      </c>
      <c r="ANI1" s="101">
        <f t="shared" si="16"/>
        <v>53146</v>
      </c>
      <c r="ANJ1" s="101">
        <f t="shared" si="16"/>
        <v>53153</v>
      </c>
      <c r="ANK1" s="101">
        <f t="shared" si="16"/>
        <v>53160</v>
      </c>
      <c r="ANL1" s="101">
        <f t="shared" si="16"/>
        <v>53167</v>
      </c>
      <c r="ANM1" s="101">
        <f t="shared" si="16"/>
        <v>53174</v>
      </c>
      <c r="ANN1" s="101">
        <f t="shared" si="16"/>
        <v>53181</v>
      </c>
      <c r="ANO1" s="101">
        <f t="shared" si="16"/>
        <v>53188</v>
      </c>
      <c r="ANP1" s="101">
        <f t="shared" si="16"/>
        <v>53195</v>
      </c>
      <c r="ANQ1" s="101">
        <f t="shared" si="16"/>
        <v>53202</v>
      </c>
      <c r="ANR1" s="101">
        <f t="shared" si="16"/>
        <v>53209</v>
      </c>
      <c r="ANS1" s="101">
        <f t="shared" si="16"/>
        <v>53216</v>
      </c>
      <c r="ANT1" s="101">
        <f t="shared" si="16"/>
        <v>53223</v>
      </c>
      <c r="ANU1" s="101">
        <f t="shared" si="16"/>
        <v>53230</v>
      </c>
      <c r="ANV1" s="101">
        <f t="shared" si="16"/>
        <v>53237</v>
      </c>
      <c r="ANW1" s="101">
        <f t="shared" si="16"/>
        <v>53244</v>
      </c>
      <c r="ANX1" s="101">
        <f t="shared" si="16"/>
        <v>53251</v>
      </c>
      <c r="ANY1" s="101">
        <f t="shared" si="16"/>
        <v>53258</v>
      </c>
      <c r="ANZ1" s="101">
        <f t="shared" si="16"/>
        <v>53265</v>
      </c>
      <c r="AOA1" s="101">
        <f t="shared" si="16"/>
        <v>53272</v>
      </c>
      <c r="AOB1" s="101">
        <f t="shared" si="16"/>
        <v>53279</v>
      </c>
      <c r="AOC1" s="101">
        <f t="shared" si="16"/>
        <v>53286</v>
      </c>
      <c r="AOD1" s="101">
        <f t="shared" si="16"/>
        <v>53293</v>
      </c>
      <c r="AOE1" s="101">
        <f t="shared" si="16"/>
        <v>53300</v>
      </c>
      <c r="AOF1" s="101">
        <f t="shared" si="16"/>
        <v>53307</v>
      </c>
      <c r="AOG1" s="101">
        <f t="shared" si="16"/>
        <v>53314</v>
      </c>
      <c r="AOH1" s="101">
        <f t="shared" si="16"/>
        <v>53321</v>
      </c>
      <c r="AOI1" s="101">
        <f t="shared" si="16"/>
        <v>53328</v>
      </c>
      <c r="AOJ1" s="101">
        <f t="shared" si="16"/>
        <v>53335</v>
      </c>
      <c r="AOK1" s="101">
        <f t="shared" si="16"/>
        <v>53342</v>
      </c>
      <c r="AOL1" s="101">
        <f t="shared" si="16"/>
        <v>53349</v>
      </c>
      <c r="AOM1" s="101">
        <f t="shared" si="16"/>
        <v>53356</v>
      </c>
      <c r="AON1" s="101">
        <f t="shared" si="16"/>
        <v>53363</v>
      </c>
      <c r="AOO1" s="101">
        <f t="shared" si="16"/>
        <v>53370</v>
      </c>
      <c r="AOP1" s="101">
        <f t="shared" si="16"/>
        <v>53377</v>
      </c>
      <c r="AOQ1" s="101">
        <f t="shared" si="16"/>
        <v>53384</v>
      </c>
      <c r="AOR1" s="101">
        <f t="shared" si="16"/>
        <v>53391</v>
      </c>
      <c r="AOS1" s="101">
        <f t="shared" si="16"/>
        <v>53398</v>
      </c>
      <c r="AOT1" s="101">
        <f t="shared" si="16"/>
        <v>53405</v>
      </c>
      <c r="AOU1" s="101">
        <f t="shared" si="16"/>
        <v>53412</v>
      </c>
      <c r="AOV1" s="101">
        <f t="shared" si="16"/>
        <v>53419</v>
      </c>
      <c r="AOW1" s="101">
        <f t="shared" si="16"/>
        <v>53426</v>
      </c>
      <c r="AOX1" s="101">
        <f t="shared" si="16"/>
        <v>53433</v>
      </c>
      <c r="AOY1" s="101">
        <f t="shared" si="16"/>
        <v>53440</v>
      </c>
      <c r="AOZ1" s="101">
        <f t="shared" si="16"/>
        <v>53447</v>
      </c>
      <c r="APA1" s="101">
        <f t="shared" si="16"/>
        <v>53454</v>
      </c>
      <c r="APB1" s="101">
        <f t="shared" si="16"/>
        <v>53461</v>
      </c>
      <c r="APC1" s="101">
        <f t="shared" si="16"/>
        <v>53468</v>
      </c>
      <c r="APD1" s="101">
        <f t="shared" si="16"/>
        <v>53475</v>
      </c>
      <c r="APE1" s="101">
        <f t="shared" ref="APE1:ARP1" si="17">APD1+7</f>
        <v>53482</v>
      </c>
      <c r="APF1" s="101">
        <f t="shared" si="17"/>
        <v>53489</v>
      </c>
      <c r="APG1" s="101">
        <f t="shared" si="17"/>
        <v>53496</v>
      </c>
      <c r="APH1" s="101">
        <f t="shared" si="17"/>
        <v>53503</v>
      </c>
      <c r="API1" s="101">
        <f t="shared" si="17"/>
        <v>53510</v>
      </c>
      <c r="APJ1" s="101">
        <f t="shared" si="17"/>
        <v>53517</v>
      </c>
      <c r="APK1" s="101">
        <f t="shared" si="17"/>
        <v>53524</v>
      </c>
      <c r="APL1" s="101">
        <f t="shared" si="17"/>
        <v>53531</v>
      </c>
      <c r="APM1" s="101">
        <f t="shared" si="17"/>
        <v>53538</v>
      </c>
      <c r="APN1" s="101">
        <f t="shared" si="17"/>
        <v>53545</v>
      </c>
      <c r="APO1" s="101">
        <f t="shared" si="17"/>
        <v>53552</v>
      </c>
      <c r="APP1" s="101">
        <f t="shared" si="17"/>
        <v>53559</v>
      </c>
      <c r="APQ1" s="101">
        <f t="shared" si="17"/>
        <v>53566</v>
      </c>
      <c r="APR1" s="101">
        <f t="shared" si="17"/>
        <v>53573</v>
      </c>
      <c r="APS1" s="101">
        <f t="shared" si="17"/>
        <v>53580</v>
      </c>
      <c r="APT1" s="101">
        <f t="shared" si="17"/>
        <v>53587</v>
      </c>
      <c r="APU1" s="101">
        <f t="shared" si="17"/>
        <v>53594</v>
      </c>
      <c r="APV1" s="101">
        <f t="shared" si="17"/>
        <v>53601</v>
      </c>
      <c r="APW1" s="101">
        <f t="shared" si="17"/>
        <v>53608</v>
      </c>
      <c r="APX1" s="101">
        <f t="shared" si="17"/>
        <v>53615</v>
      </c>
      <c r="APY1" s="101">
        <f t="shared" si="17"/>
        <v>53622</v>
      </c>
      <c r="APZ1" s="101">
        <f t="shared" si="17"/>
        <v>53629</v>
      </c>
      <c r="AQA1" s="101">
        <f t="shared" si="17"/>
        <v>53636</v>
      </c>
      <c r="AQB1" s="101">
        <f t="shared" si="17"/>
        <v>53643</v>
      </c>
      <c r="AQC1" s="101">
        <f t="shared" si="17"/>
        <v>53650</v>
      </c>
      <c r="AQD1" s="101">
        <f t="shared" si="17"/>
        <v>53657</v>
      </c>
      <c r="AQE1" s="101">
        <f t="shared" si="17"/>
        <v>53664</v>
      </c>
      <c r="AQF1" s="101">
        <f t="shared" si="17"/>
        <v>53671</v>
      </c>
      <c r="AQG1" s="101">
        <f t="shared" si="17"/>
        <v>53678</v>
      </c>
      <c r="AQH1" s="101">
        <f t="shared" si="17"/>
        <v>53685</v>
      </c>
      <c r="AQI1" s="101">
        <f t="shared" si="17"/>
        <v>53692</v>
      </c>
      <c r="AQJ1" s="101">
        <f t="shared" si="17"/>
        <v>53699</v>
      </c>
      <c r="AQK1" s="101">
        <f t="shared" si="17"/>
        <v>53706</v>
      </c>
      <c r="AQL1" s="101">
        <f t="shared" si="17"/>
        <v>53713</v>
      </c>
      <c r="AQM1" s="101">
        <f t="shared" si="17"/>
        <v>53720</v>
      </c>
      <c r="AQN1" s="101">
        <f t="shared" si="17"/>
        <v>53727</v>
      </c>
      <c r="AQO1" s="101">
        <f t="shared" si="17"/>
        <v>53734</v>
      </c>
      <c r="AQP1" s="101">
        <f t="shared" si="17"/>
        <v>53741</v>
      </c>
      <c r="AQQ1" s="101">
        <f t="shared" si="17"/>
        <v>53748</v>
      </c>
      <c r="AQR1" s="101">
        <f t="shared" si="17"/>
        <v>53755</v>
      </c>
      <c r="AQS1" s="101">
        <f t="shared" si="17"/>
        <v>53762</v>
      </c>
      <c r="AQT1" s="101">
        <f t="shared" si="17"/>
        <v>53769</v>
      </c>
      <c r="AQU1" s="101">
        <f t="shared" si="17"/>
        <v>53776</v>
      </c>
      <c r="AQV1" s="101">
        <f t="shared" si="17"/>
        <v>53783</v>
      </c>
      <c r="AQW1" s="101">
        <f t="shared" si="17"/>
        <v>53790</v>
      </c>
      <c r="AQX1" s="101">
        <f t="shared" si="17"/>
        <v>53797</v>
      </c>
      <c r="AQY1" s="101">
        <f t="shared" si="17"/>
        <v>53804</v>
      </c>
      <c r="AQZ1" s="101">
        <f t="shared" si="17"/>
        <v>53811</v>
      </c>
      <c r="ARA1" s="101">
        <f t="shared" si="17"/>
        <v>53818</v>
      </c>
      <c r="ARB1" s="101">
        <f t="shared" si="17"/>
        <v>53825</v>
      </c>
      <c r="ARC1" s="101">
        <f t="shared" si="17"/>
        <v>53832</v>
      </c>
      <c r="ARD1" s="101">
        <f t="shared" si="17"/>
        <v>53839</v>
      </c>
      <c r="ARE1" s="101">
        <f t="shared" si="17"/>
        <v>53846</v>
      </c>
      <c r="ARF1" s="101">
        <f t="shared" si="17"/>
        <v>53853</v>
      </c>
      <c r="ARG1" s="101">
        <f t="shared" si="17"/>
        <v>53860</v>
      </c>
      <c r="ARH1" s="101">
        <f t="shared" si="17"/>
        <v>53867</v>
      </c>
      <c r="ARI1" s="101">
        <f t="shared" si="17"/>
        <v>53874</v>
      </c>
      <c r="ARJ1" s="101">
        <f t="shared" si="17"/>
        <v>53881</v>
      </c>
      <c r="ARK1" s="101">
        <f t="shared" si="17"/>
        <v>53888</v>
      </c>
      <c r="ARL1" s="101">
        <f t="shared" si="17"/>
        <v>53895</v>
      </c>
      <c r="ARM1" s="101">
        <f t="shared" si="17"/>
        <v>53902</v>
      </c>
      <c r="ARN1" s="101">
        <f t="shared" si="17"/>
        <v>53909</v>
      </c>
      <c r="ARO1" s="101">
        <f t="shared" si="17"/>
        <v>53916</v>
      </c>
      <c r="ARP1" s="101">
        <f t="shared" si="17"/>
        <v>53923</v>
      </c>
      <c r="ARQ1" s="101">
        <f t="shared" ref="ARQ1:AUB1" si="18">ARP1+7</f>
        <v>53930</v>
      </c>
      <c r="ARR1" s="101">
        <f t="shared" si="18"/>
        <v>53937</v>
      </c>
      <c r="ARS1" s="101">
        <f t="shared" si="18"/>
        <v>53944</v>
      </c>
      <c r="ART1" s="101">
        <f t="shared" si="18"/>
        <v>53951</v>
      </c>
      <c r="ARU1" s="101">
        <f t="shared" si="18"/>
        <v>53958</v>
      </c>
      <c r="ARV1" s="101">
        <f t="shared" si="18"/>
        <v>53965</v>
      </c>
      <c r="ARW1" s="101">
        <f t="shared" si="18"/>
        <v>53972</v>
      </c>
      <c r="ARX1" s="101">
        <f t="shared" si="18"/>
        <v>53979</v>
      </c>
      <c r="ARY1" s="101">
        <f t="shared" si="18"/>
        <v>53986</v>
      </c>
      <c r="ARZ1" s="101">
        <f t="shared" si="18"/>
        <v>53993</v>
      </c>
      <c r="ASA1" s="101">
        <f t="shared" si="18"/>
        <v>54000</v>
      </c>
      <c r="ASB1" s="101">
        <f t="shared" si="18"/>
        <v>54007</v>
      </c>
      <c r="ASC1" s="101">
        <f t="shared" si="18"/>
        <v>54014</v>
      </c>
      <c r="ASD1" s="101">
        <f t="shared" si="18"/>
        <v>54021</v>
      </c>
      <c r="ASE1" s="101">
        <f t="shared" si="18"/>
        <v>54028</v>
      </c>
      <c r="ASF1" s="101">
        <f t="shared" si="18"/>
        <v>54035</v>
      </c>
      <c r="ASG1" s="101">
        <f t="shared" si="18"/>
        <v>54042</v>
      </c>
      <c r="ASH1" s="101">
        <f t="shared" si="18"/>
        <v>54049</v>
      </c>
      <c r="ASI1" s="101">
        <f t="shared" si="18"/>
        <v>54056</v>
      </c>
      <c r="ASJ1" s="101">
        <f t="shared" si="18"/>
        <v>54063</v>
      </c>
      <c r="ASK1" s="101">
        <f t="shared" si="18"/>
        <v>54070</v>
      </c>
      <c r="ASL1" s="101">
        <f t="shared" si="18"/>
        <v>54077</v>
      </c>
      <c r="ASM1" s="101">
        <f t="shared" si="18"/>
        <v>54084</v>
      </c>
      <c r="ASN1" s="101">
        <f t="shared" si="18"/>
        <v>54091</v>
      </c>
      <c r="ASO1" s="101">
        <f t="shared" si="18"/>
        <v>54098</v>
      </c>
      <c r="ASP1" s="101">
        <f t="shared" si="18"/>
        <v>54105</v>
      </c>
      <c r="ASQ1" s="101">
        <f t="shared" si="18"/>
        <v>54112</v>
      </c>
      <c r="ASR1" s="101">
        <f t="shared" si="18"/>
        <v>54119</v>
      </c>
      <c r="ASS1" s="101">
        <f t="shared" si="18"/>
        <v>54126</v>
      </c>
      <c r="AST1" s="101">
        <f t="shared" si="18"/>
        <v>54133</v>
      </c>
      <c r="ASU1" s="101">
        <f t="shared" si="18"/>
        <v>54140</v>
      </c>
      <c r="ASV1" s="101">
        <f t="shared" si="18"/>
        <v>54147</v>
      </c>
      <c r="ASW1" s="101">
        <f t="shared" si="18"/>
        <v>54154</v>
      </c>
      <c r="ASX1" s="101">
        <f t="shared" si="18"/>
        <v>54161</v>
      </c>
      <c r="ASY1" s="101">
        <f t="shared" si="18"/>
        <v>54168</v>
      </c>
      <c r="ASZ1" s="101">
        <f t="shared" si="18"/>
        <v>54175</v>
      </c>
      <c r="ATA1" s="101">
        <f t="shared" si="18"/>
        <v>54182</v>
      </c>
      <c r="ATB1" s="101">
        <f t="shared" si="18"/>
        <v>54189</v>
      </c>
      <c r="ATC1" s="101">
        <f t="shared" si="18"/>
        <v>54196</v>
      </c>
      <c r="ATD1" s="101">
        <f t="shared" si="18"/>
        <v>54203</v>
      </c>
      <c r="ATE1" s="101">
        <f t="shared" si="18"/>
        <v>54210</v>
      </c>
      <c r="ATF1" s="101">
        <f t="shared" si="18"/>
        <v>54217</v>
      </c>
      <c r="ATG1" s="101">
        <f t="shared" si="18"/>
        <v>54224</v>
      </c>
      <c r="ATH1" s="101">
        <f t="shared" si="18"/>
        <v>54231</v>
      </c>
      <c r="ATI1" s="101">
        <f t="shared" si="18"/>
        <v>54238</v>
      </c>
      <c r="ATJ1" s="101">
        <f t="shared" si="18"/>
        <v>54245</v>
      </c>
      <c r="ATK1" s="101">
        <f t="shared" si="18"/>
        <v>54252</v>
      </c>
      <c r="ATL1" s="101">
        <f t="shared" si="18"/>
        <v>54259</v>
      </c>
      <c r="ATM1" s="101">
        <f t="shared" si="18"/>
        <v>54266</v>
      </c>
      <c r="ATN1" s="101">
        <f t="shared" si="18"/>
        <v>54273</v>
      </c>
      <c r="ATO1" s="101">
        <f t="shared" si="18"/>
        <v>54280</v>
      </c>
      <c r="ATP1" s="101">
        <f t="shared" si="18"/>
        <v>54287</v>
      </c>
      <c r="ATQ1" s="101">
        <f t="shared" si="18"/>
        <v>54294</v>
      </c>
      <c r="ATR1" s="101">
        <f t="shared" si="18"/>
        <v>54301</v>
      </c>
      <c r="ATS1" s="101">
        <f t="shared" si="18"/>
        <v>54308</v>
      </c>
      <c r="ATT1" s="101">
        <f t="shared" si="18"/>
        <v>54315</v>
      </c>
      <c r="ATU1" s="101">
        <f t="shared" si="18"/>
        <v>54322</v>
      </c>
      <c r="ATV1" s="101">
        <f t="shared" si="18"/>
        <v>54329</v>
      </c>
      <c r="ATW1" s="101">
        <f t="shared" si="18"/>
        <v>54336</v>
      </c>
      <c r="ATX1" s="101">
        <f t="shared" si="18"/>
        <v>54343</v>
      </c>
      <c r="ATY1" s="101">
        <f t="shared" si="18"/>
        <v>54350</v>
      </c>
      <c r="ATZ1" s="101">
        <f t="shared" si="18"/>
        <v>54357</v>
      </c>
      <c r="AUA1" s="101">
        <f t="shared" si="18"/>
        <v>54364</v>
      </c>
      <c r="AUB1" s="101">
        <f t="shared" si="18"/>
        <v>54371</v>
      </c>
      <c r="AUC1" s="101">
        <f t="shared" ref="AUC1:AWN1" si="19">AUB1+7</f>
        <v>54378</v>
      </c>
      <c r="AUD1" s="101">
        <f t="shared" si="19"/>
        <v>54385</v>
      </c>
      <c r="AUE1" s="101">
        <f t="shared" si="19"/>
        <v>54392</v>
      </c>
      <c r="AUF1" s="101">
        <f t="shared" si="19"/>
        <v>54399</v>
      </c>
      <c r="AUG1" s="101">
        <f t="shared" si="19"/>
        <v>54406</v>
      </c>
      <c r="AUH1" s="101">
        <f t="shared" si="19"/>
        <v>54413</v>
      </c>
      <c r="AUI1" s="101">
        <f t="shared" si="19"/>
        <v>54420</v>
      </c>
      <c r="AUJ1" s="101">
        <f t="shared" si="19"/>
        <v>54427</v>
      </c>
      <c r="AUK1" s="101">
        <f t="shared" si="19"/>
        <v>54434</v>
      </c>
      <c r="AUL1" s="101">
        <f t="shared" si="19"/>
        <v>54441</v>
      </c>
      <c r="AUM1" s="101">
        <f t="shared" si="19"/>
        <v>54448</v>
      </c>
      <c r="AUN1" s="101">
        <f t="shared" si="19"/>
        <v>54455</v>
      </c>
      <c r="AUO1" s="101">
        <f t="shared" si="19"/>
        <v>54462</v>
      </c>
      <c r="AUP1" s="101">
        <f t="shared" si="19"/>
        <v>54469</v>
      </c>
      <c r="AUQ1" s="101">
        <f t="shared" si="19"/>
        <v>54476</v>
      </c>
      <c r="AUR1" s="101">
        <f t="shared" si="19"/>
        <v>54483</v>
      </c>
      <c r="AUS1" s="101">
        <f t="shared" si="19"/>
        <v>54490</v>
      </c>
      <c r="AUT1" s="101">
        <f t="shared" si="19"/>
        <v>54497</v>
      </c>
      <c r="AUU1" s="101">
        <f t="shared" si="19"/>
        <v>54504</v>
      </c>
      <c r="AUV1" s="101">
        <f t="shared" si="19"/>
        <v>54511</v>
      </c>
      <c r="AUW1" s="101">
        <f t="shared" si="19"/>
        <v>54518</v>
      </c>
      <c r="AUX1" s="101">
        <f t="shared" si="19"/>
        <v>54525</v>
      </c>
      <c r="AUY1" s="101">
        <f t="shared" si="19"/>
        <v>54532</v>
      </c>
      <c r="AUZ1" s="101">
        <f t="shared" si="19"/>
        <v>54539</v>
      </c>
      <c r="AVA1" s="101">
        <f t="shared" si="19"/>
        <v>54546</v>
      </c>
      <c r="AVB1" s="101">
        <f t="shared" si="19"/>
        <v>54553</v>
      </c>
      <c r="AVC1" s="101">
        <f t="shared" si="19"/>
        <v>54560</v>
      </c>
      <c r="AVD1" s="101">
        <f t="shared" si="19"/>
        <v>54567</v>
      </c>
      <c r="AVE1" s="101">
        <f t="shared" si="19"/>
        <v>54574</v>
      </c>
      <c r="AVF1" s="101">
        <f t="shared" si="19"/>
        <v>54581</v>
      </c>
      <c r="AVG1" s="101">
        <f t="shared" si="19"/>
        <v>54588</v>
      </c>
      <c r="AVH1" s="101">
        <f t="shared" si="19"/>
        <v>54595</v>
      </c>
      <c r="AVI1" s="101">
        <f t="shared" si="19"/>
        <v>54602</v>
      </c>
      <c r="AVJ1" s="101">
        <f t="shared" si="19"/>
        <v>54609</v>
      </c>
      <c r="AVK1" s="101">
        <f t="shared" si="19"/>
        <v>54616</v>
      </c>
      <c r="AVL1" s="101">
        <f t="shared" si="19"/>
        <v>54623</v>
      </c>
      <c r="AVM1" s="101">
        <f t="shared" si="19"/>
        <v>54630</v>
      </c>
      <c r="AVN1" s="101">
        <f t="shared" si="19"/>
        <v>54637</v>
      </c>
      <c r="AVO1" s="101">
        <f t="shared" si="19"/>
        <v>54644</v>
      </c>
      <c r="AVP1" s="101">
        <f t="shared" si="19"/>
        <v>54651</v>
      </c>
      <c r="AVQ1" s="101">
        <f t="shared" si="19"/>
        <v>54658</v>
      </c>
      <c r="AVR1" s="101">
        <f t="shared" si="19"/>
        <v>54665</v>
      </c>
      <c r="AVS1" s="101">
        <f t="shared" si="19"/>
        <v>54672</v>
      </c>
      <c r="AVT1" s="101">
        <f t="shared" si="19"/>
        <v>54679</v>
      </c>
      <c r="AVU1" s="101">
        <f t="shared" si="19"/>
        <v>54686</v>
      </c>
      <c r="AVV1" s="101">
        <f t="shared" si="19"/>
        <v>54693</v>
      </c>
      <c r="AVW1" s="101">
        <f t="shared" si="19"/>
        <v>54700</v>
      </c>
      <c r="AVX1" s="101">
        <f t="shared" si="19"/>
        <v>54707</v>
      </c>
      <c r="AVY1" s="101">
        <f t="shared" si="19"/>
        <v>54714</v>
      </c>
      <c r="AVZ1" s="101">
        <f t="shared" si="19"/>
        <v>54721</v>
      </c>
      <c r="AWA1" s="101">
        <f t="shared" si="19"/>
        <v>54728</v>
      </c>
      <c r="AWB1" s="101">
        <f t="shared" si="19"/>
        <v>54735</v>
      </c>
      <c r="AWC1" s="101">
        <f t="shared" si="19"/>
        <v>54742</v>
      </c>
      <c r="AWD1" s="101">
        <f t="shared" si="19"/>
        <v>54749</v>
      </c>
      <c r="AWE1" s="101">
        <f t="shared" si="19"/>
        <v>54756</v>
      </c>
      <c r="AWF1" s="101">
        <f t="shared" si="19"/>
        <v>54763</v>
      </c>
      <c r="AWG1" s="101">
        <f t="shared" si="19"/>
        <v>54770</v>
      </c>
      <c r="AWH1" s="101">
        <f t="shared" si="19"/>
        <v>54777</v>
      </c>
      <c r="AWI1" s="101">
        <f t="shared" si="19"/>
        <v>54784</v>
      </c>
      <c r="AWJ1" s="101">
        <f t="shared" si="19"/>
        <v>54791</v>
      </c>
      <c r="AWK1" s="101">
        <f t="shared" si="19"/>
        <v>54798</v>
      </c>
      <c r="AWL1" s="101">
        <f t="shared" si="19"/>
        <v>54805</v>
      </c>
      <c r="AWM1" s="101">
        <f t="shared" si="19"/>
        <v>54812</v>
      </c>
      <c r="AWN1" s="101">
        <f t="shared" si="19"/>
        <v>54819</v>
      </c>
      <c r="AWO1" s="101">
        <f t="shared" ref="AWO1:AYZ1" si="20">AWN1+7</f>
        <v>54826</v>
      </c>
      <c r="AWP1" s="101">
        <f t="shared" si="20"/>
        <v>54833</v>
      </c>
      <c r="AWQ1" s="101">
        <f t="shared" si="20"/>
        <v>54840</v>
      </c>
      <c r="AWR1" s="101">
        <f t="shared" si="20"/>
        <v>54847</v>
      </c>
      <c r="AWS1" s="101">
        <f t="shared" si="20"/>
        <v>54854</v>
      </c>
      <c r="AWT1" s="101">
        <f t="shared" si="20"/>
        <v>54861</v>
      </c>
      <c r="AWU1" s="101">
        <f t="shared" si="20"/>
        <v>54868</v>
      </c>
      <c r="AWV1" s="101">
        <f t="shared" si="20"/>
        <v>54875</v>
      </c>
      <c r="AWW1" s="101">
        <f t="shared" si="20"/>
        <v>54882</v>
      </c>
      <c r="AWX1" s="101">
        <f t="shared" si="20"/>
        <v>54889</v>
      </c>
      <c r="AWY1" s="101">
        <f t="shared" si="20"/>
        <v>54896</v>
      </c>
      <c r="AWZ1" s="101">
        <f t="shared" si="20"/>
        <v>54903</v>
      </c>
      <c r="AXA1" s="101">
        <f t="shared" si="20"/>
        <v>54910</v>
      </c>
      <c r="AXB1" s="101">
        <f t="shared" si="20"/>
        <v>54917</v>
      </c>
      <c r="AXC1" s="101">
        <f t="shared" si="20"/>
        <v>54924</v>
      </c>
      <c r="AXD1" s="101">
        <f t="shared" si="20"/>
        <v>54931</v>
      </c>
      <c r="AXE1" s="101">
        <f t="shared" si="20"/>
        <v>54938</v>
      </c>
      <c r="AXF1" s="101">
        <f t="shared" si="20"/>
        <v>54945</v>
      </c>
      <c r="AXG1" s="101">
        <f t="shared" si="20"/>
        <v>54952</v>
      </c>
      <c r="AXH1" s="101">
        <f t="shared" si="20"/>
        <v>54959</v>
      </c>
      <c r="AXI1" s="101">
        <f t="shared" si="20"/>
        <v>54966</v>
      </c>
      <c r="AXJ1" s="101">
        <f t="shared" si="20"/>
        <v>54973</v>
      </c>
      <c r="AXK1" s="101">
        <f t="shared" si="20"/>
        <v>54980</v>
      </c>
      <c r="AXL1" s="101">
        <f t="shared" si="20"/>
        <v>54987</v>
      </c>
      <c r="AXM1" s="101">
        <f t="shared" si="20"/>
        <v>54994</v>
      </c>
      <c r="AXN1" s="101">
        <f t="shared" si="20"/>
        <v>55001</v>
      </c>
      <c r="AXO1" s="101">
        <f t="shared" si="20"/>
        <v>55008</v>
      </c>
      <c r="AXP1" s="101">
        <f t="shared" si="20"/>
        <v>55015</v>
      </c>
      <c r="AXQ1" s="101">
        <f t="shared" si="20"/>
        <v>55022</v>
      </c>
      <c r="AXR1" s="101">
        <f t="shared" si="20"/>
        <v>55029</v>
      </c>
      <c r="AXS1" s="101">
        <f t="shared" si="20"/>
        <v>55036</v>
      </c>
      <c r="AXT1" s="101">
        <f t="shared" si="20"/>
        <v>55043</v>
      </c>
      <c r="AXU1" s="101">
        <f t="shared" si="20"/>
        <v>55050</v>
      </c>
      <c r="AXV1" s="101">
        <f t="shared" si="20"/>
        <v>55057</v>
      </c>
      <c r="AXW1" s="101">
        <f t="shared" si="20"/>
        <v>55064</v>
      </c>
      <c r="AXX1" s="101">
        <f t="shared" si="20"/>
        <v>55071</v>
      </c>
      <c r="AXY1" s="101">
        <f t="shared" si="20"/>
        <v>55078</v>
      </c>
      <c r="AXZ1" s="101">
        <f t="shared" si="20"/>
        <v>55085</v>
      </c>
      <c r="AYA1" s="101">
        <f t="shared" si="20"/>
        <v>55092</v>
      </c>
      <c r="AYB1" s="101">
        <f t="shared" si="20"/>
        <v>55099</v>
      </c>
      <c r="AYC1" s="101">
        <f t="shared" si="20"/>
        <v>55106</v>
      </c>
      <c r="AYD1" s="101">
        <f t="shared" si="20"/>
        <v>55113</v>
      </c>
      <c r="AYE1" s="101">
        <f t="shared" si="20"/>
        <v>55120</v>
      </c>
      <c r="AYF1" s="101">
        <f t="shared" si="20"/>
        <v>55127</v>
      </c>
      <c r="AYG1" s="101">
        <f t="shared" si="20"/>
        <v>55134</v>
      </c>
      <c r="AYH1" s="101">
        <f t="shared" si="20"/>
        <v>55141</v>
      </c>
      <c r="AYI1" s="101">
        <f t="shared" si="20"/>
        <v>55148</v>
      </c>
      <c r="AYJ1" s="101">
        <f t="shared" si="20"/>
        <v>55155</v>
      </c>
      <c r="AYK1" s="101">
        <f t="shared" si="20"/>
        <v>55162</v>
      </c>
      <c r="AYL1" s="101">
        <f t="shared" si="20"/>
        <v>55169</v>
      </c>
      <c r="AYM1" s="101">
        <f t="shared" si="20"/>
        <v>55176</v>
      </c>
      <c r="AYN1" s="101">
        <f t="shared" si="20"/>
        <v>55183</v>
      </c>
      <c r="AYO1" s="101">
        <f t="shared" si="20"/>
        <v>55190</v>
      </c>
      <c r="AYP1" s="101">
        <f t="shared" si="20"/>
        <v>55197</v>
      </c>
      <c r="AYQ1" s="101">
        <f t="shared" si="20"/>
        <v>55204</v>
      </c>
      <c r="AYR1" s="101">
        <f t="shared" si="20"/>
        <v>55211</v>
      </c>
      <c r="AYS1" s="101">
        <f t="shared" si="20"/>
        <v>55218</v>
      </c>
      <c r="AYT1" s="101">
        <f t="shared" si="20"/>
        <v>55225</v>
      </c>
      <c r="AYU1" s="101">
        <f t="shared" si="20"/>
        <v>55232</v>
      </c>
      <c r="AYV1" s="101">
        <f t="shared" si="20"/>
        <v>55239</v>
      </c>
      <c r="AYW1" s="101">
        <f t="shared" si="20"/>
        <v>55246</v>
      </c>
      <c r="AYX1" s="101">
        <f t="shared" si="20"/>
        <v>55253</v>
      </c>
      <c r="AYY1" s="101">
        <f t="shared" si="20"/>
        <v>55260</v>
      </c>
      <c r="AYZ1" s="101">
        <f t="shared" si="20"/>
        <v>55267</v>
      </c>
      <c r="AZA1" s="101">
        <f t="shared" ref="AZA1:AZG1" si="21">AYZ1+7</f>
        <v>55274</v>
      </c>
      <c r="AZB1" s="101">
        <f t="shared" si="21"/>
        <v>55281</v>
      </c>
      <c r="AZC1" s="101">
        <f t="shared" si="21"/>
        <v>55288</v>
      </c>
      <c r="AZD1" s="101">
        <f t="shared" si="21"/>
        <v>55295</v>
      </c>
      <c r="AZE1" s="101">
        <f t="shared" si="21"/>
        <v>55302</v>
      </c>
      <c r="AZF1" s="101">
        <f t="shared" si="21"/>
        <v>55309</v>
      </c>
      <c r="AZG1" s="101">
        <f t="shared" si="21"/>
        <v>55316</v>
      </c>
    </row>
    <row r="2" spans="1:1837" s="102" customFormat="1">
      <c r="A2" s="776" t="s">
        <v>497</v>
      </c>
      <c r="B2" s="103"/>
      <c r="C2" s="104" t="s">
        <v>320</v>
      </c>
      <c r="D2" s="104" t="s">
        <v>320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G2" s="105"/>
      <c r="KH2" s="105"/>
      <c r="KI2" s="105"/>
      <c r="KJ2" s="105"/>
      <c r="KK2" s="105"/>
      <c r="KL2" s="105"/>
      <c r="KM2" s="105"/>
      <c r="KN2" s="105"/>
      <c r="KO2" s="105"/>
      <c r="KP2" s="105"/>
      <c r="KQ2" s="105"/>
      <c r="KR2" s="105"/>
      <c r="KS2" s="105"/>
      <c r="KT2" s="105"/>
      <c r="KU2" s="105"/>
      <c r="KV2" s="105"/>
      <c r="KW2" s="105"/>
      <c r="KX2" s="105"/>
      <c r="KY2" s="105"/>
      <c r="KZ2" s="105"/>
      <c r="LA2" s="105"/>
      <c r="LB2" s="105"/>
      <c r="LC2" s="105"/>
      <c r="LD2" s="105"/>
      <c r="LE2" s="105"/>
      <c r="LF2" s="105"/>
      <c r="LG2" s="105"/>
      <c r="LH2" s="105"/>
      <c r="LI2" s="105"/>
      <c r="LJ2" s="105"/>
      <c r="LK2" s="105"/>
      <c r="LL2" s="105"/>
      <c r="LM2" s="105"/>
      <c r="LN2" s="105"/>
      <c r="LO2" s="105"/>
      <c r="LP2" s="105"/>
      <c r="LQ2" s="105"/>
      <c r="LR2" s="105"/>
      <c r="LS2" s="105"/>
      <c r="LT2" s="105"/>
      <c r="LU2" s="105"/>
      <c r="LV2" s="105"/>
      <c r="LW2" s="105"/>
      <c r="LX2" s="105"/>
      <c r="LY2" s="105"/>
      <c r="LZ2" s="105"/>
      <c r="MA2" s="105"/>
      <c r="MB2" s="105"/>
      <c r="MC2" s="105"/>
      <c r="MD2" s="105"/>
      <c r="ME2" s="105"/>
      <c r="MF2" s="105"/>
      <c r="MG2" s="105"/>
      <c r="MH2" s="105"/>
      <c r="MI2" s="105"/>
      <c r="MJ2" s="105"/>
      <c r="MK2" s="105"/>
      <c r="ML2" s="105"/>
      <c r="MM2" s="105"/>
      <c r="MN2" s="105"/>
      <c r="MO2" s="105"/>
      <c r="MP2" s="105"/>
      <c r="MQ2" s="105"/>
      <c r="MR2" s="105"/>
      <c r="MS2" s="105"/>
      <c r="MT2" s="105"/>
      <c r="MU2" s="105"/>
      <c r="MV2" s="105"/>
      <c r="MW2" s="105"/>
      <c r="MX2" s="105"/>
      <c r="MY2" s="105"/>
      <c r="MZ2" s="105"/>
      <c r="NA2" s="105"/>
      <c r="NB2" s="105"/>
      <c r="NC2" s="105"/>
      <c r="ND2" s="105"/>
      <c r="NE2" s="105"/>
      <c r="NF2" s="105"/>
      <c r="NG2" s="105"/>
      <c r="NH2" s="105"/>
      <c r="NI2" s="105"/>
      <c r="NJ2" s="105"/>
      <c r="NK2" s="105"/>
      <c r="NL2" s="105"/>
      <c r="NM2" s="105"/>
      <c r="NN2" s="105"/>
      <c r="NO2" s="105"/>
      <c r="NP2" s="105"/>
      <c r="NQ2" s="105"/>
      <c r="NR2" s="105"/>
      <c r="NS2" s="105"/>
      <c r="NT2" s="105"/>
      <c r="NU2" s="105"/>
      <c r="NV2" s="105"/>
      <c r="NW2" s="105"/>
      <c r="NX2" s="105"/>
      <c r="NY2" s="105"/>
      <c r="NZ2" s="105"/>
      <c r="OA2" s="105"/>
      <c r="OB2" s="105"/>
      <c r="OC2" s="105"/>
      <c r="OD2" s="105"/>
      <c r="OE2" s="105"/>
      <c r="OF2" s="105"/>
      <c r="OG2" s="105"/>
      <c r="OH2" s="105"/>
      <c r="OI2" s="105"/>
      <c r="OJ2" s="105"/>
      <c r="OK2" s="105"/>
      <c r="OL2" s="105"/>
      <c r="OM2" s="105"/>
      <c r="ON2" s="105"/>
      <c r="OO2" s="105"/>
      <c r="OP2" s="105"/>
      <c r="OQ2" s="105"/>
      <c r="OR2" s="105"/>
      <c r="OS2" s="105"/>
      <c r="OT2" s="105"/>
      <c r="OU2" s="105"/>
      <c r="OV2" s="105"/>
      <c r="OW2" s="105"/>
      <c r="OX2" s="105"/>
      <c r="OY2" s="105"/>
      <c r="OZ2" s="105"/>
      <c r="PA2" s="105"/>
      <c r="PB2" s="105"/>
      <c r="PC2" s="105"/>
      <c r="PD2" s="105"/>
      <c r="PE2" s="105"/>
      <c r="PF2" s="105"/>
      <c r="PG2" s="105"/>
      <c r="PH2" s="105"/>
      <c r="PI2" s="105"/>
      <c r="PJ2" s="105"/>
      <c r="PK2" s="105"/>
      <c r="PL2" s="105"/>
      <c r="PM2" s="105"/>
      <c r="PN2" s="105"/>
      <c r="PO2" s="105"/>
      <c r="PP2" s="105"/>
      <c r="PQ2" s="105"/>
      <c r="PR2" s="105"/>
      <c r="PS2" s="105"/>
      <c r="PT2" s="105"/>
      <c r="PU2" s="105"/>
      <c r="PV2" s="105"/>
      <c r="PW2" s="105"/>
      <c r="PX2" s="105"/>
      <c r="PY2" s="105"/>
      <c r="PZ2" s="105"/>
      <c r="QA2" s="105"/>
      <c r="QB2" s="105"/>
      <c r="QC2" s="105"/>
      <c r="QD2" s="105"/>
      <c r="QE2" s="105"/>
      <c r="QF2" s="105"/>
      <c r="QG2" s="105"/>
      <c r="QH2" s="105"/>
      <c r="QI2" s="105"/>
      <c r="QJ2" s="105"/>
      <c r="QK2" s="105"/>
      <c r="QL2" s="105"/>
      <c r="QM2" s="105"/>
      <c r="QN2" s="105"/>
      <c r="QO2" s="105"/>
      <c r="QP2" s="105"/>
      <c r="QQ2" s="105"/>
      <c r="QR2" s="105"/>
      <c r="QS2" s="105"/>
      <c r="QT2" s="105"/>
      <c r="QU2" s="105"/>
      <c r="QV2" s="105"/>
      <c r="QW2" s="105"/>
      <c r="QX2" s="105"/>
      <c r="QY2" s="105"/>
      <c r="QZ2" s="105"/>
      <c r="RA2" s="105"/>
      <c r="RB2" s="105"/>
      <c r="RC2" s="105"/>
      <c r="RD2" s="105"/>
      <c r="RE2" s="105"/>
      <c r="RF2" s="105"/>
      <c r="RG2" s="105"/>
      <c r="RH2" s="105"/>
      <c r="RI2" s="105"/>
      <c r="RJ2" s="105"/>
      <c r="RK2" s="105"/>
      <c r="RL2" s="105"/>
      <c r="RM2" s="105"/>
      <c r="RN2" s="105"/>
      <c r="RO2" s="105"/>
      <c r="RP2" s="105"/>
      <c r="RQ2" s="105"/>
      <c r="RR2" s="105"/>
      <c r="RS2" s="105"/>
      <c r="RT2" s="105"/>
      <c r="RU2" s="105"/>
      <c r="RV2" s="105"/>
      <c r="RW2" s="105"/>
      <c r="RX2" s="105"/>
      <c r="RY2" s="105"/>
      <c r="RZ2" s="105"/>
      <c r="SA2" s="105"/>
      <c r="SB2" s="105"/>
      <c r="SC2" s="105"/>
      <c r="SD2" s="105"/>
      <c r="SE2" s="105"/>
      <c r="SF2" s="105"/>
      <c r="SG2" s="105"/>
      <c r="SH2" s="105"/>
      <c r="SI2" s="105"/>
      <c r="SJ2" s="105"/>
      <c r="SK2" s="105"/>
      <c r="SL2" s="105"/>
      <c r="SM2" s="105"/>
      <c r="SN2" s="105"/>
      <c r="SO2" s="105"/>
      <c r="SP2" s="105"/>
      <c r="SQ2" s="105"/>
      <c r="SR2" s="105"/>
      <c r="SS2" s="105"/>
      <c r="ST2" s="105"/>
      <c r="SU2" s="105"/>
      <c r="SV2" s="105"/>
      <c r="SW2" s="105"/>
      <c r="SX2" s="105"/>
      <c r="SY2" s="105"/>
      <c r="SZ2" s="105"/>
      <c r="TA2" s="105"/>
      <c r="TB2" s="105"/>
      <c r="TC2" s="105"/>
      <c r="TD2" s="105"/>
      <c r="TE2" s="105"/>
      <c r="TF2" s="105"/>
      <c r="TG2" s="105"/>
      <c r="TH2" s="105"/>
      <c r="TI2" s="105"/>
      <c r="TJ2" s="105"/>
      <c r="TK2" s="105"/>
      <c r="TL2" s="105"/>
      <c r="TM2" s="105"/>
      <c r="TN2" s="105"/>
      <c r="TO2" s="105"/>
      <c r="TP2" s="105"/>
      <c r="TQ2" s="105"/>
      <c r="TR2" s="105"/>
      <c r="TS2" s="105"/>
      <c r="TT2" s="105"/>
      <c r="TU2" s="105"/>
      <c r="TV2" s="105"/>
      <c r="TW2" s="105"/>
      <c r="TX2" s="105"/>
      <c r="TY2" s="105"/>
      <c r="TZ2" s="105"/>
      <c r="UA2" s="105"/>
      <c r="UB2" s="105"/>
      <c r="UC2" s="105"/>
      <c r="UD2" s="105"/>
      <c r="UE2" s="105"/>
      <c r="UF2" s="105"/>
      <c r="UG2" s="105"/>
      <c r="UH2" s="105"/>
      <c r="UI2" s="105"/>
      <c r="UJ2" s="105"/>
      <c r="UK2" s="105"/>
      <c r="UL2" s="105"/>
      <c r="UM2" s="105"/>
      <c r="UN2" s="105"/>
      <c r="UO2" s="105"/>
      <c r="UP2" s="105"/>
      <c r="UQ2" s="105"/>
      <c r="UR2" s="105"/>
      <c r="US2" s="105"/>
      <c r="UT2" s="105"/>
      <c r="UU2" s="105"/>
      <c r="UV2" s="105"/>
      <c r="UW2" s="105"/>
      <c r="UX2" s="105"/>
      <c r="UY2" s="105"/>
      <c r="UZ2" s="105"/>
      <c r="VA2" s="105"/>
      <c r="VB2" s="105"/>
      <c r="VC2" s="105"/>
      <c r="VD2" s="105"/>
      <c r="VE2" s="105"/>
      <c r="VF2" s="105"/>
      <c r="VG2" s="105"/>
      <c r="VH2" s="105"/>
      <c r="VI2" s="105"/>
      <c r="VJ2" s="105"/>
      <c r="VK2" s="105"/>
      <c r="VL2" s="105"/>
      <c r="VM2" s="105"/>
      <c r="VN2" s="105"/>
      <c r="VO2" s="105"/>
      <c r="VP2" s="105"/>
      <c r="VQ2" s="105"/>
      <c r="VR2" s="105"/>
      <c r="VS2" s="105"/>
      <c r="VT2" s="105"/>
      <c r="VU2" s="105"/>
      <c r="VV2" s="105"/>
      <c r="VW2" s="105"/>
      <c r="VX2" s="105"/>
      <c r="VY2" s="105"/>
      <c r="VZ2" s="105"/>
      <c r="WA2" s="105"/>
      <c r="WB2" s="105"/>
      <c r="WC2" s="105"/>
      <c r="WD2" s="105"/>
      <c r="WE2" s="105"/>
      <c r="WF2" s="105"/>
      <c r="WG2" s="105"/>
      <c r="WH2" s="105"/>
      <c r="WI2" s="105"/>
      <c r="WJ2" s="105"/>
      <c r="WK2" s="105"/>
      <c r="WL2" s="105"/>
      <c r="WM2" s="105"/>
      <c r="WN2" s="105"/>
      <c r="WO2" s="105"/>
      <c r="WP2" s="105"/>
      <c r="WQ2" s="105"/>
      <c r="WR2" s="105"/>
      <c r="WS2" s="105"/>
      <c r="WT2" s="105"/>
      <c r="WU2" s="105"/>
      <c r="WV2" s="105"/>
      <c r="WW2" s="105"/>
      <c r="WX2" s="105"/>
      <c r="WY2" s="105"/>
      <c r="WZ2" s="105"/>
      <c r="XA2" s="105"/>
      <c r="XB2" s="105"/>
      <c r="XC2" s="105"/>
      <c r="XD2" s="105"/>
      <c r="XE2" s="105"/>
      <c r="XF2" s="105"/>
      <c r="XG2" s="105"/>
      <c r="XH2" s="105"/>
      <c r="XI2" s="105"/>
      <c r="XJ2" s="105"/>
      <c r="XK2" s="105"/>
      <c r="XL2" s="105"/>
      <c r="XM2" s="105"/>
      <c r="XN2" s="105"/>
      <c r="XO2" s="105"/>
      <c r="XP2" s="105"/>
      <c r="XQ2" s="105"/>
      <c r="XR2" s="105"/>
      <c r="XS2" s="105"/>
      <c r="XT2" s="105"/>
      <c r="XU2" s="105"/>
      <c r="XV2" s="105"/>
      <c r="XW2" s="105"/>
      <c r="XX2" s="105"/>
      <c r="XY2" s="105"/>
      <c r="XZ2" s="105"/>
      <c r="YA2" s="105"/>
      <c r="YB2" s="105"/>
      <c r="YC2" s="105"/>
      <c r="YD2" s="105"/>
      <c r="YE2" s="105"/>
      <c r="YF2" s="105"/>
      <c r="YG2" s="105"/>
      <c r="YH2" s="105"/>
      <c r="YI2" s="105"/>
      <c r="YJ2" s="105"/>
      <c r="YK2" s="105"/>
      <c r="YL2" s="105"/>
      <c r="YM2" s="105"/>
      <c r="YN2" s="105"/>
      <c r="YO2" s="105"/>
      <c r="YP2" s="105"/>
      <c r="YQ2" s="105"/>
      <c r="YR2" s="105"/>
      <c r="YS2" s="105"/>
      <c r="YT2" s="105"/>
      <c r="YU2" s="105"/>
      <c r="YV2" s="105"/>
      <c r="YW2" s="105"/>
      <c r="YX2" s="105"/>
      <c r="YY2" s="105"/>
      <c r="YZ2" s="105"/>
      <c r="ZA2" s="105"/>
      <c r="ZB2" s="105"/>
      <c r="ZC2" s="105"/>
      <c r="ZD2" s="105"/>
      <c r="ZE2" s="105"/>
      <c r="ZF2" s="105"/>
      <c r="ZG2" s="105"/>
      <c r="ZH2" s="105"/>
      <c r="ZI2" s="105"/>
      <c r="ZJ2" s="105"/>
      <c r="ZK2" s="105"/>
      <c r="ZL2" s="105"/>
      <c r="ZM2" s="105"/>
      <c r="ZN2" s="105"/>
      <c r="ZO2" s="105"/>
      <c r="ZP2" s="105"/>
      <c r="ZQ2" s="105"/>
      <c r="ZR2" s="105"/>
      <c r="ZS2" s="105"/>
      <c r="ZT2" s="105"/>
      <c r="ZU2" s="105"/>
      <c r="ZV2" s="105"/>
      <c r="ZW2" s="105"/>
      <c r="ZX2" s="105"/>
      <c r="ZY2" s="105"/>
      <c r="ZZ2" s="105"/>
      <c r="AAA2" s="105"/>
      <c r="AAB2" s="105"/>
      <c r="AAC2" s="105"/>
      <c r="AAD2" s="105"/>
      <c r="AAE2" s="105"/>
      <c r="AAF2" s="105"/>
      <c r="AAG2" s="105"/>
      <c r="AAH2" s="105"/>
      <c r="AAI2" s="105"/>
      <c r="AAJ2" s="105"/>
      <c r="AAK2" s="105"/>
      <c r="AAL2" s="105"/>
      <c r="AAM2" s="105"/>
      <c r="AAN2" s="105"/>
      <c r="AAO2" s="105"/>
      <c r="AAP2" s="105"/>
      <c r="AAQ2" s="105"/>
      <c r="AAR2" s="105"/>
      <c r="AAS2" s="105"/>
      <c r="AAT2" s="105"/>
      <c r="AAU2" s="105"/>
      <c r="AAV2" s="105"/>
      <c r="AAW2" s="105"/>
      <c r="AAX2" s="105"/>
      <c r="AAY2" s="105"/>
      <c r="AAZ2" s="105"/>
      <c r="ABA2" s="105"/>
      <c r="ABB2" s="105"/>
      <c r="ABC2" s="105"/>
      <c r="ABD2" s="105"/>
      <c r="ABE2" s="105"/>
      <c r="ABF2" s="105"/>
      <c r="ABG2" s="105"/>
      <c r="ABH2" s="105"/>
      <c r="ABI2" s="105"/>
      <c r="ABJ2" s="105"/>
      <c r="ABK2" s="105"/>
      <c r="ABL2" s="105"/>
      <c r="ABM2" s="105"/>
      <c r="ABN2" s="105"/>
      <c r="ABO2" s="105"/>
      <c r="ABP2" s="105"/>
      <c r="ABQ2" s="105"/>
      <c r="ABR2" s="105"/>
      <c r="ABS2" s="105"/>
      <c r="ABT2" s="105"/>
      <c r="ABU2" s="105"/>
      <c r="ABV2" s="105"/>
      <c r="ABW2" s="105"/>
      <c r="ABX2" s="105"/>
      <c r="ABY2" s="105"/>
      <c r="ABZ2" s="105"/>
      <c r="ACA2" s="105"/>
      <c r="ACB2" s="105"/>
      <c r="ACC2" s="105"/>
      <c r="ACD2" s="105"/>
      <c r="ACE2" s="105"/>
      <c r="ACF2" s="105"/>
      <c r="ACG2" s="105"/>
      <c r="ACH2" s="105"/>
      <c r="ACI2" s="105"/>
      <c r="ACJ2" s="105"/>
      <c r="ACK2" s="105"/>
      <c r="ACL2" s="105"/>
      <c r="ACM2" s="105"/>
      <c r="ACN2" s="105"/>
      <c r="ACO2" s="105"/>
      <c r="ACP2" s="105"/>
      <c r="ACQ2" s="105"/>
      <c r="ACR2" s="105"/>
      <c r="ACS2" s="105"/>
      <c r="ACT2" s="105"/>
      <c r="ACU2" s="105"/>
      <c r="ACV2" s="105"/>
      <c r="ACW2" s="105"/>
      <c r="ACX2" s="105"/>
      <c r="ACY2" s="105"/>
      <c r="ACZ2" s="105"/>
      <c r="ADA2" s="105"/>
      <c r="ADB2" s="105"/>
      <c r="ADC2" s="105"/>
      <c r="ADD2" s="105"/>
      <c r="ADE2" s="105"/>
      <c r="ADF2" s="105"/>
      <c r="ADG2" s="105"/>
      <c r="ADH2" s="105"/>
      <c r="ADI2" s="105"/>
      <c r="ADJ2" s="105"/>
      <c r="ADK2" s="105"/>
      <c r="ADL2" s="105"/>
      <c r="ADM2" s="105"/>
      <c r="ADN2" s="105"/>
      <c r="ADO2" s="105"/>
      <c r="ADP2" s="105"/>
      <c r="ADQ2" s="105"/>
      <c r="ADR2" s="105"/>
      <c r="ADS2" s="105"/>
      <c r="ADT2" s="105"/>
      <c r="ADU2" s="105"/>
      <c r="ADV2" s="105"/>
      <c r="ADW2" s="105"/>
      <c r="ADX2" s="105"/>
      <c r="ADY2" s="105"/>
      <c r="ADZ2" s="105"/>
      <c r="AEA2" s="105"/>
      <c r="AEB2" s="105"/>
      <c r="AEC2" s="105"/>
      <c r="AED2" s="105"/>
      <c r="AEE2" s="105"/>
      <c r="AEF2" s="105"/>
      <c r="AEG2" s="105"/>
      <c r="AEH2" s="105"/>
      <c r="AEI2" s="105"/>
      <c r="AEJ2" s="105"/>
      <c r="AEK2" s="105"/>
      <c r="AEL2" s="105"/>
      <c r="AEM2" s="105"/>
      <c r="AEN2" s="105"/>
      <c r="AEO2" s="105"/>
      <c r="AEP2" s="105"/>
      <c r="AEQ2" s="105"/>
      <c r="AER2" s="105"/>
      <c r="AES2" s="105"/>
      <c r="AET2" s="105"/>
      <c r="AEU2" s="105"/>
      <c r="AEV2" s="105"/>
      <c r="AEW2" s="105"/>
      <c r="AEX2" s="105"/>
      <c r="AEY2" s="105"/>
      <c r="AEZ2" s="105"/>
      <c r="AFA2" s="105"/>
      <c r="AFB2" s="105"/>
      <c r="AFC2" s="105"/>
      <c r="AFD2" s="105"/>
      <c r="AFE2" s="105"/>
      <c r="AFF2" s="105"/>
      <c r="AFG2" s="105"/>
      <c r="AFH2" s="105"/>
      <c r="AFI2" s="105"/>
      <c r="AFJ2" s="105"/>
      <c r="AFK2" s="105"/>
      <c r="AFL2" s="105"/>
      <c r="AFM2" s="105"/>
      <c r="AFN2" s="105"/>
      <c r="AFO2" s="105"/>
      <c r="AFP2" s="105"/>
      <c r="AFQ2" s="105"/>
      <c r="AFR2" s="105"/>
      <c r="AFS2" s="105"/>
      <c r="AFT2" s="105"/>
      <c r="AFU2" s="105"/>
      <c r="AFV2" s="105"/>
      <c r="AFW2" s="105"/>
      <c r="AFX2" s="105"/>
      <c r="AFY2" s="105"/>
      <c r="AFZ2" s="105"/>
      <c r="AGA2" s="105"/>
      <c r="AGB2" s="105"/>
      <c r="AGC2" s="105"/>
      <c r="AGD2" s="105"/>
      <c r="AGE2" s="105"/>
      <c r="AGF2" s="105"/>
      <c r="AGG2" s="105"/>
      <c r="AGH2" s="105"/>
      <c r="AGI2" s="105"/>
      <c r="AGJ2" s="105"/>
      <c r="AGK2" s="105"/>
      <c r="AGL2" s="105"/>
      <c r="AGM2" s="105"/>
      <c r="AGN2" s="105"/>
      <c r="AGO2" s="105"/>
      <c r="AGP2" s="105"/>
      <c r="AGQ2" s="105"/>
      <c r="AGR2" s="105"/>
      <c r="AGS2" s="105"/>
      <c r="AGT2" s="105"/>
      <c r="AGU2" s="105"/>
      <c r="AGV2" s="105"/>
      <c r="AGW2" s="105"/>
      <c r="AGX2" s="105"/>
      <c r="AGY2" s="105"/>
      <c r="AGZ2" s="105"/>
      <c r="AHA2" s="105"/>
      <c r="AHB2" s="105"/>
      <c r="AHC2" s="105"/>
      <c r="AHD2" s="105"/>
      <c r="AHE2" s="105"/>
      <c r="AHF2" s="105"/>
      <c r="AHG2" s="105"/>
      <c r="AHH2" s="105"/>
      <c r="AHI2" s="105"/>
      <c r="AHJ2" s="105"/>
      <c r="AHK2" s="105"/>
      <c r="AHL2" s="105"/>
      <c r="AHM2" s="105"/>
      <c r="AHN2" s="105"/>
      <c r="AHO2" s="105"/>
      <c r="AHP2" s="105"/>
      <c r="AHQ2" s="105"/>
      <c r="AHR2" s="105"/>
      <c r="AHS2" s="105"/>
      <c r="AHT2" s="105"/>
      <c r="AHU2" s="105"/>
      <c r="AHV2" s="105"/>
      <c r="AHW2" s="105"/>
      <c r="AHX2" s="105"/>
      <c r="AHY2" s="105"/>
      <c r="AHZ2" s="105"/>
      <c r="AIA2" s="105"/>
      <c r="AIB2" s="105"/>
      <c r="AIC2" s="105"/>
      <c r="AID2" s="105"/>
      <c r="AIE2" s="105"/>
      <c r="AIF2" s="105"/>
      <c r="AIG2" s="105"/>
      <c r="AIH2" s="105"/>
      <c r="AII2" s="105"/>
      <c r="AIJ2" s="105"/>
      <c r="AIK2" s="105"/>
      <c r="AIL2" s="105"/>
      <c r="AIM2" s="105"/>
      <c r="AIN2" s="105"/>
      <c r="AIO2" s="105"/>
      <c r="AIP2" s="105"/>
      <c r="AIQ2" s="105"/>
      <c r="AIR2" s="105"/>
      <c r="AIS2" s="105"/>
      <c r="AIT2" s="105"/>
      <c r="AIU2" s="105"/>
      <c r="AIV2" s="105"/>
      <c r="AIW2" s="105"/>
      <c r="AIX2" s="105"/>
      <c r="AIY2" s="105"/>
      <c r="AIZ2" s="105"/>
      <c r="AJA2" s="105"/>
      <c r="AJB2" s="105"/>
      <c r="AJC2" s="105"/>
      <c r="AJD2" s="105"/>
      <c r="AJE2" s="105"/>
      <c r="AJF2" s="105"/>
      <c r="AJG2" s="105"/>
      <c r="AJH2" s="105"/>
      <c r="AJI2" s="105"/>
      <c r="AJJ2" s="105"/>
      <c r="AJK2" s="105"/>
      <c r="AJL2" s="105"/>
      <c r="AJM2" s="105"/>
      <c r="AJN2" s="105"/>
      <c r="AJO2" s="105"/>
      <c r="AJP2" s="105"/>
      <c r="AJQ2" s="105"/>
      <c r="AJR2" s="105"/>
      <c r="AJS2" s="105"/>
      <c r="AJT2" s="105"/>
      <c r="AJU2" s="105"/>
      <c r="AJV2" s="105"/>
      <c r="AJW2" s="105"/>
      <c r="AJX2" s="105"/>
      <c r="AJY2" s="105"/>
      <c r="AJZ2" s="105"/>
      <c r="AKA2" s="105"/>
      <c r="AKB2" s="105"/>
      <c r="AKC2" s="105"/>
      <c r="AKD2" s="105"/>
      <c r="AKE2" s="105"/>
      <c r="AKF2" s="105"/>
      <c r="AKG2" s="105"/>
      <c r="AKH2" s="105"/>
      <c r="AKI2" s="105"/>
      <c r="AKJ2" s="105"/>
      <c r="AKK2" s="105"/>
      <c r="AKL2" s="105"/>
      <c r="AKM2" s="105"/>
      <c r="AKN2" s="105"/>
      <c r="AKO2" s="105"/>
      <c r="AKP2" s="105"/>
      <c r="AKQ2" s="105"/>
      <c r="AKR2" s="105"/>
      <c r="AKS2" s="105"/>
      <c r="AKT2" s="105"/>
      <c r="AKU2" s="105"/>
      <c r="AKV2" s="105"/>
      <c r="AKW2" s="105"/>
      <c r="AKX2" s="105"/>
      <c r="AKY2" s="105"/>
      <c r="AKZ2" s="105"/>
      <c r="ALA2" s="105"/>
      <c r="ALB2" s="105"/>
      <c r="ALC2" s="105"/>
      <c r="ALD2" s="105"/>
      <c r="ALE2" s="105"/>
      <c r="ALF2" s="105"/>
      <c r="ALG2" s="105"/>
      <c r="ALH2" s="105"/>
      <c r="ALI2" s="105"/>
      <c r="ALJ2" s="105"/>
      <c r="ALK2" s="105"/>
      <c r="ALL2" s="105"/>
      <c r="ALM2" s="105"/>
      <c r="ALN2" s="105"/>
      <c r="ALO2" s="105"/>
      <c r="ALP2" s="105"/>
      <c r="ALQ2" s="105"/>
      <c r="ALR2" s="105"/>
      <c r="ALS2" s="105"/>
      <c r="ALT2" s="105"/>
      <c r="ALU2" s="105"/>
      <c r="ALV2" s="105"/>
      <c r="ALW2" s="105"/>
      <c r="ALX2" s="105"/>
      <c r="ALY2" s="105"/>
      <c r="ALZ2" s="105"/>
      <c r="AMA2" s="105"/>
      <c r="AMB2" s="105"/>
      <c r="AMC2" s="105"/>
      <c r="AMD2" s="105"/>
      <c r="AME2" s="105"/>
      <c r="AMF2" s="105"/>
      <c r="AMG2" s="105"/>
      <c r="AMH2" s="105"/>
      <c r="AMI2" s="105"/>
      <c r="AMJ2" s="105"/>
      <c r="AMK2" s="105"/>
      <c r="AML2" s="105"/>
      <c r="AMM2" s="105"/>
      <c r="AMN2" s="105"/>
      <c r="AMO2" s="105"/>
      <c r="AMP2" s="105"/>
      <c r="AMQ2" s="105"/>
      <c r="AMR2" s="105"/>
      <c r="AMS2" s="105"/>
      <c r="AMT2" s="105"/>
      <c r="AMU2" s="105"/>
      <c r="AMV2" s="105"/>
      <c r="AMW2" s="105"/>
      <c r="AMX2" s="105"/>
      <c r="AMY2" s="105"/>
      <c r="AMZ2" s="105"/>
      <c r="ANA2" s="105"/>
      <c r="ANB2" s="105"/>
      <c r="ANC2" s="105"/>
      <c r="AND2" s="105"/>
      <c r="ANE2" s="105"/>
      <c r="ANF2" s="105"/>
      <c r="ANG2" s="105"/>
      <c r="ANH2" s="105"/>
      <c r="ANI2" s="105"/>
      <c r="ANJ2" s="105"/>
      <c r="ANK2" s="105"/>
      <c r="ANL2" s="105"/>
      <c r="ANM2" s="105"/>
      <c r="ANN2" s="105"/>
      <c r="ANO2" s="105"/>
      <c r="ANP2" s="105"/>
      <c r="ANQ2" s="105"/>
      <c r="ANR2" s="105"/>
      <c r="ANS2" s="105"/>
      <c r="ANT2" s="105"/>
      <c r="ANU2" s="105"/>
      <c r="ANV2" s="105"/>
      <c r="ANW2" s="105"/>
      <c r="ANX2" s="105"/>
      <c r="ANY2" s="105"/>
      <c r="ANZ2" s="105"/>
      <c r="AOA2" s="105"/>
      <c r="AOB2" s="105"/>
      <c r="AOC2" s="105"/>
      <c r="AOD2" s="105"/>
      <c r="AOE2" s="105"/>
      <c r="AOF2" s="105"/>
      <c r="AOG2" s="105"/>
      <c r="AOH2" s="105"/>
      <c r="AOI2" s="105"/>
      <c r="AOJ2" s="105"/>
      <c r="AOK2" s="105"/>
      <c r="AOL2" s="105"/>
      <c r="AOM2" s="105"/>
      <c r="AON2" s="105"/>
      <c r="AOO2" s="105"/>
      <c r="AOP2" s="105"/>
      <c r="AOQ2" s="105"/>
      <c r="AOR2" s="105"/>
      <c r="AOS2" s="105"/>
      <c r="AOT2" s="105"/>
      <c r="AOU2" s="105"/>
      <c r="AOV2" s="105"/>
      <c r="AOW2" s="105"/>
      <c r="AOX2" s="105"/>
      <c r="AOY2" s="105"/>
      <c r="AOZ2" s="105"/>
      <c r="APA2" s="105"/>
      <c r="APB2" s="105"/>
      <c r="APC2" s="105"/>
      <c r="APD2" s="105"/>
      <c r="APE2" s="105"/>
      <c r="APF2" s="105"/>
      <c r="APG2" s="105"/>
      <c r="APH2" s="105"/>
      <c r="API2" s="105"/>
      <c r="APJ2" s="105"/>
      <c r="APK2" s="105"/>
      <c r="APL2" s="105"/>
      <c r="APM2" s="105"/>
      <c r="APN2" s="105"/>
      <c r="APO2" s="105"/>
      <c r="APP2" s="105"/>
      <c r="APQ2" s="105"/>
      <c r="APR2" s="105"/>
      <c r="APS2" s="105"/>
      <c r="APT2" s="105"/>
      <c r="APU2" s="105"/>
      <c r="APV2" s="105"/>
      <c r="APW2" s="105"/>
      <c r="APX2" s="105"/>
      <c r="APY2" s="105"/>
      <c r="APZ2" s="105"/>
      <c r="AQA2" s="105"/>
      <c r="AQB2" s="105"/>
      <c r="AQC2" s="105"/>
      <c r="AQD2" s="105"/>
      <c r="AQE2" s="105"/>
      <c r="AQF2" s="105"/>
      <c r="AQG2" s="105"/>
      <c r="AQH2" s="105"/>
      <c r="AQI2" s="105"/>
      <c r="AQJ2" s="105"/>
      <c r="AQK2" s="105"/>
      <c r="AQL2" s="105"/>
      <c r="AQM2" s="105"/>
      <c r="AQN2" s="105"/>
      <c r="AQO2" s="105"/>
      <c r="AQP2" s="105"/>
      <c r="AQQ2" s="105"/>
      <c r="AQR2" s="105"/>
      <c r="AQS2" s="105"/>
      <c r="AQT2" s="105"/>
      <c r="AQU2" s="105"/>
      <c r="AQV2" s="105"/>
      <c r="AQW2" s="105"/>
      <c r="AQX2" s="105"/>
      <c r="AQY2" s="105"/>
      <c r="AQZ2" s="105"/>
      <c r="ARA2" s="105"/>
      <c r="ARB2" s="105"/>
      <c r="ARC2" s="105"/>
      <c r="ARD2" s="105"/>
      <c r="ARE2" s="105"/>
      <c r="ARF2" s="105"/>
      <c r="ARG2" s="105"/>
      <c r="ARH2" s="105"/>
      <c r="ARI2" s="105"/>
      <c r="ARJ2" s="105"/>
      <c r="ARK2" s="105"/>
      <c r="ARL2" s="105"/>
      <c r="ARM2" s="105"/>
      <c r="ARN2" s="105"/>
      <c r="ARO2" s="105"/>
      <c r="ARP2" s="105"/>
      <c r="ARQ2" s="105"/>
      <c r="ARR2" s="105"/>
      <c r="ARS2" s="105"/>
      <c r="ART2" s="105"/>
      <c r="ARU2" s="105"/>
      <c r="ARV2" s="105"/>
      <c r="ARW2" s="105"/>
      <c r="ARX2" s="105"/>
      <c r="ARY2" s="105"/>
      <c r="ARZ2" s="105"/>
      <c r="ASA2" s="105"/>
      <c r="ASB2" s="105"/>
      <c r="ASC2" s="105"/>
      <c r="ASD2" s="105"/>
      <c r="ASE2" s="105"/>
      <c r="ASF2" s="105"/>
      <c r="ASG2" s="105"/>
      <c r="ASH2" s="105"/>
      <c r="ASI2" s="105"/>
      <c r="ASJ2" s="105"/>
      <c r="ASK2" s="105"/>
      <c r="ASL2" s="105"/>
      <c r="ASM2" s="105"/>
      <c r="ASN2" s="105"/>
      <c r="ASO2" s="105"/>
      <c r="ASP2" s="105"/>
      <c r="ASQ2" s="105"/>
      <c r="ASR2" s="105"/>
      <c r="ASS2" s="105"/>
      <c r="AST2" s="105"/>
      <c r="ASU2" s="105"/>
      <c r="ASV2" s="105"/>
      <c r="ASW2" s="105"/>
      <c r="ASX2" s="105"/>
      <c r="ASY2" s="105"/>
      <c r="ASZ2" s="105"/>
      <c r="ATA2" s="105"/>
      <c r="ATB2" s="105"/>
      <c r="ATC2" s="105"/>
      <c r="ATD2" s="105"/>
      <c r="ATE2" s="105"/>
      <c r="ATF2" s="105"/>
      <c r="ATG2" s="105"/>
      <c r="ATH2" s="105"/>
      <c r="ATI2" s="105"/>
      <c r="ATJ2" s="105"/>
      <c r="ATK2" s="105"/>
      <c r="ATL2" s="105"/>
      <c r="ATM2" s="105"/>
      <c r="ATN2" s="105"/>
      <c r="ATO2" s="105"/>
      <c r="ATP2" s="105"/>
      <c r="ATQ2" s="105"/>
      <c r="ATR2" s="105"/>
      <c r="ATS2" s="105"/>
      <c r="ATT2" s="105"/>
      <c r="ATU2" s="105"/>
      <c r="ATV2" s="105"/>
      <c r="ATW2" s="105"/>
      <c r="ATX2" s="105"/>
      <c r="ATY2" s="105"/>
      <c r="ATZ2" s="105"/>
      <c r="AUA2" s="105"/>
      <c r="AUB2" s="105"/>
      <c r="AUC2" s="105"/>
      <c r="AUD2" s="105"/>
      <c r="AUE2" s="105"/>
      <c r="AUF2" s="105"/>
      <c r="AUG2" s="105"/>
      <c r="AUH2" s="105"/>
      <c r="AUI2" s="105"/>
      <c r="AUJ2" s="105"/>
      <c r="AUK2" s="105"/>
      <c r="AUL2" s="105"/>
      <c r="AUM2" s="105"/>
      <c r="AUN2" s="105"/>
      <c r="AUO2" s="105"/>
      <c r="AUP2" s="105"/>
      <c r="AUQ2" s="105"/>
      <c r="AUR2" s="105"/>
      <c r="AUS2" s="105"/>
      <c r="AUT2" s="105"/>
      <c r="AUU2" s="105"/>
      <c r="AUV2" s="105"/>
      <c r="AUW2" s="105"/>
      <c r="AUX2" s="105"/>
      <c r="AUY2" s="105"/>
      <c r="AUZ2" s="105"/>
      <c r="AVA2" s="105"/>
      <c r="AVB2" s="105"/>
      <c r="AVC2" s="105"/>
      <c r="AVD2" s="105"/>
      <c r="AVE2" s="105"/>
      <c r="AVF2" s="105"/>
      <c r="AVG2" s="105"/>
      <c r="AVH2" s="105"/>
      <c r="AVI2" s="105"/>
      <c r="AVJ2" s="105"/>
      <c r="AVK2" s="105"/>
      <c r="AVL2" s="105"/>
      <c r="AVM2" s="105"/>
      <c r="AVN2" s="105"/>
      <c r="AVO2" s="105"/>
      <c r="AVP2" s="105"/>
      <c r="AVQ2" s="105"/>
      <c r="AVR2" s="105"/>
      <c r="AVS2" s="105"/>
      <c r="AVT2" s="105"/>
      <c r="AVU2" s="105"/>
      <c r="AVV2" s="105"/>
      <c r="AVW2" s="105"/>
      <c r="AVX2" s="105"/>
      <c r="AVY2" s="105"/>
      <c r="AVZ2" s="105"/>
      <c r="AWA2" s="105"/>
      <c r="AWB2" s="105"/>
      <c r="AWC2" s="105"/>
      <c r="AWD2" s="105"/>
      <c r="AWE2" s="105"/>
      <c r="AWF2" s="105"/>
      <c r="AWG2" s="105"/>
      <c r="AWH2" s="105"/>
      <c r="AWI2" s="105"/>
      <c r="AWJ2" s="105"/>
      <c r="AWK2" s="105"/>
      <c r="AWL2" s="105"/>
      <c r="AWM2" s="105"/>
      <c r="AWN2" s="105"/>
      <c r="AWO2" s="105"/>
      <c r="AWP2" s="105"/>
      <c r="AWQ2" s="105"/>
      <c r="AWR2" s="105"/>
      <c r="AWS2" s="105"/>
      <c r="AWT2" s="105"/>
      <c r="AWU2" s="105"/>
      <c r="AWV2" s="105"/>
      <c r="AWW2" s="105"/>
      <c r="AWX2" s="105"/>
      <c r="AWY2" s="105"/>
      <c r="AWZ2" s="105"/>
      <c r="AXA2" s="105"/>
      <c r="AXB2" s="105"/>
      <c r="AXC2" s="105"/>
      <c r="AXD2" s="105"/>
      <c r="AXE2" s="105"/>
      <c r="AXF2" s="105"/>
      <c r="AXG2" s="105"/>
      <c r="AXH2" s="105"/>
      <c r="AXI2" s="105"/>
      <c r="AXJ2" s="105"/>
      <c r="AXK2" s="105"/>
      <c r="AXL2" s="105"/>
      <c r="AXM2" s="105"/>
      <c r="AXN2" s="105"/>
      <c r="AXO2" s="105"/>
      <c r="AXP2" s="105"/>
      <c r="AXQ2" s="105"/>
      <c r="AXR2" s="105"/>
      <c r="AXS2" s="105"/>
      <c r="AXT2" s="105"/>
      <c r="AXU2" s="105"/>
      <c r="AXV2" s="105"/>
      <c r="AXW2" s="105"/>
      <c r="AXX2" s="105"/>
      <c r="AXY2" s="105"/>
      <c r="AXZ2" s="105"/>
      <c r="AYA2" s="105"/>
      <c r="AYB2" s="105"/>
      <c r="AYC2" s="105"/>
      <c r="AYD2" s="105"/>
      <c r="AYE2" s="105"/>
      <c r="AYF2" s="105"/>
      <c r="AYG2" s="105"/>
      <c r="AYH2" s="105"/>
      <c r="AYI2" s="105"/>
      <c r="AYJ2" s="105"/>
      <c r="AYK2" s="105"/>
      <c r="AYL2" s="105"/>
      <c r="AYM2" s="105"/>
      <c r="AYN2" s="105"/>
      <c r="AYO2" s="105"/>
      <c r="AYP2" s="105"/>
      <c r="AYQ2" s="105"/>
      <c r="AYR2" s="105"/>
      <c r="AYS2" s="105"/>
      <c r="AYT2" s="105"/>
      <c r="AYU2" s="105"/>
      <c r="AYV2" s="105"/>
      <c r="AYW2" s="105"/>
      <c r="AYX2" s="105"/>
      <c r="AYY2" s="105"/>
      <c r="AYZ2" s="105"/>
      <c r="AZA2" s="105"/>
      <c r="AZB2" s="105"/>
      <c r="AZC2" s="105"/>
      <c r="AZD2" s="105"/>
      <c r="AZE2" s="105"/>
      <c r="AZF2" s="105"/>
      <c r="AZG2" s="105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777"/>
      <c r="B3" s="106" t="s">
        <v>253</v>
      </c>
      <c r="C3" s="107">
        <f>'Revenue Tracking'!D4</f>
        <v>1891415.11</v>
      </c>
      <c r="D3" s="107">
        <f>SUM(F3:AZG3)-150000</f>
        <v>1891415.12</v>
      </c>
      <c r="E3" s="108"/>
      <c r="F3" s="109">
        <f>SUMIFS('Revenue Tracking'!$F$13:$F$26, 'Revenue Tracking'!$H$13:$H$26, "&gt;="&amp;F1,'Revenue Tracking'!$H$13:$H$26, "&lt;"&amp;G1)</f>
        <v>0</v>
      </c>
      <c r="G3" s="109">
        <f>SUMIFS('Revenue Tracking'!$F$13:$F$26, 'Revenue Tracking'!$H$13:$H$26, "&gt;="&amp;G1,'Revenue Tracking'!$H$13:$H$26, "&lt;"&amp;H1)</f>
        <v>0</v>
      </c>
      <c r="H3" s="109">
        <f>SUMIFS('Revenue Tracking'!$F$13:$F$26, 'Revenue Tracking'!$H$13:$H$26, "&gt;="&amp;H1,'Revenue Tracking'!$H$13:$H$26, "&lt;"&amp;I1)</f>
        <v>0</v>
      </c>
      <c r="I3" s="109">
        <f>SUMIFS('Revenue Tracking'!$F$13:$F$26, 'Revenue Tracking'!$H$13:$H$26, "&gt;="&amp;I1,'Revenue Tracking'!$H$13:$H$26, "&lt;"&amp;J1)</f>
        <v>0</v>
      </c>
      <c r="J3" s="109">
        <f>SUMIFS('Revenue Tracking'!$F$13:$F$26, 'Revenue Tracking'!$H$13:$H$26, "&gt;="&amp;J1,'Revenue Tracking'!$H$13:$H$26, "&lt;"&amp;K1)</f>
        <v>0</v>
      </c>
      <c r="K3" s="109">
        <f>SUMIFS('Revenue Tracking'!$F$13:$F$26, 'Revenue Tracking'!$H$13:$H$26, "&gt;="&amp;K1,'Revenue Tracking'!$H$13:$H$26, "&lt;"&amp;L1)</f>
        <v>0</v>
      </c>
      <c r="L3" s="109">
        <f>SUMIFS('Revenue Tracking'!$F$13:$F$26, 'Revenue Tracking'!$H$13:$H$26, "&gt;="&amp;L1,'Revenue Tracking'!$H$13:$H$26, "&lt;"&amp;M1)</f>
        <v>0</v>
      </c>
      <c r="M3" s="109">
        <f>SUMIFS('Revenue Tracking'!$F$13:$F$26, 'Revenue Tracking'!$H$13:$H$26, "&gt;="&amp;M1,'Revenue Tracking'!$H$13:$H$26, "&lt;"&amp;N1)</f>
        <v>0</v>
      </c>
      <c r="N3" s="109">
        <f>SUMIFS('Revenue Tracking'!$F$13:$F$26, 'Revenue Tracking'!$H$13:$H$26, "&gt;="&amp;N1,'Revenue Tracking'!$H$13:$H$26, "&lt;"&amp;O1)</f>
        <v>0</v>
      </c>
      <c r="O3" s="109">
        <f>SUMIFS('Revenue Tracking'!$F$13:$F$26, 'Revenue Tracking'!$H$13:$H$26, "&gt;="&amp;O1,'Revenue Tracking'!$H$13:$H$26, "&lt;"&amp;P1)</f>
        <v>0</v>
      </c>
      <c r="P3" s="109">
        <f>SUMIFS('Revenue Tracking'!$F$13:$F$26, 'Revenue Tracking'!$H$13:$H$26, "&gt;="&amp;P1,'Revenue Tracking'!$H$13:$H$26, "&lt;"&amp;Q1)</f>
        <v>0</v>
      </c>
      <c r="Q3" s="109">
        <f>SUMIFS('Revenue Tracking'!$F$13:$F$26, 'Revenue Tracking'!$H$13:$H$26, "&gt;="&amp;Q1,'Revenue Tracking'!$H$13:$H$26, "&lt;"&amp;R1)</f>
        <v>0</v>
      </c>
      <c r="R3" s="109">
        <f>SUMIFS('Revenue Tracking'!$F$13:$F$26, 'Revenue Tracking'!$H$13:$H$26, "&gt;="&amp;R1,'Revenue Tracking'!$H$13:$H$26, "&lt;"&amp;S1)</f>
        <v>0</v>
      </c>
      <c r="S3" s="109">
        <f>SUMIFS('Revenue Tracking'!$F$13:$F$26, 'Revenue Tracking'!$H$13:$H$26, "&gt;="&amp;S1,'Revenue Tracking'!$H$13:$H$26, "&lt;"&amp;T1)</f>
        <v>0</v>
      </c>
      <c r="T3" s="109">
        <f>SUMIFS('Revenue Tracking'!$F$13:$F$26, 'Revenue Tracking'!$H$13:$H$26, "&gt;="&amp;T1,'Revenue Tracking'!$H$13:$H$26, "&lt;"&amp;U1)</f>
        <v>0</v>
      </c>
      <c r="U3" s="109">
        <f>SUMIFS('Revenue Tracking'!$F$13:$F$26, 'Revenue Tracking'!$H$13:$H$26, "&gt;="&amp;U1,'Revenue Tracking'!$H$13:$H$26, "&lt;"&amp;V1)</f>
        <v>0</v>
      </c>
      <c r="V3" s="109">
        <f>SUMIFS('Revenue Tracking'!$F$13:$F$26, 'Revenue Tracking'!$H$13:$H$26, "&gt;="&amp;V1,'Revenue Tracking'!$H$13:$H$26, "&lt;"&amp;W1)</f>
        <v>0</v>
      </c>
      <c r="W3" s="109">
        <f>SUMIFS('Revenue Tracking'!$F$13:$F$26, 'Revenue Tracking'!$H$13:$H$26, "&gt;="&amp;W1,'Revenue Tracking'!$H$13:$H$26, "&lt;"&amp;X1)</f>
        <v>551182.06999999995</v>
      </c>
      <c r="X3" s="109">
        <f>SUMIFS('Revenue Tracking'!$F$13:$F$26, 'Revenue Tracking'!$H$13:$H$26, "&gt;="&amp;X1,'Revenue Tracking'!$H$13:$H$26, "&lt;"&amp;Y1)</f>
        <v>0</v>
      </c>
      <c r="Y3" s="109">
        <f>SUMIFS('Revenue Tracking'!$F$13:$F$26, 'Revenue Tracking'!$H$13:$H$26, "&gt;="&amp;Y1,'Revenue Tracking'!$H$13:$H$26, "&lt;"&amp;Z1)</f>
        <v>0</v>
      </c>
      <c r="Z3" s="109">
        <f>SUMIFS('Revenue Tracking'!$F$13:$F$26, 'Revenue Tracking'!$H$13:$H$26, "&gt;="&amp;Z1,'Revenue Tracking'!$H$13:$H$26, "&lt;"&amp;AA1)</f>
        <v>0</v>
      </c>
      <c r="AA3" s="109">
        <f>SUMIFS('Revenue Tracking'!$F$13:$F$26, 'Revenue Tracking'!$H$13:$H$26, "&gt;="&amp;AA1,'Revenue Tracking'!$H$13:$H$26, "&lt;"&amp;AB1)</f>
        <v>833918.07000000007</v>
      </c>
      <c r="AB3" s="109">
        <f>SUMIFS('Revenue Tracking'!$F$13:$F$26, 'Revenue Tracking'!$H$13:$H$26, "&gt;="&amp;AB1,'Revenue Tracking'!$H$13:$H$26, "&lt;"&amp;AC1)</f>
        <v>222514.24</v>
      </c>
      <c r="AC3" s="109">
        <f>SUMIFS('Revenue Tracking'!$F$13:$F$26, 'Revenue Tracking'!$H$13:$H$26, "&gt;="&amp;AC1,'Revenue Tracking'!$H$13:$H$26, "&lt;"&amp;AD1)</f>
        <v>290901.65999999997</v>
      </c>
      <c r="AD3" s="109">
        <f>SUMIFS('Revenue Tracking'!$F$13:$F$26, 'Revenue Tracking'!$H$13:$H$26, "&gt;="&amp;AD1,'Revenue Tracking'!$H$13:$H$26, "&lt;"&amp;AE1)</f>
        <v>0</v>
      </c>
      <c r="AE3" s="109">
        <f>SUMIFS('Revenue Tracking'!$F$13:$F$26, 'Revenue Tracking'!$H$13:$H$26, "&gt;="&amp;AE1,'Revenue Tracking'!$H$13:$H$26, "&lt;"&amp;AF1)</f>
        <v>0</v>
      </c>
      <c r="AF3" s="109">
        <f>SUMIFS('Revenue Tracking'!$F$13:$F$26, 'Revenue Tracking'!$H$13:$H$26, "&gt;="&amp;AF1,'Revenue Tracking'!$H$13:$H$26, "&lt;"&amp;AG1)</f>
        <v>0</v>
      </c>
      <c r="AG3" s="109">
        <f>SUMIFS('Revenue Tracking'!$F$13:$F$26, 'Revenue Tracking'!$H$13:$H$26, "&gt;="&amp;AG1,'Revenue Tracking'!$H$13:$H$26, "&lt;"&amp;AH1)</f>
        <v>0</v>
      </c>
      <c r="AH3" s="109">
        <f>SUMIFS('Revenue Tracking'!$F$13:$F$26, 'Revenue Tracking'!$H$13:$H$26, "&gt;="&amp;AH1,'Revenue Tracking'!$H$13:$H$26, "&lt;"&amp;AI1)</f>
        <v>0</v>
      </c>
      <c r="AI3" s="109">
        <f>SUMIFS('Revenue Tracking'!$F$13:$F$26, 'Revenue Tracking'!$H$13:$H$26, "&gt;="&amp;AI1,'Revenue Tracking'!$H$13:$H$26, "&lt;"&amp;AJ1)</f>
        <v>0</v>
      </c>
      <c r="AJ3" s="109">
        <f>SUMIFS('Revenue Tracking'!$F$13:$F$26, 'Revenue Tracking'!$H$13:$H$26, "&gt;="&amp;AJ1,'Revenue Tracking'!$H$13:$H$26, "&lt;"&amp;AK1)</f>
        <v>0</v>
      </c>
      <c r="AK3" s="109">
        <f>SUMIFS('Revenue Tracking'!$F$13:$F$26, 'Revenue Tracking'!$H$13:$H$26, "&gt;="&amp;AK1,'Revenue Tracking'!$H$13:$H$26, "&lt;"&amp;AL1)</f>
        <v>0</v>
      </c>
      <c r="AL3" s="109">
        <f>SUMIFS('Revenue Tracking'!$F$13:$F$26, 'Revenue Tracking'!$H$13:$H$26, "&gt;="&amp;AL1,'Revenue Tracking'!$H$13:$H$26, "&lt;"&amp;AM1)</f>
        <v>0</v>
      </c>
      <c r="AM3" s="109">
        <f>SUMIFS('Revenue Tracking'!$F$13:$F$26, 'Revenue Tracking'!$H$13:$H$26, "&gt;="&amp;AM1,'Revenue Tracking'!$H$13:$H$26, "&lt;"&amp;AN1)</f>
        <v>0</v>
      </c>
      <c r="AN3" s="109">
        <f>SUMIFS('Revenue Tracking'!$F$13:$F$26, 'Revenue Tracking'!$H$13:$H$26, "&gt;="&amp;AN1,'Revenue Tracking'!$H$13:$H$26, "&lt;"&amp;AO1)</f>
        <v>0</v>
      </c>
      <c r="AO3" s="109">
        <f>SUMIFS('Revenue Tracking'!$F$13:$F$26, 'Revenue Tracking'!$H$13:$H$26, "&gt;="&amp;AO1,'Revenue Tracking'!$H$13:$H$26, "&lt;"&amp;AP1)</f>
        <v>0</v>
      </c>
      <c r="AP3" s="109">
        <f>SUMIFS('Revenue Tracking'!$F$13:$F$26, 'Revenue Tracking'!$H$13:$H$26, "&gt;="&amp;AP1,'Revenue Tracking'!$H$13:$H$26, "&lt;"&amp;AQ1)</f>
        <v>0</v>
      </c>
      <c r="AQ3" s="109">
        <f>SUMIFS('Revenue Tracking'!$F$13:$F$26, 'Revenue Tracking'!$H$13:$H$26, "&gt;="&amp;AQ1,'Revenue Tracking'!$H$13:$H$26, "&lt;"&amp;AR1)</f>
        <v>0</v>
      </c>
      <c r="AR3" s="109">
        <f>SUMIFS('Revenue Tracking'!$F$13:$F$26, 'Revenue Tracking'!$H$13:$H$26, "&gt;="&amp;AR1,'Revenue Tracking'!$H$13:$H$26, "&lt;"&amp;AS1)</f>
        <v>40828.33</v>
      </c>
      <c r="AS3" s="109">
        <f>SUMIFS('Revenue Tracking'!$F$13:$F$26, 'Revenue Tracking'!$H$13:$H$26, "&gt;="&amp;AS1,'Revenue Tracking'!$H$13:$H$26, "&lt;"&amp;AT1)</f>
        <v>0</v>
      </c>
      <c r="AT3" s="109">
        <f>SUMIFS('Revenue Tracking'!$F$13:$F$26, 'Revenue Tracking'!$H$13:$H$26, "&gt;="&amp;AT1,'Revenue Tracking'!$H$13:$H$26, "&lt;"&amp;AU1)</f>
        <v>0</v>
      </c>
      <c r="AU3" s="109">
        <f>SUMIFS('Revenue Tracking'!$F$13:$F$26, 'Revenue Tracking'!$H$13:$H$26, "&gt;="&amp;AU1,'Revenue Tracking'!$H$13:$H$26, "&lt;"&amp;AV1)</f>
        <v>0</v>
      </c>
      <c r="AV3" s="109">
        <f>SUMIFS('Revenue Tracking'!$F$13:$F$26, 'Revenue Tracking'!$H$13:$H$26, "&gt;="&amp;AV1,'Revenue Tracking'!$H$13:$H$26, "&lt;"&amp;AW1)</f>
        <v>0</v>
      </c>
      <c r="AW3" s="109">
        <f>SUMIFS('Revenue Tracking'!$F$13:$F$26, 'Revenue Tracking'!$H$13:$H$26, "&gt;="&amp;AW1,'Revenue Tracking'!$H$13:$H$26, "&lt;"&amp;AX1)</f>
        <v>0</v>
      </c>
      <c r="AX3" s="109">
        <f>SUMIFS('Revenue Tracking'!$F$13:$F$26, 'Revenue Tracking'!$H$13:$H$26, "&gt;="&amp;AX1,'Revenue Tracking'!$H$13:$H$26, "&lt;"&amp;AY1)</f>
        <v>0</v>
      </c>
      <c r="AY3" s="109">
        <f>SUMIFS('Revenue Tracking'!$F$13:$F$26, 'Revenue Tracking'!$H$13:$H$26, "&gt;="&amp;AY1,'Revenue Tracking'!$H$13:$H$26, "&lt;"&amp;AZ1)</f>
        <v>102070.75</v>
      </c>
      <c r="AZ3" s="109">
        <f>SUMIFS('Revenue Tracking'!$F$13:$F$26, 'Revenue Tracking'!$H$13:$H$26, "&gt;="&amp;AZ1,'Revenue Tracking'!$H$13:$H$26, "&lt;"&amp;BA1)</f>
        <v>0</v>
      </c>
      <c r="BA3" s="109">
        <f>SUMIFS('Revenue Tracking'!$F$13:$F$26, 'Revenue Tracking'!$H$13:$H$26, "&gt;="&amp;BA1,'Revenue Tracking'!$H$13:$H$26, "&lt;"&amp;BB1)</f>
        <v>0</v>
      </c>
      <c r="BB3" s="109">
        <f>SUMIFS('Revenue Tracking'!$F$13:$F$26, 'Revenue Tracking'!$H$13:$H$26, "&gt;="&amp;BB1,'Revenue Tracking'!$H$13:$H$26, "&lt;"&amp;BC1)</f>
        <v>0</v>
      </c>
      <c r="BC3" s="109">
        <f>SUMIFS('Revenue Tracking'!$F$13:$F$26, 'Revenue Tracking'!$H$13:$H$26, "&gt;="&amp;BC1,'Revenue Tracking'!$H$13:$H$26, "&lt;"&amp;BD1)</f>
        <v>0</v>
      </c>
      <c r="BD3" s="109">
        <f>SUMIFS('Revenue Tracking'!$F$13:$F$26, 'Revenue Tracking'!$H$13:$H$26, "&gt;="&amp;BD1,'Revenue Tracking'!$H$13:$H$26, "&lt;"&amp;BE1)</f>
        <v>0</v>
      </c>
      <c r="BE3" s="109">
        <f>SUMIFS('Revenue Tracking'!$F$13:$F$26, 'Revenue Tracking'!$H$13:$H$26, "&gt;="&amp;BE1,'Revenue Tracking'!$H$13:$H$26, "&lt;"&amp;BF1)</f>
        <v>0</v>
      </c>
      <c r="BF3" s="109">
        <f>SUMIFS('Revenue Tracking'!$F$13:$F$26, 'Revenue Tracking'!$H$13:$H$26, "&gt;="&amp;BF1,'Revenue Tracking'!$H$13:$H$26, "&lt;"&amp;BG1)</f>
        <v>0</v>
      </c>
      <c r="BG3" s="109">
        <f>SUMIFS('Revenue Tracking'!$F$13:$F$26, 'Revenue Tracking'!$H$13:$H$26, "&gt;="&amp;BG1,'Revenue Tracking'!$H$13:$H$26, "&lt;"&amp;BH1)</f>
        <v>0</v>
      </c>
      <c r="BH3" s="109">
        <f>SUMIFS('Revenue Tracking'!$F$13:$F$26, 'Revenue Tracking'!$H$13:$H$26, "&gt;="&amp;BH1,'Revenue Tracking'!$H$13:$H$26, "&lt;"&amp;BI1)</f>
        <v>0</v>
      </c>
      <c r="BI3" s="109">
        <f>SUMIFS('Revenue Tracking'!$F$13:$F$26, 'Revenue Tracking'!$H$13:$H$26, "&gt;="&amp;BI1,'Revenue Tracking'!$H$13:$H$26, "&lt;"&amp;BJ1)</f>
        <v>0</v>
      </c>
      <c r="BJ3" s="109">
        <f>SUMIFS('Revenue Tracking'!$F$13:$F$26, 'Revenue Tracking'!$H$13:$H$26, "&gt;="&amp;BJ1,'Revenue Tracking'!$H$13:$H$26, "&lt;"&amp;BK1)</f>
        <v>0</v>
      </c>
      <c r="BK3" s="109">
        <f>SUMIFS('Revenue Tracking'!$F$13:$F$26, 'Revenue Tracking'!$H$13:$H$26, "&gt;="&amp;BK1,'Revenue Tracking'!$H$13:$H$26, "&lt;"&amp;BL1)</f>
        <v>0</v>
      </c>
      <c r="BL3" s="109">
        <f>SUMIFS('Revenue Tracking'!$F$13:$F$26, 'Revenue Tracking'!$H$13:$H$26, "&gt;="&amp;BL1,'Revenue Tracking'!$H$13:$H$26, "&lt;"&amp;BM1)</f>
        <v>0</v>
      </c>
      <c r="BM3" s="109">
        <f>SUMIFS('Revenue Tracking'!$F$13:$F$26, 'Revenue Tracking'!$H$13:$H$26, "&gt;="&amp;BM1,'Revenue Tracking'!$H$13:$H$26, "&lt;"&amp;BN1)</f>
        <v>0</v>
      </c>
      <c r="BN3" s="109">
        <f>SUMIFS('Revenue Tracking'!$F$13:$F$26, 'Revenue Tracking'!$H$13:$H$26, "&gt;="&amp;BN1,'Revenue Tracking'!$H$13:$H$26, "&lt;"&amp;BO1)</f>
        <v>0</v>
      </c>
      <c r="BO3" s="109">
        <f>SUMIFS('Revenue Tracking'!$F$13:$F$26, 'Revenue Tracking'!$H$13:$H$26, "&gt;="&amp;BO1,'Revenue Tracking'!$H$13:$H$26, "&lt;"&amp;BP1)</f>
        <v>0</v>
      </c>
      <c r="BP3" s="109">
        <f>SUMIFS('Revenue Tracking'!$F$13:$F$26, 'Revenue Tracking'!$H$13:$H$26, "&gt;="&amp;BP1,'Revenue Tracking'!$H$13:$H$26, "&lt;"&amp;BQ1)</f>
        <v>0</v>
      </c>
      <c r="BQ3" s="109">
        <f>SUMIFS('Revenue Tracking'!$F$13:$F$26, 'Revenue Tracking'!$H$13:$H$26, "&gt;="&amp;BQ1,'Revenue Tracking'!$H$13:$H$26, "&lt;"&amp;BR1)</f>
        <v>0</v>
      </c>
      <c r="BR3" s="109">
        <f>SUMIFS('Revenue Tracking'!$F$13:$F$26, 'Revenue Tracking'!$H$13:$H$26, "&gt;="&amp;BR1,'Revenue Tracking'!$H$13:$H$26, "&lt;"&amp;BS1)</f>
        <v>0</v>
      </c>
      <c r="BS3" s="109">
        <f>SUMIFS('Revenue Tracking'!$F$13:$F$26, 'Revenue Tracking'!$H$13:$H$26, "&gt;="&amp;BS1,'Revenue Tracking'!$H$13:$H$26, "&lt;"&amp;BT1)</f>
        <v>0</v>
      </c>
      <c r="BT3" s="109">
        <f>SUMIFS('Revenue Tracking'!$F$13:$F$26, 'Revenue Tracking'!$H$13:$H$26, "&gt;="&amp;BT1,'Revenue Tracking'!$H$13:$H$26, "&lt;"&amp;BU1)</f>
        <v>0</v>
      </c>
      <c r="BU3" s="109">
        <f>SUMIFS('Revenue Tracking'!$F$13:$F$26, 'Revenue Tracking'!$H$13:$H$26, "&gt;="&amp;BU1,'Revenue Tracking'!$H$13:$H$26, "&lt;"&amp;BV1)</f>
        <v>0</v>
      </c>
      <c r="BV3" s="109">
        <f>SUMIFS('Revenue Tracking'!$F$13:$F$26, 'Revenue Tracking'!$H$13:$H$26, "&gt;="&amp;BV1,'Revenue Tracking'!$H$13:$H$26, "&lt;"&amp;BW1)</f>
        <v>0</v>
      </c>
      <c r="BW3" s="109">
        <f>SUMIFS('Revenue Tracking'!$F$13:$F$26, 'Revenue Tracking'!$H$13:$H$26, "&gt;="&amp;BW1,'Revenue Tracking'!$H$13:$H$26, "&lt;"&amp;BX1)</f>
        <v>0</v>
      </c>
      <c r="BX3" s="109">
        <f>SUMIFS('Revenue Tracking'!$F$13:$F$26, 'Revenue Tracking'!$H$13:$H$26, "&gt;="&amp;BX1,'Revenue Tracking'!$H$13:$H$26, "&lt;"&amp;BY1)</f>
        <v>0</v>
      </c>
      <c r="BY3" s="109">
        <f>SUMIFS('Revenue Tracking'!$F$13:$F$26, 'Revenue Tracking'!$H$13:$H$26, "&gt;="&amp;BY1,'Revenue Tracking'!$H$13:$H$26, "&lt;"&amp;BZ1)</f>
        <v>0</v>
      </c>
      <c r="BZ3" s="109">
        <f>SUMIFS('Revenue Tracking'!$F$13:$F$26, 'Revenue Tracking'!$H$13:$H$26, "&gt;="&amp;BZ1,'Revenue Tracking'!$H$13:$H$26, "&lt;"&amp;CA1)</f>
        <v>0</v>
      </c>
      <c r="CA3" s="109">
        <f>SUMIFS('Revenue Tracking'!$F$13:$F$26, 'Revenue Tracking'!$H$13:$H$26, "&gt;="&amp;CA1,'Revenue Tracking'!$H$13:$H$26, "&lt;"&amp;CB1)</f>
        <v>0</v>
      </c>
      <c r="CB3" s="109">
        <f>SUMIFS('Revenue Tracking'!$F$13:$F$26, 'Revenue Tracking'!$H$13:$H$26, "&gt;="&amp;CB1,'Revenue Tracking'!$H$13:$H$26, "&lt;"&amp;CC1)</f>
        <v>0</v>
      </c>
      <c r="CC3" s="109">
        <f>SUMIFS('Revenue Tracking'!$F$13:$F$26, 'Revenue Tracking'!$H$13:$H$26, "&gt;="&amp;CC1,'Revenue Tracking'!$H$13:$H$26, "&lt;"&amp;CD1)</f>
        <v>0</v>
      </c>
      <c r="CD3" s="109">
        <f>SUMIFS('Revenue Tracking'!$F$13:$F$26, 'Revenue Tracking'!$H$13:$H$26, "&gt;="&amp;CD1,'Revenue Tracking'!$H$13:$H$26, "&lt;"&amp;CE1)</f>
        <v>0</v>
      </c>
      <c r="CE3" s="109">
        <f>SUMIFS('Revenue Tracking'!$F$13:$F$26, 'Revenue Tracking'!$H$13:$H$26, "&gt;="&amp;CE1,'Revenue Tracking'!$H$13:$H$26, "&lt;"&amp;CF1)</f>
        <v>0</v>
      </c>
      <c r="CF3" s="109">
        <f>SUMIFS('Revenue Tracking'!$F$13:$F$26, 'Revenue Tracking'!$H$13:$H$26, "&gt;="&amp;CF1,'Revenue Tracking'!$H$13:$H$26, "&lt;"&amp;CG1)</f>
        <v>0</v>
      </c>
      <c r="CG3" s="109">
        <f>SUMIFS('Revenue Tracking'!$F$13:$F$26, 'Revenue Tracking'!$H$13:$H$26, "&gt;="&amp;CG1,'Revenue Tracking'!$H$13:$H$26, "&lt;"&amp;CH1)</f>
        <v>0</v>
      </c>
      <c r="CH3" s="109">
        <f>SUMIFS('Revenue Tracking'!$F$13:$F$26, 'Revenue Tracking'!$H$13:$H$26, "&gt;="&amp;CH1,'Revenue Tracking'!$H$13:$H$26, "&lt;"&amp;CI1)</f>
        <v>0</v>
      </c>
      <c r="CI3" s="109">
        <f>SUMIFS('Revenue Tracking'!$F$13:$F$26, 'Revenue Tracking'!$H$13:$H$26, "&gt;="&amp;CI1,'Revenue Tracking'!$H$13:$H$26, "&lt;"&amp;CJ1)</f>
        <v>0</v>
      </c>
      <c r="CJ3" s="109">
        <f>SUMIFS('Revenue Tracking'!$F$13:$F$26, 'Revenue Tracking'!$H$13:$H$26, "&gt;="&amp;CJ1,'Revenue Tracking'!$H$13:$H$26, "&lt;"&amp;CK1)</f>
        <v>0</v>
      </c>
      <c r="CK3" s="109">
        <f>SUMIFS('Revenue Tracking'!$F$13:$F$26, 'Revenue Tracking'!$H$13:$H$26, "&gt;="&amp;CK1,'Revenue Tracking'!$H$13:$H$26, "&lt;"&amp;CL1)</f>
        <v>0</v>
      </c>
      <c r="CL3" s="109">
        <f>SUMIFS('Revenue Tracking'!$F$13:$F$26, 'Revenue Tracking'!$H$13:$H$26, "&gt;="&amp;CL1,'Revenue Tracking'!$H$13:$H$26, "&lt;"&amp;CM1)</f>
        <v>0</v>
      </c>
      <c r="CM3" s="109">
        <f>SUMIFS('Revenue Tracking'!$F$13:$F$26, 'Revenue Tracking'!$H$13:$H$26, "&gt;="&amp;CM1,'Revenue Tracking'!$H$13:$H$26, "&lt;"&amp;CN1)</f>
        <v>0</v>
      </c>
      <c r="CN3" s="109">
        <f>SUMIFS('Revenue Tracking'!$F$13:$F$26, 'Revenue Tracking'!$H$13:$H$26, "&gt;="&amp;CN1,'Revenue Tracking'!$H$13:$H$26, "&lt;"&amp;CO1)</f>
        <v>0</v>
      </c>
      <c r="CO3" s="109">
        <f>SUMIFS('Revenue Tracking'!$F$13:$F$26, 'Revenue Tracking'!$H$13:$H$26, "&gt;="&amp;CO1,'Revenue Tracking'!$H$13:$H$26, "&lt;"&amp;CP1)</f>
        <v>0</v>
      </c>
      <c r="CP3" s="109">
        <f>SUMIFS('Revenue Tracking'!$F$13:$F$26, 'Revenue Tracking'!$H$13:$H$26, "&gt;="&amp;CP1,'Revenue Tracking'!$H$13:$H$26, "&lt;"&amp;CQ1)</f>
        <v>0</v>
      </c>
      <c r="CQ3" s="109">
        <f>SUMIFS('Revenue Tracking'!$F$13:$F$26, 'Revenue Tracking'!$H$13:$H$26, "&gt;="&amp;CQ1,'Revenue Tracking'!$H$13:$H$26, "&lt;"&amp;CR1)</f>
        <v>0</v>
      </c>
      <c r="CR3" s="109">
        <f>SUMIFS('Revenue Tracking'!$F$13:$F$26, 'Revenue Tracking'!$H$13:$H$26, "&gt;="&amp;CR1,'Revenue Tracking'!$H$13:$H$26, "&lt;"&amp;CS1)</f>
        <v>0</v>
      </c>
      <c r="CS3" s="109">
        <f>SUMIFS('Revenue Tracking'!$F$13:$F$26, 'Revenue Tracking'!$H$13:$H$26, "&gt;="&amp;CS1,'Revenue Tracking'!$H$13:$H$26, "&lt;"&amp;CT1)</f>
        <v>0</v>
      </c>
      <c r="CT3" s="109">
        <f>SUMIFS('Revenue Tracking'!$F$13:$F$26, 'Revenue Tracking'!$H$13:$H$26, "&gt;="&amp;CT1,'Revenue Tracking'!$H$13:$H$26, "&lt;"&amp;CU1)</f>
        <v>0</v>
      </c>
      <c r="CU3" s="109">
        <f>SUMIFS('Revenue Tracking'!$F$13:$F$26, 'Revenue Tracking'!$H$13:$H$26, "&gt;="&amp;CU1,'Revenue Tracking'!$H$13:$H$26, "&lt;"&amp;CV1)</f>
        <v>0</v>
      </c>
      <c r="CV3" s="109">
        <f>SUMIFS('Revenue Tracking'!$F$13:$F$26, 'Revenue Tracking'!$H$13:$H$26, "&gt;="&amp;CV1,'Revenue Tracking'!$H$13:$H$26, "&lt;"&amp;CW1)</f>
        <v>0</v>
      </c>
      <c r="CW3" s="109">
        <f>SUMIFS('Revenue Tracking'!$F$13:$F$26, 'Revenue Tracking'!$H$13:$H$26, "&gt;="&amp;CW1,'Revenue Tracking'!$H$13:$H$26, "&lt;"&amp;CX1)</f>
        <v>0</v>
      </c>
      <c r="CX3" s="109">
        <f>SUMIFS('Revenue Tracking'!$F$13:$F$26, 'Revenue Tracking'!$H$13:$H$26, "&gt;="&amp;CX1,'Revenue Tracking'!$H$13:$H$26, "&lt;"&amp;CY1)</f>
        <v>0</v>
      </c>
      <c r="CY3" s="109">
        <f>SUMIFS('Revenue Tracking'!$F$13:$F$26, 'Revenue Tracking'!$H$13:$H$26, "&gt;="&amp;CY1,'Revenue Tracking'!$H$13:$H$26, "&lt;"&amp;CZ1)</f>
        <v>0</v>
      </c>
      <c r="CZ3" s="109">
        <f>SUMIFS('Revenue Tracking'!$F$13:$F$26, 'Revenue Tracking'!$H$13:$H$26, "&gt;="&amp;CZ1,'Revenue Tracking'!$H$13:$H$26, "&lt;"&amp;DA1)</f>
        <v>0</v>
      </c>
      <c r="DA3" s="109">
        <f>SUMIFS('Revenue Tracking'!$F$13:$F$26, 'Revenue Tracking'!$H$13:$H$26, "&gt;="&amp;DA1,'Revenue Tracking'!$H$13:$H$26, "&lt;"&amp;DB1)</f>
        <v>0</v>
      </c>
      <c r="DB3" s="109">
        <f>SUMIFS('Revenue Tracking'!$F$13:$F$26, 'Revenue Tracking'!$H$13:$H$26, "&gt;="&amp;DB1,'Revenue Tracking'!$H$13:$H$26, "&lt;"&amp;DC1)</f>
        <v>0</v>
      </c>
      <c r="DC3" s="109">
        <f>SUMIFS('Revenue Tracking'!$F$13:$F$26, 'Revenue Tracking'!$H$13:$H$26, "&gt;="&amp;DC1,'Revenue Tracking'!$H$13:$H$26, "&lt;"&amp;DD1)</f>
        <v>0</v>
      </c>
      <c r="DD3" s="109">
        <f>SUMIFS('Revenue Tracking'!$F$13:$F$26, 'Revenue Tracking'!$H$13:$H$26, "&gt;="&amp;DD1,'Revenue Tracking'!$H$13:$H$26, "&lt;"&amp;DE1)</f>
        <v>0</v>
      </c>
      <c r="DE3" s="109">
        <f>SUMIFS('Revenue Tracking'!$F$13:$F$26, 'Revenue Tracking'!$H$13:$H$26, "&gt;="&amp;DE1,'Revenue Tracking'!$H$13:$H$26, "&lt;"&amp;DF1)</f>
        <v>0</v>
      </c>
      <c r="DF3" s="109">
        <f>SUMIFS('Revenue Tracking'!$F$13:$F$26, 'Revenue Tracking'!$H$13:$H$26, "&gt;="&amp;DF1,'Revenue Tracking'!$H$13:$H$26, "&lt;"&amp;DG1)</f>
        <v>0</v>
      </c>
      <c r="DG3" s="109">
        <f>SUMIFS('Revenue Tracking'!$F$13:$F$26, 'Revenue Tracking'!$H$13:$H$26, "&gt;="&amp;DG1,'Revenue Tracking'!$H$13:$H$26, "&lt;"&amp;DH1)</f>
        <v>0</v>
      </c>
      <c r="DH3" s="109">
        <f>SUMIFS('Revenue Tracking'!$F$13:$F$26, 'Revenue Tracking'!$H$13:$H$26, "&gt;="&amp;DH1,'Revenue Tracking'!$H$13:$H$26, "&lt;"&amp;DI1)</f>
        <v>0</v>
      </c>
      <c r="DI3" s="109">
        <f>SUMIFS('Revenue Tracking'!$F$13:$F$26, 'Revenue Tracking'!$H$13:$H$26, "&gt;="&amp;DI1,'Revenue Tracking'!$H$13:$H$26, "&lt;"&amp;DJ1)</f>
        <v>0</v>
      </c>
      <c r="DJ3" s="109">
        <f>SUMIFS('Revenue Tracking'!$F$13:$F$26, 'Revenue Tracking'!$H$13:$H$26, "&gt;="&amp;DJ1,'Revenue Tracking'!$H$13:$H$26, "&lt;"&amp;DK1)</f>
        <v>0</v>
      </c>
      <c r="DK3" s="109">
        <f>SUMIFS('Revenue Tracking'!$F$13:$F$26, 'Revenue Tracking'!$H$13:$H$26, "&gt;="&amp;DK1,'Revenue Tracking'!$H$13:$H$26, "&lt;"&amp;DL1)</f>
        <v>0</v>
      </c>
      <c r="DL3" s="109">
        <f>SUMIFS('Revenue Tracking'!$F$13:$F$26, 'Revenue Tracking'!$H$13:$H$26, "&gt;="&amp;DL1,'Revenue Tracking'!$H$13:$H$26, "&lt;"&amp;DM1)</f>
        <v>0</v>
      </c>
      <c r="DM3" s="109">
        <f>SUMIFS('Revenue Tracking'!$F$13:$F$26, 'Revenue Tracking'!$H$13:$H$26, "&gt;="&amp;DM1,'Revenue Tracking'!$H$13:$H$26, "&lt;"&amp;DN1)</f>
        <v>0</v>
      </c>
      <c r="DN3" s="109">
        <f>SUMIFS('Revenue Tracking'!$F$13:$F$26, 'Revenue Tracking'!$H$13:$H$26, "&gt;="&amp;DN1,'Revenue Tracking'!$H$13:$H$26, "&lt;"&amp;DO1)</f>
        <v>0</v>
      </c>
      <c r="DO3" s="109">
        <f>SUMIFS('Revenue Tracking'!$F$13:$F$26, 'Revenue Tracking'!$H$13:$H$26, "&gt;="&amp;DO1,'Revenue Tracking'!$H$13:$H$26, "&lt;"&amp;DP1)</f>
        <v>0</v>
      </c>
      <c r="DP3" s="109">
        <f>SUMIFS('Revenue Tracking'!$F$13:$F$26, 'Revenue Tracking'!$H$13:$H$26, "&gt;="&amp;DP1,'Revenue Tracking'!$H$13:$H$26, "&lt;"&amp;DQ1)</f>
        <v>0</v>
      </c>
      <c r="DQ3" s="109">
        <f>SUMIFS('Revenue Tracking'!$F$13:$F$26, 'Revenue Tracking'!$H$13:$H$26, "&gt;="&amp;DQ1,'Revenue Tracking'!$H$13:$H$26, "&lt;"&amp;DR1)</f>
        <v>0</v>
      </c>
      <c r="DR3" s="109">
        <f>SUMIFS('Revenue Tracking'!$F$13:$F$26, 'Revenue Tracking'!$H$13:$H$26, "&gt;="&amp;DR1,'Revenue Tracking'!$H$13:$H$26, "&lt;"&amp;DS1)</f>
        <v>0</v>
      </c>
      <c r="DS3" s="109">
        <f>SUMIFS('Revenue Tracking'!$F$13:$F$26, 'Revenue Tracking'!$H$13:$H$26, "&gt;="&amp;DS1,'Revenue Tracking'!$H$13:$H$26, "&lt;"&amp;DT1)</f>
        <v>0</v>
      </c>
      <c r="DT3" s="109">
        <f>SUMIFS('Revenue Tracking'!$F$13:$F$26, 'Revenue Tracking'!$H$13:$H$26, "&gt;="&amp;DT1,'Revenue Tracking'!$H$13:$H$26, "&lt;"&amp;DU1)</f>
        <v>0</v>
      </c>
      <c r="DU3" s="109">
        <f>SUMIFS('Revenue Tracking'!$F$13:$F$26, 'Revenue Tracking'!$H$13:$H$26, "&gt;="&amp;DU1,'Revenue Tracking'!$H$13:$H$26, "&lt;"&amp;DV1)</f>
        <v>0</v>
      </c>
      <c r="DV3" s="109">
        <f>SUMIFS('Revenue Tracking'!$F$13:$F$26, 'Revenue Tracking'!$H$13:$H$26, "&gt;="&amp;DV1,'Revenue Tracking'!$H$13:$H$26, "&lt;"&amp;DW1)</f>
        <v>0</v>
      </c>
      <c r="DW3" s="109">
        <f>SUMIFS('Revenue Tracking'!$F$13:$F$26, 'Revenue Tracking'!$H$13:$H$26, "&gt;="&amp;DW1,'Revenue Tracking'!$H$13:$H$26, "&lt;"&amp;DX1)</f>
        <v>0</v>
      </c>
      <c r="DX3" s="109">
        <f>SUMIFS('Revenue Tracking'!$F$13:$F$26, 'Revenue Tracking'!$H$13:$H$26, "&gt;="&amp;DX1,'Revenue Tracking'!$H$13:$H$26, "&lt;"&amp;DY1)</f>
        <v>0</v>
      </c>
      <c r="DY3" s="109">
        <f>SUMIFS('Revenue Tracking'!$F$13:$F$26, 'Revenue Tracking'!$H$13:$H$26, "&gt;="&amp;DY1,'Revenue Tracking'!$H$13:$H$26, "&lt;"&amp;DZ1)</f>
        <v>0</v>
      </c>
      <c r="DZ3" s="109">
        <f>SUMIFS('Revenue Tracking'!$F$13:$F$26, 'Revenue Tracking'!$H$13:$H$26, "&gt;="&amp;DZ1,'Revenue Tracking'!$H$13:$H$26, "&lt;"&amp;EA1)</f>
        <v>0</v>
      </c>
      <c r="EA3" s="109">
        <f>SUMIFS('Revenue Tracking'!$F$13:$F$26, 'Revenue Tracking'!$H$13:$H$26, "&gt;="&amp;EA1,'Revenue Tracking'!$H$13:$H$26, "&lt;"&amp;EB1)</f>
        <v>0</v>
      </c>
      <c r="EB3" s="109">
        <f>SUMIFS('Revenue Tracking'!$F$13:$F$26, 'Revenue Tracking'!$H$13:$H$26, "&gt;="&amp;EB1,'Revenue Tracking'!$H$13:$H$26, "&lt;"&amp;EC1)</f>
        <v>0</v>
      </c>
      <c r="EC3" s="109">
        <f>SUMIFS('Revenue Tracking'!$F$13:$F$26, 'Revenue Tracking'!$H$13:$H$26, "&gt;="&amp;EC1,'Revenue Tracking'!$H$13:$H$26, "&lt;"&amp;ED1)</f>
        <v>0</v>
      </c>
      <c r="ED3" s="109">
        <f>SUMIFS('Revenue Tracking'!$F$13:$F$26, 'Revenue Tracking'!$H$13:$H$26, "&gt;="&amp;ED1,'Revenue Tracking'!$H$13:$H$26, "&lt;"&amp;EE1)</f>
        <v>0</v>
      </c>
      <c r="EE3" s="109">
        <f>SUMIFS('Revenue Tracking'!$F$13:$F$26, 'Revenue Tracking'!$H$13:$H$26, "&gt;="&amp;EE1,'Revenue Tracking'!$H$13:$H$26, "&lt;"&amp;EF1)</f>
        <v>0</v>
      </c>
      <c r="EF3" s="109">
        <f>SUMIFS('Revenue Tracking'!$F$13:$F$26, 'Revenue Tracking'!$H$13:$H$26, "&gt;="&amp;EF1,'Revenue Tracking'!$H$13:$H$26, "&lt;"&amp;EG1)</f>
        <v>0</v>
      </c>
      <c r="EG3" s="109">
        <f>SUMIFS('Revenue Tracking'!$F$13:$F$26, 'Revenue Tracking'!$H$13:$H$26, "&gt;="&amp;EG1,'Revenue Tracking'!$H$13:$H$26, "&lt;"&amp;EH1)</f>
        <v>0</v>
      </c>
      <c r="EH3" s="109">
        <f>SUMIFS('Revenue Tracking'!$F$13:$F$26, 'Revenue Tracking'!$H$13:$H$26, "&gt;="&amp;EH1,'Revenue Tracking'!$H$13:$H$26, "&lt;"&amp;EI1)</f>
        <v>0</v>
      </c>
      <c r="EI3" s="109">
        <f>SUMIFS('Revenue Tracking'!$F$13:$F$26, 'Revenue Tracking'!$H$13:$H$26, "&gt;="&amp;EI1,'Revenue Tracking'!$H$13:$H$26, "&lt;"&amp;EJ1)</f>
        <v>0</v>
      </c>
      <c r="EJ3" s="109">
        <f>SUMIFS('Revenue Tracking'!$F$13:$F$26, 'Revenue Tracking'!$H$13:$H$26, "&gt;="&amp;EJ1,'Revenue Tracking'!$H$13:$H$26, "&lt;"&amp;EK1)</f>
        <v>0</v>
      </c>
      <c r="EK3" s="109">
        <f>SUMIFS('Revenue Tracking'!$F$13:$F$26, 'Revenue Tracking'!$H$13:$H$26, "&gt;="&amp;EK1,'Revenue Tracking'!$H$13:$H$26, "&lt;"&amp;EL1)</f>
        <v>0</v>
      </c>
      <c r="EL3" s="109">
        <f>SUMIFS('Revenue Tracking'!$F$13:$F$26, 'Revenue Tracking'!$H$13:$H$26, "&gt;="&amp;EL1,'Revenue Tracking'!$H$13:$H$26, "&lt;"&amp;EM1)</f>
        <v>0</v>
      </c>
      <c r="EM3" s="109">
        <f>SUMIFS('Revenue Tracking'!$F$13:$F$26, 'Revenue Tracking'!$H$13:$H$26, "&gt;="&amp;EM1,'Revenue Tracking'!$H$13:$H$26, "&lt;"&amp;EN1)</f>
        <v>0</v>
      </c>
      <c r="EN3" s="109">
        <f>SUMIFS('Revenue Tracking'!$F$13:$F$26, 'Revenue Tracking'!$H$13:$H$26, "&gt;="&amp;EN1,'Revenue Tracking'!$H$13:$H$26, "&lt;"&amp;EO1)</f>
        <v>0</v>
      </c>
      <c r="EO3" s="109">
        <f>SUMIFS('Revenue Tracking'!$F$13:$F$26, 'Revenue Tracking'!$H$13:$H$26, "&gt;="&amp;EO1,'Revenue Tracking'!$H$13:$H$26, "&lt;"&amp;EP1)</f>
        <v>0</v>
      </c>
      <c r="EP3" s="109">
        <f>SUMIFS('Revenue Tracking'!$F$13:$F$26, 'Revenue Tracking'!$H$13:$H$26, "&gt;="&amp;EP1,'Revenue Tracking'!$H$13:$H$26, "&lt;"&amp;EQ1)</f>
        <v>0</v>
      </c>
      <c r="EQ3" s="109">
        <f>SUMIFS('Revenue Tracking'!$F$13:$F$26, 'Revenue Tracking'!$H$13:$H$26, "&gt;="&amp;EQ1,'Revenue Tracking'!$H$13:$H$26, "&lt;"&amp;ER1)</f>
        <v>0</v>
      </c>
      <c r="ER3" s="109">
        <f>SUMIFS('Revenue Tracking'!$F$13:$F$26, 'Revenue Tracking'!$H$13:$H$26, "&gt;="&amp;ER1,'Revenue Tracking'!$H$13:$H$26, "&lt;"&amp;ES1)</f>
        <v>0</v>
      </c>
      <c r="ES3" s="109">
        <f>SUMIFS('Revenue Tracking'!$F$13:$F$26, 'Revenue Tracking'!$H$13:$H$26, "&gt;="&amp;ES1,'Revenue Tracking'!$H$13:$H$26, "&lt;"&amp;ET1)</f>
        <v>0</v>
      </c>
      <c r="ET3" s="109">
        <f>SUMIFS('Revenue Tracking'!$F$13:$F$26, 'Revenue Tracking'!$H$13:$H$26, "&gt;="&amp;ET1,'Revenue Tracking'!$H$13:$H$26, "&lt;"&amp;EU1)</f>
        <v>0</v>
      </c>
      <c r="EU3" s="109">
        <f>SUMIFS('Revenue Tracking'!$F$13:$F$26, 'Revenue Tracking'!$H$13:$H$26, "&gt;="&amp;EU1,'Revenue Tracking'!$H$13:$H$26, "&lt;"&amp;EV1)</f>
        <v>0</v>
      </c>
      <c r="EV3" s="109">
        <f>SUMIFS('Revenue Tracking'!$F$13:$F$26, 'Revenue Tracking'!$H$13:$H$26, "&gt;="&amp;EV1,'Revenue Tracking'!$H$13:$H$26, "&lt;"&amp;EW1)</f>
        <v>0</v>
      </c>
      <c r="EW3" s="109">
        <f>SUMIFS('Revenue Tracking'!$F$13:$F$26, 'Revenue Tracking'!$H$13:$H$26, "&gt;="&amp;EW1,'Revenue Tracking'!$H$13:$H$26, "&lt;"&amp;EX1)</f>
        <v>0</v>
      </c>
      <c r="EX3" s="109">
        <f>SUMIFS('Revenue Tracking'!$F$13:$F$26, 'Revenue Tracking'!$H$13:$H$26, "&gt;="&amp;EX1,'Revenue Tracking'!$H$13:$H$26, "&lt;"&amp;EY1)</f>
        <v>0</v>
      </c>
      <c r="EY3" s="109">
        <f>SUMIFS('Revenue Tracking'!$F$13:$F$26, 'Revenue Tracking'!$H$13:$H$26, "&gt;="&amp;EY1,'Revenue Tracking'!$H$13:$H$26, "&lt;"&amp;EZ1)</f>
        <v>0</v>
      </c>
      <c r="EZ3" s="109">
        <f>SUMIFS('Revenue Tracking'!$F$13:$F$26, 'Revenue Tracking'!$H$13:$H$26, "&gt;="&amp;EZ1,'Revenue Tracking'!$H$13:$H$26, "&lt;"&amp;FA1)</f>
        <v>0</v>
      </c>
      <c r="FA3" s="109">
        <f>SUMIFS('Revenue Tracking'!$F$13:$F$26, 'Revenue Tracking'!$H$13:$H$26, "&gt;="&amp;FA1,'Revenue Tracking'!$H$13:$H$26, "&lt;"&amp;FB1)</f>
        <v>0</v>
      </c>
      <c r="FB3" s="109">
        <f>SUMIFS('Revenue Tracking'!$F$13:$F$26, 'Revenue Tracking'!$H$13:$H$26, "&gt;="&amp;FB1,'Revenue Tracking'!$H$13:$H$26, "&lt;"&amp;FC1)</f>
        <v>0</v>
      </c>
      <c r="FC3" s="109">
        <f>SUMIFS('Revenue Tracking'!$F$13:$F$26, 'Revenue Tracking'!$H$13:$H$26, "&gt;="&amp;FC1,'Revenue Tracking'!$H$13:$H$26, "&lt;"&amp;FD1)</f>
        <v>0</v>
      </c>
      <c r="FD3" s="109">
        <f>SUMIFS('Revenue Tracking'!$F$13:$F$26, 'Revenue Tracking'!$H$13:$H$26, "&gt;="&amp;FD1,'Revenue Tracking'!$H$13:$H$26, "&lt;"&amp;FE1)</f>
        <v>0</v>
      </c>
      <c r="FE3" s="109">
        <f>SUMIFS('Revenue Tracking'!$F$13:$F$26, 'Revenue Tracking'!$H$13:$H$26, "&gt;="&amp;FE1,'Revenue Tracking'!$H$13:$H$26, "&lt;"&amp;FF1)</f>
        <v>0</v>
      </c>
      <c r="FF3" s="109">
        <f>SUMIFS('Revenue Tracking'!$F$13:$F$26, 'Revenue Tracking'!$H$13:$H$26, "&gt;="&amp;FF1,'Revenue Tracking'!$H$13:$H$26, "&lt;"&amp;FG1)</f>
        <v>0</v>
      </c>
      <c r="FG3" s="109">
        <f>SUMIFS('Revenue Tracking'!$F$13:$F$26, 'Revenue Tracking'!$H$13:$H$26, "&gt;="&amp;FG1,'Revenue Tracking'!$H$13:$H$26, "&lt;"&amp;FH1)</f>
        <v>0</v>
      </c>
      <c r="FH3" s="109">
        <f>SUMIFS('Revenue Tracking'!$F$13:$F$26, 'Revenue Tracking'!$H$13:$H$26, "&gt;="&amp;FH1,'Revenue Tracking'!$H$13:$H$26, "&lt;"&amp;FI1)</f>
        <v>0</v>
      </c>
      <c r="FI3" s="109">
        <f>SUMIFS('Revenue Tracking'!$F$13:$F$26, 'Revenue Tracking'!$H$13:$H$26, "&gt;="&amp;FI1,'Revenue Tracking'!$H$13:$H$26, "&lt;"&amp;FJ1)</f>
        <v>0</v>
      </c>
      <c r="FJ3" s="109">
        <f>SUMIFS('Revenue Tracking'!$F$13:$F$26, 'Revenue Tracking'!$H$13:$H$26, "&gt;="&amp;FJ1,'Revenue Tracking'!$H$13:$H$26, "&lt;"&amp;FK1)</f>
        <v>0</v>
      </c>
      <c r="FK3" s="109">
        <f>SUMIFS('Revenue Tracking'!$F$13:$F$26, 'Revenue Tracking'!$H$13:$H$26, "&gt;="&amp;FK1,'Revenue Tracking'!$H$13:$H$26, "&lt;"&amp;FL1)</f>
        <v>0</v>
      </c>
      <c r="FL3" s="109">
        <f>SUMIFS('Revenue Tracking'!$F$13:$F$26, 'Revenue Tracking'!$H$13:$H$26, "&gt;="&amp;FL1,'Revenue Tracking'!$H$13:$H$26, "&lt;"&amp;FM1)</f>
        <v>0</v>
      </c>
      <c r="FM3" s="109">
        <f>SUMIFS('Revenue Tracking'!$F$13:$F$26, 'Revenue Tracking'!$H$13:$H$26, "&gt;="&amp;FM1,'Revenue Tracking'!$H$13:$H$26, "&lt;"&amp;FN1)</f>
        <v>0</v>
      </c>
      <c r="FN3" s="109">
        <f>SUMIFS('Revenue Tracking'!$F$13:$F$26, 'Revenue Tracking'!$H$13:$H$26, "&gt;="&amp;FN1,'Revenue Tracking'!$H$13:$H$26, "&lt;"&amp;FO1)</f>
        <v>0</v>
      </c>
      <c r="FO3" s="109">
        <f>SUMIFS('Revenue Tracking'!$F$13:$F$26, 'Revenue Tracking'!$H$13:$H$26, "&gt;="&amp;FO1,'Revenue Tracking'!$H$13:$H$26, "&lt;"&amp;FP1)</f>
        <v>0</v>
      </c>
      <c r="FP3" s="109">
        <f>SUMIFS('Revenue Tracking'!$F$13:$F$26, 'Revenue Tracking'!$H$13:$H$26, "&gt;="&amp;FP1,'Revenue Tracking'!$H$13:$H$26, "&lt;"&amp;FQ1)</f>
        <v>0</v>
      </c>
      <c r="FQ3" s="109">
        <f>SUMIFS('Revenue Tracking'!$F$13:$F$26, 'Revenue Tracking'!$H$13:$H$26, "&gt;="&amp;FQ1,'Revenue Tracking'!$H$13:$H$26, "&lt;"&amp;FR1)</f>
        <v>0</v>
      </c>
      <c r="FR3" s="109">
        <f>SUMIFS('Revenue Tracking'!$F$13:$F$26, 'Revenue Tracking'!$H$13:$H$26, "&gt;="&amp;FR1,'Revenue Tracking'!$H$13:$H$26, "&lt;"&amp;FS1)</f>
        <v>0</v>
      </c>
      <c r="FS3" s="109">
        <f>SUMIFS('Revenue Tracking'!$F$13:$F$26, 'Revenue Tracking'!$H$13:$H$26, "&gt;="&amp;FS1,'Revenue Tracking'!$H$13:$H$26, "&lt;"&amp;FT1)</f>
        <v>0</v>
      </c>
      <c r="FT3" s="109">
        <f>SUMIFS('Revenue Tracking'!$F$13:$F$26, 'Revenue Tracking'!$H$13:$H$26, "&gt;="&amp;FT1,'Revenue Tracking'!$H$13:$H$26, "&lt;"&amp;FU1)</f>
        <v>0</v>
      </c>
      <c r="FU3" s="109">
        <f>SUMIFS('Revenue Tracking'!$F$13:$F$26, 'Revenue Tracking'!$H$13:$H$26, "&gt;="&amp;FU1,'Revenue Tracking'!$H$13:$H$26, "&lt;"&amp;FV1)</f>
        <v>0</v>
      </c>
      <c r="FV3" s="109">
        <f>SUMIFS('Revenue Tracking'!$F$13:$F$26, 'Revenue Tracking'!$H$13:$H$26, "&gt;="&amp;FV1,'Revenue Tracking'!$H$13:$H$26, "&lt;"&amp;FW1)</f>
        <v>0</v>
      </c>
      <c r="FW3" s="109">
        <f>SUMIFS('Revenue Tracking'!$F$13:$F$26, 'Revenue Tracking'!$H$13:$H$26, "&gt;="&amp;FW1,'Revenue Tracking'!$H$13:$H$26, "&lt;"&amp;FX1)</f>
        <v>0</v>
      </c>
      <c r="FX3" s="109">
        <f>SUMIFS('Revenue Tracking'!$F$13:$F$26, 'Revenue Tracking'!$H$13:$H$26, "&gt;="&amp;FX1,'Revenue Tracking'!$H$13:$H$26, "&lt;"&amp;FY1)</f>
        <v>0</v>
      </c>
      <c r="FY3" s="109">
        <f>SUMIFS('Revenue Tracking'!$F$13:$F$26, 'Revenue Tracking'!$H$13:$H$26, "&gt;="&amp;FY1,'Revenue Tracking'!$H$13:$H$26, "&lt;"&amp;FZ1)</f>
        <v>0</v>
      </c>
      <c r="FZ3" s="109">
        <f>SUMIFS('Revenue Tracking'!$F$13:$F$26, 'Revenue Tracking'!$H$13:$H$26, "&gt;="&amp;FZ1,'Revenue Tracking'!$H$13:$H$26, "&lt;"&amp;GA1)</f>
        <v>0</v>
      </c>
      <c r="GA3" s="109">
        <f>SUMIFS('Revenue Tracking'!$F$13:$F$26, 'Revenue Tracking'!$H$13:$H$26, "&gt;="&amp;GA1,'Revenue Tracking'!$H$13:$H$26, "&lt;"&amp;GB1)</f>
        <v>0</v>
      </c>
      <c r="GB3" s="109">
        <f>SUMIFS('Revenue Tracking'!$F$13:$F$26, 'Revenue Tracking'!$H$13:$H$26, "&gt;="&amp;GB1,'Revenue Tracking'!$H$13:$H$26, "&lt;"&amp;GC1)</f>
        <v>0</v>
      </c>
      <c r="GC3" s="109">
        <f>SUMIFS('Revenue Tracking'!$F$13:$F$26, 'Revenue Tracking'!$H$13:$H$26, "&gt;="&amp;GC1,'Revenue Tracking'!$H$13:$H$26, "&lt;"&amp;GD1)</f>
        <v>0</v>
      </c>
      <c r="GD3" s="109">
        <f>SUMIFS('Revenue Tracking'!$F$13:$F$26, 'Revenue Tracking'!$H$13:$H$26, "&gt;="&amp;GD1,'Revenue Tracking'!$H$13:$H$26, "&lt;"&amp;GE1)</f>
        <v>0</v>
      </c>
      <c r="GE3" s="109">
        <f>SUMIFS('Revenue Tracking'!$F$13:$F$26, 'Revenue Tracking'!$H$13:$H$26, "&gt;="&amp;GE1,'Revenue Tracking'!$H$13:$H$26, "&lt;"&amp;GF1)</f>
        <v>0</v>
      </c>
      <c r="GF3" s="109">
        <f>SUMIFS('Revenue Tracking'!$F$13:$F$26, 'Revenue Tracking'!$H$13:$H$26, "&gt;="&amp;GF1,'Revenue Tracking'!$H$13:$H$26, "&lt;"&amp;GG1)</f>
        <v>0</v>
      </c>
      <c r="GG3" s="109">
        <f>SUMIFS('Revenue Tracking'!$F$13:$F$26, 'Revenue Tracking'!$H$13:$H$26, "&gt;="&amp;GG1,'Revenue Tracking'!$H$13:$H$26, "&lt;"&amp;GH1)</f>
        <v>0</v>
      </c>
      <c r="GH3" s="109">
        <f>SUMIFS('Revenue Tracking'!$F$13:$F$26, 'Revenue Tracking'!$H$13:$H$26, "&gt;="&amp;GH1,'Revenue Tracking'!$H$13:$H$26, "&lt;"&amp;GI1)</f>
        <v>0</v>
      </c>
      <c r="GI3" s="109">
        <f>SUMIFS('Revenue Tracking'!$F$13:$F$26, 'Revenue Tracking'!$H$13:$H$26, "&gt;="&amp;GI1,'Revenue Tracking'!$H$13:$H$26, "&lt;"&amp;GJ1)</f>
        <v>0</v>
      </c>
      <c r="GJ3" s="109">
        <f>SUMIFS('Revenue Tracking'!$F$13:$F$26, 'Revenue Tracking'!$H$13:$H$26, "&gt;="&amp;GJ1,'Revenue Tracking'!$H$13:$H$26, "&lt;"&amp;GK1)</f>
        <v>0</v>
      </c>
      <c r="GK3" s="109">
        <f>SUMIFS('Revenue Tracking'!$F$13:$F$26, 'Revenue Tracking'!$H$13:$H$26, "&gt;="&amp;GK1,'Revenue Tracking'!$H$13:$H$26, "&lt;"&amp;GL1)</f>
        <v>0</v>
      </c>
      <c r="GL3" s="109">
        <f>SUMIFS('Revenue Tracking'!$F$13:$F$26, 'Revenue Tracking'!$H$13:$H$26, "&gt;="&amp;GL1,'Revenue Tracking'!$H$13:$H$26, "&lt;"&amp;GM1)</f>
        <v>0</v>
      </c>
      <c r="GM3" s="109">
        <f>SUMIFS('Revenue Tracking'!$F$13:$F$26, 'Revenue Tracking'!$H$13:$H$26, "&gt;="&amp;GM1,'Revenue Tracking'!$H$13:$H$26, "&lt;"&amp;GN1)</f>
        <v>0</v>
      </c>
      <c r="GN3" s="109">
        <f>SUMIFS('Revenue Tracking'!$F$13:$F$26, 'Revenue Tracking'!$H$13:$H$26, "&gt;="&amp;GN1,'Revenue Tracking'!$H$13:$H$26, "&lt;"&amp;GO1)</f>
        <v>0</v>
      </c>
      <c r="GO3" s="109">
        <f>SUMIFS('Revenue Tracking'!$F$13:$F$26, 'Revenue Tracking'!$H$13:$H$26, "&gt;="&amp;GO1,'Revenue Tracking'!$H$13:$H$26, "&lt;"&amp;GP1)</f>
        <v>0</v>
      </c>
      <c r="GP3" s="109">
        <f>SUMIFS('Revenue Tracking'!$F$13:$F$26, 'Revenue Tracking'!$H$13:$H$26, "&gt;="&amp;GP1,'Revenue Tracking'!$H$13:$H$26, "&lt;"&amp;GQ1)</f>
        <v>0</v>
      </c>
      <c r="GQ3" s="109">
        <f>SUMIFS('Revenue Tracking'!$F$13:$F$26, 'Revenue Tracking'!$H$13:$H$26, "&gt;="&amp;GQ1,'Revenue Tracking'!$H$13:$H$26, "&lt;"&amp;GR1)</f>
        <v>0</v>
      </c>
      <c r="GR3" s="109">
        <f>SUMIFS('Revenue Tracking'!$F$13:$F$26, 'Revenue Tracking'!$H$13:$H$26, "&gt;="&amp;GR1,'Revenue Tracking'!$H$13:$H$26, "&lt;"&amp;GS1)</f>
        <v>0</v>
      </c>
      <c r="GS3" s="109">
        <f>SUMIFS('Revenue Tracking'!$F$13:$F$26, 'Revenue Tracking'!$H$13:$H$26, "&gt;="&amp;GS1,'Revenue Tracking'!$H$13:$H$26, "&lt;"&amp;GT1)</f>
        <v>0</v>
      </c>
      <c r="GT3" s="109">
        <f>SUMIFS('Revenue Tracking'!$F$13:$F$26, 'Revenue Tracking'!$H$13:$H$26, "&gt;="&amp;GT1,'Revenue Tracking'!$H$13:$H$26, "&lt;"&amp;GU1)</f>
        <v>0</v>
      </c>
      <c r="GU3" s="109">
        <f>SUMIFS('Revenue Tracking'!$F$13:$F$26, 'Revenue Tracking'!$H$13:$H$26, "&gt;="&amp;GU1,'Revenue Tracking'!$H$13:$H$26, "&lt;"&amp;GV1)</f>
        <v>0</v>
      </c>
      <c r="GV3" s="109">
        <f>SUMIFS('Revenue Tracking'!$F$13:$F$26, 'Revenue Tracking'!$H$13:$H$26, "&gt;="&amp;GV1,'Revenue Tracking'!$H$13:$H$26, "&lt;"&amp;GW1)</f>
        <v>0</v>
      </c>
      <c r="GW3" s="109">
        <f>SUMIFS('Revenue Tracking'!$F$13:$F$26, 'Revenue Tracking'!$H$13:$H$26, "&gt;="&amp;GW1,'Revenue Tracking'!$H$13:$H$26, "&lt;"&amp;GX1)</f>
        <v>0</v>
      </c>
      <c r="GX3" s="109">
        <f>SUMIFS('Revenue Tracking'!$F$13:$F$26, 'Revenue Tracking'!$H$13:$H$26, "&gt;="&amp;GX1,'Revenue Tracking'!$H$13:$H$26, "&lt;"&amp;GY1)</f>
        <v>0</v>
      </c>
      <c r="GY3" s="109">
        <f>SUMIFS('Revenue Tracking'!$F$13:$F$26, 'Revenue Tracking'!$H$13:$H$26, "&gt;="&amp;GY1,'Revenue Tracking'!$H$13:$H$26, "&lt;"&amp;GZ1)</f>
        <v>0</v>
      </c>
      <c r="GZ3" s="109">
        <f>SUMIFS('Revenue Tracking'!$F$13:$F$26, 'Revenue Tracking'!$H$13:$H$26, "&gt;="&amp;GZ1,'Revenue Tracking'!$H$13:$H$26, "&lt;"&amp;HA1)</f>
        <v>0</v>
      </c>
      <c r="HA3" s="109">
        <f>SUMIFS('Revenue Tracking'!$F$13:$F$26, 'Revenue Tracking'!$H$13:$H$26, "&gt;="&amp;HA1,'Revenue Tracking'!$H$13:$H$26, "&lt;"&amp;HB1)</f>
        <v>0</v>
      </c>
      <c r="HB3" s="109">
        <f>SUMIFS('Revenue Tracking'!$F$13:$F$26, 'Revenue Tracking'!$H$13:$H$26, "&gt;="&amp;HB1,'Revenue Tracking'!$H$13:$H$26, "&lt;"&amp;HC1)</f>
        <v>0</v>
      </c>
      <c r="HC3" s="109">
        <f>SUMIFS('Revenue Tracking'!$F$13:$F$26, 'Revenue Tracking'!$H$13:$H$26, "&gt;="&amp;HC1,'Revenue Tracking'!$H$13:$H$26, "&lt;"&amp;HD1)</f>
        <v>0</v>
      </c>
      <c r="HD3" s="109">
        <f>SUMIFS('Revenue Tracking'!$F$13:$F$26, 'Revenue Tracking'!$H$13:$H$26, "&gt;="&amp;HD1,'Revenue Tracking'!$H$13:$H$26, "&lt;"&amp;HE1)</f>
        <v>0</v>
      </c>
      <c r="HE3" s="109">
        <f>SUMIFS('Revenue Tracking'!$F$13:$F$26, 'Revenue Tracking'!$H$13:$H$26, "&gt;="&amp;HE1,'Revenue Tracking'!$H$13:$H$26, "&lt;"&amp;HF1)</f>
        <v>0</v>
      </c>
      <c r="HF3" s="109">
        <f>SUMIFS('Revenue Tracking'!$F$13:$F$26, 'Revenue Tracking'!$H$13:$H$26, "&gt;="&amp;HF1,'Revenue Tracking'!$H$13:$H$26, "&lt;"&amp;HG1)</f>
        <v>0</v>
      </c>
      <c r="HG3" s="109">
        <f>SUMIFS('Revenue Tracking'!$F$13:$F$26, 'Revenue Tracking'!$H$13:$H$26, "&gt;="&amp;HG1,'Revenue Tracking'!$H$13:$H$26, "&lt;"&amp;HH1)</f>
        <v>0</v>
      </c>
      <c r="HH3" s="109">
        <f>SUMIFS('Revenue Tracking'!$F$13:$F$26, 'Revenue Tracking'!$H$13:$H$26, "&gt;="&amp;HH1,'Revenue Tracking'!$H$13:$H$26, "&lt;"&amp;HI1)</f>
        <v>0</v>
      </c>
      <c r="HI3" s="109">
        <f>SUMIFS('Revenue Tracking'!$F$13:$F$26, 'Revenue Tracking'!$H$13:$H$26, "&gt;="&amp;HI1,'Revenue Tracking'!$H$13:$H$26, "&lt;"&amp;HJ1)</f>
        <v>0</v>
      </c>
      <c r="HJ3" s="109">
        <f>SUMIFS('Revenue Tracking'!$F$13:$F$26, 'Revenue Tracking'!$H$13:$H$26, "&gt;="&amp;HJ1,'Revenue Tracking'!$H$13:$H$26, "&lt;"&amp;HK1)</f>
        <v>0</v>
      </c>
      <c r="HK3" s="109">
        <f>SUMIFS('Revenue Tracking'!$F$13:$F$26, 'Revenue Tracking'!$H$13:$H$26, "&gt;="&amp;HK1,'Revenue Tracking'!$H$13:$H$26, "&lt;"&amp;HL1)</f>
        <v>0</v>
      </c>
      <c r="HL3" s="109">
        <f>SUMIFS('Revenue Tracking'!$F$13:$F$26, 'Revenue Tracking'!$H$13:$H$26, "&gt;="&amp;HL1,'Revenue Tracking'!$H$13:$H$26, "&lt;"&amp;HM1)</f>
        <v>0</v>
      </c>
      <c r="HM3" s="109">
        <f>SUMIFS('Revenue Tracking'!$F$13:$F$26, 'Revenue Tracking'!$H$13:$H$26, "&gt;="&amp;HM1,'Revenue Tracking'!$H$13:$H$26, "&lt;"&amp;HN1)</f>
        <v>0</v>
      </c>
      <c r="HN3" s="109">
        <f>SUMIFS('Revenue Tracking'!$F$13:$F$26, 'Revenue Tracking'!$H$13:$H$26, "&gt;="&amp;HN1,'Revenue Tracking'!$H$13:$H$26, "&lt;"&amp;HO1)</f>
        <v>0</v>
      </c>
      <c r="HO3" s="109">
        <f>SUMIFS('Revenue Tracking'!$F$13:$F$26, 'Revenue Tracking'!$H$13:$H$26, "&gt;="&amp;HO1,'Revenue Tracking'!$H$13:$H$26, "&lt;"&amp;HP1)</f>
        <v>0</v>
      </c>
      <c r="HP3" s="109">
        <f>SUMIFS('Revenue Tracking'!$F$13:$F$26, 'Revenue Tracking'!$H$13:$H$26, "&gt;="&amp;HP1,'Revenue Tracking'!$H$13:$H$26, "&lt;"&amp;HQ1)</f>
        <v>0</v>
      </c>
      <c r="HQ3" s="109">
        <f>SUMIFS('Revenue Tracking'!$F$13:$F$26, 'Revenue Tracking'!$H$13:$H$26, "&gt;="&amp;HQ1,'Revenue Tracking'!$H$13:$H$26, "&lt;"&amp;HR1)</f>
        <v>0</v>
      </c>
      <c r="HR3" s="109">
        <f>SUMIFS('Revenue Tracking'!$F$13:$F$26, 'Revenue Tracking'!$H$13:$H$26, "&gt;="&amp;HR1,'Revenue Tracking'!$H$13:$H$26, "&lt;"&amp;HS1)</f>
        <v>0</v>
      </c>
      <c r="HS3" s="109">
        <f>SUMIFS('Revenue Tracking'!$F$13:$F$26, 'Revenue Tracking'!$H$13:$H$26, "&gt;="&amp;HS1,'Revenue Tracking'!$H$13:$H$26, "&lt;"&amp;HT1)</f>
        <v>0</v>
      </c>
      <c r="HT3" s="109">
        <f>SUMIFS('Revenue Tracking'!$F$13:$F$26, 'Revenue Tracking'!$H$13:$H$26, "&gt;="&amp;HT1,'Revenue Tracking'!$H$13:$H$26, "&lt;"&amp;HU1)</f>
        <v>0</v>
      </c>
      <c r="HU3" s="109">
        <f>SUMIFS('Revenue Tracking'!$F$13:$F$26, 'Revenue Tracking'!$H$13:$H$26, "&gt;="&amp;HU1,'Revenue Tracking'!$H$13:$H$26, "&lt;"&amp;HV1)</f>
        <v>0</v>
      </c>
      <c r="HV3" s="109">
        <f>SUMIFS('Revenue Tracking'!$F$13:$F$26, 'Revenue Tracking'!$H$13:$H$26, "&gt;="&amp;HV1,'Revenue Tracking'!$H$13:$H$26, "&lt;"&amp;HW1)</f>
        <v>0</v>
      </c>
      <c r="HW3" s="109">
        <f>SUMIFS('Revenue Tracking'!$F$13:$F$26, 'Revenue Tracking'!$H$13:$H$26, "&gt;="&amp;HW1,'Revenue Tracking'!$H$13:$H$26, "&lt;"&amp;HX1)</f>
        <v>0</v>
      </c>
      <c r="HX3" s="109">
        <f>SUMIFS('Revenue Tracking'!$F$13:$F$26, 'Revenue Tracking'!$H$13:$H$26, "&gt;="&amp;HX1,'Revenue Tracking'!$H$13:$H$26, "&lt;"&amp;HY1)</f>
        <v>0</v>
      </c>
      <c r="HY3" s="109">
        <f>SUMIFS('Revenue Tracking'!$F$13:$F$26, 'Revenue Tracking'!$H$13:$H$26, "&gt;="&amp;HY1,'Revenue Tracking'!$H$13:$H$26, "&lt;"&amp;HZ1)</f>
        <v>0</v>
      </c>
      <c r="HZ3" s="109">
        <f>SUMIFS('Revenue Tracking'!$F$13:$F$26, 'Revenue Tracking'!$H$13:$H$26, "&gt;="&amp;HZ1,'Revenue Tracking'!$H$13:$H$26, "&lt;"&amp;IA1)</f>
        <v>0</v>
      </c>
      <c r="IA3" s="109">
        <f>SUMIFS('Revenue Tracking'!$F$13:$F$26, 'Revenue Tracking'!$H$13:$H$26, "&gt;="&amp;IA1,'Revenue Tracking'!$H$13:$H$26, "&lt;"&amp;IB1)</f>
        <v>0</v>
      </c>
      <c r="IB3" s="109">
        <f>SUMIFS('Revenue Tracking'!$F$13:$F$26, 'Revenue Tracking'!$H$13:$H$26, "&gt;="&amp;IB1,'Revenue Tracking'!$H$13:$H$26, "&lt;"&amp;IC1)</f>
        <v>0</v>
      </c>
      <c r="IC3" s="109">
        <f>SUMIFS('Revenue Tracking'!$F$13:$F$26, 'Revenue Tracking'!$H$13:$H$26, "&gt;="&amp;IC1,'Revenue Tracking'!$H$13:$H$26, "&lt;"&amp;ID1)</f>
        <v>0</v>
      </c>
      <c r="ID3" s="109">
        <f>SUMIFS('Revenue Tracking'!$F$13:$F$26, 'Revenue Tracking'!$H$13:$H$26, "&gt;="&amp;ID1,'Revenue Tracking'!$H$13:$H$26, "&lt;"&amp;IE1)</f>
        <v>0</v>
      </c>
      <c r="IE3" s="109">
        <f>SUMIFS('Revenue Tracking'!$F$13:$F$26, 'Revenue Tracking'!$H$13:$H$26, "&gt;="&amp;IE1,'Revenue Tracking'!$H$13:$H$26, "&lt;"&amp;IF1)</f>
        <v>0</v>
      </c>
      <c r="IF3" s="109">
        <f>SUMIFS('Revenue Tracking'!$F$13:$F$26, 'Revenue Tracking'!$H$13:$H$26, "&gt;="&amp;IF1,'Revenue Tracking'!$H$13:$H$26, "&lt;"&amp;IG1)</f>
        <v>0</v>
      </c>
      <c r="IG3" s="109">
        <f>SUMIFS('Revenue Tracking'!$F$13:$F$26, 'Revenue Tracking'!$H$13:$H$26, "&gt;="&amp;IG1,'Revenue Tracking'!$H$13:$H$26, "&lt;"&amp;IH1)</f>
        <v>0</v>
      </c>
      <c r="IH3" s="109">
        <f>SUMIFS('Revenue Tracking'!$F$13:$F$26, 'Revenue Tracking'!$H$13:$H$26, "&gt;="&amp;IH1,'Revenue Tracking'!$H$13:$H$26, "&lt;"&amp;II1)</f>
        <v>0</v>
      </c>
      <c r="II3" s="109">
        <f>SUMIFS('Revenue Tracking'!$F$13:$F$26, 'Revenue Tracking'!$H$13:$H$26, "&gt;="&amp;II1,'Revenue Tracking'!$H$13:$H$26, "&lt;"&amp;IJ1)</f>
        <v>0</v>
      </c>
      <c r="IJ3" s="109">
        <f>SUMIFS('Revenue Tracking'!$F$13:$F$26, 'Revenue Tracking'!$H$13:$H$26, "&gt;="&amp;IJ1,'Revenue Tracking'!$H$13:$H$26, "&lt;"&amp;IK1)</f>
        <v>0</v>
      </c>
      <c r="IK3" s="109">
        <f>SUMIFS('Revenue Tracking'!$F$13:$F$26, 'Revenue Tracking'!$H$13:$H$26, "&gt;="&amp;IK1,'Revenue Tracking'!$H$13:$H$26, "&lt;"&amp;IL1)</f>
        <v>0</v>
      </c>
      <c r="IL3" s="109">
        <f>SUMIFS('Revenue Tracking'!$F$13:$F$26, 'Revenue Tracking'!$H$13:$H$26, "&gt;="&amp;IL1,'Revenue Tracking'!$H$13:$H$26, "&lt;"&amp;IM1)</f>
        <v>0</v>
      </c>
      <c r="IM3" s="109">
        <f>SUMIFS('Revenue Tracking'!$F$13:$F$26, 'Revenue Tracking'!$H$13:$H$26, "&gt;="&amp;IM1,'Revenue Tracking'!$H$13:$H$26, "&lt;"&amp;IN1)</f>
        <v>0</v>
      </c>
      <c r="IN3" s="109">
        <f>SUMIFS('Revenue Tracking'!$F$13:$F$26, 'Revenue Tracking'!$H$13:$H$26, "&gt;="&amp;IN1,'Revenue Tracking'!$H$13:$H$26, "&lt;"&amp;IO1)</f>
        <v>0</v>
      </c>
      <c r="IO3" s="109">
        <f>SUMIFS('Revenue Tracking'!$F$13:$F$26, 'Revenue Tracking'!$H$13:$H$26, "&gt;="&amp;IO1,'Revenue Tracking'!$H$13:$H$26, "&lt;"&amp;IP1)</f>
        <v>0</v>
      </c>
      <c r="IP3" s="109">
        <f>SUMIFS('Revenue Tracking'!$F$13:$F$26, 'Revenue Tracking'!$H$13:$H$26, "&gt;="&amp;IP1,'Revenue Tracking'!$H$13:$H$26, "&lt;"&amp;IQ1)</f>
        <v>0</v>
      </c>
      <c r="IQ3" s="109">
        <f>SUMIFS('Revenue Tracking'!$F$13:$F$26, 'Revenue Tracking'!$H$13:$H$26, "&gt;="&amp;IQ1,'Revenue Tracking'!$H$13:$H$26, "&lt;"&amp;IR1)</f>
        <v>0</v>
      </c>
      <c r="IR3" s="109">
        <f>SUMIFS('Revenue Tracking'!$F$13:$F$26, 'Revenue Tracking'!$H$13:$H$26, "&gt;="&amp;IR1,'Revenue Tracking'!$H$13:$H$26, "&lt;"&amp;IS1)</f>
        <v>0</v>
      </c>
      <c r="IS3" s="109">
        <f>SUMIFS('Revenue Tracking'!$F$13:$F$26, 'Revenue Tracking'!$H$13:$H$26, "&gt;="&amp;IS1,'Revenue Tracking'!$H$13:$H$26, "&lt;"&amp;IT1)</f>
        <v>0</v>
      </c>
      <c r="IT3" s="109">
        <f>SUMIFS('Revenue Tracking'!$F$13:$F$26, 'Revenue Tracking'!$H$13:$H$26, "&gt;="&amp;IT1,'Revenue Tracking'!$H$13:$H$26, "&lt;"&amp;IU1)</f>
        <v>0</v>
      </c>
      <c r="IU3" s="109">
        <f>SUMIFS('Revenue Tracking'!$F$13:$F$26, 'Revenue Tracking'!$H$13:$H$26, "&gt;="&amp;IU1,'Revenue Tracking'!$H$13:$H$26, "&lt;"&amp;IV1)</f>
        <v>0</v>
      </c>
      <c r="IV3" s="109">
        <f>SUMIFS('Revenue Tracking'!$F$13:$F$26, 'Revenue Tracking'!$H$13:$H$26, "&gt;="&amp;IV1,'Revenue Tracking'!$H$13:$H$26, "&lt;"&amp;IW1)</f>
        <v>0</v>
      </c>
      <c r="IW3" s="109">
        <f>SUMIFS('Revenue Tracking'!$F$13:$F$26, 'Revenue Tracking'!$H$13:$H$26, "&gt;="&amp;IW1,'Revenue Tracking'!$H$13:$H$26, "&lt;"&amp;IX1)</f>
        <v>0</v>
      </c>
      <c r="IX3" s="109">
        <f>SUMIFS('Revenue Tracking'!$F$13:$F$26, 'Revenue Tracking'!$H$13:$H$26, "&gt;="&amp;IX1,'Revenue Tracking'!$H$13:$H$26, "&lt;"&amp;IY1)</f>
        <v>0</v>
      </c>
      <c r="IY3" s="109">
        <f>SUMIFS('Revenue Tracking'!$F$13:$F$26, 'Revenue Tracking'!$H$13:$H$26, "&gt;="&amp;IY1,'Revenue Tracking'!$H$13:$H$26, "&lt;"&amp;IZ1)</f>
        <v>0</v>
      </c>
      <c r="IZ3" s="109">
        <f>SUMIFS('Revenue Tracking'!$F$13:$F$26, 'Revenue Tracking'!$H$13:$H$26, "&gt;="&amp;IZ1,'Revenue Tracking'!$H$13:$H$26, "&lt;"&amp;JA1)</f>
        <v>0</v>
      </c>
      <c r="JA3" s="109">
        <f>SUMIFS('Revenue Tracking'!$F$13:$F$26, 'Revenue Tracking'!$H$13:$H$26, "&gt;="&amp;JA1,'Revenue Tracking'!$H$13:$H$26, "&lt;"&amp;JB1)</f>
        <v>0</v>
      </c>
      <c r="JB3" s="109">
        <f>SUMIFS('Revenue Tracking'!$F$13:$F$26, 'Revenue Tracking'!$H$13:$H$26, "&gt;="&amp;JB1,'Revenue Tracking'!$H$13:$H$26, "&lt;"&amp;JC1)</f>
        <v>0</v>
      </c>
      <c r="JC3" s="109">
        <f>SUMIFS('Revenue Tracking'!$F$13:$F$26, 'Revenue Tracking'!$H$13:$H$26, "&gt;="&amp;JC1,'Revenue Tracking'!$H$13:$H$26, "&lt;"&amp;JD1)</f>
        <v>0</v>
      </c>
      <c r="JD3" s="109">
        <f>SUMIFS('Revenue Tracking'!$F$13:$F$26, 'Revenue Tracking'!$H$13:$H$26, "&gt;="&amp;JD1,'Revenue Tracking'!$H$13:$H$26, "&lt;"&amp;JE1)</f>
        <v>0</v>
      </c>
      <c r="JE3" s="109">
        <f>SUMIFS('Revenue Tracking'!$F$13:$F$26, 'Revenue Tracking'!$H$13:$H$26, "&gt;="&amp;JE1,'Revenue Tracking'!$H$13:$H$26, "&lt;"&amp;JF1)</f>
        <v>0</v>
      </c>
      <c r="JF3" s="109">
        <f>SUMIFS('Revenue Tracking'!$F$13:$F$26, 'Revenue Tracking'!$H$13:$H$26, "&gt;="&amp;JF1,'Revenue Tracking'!$H$13:$H$26, "&lt;"&amp;JG1)</f>
        <v>0</v>
      </c>
      <c r="JG3" s="109">
        <f>SUMIFS('Revenue Tracking'!$F$13:$F$26, 'Revenue Tracking'!$H$13:$H$26, "&gt;="&amp;JG1,'Revenue Tracking'!$H$13:$H$26, "&lt;"&amp;JH1)</f>
        <v>0</v>
      </c>
      <c r="JH3" s="109">
        <f>SUMIFS('Revenue Tracking'!$F$13:$F$26, 'Revenue Tracking'!$H$13:$H$26, "&gt;="&amp;JH1,'Revenue Tracking'!$H$13:$H$26, "&lt;"&amp;JI1)</f>
        <v>0</v>
      </c>
      <c r="JI3" s="109">
        <f>SUMIFS('Revenue Tracking'!$F$13:$F$26, 'Revenue Tracking'!$H$13:$H$26, "&gt;="&amp;JI1,'Revenue Tracking'!$H$13:$H$26, "&lt;"&amp;JJ1)</f>
        <v>0</v>
      </c>
      <c r="JJ3" s="109">
        <f>SUMIFS('Revenue Tracking'!$F$13:$F$26, 'Revenue Tracking'!$H$13:$H$26, "&gt;="&amp;JJ1,'Revenue Tracking'!$H$13:$H$26, "&lt;"&amp;JK1)</f>
        <v>0</v>
      </c>
      <c r="JK3" s="109">
        <f>SUMIFS('Revenue Tracking'!$F$13:$F$26, 'Revenue Tracking'!$H$13:$H$26, "&gt;="&amp;JK1,'Revenue Tracking'!$H$13:$H$26, "&lt;"&amp;JL1)</f>
        <v>0</v>
      </c>
      <c r="JL3" s="109">
        <f>SUMIFS('Revenue Tracking'!$F$13:$F$26, 'Revenue Tracking'!$H$13:$H$26, "&gt;="&amp;JL1,'Revenue Tracking'!$H$13:$H$26, "&lt;"&amp;JM1)</f>
        <v>0</v>
      </c>
      <c r="JM3" s="109">
        <f>SUMIFS('Revenue Tracking'!$F$13:$F$26, 'Revenue Tracking'!$H$13:$H$26, "&gt;="&amp;JM1,'Revenue Tracking'!$H$13:$H$26, "&lt;"&amp;JN1)</f>
        <v>0</v>
      </c>
      <c r="JN3" s="109">
        <f>SUMIFS('Revenue Tracking'!$F$13:$F$26, 'Revenue Tracking'!$H$13:$H$26, "&gt;="&amp;JN1,'Revenue Tracking'!$H$13:$H$26, "&lt;"&amp;JO1)</f>
        <v>0</v>
      </c>
      <c r="JO3" s="109">
        <f>SUMIFS('Revenue Tracking'!$F$13:$F$26, 'Revenue Tracking'!$H$13:$H$26, "&gt;="&amp;JO1,'Revenue Tracking'!$H$13:$H$26, "&lt;"&amp;JP1)</f>
        <v>0</v>
      </c>
      <c r="JP3" s="109">
        <f>SUMIFS('Revenue Tracking'!$F$13:$F$26, 'Revenue Tracking'!$H$13:$H$26, "&gt;="&amp;JP1,'Revenue Tracking'!$H$13:$H$26, "&lt;"&amp;JQ1)</f>
        <v>0</v>
      </c>
      <c r="JQ3" s="109">
        <f>SUMIFS('Revenue Tracking'!$F$13:$F$26, 'Revenue Tracking'!$H$13:$H$26, "&gt;="&amp;JQ1,'Revenue Tracking'!$H$13:$H$26, "&lt;"&amp;JR1)</f>
        <v>0</v>
      </c>
      <c r="JR3" s="109">
        <f>SUMIFS('Revenue Tracking'!$F$13:$F$26, 'Revenue Tracking'!$H$13:$H$26, "&gt;="&amp;JR1,'Revenue Tracking'!$H$13:$H$26, "&lt;"&amp;JS1)</f>
        <v>0</v>
      </c>
      <c r="JS3" s="109">
        <f>SUMIFS('Revenue Tracking'!$F$13:$F$26, 'Revenue Tracking'!$H$13:$H$26, "&gt;="&amp;JS1,'Revenue Tracking'!$H$13:$H$26, "&lt;"&amp;JT1)</f>
        <v>0</v>
      </c>
      <c r="JT3" s="109">
        <f>SUMIFS('Revenue Tracking'!$F$13:$F$26, 'Revenue Tracking'!$H$13:$H$26, "&gt;="&amp;JT1,'Revenue Tracking'!$H$13:$H$26, "&lt;"&amp;JU1)</f>
        <v>0</v>
      </c>
      <c r="JU3" s="109">
        <f>SUMIFS('Revenue Tracking'!$F$13:$F$26, 'Revenue Tracking'!$H$13:$H$26, "&gt;="&amp;JU1,'Revenue Tracking'!$H$13:$H$26, "&lt;"&amp;JV1)</f>
        <v>0</v>
      </c>
      <c r="JV3" s="109">
        <f>SUMIFS('Revenue Tracking'!$F$13:$F$26, 'Revenue Tracking'!$H$13:$H$26, "&gt;="&amp;JV1,'Revenue Tracking'!$H$13:$H$26, "&lt;"&amp;JW1)</f>
        <v>0</v>
      </c>
      <c r="JW3" s="109">
        <f>SUMIFS('Revenue Tracking'!$F$13:$F$26, 'Revenue Tracking'!$H$13:$H$26, "&gt;="&amp;JW1,'Revenue Tracking'!$H$13:$H$26, "&lt;"&amp;JX1)</f>
        <v>0</v>
      </c>
      <c r="JX3" s="109">
        <f>SUMIFS('Revenue Tracking'!$F$13:$F$26, 'Revenue Tracking'!$H$13:$H$26, "&gt;="&amp;JX1,'Revenue Tracking'!$H$13:$H$26, "&lt;"&amp;JY1)</f>
        <v>0</v>
      </c>
      <c r="JY3" s="109">
        <f>SUMIFS('Revenue Tracking'!$F$13:$F$26, 'Revenue Tracking'!$H$13:$H$26, "&gt;="&amp;JY1,'Revenue Tracking'!$H$13:$H$26, "&lt;"&amp;JZ1)</f>
        <v>0</v>
      </c>
      <c r="JZ3" s="109">
        <f>SUMIFS('Revenue Tracking'!$F$13:$F$26, 'Revenue Tracking'!$H$13:$H$26, "&gt;="&amp;JZ1,'Revenue Tracking'!$H$13:$H$26, "&lt;"&amp;KA1)</f>
        <v>0</v>
      </c>
      <c r="KA3" s="109">
        <f>SUMIFS('Revenue Tracking'!$F$13:$F$26, 'Revenue Tracking'!$H$13:$H$26, "&gt;="&amp;KA1,'Revenue Tracking'!$H$13:$H$26, "&lt;"&amp;KB1)</f>
        <v>0</v>
      </c>
      <c r="KB3" s="109">
        <f>SUMIFS('Revenue Tracking'!$F$13:$F$26, 'Revenue Tracking'!$H$13:$H$26, "&gt;="&amp;KB1,'Revenue Tracking'!$H$13:$H$26, "&lt;"&amp;KC1)</f>
        <v>0</v>
      </c>
      <c r="KC3" s="109">
        <f>SUMIFS('Revenue Tracking'!$F$13:$F$26, 'Revenue Tracking'!$H$13:$H$26, "&gt;="&amp;KC1,'Revenue Tracking'!$H$13:$H$26, "&lt;"&amp;KD1)</f>
        <v>0</v>
      </c>
      <c r="KD3" s="109">
        <f>SUMIFS('Revenue Tracking'!$F$13:$F$26, 'Revenue Tracking'!$H$13:$H$26, "&gt;="&amp;KD1,'Revenue Tracking'!$H$13:$H$26, "&lt;"&amp;KE1)</f>
        <v>0</v>
      </c>
      <c r="KE3" s="109">
        <f>SUMIFS('Revenue Tracking'!$F$13:$F$26, 'Revenue Tracking'!$H$13:$H$26, "&gt;="&amp;KE1,'Revenue Tracking'!$H$13:$H$26, "&lt;"&amp;KF1)</f>
        <v>0</v>
      </c>
      <c r="KF3" s="109">
        <f>SUMIFS('Revenue Tracking'!$F$13:$F$26, 'Revenue Tracking'!$H$13:$H$26, "&gt;="&amp;KF1,'Revenue Tracking'!$H$13:$H$26, "&lt;"&amp;KG1)</f>
        <v>0</v>
      </c>
      <c r="KG3" s="109">
        <f>SUMIFS('Revenue Tracking'!$F$13:$F$26, 'Revenue Tracking'!$H$13:$H$26, "&gt;="&amp;KG1,'Revenue Tracking'!$H$13:$H$26, "&lt;"&amp;KH1)</f>
        <v>0</v>
      </c>
      <c r="KH3" s="109">
        <f>SUMIFS('Revenue Tracking'!$F$13:$F$26, 'Revenue Tracking'!$H$13:$H$26, "&gt;="&amp;KH1,'Revenue Tracking'!$H$13:$H$26, "&lt;"&amp;KI1)</f>
        <v>0</v>
      </c>
      <c r="KI3" s="109">
        <f>SUMIFS('Revenue Tracking'!$F$13:$F$26, 'Revenue Tracking'!$H$13:$H$26, "&gt;="&amp;KI1,'Revenue Tracking'!$H$13:$H$26, "&lt;"&amp;KJ1)</f>
        <v>0</v>
      </c>
      <c r="KJ3" s="109">
        <f>SUMIFS('Revenue Tracking'!$F$13:$F$26, 'Revenue Tracking'!$H$13:$H$26, "&gt;="&amp;KJ1,'Revenue Tracking'!$H$13:$H$26, "&lt;"&amp;KK1)</f>
        <v>0</v>
      </c>
      <c r="KK3" s="109">
        <f>SUMIFS('Revenue Tracking'!$F$13:$F$26, 'Revenue Tracking'!$H$13:$H$26, "&gt;="&amp;KK1,'Revenue Tracking'!$H$13:$H$26, "&lt;"&amp;KL1)</f>
        <v>0</v>
      </c>
      <c r="KL3" s="109">
        <f>SUMIFS('Revenue Tracking'!$F$13:$F$26, 'Revenue Tracking'!$H$13:$H$26, "&gt;="&amp;KL1,'Revenue Tracking'!$H$13:$H$26, "&lt;"&amp;KM1)</f>
        <v>0</v>
      </c>
      <c r="KM3" s="109">
        <f>SUMIFS('Revenue Tracking'!$F$13:$F$26, 'Revenue Tracking'!$H$13:$H$26, "&gt;="&amp;KM1,'Revenue Tracking'!$H$13:$H$26, "&lt;"&amp;KN1)</f>
        <v>0</v>
      </c>
      <c r="KN3" s="109">
        <f>SUMIFS('Revenue Tracking'!$F$13:$F$26, 'Revenue Tracking'!$H$13:$H$26, "&gt;="&amp;KN1,'Revenue Tracking'!$H$13:$H$26, "&lt;"&amp;KO1)</f>
        <v>0</v>
      </c>
      <c r="KO3" s="109">
        <f>SUMIFS('Revenue Tracking'!$F$13:$F$26, 'Revenue Tracking'!$H$13:$H$26, "&gt;="&amp;KO1,'Revenue Tracking'!$H$13:$H$26, "&lt;"&amp;KP1)</f>
        <v>0</v>
      </c>
      <c r="KP3" s="109">
        <f>SUMIFS('Revenue Tracking'!$F$13:$F$26, 'Revenue Tracking'!$H$13:$H$26, "&gt;="&amp;KP1,'Revenue Tracking'!$H$13:$H$26, "&lt;"&amp;KQ1)</f>
        <v>0</v>
      </c>
      <c r="KQ3" s="109">
        <f>SUMIFS('Revenue Tracking'!$F$13:$F$26, 'Revenue Tracking'!$H$13:$H$26, "&gt;="&amp;KQ1,'Revenue Tracking'!$H$13:$H$26, "&lt;"&amp;KR1)</f>
        <v>0</v>
      </c>
      <c r="KR3" s="109">
        <f>SUMIFS('Revenue Tracking'!$F$13:$F$26, 'Revenue Tracking'!$H$13:$H$26, "&gt;="&amp;KR1,'Revenue Tracking'!$H$13:$H$26, "&lt;"&amp;KS1)</f>
        <v>0</v>
      </c>
      <c r="KS3" s="109">
        <f>SUMIFS('Revenue Tracking'!$F$13:$F$26, 'Revenue Tracking'!$H$13:$H$26, "&gt;="&amp;KS1,'Revenue Tracking'!$H$13:$H$26, "&lt;"&amp;KT1)</f>
        <v>0</v>
      </c>
      <c r="KT3" s="109">
        <f>SUMIFS('Revenue Tracking'!$F$13:$F$26, 'Revenue Tracking'!$H$13:$H$26, "&gt;="&amp;KT1,'Revenue Tracking'!$H$13:$H$26, "&lt;"&amp;KU1)</f>
        <v>0</v>
      </c>
      <c r="KU3" s="109">
        <f>SUMIFS('Revenue Tracking'!$F$13:$F$26, 'Revenue Tracking'!$H$13:$H$26, "&gt;="&amp;KU1,'Revenue Tracking'!$H$13:$H$26, "&lt;"&amp;KV1)</f>
        <v>0</v>
      </c>
      <c r="KV3" s="109">
        <f>SUMIFS('Revenue Tracking'!$F$13:$F$26, 'Revenue Tracking'!$H$13:$H$26, "&gt;="&amp;KV1,'Revenue Tracking'!$H$13:$H$26, "&lt;"&amp;KW1)</f>
        <v>0</v>
      </c>
      <c r="KW3" s="109">
        <f>SUMIFS('Revenue Tracking'!$F$13:$F$26, 'Revenue Tracking'!$H$13:$H$26, "&gt;="&amp;KW1,'Revenue Tracking'!$H$13:$H$26, "&lt;"&amp;KX1)</f>
        <v>0</v>
      </c>
      <c r="KX3" s="109">
        <f>SUMIFS('Revenue Tracking'!$F$13:$F$26, 'Revenue Tracking'!$H$13:$H$26, "&gt;="&amp;KX1,'Revenue Tracking'!$H$13:$H$26, "&lt;"&amp;KY1)</f>
        <v>0</v>
      </c>
      <c r="KY3" s="109">
        <f>SUMIFS('Revenue Tracking'!$F$13:$F$26, 'Revenue Tracking'!$H$13:$H$26, "&gt;="&amp;KY1,'Revenue Tracking'!$H$13:$H$26, "&lt;"&amp;KZ1)</f>
        <v>0</v>
      </c>
      <c r="KZ3" s="109">
        <f>SUMIFS('Revenue Tracking'!$F$13:$F$26, 'Revenue Tracking'!$H$13:$H$26, "&gt;="&amp;KZ1,'Revenue Tracking'!$H$13:$H$26, "&lt;"&amp;LA1)</f>
        <v>0</v>
      </c>
      <c r="LA3" s="109">
        <f>SUMIFS('Revenue Tracking'!$F$13:$F$26, 'Revenue Tracking'!$H$13:$H$26, "&gt;="&amp;LA1,'Revenue Tracking'!$H$13:$H$26, "&lt;"&amp;LB1)</f>
        <v>0</v>
      </c>
      <c r="LB3" s="109">
        <f>SUMIFS('Revenue Tracking'!$F$13:$F$26, 'Revenue Tracking'!$H$13:$H$26, "&gt;="&amp;LB1,'Revenue Tracking'!$H$13:$H$26, "&lt;"&amp;LC1)</f>
        <v>0</v>
      </c>
      <c r="LC3" s="109">
        <f>SUMIFS('Revenue Tracking'!$F$13:$F$26, 'Revenue Tracking'!$H$13:$H$26, "&gt;="&amp;LC1,'Revenue Tracking'!$H$13:$H$26, "&lt;"&amp;LD1)</f>
        <v>0</v>
      </c>
      <c r="LD3" s="109">
        <f>SUMIFS('Revenue Tracking'!$F$13:$F$26, 'Revenue Tracking'!$H$13:$H$26, "&gt;="&amp;LD1,'Revenue Tracking'!$H$13:$H$26, "&lt;"&amp;LE1)</f>
        <v>0</v>
      </c>
      <c r="LE3" s="109">
        <f>SUMIFS('Revenue Tracking'!$F$13:$F$26, 'Revenue Tracking'!$H$13:$H$26, "&gt;="&amp;LE1,'Revenue Tracking'!$H$13:$H$26, "&lt;"&amp;LF1)</f>
        <v>0</v>
      </c>
      <c r="LF3" s="109">
        <f>SUMIFS('Revenue Tracking'!$F$13:$F$26, 'Revenue Tracking'!$H$13:$H$26, "&gt;="&amp;LF1,'Revenue Tracking'!$H$13:$H$26, "&lt;"&amp;LG1)</f>
        <v>0</v>
      </c>
      <c r="LG3" s="109">
        <f>SUMIFS('Revenue Tracking'!$F$13:$F$26, 'Revenue Tracking'!$H$13:$H$26, "&gt;="&amp;LG1,'Revenue Tracking'!$H$13:$H$26, "&lt;"&amp;LH1)</f>
        <v>0</v>
      </c>
      <c r="LH3" s="109">
        <f>SUMIFS('Revenue Tracking'!$F$13:$F$26, 'Revenue Tracking'!$H$13:$H$26, "&gt;="&amp;LH1,'Revenue Tracking'!$H$13:$H$26, "&lt;"&amp;LI1)</f>
        <v>0</v>
      </c>
      <c r="LI3" s="109">
        <f>SUMIFS('Revenue Tracking'!$F$13:$F$26, 'Revenue Tracking'!$H$13:$H$26, "&gt;="&amp;LI1,'Revenue Tracking'!$H$13:$H$26, "&lt;"&amp;LJ1)</f>
        <v>0</v>
      </c>
      <c r="LJ3" s="109">
        <f>SUMIFS('Revenue Tracking'!$F$13:$F$26, 'Revenue Tracking'!$H$13:$H$26, "&gt;="&amp;LJ1,'Revenue Tracking'!$H$13:$H$26, "&lt;"&amp;LK1)</f>
        <v>0</v>
      </c>
      <c r="LK3" s="109">
        <f>SUMIFS('Revenue Tracking'!$F$13:$F$26, 'Revenue Tracking'!$H$13:$H$26, "&gt;="&amp;LK1,'Revenue Tracking'!$H$13:$H$26, "&lt;"&amp;LL1)</f>
        <v>0</v>
      </c>
      <c r="LL3" s="109">
        <f>SUMIFS('Revenue Tracking'!$F$13:$F$26, 'Revenue Tracking'!$H$13:$H$26, "&gt;="&amp;LL1,'Revenue Tracking'!$H$13:$H$26, "&lt;"&amp;LM1)</f>
        <v>0</v>
      </c>
      <c r="LM3" s="109">
        <f>SUMIFS('Revenue Tracking'!$F$13:$F$26, 'Revenue Tracking'!$H$13:$H$26, "&gt;="&amp;LM1,'Revenue Tracking'!$H$13:$H$26, "&lt;"&amp;LN1)</f>
        <v>0</v>
      </c>
      <c r="LN3" s="109">
        <f>SUMIFS('Revenue Tracking'!$F$13:$F$26, 'Revenue Tracking'!$H$13:$H$26, "&gt;="&amp;LN1,'Revenue Tracking'!$H$13:$H$26, "&lt;"&amp;LO1)</f>
        <v>0</v>
      </c>
      <c r="LO3" s="109">
        <f>SUMIFS('Revenue Tracking'!$F$13:$F$26, 'Revenue Tracking'!$H$13:$H$26, "&gt;="&amp;LO1,'Revenue Tracking'!$H$13:$H$26, "&lt;"&amp;LP1)</f>
        <v>0</v>
      </c>
      <c r="LP3" s="109">
        <f>SUMIFS('Revenue Tracking'!$F$13:$F$26, 'Revenue Tracking'!$H$13:$H$26, "&gt;="&amp;LP1,'Revenue Tracking'!$H$13:$H$26, "&lt;"&amp;LQ1)</f>
        <v>0</v>
      </c>
      <c r="LQ3" s="109">
        <f>SUMIFS('Revenue Tracking'!$F$13:$F$26, 'Revenue Tracking'!$H$13:$H$26, "&gt;="&amp;LQ1,'Revenue Tracking'!$H$13:$H$26, "&lt;"&amp;LR1)</f>
        <v>0</v>
      </c>
      <c r="LR3" s="109">
        <f>SUMIFS('Revenue Tracking'!$F$13:$F$26, 'Revenue Tracking'!$H$13:$H$26, "&gt;="&amp;LR1,'Revenue Tracking'!$H$13:$H$26, "&lt;"&amp;LS1)</f>
        <v>0</v>
      </c>
      <c r="LS3" s="109">
        <f>SUMIFS('Revenue Tracking'!$F$13:$F$26, 'Revenue Tracking'!$H$13:$H$26, "&gt;="&amp;LS1,'Revenue Tracking'!$H$13:$H$26, "&lt;"&amp;LT1)</f>
        <v>0</v>
      </c>
      <c r="LT3" s="109">
        <f>SUMIFS('Revenue Tracking'!$F$13:$F$26, 'Revenue Tracking'!$H$13:$H$26, "&gt;="&amp;LT1,'Revenue Tracking'!$H$13:$H$26, "&lt;"&amp;LU1)</f>
        <v>0</v>
      </c>
      <c r="LU3" s="109">
        <f>SUMIFS('Revenue Tracking'!$F$13:$F$26, 'Revenue Tracking'!$H$13:$H$26, "&gt;="&amp;LU1,'Revenue Tracking'!$H$13:$H$26, "&lt;"&amp;LV1)</f>
        <v>0</v>
      </c>
      <c r="LV3" s="109">
        <f>SUMIFS('Revenue Tracking'!$F$13:$F$26, 'Revenue Tracking'!$H$13:$H$26, "&gt;="&amp;LV1,'Revenue Tracking'!$H$13:$H$26, "&lt;"&amp;LW1)</f>
        <v>0</v>
      </c>
      <c r="LW3" s="109">
        <f>SUMIFS('Revenue Tracking'!$F$13:$F$26, 'Revenue Tracking'!$H$13:$H$26, "&gt;="&amp;LW1,'Revenue Tracking'!$H$13:$H$26, "&lt;"&amp;LX1)</f>
        <v>0</v>
      </c>
      <c r="LX3" s="109">
        <f>SUMIFS('Revenue Tracking'!$F$13:$F$26, 'Revenue Tracking'!$H$13:$H$26, "&gt;="&amp;LX1,'Revenue Tracking'!$H$13:$H$26, "&lt;"&amp;LY1)</f>
        <v>0</v>
      </c>
      <c r="LY3" s="109">
        <f>SUMIFS('Revenue Tracking'!$F$13:$F$26, 'Revenue Tracking'!$H$13:$H$26, "&gt;="&amp;LY1,'Revenue Tracking'!$H$13:$H$26, "&lt;"&amp;LZ1)</f>
        <v>0</v>
      </c>
      <c r="LZ3" s="109">
        <f>SUMIFS('Revenue Tracking'!$F$13:$F$26, 'Revenue Tracking'!$H$13:$H$26, "&gt;="&amp;LZ1,'Revenue Tracking'!$H$13:$H$26, "&lt;"&amp;MA1)</f>
        <v>0</v>
      </c>
      <c r="MA3" s="109">
        <f>SUMIFS('Revenue Tracking'!$F$13:$F$26, 'Revenue Tracking'!$H$13:$H$26, "&gt;="&amp;MA1,'Revenue Tracking'!$H$13:$H$26, "&lt;"&amp;MB1)</f>
        <v>0</v>
      </c>
      <c r="MB3" s="109">
        <f>SUMIFS('Revenue Tracking'!$F$13:$F$26, 'Revenue Tracking'!$H$13:$H$26, "&gt;="&amp;MB1,'Revenue Tracking'!$H$13:$H$26, "&lt;"&amp;MC1)</f>
        <v>0</v>
      </c>
      <c r="MC3" s="109">
        <f>SUMIFS('Revenue Tracking'!$F$13:$F$26, 'Revenue Tracking'!$H$13:$H$26, "&gt;="&amp;MC1,'Revenue Tracking'!$H$13:$H$26, "&lt;"&amp;MD1)</f>
        <v>0</v>
      </c>
      <c r="MD3" s="109">
        <f>SUMIFS('Revenue Tracking'!$F$13:$F$26, 'Revenue Tracking'!$H$13:$H$26, "&gt;="&amp;MD1,'Revenue Tracking'!$H$13:$H$26, "&lt;"&amp;ME1)</f>
        <v>0</v>
      </c>
      <c r="ME3" s="109">
        <f>SUMIFS('Revenue Tracking'!$F$13:$F$26, 'Revenue Tracking'!$H$13:$H$26, "&gt;="&amp;ME1,'Revenue Tracking'!$H$13:$H$26, "&lt;"&amp;MF1)</f>
        <v>0</v>
      </c>
      <c r="MF3" s="109">
        <f>SUMIFS('Revenue Tracking'!$F$13:$F$26, 'Revenue Tracking'!$H$13:$H$26, "&gt;="&amp;MF1,'Revenue Tracking'!$H$13:$H$26, "&lt;"&amp;MG1)</f>
        <v>0</v>
      </c>
      <c r="MG3" s="109">
        <f>SUMIFS('Revenue Tracking'!$F$13:$F$26, 'Revenue Tracking'!$H$13:$H$26, "&gt;="&amp;MG1,'Revenue Tracking'!$H$13:$H$26, "&lt;"&amp;MH1)</f>
        <v>0</v>
      </c>
      <c r="MH3" s="109">
        <f>SUMIFS('Revenue Tracking'!$F$13:$F$26, 'Revenue Tracking'!$H$13:$H$26, "&gt;="&amp;MH1,'Revenue Tracking'!$H$13:$H$26, "&lt;"&amp;MI1)</f>
        <v>0</v>
      </c>
      <c r="MI3" s="109">
        <f>SUMIFS('Revenue Tracking'!$F$13:$F$26, 'Revenue Tracking'!$H$13:$H$26, "&gt;="&amp;MI1,'Revenue Tracking'!$H$13:$H$26, "&lt;"&amp;MJ1)</f>
        <v>0</v>
      </c>
      <c r="MJ3" s="109">
        <f>SUMIFS('Revenue Tracking'!$F$13:$F$26, 'Revenue Tracking'!$H$13:$H$26, "&gt;="&amp;MJ1,'Revenue Tracking'!$H$13:$H$26, "&lt;"&amp;MK1)</f>
        <v>0</v>
      </c>
      <c r="MK3" s="109">
        <f>SUMIFS('Revenue Tracking'!$F$13:$F$26, 'Revenue Tracking'!$H$13:$H$26, "&gt;="&amp;MK1,'Revenue Tracking'!$H$13:$H$26, "&lt;"&amp;ML1)</f>
        <v>0</v>
      </c>
      <c r="ML3" s="109">
        <f>SUMIFS('Revenue Tracking'!$F$13:$F$26, 'Revenue Tracking'!$H$13:$H$26, "&gt;="&amp;ML1,'Revenue Tracking'!$H$13:$H$26, "&lt;"&amp;MM1)</f>
        <v>0</v>
      </c>
      <c r="MM3" s="109">
        <f>SUMIFS('Revenue Tracking'!$F$13:$F$26, 'Revenue Tracking'!$H$13:$H$26, "&gt;="&amp;MM1,'Revenue Tracking'!$H$13:$H$26, "&lt;"&amp;MN1)</f>
        <v>0</v>
      </c>
      <c r="MN3" s="109">
        <f>SUMIFS('Revenue Tracking'!$F$13:$F$26, 'Revenue Tracking'!$H$13:$H$26, "&gt;="&amp;MN1,'Revenue Tracking'!$H$13:$H$26, "&lt;"&amp;MO1)</f>
        <v>0</v>
      </c>
      <c r="MO3" s="109">
        <f>SUMIFS('Revenue Tracking'!$F$13:$F$26, 'Revenue Tracking'!$H$13:$H$26, "&gt;="&amp;MO1,'Revenue Tracking'!$H$13:$H$26, "&lt;"&amp;MP1)</f>
        <v>0</v>
      </c>
      <c r="MP3" s="109">
        <f>SUMIFS('Revenue Tracking'!$F$13:$F$26, 'Revenue Tracking'!$H$13:$H$26, "&gt;="&amp;MP1,'Revenue Tracking'!$H$13:$H$26, "&lt;"&amp;MQ1)</f>
        <v>0</v>
      </c>
      <c r="MQ3" s="109">
        <f>SUMIFS('Revenue Tracking'!$F$13:$F$26, 'Revenue Tracking'!$H$13:$H$26, "&gt;="&amp;MQ1,'Revenue Tracking'!$H$13:$H$26, "&lt;"&amp;MR1)</f>
        <v>0</v>
      </c>
      <c r="MR3" s="109">
        <f>SUMIFS('Revenue Tracking'!$F$13:$F$26, 'Revenue Tracking'!$H$13:$H$26, "&gt;="&amp;MR1,'Revenue Tracking'!$H$13:$H$26, "&lt;"&amp;MS1)</f>
        <v>0</v>
      </c>
      <c r="MS3" s="109">
        <f>SUMIFS('Revenue Tracking'!$F$13:$F$26, 'Revenue Tracking'!$H$13:$H$26, "&gt;="&amp;MS1,'Revenue Tracking'!$H$13:$H$26, "&lt;"&amp;MT1)</f>
        <v>0</v>
      </c>
      <c r="MT3" s="109">
        <f>SUMIFS('Revenue Tracking'!$F$13:$F$26, 'Revenue Tracking'!$H$13:$H$26, "&gt;="&amp;MT1,'Revenue Tracking'!$H$13:$H$26, "&lt;"&amp;MU1)</f>
        <v>0</v>
      </c>
      <c r="MU3" s="109">
        <f>SUMIFS('Revenue Tracking'!$F$13:$F$26, 'Revenue Tracking'!$H$13:$H$26, "&gt;="&amp;MU1,'Revenue Tracking'!$H$13:$H$26, "&lt;"&amp;MV1)</f>
        <v>0</v>
      </c>
      <c r="MV3" s="109">
        <f>SUMIFS('Revenue Tracking'!$F$13:$F$26, 'Revenue Tracking'!$H$13:$H$26, "&gt;="&amp;MV1,'Revenue Tracking'!$H$13:$H$26, "&lt;"&amp;MW1)</f>
        <v>0</v>
      </c>
      <c r="MW3" s="109">
        <f>SUMIFS('Revenue Tracking'!$F$13:$F$26, 'Revenue Tracking'!$H$13:$H$26, "&gt;="&amp;MW1,'Revenue Tracking'!$H$13:$H$26, "&lt;"&amp;MX1)</f>
        <v>0</v>
      </c>
      <c r="MX3" s="109">
        <f>SUMIFS('Revenue Tracking'!$F$13:$F$26, 'Revenue Tracking'!$H$13:$H$26, "&gt;="&amp;MX1,'Revenue Tracking'!$H$13:$H$26, "&lt;"&amp;MY1)</f>
        <v>0</v>
      </c>
      <c r="MY3" s="109">
        <f>SUMIFS('Revenue Tracking'!$F$13:$F$26, 'Revenue Tracking'!$H$13:$H$26, "&gt;="&amp;MY1,'Revenue Tracking'!$H$13:$H$26, "&lt;"&amp;MZ1)</f>
        <v>0</v>
      </c>
      <c r="MZ3" s="109">
        <f>SUMIFS('Revenue Tracking'!$F$13:$F$26, 'Revenue Tracking'!$H$13:$H$26, "&gt;="&amp;MZ1,'Revenue Tracking'!$H$13:$H$26, "&lt;"&amp;NA1)</f>
        <v>0</v>
      </c>
      <c r="NA3" s="109">
        <f>SUMIFS('Revenue Tracking'!$F$13:$F$26, 'Revenue Tracking'!$H$13:$H$26, "&gt;="&amp;NA1,'Revenue Tracking'!$H$13:$H$26, "&lt;"&amp;NB1)</f>
        <v>0</v>
      </c>
      <c r="NB3" s="109">
        <f>SUMIFS('Revenue Tracking'!$F$13:$F$26, 'Revenue Tracking'!$H$13:$H$26, "&gt;="&amp;NB1,'Revenue Tracking'!$H$13:$H$26, "&lt;"&amp;NC1)</f>
        <v>0</v>
      </c>
      <c r="NC3" s="109">
        <f>SUMIFS('Revenue Tracking'!$F$13:$F$26, 'Revenue Tracking'!$H$13:$H$26, "&gt;="&amp;NC1,'Revenue Tracking'!$H$13:$H$26, "&lt;"&amp;ND1)</f>
        <v>0</v>
      </c>
      <c r="ND3" s="109">
        <f>SUMIFS('Revenue Tracking'!$F$13:$F$26, 'Revenue Tracking'!$H$13:$H$26, "&gt;="&amp;ND1,'Revenue Tracking'!$H$13:$H$26, "&lt;"&amp;NE1)</f>
        <v>0</v>
      </c>
      <c r="NE3" s="109">
        <f>SUMIFS('Revenue Tracking'!$F$13:$F$26, 'Revenue Tracking'!$H$13:$H$26, "&gt;="&amp;NE1,'Revenue Tracking'!$H$13:$H$26, "&lt;"&amp;NF1)</f>
        <v>0</v>
      </c>
      <c r="NF3" s="109">
        <f>SUMIFS('Revenue Tracking'!$F$13:$F$26, 'Revenue Tracking'!$H$13:$H$26, "&gt;="&amp;NF1,'Revenue Tracking'!$H$13:$H$26, "&lt;"&amp;NG1)</f>
        <v>0</v>
      </c>
      <c r="NG3" s="109">
        <f>SUMIFS('Revenue Tracking'!$F$13:$F$26, 'Revenue Tracking'!$H$13:$H$26, "&gt;="&amp;NG1,'Revenue Tracking'!$H$13:$H$26, "&lt;"&amp;NH1)</f>
        <v>0</v>
      </c>
      <c r="NH3" s="109">
        <f>SUMIFS('Revenue Tracking'!$F$13:$F$26, 'Revenue Tracking'!$H$13:$H$26, "&gt;="&amp;NH1,'Revenue Tracking'!$H$13:$H$26, "&lt;"&amp;NI1)</f>
        <v>0</v>
      </c>
      <c r="NI3" s="109">
        <f>SUMIFS('Revenue Tracking'!$F$13:$F$26, 'Revenue Tracking'!$H$13:$H$26, "&gt;="&amp;NI1,'Revenue Tracking'!$H$13:$H$26, "&lt;"&amp;NJ1)</f>
        <v>0</v>
      </c>
      <c r="NJ3" s="109">
        <f>SUMIFS('Revenue Tracking'!$F$13:$F$26, 'Revenue Tracking'!$H$13:$H$26, "&gt;="&amp;NJ1,'Revenue Tracking'!$H$13:$H$26, "&lt;"&amp;NK1)</f>
        <v>0</v>
      </c>
      <c r="NK3" s="109">
        <f>SUMIFS('Revenue Tracking'!$F$13:$F$26, 'Revenue Tracking'!$H$13:$H$26, "&gt;="&amp;NK1,'Revenue Tracking'!$H$13:$H$26, "&lt;"&amp;NL1)</f>
        <v>0</v>
      </c>
      <c r="NL3" s="109">
        <f>SUMIFS('Revenue Tracking'!$F$13:$F$26, 'Revenue Tracking'!$H$13:$H$26, "&gt;="&amp;NL1,'Revenue Tracking'!$H$13:$H$26, "&lt;"&amp;NM1)</f>
        <v>0</v>
      </c>
      <c r="NM3" s="109">
        <f>SUMIFS('Revenue Tracking'!$F$13:$F$26, 'Revenue Tracking'!$H$13:$H$26, "&gt;="&amp;NM1,'Revenue Tracking'!$H$13:$H$26, "&lt;"&amp;NN1)</f>
        <v>0</v>
      </c>
      <c r="NN3" s="109">
        <f>SUMIFS('Revenue Tracking'!$F$13:$F$26, 'Revenue Tracking'!$H$13:$H$26, "&gt;="&amp;NN1,'Revenue Tracking'!$H$13:$H$26, "&lt;"&amp;NO1)</f>
        <v>0</v>
      </c>
      <c r="NO3" s="109">
        <f>SUMIFS('Revenue Tracking'!$F$13:$F$26, 'Revenue Tracking'!$H$13:$H$26, "&gt;="&amp;NO1,'Revenue Tracking'!$H$13:$H$26, "&lt;"&amp;NP1)</f>
        <v>0</v>
      </c>
      <c r="NP3" s="109">
        <f>SUMIFS('Revenue Tracking'!$F$13:$F$26, 'Revenue Tracking'!$H$13:$H$26, "&gt;="&amp;NP1,'Revenue Tracking'!$H$13:$H$26, "&lt;"&amp;NQ1)</f>
        <v>0</v>
      </c>
      <c r="NQ3" s="109">
        <f>SUMIFS('Revenue Tracking'!$F$13:$F$26, 'Revenue Tracking'!$H$13:$H$26, "&gt;="&amp;NQ1,'Revenue Tracking'!$H$13:$H$26, "&lt;"&amp;NR1)</f>
        <v>0</v>
      </c>
      <c r="NR3" s="109">
        <f>SUMIFS('Revenue Tracking'!$F$13:$F$26, 'Revenue Tracking'!$H$13:$H$26, "&gt;="&amp;NR1,'Revenue Tracking'!$H$13:$H$26, "&lt;"&amp;NS1)</f>
        <v>0</v>
      </c>
      <c r="NS3" s="109">
        <f>SUMIFS('Revenue Tracking'!$F$13:$F$26, 'Revenue Tracking'!$H$13:$H$26, "&gt;="&amp;NS1,'Revenue Tracking'!$H$13:$H$26, "&lt;"&amp;NT1)</f>
        <v>0</v>
      </c>
      <c r="NT3" s="109">
        <f>SUMIFS('Revenue Tracking'!$F$13:$F$26, 'Revenue Tracking'!$H$13:$H$26, "&gt;="&amp;NT1,'Revenue Tracking'!$H$13:$H$26, "&lt;"&amp;NU1)</f>
        <v>0</v>
      </c>
      <c r="NU3" s="109">
        <f>SUMIFS('Revenue Tracking'!$F$13:$F$26, 'Revenue Tracking'!$H$13:$H$26, "&gt;="&amp;NU1,'Revenue Tracking'!$H$13:$H$26, "&lt;"&amp;NV1)</f>
        <v>0</v>
      </c>
      <c r="NV3" s="109">
        <f>SUMIFS('Revenue Tracking'!$F$13:$F$26, 'Revenue Tracking'!$H$13:$H$26, "&gt;="&amp;NV1,'Revenue Tracking'!$H$13:$H$26, "&lt;"&amp;NW1)</f>
        <v>0</v>
      </c>
      <c r="NW3" s="109">
        <f>SUMIFS('Revenue Tracking'!$F$13:$F$26, 'Revenue Tracking'!$H$13:$H$26, "&gt;="&amp;NW1,'Revenue Tracking'!$H$13:$H$26, "&lt;"&amp;NX1)</f>
        <v>0</v>
      </c>
      <c r="NX3" s="109">
        <f>SUMIFS('Revenue Tracking'!$F$13:$F$26, 'Revenue Tracking'!$H$13:$H$26, "&gt;="&amp;NX1,'Revenue Tracking'!$H$13:$H$26, "&lt;"&amp;NY1)</f>
        <v>0</v>
      </c>
      <c r="NY3" s="109">
        <f>SUMIFS('Revenue Tracking'!$F$13:$F$26, 'Revenue Tracking'!$H$13:$H$26, "&gt;="&amp;NY1,'Revenue Tracking'!$H$13:$H$26, "&lt;"&amp;NZ1)</f>
        <v>0</v>
      </c>
      <c r="NZ3" s="109">
        <f>SUMIFS('Revenue Tracking'!$F$13:$F$26, 'Revenue Tracking'!$H$13:$H$26, "&gt;="&amp;NZ1,'Revenue Tracking'!$H$13:$H$26, "&lt;"&amp;OA1)</f>
        <v>0</v>
      </c>
      <c r="OA3" s="109">
        <f>SUMIFS('Revenue Tracking'!$F$13:$F$26, 'Revenue Tracking'!$H$13:$H$26, "&gt;="&amp;OA1,'Revenue Tracking'!$H$13:$H$26, "&lt;"&amp;OB1)</f>
        <v>0</v>
      </c>
      <c r="OB3" s="109">
        <f>SUMIFS('Revenue Tracking'!$F$13:$F$26, 'Revenue Tracking'!$H$13:$H$26, "&gt;="&amp;OB1,'Revenue Tracking'!$H$13:$H$26, "&lt;"&amp;OC1)</f>
        <v>0</v>
      </c>
      <c r="OC3" s="109">
        <f>SUMIFS('Revenue Tracking'!$F$13:$F$26, 'Revenue Tracking'!$H$13:$H$26, "&gt;="&amp;OC1,'Revenue Tracking'!$H$13:$H$26, "&lt;"&amp;OD1)</f>
        <v>0</v>
      </c>
      <c r="OD3" s="109">
        <f>SUMIFS('Revenue Tracking'!$F$13:$F$26, 'Revenue Tracking'!$H$13:$H$26, "&gt;="&amp;OD1,'Revenue Tracking'!$H$13:$H$26, "&lt;"&amp;OE1)</f>
        <v>0</v>
      </c>
      <c r="OE3" s="109">
        <f>SUMIFS('Revenue Tracking'!$F$13:$F$26, 'Revenue Tracking'!$H$13:$H$26, "&gt;="&amp;OE1,'Revenue Tracking'!$H$13:$H$26, "&lt;"&amp;OF1)</f>
        <v>0</v>
      </c>
      <c r="OF3" s="109">
        <f>SUMIFS('Revenue Tracking'!$F$13:$F$26, 'Revenue Tracking'!$H$13:$H$26, "&gt;="&amp;OF1,'Revenue Tracking'!$H$13:$H$26, "&lt;"&amp;OG1)</f>
        <v>0</v>
      </c>
      <c r="OG3" s="109">
        <f>SUMIFS('Revenue Tracking'!$F$13:$F$26, 'Revenue Tracking'!$H$13:$H$26, "&gt;="&amp;OG1,'Revenue Tracking'!$H$13:$H$26, "&lt;"&amp;OH1)</f>
        <v>0</v>
      </c>
      <c r="OH3" s="109">
        <f>SUMIFS('Revenue Tracking'!$F$13:$F$26, 'Revenue Tracking'!$H$13:$H$26, "&gt;="&amp;OH1,'Revenue Tracking'!$H$13:$H$26, "&lt;"&amp;OI1)</f>
        <v>0</v>
      </c>
      <c r="OI3" s="109">
        <f>SUMIFS('Revenue Tracking'!$F$13:$F$26, 'Revenue Tracking'!$H$13:$H$26, "&gt;="&amp;OI1,'Revenue Tracking'!$H$13:$H$26, "&lt;"&amp;OJ1)</f>
        <v>0</v>
      </c>
      <c r="OJ3" s="109">
        <f>SUMIFS('Revenue Tracking'!$F$13:$F$26, 'Revenue Tracking'!$H$13:$H$26, "&gt;="&amp;OJ1,'Revenue Tracking'!$H$13:$H$26, "&lt;"&amp;OK1)</f>
        <v>0</v>
      </c>
      <c r="OK3" s="109">
        <f>SUMIFS('Revenue Tracking'!$F$13:$F$26, 'Revenue Tracking'!$H$13:$H$26, "&gt;="&amp;OK1,'Revenue Tracking'!$H$13:$H$26, "&lt;"&amp;OL1)</f>
        <v>0</v>
      </c>
      <c r="OL3" s="109">
        <f>SUMIFS('Revenue Tracking'!$F$13:$F$26, 'Revenue Tracking'!$H$13:$H$26, "&gt;="&amp;OL1,'Revenue Tracking'!$H$13:$H$26, "&lt;"&amp;OM1)</f>
        <v>0</v>
      </c>
      <c r="OM3" s="109">
        <f>SUMIFS('Revenue Tracking'!$F$13:$F$26, 'Revenue Tracking'!$H$13:$H$26, "&gt;="&amp;OM1,'Revenue Tracking'!$H$13:$H$26, "&lt;"&amp;ON1)</f>
        <v>0</v>
      </c>
      <c r="ON3" s="109">
        <f>SUMIFS('Revenue Tracking'!$F$13:$F$26, 'Revenue Tracking'!$H$13:$H$26, "&gt;="&amp;ON1,'Revenue Tracking'!$H$13:$H$26, "&lt;"&amp;OO1)</f>
        <v>0</v>
      </c>
      <c r="OO3" s="109">
        <f>SUMIFS('Revenue Tracking'!$F$13:$F$26, 'Revenue Tracking'!$H$13:$H$26, "&gt;="&amp;OO1,'Revenue Tracking'!$H$13:$H$26, "&lt;"&amp;OP1)</f>
        <v>0</v>
      </c>
      <c r="OP3" s="109">
        <f>SUMIFS('Revenue Tracking'!$F$13:$F$26, 'Revenue Tracking'!$H$13:$H$26, "&gt;="&amp;OP1,'Revenue Tracking'!$H$13:$H$26, "&lt;"&amp;OQ1)</f>
        <v>0</v>
      </c>
      <c r="OQ3" s="109">
        <f>SUMIFS('Revenue Tracking'!$F$13:$F$26, 'Revenue Tracking'!$H$13:$H$26, "&gt;="&amp;OQ1,'Revenue Tracking'!$H$13:$H$26, "&lt;"&amp;OR1)</f>
        <v>0</v>
      </c>
      <c r="OR3" s="109">
        <f>SUMIFS('Revenue Tracking'!$F$13:$F$26, 'Revenue Tracking'!$H$13:$H$26, "&gt;="&amp;OR1,'Revenue Tracking'!$H$13:$H$26, "&lt;"&amp;OS1)</f>
        <v>0</v>
      </c>
      <c r="OS3" s="109">
        <f>SUMIFS('Revenue Tracking'!$F$13:$F$26, 'Revenue Tracking'!$H$13:$H$26, "&gt;="&amp;OS1,'Revenue Tracking'!$H$13:$H$26, "&lt;"&amp;OT1)</f>
        <v>0</v>
      </c>
      <c r="OT3" s="109">
        <f>SUMIFS('Revenue Tracking'!$F$13:$F$26, 'Revenue Tracking'!$H$13:$H$26, "&gt;="&amp;OT1,'Revenue Tracking'!$H$13:$H$26, "&lt;"&amp;OU1)</f>
        <v>0</v>
      </c>
      <c r="OU3" s="109">
        <f>SUMIFS('Revenue Tracking'!$F$13:$F$26, 'Revenue Tracking'!$H$13:$H$26, "&gt;="&amp;OU1,'Revenue Tracking'!$H$13:$H$26, "&lt;"&amp;OV1)</f>
        <v>0</v>
      </c>
      <c r="OV3" s="109">
        <f>SUMIFS('Revenue Tracking'!$F$13:$F$26, 'Revenue Tracking'!$H$13:$H$26, "&gt;="&amp;OV1,'Revenue Tracking'!$H$13:$H$26, "&lt;"&amp;OW1)</f>
        <v>0</v>
      </c>
      <c r="OW3" s="109">
        <f>SUMIFS('Revenue Tracking'!$F$13:$F$26, 'Revenue Tracking'!$H$13:$H$26, "&gt;="&amp;OW1,'Revenue Tracking'!$H$13:$H$26, "&lt;"&amp;OX1)</f>
        <v>0</v>
      </c>
      <c r="OX3" s="109">
        <f>SUMIFS('Revenue Tracking'!$F$13:$F$26, 'Revenue Tracking'!$H$13:$H$26, "&gt;="&amp;OX1,'Revenue Tracking'!$H$13:$H$26, "&lt;"&amp;OY1)</f>
        <v>0</v>
      </c>
      <c r="OY3" s="109">
        <f>SUMIFS('Revenue Tracking'!$F$13:$F$26, 'Revenue Tracking'!$H$13:$H$26, "&gt;="&amp;OY1,'Revenue Tracking'!$H$13:$H$26, "&lt;"&amp;OZ1)</f>
        <v>0</v>
      </c>
      <c r="OZ3" s="109">
        <f>SUMIFS('Revenue Tracking'!$F$13:$F$26, 'Revenue Tracking'!$H$13:$H$26, "&gt;="&amp;OZ1,'Revenue Tracking'!$H$13:$H$26, "&lt;"&amp;PA1)</f>
        <v>0</v>
      </c>
      <c r="PA3" s="109">
        <f>SUMIFS('Revenue Tracking'!$F$13:$F$26, 'Revenue Tracking'!$H$13:$H$26, "&gt;="&amp;PA1,'Revenue Tracking'!$H$13:$H$26, "&lt;"&amp;PB1)</f>
        <v>0</v>
      </c>
      <c r="PB3" s="109">
        <f>SUMIFS('Revenue Tracking'!$F$13:$F$26, 'Revenue Tracking'!$H$13:$H$26, "&gt;="&amp;PB1,'Revenue Tracking'!$H$13:$H$26, "&lt;"&amp;PC1)</f>
        <v>0</v>
      </c>
      <c r="PC3" s="109">
        <f>SUMIFS('Revenue Tracking'!$F$13:$F$26, 'Revenue Tracking'!$H$13:$H$26, "&gt;="&amp;PC1,'Revenue Tracking'!$H$13:$H$26, "&lt;"&amp;PD1)</f>
        <v>0</v>
      </c>
      <c r="PD3" s="109">
        <f>SUMIFS('Revenue Tracking'!$F$13:$F$26, 'Revenue Tracking'!$H$13:$H$26, "&gt;="&amp;PD1,'Revenue Tracking'!$H$13:$H$26, "&lt;"&amp;PE1)</f>
        <v>0</v>
      </c>
      <c r="PE3" s="109">
        <f>SUMIFS('Revenue Tracking'!$F$13:$F$26, 'Revenue Tracking'!$H$13:$H$26, "&gt;="&amp;PE1,'Revenue Tracking'!$H$13:$H$26, "&lt;"&amp;PF1)</f>
        <v>0</v>
      </c>
      <c r="PF3" s="109">
        <f>SUMIFS('Revenue Tracking'!$F$13:$F$26, 'Revenue Tracking'!$H$13:$H$26, "&gt;="&amp;PF1,'Revenue Tracking'!$H$13:$H$26, "&lt;"&amp;PG1)</f>
        <v>0</v>
      </c>
      <c r="PG3" s="109">
        <f>SUMIFS('Revenue Tracking'!$F$13:$F$26, 'Revenue Tracking'!$H$13:$H$26, "&gt;="&amp;PG1,'Revenue Tracking'!$H$13:$H$26, "&lt;"&amp;PH1)</f>
        <v>0</v>
      </c>
      <c r="PH3" s="109">
        <f>SUMIFS('Revenue Tracking'!$F$13:$F$26, 'Revenue Tracking'!$H$13:$H$26, "&gt;="&amp;PH1,'Revenue Tracking'!$H$13:$H$26, "&lt;"&amp;PI1)</f>
        <v>0</v>
      </c>
      <c r="PI3" s="109">
        <f>SUMIFS('Revenue Tracking'!$F$13:$F$26, 'Revenue Tracking'!$H$13:$H$26, "&gt;="&amp;PI1,'Revenue Tracking'!$H$13:$H$26, "&lt;"&amp;PJ1)</f>
        <v>0</v>
      </c>
      <c r="PJ3" s="109">
        <f>SUMIFS('Revenue Tracking'!$F$13:$F$26, 'Revenue Tracking'!$H$13:$H$26, "&gt;="&amp;PJ1,'Revenue Tracking'!$H$13:$H$26, "&lt;"&amp;PK1)</f>
        <v>0</v>
      </c>
      <c r="PK3" s="109">
        <f>SUMIFS('Revenue Tracking'!$F$13:$F$26, 'Revenue Tracking'!$H$13:$H$26, "&gt;="&amp;PK1,'Revenue Tracking'!$H$13:$H$26, "&lt;"&amp;PL1)</f>
        <v>0</v>
      </c>
      <c r="PL3" s="109">
        <f>SUMIFS('Revenue Tracking'!$F$13:$F$26, 'Revenue Tracking'!$H$13:$H$26, "&gt;="&amp;PL1,'Revenue Tracking'!$H$13:$H$26, "&lt;"&amp;PM1)</f>
        <v>0</v>
      </c>
      <c r="PM3" s="109">
        <f>SUMIFS('Revenue Tracking'!$F$13:$F$26, 'Revenue Tracking'!$H$13:$H$26, "&gt;="&amp;PM1,'Revenue Tracking'!$H$13:$H$26, "&lt;"&amp;PN1)</f>
        <v>0</v>
      </c>
      <c r="PN3" s="109">
        <f>SUMIFS('Revenue Tracking'!$F$13:$F$26, 'Revenue Tracking'!$H$13:$H$26, "&gt;="&amp;PN1,'Revenue Tracking'!$H$13:$H$26, "&lt;"&amp;PO1)</f>
        <v>0</v>
      </c>
      <c r="PO3" s="109">
        <f>SUMIFS('Revenue Tracking'!$F$13:$F$26, 'Revenue Tracking'!$H$13:$H$26, "&gt;="&amp;PO1,'Revenue Tracking'!$H$13:$H$26, "&lt;"&amp;PP1)</f>
        <v>0</v>
      </c>
      <c r="PP3" s="109">
        <f>SUMIFS('Revenue Tracking'!$F$13:$F$26, 'Revenue Tracking'!$H$13:$H$26, "&gt;="&amp;PP1,'Revenue Tracking'!$H$13:$H$26, "&lt;"&amp;PQ1)</f>
        <v>0</v>
      </c>
      <c r="PQ3" s="109">
        <f>SUMIFS('Revenue Tracking'!$F$13:$F$26, 'Revenue Tracking'!$H$13:$H$26, "&gt;="&amp;PQ1,'Revenue Tracking'!$H$13:$H$26, "&lt;"&amp;PR1)</f>
        <v>0</v>
      </c>
      <c r="PR3" s="109">
        <f>SUMIFS('Revenue Tracking'!$F$13:$F$26, 'Revenue Tracking'!$H$13:$H$26, "&gt;="&amp;PR1,'Revenue Tracking'!$H$13:$H$26, "&lt;"&amp;PS1)</f>
        <v>0</v>
      </c>
      <c r="PS3" s="109">
        <f>SUMIFS('Revenue Tracking'!$F$13:$F$26, 'Revenue Tracking'!$H$13:$H$26, "&gt;="&amp;PS1,'Revenue Tracking'!$H$13:$H$26, "&lt;"&amp;PT1)</f>
        <v>0</v>
      </c>
      <c r="PT3" s="109">
        <f>SUMIFS('Revenue Tracking'!$F$13:$F$26, 'Revenue Tracking'!$H$13:$H$26, "&gt;="&amp;PT1,'Revenue Tracking'!$H$13:$H$26, "&lt;"&amp;PU1)</f>
        <v>0</v>
      </c>
      <c r="PU3" s="109">
        <f>SUMIFS('Revenue Tracking'!$F$13:$F$26, 'Revenue Tracking'!$H$13:$H$26, "&gt;="&amp;PU1,'Revenue Tracking'!$H$13:$H$26, "&lt;"&amp;PV1)</f>
        <v>0</v>
      </c>
      <c r="PV3" s="109">
        <f>SUMIFS('Revenue Tracking'!$F$13:$F$26, 'Revenue Tracking'!$H$13:$H$26, "&gt;="&amp;PV1,'Revenue Tracking'!$H$13:$H$26, "&lt;"&amp;PW1)</f>
        <v>0</v>
      </c>
      <c r="PW3" s="109">
        <f>SUMIFS('Revenue Tracking'!$F$13:$F$26, 'Revenue Tracking'!$H$13:$H$26, "&gt;="&amp;PW1,'Revenue Tracking'!$H$13:$H$26, "&lt;"&amp;PX1)</f>
        <v>0</v>
      </c>
      <c r="PX3" s="109">
        <f>SUMIFS('Revenue Tracking'!$F$13:$F$26, 'Revenue Tracking'!$H$13:$H$26, "&gt;="&amp;PX1,'Revenue Tracking'!$H$13:$H$26, "&lt;"&amp;PY1)</f>
        <v>0</v>
      </c>
      <c r="PY3" s="109">
        <f>SUMIFS('Revenue Tracking'!$F$13:$F$26, 'Revenue Tracking'!$H$13:$H$26, "&gt;="&amp;PY1,'Revenue Tracking'!$H$13:$H$26, "&lt;"&amp;PZ1)</f>
        <v>0</v>
      </c>
      <c r="PZ3" s="109">
        <f>SUMIFS('Revenue Tracking'!$F$13:$F$26, 'Revenue Tracking'!$H$13:$H$26, "&gt;="&amp;PZ1,'Revenue Tracking'!$H$13:$H$26, "&lt;"&amp;QA1)</f>
        <v>0</v>
      </c>
      <c r="QA3" s="109">
        <f>SUMIFS('Revenue Tracking'!$F$13:$F$26, 'Revenue Tracking'!$H$13:$H$26, "&gt;="&amp;QA1,'Revenue Tracking'!$H$13:$H$26, "&lt;"&amp;QB1)</f>
        <v>0</v>
      </c>
      <c r="QB3" s="109">
        <f>SUMIFS('Revenue Tracking'!$F$13:$F$26, 'Revenue Tracking'!$H$13:$H$26, "&gt;="&amp;QB1,'Revenue Tracking'!$H$13:$H$26, "&lt;"&amp;QC1)</f>
        <v>0</v>
      </c>
      <c r="QC3" s="109">
        <f>SUMIFS('Revenue Tracking'!$F$13:$F$26, 'Revenue Tracking'!$H$13:$H$26, "&gt;="&amp;QC1,'Revenue Tracking'!$H$13:$H$26, "&lt;"&amp;QD1)</f>
        <v>0</v>
      </c>
      <c r="QD3" s="109">
        <f>SUMIFS('Revenue Tracking'!$F$13:$F$26, 'Revenue Tracking'!$H$13:$H$26, "&gt;="&amp;QD1,'Revenue Tracking'!$H$13:$H$26, "&lt;"&amp;QE1)</f>
        <v>0</v>
      </c>
      <c r="QE3" s="109">
        <f>SUMIFS('Revenue Tracking'!$F$13:$F$26, 'Revenue Tracking'!$H$13:$H$26, "&gt;="&amp;QE1,'Revenue Tracking'!$H$13:$H$26, "&lt;"&amp;QF1)</f>
        <v>0</v>
      </c>
      <c r="QF3" s="109">
        <f>SUMIFS('Revenue Tracking'!$F$13:$F$26, 'Revenue Tracking'!$H$13:$H$26, "&gt;="&amp;QF1,'Revenue Tracking'!$H$13:$H$26, "&lt;"&amp;QG1)</f>
        <v>0</v>
      </c>
      <c r="QG3" s="109">
        <f>SUMIFS('Revenue Tracking'!$F$13:$F$26, 'Revenue Tracking'!$H$13:$H$26, "&gt;="&amp;QG1,'Revenue Tracking'!$H$13:$H$26, "&lt;"&amp;QH1)</f>
        <v>0</v>
      </c>
      <c r="QH3" s="109">
        <f>SUMIFS('Revenue Tracking'!$F$13:$F$26, 'Revenue Tracking'!$H$13:$H$26, "&gt;="&amp;QH1,'Revenue Tracking'!$H$13:$H$26, "&lt;"&amp;QI1)</f>
        <v>0</v>
      </c>
      <c r="QI3" s="109">
        <f>SUMIFS('Revenue Tracking'!$F$13:$F$26, 'Revenue Tracking'!$H$13:$H$26, "&gt;="&amp;QI1,'Revenue Tracking'!$H$13:$H$26, "&lt;"&amp;QJ1)</f>
        <v>0</v>
      </c>
      <c r="QJ3" s="109">
        <f>SUMIFS('Revenue Tracking'!$F$13:$F$26, 'Revenue Tracking'!$H$13:$H$26, "&gt;="&amp;QJ1,'Revenue Tracking'!$H$13:$H$26, "&lt;"&amp;QK1)</f>
        <v>0</v>
      </c>
      <c r="QK3" s="109">
        <f>SUMIFS('Revenue Tracking'!$F$13:$F$26, 'Revenue Tracking'!$H$13:$H$26, "&gt;="&amp;QK1,'Revenue Tracking'!$H$13:$H$26, "&lt;"&amp;QL1)</f>
        <v>0</v>
      </c>
      <c r="QL3" s="109">
        <f>SUMIFS('Revenue Tracking'!$F$13:$F$26, 'Revenue Tracking'!$H$13:$H$26, "&gt;="&amp;QL1,'Revenue Tracking'!$H$13:$H$26, "&lt;"&amp;QM1)</f>
        <v>0</v>
      </c>
      <c r="QM3" s="109">
        <f>SUMIFS('Revenue Tracking'!$F$13:$F$26, 'Revenue Tracking'!$H$13:$H$26, "&gt;="&amp;QM1,'Revenue Tracking'!$H$13:$H$26, "&lt;"&amp;QN1)</f>
        <v>0</v>
      </c>
      <c r="QN3" s="109">
        <f>SUMIFS('Revenue Tracking'!$F$13:$F$26, 'Revenue Tracking'!$H$13:$H$26, "&gt;="&amp;QN1,'Revenue Tracking'!$H$13:$H$26, "&lt;"&amp;QO1)</f>
        <v>0</v>
      </c>
      <c r="QO3" s="109">
        <f>SUMIFS('Revenue Tracking'!$F$13:$F$26, 'Revenue Tracking'!$H$13:$H$26, "&gt;="&amp;QO1,'Revenue Tracking'!$H$13:$H$26, "&lt;"&amp;QP1)</f>
        <v>0</v>
      </c>
      <c r="QP3" s="109">
        <f>SUMIFS('Revenue Tracking'!$F$13:$F$26, 'Revenue Tracking'!$H$13:$H$26, "&gt;="&amp;QP1,'Revenue Tracking'!$H$13:$H$26, "&lt;"&amp;QQ1)</f>
        <v>0</v>
      </c>
      <c r="QQ3" s="109">
        <f>SUMIFS('Revenue Tracking'!$F$13:$F$26, 'Revenue Tracking'!$H$13:$H$26, "&gt;="&amp;QQ1,'Revenue Tracking'!$H$13:$H$26, "&lt;"&amp;QR1)</f>
        <v>0</v>
      </c>
      <c r="QR3" s="109">
        <f>SUMIFS('Revenue Tracking'!$F$13:$F$26, 'Revenue Tracking'!$H$13:$H$26, "&gt;="&amp;QR1,'Revenue Tracking'!$H$13:$H$26, "&lt;"&amp;QS1)</f>
        <v>0</v>
      </c>
      <c r="QS3" s="109">
        <f>SUMIFS('Revenue Tracking'!$F$13:$F$26, 'Revenue Tracking'!$H$13:$H$26, "&gt;="&amp;QS1,'Revenue Tracking'!$H$13:$H$26, "&lt;"&amp;QT1)</f>
        <v>0</v>
      </c>
      <c r="QT3" s="109">
        <f>SUMIFS('Revenue Tracking'!$F$13:$F$26, 'Revenue Tracking'!$H$13:$H$26, "&gt;="&amp;QT1,'Revenue Tracking'!$H$13:$H$26, "&lt;"&amp;QU1)</f>
        <v>0</v>
      </c>
      <c r="QU3" s="109">
        <f>SUMIFS('Revenue Tracking'!$F$13:$F$26, 'Revenue Tracking'!$H$13:$H$26, "&gt;="&amp;QU1,'Revenue Tracking'!$H$13:$H$26, "&lt;"&amp;QV1)</f>
        <v>0</v>
      </c>
      <c r="QV3" s="109">
        <f>SUMIFS('Revenue Tracking'!$F$13:$F$26, 'Revenue Tracking'!$H$13:$H$26, "&gt;="&amp;QV1,'Revenue Tracking'!$H$13:$H$26, "&lt;"&amp;QW1)</f>
        <v>0</v>
      </c>
      <c r="QW3" s="109">
        <f>SUMIFS('Revenue Tracking'!$F$13:$F$26, 'Revenue Tracking'!$H$13:$H$26, "&gt;="&amp;QW1,'Revenue Tracking'!$H$13:$H$26, "&lt;"&amp;QX1)</f>
        <v>0</v>
      </c>
      <c r="QX3" s="109">
        <f>SUMIFS('Revenue Tracking'!$F$13:$F$26, 'Revenue Tracking'!$H$13:$H$26, "&gt;="&amp;QX1,'Revenue Tracking'!$H$13:$H$26, "&lt;"&amp;QY1)</f>
        <v>0</v>
      </c>
      <c r="QY3" s="109">
        <f>SUMIFS('Revenue Tracking'!$F$13:$F$26, 'Revenue Tracking'!$H$13:$H$26, "&gt;="&amp;QY1,'Revenue Tracking'!$H$13:$H$26, "&lt;"&amp;QZ1)</f>
        <v>0</v>
      </c>
      <c r="QZ3" s="109">
        <f>SUMIFS('Revenue Tracking'!$F$13:$F$26, 'Revenue Tracking'!$H$13:$H$26, "&gt;="&amp;QZ1,'Revenue Tracking'!$H$13:$H$26, "&lt;"&amp;RA1)</f>
        <v>0</v>
      </c>
      <c r="RA3" s="109">
        <f>SUMIFS('Revenue Tracking'!$F$13:$F$26, 'Revenue Tracking'!$H$13:$H$26, "&gt;="&amp;RA1,'Revenue Tracking'!$H$13:$H$26, "&lt;"&amp;RB1)</f>
        <v>0</v>
      </c>
      <c r="RB3" s="109">
        <f>SUMIFS('Revenue Tracking'!$F$13:$F$26, 'Revenue Tracking'!$H$13:$H$26, "&gt;="&amp;RB1,'Revenue Tracking'!$H$13:$H$26, "&lt;"&amp;RC1)</f>
        <v>0</v>
      </c>
      <c r="RC3" s="109">
        <f>SUMIFS('Revenue Tracking'!$F$13:$F$26, 'Revenue Tracking'!$H$13:$H$26, "&gt;="&amp;RC1,'Revenue Tracking'!$H$13:$H$26, "&lt;"&amp;RD1)</f>
        <v>0</v>
      </c>
      <c r="RD3" s="109">
        <f>SUMIFS('Revenue Tracking'!$F$13:$F$26, 'Revenue Tracking'!$H$13:$H$26, "&gt;="&amp;RD1,'Revenue Tracking'!$H$13:$H$26, "&lt;"&amp;RE1)</f>
        <v>0</v>
      </c>
      <c r="RE3" s="109">
        <f>SUMIFS('Revenue Tracking'!$F$13:$F$26, 'Revenue Tracking'!$H$13:$H$26, "&gt;="&amp;RE1,'Revenue Tracking'!$H$13:$H$26, "&lt;"&amp;RF1)</f>
        <v>0</v>
      </c>
      <c r="RF3" s="109">
        <f>SUMIFS('Revenue Tracking'!$F$13:$F$26, 'Revenue Tracking'!$H$13:$H$26, "&gt;="&amp;RF1,'Revenue Tracking'!$H$13:$H$26, "&lt;"&amp;RG1)</f>
        <v>0</v>
      </c>
      <c r="RG3" s="109">
        <f>SUMIFS('Revenue Tracking'!$F$13:$F$26, 'Revenue Tracking'!$H$13:$H$26, "&gt;="&amp;RG1,'Revenue Tracking'!$H$13:$H$26, "&lt;"&amp;RH1)</f>
        <v>0</v>
      </c>
      <c r="RH3" s="109">
        <f>SUMIFS('Revenue Tracking'!$F$13:$F$26, 'Revenue Tracking'!$H$13:$H$26, "&gt;="&amp;RH1,'Revenue Tracking'!$H$13:$H$26, "&lt;"&amp;RI1)</f>
        <v>0</v>
      </c>
      <c r="RI3" s="109">
        <f>SUMIFS('Revenue Tracking'!$F$13:$F$26, 'Revenue Tracking'!$H$13:$H$26, "&gt;="&amp;RI1,'Revenue Tracking'!$H$13:$H$26, "&lt;"&amp;RJ1)</f>
        <v>0</v>
      </c>
      <c r="RJ3" s="109">
        <f>SUMIFS('Revenue Tracking'!$F$13:$F$26, 'Revenue Tracking'!$H$13:$H$26, "&gt;="&amp;RJ1,'Revenue Tracking'!$H$13:$H$26, "&lt;"&amp;RK1)</f>
        <v>0</v>
      </c>
      <c r="RK3" s="109">
        <f>SUMIFS('Revenue Tracking'!$F$13:$F$26, 'Revenue Tracking'!$H$13:$H$26, "&gt;="&amp;RK1,'Revenue Tracking'!$H$13:$H$26, "&lt;"&amp;RL1)</f>
        <v>0</v>
      </c>
      <c r="RL3" s="109">
        <f>SUMIFS('Revenue Tracking'!$F$13:$F$26, 'Revenue Tracking'!$H$13:$H$26, "&gt;="&amp;RL1,'Revenue Tracking'!$H$13:$H$26, "&lt;"&amp;RM1)</f>
        <v>0</v>
      </c>
      <c r="RM3" s="109">
        <f>SUMIFS('Revenue Tracking'!$F$13:$F$26, 'Revenue Tracking'!$H$13:$H$26, "&gt;="&amp;RM1,'Revenue Tracking'!$H$13:$H$26, "&lt;"&amp;RN1)</f>
        <v>0</v>
      </c>
      <c r="RN3" s="109">
        <f>SUMIFS('Revenue Tracking'!$F$13:$F$26, 'Revenue Tracking'!$H$13:$H$26, "&gt;="&amp;RN1,'Revenue Tracking'!$H$13:$H$26, "&lt;"&amp;RO1)</f>
        <v>0</v>
      </c>
      <c r="RO3" s="109">
        <f>SUMIFS('Revenue Tracking'!$F$13:$F$26, 'Revenue Tracking'!$H$13:$H$26, "&gt;="&amp;RO1,'Revenue Tracking'!$H$13:$H$26, "&lt;"&amp;RP1)</f>
        <v>0</v>
      </c>
      <c r="RP3" s="109">
        <f>SUMIFS('Revenue Tracking'!$F$13:$F$26, 'Revenue Tracking'!$H$13:$H$26, "&gt;="&amp;RP1,'Revenue Tracking'!$H$13:$H$26, "&lt;"&amp;RQ1)</f>
        <v>0</v>
      </c>
      <c r="RQ3" s="109">
        <f>SUMIFS('Revenue Tracking'!$F$13:$F$26, 'Revenue Tracking'!$H$13:$H$26, "&gt;="&amp;RQ1,'Revenue Tracking'!$H$13:$H$26, "&lt;"&amp;RR1)</f>
        <v>0</v>
      </c>
      <c r="RR3" s="109">
        <f>SUMIFS('Revenue Tracking'!$F$13:$F$26, 'Revenue Tracking'!$H$13:$H$26, "&gt;="&amp;RR1,'Revenue Tracking'!$H$13:$H$26, "&lt;"&amp;RS1)</f>
        <v>0</v>
      </c>
      <c r="RS3" s="109">
        <f>SUMIFS('Revenue Tracking'!$F$13:$F$26, 'Revenue Tracking'!$H$13:$H$26, "&gt;="&amp;RS1,'Revenue Tracking'!$H$13:$H$26, "&lt;"&amp;RT1)</f>
        <v>0</v>
      </c>
      <c r="RT3" s="109">
        <f>SUMIFS('Revenue Tracking'!$F$13:$F$26, 'Revenue Tracking'!$H$13:$H$26, "&gt;="&amp;RT1,'Revenue Tracking'!$H$13:$H$26, "&lt;"&amp;RU1)</f>
        <v>0</v>
      </c>
      <c r="RU3" s="109">
        <f>SUMIFS('Revenue Tracking'!$F$13:$F$26, 'Revenue Tracking'!$H$13:$H$26, "&gt;="&amp;RU1,'Revenue Tracking'!$H$13:$H$26, "&lt;"&amp;RV1)</f>
        <v>0</v>
      </c>
      <c r="RV3" s="109">
        <f>SUMIFS('Revenue Tracking'!$F$13:$F$26, 'Revenue Tracking'!$H$13:$H$26, "&gt;="&amp;RV1,'Revenue Tracking'!$H$13:$H$26, "&lt;"&amp;RW1)</f>
        <v>0</v>
      </c>
      <c r="RW3" s="109">
        <f>SUMIFS('Revenue Tracking'!$F$13:$F$26, 'Revenue Tracking'!$H$13:$H$26, "&gt;="&amp;RW1,'Revenue Tracking'!$H$13:$H$26, "&lt;"&amp;RX1)</f>
        <v>0</v>
      </c>
      <c r="RX3" s="109">
        <f>SUMIFS('Revenue Tracking'!$F$13:$F$26, 'Revenue Tracking'!$H$13:$H$26, "&gt;="&amp;RX1,'Revenue Tracking'!$H$13:$H$26, "&lt;"&amp;RY1)</f>
        <v>0</v>
      </c>
      <c r="RY3" s="109">
        <f>SUMIFS('Revenue Tracking'!$F$13:$F$26, 'Revenue Tracking'!$H$13:$H$26, "&gt;="&amp;RY1,'Revenue Tracking'!$H$13:$H$26, "&lt;"&amp;RZ1)</f>
        <v>0</v>
      </c>
      <c r="RZ3" s="109">
        <f>SUMIFS('Revenue Tracking'!$F$13:$F$26, 'Revenue Tracking'!$H$13:$H$26, "&gt;="&amp;RZ1,'Revenue Tracking'!$H$13:$H$26, "&lt;"&amp;SA1)</f>
        <v>0</v>
      </c>
      <c r="SA3" s="109">
        <f>SUMIFS('Revenue Tracking'!$F$13:$F$26, 'Revenue Tracking'!$H$13:$H$26, "&gt;="&amp;SA1,'Revenue Tracking'!$H$13:$H$26, "&lt;"&amp;SB1)</f>
        <v>0</v>
      </c>
      <c r="SB3" s="109">
        <f>SUMIFS('Revenue Tracking'!$F$13:$F$26, 'Revenue Tracking'!$H$13:$H$26, "&gt;="&amp;SB1,'Revenue Tracking'!$H$13:$H$26, "&lt;"&amp;SC1)</f>
        <v>0</v>
      </c>
      <c r="SC3" s="109">
        <f>SUMIFS('Revenue Tracking'!$F$13:$F$26, 'Revenue Tracking'!$H$13:$H$26, "&gt;="&amp;SC1,'Revenue Tracking'!$H$13:$H$26, "&lt;"&amp;SD1)</f>
        <v>0</v>
      </c>
      <c r="SD3" s="109">
        <f>SUMIFS('Revenue Tracking'!$F$13:$F$26, 'Revenue Tracking'!$H$13:$H$26, "&gt;="&amp;SD1,'Revenue Tracking'!$H$13:$H$26, "&lt;"&amp;SE1)</f>
        <v>0</v>
      </c>
      <c r="SE3" s="109">
        <f>SUMIFS('Revenue Tracking'!$F$13:$F$26, 'Revenue Tracking'!$H$13:$H$26, "&gt;="&amp;SE1,'Revenue Tracking'!$H$13:$H$26, "&lt;"&amp;SF1)</f>
        <v>0</v>
      </c>
      <c r="SF3" s="109">
        <f>SUMIFS('Revenue Tracking'!$F$13:$F$26, 'Revenue Tracking'!$H$13:$H$26, "&gt;="&amp;SF1,'Revenue Tracking'!$H$13:$H$26, "&lt;"&amp;SG1)</f>
        <v>0</v>
      </c>
      <c r="SG3" s="109">
        <f>SUMIFS('Revenue Tracking'!$F$13:$F$26, 'Revenue Tracking'!$H$13:$H$26, "&gt;="&amp;SG1,'Revenue Tracking'!$H$13:$H$26, "&lt;"&amp;SH1)</f>
        <v>0</v>
      </c>
      <c r="SH3" s="109">
        <f>SUMIFS('Revenue Tracking'!$F$13:$F$26, 'Revenue Tracking'!$H$13:$H$26, "&gt;="&amp;SH1,'Revenue Tracking'!$H$13:$H$26, "&lt;"&amp;SI1)</f>
        <v>0</v>
      </c>
      <c r="SI3" s="109">
        <f>SUMIFS('Revenue Tracking'!$F$13:$F$26, 'Revenue Tracking'!$H$13:$H$26, "&gt;="&amp;SI1,'Revenue Tracking'!$H$13:$H$26, "&lt;"&amp;SJ1)</f>
        <v>0</v>
      </c>
      <c r="SJ3" s="109">
        <f>SUMIFS('Revenue Tracking'!$F$13:$F$26, 'Revenue Tracking'!$H$13:$H$26, "&gt;="&amp;SJ1,'Revenue Tracking'!$H$13:$H$26, "&lt;"&amp;SK1)</f>
        <v>0</v>
      </c>
      <c r="SK3" s="109">
        <f>SUMIFS('Revenue Tracking'!$F$13:$F$26, 'Revenue Tracking'!$H$13:$H$26, "&gt;="&amp;SK1,'Revenue Tracking'!$H$13:$H$26, "&lt;"&amp;SL1)</f>
        <v>0</v>
      </c>
      <c r="SL3" s="109">
        <f>SUMIFS('Revenue Tracking'!$F$13:$F$26, 'Revenue Tracking'!$H$13:$H$26, "&gt;="&amp;SL1,'Revenue Tracking'!$H$13:$H$26, "&lt;"&amp;SM1)</f>
        <v>0</v>
      </c>
      <c r="SM3" s="109">
        <f>SUMIFS('Revenue Tracking'!$F$13:$F$26, 'Revenue Tracking'!$H$13:$H$26, "&gt;="&amp;SM1,'Revenue Tracking'!$H$13:$H$26, "&lt;"&amp;SN1)</f>
        <v>0</v>
      </c>
      <c r="SN3" s="109">
        <f>SUMIFS('Revenue Tracking'!$F$13:$F$26, 'Revenue Tracking'!$H$13:$H$26, "&gt;="&amp;SN1,'Revenue Tracking'!$H$13:$H$26, "&lt;"&amp;SO1)</f>
        <v>0</v>
      </c>
      <c r="SO3" s="109">
        <f>SUMIFS('Revenue Tracking'!$F$13:$F$26, 'Revenue Tracking'!$H$13:$H$26, "&gt;="&amp;SO1,'Revenue Tracking'!$H$13:$H$26, "&lt;"&amp;SP1)</f>
        <v>0</v>
      </c>
      <c r="SP3" s="109">
        <f>SUMIFS('Revenue Tracking'!$F$13:$F$26, 'Revenue Tracking'!$H$13:$H$26, "&gt;="&amp;SP1,'Revenue Tracking'!$H$13:$H$26, "&lt;"&amp;SQ1)</f>
        <v>0</v>
      </c>
      <c r="SQ3" s="109">
        <f>SUMIFS('Revenue Tracking'!$F$13:$F$26, 'Revenue Tracking'!$H$13:$H$26, "&gt;="&amp;SQ1,'Revenue Tracking'!$H$13:$H$26, "&lt;"&amp;SR1)</f>
        <v>0</v>
      </c>
      <c r="SR3" s="109">
        <f>SUMIFS('Revenue Tracking'!$F$13:$F$26, 'Revenue Tracking'!$H$13:$H$26, "&gt;="&amp;SR1,'Revenue Tracking'!$H$13:$H$26, "&lt;"&amp;SS1)</f>
        <v>0</v>
      </c>
      <c r="SS3" s="109">
        <f>SUMIFS('Revenue Tracking'!$F$13:$F$26, 'Revenue Tracking'!$H$13:$H$26, "&gt;="&amp;SS1,'Revenue Tracking'!$H$13:$H$26, "&lt;"&amp;ST1)</f>
        <v>0</v>
      </c>
      <c r="ST3" s="109">
        <f>SUMIFS('Revenue Tracking'!$F$13:$F$26, 'Revenue Tracking'!$H$13:$H$26, "&gt;="&amp;ST1,'Revenue Tracking'!$H$13:$H$26, "&lt;"&amp;SU1)</f>
        <v>0</v>
      </c>
      <c r="SU3" s="109">
        <f>SUMIFS('Revenue Tracking'!$F$13:$F$26, 'Revenue Tracking'!$H$13:$H$26, "&gt;="&amp;SU1,'Revenue Tracking'!$H$13:$H$26, "&lt;"&amp;SV1)</f>
        <v>0</v>
      </c>
      <c r="SV3" s="109">
        <f>SUMIFS('Revenue Tracking'!$F$13:$F$26, 'Revenue Tracking'!$H$13:$H$26, "&gt;="&amp;SV1,'Revenue Tracking'!$H$13:$H$26, "&lt;"&amp;SW1)</f>
        <v>0</v>
      </c>
      <c r="SW3" s="109">
        <f>SUMIFS('Revenue Tracking'!$F$13:$F$26, 'Revenue Tracking'!$H$13:$H$26, "&gt;="&amp;SW1,'Revenue Tracking'!$H$13:$H$26, "&lt;"&amp;SX1)</f>
        <v>0</v>
      </c>
      <c r="SX3" s="109">
        <f>SUMIFS('Revenue Tracking'!$F$13:$F$26, 'Revenue Tracking'!$H$13:$H$26, "&gt;="&amp;SX1,'Revenue Tracking'!$H$13:$H$26, "&lt;"&amp;SY1)</f>
        <v>0</v>
      </c>
      <c r="SY3" s="109">
        <f>SUMIFS('Revenue Tracking'!$F$13:$F$26, 'Revenue Tracking'!$H$13:$H$26, "&gt;="&amp;SY1,'Revenue Tracking'!$H$13:$H$26, "&lt;"&amp;SZ1)</f>
        <v>0</v>
      </c>
      <c r="SZ3" s="109">
        <f>SUMIFS('Revenue Tracking'!$F$13:$F$26, 'Revenue Tracking'!$H$13:$H$26, "&gt;="&amp;SZ1,'Revenue Tracking'!$H$13:$H$26, "&lt;"&amp;TA1)</f>
        <v>0</v>
      </c>
      <c r="TA3" s="109">
        <f>SUMIFS('Revenue Tracking'!$F$13:$F$26, 'Revenue Tracking'!$H$13:$H$26, "&gt;="&amp;TA1,'Revenue Tracking'!$H$13:$H$26, "&lt;"&amp;TB1)</f>
        <v>0</v>
      </c>
      <c r="TB3" s="109">
        <f>SUMIFS('Revenue Tracking'!$F$13:$F$26, 'Revenue Tracking'!$H$13:$H$26, "&gt;="&amp;TB1,'Revenue Tracking'!$H$13:$H$26, "&lt;"&amp;TC1)</f>
        <v>0</v>
      </c>
      <c r="TC3" s="109">
        <f>SUMIFS('Revenue Tracking'!$F$13:$F$26, 'Revenue Tracking'!$H$13:$H$26, "&gt;="&amp;TC1,'Revenue Tracking'!$H$13:$H$26, "&lt;"&amp;TD1)</f>
        <v>0</v>
      </c>
      <c r="TD3" s="109">
        <f>SUMIFS('Revenue Tracking'!$F$13:$F$26, 'Revenue Tracking'!$H$13:$H$26, "&gt;="&amp;TD1,'Revenue Tracking'!$H$13:$H$26, "&lt;"&amp;TE1)</f>
        <v>0</v>
      </c>
      <c r="TE3" s="109">
        <f>SUMIFS('Revenue Tracking'!$F$13:$F$26, 'Revenue Tracking'!$H$13:$H$26, "&gt;="&amp;TE1,'Revenue Tracking'!$H$13:$H$26, "&lt;"&amp;TF1)</f>
        <v>0</v>
      </c>
      <c r="TF3" s="109">
        <f>SUMIFS('Revenue Tracking'!$F$13:$F$26, 'Revenue Tracking'!$H$13:$H$26, "&gt;="&amp;TF1,'Revenue Tracking'!$H$13:$H$26, "&lt;"&amp;TG1)</f>
        <v>0</v>
      </c>
      <c r="TG3" s="109">
        <f>SUMIFS('Revenue Tracking'!$F$13:$F$26, 'Revenue Tracking'!$H$13:$H$26, "&gt;="&amp;TG1,'Revenue Tracking'!$H$13:$H$26, "&lt;"&amp;TH1)</f>
        <v>0</v>
      </c>
      <c r="TH3" s="109">
        <f>SUMIFS('Revenue Tracking'!$F$13:$F$26, 'Revenue Tracking'!$H$13:$H$26, "&gt;="&amp;TH1,'Revenue Tracking'!$H$13:$H$26, "&lt;"&amp;TI1)</f>
        <v>0</v>
      </c>
      <c r="TI3" s="109">
        <f>SUMIFS('Revenue Tracking'!$F$13:$F$26, 'Revenue Tracking'!$H$13:$H$26, "&gt;="&amp;TI1,'Revenue Tracking'!$H$13:$H$26, "&lt;"&amp;TJ1)</f>
        <v>0</v>
      </c>
      <c r="TJ3" s="109">
        <f>SUMIFS('Revenue Tracking'!$F$13:$F$26, 'Revenue Tracking'!$H$13:$H$26, "&gt;="&amp;TJ1,'Revenue Tracking'!$H$13:$H$26, "&lt;"&amp;TK1)</f>
        <v>0</v>
      </c>
      <c r="TK3" s="109">
        <f>SUMIFS('Revenue Tracking'!$F$13:$F$26, 'Revenue Tracking'!$H$13:$H$26, "&gt;="&amp;TK1,'Revenue Tracking'!$H$13:$H$26, "&lt;"&amp;TL1)</f>
        <v>0</v>
      </c>
      <c r="TL3" s="109">
        <f>SUMIFS('Revenue Tracking'!$F$13:$F$26, 'Revenue Tracking'!$H$13:$H$26, "&gt;="&amp;TL1,'Revenue Tracking'!$H$13:$H$26, "&lt;"&amp;TM1)</f>
        <v>0</v>
      </c>
      <c r="TM3" s="109">
        <f>SUMIFS('Revenue Tracking'!$F$13:$F$26, 'Revenue Tracking'!$H$13:$H$26, "&gt;="&amp;TM1,'Revenue Tracking'!$H$13:$H$26, "&lt;"&amp;TN1)</f>
        <v>0</v>
      </c>
      <c r="TN3" s="109">
        <f>SUMIFS('Revenue Tracking'!$F$13:$F$26, 'Revenue Tracking'!$H$13:$H$26, "&gt;="&amp;TN1,'Revenue Tracking'!$H$13:$H$26, "&lt;"&amp;TO1)</f>
        <v>0</v>
      </c>
      <c r="TO3" s="109">
        <f>SUMIFS('Revenue Tracking'!$F$13:$F$26, 'Revenue Tracking'!$H$13:$H$26, "&gt;="&amp;TO1,'Revenue Tracking'!$H$13:$H$26, "&lt;"&amp;TP1)</f>
        <v>0</v>
      </c>
      <c r="TP3" s="109">
        <f>SUMIFS('Revenue Tracking'!$F$13:$F$26, 'Revenue Tracking'!$H$13:$H$26, "&gt;="&amp;TP1,'Revenue Tracking'!$H$13:$H$26, "&lt;"&amp;TQ1)</f>
        <v>0</v>
      </c>
      <c r="TQ3" s="109">
        <f>SUMIFS('Revenue Tracking'!$F$13:$F$26, 'Revenue Tracking'!$H$13:$H$26, "&gt;="&amp;TQ1,'Revenue Tracking'!$H$13:$H$26, "&lt;"&amp;TR1)</f>
        <v>0</v>
      </c>
      <c r="TR3" s="109">
        <f>SUMIFS('Revenue Tracking'!$F$13:$F$26, 'Revenue Tracking'!$H$13:$H$26, "&gt;="&amp;TR1,'Revenue Tracking'!$H$13:$H$26, "&lt;"&amp;TS1)</f>
        <v>0</v>
      </c>
      <c r="TS3" s="109">
        <f>SUMIFS('Revenue Tracking'!$F$13:$F$26, 'Revenue Tracking'!$H$13:$H$26, "&gt;="&amp;TS1,'Revenue Tracking'!$H$13:$H$26, "&lt;"&amp;TT1)</f>
        <v>0</v>
      </c>
      <c r="TT3" s="109">
        <f>SUMIFS('Revenue Tracking'!$F$13:$F$26, 'Revenue Tracking'!$H$13:$H$26, "&gt;="&amp;TT1,'Revenue Tracking'!$H$13:$H$26, "&lt;"&amp;TU1)</f>
        <v>0</v>
      </c>
      <c r="TU3" s="109">
        <f>SUMIFS('Revenue Tracking'!$F$13:$F$26, 'Revenue Tracking'!$H$13:$H$26, "&gt;="&amp;TU1,'Revenue Tracking'!$H$13:$H$26, "&lt;"&amp;TV1)</f>
        <v>0</v>
      </c>
      <c r="TV3" s="109">
        <f>SUMIFS('Revenue Tracking'!$F$13:$F$26, 'Revenue Tracking'!$H$13:$H$26, "&gt;="&amp;TV1,'Revenue Tracking'!$H$13:$H$26, "&lt;"&amp;TW1)</f>
        <v>0</v>
      </c>
      <c r="TW3" s="109">
        <f>SUMIFS('Revenue Tracking'!$F$13:$F$26, 'Revenue Tracking'!$H$13:$H$26, "&gt;="&amp;TW1,'Revenue Tracking'!$H$13:$H$26, "&lt;"&amp;TX1)</f>
        <v>0</v>
      </c>
      <c r="TX3" s="109">
        <f>SUMIFS('Revenue Tracking'!$F$13:$F$26, 'Revenue Tracking'!$H$13:$H$26, "&gt;="&amp;TX1,'Revenue Tracking'!$H$13:$H$26, "&lt;"&amp;TY1)</f>
        <v>0</v>
      </c>
      <c r="TY3" s="109">
        <f>SUMIFS('Revenue Tracking'!$F$13:$F$26, 'Revenue Tracking'!$H$13:$H$26, "&gt;="&amp;TY1,'Revenue Tracking'!$H$13:$H$26, "&lt;"&amp;TZ1)</f>
        <v>0</v>
      </c>
      <c r="TZ3" s="109">
        <f>SUMIFS('Revenue Tracking'!$F$13:$F$26, 'Revenue Tracking'!$H$13:$H$26, "&gt;="&amp;TZ1,'Revenue Tracking'!$H$13:$H$26, "&lt;"&amp;UA1)</f>
        <v>0</v>
      </c>
      <c r="UA3" s="109">
        <f>SUMIFS('Revenue Tracking'!$F$13:$F$26, 'Revenue Tracking'!$H$13:$H$26, "&gt;="&amp;UA1,'Revenue Tracking'!$H$13:$H$26, "&lt;"&amp;UB1)</f>
        <v>0</v>
      </c>
      <c r="UB3" s="109">
        <f>SUMIFS('Revenue Tracking'!$F$13:$F$26, 'Revenue Tracking'!$H$13:$H$26, "&gt;="&amp;UB1,'Revenue Tracking'!$H$13:$H$26, "&lt;"&amp;UC1)</f>
        <v>0</v>
      </c>
      <c r="UC3" s="109">
        <f>SUMIFS('Revenue Tracking'!$F$13:$F$26, 'Revenue Tracking'!$H$13:$H$26, "&gt;="&amp;UC1,'Revenue Tracking'!$H$13:$H$26, "&lt;"&amp;UD1)</f>
        <v>0</v>
      </c>
      <c r="UD3" s="109">
        <f>SUMIFS('Revenue Tracking'!$F$13:$F$26, 'Revenue Tracking'!$H$13:$H$26, "&gt;="&amp;UD1,'Revenue Tracking'!$H$13:$H$26, "&lt;"&amp;UE1)</f>
        <v>0</v>
      </c>
      <c r="UE3" s="109">
        <f>SUMIFS('Revenue Tracking'!$F$13:$F$26, 'Revenue Tracking'!$H$13:$H$26, "&gt;="&amp;UE1,'Revenue Tracking'!$H$13:$H$26, "&lt;"&amp;UF1)</f>
        <v>0</v>
      </c>
      <c r="UF3" s="109">
        <f>SUMIFS('Revenue Tracking'!$F$13:$F$26, 'Revenue Tracking'!$H$13:$H$26, "&gt;="&amp;UF1,'Revenue Tracking'!$H$13:$H$26, "&lt;"&amp;UG1)</f>
        <v>0</v>
      </c>
      <c r="UG3" s="109">
        <f>SUMIFS('Revenue Tracking'!$F$13:$F$26, 'Revenue Tracking'!$H$13:$H$26, "&gt;="&amp;UG1,'Revenue Tracking'!$H$13:$H$26, "&lt;"&amp;UH1)</f>
        <v>0</v>
      </c>
      <c r="UH3" s="109">
        <f>SUMIFS('Revenue Tracking'!$F$13:$F$26, 'Revenue Tracking'!$H$13:$H$26, "&gt;="&amp;UH1,'Revenue Tracking'!$H$13:$H$26, "&lt;"&amp;UI1)</f>
        <v>0</v>
      </c>
      <c r="UI3" s="109">
        <f>SUMIFS('Revenue Tracking'!$F$13:$F$26, 'Revenue Tracking'!$H$13:$H$26, "&gt;="&amp;UI1,'Revenue Tracking'!$H$13:$H$26, "&lt;"&amp;UJ1)</f>
        <v>0</v>
      </c>
      <c r="UJ3" s="109">
        <f>SUMIFS('Revenue Tracking'!$F$13:$F$26, 'Revenue Tracking'!$H$13:$H$26, "&gt;="&amp;UJ1,'Revenue Tracking'!$H$13:$H$26, "&lt;"&amp;UK1)</f>
        <v>0</v>
      </c>
      <c r="UK3" s="109">
        <f>SUMIFS('Revenue Tracking'!$F$13:$F$26, 'Revenue Tracking'!$H$13:$H$26, "&gt;="&amp;UK1,'Revenue Tracking'!$H$13:$H$26, "&lt;"&amp;UL1)</f>
        <v>0</v>
      </c>
      <c r="UL3" s="109">
        <f>SUMIFS('Revenue Tracking'!$F$13:$F$26, 'Revenue Tracking'!$H$13:$H$26, "&gt;="&amp;UL1,'Revenue Tracking'!$H$13:$H$26, "&lt;"&amp;UM1)</f>
        <v>0</v>
      </c>
      <c r="UM3" s="109">
        <f>SUMIFS('Revenue Tracking'!$F$13:$F$26, 'Revenue Tracking'!$H$13:$H$26, "&gt;="&amp;UM1,'Revenue Tracking'!$H$13:$H$26, "&lt;"&amp;UN1)</f>
        <v>0</v>
      </c>
      <c r="UN3" s="109">
        <f>SUMIFS('Revenue Tracking'!$F$13:$F$26, 'Revenue Tracking'!$H$13:$H$26, "&gt;="&amp;UN1,'Revenue Tracking'!$H$13:$H$26, "&lt;"&amp;UO1)</f>
        <v>0</v>
      </c>
      <c r="UO3" s="109">
        <f>SUMIFS('Revenue Tracking'!$F$13:$F$26, 'Revenue Tracking'!$H$13:$H$26, "&gt;="&amp;UO1,'Revenue Tracking'!$H$13:$H$26, "&lt;"&amp;UP1)</f>
        <v>0</v>
      </c>
      <c r="UP3" s="109">
        <f>SUMIFS('Revenue Tracking'!$F$13:$F$26, 'Revenue Tracking'!$H$13:$H$26, "&gt;="&amp;UP1,'Revenue Tracking'!$H$13:$H$26, "&lt;"&amp;UQ1)</f>
        <v>0</v>
      </c>
      <c r="UQ3" s="109">
        <f>SUMIFS('Revenue Tracking'!$F$13:$F$26, 'Revenue Tracking'!$H$13:$H$26, "&gt;="&amp;UQ1,'Revenue Tracking'!$H$13:$H$26, "&lt;"&amp;UR1)</f>
        <v>0</v>
      </c>
      <c r="UR3" s="109">
        <f>SUMIFS('Revenue Tracking'!$F$13:$F$26, 'Revenue Tracking'!$H$13:$H$26, "&gt;="&amp;UR1,'Revenue Tracking'!$H$13:$H$26, "&lt;"&amp;US1)</f>
        <v>0</v>
      </c>
      <c r="US3" s="109">
        <f>SUMIFS('Revenue Tracking'!$F$13:$F$26, 'Revenue Tracking'!$H$13:$H$26, "&gt;="&amp;US1,'Revenue Tracking'!$H$13:$H$26, "&lt;"&amp;UT1)</f>
        <v>0</v>
      </c>
      <c r="UT3" s="109">
        <f>SUMIFS('Revenue Tracking'!$F$13:$F$26, 'Revenue Tracking'!$H$13:$H$26, "&gt;="&amp;UT1,'Revenue Tracking'!$H$13:$H$26, "&lt;"&amp;UU1)</f>
        <v>0</v>
      </c>
      <c r="UU3" s="109">
        <f>SUMIFS('Revenue Tracking'!$F$13:$F$26, 'Revenue Tracking'!$H$13:$H$26, "&gt;="&amp;UU1,'Revenue Tracking'!$H$13:$H$26, "&lt;"&amp;UV1)</f>
        <v>0</v>
      </c>
      <c r="UV3" s="109">
        <f>SUMIFS('Revenue Tracking'!$F$13:$F$26, 'Revenue Tracking'!$H$13:$H$26, "&gt;="&amp;UV1,'Revenue Tracking'!$H$13:$H$26, "&lt;"&amp;UW1)</f>
        <v>0</v>
      </c>
      <c r="UW3" s="109">
        <f>SUMIFS('Revenue Tracking'!$F$13:$F$26, 'Revenue Tracking'!$H$13:$H$26, "&gt;="&amp;UW1,'Revenue Tracking'!$H$13:$H$26, "&lt;"&amp;UX1)</f>
        <v>0</v>
      </c>
      <c r="UX3" s="109">
        <f>SUMIFS('Revenue Tracking'!$F$13:$F$26, 'Revenue Tracking'!$H$13:$H$26, "&gt;="&amp;UX1,'Revenue Tracking'!$H$13:$H$26, "&lt;"&amp;UY1)</f>
        <v>0</v>
      </c>
      <c r="UY3" s="109">
        <f>SUMIFS('Revenue Tracking'!$F$13:$F$26, 'Revenue Tracking'!$H$13:$H$26, "&gt;="&amp;UY1,'Revenue Tracking'!$H$13:$H$26, "&lt;"&amp;UZ1)</f>
        <v>0</v>
      </c>
      <c r="UZ3" s="109">
        <f>SUMIFS('Revenue Tracking'!$F$13:$F$26, 'Revenue Tracking'!$H$13:$H$26, "&gt;="&amp;UZ1,'Revenue Tracking'!$H$13:$H$26, "&lt;"&amp;VA1)</f>
        <v>0</v>
      </c>
      <c r="VA3" s="109">
        <f>SUMIFS('Revenue Tracking'!$F$13:$F$26, 'Revenue Tracking'!$H$13:$H$26, "&gt;="&amp;VA1,'Revenue Tracking'!$H$13:$H$26, "&lt;"&amp;VB1)</f>
        <v>0</v>
      </c>
      <c r="VB3" s="109">
        <f>SUMIFS('Revenue Tracking'!$F$13:$F$26, 'Revenue Tracking'!$H$13:$H$26, "&gt;="&amp;VB1,'Revenue Tracking'!$H$13:$H$26, "&lt;"&amp;VC1)</f>
        <v>0</v>
      </c>
      <c r="VC3" s="109">
        <f>SUMIFS('Revenue Tracking'!$F$13:$F$26, 'Revenue Tracking'!$H$13:$H$26, "&gt;="&amp;VC1,'Revenue Tracking'!$H$13:$H$26, "&lt;"&amp;VD1)</f>
        <v>0</v>
      </c>
      <c r="VD3" s="109">
        <f>SUMIFS('Revenue Tracking'!$F$13:$F$26, 'Revenue Tracking'!$H$13:$H$26, "&gt;="&amp;VD1,'Revenue Tracking'!$H$13:$H$26, "&lt;"&amp;VE1)</f>
        <v>0</v>
      </c>
      <c r="VE3" s="109">
        <f>SUMIFS('Revenue Tracking'!$F$13:$F$26, 'Revenue Tracking'!$H$13:$H$26, "&gt;="&amp;VE1,'Revenue Tracking'!$H$13:$H$26, "&lt;"&amp;VF1)</f>
        <v>0</v>
      </c>
      <c r="VF3" s="109">
        <f>SUMIFS('Revenue Tracking'!$F$13:$F$26, 'Revenue Tracking'!$H$13:$H$26, "&gt;="&amp;VF1,'Revenue Tracking'!$H$13:$H$26, "&lt;"&amp;VG1)</f>
        <v>0</v>
      </c>
      <c r="VG3" s="109">
        <f>SUMIFS('Revenue Tracking'!$F$13:$F$26, 'Revenue Tracking'!$H$13:$H$26, "&gt;="&amp;VG1,'Revenue Tracking'!$H$13:$H$26, "&lt;"&amp;VH1)</f>
        <v>0</v>
      </c>
      <c r="VH3" s="109">
        <f>SUMIFS('Revenue Tracking'!$F$13:$F$26, 'Revenue Tracking'!$H$13:$H$26, "&gt;="&amp;VH1,'Revenue Tracking'!$H$13:$H$26, "&lt;"&amp;VI1)</f>
        <v>0</v>
      </c>
      <c r="VI3" s="109">
        <f>SUMIFS('Revenue Tracking'!$F$13:$F$26, 'Revenue Tracking'!$H$13:$H$26, "&gt;="&amp;VI1,'Revenue Tracking'!$H$13:$H$26, "&lt;"&amp;VJ1)</f>
        <v>0</v>
      </c>
      <c r="VJ3" s="109">
        <f>SUMIFS('Revenue Tracking'!$F$13:$F$26, 'Revenue Tracking'!$H$13:$H$26, "&gt;="&amp;VJ1,'Revenue Tracking'!$H$13:$H$26, "&lt;"&amp;VK1)</f>
        <v>0</v>
      </c>
      <c r="VK3" s="109">
        <f>SUMIFS('Revenue Tracking'!$F$13:$F$26, 'Revenue Tracking'!$H$13:$H$26, "&gt;="&amp;VK1,'Revenue Tracking'!$H$13:$H$26, "&lt;"&amp;VL1)</f>
        <v>0</v>
      </c>
      <c r="VL3" s="109">
        <f>SUMIFS('Revenue Tracking'!$F$13:$F$26, 'Revenue Tracking'!$H$13:$H$26, "&gt;="&amp;VL1,'Revenue Tracking'!$H$13:$H$26, "&lt;"&amp;VM1)</f>
        <v>0</v>
      </c>
      <c r="VM3" s="109">
        <f>SUMIFS('Revenue Tracking'!$F$13:$F$26, 'Revenue Tracking'!$H$13:$H$26, "&gt;="&amp;VM1,'Revenue Tracking'!$H$13:$H$26, "&lt;"&amp;VN1)</f>
        <v>0</v>
      </c>
      <c r="VN3" s="109">
        <f>SUMIFS('Revenue Tracking'!$F$13:$F$26, 'Revenue Tracking'!$H$13:$H$26, "&gt;="&amp;VN1,'Revenue Tracking'!$H$13:$H$26, "&lt;"&amp;VO1)</f>
        <v>0</v>
      </c>
      <c r="VO3" s="109">
        <f>SUMIFS('Revenue Tracking'!$F$13:$F$26, 'Revenue Tracking'!$H$13:$H$26, "&gt;="&amp;VO1,'Revenue Tracking'!$H$13:$H$26, "&lt;"&amp;VP1)</f>
        <v>0</v>
      </c>
      <c r="VP3" s="109">
        <f>SUMIFS('Revenue Tracking'!$F$13:$F$26, 'Revenue Tracking'!$H$13:$H$26, "&gt;="&amp;VP1,'Revenue Tracking'!$H$13:$H$26, "&lt;"&amp;VQ1)</f>
        <v>0</v>
      </c>
      <c r="VQ3" s="109">
        <f>SUMIFS('Revenue Tracking'!$F$13:$F$26, 'Revenue Tracking'!$H$13:$H$26, "&gt;="&amp;VQ1,'Revenue Tracking'!$H$13:$H$26, "&lt;"&amp;VR1)</f>
        <v>0</v>
      </c>
      <c r="VR3" s="109">
        <f>SUMIFS('Revenue Tracking'!$F$13:$F$26, 'Revenue Tracking'!$H$13:$H$26, "&gt;="&amp;VR1,'Revenue Tracking'!$H$13:$H$26, "&lt;"&amp;VS1)</f>
        <v>0</v>
      </c>
      <c r="VS3" s="109">
        <f>SUMIFS('Revenue Tracking'!$F$13:$F$26, 'Revenue Tracking'!$H$13:$H$26, "&gt;="&amp;VS1,'Revenue Tracking'!$H$13:$H$26, "&lt;"&amp;VT1)</f>
        <v>0</v>
      </c>
      <c r="VT3" s="109">
        <f>SUMIFS('Revenue Tracking'!$F$13:$F$26, 'Revenue Tracking'!$H$13:$H$26, "&gt;="&amp;VT1,'Revenue Tracking'!$H$13:$H$26, "&lt;"&amp;VU1)</f>
        <v>0</v>
      </c>
      <c r="VU3" s="109">
        <f>SUMIFS('Revenue Tracking'!$F$13:$F$26, 'Revenue Tracking'!$H$13:$H$26, "&gt;="&amp;VU1,'Revenue Tracking'!$H$13:$H$26, "&lt;"&amp;VV1)</f>
        <v>0</v>
      </c>
      <c r="VV3" s="109">
        <f>SUMIFS('Revenue Tracking'!$F$13:$F$26, 'Revenue Tracking'!$H$13:$H$26, "&gt;="&amp;VV1,'Revenue Tracking'!$H$13:$H$26, "&lt;"&amp;VW1)</f>
        <v>0</v>
      </c>
      <c r="VW3" s="109">
        <f>SUMIFS('Revenue Tracking'!$F$13:$F$26, 'Revenue Tracking'!$H$13:$H$26, "&gt;="&amp;VW1,'Revenue Tracking'!$H$13:$H$26, "&lt;"&amp;VX1)</f>
        <v>0</v>
      </c>
      <c r="VX3" s="109">
        <f>SUMIFS('Revenue Tracking'!$F$13:$F$26, 'Revenue Tracking'!$H$13:$H$26, "&gt;="&amp;VX1,'Revenue Tracking'!$H$13:$H$26, "&lt;"&amp;VY1)</f>
        <v>0</v>
      </c>
      <c r="VY3" s="109">
        <f>SUMIFS('Revenue Tracking'!$F$13:$F$26, 'Revenue Tracking'!$H$13:$H$26, "&gt;="&amp;VY1,'Revenue Tracking'!$H$13:$H$26, "&lt;"&amp;VZ1)</f>
        <v>0</v>
      </c>
      <c r="VZ3" s="109">
        <f>SUMIFS('Revenue Tracking'!$F$13:$F$26, 'Revenue Tracking'!$H$13:$H$26, "&gt;="&amp;VZ1,'Revenue Tracking'!$H$13:$H$26, "&lt;"&amp;WA1)</f>
        <v>0</v>
      </c>
      <c r="WA3" s="109">
        <f>SUMIFS('Revenue Tracking'!$F$13:$F$26, 'Revenue Tracking'!$H$13:$H$26, "&gt;="&amp;WA1,'Revenue Tracking'!$H$13:$H$26, "&lt;"&amp;WB1)</f>
        <v>0</v>
      </c>
      <c r="WB3" s="109">
        <f>SUMIFS('Revenue Tracking'!$F$13:$F$26, 'Revenue Tracking'!$H$13:$H$26, "&gt;="&amp;WB1,'Revenue Tracking'!$H$13:$H$26, "&lt;"&amp;WC1)</f>
        <v>0</v>
      </c>
      <c r="WC3" s="109">
        <f>SUMIFS('Revenue Tracking'!$F$13:$F$26, 'Revenue Tracking'!$H$13:$H$26, "&gt;="&amp;WC1,'Revenue Tracking'!$H$13:$H$26, "&lt;"&amp;WD1)</f>
        <v>0</v>
      </c>
      <c r="WD3" s="109">
        <f>SUMIFS('Revenue Tracking'!$F$13:$F$26, 'Revenue Tracking'!$H$13:$H$26, "&gt;="&amp;WD1,'Revenue Tracking'!$H$13:$H$26, "&lt;"&amp;WE1)</f>
        <v>0</v>
      </c>
      <c r="WE3" s="109">
        <f>SUMIFS('Revenue Tracking'!$F$13:$F$26, 'Revenue Tracking'!$H$13:$H$26, "&gt;="&amp;WE1,'Revenue Tracking'!$H$13:$H$26, "&lt;"&amp;WF1)</f>
        <v>0</v>
      </c>
      <c r="WF3" s="109">
        <f>SUMIFS('Revenue Tracking'!$F$13:$F$26, 'Revenue Tracking'!$H$13:$H$26, "&gt;="&amp;WF1,'Revenue Tracking'!$H$13:$H$26, "&lt;"&amp;WG1)</f>
        <v>0</v>
      </c>
      <c r="WG3" s="109">
        <f>SUMIFS('Revenue Tracking'!$F$13:$F$26, 'Revenue Tracking'!$H$13:$H$26, "&gt;="&amp;WG1,'Revenue Tracking'!$H$13:$H$26, "&lt;"&amp;WH1)</f>
        <v>0</v>
      </c>
      <c r="WH3" s="109">
        <f>SUMIFS('Revenue Tracking'!$F$13:$F$26, 'Revenue Tracking'!$H$13:$H$26, "&gt;="&amp;WH1,'Revenue Tracking'!$H$13:$H$26, "&lt;"&amp;WI1)</f>
        <v>0</v>
      </c>
      <c r="WI3" s="109">
        <f>SUMIFS('Revenue Tracking'!$F$13:$F$26, 'Revenue Tracking'!$H$13:$H$26, "&gt;="&amp;WI1,'Revenue Tracking'!$H$13:$H$26, "&lt;"&amp;WJ1)</f>
        <v>0</v>
      </c>
      <c r="WJ3" s="109">
        <f>SUMIFS('Revenue Tracking'!$F$13:$F$26, 'Revenue Tracking'!$H$13:$H$26, "&gt;="&amp;WJ1,'Revenue Tracking'!$H$13:$H$26, "&lt;"&amp;WK1)</f>
        <v>0</v>
      </c>
      <c r="WK3" s="109">
        <f>SUMIFS('Revenue Tracking'!$F$13:$F$26, 'Revenue Tracking'!$H$13:$H$26, "&gt;="&amp;WK1,'Revenue Tracking'!$H$13:$H$26, "&lt;"&amp;WL1)</f>
        <v>0</v>
      </c>
      <c r="WL3" s="109">
        <f>SUMIFS('Revenue Tracking'!$F$13:$F$26, 'Revenue Tracking'!$H$13:$H$26, "&gt;="&amp;WL1,'Revenue Tracking'!$H$13:$H$26, "&lt;"&amp;WM1)</f>
        <v>0</v>
      </c>
      <c r="WM3" s="109">
        <f>SUMIFS('Revenue Tracking'!$F$13:$F$26, 'Revenue Tracking'!$H$13:$H$26, "&gt;="&amp;WM1,'Revenue Tracking'!$H$13:$H$26, "&lt;"&amp;WN1)</f>
        <v>0</v>
      </c>
      <c r="WN3" s="109">
        <f>SUMIFS('Revenue Tracking'!$F$13:$F$26, 'Revenue Tracking'!$H$13:$H$26, "&gt;="&amp;WN1,'Revenue Tracking'!$H$13:$H$26, "&lt;"&amp;WO1)</f>
        <v>0</v>
      </c>
      <c r="WO3" s="109">
        <f>SUMIFS('Revenue Tracking'!$F$13:$F$26, 'Revenue Tracking'!$H$13:$H$26, "&gt;="&amp;WO1,'Revenue Tracking'!$H$13:$H$26, "&lt;"&amp;WP1)</f>
        <v>0</v>
      </c>
      <c r="WP3" s="109">
        <f>SUMIFS('Revenue Tracking'!$F$13:$F$26, 'Revenue Tracking'!$H$13:$H$26, "&gt;="&amp;WP1,'Revenue Tracking'!$H$13:$H$26, "&lt;"&amp;WQ1)</f>
        <v>0</v>
      </c>
      <c r="WQ3" s="109">
        <f>SUMIFS('Revenue Tracking'!$F$13:$F$26, 'Revenue Tracking'!$H$13:$H$26, "&gt;="&amp;WQ1,'Revenue Tracking'!$H$13:$H$26, "&lt;"&amp;WR1)</f>
        <v>0</v>
      </c>
      <c r="WR3" s="109">
        <f>SUMIFS('Revenue Tracking'!$F$13:$F$26, 'Revenue Tracking'!$H$13:$H$26, "&gt;="&amp;WR1,'Revenue Tracking'!$H$13:$H$26, "&lt;"&amp;WS1)</f>
        <v>0</v>
      </c>
      <c r="WS3" s="109">
        <f>SUMIFS('Revenue Tracking'!$F$13:$F$26, 'Revenue Tracking'!$H$13:$H$26, "&gt;="&amp;WS1,'Revenue Tracking'!$H$13:$H$26, "&lt;"&amp;WT1)</f>
        <v>0</v>
      </c>
      <c r="WT3" s="109">
        <f>SUMIFS('Revenue Tracking'!$F$13:$F$26, 'Revenue Tracking'!$H$13:$H$26, "&gt;="&amp;WT1,'Revenue Tracking'!$H$13:$H$26, "&lt;"&amp;WU1)</f>
        <v>0</v>
      </c>
      <c r="WU3" s="109">
        <f>SUMIFS('Revenue Tracking'!$F$13:$F$26, 'Revenue Tracking'!$H$13:$H$26, "&gt;="&amp;WU1,'Revenue Tracking'!$H$13:$H$26, "&lt;"&amp;WV1)</f>
        <v>0</v>
      </c>
      <c r="WV3" s="109">
        <f>SUMIFS('Revenue Tracking'!$F$13:$F$26, 'Revenue Tracking'!$H$13:$H$26, "&gt;="&amp;WV1,'Revenue Tracking'!$H$13:$H$26, "&lt;"&amp;WW1)</f>
        <v>0</v>
      </c>
      <c r="WW3" s="109">
        <f>SUMIFS('Revenue Tracking'!$F$13:$F$26, 'Revenue Tracking'!$H$13:$H$26, "&gt;="&amp;WW1,'Revenue Tracking'!$H$13:$H$26, "&lt;"&amp;WX1)</f>
        <v>0</v>
      </c>
      <c r="WX3" s="109">
        <f>SUMIFS('Revenue Tracking'!$F$13:$F$26, 'Revenue Tracking'!$H$13:$H$26, "&gt;="&amp;WX1,'Revenue Tracking'!$H$13:$H$26, "&lt;"&amp;WY1)</f>
        <v>0</v>
      </c>
      <c r="WY3" s="109">
        <f>SUMIFS('Revenue Tracking'!$F$13:$F$26, 'Revenue Tracking'!$H$13:$H$26, "&gt;="&amp;WY1,'Revenue Tracking'!$H$13:$H$26, "&lt;"&amp;WZ1)</f>
        <v>0</v>
      </c>
      <c r="WZ3" s="109">
        <f>SUMIFS('Revenue Tracking'!$F$13:$F$26, 'Revenue Tracking'!$H$13:$H$26, "&gt;="&amp;WZ1,'Revenue Tracking'!$H$13:$H$26, "&lt;"&amp;XA1)</f>
        <v>0</v>
      </c>
      <c r="XA3" s="109">
        <f>SUMIFS('Revenue Tracking'!$F$13:$F$26, 'Revenue Tracking'!$H$13:$H$26, "&gt;="&amp;XA1,'Revenue Tracking'!$H$13:$H$26, "&lt;"&amp;XB1)</f>
        <v>0</v>
      </c>
      <c r="XB3" s="109">
        <f>SUMIFS('Revenue Tracking'!$F$13:$F$26, 'Revenue Tracking'!$H$13:$H$26, "&gt;="&amp;XB1,'Revenue Tracking'!$H$13:$H$26, "&lt;"&amp;XC1)</f>
        <v>0</v>
      </c>
      <c r="XC3" s="109">
        <f>SUMIFS('Revenue Tracking'!$F$13:$F$26, 'Revenue Tracking'!$H$13:$H$26, "&gt;="&amp;XC1,'Revenue Tracking'!$H$13:$H$26, "&lt;"&amp;XD1)</f>
        <v>0</v>
      </c>
      <c r="XD3" s="109">
        <f>SUMIFS('Revenue Tracking'!$F$13:$F$26, 'Revenue Tracking'!$H$13:$H$26, "&gt;="&amp;XD1,'Revenue Tracking'!$H$13:$H$26, "&lt;"&amp;XE1)</f>
        <v>0</v>
      </c>
      <c r="XE3" s="109">
        <f>SUMIFS('Revenue Tracking'!$F$13:$F$26, 'Revenue Tracking'!$H$13:$H$26, "&gt;="&amp;XE1,'Revenue Tracking'!$H$13:$H$26, "&lt;"&amp;XF1)</f>
        <v>0</v>
      </c>
      <c r="XF3" s="109">
        <f>SUMIFS('Revenue Tracking'!$F$13:$F$26, 'Revenue Tracking'!$H$13:$H$26, "&gt;="&amp;XF1,'Revenue Tracking'!$H$13:$H$26, "&lt;"&amp;XG1)</f>
        <v>0</v>
      </c>
      <c r="XG3" s="109">
        <f>SUMIFS('Revenue Tracking'!$F$13:$F$26, 'Revenue Tracking'!$H$13:$H$26, "&gt;="&amp;XG1,'Revenue Tracking'!$H$13:$H$26, "&lt;"&amp;XH1)</f>
        <v>0</v>
      </c>
      <c r="XH3" s="109">
        <f>SUMIFS('Revenue Tracking'!$F$13:$F$26, 'Revenue Tracking'!$H$13:$H$26, "&gt;="&amp;XH1,'Revenue Tracking'!$H$13:$H$26, "&lt;"&amp;XI1)</f>
        <v>0</v>
      </c>
      <c r="XI3" s="109">
        <f>SUMIFS('Revenue Tracking'!$F$13:$F$26, 'Revenue Tracking'!$H$13:$H$26, "&gt;="&amp;XI1,'Revenue Tracking'!$H$13:$H$26, "&lt;"&amp;XJ1)</f>
        <v>0</v>
      </c>
      <c r="XJ3" s="109">
        <f>SUMIFS('Revenue Tracking'!$F$13:$F$26, 'Revenue Tracking'!$H$13:$H$26, "&gt;="&amp;XJ1,'Revenue Tracking'!$H$13:$H$26, "&lt;"&amp;XK1)</f>
        <v>0</v>
      </c>
      <c r="XK3" s="109">
        <f>SUMIFS('Revenue Tracking'!$F$13:$F$26, 'Revenue Tracking'!$H$13:$H$26, "&gt;="&amp;XK1,'Revenue Tracking'!$H$13:$H$26, "&lt;"&amp;XL1)</f>
        <v>0</v>
      </c>
      <c r="XL3" s="109">
        <f>SUMIFS('Revenue Tracking'!$F$13:$F$26, 'Revenue Tracking'!$H$13:$H$26, "&gt;="&amp;XL1,'Revenue Tracking'!$H$13:$H$26, "&lt;"&amp;XM1)</f>
        <v>0</v>
      </c>
      <c r="XM3" s="109">
        <f>SUMIFS('Revenue Tracking'!$F$13:$F$26, 'Revenue Tracking'!$H$13:$H$26, "&gt;="&amp;XM1,'Revenue Tracking'!$H$13:$H$26, "&lt;"&amp;XN1)</f>
        <v>0</v>
      </c>
      <c r="XN3" s="109">
        <f>SUMIFS('Revenue Tracking'!$F$13:$F$26, 'Revenue Tracking'!$H$13:$H$26, "&gt;="&amp;XN1,'Revenue Tracking'!$H$13:$H$26, "&lt;"&amp;XO1)</f>
        <v>0</v>
      </c>
      <c r="XO3" s="109">
        <f>SUMIFS('Revenue Tracking'!$F$13:$F$26, 'Revenue Tracking'!$H$13:$H$26, "&gt;="&amp;XO1,'Revenue Tracking'!$H$13:$H$26, "&lt;"&amp;XP1)</f>
        <v>0</v>
      </c>
      <c r="XP3" s="109">
        <f>SUMIFS('Revenue Tracking'!$F$13:$F$26, 'Revenue Tracking'!$H$13:$H$26, "&gt;="&amp;XP1,'Revenue Tracking'!$H$13:$H$26, "&lt;"&amp;XQ1)</f>
        <v>0</v>
      </c>
      <c r="XQ3" s="109">
        <f>SUMIFS('Revenue Tracking'!$F$13:$F$26, 'Revenue Tracking'!$H$13:$H$26, "&gt;="&amp;XQ1,'Revenue Tracking'!$H$13:$H$26, "&lt;"&amp;XR1)</f>
        <v>0</v>
      </c>
      <c r="XR3" s="109">
        <f>SUMIFS('Revenue Tracking'!$F$13:$F$26, 'Revenue Tracking'!$H$13:$H$26, "&gt;="&amp;XR1,'Revenue Tracking'!$H$13:$H$26, "&lt;"&amp;XS1)</f>
        <v>0</v>
      </c>
      <c r="XS3" s="109">
        <f>SUMIFS('Revenue Tracking'!$F$13:$F$26, 'Revenue Tracking'!$H$13:$H$26, "&gt;="&amp;XS1,'Revenue Tracking'!$H$13:$H$26, "&lt;"&amp;XT1)</f>
        <v>0</v>
      </c>
      <c r="XT3" s="109">
        <f>SUMIFS('Revenue Tracking'!$F$13:$F$26, 'Revenue Tracking'!$H$13:$H$26, "&gt;="&amp;XT1,'Revenue Tracking'!$H$13:$H$26, "&lt;"&amp;XU1)</f>
        <v>0</v>
      </c>
      <c r="XU3" s="109">
        <f>SUMIFS('Revenue Tracking'!$F$13:$F$26, 'Revenue Tracking'!$H$13:$H$26, "&gt;="&amp;XU1,'Revenue Tracking'!$H$13:$H$26, "&lt;"&amp;XV1)</f>
        <v>0</v>
      </c>
      <c r="XV3" s="109">
        <f>SUMIFS('Revenue Tracking'!$F$13:$F$26, 'Revenue Tracking'!$H$13:$H$26, "&gt;="&amp;XV1,'Revenue Tracking'!$H$13:$H$26, "&lt;"&amp;XW1)</f>
        <v>0</v>
      </c>
      <c r="XW3" s="109">
        <f>SUMIFS('Revenue Tracking'!$F$13:$F$26, 'Revenue Tracking'!$H$13:$H$26, "&gt;="&amp;XW1,'Revenue Tracking'!$H$13:$H$26, "&lt;"&amp;XX1)</f>
        <v>0</v>
      </c>
      <c r="XX3" s="109">
        <f>SUMIFS('Revenue Tracking'!$F$13:$F$26, 'Revenue Tracking'!$H$13:$H$26, "&gt;="&amp;XX1,'Revenue Tracking'!$H$13:$H$26, "&lt;"&amp;XY1)</f>
        <v>0</v>
      </c>
      <c r="XY3" s="109">
        <f>SUMIFS('Revenue Tracking'!$F$13:$F$26, 'Revenue Tracking'!$H$13:$H$26, "&gt;="&amp;XY1,'Revenue Tracking'!$H$13:$H$26, "&lt;"&amp;XZ1)</f>
        <v>0</v>
      </c>
      <c r="XZ3" s="109">
        <f>SUMIFS('Revenue Tracking'!$F$13:$F$26, 'Revenue Tracking'!$H$13:$H$26, "&gt;="&amp;XZ1,'Revenue Tracking'!$H$13:$H$26, "&lt;"&amp;YA1)</f>
        <v>0</v>
      </c>
      <c r="YA3" s="109">
        <f>SUMIFS('Revenue Tracking'!$F$13:$F$26, 'Revenue Tracking'!$H$13:$H$26, "&gt;="&amp;YA1,'Revenue Tracking'!$H$13:$H$26, "&lt;"&amp;YB1)</f>
        <v>0</v>
      </c>
      <c r="YB3" s="109">
        <f>SUMIFS('Revenue Tracking'!$F$13:$F$26, 'Revenue Tracking'!$H$13:$H$26, "&gt;="&amp;YB1,'Revenue Tracking'!$H$13:$H$26, "&lt;"&amp;YC1)</f>
        <v>0</v>
      </c>
      <c r="YC3" s="109">
        <f>SUMIFS('Revenue Tracking'!$F$13:$F$26, 'Revenue Tracking'!$H$13:$H$26, "&gt;="&amp;YC1,'Revenue Tracking'!$H$13:$H$26, "&lt;"&amp;YD1)</f>
        <v>0</v>
      </c>
      <c r="YD3" s="109">
        <f>SUMIFS('Revenue Tracking'!$F$13:$F$26, 'Revenue Tracking'!$H$13:$H$26, "&gt;="&amp;YD1,'Revenue Tracking'!$H$13:$H$26, "&lt;"&amp;YE1)</f>
        <v>0</v>
      </c>
      <c r="YE3" s="109">
        <f>SUMIFS('Revenue Tracking'!$F$13:$F$26, 'Revenue Tracking'!$H$13:$H$26, "&gt;="&amp;YE1,'Revenue Tracking'!$H$13:$H$26, "&lt;"&amp;YF1)</f>
        <v>0</v>
      </c>
      <c r="YF3" s="109">
        <f>SUMIFS('Revenue Tracking'!$F$13:$F$26, 'Revenue Tracking'!$H$13:$H$26, "&gt;="&amp;YF1,'Revenue Tracking'!$H$13:$H$26, "&lt;"&amp;YG1)</f>
        <v>0</v>
      </c>
      <c r="YG3" s="109">
        <f>SUMIFS('Revenue Tracking'!$F$13:$F$26, 'Revenue Tracking'!$H$13:$H$26, "&gt;="&amp;YG1,'Revenue Tracking'!$H$13:$H$26, "&lt;"&amp;YH1)</f>
        <v>0</v>
      </c>
      <c r="YH3" s="109">
        <f>SUMIFS('Revenue Tracking'!$F$13:$F$26, 'Revenue Tracking'!$H$13:$H$26, "&gt;="&amp;YH1,'Revenue Tracking'!$H$13:$H$26, "&lt;"&amp;YI1)</f>
        <v>0</v>
      </c>
      <c r="YI3" s="109">
        <f>SUMIFS('Revenue Tracking'!$F$13:$F$26, 'Revenue Tracking'!$H$13:$H$26, "&gt;="&amp;YI1,'Revenue Tracking'!$H$13:$H$26, "&lt;"&amp;YJ1)</f>
        <v>0</v>
      </c>
      <c r="YJ3" s="109">
        <f>SUMIFS('Revenue Tracking'!$F$13:$F$26, 'Revenue Tracking'!$H$13:$H$26, "&gt;="&amp;YJ1,'Revenue Tracking'!$H$13:$H$26, "&lt;"&amp;YK1)</f>
        <v>0</v>
      </c>
      <c r="YK3" s="109">
        <f>SUMIFS('Revenue Tracking'!$F$13:$F$26, 'Revenue Tracking'!$H$13:$H$26, "&gt;="&amp;YK1,'Revenue Tracking'!$H$13:$H$26, "&lt;"&amp;YL1)</f>
        <v>0</v>
      </c>
      <c r="YL3" s="109">
        <f>SUMIFS('Revenue Tracking'!$F$13:$F$26, 'Revenue Tracking'!$H$13:$H$26, "&gt;="&amp;YL1,'Revenue Tracking'!$H$13:$H$26, "&lt;"&amp;YM1)</f>
        <v>0</v>
      </c>
      <c r="YM3" s="109">
        <f>SUMIFS('Revenue Tracking'!$F$13:$F$26, 'Revenue Tracking'!$H$13:$H$26, "&gt;="&amp;YM1,'Revenue Tracking'!$H$13:$H$26, "&lt;"&amp;YN1)</f>
        <v>0</v>
      </c>
      <c r="YN3" s="109">
        <f>SUMIFS('Revenue Tracking'!$F$13:$F$26, 'Revenue Tracking'!$H$13:$H$26, "&gt;="&amp;YN1,'Revenue Tracking'!$H$13:$H$26, "&lt;"&amp;YO1)</f>
        <v>0</v>
      </c>
      <c r="YO3" s="109">
        <f>SUMIFS('Revenue Tracking'!$F$13:$F$26, 'Revenue Tracking'!$H$13:$H$26, "&gt;="&amp;YO1,'Revenue Tracking'!$H$13:$H$26, "&lt;"&amp;YP1)</f>
        <v>0</v>
      </c>
      <c r="YP3" s="109">
        <f>SUMIFS('Revenue Tracking'!$F$13:$F$26, 'Revenue Tracking'!$H$13:$H$26, "&gt;="&amp;YP1,'Revenue Tracking'!$H$13:$H$26, "&lt;"&amp;YQ1)</f>
        <v>0</v>
      </c>
      <c r="YQ3" s="109">
        <f>SUMIFS('Revenue Tracking'!$F$13:$F$26, 'Revenue Tracking'!$H$13:$H$26, "&gt;="&amp;YQ1,'Revenue Tracking'!$H$13:$H$26, "&lt;"&amp;YR1)</f>
        <v>0</v>
      </c>
      <c r="YR3" s="109">
        <f>SUMIFS('Revenue Tracking'!$F$13:$F$26, 'Revenue Tracking'!$H$13:$H$26, "&gt;="&amp;YR1,'Revenue Tracking'!$H$13:$H$26, "&lt;"&amp;YS1)</f>
        <v>0</v>
      </c>
      <c r="YS3" s="109">
        <f>SUMIFS('Revenue Tracking'!$F$13:$F$26, 'Revenue Tracking'!$H$13:$H$26, "&gt;="&amp;YS1,'Revenue Tracking'!$H$13:$H$26, "&lt;"&amp;YT1)</f>
        <v>0</v>
      </c>
      <c r="YT3" s="109">
        <f>SUMIFS('Revenue Tracking'!$F$13:$F$26, 'Revenue Tracking'!$H$13:$H$26, "&gt;="&amp;YT1,'Revenue Tracking'!$H$13:$H$26, "&lt;"&amp;YU1)</f>
        <v>0</v>
      </c>
      <c r="YU3" s="109">
        <f>SUMIFS('Revenue Tracking'!$F$13:$F$26, 'Revenue Tracking'!$H$13:$H$26, "&gt;="&amp;YU1,'Revenue Tracking'!$H$13:$H$26, "&lt;"&amp;YV1)</f>
        <v>0</v>
      </c>
      <c r="YV3" s="109">
        <f>SUMIFS('Revenue Tracking'!$F$13:$F$26, 'Revenue Tracking'!$H$13:$H$26, "&gt;="&amp;YV1,'Revenue Tracking'!$H$13:$H$26, "&lt;"&amp;YW1)</f>
        <v>0</v>
      </c>
      <c r="YW3" s="109">
        <f>SUMIFS('Revenue Tracking'!$F$13:$F$26, 'Revenue Tracking'!$H$13:$H$26, "&gt;="&amp;YW1,'Revenue Tracking'!$H$13:$H$26, "&lt;"&amp;YX1)</f>
        <v>0</v>
      </c>
      <c r="YX3" s="109">
        <f>SUMIFS('Revenue Tracking'!$F$13:$F$26, 'Revenue Tracking'!$H$13:$H$26, "&gt;="&amp;YX1,'Revenue Tracking'!$H$13:$H$26, "&lt;"&amp;YY1)</f>
        <v>0</v>
      </c>
      <c r="YY3" s="109">
        <f>SUMIFS('Revenue Tracking'!$F$13:$F$26, 'Revenue Tracking'!$H$13:$H$26, "&gt;="&amp;YY1,'Revenue Tracking'!$H$13:$H$26, "&lt;"&amp;YZ1)</f>
        <v>0</v>
      </c>
      <c r="YZ3" s="109">
        <f>SUMIFS('Revenue Tracking'!$F$13:$F$26, 'Revenue Tracking'!$H$13:$H$26, "&gt;="&amp;YZ1,'Revenue Tracking'!$H$13:$H$26, "&lt;"&amp;ZA1)</f>
        <v>0</v>
      </c>
      <c r="ZA3" s="109">
        <f>SUMIFS('Revenue Tracking'!$F$13:$F$26, 'Revenue Tracking'!$H$13:$H$26, "&gt;="&amp;ZA1,'Revenue Tracking'!$H$13:$H$26, "&lt;"&amp;ZB1)</f>
        <v>0</v>
      </c>
      <c r="ZB3" s="109">
        <f>SUMIFS('Revenue Tracking'!$F$13:$F$26, 'Revenue Tracking'!$H$13:$H$26, "&gt;="&amp;ZB1,'Revenue Tracking'!$H$13:$H$26, "&lt;"&amp;ZC1)</f>
        <v>0</v>
      </c>
      <c r="ZC3" s="109">
        <f>SUMIFS('Revenue Tracking'!$F$13:$F$26, 'Revenue Tracking'!$H$13:$H$26, "&gt;="&amp;ZC1,'Revenue Tracking'!$H$13:$H$26, "&lt;"&amp;ZD1)</f>
        <v>0</v>
      </c>
      <c r="ZD3" s="109">
        <f>SUMIFS('Revenue Tracking'!$F$13:$F$26, 'Revenue Tracking'!$H$13:$H$26, "&gt;="&amp;ZD1,'Revenue Tracking'!$H$13:$H$26, "&lt;"&amp;ZE1)</f>
        <v>0</v>
      </c>
      <c r="ZE3" s="109">
        <f>SUMIFS('Revenue Tracking'!$F$13:$F$26, 'Revenue Tracking'!$H$13:$H$26, "&gt;="&amp;ZE1,'Revenue Tracking'!$H$13:$H$26, "&lt;"&amp;ZF1)</f>
        <v>0</v>
      </c>
      <c r="ZF3" s="109">
        <f>SUMIFS('Revenue Tracking'!$F$13:$F$26, 'Revenue Tracking'!$H$13:$H$26, "&gt;="&amp;ZF1,'Revenue Tracking'!$H$13:$H$26, "&lt;"&amp;ZG1)</f>
        <v>0</v>
      </c>
      <c r="ZG3" s="109">
        <f>SUMIFS('Revenue Tracking'!$F$13:$F$26, 'Revenue Tracking'!$H$13:$H$26, "&gt;="&amp;ZG1,'Revenue Tracking'!$H$13:$H$26, "&lt;"&amp;ZH1)</f>
        <v>0</v>
      </c>
      <c r="ZH3" s="109">
        <f>SUMIFS('Revenue Tracking'!$F$13:$F$26, 'Revenue Tracking'!$H$13:$H$26, "&gt;="&amp;ZH1,'Revenue Tracking'!$H$13:$H$26, "&lt;"&amp;ZI1)</f>
        <v>0</v>
      </c>
      <c r="ZI3" s="109">
        <f>SUMIFS('Revenue Tracking'!$F$13:$F$26, 'Revenue Tracking'!$H$13:$H$26, "&gt;="&amp;ZI1,'Revenue Tracking'!$H$13:$H$26, "&lt;"&amp;ZJ1)</f>
        <v>0</v>
      </c>
      <c r="ZJ3" s="109">
        <f>SUMIFS('Revenue Tracking'!$F$13:$F$26, 'Revenue Tracking'!$H$13:$H$26, "&gt;="&amp;ZJ1,'Revenue Tracking'!$H$13:$H$26, "&lt;"&amp;ZK1)</f>
        <v>0</v>
      </c>
      <c r="ZK3" s="109">
        <f>SUMIFS('Revenue Tracking'!$F$13:$F$26, 'Revenue Tracking'!$H$13:$H$26, "&gt;="&amp;ZK1,'Revenue Tracking'!$H$13:$H$26, "&lt;"&amp;ZL1)</f>
        <v>0</v>
      </c>
      <c r="ZL3" s="109">
        <f>SUMIFS('Revenue Tracking'!$F$13:$F$26, 'Revenue Tracking'!$H$13:$H$26, "&gt;="&amp;ZL1,'Revenue Tracking'!$H$13:$H$26, "&lt;"&amp;ZM1)</f>
        <v>0</v>
      </c>
      <c r="ZM3" s="109">
        <f>SUMIFS('Revenue Tracking'!$F$13:$F$26, 'Revenue Tracking'!$H$13:$H$26, "&gt;="&amp;ZM1,'Revenue Tracking'!$H$13:$H$26, "&lt;"&amp;ZN1)</f>
        <v>0</v>
      </c>
      <c r="ZN3" s="109">
        <f>SUMIFS('Revenue Tracking'!$F$13:$F$26, 'Revenue Tracking'!$H$13:$H$26, "&gt;="&amp;ZN1,'Revenue Tracking'!$H$13:$H$26, "&lt;"&amp;ZO1)</f>
        <v>0</v>
      </c>
      <c r="ZO3" s="109">
        <f>SUMIFS('Revenue Tracking'!$F$13:$F$26, 'Revenue Tracking'!$H$13:$H$26, "&gt;="&amp;ZO1,'Revenue Tracking'!$H$13:$H$26, "&lt;"&amp;ZP1)</f>
        <v>0</v>
      </c>
      <c r="ZP3" s="109">
        <f>SUMIFS('Revenue Tracking'!$F$13:$F$26, 'Revenue Tracking'!$H$13:$H$26, "&gt;="&amp;ZP1,'Revenue Tracking'!$H$13:$H$26, "&lt;"&amp;ZQ1)</f>
        <v>0</v>
      </c>
      <c r="ZQ3" s="109">
        <f>SUMIFS('Revenue Tracking'!$F$13:$F$26, 'Revenue Tracking'!$H$13:$H$26, "&gt;="&amp;ZQ1,'Revenue Tracking'!$H$13:$H$26, "&lt;"&amp;ZR1)</f>
        <v>0</v>
      </c>
      <c r="ZR3" s="109">
        <f>SUMIFS('Revenue Tracking'!$F$13:$F$26, 'Revenue Tracking'!$H$13:$H$26, "&gt;="&amp;ZR1,'Revenue Tracking'!$H$13:$H$26, "&lt;"&amp;ZS1)</f>
        <v>0</v>
      </c>
      <c r="ZS3" s="109">
        <f>SUMIFS('Revenue Tracking'!$F$13:$F$26, 'Revenue Tracking'!$H$13:$H$26, "&gt;="&amp;ZS1,'Revenue Tracking'!$H$13:$H$26, "&lt;"&amp;ZT1)</f>
        <v>0</v>
      </c>
      <c r="ZT3" s="109">
        <f>SUMIFS('Revenue Tracking'!$F$13:$F$26, 'Revenue Tracking'!$H$13:$H$26, "&gt;="&amp;ZT1,'Revenue Tracking'!$H$13:$H$26, "&lt;"&amp;ZU1)</f>
        <v>0</v>
      </c>
      <c r="ZU3" s="109">
        <f>SUMIFS('Revenue Tracking'!$F$13:$F$26, 'Revenue Tracking'!$H$13:$H$26, "&gt;="&amp;ZU1,'Revenue Tracking'!$H$13:$H$26, "&lt;"&amp;ZV1)</f>
        <v>0</v>
      </c>
      <c r="ZV3" s="109">
        <f>SUMIFS('Revenue Tracking'!$F$13:$F$26, 'Revenue Tracking'!$H$13:$H$26, "&gt;="&amp;ZV1,'Revenue Tracking'!$H$13:$H$26, "&lt;"&amp;ZW1)</f>
        <v>0</v>
      </c>
      <c r="ZW3" s="109">
        <f>SUMIFS('Revenue Tracking'!$F$13:$F$26, 'Revenue Tracking'!$H$13:$H$26, "&gt;="&amp;ZW1,'Revenue Tracking'!$H$13:$H$26, "&lt;"&amp;ZX1)</f>
        <v>0</v>
      </c>
      <c r="ZX3" s="109">
        <f>SUMIFS('Revenue Tracking'!$F$13:$F$26, 'Revenue Tracking'!$H$13:$H$26, "&gt;="&amp;ZX1,'Revenue Tracking'!$H$13:$H$26, "&lt;"&amp;ZY1)</f>
        <v>0</v>
      </c>
      <c r="ZY3" s="109">
        <f>SUMIFS('Revenue Tracking'!$F$13:$F$26, 'Revenue Tracking'!$H$13:$H$26, "&gt;="&amp;ZY1,'Revenue Tracking'!$H$13:$H$26, "&lt;"&amp;ZZ1)</f>
        <v>0</v>
      </c>
      <c r="ZZ3" s="109">
        <f>SUMIFS('Revenue Tracking'!$F$13:$F$26, 'Revenue Tracking'!$H$13:$H$26, "&gt;="&amp;ZZ1,'Revenue Tracking'!$H$13:$H$26, "&lt;"&amp;AAA1)</f>
        <v>0</v>
      </c>
      <c r="AAA3" s="109">
        <f>SUMIFS('Revenue Tracking'!$F$13:$F$26, 'Revenue Tracking'!$H$13:$H$26, "&gt;="&amp;AAA1,'Revenue Tracking'!$H$13:$H$26, "&lt;"&amp;AAB1)</f>
        <v>0</v>
      </c>
      <c r="AAB3" s="109">
        <f>SUMIFS('Revenue Tracking'!$F$13:$F$26, 'Revenue Tracking'!$H$13:$H$26, "&gt;="&amp;AAB1,'Revenue Tracking'!$H$13:$H$26, "&lt;"&amp;AAC1)</f>
        <v>0</v>
      </c>
      <c r="AAC3" s="109">
        <f>SUMIFS('Revenue Tracking'!$F$13:$F$26, 'Revenue Tracking'!$H$13:$H$26, "&gt;="&amp;AAC1,'Revenue Tracking'!$H$13:$H$26, "&lt;"&amp;AAD1)</f>
        <v>0</v>
      </c>
      <c r="AAD3" s="109">
        <f>SUMIFS('Revenue Tracking'!$F$13:$F$26, 'Revenue Tracking'!$H$13:$H$26, "&gt;="&amp;AAD1,'Revenue Tracking'!$H$13:$H$26, "&lt;"&amp;AAE1)</f>
        <v>0</v>
      </c>
      <c r="AAE3" s="109">
        <f>SUMIFS('Revenue Tracking'!$F$13:$F$26, 'Revenue Tracking'!$H$13:$H$26, "&gt;="&amp;AAE1,'Revenue Tracking'!$H$13:$H$26, "&lt;"&amp;AAF1)</f>
        <v>0</v>
      </c>
      <c r="AAF3" s="109">
        <f>SUMIFS('Revenue Tracking'!$F$13:$F$26, 'Revenue Tracking'!$H$13:$H$26, "&gt;="&amp;AAF1,'Revenue Tracking'!$H$13:$H$26, "&lt;"&amp;AAG1)</f>
        <v>0</v>
      </c>
      <c r="AAG3" s="109">
        <f>SUMIFS('Revenue Tracking'!$F$13:$F$26, 'Revenue Tracking'!$H$13:$H$26, "&gt;="&amp;AAG1,'Revenue Tracking'!$H$13:$H$26, "&lt;"&amp;AAH1)</f>
        <v>0</v>
      </c>
      <c r="AAH3" s="109">
        <f>SUMIFS('Revenue Tracking'!$F$13:$F$26, 'Revenue Tracking'!$H$13:$H$26, "&gt;="&amp;AAH1,'Revenue Tracking'!$H$13:$H$26, "&lt;"&amp;AAI1)</f>
        <v>0</v>
      </c>
      <c r="AAI3" s="109">
        <f>SUMIFS('Revenue Tracking'!$F$13:$F$26, 'Revenue Tracking'!$H$13:$H$26, "&gt;="&amp;AAI1,'Revenue Tracking'!$H$13:$H$26, "&lt;"&amp;AAJ1)</f>
        <v>0</v>
      </c>
      <c r="AAJ3" s="109">
        <f>SUMIFS('Revenue Tracking'!$F$13:$F$26, 'Revenue Tracking'!$H$13:$H$26, "&gt;="&amp;AAJ1,'Revenue Tracking'!$H$13:$H$26, "&lt;"&amp;AAK1)</f>
        <v>0</v>
      </c>
      <c r="AAK3" s="109">
        <f>SUMIFS('Revenue Tracking'!$F$13:$F$26, 'Revenue Tracking'!$H$13:$H$26, "&gt;="&amp;AAK1,'Revenue Tracking'!$H$13:$H$26, "&lt;"&amp;AAL1)</f>
        <v>0</v>
      </c>
      <c r="AAL3" s="109">
        <f>SUMIFS('Revenue Tracking'!$F$13:$F$26, 'Revenue Tracking'!$H$13:$H$26, "&gt;="&amp;AAL1,'Revenue Tracking'!$H$13:$H$26, "&lt;"&amp;AAM1)</f>
        <v>0</v>
      </c>
      <c r="AAM3" s="109">
        <f>SUMIFS('Revenue Tracking'!$F$13:$F$26, 'Revenue Tracking'!$H$13:$H$26, "&gt;="&amp;AAM1,'Revenue Tracking'!$H$13:$H$26, "&lt;"&amp;AAN1)</f>
        <v>0</v>
      </c>
      <c r="AAN3" s="109">
        <f>SUMIFS('Revenue Tracking'!$F$13:$F$26, 'Revenue Tracking'!$H$13:$H$26, "&gt;="&amp;AAN1,'Revenue Tracking'!$H$13:$H$26, "&lt;"&amp;AAO1)</f>
        <v>0</v>
      </c>
      <c r="AAO3" s="109">
        <f>SUMIFS('Revenue Tracking'!$F$13:$F$26, 'Revenue Tracking'!$H$13:$H$26, "&gt;="&amp;AAO1,'Revenue Tracking'!$H$13:$H$26, "&lt;"&amp;AAP1)</f>
        <v>0</v>
      </c>
      <c r="AAP3" s="109">
        <f>SUMIFS('Revenue Tracking'!$F$13:$F$26, 'Revenue Tracking'!$H$13:$H$26, "&gt;="&amp;AAP1,'Revenue Tracking'!$H$13:$H$26, "&lt;"&amp;AAQ1)</f>
        <v>0</v>
      </c>
      <c r="AAQ3" s="109">
        <f>SUMIFS('Revenue Tracking'!$F$13:$F$26, 'Revenue Tracking'!$H$13:$H$26, "&gt;="&amp;AAQ1,'Revenue Tracking'!$H$13:$H$26, "&lt;"&amp;AAR1)</f>
        <v>0</v>
      </c>
      <c r="AAR3" s="109">
        <f>SUMIFS('Revenue Tracking'!$F$13:$F$26, 'Revenue Tracking'!$H$13:$H$26, "&gt;="&amp;AAR1,'Revenue Tracking'!$H$13:$H$26, "&lt;"&amp;AAS1)</f>
        <v>0</v>
      </c>
      <c r="AAS3" s="109">
        <f>SUMIFS('Revenue Tracking'!$F$13:$F$26, 'Revenue Tracking'!$H$13:$H$26, "&gt;="&amp;AAS1,'Revenue Tracking'!$H$13:$H$26, "&lt;"&amp;AAT1)</f>
        <v>0</v>
      </c>
      <c r="AAT3" s="109">
        <f>SUMIFS('Revenue Tracking'!$F$13:$F$26, 'Revenue Tracking'!$H$13:$H$26, "&gt;="&amp;AAT1,'Revenue Tracking'!$H$13:$H$26, "&lt;"&amp;AAU1)</f>
        <v>0</v>
      </c>
      <c r="AAU3" s="109">
        <f>SUMIFS('Revenue Tracking'!$F$13:$F$26, 'Revenue Tracking'!$H$13:$H$26, "&gt;="&amp;AAU1,'Revenue Tracking'!$H$13:$H$26, "&lt;"&amp;AAV1)</f>
        <v>0</v>
      </c>
      <c r="AAV3" s="109">
        <f>SUMIFS('Revenue Tracking'!$F$13:$F$26, 'Revenue Tracking'!$H$13:$H$26, "&gt;="&amp;AAV1,'Revenue Tracking'!$H$13:$H$26, "&lt;"&amp;AAW1)</f>
        <v>0</v>
      </c>
      <c r="AAW3" s="109">
        <f>SUMIFS('Revenue Tracking'!$F$13:$F$26, 'Revenue Tracking'!$H$13:$H$26, "&gt;="&amp;AAW1,'Revenue Tracking'!$H$13:$H$26, "&lt;"&amp;AAX1)</f>
        <v>0</v>
      </c>
      <c r="AAX3" s="109">
        <f>SUMIFS('Revenue Tracking'!$F$13:$F$26, 'Revenue Tracking'!$H$13:$H$26, "&gt;="&amp;AAX1,'Revenue Tracking'!$H$13:$H$26, "&lt;"&amp;AAY1)</f>
        <v>0</v>
      </c>
      <c r="AAY3" s="109">
        <f>SUMIFS('Revenue Tracking'!$F$13:$F$26, 'Revenue Tracking'!$H$13:$H$26, "&gt;="&amp;AAY1,'Revenue Tracking'!$H$13:$H$26, "&lt;"&amp;AAZ1)</f>
        <v>0</v>
      </c>
      <c r="AAZ3" s="109">
        <f>SUMIFS('Revenue Tracking'!$F$13:$F$26, 'Revenue Tracking'!$H$13:$H$26, "&gt;="&amp;AAZ1,'Revenue Tracking'!$H$13:$H$26, "&lt;"&amp;ABA1)</f>
        <v>0</v>
      </c>
      <c r="ABA3" s="109">
        <f>SUMIFS('Revenue Tracking'!$F$13:$F$26, 'Revenue Tracking'!$H$13:$H$26, "&gt;="&amp;ABA1,'Revenue Tracking'!$H$13:$H$26, "&lt;"&amp;ABB1)</f>
        <v>0</v>
      </c>
      <c r="ABB3" s="109">
        <f>SUMIFS('Revenue Tracking'!$F$13:$F$26, 'Revenue Tracking'!$H$13:$H$26, "&gt;="&amp;ABB1,'Revenue Tracking'!$H$13:$H$26, "&lt;"&amp;ABC1)</f>
        <v>0</v>
      </c>
      <c r="ABC3" s="109">
        <f>SUMIFS('Revenue Tracking'!$F$13:$F$26, 'Revenue Tracking'!$H$13:$H$26, "&gt;="&amp;ABC1,'Revenue Tracking'!$H$13:$H$26, "&lt;"&amp;ABD1)</f>
        <v>0</v>
      </c>
      <c r="ABD3" s="109">
        <f>SUMIFS('Revenue Tracking'!$F$13:$F$26, 'Revenue Tracking'!$H$13:$H$26, "&gt;="&amp;ABD1,'Revenue Tracking'!$H$13:$H$26, "&lt;"&amp;ABE1)</f>
        <v>0</v>
      </c>
      <c r="ABE3" s="109">
        <f>SUMIFS('Revenue Tracking'!$F$13:$F$26, 'Revenue Tracking'!$H$13:$H$26, "&gt;="&amp;ABE1,'Revenue Tracking'!$H$13:$H$26, "&lt;"&amp;ABF1)</f>
        <v>0</v>
      </c>
      <c r="ABF3" s="109">
        <f>SUMIFS('Revenue Tracking'!$F$13:$F$26, 'Revenue Tracking'!$H$13:$H$26, "&gt;="&amp;ABF1,'Revenue Tracking'!$H$13:$H$26, "&lt;"&amp;ABG1)</f>
        <v>0</v>
      </c>
      <c r="ABG3" s="109">
        <f>SUMIFS('Revenue Tracking'!$F$13:$F$26, 'Revenue Tracking'!$H$13:$H$26, "&gt;="&amp;ABG1,'Revenue Tracking'!$H$13:$H$26, "&lt;"&amp;ABH1)</f>
        <v>0</v>
      </c>
      <c r="ABH3" s="109">
        <f>SUMIFS('Revenue Tracking'!$F$13:$F$26, 'Revenue Tracking'!$H$13:$H$26, "&gt;="&amp;ABH1,'Revenue Tracking'!$H$13:$H$26, "&lt;"&amp;ABI1)</f>
        <v>0</v>
      </c>
      <c r="ABI3" s="109">
        <f>SUMIFS('Revenue Tracking'!$F$13:$F$26, 'Revenue Tracking'!$H$13:$H$26, "&gt;="&amp;ABI1,'Revenue Tracking'!$H$13:$H$26, "&lt;"&amp;ABJ1)</f>
        <v>0</v>
      </c>
      <c r="ABJ3" s="109">
        <f>SUMIFS('Revenue Tracking'!$F$13:$F$26, 'Revenue Tracking'!$H$13:$H$26, "&gt;="&amp;ABJ1,'Revenue Tracking'!$H$13:$H$26, "&lt;"&amp;ABK1)</f>
        <v>0</v>
      </c>
      <c r="ABK3" s="109">
        <f>SUMIFS('Revenue Tracking'!$F$13:$F$26, 'Revenue Tracking'!$H$13:$H$26, "&gt;="&amp;ABK1,'Revenue Tracking'!$H$13:$H$26, "&lt;"&amp;ABL1)</f>
        <v>0</v>
      </c>
      <c r="ABL3" s="109">
        <f>SUMIFS('Revenue Tracking'!$F$13:$F$26, 'Revenue Tracking'!$H$13:$H$26, "&gt;="&amp;ABL1,'Revenue Tracking'!$H$13:$H$26, "&lt;"&amp;ABM1)</f>
        <v>0</v>
      </c>
      <c r="ABM3" s="109">
        <f>SUMIFS('Revenue Tracking'!$F$13:$F$26, 'Revenue Tracking'!$H$13:$H$26, "&gt;="&amp;ABM1,'Revenue Tracking'!$H$13:$H$26, "&lt;"&amp;ABN1)</f>
        <v>0</v>
      </c>
      <c r="ABN3" s="109">
        <f>SUMIFS('Revenue Tracking'!$F$13:$F$26, 'Revenue Tracking'!$H$13:$H$26, "&gt;="&amp;ABN1,'Revenue Tracking'!$H$13:$H$26, "&lt;"&amp;ABO1)</f>
        <v>0</v>
      </c>
      <c r="ABO3" s="109">
        <f>SUMIFS('Revenue Tracking'!$F$13:$F$26, 'Revenue Tracking'!$H$13:$H$26, "&gt;="&amp;ABO1,'Revenue Tracking'!$H$13:$H$26, "&lt;"&amp;ABP1)</f>
        <v>0</v>
      </c>
      <c r="ABP3" s="109">
        <f>SUMIFS('Revenue Tracking'!$F$13:$F$26, 'Revenue Tracking'!$H$13:$H$26, "&gt;="&amp;ABP1,'Revenue Tracking'!$H$13:$H$26, "&lt;"&amp;ABQ1)</f>
        <v>0</v>
      </c>
      <c r="ABQ3" s="109">
        <f>SUMIFS('Revenue Tracking'!$F$13:$F$26, 'Revenue Tracking'!$H$13:$H$26, "&gt;="&amp;ABQ1,'Revenue Tracking'!$H$13:$H$26, "&lt;"&amp;ABR1)</f>
        <v>0</v>
      </c>
      <c r="ABR3" s="109">
        <f>SUMIFS('Revenue Tracking'!$F$13:$F$26, 'Revenue Tracking'!$H$13:$H$26, "&gt;="&amp;ABR1,'Revenue Tracking'!$H$13:$H$26, "&lt;"&amp;ABS1)</f>
        <v>0</v>
      </c>
      <c r="ABS3" s="109">
        <f>SUMIFS('Revenue Tracking'!$F$13:$F$26, 'Revenue Tracking'!$H$13:$H$26, "&gt;="&amp;ABS1,'Revenue Tracking'!$H$13:$H$26, "&lt;"&amp;ABT1)</f>
        <v>0</v>
      </c>
      <c r="ABT3" s="109">
        <f>SUMIFS('Revenue Tracking'!$F$13:$F$26, 'Revenue Tracking'!$H$13:$H$26, "&gt;="&amp;ABT1,'Revenue Tracking'!$H$13:$H$26, "&lt;"&amp;ABU1)</f>
        <v>0</v>
      </c>
      <c r="ABU3" s="109">
        <f>SUMIFS('Revenue Tracking'!$F$13:$F$26, 'Revenue Tracking'!$H$13:$H$26, "&gt;="&amp;ABU1,'Revenue Tracking'!$H$13:$H$26, "&lt;"&amp;ABV1)</f>
        <v>0</v>
      </c>
      <c r="ABV3" s="109">
        <f>SUMIFS('Revenue Tracking'!$F$13:$F$26, 'Revenue Tracking'!$H$13:$H$26, "&gt;="&amp;ABV1,'Revenue Tracking'!$H$13:$H$26, "&lt;"&amp;ABW1)</f>
        <v>0</v>
      </c>
      <c r="ABW3" s="109">
        <f>SUMIFS('Revenue Tracking'!$F$13:$F$26, 'Revenue Tracking'!$H$13:$H$26, "&gt;="&amp;ABW1,'Revenue Tracking'!$H$13:$H$26, "&lt;"&amp;ABX1)</f>
        <v>0</v>
      </c>
      <c r="ABX3" s="109">
        <f>SUMIFS('Revenue Tracking'!$F$13:$F$26, 'Revenue Tracking'!$H$13:$H$26, "&gt;="&amp;ABX1,'Revenue Tracking'!$H$13:$H$26, "&lt;"&amp;ABY1)</f>
        <v>0</v>
      </c>
      <c r="ABY3" s="109">
        <f>SUMIFS('Revenue Tracking'!$F$13:$F$26, 'Revenue Tracking'!$H$13:$H$26, "&gt;="&amp;ABY1,'Revenue Tracking'!$H$13:$H$26, "&lt;"&amp;ABZ1)</f>
        <v>0</v>
      </c>
      <c r="ABZ3" s="109">
        <f>SUMIFS('Revenue Tracking'!$F$13:$F$26, 'Revenue Tracking'!$H$13:$H$26, "&gt;="&amp;ABZ1,'Revenue Tracking'!$H$13:$H$26, "&lt;"&amp;ACA1)</f>
        <v>0</v>
      </c>
      <c r="ACA3" s="109">
        <f>SUMIFS('Revenue Tracking'!$F$13:$F$26, 'Revenue Tracking'!$H$13:$H$26, "&gt;="&amp;ACA1,'Revenue Tracking'!$H$13:$H$26, "&lt;"&amp;ACB1)</f>
        <v>0</v>
      </c>
      <c r="ACB3" s="109">
        <f>SUMIFS('Revenue Tracking'!$F$13:$F$26, 'Revenue Tracking'!$H$13:$H$26, "&gt;="&amp;ACB1,'Revenue Tracking'!$H$13:$H$26, "&lt;"&amp;ACC1)</f>
        <v>0</v>
      </c>
      <c r="ACC3" s="109">
        <f>SUMIFS('Revenue Tracking'!$F$13:$F$26, 'Revenue Tracking'!$H$13:$H$26, "&gt;="&amp;ACC1,'Revenue Tracking'!$H$13:$H$26, "&lt;"&amp;ACD1)</f>
        <v>0</v>
      </c>
      <c r="ACD3" s="109">
        <f>SUMIFS('Revenue Tracking'!$F$13:$F$26, 'Revenue Tracking'!$H$13:$H$26, "&gt;="&amp;ACD1,'Revenue Tracking'!$H$13:$H$26, "&lt;"&amp;ACE1)</f>
        <v>0</v>
      </c>
      <c r="ACE3" s="109">
        <f>SUMIFS('Revenue Tracking'!$F$13:$F$26, 'Revenue Tracking'!$H$13:$H$26, "&gt;="&amp;ACE1,'Revenue Tracking'!$H$13:$H$26, "&lt;"&amp;ACF1)</f>
        <v>0</v>
      </c>
      <c r="ACF3" s="109">
        <f>SUMIFS('Revenue Tracking'!$F$13:$F$26, 'Revenue Tracking'!$H$13:$H$26, "&gt;="&amp;ACF1,'Revenue Tracking'!$H$13:$H$26, "&lt;"&amp;ACG1)</f>
        <v>0</v>
      </c>
      <c r="ACG3" s="109">
        <f>SUMIFS('Revenue Tracking'!$F$13:$F$26, 'Revenue Tracking'!$H$13:$H$26, "&gt;="&amp;ACG1,'Revenue Tracking'!$H$13:$H$26, "&lt;"&amp;ACH1)</f>
        <v>0</v>
      </c>
      <c r="ACH3" s="109">
        <f>SUMIFS('Revenue Tracking'!$F$13:$F$26, 'Revenue Tracking'!$H$13:$H$26, "&gt;="&amp;ACH1,'Revenue Tracking'!$H$13:$H$26, "&lt;"&amp;ACI1)</f>
        <v>0</v>
      </c>
      <c r="ACI3" s="109">
        <f>SUMIFS('Revenue Tracking'!$F$13:$F$26, 'Revenue Tracking'!$H$13:$H$26, "&gt;="&amp;ACI1,'Revenue Tracking'!$H$13:$H$26, "&lt;"&amp;ACJ1)</f>
        <v>0</v>
      </c>
      <c r="ACJ3" s="109">
        <f>SUMIFS('Revenue Tracking'!$F$13:$F$26, 'Revenue Tracking'!$H$13:$H$26, "&gt;="&amp;ACJ1,'Revenue Tracking'!$H$13:$H$26, "&lt;"&amp;ACK1)</f>
        <v>0</v>
      </c>
      <c r="ACK3" s="109">
        <f>SUMIFS('Revenue Tracking'!$F$13:$F$26, 'Revenue Tracking'!$H$13:$H$26, "&gt;="&amp;ACK1,'Revenue Tracking'!$H$13:$H$26, "&lt;"&amp;ACL1)</f>
        <v>0</v>
      </c>
      <c r="ACL3" s="109">
        <f>SUMIFS('Revenue Tracking'!$F$13:$F$26, 'Revenue Tracking'!$H$13:$H$26, "&gt;="&amp;ACL1,'Revenue Tracking'!$H$13:$H$26, "&lt;"&amp;ACM1)</f>
        <v>0</v>
      </c>
      <c r="ACM3" s="109">
        <f>SUMIFS('Revenue Tracking'!$F$13:$F$26, 'Revenue Tracking'!$H$13:$H$26, "&gt;="&amp;ACM1,'Revenue Tracking'!$H$13:$H$26, "&lt;"&amp;ACN1)</f>
        <v>0</v>
      </c>
      <c r="ACN3" s="109">
        <f>SUMIFS('Revenue Tracking'!$F$13:$F$26, 'Revenue Tracking'!$H$13:$H$26, "&gt;="&amp;ACN1,'Revenue Tracking'!$H$13:$H$26, "&lt;"&amp;ACO1)</f>
        <v>0</v>
      </c>
      <c r="ACO3" s="109">
        <f>SUMIFS('Revenue Tracking'!$F$13:$F$26, 'Revenue Tracking'!$H$13:$H$26, "&gt;="&amp;ACO1,'Revenue Tracking'!$H$13:$H$26, "&lt;"&amp;ACP1)</f>
        <v>0</v>
      </c>
      <c r="ACP3" s="109">
        <f>SUMIFS('Revenue Tracking'!$F$13:$F$26, 'Revenue Tracking'!$H$13:$H$26, "&gt;="&amp;ACP1,'Revenue Tracking'!$H$13:$H$26, "&lt;"&amp;ACQ1)</f>
        <v>0</v>
      </c>
      <c r="ACQ3" s="109">
        <f>SUMIFS('Revenue Tracking'!$F$13:$F$26, 'Revenue Tracking'!$H$13:$H$26, "&gt;="&amp;ACQ1,'Revenue Tracking'!$H$13:$H$26, "&lt;"&amp;ACR1)</f>
        <v>0</v>
      </c>
      <c r="ACR3" s="109">
        <f>SUMIFS('Revenue Tracking'!$F$13:$F$26, 'Revenue Tracking'!$H$13:$H$26, "&gt;="&amp;ACR1,'Revenue Tracking'!$H$13:$H$26, "&lt;"&amp;ACS1)</f>
        <v>0</v>
      </c>
      <c r="ACS3" s="109">
        <f>SUMIFS('Revenue Tracking'!$F$13:$F$26, 'Revenue Tracking'!$H$13:$H$26, "&gt;="&amp;ACS1,'Revenue Tracking'!$H$13:$H$26, "&lt;"&amp;ACT1)</f>
        <v>0</v>
      </c>
      <c r="ACT3" s="109">
        <f>SUMIFS('Revenue Tracking'!$F$13:$F$26, 'Revenue Tracking'!$H$13:$H$26, "&gt;="&amp;ACT1,'Revenue Tracking'!$H$13:$H$26, "&lt;"&amp;ACU1)</f>
        <v>0</v>
      </c>
      <c r="ACU3" s="109">
        <f>SUMIFS('Revenue Tracking'!$F$13:$F$26, 'Revenue Tracking'!$H$13:$H$26, "&gt;="&amp;ACU1,'Revenue Tracking'!$H$13:$H$26, "&lt;"&amp;ACV1)</f>
        <v>0</v>
      </c>
      <c r="ACV3" s="109">
        <f>SUMIFS('Revenue Tracking'!$F$13:$F$26, 'Revenue Tracking'!$H$13:$H$26, "&gt;="&amp;ACV1,'Revenue Tracking'!$H$13:$H$26, "&lt;"&amp;ACW1)</f>
        <v>0</v>
      </c>
      <c r="ACW3" s="109">
        <f>SUMIFS('Revenue Tracking'!$F$13:$F$26, 'Revenue Tracking'!$H$13:$H$26, "&gt;="&amp;ACW1,'Revenue Tracking'!$H$13:$H$26, "&lt;"&amp;ACX1)</f>
        <v>0</v>
      </c>
      <c r="ACX3" s="109">
        <f>SUMIFS('Revenue Tracking'!$F$13:$F$26, 'Revenue Tracking'!$H$13:$H$26, "&gt;="&amp;ACX1,'Revenue Tracking'!$H$13:$H$26, "&lt;"&amp;ACY1)</f>
        <v>0</v>
      </c>
      <c r="ACY3" s="109">
        <f>SUMIFS('Revenue Tracking'!$F$13:$F$26, 'Revenue Tracking'!$H$13:$H$26, "&gt;="&amp;ACY1,'Revenue Tracking'!$H$13:$H$26, "&lt;"&amp;ACZ1)</f>
        <v>0</v>
      </c>
      <c r="ACZ3" s="109">
        <f>SUMIFS('Revenue Tracking'!$F$13:$F$26, 'Revenue Tracking'!$H$13:$H$26, "&gt;="&amp;ACZ1,'Revenue Tracking'!$H$13:$H$26, "&lt;"&amp;ADA1)</f>
        <v>0</v>
      </c>
      <c r="ADA3" s="109">
        <f>SUMIFS('Revenue Tracking'!$F$13:$F$26, 'Revenue Tracking'!$H$13:$H$26, "&gt;="&amp;ADA1,'Revenue Tracking'!$H$13:$H$26, "&lt;"&amp;ADB1)</f>
        <v>0</v>
      </c>
      <c r="ADB3" s="109">
        <f>SUMIFS('Revenue Tracking'!$F$13:$F$26, 'Revenue Tracking'!$H$13:$H$26, "&gt;="&amp;ADB1,'Revenue Tracking'!$H$13:$H$26, "&lt;"&amp;ADC1)</f>
        <v>0</v>
      </c>
      <c r="ADC3" s="109">
        <f>SUMIFS('Revenue Tracking'!$F$13:$F$26, 'Revenue Tracking'!$H$13:$H$26, "&gt;="&amp;ADC1,'Revenue Tracking'!$H$13:$H$26, "&lt;"&amp;ADD1)</f>
        <v>0</v>
      </c>
      <c r="ADD3" s="109">
        <f>SUMIFS('Revenue Tracking'!$F$13:$F$26, 'Revenue Tracking'!$H$13:$H$26, "&gt;="&amp;ADD1,'Revenue Tracking'!$H$13:$H$26, "&lt;"&amp;ADE1)</f>
        <v>0</v>
      </c>
      <c r="ADE3" s="109">
        <f>SUMIFS('Revenue Tracking'!$F$13:$F$26, 'Revenue Tracking'!$H$13:$H$26, "&gt;="&amp;ADE1,'Revenue Tracking'!$H$13:$H$26, "&lt;"&amp;ADF1)</f>
        <v>0</v>
      </c>
      <c r="ADF3" s="109">
        <f>SUMIFS('Revenue Tracking'!$F$13:$F$26, 'Revenue Tracking'!$H$13:$H$26, "&gt;="&amp;ADF1,'Revenue Tracking'!$H$13:$H$26, "&lt;"&amp;ADG1)</f>
        <v>0</v>
      </c>
      <c r="ADG3" s="109">
        <f>SUMIFS('Revenue Tracking'!$F$13:$F$26, 'Revenue Tracking'!$H$13:$H$26, "&gt;="&amp;ADG1,'Revenue Tracking'!$H$13:$H$26, "&lt;"&amp;ADH1)</f>
        <v>0</v>
      </c>
      <c r="ADH3" s="109">
        <f>SUMIFS('Revenue Tracking'!$F$13:$F$26, 'Revenue Tracking'!$H$13:$H$26, "&gt;="&amp;ADH1,'Revenue Tracking'!$H$13:$H$26, "&lt;"&amp;ADI1)</f>
        <v>0</v>
      </c>
      <c r="ADI3" s="109">
        <f>SUMIFS('Revenue Tracking'!$F$13:$F$26, 'Revenue Tracking'!$H$13:$H$26, "&gt;="&amp;ADI1,'Revenue Tracking'!$H$13:$H$26, "&lt;"&amp;ADJ1)</f>
        <v>0</v>
      </c>
      <c r="ADJ3" s="109">
        <f>SUMIFS('Revenue Tracking'!$F$13:$F$26, 'Revenue Tracking'!$H$13:$H$26, "&gt;="&amp;ADJ1,'Revenue Tracking'!$H$13:$H$26, "&lt;"&amp;ADK1)</f>
        <v>0</v>
      </c>
      <c r="ADK3" s="109">
        <f>SUMIFS('Revenue Tracking'!$F$13:$F$26, 'Revenue Tracking'!$H$13:$H$26, "&gt;="&amp;ADK1,'Revenue Tracking'!$H$13:$H$26, "&lt;"&amp;ADL1)</f>
        <v>0</v>
      </c>
      <c r="ADL3" s="109">
        <f>SUMIFS('Revenue Tracking'!$F$13:$F$26, 'Revenue Tracking'!$H$13:$H$26, "&gt;="&amp;ADL1,'Revenue Tracking'!$H$13:$H$26, "&lt;"&amp;ADM1)</f>
        <v>0</v>
      </c>
      <c r="ADM3" s="109">
        <f>SUMIFS('Revenue Tracking'!$F$13:$F$26, 'Revenue Tracking'!$H$13:$H$26, "&gt;="&amp;ADM1,'Revenue Tracking'!$H$13:$H$26, "&lt;"&amp;ADN1)</f>
        <v>0</v>
      </c>
      <c r="ADN3" s="109">
        <f>SUMIFS('Revenue Tracking'!$F$13:$F$26, 'Revenue Tracking'!$H$13:$H$26, "&gt;="&amp;ADN1,'Revenue Tracking'!$H$13:$H$26, "&lt;"&amp;ADO1)</f>
        <v>0</v>
      </c>
      <c r="ADO3" s="109">
        <f>SUMIFS('Revenue Tracking'!$F$13:$F$26, 'Revenue Tracking'!$H$13:$H$26, "&gt;="&amp;ADO1,'Revenue Tracking'!$H$13:$H$26, "&lt;"&amp;ADP1)</f>
        <v>0</v>
      </c>
      <c r="ADP3" s="109">
        <f>SUMIFS('Revenue Tracking'!$F$13:$F$26, 'Revenue Tracking'!$H$13:$H$26, "&gt;="&amp;ADP1,'Revenue Tracking'!$H$13:$H$26, "&lt;"&amp;ADQ1)</f>
        <v>0</v>
      </c>
      <c r="ADQ3" s="109">
        <f>SUMIFS('Revenue Tracking'!$F$13:$F$26, 'Revenue Tracking'!$H$13:$H$26, "&gt;="&amp;ADQ1,'Revenue Tracking'!$H$13:$H$26, "&lt;"&amp;ADR1)</f>
        <v>0</v>
      </c>
      <c r="ADR3" s="109">
        <f>SUMIFS('Revenue Tracking'!$F$13:$F$26, 'Revenue Tracking'!$H$13:$H$26, "&gt;="&amp;ADR1,'Revenue Tracking'!$H$13:$H$26, "&lt;"&amp;ADS1)</f>
        <v>0</v>
      </c>
      <c r="ADS3" s="109">
        <f>SUMIFS('Revenue Tracking'!$F$13:$F$26, 'Revenue Tracking'!$H$13:$H$26, "&gt;="&amp;ADS1,'Revenue Tracking'!$H$13:$H$26, "&lt;"&amp;ADT1)</f>
        <v>0</v>
      </c>
      <c r="ADT3" s="109">
        <f>SUMIFS('Revenue Tracking'!$F$13:$F$26, 'Revenue Tracking'!$H$13:$H$26, "&gt;="&amp;ADT1,'Revenue Tracking'!$H$13:$H$26, "&lt;"&amp;ADU1)</f>
        <v>0</v>
      </c>
      <c r="ADU3" s="109">
        <f>SUMIFS('Revenue Tracking'!$F$13:$F$26, 'Revenue Tracking'!$H$13:$H$26, "&gt;="&amp;ADU1,'Revenue Tracking'!$H$13:$H$26, "&lt;"&amp;ADV1)</f>
        <v>0</v>
      </c>
      <c r="ADV3" s="109">
        <f>SUMIFS('Revenue Tracking'!$F$13:$F$26, 'Revenue Tracking'!$H$13:$H$26, "&gt;="&amp;ADV1,'Revenue Tracking'!$H$13:$H$26, "&lt;"&amp;ADW1)</f>
        <v>0</v>
      </c>
      <c r="ADW3" s="109">
        <f>SUMIFS('Revenue Tracking'!$F$13:$F$26, 'Revenue Tracking'!$H$13:$H$26, "&gt;="&amp;ADW1,'Revenue Tracking'!$H$13:$H$26, "&lt;"&amp;ADX1)</f>
        <v>0</v>
      </c>
      <c r="ADX3" s="109">
        <f>SUMIFS('Revenue Tracking'!$F$13:$F$26, 'Revenue Tracking'!$H$13:$H$26, "&gt;="&amp;ADX1,'Revenue Tracking'!$H$13:$H$26, "&lt;"&amp;ADY1)</f>
        <v>0</v>
      </c>
      <c r="ADY3" s="109">
        <f>SUMIFS('Revenue Tracking'!$F$13:$F$26, 'Revenue Tracking'!$H$13:$H$26, "&gt;="&amp;ADY1,'Revenue Tracking'!$H$13:$H$26, "&lt;"&amp;ADZ1)</f>
        <v>0</v>
      </c>
      <c r="ADZ3" s="109">
        <f>SUMIFS('Revenue Tracking'!$F$13:$F$26, 'Revenue Tracking'!$H$13:$H$26, "&gt;="&amp;ADZ1,'Revenue Tracking'!$H$13:$H$26, "&lt;"&amp;AEA1)</f>
        <v>0</v>
      </c>
      <c r="AEA3" s="109">
        <f>SUMIFS('Revenue Tracking'!$F$13:$F$26, 'Revenue Tracking'!$H$13:$H$26, "&gt;="&amp;AEA1,'Revenue Tracking'!$H$13:$H$26, "&lt;"&amp;AEB1)</f>
        <v>0</v>
      </c>
      <c r="AEB3" s="109">
        <f>SUMIFS('Revenue Tracking'!$F$13:$F$26, 'Revenue Tracking'!$H$13:$H$26, "&gt;="&amp;AEB1,'Revenue Tracking'!$H$13:$H$26, "&lt;"&amp;AEC1)</f>
        <v>0</v>
      </c>
      <c r="AEC3" s="109">
        <f>SUMIFS('Revenue Tracking'!$F$13:$F$26, 'Revenue Tracking'!$H$13:$H$26, "&gt;="&amp;AEC1,'Revenue Tracking'!$H$13:$H$26, "&lt;"&amp;AED1)</f>
        <v>0</v>
      </c>
      <c r="AED3" s="109">
        <f>SUMIFS('Revenue Tracking'!$F$13:$F$26, 'Revenue Tracking'!$H$13:$H$26, "&gt;="&amp;AED1,'Revenue Tracking'!$H$13:$H$26, "&lt;"&amp;AEE1)</f>
        <v>0</v>
      </c>
      <c r="AEE3" s="109">
        <f>SUMIFS('Revenue Tracking'!$F$13:$F$26, 'Revenue Tracking'!$H$13:$H$26, "&gt;="&amp;AEE1,'Revenue Tracking'!$H$13:$H$26, "&lt;"&amp;AEF1)</f>
        <v>0</v>
      </c>
      <c r="AEF3" s="109">
        <f>SUMIFS('Revenue Tracking'!$F$13:$F$26, 'Revenue Tracking'!$H$13:$H$26, "&gt;="&amp;AEF1,'Revenue Tracking'!$H$13:$H$26, "&lt;"&amp;AEG1)</f>
        <v>0</v>
      </c>
      <c r="AEG3" s="109">
        <f>SUMIFS('Revenue Tracking'!$F$13:$F$26, 'Revenue Tracking'!$H$13:$H$26, "&gt;="&amp;AEG1,'Revenue Tracking'!$H$13:$H$26, "&lt;"&amp;AEH1)</f>
        <v>0</v>
      </c>
      <c r="AEH3" s="109">
        <f>SUMIFS('Revenue Tracking'!$F$13:$F$26, 'Revenue Tracking'!$H$13:$H$26, "&gt;="&amp;AEH1,'Revenue Tracking'!$H$13:$H$26, "&lt;"&amp;AEI1)</f>
        <v>0</v>
      </c>
      <c r="AEI3" s="109">
        <f>SUMIFS('Revenue Tracking'!$F$13:$F$26, 'Revenue Tracking'!$H$13:$H$26, "&gt;="&amp;AEI1,'Revenue Tracking'!$H$13:$H$26, "&lt;"&amp;AEJ1)</f>
        <v>0</v>
      </c>
      <c r="AEJ3" s="109">
        <f>SUMIFS('Revenue Tracking'!$F$13:$F$26, 'Revenue Tracking'!$H$13:$H$26, "&gt;="&amp;AEJ1,'Revenue Tracking'!$H$13:$H$26, "&lt;"&amp;AEK1)</f>
        <v>0</v>
      </c>
      <c r="AEK3" s="109">
        <f>SUMIFS('Revenue Tracking'!$F$13:$F$26, 'Revenue Tracking'!$H$13:$H$26, "&gt;="&amp;AEK1,'Revenue Tracking'!$H$13:$H$26, "&lt;"&amp;AEL1)</f>
        <v>0</v>
      </c>
      <c r="AEL3" s="109">
        <f>SUMIFS('Revenue Tracking'!$F$13:$F$26, 'Revenue Tracking'!$H$13:$H$26, "&gt;="&amp;AEL1,'Revenue Tracking'!$H$13:$H$26, "&lt;"&amp;AEM1)</f>
        <v>0</v>
      </c>
      <c r="AEM3" s="109">
        <f>SUMIFS('Revenue Tracking'!$F$13:$F$26, 'Revenue Tracking'!$H$13:$H$26, "&gt;="&amp;AEM1,'Revenue Tracking'!$H$13:$H$26, "&lt;"&amp;AEN1)</f>
        <v>0</v>
      </c>
      <c r="AEN3" s="109">
        <f>SUMIFS('Revenue Tracking'!$F$13:$F$26, 'Revenue Tracking'!$H$13:$H$26, "&gt;="&amp;AEN1,'Revenue Tracking'!$H$13:$H$26, "&lt;"&amp;AEO1)</f>
        <v>0</v>
      </c>
      <c r="AEO3" s="109">
        <f>SUMIFS('Revenue Tracking'!$F$13:$F$26, 'Revenue Tracking'!$H$13:$H$26, "&gt;="&amp;AEO1,'Revenue Tracking'!$H$13:$H$26, "&lt;"&amp;AEP1)</f>
        <v>0</v>
      </c>
      <c r="AEP3" s="109">
        <f>SUMIFS('Revenue Tracking'!$F$13:$F$26, 'Revenue Tracking'!$H$13:$H$26, "&gt;="&amp;AEP1,'Revenue Tracking'!$H$13:$H$26, "&lt;"&amp;AEQ1)</f>
        <v>0</v>
      </c>
      <c r="AEQ3" s="109">
        <f>SUMIFS('Revenue Tracking'!$F$13:$F$26, 'Revenue Tracking'!$H$13:$H$26, "&gt;="&amp;AEQ1,'Revenue Tracking'!$H$13:$H$26, "&lt;"&amp;AER1)</f>
        <v>0</v>
      </c>
      <c r="AER3" s="109">
        <f>SUMIFS('Revenue Tracking'!$F$13:$F$26, 'Revenue Tracking'!$H$13:$H$26, "&gt;="&amp;AER1,'Revenue Tracking'!$H$13:$H$26, "&lt;"&amp;AES1)</f>
        <v>0</v>
      </c>
      <c r="AES3" s="109">
        <f>SUMIFS('Revenue Tracking'!$F$13:$F$26, 'Revenue Tracking'!$H$13:$H$26, "&gt;="&amp;AES1,'Revenue Tracking'!$H$13:$H$26, "&lt;"&amp;AET1)</f>
        <v>0</v>
      </c>
      <c r="AET3" s="109">
        <f>SUMIFS('Revenue Tracking'!$F$13:$F$26, 'Revenue Tracking'!$H$13:$H$26, "&gt;="&amp;AET1,'Revenue Tracking'!$H$13:$H$26, "&lt;"&amp;AEU1)</f>
        <v>0</v>
      </c>
      <c r="AEU3" s="109">
        <f>SUMIFS('Revenue Tracking'!$F$13:$F$26, 'Revenue Tracking'!$H$13:$H$26, "&gt;="&amp;AEU1,'Revenue Tracking'!$H$13:$H$26, "&lt;"&amp;AEV1)</f>
        <v>0</v>
      </c>
      <c r="AEV3" s="109">
        <f>SUMIFS('Revenue Tracking'!$F$13:$F$26, 'Revenue Tracking'!$H$13:$H$26, "&gt;="&amp;AEV1,'Revenue Tracking'!$H$13:$H$26, "&lt;"&amp;AEW1)</f>
        <v>0</v>
      </c>
      <c r="AEW3" s="109">
        <f>SUMIFS('Revenue Tracking'!$F$13:$F$26, 'Revenue Tracking'!$H$13:$H$26, "&gt;="&amp;AEW1,'Revenue Tracking'!$H$13:$H$26, "&lt;"&amp;AEX1)</f>
        <v>0</v>
      </c>
      <c r="AEX3" s="109">
        <f>SUMIFS('Revenue Tracking'!$F$13:$F$26, 'Revenue Tracking'!$H$13:$H$26, "&gt;="&amp;AEX1,'Revenue Tracking'!$H$13:$H$26, "&lt;"&amp;AEY1)</f>
        <v>0</v>
      </c>
      <c r="AEY3" s="109">
        <f>SUMIFS('Revenue Tracking'!$F$13:$F$26, 'Revenue Tracking'!$H$13:$H$26, "&gt;="&amp;AEY1,'Revenue Tracking'!$H$13:$H$26, "&lt;"&amp;AEZ1)</f>
        <v>0</v>
      </c>
      <c r="AEZ3" s="109">
        <f>SUMIFS('Revenue Tracking'!$F$13:$F$26, 'Revenue Tracking'!$H$13:$H$26, "&gt;="&amp;AEZ1,'Revenue Tracking'!$H$13:$H$26, "&lt;"&amp;AFA1)</f>
        <v>0</v>
      </c>
      <c r="AFA3" s="109">
        <f>SUMIFS('Revenue Tracking'!$F$13:$F$26, 'Revenue Tracking'!$H$13:$H$26, "&gt;="&amp;AFA1,'Revenue Tracking'!$H$13:$H$26, "&lt;"&amp;AFB1)</f>
        <v>0</v>
      </c>
      <c r="AFB3" s="109">
        <f>SUMIFS('Revenue Tracking'!$F$13:$F$26, 'Revenue Tracking'!$H$13:$H$26, "&gt;="&amp;AFB1,'Revenue Tracking'!$H$13:$H$26, "&lt;"&amp;AFC1)</f>
        <v>0</v>
      </c>
      <c r="AFC3" s="109">
        <f>SUMIFS('Revenue Tracking'!$F$13:$F$26, 'Revenue Tracking'!$H$13:$H$26, "&gt;="&amp;AFC1,'Revenue Tracking'!$H$13:$H$26, "&lt;"&amp;AFD1)</f>
        <v>0</v>
      </c>
      <c r="AFD3" s="109">
        <f>SUMIFS('Revenue Tracking'!$F$13:$F$26, 'Revenue Tracking'!$H$13:$H$26, "&gt;="&amp;AFD1,'Revenue Tracking'!$H$13:$H$26, "&lt;"&amp;AFE1)</f>
        <v>0</v>
      </c>
      <c r="AFE3" s="109">
        <f>SUMIFS('Revenue Tracking'!$F$13:$F$26, 'Revenue Tracking'!$H$13:$H$26, "&gt;="&amp;AFE1,'Revenue Tracking'!$H$13:$H$26, "&lt;"&amp;AFF1)</f>
        <v>0</v>
      </c>
      <c r="AFF3" s="109">
        <f>SUMIFS('Revenue Tracking'!$F$13:$F$26, 'Revenue Tracking'!$H$13:$H$26, "&gt;="&amp;AFF1,'Revenue Tracking'!$H$13:$H$26, "&lt;"&amp;AFG1)</f>
        <v>0</v>
      </c>
      <c r="AFG3" s="109">
        <f>SUMIFS('Revenue Tracking'!$F$13:$F$26, 'Revenue Tracking'!$H$13:$H$26, "&gt;="&amp;AFG1,'Revenue Tracking'!$H$13:$H$26, "&lt;"&amp;AFH1)</f>
        <v>0</v>
      </c>
      <c r="AFH3" s="109">
        <f>SUMIFS('Revenue Tracking'!$F$13:$F$26, 'Revenue Tracking'!$H$13:$H$26, "&gt;="&amp;AFH1,'Revenue Tracking'!$H$13:$H$26, "&lt;"&amp;AFI1)</f>
        <v>0</v>
      </c>
      <c r="AFI3" s="109">
        <f>SUMIFS('Revenue Tracking'!$F$13:$F$26, 'Revenue Tracking'!$H$13:$H$26, "&gt;="&amp;AFI1,'Revenue Tracking'!$H$13:$H$26, "&lt;"&amp;AFJ1)</f>
        <v>0</v>
      </c>
      <c r="AFJ3" s="109">
        <f>SUMIFS('Revenue Tracking'!$F$13:$F$26, 'Revenue Tracking'!$H$13:$H$26, "&gt;="&amp;AFJ1,'Revenue Tracking'!$H$13:$H$26, "&lt;"&amp;AFK1)</f>
        <v>0</v>
      </c>
      <c r="AFK3" s="109">
        <f>SUMIFS('Revenue Tracking'!$F$13:$F$26, 'Revenue Tracking'!$H$13:$H$26, "&gt;="&amp;AFK1,'Revenue Tracking'!$H$13:$H$26, "&lt;"&amp;AFL1)</f>
        <v>0</v>
      </c>
      <c r="AFL3" s="109">
        <f>SUMIFS('Revenue Tracking'!$F$13:$F$26, 'Revenue Tracking'!$H$13:$H$26, "&gt;="&amp;AFL1,'Revenue Tracking'!$H$13:$H$26, "&lt;"&amp;AFM1)</f>
        <v>0</v>
      </c>
      <c r="AFM3" s="109">
        <f>SUMIFS('Revenue Tracking'!$F$13:$F$26, 'Revenue Tracking'!$H$13:$H$26, "&gt;="&amp;AFM1,'Revenue Tracking'!$H$13:$H$26, "&lt;"&amp;AFN1)</f>
        <v>0</v>
      </c>
      <c r="AFN3" s="109">
        <f>SUMIFS('Revenue Tracking'!$F$13:$F$26, 'Revenue Tracking'!$H$13:$H$26, "&gt;="&amp;AFN1,'Revenue Tracking'!$H$13:$H$26, "&lt;"&amp;AFO1)</f>
        <v>0</v>
      </c>
      <c r="AFO3" s="109">
        <f>SUMIFS('Revenue Tracking'!$F$13:$F$26, 'Revenue Tracking'!$H$13:$H$26, "&gt;="&amp;AFO1,'Revenue Tracking'!$H$13:$H$26, "&lt;"&amp;AFP1)</f>
        <v>0</v>
      </c>
      <c r="AFP3" s="109">
        <f>SUMIFS('Revenue Tracking'!$F$13:$F$26, 'Revenue Tracking'!$H$13:$H$26, "&gt;="&amp;AFP1,'Revenue Tracking'!$H$13:$H$26, "&lt;"&amp;AFQ1)</f>
        <v>0</v>
      </c>
      <c r="AFQ3" s="109">
        <f>SUMIFS('Revenue Tracking'!$F$13:$F$26, 'Revenue Tracking'!$H$13:$H$26, "&gt;="&amp;AFQ1,'Revenue Tracking'!$H$13:$H$26, "&lt;"&amp;AFR1)</f>
        <v>0</v>
      </c>
      <c r="AFR3" s="109">
        <f>SUMIFS('Revenue Tracking'!$F$13:$F$26, 'Revenue Tracking'!$H$13:$H$26, "&gt;="&amp;AFR1,'Revenue Tracking'!$H$13:$H$26, "&lt;"&amp;AFS1)</f>
        <v>0</v>
      </c>
      <c r="AFS3" s="109">
        <f>SUMIFS('Revenue Tracking'!$F$13:$F$26, 'Revenue Tracking'!$H$13:$H$26, "&gt;="&amp;AFS1,'Revenue Tracking'!$H$13:$H$26, "&lt;"&amp;AFT1)</f>
        <v>0</v>
      </c>
      <c r="AFT3" s="109">
        <f>SUMIFS('Revenue Tracking'!$F$13:$F$26, 'Revenue Tracking'!$H$13:$H$26, "&gt;="&amp;AFT1,'Revenue Tracking'!$H$13:$H$26, "&lt;"&amp;AFU1)</f>
        <v>0</v>
      </c>
      <c r="AFU3" s="109">
        <f>SUMIFS('Revenue Tracking'!$F$13:$F$26, 'Revenue Tracking'!$H$13:$H$26, "&gt;="&amp;AFU1,'Revenue Tracking'!$H$13:$H$26, "&lt;"&amp;AFV1)</f>
        <v>0</v>
      </c>
      <c r="AFV3" s="109">
        <f>SUMIFS('Revenue Tracking'!$F$13:$F$26, 'Revenue Tracking'!$H$13:$H$26, "&gt;="&amp;AFV1,'Revenue Tracking'!$H$13:$H$26, "&lt;"&amp;AFW1)</f>
        <v>0</v>
      </c>
      <c r="AFW3" s="109">
        <f>SUMIFS('Revenue Tracking'!$F$13:$F$26, 'Revenue Tracking'!$H$13:$H$26, "&gt;="&amp;AFW1,'Revenue Tracking'!$H$13:$H$26, "&lt;"&amp;AFX1)</f>
        <v>0</v>
      </c>
      <c r="AFX3" s="109">
        <f>SUMIFS('Revenue Tracking'!$F$13:$F$26, 'Revenue Tracking'!$H$13:$H$26, "&gt;="&amp;AFX1,'Revenue Tracking'!$H$13:$H$26, "&lt;"&amp;AFY1)</f>
        <v>0</v>
      </c>
      <c r="AFY3" s="109">
        <f>SUMIFS('Revenue Tracking'!$F$13:$F$26, 'Revenue Tracking'!$H$13:$H$26, "&gt;="&amp;AFY1,'Revenue Tracking'!$H$13:$H$26, "&lt;"&amp;AFZ1)</f>
        <v>0</v>
      </c>
      <c r="AFZ3" s="109">
        <f>SUMIFS('Revenue Tracking'!$F$13:$F$26, 'Revenue Tracking'!$H$13:$H$26, "&gt;="&amp;AFZ1,'Revenue Tracking'!$H$13:$H$26, "&lt;"&amp;AGA1)</f>
        <v>0</v>
      </c>
      <c r="AGA3" s="109">
        <f>SUMIFS('Revenue Tracking'!$F$13:$F$26, 'Revenue Tracking'!$H$13:$H$26, "&gt;="&amp;AGA1,'Revenue Tracking'!$H$13:$H$26, "&lt;"&amp;AGB1)</f>
        <v>0</v>
      </c>
      <c r="AGB3" s="109">
        <f>SUMIFS('Revenue Tracking'!$F$13:$F$26, 'Revenue Tracking'!$H$13:$H$26, "&gt;="&amp;AGB1,'Revenue Tracking'!$H$13:$H$26, "&lt;"&amp;AGC1)</f>
        <v>0</v>
      </c>
      <c r="AGC3" s="109">
        <f>SUMIFS('Revenue Tracking'!$F$13:$F$26, 'Revenue Tracking'!$H$13:$H$26, "&gt;="&amp;AGC1,'Revenue Tracking'!$H$13:$H$26, "&lt;"&amp;AGD1)</f>
        <v>0</v>
      </c>
      <c r="AGD3" s="109">
        <f>SUMIFS('Revenue Tracking'!$F$13:$F$26, 'Revenue Tracking'!$H$13:$H$26, "&gt;="&amp;AGD1,'Revenue Tracking'!$H$13:$H$26, "&lt;"&amp;AGE1)</f>
        <v>0</v>
      </c>
      <c r="AGE3" s="109">
        <f>SUMIFS('Revenue Tracking'!$F$13:$F$26, 'Revenue Tracking'!$H$13:$H$26, "&gt;="&amp;AGE1,'Revenue Tracking'!$H$13:$H$26, "&lt;"&amp;AGF1)</f>
        <v>0</v>
      </c>
      <c r="AGF3" s="109">
        <f>SUMIFS('Revenue Tracking'!$F$13:$F$26, 'Revenue Tracking'!$H$13:$H$26, "&gt;="&amp;AGF1,'Revenue Tracking'!$H$13:$H$26, "&lt;"&amp;AGG1)</f>
        <v>0</v>
      </c>
      <c r="AGG3" s="109">
        <f>SUMIFS('Revenue Tracking'!$F$13:$F$26, 'Revenue Tracking'!$H$13:$H$26, "&gt;="&amp;AGG1,'Revenue Tracking'!$H$13:$H$26, "&lt;"&amp;AGH1)</f>
        <v>0</v>
      </c>
      <c r="AGH3" s="109">
        <f>SUMIFS('Revenue Tracking'!$F$13:$F$26, 'Revenue Tracking'!$H$13:$H$26, "&gt;="&amp;AGH1,'Revenue Tracking'!$H$13:$H$26, "&lt;"&amp;AGI1)</f>
        <v>0</v>
      </c>
      <c r="AGI3" s="109">
        <f>SUMIFS('Revenue Tracking'!$F$13:$F$26, 'Revenue Tracking'!$H$13:$H$26, "&gt;="&amp;AGI1,'Revenue Tracking'!$H$13:$H$26, "&lt;"&amp;AGJ1)</f>
        <v>0</v>
      </c>
      <c r="AGJ3" s="109">
        <f>SUMIFS('Revenue Tracking'!$F$13:$F$26, 'Revenue Tracking'!$H$13:$H$26, "&gt;="&amp;AGJ1,'Revenue Tracking'!$H$13:$H$26, "&lt;"&amp;AGK1)</f>
        <v>0</v>
      </c>
      <c r="AGK3" s="109">
        <f>SUMIFS('Revenue Tracking'!$F$13:$F$26, 'Revenue Tracking'!$H$13:$H$26, "&gt;="&amp;AGK1,'Revenue Tracking'!$H$13:$H$26, "&lt;"&amp;AGL1)</f>
        <v>0</v>
      </c>
      <c r="AGL3" s="109">
        <f>SUMIFS('Revenue Tracking'!$F$13:$F$26, 'Revenue Tracking'!$H$13:$H$26, "&gt;="&amp;AGL1,'Revenue Tracking'!$H$13:$H$26, "&lt;"&amp;AGM1)</f>
        <v>0</v>
      </c>
      <c r="AGM3" s="109">
        <f>SUMIFS('Revenue Tracking'!$F$13:$F$26, 'Revenue Tracking'!$H$13:$H$26, "&gt;="&amp;AGM1,'Revenue Tracking'!$H$13:$H$26, "&lt;"&amp;AGN1)</f>
        <v>0</v>
      </c>
      <c r="AGN3" s="109">
        <f>SUMIFS('Revenue Tracking'!$F$13:$F$26, 'Revenue Tracking'!$H$13:$H$26, "&gt;="&amp;AGN1,'Revenue Tracking'!$H$13:$H$26, "&lt;"&amp;AGO1)</f>
        <v>0</v>
      </c>
      <c r="AGO3" s="109">
        <f>SUMIFS('Revenue Tracking'!$F$13:$F$26, 'Revenue Tracking'!$H$13:$H$26, "&gt;="&amp;AGO1,'Revenue Tracking'!$H$13:$H$26, "&lt;"&amp;AGP1)</f>
        <v>0</v>
      </c>
      <c r="AGP3" s="109">
        <f>SUMIFS('Revenue Tracking'!$F$13:$F$26, 'Revenue Tracking'!$H$13:$H$26, "&gt;="&amp;AGP1,'Revenue Tracking'!$H$13:$H$26, "&lt;"&amp;AGQ1)</f>
        <v>0</v>
      </c>
      <c r="AGQ3" s="109">
        <f>SUMIFS('Revenue Tracking'!$F$13:$F$26, 'Revenue Tracking'!$H$13:$H$26, "&gt;="&amp;AGQ1,'Revenue Tracking'!$H$13:$H$26, "&lt;"&amp;AGR1)</f>
        <v>0</v>
      </c>
      <c r="AGR3" s="109">
        <f>SUMIFS('Revenue Tracking'!$F$13:$F$26, 'Revenue Tracking'!$H$13:$H$26, "&gt;="&amp;AGR1,'Revenue Tracking'!$H$13:$H$26, "&lt;"&amp;AGS1)</f>
        <v>0</v>
      </c>
      <c r="AGS3" s="109">
        <f>SUMIFS('Revenue Tracking'!$F$13:$F$26, 'Revenue Tracking'!$H$13:$H$26, "&gt;="&amp;AGS1,'Revenue Tracking'!$H$13:$H$26, "&lt;"&amp;AGT1)</f>
        <v>0</v>
      </c>
      <c r="AGT3" s="109">
        <f>SUMIFS('Revenue Tracking'!$F$13:$F$26, 'Revenue Tracking'!$H$13:$H$26, "&gt;="&amp;AGT1,'Revenue Tracking'!$H$13:$H$26, "&lt;"&amp;AGU1)</f>
        <v>0</v>
      </c>
      <c r="AGU3" s="109">
        <f>SUMIFS('Revenue Tracking'!$F$13:$F$26, 'Revenue Tracking'!$H$13:$H$26, "&gt;="&amp;AGU1,'Revenue Tracking'!$H$13:$H$26, "&lt;"&amp;AGV1)</f>
        <v>0</v>
      </c>
      <c r="AGV3" s="109">
        <f>SUMIFS('Revenue Tracking'!$F$13:$F$26, 'Revenue Tracking'!$H$13:$H$26, "&gt;="&amp;AGV1,'Revenue Tracking'!$H$13:$H$26, "&lt;"&amp;AGW1)</f>
        <v>0</v>
      </c>
      <c r="AGW3" s="109">
        <f>SUMIFS('Revenue Tracking'!$F$13:$F$26, 'Revenue Tracking'!$H$13:$H$26, "&gt;="&amp;AGW1,'Revenue Tracking'!$H$13:$H$26, "&lt;"&amp;AGX1)</f>
        <v>0</v>
      </c>
      <c r="AGX3" s="109">
        <f>SUMIFS('Revenue Tracking'!$F$13:$F$26, 'Revenue Tracking'!$H$13:$H$26, "&gt;="&amp;AGX1,'Revenue Tracking'!$H$13:$H$26, "&lt;"&amp;AGY1)</f>
        <v>0</v>
      </c>
      <c r="AGY3" s="109">
        <f>SUMIFS('Revenue Tracking'!$F$13:$F$26, 'Revenue Tracking'!$H$13:$H$26, "&gt;="&amp;AGY1,'Revenue Tracking'!$H$13:$H$26, "&lt;"&amp;AGZ1)</f>
        <v>0</v>
      </c>
      <c r="AGZ3" s="109">
        <f>SUMIFS('Revenue Tracking'!$F$13:$F$26, 'Revenue Tracking'!$H$13:$H$26, "&gt;="&amp;AGZ1,'Revenue Tracking'!$H$13:$H$26, "&lt;"&amp;AHA1)</f>
        <v>0</v>
      </c>
      <c r="AHA3" s="109">
        <f>SUMIFS('Revenue Tracking'!$F$13:$F$26, 'Revenue Tracking'!$H$13:$H$26, "&gt;="&amp;AHA1,'Revenue Tracking'!$H$13:$H$26, "&lt;"&amp;AHB1)</f>
        <v>0</v>
      </c>
      <c r="AHB3" s="109">
        <f>SUMIFS('Revenue Tracking'!$F$13:$F$26, 'Revenue Tracking'!$H$13:$H$26, "&gt;="&amp;AHB1,'Revenue Tracking'!$H$13:$H$26, "&lt;"&amp;AHC1)</f>
        <v>0</v>
      </c>
      <c r="AHC3" s="109">
        <f>SUMIFS('Revenue Tracking'!$F$13:$F$26, 'Revenue Tracking'!$H$13:$H$26, "&gt;="&amp;AHC1,'Revenue Tracking'!$H$13:$H$26, "&lt;"&amp;AHD1)</f>
        <v>0</v>
      </c>
      <c r="AHD3" s="109">
        <f>SUMIFS('Revenue Tracking'!$F$13:$F$26, 'Revenue Tracking'!$H$13:$H$26, "&gt;="&amp;AHD1,'Revenue Tracking'!$H$13:$H$26, "&lt;"&amp;AHE1)</f>
        <v>0</v>
      </c>
      <c r="AHE3" s="109">
        <f>SUMIFS('Revenue Tracking'!$F$13:$F$26, 'Revenue Tracking'!$H$13:$H$26, "&gt;="&amp;AHE1,'Revenue Tracking'!$H$13:$H$26, "&lt;"&amp;AHF1)</f>
        <v>0</v>
      </c>
      <c r="AHF3" s="109">
        <f>SUMIFS('Revenue Tracking'!$F$13:$F$26, 'Revenue Tracking'!$H$13:$H$26, "&gt;="&amp;AHF1,'Revenue Tracking'!$H$13:$H$26, "&lt;"&amp;AHG1)</f>
        <v>0</v>
      </c>
      <c r="AHG3" s="109">
        <f>SUMIFS('Revenue Tracking'!$F$13:$F$26, 'Revenue Tracking'!$H$13:$H$26, "&gt;="&amp;AHG1,'Revenue Tracking'!$H$13:$H$26, "&lt;"&amp;AHH1)</f>
        <v>0</v>
      </c>
      <c r="AHH3" s="109">
        <f>SUMIFS('Revenue Tracking'!$F$13:$F$26, 'Revenue Tracking'!$H$13:$H$26, "&gt;="&amp;AHH1,'Revenue Tracking'!$H$13:$H$26, "&lt;"&amp;AHI1)</f>
        <v>0</v>
      </c>
      <c r="AHI3" s="109">
        <f>SUMIFS('Revenue Tracking'!$F$13:$F$26, 'Revenue Tracking'!$H$13:$H$26, "&gt;="&amp;AHI1,'Revenue Tracking'!$H$13:$H$26, "&lt;"&amp;AHJ1)</f>
        <v>0</v>
      </c>
      <c r="AHJ3" s="109">
        <f>SUMIFS('Revenue Tracking'!$F$13:$F$26, 'Revenue Tracking'!$H$13:$H$26, "&gt;="&amp;AHJ1,'Revenue Tracking'!$H$13:$H$26, "&lt;"&amp;AHK1)</f>
        <v>0</v>
      </c>
      <c r="AHK3" s="109">
        <f>SUMIFS('Revenue Tracking'!$F$13:$F$26, 'Revenue Tracking'!$H$13:$H$26, "&gt;="&amp;AHK1,'Revenue Tracking'!$H$13:$H$26, "&lt;"&amp;AHL1)</f>
        <v>0</v>
      </c>
      <c r="AHL3" s="109">
        <f>SUMIFS('Revenue Tracking'!$F$13:$F$26, 'Revenue Tracking'!$H$13:$H$26, "&gt;="&amp;AHL1,'Revenue Tracking'!$H$13:$H$26, "&lt;"&amp;AHM1)</f>
        <v>0</v>
      </c>
      <c r="AHM3" s="109">
        <f>SUMIFS('Revenue Tracking'!$F$13:$F$26, 'Revenue Tracking'!$H$13:$H$26, "&gt;="&amp;AHM1,'Revenue Tracking'!$H$13:$H$26, "&lt;"&amp;AHN1)</f>
        <v>0</v>
      </c>
      <c r="AHN3" s="109">
        <f>SUMIFS('Revenue Tracking'!$F$13:$F$26, 'Revenue Tracking'!$H$13:$H$26, "&gt;="&amp;AHN1,'Revenue Tracking'!$H$13:$H$26, "&lt;"&amp;AHO1)</f>
        <v>0</v>
      </c>
      <c r="AHO3" s="109">
        <f>SUMIFS('Revenue Tracking'!$F$13:$F$26, 'Revenue Tracking'!$H$13:$H$26, "&gt;="&amp;AHO1,'Revenue Tracking'!$H$13:$H$26, "&lt;"&amp;AHP1)</f>
        <v>0</v>
      </c>
      <c r="AHP3" s="109">
        <f>SUMIFS('Revenue Tracking'!$F$13:$F$26, 'Revenue Tracking'!$H$13:$H$26, "&gt;="&amp;AHP1,'Revenue Tracking'!$H$13:$H$26, "&lt;"&amp;AHQ1)</f>
        <v>0</v>
      </c>
      <c r="AHQ3" s="109">
        <f>SUMIFS('Revenue Tracking'!$F$13:$F$26, 'Revenue Tracking'!$H$13:$H$26, "&gt;="&amp;AHQ1,'Revenue Tracking'!$H$13:$H$26, "&lt;"&amp;AHR1)</f>
        <v>0</v>
      </c>
      <c r="AHR3" s="109">
        <f>SUMIFS('Revenue Tracking'!$F$13:$F$26, 'Revenue Tracking'!$H$13:$H$26, "&gt;="&amp;AHR1,'Revenue Tracking'!$H$13:$H$26, "&lt;"&amp;AHS1)</f>
        <v>0</v>
      </c>
      <c r="AHS3" s="109">
        <f>SUMIFS('Revenue Tracking'!$F$13:$F$26, 'Revenue Tracking'!$H$13:$H$26, "&gt;="&amp;AHS1,'Revenue Tracking'!$H$13:$H$26, "&lt;"&amp;AHT1)</f>
        <v>0</v>
      </c>
      <c r="AHT3" s="109">
        <f>SUMIFS('Revenue Tracking'!$F$13:$F$26, 'Revenue Tracking'!$H$13:$H$26, "&gt;="&amp;AHT1,'Revenue Tracking'!$H$13:$H$26, "&lt;"&amp;AHU1)</f>
        <v>0</v>
      </c>
      <c r="AHU3" s="109">
        <f>SUMIFS('Revenue Tracking'!$F$13:$F$26, 'Revenue Tracking'!$H$13:$H$26, "&gt;="&amp;AHU1,'Revenue Tracking'!$H$13:$H$26, "&lt;"&amp;AHV1)</f>
        <v>0</v>
      </c>
      <c r="AHV3" s="109">
        <f>SUMIFS('Revenue Tracking'!$F$13:$F$26, 'Revenue Tracking'!$H$13:$H$26, "&gt;="&amp;AHV1,'Revenue Tracking'!$H$13:$H$26, "&lt;"&amp;AHW1)</f>
        <v>0</v>
      </c>
      <c r="AHW3" s="109">
        <f>SUMIFS('Revenue Tracking'!$F$13:$F$26, 'Revenue Tracking'!$H$13:$H$26, "&gt;="&amp;AHW1,'Revenue Tracking'!$H$13:$H$26, "&lt;"&amp;AHX1)</f>
        <v>0</v>
      </c>
      <c r="AHX3" s="109">
        <f>SUMIFS('Revenue Tracking'!$F$13:$F$26, 'Revenue Tracking'!$H$13:$H$26, "&gt;="&amp;AHX1,'Revenue Tracking'!$H$13:$H$26, "&lt;"&amp;AHY1)</f>
        <v>0</v>
      </c>
      <c r="AHY3" s="109">
        <f>SUMIFS('Revenue Tracking'!$F$13:$F$26, 'Revenue Tracking'!$H$13:$H$26, "&gt;="&amp;AHY1,'Revenue Tracking'!$H$13:$H$26, "&lt;"&amp;AHZ1)</f>
        <v>0</v>
      </c>
      <c r="AHZ3" s="109">
        <f>SUMIFS('Revenue Tracking'!$F$13:$F$26, 'Revenue Tracking'!$H$13:$H$26, "&gt;="&amp;AHZ1,'Revenue Tracking'!$H$13:$H$26, "&lt;"&amp;AIA1)</f>
        <v>0</v>
      </c>
      <c r="AIA3" s="109">
        <f>SUMIFS('Revenue Tracking'!$F$13:$F$26, 'Revenue Tracking'!$H$13:$H$26, "&gt;="&amp;AIA1,'Revenue Tracking'!$H$13:$H$26, "&lt;"&amp;AIB1)</f>
        <v>0</v>
      </c>
      <c r="AIB3" s="109">
        <f>SUMIFS('Revenue Tracking'!$F$13:$F$26, 'Revenue Tracking'!$H$13:$H$26, "&gt;="&amp;AIB1,'Revenue Tracking'!$H$13:$H$26, "&lt;"&amp;AIC1)</f>
        <v>0</v>
      </c>
      <c r="AIC3" s="109">
        <f>SUMIFS('Revenue Tracking'!$F$13:$F$26, 'Revenue Tracking'!$H$13:$H$26, "&gt;="&amp;AIC1,'Revenue Tracking'!$H$13:$H$26, "&lt;"&amp;AID1)</f>
        <v>0</v>
      </c>
      <c r="AID3" s="109">
        <f>SUMIFS('Revenue Tracking'!$F$13:$F$26, 'Revenue Tracking'!$H$13:$H$26, "&gt;="&amp;AID1,'Revenue Tracking'!$H$13:$H$26, "&lt;"&amp;AIE1)</f>
        <v>0</v>
      </c>
      <c r="AIE3" s="109">
        <f>SUMIFS('Revenue Tracking'!$F$13:$F$26, 'Revenue Tracking'!$H$13:$H$26, "&gt;="&amp;AIE1,'Revenue Tracking'!$H$13:$H$26, "&lt;"&amp;AIF1)</f>
        <v>0</v>
      </c>
      <c r="AIF3" s="109">
        <f>SUMIFS('Revenue Tracking'!$F$13:$F$26, 'Revenue Tracking'!$H$13:$H$26, "&gt;="&amp;AIF1,'Revenue Tracking'!$H$13:$H$26, "&lt;"&amp;AIG1)</f>
        <v>0</v>
      </c>
      <c r="AIG3" s="109">
        <f>SUMIFS('Revenue Tracking'!$F$13:$F$26, 'Revenue Tracking'!$H$13:$H$26, "&gt;="&amp;AIG1,'Revenue Tracking'!$H$13:$H$26, "&lt;"&amp;AIH1)</f>
        <v>0</v>
      </c>
      <c r="AIH3" s="109">
        <f>SUMIFS('Revenue Tracking'!$F$13:$F$26, 'Revenue Tracking'!$H$13:$H$26, "&gt;="&amp;AIH1,'Revenue Tracking'!$H$13:$H$26, "&lt;"&amp;AII1)</f>
        <v>0</v>
      </c>
      <c r="AII3" s="109">
        <f>SUMIFS('Revenue Tracking'!$F$13:$F$26, 'Revenue Tracking'!$H$13:$H$26, "&gt;="&amp;AII1,'Revenue Tracking'!$H$13:$H$26, "&lt;"&amp;AIJ1)</f>
        <v>0</v>
      </c>
      <c r="AIJ3" s="109">
        <f>SUMIFS('Revenue Tracking'!$F$13:$F$26, 'Revenue Tracking'!$H$13:$H$26, "&gt;="&amp;AIJ1,'Revenue Tracking'!$H$13:$H$26, "&lt;"&amp;AIK1)</f>
        <v>0</v>
      </c>
      <c r="AIK3" s="109">
        <f>SUMIFS('Revenue Tracking'!$F$13:$F$26, 'Revenue Tracking'!$H$13:$H$26, "&gt;="&amp;AIK1,'Revenue Tracking'!$H$13:$H$26, "&lt;"&amp;AIL1)</f>
        <v>0</v>
      </c>
      <c r="AIL3" s="109">
        <f>SUMIFS('Revenue Tracking'!$F$13:$F$26, 'Revenue Tracking'!$H$13:$H$26, "&gt;="&amp;AIL1,'Revenue Tracking'!$H$13:$H$26, "&lt;"&amp;AIM1)</f>
        <v>0</v>
      </c>
      <c r="AIM3" s="109">
        <f>SUMIFS('Revenue Tracking'!$F$13:$F$26, 'Revenue Tracking'!$H$13:$H$26, "&gt;="&amp;AIM1,'Revenue Tracking'!$H$13:$H$26, "&lt;"&amp;AIN1)</f>
        <v>0</v>
      </c>
      <c r="AIN3" s="109">
        <f>SUMIFS('Revenue Tracking'!$F$13:$F$26, 'Revenue Tracking'!$H$13:$H$26, "&gt;="&amp;AIN1,'Revenue Tracking'!$H$13:$H$26, "&lt;"&amp;AIO1)</f>
        <v>0</v>
      </c>
      <c r="AIO3" s="109">
        <f>SUMIFS('Revenue Tracking'!$F$13:$F$26, 'Revenue Tracking'!$H$13:$H$26, "&gt;="&amp;AIO1,'Revenue Tracking'!$H$13:$H$26, "&lt;"&amp;AIP1)</f>
        <v>0</v>
      </c>
      <c r="AIP3" s="109">
        <f>SUMIFS('Revenue Tracking'!$F$13:$F$26, 'Revenue Tracking'!$H$13:$H$26, "&gt;="&amp;AIP1,'Revenue Tracking'!$H$13:$H$26, "&lt;"&amp;AIQ1)</f>
        <v>0</v>
      </c>
      <c r="AIQ3" s="109">
        <f>SUMIFS('Revenue Tracking'!$F$13:$F$26, 'Revenue Tracking'!$H$13:$H$26, "&gt;="&amp;AIQ1,'Revenue Tracking'!$H$13:$H$26, "&lt;"&amp;AIR1)</f>
        <v>0</v>
      </c>
      <c r="AIR3" s="109">
        <f>SUMIFS('Revenue Tracking'!$F$13:$F$26, 'Revenue Tracking'!$H$13:$H$26, "&gt;="&amp;AIR1,'Revenue Tracking'!$H$13:$H$26, "&lt;"&amp;AIS1)</f>
        <v>0</v>
      </c>
      <c r="AIS3" s="109">
        <f>SUMIFS('Revenue Tracking'!$F$13:$F$26, 'Revenue Tracking'!$H$13:$H$26, "&gt;="&amp;AIS1,'Revenue Tracking'!$H$13:$H$26, "&lt;"&amp;AIT1)</f>
        <v>0</v>
      </c>
      <c r="AIT3" s="109">
        <f>SUMIFS('Revenue Tracking'!$F$13:$F$26, 'Revenue Tracking'!$H$13:$H$26, "&gt;="&amp;AIT1,'Revenue Tracking'!$H$13:$H$26, "&lt;"&amp;AIU1)</f>
        <v>0</v>
      </c>
      <c r="AIU3" s="109">
        <f>SUMIFS('Revenue Tracking'!$F$13:$F$26, 'Revenue Tracking'!$H$13:$H$26, "&gt;="&amp;AIU1,'Revenue Tracking'!$H$13:$H$26, "&lt;"&amp;AIV1)</f>
        <v>0</v>
      </c>
      <c r="AIV3" s="109">
        <f>SUMIFS('Revenue Tracking'!$F$13:$F$26, 'Revenue Tracking'!$H$13:$H$26, "&gt;="&amp;AIV1,'Revenue Tracking'!$H$13:$H$26, "&lt;"&amp;AIW1)</f>
        <v>0</v>
      </c>
      <c r="AIW3" s="109">
        <f>SUMIFS('Revenue Tracking'!$F$13:$F$26, 'Revenue Tracking'!$H$13:$H$26, "&gt;="&amp;AIW1,'Revenue Tracking'!$H$13:$H$26, "&lt;"&amp;AIX1)</f>
        <v>0</v>
      </c>
      <c r="AIX3" s="109">
        <f>SUMIFS('Revenue Tracking'!$F$13:$F$26, 'Revenue Tracking'!$H$13:$H$26, "&gt;="&amp;AIX1,'Revenue Tracking'!$H$13:$H$26, "&lt;"&amp;AIY1)</f>
        <v>0</v>
      </c>
      <c r="AIY3" s="109">
        <f>SUMIFS('Revenue Tracking'!$F$13:$F$26, 'Revenue Tracking'!$H$13:$H$26, "&gt;="&amp;AIY1,'Revenue Tracking'!$H$13:$H$26, "&lt;"&amp;AIZ1)</f>
        <v>0</v>
      </c>
      <c r="AIZ3" s="109">
        <f>SUMIFS('Revenue Tracking'!$F$13:$F$26, 'Revenue Tracking'!$H$13:$H$26, "&gt;="&amp;AIZ1,'Revenue Tracking'!$H$13:$H$26, "&lt;"&amp;AJA1)</f>
        <v>0</v>
      </c>
      <c r="AJA3" s="109">
        <f>SUMIFS('Revenue Tracking'!$F$13:$F$26, 'Revenue Tracking'!$H$13:$H$26, "&gt;="&amp;AJA1,'Revenue Tracking'!$H$13:$H$26, "&lt;"&amp;AJB1)</f>
        <v>0</v>
      </c>
      <c r="AJB3" s="109">
        <f>SUMIFS('Revenue Tracking'!$F$13:$F$26, 'Revenue Tracking'!$H$13:$H$26, "&gt;="&amp;AJB1,'Revenue Tracking'!$H$13:$H$26, "&lt;"&amp;AJC1)</f>
        <v>0</v>
      </c>
      <c r="AJC3" s="109">
        <f>SUMIFS('Revenue Tracking'!$F$13:$F$26, 'Revenue Tracking'!$H$13:$H$26, "&gt;="&amp;AJC1,'Revenue Tracking'!$H$13:$H$26, "&lt;"&amp;AJD1)</f>
        <v>0</v>
      </c>
      <c r="AJD3" s="109">
        <f>SUMIFS('Revenue Tracking'!$F$13:$F$26, 'Revenue Tracking'!$H$13:$H$26, "&gt;="&amp;AJD1,'Revenue Tracking'!$H$13:$H$26, "&lt;"&amp;AJE1)</f>
        <v>0</v>
      </c>
      <c r="AJE3" s="109">
        <f>SUMIFS('Revenue Tracking'!$F$13:$F$26, 'Revenue Tracking'!$H$13:$H$26, "&gt;="&amp;AJE1,'Revenue Tracking'!$H$13:$H$26, "&lt;"&amp;AJF1)</f>
        <v>0</v>
      </c>
      <c r="AJF3" s="109">
        <f>SUMIFS('Revenue Tracking'!$F$13:$F$26, 'Revenue Tracking'!$H$13:$H$26, "&gt;="&amp;AJF1,'Revenue Tracking'!$H$13:$H$26, "&lt;"&amp;AJG1)</f>
        <v>0</v>
      </c>
      <c r="AJG3" s="109">
        <f>SUMIFS('Revenue Tracking'!$F$13:$F$26, 'Revenue Tracking'!$H$13:$H$26, "&gt;="&amp;AJG1,'Revenue Tracking'!$H$13:$H$26, "&lt;"&amp;AJH1)</f>
        <v>0</v>
      </c>
      <c r="AJH3" s="109">
        <f>SUMIFS('Revenue Tracking'!$F$13:$F$26, 'Revenue Tracking'!$H$13:$H$26, "&gt;="&amp;AJH1,'Revenue Tracking'!$H$13:$H$26, "&lt;"&amp;AJI1)</f>
        <v>0</v>
      </c>
      <c r="AJI3" s="109">
        <f>SUMIFS('Revenue Tracking'!$F$13:$F$26, 'Revenue Tracking'!$H$13:$H$26, "&gt;="&amp;AJI1,'Revenue Tracking'!$H$13:$H$26, "&lt;"&amp;AJJ1)</f>
        <v>0</v>
      </c>
      <c r="AJJ3" s="109">
        <f>SUMIFS('Revenue Tracking'!$F$13:$F$26, 'Revenue Tracking'!$H$13:$H$26, "&gt;="&amp;AJJ1,'Revenue Tracking'!$H$13:$H$26, "&lt;"&amp;AJK1)</f>
        <v>0</v>
      </c>
      <c r="AJK3" s="109">
        <f>SUMIFS('Revenue Tracking'!$F$13:$F$26, 'Revenue Tracking'!$H$13:$H$26, "&gt;="&amp;AJK1,'Revenue Tracking'!$H$13:$H$26, "&lt;"&amp;AJL1)</f>
        <v>0</v>
      </c>
      <c r="AJL3" s="109">
        <f>SUMIFS('Revenue Tracking'!$F$13:$F$26, 'Revenue Tracking'!$H$13:$H$26, "&gt;="&amp;AJL1,'Revenue Tracking'!$H$13:$H$26, "&lt;"&amp;AJM1)</f>
        <v>0</v>
      </c>
      <c r="AJM3" s="109">
        <f>SUMIFS('Revenue Tracking'!$F$13:$F$26, 'Revenue Tracking'!$H$13:$H$26, "&gt;="&amp;AJM1,'Revenue Tracking'!$H$13:$H$26, "&lt;"&amp;AJN1)</f>
        <v>0</v>
      </c>
      <c r="AJN3" s="109">
        <f>SUMIFS('Revenue Tracking'!$F$13:$F$26, 'Revenue Tracking'!$H$13:$H$26, "&gt;="&amp;AJN1,'Revenue Tracking'!$H$13:$H$26, "&lt;"&amp;AJO1)</f>
        <v>0</v>
      </c>
      <c r="AJO3" s="109">
        <f>SUMIFS('Revenue Tracking'!$F$13:$F$26, 'Revenue Tracking'!$H$13:$H$26, "&gt;="&amp;AJO1,'Revenue Tracking'!$H$13:$H$26, "&lt;"&amp;AJP1)</f>
        <v>0</v>
      </c>
      <c r="AJP3" s="109">
        <f>SUMIFS('Revenue Tracking'!$F$13:$F$26, 'Revenue Tracking'!$H$13:$H$26, "&gt;="&amp;AJP1,'Revenue Tracking'!$H$13:$H$26, "&lt;"&amp;AJQ1)</f>
        <v>0</v>
      </c>
      <c r="AJQ3" s="109">
        <f>SUMIFS('Revenue Tracking'!$F$13:$F$26, 'Revenue Tracking'!$H$13:$H$26, "&gt;="&amp;AJQ1,'Revenue Tracking'!$H$13:$H$26, "&lt;"&amp;AJR1)</f>
        <v>0</v>
      </c>
      <c r="AJR3" s="109">
        <f>SUMIFS('Revenue Tracking'!$F$13:$F$26, 'Revenue Tracking'!$H$13:$H$26, "&gt;="&amp;AJR1,'Revenue Tracking'!$H$13:$H$26, "&lt;"&amp;AJS1)</f>
        <v>0</v>
      </c>
      <c r="AJS3" s="109">
        <f>SUMIFS('Revenue Tracking'!$F$13:$F$26, 'Revenue Tracking'!$H$13:$H$26, "&gt;="&amp;AJS1,'Revenue Tracking'!$H$13:$H$26, "&lt;"&amp;AJT1)</f>
        <v>0</v>
      </c>
      <c r="AJT3" s="109">
        <f>SUMIFS('Revenue Tracking'!$F$13:$F$26, 'Revenue Tracking'!$H$13:$H$26, "&gt;="&amp;AJT1,'Revenue Tracking'!$H$13:$H$26, "&lt;"&amp;AJU1)</f>
        <v>0</v>
      </c>
      <c r="AJU3" s="109">
        <f>SUMIFS('Revenue Tracking'!$F$13:$F$26, 'Revenue Tracking'!$H$13:$H$26, "&gt;="&amp;AJU1,'Revenue Tracking'!$H$13:$H$26, "&lt;"&amp;AJV1)</f>
        <v>0</v>
      </c>
      <c r="AJV3" s="109">
        <f>SUMIFS('Revenue Tracking'!$F$13:$F$26, 'Revenue Tracking'!$H$13:$H$26, "&gt;="&amp;AJV1,'Revenue Tracking'!$H$13:$H$26, "&lt;"&amp;AJW1)</f>
        <v>0</v>
      </c>
      <c r="AJW3" s="109">
        <f>SUMIFS('Revenue Tracking'!$F$13:$F$26, 'Revenue Tracking'!$H$13:$H$26, "&gt;="&amp;AJW1,'Revenue Tracking'!$H$13:$H$26, "&lt;"&amp;AJX1)</f>
        <v>0</v>
      </c>
      <c r="AJX3" s="109">
        <f>SUMIFS('Revenue Tracking'!$F$13:$F$26, 'Revenue Tracking'!$H$13:$H$26, "&gt;="&amp;AJX1,'Revenue Tracking'!$H$13:$H$26, "&lt;"&amp;AJY1)</f>
        <v>0</v>
      </c>
      <c r="AJY3" s="109">
        <f>SUMIFS('Revenue Tracking'!$F$13:$F$26, 'Revenue Tracking'!$H$13:$H$26, "&gt;="&amp;AJY1,'Revenue Tracking'!$H$13:$H$26, "&lt;"&amp;AJZ1)</f>
        <v>0</v>
      </c>
      <c r="AJZ3" s="109">
        <f>SUMIFS('Revenue Tracking'!$F$13:$F$26, 'Revenue Tracking'!$H$13:$H$26, "&gt;="&amp;AJZ1,'Revenue Tracking'!$H$13:$H$26, "&lt;"&amp;AKA1)</f>
        <v>0</v>
      </c>
      <c r="AKA3" s="109">
        <f>SUMIFS('Revenue Tracking'!$F$13:$F$26, 'Revenue Tracking'!$H$13:$H$26, "&gt;="&amp;AKA1,'Revenue Tracking'!$H$13:$H$26, "&lt;"&amp;AKB1)</f>
        <v>0</v>
      </c>
      <c r="AKB3" s="109">
        <f>SUMIFS('Revenue Tracking'!$F$13:$F$26, 'Revenue Tracking'!$H$13:$H$26, "&gt;="&amp;AKB1,'Revenue Tracking'!$H$13:$H$26, "&lt;"&amp;AKC1)</f>
        <v>0</v>
      </c>
      <c r="AKC3" s="109">
        <f>SUMIFS('Revenue Tracking'!$F$13:$F$26, 'Revenue Tracking'!$H$13:$H$26, "&gt;="&amp;AKC1,'Revenue Tracking'!$H$13:$H$26, "&lt;"&amp;AKD1)</f>
        <v>0</v>
      </c>
      <c r="AKD3" s="109">
        <f>SUMIFS('Revenue Tracking'!$F$13:$F$26, 'Revenue Tracking'!$H$13:$H$26, "&gt;="&amp;AKD1,'Revenue Tracking'!$H$13:$H$26, "&lt;"&amp;AKE1)</f>
        <v>0</v>
      </c>
      <c r="AKE3" s="109">
        <f>SUMIFS('Revenue Tracking'!$F$13:$F$26, 'Revenue Tracking'!$H$13:$H$26, "&gt;="&amp;AKE1,'Revenue Tracking'!$H$13:$H$26, "&lt;"&amp;AKF1)</f>
        <v>0</v>
      </c>
      <c r="AKF3" s="109">
        <f>SUMIFS('Revenue Tracking'!$F$13:$F$26, 'Revenue Tracking'!$H$13:$H$26, "&gt;="&amp;AKF1,'Revenue Tracking'!$H$13:$H$26, "&lt;"&amp;AKG1)</f>
        <v>0</v>
      </c>
      <c r="AKG3" s="109">
        <f>SUMIFS('Revenue Tracking'!$F$13:$F$26, 'Revenue Tracking'!$H$13:$H$26, "&gt;="&amp;AKG1,'Revenue Tracking'!$H$13:$H$26, "&lt;"&amp;AKH1)</f>
        <v>0</v>
      </c>
      <c r="AKH3" s="109">
        <f>SUMIFS('Revenue Tracking'!$F$13:$F$26, 'Revenue Tracking'!$H$13:$H$26, "&gt;="&amp;AKH1,'Revenue Tracking'!$H$13:$H$26, "&lt;"&amp;AKI1)</f>
        <v>0</v>
      </c>
      <c r="AKI3" s="109">
        <f>SUMIFS('Revenue Tracking'!$F$13:$F$26, 'Revenue Tracking'!$H$13:$H$26, "&gt;="&amp;AKI1,'Revenue Tracking'!$H$13:$H$26, "&lt;"&amp;AKJ1)</f>
        <v>0</v>
      </c>
      <c r="AKJ3" s="109">
        <f>SUMIFS('Revenue Tracking'!$F$13:$F$26, 'Revenue Tracking'!$H$13:$H$26, "&gt;="&amp;AKJ1,'Revenue Tracking'!$H$13:$H$26, "&lt;"&amp;AKK1)</f>
        <v>0</v>
      </c>
      <c r="AKK3" s="109">
        <f>SUMIFS('Revenue Tracking'!$F$13:$F$26, 'Revenue Tracking'!$H$13:$H$26, "&gt;="&amp;AKK1,'Revenue Tracking'!$H$13:$H$26, "&lt;"&amp;AKL1)</f>
        <v>0</v>
      </c>
      <c r="AKL3" s="109">
        <f>SUMIFS('Revenue Tracking'!$F$13:$F$26, 'Revenue Tracking'!$H$13:$H$26, "&gt;="&amp;AKL1,'Revenue Tracking'!$H$13:$H$26, "&lt;"&amp;AKM1)</f>
        <v>0</v>
      </c>
      <c r="AKM3" s="109">
        <f>SUMIFS('Revenue Tracking'!$F$13:$F$26, 'Revenue Tracking'!$H$13:$H$26, "&gt;="&amp;AKM1,'Revenue Tracking'!$H$13:$H$26, "&lt;"&amp;AKN1)</f>
        <v>0</v>
      </c>
      <c r="AKN3" s="109">
        <f>SUMIFS('Revenue Tracking'!$F$13:$F$26, 'Revenue Tracking'!$H$13:$H$26, "&gt;="&amp;AKN1,'Revenue Tracking'!$H$13:$H$26, "&lt;"&amp;AKO1)</f>
        <v>0</v>
      </c>
      <c r="AKO3" s="109">
        <f>SUMIFS('Revenue Tracking'!$F$13:$F$26, 'Revenue Tracking'!$H$13:$H$26, "&gt;="&amp;AKO1,'Revenue Tracking'!$H$13:$H$26, "&lt;"&amp;AKP1)</f>
        <v>0</v>
      </c>
      <c r="AKP3" s="109">
        <f>SUMIFS('Revenue Tracking'!$F$13:$F$26, 'Revenue Tracking'!$H$13:$H$26, "&gt;="&amp;AKP1,'Revenue Tracking'!$H$13:$H$26, "&lt;"&amp;AKQ1)</f>
        <v>0</v>
      </c>
      <c r="AKQ3" s="109">
        <f>SUMIFS('Revenue Tracking'!$F$13:$F$26, 'Revenue Tracking'!$H$13:$H$26, "&gt;="&amp;AKQ1,'Revenue Tracking'!$H$13:$H$26, "&lt;"&amp;AKR1)</f>
        <v>0</v>
      </c>
      <c r="AKR3" s="109">
        <f>SUMIFS('Revenue Tracking'!$F$13:$F$26, 'Revenue Tracking'!$H$13:$H$26, "&gt;="&amp;AKR1,'Revenue Tracking'!$H$13:$H$26, "&lt;"&amp;AKS1)</f>
        <v>0</v>
      </c>
      <c r="AKS3" s="109">
        <f>SUMIFS('Revenue Tracking'!$F$13:$F$26, 'Revenue Tracking'!$H$13:$H$26, "&gt;="&amp;AKS1,'Revenue Tracking'!$H$13:$H$26, "&lt;"&amp;AKT1)</f>
        <v>0</v>
      </c>
      <c r="AKT3" s="109">
        <f>SUMIFS('Revenue Tracking'!$F$13:$F$26, 'Revenue Tracking'!$H$13:$H$26, "&gt;="&amp;AKT1,'Revenue Tracking'!$H$13:$H$26, "&lt;"&amp;AKU1)</f>
        <v>0</v>
      </c>
      <c r="AKU3" s="109">
        <f>SUMIFS('Revenue Tracking'!$F$13:$F$26, 'Revenue Tracking'!$H$13:$H$26, "&gt;="&amp;AKU1,'Revenue Tracking'!$H$13:$H$26, "&lt;"&amp;AKV1)</f>
        <v>0</v>
      </c>
      <c r="AKV3" s="109">
        <f>SUMIFS('Revenue Tracking'!$F$13:$F$26, 'Revenue Tracking'!$H$13:$H$26, "&gt;="&amp;AKV1,'Revenue Tracking'!$H$13:$H$26, "&lt;"&amp;AKW1)</f>
        <v>0</v>
      </c>
      <c r="AKW3" s="109">
        <f>SUMIFS('Revenue Tracking'!$F$13:$F$26, 'Revenue Tracking'!$H$13:$H$26, "&gt;="&amp;AKW1,'Revenue Tracking'!$H$13:$H$26, "&lt;"&amp;AKX1)</f>
        <v>0</v>
      </c>
      <c r="AKX3" s="109">
        <f>SUMIFS('Revenue Tracking'!$F$13:$F$26, 'Revenue Tracking'!$H$13:$H$26, "&gt;="&amp;AKX1,'Revenue Tracking'!$H$13:$H$26, "&lt;"&amp;AKY1)</f>
        <v>0</v>
      </c>
      <c r="AKY3" s="109">
        <f>SUMIFS('Revenue Tracking'!$F$13:$F$26, 'Revenue Tracking'!$H$13:$H$26, "&gt;="&amp;AKY1,'Revenue Tracking'!$H$13:$H$26, "&lt;"&amp;AKZ1)</f>
        <v>0</v>
      </c>
      <c r="AKZ3" s="109">
        <f>SUMIFS('Revenue Tracking'!$F$13:$F$26, 'Revenue Tracking'!$H$13:$H$26, "&gt;="&amp;AKZ1,'Revenue Tracking'!$H$13:$H$26, "&lt;"&amp;ALA1)</f>
        <v>0</v>
      </c>
      <c r="ALA3" s="109">
        <f>SUMIFS('Revenue Tracking'!$F$13:$F$26, 'Revenue Tracking'!$H$13:$H$26, "&gt;="&amp;ALA1,'Revenue Tracking'!$H$13:$H$26, "&lt;"&amp;ALB1)</f>
        <v>0</v>
      </c>
      <c r="ALB3" s="109">
        <f>SUMIFS('Revenue Tracking'!$F$13:$F$26, 'Revenue Tracking'!$H$13:$H$26, "&gt;="&amp;ALB1,'Revenue Tracking'!$H$13:$H$26, "&lt;"&amp;ALC1)</f>
        <v>0</v>
      </c>
      <c r="ALC3" s="109">
        <f>SUMIFS('Revenue Tracking'!$F$13:$F$26, 'Revenue Tracking'!$H$13:$H$26, "&gt;="&amp;ALC1,'Revenue Tracking'!$H$13:$H$26, "&lt;"&amp;ALD1)</f>
        <v>0</v>
      </c>
      <c r="ALD3" s="109">
        <f>SUMIFS('Revenue Tracking'!$F$13:$F$26, 'Revenue Tracking'!$H$13:$H$26, "&gt;="&amp;ALD1,'Revenue Tracking'!$H$13:$H$26, "&lt;"&amp;ALE1)</f>
        <v>0</v>
      </c>
      <c r="ALE3" s="109">
        <f>SUMIFS('Revenue Tracking'!$F$13:$F$26, 'Revenue Tracking'!$H$13:$H$26, "&gt;="&amp;ALE1,'Revenue Tracking'!$H$13:$H$26, "&lt;"&amp;ALF1)</f>
        <v>0</v>
      </c>
      <c r="ALF3" s="109">
        <f>SUMIFS('Revenue Tracking'!$F$13:$F$26, 'Revenue Tracking'!$H$13:$H$26, "&gt;="&amp;ALF1,'Revenue Tracking'!$H$13:$H$26, "&lt;"&amp;ALG1)</f>
        <v>0</v>
      </c>
      <c r="ALG3" s="109">
        <f>SUMIFS('Revenue Tracking'!$F$13:$F$26, 'Revenue Tracking'!$H$13:$H$26, "&gt;="&amp;ALG1,'Revenue Tracking'!$H$13:$H$26, "&lt;"&amp;ALH1)</f>
        <v>0</v>
      </c>
      <c r="ALH3" s="109">
        <f>SUMIFS('Revenue Tracking'!$F$13:$F$26, 'Revenue Tracking'!$H$13:$H$26, "&gt;="&amp;ALH1,'Revenue Tracking'!$H$13:$H$26, "&lt;"&amp;ALI1)</f>
        <v>0</v>
      </c>
      <c r="ALI3" s="109">
        <f>SUMIFS('Revenue Tracking'!$F$13:$F$26, 'Revenue Tracking'!$H$13:$H$26, "&gt;="&amp;ALI1,'Revenue Tracking'!$H$13:$H$26, "&lt;"&amp;ALJ1)</f>
        <v>0</v>
      </c>
      <c r="ALJ3" s="109">
        <f>SUMIFS('Revenue Tracking'!$F$13:$F$26, 'Revenue Tracking'!$H$13:$H$26, "&gt;="&amp;ALJ1,'Revenue Tracking'!$H$13:$H$26, "&lt;"&amp;ALK1)</f>
        <v>0</v>
      </c>
      <c r="ALK3" s="109">
        <f>SUMIFS('Revenue Tracking'!$F$13:$F$26, 'Revenue Tracking'!$H$13:$H$26, "&gt;="&amp;ALK1,'Revenue Tracking'!$H$13:$H$26, "&lt;"&amp;ALL1)</f>
        <v>0</v>
      </c>
      <c r="ALL3" s="109">
        <f>SUMIFS('Revenue Tracking'!$F$13:$F$26, 'Revenue Tracking'!$H$13:$H$26, "&gt;="&amp;ALL1,'Revenue Tracking'!$H$13:$H$26, "&lt;"&amp;ALM1)</f>
        <v>0</v>
      </c>
      <c r="ALM3" s="109">
        <f>SUMIFS('Revenue Tracking'!$F$13:$F$26, 'Revenue Tracking'!$H$13:$H$26, "&gt;="&amp;ALM1,'Revenue Tracking'!$H$13:$H$26, "&lt;"&amp;ALN1)</f>
        <v>0</v>
      </c>
      <c r="ALN3" s="109">
        <f>SUMIFS('Revenue Tracking'!$F$13:$F$26, 'Revenue Tracking'!$H$13:$H$26, "&gt;="&amp;ALN1,'Revenue Tracking'!$H$13:$H$26, "&lt;"&amp;ALO1)</f>
        <v>0</v>
      </c>
      <c r="ALO3" s="109">
        <f>SUMIFS('Revenue Tracking'!$F$13:$F$26, 'Revenue Tracking'!$H$13:$H$26, "&gt;="&amp;ALO1,'Revenue Tracking'!$H$13:$H$26, "&lt;"&amp;ALP1)</f>
        <v>0</v>
      </c>
      <c r="ALP3" s="109">
        <f>SUMIFS('Revenue Tracking'!$F$13:$F$26, 'Revenue Tracking'!$H$13:$H$26, "&gt;="&amp;ALP1,'Revenue Tracking'!$H$13:$H$26, "&lt;"&amp;ALQ1)</f>
        <v>0</v>
      </c>
      <c r="ALQ3" s="109">
        <f>SUMIFS('Revenue Tracking'!$F$13:$F$26, 'Revenue Tracking'!$H$13:$H$26, "&gt;="&amp;ALQ1,'Revenue Tracking'!$H$13:$H$26, "&lt;"&amp;ALR1)</f>
        <v>0</v>
      </c>
      <c r="ALR3" s="109">
        <f>SUMIFS('Revenue Tracking'!$F$13:$F$26, 'Revenue Tracking'!$H$13:$H$26, "&gt;="&amp;ALR1,'Revenue Tracking'!$H$13:$H$26, "&lt;"&amp;ALS1)</f>
        <v>0</v>
      </c>
      <c r="ALS3" s="109">
        <f>SUMIFS('Revenue Tracking'!$F$13:$F$26, 'Revenue Tracking'!$H$13:$H$26, "&gt;="&amp;ALS1,'Revenue Tracking'!$H$13:$H$26, "&lt;"&amp;ALT1)</f>
        <v>0</v>
      </c>
      <c r="ALT3" s="109">
        <f>SUMIFS('Revenue Tracking'!$F$13:$F$26, 'Revenue Tracking'!$H$13:$H$26, "&gt;="&amp;ALT1,'Revenue Tracking'!$H$13:$H$26, "&lt;"&amp;ALU1)</f>
        <v>0</v>
      </c>
      <c r="ALU3" s="109">
        <f>SUMIFS('Revenue Tracking'!$F$13:$F$26, 'Revenue Tracking'!$H$13:$H$26, "&gt;="&amp;ALU1,'Revenue Tracking'!$H$13:$H$26, "&lt;"&amp;ALV1)</f>
        <v>0</v>
      </c>
      <c r="ALV3" s="109">
        <f>SUMIFS('Revenue Tracking'!$F$13:$F$26, 'Revenue Tracking'!$H$13:$H$26, "&gt;="&amp;ALV1,'Revenue Tracking'!$H$13:$H$26, "&lt;"&amp;ALW1)</f>
        <v>0</v>
      </c>
      <c r="ALW3" s="109">
        <f>SUMIFS('Revenue Tracking'!$F$13:$F$26, 'Revenue Tracking'!$H$13:$H$26, "&gt;="&amp;ALW1,'Revenue Tracking'!$H$13:$H$26, "&lt;"&amp;ALX1)</f>
        <v>0</v>
      </c>
      <c r="ALX3" s="109">
        <f>SUMIFS('Revenue Tracking'!$F$13:$F$26, 'Revenue Tracking'!$H$13:$H$26, "&gt;="&amp;ALX1,'Revenue Tracking'!$H$13:$H$26, "&lt;"&amp;ALY1)</f>
        <v>0</v>
      </c>
      <c r="ALY3" s="109">
        <f>SUMIFS('Revenue Tracking'!$F$13:$F$26, 'Revenue Tracking'!$H$13:$H$26, "&gt;="&amp;ALY1,'Revenue Tracking'!$H$13:$H$26, "&lt;"&amp;ALZ1)</f>
        <v>0</v>
      </c>
      <c r="ALZ3" s="109">
        <f>SUMIFS('Revenue Tracking'!$F$13:$F$26, 'Revenue Tracking'!$H$13:$H$26, "&gt;="&amp;ALZ1,'Revenue Tracking'!$H$13:$H$26, "&lt;"&amp;AMA1)</f>
        <v>0</v>
      </c>
      <c r="AMA3" s="109">
        <f>SUMIFS('Revenue Tracking'!$F$13:$F$26, 'Revenue Tracking'!$H$13:$H$26, "&gt;="&amp;AMA1,'Revenue Tracking'!$H$13:$H$26, "&lt;"&amp;AMB1)</f>
        <v>0</v>
      </c>
      <c r="AMB3" s="109">
        <f>SUMIFS('Revenue Tracking'!$F$13:$F$26, 'Revenue Tracking'!$H$13:$H$26, "&gt;="&amp;AMB1,'Revenue Tracking'!$H$13:$H$26, "&lt;"&amp;AMC1)</f>
        <v>0</v>
      </c>
      <c r="AMC3" s="109">
        <f>SUMIFS('Revenue Tracking'!$F$13:$F$26, 'Revenue Tracking'!$H$13:$H$26, "&gt;="&amp;AMC1,'Revenue Tracking'!$H$13:$H$26, "&lt;"&amp;AMD1)</f>
        <v>0</v>
      </c>
      <c r="AMD3" s="109">
        <f>SUMIFS('Revenue Tracking'!$F$13:$F$26, 'Revenue Tracking'!$H$13:$H$26, "&gt;="&amp;AMD1,'Revenue Tracking'!$H$13:$H$26, "&lt;"&amp;AME1)</f>
        <v>0</v>
      </c>
      <c r="AME3" s="109">
        <f>SUMIFS('Revenue Tracking'!$F$13:$F$26, 'Revenue Tracking'!$H$13:$H$26, "&gt;="&amp;AME1,'Revenue Tracking'!$H$13:$H$26, "&lt;"&amp;AMF1)</f>
        <v>0</v>
      </c>
      <c r="AMF3" s="109">
        <f>SUMIFS('Revenue Tracking'!$F$13:$F$26, 'Revenue Tracking'!$H$13:$H$26, "&gt;="&amp;AMF1,'Revenue Tracking'!$H$13:$H$26, "&lt;"&amp;AMG1)</f>
        <v>0</v>
      </c>
      <c r="AMG3" s="109">
        <f>SUMIFS('Revenue Tracking'!$F$13:$F$26, 'Revenue Tracking'!$H$13:$H$26, "&gt;="&amp;AMG1,'Revenue Tracking'!$H$13:$H$26, "&lt;"&amp;AMH1)</f>
        <v>0</v>
      </c>
      <c r="AMH3" s="109">
        <f>SUMIFS('Revenue Tracking'!$F$13:$F$26, 'Revenue Tracking'!$H$13:$H$26, "&gt;="&amp;AMH1,'Revenue Tracking'!$H$13:$H$26, "&lt;"&amp;AMI1)</f>
        <v>0</v>
      </c>
      <c r="AMI3" s="109">
        <f>SUMIFS('Revenue Tracking'!$F$13:$F$26, 'Revenue Tracking'!$H$13:$H$26, "&gt;="&amp;AMI1,'Revenue Tracking'!$H$13:$H$26, "&lt;"&amp;AMJ1)</f>
        <v>0</v>
      </c>
      <c r="AMJ3" s="109">
        <f>SUMIFS('Revenue Tracking'!$F$13:$F$26, 'Revenue Tracking'!$H$13:$H$26, "&gt;="&amp;AMJ1,'Revenue Tracking'!$H$13:$H$26, "&lt;"&amp;AMK1)</f>
        <v>0</v>
      </c>
      <c r="AMK3" s="109">
        <f>SUMIFS('Revenue Tracking'!$F$13:$F$26, 'Revenue Tracking'!$H$13:$H$26, "&gt;="&amp;AMK1,'Revenue Tracking'!$H$13:$H$26, "&lt;"&amp;AML1)</f>
        <v>0</v>
      </c>
      <c r="AML3" s="109">
        <f>SUMIFS('Revenue Tracking'!$F$13:$F$26, 'Revenue Tracking'!$H$13:$H$26, "&gt;="&amp;AML1,'Revenue Tracking'!$H$13:$H$26, "&lt;"&amp;AMM1)</f>
        <v>0</v>
      </c>
      <c r="AMM3" s="109">
        <f>SUMIFS('Revenue Tracking'!$F$13:$F$26, 'Revenue Tracking'!$H$13:$H$26, "&gt;="&amp;AMM1,'Revenue Tracking'!$H$13:$H$26, "&lt;"&amp;AMN1)</f>
        <v>0</v>
      </c>
      <c r="AMN3" s="109">
        <f>SUMIFS('Revenue Tracking'!$F$13:$F$26, 'Revenue Tracking'!$H$13:$H$26, "&gt;="&amp;AMN1,'Revenue Tracking'!$H$13:$H$26, "&lt;"&amp;AMO1)</f>
        <v>0</v>
      </c>
      <c r="AMO3" s="109">
        <f>SUMIFS('Revenue Tracking'!$F$13:$F$26, 'Revenue Tracking'!$H$13:$H$26, "&gt;="&amp;AMO1,'Revenue Tracking'!$H$13:$H$26, "&lt;"&amp;AMP1)</f>
        <v>0</v>
      </c>
      <c r="AMP3" s="109">
        <f>SUMIFS('Revenue Tracking'!$F$13:$F$26, 'Revenue Tracking'!$H$13:$H$26, "&gt;="&amp;AMP1,'Revenue Tracking'!$H$13:$H$26, "&lt;"&amp;AMQ1)</f>
        <v>0</v>
      </c>
      <c r="AMQ3" s="109">
        <f>SUMIFS('Revenue Tracking'!$F$13:$F$26, 'Revenue Tracking'!$H$13:$H$26, "&gt;="&amp;AMQ1,'Revenue Tracking'!$H$13:$H$26, "&lt;"&amp;AMR1)</f>
        <v>0</v>
      </c>
      <c r="AMR3" s="109">
        <f>SUMIFS('Revenue Tracking'!$F$13:$F$26, 'Revenue Tracking'!$H$13:$H$26, "&gt;="&amp;AMR1,'Revenue Tracking'!$H$13:$H$26, "&lt;"&amp;AMS1)</f>
        <v>0</v>
      </c>
      <c r="AMS3" s="109">
        <f>SUMIFS('Revenue Tracking'!$F$13:$F$26, 'Revenue Tracking'!$H$13:$H$26, "&gt;="&amp;AMS1,'Revenue Tracking'!$H$13:$H$26, "&lt;"&amp;AMT1)</f>
        <v>0</v>
      </c>
      <c r="AMT3" s="109">
        <f>SUMIFS('Revenue Tracking'!$F$13:$F$26, 'Revenue Tracking'!$H$13:$H$26, "&gt;="&amp;AMT1,'Revenue Tracking'!$H$13:$H$26, "&lt;"&amp;AMU1)</f>
        <v>0</v>
      </c>
      <c r="AMU3" s="109">
        <f>SUMIFS('Revenue Tracking'!$F$13:$F$26, 'Revenue Tracking'!$H$13:$H$26, "&gt;="&amp;AMU1,'Revenue Tracking'!$H$13:$H$26, "&lt;"&amp;AMV1)</f>
        <v>0</v>
      </c>
      <c r="AMV3" s="109">
        <f>SUMIFS('Revenue Tracking'!$F$13:$F$26, 'Revenue Tracking'!$H$13:$H$26, "&gt;="&amp;AMV1,'Revenue Tracking'!$H$13:$H$26, "&lt;"&amp;AMW1)</f>
        <v>0</v>
      </c>
      <c r="AMW3" s="109">
        <f>SUMIFS('Revenue Tracking'!$F$13:$F$26, 'Revenue Tracking'!$H$13:$H$26, "&gt;="&amp;AMW1,'Revenue Tracking'!$H$13:$H$26, "&lt;"&amp;AMX1)</f>
        <v>0</v>
      </c>
      <c r="AMX3" s="109">
        <f>SUMIFS('Revenue Tracking'!$F$13:$F$26, 'Revenue Tracking'!$H$13:$H$26, "&gt;="&amp;AMX1,'Revenue Tracking'!$H$13:$H$26, "&lt;"&amp;AMY1)</f>
        <v>0</v>
      </c>
      <c r="AMY3" s="109">
        <f>SUMIFS('Revenue Tracking'!$F$13:$F$26, 'Revenue Tracking'!$H$13:$H$26, "&gt;="&amp;AMY1,'Revenue Tracking'!$H$13:$H$26, "&lt;"&amp;AMZ1)</f>
        <v>0</v>
      </c>
      <c r="AMZ3" s="109">
        <f>SUMIFS('Revenue Tracking'!$F$13:$F$26, 'Revenue Tracking'!$H$13:$H$26, "&gt;="&amp;AMZ1,'Revenue Tracking'!$H$13:$H$26, "&lt;"&amp;ANA1)</f>
        <v>0</v>
      </c>
      <c r="ANA3" s="109">
        <f>SUMIFS('Revenue Tracking'!$F$13:$F$26, 'Revenue Tracking'!$H$13:$H$26, "&gt;="&amp;ANA1,'Revenue Tracking'!$H$13:$H$26, "&lt;"&amp;ANB1)</f>
        <v>0</v>
      </c>
      <c r="ANB3" s="109">
        <f>SUMIFS('Revenue Tracking'!$F$13:$F$26, 'Revenue Tracking'!$H$13:$H$26, "&gt;="&amp;ANB1,'Revenue Tracking'!$H$13:$H$26, "&lt;"&amp;ANC1)</f>
        <v>0</v>
      </c>
      <c r="ANC3" s="109">
        <f>SUMIFS('Revenue Tracking'!$F$13:$F$26, 'Revenue Tracking'!$H$13:$H$26, "&gt;="&amp;ANC1,'Revenue Tracking'!$H$13:$H$26, "&lt;"&amp;AND1)</f>
        <v>0</v>
      </c>
      <c r="AND3" s="109">
        <f>SUMIFS('Revenue Tracking'!$F$13:$F$26, 'Revenue Tracking'!$H$13:$H$26, "&gt;="&amp;AND1,'Revenue Tracking'!$H$13:$H$26, "&lt;"&amp;ANE1)</f>
        <v>0</v>
      </c>
      <c r="ANE3" s="109">
        <f>SUMIFS('Revenue Tracking'!$F$13:$F$26, 'Revenue Tracking'!$H$13:$H$26, "&gt;="&amp;ANE1,'Revenue Tracking'!$H$13:$H$26, "&lt;"&amp;ANF1)</f>
        <v>0</v>
      </c>
      <c r="ANF3" s="109">
        <f>SUMIFS('Revenue Tracking'!$F$13:$F$26, 'Revenue Tracking'!$H$13:$H$26, "&gt;="&amp;ANF1,'Revenue Tracking'!$H$13:$H$26, "&lt;"&amp;ANG1)</f>
        <v>0</v>
      </c>
      <c r="ANG3" s="109">
        <f>SUMIFS('Revenue Tracking'!$F$13:$F$26, 'Revenue Tracking'!$H$13:$H$26, "&gt;="&amp;ANG1,'Revenue Tracking'!$H$13:$H$26, "&lt;"&amp;ANH1)</f>
        <v>0</v>
      </c>
      <c r="ANH3" s="109">
        <f>SUMIFS('Revenue Tracking'!$F$13:$F$26, 'Revenue Tracking'!$H$13:$H$26, "&gt;="&amp;ANH1,'Revenue Tracking'!$H$13:$H$26, "&lt;"&amp;ANI1)</f>
        <v>0</v>
      </c>
      <c r="ANI3" s="109">
        <f>SUMIFS('Revenue Tracking'!$F$13:$F$26, 'Revenue Tracking'!$H$13:$H$26, "&gt;="&amp;ANI1,'Revenue Tracking'!$H$13:$H$26, "&lt;"&amp;ANJ1)</f>
        <v>0</v>
      </c>
      <c r="ANJ3" s="109">
        <f>SUMIFS('Revenue Tracking'!$F$13:$F$26, 'Revenue Tracking'!$H$13:$H$26, "&gt;="&amp;ANJ1,'Revenue Tracking'!$H$13:$H$26, "&lt;"&amp;ANK1)</f>
        <v>0</v>
      </c>
      <c r="ANK3" s="109">
        <f>SUMIFS('Revenue Tracking'!$F$13:$F$26, 'Revenue Tracking'!$H$13:$H$26, "&gt;="&amp;ANK1,'Revenue Tracking'!$H$13:$H$26, "&lt;"&amp;ANL1)</f>
        <v>0</v>
      </c>
      <c r="ANL3" s="109">
        <f>SUMIFS('Revenue Tracking'!$F$13:$F$26, 'Revenue Tracking'!$H$13:$H$26, "&gt;="&amp;ANL1,'Revenue Tracking'!$H$13:$H$26, "&lt;"&amp;ANM1)</f>
        <v>0</v>
      </c>
      <c r="ANM3" s="109">
        <f>SUMIFS('Revenue Tracking'!$F$13:$F$26, 'Revenue Tracking'!$H$13:$H$26, "&gt;="&amp;ANM1,'Revenue Tracking'!$H$13:$H$26, "&lt;"&amp;ANN1)</f>
        <v>0</v>
      </c>
      <c r="ANN3" s="109">
        <f>SUMIFS('Revenue Tracking'!$F$13:$F$26, 'Revenue Tracking'!$H$13:$H$26, "&gt;="&amp;ANN1,'Revenue Tracking'!$H$13:$H$26, "&lt;"&amp;ANO1)</f>
        <v>0</v>
      </c>
      <c r="ANO3" s="109">
        <f>SUMIFS('Revenue Tracking'!$F$13:$F$26, 'Revenue Tracking'!$H$13:$H$26, "&gt;="&amp;ANO1,'Revenue Tracking'!$H$13:$H$26, "&lt;"&amp;ANP1)</f>
        <v>0</v>
      </c>
      <c r="ANP3" s="109">
        <f>SUMIFS('Revenue Tracking'!$F$13:$F$26, 'Revenue Tracking'!$H$13:$H$26, "&gt;="&amp;ANP1,'Revenue Tracking'!$H$13:$H$26, "&lt;"&amp;ANQ1)</f>
        <v>0</v>
      </c>
      <c r="ANQ3" s="109">
        <f>SUMIFS('Revenue Tracking'!$F$13:$F$26, 'Revenue Tracking'!$H$13:$H$26, "&gt;="&amp;ANQ1,'Revenue Tracking'!$H$13:$H$26, "&lt;"&amp;ANR1)</f>
        <v>0</v>
      </c>
      <c r="ANR3" s="109">
        <f>SUMIFS('Revenue Tracking'!$F$13:$F$26, 'Revenue Tracking'!$H$13:$H$26, "&gt;="&amp;ANR1,'Revenue Tracking'!$H$13:$H$26, "&lt;"&amp;ANS1)</f>
        <v>0</v>
      </c>
      <c r="ANS3" s="109">
        <f>SUMIFS('Revenue Tracking'!$F$13:$F$26, 'Revenue Tracking'!$H$13:$H$26, "&gt;="&amp;ANS1,'Revenue Tracking'!$H$13:$H$26, "&lt;"&amp;ANT1)</f>
        <v>0</v>
      </c>
      <c r="ANT3" s="109">
        <f>SUMIFS('Revenue Tracking'!$F$13:$F$26, 'Revenue Tracking'!$H$13:$H$26, "&gt;="&amp;ANT1,'Revenue Tracking'!$H$13:$H$26, "&lt;"&amp;ANU1)</f>
        <v>0</v>
      </c>
      <c r="ANU3" s="109">
        <f>SUMIFS('Revenue Tracking'!$F$13:$F$26, 'Revenue Tracking'!$H$13:$H$26, "&gt;="&amp;ANU1,'Revenue Tracking'!$H$13:$H$26, "&lt;"&amp;ANV1)</f>
        <v>0</v>
      </c>
      <c r="ANV3" s="109">
        <f>SUMIFS('Revenue Tracking'!$F$13:$F$26, 'Revenue Tracking'!$H$13:$H$26, "&gt;="&amp;ANV1,'Revenue Tracking'!$H$13:$H$26, "&lt;"&amp;ANW1)</f>
        <v>0</v>
      </c>
      <c r="ANW3" s="109">
        <f>SUMIFS('Revenue Tracking'!$F$13:$F$26, 'Revenue Tracking'!$H$13:$H$26, "&gt;="&amp;ANW1,'Revenue Tracking'!$H$13:$H$26, "&lt;"&amp;ANX1)</f>
        <v>0</v>
      </c>
      <c r="ANX3" s="109">
        <f>SUMIFS('Revenue Tracking'!$F$13:$F$26, 'Revenue Tracking'!$H$13:$H$26, "&gt;="&amp;ANX1,'Revenue Tracking'!$H$13:$H$26, "&lt;"&amp;ANY1)</f>
        <v>0</v>
      </c>
      <c r="ANY3" s="109">
        <f>SUMIFS('Revenue Tracking'!$F$13:$F$26, 'Revenue Tracking'!$H$13:$H$26, "&gt;="&amp;ANY1,'Revenue Tracking'!$H$13:$H$26, "&lt;"&amp;ANZ1)</f>
        <v>0</v>
      </c>
      <c r="ANZ3" s="109">
        <f>SUMIFS('Revenue Tracking'!$F$13:$F$26, 'Revenue Tracking'!$H$13:$H$26, "&gt;="&amp;ANZ1,'Revenue Tracking'!$H$13:$H$26, "&lt;"&amp;AOA1)</f>
        <v>0</v>
      </c>
      <c r="AOA3" s="109">
        <f>SUMIFS('Revenue Tracking'!$F$13:$F$26, 'Revenue Tracking'!$H$13:$H$26, "&gt;="&amp;AOA1,'Revenue Tracking'!$H$13:$H$26, "&lt;"&amp;AOB1)</f>
        <v>0</v>
      </c>
      <c r="AOB3" s="109">
        <f>SUMIFS('Revenue Tracking'!$F$13:$F$26, 'Revenue Tracking'!$H$13:$H$26, "&gt;="&amp;AOB1,'Revenue Tracking'!$H$13:$H$26, "&lt;"&amp;AOC1)</f>
        <v>0</v>
      </c>
      <c r="AOC3" s="109">
        <f>SUMIFS('Revenue Tracking'!$F$13:$F$26, 'Revenue Tracking'!$H$13:$H$26, "&gt;="&amp;AOC1,'Revenue Tracking'!$H$13:$H$26, "&lt;"&amp;AOD1)</f>
        <v>0</v>
      </c>
      <c r="AOD3" s="109">
        <f>SUMIFS('Revenue Tracking'!$F$13:$F$26, 'Revenue Tracking'!$H$13:$H$26, "&gt;="&amp;AOD1,'Revenue Tracking'!$H$13:$H$26, "&lt;"&amp;AOE1)</f>
        <v>0</v>
      </c>
      <c r="AOE3" s="109">
        <f>SUMIFS('Revenue Tracking'!$F$13:$F$26, 'Revenue Tracking'!$H$13:$H$26, "&gt;="&amp;AOE1,'Revenue Tracking'!$H$13:$H$26, "&lt;"&amp;AOF1)</f>
        <v>0</v>
      </c>
      <c r="AOF3" s="109">
        <f>SUMIFS('Revenue Tracking'!$F$13:$F$26, 'Revenue Tracking'!$H$13:$H$26, "&gt;="&amp;AOF1,'Revenue Tracking'!$H$13:$H$26, "&lt;"&amp;AOG1)</f>
        <v>0</v>
      </c>
      <c r="AOG3" s="109">
        <f>SUMIFS('Revenue Tracking'!$F$13:$F$26, 'Revenue Tracking'!$H$13:$H$26, "&gt;="&amp;AOG1,'Revenue Tracking'!$H$13:$H$26, "&lt;"&amp;AOH1)</f>
        <v>0</v>
      </c>
      <c r="AOH3" s="109">
        <f>SUMIFS('Revenue Tracking'!$F$13:$F$26, 'Revenue Tracking'!$H$13:$H$26, "&gt;="&amp;AOH1,'Revenue Tracking'!$H$13:$H$26, "&lt;"&amp;AOI1)</f>
        <v>0</v>
      </c>
      <c r="AOI3" s="109">
        <f>SUMIFS('Revenue Tracking'!$F$13:$F$26, 'Revenue Tracking'!$H$13:$H$26, "&gt;="&amp;AOI1,'Revenue Tracking'!$H$13:$H$26, "&lt;"&amp;AOJ1)</f>
        <v>0</v>
      </c>
      <c r="AOJ3" s="109">
        <f>SUMIFS('Revenue Tracking'!$F$13:$F$26, 'Revenue Tracking'!$H$13:$H$26, "&gt;="&amp;AOJ1,'Revenue Tracking'!$H$13:$H$26, "&lt;"&amp;AOK1)</f>
        <v>0</v>
      </c>
      <c r="AOK3" s="109">
        <f>SUMIFS('Revenue Tracking'!$F$13:$F$26, 'Revenue Tracking'!$H$13:$H$26, "&gt;="&amp;AOK1,'Revenue Tracking'!$H$13:$H$26, "&lt;"&amp;AOL1)</f>
        <v>0</v>
      </c>
      <c r="AOL3" s="109">
        <f>SUMIFS('Revenue Tracking'!$F$13:$F$26, 'Revenue Tracking'!$H$13:$H$26, "&gt;="&amp;AOL1,'Revenue Tracking'!$H$13:$H$26, "&lt;"&amp;AOM1)</f>
        <v>0</v>
      </c>
      <c r="AOM3" s="109">
        <f>SUMIFS('Revenue Tracking'!$F$13:$F$26, 'Revenue Tracking'!$H$13:$H$26, "&gt;="&amp;AOM1,'Revenue Tracking'!$H$13:$H$26, "&lt;"&amp;AON1)</f>
        <v>0</v>
      </c>
      <c r="AON3" s="109">
        <f>SUMIFS('Revenue Tracking'!$F$13:$F$26, 'Revenue Tracking'!$H$13:$H$26, "&gt;="&amp;AON1,'Revenue Tracking'!$H$13:$H$26, "&lt;"&amp;AOO1)</f>
        <v>0</v>
      </c>
      <c r="AOO3" s="109">
        <f>SUMIFS('Revenue Tracking'!$F$13:$F$26, 'Revenue Tracking'!$H$13:$H$26, "&gt;="&amp;AOO1,'Revenue Tracking'!$H$13:$H$26, "&lt;"&amp;AOP1)</f>
        <v>0</v>
      </c>
      <c r="AOP3" s="109">
        <f>SUMIFS('Revenue Tracking'!$F$13:$F$26, 'Revenue Tracking'!$H$13:$H$26, "&gt;="&amp;AOP1,'Revenue Tracking'!$H$13:$H$26, "&lt;"&amp;AOQ1)</f>
        <v>0</v>
      </c>
      <c r="AOQ3" s="109">
        <f>SUMIFS('Revenue Tracking'!$F$13:$F$26, 'Revenue Tracking'!$H$13:$H$26, "&gt;="&amp;AOQ1,'Revenue Tracking'!$H$13:$H$26, "&lt;"&amp;AOR1)</f>
        <v>0</v>
      </c>
      <c r="AOR3" s="109">
        <f>SUMIFS('Revenue Tracking'!$F$13:$F$26, 'Revenue Tracking'!$H$13:$H$26, "&gt;="&amp;AOR1,'Revenue Tracking'!$H$13:$H$26, "&lt;"&amp;AOS1)</f>
        <v>0</v>
      </c>
      <c r="AOS3" s="109">
        <f>SUMIFS('Revenue Tracking'!$F$13:$F$26, 'Revenue Tracking'!$H$13:$H$26, "&gt;="&amp;AOS1,'Revenue Tracking'!$H$13:$H$26, "&lt;"&amp;AOT1)</f>
        <v>0</v>
      </c>
      <c r="AOT3" s="109">
        <f>SUMIFS('Revenue Tracking'!$F$13:$F$26, 'Revenue Tracking'!$H$13:$H$26, "&gt;="&amp;AOT1,'Revenue Tracking'!$H$13:$H$26, "&lt;"&amp;AOU1)</f>
        <v>0</v>
      </c>
      <c r="AOU3" s="109">
        <f>SUMIFS('Revenue Tracking'!$F$13:$F$26, 'Revenue Tracking'!$H$13:$H$26, "&gt;="&amp;AOU1,'Revenue Tracking'!$H$13:$H$26, "&lt;"&amp;AOV1)</f>
        <v>0</v>
      </c>
      <c r="AOV3" s="109">
        <f>SUMIFS('Revenue Tracking'!$F$13:$F$26, 'Revenue Tracking'!$H$13:$H$26, "&gt;="&amp;AOV1,'Revenue Tracking'!$H$13:$H$26, "&lt;"&amp;AOW1)</f>
        <v>0</v>
      </c>
      <c r="AOW3" s="109">
        <f>SUMIFS('Revenue Tracking'!$F$13:$F$26, 'Revenue Tracking'!$H$13:$H$26, "&gt;="&amp;AOW1,'Revenue Tracking'!$H$13:$H$26, "&lt;"&amp;AOX1)</f>
        <v>0</v>
      </c>
      <c r="AOX3" s="109">
        <f>SUMIFS('Revenue Tracking'!$F$13:$F$26, 'Revenue Tracking'!$H$13:$H$26, "&gt;="&amp;AOX1,'Revenue Tracking'!$H$13:$H$26, "&lt;"&amp;AOY1)</f>
        <v>0</v>
      </c>
      <c r="AOY3" s="109">
        <f>SUMIFS('Revenue Tracking'!$F$13:$F$26, 'Revenue Tracking'!$H$13:$H$26, "&gt;="&amp;AOY1,'Revenue Tracking'!$H$13:$H$26, "&lt;"&amp;AOZ1)</f>
        <v>0</v>
      </c>
      <c r="AOZ3" s="109">
        <f>SUMIFS('Revenue Tracking'!$F$13:$F$26, 'Revenue Tracking'!$H$13:$H$26, "&gt;="&amp;AOZ1,'Revenue Tracking'!$H$13:$H$26, "&lt;"&amp;APA1)</f>
        <v>0</v>
      </c>
      <c r="APA3" s="109">
        <f>SUMIFS('Revenue Tracking'!$F$13:$F$26, 'Revenue Tracking'!$H$13:$H$26, "&gt;="&amp;APA1,'Revenue Tracking'!$H$13:$H$26, "&lt;"&amp;APB1)</f>
        <v>0</v>
      </c>
      <c r="APB3" s="109">
        <f>SUMIFS('Revenue Tracking'!$F$13:$F$26, 'Revenue Tracking'!$H$13:$H$26, "&gt;="&amp;APB1,'Revenue Tracking'!$H$13:$H$26, "&lt;"&amp;APC1)</f>
        <v>0</v>
      </c>
      <c r="APC3" s="109">
        <f>SUMIFS('Revenue Tracking'!$F$13:$F$26, 'Revenue Tracking'!$H$13:$H$26, "&gt;="&amp;APC1,'Revenue Tracking'!$H$13:$H$26, "&lt;"&amp;APD1)</f>
        <v>0</v>
      </c>
      <c r="APD3" s="109">
        <f>SUMIFS('Revenue Tracking'!$F$13:$F$26, 'Revenue Tracking'!$H$13:$H$26, "&gt;="&amp;APD1,'Revenue Tracking'!$H$13:$H$26, "&lt;"&amp;APE1)</f>
        <v>0</v>
      </c>
      <c r="APE3" s="109">
        <f>SUMIFS('Revenue Tracking'!$F$13:$F$26, 'Revenue Tracking'!$H$13:$H$26, "&gt;="&amp;APE1,'Revenue Tracking'!$H$13:$H$26, "&lt;"&amp;APF1)</f>
        <v>0</v>
      </c>
      <c r="APF3" s="109">
        <f>SUMIFS('Revenue Tracking'!$F$13:$F$26, 'Revenue Tracking'!$H$13:$H$26, "&gt;="&amp;APF1,'Revenue Tracking'!$H$13:$H$26, "&lt;"&amp;APG1)</f>
        <v>0</v>
      </c>
      <c r="APG3" s="109">
        <f>SUMIFS('Revenue Tracking'!$F$13:$F$26, 'Revenue Tracking'!$H$13:$H$26, "&gt;="&amp;APG1,'Revenue Tracking'!$H$13:$H$26, "&lt;"&amp;APH1)</f>
        <v>0</v>
      </c>
      <c r="APH3" s="109">
        <f>SUMIFS('Revenue Tracking'!$F$13:$F$26, 'Revenue Tracking'!$H$13:$H$26, "&gt;="&amp;APH1,'Revenue Tracking'!$H$13:$H$26, "&lt;"&amp;API1)</f>
        <v>0</v>
      </c>
      <c r="API3" s="109">
        <f>SUMIFS('Revenue Tracking'!$F$13:$F$26, 'Revenue Tracking'!$H$13:$H$26, "&gt;="&amp;API1,'Revenue Tracking'!$H$13:$H$26, "&lt;"&amp;APJ1)</f>
        <v>0</v>
      </c>
      <c r="APJ3" s="109">
        <f>SUMIFS('Revenue Tracking'!$F$13:$F$26, 'Revenue Tracking'!$H$13:$H$26, "&gt;="&amp;APJ1,'Revenue Tracking'!$H$13:$H$26, "&lt;"&amp;APK1)</f>
        <v>0</v>
      </c>
      <c r="APK3" s="109">
        <f>SUMIFS('Revenue Tracking'!$F$13:$F$26, 'Revenue Tracking'!$H$13:$H$26, "&gt;="&amp;APK1,'Revenue Tracking'!$H$13:$H$26, "&lt;"&amp;APL1)</f>
        <v>0</v>
      </c>
      <c r="APL3" s="109">
        <f>SUMIFS('Revenue Tracking'!$F$13:$F$26, 'Revenue Tracking'!$H$13:$H$26, "&gt;="&amp;APL1,'Revenue Tracking'!$H$13:$H$26, "&lt;"&amp;APM1)</f>
        <v>0</v>
      </c>
      <c r="APM3" s="109">
        <f>SUMIFS('Revenue Tracking'!$F$13:$F$26, 'Revenue Tracking'!$H$13:$H$26, "&gt;="&amp;APM1,'Revenue Tracking'!$H$13:$H$26, "&lt;"&amp;APN1)</f>
        <v>0</v>
      </c>
      <c r="APN3" s="109">
        <f>SUMIFS('Revenue Tracking'!$F$13:$F$26, 'Revenue Tracking'!$H$13:$H$26, "&gt;="&amp;APN1,'Revenue Tracking'!$H$13:$H$26, "&lt;"&amp;APO1)</f>
        <v>0</v>
      </c>
      <c r="APO3" s="109">
        <f>SUMIFS('Revenue Tracking'!$F$13:$F$26, 'Revenue Tracking'!$H$13:$H$26, "&gt;="&amp;APO1,'Revenue Tracking'!$H$13:$H$26, "&lt;"&amp;APP1)</f>
        <v>0</v>
      </c>
      <c r="APP3" s="109">
        <f>SUMIFS('Revenue Tracking'!$F$13:$F$26, 'Revenue Tracking'!$H$13:$H$26, "&gt;="&amp;APP1,'Revenue Tracking'!$H$13:$H$26, "&lt;"&amp;APQ1)</f>
        <v>0</v>
      </c>
      <c r="APQ3" s="109">
        <f>SUMIFS('Revenue Tracking'!$F$13:$F$26, 'Revenue Tracking'!$H$13:$H$26, "&gt;="&amp;APQ1,'Revenue Tracking'!$H$13:$H$26, "&lt;"&amp;APR1)</f>
        <v>0</v>
      </c>
      <c r="APR3" s="109">
        <f>SUMIFS('Revenue Tracking'!$F$13:$F$26, 'Revenue Tracking'!$H$13:$H$26, "&gt;="&amp;APR1,'Revenue Tracking'!$H$13:$H$26, "&lt;"&amp;APS1)</f>
        <v>0</v>
      </c>
      <c r="APS3" s="109">
        <f>SUMIFS('Revenue Tracking'!$F$13:$F$26, 'Revenue Tracking'!$H$13:$H$26, "&gt;="&amp;APS1,'Revenue Tracking'!$H$13:$H$26, "&lt;"&amp;APT1)</f>
        <v>0</v>
      </c>
      <c r="APT3" s="109">
        <f>SUMIFS('Revenue Tracking'!$F$13:$F$26, 'Revenue Tracking'!$H$13:$H$26, "&gt;="&amp;APT1,'Revenue Tracking'!$H$13:$H$26, "&lt;"&amp;APU1)</f>
        <v>0</v>
      </c>
      <c r="APU3" s="109">
        <f>SUMIFS('Revenue Tracking'!$F$13:$F$26, 'Revenue Tracking'!$H$13:$H$26, "&gt;="&amp;APU1,'Revenue Tracking'!$H$13:$H$26, "&lt;"&amp;APV1)</f>
        <v>0</v>
      </c>
      <c r="APV3" s="109">
        <f>SUMIFS('Revenue Tracking'!$F$13:$F$26, 'Revenue Tracking'!$H$13:$H$26, "&gt;="&amp;APV1,'Revenue Tracking'!$H$13:$H$26, "&lt;"&amp;APW1)</f>
        <v>0</v>
      </c>
      <c r="APW3" s="109">
        <f>SUMIFS('Revenue Tracking'!$F$13:$F$26, 'Revenue Tracking'!$H$13:$H$26, "&gt;="&amp;APW1,'Revenue Tracking'!$H$13:$H$26, "&lt;"&amp;APX1)</f>
        <v>0</v>
      </c>
      <c r="APX3" s="109">
        <f>SUMIFS('Revenue Tracking'!$F$13:$F$26, 'Revenue Tracking'!$H$13:$H$26, "&gt;="&amp;APX1,'Revenue Tracking'!$H$13:$H$26, "&lt;"&amp;APY1)</f>
        <v>0</v>
      </c>
      <c r="APY3" s="109">
        <f>SUMIFS('Revenue Tracking'!$F$13:$F$26, 'Revenue Tracking'!$H$13:$H$26, "&gt;="&amp;APY1,'Revenue Tracking'!$H$13:$H$26, "&lt;"&amp;APZ1)</f>
        <v>0</v>
      </c>
      <c r="APZ3" s="109">
        <f>SUMIFS('Revenue Tracking'!$F$13:$F$26, 'Revenue Tracking'!$H$13:$H$26, "&gt;="&amp;APZ1,'Revenue Tracking'!$H$13:$H$26, "&lt;"&amp;AQA1)</f>
        <v>0</v>
      </c>
      <c r="AQA3" s="109">
        <f>SUMIFS('Revenue Tracking'!$F$13:$F$26, 'Revenue Tracking'!$H$13:$H$26, "&gt;="&amp;AQA1,'Revenue Tracking'!$H$13:$H$26, "&lt;"&amp;AQB1)</f>
        <v>0</v>
      </c>
      <c r="AQB3" s="109">
        <f>SUMIFS('Revenue Tracking'!$F$13:$F$26, 'Revenue Tracking'!$H$13:$H$26, "&gt;="&amp;AQB1,'Revenue Tracking'!$H$13:$H$26, "&lt;"&amp;AQC1)</f>
        <v>0</v>
      </c>
      <c r="AQC3" s="109">
        <f>SUMIFS('Revenue Tracking'!$F$13:$F$26, 'Revenue Tracking'!$H$13:$H$26, "&gt;="&amp;AQC1,'Revenue Tracking'!$H$13:$H$26, "&lt;"&amp;AQD1)</f>
        <v>0</v>
      </c>
      <c r="AQD3" s="109">
        <f>SUMIFS('Revenue Tracking'!$F$13:$F$26, 'Revenue Tracking'!$H$13:$H$26, "&gt;="&amp;AQD1,'Revenue Tracking'!$H$13:$H$26, "&lt;"&amp;AQE1)</f>
        <v>0</v>
      </c>
      <c r="AQE3" s="109">
        <f>SUMIFS('Revenue Tracking'!$F$13:$F$26, 'Revenue Tracking'!$H$13:$H$26, "&gt;="&amp;AQE1,'Revenue Tracking'!$H$13:$H$26, "&lt;"&amp;AQF1)</f>
        <v>0</v>
      </c>
      <c r="AQF3" s="109">
        <f>SUMIFS('Revenue Tracking'!$F$13:$F$26, 'Revenue Tracking'!$H$13:$H$26, "&gt;="&amp;AQF1,'Revenue Tracking'!$H$13:$H$26, "&lt;"&amp;AQG1)</f>
        <v>0</v>
      </c>
      <c r="AQG3" s="109">
        <f>SUMIFS('Revenue Tracking'!$F$13:$F$26, 'Revenue Tracking'!$H$13:$H$26, "&gt;="&amp;AQG1,'Revenue Tracking'!$H$13:$H$26, "&lt;"&amp;AQH1)</f>
        <v>0</v>
      </c>
      <c r="AQH3" s="109">
        <f>SUMIFS('Revenue Tracking'!$F$13:$F$26, 'Revenue Tracking'!$H$13:$H$26, "&gt;="&amp;AQH1,'Revenue Tracking'!$H$13:$H$26, "&lt;"&amp;AQI1)</f>
        <v>0</v>
      </c>
      <c r="AQI3" s="109">
        <f>SUMIFS('Revenue Tracking'!$F$13:$F$26, 'Revenue Tracking'!$H$13:$H$26, "&gt;="&amp;AQI1,'Revenue Tracking'!$H$13:$H$26, "&lt;"&amp;AQJ1)</f>
        <v>0</v>
      </c>
      <c r="AQJ3" s="109">
        <f>SUMIFS('Revenue Tracking'!$F$13:$F$26, 'Revenue Tracking'!$H$13:$H$26, "&gt;="&amp;AQJ1,'Revenue Tracking'!$H$13:$H$26, "&lt;"&amp;AQK1)</f>
        <v>0</v>
      </c>
      <c r="AQK3" s="109">
        <f>SUMIFS('Revenue Tracking'!$F$13:$F$26, 'Revenue Tracking'!$H$13:$H$26, "&gt;="&amp;AQK1,'Revenue Tracking'!$H$13:$H$26, "&lt;"&amp;AQL1)</f>
        <v>0</v>
      </c>
      <c r="AQL3" s="109">
        <f>SUMIFS('Revenue Tracking'!$F$13:$F$26, 'Revenue Tracking'!$H$13:$H$26, "&gt;="&amp;AQL1,'Revenue Tracking'!$H$13:$H$26, "&lt;"&amp;AQM1)</f>
        <v>0</v>
      </c>
      <c r="AQM3" s="109">
        <f>SUMIFS('Revenue Tracking'!$F$13:$F$26, 'Revenue Tracking'!$H$13:$H$26, "&gt;="&amp;AQM1,'Revenue Tracking'!$H$13:$H$26, "&lt;"&amp;AQN1)</f>
        <v>0</v>
      </c>
      <c r="AQN3" s="109">
        <f>SUMIFS('Revenue Tracking'!$F$13:$F$26, 'Revenue Tracking'!$H$13:$H$26, "&gt;="&amp;AQN1,'Revenue Tracking'!$H$13:$H$26, "&lt;"&amp;AQO1)</f>
        <v>0</v>
      </c>
      <c r="AQO3" s="109">
        <f>SUMIFS('Revenue Tracking'!$F$13:$F$26, 'Revenue Tracking'!$H$13:$H$26, "&gt;="&amp;AQO1,'Revenue Tracking'!$H$13:$H$26, "&lt;"&amp;AQP1)</f>
        <v>0</v>
      </c>
      <c r="AQP3" s="109">
        <f>SUMIFS('Revenue Tracking'!$F$13:$F$26, 'Revenue Tracking'!$H$13:$H$26, "&gt;="&amp;AQP1,'Revenue Tracking'!$H$13:$H$26, "&lt;"&amp;AQQ1)</f>
        <v>0</v>
      </c>
      <c r="AQQ3" s="109">
        <f>SUMIFS('Revenue Tracking'!$F$13:$F$26, 'Revenue Tracking'!$H$13:$H$26, "&gt;="&amp;AQQ1,'Revenue Tracking'!$H$13:$H$26, "&lt;"&amp;AQR1)</f>
        <v>0</v>
      </c>
      <c r="AQR3" s="109">
        <f>SUMIFS('Revenue Tracking'!$F$13:$F$26, 'Revenue Tracking'!$H$13:$H$26, "&gt;="&amp;AQR1,'Revenue Tracking'!$H$13:$H$26, "&lt;"&amp;AQS1)</f>
        <v>0</v>
      </c>
      <c r="AQS3" s="109">
        <f>SUMIFS('Revenue Tracking'!$F$13:$F$26, 'Revenue Tracking'!$H$13:$H$26, "&gt;="&amp;AQS1,'Revenue Tracking'!$H$13:$H$26, "&lt;"&amp;AQT1)</f>
        <v>0</v>
      </c>
      <c r="AQT3" s="109">
        <f>SUMIFS('Revenue Tracking'!$F$13:$F$26, 'Revenue Tracking'!$H$13:$H$26, "&gt;="&amp;AQT1,'Revenue Tracking'!$H$13:$H$26, "&lt;"&amp;AQU1)</f>
        <v>0</v>
      </c>
      <c r="AQU3" s="109">
        <f>SUMIFS('Revenue Tracking'!$F$13:$F$26, 'Revenue Tracking'!$H$13:$H$26, "&gt;="&amp;AQU1,'Revenue Tracking'!$H$13:$H$26, "&lt;"&amp;AQV1)</f>
        <v>0</v>
      </c>
      <c r="AQV3" s="109">
        <f>SUMIFS('Revenue Tracking'!$F$13:$F$26, 'Revenue Tracking'!$H$13:$H$26, "&gt;="&amp;AQV1,'Revenue Tracking'!$H$13:$H$26, "&lt;"&amp;AQW1)</f>
        <v>0</v>
      </c>
      <c r="AQW3" s="109">
        <f>SUMIFS('Revenue Tracking'!$F$13:$F$26, 'Revenue Tracking'!$H$13:$H$26, "&gt;="&amp;AQW1,'Revenue Tracking'!$H$13:$H$26, "&lt;"&amp;AQX1)</f>
        <v>0</v>
      </c>
      <c r="AQX3" s="109">
        <f>SUMIFS('Revenue Tracking'!$F$13:$F$26, 'Revenue Tracking'!$H$13:$H$26, "&gt;="&amp;AQX1,'Revenue Tracking'!$H$13:$H$26, "&lt;"&amp;AQY1)</f>
        <v>0</v>
      </c>
      <c r="AQY3" s="109">
        <f>SUMIFS('Revenue Tracking'!$F$13:$F$26, 'Revenue Tracking'!$H$13:$H$26, "&gt;="&amp;AQY1,'Revenue Tracking'!$H$13:$H$26, "&lt;"&amp;AQZ1)</f>
        <v>0</v>
      </c>
      <c r="AQZ3" s="109">
        <f>SUMIFS('Revenue Tracking'!$F$13:$F$26, 'Revenue Tracking'!$H$13:$H$26, "&gt;="&amp;AQZ1,'Revenue Tracking'!$H$13:$H$26, "&lt;"&amp;ARA1)</f>
        <v>0</v>
      </c>
      <c r="ARA3" s="109">
        <f>SUMIFS('Revenue Tracking'!$F$13:$F$26, 'Revenue Tracking'!$H$13:$H$26, "&gt;="&amp;ARA1,'Revenue Tracking'!$H$13:$H$26, "&lt;"&amp;ARB1)</f>
        <v>0</v>
      </c>
      <c r="ARB3" s="109">
        <f>SUMIFS('Revenue Tracking'!$F$13:$F$26, 'Revenue Tracking'!$H$13:$H$26, "&gt;="&amp;ARB1,'Revenue Tracking'!$H$13:$H$26, "&lt;"&amp;ARC1)</f>
        <v>0</v>
      </c>
      <c r="ARC3" s="109">
        <f>SUMIFS('Revenue Tracking'!$F$13:$F$26, 'Revenue Tracking'!$H$13:$H$26, "&gt;="&amp;ARC1,'Revenue Tracking'!$H$13:$H$26, "&lt;"&amp;ARD1)</f>
        <v>0</v>
      </c>
      <c r="ARD3" s="109">
        <f>SUMIFS('Revenue Tracking'!$F$13:$F$26, 'Revenue Tracking'!$H$13:$H$26, "&gt;="&amp;ARD1,'Revenue Tracking'!$H$13:$H$26, "&lt;"&amp;ARE1)</f>
        <v>0</v>
      </c>
      <c r="ARE3" s="109">
        <f>SUMIFS('Revenue Tracking'!$F$13:$F$26, 'Revenue Tracking'!$H$13:$H$26, "&gt;="&amp;ARE1,'Revenue Tracking'!$H$13:$H$26, "&lt;"&amp;ARF1)</f>
        <v>0</v>
      </c>
      <c r="ARF3" s="109">
        <f>SUMIFS('Revenue Tracking'!$F$13:$F$26, 'Revenue Tracking'!$H$13:$H$26, "&gt;="&amp;ARF1,'Revenue Tracking'!$H$13:$H$26, "&lt;"&amp;ARG1)</f>
        <v>0</v>
      </c>
      <c r="ARG3" s="109">
        <f>SUMIFS('Revenue Tracking'!$F$13:$F$26, 'Revenue Tracking'!$H$13:$H$26, "&gt;="&amp;ARG1,'Revenue Tracking'!$H$13:$H$26, "&lt;"&amp;ARH1)</f>
        <v>0</v>
      </c>
      <c r="ARH3" s="109">
        <f>SUMIFS('Revenue Tracking'!$F$13:$F$26, 'Revenue Tracking'!$H$13:$H$26, "&gt;="&amp;ARH1,'Revenue Tracking'!$H$13:$H$26, "&lt;"&amp;ARI1)</f>
        <v>0</v>
      </c>
      <c r="ARI3" s="109">
        <f>SUMIFS('Revenue Tracking'!$F$13:$F$26, 'Revenue Tracking'!$H$13:$H$26, "&gt;="&amp;ARI1,'Revenue Tracking'!$H$13:$H$26, "&lt;"&amp;ARJ1)</f>
        <v>0</v>
      </c>
      <c r="ARJ3" s="109">
        <f>SUMIFS('Revenue Tracking'!$F$13:$F$26, 'Revenue Tracking'!$H$13:$H$26, "&gt;="&amp;ARJ1,'Revenue Tracking'!$H$13:$H$26, "&lt;"&amp;ARK1)</f>
        <v>0</v>
      </c>
      <c r="ARK3" s="109">
        <f>SUMIFS('Revenue Tracking'!$F$13:$F$26, 'Revenue Tracking'!$H$13:$H$26, "&gt;="&amp;ARK1,'Revenue Tracking'!$H$13:$H$26, "&lt;"&amp;ARL1)</f>
        <v>0</v>
      </c>
      <c r="ARL3" s="109">
        <f>SUMIFS('Revenue Tracking'!$F$13:$F$26, 'Revenue Tracking'!$H$13:$H$26, "&gt;="&amp;ARL1,'Revenue Tracking'!$H$13:$H$26, "&lt;"&amp;ARM1)</f>
        <v>0</v>
      </c>
      <c r="ARM3" s="109">
        <f>SUMIFS('Revenue Tracking'!$F$13:$F$26, 'Revenue Tracking'!$H$13:$H$26, "&gt;="&amp;ARM1,'Revenue Tracking'!$H$13:$H$26, "&lt;"&amp;ARN1)</f>
        <v>0</v>
      </c>
      <c r="ARN3" s="109">
        <f>SUMIFS('Revenue Tracking'!$F$13:$F$26, 'Revenue Tracking'!$H$13:$H$26, "&gt;="&amp;ARN1,'Revenue Tracking'!$H$13:$H$26, "&lt;"&amp;ARO1)</f>
        <v>0</v>
      </c>
      <c r="ARO3" s="109">
        <f>SUMIFS('Revenue Tracking'!$F$13:$F$26, 'Revenue Tracking'!$H$13:$H$26, "&gt;="&amp;ARO1,'Revenue Tracking'!$H$13:$H$26, "&lt;"&amp;ARP1)</f>
        <v>0</v>
      </c>
      <c r="ARP3" s="109">
        <f>SUMIFS('Revenue Tracking'!$F$13:$F$26, 'Revenue Tracking'!$H$13:$H$26, "&gt;="&amp;ARP1,'Revenue Tracking'!$H$13:$H$26, "&lt;"&amp;ARQ1)</f>
        <v>0</v>
      </c>
      <c r="ARQ3" s="109">
        <f>SUMIFS('Revenue Tracking'!$F$13:$F$26, 'Revenue Tracking'!$H$13:$H$26, "&gt;="&amp;ARQ1,'Revenue Tracking'!$H$13:$H$26, "&lt;"&amp;ARR1)</f>
        <v>0</v>
      </c>
      <c r="ARR3" s="109">
        <f>SUMIFS('Revenue Tracking'!$F$13:$F$26, 'Revenue Tracking'!$H$13:$H$26, "&gt;="&amp;ARR1,'Revenue Tracking'!$H$13:$H$26, "&lt;"&amp;ARS1)</f>
        <v>0</v>
      </c>
      <c r="ARS3" s="109">
        <f>SUMIFS('Revenue Tracking'!$F$13:$F$26, 'Revenue Tracking'!$H$13:$H$26, "&gt;="&amp;ARS1,'Revenue Tracking'!$H$13:$H$26, "&lt;"&amp;ART1)</f>
        <v>0</v>
      </c>
      <c r="ART3" s="109">
        <f>SUMIFS('Revenue Tracking'!$F$13:$F$26, 'Revenue Tracking'!$H$13:$H$26, "&gt;="&amp;ART1,'Revenue Tracking'!$H$13:$H$26, "&lt;"&amp;ARU1)</f>
        <v>0</v>
      </c>
      <c r="ARU3" s="109">
        <f>SUMIFS('Revenue Tracking'!$F$13:$F$26, 'Revenue Tracking'!$H$13:$H$26, "&gt;="&amp;ARU1,'Revenue Tracking'!$H$13:$H$26, "&lt;"&amp;ARV1)</f>
        <v>0</v>
      </c>
      <c r="ARV3" s="109">
        <f>SUMIFS('Revenue Tracking'!$F$13:$F$26, 'Revenue Tracking'!$H$13:$H$26, "&gt;="&amp;ARV1,'Revenue Tracking'!$H$13:$H$26, "&lt;"&amp;ARW1)</f>
        <v>0</v>
      </c>
      <c r="ARW3" s="109">
        <f>SUMIFS('Revenue Tracking'!$F$13:$F$26, 'Revenue Tracking'!$H$13:$H$26, "&gt;="&amp;ARW1,'Revenue Tracking'!$H$13:$H$26, "&lt;"&amp;ARX1)</f>
        <v>0</v>
      </c>
      <c r="ARX3" s="109">
        <f>SUMIFS('Revenue Tracking'!$F$13:$F$26, 'Revenue Tracking'!$H$13:$H$26, "&gt;="&amp;ARX1,'Revenue Tracking'!$H$13:$H$26, "&lt;"&amp;ARY1)</f>
        <v>0</v>
      </c>
      <c r="ARY3" s="109">
        <f>SUMIFS('Revenue Tracking'!$F$13:$F$26, 'Revenue Tracking'!$H$13:$H$26, "&gt;="&amp;ARY1,'Revenue Tracking'!$H$13:$H$26, "&lt;"&amp;ARZ1)</f>
        <v>0</v>
      </c>
      <c r="ARZ3" s="109">
        <f>SUMIFS('Revenue Tracking'!$F$13:$F$26, 'Revenue Tracking'!$H$13:$H$26, "&gt;="&amp;ARZ1,'Revenue Tracking'!$H$13:$H$26, "&lt;"&amp;ASA1)</f>
        <v>0</v>
      </c>
      <c r="ASA3" s="109">
        <f>SUMIFS('Revenue Tracking'!$F$13:$F$26, 'Revenue Tracking'!$H$13:$H$26, "&gt;="&amp;ASA1,'Revenue Tracking'!$H$13:$H$26, "&lt;"&amp;ASB1)</f>
        <v>0</v>
      </c>
      <c r="ASB3" s="109">
        <f>SUMIFS('Revenue Tracking'!$F$13:$F$26, 'Revenue Tracking'!$H$13:$H$26, "&gt;="&amp;ASB1,'Revenue Tracking'!$H$13:$H$26, "&lt;"&amp;ASC1)</f>
        <v>0</v>
      </c>
      <c r="ASC3" s="109">
        <f>SUMIFS('Revenue Tracking'!$F$13:$F$26, 'Revenue Tracking'!$H$13:$H$26, "&gt;="&amp;ASC1,'Revenue Tracking'!$H$13:$H$26, "&lt;"&amp;ASD1)</f>
        <v>0</v>
      </c>
      <c r="ASD3" s="109">
        <f>SUMIFS('Revenue Tracking'!$F$13:$F$26, 'Revenue Tracking'!$H$13:$H$26, "&gt;="&amp;ASD1,'Revenue Tracking'!$H$13:$H$26, "&lt;"&amp;ASE1)</f>
        <v>0</v>
      </c>
      <c r="ASE3" s="109">
        <f>SUMIFS('Revenue Tracking'!$F$13:$F$26, 'Revenue Tracking'!$H$13:$H$26, "&gt;="&amp;ASE1,'Revenue Tracking'!$H$13:$H$26, "&lt;"&amp;ASF1)</f>
        <v>0</v>
      </c>
      <c r="ASF3" s="109">
        <f>SUMIFS('Revenue Tracking'!$F$13:$F$26, 'Revenue Tracking'!$H$13:$H$26, "&gt;="&amp;ASF1,'Revenue Tracking'!$H$13:$H$26, "&lt;"&amp;ASG1)</f>
        <v>0</v>
      </c>
      <c r="ASG3" s="109">
        <f>SUMIFS('Revenue Tracking'!$F$13:$F$26, 'Revenue Tracking'!$H$13:$H$26, "&gt;="&amp;ASG1,'Revenue Tracking'!$H$13:$H$26, "&lt;"&amp;ASH1)</f>
        <v>0</v>
      </c>
      <c r="ASH3" s="109">
        <f>SUMIFS('Revenue Tracking'!$F$13:$F$26, 'Revenue Tracking'!$H$13:$H$26, "&gt;="&amp;ASH1,'Revenue Tracking'!$H$13:$H$26, "&lt;"&amp;ASI1)</f>
        <v>0</v>
      </c>
      <c r="ASI3" s="109">
        <f>SUMIFS('Revenue Tracking'!$F$13:$F$26, 'Revenue Tracking'!$H$13:$H$26, "&gt;="&amp;ASI1,'Revenue Tracking'!$H$13:$H$26, "&lt;"&amp;ASJ1)</f>
        <v>0</v>
      </c>
      <c r="ASJ3" s="109">
        <f>SUMIFS('Revenue Tracking'!$F$13:$F$26, 'Revenue Tracking'!$H$13:$H$26, "&gt;="&amp;ASJ1,'Revenue Tracking'!$H$13:$H$26, "&lt;"&amp;ASK1)</f>
        <v>0</v>
      </c>
      <c r="ASK3" s="109">
        <f>SUMIFS('Revenue Tracking'!$F$13:$F$26, 'Revenue Tracking'!$H$13:$H$26, "&gt;="&amp;ASK1,'Revenue Tracking'!$H$13:$H$26, "&lt;"&amp;ASL1)</f>
        <v>0</v>
      </c>
      <c r="ASL3" s="109">
        <f>SUMIFS('Revenue Tracking'!$F$13:$F$26, 'Revenue Tracking'!$H$13:$H$26, "&gt;="&amp;ASL1,'Revenue Tracking'!$H$13:$H$26, "&lt;"&amp;ASM1)</f>
        <v>0</v>
      </c>
      <c r="ASM3" s="109">
        <f>SUMIFS('Revenue Tracking'!$F$13:$F$26, 'Revenue Tracking'!$H$13:$H$26, "&gt;="&amp;ASM1,'Revenue Tracking'!$H$13:$H$26, "&lt;"&amp;ASN1)</f>
        <v>0</v>
      </c>
      <c r="ASN3" s="109">
        <f>SUMIFS('Revenue Tracking'!$F$13:$F$26, 'Revenue Tracking'!$H$13:$H$26, "&gt;="&amp;ASN1,'Revenue Tracking'!$H$13:$H$26, "&lt;"&amp;ASO1)</f>
        <v>0</v>
      </c>
      <c r="ASO3" s="109">
        <f>SUMIFS('Revenue Tracking'!$F$13:$F$26, 'Revenue Tracking'!$H$13:$H$26, "&gt;="&amp;ASO1,'Revenue Tracking'!$H$13:$H$26, "&lt;"&amp;ASP1)</f>
        <v>0</v>
      </c>
      <c r="ASP3" s="109">
        <f>SUMIFS('Revenue Tracking'!$F$13:$F$26, 'Revenue Tracking'!$H$13:$H$26, "&gt;="&amp;ASP1,'Revenue Tracking'!$H$13:$H$26, "&lt;"&amp;ASQ1)</f>
        <v>0</v>
      </c>
      <c r="ASQ3" s="109">
        <f>SUMIFS('Revenue Tracking'!$F$13:$F$26, 'Revenue Tracking'!$H$13:$H$26, "&gt;="&amp;ASQ1,'Revenue Tracking'!$H$13:$H$26, "&lt;"&amp;ASR1)</f>
        <v>0</v>
      </c>
      <c r="ASR3" s="109">
        <f>SUMIFS('Revenue Tracking'!$F$13:$F$26, 'Revenue Tracking'!$H$13:$H$26, "&gt;="&amp;ASR1,'Revenue Tracking'!$H$13:$H$26, "&lt;"&amp;ASS1)</f>
        <v>0</v>
      </c>
      <c r="ASS3" s="109">
        <f>SUMIFS('Revenue Tracking'!$F$13:$F$26, 'Revenue Tracking'!$H$13:$H$26, "&gt;="&amp;ASS1,'Revenue Tracking'!$H$13:$H$26, "&lt;"&amp;AST1)</f>
        <v>0</v>
      </c>
      <c r="AST3" s="109">
        <f>SUMIFS('Revenue Tracking'!$F$13:$F$26, 'Revenue Tracking'!$H$13:$H$26, "&gt;="&amp;AST1,'Revenue Tracking'!$H$13:$H$26, "&lt;"&amp;ASU1)</f>
        <v>0</v>
      </c>
      <c r="ASU3" s="109">
        <f>SUMIFS('Revenue Tracking'!$F$13:$F$26, 'Revenue Tracking'!$H$13:$H$26, "&gt;="&amp;ASU1,'Revenue Tracking'!$H$13:$H$26, "&lt;"&amp;ASV1)</f>
        <v>0</v>
      </c>
      <c r="ASV3" s="109">
        <f>SUMIFS('Revenue Tracking'!$F$13:$F$26, 'Revenue Tracking'!$H$13:$H$26, "&gt;="&amp;ASV1,'Revenue Tracking'!$H$13:$H$26, "&lt;"&amp;ASW1)</f>
        <v>0</v>
      </c>
      <c r="ASW3" s="109">
        <f>SUMIFS('Revenue Tracking'!$F$13:$F$26, 'Revenue Tracking'!$H$13:$H$26, "&gt;="&amp;ASW1,'Revenue Tracking'!$H$13:$H$26, "&lt;"&amp;ASX1)</f>
        <v>0</v>
      </c>
      <c r="ASX3" s="109">
        <f>SUMIFS('Revenue Tracking'!$F$13:$F$26, 'Revenue Tracking'!$H$13:$H$26, "&gt;="&amp;ASX1,'Revenue Tracking'!$H$13:$H$26, "&lt;"&amp;ASY1)</f>
        <v>0</v>
      </c>
      <c r="ASY3" s="109">
        <f>SUMIFS('Revenue Tracking'!$F$13:$F$26, 'Revenue Tracking'!$H$13:$H$26, "&gt;="&amp;ASY1,'Revenue Tracking'!$H$13:$H$26, "&lt;"&amp;ASZ1)</f>
        <v>0</v>
      </c>
      <c r="ASZ3" s="109">
        <f>SUMIFS('Revenue Tracking'!$F$13:$F$26, 'Revenue Tracking'!$H$13:$H$26, "&gt;="&amp;ASZ1,'Revenue Tracking'!$H$13:$H$26, "&lt;"&amp;ATA1)</f>
        <v>0</v>
      </c>
      <c r="ATA3" s="109">
        <f>SUMIFS('Revenue Tracking'!$F$13:$F$26, 'Revenue Tracking'!$H$13:$H$26, "&gt;="&amp;ATA1,'Revenue Tracking'!$H$13:$H$26, "&lt;"&amp;ATB1)</f>
        <v>0</v>
      </c>
      <c r="ATB3" s="109">
        <f>SUMIFS('Revenue Tracking'!$F$13:$F$26, 'Revenue Tracking'!$H$13:$H$26, "&gt;="&amp;ATB1,'Revenue Tracking'!$H$13:$H$26, "&lt;"&amp;ATC1)</f>
        <v>0</v>
      </c>
      <c r="ATC3" s="109">
        <f>SUMIFS('Revenue Tracking'!$F$13:$F$26, 'Revenue Tracking'!$H$13:$H$26, "&gt;="&amp;ATC1,'Revenue Tracking'!$H$13:$H$26, "&lt;"&amp;ATD1)</f>
        <v>0</v>
      </c>
      <c r="ATD3" s="109">
        <f>SUMIFS('Revenue Tracking'!$F$13:$F$26, 'Revenue Tracking'!$H$13:$H$26, "&gt;="&amp;ATD1,'Revenue Tracking'!$H$13:$H$26, "&lt;"&amp;ATE1)</f>
        <v>0</v>
      </c>
      <c r="ATE3" s="109">
        <f>SUMIFS('Revenue Tracking'!$F$13:$F$26, 'Revenue Tracking'!$H$13:$H$26, "&gt;="&amp;ATE1,'Revenue Tracking'!$H$13:$H$26, "&lt;"&amp;ATF1)</f>
        <v>0</v>
      </c>
      <c r="ATF3" s="109">
        <f>SUMIFS('Revenue Tracking'!$F$13:$F$26, 'Revenue Tracking'!$H$13:$H$26, "&gt;="&amp;ATF1,'Revenue Tracking'!$H$13:$H$26, "&lt;"&amp;ATG1)</f>
        <v>0</v>
      </c>
      <c r="ATG3" s="109">
        <f>SUMIFS('Revenue Tracking'!$F$13:$F$26, 'Revenue Tracking'!$H$13:$H$26, "&gt;="&amp;ATG1,'Revenue Tracking'!$H$13:$H$26, "&lt;"&amp;ATH1)</f>
        <v>0</v>
      </c>
      <c r="ATH3" s="109">
        <f>SUMIFS('Revenue Tracking'!$F$13:$F$26, 'Revenue Tracking'!$H$13:$H$26, "&gt;="&amp;ATH1,'Revenue Tracking'!$H$13:$H$26, "&lt;"&amp;ATI1)</f>
        <v>0</v>
      </c>
      <c r="ATI3" s="109">
        <f>SUMIFS('Revenue Tracking'!$F$13:$F$26, 'Revenue Tracking'!$H$13:$H$26, "&gt;="&amp;ATI1,'Revenue Tracking'!$H$13:$H$26, "&lt;"&amp;ATJ1)</f>
        <v>0</v>
      </c>
      <c r="ATJ3" s="109">
        <f>SUMIFS('Revenue Tracking'!$F$13:$F$26, 'Revenue Tracking'!$H$13:$H$26, "&gt;="&amp;ATJ1,'Revenue Tracking'!$H$13:$H$26, "&lt;"&amp;ATK1)</f>
        <v>0</v>
      </c>
      <c r="ATK3" s="109">
        <f>SUMIFS('Revenue Tracking'!$F$13:$F$26, 'Revenue Tracking'!$H$13:$H$26, "&gt;="&amp;ATK1,'Revenue Tracking'!$H$13:$H$26, "&lt;"&amp;ATL1)</f>
        <v>0</v>
      </c>
      <c r="ATL3" s="109">
        <f>SUMIFS('Revenue Tracking'!$F$13:$F$26, 'Revenue Tracking'!$H$13:$H$26, "&gt;="&amp;ATL1,'Revenue Tracking'!$H$13:$H$26, "&lt;"&amp;ATM1)</f>
        <v>0</v>
      </c>
      <c r="ATM3" s="109">
        <f>SUMIFS('Revenue Tracking'!$F$13:$F$26, 'Revenue Tracking'!$H$13:$H$26, "&gt;="&amp;ATM1,'Revenue Tracking'!$H$13:$H$26, "&lt;"&amp;ATN1)</f>
        <v>0</v>
      </c>
      <c r="ATN3" s="109">
        <f>SUMIFS('Revenue Tracking'!$F$13:$F$26, 'Revenue Tracking'!$H$13:$H$26, "&gt;="&amp;ATN1,'Revenue Tracking'!$H$13:$H$26, "&lt;"&amp;ATO1)</f>
        <v>0</v>
      </c>
      <c r="ATO3" s="109">
        <f>SUMIFS('Revenue Tracking'!$F$13:$F$26, 'Revenue Tracking'!$H$13:$H$26, "&gt;="&amp;ATO1,'Revenue Tracking'!$H$13:$H$26, "&lt;"&amp;ATP1)</f>
        <v>0</v>
      </c>
      <c r="ATP3" s="109">
        <f>SUMIFS('Revenue Tracking'!$F$13:$F$26, 'Revenue Tracking'!$H$13:$H$26, "&gt;="&amp;ATP1,'Revenue Tracking'!$H$13:$H$26, "&lt;"&amp;ATQ1)</f>
        <v>0</v>
      </c>
      <c r="ATQ3" s="109">
        <f>SUMIFS('Revenue Tracking'!$F$13:$F$26, 'Revenue Tracking'!$H$13:$H$26, "&gt;="&amp;ATQ1,'Revenue Tracking'!$H$13:$H$26, "&lt;"&amp;ATR1)</f>
        <v>0</v>
      </c>
      <c r="ATR3" s="109">
        <f>SUMIFS('Revenue Tracking'!$F$13:$F$26, 'Revenue Tracking'!$H$13:$H$26, "&gt;="&amp;ATR1,'Revenue Tracking'!$H$13:$H$26, "&lt;"&amp;ATS1)</f>
        <v>0</v>
      </c>
      <c r="ATS3" s="109">
        <f>SUMIFS('Revenue Tracking'!$F$13:$F$26, 'Revenue Tracking'!$H$13:$H$26, "&gt;="&amp;ATS1,'Revenue Tracking'!$H$13:$H$26, "&lt;"&amp;ATT1)</f>
        <v>0</v>
      </c>
      <c r="ATT3" s="109">
        <f>SUMIFS('Revenue Tracking'!$F$13:$F$26, 'Revenue Tracking'!$H$13:$H$26, "&gt;="&amp;ATT1,'Revenue Tracking'!$H$13:$H$26, "&lt;"&amp;ATU1)</f>
        <v>0</v>
      </c>
      <c r="ATU3" s="109">
        <f>SUMIFS('Revenue Tracking'!$F$13:$F$26, 'Revenue Tracking'!$H$13:$H$26, "&gt;="&amp;ATU1,'Revenue Tracking'!$H$13:$H$26, "&lt;"&amp;ATV1)</f>
        <v>0</v>
      </c>
      <c r="ATV3" s="109">
        <f>SUMIFS('Revenue Tracking'!$F$13:$F$26, 'Revenue Tracking'!$H$13:$H$26, "&gt;="&amp;ATV1,'Revenue Tracking'!$H$13:$H$26, "&lt;"&amp;ATW1)</f>
        <v>0</v>
      </c>
      <c r="ATW3" s="109">
        <f>SUMIFS('Revenue Tracking'!$F$13:$F$26, 'Revenue Tracking'!$H$13:$H$26, "&gt;="&amp;ATW1,'Revenue Tracking'!$H$13:$H$26, "&lt;"&amp;ATX1)</f>
        <v>0</v>
      </c>
      <c r="ATX3" s="109">
        <f>SUMIFS('Revenue Tracking'!$F$13:$F$26, 'Revenue Tracking'!$H$13:$H$26, "&gt;="&amp;ATX1,'Revenue Tracking'!$H$13:$H$26, "&lt;"&amp;ATY1)</f>
        <v>0</v>
      </c>
      <c r="ATY3" s="109">
        <f>SUMIFS('Revenue Tracking'!$F$13:$F$26, 'Revenue Tracking'!$H$13:$H$26, "&gt;="&amp;ATY1,'Revenue Tracking'!$H$13:$H$26, "&lt;"&amp;ATZ1)</f>
        <v>0</v>
      </c>
      <c r="ATZ3" s="109">
        <f>SUMIFS('Revenue Tracking'!$F$13:$F$26, 'Revenue Tracking'!$H$13:$H$26, "&gt;="&amp;ATZ1,'Revenue Tracking'!$H$13:$H$26, "&lt;"&amp;AUA1)</f>
        <v>0</v>
      </c>
      <c r="AUA3" s="109">
        <f>SUMIFS('Revenue Tracking'!$F$13:$F$26, 'Revenue Tracking'!$H$13:$H$26, "&gt;="&amp;AUA1,'Revenue Tracking'!$H$13:$H$26, "&lt;"&amp;AUB1)</f>
        <v>0</v>
      </c>
      <c r="AUB3" s="109">
        <f>SUMIFS('Revenue Tracking'!$F$13:$F$26, 'Revenue Tracking'!$H$13:$H$26, "&gt;="&amp;AUB1,'Revenue Tracking'!$H$13:$H$26, "&lt;"&amp;AUC1)</f>
        <v>0</v>
      </c>
      <c r="AUC3" s="109">
        <f>SUMIFS('Revenue Tracking'!$F$13:$F$26, 'Revenue Tracking'!$H$13:$H$26, "&gt;="&amp;AUC1,'Revenue Tracking'!$H$13:$H$26, "&lt;"&amp;AUD1)</f>
        <v>0</v>
      </c>
      <c r="AUD3" s="109">
        <f>SUMIFS('Revenue Tracking'!$F$13:$F$26, 'Revenue Tracking'!$H$13:$H$26, "&gt;="&amp;AUD1,'Revenue Tracking'!$H$13:$H$26, "&lt;"&amp;AUE1)</f>
        <v>0</v>
      </c>
      <c r="AUE3" s="109">
        <f>SUMIFS('Revenue Tracking'!$F$13:$F$26, 'Revenue Tracking'!$H$13:$H$26, "&gt;="&amp;AUE1,'Revenue Tracking'!$H$13:$H$26, "&lt;"&amp;AUF1)</f>
        <v>0</v>
      </c>
      <c r="AUF3" s="109">
        <f>SUMIFS('Revenue Tracking'!$F$13:$F$26, 'Revenue Tracking'!$H$13:$H$26, "&gt;="&amp;AUF1,'Revenue Tracking'!$H$13:$H$26, "&lt;"&amp;AUG1)</f>
        <v>0</v>
      </c>
      <c r="AUG3" s="109">
        <f>SUMIFS('Revenue Tracking'!$F$13:$F$26, 'Revenue Tracking'!$H$13:$H$26, "&gt;="&amp;AUG1,'Revenue Tracking'!$H$13:$H$26, "&lt;"&amp;AUH1)</f>
        <v>0</v>
      </c>
      <c r="AUH3" s="109">
        <f>SUMIFS('Revenue Tracking'!$F$13:$F$26, 'Revenue Tracking'!$H$13:$H$26, "&gt;="&amp;AUH1,'Revenue Tracking'!$H$13:$H$26, "&lt;"&amp;AUI1)</f>
        <v>0</v>
      </c>
      <c r="AUI3" s="109">
        <f>SUMIFS('Revenue Tracking'!$F$13:$F$26, 'Revenue Tracking'!$H$13:$H$26, "&gt;="&amp;AUI1,'Revenue Tracking'!$H$13:$H$26, "&lt;"&amp;AUJ1)</f>
        <v>0</v>
      </c>
      <c r="AUJ3" s="109">
        <f>SUMIFS('Revenue Tracking'!$F$13:$F$26, 'Revenue Tracking'!$H$13:$H$26, "&gt;="&amp;AUJ1,'Revenue Tracking'!$H$13:$H$26, "&lt;"&amp;AUK1)</f>
        <v>0</v>
      </c>
      <c r="AUK3" s="109">
        <f>SUMIFS('Revenue Tracking'!$F$13:$F$26, 'Revenue Tracking'!$H$13:$H$26, "&gt;="&amp;AUK1,'Revenue Tracking'!$H$13:$H$26, "&lt;"&amp;AUL1)</f>
        <v>0</v>
      </c>
      <c r="AUL3" s="109">
        <f>SUMIFS('Revenue Tracking'!$F$13:$F$26, 'Revenue Tracking'!$H$13:$H$26, "&gt;="&amp;AUL1,'Revenue Tracking'!$H$13:$H$26, "&lt;"&amp;AUM1)</f>
        <v>0</v>
      </c>
      <c r="AUM3" s="109">
        <f>SUMIFS('Revenue Tracking'!$F$13:$F$26, 'Revenue Tracking'!$H$13:$H$26, "&gt;="&amp;AUM1,'Revenue Tracking'!$H$13:$H$26, "&lt;"&amp;AUN1)</f>
        <v>0</v>
      </c>
      <c r="AUN3" s="109">
        <f>SUMIFS('Revenue Tracking'!$F$13:$F$26, 'Revenue Tracking'!$H$13:$H$26, "&gt;="&amp;AUN1,'Revenue Tracking'!$H$13:$H$26, "&lt;"&amp;AUO1)</f>
        <v>0</v>
      </c>
      <c r="AUO3" s="109">
        <f>SUMIFS('Revenue Tracking'!$F$13:$F$26, 'Revenue Tracking'!$H$13:$H$26, "&gt;="&amp;AUO1,'Revenue Tracking'!$H$13:$H$26, "&lt;"&amp;AUP1)</f>
        <v>0</v>
      </c>
      <c r="AUP3" s="109">
        <f>SUMIFS('Revenue Tracking'!$F$13:$F$26, 'Revenue Tracking'!$H$13:$H$26, "&gt;="&amp;AUP1,'Revenue Tracking'!$H$13:$H$26, "&lt;"&amp;AUQ1)</f>
        <v>0</v>
      </c>
      <c r="AUQ3" s="109">
        <f>SUMIFS('Revenue Tracking'!$F$13:$F$26, 'Revenue Tracking'!$H$13:$H$26, "&gt;="&amp;AUQ1,'Revenue Tracking'!$H$13:$H$26, "&lt;"&amp;AUR1)</f>
        <v>0</v>
      </c>
      <c r="AUR3" s="109">
        <f>SUMIFS('Revenue Tracking'!$F$13:$F$26, 'Revenue Tracking'!$H$13:$H$26, "&gt;="&amp;AUR1,'Revenue Tracking'!$H$13:$H$26, "&lt;"&amp;AUS1)</f>
        <v>0</v>
      </c>
      <c r="AUS3" s="109">
        <f>SUMIFS('Revenue Tracking'!$F$13:$F$26, 'Revenue Tracking'!$H$13:$H$26, "&gt;="&amp;AUS1,'Revenue Tracking'!$H$13:$H$26, "&lt;"&amp;AUT1)</f>
        <v>0</v>
      </c>
      <c r="AUT3" s="109">
        <f>SUMIFS('Revenue Tracking'!$F$13:$F$26, 'Revenue Tracking'!$H$13:$H$26, "&gt;="&amp;AUT1,'Revenue Tracking'!$H$13:$H$26, "&lt;"&amp;AUU1)</f>
        <v>0</v>
      </c>
      <c r="AUU3" s="109">
        <f>SUMIFS('Revenue Tracking'!$F$13:$F$26, 'Revenue Tracking'!$H$13:$H$26, "&gt;="&amp;AUU1,'Revenue Tracking'!$H$13:$H$26, "&lt;"&amp;AUV1)</f>
        <v>0</v>
      </c>
      <c r="AUV3" s="109">
        <f>SUMIFS('Revenue Tracking'!$F$13:$F$26, 'Revenue Tracking'!$H$13:$H$26, "&gt;="&amp;AUV1,'Revenue Tracking'!$H$13:$H$26, "&lt;"&amp;AUW1)</f>
        <v>0</v>
      </c>
      <c r="AUW3" s="109">
        <f>SUMIFS('Revenue Tracking'!$F$13:$F$26, 'Revenue Tracking'!$H$13:$H$26, "&gt;="&amp;AUW1,'Revenue Tracking'!$H$13:$H$26, "&lt;"&amp;AUX1)</f>
        <v>0</v>
      </c>
      <c r="AUX3" s="109">
        <f>SUMIFS('Revenue Tracking'!$F$13:$F$26, 'Revenue Tracking'!$H$13:$H$26, "&gt;="&amp;AUX1,'Revenue Tracking'!$H$13:$H$26, "&lt;"&amp;AUY1)</f>
        <v>0</v>
      </c>
      <c r="AUY3" s="109">
        <f>SUMIFS('Revenue Tracking'!$F$13:$F$26, 'Revenue Tracking'!$H$13:$H$26, "&gt;="&amp;AUY1,'Revenue Tracking'!$H$13:$H$26, "&lt;"&amp;AUZ1)</f>
        <v>0</v>
      </c>
      <c r="AUZ3" s="109">
        <f>SUMIFS('Revenue Tracking'!$F$13:$F$26, 'Revenue Tracking'!$H$13:$H$26, "&gt;="&amp;AUZ1,'Revenue Tracking'!$H$13:$H$26, "&lt;"&amp;AVA1)</f>
        <v>0</v>
      </c>
      <c r="AVA3" s="109">
        <f>SUMIFS('Revenue Tracking'!$F$13:$F$26, 'Revenue Tracking'!$H$13:$H$26, "&gt;="&amp;AVA1,'Revenue Tracking'!$H$13:$H$26, "&lt;"&amp;AVB1)</f>
        <v>0</v>
      </c>
      <c r="AVB3" s="109">
        <f>SUMIFS('Revenue Tracking'!$F$13:$F$26, 'Revenue Tracking'!$H$13:$H$26, "&gt;="&amp;AVB1,'Revenue Tracking'!$H$13:$H$26, "&lt;"&amp;AVC1)</f>
        <v>0</v>
      </c>
      <c r="AVC3" s="109">
        <f>SUMIFS('Revenue Tracking'!$F$13:$F$26, 'Revenue Tracking'!$H$13:$H$26, "&gt;="&amp;AVC1,'Revenue Tracking'!$H$13:$H$26, "&lt;"&amp;AVD1)</f>
        <v>0</v>
      </c>
      <c r="AVD3" s="109">
        <f>SUMIFS('Revenue Tracking'!$F$13:$F$26, 'Revenue Tracking'!$H$13:$H$26, "&gt;="&amp;AVD1,'Revenue Tracking'!$H$13:$H$26, "&lt;"&amp;AVE1)</f>
        <v>0</v>
      </c>
      <c r="AVE3" s="109">
        <f>SUMIFS('Revenue Tracking'!$F$13:$F$26, 'Revenue Tracking'!$H$13:$H$26, "&gt;="&amp;AVE1,'Revenue Tracking'!$H$13:$H$26, "&lt;"&amp;AVF1)</f>
        <v>0</v>
      </c>
      <c r="AVF3" s="109">
        <f>SUMIFS('Revenue Tracking'!$F$13:$F$26, 'Revenue Tracking'!$H$13:$H$26, "&gt;="&amp;AVF1,'Revenue Tracking'!$H$13:$H$26, "&lt;"&amp;AVG1)</f>
        <v>0</v>
      </c>
      <c r="AVG3" s="109">
        <f>SUMIFS('Revenue Tracking'!$F$13:$F$26, 'Revenue Tracking'!$H$13:$H$26, "&gt;="&amp;AVG1,'Revenue Tracking'!$H$13:$H$26, "&lt;"&amp;AVH1)</f>
        <v>0</v>
      </c>
      <c r="AVH3" s="109">
        <f>SUMIFS('Revenue Tracking'!$F$13:$F$26, 'Revenue Tracking'!$H$13:$H$26, "&gt;="&amp;AVH1,'Revenue Tracking'!$H$13:$H$26, "&lt;"&amp;AVI1)</f>
        <v>0</v>
      </c>
      <c r="AVI3" s="109">
        <f>SUMIFS('Revenue Tracking'!$F$13:$F$26, 'Revenue Tracking'!$H$13:$H$26, "&gt;="&amp;AVI1,'Revenue Tracking'!$H$13:$H$26, "&lt;"&amp;AVJ1)</f>
        <v>0</v>
      </c>
      <c r="AVJ3" s="109">
        <f>SUMIFS('Revenue Tracking'!$F$13:$F$26, 'Revenue Tracking'!$H$13:$H$26, "&gt;="&amp;AVJ1,'Revenue Tracking'!$H$13:$H$26, "&lt;"&amp;AVK1)</f>
        <v>0</v>
      </c>
      <c r="AVK3" s="109">
        <f>SUMIFS('Revenue Tracking'!$F$13:$F$26, 'Revenue Tracking'!$H$13:$H$26, "&gt;="&amp;AVK1,'Revenue Tracking'!$H$13:$H$26, "&lt;"&amp;AVL1)</f>
        <v>0</v>
      </c>
      <c r="AVL3" s="109">
        <f>SUMIFS('Revenue Tracking'!$F$13:$F$26, 'Revenue Tracking'!$H$13:$H$26, "&gt;="&amp;AVL1,'Revenue Tracking'!$H$13:$H$26, "&lt;"&amp;AVM1)</f>
        <v>0</v>
      </c>
      <c r="AVM3" s="109">
        <f>SUMIFS('Revenue Tracking'!$F$13:$F$26, 'Revenue Tracking'!$H$13:$H$26, "&gt;="&amp;AVM1,'Revenue Tracking'!$H$13:$H$26, "&lt;"&amp;AVN1)</f>
        <v>0</v>
      </c>
      <c r="AVN3" s="109">
        <f>SUMIFS('Revenue Tracking'!$F$13:$F$26, 'Revenue Tracking'!$H$13:$H$26, "&gt;="&amp;AVN1,'Revenue Tracking'!$H$13:$H$26, "&lt;"&amp;AVO1)</f>
        <v>0</v>
      </c>
      <c r="AVO3" s="109">
        <f>SUMIFS('Revenue Tracking'!$F$13:$F$26, 'Revenue Tracking'!$H$13:$H$26, "&gt;="&amp;AVO1,'Revenue Tracking'!$H$13:$H$26, "&lt;"&amp;AVP1)</f>
        <v>0</v>
      </c>
      <c r="AVP3" s="109">
        <f>SUMIFS('Revenue Tracking'!$F$13:$F$26, 'Revenue Tracking'!$H$13:$H$26, "&gt;="&amp;AVP1,'Revenue Tracking'!$H$13:$H$26, "&lt;"&amp;AVQ1)</f>
        <v>0</v>
      </c>
      <c r="AVQ3" s="109">
        <f>SUMIFS('Revenue Tracking'!$F$13:$F$26, 'Revenue Tracking'!$H$13:$H$26, "&gt;="&amp;AVQ1,'Revenue Tracking'!$H$13:$H$26, "&lt;"&amp;AVR1)</f>
        <v>0</v>
      </c>
      <c r="AVR3" s="109">
        <f>SUMIFS('Revenue Tracking'!$F$13:$F$26, 'Revenue Tracking'!$H$13:$H$26, "&gt;="&amp;AVR1,'Revenue Tracking'!$H$13:$H$26, "&lt;"&amp;AVS1)</f>
        <v>0</v>
      </c>
      <c r="AVS3" s="109">
        <f>SUMIFS('Revenue Tracking'!$F$13:$F$26, 'Revenue Tracking'!$H$13:$H$26, "&gt;="&amp;AVS1,'Revenue Tracking'!$H$13:$H$26, "&lt;"&amp;AVT1)</f>
        <v>0</v>
      </c>
      <c r="AVT3" s="109">
        <f>SUMIFS('Revenue Tracking'!$F$13:$F$26, 'Revenue Tracking'!$H$13:$H$26, "&gt;="&amp;AVT1,'Revenue Tracking'!$H$13:$H$26, "&lt;"&amp;AVU1)</f>
        <v>0</v>
      </c>
      <c r="AVU3" s="109">
        <f>SUMIFS('Revenue Tracking'!$F$13:$F$26, 'Revenue Tracking'!$H$13:$H$26, "&gt;="&amp;AVU1,'Revenue Tracking'!$H$13:$H$26, "&lt;"&amp;AVV1)</f>
        <v>0</v>
      </c>
      <c r="AVV3" s="109">
        <f>SUMIFS('Revenue Tracking'!$F$13:$F$26, 'Revenue Tracking'!$H$13:$H$26, "&gt;="&amp;AVV1,'Revenue Tracking'!$H$13:$H$26, "&lt;"&amp;AVW1)</f>
        <v>0</v>
      </c>
      <c r="AVW3" s="109">
        <f>SUMIFS('Revenue Tracking'!$F$13:$F$26, 'Revenue Tracking'!$H$13:$H$26, "&gt;="&amp;AVW1,'Revenue Tracking'!$H$13:$H$26, "&lt;"&amp;AVX1)</f>
        <v>0</v>
      </c>
      <c r="AVX3" s="109">
        <f>SUMIFS('Revenue Tracking'!$F$13:$F$26, 'Revenue Tracking'!$H$13:$H$26, "&gt;="&amp;AVX1,'Revenue Tracking'!$H$13:$H$26, "&lt;"&amp;AVY1)</f>
        <v>0</v>
      </c>
      <c r="AVY3" s="109">
        <f>SUMIFS('Revenue Tracking'!$F$13:$F$26, 'Revenue Tracking'!$H$13:$H$26, "&gt;="&amp;AVY1,'Revenue Tracking'!$H$13:$H$26, "&lt;"&amp;AVZ1)</f>
        <v>0</v>
      </c>
      <c r="AVZ3" s="109">
        <f>SUMIFS('Revenue Tracking'!$F$13:$F$26, 'Revenue Tracking'!$H$13:$H$26, "&gt;="&amp;AVZ1,'Revenue Tracking'!$H$13:$H$26, "&lt;"&amp;AWA1)</f>
        <v>0</v>
      </c>
      <c r="AWA3" s="109">
        <f>SUMIFS('Revenue Tracking'!$F$13:$F$26, 'Revenue Tracking'!$H$13:$H$26, "&gt;="&amp;AWA1,'Revenue Tracking'!$H$13:$H$26, "&lt;"&amp;AWB1)</f>
        <v>0</v>
      </c>
      <c r="AWB3" s="109">
        <f>SUMIFS('Revenue Tracking'!$F$13:$F$26, 'Revenue Tracking'!$H$13:$H$26, "&gt;="&amp;AWB1,'Revenue Tracking'!$H$13:$H$26, "&lt;"&amp;AWC1)</f>
        <v>0</v>
      </c>
      <c r="AWC3" s="109">
        <f>SUMIFS('Revenue Tracking'!$F$13:$F$26, 'Revenue Tracking'!$H$13:$H$26, "&gt;="&amp;AWC1,'Revenue Tracking'!$H$13:$H$26, "&lt;"&amp;AWD1)</f>
        <v>0</v>
      </c>
      <c r="AWD3" s="109">
        <f>SUMIFS('Revenue Tracking'!$F$13:$F$26, 'Revenue Tracking'!$H$13:$H$26, "&gt;="&amp;AWD1,'Revenue Tracking'!$H$13:$H$26, "&lt;"&amp;AWE1)</f>
        <v>0</v>
      </c>
      <c r="AWE3" s="109">
        <f>SUMIFS('Revenue Tracking'!$F$13:$F$26, 'Revenue Tracking'!$H$13:$H$26, "&gt;="&amp;AWE1,'Revenue Tracking'!$H$13:$H$26, "&lt;"&amp;AWF1)</f>
        <v>0</v>
      </c>
      <c r="AWF3" s="109">
        <f>SUMIFS('Revenue Tracking'!$F$13:$F$26, 'Revenue Tracking'!$H$13:$H$26, "&gt;="&amp;AWF1,'Revenue Tracking'!$H$13:$H$26, "&lt;"&amp;AWG1)</f>
        <v>0</v>
      </c>
      <c r="AWG3" s="109">
        <f>SUMIFS('Revenue Tracking'!$F$13:$F$26, 'Revenue Tracking'!$H$13:$H$26, "&gt;="&amp;AWG1,'Revenue Tracking'!$H$13:$H$26, "&lt;"&amp;AWH1)</f>
        <v>0</v>
      </c>
      <c r="AWH3" s="109">
        <f>SUMIFS('Revenue Tracking'!$F$13:$F$26, 'Revenue Tracking'!$H$13:$H$26, "&gt;="&amp;AWH1,'Revenue Tracking'!$H$13:$H$26, "&lt;"&amp;AWI1)</f>
        <v>0</v>
      </c>
      <c r="AWI3" s="109">
        <f>SUMIFS('Revenue Tracking'!$F$13:$F$26, 'Revenue Tracking'!$H$13:$H$26, "&gt;="&amp;AWI1,'Revenue Tracking'!$H$13:$H$26, "&lt;"&amp;AWJ1)</f>
        <v>0</v>
      </c>
      <c r="AWJ3" s="109">
        <f>SUMIFS('Revenue Tracking'!$F$13:$F$26, 'Revenue Tracking'!$H$13:$H$26, "&gt;="&amp;AWJ1,'Revenue Tracking'!$H$13:$H$26, "&lt;"&amp;AWK1)</f>
        <v>0</v>
      </c>
      <c r="AWK3" s="109">
        <f>SUMIFS('Revenue Tracking'!$F$13:$F$26, 'Revenue Tracking'!$H$13:$H$26, "&gt;="&amp;AWK1,'Revenue Tracking'!$H$13:$H$26, "&lt;"&amp;AWL1)</f>
        <v>0</v>
      </c>
      <c r="AWL3" s="109">
        <f>SUMIFS('Revenue Tracking'!$F$13:$F$26, 'Revenue Tracking'!$H$13:$H$26, "&gt;="&amp;AWL1,'Revenue Tracking'!$H$13:$H$26, "&lt;"&amp;AWM1)</f>
        <v>0</v>
      </c>
      <c r="AWM3" s="109">
        <f>SUMIFS('Revenue Tracking'!$F$13:$F$26, 'Revenue Tracking'!$H$13:$H$26, "&gt;="&amp;AWM1,'Revenue Tracking'!$H$13:$H$26, "&lt;"&amp;AWN1)</f>
        <v>0</v>
      </c>
      <c r="AWN3" s="109">
        <f>SUMIFS('Revenue Tracking'!$F$13:$F$26, 'Revenue Tracking'!$H$13:$H$26, "&gt;="&amp;AWN1,'Revenue Tracking'!$H$13:$H$26, "&lt;"&amp;AWO1)</f>
        <v>0</v>
      </c>
      <c r="AWO3" s="109">
        <f>SUMIFS('Revenue Tracking'!$F$13:$F$26, 'Revenue Tracking'!$H$13:$H$26, "&gt;="&amp;AWO1,'Revenue Tracking'!$H$13:$H$26, "&lt;"&amp;AWP1)</f>
        <v>0</v>
      </c>
      <c r="AWP3" s="109">
        <f>SUMIFS('Revenue Tracking'!$F$13:$F$26, 'Revenue Tracking'!$H$13:$H$26, "&gt;="&amp;AWP1,'Revenue Tracking'!$H$13:$H$26, "&lt;"&amp;AWQ1)</f>
        <v>0</v>
      </c>
      <c r="AWQ3" s="109">
        <f>SUMIFS('Revenue Tracking'!$F$13:$F$26, 'Revenue Tracking'!$H$13:$H$26, "&gt;="&amp;AWQ1,'Revenue Tracking'!$H$13:$H$26, "&lt;"&amp;AWR1)</f>
        <v>0</v>
      </c>
      <c r="AWR3" s="109">
        <f>SUMIFS('Revenue Tracking'!$F$13:$F$26, 'Revenue Tracking'!$H$13:$H$26, "&gt;="&amp;AWR1,'Revenue Tracking'!$H$13:$H$26, "&lt;"&amp;AWS1)</f>
        <v>0</v>
      </c>
      <c r="AWS3" s="109">
        <f>SUMIFS('Revenue Tracking'!$F$13:$F$26, 'Revenue Tracking'!$H$13:$H$26, "&gt;="&amp;AWS1,'Revenue Tracking'!$H$13:$H$26, "&lt;"&amp;AWT1)</f>
        <v>0</v>
      </c>
      <c r="AWT3" s="109">
        <f>SUMIFS('Revenue Tracking'!$F$13:$F$26, 'Revenue Tracking'!$H$13:$H$26, "&gt;="&amp;AWT1,'Revenue Tracking'!$H$13:$H$26, "&lt;"&amp;AWU1)</f>
        <v>0</v>
      </c>
      <c r="AWU3" s="109">
        <f>SUMIFS('Revenue Tracking'!$F$13:$F$26, 'Revenue Tracking'!$H$13:$H$26, "&gt;="&amp;AWU1,'Revenue Tracking'!$H$13:$H$26, "&lt;"&amp;AWV1)</f>
        <v>0</v>
      </c>
      <c r="AWV3" s="109">
        <f>SUMIFS('Revenue Tracking'!$F$13:$F$26, 'Revenue Tracking'!$H$13:$H$26, "&gt;="&amp;AWV1,'Revenue Tracking'!$H$13:$H$26, "&lt;"&amp;AWW1)</f>
        <v>0</v>
      </c>
      <c r="AWW3" s="109">
        <f>SUMIFS('Revenue Tracking'!$F$13:$F$26, 'Revenue Tracking'!$H$13:$H$26, "&gt;="&amp;AWW1,'Revenue Tracking'!$H$13:$H$26, "&lt;"&amp;AWX1)</f>
        <v>0</v>
      </c>
      <c r="AWX3" s="109">
        <f>SUMIFS('Revenue Tracking'!$F$13:$F$26, 'Revenue Tracking'!$H$13:$H$26, "&gt;="&amp;AWX1,'Revenue Tracking'!$H$13:$H$26, "&lt;"&amp;AWY1)</f>
        <v>0</v>
      </c>
      <c r="AWY3" s="109">
        <f>SUMIFS('Revenue Tracking'!$F$13:$F$26, 'Revenue Tracking'!$H$13:$H$26, "&gt;="&amp;AWY1,'Revenue Tracking'!$H$13:$H$26, "&lt;"&amp;AWZ1)</f>
        <v>0</v>
      </c>
      <c r="AWZ3" s="109">
        <f>SUMIFS('Revenue Tracking'!$F$13:$F$26, 'Revenue Tracking'!$H$13:$H$26, "&gt;="&amp;AWZ1,'Revenue Tracking'!$H$13:$H$26, "&lt;"&amp;AXA1)</f>
        <v>0</v>
      </c>
      <c r="AXA3" s="109">
        <f>SUMIFS('Revenue Tracking'!$F$13:$F$26, 'Revenue Tracking'!$H$13:$H$26, "&gt;="&amp;AXA1,'Revenue Tracking'!$H$13:$H$26, "&lt;"&amp;AXB1)</f>
        <v>0</v>
      </c>
      <c r="AXB3" s="109">
        <f>SUMIFS('Revenue Tracking'!$F$13:$F$26, 'Revenue Tracking'!$H$13:$H$26, "&gt;="&amp;AXB1,'Revenue Tracking'!$H$13:$H$26, "&lt;"&amp;AXC1)</f>
        <v>0</v>
      </c>
      <c r="AXC3" s="109">
        <f>SUMIFS('Revenue Tracking'!$F$13:$F$26, 'Revenue Tracking'!$H$13:$H$26, "&gt;="&amp;AXC1,'Revenue Tracking'!$H$13:$H$26, "&lt;"&amp;AXD1)</f>
        <v>0</v>
      </c>
      <c r="AXD3" s="109">
        <f>SUMIFS('Revenue Tracking'!$F$13:$F$26, 'Revenue Tracking'!$H$13:$H$26, "&gt;="&amp;AXD1,'Revenue Tracking'!$H$13:$H$26, "&lt;"&amp;AXE1)</f>
        <v>0</v>
      </c>
      <c r="AXE3" s="109">
        <f>SUMIFS('Revenue Tracking'!$F$13:$F$26, 'Revenue Tracking'!$H$13:$H$26, "&gt;="&amp;AXE1,'Revenue Tracking'!$H$13:$H$26, "&lt;"&amp;AXF1)</f>
        <v>0</v>
      </c>
      <c r="AXF3" s="109">
        <f>SUMIFS('Revenue Tracking'!$F$13:$F$26, 'Revenue Tracking'!$H$13:$H$26, "&gt;="&amp;AXF1,'Revenue Tracking'!$H$13:$H$26, "&lt;"&amp;AXG1)</f>
        <v>0</v>
      </c>
      <c r="AXG3" s="109">
        <f>SUMIFS('Revenue Tracking'!$F$13:$F$26, 'Revenue Tracking'!$H$13:$H$26, "&gt;="&amp;AXG1,'Revenue Tracking'!$H$13:$H$26, "&lt;"&amp;AXH1)</f>
        <v>0</v>
      </c>
      <c r="AXH3" s="109">
        <f>SUMIFS('Revenue Tracking'!$F$13:$F$26, 'Revenue Tracking'!$H$13:$H$26, "&gt;="&amp;AXH1,'Revenue Tracking'!$H$13:$H$26, "&lt;"&amp;AXI1)</f>
        <v>0</v>
      </c>
      <c r="AXI3" s="109">
        <f>SUMIFS('Revenue Tracking'!$F$13:$F$26, 'Revenue Tracking'!$H$13:$H$26, "&gt;="&amp;AXI1,'Revenue Tracking'!$H$13:$H$26, "&lt;"&amp;AXJ1)</f>
        <v>0</v>
      </c>
      <c r="AXJ3" s="109">
        <f>SUMIFS('Revenue Tracking'!$F$13:$F$26, 'Revenue Tracking'!$H$13:$H$26, "&gt;="&amp;AXJ1,'Revenue Tracking'!$H$13:$H$26, "&lt;"&amp;AXK1)</f>
        <v>0</v>
      </c>
      <c r="AXK3" s="109">
        <f>SUMIFS('Revenue Tracking'!$F$13:$F$26, 'Revenue Tracking'!$H$13:$H$26, "&gt;="&amp;AXK1,'Revenue Tracking'!$H$13:$H$26, "&lt;"&amp;AXL1)</f>
        <v>0</v>
      </c>
      <c r="AXL3" s="109">
        <f>SUMIFS('Revenue Tracking'!$F$13:$F$26, 'Revenue Tracking'!$H$13:$H$26, "&gt;="&amp;AXL1,'Revenue Tracking'!$H$13:$H$26, "&lt;"&amp;AXM1)</f>
        <v>0</v>
      </c>
      <c r="AXM3" s="109">
        <f>SUMIFS('Revenue Tracking'!$F$13:$F$26, 'Revenue Tracking'!$H$13:$H$26, "&gt;="&amp;AXM1,'Revenue Tracking'!$H$13:$H$26, "&lt;"&amp;AXN1)</f>
        <v>0</v>
      </c>
      <c r="AXN3" s="109">
        <f>SUMIFS('Revenue Tracking'!$F$13:$F$26, 'Revenue Tracking'!$H$13:$H$26, "&gt;="&amp;AXN1,'Revenue Tracking'!$H$13:$H$26, "&lt;"&amp;AXO1)</f>
        <v>0</v>
      </c>
      <c r="AXO3" s="109">
        <f>SUMIFS('Revenue Tracking'!$F$13:$F$26, 'Revenue Tracking'!$H$13:$H$26, "&gt;="&amp;AXO1,'Revenue Tracking'!$H$13:$H$26, "&lt;"&amp;AXP1)</f>
        <v>0</v>
      </c>
      <c r="AXP3" s="109">
        <f>SUMIFS('Revenue Tracking'!$F$13:$F$26, 'Revenue Tracking'!$H$13:$H$26, "&gt;="&amp;AXP1,'Revenue Tracking'!$H$13:$H$26, "&lt;"&amp;AXQ1)</f>
        <v>0</v>
      </c>
      <c r="AXQ3" s="109">
        <f>SUMIFS('Revenue Tracking'!$F$13:$F$26, 'Revenue Tracking'!$H$13:$H$26, "&gt;="&amp;AXQ1,'Revenue Tracking'!$H$13:$H$26, "&lt;"&amp;AXR1)</f>
        <v>0</v>
      </c>
      <c r="AXR3" s="109">
        <f>SUMIFS('Revenue Tracking'!$F$13:$F$26, 'Revenue Tracking'!$H$13:$H$26, "&gt;="&amp;AXR1,'Revenue Tracking'!$H$13:$H$26, "&lt;"&amp;AXS1)</f>
        <v>0</v>
      </c>
      <c r="AXS3" s="109">
        <f>SUMIFS('Revenue Tracking'!$F$13:$F$26, 'Revenue Tracking'!$H$13:$H$26, "&gt;="&amp;AXS1,'Revenue Tracking'!$H$13:$H$26, "&lt;"&amp;AXT1)</f>
        <v>0</v>
      </c>
      <c r="AXT3" s="109">
        <f>SUMIFS('Revenue Tracking'!$F$13:$F$26, 'Revenue Tracking'!$H$13:$H$26, "&gt;="&amp;AXT1,'Revenue Tracking'!$H$13:$H$26, "&lt;"&amp;AXU1)</f>
        <v>0</v>
      </c>
      <c r="AXU3" s="109">
        <f>SUMIFS('Revenue Tracking'!$F$13:$F$26, 'Revenue Tracking'!$H$13:$H$26, "&gt;="&amp;AXU1,'Revenue Tracking'!$H$13:$H$26, "&lt;"&amp;AXV1)</f>
        <v>0</v>
      </c>
      <c r="AXV3" s="109">
        <f>SUMIFS('Revenue Tracking'!$F$13:$F$26, 'Revenue Tracking'!$H$13:$H$26, "&gt;="&amp;AXV1,'Revenue Tracking'!$H$13:$H$26, "&lt;"&amp;AXW1)</f>
        <v>0</v>
      </c>
      <c r="AXW3" s="109">
        <f>SUMIFS('Revenue Tracking'!$F$13:$F$26, 'Revenue Tracking'!$H$13:$H$26, "&gt;="&amp;AXW1,'Revenue Tracking'!$H$13:$H$26, "&lt;"&amp;AXX1)</f>
        <v>0</v>
      </c>
      <c r="AXX3" s="109">
        <f>SUMIFS('Revenue Tracking'!$F$13:$F$26, 'Revenue Tracking'!$H$13:$H$26, "&gt;="&amp;AXX1,'Revenue Tracking'!$H$13:$H$26, "&lt;"&amp;AXY1)</f>
        <v>0</v>
      </c>
      <c r="AXY3" s="109">
        <f>SUMIFS('Revenue Tracking'!$F$13:$F$26, 'Revenue Tracking'!$H$13:$H$26, "&gt;="&amp;AXY1,'Revenue Tracking'!$H$13:$H$26, "&lt;"&amp;AXZ1)</f>
        <v>0</v>
      </c>
      <c r="AXZ3" s="109">
        <f>SUMIFS('Revenue Tracking'!$F$13:$F$26, 'Revenue Tracking'!$H$13:$H$26, "&gt;="&amp;AXZ1,'Revenue Tracking'!$H$13:$H$26, "&lt;"&amp;AYA1)</f>
        <v>0</v>
      </c>
      <c r="AYA3" s="109">
        <f>SUMIFS('Revenue Tracking'!$F$13:$F$26, 'Revenue Tracking'!$H$13:$H$26, "&gt;="&amp;AYA1,'Revenue Tracking'!$H$13:$H$26, "&lt;"&amp;AYB1)</f>
        <v>0</v>
      </c>
      <c r="AYB3" s="109">
        <f>SUMIFS('Revenue Tracking'!$F$13:$F$26, 'Revenue Tracking'!$H$13:$H$26, "&gt;="&amp;AYB1,'Revenue Tracking'!$H$13:$H$26, "&lt;"&amp;AYC1)</f>
        <v>0</v>
      </c>
      <c r="AYC3" s="109">
        <f>SUMIFS('Revenue Tracking'!$F$13:$F$26, 'Revenue Tracking'!$H$13:$H$26, "&gt;="&amp;AYC1,'Revenue Tracking'!$H$13:$H$26, "&lt;"&amp;AYD1)</f>
        <v>0</v>
      </c>
      <c r="AYD3" s="109">
        <f>SUMIFS('Revenue Tracking'!$F$13:$F$26, 'Revenue Tracking'!$H$13:$H$26, "&gt;="&amp;AYD1,'Revenue Tracking'!$H$13:$H$26, "&lt;"&amp;AYE1)</f>
        <v>0</v>
      </c>
      <c r="AYE3" s="109">
        <f>SUMIFS('Revenue Tracking'!$F$13:$F$26, 'Revenue Tracking'!$H$13:$H$26, "&gt;="&amp;AYE1,'Revenue Tracking'!$H$13:$H$26, "&lt;"&amp;AYF1)</f>
        <v>0</v>
      </c>
      <c r="AYF3" s="109">
        <f>SUMIFS('Revenue Tracking'!$F$13:$F$26, 'Revenue Tracking'!$H$13:$H$26, "&gt;="&amp;AYF1,'Revenue Tracking'!$H$13:$H$26, "&lt;"&amp;AYG1)</f>
        <v>0</v>
      </c>
      <c r="AYG3" s="109">
        <f>SUMIFS('Revenue Tracking'!$F$13:$F$26, 'Revenue Tracking'!$H$13:$H$26, "&gt;="&amp;AYG1,'Revenue Tracking'!$H$13:$H$26, "&lt;"&amp;AYH1)</f>
        <v>0</v>
      </c>
      <c r="AYH3" s="109">
        <f>SUMIFS('Revenue Tracking'!$F$13:$F$26, 'Revenue Tracking'!$H$13:$H$26, "&gt;="&amp;AYH1,'Revenue Tracking'!$H$13:$H$26, "&lt;"&amp;AYI1)</f>
        <v>0</v>
      </c>
      <c r="AYI3" s="109">
        <f>SUMIFS('Revenue Tracking'!$F$13:$F$26, 'Revenue Tracking'!$H$13:$H$26, "&gt;="&amp;AYI1,'Revenue Tracking'!$H$13:$H$26, "&lt;"&amp;AYJ1)</f>
        <v>0</v>
      </c>
      <c r="AYJ3" s="109">
        <f>SUMIFS('Revenue Tracking'!$F$13:$F$26, 'Revenue Tracking'!$H$13:$H$26, "&gt;="&amp;AYJ1,'Revenue Tracking'!$H$13:$H$26, "&lt;"&amp;AYK1)</f>
        <v>0</v>
      </c>
      <c r="AYK3" s="109">
        <f>SUMIFS('Revenue Tracking'!$F$13:$F$26, 'Revenue Tracking'!$H$13:$H$26, "&gt;="&amp;AYK1,'Revenue Tracking'!$H$13:$H$26, "&lt;"&amp;AYL1)</f>
        <v>0</v>
      </c>
      <c r="AYL3" s="109">
        <f>SUMIFS('Revenue Tracking'!$F$13:$F$26, 'Revenue Tracking'!$H$13:$H$26, "&gt;="&amp;AYL1,'Revenue Tracking'!$H$13:$H$26, "&lt;"&amp;AYM1)</f>
        <v>0</v>
      </c>
      <c r="AYM3" s="109">
        <f>SUMIFS('Revenue Tracking'!$F$13:$F$26, 'Revenue Tracking'!$H$13:$H$26, "&gt;="&amp;AYM1,'Revenue Tracking'!$H$13:$H$26, "&lt;"&amp;AYN1)</f>
        <v>0</v>
      </c>
      <c r="AYN3" s="109">
        <f>SUMIFS('Revenue Tracking'!$F$13:$F$26, 'Revenue Tracking'!$H$13:$H$26, "&gt;="&amp;AYN1,'Revenue Tracking'!$H$13:$H$26, "&lt;"&amp;AYO1)</f>
        <v>0</v>
      </c>
      <c r="AYO3" s="109">
        <f>SUMIFS('Revenue Tracking'!$F$13:$F$26, 'Revenue Tracking'!$H$13:$H$26, "&gt;="&amp;AYO1,'Revenue Tracking'!$H$13:$H$26, "&lt;"&amp;AYP1)</f>
        <v>0</v>
      </c>
      <c r="AYP3" s="109">
        <f>SUMIFS('Revenue Tracking'!$F$13:$F$26, 'Revenue Tracking'!$H$13:$H$26, "&gt;="&amp;AYP1,'Revenue Tracking'!$H$13:$H$26, "&lt;"&amp;AYQ1)</f>
        <v>0</v>
      </c>
      <c r="AYQ3" s="109">
        <f>SUMIFS('Revenue Tracking'!$F$13:$F$26, 'Revenue Tracking'!$H$13:$H$26, "&gt;="&amp;AYQ1,'Revenue Tracking'!$H$13:$H$26, "&lt;"&amp;AYR1)</f>
        <v>0</v>
      </c>
      <c r="AYR3" s="109">
        <f>SUMIFS('Revenue Tracking'!$F$13:$F$26, 'Revenue Tracking'!$H$13:$H$26, "&gt;="&amp;AYR1,'Revenue Tracking'!$H$13:$H$26, "&lt;"&amp;AYS1)</f>
        <v>0</v>
      </c>
      <c r="AYS3" s="109">
        <f>SUMIFS('Revenue Tracking'!$F$13:$F$26, 'Revenue Tracking'!$H$13:$H$26, "&gt;="&amp;AYS1,'Revenue Tracking'!$H$13:$H$26, "&lt;"&amp;AYT1)</f>
        <v>0</v>
      </c>
      <c r="AYT3" s="109">
        <f>SUMIFS('Revenue Tracking'!$F$13:$F$26, 'Revenue Tracking'!$H$13:$H$26, "&gt;="&amp;AYT1,'Revenue Tracking'!$H$13:$H$26, "&lt;"&amp;AYU1)</f>
        <v>0</v>
      </c>
      <c r="AYU3" s="109">
        <f>SUMIFS('Revenue Tracking'!$F$13:$F$26, 'Revenue Tracking'!$H$13:$H$26, "&gt;="&amp;AYU1,'Revenue Tracking'!$H$13:$H$26, "&lt;"&amp;AYV1)</f>
        <v>0</v>
      </c>
      <c r="AYV3" s="109">
        <f>SUMIFS('Revenue Tracking'!$F$13:$F$26, 'Revenue Tracking'!$H$13:$H$26, "&gt;="&amp;AYV1,'Revenue Tracking'!$H$13:$H$26, "&lt;"&amp;AYW1)</f>
        <v>0</v>
      </c>
      <c r="AYW3" s="109">
        <f>SUMIFS('Revenue Tracking'!$F$13:$F$26, 'Revenue Tracking'!$H$13:$H$26, "&gt;="&amp;AYW1,'Revenue Tracking'!$H$13:$H$26, "&lt;"&amp;AYX1)</f>
        <v>0</v>
      </c>
      <c r="AYX3" s="109">
        <f>SUMIFS('Revenue Tracking'!$F$13:$F$26, 'Revenue Tracking'!$H$13:$H$26, "&gt;="&amp;AYX1,'Revenue Tracking'!$H$13:$H$26, "&lt;"&amp;AYY1)</f>
        <v>0</v>
      </c>
      <c r="AYY3" s="109">
        <f>SUMIFS('Revenue Tracking'!$F$13:$F$26, 'Revenue Tracking'!$H$13:$H$26, "&gt;="&amp;AYY1,'Revenue Tracking'!$H$13:$H$26, "&lt;"&amp;AYZ1)</f>
        <v>0</v>
      </c>
      <c r="AYZ3" s="109">
        <f>SUMIFS('Revenue Tracking'!$F$13:$F$26, 'Revenue Tracking'!$H$13:$H$26, "&gt;="&amp;AYZ1,'Revenue Tracking'!$H$13:$H$26, "&lt;"&amp;AZA1)</f>
        <v>0</v>
      </c>
      <c r="AZA3" s="109">
        <f>SUMIFS('Revenue Tracking'!$F$13:$F$26, 'Revenue Tracking'!$H$13:$H$26, "&gt;="&amp;AZA1,'Revenue Tracking'!$H$13:$H$26, "&lt;"&amp;AZB1)</f>
        <v>0</v>
      </c>
      <c r="AZB3" s="109">
        <f>SUMIFS('Revenue Tracking'!$F$13:$F$26, 'Revenue Tracking'!$H$13:$H$26, "&gt;="&amp;AZB1,'Revenue Tracking'!$H$13:$H$26, "&lt;"&amp;AZC1)</f>
        <v>0</v>
      </c>
      <c r="AZC3" s="109">
        <f>SUMIFS('Revenue Tracking'!$F$13:$F$26, 'Revenue Tracking'!$H$13:$H$26, "&gt;="&amp;AZC1,'Revenue Tracking'!$H$13:$H$26, "&lt;"&amp;AZD1)</f>
        <v>0</v>
      </c>
      <c r="AZD3" s="109">
        <f>SUMIFS('Revenue Tracking'!$F$13:$F$26, 'Revenue Tracking'!$H$13:$H$26, "&gt;="&amp;AZD1,'Revenue Tracking'!$H$13:$H$26, "&lt;"&amp;AZE1)</f>
        <v>0</v>
      </c>
      <c r="AZE3" s="109">
        <f>SUMIFS('Revenue Tracking'!$F$13:$F$26, 'Revenue Tracking'!$H$13:$H$26, "&gt;="&amp;AZE1,'Revenue Tracking'!$H$13:$H$26, "&lt;"&amp;AZF1)</f>
        <v>0</v>
      </c>
      <c r="AZF3" s="109">
        <f>SUMIFS('Revenue Tracking'!$F$13:$F$26, 'Revenue Tracking'!$H$13:$H$26, "&gt;="&amp;AZF1,'Revenue Tracking'!$H$13:$H$26, "&lt;"&amp;AZG1)</f>
        <v>0</v>
      </c>
      <c r="AZG3" s="109">
        <f>SUMIFS('Revenue Tracking'!$F$13:$F$26, 'Revenue Tracking'!$H$13:$H$26, "&gt;="&amp;AZG1,'Revenue Tracking'!$H$13:$H$26, "&lt;"&amp;AZH1)</f>
        <v>0</v>
      </c>
    </row>
    <row r="4" spans="1:1837">
      <c r="A4" s="777"/>
      <c r="B4" s="106" t="s">
        <v>498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22">H4+I3</f>
        <v>0</v>
      </c>
      <c r="J4" s="109">
        <f t="shared" si="22"/>
        <v>0</v>
      </c>
      <c r="K4" s="109">
        <f t="shared" si="22"/>
        <v>0</v>
      </c>
      <c r="L4" s="109">
        <f t="shared" si="22"/>
        <v>0</v>
      </c>
      <c r="M4" s="109">
        <f t="shared" si="22"/>
        <v>0</v>
      </c>
      <c r="N4" s="109">
        <f t="shared" si="22"/>
        <v>0</v>
      </c>
      <c r="O4" s="109">
        <f t="shared" si="22"/>
        <v>0</v>
      </c>
      <c r="P4" s="109">
        <f t="shared" si="22"/>
        <v>0</v>
      </c>
      <c r="Q4" s="109">
        <f t="shared" si="22"/>
        <v>0</v>
      </c>
      <c r="R4" s="109">
        <f t="shared" si="22"/>
        <v>0</v>
      </c>
      <c r="S4" s="109">
        <f t="shared" si="22"/>
        <v>0</v>
      </c>
      <c r="T4" s="109">
        <f t="shared" si="22"/>
        <v>0</v>
      </c>
      <c r="U4" s="109">
        <f t="shared" si="22"/>
        <v>0</v>
      </c>
      <c r="V4" s="109">
        <f t="shared" si="22"/>
        <v>0</v>
      </c>
      <c r="W4" s="109">
        <f t="shared" si="22"/>
        <v>551182.06999999995</v>
      </c>
      <c r="X4" s="109">
        <f t="shared" si="22"/>
        <v>551182.06999999995</v>
      </c>
      <c r="Y4" s="109">
        <f t="shared" si="22"/>
        <v>551182.06999999995</v>
      </c>
      <c r="Z4" s="109">
        <f t="shared" si="22"/>
        <v>551182.06999999995</v>
      </c>
      <c r="AA4" s="109">
        <f t="shared" si="22"/>
        <v>1385100.1400000001</v>
      </c>
      <c r="AB4" s="109">
        <f t="shared" si="22"/>
        <v>1607614.3800000001</v>
      </c>
      <c r="AC4" s="109">
        <f t="shared" si="22"/>
        <v>1898516.04</v>
      </c>
      <c r="AD4" s="109">
        <f>AC4+AD3</f>
        <v>1898516.04</v>
      </c>
      <c r="AE4" s="109">
        <f t="shared" si="22"/>
        <v>1898516.04</v>
      </c>
      <c r="AF4" s="109">
        <f t="shared" si="22"/>
        <v>1898516.04</v>
      </c>
      <c r="AG4" s="109">
        <f t="shared" si="22"/>
        <v>1898516.04</v>
      </c>
      <c r="AH4" s="109">
        <f t="shared" si="22"/>
        <v>1898516.04</v>
      </c>
      <c r="AI4" s="109">
        <f t="shared" si="22"/>
        <v>1898516.04</v>
      </c>
      <c r="AJ4" s="109">
        <f t="shared" si="22"/>
        <v>1898516.04</v>
      </c>
      <c r="AK4" s="109">
        <f t="shared" si="22"/>
        <v>1898516.04</v>
      </c>
      <c r="AL4" s="109">
        <f t="shared" si="22"/>
        <v>1898516.04</v>
      </c>
      <c r="AM4" s="109">
        <f t="shared" si="22"/>
        <v>1898516.04</v>
      </c>
      <c r="AN4" s="109">
        <f t="shared" si="22"/>
        <v>1898516.04</v>
      </c>
      <c r="AO4" s="109">
        <f t="shared" si="22"/>
        <v>1898516.04</v>
      </c>
      <c r="AP4" s="109">
        <f t="shared" si="22"/>
        <v>1898516.04</v>
      </c>
      <c r="AQ4" s="109">
        <f t="shared" si="22"/>
        <v>1898516.04</v>
      </c>
      <c r="AR4" s="109">
        <f t="shared" si="22"/>
        <v>1939344.37</v>
      </c>
      <c r="AS4" s="109">
        <f t="shared" si="22"/>
        <v>1939344.37</v>
      </c>
      <c r="AT4" s="109">
        <f t="shared" si="22"/>
        <v>1939344.37</v>
      </c>
      <c r="AU4" s="109">
        <f t="shared" si="22"/>
        <v>1939344.37</v>
      </c>
      <c r="AV4" s="109">
        <f t="shared" si="22"/>
        <v>1939344.37</v>
      </c>
      <c r="AW4" s="109">
        <f t="shared" si="22"/>
        <v>1939344.37</v>
      </c>
      <c r="AX4" s="109">
        <f t="shared" si="22"/>
        <v>1939344.37</v>
      </c>
      <c r="AY4" s="109">
        <f t="shared" si="22"/>
        <v>2041415.12</v>
      </c>
      <c r="AZ4" s="109">
        <f t="shared" si="22"/>
        <v>2041415.12</v>
      </c>
      <c r="BA4" s="109">
        <f t="shared" si="22"/>
        <v>2041415.12</v>
      </c>
      <c r="BB4" s="109">
        <f t="shared" si="22"/>
        <v>2041415.12</v>
      </c>
      <c r="BC4" s="109">
        <f t="shared" si="22"/>
        <v>2041415.12</v>
      </c>
      <c r="BD4" s="109">
        <f t="shared" si="22"/>
        <v>2041415.12</v>
      </c>
      <c r="BE4" s="109">
        <f t="shared" si="22"/>
        <v>2041415.12</v>
      </c>
      <c r="BF4" s="109">
        <f t="shared" si="22"/>
        <v>2041415.12</v>
      </c>
      <c r="BG4" s="109">
        <f t="shared" si="22"/>
        <v>2041415.12</v>
      </c>
      <c r="BH4" s="109">
        <f t="shared" si="22"/>
        <v>2041415.12</v>
      </c>
      <c r="BI4" s="109">
        <f t="shared" si="22"/>
        <v>2041415.12</v>
      </c>
      <c r="BJ4" s="109">
        <f t="shared" si="22"/>
        <v>2041415.12</v>
      </c>
      <c r="BK4" s="109">
        <f t="shared" si="22"/>
        <v>2041415.12</v>
      </c>
      <c r="BL4" s="109">
        <f t="shared" si="22"/>
        <v>2041415.12</v>
      </c>
      <c r="BM4" s="109">
        <f t="shared" si="22"/>
        <v>2041415.12</v>
      </c>
      <c r="BN4" s="109">
        <f t="shared" si="22"/>
        <v>2041415.12</v>
      </c>
      <c r="BO4" s="109">
        <f t="shared" si="22"/>
        <v>2041415.12</v>
      </c>
      <c r="BP4" s="109">
        <f t="shared" si="22"/>
        <v>2041415.12</v>
      </c>
      <c r="BQ4" s="109">
        <f t="shared" si="22"/>
        <v>2041415.12</v>
      </c>
      <c r="BR4" s="109">
        <f t="shared" si="22"/>
        <v>2041415.12</v>
      </c>
      <c r="BS4" s="109">
        <f t="shared" si="22"/>
        <v>2041415.12</v>
      </c>
      <c r="BT4" s="109">
        <f t="shared" si="22"/>
        <v>2041415.12</v>
      </c>
      <c r="BU4" s="109">
        <f t="shared" ref="BU4:EF4" si="23">BT4+BU3</f>
        <v>2041415.12</v>
      </c>
      <c r="BV4" s="109">
        <f t="shared" si="23"/>
        <v>2041415.12</v>
      </c>
      <c r="BW4" s="109">
        <f t="shared" si="23"/>
        <v>2041415.12</v>
      </c>
      <c r="BX4" s="109">
        <f t="shared" si="23"/>
        <v>2041415.12</v>
      </c>
      <c r="BY4" s="109">
        <f t="shared" si="23"/>
        <v>2041415.12</v>
      </c>
      <c r="BZ4" s="109">
        <f t="shared" si="23"/>
        <v>2041415.12</v>
      </c>
      <c r="CA4" s="109">
        <f t="shared" si="23"/>
        <v>2041415.12</v>
      </c>
      <c r="CB4" s="109">
        <f t="shared" si="23"/>
        <v>2041415.12</v>
      </c>
      <c r="CC4" s="109">
        <f t="shared" si="23"/>
        <v>2041415.12</v>
      </c>
      <c r="CD4" s="109">
        <f t="shared" si="23"/>
        <v>2041415.12</v>
      </c>
      <c r="CE4" s="109">
        <f t="shared" si="23"/>
        <v>2041415.12</v>
      </c>
      <c r="CF4" s="109">
        <f t="shared" si="23"/>
        <v>2041415.12</v>
      </c>
      <c r="CG4" s="109">
        <f t="shared" si="23"/>
        <v>2041415.12</v>
      </c>
      <c r="CH4" s="109">
        <f t="shared" si="23"/>
        <v>2041415.12</v>
      </c>
      <c r="CI4" s="109">
        <f t="shared" si="23"/>
        <v>2041415.12</v>
      </c>
      <c r="CJ4" s="109">
        <f t="shared" si="23"/>
        <v>2041415.12</v>
      </c>
      <c r="CK4" s="109">
        <f t="shared" si="23"/>
        <v>2041415.12</v>
      </c>
      <c r="CL4" s="109">
        <f t="shared" si="23"/>
        <v>2041415.12</v>
      </c>
      <c r="CM4" s="109">
        <f t="shared" si="23"/>
        <v>2041415.12</v>
      </c>
      <c r="CN4" s="109">
        <f t="shared" si="23"/>
        <v>2041415.12</v>
      </c>
      <c r="CO4" s="109">
        <f t="shared" si="23"/>
        <v>2041415.12</v>
      </c>
      <c r="CP4" s="109">
        <f t="shared" si="23"/>
        <v>2041415.12</v>
      </c>
      <c r="CQ4" s="109">
        <f t="shared" si="23"/>
        <v>2041415.12</v>
      </c>
      <c r="CR4" s="109">
        <f t="shared" si="23"/>
        <v>2041415.12</v>
      </c>
      <c r="CS4" s="109">
        <f t="shared" si="23"/>
        <v>2041415.12</v>
      </c>
      <c r="CT4" s="109">
        <f t="shared" si="23"/>
        <v>2041415.12</v>
      </c>
      <c r="CU4" s="109">
        <f t="shared" si="23"/>
        <v>2041415.12</v>
      </c>
      <c r="CV4" s="109">
        <f t="shared" si="23"/>
        <v>2041415.12</v>
      </c>
      <c r="CW4" s="109">
        <f t="shared" si="23"/>
        <v>2041415.12</v>
      </c>
      <c r="CX4" s="109">
        <f t="shared" si="23"/>
        <v>2041415.12</v>
      </c>
      <c r="CY4" s="109">
        <f t="shared" si="23"/>
        <v>2041415.12</v>
      </c>
      <c r="CZ4" s="109">
        <f t="shared" si="23"/>
        <v>2041415.12</v>
      </c>
      <c r="DA4" s="109">
        <f t="shared" si="23"/>
        <v>2041415.12</v>
      </c>
      <c r="DB4" s="109">
        <f t="shared" si="23"/>
        <v>2041415.12</v>
      </c>
      <c r="DC4" s="109">
        <f t="shared" si="23"/>
        <v>2041415.12</v>
      </c>
      <c r="DD4" s="109">
        <f t="shared" si="23"/>
        <v>2041415.12</v>
      </c>
      <c r="DE4" s="109">
        <f t="shared" si="23"/>
        <v>2041415.12</v>
      </c>
      <c r="DF4" s="109">
        <f t="shared" si="23"/>
        <v>2041415.12</v>
      </c>
      <c r="DG4" s="109">
        <f t="shared" si="23"/>
        <v>2041415.12</v>
      </c>
      <c r="DH4" s="109">
        <f t="shared" si="23"/>
        <v>2041415.12</v>
      </c>
      <c r="DI4" s="109">
        <f t="shared" si="23"/>
        <v>2041415.12</v>
      </c>
      <c r="DJ4" s="109">
        <f t="shared" si="23"/>
        <v>2041415.12</v>
      </c>
      <c r="DK4" s="109">
        <f t="shared" si="23"/>
        <v>2041415.12</v>
      </c>
      <c r="DL4" s="109">
        <f t="shared" si="23"/>
        <v>2041415.12</v>
      </c>
      <c r="DM4" s="109">
        <f t="shared" si="23"/>
        <v>2041415.12</v>
      </c>
      <c r="DN4" s="109">
        <f t="shared" si="23"/>
        <v>2041415.12</v>
      </c>
      <c r="DO4" s="109">
        <f t="shared" si="23"/>
        <v>2041415.12</v>
      </c>
      <c r="DP4" s="109">
        <f t="shared" si="23"/>
        <v>2041415.12</v>
      </c>
      <c r="DQ4" s="109">
        <f t="shared" si="23"/>
        <v>2041415.12</v>
      </c>
      <c r="DR4" s="109">
        <f t="shared" si="23"/>
        <v>2041415.12</v>
      </c>
      <c r="DS4" s="109">
        <f t="shared" si="23"/>
        <v>2041415.12</v>
      </c>
      <c r="DT4" s="109">
        <f t="shared" si="23"/>
        <v>2041415.12</v>
      </c>
      <c r="DU4" s="109">
        <f t="shared" si="23"/>
        <v>2041415.12</v>
      </c>
      <c r="DV4" s="109">
        <f t="shared" si="23"/>
        <v>2041415.12</v>
      </c>
      <c r="DW4" s="109">
        <f t="shared" si="23"/>
        <v>2041415.12</v>
      </c>
      <c r="DX4" s="109">
        <f t="shared" si="23"/>
        <v>2041415.12</v>
      </c>
      <c r="DY4" s="109">
        <f t="shared" si="23"/>
        <v>2041415.12</v>
      </c>
      <c r="DZ4" s="109">
        <f t="shared" si="23"/>
        <v>2041415.12</v>
      </c>
      <c r="EA4" s="109">
        <f t="shared" si="23"/>
        <v>2041415.12</v>
      </c>
      <c r="EB4" s="109">
        <f t="shared" si="23"/>
        <v>2041415.12</v>
      </c>
      <c r="EC4" s="109">
        <f t="shared" si="23"/>
        <v>2041415.12</v>
      </c>
      <c r="ED4" s="109">
        <f t="shared" si="23"/>
        <v>2041415.12</v>
      </c>
      <c r="EE4" s="109">
        <f t="shared" si="23"/>
        <v>2041415.12</v>
      </c>
      <c r="EF4" s="109">
        <f t="shared" si="23"/>
        <v>2041415.12</v>
      </c>
      <c r="EG4" s="109">
        <f t="shared" ref="EG4:GR4" si="24">EF4+EG3</f>
        <v>2041415.12</v>
      </c>
      <c r="EH4" s="109">
        <f t="shared" si="24"/>
        <v>2041415.12</v>
      </c>
      <c r="EI4" s="109">
        <f t="shared" si="24"/>
        <v>2041415.12</v>
      </c>
      <c r="EJ4" s="109">
        <f t="shared" si="24"/>
        <v>2041415.12</v>
      </c>
      <c r="EK4" s="109">
        <f t="shared" si="24"/>
        <v>2041415.12</v>
      </c>
      <c r="EL4" s="109">
        <f t="shared" si="24"/>
        <v>2041415.12</v>
      </c>
      <c r="EM4" s="109">
        <f t="shared" si="24"/>
        <v>2041415.12</v>
      </c>
      <c r="EN4" s="109">
        <f t="shared" si="24"/>
        <v>2041415.12</v>
      </c>
      <c r="EO4" s="109">
        <f t="shared" si="24"/>
        <v>2041415.12</v>
      </c>
      <c r="EP4" s="109">
        <f t="shared" si="24"/>
        <v>2041415.12</v>
      </c>
      <c r="EQ4" s="109">
        <f t="shared" si="24"/>
        <v>2041415.12</v>
      </c>
      <c r="ER4" s="109">
        <f t="shared" si="24"/>
        <v>2041415.12</v>
      </c>
      <c r="ES4" s="109">
        <f t="shared" si="24"/>
        <v>2041415.12</v>
      </c>
      <c r="ET4" s="109">
        <f t="shared" si="24"/>
        <v>2041415.12</v>
      </c>
      <c r="EU4" s="109">
        <f t="shared" si="24"/>
        <v>2041415.12</v>
      </c>
      <c r="EV4" s="109">
        <f t="shared" si="24"/>
        <v>2041415.12</v>
      </c>
      <c r="EW4" s="109">
        <f t="shared" si="24"/>
        <v>2041415.12</v>
      </c>
      <c r="EX4" s="109">
        <f t="shared" si="24"/>
        <v>2041415.12</v>
      </c>
      <c r="EY4" s="109">
        <f t="shared" si="24"/>
        <v>2041415.12</v>
      </c>
      <c r="EZ4" s="109">
        <f t="shared" si="24"/>
        <v>2041415.12</v>
      </c>
      <c r="FA4" s="109">
        <f t="shared" si="24"/>
        <v>2041415.12</v>
      </c>
      <c r="FB4" s="109">
        <f t="shared" si="24"/>
        <v>2041415.12</v>
      </c>
      <c r="FC4" s="109">
        <f t="shared" si="24"/>
        <v>2041415.12</v>
      </c>
      <c r="FD4" s="109">
        <f t="shared" si="24"/>
        <v>2041415.12</v>
      </c>
      <c r="FE4" s="109">
        <f t="shared" si="24"/>
        <v>2041415.12</v>
      </c>
      <c r="FF4" s="109">
        <f t="shared" si="24"/>
        <v>2041415.12</v>
      </c>
      <c r="FG4" s="109">
        <f t="shared" si="24"/>
        <v>2041415.12</v>
      </c>
      <c r="FH4" s="109">
        <f t="shared" si="24"/>
        <v>2041415.12</v>
      </c>
      <c r="FI4" s="109">
        <f t="shared" si="24"/>
        <v>2041415.12</v>
      </c>
      <c r="FJ4" s="109">
        <f t="shared" si="24"/>
        <v>2041415.12</v>
      </c>
      <c r="FK4" s="109">
        <f t="shared" si="24"/>
        <v>2041415.12</v>
      </c>
      <c r="FL4" s="109">
        <f t="shared" si="24"/>
        <v>2041415.12</v>
      </c>
      <c r="FM4" s="109">
        <f t="shared" si="24"/>
        <v>2041415.12</v>
      </c>
      <c r="FN4" s="109">
        <f t="shared" si="24"/>
        <v>2041415.12</v>
      </c>
      <c r="FO4" s="109">
        <f t="shared" si="24"/>
        <v>2041415.12</v>
      </c>
      <c r="FP4" s="109">
        <f t="shared" si="24"/>
        <v>2041415.12</v>
      </c>
      <c r="FQ4" s="109">
        <f t="shared" si="24"/>
        <v>2041415.12</v>
      </c>
      <c r="FR4" s="109">
        <f t="shared" si="24"/>
        <v>2041415.12</v>
      </c>
      <c r="FS4" s="109">
        <f t="shared" si="24"/>
        <v>2041415.12</v>
      </c>
      <c r="FT4" s="109">
        <f t="shared" si="24"/>
        <v>2041415.12</v>
      </c>
      <c r="FU4" s="109">
        <f t="shared" si="24"/>
        <v>2041415.12</v>
      </c>
      <c r="FV4" s="109">
        <f t="shared" si="24"/>
        <v>2041415.12</v>
      </c>
      <c r="FW4" s="109">
        <f t="shared" si="24"/>
        <v>2041415.12</v>
      </c>
      <c r="FX4" s="109">
        <f t="shared" si="24"/>
        <v>2041415.12</v>
      </c>
      <c r="FY4" s="109">
        <f t="shared" si="24"/>
        <v>2041415.12</v>
      </c>
      <c r="FZ4" s="109">
        <f t="shared" si="24"/>
        <v>2041415.12</v>
      </c>
      <c r="GA4" s="109">
        <f t="shared" si="24"/>
        <v>2041415.12</v>
      </c>
      <c r="GB4" s="109">
        <f t="shared" si="24"/>
        <v>2041415.12</v>
      </c>
      <c r="GC4" s="109">
        <f t="shared" si="24"/>
        <v>2041415.12</v>
      </c>
      <c r="GD4" s="109">
        <f t="shared" si="24"/>
        <v>2041415.12</v>
      </c>
      <c r="GE4" s="109">
        <f t="shared" si="24"/>
        <v>2041415.12</v>
      </c>
      <c r="GF4" s="109">
        <f t="shared" si="24"/>
        <v>2041415.12</v>
      </c>
      <c r="GG4" s="109">
        <f t="shared" si="24"/>
        <v>2041415.12</v>
      </c>
      <c r="GH4" s="109">
        <f t="shared" si="24"/>
        <v>2041415.12</v>
      </c>
      <c r="GI4" s="109">
        <f t="shared" si="24"/>
        <v>2041415.12</v>
      </c>
      <c r="GJ4" s="109">
        <f t="shared" si="24"/>
        <v>2041415.12</v>
      </c>
      <c r="GK4" s="109">
        <f t="shared" si="24"/>
        <v>2041415.12</v>
      </c>
      <c r="GL4" s="109">
        <f t="shared" si="24"/>
        <v>2041415.12</v>
      </c>
      <c r="GM4" s="109">
        <f t="shared" si="24"/>
        <v>2041415.12</v>
      </c>
      <c r="GN4" s="109">
        <f t="shared" si="24"/>
        <v>2041415.12</v>
      </c>
      <c r="GO4" s="109">
        <f t="shared" si="24"/>
        <v>2041415.12</v>
      </c>
      <c r="GP4" s="109">
        <f t="shared" si="24"/>
        <v>2041415.12</v>
      </c>
      <c r="GQ4" s="109">
        <f t="shared" si="24"/>
        <v>2041415.12</v>
      </c>
      <c r="GR4" s="109">
        <f t="shared" si="24"/>
        <v>2041415.12</v>
      </c>
      <c r="GS4" s="109">
        <f t="shared" ref="GS4:JD4" si="25">GR4+GS3</f>
        <v>2041415.12</v>
      </c>
      <c r="GT4" s="109">
        <f t="shared" si="25"/>
        <v>2041415.12</v>
      </c>
      <c r="GU4" s="109">
        <f t="shared" si="25"/>
        <v>2041415.12</v>
      </c>
      <c r="GV4" s="109">
        <f t="shared" si="25"/>
        <v>2041415.12</v>
      </c>
      <c r="GW4" s="109">
        <f t="shared" si="25"/>
        <v>2041415.12</v>
      </c>
      <c r="GX4" s="109">
        <f t="shared" si="25"/>
        <v>2041415.12</v>
      </c>
      <c r="GY4" s="109">
        <f t="shared" si="25"/>
        <v>2041415.12</v>
      </c>
      <c r="GZ4" s="109">
        <f t="shared" si="25"/>
        <v>2041415.12</v>
      </c>
      <c r="HA4" s="109">
        <f t="shared" si="25"/>
        <v>2041415.12</v>
      </c>
      <c r="HB4" s="109">
        <f t="shared" si="25"/>
        <v>2041415.12</v>
      </c>
      <c r="HC4" s="109">
        <f t="shared" si="25"/>
        <v>2041415.12</v>
      </c>
      <c r="HD4" s="109">
        <f t="shared" si="25"/>
        <v>2041415.12</v>
      </c>
      <c r="HE4" s="109">
        <f t="shared" si="25"/>
        <v>2041415.12</v>
      </c>
      <c r="HF4" s="109">
        <f t="shared" si="25"/>
        <v>2041415.12</v>
      </c>
      <c r="HG4" s="109">
        <f t="shared" si="25"/>
        <v>2041415.12</v>
      </c>
      <c r="HH4" s="109">
        <f t="shared" si="25"/>
        <v>2041415.12</v>
      </c>
      <c r="HI4" s="109">
        <f t="shared" si="25"/>
        <v>2041415.12</v>
      </c>
      <c r="HJ4" s="109">
        <f t="shared" si="25"/>
        <v>2041415.12</v>
      </c>
      <c r="HK4" s="109">
        <f t="shared" si="25"/>
        <v>2041415.12</v>
      </c>
      <c r="HL4" s="109">
        <f t="shared" si="25"/>
        <v>2041415.12</v>
      </c>
      <c r="HM4" s="109">
        <f t="shared" si="25"/>
        <v>2041415.12</v>
      </c>
      <c r="HN4" s="109">
        <f t="shared" si="25"/>
        <v>2041415.12</v>
      </c>
      <c r="HO4" s="109">
        <f t="shared" si="25"/>
        <v>2041415.12</v>
      </c>
      <c r="HP4" s="109">
        <f t="shared" si="25"/>
        <v>2041415.12</v>
      </c>
      <c r="HQ4" s="109">
        <f t="shared" si="25"/>
        <v>2041415.12</v>
      </c>
      <c r="HR4" s="109">
        <f t="shared" si="25"/>
        <v>2041415.12</v>
      </c>
      <c r="HS4" s="109">
        <f t="shared" si="25"/>
        <v>2041415.12</v>
      </c>
      <c r="HT4" s="109">
        <f t="shared" si="25"/>
        <v>2041415.12</v>
      </c>
      <c r="HU4" s="109">
        <f t="shared" si="25"/>
        <v>2041415.12</v>
      </c>
      <c r="HV4" s="109">
        <f t="shared" si="25"/>
        <v>2041415.12</v>
      </c>
      <c r="HW4" s="109">
        <f t="shared" si="25"/>
        <v>2041415.12</v>
      </c>
      <c r="HX4" s="109">
        <f t="shared" si="25"/>
        <v>2041415.12</v>
      </c>
      <c r="HY4" s="109">
        <f t="shared" si="25"/>
        <v>2041415.12</v>
      </c>
      <c r="HZ4" s="109">
        <f t="shared" si="25"/>
        <v>2041415.12</v>
      </c>
      <c r="IA4" s="109">
        <f t="shared" si="25"/>
        <v>2041415.12</v>
      </c>
      <c r="IB4" s="109">
        <f t="shared" si="25"/>
        <v>2041415.12</v>
      </c>
      <c r="IC4" s="109">
        <f t="shared" si="25"/>
        <v>2041415.12</v>
      </c>
      <c r="ID4" s="109">
        <f t="shared" si="25"/>
        <v>2041415.12</v>
      </c>
      <c r="IE4" s="109">
        <f t="shared" si="25"/>
        <v>2041415.12</v>
      </c>
      <c r="IF4" s="109">
        <f t="shared" si="25"/>
        <v>2041415.12</v>
      </c>
      <c r="IG4" s="109">
        <f t="shared" si="25"/>
        <v>2041415.12</v>
      </c>
      <c r="IH4" s="109">
        <f t="shared" si="25"/>
        <v>2041415.12</v>
      </c>
      <c r="II4" s="109">
        <f t="shared" si="25"/>
        <v>2041415.12</v>
      </c>
      <c r="IJ4" s="109">
        <f t="shared" si="25"/>
        <v>2041415.12</v>
      </c>
      <c r="IK4" s="109">
        <f t="shared" si="25"/>
        <v>2041415.12</v>
      </c>
      <c r="IL4" s="109">
        <f t="shared" si="25"/>
        <v>2041415.12</v>
      </c>
      <c r="IM4" s="109">
        <f t="shared" si="25"/>
        <v>2041415.12</v>
      </c>
      <c r="IN4" s="109">
        <f t="shared" si="25"/>
        <v>2041415.12</v>
      </c>
      <c r="IO4" s="109">
        <f t="shared" si="25"/>
        <v>2041415.12</v>
      </c>
      <c r="IP4" s="109">
        <f t="shared" si="25"/>
        <v>2041415.12</v>
      </c>
      <c r="IQ4" s="109">
        <f t="shared" si="25"/>
        <v>2041415.12</v>
      </c>
      <c r="IR4" s="109">
        <f t="shared" si="25"/>
        <v>2041415.12</v>
      </c>
      <c r="IS4" s="109">
        <f t="shared" si="25"/>
        <v>2041415.12</v>
      </c>
      <c r="IT4" s="109">
        <f t="shared" si="25"/>
        <v>2041415.12</v>
      </c>
      <c r="IU4" s="109">
        <f t="shared" si="25"/>
        <v>2041415.12</v>
      </c>
      <c r="IV4" s="109">
        <f t="shared" si="25"/>
        <v>2041415.12</v>
      </c>
      <c r="IW4" s="109">
        <f t="shared" si="25"/>
        <v>2041415.12</v>
      </c>
      <c r="IX4" s="109">
        <f t="shared" si="25"/>
        <v>2041415.12</v>
      </c>
      <c r="IY4" s="109">
        <f t="shared" si="25"/>
        <v>2041415.12</v>
      </c>
      <c r="IZ4" s="109">
        <f t="shared" si="25"/>
        <v>2041415.12</v>
      </c>
      <c r="JA4" s="109">
        <f t="shared" si="25"/>
        <v>2041415.12</v>
      </c>
      <c r="JB4" s="109">
        <f t="shared" si="25"/>
        <v>2041415.12</v>
      </c>
      <c r="JC4" s="109">
        <f t="shared" si="25"/>
        <v>2041415.12</v>
      </c>
      <c r="JD4" s="109">
        <f t="shared" si="25"/>
        <v>2041415.12</v>
      </c>
      <c r="JE4" s="109">
        <f t="shared" ref="JE4:LP4" si="26">JD4+JE3</f>
        <v>2041415.12</v>
      </c>
      <c r="JF4" s="109">
        <f t="shared" si="26"/>
        <v>2041415.12</v>
      </c>
      <c r="JG4" s="109">
        <f t="shared" si="26"/>
        <v>2041415.12</v>
      </c>
      <c r="JH4" s="109">
        <f t="shared" si="26"/>
        <v>2041415.12</v>
      </c>
      <c r="JI4" s="109">
        <f t="shared" si="26"/>
        <v>2041415.12</v>
      </c>
      <c r="JJ4" s="109">
        <f t="shared" si="26"/>
        <v>2041415.12</v>
      </c>
      <c r="JK4" s="109">
        <f t="shared" si="26"/>
        <v>2041415.12</v>
      </c>
      <c r="JL4" s="109">
        <f t="shared" si="26"/>
        <v>2041415.12</v>
      </c>
      <c r="JM4" s="109">
        <f t="shared" si="26"/>
        <v>2041415.12</v>
      </c>
      <c r="JN4" s="109">
        <f t="shared" si="26"/>
        <v>2041415.12</v>
      </c>
      <c r="JO4" s="109">
        <f t="shared" si="26"/>
        <v>2041415.12</v>
      </c>
      <c r="JP4" s="109">
        <f t="shared" si="26"/>
        <v>2041415.12</v>
      </c>
      <c r="JQ4" s="109">
        <f t="shared" si="26"/>
        <v>2041415.12</v>
      </c>
      <c r="JR4" s="109">
        <f t="shared" si="26"/>
        <v>2041415.12</v>
      </c>
      <c r="JS4" s="109">
        <f t="shared" si="26"/>
        <v>2041415.12</v>
      </c>
      <c r="JT4" s="109">
        <f t="shared" si="26"/>
        <v>2041415.12</v>
      </c>
      <c r="JU4" s="109">
        <f t="shared" si="26"/>
        <v>2041415.12</v>
      </c>
      <c r="JV4" s="109">
        <f t="shared" si="26"/>
        <v>2041415.12</v>
      </c>
      <c r="JW4" s="109">
        <f t="shared" si="26"/>
        <v>2041415.12</v>
      </c>
      <c r="JX4" s="109">
        <f t="shared" si="26"/>
        <v>2041415.12</v>
      </c>
      <c r="JY4" s="109">
        <f t="shared" si="26"/>
        <v>2041415.12</v>
      </c>
      <c r="JZ4" s="109">
        <f t="shared" si="26"/>
        <v>2041415.12</v>
      </c>
      <c r="KA4" s="109">
        <f t="shared" si="26"/>
        <v>2041415.12</v>
      </c>
      <c r="KB4" s="109">
        <f t="shared" si="26"/>
        <v>2041415.12</v>
      </c>
      <c r="KC4" s="109">
        <f t="shared" si="26"/>
        <v>2041415.12</v>
      </c>
      <c r="KD4" s="109">
        <f t="shared" si="26"/>
        <v>2041415.12</v>
      </c>
      <c r="KE4" s="109">
        <f t="shared" si="26"/>
        <v>2041415.12</v>
      </c>
      <c r="KF4" s="109">
        <f t="shared" si="26"/>
        <v>2041415.12</v>
      </c>
      <c r="KG4" s="109">
        <f t="shared" si="26"/>
        <v>2041415.12</v>
      </c>
      <c r="KH4" s="109">
        <f t="shared" si="26"/>
        <v>2041415.12</v>
      </c>
      <c r="KI4" s="109">
        <f t="shared" si="26"/>
        <v>2041415.12</v>
      </c>
      <c r="KJ4" s="109">
        <f t="shared" si="26"/>
        <v>2041415.12</v>
      </c>
      <c r="KK4" s="109">
        <f t="shared" si="26"/>
        <v>2041415.12</v>
      </c>
      <c r="KL4" s="109">
        <f t="shared" si="26"/>
        <v>2041415.12</v>
      </c>
      <c r="KM4" s="109">
        <f t="shared" si="26"/>
        <v>2041415.12</v>
      </c>
      <c r="KN4" s="109">
        <f t="shared" si="26"/>
        <v>2041415.12</v>
      </c>
      <c r="KO4" s="109">
        <f t="shared" si="26"/>
        <v>2041415.12</v>
      </c>
      <c r="KP4" s="109">
        <f t="shared" si="26"/>
        <v>2041415.12</v>
      </c>
      <c r="KQ4" s="109">
        <f t="shared" si="26"/>
        <v>2041415.12</v>
      </c>
      <c r="KR4" s="109">
        <f t="shared" si="26"/>
        <v>2041415.12</v>
      </c>
      <c r="KS4" s="109">
        <f t="shared" si="26"/>
        <v>2041415.12</v>
      </c>
      <c r="KT4" s="109">
        <f t="shared" si="26"/>
        <v>2041415.12</v>
      </c>
      <c r="KU4" s="109">
        <f t="shared" si="26"/>
        <v>2041415.12</v>
      </c>
      <c r="KV4" s="109">
        <f t="shared" si="26"/>
        <v>2041415.12</v>
      </c>
      <c r="KW4" s="109">
        <f t="shared" si="26"/>
        <v>2041415.12</v>
      </c>
      <c r="KX4" s="109">
        <f t="shared" si="26"/>
        <v>2041415.12</v>
      </c>
      <c r="KY4" s="109">
        <f t="shared" si="26"/>
        <v>2041415.12</v>
      </c>
      <c r="KZ4" s="109">
        <f t="shared" si="26"/>
        <v>2041415.12</v>
      </c>
      <c r="LA4" s="109">
        <f t="shared" si="26"/>
        <v>2041415.12</v>
      </c>
      <c r="LB4" s="109">
        <f t="shared" si="26"/>
        <v>2041415.12</v>
      </c>
      <c r="LC4" s="109">
        <f t="shared" si="26"/>
        <v>2041415.12</v>
      </c>
      <c r="LD4" s="109">
        <f t="shared" si="26"/>
        <v>2041415.12</v>
      </c>
      <c r="LE4" s="109">
        <f t="shared" si="26"/>
        <v>2041415.12</v>
      </c>
      <c r="LF4" s="109">
        <f t="shared" si="26"/>
        <v>2041415.12</v>
      </c>
      <c r="LG4" s="109">
        <f t="shared" si="26"/>
        <v>2041415.12</v>
      </c>
      <c r="LH4" s="109">
        <f t="shared" si="26"/>
        <v>2041415.12</v>
      </c>
      <c r="LI4" s="109">
        <f t="shared" si="26"/>
        <v>2041415.12</v>
      </c>
      <c r="LJ4" s="109">
        <f t="shared" si="26"/>
        <v>2041415.12</v>
      </c>
      <c r="LK4" s="109">
        <f t="shared" si="26"/>
        <v>2041415.12</v>
      </c>
      <c r="LL4" s="109">
        <f t="shared" si="26"/>
        <v>2041415.12</v>
      </c>
      <c r="LM4" s="109">
        <f t="shared" si="26"/>
        <v>2041415.12</v>
      </c>
      <c r="LN4" s="109">
        <f t="shared" si="26"/>
        <v>2041415.12</v>
      </c>
      <c r="LO4" s="109">
        <f t="shared" si="26"/>
        <v>2041415.12</v>
      </c>
      <c r="LP4" s="109">
        <f t="shared" si="26"/>
        <v>2041415.12</v>
      </c>
      <c r="LQ4" s="109">
        <f t="shared" ref="LQ4:OB4" si="27">LP4+LQ3</f>
        <v>2041415.12</v>
      </c>
      <c r="LR4" s="109">
        <f t="shared" si="27"/>
        <v>2041415.12</v>
      </c>
      <c r="LS4" s="109">
        <f t="shared" si="27"/>
        <v>2041415.12</v>
      </c>
      <c r="LT4" s="109">
        <f t="shared" si="27"/>
        <v>2041415.12</v>
      </c>
      <c r="LU4" s="109">
        <f t="shared" si="27"/>
        <v>2041415.12</v>
      </c>
      <c r="LV4" s="109">
        <f t="shared" si="27"/>
        <v>2041415.12</v>
      </c>
      <c r="LW4" s="109">
        <f t="shared" si="27"/>
        <v>2041415.12</v>
      </c>
      <c r="LX4" s="109">
        <f t="shared" si="27"/>
        <v>2041415.12</v>
      </c>
      <c r="LY4" s="109">
        <f t="shared" si="27"/>
        <v>2041415.12</v>
      </c>
      <c r="LZ4" s="109">
        <f t="shared" si="27"/>
        <v>2041415.12</v>
      </c>
      <c r="MA4" s="109">
        <f t="shared" si="27"/>
        <v>2041415.12</v>
      </c>
      <c r="MB4" s="109">
        <f t="shared" si="27"/>
        <v>2041415.12</v>
      </c>
      <c r="MC4" s="109">
        <f t="shared" si="27"/>
        <v>2041415.12</v>
      </c>
      <c r="MD4" s="109">
        <f t="shared" si="27"/>
        <v>2041415.12</v>
      </c>
      <c r="ME4" s="109">
        <f t="shared" si="27"/>
        <v>2041415.12</v>
      </c>
      <c r="MF4" s="109">
        <f t="shared" si="27"/>
        <v>2041415.12</v>
      </c>
      <c r="MG4" s="109">
        <f t="shared" si="27"/>
        <v>2041415.12</v>
      </c>
      <c r="MH4" s="109">
        <f t="shared" si="27"/>
        <v>2041415.12</v>
      </c>
      <c r="MI4" s="109">
        <f t="shared" si="27"/>
        <v>2041415.12</v>
      </c>
      <c r="MJ4" s="109">
        <f t="shared" si="27"/>
        <v>2041415.12</v>
      </c>
      <c r="MK4" s="109">
        <f t="shared" si="27"/>
        <v>2041415.12</v>
      </c>
      <c r="ML4" s="109">
        <f t="shared" si="27"/>
        <v>2041415.12</v>
      </c>
      <c r="MM4" s="109">
        <f t="shared" si="27"/>
        <v>2041415.12</v>
      </c>
      <c r="MN4" s="109">
        <f t="shared" si="27"/>
        <v>2041415.12</v>
      </c>
      <c r="MO4" s="109">
        <f t="shared" si="27"/>
        <v>2041415.12</v>
      </c>
      <c r="MP4" s="109">
        <f t="shared" si="27"/>
        <v>2041415.12</v>
      </c>
      <c r="MQ4" s="109">
        <f t="shared" si="27"/>
        <v>2041415.12</v>
      </c>
      <c r="MR4" s="109">
        <f t="shared" si="27"/>
        <v>2041415.12</v>
      </c>
      <c r="MS4" s="109">
        <f t="shared" si="27"/>
        <v>2041415.12</v>
      </c>
      <c r="MT4" s="109">
        <f t="shared" si="27"/>
        <v>2041415.12</v>
      </c>
      <c r="MU4" s="109">
        <f t="shared" si="27"/>
        <v>2041415.12</v>
      </c>
      <c r="MV4" s="109">
        <f t="shared" si="27"/>
        <v>2041415.12</v>
      </c>
      <c r="MW4" s="109">
        <f t="shared" si="27"/>
        <v>2041415.12</v>
      </c>
      <c r="MX4" s="109">
        <f t="shared" si="27"/>
        <v>2041415.12</v>
      </c>
      <c r="MY4" s="109">
        <f t="shared" si="27"/>
        <v>2041415.12</v>
      </c>
      <c r="MZ4" s="109">
        <f t="shared" si="27"/>
        <v>2041415.12</v>
      </c>
      <c r="NA4" s="109">
        <f t="shared" si="27"/>
        <v>2041415.12</v>
      </c>
      <c r="NB4" s="109">
        <f t="shared" si="27"/>
        <v>2041415.12</v>
      </c>
      <c r="NC4" s="109">
        <f t="shared" si="27"/>
        <v>2041415.12</v>
      </c>
      <c r="ND4" s="109">
        <f t="shared" si="27"/>
        <v>2041415.12</v>
      </c>
      <c r="NE4" s="109">
        <f t="shared" si="27"/>
        <v>2041415.12</v>
      </c>
      <c r="NF4" s="109">
        <f t="shared" si="27"/>
        <v>2041415.12</v>
      </c>
      <c r="NG4" s="109">
        <f t="shared" si="27"/>
        <v>2041415.12</v>
      </c>
      <c r="NH4" s="109">
        <f t="shared" si="27"/>
        <v>2041415.12</v>
      </c>
      <c r="NI4" s="109">
        <f t="shared" si="27"/>
        <v>2041415.12</v>
      </c>
      <c r="NJ4" s="109">
        <f t="shared" si="27"/>
        <v>2041415.12</v>
      </c>
      <c r="NK4" s="109">
        <f t="shared" si="27"/>
        <v>2041415.12</v>
      </c>
      <c r="NL4" s="109">
        <f t="shared" si="27"/>
        <v>2041415.12</v>
      </c>
      <c r="NM4" s="109">
        <f t="shared" si="27"/>
        <v>2041415.12</v>
      </c>
      <c r="NN4" s="109">
        <f t="shared" si="27"/>
        <v>2041415.12</v>
      </c>
      <c r="NO4" s="109">
        <f t="shared" si="27"/>
        <v>2041415.12</v>
      </c>
      <c r="NP4" s="109">
        <f t="shared" si="27"/>
        <v>2041415.12</v>
      </c>
      <c r="NQ4" s="109">
        <f t="shared" si="27"/>
        <v>2041415.12</v>
      </c>
      <c r="NR4" s="109">
        <f t="shared" si="27"/>
        <v>2041415.12</v>
      </c>
      <c r="NS4" s="109">
        <f t="shared" si="27"/>
        <v>2041415.12</v>
      </c>
      <c r="NT4" s="109">
        <f t="shared" si="27"/>
        <v>2041415.12</v>
      </c>
      <c r="NU4" s="109">
        <f t="shared" si="27"/>
        <v>2041415.12</v>
      </c>
      <c r="NV4" s="109">
        <f t="shared" si="27"/>
        <v>2041415.12</v>
      </c>
      <c r="NW4" s="109">
        <f t="shared" si="27"/>
        <v>2041415.12</v>
      </c>
      <c r="NX4" s="109">
        <f t="shared" si="27"/>
        <v>2041415.12</v>
      </c>
      <c r="NY4" s="109">
        <f t="shared" si="27"/>
        <v>2041415.12</v>
      </c>
      <c r="NZ4" s="109">
        <f t="shared" si="27"/>
        <v>2041415.12</v>
      </c>
      <c r="OA4" s="109">
        <f t="shared" si="27"/>
        <v>2041415.12</v>
      </c>
      <c r="OB4" s="109">
        <f t="shared" si="27"/>
        <v>2041415.12</v>
      </c>
      <c r="OC4" s="109">
        <f t="shared" ref="OC4:QN4" si="28">OB4+OC3</f>
        <v>2041415.12</v>
      </c>
      <c r="OD4" s="109">
        <f t="shared" si="28"/>
        <v>2041415.12</v>
      </c>
      <c r="OE4" s="109">
        <f t="shared" si="28"/>
        <v>2041415.12</v>
      </c>
      <c r="OF4" s="109">
        <f t="shared" si="28"/>
        <v>2041415.12</v>
      </c>
      <c r="OG4" s="109">
        <f t="shared" si="28"/>
        <v>2041415.12</v>
      </c>
      <c r="OH4" s="109">
        <f t="shared" si="28"/>
        <v>2041415.12</v>
      </c>
      <c r="OI4" s="109">
        <f t="shared" si="28"/>
        <v>2041415.12</v>
      </c>
      <c r="OJ4" s="109">
        <f t="shared" si="28"/>
        <v>2041415.12</v>
      </c>
      <c r="OK4" s="109">
        <f t="shared" si="28"/>
        <v>2041415.12</v>
      </c>
      <c r="OL4" s="109">
        <f t="shared" si="28"/>
        <v>2041415.12</v>
      </c>
      <c r="OM4" s="109">
        <f t="shared" si="28"/>
        <v>2041415.12</v>
      </c>
      <c r="ON4" s="109">
        <f t="shared" si="28"/>
        <v>2041415.12</v>
      </c>
      <c r="OO4" s="109">
        <f t="shared" si="28"/>
        <v>2041415.12</v>
      </c>
      <c r="OP4" s="109">
        <f t="shared" si="28"/>
        <v>2041415.12</v>
      </c>
      <c r="OQ4" s="109">
        <f t="shared" si="28"/>
        <v>2041415.12</v>
      </c>
      <c r="OR4" s="109">
        <f t="shared" si="28"/>
        <v>2041415.12</v>
      </c>
      <c r="OS4" s="109">
        <f t="shared" si="28"/>
        <v>2041415.12</v>
      </c>
      <c r="OT4" s="109">
        <f t="shared" si="28"/>
        <v>2041415.12</v>
      </c>
      <c r="OU4" s="109">
        <f t="shared" si="28"/>
        <v>2041415.12</v>
      </c>
      <c r="OV4" s="109">
        <f t="shared" si="28"/>
        <v>2041415.12</v>
      </c>
      <c r="OW4" s="109">
        <f t="shared" si="28"/>
        <v>2041415.12</v>
      </c>
      <c r="OX4" s="109">
        <f t="shared" si="28"/>
        <v>2041415.12</v>
      </c>
      <c r="OY4" s="109">
        <f t="shared" si="28"/>
        <v>2041415.12</v>
      </c>
      <c r="OZ4" s="109">
        <f t="shared" si="28"/>
        <v>2041415.12</v>
      </c>
      <c r="PA4" s="109">
        <f t="shared" si="28"/>
        <v>2041415.12</v>
      </c>
      <c r="PB4" s="109">
        <f t="shared" si="28"/>
        <v>2041415.12</v>
      </c>
      <c r="PC4" s="109">
        <f t="shared" si="28"/>
        <v>2041415.12</v>
      </c>
      <c r="PD4" s="109">
        <f t="shared" si="28"/>
        <v>2041415.12</v>
      </c>
      <c r="PE4" s="109">
        <f t="shared" si="28"/>
        <v>2041415.12</v>
      </c>
      <c r="PF4" s="109">
        <f t="shared" si="28"/>
        <v>2041415.12</v>
      </c>
      <c r="PG4" s="109">
        <f t="shared" si="28"/>
        <v>2041415.12</v>
      </c>
      <c r="PH4" s="109">
        <f t="shared" si="28"/>
        <v>2041415.12</v>
      </c>
      <c r="PI4" s="109">
        <f t="shared" si="28"/>
        <v>2041415.12</v>
      </c>
      <c r="PJ4" s="109">
        <f t="shared" si="28"/>
        <v>2041415.12</v>
      </c>
      <c r="PK4" s="109">
        <f t="shared" si="28"/>
        <v>2041415.12</v>
      </c>
      <c r="PL4" s="109">
        <f t="shared" si="28"/>
        <v>2041415.12</v>
      </c>
      <c r="PM4" s="109">
        <f t="shared" si="28"/>
        <v>2041415.12</v>
      </c>
      <c r="PN4" s="109">
        <f t="shared" si="28"/>
        <v>2041415.12</v>
      </c>
      <c r="PO4" s="109">
        <f t="shared" si="28"/>
        <v>2041415.12</v>
      </c>
      <c r="PP4" s="109">
        <f t="shared" si="28"/>
        <v>2041415.12</v>
      </c>
      <c r="PQ4" s="109">
        <f t="shared" si="28"/>
        <v>2041415.12</v>
      </c>
      <c r="PR4" s="109">
        <f t="shared" si="28"/>
        <v>2041415.12</v>
      </c>
      <c r="PS4" s="109">
        <f t="shared" si="28"/>
        <v>2041415.12</v>
      </c>
      <c r="PT4" s="109">
        <f t="shared" si="28"/>
        <v>2041415.12</v>
      </c>
      <c r="PU4" s="109">
        <f t="shared" si="28"/>
        <v>2041415.12</v>
      </c>
      <c r="PV4" s="109">
        <f t="shared" si="28"/>
        <v>2041415.12</v>
      </c>
      <c r="PW4" s="109">
        <f t="shared" si="28"/>
        <v>2041415.12</v>
      </c>
      <c r="PX4" s="109">
        <f t="shared" si="28"/>
        <v>2041415.12</v>
      </c>
      <c r="PY4" s="109">
        <f t="shared" si="28"/>
        <v>2041415.12</v>
      </c>
      <c r="PZ4" s="109">
        <f t="shared" si="28"/>
        <v>2041415.12</v>
      </c>
      <c r="QA4" s="109">
        <f t="shared" si="28"/>
        <v>2041415.12</v>
      </c>
      <c r="QB4" s="109">
        <f t="shared" si="28"/>
        <v>2041415.12</v>
      </c>
      <c r="QC4" s="109">
        <f t="shared" si="28"/>
        <v>2041415.12</v>
      </c>
      <c r="QD4" s="109">
        <f t="shared" si="28"/>
        <v>2041415.12</v>
      </c>
      <c r="QE4" s="109">
        <f t="shared" si="28"/>
        <v>2041415.12</v>
      </c>
      <c r="QF4" s="109">
        <f t="shared" si="28"/>
        <v>2041415.12</v>
      </c>
      <c r="QG4" s="109">
        <f t="shared" si="28"/>
        <v>2041415.12</v>
      </c>
      <c r="QH4" s="109">
        <f t="shared" si="28"/>
        <v>2041415.12</v>
      </c>
      <c r="QI4" s="109">
        <f t="shared" si="28"/>
        <v>2041415.12</v>
      </c>
      <c r="QJ4" s="109">
        <f t="shared" si="28"/>
        <v>2041415.12</v>
      </c>
      <c r="QK4" s="109">
        <f t="shared" si="28"/>
        <v>2041415.12</v>
      </c>
      <c r="QL4" s="109">
        <f t="shared" si="28"/>
        <v>2041415.12</v>
      </c>
      <c r="QM4" s="109">
        <f t="shared" si="28"/>
        <v>2041415.12</v>
      </c>
      <c r="QN4" s="109">
        <f t="shared" si="28"/>
        <v>2041415.12</v>
      </c>
      <c r="QO4" s="109">
        <f t="shared" ref="QO4:SZ4" si="29">QN4+QO3</f>
        <v>2041415.12</v>
      </c>
      <c r="QP4" s="109">
        <f t="shared" si="29"/>
        <v>2041415.12</v>
      </c>
      <c r="QQ4" s="109">
        <f t="shared" si="29"/>
        <v>2041415.12</v>
      </c>
      <c r="QR4" s="109">
        <f t="shared" si="29"/>
        <v>2041415.12</v>
      </c>
      <c r="QS4" s="109">
        <f t="shared" si="29"/>
        <v>2041415.12</v>
      </c>
      <c r="QT4" s="109">
        <f t="shared" si="29"/>
        <v>2041415.12</v>
      </c>
      <c r="QU4" s="109">
        <f t="shared" si="29"/>
        <v>2041415.12</v>
      </c>
      <c r="QV4" s="109">
        <f t="shared" si="29"/>
        <v>2041415.12</v>
      </c>
      <c r="QW4" s="109">
        <f t="shared" si="29"/>
        <v>2041415.12</v>
      </c>
      <c r="QX4" s="109">
        <f t="shared" si="29"/>
        <v>2041415.12</v>
      </c>
      <c r="QY4" s="109">
        <f t="shared" si="29"/>
        <v>2041415.12</v>
      </c>
      <c r="QZ4" s="109">
        <f t="shared" si="29"/>
        <v>2041415.12</v>
      </c>
      <c r="RA4" s="109">
        <f t="shared" si="29"/>
        <v>2041415.12</v>
      </c>
      <c r="RB4" s="109">
        <f t="shared" si="29"/>
        <v>2041415.12</v>
      </c>
      <c r="RC4" s="109">
        <f t="shared" si="29"/>
        <v>2041415.12</v>
      </c>
      <c r="RD4" s="109">
        <f t="shared" si="29"/>
        <v>2041415.12</v>
      </c>
      <c r="RE4" s="109">
        <f t="shared" si="29"/>
        <v>2041415.12</v>
      </c>
      <c r="RF4" s="109">
        <f t="shared" si="29"/>
        <v>2041415.12</v>
      </c>
      <c r="RG4" s="109">
        <f t="shared" si="29"/>
        <v>2041415.12</v>
      </c>
      <c r="RH4" s="109">
        <f t="shared" si="29"/>
        <v>2041415.12</v>
      </c>
      <c r="RI4" s="109">
        <f t="shared" si="29"/>
        <v>2041415.12</v>
      </c>
      <c r="RJ4" s="109">
        <f t="shared" si="29"/>
        <v>2041415.12</v>
      </c>
      <c r="RK4" s="109">
        <f t="shared" si="29"/>
        <v>2041415.12</v>
      </c>
      <c r="RL4" s="109">
        <f t="shared" si="29"/>
        <v>2041415.12</v>
      </c>
      <c r="RM4" s="109">
        <f t="shared" si="29"/>
        <v>2041415.12</v>
      </c>
      <c r="RN4" s="109">
        <f t="shared" si="29"/>
        <v>2041415.12</v>
      </c>
      <c r="RO4" s="109">
        <f t="shared" si="29"/>
        <v>2041415.12</v>
      </c>
      <c r="RP4" s="109">
        <f t="shared" si="29"/>
        <v>2041415.12</v>
      </c>
      <c r="RQ4" s="109">
        <f t="shared" si="29"/>
        <v>2041415.12</v>
      </c>
      <c r="RR4" s="109">
        <f t="shared" si="29"/>
        <v>2041415.12</v>
      </c>
      <c r="RS4" s="109">
        <f t="shared" si="29"/>
        <v>2041415.12</v>
      </c>
      <c r="RT4" s="109">
        <f t="shared" si="29"/>
        <v>2041415.12</v>
      </c>
      <c r="RU4" s="109">
        <f t="shared" si="29"/>
        <v>2041415.12</v>
      </c>
      <c r="RV4" s="109">
        <f t="shared" si="29"/>
        <v>2041415.12</v>
      </c>
      <c r="RW4" s="109">
        <f t="shared" si="29"/>
        <v>2041415.12</v>
      </c>
      <c r="RX4" s="109">
        <f t="shared" si="29"/>
        <v>2041415.12</v>
      </c>
      <c r="RY4" s="109">
        <f t="shared" si="29"/>
        <v>2041415.12</v>
      </c>
      <c r="RZ4" s="109">
        <f t="shared" si="29"/>
        <v>2041415.12</v>
      </c>
      <c r="SA4" s="109">
        <f t="shared" si="29"/>
        <v>2041415.12</v>
      </c>
      <c r="SB4" s="109">
        <f t="shared" si="29"/>
        <v>2041415.12</v>
      </c>
      <c r="SC4" s="109">
        <f t="shared" si="29"/>
        <v>2041415.12</v>
      </c>
      <c r="SD4" s="109">
        <f t="shared" si="29"/>
        <v>2041415.12</v>
      </c>
      <c r="SE4" s="109">
        <f t="shared" si="29"/>
        <v>2041415.12</v>
      </c>
      <c r="SF4" s="109">
        <f t="shared" si="29"/>
        <v>2041415.12</v>
      </c>
      <c r="SG4" s="109">
        <f t="shared" si="29"/>
        <v>2041415.12</v>
      </c>
      <c r="SH4" s="109">
        <f t="shared" si="29"/>
        <v>2041415.12</v>
      </c>
      <c r="SI4" s="109">
        <f t="shared" si="29"/>
        <v>2041415.12</v>
      </c>
      <c r="SJ4" s="109">
        <f t="shared" si="29"/>
        <v>2041415.12</v>
      </c>
      <c r="SK4" s="109">
        <f t="shared" si="29"/>
        <v>2041415.12</v>
      </c>
      <c r="SL4" s="109">
        <f t="shared" si="29"/>
        <v>2041415.12</v>
      </c>
      <c r="SM4" s="109">
        <f t="shared" si="29"/>
        <v>2041415.12</v>
      </c>
      <c r="SN4" s="109">
        <f t="shared" si="29"/>
        <v>2041415.12</v>
      </c>
      <c r="SO4" s="109">
        <f t="shared" si="29"/>
        <v>2041415.12</v>
      </c>
      <c r="SP4" s="109">
        <f t="shared" si="29"/>
        <v>2041415.12</v>
      </c>
      <c r="SQ4" s="109">
        <f t="shared" si="29"/>
        <v>2041415.12</v>
      </c>
      <c r="SR4" s="109">
        <f t="shared" si="29"/>
        <v>2041415.12</v>
      </c>
      <c r="SS4" s="109">
        <f t="shared" si="29"/>
        <v>2041415.12</v>
      </c>
      <c r="ST4" s="109">
        <f t="shared" si="29"/>
        <v>2041415.12</v>
      </c>
      <c r="SU4" s="109">
        <f t="shared" si="29"/>
        <v>2041415.12</v>
      </c>
      <c r="SV4" s="109">
        <f t="shared" si="29"/>
        <v>2041415.12</v>
      </c>
      <c r="SW4" s="109">
        <f t="shared" si="29"/>
        <v>2041415.12</v>
      </c>
      <c r="SX4" s="109">
        <f t="shared" si="29"/>
        <v>2041415.12</v>
      </c>
      <c r="SY4" s="109">
        <f t="shared" si="29"/>
        <v>2041415.12</v>
      </c>
      <c r="SZ4" s="109">
        <f t="shared" si="29"/>
        <v>2041415.12</v>
      </c>
      <c r="TA4" s="109">
        <f t="shared" ref="TA4:VL4" si="30">SZ4+TA3</f>
        <v>2041415.12</v>
      </c>
      <c r="TB4" s="109">
        <f t="shared" si="30"/>
        <v>2041415.12</v>
      </c>
      <c r="TC4" s="109">
        <f t="shared" si="30"/>
        <v>2041415.12</v>
      </c>
      <c r="TD4" s="109">
        <f t="shared" si="30"/>
        <v>2041415.12</v>
      </c>
      <c r="TE4" s="109">
        <f t="shared" si="30"/>
        <v>2041415.12</v>
      </c>
      <c r="TF4" s="109">
        <f t="shared" si="30"/>
        <v>2041415.12</v>
      </c>
      <c r="TG4" s="109">
        <f t="shared" si="30"/>
        <v>2041415.12</v>
      </c>
      <c r="TH4" s="109">
        <f t="shared" si="30"/>
        <v>2041415.12</v>
      </c>
      <c r="TI4" s="109">
        <f t="shared" si="30"/>
        <v>2041415.12</v>
      </c>
      <c r="TJ4" s="109">
        <f t="shared" si="30"/>
        <v>2041415.12</v>
      </c>
      <c r="TK4" s="109">
        <f t="shared" si="30"/>
        <v>2041415.12</v>
      </c>
      <c r="TL4" s="109">
        <f t="shared" si="30"/>
        <v>2041415.12</v>
      </c>
      <c r="TM4" s="109">
        <f t="shared" si="30"/>
        <v>2041415.12</v>
      </c>
      <c r="TN4" s="109">
        <f t="shared" si="30"/>
        <v>2041415.12</v>
      </c>
      <c r="TO4" s="109">
        <f t="shared" si="30"/>
        <v>2041415.12</v>
      </c>
      <c r="TP4" s="109">
        <f t="shared" si="30"/>
        <v>2041415.12</v>
      </c>
      <c r="TQ4" s="109">
        <f t="shared" si="30"/>
        <v>2041415.12</v>
      </c>
      <c r="TR4" s="109">
        <f t="shared" si="30"/>
        <v>2041415.12</v>
      </c>
      <c r="TS4" s="109">
        <f t="shared" si="30"/>
        <v>2041415.12</v>
      </c>
      <c r="TT4" s="109">
        <f t="shared" si="30"/>
        <v>2041415.12</v>
      </c>
      <c r="TU4" s="109">
        <f t="shared" si="30"/>
        <v>2041415.12</v>
      </c>
      <c r="TV4" s="109">
        <f t="shared" si="30"/>
        <v>2041415.12</v>
      </c>
      <c r="TW4" s="109">
        <f t="shared" si="30"/>
        <v>2041415.12</v>
      </c>
      <c r="TX4" s="109">
        <f t="shared" si="30"/>
        <v>2041415.12</v>
      </c>
      <c r="TY4" s="109">
        <f t="shared" si="30"/>
        <v>2041415.12</v>
      </c>
      <c r="TZ4" s="109">
        <f t="shared" si="30"/>
        <v>2041415.12</v>
      </c>
      <c r="UA4" s="109">
        <f t="shared" si="30"/>
        <v>2041415.12</v>
      </c>
      <c r="UB4" s="109">
        <f t="shared" si="30"/>
        <v>2041415.12</v>
      </c>
      <c r="UC4" s="109">
        <f t="shared" si="30"/>
        <v>2041415.12</v>
      </c>
      <c r="UD4" s="109">
        <f t="shared" si="30"/>
        <v>2041415.12</v>
      </c>
      <c r="UE4" s="109">
        <f t="shared" si="30"/>
        <v>2041415.12</v>
      </c>
      <c r="UF4" s="109">
        <f t="shared" si="30"/>
        <v>2041415.12</v>
      </c>
      <c r="UG4" s="109">
        <f t="shared" si="30"/>
        <v>2041415.12</v>
      </c>
      <c r="UH4" s="109">
        <f t="shared" si="30"/>
        <v>2041415.12</v>
      </c>
      <c r="UI4" s="109">
        <f t="shared" si="30"/>
        <v>2041415.12</v>
      </c>
      <c r="UJ4" s="109">
        <f t="shared" si="30"/>
        <v>2041415.12</v>
      </c>
      <c r="UK4" s="109">
        <f t="shared" si="30"/>
        <v>2041415.12</v>
      </c>
      <c r="UL4" s="109">
        <f t="shared" si="30"/>
        <v>2041415.12</v>
      </c>
      <c r="UM4" s="109">
        <f t="shared" si="30"/>
        <v>2041415.12</v>
      </c>
      <c r="UN4" s="109">
        <f t="shared" si="30"/>
        <v>2041415.12</v>
      </c>
      <c r="UO4" s="109">
        <f t="shared" si="30"/>
        <v>2041415.12</v>
      </c>
      <c r="UP4" s="109">
        <f t="shared" si="30"/>
        <v>2041415.12</v>
      </c>
      <c r="UQ4" s="109">
        <f t="shared" si="30"/>
        <v>2041415.12</v>
      </c>
      <c r="UR4" s="109">
        <f t="shared" si="30"/>
        <v>2041415.12</v>
      </c>
      <c r="US4" s="109">
        <f t="shared" si="30"/>
        <v>2041415.12</v>
      </c>
      <c r="UT4" s="109">
        <f t="shared" si="30"/>
        <v>2041415.12</v>
      </c>
      <c r="UU4" s="109">
        <f t="shared" si="30"/>
        <v>2041415.12</v>
      </c>
      <c r="UV4" s="109">
        <f t="shared" si="30"/>
        <v>2041415.12</v>
      </c>
      <c r="UW4" s="109">
        <f t="shared" si="30"/>
        <v>2041415.12</v>
      </c>
      <c r="UX4" s="109">
        <f t="shared" si="30"/>
        <v>2041415.12</v>
      </c>
      <c r="UY4" s="109">
        <f t="shared" si="30"/>
        <v>2041415.12</v>
      </c>
      <c r="UZ4" s="109">
        <f t="shared" si="30"/>
        <v>2041415.12</v>
      </c>
      <c r="VA4" s="109">
        <f t="shared" si="30"/>
        <v>2041415.12</v>
      </c>
      <c r="VB4" s="109">
        <f t="shared" si="30"/>
        <v>2041415.12</v>
      </c>
      <c r="VC4" s="109">
        <f t="shared" si="30"/>
        <v>2041415.12</v>
      </c>
      <c r="VD4" s="109">
        <f t="shared" si="30"/>
        <v>2041415.12</v>
      </c>
      <c r="VE4" s="109">
        <f t="shared" si="30"/>
        <v>2041415.12</v>
      </c>
      <c r="VF4" s="109">
        <f t="shared" si="30"/>
        <v>2041415.12</v>
      </c>
      <c r="VG4" s="109">
        <f t="shared" si="30"/>
        <v>2041415.12</v>
      </c>
      <c r="VH4" s="109">
        <f t="shared" si="30"/>
        <v>2041415.12</v>
      </c>
      <c r="VI4" s="109">
        <f t="shared" si="30"/>
        <v>2041415.12</v>
      </c>
      <c r="VJ4" s="109">
        <f t="shared" si="30"/>
        <v>2041415.12</v>
      </c>
      <c r="VK4" s="109">
        <f t="shared" si="30"/>
        <v>2041415.12</v>
      </c>
      <c r="VL4" s="109">
        <f t="shared" si="30"/>
        <v>2041415.12</v>
      </c>
      <c r="VM4" s="109">
        <f t="shared" ref="VM4:XX4" si="31">VL4+VM3</f>
        <v>2041415.12</v>
      </c>
      <c r="VN4" s="109">
        <f t="shared" si="31"/>
        <v>2041415.12</v>
      </c>
      <c r="VO4" s="109">
        <f t="shared" si="31"/>
        <v>2041415.12</v>
      </c>
      <c r="VP4" s="109">
        <f t="shared" si="31"/>
        <v>2041415.12</v>
      </c>
      <c r="VQ4" s="109">
        <f t="shared" si="31"/>
        <v>2041415.12</v>
      </c>
      <c r="VR4" s="109">
        <f t="shared" si="31"/>
        <v>2041415.12</v>
      </c>
      <c r="VS4" s="109">
        <f t="shared" si="31"/>
        <v>2041415.12</v>
      </c>
      <c r="VT4" s="109">
        <f t="shared" si="31"/>
        <v>2041415.12</v>
      </c>
      <c r="VU4" s="109">
        <f t="shared" si="31"/>
        <v>2041415.12</v>
      </c>
      <c r="VV4" s="109">
        <f t="shared" si="31"/>
        <v>2041415.12</v>
      </c>
      <c r="VW4" s="109">
        <f t="shared" si="31"/>
        <v>2041415.12</v>
      </c>
      <c r="VX4" s="109">
        <f t="shared" si="31"/>
        <v>2041415.12</v>
      </c>
      <c r="VY4" s="109">
        <f t="shared" si="31"/>
        <v>2041415.12</v>
      </c>
      <c r="VZ4" s="109">
        <f t="shared" si="31"/>
        <v>2041415.12</v>
      </c>
      <c r="WA4" s="109">
        <f t="shared" si="31"/>
        <v>2041415.12</v>
      </c>
      <c r="WB4" s="109">
        <f t="shared" si="31"/>
        <v>2041415.12</v>
      </c>
      <c r="WC4" s="109">
        <f t="shared" si="31"/>
        <v>2041415.12</v>
      </c>
      <c r="WD4" s="109">
        <f t="shared" si="31"/>
        <v>2041415.12</v>
      </c>
      <c r="WE4" s="109">
        <f t="shared" si="31"/>
        <v>2041415.12</v>
      </c>
      <c r="WF4" s="109">
        <f t="shared" si="31"/>
        <v>2041415.12</v>
      </c>
      <c r="WG4" s="109">
        <f t="shared" si="31"/>
        <v>2041415.12</v>
      </c>
      <c r="WH4" s="109">
        <f t="shared" si="31"/>
        <v>2041415.12</v>
      </c>
      <c r="WI4" s="109">
        <f t="shared" si="31"/>
        <v>2041415.12</v>
      </c>
      <c r="WJ4" s="109">
        <f t="shared" si="31"/>
        <v>2041415.12</v>
      </c>
      <c r="WK4" s="109">
        <f t="shared" si="31"/>
        <v>2041415.12</v>
      </c>
      <c r="WL4" s="109">
        <f t="shared" si="31"/>
        <v>2041415.12</v>
      </c>
      <c r="WM4" s="109">
        <f t="shared" si="31"/>
        <v>2041415.12</v>
      </c>
      <c r="WN4" s="109">
        <f t="shared" si="31"/>
        <v>2041415.12</v>
      </c>
      <c r="WO4" s="109">
        <f t="shared" si="31"/>
        <v>2041415.12</v>
      </c>
      <c r="WP4" s="109">
        <f t="shared" si="31"/>
        <v>2041415.12</v>
      </c>
      <c r="WQ4" s="109">
        <f t="shared" si="31"/>
        <v>2041415.12</v>
      </c>
      <c r="WR4" s="109">
        <f t="shared" si="31"/>
        <v>2041415.12</v>
      </c>
      <c r="WS4" s="109">
        <f t="shared" si="31"/>
        <v>2041415.12</v>
      </c>
      <c r="WT4" s="109">
        <f t="shared" si="31"/>
        <v>2041415.12</v>
      </c>
      <c r="WU4" s="109">
        <f t="shared" si="31"/>
        <v>2041415.12</v>
      </c>
      <c r="WV4" s="109">
        <f t="shared" si="31"/>
        <v>2041415.12</v>
      </c>
      <c r="WW4" s="109">
        <f t="shared" si="31"/>
        <v>2041415.12</v>
      </c>
      <c r="WX4" s="109">
        <f t="shared" si="31"/>
        <v>2041415.12</v>
      </c>
      <c r="WY4" s="109">
        <f t="shared" si="31"/>
        <v>2041415.12</v>
      </c>
      <c r="WZ4" s="109">
        <f t="shared" si="31"/>
        <v>2041415.12</v>
      </c>
      <c r="XA4" s="109">
        <f t="shared" si="31"/>
        <v>2041415.12</v>
      </c>
      <c r="XB4" s="109">
        <f t="shared" si="31"/>
        <v>2041415.12</v>
      </c>
      <c r="XC4" s="109">
        <f t="shared" si="31"/>
        <v>2041415.12</v>
      </c>
      <c r="XD4" s="109">
        <f t="shared" si="31"/>
        <v>2041415.12</v>
      </c>
      <c r="XE4" s="109">
        <f t="shared" si="31"/>
        <v>2041415.12</v>
      </c>
      <c r="XF4" s="109">
        <f t="shared" si="31"/>
        <v>2041415.12</v>
      </c>
      <c r="XG4" s="109">
        <f t="shared" si="31"/>
        <v>2041415.12</v>
      </c>
      <c r="XH4" s="109">
        <f t="shared" si="31"/>
        <v>2041415.12</v>
      </c>
      <c r="XI4" s="109">
        <f t="shared" si="31"/>
        <v>2041415.12</v>
      </c>
      <c r="XJ4" s="109">
        <f t="shared" si="31"/>
        <v>2041415.12</v>
      </c>
      <c r="XK4" s="109">
        <f t="shared" si="31"/>
        <v>2041415.12</v>
      </c>
      <c r="XL4" s="109">
        <f t="shared" si="31"/>
        <v>2041415.12</v>
      </c>
      <c r="XM4" s="109">
        <f t="shared" si="31"/>
        <v>2041415.12</v>
      </c>
      <c r="XN4" s="109">
        <f t="shared" si="31"/>
        <v>2041415.12</v>
      </c>
      <c r="XO4" s="109">
        <f t="shared" si="31"/>
        <v>2041415.12</v>
      </c>
      <c r="XP4" s="109">
        <f t="shared" si="31"/>
        <v>2041415.12</v>
      </c>
      <c r="XQ4" s="109">
        <f t="shared" si="31"/>
        <v>2041415.12</v>
      </c>
      <c r="XR4" s="109">
        <f t="shared" si="31"/>
        <v>2041415.12</v>
      </c>
      <c r="XS4" s="109">
        <f t="shared" si="31"/>
        <v>2041415.12</v>
      </c>
      <c r="XT4" s="109">
        <f t="shared" si="31"/>
        <v>2041415.12</v>
      </c>
      <c r="XU4" s="109">
        <f t="shared" si="31"/>
        <v>2041415.12</v>
      </c>
      <c r="XV4" s="109">
        <f t="shared" si="31"/>
        <v>2041415.12</v>
      </c>
      <c r="XW4" s="109">
        <f t="shared" si="31"/>
        <v>2041415.12</v>
      </c>
      <c r="XX4" s="109">
        <f t="shared" si="31"/>
        <v>2041415.12</v>
      </c>
      <c r="XY4" s="109">
        <f t="shared" ref="XY4:AAJ4" si="32">XX4+XY3</f>
        <v>2041415.12</v>
      </c>
      <c r="XZ4" s="109">
        <f t="shared" si="32"/>
        <v>2041415.12</v>
      </c>
      <c r="YA4" s="109">
        <f t="shared" si="32"/>
        <v>2041415.12</v>
      </c>
      <c r="YB4" s="109">
        <f t="shared" si="32"/>
        <v>2041415.12</v>
      </c>
      <c r="YC4" s="109">
        <f t="shared" si="32"/>
        <v>2041415.12</v>
      </c>
      <c r="YD4" s="109">
        <f t="shared" si="32"/>
        <v>2041415.12</v>
      </c>
      <c r="YE4" s="109">
        <f t="shared" si="32"/>
        <v>2041415.12</v>
      </c>
      <c r="YF4" s="109">
        <f t="shared" si="32"/>
        <v>2041415.12</v>
      </c>
      <c r="YG4" s="109">
        <f t="shared" si="32"/>
        <v>2041415.12</v>
      </c>
      <c r="YH4" s="109">
        <f t="shared" si="32"/>
        <v>2041415.12</v>
      </c>
      <c r="YI4" s="109">
        <f t="shared" si="32"/>
        <v>2041415.12</v>
      </c>
      <c r="YJ4" s="109">
        <f t="shared" si="32"/>
        <v>2041415.12</v>
      </c>
      <c r="YK4" s="109">
        <f t="shared" si="32"/>
        <v>2041415.12</v>
      </c>
      <c r="YL4" s="109">
        <f t="shared" si="32"/>
        <v>2041415.12</v>
      </c>
      <c r="YM4" s="109">
        <f t="shared" si="32"/>
        <v>2041415.12</v>
      </c>
      <c r="YN4" s="109">
        <f t="shared" si="32"/>
        <v>2041415.12</v>
      </c>
      <c r="YO4" s="109">
        <f t="shared" si="32"/>
        <v>2041415.12</v>
      </c>
      <c r="YP4" s="109">
        <f t="shared" si="32"/>
        <v>2041415.12</v>
      </c>
      <c r="YQ4" s="109">
        <f t="shared" si="32"/>
        <v>2041415.12</v>
      </c>
      <c r="YR4" s="109">
        <f t="shared" si="32"/>
        <v>2041415.12</v>
      </c>
      <c r="YS4" s="109">
        <f t="shared" si="32"/>
        <v>2041415.12</v>
      </c>
      <c r="YT4" s="109">
        <f t="shared" si="32"/>
        <v>2041415.12</v>
      </c>
      <c r="YU4" s="109">
        <f t="shared" si="32"/>
        <v>2041415.12</v>
      </c>
      <c r="YV4" s="109">
        <f t="shared" si="32"/>
        <v>2041415.12</v>
      </c>
      <c r="YW4" s="109">
        <f t="shared" si="32"/>
        <v>2041415.12</v>
      </c>
      <c r="YX4" s="109">
        <f t="shared" si="32"/>
        <v>2041415.12</v>
      </c>
      <c r="YY4" s="109">
        <f t="shared" si="32"/>
        <v>2041415.12</v>
      </c>
      <c r="YZ4" s="109">
        <f t="shared" si="32"/>
        <v>2041415.12</v>
      </c>
      <c r="ZA4" s="109">
        <f t="shared" si="32"/>
        <v>2041415.12</v>
      </c>
      <c r="ZB4" s="109">
        <f t="shared" si="32"/>
        <v>2041415.12</v>
      </c>
      <c r="ZC4" s="109">
        <f t="shared" si="32"/>
        <v>2041415.12</v>
      </c>
      <c r="ZD4" s="109">
        <f t="shared" si="32"/>
        <v>2041415.12</v>
      </c>
      <c r="ZE4" s="109">
        <f t="shared" si="32"/>
        <v>2041415.12</v>
      </c>
      <c r="ZF4" s="109">
        <f t="shared" si="32"/>
        <v>2041415.12</v>
      </c>
      <c r="ZG4" s="109">
        <f t="shared" si="32"/>
        <v>2041415.12</v>
      </c>
      <c r="ZH4" s="109">
        <f t="shared" si="32"/>
        <v>2041415.12</v>
      </c>
      <c r="ZI4" s="109">
        <f t="shared" si="32"/>
        <v>2041415.12</v>
      </c>
      <c r="ZJ4" s="109">
        <f t="shared" si="32"/>
        <v>2041415.12</v>
      </c>
      <c r="ZK4" s="109">
        <f t="shared" si="32"/>
        <v>2041415.12</v>
      </c>
      <c r="ZL4" s="109">
        <f t="shared" si="32"/>
        <v>2041415.12</v>
      </c>
      <c r="ZM4" s="109">
        <f t="shared" si="32"/>
        <v>2041415.12</v>
      </c>
      <c r="ZN4" s="109">
        <f t="shared" si="32"/>
        <v>2041415.12</v>
      </c>
      <c r="ZO4" s="109">
        <f t="shared" si="32"/>
        <v>2041415.12</v>
      </c>
      <c r="ZP4" s="109">
        <f t="shared" si="32"/>
        <v>2041415.12</v>
      </c>
      <c r="ZQ4" s="109">
        <f t="shared" si="32"/>
        <v>2041415.12</v>
      </c>
      <c r="ZR4" s="109">
        <f t="shared" si="32"/>
        <v>2041415.12</v>
      </c>
      <c r="ZS4" s="109">
        <f t="shared" si="32"/>
        <v>2041415.12</v>
      </c>
      <c r="ZT4" s="109">
        <f t="shared" si="32"/>
        <v>2041415.12</v>
      </c>
      <c r="ZU4" s="109">
        <f t="shared" si="32"/>
        <v>2041415.12</v>
      </c>
      <c r="ZV4" s="109">
        <f t="shared" si="32"/>
        <v>2041415.12</v>
      </c>
      <c r="ZW4" s="109">
        <f t="shared" si="32"/>
        <v>2041415.12</v>
      </c>
      <c r="ZX4" s="109">
        <f t="shared" si="32"/>
        <v>2041415.12</v>
      </c>
      <c r="ZY4" s="109">
        <f t="shared" si="32"/>
        <v>2041415.12</v>
      </c>
      <c r="ZZ4" s="109">
        <f t="shared" si="32"/>
        <v>2041415.12</v>
      </c>
      <c r="AAA4" s="109">
        <f t="shared" si="32"/>
        <v>2041415.12</v>
      </c>
      <c r="AAB4" s="109">
        <f t="shared" si="32"/>
        <v>2041415.12</v>
      </c>
      <c r="AAC4" s="109">
        <f t="shared" si="32"/>
        <v>2041415.12</v>
      </c>
      <c r="AAD4" s="109">
        <f t="shared" si="32"/>
        <v>2041415.12</v>
      </c>
      <c r="AAE4" s="109">
        <f t="shared" si="32"/>
        <v>2041415.12</v>
      </c>
      <c r="AAF4" s="109">
        <f t="shared" si="32"/>
        <v>2041415.12</v>
      </c>
      <c r="AAG4" s="109">
        <f t="shared" si="32"/>
        <v>2041415.12</v>
      </c>
      <c r="AAH4" s="109">
        <f t="shared" si="32"/>
        <v>2041415.12</v>
      </c>
      <c r="AAI4" s="109">
        <f t="shared" si="32"/>
        <v>2041415.12</v>
      </c>
      <c r="AAJ4" s="109">
        <f t="shared" si="32"/>
        <v>2041415.12</v>
      </c>
      <c r="AAK4" s="109">
        <f t="shared" ref="AAK4:ACV4" si="33">AAJ4+AAK3</f>
        <v>2041415.12</v>
      </c>
      <c r="AAL4" s="109">
        <f t="shared" si="33"/>
        <v>2041415.12</v>
      </c>
      <c r="AAM4" s="109">
        <f t="shared" si="33"/>
        <v>2041415.12</v>
      </c>
      <c r="AAN4" s="109">
        <f t="shared" si="33"/>
        <v>2041415.12</v>
      </c>
      <c r="AAO4" s="109">
        <f t="shared" si="33"/>
        <v>2041415.12</v>
      </c>
      <c r="AAP4" s="109">
        <f t="shared" si="33"/>
        <v>2041415.12</v>
      </c>
      <c r="AAQ4" s="109">
        <f t="shared" si="33"/>
        <v>2041415.12</v>
      </c>
      <c r="AAR4" s="109">
        <f t="shared" si="33"/>
        <v>2041415.12</v>
      </c>
      <c r="AAS4" s="109">
        <f t="shared" si="33"/>
        <v>2041415.12</v>
      </c>
      <c r="AAT4" s="109">
        <f t="shared" si="33"/>
        <v>2041415.12</v>
      </c>
      <c r="AAU4" s="109">
        <f t="shared" si="33"/>
        <v>2041415.12</v>
      </c>
      <c r="AAV4" s="109">
        <f t="shared" si="33"/>
        <v>2041415.12</v>
      </c>
      <c r="AAW4" s="109">
        <f t="shared" si="33"/>
        <v>2041415.12</v>
      </c>
      <c r="AAX4" s="109">
        <f t="shared" si="33"/>
        <v>2041415.12</v>
      </c>
      <c r="AAY4" s="109">
        <f t="shared" si="33"/>
        <v>2041415.12</v>
      </c>
      <c r="AAZ4" s="109">
        <f t="shared" si="33"/>
        <v>2041415.12</v>
      </c>
      <c r="ABA4" s="109">
        <f t="shared" si="33"/>
        <v>2041415.12</v>
      </c>
      <c r="ABB4" s="109">
        <f t="shared" si="33"/>
        <v>2041415.12</v>
      </c>
      <c r="ABC4" s="109">
        <f t="shared" si="33"/>
        <v>2041415.12</v>
      </c>
      <c r="ABD4" s="109">
        <f t="shared" si="33"/>
        <v>2041415.12</v>
      </c>
      <c r="ABE4" s="109">
        <f t="shared" si="33"/>
        <v>2041415.12</v>
      </c>
      <c r="ABF4" s="109">
        <f t="shared" si="33"/>
        <v>2041415.12</v>
      </c>
      <c r="ABG4" s="109">
        <f t="shared" si="33"/>
        <v>2041415.12</v>
      </c>
      <c r="ABH4" s="109">
        <f t="shared" si="33"/>
        <v>2041415.12</v>
      </c>
      <c r="ABI4" s="109">
        <f t="shared" si="33"/>
        <v>2041415.12</v>
      </c>
      <c r="ABJ4" s="109">
        <f t="shared" si="33"/>
        <v>2041415.12</v>
      </c>
      <c r="ABK4" s="109">
        <f t="shared" si="33"/>
        <v>2041415.12</v>
      </c>
      <c r="ABL4" s="109">
        <f t="shared" si="33"/>
        <v>2041415.12</v>
      </c>
      <c r="ABM4" s="109">
        <f t="shared" si="33"/>
        <v>2041415.12</v>
      </c>
      <c r="ABN4" s="109">
        <f t="shared" si="33"/>
        <v>2041415.12</v>
      </c>
      <c r="ABO4" s="109">
        <f t="shared" si="33"/>
        <v>2041415.12</v>
      </c>
      <c r="ABP4" s="109">
        <f t="shared" si="33"/>
        <v>2041415.12</v>
      </c>
      <c r="ABQ4" s="109">
        <f t="shared" si="33"/>
        <v>2041415.12</v>
      </c>
      <c r="ABR4" s="109">
        <f t="shared" si="33"/>
        <v>2041415.12</v>
      </c>
      <c r="ABS4" s="109">
        <f t="shared" si="33"/>
        <v>2041415.12</v>
      </c>
      <c r="ABT4" s="109">
        <f t="shared" si="33"/>
        <v>2041415.12</v>
      </c>
      <c r="ABU4" s="109">
        <f t="shared" si="33"/>
        <v>2041415.12</v>
      </c>
      <c r="ABV4" s="109">
        <f t="shared" si="33"/>
        <v>2041415.12</v>
      </c>
      <c r="ABW4" s="109">
        <f t="shared" si="33"/>
        <v>2041415.12</v>
      </c>
      <c r="ABX4" s="109">
        <f t="shared" si="33"/>
        <v>2041415.12</v>
      </c>
      <c r="ABY4" s="109">
        <f t="shared" si="33"/>
        <v>2041415.12</v>
      </c>
      <c r="ABZ4" s="109">
        <f t="shared" si="33"/>
        <v>2041415.12</v>
      </c>
      <c r="ACA4" s="109">
        <f t="shared" si="33"/>
        <v>2041415.12</v>
      </c>
      <c r="ACB4" s="109">
        <f t="shared" si="33"/>
        <v>2041415.12</v>
      </c>
      <c r="ACC4" s="109">
        <f t="shared" si="33"/>
        <v>2041415.12</v>
      </c>
      <c r="ACD4" s="109">
        <f t="shared" si="33"/>
        <v>2041415.12</v>
      </c>
      <c r="ACE4" s="109">
        <f t="shared" si="33"/>
        <v>2041415.12</v>
      </c>
      <c r="ACF4" s="109">
        <f t="shared" si="33"/>
        <v>2041415.12</v>
      </c>
      <c r="ACG4" s="109">
        <f t="shared" si="33"/>
        <v>2041415.12</v>
      </c>
      <c r="ACH4" s="109">
        <f t="shared" si="33"/>
        <v>2041415.12</v>
      </c>
      <c r="ACI4" s="109">
        <f t="shared" si="33"/>
        <v>2041415.12</v>
      </c>
      <c r="ACJ4" s="109">
        <f t="shared" si="33"/>
        <v>2041415.12</v>
      </c>
      <c r="ACK4" s="109">
        <f t="shared" si="33"/>
        <v>2041415.12</v>
      </c>
      <c r="ACL4" s="109">
        <f t="shared" si="33"/>
        <v>2041415.12</v>
      </c>
      <c r="ACM4" s="109">
        <f t="shared" si="33"/>
        <v>2041415.12</v>
      </c>
      <c r="ACN4" s="109">
        <f t="shared" si="33"/>
        <v>2041415.12</v>
      </c>
      <c r="ACO4" s="109">
        <f t="shared" si="33"/>
        <v>2041415.12</v>
      </c>
      <c r="ACP4" s="109">
        <f t="shared" si="33"/>
        <v>2041415.12</v>
      </c>
      <c r="ACQ4" s="109">
        <f t="shared" si="33"/>
        <v>2041415.12</v>
      </c>
      <c r="ACR4" s="109">
        <f t="shared" si="33"/>
        <v>2041415.12</v>
      </c>
      <c r="ACS4" s="109">
        <f t="shared" si="33"/>
        <v>2041415.12</v>
      </c>
      <c r="ACT4" s="109">
        <f t="shared" si="33"/>
        <v>2041415.12</v>
      </c>
      <c r="ACU4" s="109">
        <f t="shared" si="33"/>
        <v>2041415.12</v>
      </c>
      <c r="ACV4" s="109">
        <f t="shared" si="33"/>
        <v>2041415.12</v>
      </c>
      <c r="ACW4" s="109">
        <f t="shared" ref="ACW4:AFH4" si="34">ACV4+ACW3</f>
        <v>2041415.12</v>
      </c>
      <c r="ACX4" s="109">
        <f t="shared" si="34"/>
        <v>2041415.12</v>
      </c>
      <c r="ACY4" s="109">
        <f t="shared" si="34"/>
        <v>2041415.12</v>
      </c>
      <c r="ACZ4" s="109">
        <f t="shared" si="34"/>
        <v>2041415.12</v>
      </c>
      <c r="ADA4" s="109">
        <f t="shared" si="34"/>
        <v>2041415.12</v>
      </c>
      <c r="ADB4" s="109">
        <f t="shared" si="34"/>
        <v>2041415.12</v>
      </c>
      <c r="ADC4" s="109">
        <f t="shared" si="34"/>
        <v>2041415.12</v>
      </c>
      <c r="ADD4" s="109">
        <f t="shared" si="34"/>
        <v>2041415.12</v>
      </c>
      <c r="ADE4" s="109">
        <f t="shared" si="34"/>
        <v>2041415.12</v>
      </c>
      <c r="ADF4" s="109">
        <f t="shared" si="34"/>
        <v>2041415.12</v>
      </c>
      <c r="ADG4" s="109">
        <f t="shared" si="34"/>
        <v>2041415.12</v>
      </c>
      <c r="ADH4" s="109">
        <f t="shared" si="34"/>
        <v>2041415.12</v>
      </c>
      <c r="ADI4" s="109">
        <f t="shared" si="34"/>
        <v>2041415.12</v>
      </c>
      <c r="ADJ4" s="109">
        <f t="shared" si="34"/>
        <v>2041415.12</v>
      </c>
      <c r="ADK4" s="109">
        <f t="shared" si="34"/>
        <v>2041415.12</v>
      </c>
      <c r="ADL4" s="109">
        <f t="shared" si="34"/>
        <v>2041415.12</v>
      </c>
      <c r="ADM4" s="109">
        <f t="shared" si="34"/>
        <v>2041415.12</v>
      </c>
      <c r="ADN4" s="109">
        <f t="shared" si="34"/>
        <v>2041415.12</v>
      </c>
      <c r="ADO4" s="109">
        <f t="shared" si="34"/>
        <v>2041415.12</v>
      </c>
      <c r="ADP4" s="109">
        <f t="shared" si="34"/>
        <v>2041415.12</v>
      </c>
      <c r="ADQ4" s="109">
        <f t="shared" si="34"/>
        <v>2041415.12</v>
      </c>
      <c r="ADR4" s="109">
        <f t="shared" si="34"/>
        <v>2041415.12</v>
      </c>
      <c r="ADS4" s="109">
        <f t="shared" si="34"/>
        <v>2041415.12</v>
      </c>
      <c r="ADT4" s="109">
        <f t="shared" si="34"/>
        <v>2041415.12</v>
      </c>
      <c r="ADU4" s="109">
        <f t="shared" si="34"/>
        <v>2041415.12</v>
      </c>
      <c r="ADV4" s="109">
        <f t="shared" si="34"/>
        <v>2041415.12</v>
      </c>
      <c r="ADW4" s="109">
        <f t="shared" si="34"/>
        <v>2041415.12</v>
      </c>
      <c r="ADX4" s="109">
        <f t="shared" si="34"/>
        <v>2041415.12</v>
      </c>
      <c r="ADY4" s="109">
        <f t="shared" si="34"/>
        <v>2041415.12</v>
      </c>
      <c r="ADZ4" s="109">
        <f t="shared" si="34"/>
        <v>2041415.12</v>
      </c>
      <c r="AEA4" s="109">
        <f t="shared" si="34"/>
        <v>2041415.12</v>
      </c>
      <c r="AEB4" s="109">
        <f t="shared" si="34"/>
        <v>2041415.12</v>
      </c>
      <c r="AEC4" s="109">
        <f t="shared" si="34"/>
        <v>2041415.12</v>
      </c>
      <c r="AED4" s="109">
        <f t="shared" si="34"/>
        <v>2041415.12</v>
      </c>
      <c r="AEE4" s="109">
        <f t="shared" si="34"/>
        <v>2041415.12</v>
      </c>
      <c r="AEF4" s="109">
        <f t="shared" si="34"/>
        <v>2041415.12</v>
      </c>
      <c r="AEG4" s="109">
        <f t="shared" si="34"/>
        <v>2041415.12</v>
      </c>
      <c r="AEH4" s="109">
        <f t="shared" si="34"/>
        <v>2041415.12</v>
      </c>
      <c r="AEI4" s="109">
        <f t="shared" si="34"/>
        <v>2041415.12</v>
      </c>
      <c r="AEJ4" s="109">
        <f t="shared" si="34"/>
        <v>2041415.12</v>
      </c>
      <c r="AEK4" s="109">
        <f t="shared" si="34"/>
        <v>2041415.12</v>
      </c>
      <c r="AEL4" s="109">
        <f t="shared" si="34"/>
        <v>2041415.12</v>
      </c>
      <c r="AEM4" s="109">
        <f t="shared" si="34"/>
        <v>2041415.12</v>
      </c>
      <c r="AEN4" s="109">
        <f t="shared" si="34"/>
        <v>2041415.12</v>
      </c>
      <c r="AEO4" s="109">
        <f t="shared" si="34"/>
        <v>2041415.12</v>
      </c>
      <c r="AEP4" s="109">
        <f t="shared" si="34"/>
        <v>2041415.12</v>
      </c>
      <c r="AEQ4" s="109">
        <f t="shared" si="34"/>
        <v>2041415.12</v>
      </c>
      <c r="AER4" s="109">
        <f t="shared" si="34"/>
        <v>2041415.12</v>
      </c>
      <c r="AES4" s="109">
        <f t="shared" si="34"/>
        <v>2041415.12</v>
      </c>
      <c r="AET4" s="109">
        <f t="shared" si="34"/>
        <v>2041415.12</v>
      </c>
      <c r="AEU4" s="109">
        <f t="shared" si="34"/>
        <v>2041415.12</v>
      </c>
      <c r="AEV4" s="109">
        <f t="shared" si="34"/>
        <v>2041415.12</v>
      </c>
      <c r="AEW4" s="109">
        <f t="shared" si="34"/>
        <v>2041415.12</v>
      </c>
      <c r="AEX4" s="109">
        <f t="shared" si="34"/>
        <v>2041415.12</v>
      </c>
      <c r="AEY4" s="109">
        <f t="shared" si="34"/>
        <v>2041415.12</v>
      </c>
      <c r="AEZ4" s="109">
        <f t="shared" si="34"/>
        <v>2041415.12</v>
      </c>
      <c r="AFA4" s="109">
        <f t="shared" si="34"/>
        <v>2041415.12</v>
      </c>
      <c r="AFB4" s="109">
        <f t="shared" si="34"/>
        <v>2041415.12</v>
      </c>
      <c r="AFC4" s="109">
        <f t="shared" si="34"/>
        <v>2041415.12</v>
      </c>
      <c r="AFD4" s="109">
        <f t="shared" si="34"/>
        <v>2041415.12</v>
      </c>
      <c r="AFE4" s="109">
        <f t="shared" si="34"/>
        <v>2041415.12</v>
      </c>
      <c r="AFF4" s="109">
        <f t="shared" si="34"/>
        <v>2041415.12</v>
      </c>
      <c r="AFG4" s="109">
        <f t="shared" si="34"/>
        <v>2041415.12</v>
      </c>
      <c r="AFH4" s="109">
        <f t="shared" si="34"/>
        <v>2041415.12</v>
      </c>
      <c r="AFI4" s="109">
        <f t="shared" ref="AFI4:AHT4" si="35">AFH4+AFI3</f>
        <v>2041415.12</v>
      </c>
      <c r="AFJ4" s="109">
        <f t="shared" si="35"/>
        <v>2041415.12</v>
      </c>
      <c r="AFK4" s="109">
        <f t="shared" si="35"/>
        <v>2041415.12</v>
      </c>
      <c r="AFL4" s="109">
        <f t="shared" si="35"/>
        <v>2041415.12</v>
      </c>
      <c r="AFM4" s="109">
        <f t="shared" si="35"/>
        <v>2041415.12</v>
      </c>
      <c r="AFN4" s="109">
        <f t="shared" si="35"/>
        <v>2041415.12</v>
      </c>
      <c r="AFO4" s="109">
        <f t="shared" si="35"/>
        <v>2041415.12</v>
      </c>
      <c r="AFP4" s="109">
        <f t="shared" si="35"/>
        <v>2041415.12</v>
      </c>
      <c r="AFQ4" s="109">
        <f t="shared" si="35"/>
        <v>2041415.12</v>
      </c>
      <c r="AFR4" s="109">
        <f t="shared" si="35"/>
        <v>2041415.12</v>
      </c>
      <c r="AFS4" s="109">
        <f t="shared" si="35"/>
        <v>2041415.12</v>
      </c>
      <c r="AFT4" s="109">
        <f t="shared" si="35"/>
        <v>2041415.12</v>
      </c>
      <c r="AFU4" s="109">
        <f t="shared" si="35"/>
        <v>2041415.12</v>
      </c>
      <c r="AFV4" s="109">
        <f t="shared" si="35"/>
        <v>2041415.12</v>
      </c>
      <c r="AFW4" s="109">
        <f t="shared" si="35"/>
        <v>2041415.12</v>
      </c>
      <c r="AFX4" s="109">
        <f t="shared" si="35"/>
        <v>2041415.12</v>
      </c>
      <c r="AFY4" s="109">
        <f t="shared" si="35"/>
        <v>2041415.12</v>
      </c>
      <c r="AFZ4" s="109">
        <f t="shared" si="35"/>
        <v>2041415.12</v>
      </c>
      <c r="AGA4" s="109">
        <f t="shared" si="35"/>
        <v>2041415.12</v>
      </c>
      <c r="AGB4" s="109">
        <f t="shared" si="35"/>
        <v>2041415.12</v>
      </c>
      <c r="AGC4" s="109">
        <f t="shared" si="35"/>
        <v>2041415.12</v>
      </c>
      <c r="AGD4" s="109">
        <f t="shared" si="35"/>
        <v>2041415.12</v>
      </c>
      <c r="AGE4" s="109">
        <f t="shared" si="35"/>
        <v>2041415.12</v>
      </c>
      <c r="AGF4" s="109">
        <f t="shared" si="35"/>
        <v>2041415.12</v>
      </c>
      <c r="AGG4" s="109">
        <f t="shared" si="35"/>
        <v>2041415.12</v>
      </c>
      <c r="AGH4" s="109">
        <f t="shared" si="35"/>
        <v>2041415.12</v>
      </c>
      <c r="AGI4" s="109">
        <f t="shared" si="35"/>
        <v>2041415.12</v>
      </c>
      <c r="AGJ4" s="109">
        <f t="shared" si="35"/>
        <v>2041415.12</v>
      </c>
      <c r="AGK4" s="109">
        <f t="shared" si="35"/>
        <v>2041415.12</v>
      </c>
      <c r="AGL4" s="109">
        <f t="shared" si="35"/>
        <v>2041415.12</v>
      </c>
      <c r="AGM4" s="109">
        <f t="shared" si="35"/>
        <v>2041415.12</v>
      </c>
      <c r="AGN4" s="109">
        <f t="shared" si="35"/>
        <v>2041415.12</v>
      </c>
      <c r="AGO4" s="109">
        <f t="shared" si="35"/>
        <v>2041415.12</v>
      </c>
      <c r="AGP4" s="109">
        <f t="shared" si="35"/>
        <v>2041415.12</v>
      </c>
      <c r="AGQ4" s="109">
        <f t="shared" si="35"/>
        <v>2041415.12</v>
      </c>
      <c r="AGR4" s="109">
        <f t="shared" si="35"/>
        <v>2041415.12</v>
      </c>
      <c r="AGS4" s="109">
        <f t="shared" si="35"/>
        <v>2041415.12</v>
      </c>
      <c r="AGT4" s="109">
        <f t="shared" si="35"/>
        <v>2041415.12</v>
      </c>
      <c r="AGU4" s="109">
        <f t="shared" si="35"/>
        <v>2041415.12</v>
      </c>
      <c r="AGV4" s="109">
        <f t="shared" si="35"/>
        <v>2041415.12</v>
      </c>
      <c r="AGW4" s="109">
        <f t="shared" si="35"/>
        <v>2041415.12</v>
      </c>
      <c r="AGX4" s="109">
        <f t="shared" si="35"/>
        <v>2041415.12</v>
      </c>
      <c r="AGY4" s="109">
        <f t="shared" si="35"/>
        <v>2041415.12</v>
      </c>
      <c r="AGZ4" s="109">
        <f t="shared" si="35"/>
        <v>2041415.12</v>
      </c>
      <c r="AHA4" s="109">
        <f t="shared" si="35"/>
        <v>2041415.12</v>
      </c>
      <c r="AHB4" s="109">
        <f t="shared" si="35"/>
        <v>2041415.12</v>
      </c>
      <c r="AHC4" s="109">
        <f t="shared" si="35"/>
        <v>2041415.12</v>
      </c>
      <c r="AHD4" s="109">
        <f t="shared" si="35"/>
        <v>2041415.12</v>
      </c>
      <c r="AHE4" s="109">
        <f t="shared" si="35"/>
        <v>2041415.12</v>
      </c>
      <c r="AHF4" s="109">
        <f t="shared" si="35"/>
        <v>2041415.12</v>
      </c>
      <c r="AHG4" s="109">
        <f t="shared" si="35"/>
        <v>2041415.12</v>
      </c>
      <c r="AHH4" s="109">
        <f t="shared" si="35"/>
        <v>2041415.12</v>
      </c>
      <c r="AHI4" s="109">
        <f t="shared" si="35"/>
        <v>2041415.12</v>
      </c>
      <c r="AHJ4" s="109">
        <f t="shared" si="35"/>
        <v>2041415.12</v>
      </c>
      <c r="AHK4" s="109">
        <f t="shared" si="35"/>
        <v>2041415.12</v>
      </c>
      <c r="AHL4" s="109">
        <f t="shared" si="35"/>
        <v>2041415.12</v>
      </c>
      <c r="AHM4" s="109">
        <f t="shared" si="35"/>
        <v>2041415.12</v>
      </c>
      <c r="AHN4" s="109">
        <f t="shared" si="35"/>
        <v>2041415.12</v>
      </c>
      <c r="AHO4" s="109">
        <f t="shared" si="35"/>
        <v>2041415.12</v>
      </c>
      <c r="AHP4" s="109">
        <f t="shared" si="35"/>
        <v>2041415.12</v>
      </c>
      <c r="AHQ4" s="109">
        <f t="shared" si="35"/>
        <v>2041415.12</v>
      </c>
      <c r="AHR4" s="109">
        <f t="shared" si="35"/>
        <v>2041415.12</v>
      </c>
      <c r="AHS4" s="109">
        <f t="shared" si="35"/>
        <v>2041415.12</v>
      </c>
      <c r="AHT4" s="109">
        <f t="shared" si="35"/>
        <v>2041415.12</v>
      </c>
      <c r="AHU4" s="109">
        <f t="shared" ref="AHU4:AKF4" si="36">AHT4+AHU3</f>
        <v>2041415.12</v>
      </c>
      <c r="AHV4" s="109">
        <f t="shared" si="36"/>
        <v>2041415.12</v>
      </c>
      <c r="AHW4" s="109">
        <f t="shared" si="36"/>
        <v>2041415.12</v>
      </c>
      <c r="AHX4" s="109">
        <f t="shared" si="36"/>
        <v>2041415.12</v>
      </c>
      <c r="AHY4" s="109">
        <f t="shared" si="36"/>
        <v>2041415.12</v>
      </c>
      <c r="AHZ4" s="109">
        <f t="shared" si="36"/>
        <v>2041415.12</v>
      </c>
      <c r="AIA4" s="109">
        <f t="shared" si="36"/>
        <v>2041415.12</v>
      </c>
      <c r="AIB4" s="109">
        <f t="shared" si="36"/>
        <v>2041415.12</v>
      </c>
      <c r="AIC4" s="109">
        <f t="shared" si="36"/>
        <v>2041415.12</v>
      </c>
      <c r="AID4" s="109">
        <f t="shared" si="36"/>
        <v>2041415.12</v>
      </c>
      <c r="AIE4" s="109">
        <f t="shared" si="36"/>
        <v>2041415.12</v>
      </c>
      <c r="AIF4" s="109">
        <f t="shared" si="36"/>
        <v>2041415.12</v>
      </c>
      <c r="AIG4" s="109">
        <f t="shared" si="36"/>
        <v>2041415.12</v>
      </c>
      <c r="AIH4" s="109">
        <f t="shared" si="36"/>
        <v>2041415.12</v>
      </c>
      <c r="AII4" s="109">
        <f t="shared" si="36"/>
        <v>2041415.12</v>
      </c>
      <c r="AIJ4" s="109">
        <f t="shared" si="36"/>
        <v>2041415.12</v>
      </c>
      <c r="AIK4" s="109">
        <f t="shared" si="36"/>
        <v>2041415.12</v>
      </c>
      <c r="AIL4" s="109">
        <f t="shared" si="36"/>
        <v>2041415.12</v>
      </c>
      <c r="AIM4" s="109">
        <f t="shared" si="36"/>
        <v>2041415.12</v>
      </c>
      <c r="AIN4" s="109">
        <f t="shared" si="36"/>
        <v>2041415.12</v>
      </c>
      <c r="AIO4" s="109">
        <f t="shared" si="36"/>
        <v>2041415.12</v>
      </c>
      <c r="AIP4" s="109">
        <f t="shared" si="36"/>
        <v>2041415.12</v>
      </c>
      <c r="AIQ4" s="109">
        <f t="shared" si="36"/>
        <v>2041415.12</v>
      </c>
      <c r="AIR4" s="109">
        <f t="shared" si="36"/>
        <v>2041415.12</v>
      </c>
      <c r="AIS4" s="109">
        <f t="shared" si="36"/>
        <v>2041415.12</v>
      </c>
      <c r="AIT4" s="109">
        <f t="shared" si="36"/>
        <v>2041415.12</v>
      </c>
      <c r="AIU4" s="109">
        <f t="shared" si="36"/>
        <v>2041415.12</v>
      </c>
      <c r="AIV4" s="109">
        <f t="shared" si="36"/>
        <v>2041415.12</v>
      </c>
      <c r="AIW4" s="109">
        <f t="shared" si="36"/>
        <v>2041415.12</v>
      </c>
      <c r="AIX4" s="109">
        <f t="shared" si="36"/>
        <v>2041415.12</v>
      </c>
      <c r="AIY4" s="109">
        <f t="shared" si="36"/>
        <v>2041415.12</v>
      </c>
      <c r="AIZ4" s="109">
        <f t="shared" si="36"/>
        <v>2041415.12</v>
      </c>
      <c r="AJA4" s="109">
        <f t="shared" si="36"/>
        <v>2041415.12</v>
      </c>
      <c r="AJB4" s="109">
        <f t="shared" si="36"/>
        <v>2041415.12</v>
      </c>
      <c r="AJC4" s="109">
        <f t="shared" si="36"/>
        <v>2041415.12</v>
      </c>
      <c r="AJD4" s="109">
        <f t="shared" si="36"/>
        <v>2041415.12</v>
      </c>
      <c r="AJE4" s="109">
        <f t="shared" si="36"/>
        <v>2041415.12</v>
      </c>
      <c r="AJF4" s="109">
        <f t="shared" si="36"/>
        <v>2041415.12</v>
      </c>
      <c r="AJG4" s="109">
        <f t="shared" si="36"/>
        <v>2041415.12</v>
      </c>
      <c r="AJH4" s="109">
        <f t="shared" si="36"/>
        <v>2041415.12</v>
      </c>
      <c r="AJI4" s="109">
        <f t="shared" si="36"/>
        <v>2041415.12</v>
      </c>
      <c r="AJJ4" s="109">
        <f t="shared" si="36"/>
        <v>2041415.12</v>
      </c>
      <c r="AJK4" s="109">
        <f t="shared" si="36"/>
        <v>2041415.12</v>
      </c>
      <c r="AJL4" s="109">
        <f t="shared" si="36"/>
        <v>2041415.12</v>
      </c>
      <c r="AJM4" s="109">
        <f t="shared" si="36"/>
        <v>2041415.12</v>
      </c>
      <c r="AJN4" s="109">
        <f t="shared" si="36"/>
        <v>2041415.12</v>
      </c>
      <c r="AJO4" s="109">
        <f t="shared" si="36"/>
        <v>2041415.12</v>
      </c>
      <c r="AJP4" s="109">
        <f t="shared" si="36"/>
        <v>2041415.12</v>
      </c>
      <c r="AJQ4" s="109">
        <f t="shared" si="36"/>
        <v>2041415.12</v>
      </c>
      <c r="AJR4" s="109">
        <f t="shared" si="36"/>
        <v>2041415.12</v>
      </c>
      <c r="AJS4" s="109">
        <f t="shared" si="36"/>
        <v>2041415.12</v>
      </c>
      <c r="AJT4" s="109">
        <f t="shared" si="36"/>
        <v>2041415.12</v>
      </c>
      <c r="AJU4" s="109">
        <f t="shared" si="36"/>
        <v>2041415.12</v>
      </c>
      <c r="AJV4" s="109">
        <f t="shared" si="36"/>
        <v>2041415.12</v>
      </c>
      <c r="AJW4" s="109">
        <f t="shared" si="36"/>
        <v>2041415.12</v>
      </c>
      <c r="AJX4" s="109">
        <f t="shared" si="36"/>
        <v>2041415.12</v>
      </c>
      <c r="AJY4" s="109">
        <f t="shared" si="36"/>
        <v>2041415.12</v>
      </c>
      <c r="AJZ4" s="109">
        <f t="shared" si="36"/>
        <v>2041415.12</v>
      </c>
      <c r="AKA4" s="109">
        <f t="shared" si="36"/>
        <v>2041415.12</v>
      </c>
      <c r="AKB4" s="109">
        <f t="shared" si="36"/>
        <v>2041415.12</v>
      </c>
      <c r="AKC4" s="109">
        <f t="shared" si="36"/>
        <v>2041415.12</v>
      </c>
      <c r="AKD4" s="109">
        <f t="shared" si="36"/>
        <v>2041415.12</v>
      </c>
      <c r="AKE4" s="109">
        <f t="shared" si="36"/>
        <v>2041415.12</v>
      </c>
      <c r="AKF4" s="109">
        <f t="shared" si="36"/>
        <v>2041415.12</v>
      </c>
      <c r="AKG4" s="109">
        <f t="shared" ref="AKG4:AMR4" si="37">AKF4+AKG3</f>
        <v>2041415.12</v>
      </c>
      <c r="AKH4" s="109">
        <f t="shared" si="37"/>
        <v>2041415.12</v>
      </c>
      <c r="AKI4" s="109">
        <f t="shared" si="37"/>
        <v>2041415.12</v>
      </c>
      <c r="AKJ4" s="109">
        <f t="shared" si="37"/>
        <v>2041415.12</v>
      </c>
      <c r="AKK4" s="109">
        <f t="shared" si="37"/>
        <v>2041415.12</v>
      </c>
      <c r="AKL4" s="109">
        <f t="shared" si="37"/>
        <v>2041415.12</v>
      </c>
      <c r="AKM4" s="109">
        <f t="shared" si="37"/>
        <v>2041415.12</v>
      </c>
      <c r="AKN4" s="109">
        <f t="shared" si="37"/>
        <v>2041415.12</v>
      </c>
      <c r="AKO4" s="109">
        <f t="shared" si="37"/>
        <v>2041415.12</v>
      </c>
      <c r="AKP4" s="109">
        <f t="shared" si="37"/>
        <v>2041415.12</v>
      </c>
      <c r="AKQ4" s="109">
        <f t="shared" si="37"/>
        <v>2041415.12</v>
      </c>
      <c r="AKR4" s="109">
        <f t="shared" si="37"/>
        <v>2041415.12</v>
      </c>
      <c r="AKS4" s="109">
        <f t="shared" si="37"/>
        <v>2041415.12</v>
      </c>
      <c r="AKT4" s="109">
        <f t="shared" si="37"/>
        <v>2041415.12</v>
      </c>
      <c r="AKU4" s="109">
        <f t="shared" si="37"/>
        <v>2041415.12</v>
      </c>
      <c r="AKV4" s="109">
        <f t="shared" si="37"/>
        <v>2041415.12</v>
      </c>
      <c r="AKW4" s="109">
        <f t="shared" si="37"/>
        <v>2041415.12</v>
      </c>
      <c r="AKX4" s="109">
        <f t="shared" si="37"/>
        <v>2041415.12</v>
      </c>
      <c r="AKY4" s="109">
        <f t="shared" si="37"/>
        <v>2041415.12</v>
      </c>
      <c r="AKZ4" s="109">
        <f t="shared" si="37"/>
        <v>2041415.12</v>
      </c>
      <c r="ALA4" s="109">
        <f t="shared" si="37"/>
        <v>2041415.12</v>
      </c>
      <c r="ALB4" s="109">
        <f t="shared" si="37"/>
        <v>2041415.12</v>
      </c>
      <c r="ALC4" s="109">
        <f t="shared" si="37"/>
        <v>2041415.12</v>
      </c>
      <c r="ALD4" s="109">
        <f t="shared" si="37"/>
        <v>2041415.12</v>
      </c>
      <c r="ALE4" s="109">
        <f t="shared" si="37"/>
        <v>2041415.12</v>
      </c>
      <c r="ALF4" s="109">
        <f t="shared" si="37"/>
        <v>2041415.12</v>
      </c>
      <c r="ALG4" s="109">
        <f t="shared" si="37"/>
        <v>2041415.12</v>
      </c>
      <c r="ALH4" s="109">
        <f t="shared" si="37"/>
        <v>2041415.12</v>
      </c>
      <c r="ALI4" s="109">
        <f t="shared" si="37"/>
        <v>2041415.12</v>
      </c>
      <c r="ALJ4" s="109">
        <f t="shared" si="37"/>
        <v>2041415.12</v>
      </c>
      <c r="ALK4" s="109">
        <f t="shared" si="37"/>
        <v>2041415.12</v>
      </c>
      <c r="ALL4" s="109">
        <f t="shared" si="37"/>
        <v>2041415.12</v>
      </c>
      <c r="ALM4" s="109">
        <f t="shared" si="37"/>
        <v>2041415.12</v>
      </c>
      <c r="ALN4" s="109">
        <f t="shared" si="37"/>
        <v>2041415.12</v>
      </c>
      <c r="ALO4" s="109">
        <f t="shared" si="37"/>
        <v>2041415.12</v>
      </c>
      <c r="ALP4" s="109">
        <f t="shared" si="37"/>
        <v>2041415.12</v>
      </c>
      <c r="ALQ4" s="109">
        <f t="shared" si="37"/>
        <v>2041415.12</v>
      </c>
      <c r="ALR4" s="109">
        <f t="shared" si="37"/>
        <v>2041415.12</v>
      </c>
      <c r="ALS4" s="109">
        <f t="shared" si="37"/>
        <v>2041415.12</v>
      </c>
      <c r="ALT4" s="109">
        <f t="shared" si="37"/>
        <v>2041415.12</v>
      </c>
      <c r="ALU4" s="109">
        <f t="shared" si="37"/>
        <v>2041415.12</v>
      </c>
      <c r="ALV4" s="109">
        <f t="shared" si="37"/>
        <v>2041415.12</v>
      </c>
      <c r="ALW4" s="109">
        <f t="shared" si="37"/>
        <v>2041415.12</v>
      </c>
      <c r="ALX4" s="109">
        <f t="shared" si="37"/>
        <v>2041415.12</v>
      </c>
      <c r="ALY4" s="109">
        <f t="shared" si="37"/>
        <v>2041415.12</v>
      </c>
      <c r="ALZ4" s="109">
        <f t="shared" si="37"/>
        <v>2041415.12</v>
      </c>
      <c r="AMA4" s="109">
        <f t="shared" si="37"/>
        <v>2041415.12</v>
      </c>
      <c r="AMB4" s="109">
        <f t="shared" si="37"/>
        <v>2041415.12</v>
      </c>
      <c r="AMC4" s="109">
        <f t="shared" si="37"/>
        <v>2041415.12</v>
      </c>
      <c r="AMD4" s="109">
        <f t="shared" si="37"/>
        <v>2041415.12</v>
      </c>
      <c r="AME4" s="109">
        <f t="shared" si="37"/>
        <v>2041415.12</v>
      </c>
      <c r="AMF4" s="109">
        <f t="shared" si="37"/>
        <v>2041415.12</v>
      </c>
      <c r="AMG4" s="109">
        <f t="shared" si="37"/>
        <v>2041415.12</v>
      </c>
      <c r="AMH4" s="109">
        <f t="shared" si="37"/>
        <v>2041415.12</v>
      </c>
      <c r="AMI4" s="109">
        <f t="shared" si="37"/>
        <v>2041415.12</v>
      </c>
      <c r="AMJ4" s="109">
        <f t="shared" si="37"/>
        <v>2041415.12</v>
      </c>
      <c r="AMK4" s="109">
        <f t="shared" si="37"/>
        <v>2041415.12</v>
      </c>
      <c r="AML4" s="109">
        <f t="shared" si="37"/>
        <v>2041415.12</v>
      </c>
      <c r="AMM4" s="109">
        <f t="shared" si="37"/>
        <v>2041415.12</v>
      </c>
      <c r="AMN4" s="109">
        <f t="shared" si="37"/>
        <v>2041415.12</v>
      </c>
      <c r="AMO4" s="109">
        <f t="shared" si="37"/>
        <v>2041415.12</v>
      </c>
      <c r="AMP4" s="109">
        <f t="shared" si="37"/>
        <v>2041415.12</v>
      </c>
      <c r="AMQ4" s="109">
        <f t="shared" si="37"/>
        <v>2041415.12</v>
      </c>
      <c r="AMR4" s="109">
        <f t="shared" si="37"/>
        <v>2041415.12</v>
      </c>
      <c r="AMS4" s="109">
        <f t="shared" ref="AMS4:APD4" si="38">AMR4+AMS3</f>
        <v>2041415.12</v>
      </c>
      <c r="AMT4" s="109">
        <f t="shared" si="38"/>
        <v>2041415.12</v>
      </c>
      <c r="AMU4" s="109">
        <f t="shared" si="38"/>
        <v>2041415.12</v>
      </c>
      <c r="AMV4" s="109">
        <f t="shared" si="38"/>
        <v>2041415.12</v>
      </c>
      <c r="AMW4" s="109">
        <f t="shared" si="38"/>
        <v>2041415.12</v>
      </c>
      <c r="AMX4" s="109">
        <f t="shared" si="38"/>
        <v>2041415.12</v>
      </c>
      <c r="AMY4" s="109">
        <f t="shared" si="38"/>
        <v>2041415.12</v>
      </c>
      <c r="AMZ4" s="109">
        <f t="shared" si="38"/>
        <v>2041415.12</v>
      </c>
      <c r="ANA4" s="109">
        <f t="shared" si="38"/>
        <v>2041415.12</v>
      </c>
      <c r="ANB4" s="109">
        <f t="shared" si="38"/>
        <v>2041415.12</v>
      </c>
      <c r="ANC4" s="109">
        <f t="shared" si="38"/>
        <v>2041415.12</v>
      </c>
      <c r="AND4" s="109">
        <f t="shared" si="38"/>
        <v>2041415.12</v>
      </c>
      <c r="ANE4" s="109">
        <f t="shared" si="38"/>
        <v>2041415.12</v>
      </c>
      <c r="ANF4" s="109">
        <f t="shared" si="38"/>
        <v>2041415.12</v>
      </c>
      <c r="ANG4" s="109">
        <f t="shared" si="38"/>
        <v>2041415.12</v>
      </c>
      <c r="ANH4" s="109">
        <f t="shared" si="38"/>
        <v>2041415.12</v>
      </c>
      <c r="ANI4" s="109">
        <f t="shared" si="38"/>
        <v>2041415.12</v>
      </c>
      <c r="ANJ4" s="109">
        <f t="shared" si="38"/>
        <v>2041415.12</v>
      </c>
      <c r="ANK4" s="109">
        <f t="shared" si="38"/>
        <v>2041415.12</v>
      </c>
      <c r="ANL4" s="109">
        <f t="shared" si="38"/>
        <v>2041415.12</v>
      </c>
      <c r="ANM4" s="109">
        <f t="shared" si="38"/>
        <v>2041415.12</v>
      </c>
      <c r="ANN4" s="109">
        <f t="shared" si="38"/>
        <v>2041415.12</v>
      </c>
      <c r="ANO4" s="109">
        <f t="shared" si="38"/>
        <v>2041415.12</v>
      </c>
      <c r="ANP4" s="109">
        <f t="shared" si="38"/>
        <v>2041415.12</v>
      </c>
      <c r="ANQ4" s="109">
        <f t="shared" si="38"/>
        <v>2041415.12</v>
      </c>
      <c r="ANR4" s="109">
        <f t="shared" si="38"/>
        <v>2041415.12</v>
      </c>
      <c r="ANS4" s="109">
        <f t="shared" si="38"/>
        <v>2041415.12</v>
      </c>
      <c r="ANT4" s="109">
        <f t="shared" si="38"/>
        <v>2041415.12</v>
      </c>
      <c r="ANU4" s="109">
        <f t="shared" si="38"/>
        <v>2041415.12</v>
      </c>
      <c r="ANV4" s="109">
        <f t="shared" si="38"/>
        <v>2041415.12</v>
      </c>
      <c r="ANW4" s="109">
        <f t="shared" si="38"/>
        <v>2041415.12</v>
      </c>
      <c r="ANX4" s="109">
        <f t="shared" si="38"/>
        <v>2041415.12</v>
      </c>
      <c r="ANY4" s="109">
        <f t="shared" si="38"/>
        <v>2041415.12</v>
      </c>
      <c r="ANZ4" s="109">
        <f t="shared" si="38"/>
        <v>2041415.12</v>
      </c>
      <c r="AOA4" s="109">
        <f t="shared" si="38"/>
        <v>2041415.12</v>
      </c>
      <c r="AOB4" s="109">
        <f t="shared" si="38"/>
        <v>2041415.12</v>
      </c>
      <c r="AOC4" s="109">
        <f t="shared" si="38"/>
        <v>2041415.12</v>
      </c>
      <c r="AOD4" s="109">
        <f t="shared" si="38"/>
        <v>2041415.12</v>
      </c>
      <c r="AOE4" s="109">
        <f t="shared" si="38"/>
        <v>2041415.12</v>
      </c>
      <c r="AOF4" s="109">
        <f t="shared" si="38"/>
        <v>2041415.12</v>
      </c>
      <c r="AOG4" s="109">
        <f t="shared" si="38"/>
        <v>2041415.12</v>
      </c>
      <c r="AOH4" s="109">
        <f t="shared" si="38"/>
        <v>2041415.12</v>
      </c>
      <c r="AOI4" s="109">
        <f t="shared" si="38"/>
        <v>2041415.12</v>
      </c>
      <c r="AOJ4" s="109">
        <f t="shared" si="38"/>
        <v>2041415.12</v>
      </c>
      <c r="AOK4" s="109">
        <f t="shared" si="38"/>
        <v>2041415.12</v>
      </c>
      <c r="AOL4" s="109">
        <f t="shared" si="38"/>
        <v>2041415.12</v>
      </c>
      <c r="AOM4" s="109">
        <f t="shared" si="38"/>
        <v>2041415.12</v>
      </c>
      <c r="AON4" s="109">
        <f t="shared" si="38"/>
        <v>2041415.12</v>
      </c>
      <c r="AOO4" s="109">
        <f t="shared" si="38"/>
        <v>2041415.12</v>
      </c>
      <c r="AOP4" s="109">
        <f t="shared" si="38"/>
        <v>2041415.12</v>
      </c>
      <c r="AOQ4" s="109">
        <f t="shared" si="38"/>
        <v>2041415.12</v>
      </c>
      <c r="AOR4" s="109">
        <f t="shared" si="38"/>
        <v>2041415.12</v>
      </c>
      <c r="AOS4" s="109">
        <f t="shared" si="38"/>
        <v>2041415.12</v>
      </c>
      <c r="AOT4" s="109">
        <f t="shared" si="38"/>
        <v>2041415.12</v>
      </c>
      <c r="AOU4" s="109">
        <f t="shared" si="38"/>
        <v>2041415.12</v>
      </c>
      <c r="AOV4" s="109">
        <f t="shared" si="38"/>
        <v>2041415.12</v>
      </c>
      <c r="AOW4" s="109">
        <f t="shared" si="38"/>
        <v>2041415.12</v>
      </c>
      <c r="AOX4" s="109">
        <f t="shared" si="38"/>
        <v>2041415.12</v>
      </c>
      <c r="AOY4" s="109">
        <f t="shared" si="38"/>
        <v>2041415.12</v>
      </c>
      <c r="AOZ4" s="109">
        <f t="shared" si="38"/>
        <v>2041415.12</v>
      </c>
      <c r="APA4" s="109">
        <f t="shared" si="38"/>
        <v>2041415.12</v>
      </c>
      <c r="APB4" s="109">
        <f t="shared" si="38"/>
        <v>2041415.12</v>
      </c>
      <c r="APC4" s="109">
        <f t="shared" si="38"/>
        <v>2041415.12</v>
      </c>
      <c r="APD4" s="109">
        <f t="shared" si="38"/>
        <v>2041415.12</v>
      </c>
      <c r="APE4" s="109">
        <f t="shared" ref="APE4:ARP4" si="39">APD4+APE3</f>
        <v>2041415.12</v>
      </c>
      <c r="APF4" s="109">
        <f t="shared" si="39"/>
        <v>2041415.12</v>
      </c>
      <c r="APG4" s="109">
        <f t="shared" si="39"/>
        <v>2041415.12</v>
      </c>
      <c r="APH4" s="109">
        <f t="shared" si="39"/>
        <v>2041415.12</v>
      </c>
      <c r="API4" s="109">
        <f t="shared" si="39"/>
        <v>2041415.12</v>
      </c>
      <c r="APJ4" s="109">
        <f t="shared" si="39"/>
        <v>2041415.12</v>
      </c>
      <c r="APK4" s="109">
        <f t="shared" si="39"/>
        <v>2041415.12</v>
      </c>
      <c r="APL4" s="109">
        <f t="shared" si="39"/>
        <v>2041415.12</v>
      </c>
      <c r="APM4" s="109">
        <f t="shared" si="39"/>
        <v>2041415.12</v>
      </c>
      <c r="APN4" s="109">
        <f t="shared" si="39"/>
        <v>2041415.12</v>
      </c>
      <c r="APO4" s="109">
        <f t="shared" si="39"/>
        <v>2041415.12</v>
      </c>
      <c r="APP4" s="109">
        <f t="shared" si="39"/>
        <v>2041415.12</v>
      </c>
      <c r="APQ4" s="109">
        <f t="shared" si="39"/>
        <v>2041415.12</v>
      </c>
      <c r="APR4" s="109">
        <f t="shared" si="39"/>
        <v>2041415.12</v>
      </c>
      <c r="APS4" s="109">
        <f t="shared" si="39"/>
        <v>2041415.12</v>
      </c>
      <c r="APT4" s="109">
        <f t="shared" si="39"/>
        <v>2041415.12</v>
      </c>
      <c r="APU4" s="109">
        <f t="shared" si="39"/>
        <v>2041415.12</v>
      </c>
      <c r="APV4" s="109">
        <f t="shared" si="39"/>
        <v>2041415.12</v>
      </c>
      <c r="APW4" s="109">
        <f t="shared" si="39"/>
        <v>2041415.12</v>
      </c>
      <c r="APX4" s="109">
        <f t="shared" si="39"/>
        <v>2041415.12</v>
      </c>
      <c r="APY4" s="109">
        <f t="shared" si="39"/>
        <v>2041415.12</v>
      </c>
      <c r="APZ4" s="109">
        <f t="shared" si="39"/>
        <v>2041415.12</v>
      </c>
      <c r="AQA4" s="109">
        <f t="shared" si="39"/>
        <v>2041415.12</v>
      </c>
      <c r="AQB4" s="109">
        <f t="shared" si="39"/>
        <v>2041415.12</v>
      </c>
      <c r="AQC4" s="109">
        <f t="shared" si="39"/>
        <v>2041415.12</v>
      </c>
      <c r="AQD4" s="109">
        <f t="shared" si="39"/>
        <v>2041415.12</v>
      </c>
      <c r="AQE4" s="109">
        <f t="shared" si="39"/>
        <v>2041415.12</v>
      </c>
      <c r="AQF4" s="109">
        <f t="shared" si="39"/>
        <v>2041415.12</v>
      </c>
      <c r="AQG4" s="109">
        <f t="shared" si="39"/>
        <v>2041415.12</v>
      </c>
      <c r="AQH4" s="109">
        <f t="shared" si="39"/>
        <v>2041415.12</v>
      </c>
      <c r="AQI4" s="109">
        <f t="shared" si="39"/>
        <v>2041415.12</v>
      </c>
      <c r="AQJ4" s="109">
        <f t="shared" si="39"/>
        <v>2041415.12</v>
      </c>
      <c r="AQK4" s="109">
        <f t="shared" si="39"/>
        <v>2041415.12</v>
      </c>
      <c r="AQL4" s="109">
        <f t="shared" si="39"/>
        <v>2041415.12</v>
      </c>
      <c r="AQM4" s="109">
        <f t="shared" si="39"/>
        <v>2041415.12</v>
      </c>
      <c r="AQN4" s="109">
        <f t="shared" si="39"/>
        <v>2041415.12</v>
      </c>
      <c r="AQO4" s="109">
        <f t="shared" si="39"/>
        <v>2041415.12</v>
      </c>
      <c r="AQP4" s="109">
        <f t="shared" si="39"/>
        <v>2041415.12</v>
      </c>
      <c r="AQQ4" s="109">
        <f t="shared" si="39"/>
        <v>2041415.12</v>
      </c>
      <c r="AQR4" s="109">
        <f t="shared" si="39"/>
        <v>2041415.12</v>
      </c>
      <c r="AQS4" s="109">
        <f t="shared" si="39"/>
        <v>2041415.12</v>
      </c>
      <c r="AQT4" s="109">
        <f t="shared" si="39"/>
        <v>2041415.12</v>
      </c>
      <c r="AQU4" s="109">
        <f t="shared" si="39"/>
        <v>2041415.12</v>
      </c>
      <c r="AQV4" s="109">
        <f t="shared" si="39"/>
        <v>2041415.12</v>
      </c>
      <c r="AQW4" s="109">
        <f t="shared" si="39"/>
        <v>2041415.12</v>
      </c>
      <c r="AQX4" s="109">
        <f t="shared" si="39"/>
        <v>2041415.12</v>
      </c>
      <c r="AQY4" s="109">
        <f t="shared" si="39"/>
        <v>2041415.12</v>
      </c>
      <c r="AQZ4" s="109">
        <f t="shared" si="39"/>
        <v>2041415.12</v>
      </c>
      <c r="ARA4" s="109">
        <f t="shared" si="39"/>
        <v>2041415.12</v>
      </c>
      <c r="ARB4" s="109">
        <f t="shared" si="39"/>
        <v>2041415.12</v>
      </c>
      <c r="ARC4" s="109">
        <f t="shared" si="39"/>
        <v>2041415.12</v>
      </c>
      <c r="ARD4" s="109">
        <f t="shared" si="39"/>
        <v>2041415.12</v>
      </c>
      <c r="ARE4" s="109">
        <f t="shared" si="39"/>
        <v>2041415.12</v>
      </c>
      <c r="ARF4" s="109">
        <f t="shared" si="39"/>
        <v>2041415.12</v>
      </c>
      <c r="ARG4" s="109">
        <f t="shared" si="39"/>
        <v>2041415.12</v>
      </c>
      <c r="ARH4" s="109">
        <f t="shared" si="39"/>
        <v>2041415.12</v>
      </c>
      <c r="ARI4" s="109">
        <f t="shared" si="39"/>
        <v>2041415.12</v>
      </c>
      <c r="ARJ4" s="109">
        <f t="shared" si="39"/>
        <v>2041415.12</v>
      </c>
      <c r="ARK4" s="109">
        <f t="shared" si="39"/>
        <v>2041415.12</v>
      </c>
      <c r="ARL4" s="109">
        <f t="shared" si="39"/>
        <v>2041415.12</v>
      </c>
      <c r="ARM4" s="109">
        <f t="shared" si="39"/>
        <v>2041415.12</v>
      </c>
      <c r="ARN4" s="109">
        <f t="shared" si="39"/>
        <v>2041415.12</v>
      </c>
      <c r="ARO4" s="109">
        <f t="shared" si="39"/>
        <v>2041415.12</v>
      </c>
      <c r="ARP4" s="109">
        <f t="shared" si="39"/>
        <v>2041415.12</v>
      </c>
      <c r="ARQ4" s="109">
        <f t="shared" ref="ARQ4:AUB4" si="40">ARP4+ARQ3</f>
        <v>2041415.12</v>
      </c>
      <c r="ARR4" s="109">
        <f t="shared" si="40"/>
        <v>2041415.12</v>
      </c>
      <c r="ARS4" s="109">
        <f t="shared" si="40"/>
        <v>2041415.12</v>
      </c>
      <c r="ART4" s="109">
        <f t="shared" si="40"/>
        <v>2041415.12</v>
      </c>
      <c r="ARU4" s="109">
        <f t="shared" si="40"/>
        <v>2041415.12</v>
      </c>
      <c r="ARV4" s="109">
        <f t="shared" si="40"/>
        <v>2041415.12</v>
      </c>
      <c r="ARW4" s="109">
        <f t="shared" si="40"/>
        <v>2041415.12</v>
      </c>
      <c r="ARX4" s="109">
        <f t="shared" si="40"/>
        <v>2041415.12</v>
      </c>
      <c r="ARY4" s="109">
        <f t="shared" si="40"/>
        <v>2041415.12</v>
      </c>
      <c r="ARZ4" s="109">
        <f t="shared" si="40"/>
        <v>2041415.12</v>
      </c>
      <c r="ASA4" s="109">
        <f t="shared" si="40"/>
        <v>2041415.12</v>
      </c>
      <c r="ASB4" s="109">
        <f t="shared" si="40"/>
        <v>2041415.12</v>
      </c>
      <c r="ASC4" s="109">
        <f t="shared" si="40"/>
        <v>2041415.12</v>
      </c>
      <c r="ASD4" s="109">
        <f t="shared" si="40"/>
        <v>2041415.12</v>
      </c>
      <c r="ASE4" s="109">
        <f t="shared" si="40"/>
        <v>2041415.12</v>
      </c>
      <c r="ASF4" s="109">
        <f t="shared" si="40"/>
        <v>2041415.12</v>
      </c>
      <c r="ASG4" s="109">
        <f t="shared" si="40"/>
        <v>2041415.12</v>
      </c>
      <c r="ASH4" s="109">
        <f t="shared" si="40"/>
        <v>2041415.12</v>
      </c>
      <c r="ASI4" s="109">
        <f t="shared" si="40"/>
        <v>2041415.12</v>
      </c>
      <c r="ASJ4" s="109">
        <f t="shared" si="40"/>
        <v>2041415.12</v>
      </c>
      <c r="ASK4" s="109">
        <f t="shared" si="40"/>
        <v>2041415.12</v>
      </c>
      <c r="ASL4" s="109">
        <f t="shared" si="40"/>
        <v>2041415.12</v>
      </c>
      <c r="ASM4" s="109">
        <f t="shared" si="40"/>
        <v>2041415.12</v>
      </c>
      <c r="ASN4" s="109">
        <f t="shared" si="40"/>
        <v>2041415.12</v>
      </c>
      <c r="ASO4" s="109">
        <f t="shared" si="40"/>
        <v>2041415.12</v>
      </c>
      <c r="ASP4" s="109">
        <f t="shared" si="40"/>
        <v>2041415.12</v>
      </c>
      <c r="ASQ4" s="109">
        <f t="shared" si="40"/>
        <v>2041415.12</v>
      </c>
      <c r="ASR4" s="109">
        <f t="shared" si="40"/>
        <v>2041415.12</v>
      </c>
      <c r="ASS4" s="109">
        <f t="shared" si="40"/>
        <v>2041415.12</v>
      </c>
      <c r="AST4" s="109">
        <f t="shared" si="40"/>
        <v>2041415.12</v>
      </c>
      <c r="ASU4" s="109">
        <f t="shared" si="40"/>
        <v>2041415.12</v>
      </c>
      <c r="ASV4" s="109">
        <f t="shared" si="40"/>
        <v>2041415.12</v>
      </c>
      <c r="ASW4" s="109">
        <f t="shared" si="40"/>
        <v>2041415.12</v>
      </c>
      <c r="ASX4" s="109">
        <f t="shared" si="40"/>
        <v>2041415.12</v>
      </c>
      <c r="ASY4" s="109">
        <f t="shared" si="40"/>
        <v>2041415.12</v>
      </c>
      <c r="ASZ4" s="109">
        <f t="shared" si="40"/>
        <v>2041415.12</v>
      </c>
      <c r="ATA4" s="109">
        <f t="shared" si="40"/>
        <v>2041415.12</v>
      </c>
      <c r="ATB4" s="109">
        <f t="shared" si="40"/>
        <v>2041415.12</v>
      </c>
      <c r="ATC4" s="109">
        <f t="shared" si="40"/>
        <v>2041415.12</v>
      </c>
      <c r="ATD4" s="109">
        <f t="shared" si="40"/>
        <v>2041415.12</v>
      </c>
      <c r="ATE4" s="109">
        <f t="shared" si="40"/>
        <v>2041415.12</v>
      </c>
      <c r="ATF4" s="109">
        <f t="shared" si="40"/>
        <v>2041415.12</v>
      </c>
      <c r="ATG4" s="109">
        <f t="shared" si="40"/>
        <v>2041415.12</v>
      </c>
      <c r="ATH4" s="109">
        <f t="shared" si="40"/>
        <v>2041415.12</v>
      </c>
      <c r="ATI4" s="109">
        <f t="shared" si="40"/>
        <v>2041415.12</v>
      </c>
      <c r="ATJ4" s="109">
        <f t="shared" si="40"/>
        <v>2041415.12</v>
      </c>
      <c r="ATK4" s="109">
        <f t="shared" si="40"/>
        <v>2041415.12</v>
      </c>
      <c r="ATL4" s="109">
        <f t="shared" si="40"/>
        <v>2041415.12</v>
      </c>
      <c r="ATM4" s="109">
        <f t="shared" si="40"/>
        <v>2041415.12</v>
      </c>
      <c r="ATN4" s="109">
        <f t="shared" si="40"/>
        <v>2041415.12</v>
      </c>
      <c r="ATO4" s="109">
        <f t="shared" si="40"/>
        <v>2041415.12</v>
      </c>
      <c r="ATP4" s="109">
        <f t="shared" si="40"/>
        <v>2041415.12</v>
      </c>
      <c r="ATQ4" s="109">
        <f t="shared" si="40"/>
        <v>2041415.12</v>
      </c>
      <c r="ATR4" s="109">
        <f t="shared" si="40"/>
        <v>2041415.12</v>
      </c>
      <c r="ATS4" s="109">
        <f t="shared" si="40"/>
        <v>2041415.12</v>
      </c>
      <c r="ATT4" s="109">
        <f t="shared" si="40"/>
        <v>2041415.12</v>
      </c>
      <c r="ATU4" s="109">
        <f t="shared" si="40"/>
        <v>2041415.12</v>
      </c>
      <c r="ATV4" s="109">
        <f t="shared" si="40"/>
        <v>2041415.12</v>
      </c>
      <c r="ATW4" s="109">
        <f t="shared" si="40"/>
        <v>2041415.12</v>
      </c>
      <c r="ATX4" s="109">
        <f t="shared" si="40"/>
        <v>2041415.12</v>
      </c>
      <c r="ATY4" s="109">
        <f t="shared" si="40"/>
        <v>2041415.12</v>
      </c>
      <c r="ATZ4" s="109">
        <f t="shared" si="40"/>
        <v>2041415.12</v>
      </c>
      <c r="AUA4" s="109">
        <f t="shared" si="40"/>
        <v>2041415.12</v>
      </c>
      <c r="AUB4" s="109">
        <f t="shared" si="40"/>
        <v>2041415.12</v>
      </c>
      <c r="AUC4" s="109">
        <f t="shared" ref="AUC4:AWN4" si="41">AUB4+AUC3</f>
        <v>2041415.12</v>
      </c>
      <c r="AUD4" s="109">
        <f t="shared" si="41"/>
        <v>2041415.12</v>
      </c>
      <c r="AUE4" s="109">
        <f t="shared" si="41"/>
        <v>2041415.12</v>
      </c>
      <c r="AUF4" s="109">
        <f t="shared" si="41"/>
        <v>2041415.12</v>
      </c>
      <c r="AUG4" s="109">
        <f t="shared" si="41"/>
        <v>2041415.12</v>
      </c>
      <c r="AUH4" s="109">
        <f t="shared" si="41"/>
        <v>2041415.12</v>
      </c>
      <c r="AUI4" s="109">
        <f t="shared" si="41"/>
        <v>2041415.12</v>
      </c>
      <c r="AUJ4" s="109">
        <f t="shared" si="41"/>
        <v>2041415.12</v>
      </c>
      <c r="AUK4" s="109">
        <f t="shared" si="41"/>
        <v>2041415.12</v>
      </c>
      <c r="AUL4" s="109">
        <f t="shared" si="41"/>
        <v>2041415.12</v>
      </c>
      <c r="AUM4" s="109">
        <f t="shared" si="41"/>
        <v>2041415.12</v>
      </c>
      <c r="AUN4" s="109">
        <f t="shared" si="41"/>
        <v>2041415.12</v>
      </c>
      <c r="AUO4" s="109">
        <f t="shared" si="41"/>
        <v>2041415.12</v>
      </c>
      <c r="AUP4" s="109">
        <f t="shared" si="41"/>
        <v>2041415.12</v>
      </c>
      <c r="AUQ4" s="109">
        <f t="shared" si="41"/>
        <v>2041415.12</v>
      </c>
      <c r="AUR4" s="109">
        <f t="shared" si="41"/>
        <v>2041415.12</v>
      </c>
      <c r="AUS4" s="109">
        <f t="shared" si="41"/>
        <v>2041415.12</v>
      </c>
      <c r="AUT4" s="109">
        <f t="shared" si="41"/>
        <v>2041415.12</v>
      </c>
      <c r="AUU4" s="109">
        <f t="shared" si="41"/>
        <v>2041415.12</v>
      </c>
      <c r="AUV4" s="109">
        <f t="shared" si="41"/>
        <v>2041415.12</v>
      </c>
      <c r="AUW4" s="109">
        <f t="shared" si="41"/>
        <v>2041415.12</v>
      </c>
      <c r="AUX4" s="109">
        <f t="shared" si="41"/>
        <v>2041415.12</v>
      </c>
      <c r="AUY4" s="109">
        <f t="shared" si="41"/>
        <v>2041415.12</v>
      </c>
      <c r="AUZ4" s="109">
        <f t="shared" si="41"/>
        <v>2041415.12</v>
      </c>
      <c r="AVA4" s="109">
        <f t="shared" si="41"/>
        <v>2041415.12</v>
      </c>
      <c r="AVB4" s="109">
        <f t="shared" si="41"/>
        <v>2041415.12</v>
      </c>
      <c r="AVC4" s="109">
        <f t="shared" si="41"/>
        <v>2041415.12</v>
      </c>
      <c r="AVD4" s="109">
        <f t="shared" si="41"/>
        <v>2041415.12</v>
      </c>
      <c r="AVE4" s="109">
        <f t="shared" si="41"/>
        <v>2041415.12</v>
      </c>
      <c r="AVF4" s="109">
        <f t="shared" si="41"/>
        <v>2041415.12</v>
      </c>
      <c r="AVG4" s="109">
        <f t="shared" si="41"/>
        <v>2041415.12</v>
      </c>
      <c r="AVH4" s="109">
        <f t="shared" si="41"/>
        <v>2041415.12</v>
      </c>
      <c r="AVI4" s="109">
        <f t="shared" si="41"/>
        <v>2041415.12</v>
      </c>
      <c r="AVJ4" s="109">
        <f t="shared" si="41"/>
        <v>2041415.12</v>
      </c>
      <c r="AVK4" s="109">
        <f t="shared" si="41"/>
        <v>2041415.12</v>
      </c>
      <c r="AVL4" s="109">
        <f t="shared" si="41"/>
        <v>2041415.12</v>
      </c>
      <c r="AVM4" s="109">
        <f t="shared" si="41"/>
        <v>2041415.12</v>
      </c>
      <c r="AVN4" s="109">
        <f t="shared" si="41"/>
        <v>2041415.12</v>
      </c>
      <c r="AVO4" s="109">
        <f t="shared" si="41"/>
        <v>2041415.12</v>
      </c>
      <c r="AVP4" s="109">
        <f t="shared" si="41"/>
        <v>2041415.12</v>
      </c>
      <c r="AVQ4" s="109">
        <f t="shared" si="41"/>
        <v>2041415.12</v>
      </c>
      <c r="AVR4" s="109">
        <f t="shared" si="41"/>
        <v>2041415.12</v>
      </c>
      <c r="AVS4" s="109">
        <f t="shared" si="41"/>
        <v>2041415.12</v>
      </c>
      <c r="AVT4" s="109">
        <f t="shared" si="41"/>
        <v>2041415.12</v>
      </c>
      <c r="AVU4" s="109">
        <f t="shared" si="41"/>
        <v>2041415.12</v>
      </c>
      <c r="AVV4" s="109">
        <f t="shared" si="41"/>
        <v>2041415.12</v>
      </c>
      <c r="AVW4" s="109">
        <f t="shared" si="41"/>
        <v>2041415.12</v>
      </c>
      <c r="AVX4" s="109">
        <f t="shared" si="41"/>
        <v>2041415.12</v>
      </c>
      <c r="AVY4" s="109">
        <f t="shared" si="41"/>
        <v>2041415.12</v>
      </c>
      <c r="AVZ4" s="109">
        <f t="shared" si="41"/>
        <v>2041415.12</v>
      </c>
      <c r="AWA4" s="109">
        <f t="shared" si="41"/>
        <v>2041415.12</v>
      </c>
      <c r="AWB4" s="109">
        <f t="shared" si="41"/>
        <v>2041415.12</v>
      </c>
      <c r="AWC4" s="109">
        <f t="shared" si="41"/>
        <v>2041415.12</v>
      </c>
      <c r="AWD4" s="109">
        <f t="shared" si="41"/>
        <v>2041415.12</v>
      </c>
      <c r="AWE4" s="109">
        <f t="shared" si="41"/>
        <v>2041415.12</v>
      </c>
      <c r="AWF4" s="109">
        <f t="shared" si="41"/>
        <v>2041415.12</v>
      </c>
      <c r="AWG4" s="109">
        <f t="shared" si="41"/>
        <v>2041415.12</v>
      </c>
      <c r="AWH4" s="109">
        <f t="shared" si="41"/>
        <v>2041415.12</v>
      </c>
      <c r="AWI4" s="109">
        <f t="shared" si="41"/>
        <v>2041415.12</v>
      </c>
      <c r="AWJ4" s="109">
        <f t="shared" si="41"/>
        <v>2041415.12</v>
      </c>
      <c r="AWK4" s="109">
        <f t="shared" si="41"/>
        <v>2041415.12</v>
      </c>
      <c r="AWL4" s="109">
        <f t="shared" si="41"/>
        <v>2041415.12</v>
      </c>
      <c r="AWM4" s="109">
        <f t="shared" si="41"/>
        <v>2041415.12</v>
      </c>
      <c r="AWN4" s="109">
        <f t="shared" si="41"/>
        <v>2041415.12</v>
      </c>
      <c r="AWO4" s="109">
        <f t="shared" ref="AWO4:AYZ4" si="42">AWN4+AWO3</f>
        <v>2041415.12</v>
      </c>
      <c r="AWP4" s="109">
        <f t="shared" si="42"/>
        <v>2041415.12</v>
      </c>
      <c r="AWQ4" s="109">
        <f t="shared" si="42"/>
        <v>2041415.12</v>
      </c>
      <c r="AWR4" s="109">
        <f t="shared" si="42"/>
        <v>2041415.12</v>
      </c>
      <c r="AWS4" s="109">
        <f t="shared" si="42"/>
        <v>2041415.12</v>
      </c>
      <c r="AWT4" s="109">
        <f t="shared" si="42"/>
        <v>2041415.12</v>
      </c>
      <c r="AWU4" s="109">
        <f t="shared" si="42"/>
        <v>2041415.12</v>
      </c>
      <c r="AWV4" s="109">
        <f t="shared" si="42"/>
        <v>2041415.12</v>
      </c>
      <c r="AWW4" s="109">
        <f t="shared" si="42"/>
        <v>2041415.12</v>
      </c>
      <c r="AWX4" s="109">
        <f t="shared" si="42"/>
        <v>2041415.12</v>
      </c>
      <c r="AWY4" s="109">
        <f t="shared" si="42"/>
        <v>2041415.12</v>
      </c>
      <c r="AWZ4" s="109">
        <f t="shared" si="42"/>
        <v>2041415.12</v>
      </c>
      <c r="AXA4" s="109">
        <f t="shared" si="42"/>
        <v>2041415.12</v>
      </c>
      <c r="AXB4" s="109">
        <f t="shared" si="42"/>
        <v>2041415.12</v>
      </c>
      <c r="AXC4" s="109">
        <f t="shared" si="42"/>
        <v>2041415.12</v>
      </c>
      <c r="AXD4" s="109">
        <f t="shared" si="42"/>
        <v>2041415.12</v>
      </c>
      <c r="AXE4" s="109">
        <f t="shared" si="42"/>
        <v>2041415.12</v>
      </c>
      <c r="AXF4" s="109">
        <f t="shared" si="42"/>
        <v>2041415.12</v>
      </c>
      <c r="AXG4" s="109">
        <f t="shared" si="42"/>
        <v>2041415.12</v>
      </c>
      <c r="AXH4" s="109">
        <f t="shared" si="42"/>
        <v>2041415.12</v>
      </c>
      <c r="AXI4" s="109">
        <f t="shared" si="42"/>
        <v>2041415.12</v>
      </c>
      <c r="AXJ4" s="109">
        <f t="shared" si="42"/>
        <v>2041415.12</v>
      </c>
      <c r="AXK4" s="109">
        <f t="shared" si="42"/>
        <v>2041415.12</v>
      </c>
      <c r="AXL4" s="109">
        <f t="shared" si="42"/>
        <v>2041415.12</v>
      </c>
      <c r="AXM4" s="109">
        <f t="shared" si="42"/>
        <v>2041415.12</v>
      </c>
      <c r="AXN4" s="109">
        <f t="shared" si="42"/>
        <v>2041415.12</v>
      </c>
      <c r="AXO4" s="109">
        <f t="shared" si="42"/>
        <v>2041415.12</v>
      </c>
      <c r="AXP4" s="109">
        <f t="shared" si="42"/>
        <v>2041415.12</v>
      </c>
      <c r="AXQ4" s="109">
        <f t="shared" si="42"/>
        <v>2041415.12</v>
      </c>
      <c r="AXR4" s="109">
        <f t="shared" si="42"/>
        <v>2041415.12</v>
      </c>
      <c r="AXS4" s="109">
        <f t="shared" si="42"/>
        <v>2041415.12</v>
      </c>
      <c r="AXT4" s="109">
        <f t="shared" si="42"/>
        <v>2041415.12</v>
      </c>
      <c r="AXU4" s="109">
        <f t="shared" si="42"/>
        <v>2041415.12</v>
      </c>
      <c r="AXV4" s="109">
        <f t="shared" si="42"/>
        <v>2041415.12</v>
      </c>
      <c r="AXW4" s="109">
        <f t="shared" si="42"/>
        <v>2041415.12</v>
      </c>
      <c r="AXX4" s="109">
        <f t="shared" si="42"/>
        <v>2041415.12</v>
      </c>
      <c r="AXY4" s="109">
        <f t="shared" si="42"/>
        <v>2041415.12</v>
      </c>
      <c r="AXZ4" s="109">
        <f t="shared" si="42"/>
        <v>2041415.12</v>
      </c>
      <c r="AYA4" s="109">
        <f t="shared" si="42"/>
        <v>2041415.12</v>
      </c>
      <c r="AYB4" s="109">
        <f t="shared" si="42"/>
        <v>2041415.12</v>
      </c>
      <c r="AYC4" s="109">
        <f t="shared" si="42"/>
        <v>2041415.12</v>
      </c>
      <c r="AYD4" s="109">
        <f t="shared" si="42"/>
        <v>2041415.12</v>
      </c>
      <c r="AYE4" s="109">
        <f t="shared" si="42"/>
        <v>2041415.12</v>
      </c>
      <c r="AYF4" s="109">
        <f t="shared" si="42"/>
        <v>2041415.12</v>
      </c>
      <c r="AYG4" s="109">
        <f t="shared" si="42"/>
        <v>2041415.12</v>
      </c>
      <c r="AYH4" s="109">
        <f t="shared" si="42"/>
        <v>2041415.12</v>
      </c>
      <c r="AYI4" s="109">
        <f t="shared" si="42"/>
        <v>2041415.12</v>
      </c>
      <c r="AYJ4" s="109">
        <f t="shared" si="42"/>
        <v>2041415.12</v>
      </c>
      <c r="AYK4" s="109">
        <f t="shared" si="42"/>
        <v>2041415.12</v>
      </c>
      <c r="AYL4" s="109">
        <f t="shared" si="42"/>
        <v>2041415.12</v>
      </c>
      <c r="AYM4" s="109">
        <f t="shared" si="42"/>
        <v>2041415.12</v>
      </c>
      <c r="AYN4" s="109">
        <f t="shared" si="42"/>
        <v>2041415.12</v>
      </c>
      <c r="AYO4" s="109">
        <f t="shared" si="42"/>
        <v>2041415.12</v>
      </c>
      <c r="AYP4" s="109">
        <f t="shared" si="42"/>
        <v>2041415.12</v>
      </c>
      <c r="AYQ4" s="109">
        <f t="shared" si="42"/>
        <v>2041415.12</v>
      </c>
      <c r="AYR4" s="109">
        <f t="shared" si="42"/>
        <v>2041415.12</v>
      </c>
      <c r="AYS4" s="109">
        <f t="shared" si="42"/>
        <v>2041415.12</v>
      </c>
      <c r="AYT4" s="109">
        <f t="shared" si="42"/>
        <v>2041415.12</v>
      </c>
      <c r="AYU4" s="109">
        <f t="shared" si="42"/>
        <v>2041415.12</v>
      </c>
      <c r="AYV4" s="109">
        <f t="shared" si="42"/>
        <v>2041415.12</v>
      </c>
      <c r="AYW4" s="109">
        <f t="shared" si="42"/>
        <v>2041415.12</v>
      </c>
      <c r="AYX4" s="109">
        <f t="shared" si="42"/>
        <v>2041415.12</v>
      </c>
      <c r="AYY4" s="109">
        <f t="shared" si="42"/>
        <v>2041415.12</v>
      </c>
      <c r="AYZ4" s="109">
        <f t="shared" si="42"/>
        <v>2041415.12</v>
      </c>
      <c r="AZA4" s="109">
        <f t="shared" ref="AZA4:AZG4" si="43">AYZ4+AZA3</f>
        <v>2041415.12</v>
      </c>
      <c r="AZB4" s="109">
        <f t="shared" si="43"/>
        <v>2041415.12</v>
      </c>
      <c r="AZC4" s="109">
        <f t="shared" si="43"/>
        <v>2041415.12</v>
      </c>
      <c r="AZD4" s="109">
        <f t="shared" si="43"/>
        <v>2041415.12</v>
      </c>
      <c r="AZE4" s="109">
        <f t="shared" si="43"/>
        <v>2041415.12</v>
      </c>
      <c r="AZF4" s="109">
        <f t="shared" si="43"/>
        <v>2041415.12</v>
      </c>
      <c r="AZG4" s="109">
        <f t="shared" si="43"/>
        <v>2041415.12</v>
      </c>
    </row>
    <row r="5" spans="1:1837" s="114" customFormat="1">
      <c r="A5" s="777"/>
      <c r="B5" s="110" t="s">
        <v>254</v>
      </c>
      <c r="C5" s="111">
        <f>'Revenue Tracking'!D5</f>
        <v>1645950.6998642778</v>
      </c>
      <c r="D5" s="111">
        <f>SUM(F5:AZG5)</f>
        <v>640356.22222222225</v>
      </c>
      <c r="E5" s="108"/>
      <c r="F5" s="112">
        <f>SUMIFS('Expenditure Breakdown'!$G$6:$G$174, 'Expenditure Breakdown'!$H$6:$H$174, "&gt;="&amp;F1,'Expenditure Breakdown'!$H$6:$H$174, "&lt;"&amp;G1)</f>
        <v>0</v>
      </c>
      <c r="G5" s="112">
        <f>SUMIFS('Expenditure Breakdown'!$G$6:$G$174, 'Expenditure Breakdown'!$H$6:$H$174, "&gt;="&amp;G1,'Expenditure Breakdown'!$H$6:$H$174, "&lt;"&amp;H1)</f>
        <v>0</v>
      </c>
      <c r="H5" s="112">
        <f>SUMIFS('Expenditure Breakdown'!$G$6:$G$174, 'Expenditure Breakdown'!$H$6:$H$174, "&gt;="&amp;H1,'Expenditure Breakdown'!$H$6:$H$174, "&lt;"&amp;I1)</f>
        <v>0</v>
      </c>
      <c r="I5" s="112">
        <f>SUMIFS('Expenditure Breakdown'!$G$6:$G$174, 'Expenditure Breakdown'!$H$6:$H$174, "&gt;="&amp;I1,'Expenditure Breakdown'!$H$6:$H$174, "&lt;"&amp;J1)</f>
        <v>0</v>
      </c>
      <c r="J5" s="112">
        <f>SUMIFS('Expenditure Breakdown'!$G$6:$G$174, 'Expenditure Breakdown'!$H$6:$H$174, "&gt;="&amp;J1,'Expenditure Breakdown'!$H$6:$H$174, "&lt;"&amp;K1)</f>
        <v>0</v>
      </c>
      <c r="K5" s="112">
        <f>SUMIFS('Expenditure Breakdown'!$G$6:$G$174, 'Expenditure Breakdown'!$H$6:$H$174, "&gt;="&amp;K1,'Expenditure Breakdown'!$H$6:$H$174, "&lt;"&amp;L1)</f>
        <v>0</v>
      </c>
      <c r="L5" s="112">
        <f>SUMIFS('Expenditure Breakdown'!$G$6:$G$174, 'Expenditure Breakdown'!$H$6:$H$174, "&gt;="&amp;L1,'Expenditure Breakdown'!$H$6:$H$174, "&lt;"&amp;M1)</f>
        <v>0</v>
      </c>
      <c r="M5" s="112">
        <f>SUMIFS('Expenditure Breakdown'!$G$6:$G$174, 'Expenditure Breakdown'!$H$6:$H$174, "&gt;="&amp;M1,'Expenditure Breakdown'!$H$6:$H$174, "&lt;"&amp;N1)</f>
        <v>0</v>
      </c>
      <c r="N5" s="112">
        <f>SUMIFS('Expenditure Breakdown'!$G$6:$G$174, 'Expenditure Breakdown'!$H$6:$H$174, "&gt;="&amp;N1,'Expenditure Breakdown'!$H$6:$H$174, "&lt;"&amp;O1)</f>
        <v>0</v>
      </c>
      <c r="O5" s="112">
        <f>SUMIFS('Expenditure Breakdown'!$G$6:$G$174, 'Expenditure Breakdown'!$H$6:$H$174, "&gt;="&amp;O1,'Expenditure Breakdown'!$H$6:$H$174, "&lt;"&amp;P1)</f>
        <v>0</v>
      </c>
      <c r="P5" s="112">
        <f>SUMIFS('Expenditure Breakdown'!$G$6:$G$174, 'Expenditure Breakdown'!$H$6:$H$174, "&gt;="&amp;P1,'Expenditure Breakdown'!$H$6:$H$174, "&lt;"&amp;Q1)</f>
        <v>0</v>
      </c>
      <c r="Q5" s="112">
        <f>SUMIFS('Expenditure Breakdown'!$G$6:$G$174, 'Expenditure Breakdown'!$H$6:$H$174, "&gt;="&amp;Q1,'Expenditure Breakdown'!$H$6:$H$174, "&lt;"&amp;R1)</f>
        <v>0</v>
      </c>
      <c r="R5" s="112">
        <f>SUMIFS('Expenditure Breakdown'!$G$6:$G$174, 'Expenditure Breakdown'!$H$6:$H$174, "&gt;="&amp;R1,'Expenditure Breakdown'!$H$6:$H$174, "&lt;"&amp;S1)</f>
        <v>0</v>
      </c>
      <c r="S5" s="112">
        <f>SUMIFS('Expenditure Breakdown'!$G$6:$G$174, 'Expenditure Breakdown'!$H$6:$H$174, "&gt;="&amp;S1,'Expenditure Breakdown'!$H$6:$H$174, "&lt;"&amp;T1)</f>
        <v>18000</v>
      </c>
      <c r="T5" s="112">
        <f>SUMIFS('Expenditure Breakdown'!$G$6:$G$174, 'Expenditure Breakdown'!$H$6:$H$174, "&gt;="&amp;T1,'Expenditure Breakdown'!$H$6:$H$174, "&lt;"&amp;U1)</f>
        <v>0</v>
      </c>
      <c r="U5" s="112">
        <f>SUMIFS('Expenditure Breakdown'!$G$6:$G$174, 'Expenditure Breakdown'!$H$6:$H$174, "&gt;="&amp;U1,'Expenditure Breakdown'!$H$6:$H$174, "&lt;"&amp;V1)</f>
        <v>0</v>
      </c>
      <c r="V5" s="112">
        <f>SUMIFS('Expenditure Breakdown'!$G$6:$G$174, 'Expenditure Breakdown'!$H$6:$H$174, "&gt;="&amp;V1,'Expenditure Breakdown'!$H$6:$H$174, "&lt;"&amp;W1)</f>
        <v>0</v>
      </c>
      <c r="W5" s="112">
        <f>SUMIFS('Expenditure Breakdown'!$G$6:$G$174, 'Expenditure Breakdown'!$H$6:$H$174, "&gt;="&amp;W1,'Expenditure Breakdown'!$H$6:$H$174, "&lt;"&amp;X1)</f>
        <v>226756.22222222222</v>
      </c>
      <c r="X5" s="112">
        <f>SUMIFS('Expenditure Breakdown'!$G$6:$G$174, 'Expenditure Breakdown'!$H$6:$H$174, "&gt;="&amp;X1,'Expenditure Breakdown'!$H$6:$H$174, "&lt;"&amp;Y1)</f>
        <v>395600</v>
      </c>
      <c r="Y5" s="112">
        <f>SUMIFS('Expenditure Breakdown'!$G$6:$G$174, 'Expenditure Breakdown'!$H$6:$H$174, "&gt;="&amp;Y1,'Expenditure Breakdown'!$H$6:$H$174, "&lt;"&amp;Z1)</f>
        <v>0</v>
      </c>
      <c r="Z5" s="112">
        <f>SUMIFS('Expenditure Breakdown'!$G$6:$G$174, 'Expenditure Breakdown'!$H$6:$H$174, "&gt;="&amp;Z1,'Expenditure Breakdown'!$H$6:$H$174, "&lt;"&amp;AA1)</f>
        <v>0</v>
      </c>
      <c r="AA5" s="112">
        <f>SUMIFS('Expenditure Breakdown'!$G$6:$G$174, 'Expenditure Breakdown'!$H$6:$H$174, "&gt;="&amp;AA1,'Expenditure Breakdown'!$H$6:$H$174, "&lt;"&amp;AB1)</f>
        <v>0</v>
      </c>
      <c r="AB5" s="112">
        <f>SUMIFS('Expenditure Breakdown'!$G$6:$G$174, 'Expenditure Breakdown'!$H$6:$H$174, "&gt;="&amp;AB1,'Expenditure Breakdown'!$H$6:$H$174, "&lt;"&amp;AC1)</f>
        <v>0</v>
      </c>
      <c r="AC5" s="112">
        <f>SUMIFS('Expenditure Breakdown'!$G$6:$G$174, 'Expenditure Breakdown'!$H$6:$H$174, "&gt;="&amp;AC1,'Expenditure Breakdown'!$H$6:$H$174, "&lt;"&amp;AD1)</f>
        <v>0</v>
      </c>
      <c r="AD5" s="112">
        <f>SUMIFS('Expenditure Breakdown'!$G$6:$G$174, 'Expenditure Breakdown'!$H$6:$H$174, "&gt;="&amp;AD1,'Expenditure Breakdown'!$H$6:$H$174, "&lt;"&amp;AE1)</f>
        <v>0</v>
      </c>
      <c r="AE5" s="112">
        <f>SUMIFS('Expenditure Breakdown'!$G$6:$G$174, 'Expenditure Breakdown'!$H$6:$H$174, "&gt;="&amp;AE1,'Expenditure Breakdown'!$H$6:$H$174, "&lt;"&amp;AF1)</f>
        <v>0</v>
      </c>
      <c r="AF5" s="112">
        <f>SUMIFS('Expenditure Breakdown'!$G$6:$G$174, 'Expenditure Breakdown'!$H$6:$H$174, "&gt;="&amp;AF1,'Expenditure Breakdown'!$H$6:$H$174, "&lt;"&amp;AG1)</f>
        <v>0</v>
      </c>
      <c r="AG5" s="112">
        <f>SUMIFS('Expenditure Breakdown'!$G$6:$G$174, 'Expenditure Breakdown'!$H$6:$H$174, "&gt;="&amp;AG1,'Expenditure Breakdown'!$H$6:$H$174, "&lt;"&amp;AH1)</f>
        <v>0</v>
      </c>
      <c r="AH5" s="112">
        <f>SUMIFS('Expenditure Breakdown'!$G$6:$G$174, 'Expenditure Breakdown'!$H$6:$H$174, "&gt;="&amp;AH1,'Expenditure Breakdown'!$H$6:$H$174, "&lt;"&amp;AI1)</f>
        <v>0</v>
      </c>
      <c r="AI5" s="112">
        <f>SUMIFS('Expenditure Breakdown'!$G$6:$G$174, 'Expenditure Breakdown'!$H$6:$H$174, "&gt;="&amp;AI1,'Expenditure Breakdown'!$H$6:$H$174, "&lt;"&amp;AJ1)</f>
        <v>0</v>
      </c>
      <c r="AJ5" s="112">
        <f>SUMIFS('Expenditure Breakdown'!$G$6:$G$174, 'Expenditure Breakdown'!$H$6:$H$174, "&gt;="&amp;AJ1,'Expenditure Breakdown'!$H$6:$H$174, "&lt;"&amp;AK1)</f>
        <v>0</v>
      </c>
      <c r="AK5" s="112">
        <f>SUMIFS('Expenditure Breakdown'!$G$6:$G$174, 'Expenditure Breakdown'!$H$6:$H$174, "&gt;="&amp;AK1,'Expenditure Breakdown'!$H$6:$H$174, "&lt;"&amp;AL1)</f>
        <v>0</v>
      </c>
      <c r="AL5" s="112">
        <f>SUMIFS('Expenditure Breakdown'!$G$6:$G$174, 'Expenditure Breakdown'!$H$6:$H$174, "&gt;="&amp;AL1,'Expenditure Breakdown'!$H$6:$H$174, "&lt;"&amp;AM1)</f>
        <v>0</v>
      </c>
      <c r="AM5" s="112">
        <f>SUMIFS('Expenditure Breakdown'!$G$6:$G$174, 'Expenditure Breakdown'!$H$6:$H$174, "&gt;="&amp;AM1,'Expenditure Breakdown'!$H$6:$H$174, "&lt;"&amp;AN1)</f>
        <v>0</v>
      </c>
      <c r="AN5" s="112">
        <f>SUMIFS('Expenditure Breakdown'!$G$6:$G$174, 'Expenditure Breakdown'!$H$6:$H$174, "&gt;="&amp;AN1,'Expenditure Breakdown'!$H$6:$H$174, "&lt;"&amp;AO1)</f>
        <v>0</v>
      </c>
      <c r="AO5" s="112">
        <f>SUMIFS('Expenditure Breakdown'!$G$6:$G$174, 'Expenditure Breakdown'!$H$6:$H$174, "&gt;="&amp;AO1,'Expenditure Breakdown'!$H$6:$H$174, "&lt;"&amp;AP1)</f>
        <v>0</v>
      </c>
      <c r="AP5" s="112">
        <f>SUMIFS('Expenditure Breakdown'!$G$6:$G$174, 'Expenditure Breakdown'!$H$6:$H$174, "&gt;="&amp;AP1,'Expenditure Breakdown'!$H$6:$H$174, "&lt;"&amp;AQ1)</f>
        <v>0</v>
      </c>
      <c r="AQ5" s="112">
        <f>SUMIFS('Expenditure Breakdown'!$G$6:$G$174, 'Expenditure Breakdown'!$H$6:$H$174, "&gt;="&amp;AQ1,'Expenditure Breakdown'!$H$6:$H$174, "&lt;"&amp;AR1)</f>
        <v>0</v>
      </c>
      <c r="AR5" s="112">
        <f>SUMIFS('Expenditure Breakdown'!$G$6:$G$174, 'Expenditure Breakdown'!$H$6:$H$174, "&gt;="&amp;AR1,'Expenditure Breakdown'!$H$6:$H$174, "&lt;"&amp;AS1)</f>
        <v>0</v>
      </c>
      <c r="AS5" s="112">
        <f>SUMIFS('Expenditure Breakdown'!$G$6:$G$174, 'Expenditure Breakdown'!$H$6:$H$174, "&gt;="&amp;AS1,'Expenditure Breakdown'!$H$6:$H$174, "&lt;"&amp;AT1)</f>
        <v>0</v>
      </c>
      <c r="AT5" s="112">
        <f>SUMIFS('Expenditure Breakdown'!$G$6:$G$174, 'Expenditure Breakdown'!$H$6:$H$174, "&gt;="&amp;AT1,'Expenditure Breakdown'!$H$6:$H$174, "&lt;"&amp;AU1)</f>
        <v>0</v>
      </c>
      <c r="AU5" s="112">
        <f>SUMIFS('Expenditure Breakdown'!$G$6:$G$174, 'Expenditure Breakdown'!$H$6:$H$174, "&gt;="&amp;AU1,'Expenditure Breakdown'!$H$6:$H$174, "&lt;"&amp;AV1)</f>
        <v>0</v>
      </c>
      <c r="AV5" s="112">
        <f>SUMIFS('Expenditure Breakdown'!$G$6:$G$174, 'Expenditure Breakdown'!$H$6:$H$174, "&gt;="&amp;AV1,'Expenditure Breakdown'!$H$6:$H$174, "&lt;"&amp;AW1)</f>
        <v>0</v>
      </c>
      <c r="AW5" s="112">
        <f>SUMIFS('Expenditure Breakdown'!$G$6:$G$174, 'Expenditure Breakdown'!$H$6:$H$174, "&gt;="&amp;AW1,'Expenditure Breakdown'!$H$6:$H$174, "&lt;"&amp;AX1)</f>
        <v>0</v>
      </c>
      <c r="AX5" s="112">
        <f>SUMIFS('Expenditure Breakdown'!$G$6:$G$174, 'Expenditure Breakdown'!$H$6:$H$174, "&gt;="&amp;AX1,'Expenditure Breakdown'!$H$6:$H$174, "&lt;"&amp;AY1)</f>
        <v>0</v>
      </c>
      <c r="AY5" s="112">
        <f>SUMIFS('Expenditure Breakdown'!$G$6:$G$174, 'Expenditure Breakdown'!$H$6:$H$174, "&gt;="&amp;AY1,'Expenditure Breakdown'!$H$6:$H$174, "&lt;"&amp;AZ1)</f>
        <v>0</v>
      </c>
      <c r="AZ5" s="112">
        <f>SUMIFS('Expenditure Breakdown'!$G$6:$G$174, 'Expenditure Breakdown'!$H$6:$H$174, "&gt;="&amp;AZ1,'Expenditure Breakdown'!$H$6:$H$174, "&lt;"&amp;BA1)</f>
        <v>0</v>
      </c>
      <c r="BA5" s="112">
        <f>SUMIFS('Expenditure Breakdown'!$G$6:$G$174, 'Expenditure Breakdown'!$H$6:$H$174, "&gt;="&amp;BA1,'Expenditure Breakdown'!$H$6:$H$174, "&lt;"&amp;BB1)</f>
        <v>0</v>
      </c>
      <c r="BB5" s="112">
        <f>SUMIFS('Expenditure Breakdown'!$G$6:$G$174, 'Expenditure Breakdown'!$H$6:$H$174, "&gt;="&amp;BB1,'Expenditure Breakdown'!$H$6:$H$174, "&lt;"&amp;BC1)</f>
        <v>0</v>
      </c>
      <c r="BC5" s="112">
        <f>SUMIFS('Expenditure Breakdown'!$G$6:$G$174, 'Expenditure Breakdown'!$H$6:$H$174, "&gt;="&amp;BC1,'Expenditure Breakdown'!$H$6:$H$174, "&lt;"&amp;BD1)</f>
        <v>0</v>
      </c>
      <c r="BD5" s="112">
        <f>SUMIFS('Expenditure Breakdown'!$G$6:$G$174, 'Expenditure Breakdown'!$H$6:$H$174, "&gt;="&amp;BD1,'Expenditure Breakdown'!$H$6:$H$174, "&lt;"&amp;BE1)</f>
        <v>0</v>
      </c>
      <c r="BE5" s="112">
        <f>SUMIFS('Expenditure Breakdown'!$G$6:$G$174, 'Expenditure Breakdown'!$H$6:$H$174, "&gt;="&amp;BE1,'Expenditure Breakdown'!$H$6:$H$174, "&lt;"&amp;BF1)</f>
        <v>0</v>
      </c>
      <c r="BF5" s="112">
        <f>SUMIFS('Expenditure Breakdown'!$G$6:$G$174, 'Expenditure Breakdown'!$H$6:$H$174, "&gt;="&amp;BF1,'Expenditure Breakdown'!$H$6:$H$174, "&lt;"&amp;BG1)</f>
        <v>0</v>
      </c>
      <c r="BG5" s="112">
        <f>SUMIFS('Expenditure Breakdown'!$G$6:$G$174, 'Expenditure Breakdown'!$H$6:$H$174, "&gt;="&amp;BG1,'Expenditure Breakdown'!$H$6:$H$174, "&lt;"&amp;BH1)</f>
        <v>0</v>
      </c>
      <c r="BH5" s="112">
        <f>SUMIFS('Expenditure Breakdown'!$G$6:$G$174, 'Expenditure Breakdown'!$H$6:$H$174, "&gt;="&amp;BH1,'Expenditure Breakdown'!$H$6:$H$174, "&lt;"&amp;BI1)</f>
        <v>0</v>
      </c>
      <c r="BI5" s="112">
        <f>SUMIFS('Expenditure Breakdown'!$G$6:$G$174, 'Expenditure Breakdown'!$H$6:$H$174, "&gt;="&amp;BI1,'Expenditure Breakdown'!$H$6:$H$174, "&lt;"&amp;BJ1)</f>
        <v>0</v>
      </c>
      <c r="BJ5" s="112">
        <f>SUMIFS('Expenditure Breakdown'!$G$6:$G$174, 'Expenditure Breakdown'!$H$6:$H$174, "&gt;="&amp;BJ1,'Expenditure Breakdown'!$H$6:$H$174, "&lt;"&amp;BK1)</f>
        <v>0</v>
      </c>
      <c r="BK5" s="112">
        <f>SUMIFS('Expenditure Breakdown'!$G$6:$G$174, 'Expenditure Breakdown'!$H$6:$H$174, "&gt;="&amp;BK1,'Expenditure Breakdown'!$H$6:$H$174, "&lt;"&amp;BL1)</f>
        <v>0</v>
      </c>
      <c r="BL5" s="112">
        <f>SUMIFS('Expenditure Breakdown'!$G$6:$G$174, 'Expenditure Breakdown'!$H$6:$H$174, "&gt;="&amp;BL1,'Expenditure Breakdown'!$H$6:$H$174, "&lt;"&amp;BM1)</f>
        <v>0</v>
      </c>
      <c r="BM5" s="112">
        <f>SUMIFS('Expenditure Breakdown'!$G$6:$G$174, 'Expenditure Breakdown'!$H$6:$H$174, "&gt;="&amp;BM1,'Expenditure Breakdown'!$H$6:$H$174, "&lt;"&amp;BN1)</f>
        <v>0</v>
      </c>
      <c r="BN5" s="112">
        <f>SUMIFS('Expenditure Breakdown'!$G$6:$G$174, 'Expenditure Breakdown'!$H$6:$H$174, "&gt;="&amp;BN1,'Expenditure Breakdown'!$H$6:$H$174, "&lt;"&amp;BO1)</f>
        <v>0</v>
      </c>
      <c r="BO5" s="112">
        <f>SUMIFS('Expenditure Breakdown'!$G$6:$G$174, 'Expenditure Breakdown'!$H$6:$H$174, "&gt;="&amp;BO1,'Expenditure Breakdown'!$H$6:$H$174, "&lt;"&amp;BP1)</f>
        <v>0</v>
      </c>
      <c r="BP5" s="112">
        <f>SUMIFS('Expenditure Breakdown'!$G$6:$G$174, 'Expenditure Breakdown'!$H$6:$H$174, "&gt;="&amp;BP1,'Expenditure Breakdown'!$H$6:$H$174, "&lt;"&amp;BQ1)</f>
        <v>0</v>
      </c>
      <c r="BQ5" s="112">
        <f>SUMIFS('Expenditure Breakdown'!$G$6:$G$174, 'Expenditure Breakdown'!$H$6:$H$174, "&gt;="&amp;BQ1,'Expenditure Breakdown'!$H$6:$H$174, "&lt;"&amp;BR1)</f>
        <v>0</v>
      </c>
      <c r="BR5" s="112">
        <f>SUMIFS('Expenditure Breakdown'!$G$6:$G$174, 'Expenditure Breakdown'!$H$6:$H$174, "&gt;="&amp;BR1,'Expenditure Breakdown'!$H$6:$H$174, "&lt;"&amp;BS1)</f>
        <v>0</v>
      </c>
      <c r="BS5" s="112">
        <f>SUMIFS('Expenditure Breakdown'!$G$6:$G$174, 'Expenditure Breakdown'!$H$6:$H$174, "&gt;="&amp;BS1,'Expenditure Breakdown'!$H$6:$H$174, "&lt;"&amp;BT1)</f>
        <v>0</v>
      </c>
      <c r="BT5" s="112">
        <f>SUMIFS('Expenditure Breakdown'!$G$6:$G$174, 'Expenditure Breakdown'!$H$6:$H$174, "&gt;="&amp;BT1,'Expenditure Breakdown'!$H$6:$H$174, "&lt;"&amp;BU1)</f>
        <v>0</v>
      </c>
      <c r="BU5" s="112">
        <f>SUMIFS('Expenditure Breakdown'!$G$6:$G$174, 'Expenditure Breakdown'!$H$6:$H$174, "&gt;="&amp;BU1,'Expenditure Breakdown'!$H$6:$H$174, "&lt;"&amp;BV1)</f>
        <v>0</v>
      </c>
      <c r="BV5" s="112">
        <f>SUMIFS('Expenditure Breakdown'!$G$6:$G$174, 'Expenditure Breakdown'!$H$6:$H$174, "&gt;="&amp;BV1,'Expenditure Breakdown'!$H$6:$H$174, "&lt;"&amp;BW1)</f>
        <v>0</v>
      </c>
      <c r="BW5" s="112">
        <f>SUMIFS('Expenditure Breakdown'!$G$6:$G$174, 'Expenditure Breakdown'!$H$6:$H$174, "&gt;="&amp;BW1,'Expenditure Breakdown'!$H$6:$H$174, "&lt;"&amp;BX1)</f>
        <v>0</v>
      </c>
      <c r="BX5" s="112">
        <f>SUMIFS('Expenditure Breakdown'!$G$6:$G$174, 'Expenditure Breakdown'!$H$6:$H$174, "&gt;="&amp;BX1,'Expenditure Breakdown'!$H$6:$H$174, "&lt;"&amp;BY1)</f>
        <v>0</v>
      </c>
      <c r="BY5" s="112">
        <f>SUMIFS('Expenditure Breakdown'!$G$6:$G$174, 'Expenditure Breakdown'!$H$6:$H$174, "&gt;="&amp;BY1,'Expenditure Breakdown'!$H$6:$H$174, "&lt;"&amp;BZ1)</f>
        <v>0</v>
      </c>
      <c r="BZ5" s="112">
        <f>SUMIFS('Expenditure Breakdown'!$G$6:$G$174, 'Expenditure Breakdown'!$H$6:$H$174, "&gt;="&amp;BZ1,'Expenditure Breakdown'!$H$6:$H$174, "&lt;"&amp;CA1)</f>
        <v>0</v>
      </c>
      <c r="CA5" s="112">
        <f>SUMIFS('Expenditure Breakdown'!$G$6:$G$174, 'Expenditure Breakdown'!$H$6:$H$174, "&gt;="&amp;CA1,'Expenditure Breakdown'!$H$6:$H$174, "&lt;"&amp;CB1)</f>
        <v>0</v>
      </c>
      <c r="CB5" s="112">
        <f>SUMIFS('Expenditure Breakdown'!$G$6:$G$174, 'Expenditure Breakdown'!$H$6:$H$174, "&gt;="&amp;CB1,'Expenditure Breakdown'!$H$6:$H$174, "&lt;"&amp;CC1)</f>
        <v>0</v>
      </c>
      <c r="CC5" s="112">
        <f>SUMIFS('Expenditure Breakdown'!$G$6:$G$174, 'Expenditure Breakdown'!$H$6:$H$174, "&gt;="&amp;CC1,'Expenditure Breakdown'!$H$6:$H$174, "&lt;"&amp;CD1)</f>
        <v>0</v>
      </c>
      <c r="CD5" s="112">
        <f>SUMIFS('Expenditure Breakdown'!$G$6:$G$174, 'Expenditure Breakdown'!$H$6:$H$174, "&gt;="&amp;CD1,'Expenditure Breakdown'!$H$6:$H$174, "&lt;"&amp;CE1)</f>
        <v>0</v>
      </c>
      <c r="CE5" s="112">
        <f>SUMIFS('Expenditure Breakdown'!$G$6:$G$174, 'Expenditure Breakdown'!$H$6:$H$174, "&gt;="&amp;CE1,'Expenditure Breakdown'!$H$6:$H$174, "&lt;"&amp;CF1)</f>
        <v>0</v>
      </c>
      <c r="CF5" s="112">
        <f>SUMIFS('Expenditure Breakdown'!$G$6:$G$174, 'Expenditure Breakdown'!$H$6:$H$174, "&gt;="&amp;CF1,'Expenditure Breakdown'!$H$6:$H$174, "&lt;"&amp;CG1)</f>
        <v>0</v>
      </c>
      <c r="CG5" s="112">
        <f>SUMIFS('Expenditure Breakdown'!$G$6:$G$174, 'Expenditure Breakdown'!$H$6:$H$174, "&gt;="&amp;CG1,'Expenditure Breakdown'!$H$6:$H$174, "&lt;"&amp;CH1)</f>
        <v>0</v>
      </c>
      <c r="CH5" s="112">
        <f>SUMIFS('Expenditure Breakdown'!$G$6:$G$174, 'Expenditure Breakdown'!$H$6:$H$174, "&gt;="&amp;CH1,'Expenditure Breakdown'!$H$6:$H$174, "&lt;"&amp;CI1)</f>
        <v>0</v>
      </c>
      <c r="CI5" s="112">
        <f>SUMIFS('Expenditure Breakdown'!$G$6:$G$174, 'Expenditure Breakdown'!$H$6:$H$174, "&gt;="&amp;CI1,'Expenditure Breakdown'!$H$6:$H$174, "&lt;"&amp;CJ1)</f>
        <v>0</v>
      </c>
      <c r="CJ5" s="112">
        <f>SUMIFS('Expenditure Breakdown'!$G$6:$G$174, 'Expenditure Breakdown'!$H$6:$H$174, "&gt;="&amp;CJ1,'Expenditure Breakdown'!$H$6:$H$174, "&lt;"&amp;CK1)</f>
        <v>0</v>
      </c>
      <c r="CK5" s="112">
        <f>SUMIFS('Expenditure Breakdown'!$G$6:$G$174, 'Expenditure Breakdown'!$H$6:$H$174, "&gt;="&amp;CK1,'Expenditure Breakdown'!$H$6:$H$174, "&lt;"&amp;CL1)</f>
        <v>0</v>
      </c>
      <c r="CL5" s="112">
        <f>SUMIFS('Expenditure Breakdown'!$G$6:$G$174, 'Expenditure Breakdown'!$H$6:$H$174, "&gt;="&amp;CL1,'Expenditure Breakdown'!$H$6:$H$174, "&lt;"&amp;CM1)</f>
        <v>0</v>
      </c>
      <c r="CM5" s="112">
        <f>SUMIFS('Expenditure Breakdown'!$G$6:$G$174, 'Expenditure Breakdown'!$H$6:$H$174, "&gt;="&amp;CM1,'Expenditure Breakdown'!$H$6:$H$174, "&lt;"&amp;CN1)</f>
        <v>0</v>
      </c>
      <c r="CN5" s="112">
        <f>SUMIFS('Expenditure Breakdown'!$G$6:$G$174, 'Expenditure Breakdown'!$H$6:$H$174, "&gt;="&amp;CN1,'Expenditure Breakdown'!$H$6:$H$174, "&lt;"&amp;CO1)</f>
        <v>0</v>
      </c>
      <c r="CO5" s="112">
        <f>SUMIFS('Expenditure Breakdown'!$G$6:$G$174, 'Expenditure Breakdown'!$H$6:$H$174, "&gt;="&amp;CO1,'Expenditure Breakdown'!$H$6:$H$174, "&lt;"&amp;CP1)</f>
        <v>0</v>
      </c>
      <c r="CP5" s="112">
        <f>SUMIFS('Expenditure Breakdown'!$G$6:$G$174, 'Expenditure Breakdown'!$H$6:$H$174, "&gt;="&amp;CP1,'Expenditure Breakdown'!$H$6:$H$174, "&lt;"&amp;CQ1)</f>
        <v>0</v>
      </c>
      <c r="CQ5" s="112">
        <f>SUMIFS('Expenditure Breakdown'!$G$6:$G$174, 'Expenditure Breakdown'!$H$6:$H$174, "&gt;="&amp;CQ1,'Expenditure Breakdown'!$H$6:$H$174, "&lt;"&amp;CR1)</f>
        <v>0</v>
      </c>
      <c r="CR5" s="112">
        <f>SUMIFS('Expenditure Breakdown'!$G$6:$G$174, 'Expenditure Breakdown'!$H$6:$H$174, "&gt;="&amp;CR1,'Expenditure Breakdown'!$H$6:$H$174, "&lt;"&amp;CS1)</f>
        <v>0</v>
      </c>
      <c r="CS5" s="112">
        <f>SUMIFS('Expenditure Breakdown'!$G$6:$G$174, 'Expenditure Breakdown'!$H$6:$H$174, "&gt;="&amp;CS1,'Expenditure Breakdown'!$H$6:$H$174, "&lt;"&amp;CT1)</f>
        <v>0</v>
      </c>
      <c r="CT5" s="112">
        <f>SUMIFS('Expenditure Breakdown'!$G$6:$G$174, 'Expenditure Breakdown'!$H$6:$H$174, "&gt;="&amp;CT1,'Expenditure Breakdown'!$H$6:$H$174, "&lt;"&amp;CU1)</f>
        <v>0</v>
      </c>
      <c r="CU5" s="112">
        <f>SUMIFS('Expenditure Breakdown'!$G$6:$G$174, 'Expenditure Breakdown'!$H$6:$H$174, "&gt;="&amp;CU1,'Expenditure Breakdown'!$H$6:$H$174, "&lt;"&amp;CV1)</f>
        <v>0</v>
      </c>
      <c r="CV5" s="112">
        <f>SUMIFS('Expenditure Breakdown'!$G$6:$G$174, 'Expenditure Breakdown'!$H$6:$H$174, "&gt;="&amp;CV1,'Expenditure Breakdown'!$H$6:$H$174, "&lt;"&amp;CW1)</f>
        <v>0</v>
      </c>
      <c r="CW5" s="112">
        <f>SUMIFS('Expenditure Breakdown'!$G$6:$G$174, 'Expenditure Breakdown'!$H$6:$H$174, "&gt;="&amp;CW1,'Expenditure Breakdown'!$H$6:$H$174, "&lt;"&amp;CX1)</f>
        <v>0</v>
      </c>
      <c r="CX5" s="112">
        <f>SUMIFS('Expenditure Breakdown'!$G$6:$G$174, 'Expenditure Breakdown'!$H$6:$H$174, "&gt;="&amp;CX1,'Expenditure Breakdown'!$H$6:$H$174, "&lt;"&amp;CY1)</f>
        <v>0</v>
      </c>
      <c r="CY5" s="112">
        <f>SUMIFS('Expenditure Breakdown'!$G$6:$G$174, 'Expenditure Breakdown'!$H$6:$H$174, "&gt;="&amp;CY1,'Expenditure Breakdown'!$H$6:$H$174, "&lt;"&amp;CZ1)</f>
        <v>0</v>
      </c>
      <c r="CZ5" s="112">
        <f>SUMIFS('Expenditure Breakdown'!$G$6:$G$174, 'Expenditure Breakdown'!$H$6:$H$174, "&gt;="&amp;CZ1,'Expenditure Breakdown'!$H$6:$H$174, "&lt;"&amp;DA1)</f>
        <v>0</v>
      </c>
      <c r="DA5" s="112">
        <f>SUMIFS('Expenditure Breakdown'!$G$6:$G$174, 'Expenditure Breakdown'!$H$6:$H$174, "&gt;="&amp;DA1,'Expenditure Breakdown'!$H$6:$H$174, "&lt;"&amp;DB1)</f>
        <v>0</v>
      </c>
      <c r="DB5" s="112">
        <f>SUMIFS('Expenditure Breakdown'!$G$6:$G$174, 'Expenditure Breakdown'!$H$6:$H$174, "&gt;="&amp;DB1,'Expenditure Breakdown'!$H$6:$H$174, "&lt;"&amp;DC1)</f>
        <v>0</v>
      </c>
      <c r="DC5" s="112">
        <f>SUMIFS('Expenditure Breakdown'!$G$6:$G$174, 'Expenditure Breakdown'!$H$6:$H$174, "&gt;="&amp;DC1,'Expenditure Breakdown'!$H$6:$H$174, "&lt;"&amp;DD1)</f>
        <v>0</v>
      </c>
      <c r="DD5" s="112">
        <f>SUMIFS('Expenditure Breakdown'!$G$6:$G$174, 'Expenditure Breakdown'!$H$6:$H$174, "&gt;="&amp;DD1,'Expenditure Breakdown'!$H$6:$H$174, "&lt;"&amp;DE1)</f>
        <v>0</v>
      </c>
      <c r="DE5" s="112">
        <f>SUMIFS('Expenditure Breakdown'!$G$6:$G$174, 'Expenditure Breakdown'!$H$6:$H$174, "&gt;="&amp;DE1,'Expenditure Breakdown'!$H$6:$H$174, "&lt;"&amp;DF1)</f>
        <v>0</v>
      </c>
      <c r="DF5" s="112">
        <f>SUMIFS('Expenditure Breakdown'!$G$6:$G$174, 'Expenditure Breakdown'!$H$6:$H$174, "&gt;="&amp;DF1,'Expenditure Breakdown'!$H$6:$H$174, "&lt;"&amp;DG1)</f>
        <v>0</v>
      </c>
      <c r="DG5" s="112">
        <f>SUMIFS('Expenditure Breakdown'!$G$6:$G$174, 'Expenditure Breakdown'!$H$6:$H$174, "&gt;="&amp;DG1,'Expenditure Breakdown'!$H$6:$H$174, "&lt;"&amp;DH1)</f>
        <v>0</v>
      </c>
      <c r="DH5" s="112">
        <f>SUMIFS('Expenditure Breakdown'!$G$6:$G$174, 'Expenditure Breakdown'!$H$6:$H$174, "&gt;="&amp;DH1,'Expenditure Breakdown'!$H$6:$H$174, "&lt;"&amp;DI1)</f>
        <v>0</v>
      </c>
      <c r="DI5" s="112">
        <f>SUMIFS('Expenditure Breakdown'!$G$6:$G$174, 'Expenditure Breakdown'!$H$6:$H$174, "&gt;="&amp;DI1,'Expenditure Breakdown'!$H$6:$H$174, "&lt;"&amp;DJ1)</f>
        <v>0</v>
      </c>
      <c r="DJ5" s="112">
        <f>SUMIFS('Expenditure Breakdown'!$G$6:$G$174, 'Expenditure Breakdown'!$H$6:$H$174, "&gt;="&amp;DJ1,'Expenditure Breakdown'!$H$6:$H$174, "&lt;"&amp;DK1)</f>
        <v>0</v>
      </c>
      <c r="DK5" s="112">
        <f>SUMIFS('Expenditure Breakdown'!$G$6:$G$174, 'Expenditure Breakdown'!$H$6:$H$174, "&gt;="&amp;DK1,'Expenditure Breakdown'!$H$6:$H$174, "&lt;"&amp;DL1)</f>
        <v>0</v>
      </c>
      <c r="DL5" s="112">
        <f>SUMIFS('Expenditure Breakdown'!$G$6:$G$174, 'Expenditure Breakdown'!$H$6:$H$174, "&gt;="&amp;DL1,'Expenditure Breakdown'!$H$6:$H$174, "&lt;"&amp;DM1)</f>
        <v>0</v>
      </c>
      <c r="DM5" s="112">
        <f>SUMIFS('Expenditure Breakdown'!$G$6:$G$174, 'Expenditure Breakdown'!$H$6:$H$174, "&gt;="&amp;DM1,'Expenditure Breakdown'!$H$6:$H$174, "&lt;"&amp;DN1)</f>
        <v>0</v>
      </c>
      <c r="DN5" s="112">
        <f>SUMIFS('Expenditure Breakdown'!$G$6:$G$174, 'Expenditure Breakdown'!$H$6:$H$174, "&gt;="&amp;DN1,'Expenditure Breakdown'!$H$6:$H$174, "&lt;"&amp;DO1)</f>
        <v>0</v>
      </c>
      <c r="DO5" s="112">
        <f>SUMIFS('Expenditure Breakdown'!$G$6:$G$174, 'Expenditure Breakdown'!$H$6:$H$174, "&gt;="&amp;DO1,'Expenditure Breakdown'!$H$6:$H$174, "&lt;"&amp;DP1)</f>
        <v>0</v>
      </c>
      <c r="DP5" s="112">
        <f>SUMIFS('Expenditure Breakdown'!$G$6:$G$174, 'Expenditure Breakdown'!$H$6:$H$174, "&gt;="&amp;DP1,'Expenditure Breakdown'!$H$6:$H$174, "&lt;"&amp;DQ1)</f>
        <v>0</v>
      </c>
      <c r="DQ5" s="112">
        <f>SUMIFS('Expenditure Breakdown'!$G$6:$G$174, 'Expenditure Breakdown'!$H$6:$H$174, "&gt;="&amp;DQ1,'Expenditure Breakdown'!$H$6:$H$174, "&lt;"&amp;DR1)</f>
        <v>0</v>
      </c>
      <c r="DR5" s="112">
        <f>SUMIFS('Expenditure Breakdown'!$G$6:$G$174, 'Expenditure Breakdown'!$H$6:$H$174, "&gt;="&amp;DR1,'Expenditure Breakdown'!$H$6:$H$174, "&lt;"&amp;DS1)</f>
        <v>0</v>
      </c>
      <c r="DS5" s="112">
        <f>SUMIFS('Expenditure Breakdown'!$G$6:$G$174, 'Expenditure Breakdown'!$H$6:$H$174, "&gt;="&amp;DS1,'Expenditure Breakdown'!$H$6:$H$174, "&lt;"&amp;DT1)</f>
        <v>0</v>
      </c>
      <c r="DT5" s="112">
        <f>SUMIFS('Expenditure Breakdown'!$G$6:$G$174, 'Expenditure Breakdown'!$H$6:$H$174, "&gt;="&amp;DT1,'Expenditure Breakdown'!$H$6:$H$174, "&lt;"&amp;DU1)</f>
        <v>0</v>
      </c>
      <c r="DU5" s="112">
        <f>SUMIFS('Expenditure Breakdown'!$G$6:$G$174, 'Expenditure Breakdown'!$H$6:$H$174, "&gt;="&amp;DU1,'Expenditure Breakdown'!$H$6:$H$174, "&lt;"&amp;DV1)</f>
        <v>0</v>
      </c>
      <c r="DV5" s="112">
        <f>SUMIFS('Expenditure Breakdown'!$G$6:$G$174, 'Expenditure Breakdown'!$H$6:$H$174, "&gt;="&amp;DV1,'Expenditure Breakdown'!$H$6:$H$174, "&lt;"&amp;DW1)</f>
        <v>0</v>
      </c>
      <c r="DW5" s="112">
        <f>SUMIFS('Expenditure Breakdown'!$G$6:$G$174, 'Expenditure Breakdown'!$H$6:$H$174, "&gt;="&amp;DW1,'Expenditure Breakdown'!$H$6:$H$174, "&lt;"&amp;DX1)</f>
        <v>0</v>
      </c>
      <c r="DX5" s="112">
        <f>SUMIFS('Expenditure Breakdown'!$G$6:$G$174, 'Expenditure Breakdown'!$H$6:$H$174, "&gt;="&amp;DX1,'Expenditure Breakdown'!$H$6:$H$174, "&lt;"&amp;DY1)</f>
        <v>0</v>
      </c>
      <c r="DY5" s="112">
        <f>SUMIFS('Expenditure Breakdown'!$G$6:$G$174, 'Expenditure Breakdown'!$H$6:$H$174, "&gt;="&amp;DY1,'Expenditure Breakdown'!$H$6:$H$174, "&lt;"&amp;DZ1)</f>
        <v>0</v>
      </c>
      <c r="DZ5" s="112">
        <f>SUMIFS('Expenditure Breakdown'!$G$6:$G$174, 'Expenditure Breakdown'!$H$6:$H$174, "&gt;="&amp;DZ1,'Expenditure Breakdown'!$H$6:$H$174, "&lt;"&amp;EA1)</f>
        <v>0</v>
      </c>
      <c r="EA5" s="112">
        <f>SUMIFS('Expenditure Breakdown'!$G$6:$G$174, 'Expenditure Breakdown'!$H$6:$H$174, "&gt;="&amp;EA1,'Expenditure Breakdown'!$H$6:$H$174, "&lt;"&amp;EB1)</f>
        <v>0</v>
      </c>
      <c r="EB5" s="112">
        <f>SUMIFS('Expenditure Breakdown'!$G$6:$G$174, 'Expenditure Breakdown'!$H$6:$H$174, "&gt;="&amp;EB1,'Expenditure Breakdown'!$H$6:$H$174, "&lt;"&amp;EC1)</f>
        <v>0</v>
      </c>
      <c r="EC5" s="112">
        <f>SUMIFS('Expenditure Breakdown'!$G$6:$G$174, 'Expenditure Breakdown'!$H$6:$H$174, "&gt;="&amp;EC1,'Expenditure Breakdown'!$H$6:$H$174, "&lt;"&amp;ED1)</f>
        <v>0</v>
      </c>
      <c r="ED5" s="112">
        <f>SUMIFS('Expenditure Breakdown'!$G$6:$G$174, 'Expenditure Breakdown'!$H$6:$H$174, "&gt;="&amp;ED1,'Expenditure Breakdown'!$H$6:$H$174, "&lt;"&amp;EE1)</f>
        <v>0</v>
      </c>
      <c r="EE5" s="112">
        <f>SUMIFS('Expenditure Breakdown'!$G$6:$G$174, 'Expenditure Breakdown'!$H$6:$H$174, "&gt;="&amp;EE1,'Expenditure Breakdown'!$H$6:$H$174, "&lt;"&amp;EF1)</f>
        <v>0</v>
      </c>
      <c r="EF5" s="112">
        <f>SUMIFS('Expenditure Breakdown'!$G$6:$G$174, 'Expenditure Breakdown'!$H$6:$H$174, "&gt;="&amp;EF1,'Expenditure Breakdown'!$H$6:$H$174, "&lt;"&amp;EG1)</f>
        <v>0</v>
      </c>
      <c r="EG5" s="112">
        <f>SUMIFS('Expenditure Breakdown'!$G$6:$G$174, 'Expenditure Breakdown'!$H$6:$H$174, "&gt;="&amp;EG1,'Expenditure Breakdown'!$H$6:$H$174, "&lt;"&amp;EH1)</f>
        <v>0</v>
      </c>
      <c r="EH5" s="112">
        <f>SUMIFS('Expenditure Breakdown'!$G$6:$G$174, 'Expenditure Breakdown'!$H$6:$H$174, "&gt;="&amp;EH1,'Expenditure Breakdown'!$H$6:$H$174, "&lt;"&amp;EI1)</f>
        <v>0</v>
      </c>
      <c r="EI5" s="112">
        <f>SUMIFS('Expenditure Breakdown'!$G$6:$G$174, 'Expenditure Breakdown'!$H$6:$H$174, "&gt;="&amp;EI1,'Expenditure Breakdown'!$H$6:$H$174, "&lt;"&amp;EJ1)</f>
        <v>0</v>
      </c>
      <c r="EJ5" s="112">
        <f>SUMIFS('Expenditure Breakdown'!$G$6:$G$174, 'Expenditure Breakdown'!$H$6:$H$174, "&gt;="&amp;EJ1,'Expenditure Breakdown'!$H$6:$H$174, "&lt;"&amp;EK1)</f>
        <v>0</v>
      </c>
      <c r="EK5" s="112">
        <f>SUMIFS('Expenditure Breakdown'!$G$6:$G$174, 'Expenditure Breakdown'!$H$6:$H$174, "&gt;="&amp;EK1,'Expenditure Breakdown'!$H$6:$H$174, "&lt;"&amp;EL1)</f>
        <v>0</v>
      </c>
      <c r="EL5" s="112">
        <f>SUMIFS('Expenditure Breakdown'!$G$6:$G$174, 'Expenditure Breakdown'!$H$6:$H$174, "&gt;="&amp;EL1,'Expenditure Breakdown'!$H$6:$H$174, "&lt;"&amp;EM1)</f>
        <v>0</v>
      </c>
      <c r="EM5" s="112">
        <f>SUMIFS('Expenditure Breakdown'!$G$6:$G$174, 'Expenditure Breakdown'!$H$6:$H$174, "&gt;="&amp;EM1,'Expenditure Breakdown'!$H$6:$H$174, "&lt;"&amp;EN1)</f>
        <v>0</v>
      </c>
      <c r="EN5" s="112">
        <f>SUMIFS('Expenditure Breakdown'!$G$6:$G$174, 'Expenditure Breakdown'!$H$6:$H$174, "&gt;="&amp;EN1,'Expenditure Breakdown'!$H$6:$H$174, "&lt;"&amp;EO1)</f>
        <v>0</v>
      </c>
      <c r="EO5" s="112">
        <f>SUMIFS('Expenditure Breakdown'!$G$6:$G$174, 'Expenditure Breakdown'!$H$6:$H$174, "&gt;="&amp;EO1,'Expenditure Breakdown'!$H$6:$H$174, "&lt;"&amp;EP1)</f>
        <v>0</v>
      </c>
      <c r="EP5" s="112">
        <f>SUMIFS('Expenditure Breakdown'!$G$6:$G$174, 'Expenditure Breakdown'!$H$6:$H$174, "&gt;="&amp;EP1,'Expenditure Breakdown'!$H$6:$H$174, "&lt;"&amp;EQ1)</f>
        <v>0</v>
      </c>
      <c r="EQ5" s="112">
        <f>SUMIFS('Expenditure Breakdown'!$G$6:$G$174, 'Expenditure Breakdown'!$H$6:$H$174, "&gt;="&amp;EQ1,'Expenditure Breakdown'!$H$6:$H$174, "&lt;"&amp;ER1)</f>
        <v>0</v>
      </c>
      <c r="ER5" s="112">
        <f>SUMIFS('Expenditure Breakdown'!$G$6:$G$174, 'Expenditure Breakdown'!$H$6:$H$174, "&gt;="&amp;ER1,'Expenditure Breakdown'!$H$6:$H$174, "&lt;"&amp;ES1)</f>
        <v>0</v>
      </c>
      <c r="ES5" s="112">
        <f>SUMIFS('Expenditure Breakdown'!$G$6:$G$174, 'Expenditure Breakdown'!$H$6:$H$174, "&gt;="&amp;ES1,'Expenditure Breakdown'!$H$6:$H$174, "&lt;"&amp;ET1)</f>
        <v>0</v>
      </c>
      <c r="ET5" s="112">
        <f>SUMIFS('Expenditure Breakdown'!$G$6:$G$174, 'Expenditure Breakdown'!$H$6:$H$174, "&gt;="&amp;ET1,'Expenditure Breakdown'!$H$6:$H$174, "&lt;"&amp;EU1)</f>
        <v>0</v>
      </c>
      <c r="EU5" s="112">
        <f>SUMIFS('Expenditure Breakdown'!$G$6:$G$174, 'Expenditure Breakdown'!$H$6:$H$174, "&gt;="&amp;EU1,'Expenditure Breakdown'!$H$6:$H$174, "&lt;"&amp;EV1)</f>
        <v>0</v>
      </c>
      <c r="EV5" s="112">
        <f>SUMIFS('Expenditure Breakdown'!$G$6:$G$174, 'Expenditure Breakdown'!$H$6:$H$174, "&gt;="&amp;EV1,'Expenditure Breakdown'!$H$6:$H$174, "&lt;"&amp;EW1)</f>
        <v>0</v>
      </c>
      <c r="EW5" s="112">
        <f>SUMIFS('Expenditure Breakdown'!$G$6:$G$174, 'Expenditure Breakdown'!$H$6:$H$174, "&gt;="&amp;EW1,'Expenditure Breakdown'!$H$6:$H$174, "&lt;"&amp;EX1)</f>
        <v>0</v>
      </c>
      <c r="EX5" s="112">
        <f>SUMIFS('Expenditure Breakdown'!$G$6:$G$174, 'Expenditure Breakdown'!$H$6:$H$174, "&gt;="&amp;EX1,'Expenditure Breakdown'!$H$6:$H$174, "&lt;"&amp;EY1)</f>
        <v>0</v>
      </c>
      <c r="EY5" s="112">
        <f>SUMIFS('Expenditure Breakdown'!$G$6:$G$174, 'Expenditure Breakdown'!$H$6:$H$174, "&gt;="&amp;EY1,'Expenditure Breakdown'!$H$6:$H$174, "&lt;"&amp;EZ1)</f>
        <v>0</v>
      </c>
      <c r="EZ5" s="112">
        <f>SUMIFS('Expenditure Breakdown'!$G$6:$G$174, 'Expenditure Breakdown'!$H$6:$H$174, "&gt;="&amp;EZ1,'Expenditure Breakdown'!$H$6:$H$174, "&lt;"&amp;FA1)</f>
        <v>0</v>
      </c>
      <c r="FA5" s="112">
        <f>SUMIFS('Expenditure Breakdown'!$G$6:$G$174, 'Expenditure Breakdown'!$H$6:$H$174, "&gt;="&amp;FA1,'Expenditure Breakdown'!$H$6:$H$174, "&lt;"&amp;FB1)</f>
        <v>0</v>
      </c>
      <c r="FB5" s="112">
        <f>SUMIFS('Expenditure Breakdown'!$G$6:$G$174, 'Expenditure Breakdown'!$H$6:$H$174, "&gt;="&amp;FB1,'Expenditure Breakdown'!$H$6:$H$174, "&lt;"&amp;FC1)</f>
        <v>0</v>
      </c>
      <c r="FC5" s="112">
        <f>SUMIFS('Expenditure Breakdown'!$G$6:$G$174, 'Expenditure Breakdown'!$H$6:$H$174, "&gt;="&amp;FC1,'Expenditure Breakdown'!$H$6:$H$174, "&lt;"&amp;FD1)</f>
        <v>0</v>
      </c>
      <c r="FD5" s="112">
        <f>SUMIFS('Expenditure Breakdown'!$G$6:$G$174, 'Expenditure Breakdown'!$H$6:$H$174, "&gt;="&amp;FD1,'Expenditure Breakdown'!$H$6:$H$174, "&lt;"&amp;FE1)</f>
        <v>0</v>
      </c>
      <c r="FE5" s="112">
        <f>SUMIFS('Expenditure Breakdown'!$G$6:$G$174, 'Expenditure Breakdown'!$H$6:$H$174, "&gt;="&amp;FE1,'Expenditure Breakdown'!$H$6:$H$174, "&lt;"&amp;FF1)</f>
        <v>0</v>
      </c>
      <c r="FF5" s="112">
        <f>SUMIFS('Expenditure Breakdown'!$G$6:$G$174, 'Expenditure Breakdown'!$H$6:$H$174, "&gt;="&amp;FF1,'Expenditure Breakdown'!$H$6:$H$174, "&lt;"&amp;FG1)</f>
        <v>0</v>
      </c>
      <c r="FG5" s="112">
        <f>SUMIFS('Expenditure Breakdown'!$G$6:$G$174, 'Expenditure Breakdown'!$H$6:$H$174, "&gt;="&amp;FG1,'Expenditure Breakdown'!$H$6:$H$174, "&lt;"&amp;FH1)</f>
        <v>0</v>
      </c>
      <c r="FH5" s="112">
        <f>SUMIFS('Expenditure Breakdown'!$G$6:$G$174, 'Expenditure Breakdown'!$H$6:$H$174, "&gt;="&amp;FH1,'Expenditure Breakdown'!$H$6:$H$174, "&lt;"&amp;FI1)</f>
        <v>0</v>
      </c>
      <c r="FI5" s="112">
        <f>SUMIFS('Expenditure Breakdown'!$G$6:$G$174, 'Expenditure Breakdown'!$H$6:$H$174, "&gt;="&amp;FI1,'Expenditure Breakdown'!$H$6:$H$174, "&lt;"&amp;FJ1)</f>
        <v>0</v>
      </c>
      <c r="FJ5" s="112">
        <f>SUMIFS('Expenditure Breakdown'!$G$6:$G$174, 'Expenditure Breakdown'!$H$6:$H$174, "&gt;="&amp;FJ1,'Expenditure Breakdown'!$H$6:$H$174, "&lt;"&amp;FK1)</f>
        <v>0</v>
      </c>
      <c r="FK5" s="112">
        <f>SUMIFS('Expenditure Breakdown'!$G$6:$G$174, 'Expenditure Breakdown'!$H$6:$H$174, "&gt;="&amp;FK1,'Expenditure Breakdown'!$H$6:$H$174, "&lt;"&amp;FL1)</f>
        <v>0</v>
      </c>
      <c r="FL5" s="112">
        <f>SUMIFS('Expenditure Breakdown'!$G$6:$G$174, 'Expenditure Breakdown'!$H$6:$H$174, "&gt;="&amp;FL1,'Expenditure Breakdown'!$H$6:$H$174, "&lt;"&amp;FM1)</f>
        <v>0</v>
      </c>
      <c r="FM5" s="112">
        <f>SUMIFS('Expenditure Breakdown'!$G$6:$G$174, 'Expenditure Breakdown'!$H$6:$H$174, "&gt;="&amp;FM1,'Expenditure Breakdown'!$H$6:$H$174, "&lt;"&amp;FN1)</f>
        <v>0</v>
      </c>
      <c r="FN5" s="112">
        <f>SUMIFS('Expenditure Breakdown'!$G$6:$G$174, 'Expenditure Breakdown'!$H$6:$H$174, "&gt;="&amp;FN1,'Expenditure Breakdown'!$H$6:$H$174, "&lt;"&amp;FO1)</f>
        <v>0</v>
      </c>
      <c r="FO5" s="112">
        <f>SUMIFS('Expenditure Breakdown'!$G$6:$G$174, 'Expenditure Breakdown'!$H$6:$H$174, "&gt;="&amp;FO1,'Expenditure Breakdown'!$H$6:$H$174, "&lt;"&amp;FP1)</f>
        <v>0</v>
      </c>
      <c r="FP5" s="112">
        <f>SUMIFS('Expenditure Breakdown'!$G$6:$G$174, 'Expenditure Breakdown'!$H$6:$H$174, "&gt;="&amp;FP1,'Expenditure Breakdown'!$H$6:$H$174, "&lt;"&amp;FQ1)</f>
        <v>0</v>
      </c>
      <c r="FQ5" s="112">
        <f>SUMIFS('Expenditure Breakdown'!$G$6:$G$174, 'Expenditure Breakdown'!$H$6:$H$174, "&gt;="&amp;FQ1,'Expenditure Breakdown'!$H$6:$H$174, "&lt;"&amp;FR1)</f>
        <v>0</v>
      </c>
      <c r="FR5" s="112">
        <f>SUMIFS('Expenditure Breakdown'!$G$6:$G$174, 'Expenditure Breakdown'!$H$6:$H$174, "&gt;="&amp;FR1,'Expenditure Breakdown'!$H$6:$H$174, "&lt;"&amp;FS1)</f>
        <v>0</v>
      </c>
      <c r="FS5" s="112">
        <f>SUMIFS('Expenditure Breakdown'!$G$6:$G$174, 'Expenditure Breakdown'!$H$6:$H$174, "&gt;="&amp;FS1,'Expenditure Breakdown'!$H$6:$H$174, "&lt;"&amp;FT1)</f>
        <v>0</v>
      </c>
      <c r="FT5" s="112">
        <f>SUMIFS('Expenditure Breakdown'!$G$6:$G$174, 'Expenditure Breakdown'!$H$6:$H$174, "&gt;="&amp;FT1,'Expenditure Breakdown'!$H$6:$H$174, "&lt;"&amp;FU1)</f>
        <v>0</v>
      </c>
      <c r="FU5" s="112">
        <f>SUMIFS('Expenditure Breakdown'!$G$6:$G$174, 'Expenditure Breakdown'!$H$6:$H$174, "&gt;="&amp;FU1,'Expenditure Breakdown'!$H$6:$H$174, "&lt;"&amp;FV1)</f>
        <v>0</v>
      </c>
      <c r="FV5" s="112">
        <f>SUMIFS('Expenditure Breakdown'!$G$6:$G$174, 'Expenditure Breakdown'!$H$6:$H$174, "&gt;="&amp;FV1,'Expenditure Breakdown'!$H$6:$H$174, "&lt;"&amp;FW1)</f>
        <v>0</v>
      </c>
      <c r="FW5" s="112">
        <f>SUMIFS('Expenditure Breakdown'!$G$6:$G$174, 'Expenditure Breakdown'!$H$6:$H$174, "&gt;="&amp;FW1,'Expenditure Breakdown'!$H$6:$H$174, "&lt;"&amp;FX1)</f>
        <v>0</v>
      </c>
      <c r="FX5" s="112">
        <f>SUMIFS('Expenditure Breakdown'!$G$6:$G$174, 'Expenditure Breakdown'!$H$6:$H$174, "&gt;="&amp;FX1,'Expenditure Breakdown'!$H$6:$H$174, "&lt;"&amp;FY1)</f>
        <v>0</v>
      </c>
      <c r="FY5" s="112">
        <f>SUMIFS('Expenditure Breakdown'!$G$6:$G$174, 'Expenditure Breakdown'!$H$6:$H$174, "&gt;="&amp;FY1,'Expenditure Breakdown'!$H$6:$H$174, "&lt;"&amp;FZ1)</f>
        <v>0</v>
      </c>
      <c r="FZ5" s="112">
        <f>SUMIFS('Expenditure Breakdown'!$G$6:$G$174, 'Expenditure Breakdown'!$H$6:$H$174, "&gt;="&amp;FZ1,'Expenditure Breakdown'!$H$6:$H$174, "&lt;"&amp;GA1)</f>
        <v>0</v>
      </c>
      <c r="GA5" s="112">
        <f>SUMIFS('Expenditure Breakdown'!$G$6:$G$174, 'Expenditure Breakdown'!$H$6:$H$174, "&gt;="&amp;GA1,'Expenditure Breakdown'!$H$6:$H$174, "&lt;"&amp;GB1)</f>
        <v>0</v>
      </c>
      <c r="GB5" s="112">
        <f>SUMIFS('Expenditure Breakdown'!$G$6:$G$174, 'Expenditure Breakdown'!$H$6:$H$174, "&gt;="&amp;GB1,'Expenditure Breakdown'!$H$6:$H$174, "&lt;"&amp;GC1)</f>
        <v>0</v>
      </c>
      <c r="GC5" s="112">
        <f>SUMIFS('Expenditure Breakdown'!$G$6:$G$174, 'Expenditure Breakdown'!$H$6:$H$174, "&gt;="&amp;GC1,'Expenditure Breakdown'!$H$6:$H$174, "&lt;"&amp;GD1)</f>
        <v>0</v>
      </c>
      <c r="GD5" s="112">
        <f>SUMIFS('Expenditure Breakdown'!$G$6:$G$174, 'Expenditure Breakdown'!$H$6:$H$174, "&gt;="&amp;GD1,'Expenditure Breakdown'!$H$6:$H$174, "&lt;"&amp;GE1)</f>
        <v>0</v>
      </c>
      <c r="GE5" s="112">
        <f>SUMIFS('Expenditure Breakdown'!$G$6:$G$174, 'Expenditure Breakdown'!$H$6:$H$174, "&gt;="&amp;GE1,'Expenditure Breakdown'!$H$6:$H$174, "&lt;"&amp;GF1)</f>
        <v>0</v>
      </c>
      <c r="GF5" s="112">
        <f>SUMIFS('Expenditure Breakdown'!$G$6:$G$174, 'Expenditure Breakdown'!$H$6:$H$174, "&gt;="&amp;GF1,'Expenditure Breakdown'!$H$6:$H$174, "&lt;"&amp;GG1)</f>
        <v>0</v>
      </c>
      <c r="GG5" s="112">
        <f>SUMIFS('Expenditure Breakdown'!$G$6:$G$174, 'Expenditure Breakdown'!$H$6:$H$174, "&gt;="&amp;GG1,'Expenditure Breakdown'!$H$6:$H$174, "&lt;"&amp;GH1)</f>
        <v>0</v>
      </c>
      <c r="GH5" s="112">
        <f>SUMIFS('Expenditure Breakdown'!$G$6:$G$174, 'Expenditure Breakdown'!$H$6:$H$174, "&gt;="&amp;GH1,'Expenditure Breakdown'!$H$6:$H$174, "&lt;"&amp;GI1)</f>
        <v>0</v>
      </c>
      <c r="GI5" s="112">
        <f>SUMIFS('Expenditure Breakdown'!$G$6:$G$174, 'Expenditure Breakdown'!$H$6:$H$174, "&gt;="&amp;GI1,'Expenditure Breakdown'!$H$6:$H$174, "&lt;"&amp;GJ1)</f>
        <v>0</v>
      </c>
      <c r="GJ5" s="112">
        <f>SUMIFS('Expenditure Breakdown'!$G$6:$G$174, 'Expenditure Breakdown'!$H$6:$H$174, "&gt;="&amp;GJ1,'Expenditure Breakdown'!$H$6:$H$174, "&lt;"&amp;GK1)</f>
        <v>0</v>
      </c>
      <c r="GK5" s="112">
        <f>SUMIFS('Expenditure Breakdown'!$G$6:$G$174, 'Expenditure Breakdown'!$H$6:$H$174, "&gt;="&amp;GK1,'Expenditure Breakdown'!$H$6:$H$174, "&lt;"&amp;GL1)</f>
        <v>0</v>
      </c>
      <c r="GL5" s="112">
        <f>SUMIFS('Expenditure Breakdown'!$G$6:$G$174, 'Expenditure Breakdown'!$H$6:$H$174, "&gt;="&amp;GL1,'Expenditure Breakdown'!$H$6:$H$174, "&lt;"&amp;GM1)</f>
        <v>0</v>
      </c>
      <c r="GM5" s="112">
        <f>SUMIFS('Expenditure Breakdown'!$G$6:$G$174, 'Expenditure Breakdown'!$H$6:$H$174, "&gt;="&amp;GM1,'Expenditure Breakdown'!$H$6:$H$174, "&lt;"&amp;GN1)</f>
        <v>0</v>
      </c>
      <c r="GN5" s="112">
        <f>SUMIFS('Expenditure Breakdown'!$G$6:$G$174, 'Expenditure Breakdown'!$H$6:$H$174, "&gt;="&amp;GN1,'Expenditure Breakdown'!$H$6:$H$174, "&lt;"&amp;GO1)</f>
        <v>0</v>
      </c>
      <c r="GO5" s="112">
        <f>SUMIFS('Expenditure Breakdown'!$G$6:$G$174, 'Expenditure Breakdown'!$H$6:$H$174, "&gt;="&amp;GO1,'Expenditure Breakdown'!$H$6:$H$174, "&lt;"&amp;GP1)</f>
        <v>0</v>
      </c>
      <c r="GP5" s="112">
        <f>SUMIFS('Expenditure Breakdown'!$G$6:$G$174, 'Expenditure Breakdown'!$H$6:$H$174, "&gt;="&amp;GP1,'Expenditure Breakdown'!$H$6:$H$174, "&lt;"&amp;GQ1)</f>
        <v>0</v>
      </c>
      <c r="GQ5" s="112">
        <f>SUMIFS('Expenditure Breakdown'!$G$6:$G$174, 'Expenditure Breakdown'!$H$6:$H$174, "&gt;="&amp;GQ1,'Expenditure Breakdown'!$H$6:$H$174, "&lt;"&amp;GR1)</f>
        <v>0</v>
      </c>
      <c r="GR5" s="112">
        <f>SUMIFS('Expenditure Breakdown'!$G$6:$G$174, 'Expenditure Breakdown'!$H$6:$H$174, "&gt;="&amp;GR1,'Expenditure Breakdown'!$H$6:$H$174, "&lt;"&amp;GS1)</f>
        <v>0</v>
      </c>
      <c r="GS5" s="112">
        <f>SUMIFS('Expenditure Breakdown'!$G$6:$G$174, 'Expenditure Breakdown'!$H$6:$H$174, "&gt;="&amp;GS1,'Expenditure Breakdown'!$H$6:$H$174, "&lt;"&amp;GT1)</f>
        <v>0</v>
      </c>
      <c r="GT5" s="112">
        <f>SUMIFS('Expenditure Breakdown'!$G$6:$G$174, 'Expenditure Breakdown'!$H$6:$H$174, "&gt;="&amp;GT1,'Expenditure Breakdown'!$H$6:$H$174, "&lt;"&amp;GU1)</f>
        <v>0</v>
      </c>
      <c r="GU5" s="112">
        <f>SUMIFS('Expenditure Breakdown'!$G$6:$G$174, 'Expenditure Breakdown'!$H$6:$H$174, "&gt;="&amp;GU1,'Expenditure Breakdown'!$H$6:$H$174, "&lt;"&amp;GV1)</f>
        <v>0</v>
      </c>
      <c r="GV5" s="112">
        <f>SUMIFS('Expenditure Breakdown'!$G$6:$G$174, 'Expenditure Breakdown'!$H$6:$H$174, "&gt;="&amp;GV1,'Expenditure Breakdown'!$H$6:$H$174, "&lt;"&amp;GW1)</f>
        <v>0</v>
      </c>
      <c r="GW5" s="112">
        <f>SUMIFS('Expenditure Breakdown'!$G$6:$G$174, 'Expenditure Breakdown'!$H$6:$H$174, "&gt;="&amp;GW1,'Expenditure Breakdown'!$H$6:$H$174, "&lt;"&amp;GX1)</f>
        <v>0</v>
      </c>
      <c r="GX5" s="112">
        <f>SUMIFS('Expenditure Breakdown'!$G$6:$G$174, 'Expenditure Breakdown'!$H$6:$H$174, "&gt;="&amp;GX1,'Expenditure Breakdown'!$H$6:$H$174, "&lt;"&amp;GY1)</f>
        <v>0</v>
      </c>
      <c r="GY5" s="112">
        <f>SUMIFS('Expenditure Breakdown'!$G$6:$G$174, 'Expenditure Breakdown'!$H$6:$H$174, "&gt;="&amp;GY1,'Expenditure Breakdown'!$H$6:$H$174, "&lt;"&amp;GZ1)</f>
        <v>0</v>
      </c>
      <c r="GZ5" s="112">
        <f>SUMIFS('Expenditure Breakdown'!$G$6:$G$174, 'Expenditure Breakdown'!$H$6:$H$174, "&gt;="&amp;GZ1,'Expenditure Breakdown'!$H$6:$H$174, "&lt;"&amp;HA1)</f>
        <v>0</v>
      </c>
      <c r="HA5" s="112">
        <f>SUMIFS('Expenditure Breakdown'!$G$6:$G$174, 'Expenditure Breakdown'!$H$6:$H$174, "&gt;="&amp;HA1,'Expenditure Breakdown'!$H$6:$H$174, "&lt;"&amp;HB1)</f>
        <v>0</v>
      </c>
      <c r="HB5" s="112">
        <f>SUMIFS('Expenditure Breakdown'!$G$6:$G$174, 'Expenditure Breakdown'!$H$6:$H$174, "&gt;="&amp;HB1,'Expenditure Breakdown'!$H$6:$H$174, "&lt;"&amp;HC1)</f>
        <v>0</v>
      </c>
      <c r="HC5" s="112">
        <f>SUMIFS('Expenditure Breakdown'!$G$6:$G$174, 'Expenditure Breakdown'!$H$6:$H$174, "&gt;="&amp;HC1,'Expenditure Breakdown'!$H$6:$H$174, "&lt;"&amp;HD1)</f>
        <v>0</v>
      </c>
      <c r="HD5" s="112">
        <f>SUMIFS('Expenditure Breakdown'!$G$6:$G$174, 'Expenditure Breakdown'!$H$6:$H$174, "&gt;="&amp;HD1,'Expenditure Breakdown'!$H$6:$H$174, "&lt;"&amp;HE1)</f>
        <v>0</v>
      </c>
      <c r="HE5" s="112">
        <f>SUMIFS('Expenditure Breakdown'!$G$6:$G$174, 'Expenditure Breakdown'!$H$6:$H$174, "&gt;="&amp;HE1,'Expenditure Breakdown'!$H$6:$H$174, "&lt;"&amp;HF1)</f>
        <v>0</v>
      </c>
      <c r="HF5" s="112">
        <f>SUMIFS('Expenditure Breakdown'!$G$6:$G$174, 'Expenditure Breakdown'!$H$6:$H$174, "&gt;="&amp;HF1,'Expenditure Breakdown'!$H$6:$H$174, "&lt;"&amp;HG1)</f>
        <v>0</v>
      </c>
      <c r="HG5" s="112">
        <f>SUMIFS('Expenditure Breakdown'!$G$6:$G$174, 'Expenditure Breakdown'!$H$6:$H$174, "&gt;="&amp;HG1,'Expenditure Breakdown'!$H$6:$H$174, "&lt;"&amp;HH1)</f>
        <v>0</v>
      </c>
      <c r="HH5" s="112">
        <f>SUMIFS('Expenditure Breakdown'!$G$6:$G$174, 'Expenditure Breakdown'!$H$6:$H$174, "&gt;="&amp;HH1,'Expenditure Breakdown'!$H$6:$H$174, "&lt;"&amp;HI1)</f>
        <v>0</v>
      </c>
      <c r="HI5" s="112">
        <f>SUMIFS('Expenditure Breakdown'!$G$6:$G$174, 'Expenditure Breakdown'!$H$6:$H$174, "&gt;="&amp;HI1,'Expenditure Breakdown'!$H$6:$H$174, "&lt;"&amp;HJ1)</f>
        <v>0</v>
      </c>
      <c r="HJ5" s="112">
        <f>SUMIFS('Expenditure Breakdown'!$G$6:$G$174, 'Expenditure Breakdown'!$H$6:$H$174, "&gt;="&amp;HJ1,'Expenditure Breakdown'!$H$6:$H$174, "&lt;"&amp;HK1)</f>
        <v>0</v>
      </c>
      <c r="HK5" s="112">
        <f>SUMIFS('Expenditure Breakdown'!$G$6:$G$174, 'Expenditure Breakdown'!$H$6:$H$174, "&gt;="&amp;HK1,'Expenditure Breakdown'!$H$6:$H$174, "&lt;"&amp;HL1)</f>
        <v>0</v>
      </c>
      <c r="HL5" s="112">
        <f>SUMIFS('Expenditure Breakdown'!$G$6:$G$174, 'Expenditure Breakdown'!$H$6:$H$174, "&gt;="&amp;HL1,'Expenditure Breakdown'!$H$6:$H$174, "&lt;"&amp;HM1)</f>
        <v>0</v>
      </c>
      <c r="HM5" s="112">
        <f>SUMIFS('Expenditure Breakdown'!$G$6:$G$174, 'Expenditure Breakdown'!$H$6:$H$174, "&gt;="&amp;HM1,'Expenditure Breakdown'!$H$6:$H$174, "&lt;"&amp;HN1)</f>
        <v>0</v>
      </c>
      <c r="HN5" s="112">
        <f>SUMIFS('Expenditure Breakdown'!$G$6:$G$174, 'Expenditure Breakdown'!$H$6:$H$174, "&gt;="&amp;HN1,'Expenditure Breakdown'!$H$6:$H$174, "&lt;"&amp;HO1)</f>
        <v>0</v>
      </c>
      <c r="HO5" s="112">
        <f>SUMIFS('Expenditure Breakdown'!$G$6:$G$174, 'Expenditure Breakdown'!$H$6:$H$174, "&gt;="&amp;HO1,'Expenditure Breakdown'!$H$6:$H$174, "&lt;"&amp;HP1)</f>
        <v>0</v>
      </c>
      <c r="HP5" s="112">
        <f>SUMIFS('Expenditure Breakdown'!$G$6:$G$174, 'Expenditure Breakdown'!$H$6:$H$174, "&gt;="&amp;HP1,'Expenditure Breakdown'!$H$6:$H$174, "&lt;"&amp;HQ1)</f>
        <v>0</v>
      </c>
      <c r="HQ5" s="112">
        <f>SUMIFS('Expenditure Breakdown'!$G$6:$G$174, 'Expenditure Breakdown'!$H$6:$H$174, "&gt;="&amp;HQ1,'Expenditure Breakdown'!$H$6:$H$174, "&lt;"&amp;HR1)</f>
        <v>0</v>
      </c>
      <c r="HR5" s="112">
        <f>SUMIFS('Expenditure Breakdown'!$G$6:$G$174, 'Expenditure Breakdown'!$H$6:$H$174, "&gt;="&amp;HR1,'Expenditure Breakdown'!$H$6:$H$174, "&lt;"&amp;HS1)</f>
        <v>0</v>
      </c>
      <c r="HS5" s="112">
        <f>SUMIFS('Expenditure Breakdown'!$G$6:$G$174, 'Expenditure Breakdown'!$H$6:$H$174, "&gt;="&amp;HS1,'Expenditure Breakdown'!$H$6:$H$174, "&lt;"&amp;HT1)</f>
        <v>0</v>
      </c>
      <c r="HT5" s="112">
        <f>SUMIFS('Expenditure Breakdown'!$G$6:$G$174, 'Expenditure Breakdown'!$H$6:$H$174, "&gt;="&amp;HT1,'Expenditure Breakdown'!$H$6:$H$174, "&lt;"&amp;HU1)</f>
        <v>0</v>
      </c>
      <c r="HU5" s="112">
        <f>SUMIFS('Expenditure Breakdown'!$G$6:$G$174, 'Expenditure Breakdown'!$H$6:$H$174, "&gt;="&amp;HU1,'Expenditure Breakdown'!$H$6:$H$174, "&lt;"&amp;HV1)</f>
        <v>0</v>
      </c>
      <c r="HV5" s="112">
        <f>SUMIFS('Expenditure Breakdown'!$G$6:$G$174, 'Expenditure Breakdown'!$H$6:$H$174, "&gt;="&amp;HV1,'Expenditure Breakdown'!$H$6:$H$174, "&lt;"&amp;HW1)</f>
        <v>0</v>
      </c>
      <c r="HW5" s="112">
        <f>SUMIFS('Expenditure Breakdown'!$G$6:$G$174, 'Expenditure Breakdown'!$H$6:$H$174, "&gt;="&amp;HW1,'Expenditure Breakdown'!$H$6:$H$174, "&lt;"&amp;HX1)</f>
        <v>0</v>
      </c>
      <c r="HX5" s="112">
        <f>SUMIFS('Expenditure Breakdown'!$G$6:$G$174, 'Expenditure Breakdown'!$H$6:$H$174, "&gt;="&amp;HX1,'Expenditure Breakdown'!$H$6:$H$174, "&lt;"&amp;HY1)</f>
        <v>0</v>
      </c>
      <c r="HY5" s="112">
        <f>SUMIFS('Expenditure Breakdown'!$G$6:$G$174, 'Expenditure Breakdown'!$H$6:$H$174, "&gt;="&amp;HY1,'Expenditure Breakdown'!$H$6:$H$174, "&lt;"&amp;HZ1)</f>
        <v>0</v>
      </c>
      <c r="HZ5" s="112">
        <f>SUMIFS('Expenditure Breakdown'!$G$6:$G$174, 'Expenditure Breakdown'!$H$6:$H$174, "&gt;="&amp;HZ1,'Expenditure Breakdown'!$H$6:$H$174, "&lt;"&amp;IA1)</f>
        <v>0</v>
      </c>
      <c r="IA5" s="112">
        <f>SUMIFS('Expenditure Breakdown'!$G$6:$G$174, 'Expenditure Breakdown'!$H$6:$H$174, "&gt;="&amp;IA1,'Expenditure Breakdown'!$H$6:$H$174, "&lt;"&amp;IB1)</f>
        <v>0</v>
      </c>
      <c r="IB5" s="112">
        <f>SUMIFS('Expenditure Breakdown'!$G$6:$G$174, 'Expenditure Breakdown'!$H$6:$H$174, "&gt;="&amp;IB1,'Expenditure Breakdown'!$H$6:$H$174, "&lt;"&amp;IC1)</f>
        <v>0</v>
      </c>
      <c r="IC5" s="112">
        <f>SUMIFS('Expenditure Breakdown'!$G$6:$G$174, 'Expenditure Breakdown'!$H$6:$H$174, "&gt;="&amp;IC1,'Expenditure Breakdown'!$H$6:$H$174, "&lt;"&amp;ID1)</f>
        <v>0</v>
      </c>
      <c r="ID5" s="112">
        <f>SUMIFS('Expenditure Breakdown'!$G$6:$G$174, 'Expenditure Breakdown'!$H$6:$H$174, "&gt;="&amp;ID1,'Expenditure Breakdown'!$H$6:$H$174, "&lt;"&amp;IE1)</f>
        <v>0</v>
      </c>
      <c r="IE5" s="112">
        <f>SUMIFS('Expenditure Breakdown'!$G$6:$G$174, 'Expenditure Breakdown'!$H$6:$H$174, "&gt;="&amp;IE1,'Expenditure Breakdown'!$H$6:$H$174, "&lt;"&amp;IF1)</f>
        <v>0</v>
      </c>
      <c r="IF5" s="112">
        <f>SUMIFS('Expenditure Breakdown'!$G$6:$G$174, 'Expenditure Breakdown'!$H$6:$H$174, "&gt;="&amp;IF1,'Expenditure Breakdown'!$H$6:$H$174, "&lt;"&amp;IG1)</f>
        <v>0</v>
      </c>
      <c r="IG5" s="112">
        <f>SUMIFS('Expenditure Breakdown'!$G$6:$G$174, 'Expenditure Breakdown'!$H$6:$H$174, "&gt;="&amp;IG1,'Expenditure Breakdown'!$H$6:$H$174, "&lt;"&amp;IH1)</f>
        <v>0</v>
      </c>
      <c r="IH5" s="112">
        <f>SUMIFS('Expenditure Breakdown'!$G$6:$G$174, 'Expenditure Breakdown'!$H$6:$H$174, "&gt;="&amp;IH1,'Expenditure Breakdown'!$H$6:$H$174, "&lt;"&amp;II1)</f>
        <v>0</v>
      </c>
      <c r="II5" s="112">
        <f>SUMIFS('Expenditure Breakdown'!$G$6:$G$174, 'Expenditure Breakdown'!$H$6:$H$174, "&gt;="&amp;II1,'Expenditure Breakdown'!$H$6:$H$174, "&lt;"&amp;IJ1)</f>
        <v>0</v>
      </c>
      <c r="IJ5" s="112">
        <f>SUMIFS('Expenditure Breakdown'!$G$6:$G$174, 'Expenditure Breakdown'!$H$6:$H$174, "&gt;="&amp;IJ1,'Expenditure Breakdown'!$H$6:$H$174, "&lt;"&amp;IK1)</f>
        <v>0</v>
      </c>
      <c r="IK5" s="112">
        <f>SUMIFS('Expenditure Breakdown'!$G$6:$G$174, 'Expenditure Breakdown'!$H$6:$H$174, "&gt;="&amp;IK1,'Expenditure Breakdown'!$H$6:$H$174, "&lt;"&amp;IL1)</f>
        <v>0</v>
      </c>
      <c r="IL5" s="112">
        <f>SUMIFS('Expenditure Breakdown'!$G$6:$G$174, 'Expenditure Breakdown'!$H$6:$H$174, "&gt;="&amp;IL1,'Expenditure Breakdown'!$H$6:$H$174, "&lt;"&amp;IM1)</f>
        <v>0</v>
      </c>
      <c r="IM5" s="112">
        <f>SUMIFS('Expenditure Breakdown'!$G$6:$G$174, 'Expenditure Breakdown'!$H$6:$H$174, "&gt;="&amp;IM1,'Expenditure Breakdown'!$H$6:$H$174, "&lt;"&amp;IN1)</f>
        <v>0</v>
      </c>
      <c r="IN5" s="112">
        <f>SUMIFS('Expenditure Breakdown'!$G$6:$G$174, 'Expenditure Breakdown'!$H$6:$H$174, "&gt;="&amp;IN1,'Expenditure Breakdown'!$H$6:$H$174, "&lt;"&amp;IO1)</f>
        <v>0</v>
      </c>
      <c r="IO5" s="112">
        <f>SUMIFS('Expenditure Breakdown'!$G$6:$G$174, 'Expenditure Breakdown'!$H$6:$H$174, "&gt;="&amp;IO1,'Expenditure Breakdown'!$H$6:$H$174, "&lt;"&amp;IP1)</f>
        <v>0</v>
      </c>
      <c r="IP5" s="112">
        <f>SUMIFS('Expenditure Breakdown'!$G$6:$G$174, 'Expenditure Breakdown'!$H$6:$H$174, "&gt;="&amp;IP1,'Expenditure Breakdown'!$H$6:$H$174, "&lt;"&amp;IQ1)</f>
        <v>0</v>
      </c>
      <c r="IQ5" s="112">
        <f>SUMIFS('Expenditure Breakdown'!$G$6:$G$174, 'Expenditure Breakdown'!$H$6:$H$174, "&gt;="&amp;IQ1,'Expenditure Breakdown'!$H$6:$H$174, "&lt;"&amp;IR1)</f>
        <v>0</v>
      </c>
      <c r="IR5" s="112">
        <f>SUMIFS('Expenditure Breakdown'!$G$6:$G$174, 'Expenditure Breakdown'!$H$6:$H$174, "&gt;="&amp;IR1,'Expenditure Breakdown'!$H$6:$H$174, "&lt;"&amp;IS1)</f>
        <v>0</v>
      </c>
      <c r="IS5" s="112">
        <f>SUMIFS('Expenditure Breakdown'!$G$6:$G$174, 'Expenditure Breakdown'!$H$6:$H$174, "&gt;="&amp;IS1,'Expenditure Breakdown'!$H$6:$H$174, "&lt;"&amp;IT1)</f>
        <v>0</v>
      </c>
      <c r="IT5" s="112">
        <f>SUMIFS('Expenditure Breakdown'!$G$6:$G$174, 'Expenditure Breakdown'!$H$6:$H$174, "&gt;="&amp;IT1,'Expenditure Breakdown'!$H$6:$H$174, "&lt;"&amp;IU1)</f>
        <v>0</v>
      </c>
      <c r="IU5" s="112">
        <f>SUMIFS('Expenditure Breakdown'!$G$6:$G$174, 'Expenditure Breakdown'!$H$6:$H$174, "&gt;="&amp;IU1,'Expenditure Breakdown'!$H$6:$H$174, "&lt;"&amp;IV1)</f>
        <v>0</v>
      </c>
      <c r="IV5" s="112">
        <f>SUMIFS('Expenditure Breakdown'!$G$6:$G$174, 'Expenditure Breakdown'!$H$6:$H$174, "&gt;="&amp;IV1,'Expenditure Breakdown'!$H$6:$H$174, "&lt;"&amp;IW1)</f>
        <v>0</v>
      </c>
      <c r="IW5" s="112">
        <f>SUMIFS('Expenditure Breakdown'!$G$6:$G$174, 'Expenditure Breakdown'!$H$6:$H$174, "&gt;="&amp;IW1,'Expenditure Breakdown'!$H$6:$H$174, "&lt;"&amp;IX1)</f>
        <v>0</v>
      </c>
      <c r="IX5" s="112">
        <f>SUMIFS('Expenditure Breakdown'!$G$6:$G$174, 'Expenditure Breakdown'!$H$6:$H$174, "&gt;="&amp;IX1,'Expenditure Breakdown'!$H$6:$H$174, "&lt;"&amp;IY1)</f>
        <v>0</v>
      </c>
      <c r="IY5" s="112">
        <f>SUMIFS('Expenditure Breakdown'!$G$6:$G$174, 'Expenditure Breakdown'!$H$6:$H$174, "&gt;="&amp;IY1,'Expenditure Breakdown'!$H$6:$H$174, "&lt;"&amp;IZ1)</f>
        <v>0</v>
      </c>
      <c r="IZ5" s="112">
        <f>SUMIFS('Expenditure Breakdown'!$G$6:$G$174, 'Expenditure Breakdown'!$H$6:$H$174, "&gt;="&amp;IZ1,'Expenditure Breakdown'!$H$6:$H$174, "&lt;"&amp;JA1)</f>
        <v>0</v>
      </c>
      <c r="JA5" s="112">
        <f>SUMIFS('Expenditure Breakdown'!$G$6:$G$174, 'Expenditure Breakdown'!$H$6:$H$174, "&gt;="&amp;JA1,'Expenditure Breakdown'!$H$6:$H$174, "&lt;"&amp;JB1)</f>
        <v>0</v>
      </c>
      <c r="JB5" s="112">
        <f>SUMIFS('Expenditure Breakdown'!$G$6:$G$174, 'Expenditure Breakdown'!$H$6:$H$174, "&gt;="&amp;JB1,'Expenditure Breakdown'!$H$6:$H$174, "&lt;"&amp;JC1)</f>
        <v>0</v>
      </c>
      <c r="JC5" s="112">
        <f>SUMIFS('Expenditure Breakdown'!$G$6:$G$174, 'Expenditure Breakdown'!$H$6:$H$174, "&gt;="&amp;JC1,'Expenditure Breakdown'!$H$6:$H$174, "&lt;"&amp;JD1)</f>
        <v>0</v>
      </c>
      <c r="JD5" s="112">
        <f>SUMIFS('Expenditure Breakdown'!$G$6:$G$174, 'Expenditure Breakdown'!$H$6:$H$174, "&gt;="&amp;JD1,'Expenditure Breakdown'!$H$6:$H$174, "&lt;"&amp;JE1)</f>
        <v>0</v>
      </c>
      <c r="JE5" s="112">
        <f>SUMIFS('Expenditure Breakdown'!$G$6:$G$174, 'Expenditure Breakdown'!$H$6:$H$174, "&gt;="&amp;JE1,'Expenditure Breakdown'!$H$6:$H$174, "&lt;"&amp;JF1)</f>
        <v>0</v>
      </c>
      <c r="JF5" s="112">
        <f>SUMIFS('Expenditure Breakdown'!$G$6:$G$174, 'Expenditure Breakdown'!$H$6:$H$174, "&gt;="&amp;JF1,'Expenditure Breakdown'!$H$6:$H$174, "&lt;"&amp;JG1)</f>
        <v>0</v>
      </c>
      <c r="JG5" s="112">
        <f>SUMIFS('Expenditure Breakdown'!$G$6:$G$174, 'Expenditure Breakdown'!$H$6:$H$174, "&gt;="&amp;JG1,'Expenditure Breakdown'!$H$6:$H$174, "&lt;"&amp;JH1)</f>
        <v>0</v>
      </c>
      <c r="JH5" s="112">
        <f>SUMIFS('Expenditure Breakdown'!$G$6:$G$174, 'Expenditure Breakdown'!$H$6:$H$174, "&gt;="&amp;JH1,'Expenditure Breakdown'!$H$6:$H$174, "&lt;"&amp;JI1)</f>
        <v>0</v>
      </c>
      <c r="JI5" s="112">
        <f>SUMIFS('Expenditure Breakdown'!$G$6:$G$174, 'Expenditure Breakdown'!$H$6:$H$174, "&gt;="&amp;JI1,'Expenditure Breakdown'!$H$6:$H$174, "&lt;"&amp;JJ1)</f>
        <v>0</v>
      </c>
      <c r="JJ5" s="112">
        <f>SUMIFS('Expenditure Breakdown'!$G$6:$G$174, 'Expenditure Breakdown'!$H$6:$H$174, "&gt;="&amp;JJ1,'Expenditure Breakdown'!$H$6:$H$174, "&lt;"&amp;JK1)</f>
        <v>0</v>
      </c>
      <c r="JK5" s="112">
        <f>SUMIFS('Expenditure Breakdown'!$G$6:$G$174, 'Expenditure Breakdown'!$H$6:$H$174, "&gt;="&amp;JK1,'Expenditure Breakdown'!$H$6:$H$174, "&lt;"&amp;JL1)</f>
        <v>0</v>
      </c>
      <c r="JL5" s="112">
        <f>SUMIFS('Expenditure Breakdown'!$G$6:$G$174, 'Expenditure Breakdown'!$H$6:$H$174, "&gt;="&amp;JL1,'Expenditure Breakdown'!$H$6:$H$174, "&lt;"&amp;JM1)</f>
        <v>0</v>
      </c>
      <c r="JM5" s="112">
        <f>SUMIFS('Expenditure Breakdown'!$G$6:$G$174, 'Expenditure Breakdown'!$H$6:$H$174, "&gt;="&amp;JM1,'Expenditure Breakdown'!$H$6:$H$174, "&lt;"&amp;JN1)</f>
        <v>0</v>
      </c>
      <c r="JN5" s="112">
        <f>SUMIFS('Expenditure Breakdown'!$G$6:$G$174, 'Expenditure Breakdown'!$H$6:$H$174, "&gt;="&amp;JN1,'Expenditure Breakdown'!$H$6:$H$174, "&lt;"&amp;JO1)</f>
        <v>0</v>
      </c>
      <c r="JO5" s="112">
        <f>SUMIFS('Expenditure Breakdown'!$G$6:$G$174, 'Expenditure Breakdown'!$H$6:$H$174, "&gt;="&amp;JO1,'Expenditure Breakdown'!$H$6:$H$174, "&lt;"&amp;JP1)</f>
        <v>0</v>
      </c>
      <c r="JP5" s="112">
        <f>SUMIFS('Expenditure Breakdown'!$G$6:$G$174, 'Expenditure Breakdown'!$H$6:$H$174, "&gt;="&amp;JP1,'Expenditure Breakdown'!$H$6:$H$174, "&lt;"&amp;JQ1)</f>
        <v>0</v>
      </c>
      <c r="JQ5" s="112">
        <f>SUMIFS('Expenditure Breakdown'!$G$6:$G$174, 'Expenditure Breakdown'!$H$6:$H$174, "&gt;="&amp;JQ1,'Expenditure Breakdown'!$H$6:$H$174, "&lt;"&amp;JR1)</f>
        <v>0</v>
      </c>
      <c r="JR5" s="112">
        <f>SUMIFS('Expenditure Breakdown'!$G$6:$G$174, 'Expenditure Breakdown'!$H$6:$H$174, "&gt;="&amp;JR1,'Expenditure Breakdown'!$H$6:$H$174, "&lt;"&amp;JS1)</f>
        <v>0</v>
      </c>
      <c r="JS5" s="112">
        <f>SUMIFS('Expenditure Breakdown'!$G$6:$G$174, 'Expenditure Breakdown'!$H$6:$H$174, "&gt;="&amp;JS1,'Expenditure Breakdown'!$H$6:$H$174, "&lt;"&amp;JT1)</f>
        <v>0</v>
      </c>
      <c r="JT5" s="112">
        <f>SUMIFS('Expenditure Breakdown'!$G$6:$G$174, 'Expenditure Breakdown'!$H$6:$H$174, "&gt;="&amp;JT1,'Expenditure Breakdown'!$H$6:$H$174, "&lt;"&amp;JU1)</f>
        <v>0</v>
      </c>
      <c r="JU5" s="112">
        <f>SUMIFS('Expenditure Breakdown'!$G$6:$G$174, 'Expenditure Breakdown'!$H$6:$H$174, "&gt;="&amp;JU1,'Expenditure Breakdown'!$H$6:$H$174, "&lt;"&amp;JV1)</f>
        <v>0</v>
      </c>
      <c r="JV5" s="112">
        <f>SUMIFS('Expenditure Breakdown'!$G$6:$G$174, 'Expenditure Breakdown'!$H$6:$H$174, "&gt;="&amp;JV1,'Expenditure Breakdown'!$H$6:$H$174, "&lt;"&amp;JW1)</f>
        <v>0</v>
      </c>
      <c r="JW5" s="112">
        <f>SUMIFS('Expenditure Breakdown'!$G$6:$G$174, 'Expenditure Breakdown'!$H$6:$H$174, "&gt;="&amp;JW1,'Expenditure Breakdown'!$H$6:$H$174, "&lt;"&amp;JX1)</f>
        <v>0</v>
      </c>
      <c r="JX5" s="112">
        <f>SUMIFS('Expenditure Breakdown'!$G$6:$G$174, 'Expenditure Breakdown'!$H$6:$H$174, "&gt;="&amp;JX1,'Expenditure Breakdown'!$H$6:$H$174, "&lt;"&amp;JY1)</f>
        <v>0</v>
      </c>
      <c r="JY5" s="112">
        <f>SUMIFS('Expenditure Breakdown'!$G$6:$G$174, 'Expenditure Breakdown'!$H$6:$H$174, "&gt;="&amp;JY1,'Expenditure Breakdown'!$H$6:$H$174, "&lt;"&amp;JZ1)</f>
        <v>0</v>
      </c>
      <c r="JZ5" s="112">
        <f>SUMIFS('Expenditure Breakdown'!$G$6:$G$174, 'Expenditure Breakdown'!$H$6:$H$174, "&gt;="&amp;JZ1,'Expenditure Breakdown'!$H$6:$H$174, "&lt;"&amp;KA1)</f>
        <v>0</v>
      </c>
      <c r="KA5" s="112">
        <f>SUMIFS('Expenditure Breakdown'!$G$6:$G$174, 'Expenditure Breakdown'!$H$6:$H$174, "&gt;="&amp;KA1,'Expenditure Breakdown'!$H$6:$H$174, "&lt;"&amp;KB1)</f>
        <v>0</v>
      </c>
      <c r="KB5" s="112">
        <f>SUMIFS('Expenditure Breakdown'!$G$6:$G$174, 'Expenditure Breakdown'!$H$6:$H$174, "&gt;="&amp;KB1,'Expenditure Breakdown'!$H$6:$H$174, "&lt;"&amp;KC1)</f>
        <v>0</v>
      </c>
      <c r="KC5" s="112">
        <f>SUMIFS('Expenditure Breakdown'!$G$6:$G$174, 'Expenditure Breakdown'!$H$6:$H$174, "&gt;="&amp;KC1,'Expenditure Breakdown'!$H$6:$H$174, "&lt;"&amp;KD1)</f>
        <v>0</v>
      </c>
      <c r="KD5" s="112">
        <f>SUMIFS('Expenditure Breakdown'!$G$6:$G$174, 'Expenditure Breakdown'!$H$6:$H$174, "&gt;="&amp;KD1,'Expenditure Breakdown'!$H$6:$H$174, "&lt;"&amp;KE1)</f>
        <v>0</v>
      </c>
      <c r="KE5" s="112">
        <f>SUMIFS('Expenditure Breakdown'!$G$6:$G$174, 'Expenditure Breakdown'!$H$6:$H$174, "&gt;="&amp;KE1,'Expenditure Breakdown'!$H$6:$H$174, "&lt;"&amp;KF1)</f>
        <v>0</v>
      </c>
      <c r="KF5" s="112">
        <f>SUMIFS('Expenditure Breakdown'!$G$6:$G$174, 'Expenditure Breakdown'!$H$6:$H$174, "&gt;="&amp;KF1,'Expenditure Breakdown'!$H$6:$H$174, "&lt;"&amp;KG1)</f>
        <v>0</v>
      </c>
      <c r="KG5" s="112">
        <f>SUMIFS('Expenditure Breakdown'!$G$6:$G$174, 'Expenditure Breakdown'!$H$6:$H$174, "&gt;="&amp;KG1,'Expenditure Breakdown'!$H$6:$H$174, "&lt;"&amp;KH1)</f>
        <v>0</v>
      </c>
      <c r="KH5" s="112">
        <f>SUMIFS('Expenditure Breakdown'!$G$6:$G$174, 'Expenditure Breakdown'!$H$6:$H$174, "&gt;="&amp;KH1,'Expenditure Breakdown'!$H$6:$H$174, "&lt;"&amp;KI1)</f>
        <v>0</v>
      </c>
      <c r="KI5" s="112">
        <f>SUMIFS('Expenditure Breakdown'!$G$6:$G$174, 'Expenditure Breakdown'!$H$6:$H$174, "&gt;="&amp;KI1,'Expenditure Breakdown'!$H$6:$H$174, "&lt;"&amp;KJ1)</f>
        <v>0</v>
      </c>
      <c r="KJ5" s="112">
        <f>SUMIFS('Expenditure Breakdown'!$G$6:$G$174, 'Expenditure Breakdown'!$H$6:$H$174, "&gt;="&amp;KJ1,'Expenditure Breakdown'!$H$6:$H$174, "&lt;"&amp;KK1)</f>
        <v>0</v>
      </c>
      <c r="KK5" s="112">
        <f>SUMIFS('Expenditure Breakdown'!$G$6:$G$174, 'Expenditure Breakdown'!$H$6:$H$174, "&gt;="&amp;KK1,'Expenditure Breakdown'!$H$6:$H$174, "&lt;"&amp;KL1)</f>
        <v>0</v>
      </c>
      <c r="KL5" s="112">
        <f>SUMIFS('Expenditure Breakdown'!$G$6:$G$174, 'Expenditure Breakdown'!$H$6:$H$174, "&gt;="&amp;KL1,'Expenditure Breakdown'!$H$6:$H$174, "&lt;"&amp;KM1)</f>
        <v>0</v>
      </c>
      <c r="KM5" s="112">
        <f>SUMIFS('Expenditure Breakdown'!$G$6:$G$174, 'Expenditure Breakdown'!$H$6:$H$174, "&gt;="&amp;KM1,'Expenditure Breakdown'!$H$6:$H$174, "&lt;"&amp;KN1)</f>
        <v>0</v>
      </c>
      <c r="KN5" s="112">
        <f>SUMIFS('Expenditure Breakdown'!$G$6:$G$174, 'Expenditure Breakdown'!$H$6:$H$174, "&gt;="&amp;KN1,'Expenditure Breakdown'!$H$6:$H$174, "&lt;"&amp;KO1)</f>
        <v>0</v>
      </c>
      <c r="KO5" s="112">
        <f>SUMIFS('Expenditure Breakdown'!$G$6:$G$174, 'Expenditure Breakdown'!$H$6:$H$174, "&gt;="&amp;KO1,'Expenditure Breakdown'!$H$6:$H$174, "&lt;"&amp;KP1)</f>
        <v>0</v>
      </c>
      <c r="KP5" s="112">
        <f>SUMIFS('Expenditure Breakdown'!$G$6:$G$174, 'Expenditure Breakdown'!$H$6:$H$174, "&gt;="&amp;KP1,'Expenditure Breakdown'!$H$6:$H$174, "&lt;"&amp;KQ1)</f>
        <v>0</v>
      </c>
      <c r="KQ5" s="112">
        <f>SUMIFS('Expenditure Breakdown'!$G$6:$G$174, 'Expenditure Breakdown'!$H$6:$H$174, "&gt;="&amp;KQ1,'Expenditure Breakdown'!$H$6:$H$174, "&lt;"&amp;KR1)</f>
        <v>0</v>
      </c>
      <c r="KR5" s="112">
        <f>SUMIFS('Expenditure Breakdown'!$G$6:$G$174, 'Expenditure Breakdown'!$H$6:$H$174, "&gt;="&amp;KR1,'Expenditure Breakdown'!$H$6:$H$174, "&lt;"&amp;KS1)</f>
        <v>0</v>
      </c>
      <c r="KS5" s="112">
        <f>SUMIFS('Expenditure Breakdown'!$G$6:$G$174, 'Expenditure Breakdown'!$H$6:$H$174, "&gt;="&amp;KS1,'Expenditure Breakdown'!$H$6:$H$174, "&lt;"&amp;KT1)</f>
        <v>0</v>
      </c>
      <c r="KT5" s="112">
        <f>SUMIFS('Expenditure Breakdown'!$G$6:$G$174, 'Expenditure Breakdown'!$H$6:$H$174, "&gt;="&amp;KT1,'Expenditure Breakdown'!$H$6:$H$174, "&lt;"&amp;KU1)</f>
        <v>0</v>
      </c>
      <c r="KU5" s="112">
        <f>SUMIFS('Expenditure Breakdown'!$G$6:$G$174, 'Expenditure Breakdown'!$H$6:$H$174, "&gt;="&amp;KU1,'Expenditure Breakdown'!$H$6:$H$174, "&lt;"&amp;KV1)</f>
        <v>0</v>
      </c>
      <c r="KV5" s="112">
        <f>SUMIFS('Expenditure Breakdown'!$G$6:$G$174, 'Expenditure Breakdown'!$H$6:$H$174, "&gt;="&amp;KV1,'Expenditure Breakdown'!$H$6:$H$174, "&lt;"&amp;KW1)</f>
        <v>0</v>
      </c>
      <c r="KW5" s="112">
        <f>SUMIFS('Expenditure Breakdown'!$G$6:$G$174, 'Expenditure Breakdown'!$H$6:$H$174, "&gt;="&amp;KW1,'Expenditure Breakdown'!$H$6:$H$174, "&lt;"&amp;KX1)</f>
        <v>0</v>
      </c>
      <c r="KX5" s="112">
        <f>SUMIFS('Expenditure Breakdown'!$G$6:$G$174, 'Expenditure Breakdown'!$H$6:$H$174, "&gt;="&amp;KX1,'Expenditure Breakdown'!$H$6:$H$174, "&lt;"&amp;KY1)</f>
        <v>0</v>
      </c>
      <c r="KY5" s="112">
        <f>SUMIFS('Expenditure Breakdown'!$G$6:$G$174, 'Expenditure Breakdown'!$H$6:$H$174, "&gt;="&amp;KY1,'Expenditure Breakdown'!$H$6:$H$174, "&lt;"&amp;KZ1)</f>
        <v>0</v>
      </c>
      <c r="KZ5" s="112">
        <f>SUMIFS('Expenditure Breakdown'!$G$6:$G$174, 'Expenditure Breakdown'!$H$6:$H$174, "&gt;="&amp;KZ1,'Expenditure Breakdown'!$H$6:$H$174, "&lt;"&amp;LA1)</f>
        <v>0</v>
      </c>
      <c r="LA5" s="112">
        <f>SUMIFS('Expenditure Breakdown'!$G$6:$G$174, 'Expenditure Breakdown'!$H$6:$H$174, "&gt;="&amp;LA1,'Expenditure Breakdown'!$H$6:$H$174, "&lt;"&amp;LB1)</f>
        <v>0</v>
      </c>
      <c r="LB5" s="112">
        <f>SUMIFS('Expenditure Breakdown'!$G$6:$G$174, 'Expenditure Breakdown'!$H$6:$H$174, "&gt;="&amp;LB1,'Expenditure Breakdown'!$H$6:$H$174, "&lt;"&amp;LC1)</f>
        <v>0</v>
      </c>
      <c r="LC5" s="112">
        <f>SUMIFS('Expenditure Breakdown'!$G$6:$G$174, 'Expenditure Breakdown'!$H$6:$H$174, "&gt;="&amp;LC1,'Expenditure Breakdown'!$H$6:$H$174, "&lt;"&amp;LD1)</f>
        <v>0</v>
      </c>
      <c r="LD5" s="112">
        <f>SUMIFS('Expenditure Breakdown'!$G$6:$G$174, 'Expenditure Breakdown'!$H$6:$H$174, "&gt;="&amp;LD1,'Expenditure Breakdown'!$H$6:$H$174, "&lt;"&amp;LE1)</f>
        <v>0</v>
      </c>
      <c r="LE5" s="112">
        <f>SUMIFS('Expenditure Breakdown'!$G$6:$G$174, 'Expenditure Breakdown'!$H$6:$H$174, "&gt;="&amp;LE1,'Expenditure Breakdown'!$H$6:$H$174, "&lt;"&amp;LF1)</f>
        <v>0</v>
      </c>
      <c r="LF5" s="112">
        <f>SUMIFS('Expenditure Breakdown'!$G$6:$G$174, 'Expenditure Breakdown'!$H$6:$H$174, "&gt;="&amp;LF1,'Expenditure Breakdown'!$H$6:$H$174, "&lt;"&amp;LG1)</f>
        <v>0</v>
      </c>
      <c r="LG5" s="112">
        <f>SUMIFS('Expenditure Breakdown'!$G$6:$G$174, 'Expenditure Breakdown'!$H$6:$H$174, "&gt;="&amp;LG1,'Expenditure Breakdown'!$H$6:$H$174, "&lt;"&amp;LH1)</f>
        <v>0</v>
      </c>
      <c r="LH5" s="112">
        <f>SUMIFS('Expenditure Breakdown'!$G$6:$G$174, 'Expenditure Breakdown'!$H$6:$H$174, "&gt;="&amp;LH1,'Expenditure Breakdown'!$H$6:$H$174, "&lt;"&amp;LI1)</f>
        <v>0</v>
      </c>
      <c r="LI5" s="112">
        <f>SUMIFS('Expenditure Breakdown'!$G$6:$G$174, 'Expenditure Breakdown'!$H$6:$H$174, "&gt;="&amp;LI1,'Expenditure Breakdown'!$H$6:$H$174, "&lt;"&amp;LJ1)</f>
        <v>0</v>
      </c>
      <c r="LJ5" s="112">
        <f>SUMIFS('Expenditure Breakdown'!$G$6:$G$174, 'Expenditure Breakdown'!$H$6:$H$174, "&gt;="&amp;LJ1,'Expenditure Breakdown'!$H$6:$H$174, "&lt;"&amp;LK1)</f>
        <v>0</v>
      </c>
      <c r="LK5" s="112">
        <f>SUMIFS('Expenditure Breakdown'!$G$6:$G$174, 'Expenditure Breakdown'!$H$6:$H$174, "&gt;="&amp;LK1,'Expenditure Breakdown'!$H$6:$H$174, "&lt;"&amp;LL1)</f>
        <v>0</v>
      </c>
      <c r="LL5" s="112">
        <f>SUMIFS('Expenditure Breakdown'!$G$6:$G$174, 'Expenditure Breakdown'!$H$6:$H$174, "&gt;="&amp;LL1,'Expenditure Breakdown'!$H$6:$H$174, "&lt;"&amp;LM1)</f>
        <v>0</v>
      </c>
      <c r="LM5" s="112">
        <f>SUMIFS('Expenditure Breakdown'!$G$6:$G$174, 'Expenditure Breakdown'!$H$6:$H$174, "&gt;="&amp;LM1,'Expenditure Breakdown'!$H$6:$H$174, "&lt;"&amp;LN1)</f>
        <v>0</v>
      </c>
      <c r="LN5" s="112">
        <f>SUMIFS('Expenditure Breakdown'!$G$6:$G$174, 'Expenditure Breakdown'!$H$6:$H$174, "&gt;="&amp;LN1,'Expenditure Breakdown'!$H$6:$H$174, "&lt;"&amp;LO1)</f>
        <v>0</v>
      </c>
      <c r="LO5" s="112">
        <f>SUMIFS('Expenditure Breakdown'!$G$6:$G$174, 'Expenditure Breakdown'!$H$6:$H$174, "&gt;="&amp;LO1,'Expenditure Breakdown'!$H$6:$H$174, "&lt;"&amp;LP1)</f>
        <v>0</v>
      </c>
      <c r="LP5" s="112">
        <f>SUMIFS('Expenditure Breakdown'!$G$6:$G$174, 'Expenditure Breakdown'!$H$6:$H$174, "&gt;="&amp;LP1,'Expenditure Breakdown'!$H$6:$H$174, "&lt;"&amp;LQ1)</f>
        <v>0</v>
      </c>
      <c r="LQ5" s="112">
        <f>SUMIFS('Expenditure Breakdown'!$G$6:$G$174, 'Expenditure Breakdown'!$H$6:$H$174, "&gt;="&amp;LQ1,'Expenditure Breakdown'!$H$6:$H$174, "&lt;"&amp;LR1)</f>
        <v>0</v>
      </c>
      <c r="LR5" s="112">
        <f>SUMIFS('Expenditure Breakdown'!$G$6:$G$174, 'Expenditure Breakdown'!$H$6:$H$174, "&gt;="&amp;LR1,'Expenditure Breakdown'!$H$6:$H$174, "&lt;"&amp;LS1)</f>
        <v>0</v>
      </c>
      <c r="LS5" s="112">
        <f>SUMIFS('Expenditure Breakdown'!$G$6:$G$174, 'Expenditure Breakdown'!$H$6:$H$174, "&gt;="&amp;LS1,'Expenditure Breakdown'!$H$6:$H$174, "&lt;"&amp;LT1)</f>
        <v>0</v>
      </c>
      <c r="LT5" s="112">
        <f>SUMIFS('Expenditure Breakdown'!$G$6:$G$174, 'Expenditure Breakdown'!$H$6:$H$174, "&gt;="&amp;LT1,'Expenditure Breakdown'!$H$6:$H$174, "&lt;"&amp;LU1)</f>
        <v>0</v>
      </c>
      <c r="LU5" s="112">
        <f>SUMIFS('Expenditure Breakdown'!$G$6:$G$174, 'Expenditure Breakdown'!$H$6:$H$174, "&gt;="&amp;LU1,'Expenditure Breakdown'!$H$6:$H$174, "&lt;"&amp;LV1)</f>
        <v>0</v>
      </c>
      <c r="LV5" s="112">
        <f>SUMIFS('Expenditure Breakdown'!$G$6:$G$174, 'Expenditure Breakdown'!$H$6:$H$174, "&gt;="&amp;LV1,'Expenditure Breakdown'!$H$6:$H$174, "&lt;"&amp;LW1)</f>
        <v>0</v>
      </c>
      <c r="LW5" s="112">
        <f>SUMIFS('Expenditure Breakdown'!$G$6:$G$174, 'Expenditure Breakdown'!$H$6:$H$174, "&gt;="&amp;LW1,'Expenditure Breakdown'!$H$6:$H$174, "&lt;"&amp;LX1)</f>
        <v>0</v>
      </c>
      <c r="LX5" s="112">
        <f>SUMIFS('Expenditure Breakdown'!$G$6:$G$174, 'Expenditure Breakdown'!$H$6:$H$174, "&gt;="&amp;LX1,'Expenditure Breakdown'!$H$6:$H$174, "&lt;"&amp;LY1)</f>
        <v>0</v>
      </c>
      <c r="LY5" s="112">
        <f>SUMIFS('Expenditure Breakdown'!$G$6:$G$174, 'Expenditure Breakdown'!$H$6:$H$174, "&gt;="&amp;LY1,'Expenditure Breakdown'!$H$6:$H$174, "&lt;"&amp;LZ1)</f>
        <v>0</v>
      </c>
      <c r="LZ5" s="112">
        <f>SUMIFS('Expenditure Breakdown'!$G$6:$G$174, 'Expenditure Breakdown'!$H$6:$H$174, "&gt;="&amp;LZ1,'Expenditure Breakdown'!$H$6:$H$174, "&lt;"&amp;MA1)</f>
        <v>0</v>
      </c>
      <c r="MA5" s="112">
        <f>SUMIFS('Expenditure Breakdown'!$G$6:$G$174, 'Expenditure Breakdown'!$H$6:$H$174, "&gt;="&amp;MA1,'Expenditure Breakdown'!$H$6:$H$174, "&lt;"&amp;MB1)</f>
        <v>0</v>
      </c>
      <c r="MB5" s="112">
        <f>SUMIFS('Expenditure Breakdown'!$G$6:$G$174, 'Expenditure Breakdown'!$H$6:$H$174, "&gt;="&amp;MB1,'Expenditure Breakdown'!$H$6:$H$174, "&lt;"&amp;MC1)</f>
        <v>0</v>
      </c>
      <c r="MC5" s="112">
        <f>SUMIFS('Expenditure Breakdown'!$G$6:$G$174, 'Expenditure Breakdown'!$H$6:$H$174, "&gt;="&amp;MC1,'Expenditure Breakdown'!$H$6:$H$174, "&lt;"&amp;MD1)</f>
        <v>0</v>
      </c>
      <c r="MD5" s="112">
        <f>SUMIFS('Expenditure Breakdown'!$G$6:$G$174, 'Expenditure Breakdown'!$H$6:$H$174, "&gt;="&amp;MD1,'Expenditure Breakdown'!$H$6:$H$174, "&lt;"&amp;ME1)</f>
        <v>0</v>
      </c>
      <c r="ME5" s="112">
        <f>SUMIFS('Expenditure Breakdown'!$G$6:$G$174, 'Expenditure Breakdown'!$H$6:$H$174, "&gt;="&amp;ME1,'Expenditure Breakdown'!$H$6:$H$174, "&lt;"&amp;MF1)</f>
        <v>0</v>
      </c>
      <c r="MF5" s="112">
        <f>SUMIFS('Expenditure Breakdown'!$G$6:$G$174, 'Expenditure Breakdown'!$H$6:$H$174, "&gt;="&amp;MF1,'Expenditure Breakdown'!$H$6:$H$174, "&lt;"&amp;MG1)</f>
        <v>0</v>
      </c>
      <c r="MG5" s="112">
        <f>SUMIFS('Expenditure Breakdown'!$G$6:$G$174, 'Expenditure Breakdown'!$H$6:$H$174, "&gt;="&amp;MG1,'Expenditure Breakdown'!$H$6:$H$174, "&lt;"&amp;MH1)</f>
        <v>0</v>
      </c>
      <c r="MH5" s="112">
        <f>SUMIFS('Expenditure Breakdown'!$G$6:$G$174, 'Expenditure Breakdown'!$H$6:$H$174, "&gt;="&amp;MH1,'Expenditure Breakdown'!$H$6:$H$174, "&lt;"&amp;MI1)</f>
        <v>0</v>
      </c>
      <c r="MI5" s="112">
        <f>SUMIFS('Expenditure Breakdown'!$G$6:$G$174, 'Expenditure Breakdown'!$H$6:$H$174, "&gt;="&amp;MI1,'Expenditure Breakdown'!$H$6:$H$174, "&lt;"&amp;MJ1)</f>
        <v>0</v>
      </c>
      <c r="MJ5" s="112">
        <f>SUMIFS('Expenditure Breakdown'!$G$6:$G$174, 'Expenditure Breakdown'!$H$6:$H$174, "&gt;="&amp;MJ1,'Expenditure Breakdown'!$H$6:$H$174, "&lt;"&amp;MK1)</f>
        <v>0</v>
      </c>
      <c r="MK5" s="112">
        <f>SUMIFS('Expenditure Breakdown'!$G$6:$G$174, 'Expenditure Breakdown'!$H$6:$H$174, "&gt;="&amp;MK1,'Expenditure Breakdown'!$H$6:$H$174, "&lt;"&amp;ML1)</f>
        <v>0</v>
      </c>
      <c r="ML5" s="112">
        <f>SUMIFS('Expenditure Breakdown'!$G$6:$G$174, 'Expenditure Breakdown'!$H$6:$H$174, "&gt;="&amp;ML1,'Expenditure Breakdown'!$H$6:$H$174, "&lt;"&amp;MM1)</f>
        <v>0</v>
      </c>
      <c r="MM5" s="112">
        <f>SUMIFS('Expenditure Breakdown'!$G$6:$G$174, 'Expenditure Breakdown'!$H$6:$H$174, "&gt;="&amp;MM1,'Expenditure Breakdown'!$H$6:$H$174, "&lt;"&amp;MN1)</f>
        <v>0</v>
      </c>
      <c r="MN5" s="112">
        <f>SUMIFS('Expenditure Breakdown'!$G$6:$G$174, 'Expenditure Breakdown'!$H$6:$H$174, "&gt;="&amp;MN1,'Expenditure Breakdown'!$H$6:$H$174, "&lt;"&amp;MO1)</f>
        <v>0</v>
      </c>
      <c r="MO5" s="112">
        <f>SUMIFS('Expenditure Breakdown'!$G$6:$G$174, 'Expenditure Breakdown'!$H$6:$H$174, "&gt;="&amp;MO1,'Expenditure Breakdown'!$H$6:$H$174, "&lt;"&amp;MP1)</f>
        <v>0</v>
      </c>
      <c r="MP5" s="112">
        <f>SUMIFS('Expenditure Breakdown'!$G$6:$G$174, 'Expenditure Breakdown'!$H$6:$H$174, "&gt;="&amp;MP1,'Expenditure Breakdown'!$H$6:$H$174, "&lt;"&amp;MQ1)</f>
        <v>0</v>
      </c>
      <c r="MQ5" s="112">
        <f>SUMIFS('Expenditure Breakdown'!$G$6:$G$174, 'Expenditure Breakdown'!$H$6:$H$174, "&gt;="&amp;MQ1,'Expenditure Breakdown'!$H$6:$H$174, "&lt;"&amp;MR1)</f>
        <v>0</v>
      </c>
      <c r="MR5" s="112">
        <f>SUMIFS('Expenditure Breakdown'!$G$6:$G$174, 'Expenditure Breakdown'!$H$6:$H$174, "&gt;="&amp;MR1,'Expenditure Breakdown'!$H$6:$H$174, "&lt;"&amp;MS1)</f>
        <v>0</v>
      </c>
      <c r="MS5" s="112">
        <f>SUMIFS('Expenditure Breakdown'!$G$6:$G$174, 'Expenditure Breakdown'!$H$6:$H$174, "&gt;="&amp;MS1,'Expenditure Breakdown'!$H$6:$H$174, "&lt;"&amp;MT1)</f>
        <v>0</v>
      </c>
      <c r="MT5" s="112">
        <f>SUMIFS('Expenditure Breakdown'!$G$6:$G$174, 'Expenditure Breakdown'!$H$6:$H$174, "&gt;="&amp;MT1,'Expenditure Breakdown'!$H$6:$H$174, "&lt;"&amp;MU1)</f>
        <v>0</v>
      </c>
      <c r="MU5" s="112">
        <f>SUMIFS('Expenditure Breakdown'!$G$6:$G$174, 'Expenditure Breakdown'!$H$6:$H$174, "&gt;="&amp;MU1,'Expenditure Breakdown'!$H$6:$H$174, "&lt;"&amp;MV1)</f>
        <v>0</v>
      </c>
      <c r="MV5" s="112">
        <f>SUMIFS('Expenditure Breakdown'!$G$6:$G$174, 'Expenditure Breakdown'!$H$6:$H$174, "&gt;="&amp;MV1,'Expenditure Breakdown'!$H$6:$H$174, "&lt;"&amp;MW1)</f>
        <v>0</v>
      </c>
      <c r="MW5" s="112">
        <f>SUMIFS('Expenditure Breakdown'!$G$6:$G$174, 'Expenditure Breakdown'!$H$6:$H$174, "&gt;="&amp;MW1,'Expenditure Breakdown'!$H$6:$H$174, "&lt;"&amp;MX1)</f>
        <v>0</v>
      </c>
      <c r="MX5" s="112">
        <f>SUMIFS('Expenditure Breakdown'!$G$6:$G$174, 'Expenditure Breakdown'!$H$6:$H$174, "&gt;="&amp;MX1,'Expenditure Breakdown'!$H$6:$H$174, "&lt;"&amp;MY1)</f>
        <v>0</v>
      </c>
      <c r="MY5" s="112">
        <f>SUMIFS('Expenditure Breakdown'!$G$6:$G$174, 'Expenditure Breakdown'!$H$6:$H$174, "&gt;="&amp;MY1,'Expenditure Breakdown'!$H$6:$H$174, "&lt;"&amp;MZ1)</f>
        <v>0</v>
      </c>
      <c r="MZ5" s="112">
        <f>SUMIFS('Expenditure Breakdown'!$G$6:$G$174, 'Expenditure Breakdown'!$H$6:$H$174, "&gt;="&amp;MZ1,'Expenditure Breakdown'!$H$6:$H$174, "&lt;"&amp;NA1)</f>
        <v>0</v>
      </c>
      <c r="NA5" s="112">
        <f>SUMIFS('Expenditure Breakdown'!$G$6:$G$174, 'Expenditure Breakdown'!$H$6:$H$174, "&gt;="&amp;NA1,'Expenditure Breakdown'!$H$6:$H$174, "&lt;"&amp;NB1)</f>
        <v>0</v>
      </c>
      <c r="NB5" s="112">
        <f>SUMIFS('Expenditure Breakdown'!$G$6:$G$174, 'Expenditure Breakdown'!$H$6:$H$174, "&gt;="&amp;NB1,'Expenditure Breakdown'!$H$6:$H$174, "&lt;"&amp;NC1)</f>
        <v>0</v>
      </c>
      <c r="NC5" s="112">
        <f>SUMIFS('Expenditure Breakdown'!$G$6:$G$174, 'Expenditure Breakdown'!$H$6:$H$174, "&gt;="&amp;NC1,'Expenditure Breakdown'!$H$6:$H$174, "&lt;"&amp;ND1)</f>
        <v>0</v>
      </c>
      <c r="ND5" s="112">
        <f>SUMIFS('Expenditure Breakdown'!$G$6:$G$174, 'Expenditure Breakdown'!$H$6:$H$174, "&gt;="&amp;ND1,'Expenditure Breakdown'!$H$6:$H$174, "&lt;"&amp;NE1)</f>
        <v>0</v>
      </c>
      <c r="NE5" s="112">
        <f>SUMIFS('Expenditure Breakdown'!$G$6:$G$174, 'Expenditure Breakdown'!$H$6:$H$174, "&gt;="&amp;NE1,'Expenditure Breakdown'!$H$6:$H$174, "&lt;"&amp;NF1)</f>
        <v>0</v>
      </c>
      <c r="NF5" s="112">
        <f>SUMIFS('Expenditure Breakdown'!$G$6:$G$174, 'Expenditure Breakdown'!$H$6:$H$174, "&gt;="&amp;NF1,'Expenditure Breakdown'!$H$6:$H$174, "&lt;"&amp;NG1)</f>
        <v>0</v>
      </c>
      <c r="NG5" s="112">
        <f>SUMIFS('Expenditure Breakdown'!$G$6:$G$174, 'Expenditure Breakdown'!$H$6:$H$174, "&gt;="&amp;NG1,'Expenditure Breakdown'!$H$6:$H$174, "&lt;"&amp;NH1)</f>
        <v>0</v>
      </c>
      <c r="NH5" s="112">
        <f>SUMIFS('Expenditure Breakdown'!$G$6:$G$174, 'Expenditure Breakdown'!$H$6:$H$174, "&gt;="&amp;NH1,'Expenditure Breakdown'!$H$6:$H$174, "&lt;"&amp;NI1)</f>
        <v>0</v>
      </c>
      <c r="NI5" s="112">
        <f>SUMIFS('Expenditure Breakdown'!$G$6:$G$174, 'Expenditure Breakdown'!$H$6:$H$174, "&gt;="&amp;NI1,'Expenditure Breakdown'!$H$6:$H$174, "&lt;"&amp;NJ1)</f>
        <v>0</v>
      </c>
      <c r="NJ5" s="112">
        <f>SUMIFS('Expenditure Breakdown'!$G$6:$G$174, 'Expenditure Breakdown'!$H$6:$H$174, "&gt;="&amp;NJ1,'Expenditure Breakdown'!$H$6:$H$174, "&lt;"&amp;NK1)</f>
        <v>0</v>
      </c>
      <c r="NK5" s="112">
        <f>SUMIFS('Expenditure Breakdown'!$G$6:$G$174, 'Expenditure Breakdown'!$H$6:$H$174, "&gt;="&amp;NK1,'Expenditure Breakdown'!$H$6:$H$174, "&lt;"&amp;NL1)</f>
        <v>0</v>
      </c>
      <c r="NL5" s="112">
        <f>SUMIFS('Expenditure Breakdown'!$G$6:$G$174, 'Expenditure Breakdown'!$H$6:$H$174, "&gt;="&amp;NL1,'Expenditure Breakdown'!$H$6:$H$174, "&lt;"&amp;NM1)</f>
        <v>0</v>
      </c>
      <c r="NM5" s="112">
        <f>SUMIFS('Expenditure Breakdown'!$G$6:$G$174, 'Expenditure Breakdown'!$H$6:$H$174, "&gt;="&amp;NM1,'Expenditure Breakdown'!$H$6:$H$174, "&lt;"&amp;NN1)</f>
        <v>0</v>
      </c>
      <c r="NN5" s="112">
        <f>SUMIFS('Expenditure Breakdown'!$G$6:$G$174, 'Expenditure Breakdown'!$H$6:$H$174, "&gt;="&amp;NN1,'Expenditure Breakdown'!$H$6:$H$174, "&lt;"&amp;NO1)</f>
        <v>0</v>
      </c>
      <c r="NO5" s="112">
        <f>SUMIFS('Expenditure Breakdown'!$G$6:$G$174, 'Expenditure Breakdown'!$H$6:$H$174, "&gt;="&amp;NO1,'Expenditure Breakdown'!$H$6:$H$174, "&lt;"&amp;NP1)</f>
        <v>0</v>
      </c>
      <c r="NP5" s="112">
        <f>SUMIFS('Expenditure Breakdown'!$G$6:$G$174, 'Expenditure Breakdown'!$H$6:$H$174, "&gt;="&amp;NP1,'Expenditure Breakdown'!$H$6:$H$174, "&lt;"&amp;NQ1)</f>
        <v>0</v>
      </c>
      <c r="NQ5" s="112">
        <f>SUMIFS('Expenditure Breakdown'!$G$6:$G$174, 'Expenditure Breakdown'!$H$6:$H$174, "&gt;="&amp;NQ1,'Expenditure Breakdown'!$H$6:$H$174, "&lt;"&amp;NR1)</f>
        <v>0</v>
      </c>
      <c r="NR5" s="112">
        <f>SUMIFS('Expenditure Breakdown'!$G$6:$G$174, 'Expenditure Breakdown'!$H$6:$H$174, "&gt;="&amp;NR1,'Expenditure Breakdown'!$H$6:$H$174, "&lt;"&amp;NS1)</f>
        <v>0</v>
      </c>
      <c r="NS5" s="112">
        <f>SUMIFS('Expenditure Breakdown'!$G$6:$G$174, 'Expenditure Breakdown'!$H$6:$H$174, "&gt;="&amp;NS1,'Expenditure Breakdown'!$H$6:$H$174, "&lt;"&amp;NT1)</f>
        <v>0</v>
      </c>
      <c r="NT5" s="112">
        <f>SUMIFS('Expenditure Breakdown'!$G$6:$G$174, 'Expenditure Breakdown'!$H$6:$H$174, "&gt;="&amp;NT1,'Expenditure Breakdown'!$H$6:$H$174, "&lt;"&amp;NU1)</f>
        <v>0</v>
      </c>
      <c r="NU5" s="112">
        <f>SUMIFS('Expenditure Breakdown'!$G$6:$G$174, 'Expenditure Breakdown'!$H$6:$H$174, "&gt;="&amp;NU1,'Expenditure Breakdown'!$H$6:$H$174, "&lt;"&amp;NV1)</f>
        <v>0</v>
      </c>
      <c r="NV5" s="112">
        <f>SUMIFS('Expenditure Breakdown'!$G$6:$G$174, 'Expenditure Breakdown'!$H$6:$H$174, "&gt;="&amp;NV1,'Expenditure Breakdown'!$H$6:$H$174, "&lt;"&amp;NW1)</f>
        <v>0</v>
      </c>
      <c r="NW5" s="112">
        <f>SUMIFS('Expenditure Breakdown'!$G$6:$G$174, 'Expenditure Breakdown'!$H$6:$H$174, "&gt;="&amp;NW1,'Expenditure Breakdown'!$H$6:$H$174, "&lt;"&amp;NX1)</f>
        <v>0</v>
      </c>
      <c r="NX5" s="112">
        <f>SUMIFS('Expenditure Breakdown'!$G$6:$G$174, 'Expenditure Breakdown'!$H$6:$H$174, "&gt;="&amp;NX1,'Expenditure Breakdown'!$H$6:$H$174, "&lt;"&amp;NY1)</f>
        <v>0</v>
      </c>
      <c r="NY5" s="112">
        <f>SUMIFS('Expenditure Breakdown'!$G$6:$G$174, 'Expenditure Breakdown'!$H$6:$H$174, "&gt;="&amp;NY1,'Expenditure Breakdown'!$H$6:$H$174, "&lt;"&amp;NZ1)</f>
        <v>0</v>
      </c>
      <c r="NZ5" s="112">
        <f>SUMIFS('Expenditure Breakdown'!$G$6:$G$174, 'Expenditure Breakdown'!$H$6:$H$174, "&gt;="&amp;NZ1,'Expenditure Breakdown'!$H$6:$H$174, "&lt;"&amp;OA1)</f>
        <v>0</v>
      </c>
      <c r="OA5" s="112">
        <f>SUMIFS('Expenditure Breakdown'!$G$6:$G$174, 'Expenditure Breakdown'!$H$6:$H$174, "&gt;="&amp;OA1,'Expenditure Breakdown'!$H$6:$H$174, "&lt;"&amp;OB1)</f>
        <v>0</v>
      </c>
      <c r="OB5" s="112">
        <f>SUMIFS('Expenditure Breakdown'!$G$6:$G$174, 'Expenditure Breakdown'!$H$6:$H$174, "&gt;="&amp;OB1,'Expenditure Breakdown'!$H$6:$H$174, "&lt;"&amp;OC1)</f>
        <v>0</v>
      </c>
      <c r="OC5" s="112">
        <f>SUMIFS('Expenditure Breakdown'!$G$6:$G$174, 'Expenditure Breakdown'!$H$6:$H$174, "&gt;="&amp;OC1,'Expenditure Breakdown'!$H$6:$H$174, "&lt;"&amp;OD1)</f>
        <v>0</v>
      </c>
      <c r="OD5" s="112">
        <f>SUMIFS('Expenditure Breakdown'!$G$6:$G$174, 'Expenditure Breakdown'!$H$6:$H$174, "&gt;="&amp;OD1,'Expenditure Breakdown'!$H$6:$H$174, "&lt;"&amp;OE1)</f>
        <v>0</v>
      </c>
      <c r="OE5" s="112">
        <f>SUMIFS('Expenditure Breakdown'!$G$6:$G$174, 'Expenditure Breakdown'!$H$6:$H$174, "&gt;="&amp;OE1,'Expenditure Breakdown'!$H$6:$H$174, "&lt;"&amp;OF1)</f>
        <v>0</v>
      </c>
      <c r="OF5" s="112">
        <f>SUMIFS('Expenditure Breakdown'!$G$6:$G$174, 'Expenditure Breakdown'!$H$6:$H$174, "&gt;="&amp;OF1,'Expenditure Breakdown'!$H$6:$H$174, "&lt;"&amp;OG1)</f>
        <v>0</v>
      </c>
      <c r="OG5" s="112">
        <f>SUMIFS('Expenditure Breakdown'!$G$6:$G$174, 'Expenditure Breakdown'!$H$6:$H$174, "&gt;="&amp;OG1,'Expenditure Breakdown'!$H$6:$H$174, "&lt;"&amp;OH1)</f>
        <v>0</v>
      </c>
      <c r="OH5" s="112">
        <f>SUMIFS('Expenditure Breakdown'!$G$6:$G$174, 'Expenditure Breakdown'!$H$6:$H$174, "&gt;="&amp;OH1,'Expenditure Breakdown'!$H$6:$H$174, "&lt;"&amp;OI1)</f>
        <v>0</v>
      </c>
      <c r="OI5" s="112">
        <f>SUMIFS('Expenditure Breakdown'!$G$6:$G$174, 'Expenditure Breakdown'!$H$6:$H$174, "&gt;="&amp;OI1,'Expenditure Breakdown'!$H$6:$H$174, "&lt;"&amp;OJ1)</f>
        <v>0</v>
      </c>
      <c r="OJ5" s="112">
        <f>SUMIFS('Expenditure Breakdown'!$G$6:$G$174, 'Expenditure Breakdown'!$H$6:$H$174, "&gt;="&amp;OJ1,'Expenditure Breakdown'!$H$6:$H$174, "&lt;"&amp;OK1)</f>
        <v>0</v>
      </c>
      <c r="OK5" s="112">
        <f>SUMIFS('Expenditure Breakdown'!$G$6:$G$174, 'Expenditure Breakdown'!$H$6:$H$174, "&gt;="&amp;OK1,'Expenditure Breakdown'!$H$6:$H$174, "&lt;"&amp;OL1)</f>
        <v>0</v>
      </c>
      <c r="OL5" s="112">
        <f>SUMIFS('Expenditure Breakdown'!$G$6:$G$174, 'Expenditure Breakdown'!$H$6:$H$174, "&gt;="&amp;OL1,'Expenditure Breakdown'!$H$6:$H$174, "&lt;"&amp;OM1)</f>
        <v>0</v>
      </c>
      <c r="OM5" s="112">
        <f>SUMIFS('Expenditure Breakdown'!$G$6:$G$174, 'Expenditure Breakdown'!$H$6:$H$174, "&gt;="&amp;OM1,'Expenditure Breakdown'!$H$6:$H$174, "&lt;"&amp;ON1)</f>
        <v>0</v>
      </c>
      <c r="ON5" s="112">
        <f>SUMIFS('Expenditure Breakdown'!$G$6:$G$174, 'Expenditure Breakdown'!$H$6:$H$174, "&gt;="&amp;ON1,'Expenditure Breakdown'!$H$6:$H$174, "&lt;"&amp;OO1)</f>
        <v>0</v>
      </c>
      <c r="OO5" s="112">
        <f>SUMIFS('Expenditure Breakdown'!$G$6:$G$174, 'Expenditure Breakdown'!$H$6:$H$174, "&gt;="&amp;OO1,'Expenditure Breakdown'!$H$6:$H$174, "&lt;"&amp;OP1)</f>
        <v>0</v>
      </c>
      <c r="OP5" s="112">
        <f>SUMIFS('Expenditure Breakdown'!$G$6:$G$174, 'Expenditure Breakdown'!$H$6:$H$174, "&gt;="&amp;OP1,'Expenditure Breakdown'!$H$6:$H$174, "&lt;"&amp;OQ1)</f>
        <v>0</v>
      </c>
      <c r="OQ5" s="112">
        <f>SUMIFS('Expenditure Breakdown'!$G$6:$G$174, 'Expenditure Breakdown'!$H$6:$H$174, "&gt;="&amp;OQ1,'Expenditure Breakdown'!$H$6:$H$174, "&lt;"&amp;OR1)</f>
        <v>0</v>
      </c>
      <c r="OR5" s="112">
        <f>SUMIFS('Expenditure Breakdown'!$G$6:$G$174, 'Expenditure Breakdown'!$H$6:$H$174, "&gt;="&amp;OR1,'Expenditure Breakdown'!$H$6:$H$174, "&lt;"&amp;OS1)</f>
        <v>0</v>
      </c>
      <c r="OS5" s="112">
        <f>SUMIFS('Expenditure Breakdown'!$G$6:$G$174, 'Expenditure Breakdown'!$H$6:$H$174, "&gt;="&amp;OS1,'Expenditure Breakdown'!$H$6:$H$174, "&lt;"&amp;OT1)</f>
        <v>0</v>
      </c>
      <c r="OT5" s="112">
        <f>SUMIFS('Expenditure Breakdown'!$G$6:$G$174, 'Expenditure Breakdown'!$H$6:$H$174, "&gt;="&amp;OT1,'Expenditure Breakdown'!$H$6:$H$174, "&lt;"&amp;OU1)</f>
        <v>0</v>
      </c>
      <c r="OU5" s="112">
        <f>SUMIFS('Expenditure Breakdown'!$G$6:$G$174, 'Expenditure Breakdown'!$H$6:$H$174, "&gt;="&amp;OU1,'Expenditure Breakdown'!$H$6:$H$174, "&lt;"&amp;OV1)</f>
        <v>0</v>
      </c>
      <c r="OV5" s="112">
        <f>SUMIFS('Expenditure Breakdown'!$G$6:$G$174, 'Expenditure Breakdown'!$H$6:$H$174, "&gt;="&amp;OV1,'Expenditure Breakdown'!$H$6:$H$174, "&lt;"&amp;OW1)</f>
        <v>0</v>
      </c>
      <c r="OW5" s="112">
        <f>SUMIFS('Expenditure Breakdown'!$G$6:$G$174, 'Expenditure Breakdown'!$H$6:$H$174, "&gt;="&amp;OW1,'Expenditure Breakdown'!$H$6:$H$174, "&lt;"&amp;OX1)</f>
        <v>0</v>
      </c>
      <c r="OX5" s="112">
        <f>SUMIFS('Expenditure Breakdown'!$G$6:$G$174, 'Expenditure Breakdown'!$H$6:$H$174, "&gt;="&amp;OX1,'Expenditure Breakdown'!$H$6:$H$174, "&lt;"&amp;OY1)</f>
        <v>0</v>
      </c>
      <c r="OY5" s="112">
        <f>SUMIFS('Expenditure Breakdown'!$G$6:$G$174, 'Expenditure Breakdown'!$H$6:$H$174, "&gt;="&amp;OY1,'Expenditure Breakdown'!$H$6:$H$174, "&lt;"&amp;OZ1)</f>
        <v>0</v>
      </c>
      <c r="OZ5" s="112">
        <f>SUMIFS('Expenditure Breakdown'!$G$6:$G$174, 'Expenditure Breakdown'!$H$6:$H$174, "&gt;="&amp;OZ1,'Expenditure Breakdown'!$H$6:$H$174, "&lt;"&amp;PA1)</f>
        <v>0</v>
      </c>
      <c r="PA5" s="112">
        <f>SUMIFS('Expenditure Breakdown'!$G$6:$G$174, 'Expenditure Breakdown'!$H$6:$H$174, "&gt;="&amp;PA1,'Expenditure Breakdown'!$H$6:$H$174, "&lt;"&amp;PB1)</f>
        <v>0</v>
      </c>
      <c r="PB5" s="112">
        <f>SUMIFS('Expenditure Breakdown'!$G$6:$G$174, 'Expenditure Breakdown'!$H$6:$H$174, "&gt;="&amp;PB1,'Expenditure Breakdown'!$H$6:$H$174, "&lt;"&amp;PC1)</f>
        <v>0</v>
      </c>
      <c r="PC5" s="112">
        <f>SUMIFS('Expenditure Breakdown'!$G$6:$G$174, 'Expenditure Breakdown'!$H$6:$H$174, "&gt;="&amp;PC1,'Expenditure Breakdown'!$H$6:$H$174, "&lt;"&amp;PD1)</f>
        <v>0</v>
      </c>
      <c r="PD5" s="112">
        <f>SUMIFS('Expenditure Breakdown'!$G$6:$G$174, 'Expenditure Breakdown'!$H$6:$H$174, "&gt;="&amp;PD1,'Expenditure Breakdown'!$H$6:$H$174, "&lt;"&amp;PE1)</f>
        <v>0</v>
      </c>
      <c r="PE5" s="112">
        <f>SUMIFS('Expenditure Breakdown'!$G$6:$G$174, 'Expenditure Breakdown'!$H$6:$H$174, "&gt;="&amp;PE1,'Expenditure Breakdown'!$H$6:$H$174, "&lt;"&amp;PF1)</f>
        <v>0</v>
      </c>
      <c r="PF5" s="112">
        <f>SUMIFS('Expenditure Breakdown'!$G$6:$G$174, 'Expenditure Breakdown'!$H$6:$H$174, "&gt;="&amp;PF1,'Expenditure Breakdown'!$H$6:$H$174, "&lt;"&amp;PG1)</f>
        <v>0</v>
      </c>
      <c r="PG5" s="112">
        <f>SUMIFS('Expenditure Breakdown'!$G$6:$G$174, 'Expenditure Breakdown'!$H$6:$H$174, "&gt;="&amp;PG1,'Expenditure Breakdown'!$H$6:$H$174, "&lt;"&amp;PH1)</f>
        <v>0</v>
      </c>
      <c r="PH5" s="112">
        <f>SUMIFS('Expenditure Breakdown'!$G$6:$G$174, 'Expenditure Breakdown'!$H$6:$H$174, "&gt;="&amp;PH1,'Expenditure Breakdown'!$H$6:$H$174, "&lt;"&amp;PI1)</f>
        <v>0</v>
      </c>
      <c r="PI5" s="112">
        <f>SUMIFS('Expenditure Breakdown'!$G$6:$G$174, 'Expenditure Breakdown'!$H$6:$H$174, "&gt;="&amp;PI1,'Expenditure Breakdown'!$H$6:$H$174, "&lt;"&amp;PJ1)</f>
        <v>0</v>
      </c>
      <c r="PJ5" s="112">
        <f>SUMIFS('Expenditure Breakdown'!$G$6:$G$174, 'Expenditure Breakdown'!$H$6:$H$174, "&gt;="&amp;PJ1,'Expenditure Breakdown'!$H$6:$H$174, "&lt;"&amp;PK1)</f>
        <v>0</v>
      </c>
      <c r="PK5" s="112">
        <f>SUMIFS('Expenditure Breakdown'!$G$6:$G$174, 'Expenditure Breakdown'!$H$6:$H$174, "&gt;="&amp;PK1,'Expenditure Breakdown'!$H$6:$H$174, "&lt;"&amp;PL1)</f>
        <v>0</v>
      </c>
      <c r="PL5" s="112">
        <f>SUMIFS('Expenditure Breakdown'!$G$6:$G$174, 'Expenditure Breakdown'!$H$6:$H$174, "&gt;="&amp;PL1,'Expenditure Breakdown'!$H$6:$H$174, "&lt;"&amp;PM1)</f>
        <v>0</v>
      </c>
      <c r="PM5" s="112">
        <f>SUMIFS('Expenditure Breakdown'!$G$6:$G$174, 'Expenditure Breakdown'!$H$6:$H$174, "&gt;="&amp;PM1,'Expenditure Breakdown'!$H$6:$H$174, "&lt;"&amp;PN1)</f>
        <v>0</v>
      </c>
      <c r="PN5" s="112">
        <f>SUMIFS('Expenditure Breakdown'!$G$6:$G$174, 'Expenditure Breakdown'!$H$6:$H$174, "&gt;="&amp;PN1,'Expenditure Breakdown'!$H$6:$H$174, "&lt;"&amp;PO1)</f>
        <v>0</v>
      </c>
      <c r="PO5" s="112">
        <f>SUMIFS('Expenditure Breakdown'!$G$6:$G$174, 'Expenditure Breakdown'!$H$6:$H$174, "&gt;="&amp;PO1,'Expenditure Breakdown'!$H$6:$H$174, "&lt;"&amp;PP1)</f>
        <v>0</v>
      </c>
      <c r="PP5" s="112">
        <f>SUMIFS('Expenditure Breakdown'!$G$6:$G$174, 'Expenditure Breakdown'!$H$6:$H$174, "&gt;="&amp;PP1,'Expenditure Breakdown'!$H$6:$H$174, "&lt;"&amp;PQ1)</f>
        <v>0</v>
      </c>
      <c r="PQ5" s="112">
        <f>SUMIFS('Expenditure Breakdown'!$G$6:$G$174, 'Expenditure Breakdown'!$H$6:$H$174, "&gt;="&amp;PQ1,'Expenditure Breakdown'!$H$6:$H$174, "&lt;"&amp;PR1)</f>
        <v>0</v>
      </c>
      <c r="PR5" s="112">
        <f>SUMIFS('Expenditure Breakdown'!$G$6:$G$174, 'Expenditure Breakdown'!$H$6:$H$174, "&gt;="&amp;PR1,'Expenditure Breakdown'!$H$6:$H$174, "&lt;"&amp;PS1)</f>
        <v>0</v>
      </c>
      <c r="PS5" s="112">
        <f>SUMIFS('Expenditure Breakdown'!$G$6:$G$174, 'Expenditure Breakdown'!$H$6:$H$174, "&gt;="&amp;PS1,'Expenditure Breakdown'!$H$6:$H$174, "&lt;"&amp;PT1)</f>
        <v>0</v>
      </c>
      <c r="PT5" s="112">
        <f>SUMIFS('Expenditure Breakdown'!$G$6:$G$174, 'Expenditure Breakdown'!$H$6:$H$174, "&gt;="&amp;PT1,'Expenditure Breakdown'!$H$6:$H$174, "&lt;"&amp;PU1)</f>
        <v>0</v>
      </c>
      <c r="PU5" s="112">
        <f>SUMIFS('Expenditure Breakdown'!$G$6:$G$174, 'Expenditure Breakdown'!$H$6:$H$174, "&gt;="&amp;PU1,'Expenditure Breakdown'!$H$6:$H$174, "&lt;"&amp;PV1)</f>
        <v>0</v>
      </c>
      <c r="PV5" s="112">
        <f>SUMIFS('Expenditure Breakdown'!$G$6:$G$174, 'Expenditure Breakdown'!$H$6:$H$174, "&gt;="&amp;PV1,'Expenditure Breakdown'!$H$6:$H$174, "&lt;"&amp;PW1)</f>
        <v>0</v>
      </c>
      <c r="PW5" s="112">
        <f>SUMIFS('Expenditure Breakdown'!$G$6:$G$174, 'Expenditure Breakdown'!$H$6:$H$174, "&gt;="&amp;PW1,'Expenditure Breakdown'!$H$6:$H$174, "&lt;"&amp;PX1)</f>
        <v>0</v>
      </c>
      <c r="PX5" s="112">
        <f>SUMIFS('Expenditure Breakdown'!$G$6:$G$174, 'Expenditure Breakdown'!$H$6:$H$174, "&gt;="&amp;PX1,'Expenditure Breakdown'!$H$6:$H$174, "&lt;"&amp;PY1)</f>
        <v>0</v>
      </c>
      <c r="PY5" s="112">
        <f>SUMIFS('Expenditure Breakdown'!$G$6:$G$174, 'Expenditure Breakdown'!$H$6:$H$174, "&gt;="&amp;PY1,'Expenditure Breakdown'!$H$6:$H$174, "&lt;"&amp;PZ1)</f>
        <v>0</v>
      </c>
      <c r="PZ5" s="112">
        <f>SUMIFS('Expenditure Breakdown'!$G$6:$G$174, 'Expenditure Breakdown'!$H$6:$H$174, "&gt;="&amp;PZ1,'Expenditure Breakdown'!$H$6:$H$174, "&lt;"&amp;QA1)</f>
        <v>0</v>
      </c>
      <c r="QA5" s="112">
        <f>SUMIFS('Expenditure Breakdown'!$G$6:$G$174, 'Expenditure Breakdown'!$H$6:$H$174, "&gt;="&amp;QA1,'Expenditure Breakdown'!$H$6:$H$174, "&lt;"&amp;QB1)</f>
        <v>0</v>
      </c>
      <c r="QB5" s="112">
        <f>SUMIFS('Expenditure Breakdown'!$G$6:$G$174, 'Expenditure Breakdown'!$H$6:$H$174, "&gt;="&amp;QB1,'Expenditure Breakdown'!$H$6:$H$174, "&lt;"&amp;QC1)</f>
        <v>0</v>
      </c>
      <c r="QC5" s="112">
        <f>SUMIFS('Expenditure Breakdown'!$G$6:$G$174, 'Expenditure Breakdown'!$H$6:$H$174, "&gt;="&amp;QC1,'Expenditure Breakdown'!$H$6:$H$174, "&lt;"&amp;QD1)</f>
        <v>0</v>
      </c>
      <c r="QD5" s="112">
        <f>SUMIFS('Expenditure Breakdown'!$G$6:$G$174, 'Expenditure Breakdown'!$H$6:$H$174, "&gt;="&amp;QD1,'Expenditure Breakdown'!$H$6:$H$174, "&lt;"&amp;QE1)</f>
        <v>0</v>
      </c>
      <c r="QE5" s="112">
        <f>SUMIFS('Expenditure Breakdown'!$G$6:$G$174, 'Expenditure Breakdown'!$H$6:$H$174, "&gt;="&amp;QE1,'Expenditure Breakdown'!$H$6:$H$174, "&lt;"&amp;QF1)</f>
        <v>0</v>
      </c>
      <c r="QF5" s="112">
        <f>SUMIFS('Expenditure Breakdown'!$G$6:$G$174, 'Expenditure Breakdown'!$H$6:$H$174, "&gt;="&amp;QF1,'Expenditure Breakdown'!$H$6:$H$174, "&lt;"&amp;QG1)</f>
        <v>0</v>
      </c>
      <c r="QG5" s="112">
        <f>SUMIFS('Expenditure Breakdown'!$G$6:$G$174, 'Expenditure Breakdown'!$H$6:$H$174, "&gt;="&amp;QG1,'Expenditure Breakdown'!$H$6:$H$174, "&lt;"&amp;QH1)</f>
        <v>0</v>
      </c>
      <c r="QH5" s="112">
        <f>SUMIFS('Expenditure Breakdown'!$G$6:$G$174, 'Expenditure Breakdown'!$H$6:$H$174, "&gt;="&amp;QH1,'Expenditure Breakdown'!$H$6:$H$174, "&lt;"&amp;QI1)</f>
        <v>0</v>
      </c>
      <c r="QI5" s="112">
        <f>SUMIFS('Expenditure Breakdown'!$G$6:$G$174, 'Expenditure Breakdown'!$H$6:$H$174, "&gt;="&amp;QI1,'Expenditure Breakdown'!$H$6:$H$174, "&lt;"&amp;QJ1)</f>
        <v>0</v>
      </c>
      <c r="QJ5" s="112">
        <f>SUMIFS('Expenditure Breakdown'!$G$6:$G$174, 'Expenditure Breakdown'!$H$6:$H$174, "&gt;="&amp;QJ1,'Expenditure Breakdown'!$H$6:$H$174, "&lt;"&amp;QK1)</f>
        <v>0</v>
      </c>
      <c r="QK5" s="112">
        <f>SUMIFS('Expenditure Breakdown'!$G$6:$G$174, 'Expenditure Breakdown'!$H$6:$H$174, "&gt;="&amp;QK1,'Expenditure Breakdown'!$H$6:$H$174, "&lt;"&amp;QL1)</f>
        <v>0</v>
      </c>
      <c r="QL5" s="112">
        <f>SUMIFS('Expenditure Breakdown'!$G$6:$G$174, 'Expenditure Breakdown'!$H$6:$H$174, "&gt;="&amp;QL1,'Expenditure Breakdown'!$H$6:$H$174, "&lt;"&amp;QM1)</f>
        <v>0</v>
      </c>
      <c r="QM5" s="112">
        <f>SUMIFS('Expenditure Breakdown'!$G$6:$G$174, 'Expenditure Breakdown'!$H$6:$H$174, "&gt;="&amp;QM1,'Expenditure Breakdown'!$H$6:$H$174, "&lt;"&amp;QN1)</f>
        <v>0</v>
      </c>
      <c r="QN5" s="112">
        <f>SUMIFS('Expenditure Breakdown'!$G$6:$G$174, 'Expenditure Breakdown'!$H$6:$H$174, "&gt;="&amp;QN1,'Expenditure Breakdown'!$H$6:$H$174, "&lt;"&amp;QO1)</f>
        <v>0</v>
      </c>
      <c r="QO5" s="112">
        <f>SUMIFS('Expenditure Breakdown'!$G$6:$G$174, 'Expenditure Breakdown'!$H$6:$H$174, "&gt;="&amp;QO1,'Expenditure Breakdown'!$H$6:$H$174, "&lt;"&amp;QP1)</f>
        <v>0</v>
      </c>
      <c r="QP5" s="112">
        <f>SUMIFS('Expenditure Breakdown'!$G$6:$G$174, 'Expenditure Breakdown'!$H$6:$H$174, "&gt;="&amp;QP1,'Expenditure Breakdown'!$H$6:$H$174, "&lt;"&amp;QQ1)</f>
        <v>0</v>
      </c>
      <c r="QQ5" s="112">
        <f>SUMIFS('Expenditure Breakdown'!$G$6:$G$174, 'Expenditure Breakdown'!$H$6:$H$174, "&gt;="&amp;QQ1,'Expenditure Breakdown'!$H$6:$H$174, "&lt;"&amp;QR1)</f>
        <v>0</v>
      </c>
      <c r="QR5" s="112">
        <f>SUMIFS('Expenditure Breakdown'!$G$6:$G$174, 'Expenditure Breakdown'!$H$6:$H$174, "&gt;="&amp;QR1,'Expenditure Breakdown'!$H$6:$H$174, "&lt;"&amp;QS1)</f>
        <v>0</v>
      </c>
      <c r="QS5" s="112">
        <f>SUMIFS('Expenditure Breakdown'!$G$6:$G$174, 'Expenditure Breakdown'!$H$6:$H$174, "&gt;="&amp;QS1,'Expenditure Breakdown'!$H$6:$H$174, "&lt;"&amp;QT1)</f>
        <v>0</v>
      </c>
      <c r="QT5" s="112">
        <f>SUMIFS('Expenditure Breakdown'!$G$6:$G$174, 'Expenditure Breakdown'!$H$6:$H$174, "&gt;="&amp;QT1,'Expenditure Breakdown'!$H$6:$H$174, "&lt;"&amp;QU1)</f>
        <v>0</v>
      </c>
      <c r="QU5" s="112">
        <f>SUMIFS('Expenditure Breakdown'!$G$6:$G$174, 'Expenditure Breakdown'!$H$6:$H$174, "&gt;="&amp;QU1,'Expenditure Breakdown'!$H$6:$H$174, "&lt;"&amp;QV1)</f>
        <v>0</v>
      </c>
      <c r="QV5" s="112">
        <f>SUMIFS('Expenditure Breakdown'!$G$6:$G$174, 'Expenditure Breakdown'!$H$6:$H$174, "&gt;="&amp;QV1,'Expenditure Breakdown'!$H$6:$H$174, "&lt;"&amp;QW1)</f>
        <v>0</v>
      </c>
      <c r="QW5" s="112">
        <f>SUMIFS('Expenditure Breakdown'!$G$6:$G$174, 'Expenditure Breakdown'!$H$6:$H$174, "&gt;="&amp;QW1,'Expenditure Breakdown'!$H$6:$H$174, "&lt;"&amp;QX1)</f>
        <v>0</v>
      </c>
      <c r="QX5" s="112">
        <f>SUMIFS('Expenditure Breakdown'!$G$6:$G$174, 'Expenditure Breakdown'!$H$6:$H$174, "&gt;="&amp;QX1,'Expenditure Breakdown'!$H$6:$H$174, "&lt;"&amp;QY1)</f>
        <v>0</v>
      </c>
      <c r="QY5" s="112">
        <f>SUMIFS('Expenditure Breakdown'!$G$6:$G$174, 'Expenditure Breakdown'!$H$6:$H$174, "&gt;="&amp;QY1,'Expenditure Breakdown'!$H$6:$H$174, "&lt;"&amp;QZ1)</f>
        <v>0</v>
      </c>
      <c r="QZ5" s="112">
        <f>SUMIFS('Expenditure Breakdown'!$G$6:$G$174, 'Expenditure Breakdown'!$H$6:$H$174, "&gt;="&amp;QZ1,'Expenditure Breakdown'!$H$6:$H$174, "&lt;"&amp;RA1)</f>
        <v>0</v>
      </c>
      <c r="RA5" s="112">
        <f>SUMIFS('Expenditure Breakdown'!$G$6:$G$174, 'Expenditure Breakdown'!$H$6:$H$174, "&gt;="&amp;RA1,'Expenditure Breakdown'!$H$6:$H$174, "&lt;"&amp;RB1)</f>
        <v>0</v>
      </c>
      <c r="RB5" s="112">
        <f>SUMIFS('Expenditure Breakdown'!$G$6:$G$174, 'Expenditure Breakdown'!$H$6:$H$174, "&gt;="&amp;RB1,'Expenditure Breakdown'!$H$6:$H$174, "&lt;"&amp;RC1)</f>
        <v>0</v>
      </c>
      <c r="RC5" s="112">
        <f>SUMIFS('Expenditure Breakdown'!$G$6:$G$174, 'Expenditure Breakdown'!$H$6:$H$174, "&gt;="&amp;RC1,'Expenditure Breakdown'!$H$6:$H$174, "&lt;"&amp;RD1)</f>
        <v>0</v>
      </c>
      <c r="RD5" s="112">
        <f>SUMIFS('Expenditure Breakdown'!$G$6:$G$174, 'Expenditure Breakdown'!$H$6:$H$174, "&gt;="&amp;RD1,'Expenditure Breakdown'!$H$6:$H$174, "&lt;"&amp;RE1)</f>
        <v>0</v>
      </c>
      <c r="RE5" s="112">
        <f>SUMIFS('Expenditure Breakdown'!$G$6:$G$174, 'Expenditure Breakdown'!$H$6:$H$174, "&gt;="&amp;RE1,'Expenditure Breakdown'!$H$6:$H$174, "&lt;"&amp;RF1)</f>
        <v>0</v>
      </c>
      <c r="RF5" s="112">
        <f>SUMIFS('Expenditure Breakdown'!$G$6:$G$174, 'Expenditure Breakdown'!$H$6:$H$174, "&gt;="&amp;RF1,'Expenditure Breakdown'!$H$6:$H$174, "&lt;"&amp;RG1)</f>
        <v>0</v>
      </c>
      <c r="RG5" s="112">
        <f>SUMIFS('Expenditure Breakdown'!$G$6:$G$174, 'Expenditure Breakdown'!$H$6:$H$174, "&gt;="&amp;RG1,'Expenditure Breakdown'!$H$6:$H$174, "&lt;"&amp;RH1)</f>
        <v>0</v>
      </c>
      <c r="RH5" s="112">
        <f>SUMIFS('Expenditure Breakdown'!$G$6:$G$174, 'Expenditure Breakdown'!$H$6:$H$174, "&gt;="&amp;RH1,'Expenditure Breakdown'!$H$6:$H$174, "&lt;"&amp;RI1)</f>
        <v>0</v>
      </c>
      <c r="RI5" s="112">
        <f>SUMIFS('Expenditure Breakdown'!$G$6:$G$174, 'Expenditure Breakdown'!$H$6:$H$174, "&gt;="&amp;RI1,'Expenditure Breakdown'!$H$6:$H$174, "&lt;"&amp;RJ1)</f>
        <v>0</v>
      </c>
      <c r="RJ5" s="112">
        <f>SUMIFS('Expenditure Breakdown'!$G$6:$G$174, 'Expenditure Breakdown'!$H$6:$H$174, "&gt;="&amp;RJ1,'Expenditure Breakdown'!$H$6:$H$174, "&lt;"&amp;RK1)</f>
        <v>0</v>
      </c>
      <c r="RK5" s="112">
        <f>SUMIFS('Expenditure Breakdown'!$G$6:$G$174, 'Expenditure Breakdown'!$H$6:$H$174, "&gt;="&amp;RK1,'Expenditure Breakdown'!$H$6:$H$174, "&lt;"&amp;RL1)</f>
        <v>0</v>
      </c>
      <c r="RL5" s="112">
        <f>SUMIFS('Expenditure Breakdown'!$G$6:$G$174, 'Expenditure Breakdown'!$H$6:$H$174, "&gt;="&amp;RL1,'Expenditure Breakdown'!$H$6:$H$174, "&lt;"&amp;RM1)</f>
        <v>0</v>
      </c>
      <c r="RM5" s="112">
        <f>SUMIFS('Expenditure Breakdown'!$G$6:$G$174, 'Expenditure Breakdown'!$H$6:$H$174, "&gt;="&amp;RM1,'Expenditure Breakdown'!$H$6:$H$174, "&lt;"&amp;RN1)</f>
        <v>0</v>
      </c>
      <c r="RN5" s="112">
        <f>SUMIFS('Expenditure Breakdown'!$G$6:$G$174, 'Expenditure Breakdown'!$H$6:$H$174, "&gt;="&amp;RN1,'Expenditure Breakdown'!$H$6:$H$174, "&lt;"&amp;RO1)</f>
        <v>0</v>
      </c>
      <c r="RO5" s="112">
        <f>SUMIFS('Expenditure Breakdown'!$G$6:$G$174, 'Expenditure Breakdown'!$H$6:$H$174, "&gt;="&amp;RO1,'Expenditure Breakdown'!$H$6:$H$174, "&lt;"&amp;RP1)</f>
        <v>0</v>
      </c>
      <c r="RP5" s="112">
        <f>SUMIFS('Expenditure Breakdown'!$G$6:$G$174, 'Expenditure Breakdown'!$H$6:$H$174, "&gt;="&amp;RP1,'Expenditure Breakdown'!$H$6:$H$174, "&lt;"&amp;RQ1)</f>
        <v>0</v>
      </c>
      <c r="RQ5" s="112">
        <f>SUMIFS('Expenditure Breakdown'!$G$6:$G$174, 'Expenditure Breakdown'!$H$6:$H$174, "&gt;="&amp;RQ1,'Expenditure Breakdown'!$H$6:$H$174, "&lt;"&amp;RR1)</f>
        <v>0</v>
      </c>
      <c r="RR5" s="112">
        <f>SUMIFS('Expenditure Breakdown'!$G$6:$G$174, 'Expenditure Breakdown'!$H$6:$H$174, "&gt;="&amp;RR1,'Expenditure Breakdown'!$H$6:$H$174, "&lt;"&amp;RS1)</f>
        <v>0</v>
      </c>
      <c r="RS5" s="112">
        <f>SUMIFS('Expenditure Breakdown'!$G$6:$G$174, 'Expenditure Breakdown'!$H$6:$H$174, "&gt;="&amp;RS1,'Expenditure Breakdown'!$H$6:$H$174, "&lt;"&amp;RT1)</f>
        <v>0</v>
      </c>
      <c r="RT5" s="112">
        <f>SUMIFS('Expenditure Breakdown'!$G$6:$G$174, 'Expenditure Breakdown'!$H$6:$H$174, "&gt;="&amp;RT1,'Expenditure Breakdown'!$H$6:$H$174, "&lt;"&amp;RU1)</f>
        <v>0</v>
      </c>
      <c r="RU5" s="112">
        <f>SUMIFS('Expenditure Breakdown'!$G$6:$G$174, 'Expenditure Breakdown'!$H$6:$H$174, "&gt;="&amp;RU1,'Expenditure Breakdown'!$H$6:$H$174, "&lt;"&amp;RV1)</f>
        <v>0</v>
      </c>
      <c r="RV5" s="112">
        <f>SUMIFS('Expenditure Breakdown'!$G$6:$G$174, 'Expenditure Breakdown'!$H$6:$H$174, "&gt;="&amp;RV1,'Expenditure Breakdown'!$H$6:$H$174, "&lt;"&amp;RW1)</f>
        <v>0</v>
      </c>
      <c r="RW5" s="112">
        <f>SUMIFS('Expenditure Breakdown'!$G$6:$G$174, 'Expenditure Breakdown'!$H$6:$H$174, "&gt;="&amp;RW1,'Expenditure Breakdown'!$H$6:$H$174, "&lt;"&amp;RX1)</f>
        <v>0</v>
      </c>
      <c r="RX5" s="112">
        <f>SUMIFS('Expenditure Breakdown'!$G$6:$G$174, 'Expenditure Breakdown'!$H$6:$H$174, "&gt;="&amp;RX1,'Expenditure Breakdown'!$H$6:$H$174, "&lt;"&amp;RY1)</f>
        <v>0</v>
      </c>
      <c r="RY5" s="112">
        <f>SUMIFS('Expenditure Breakdown'!$G$6:$G$174, 'Expenditure Breakdown'!$H$6:$H$174, "&gt;="&amp;RY1,'Expenditure Breakdown'!$H$6:$H$174, "&lt;"&amp;RZ1)</f>
        <v>0</v>
      </c>
      <c r="RZ5" s="112">
        <f>SUMIFS('Expenditure Breakdown'!$G$6:$G$174, 'Expenditure Breakdown'!$H$6:$H$174, "&gt;="&amp;RZ1,'Expenditure Breakdown'!$H$6:$H$174, "&lt;"&amp;SA1)</f>
        <v>0</v>
      </c>
      <c r="SA5" s="112">
        <f>SUMIFS('Expenditure Breakdown'!$G$6:$G$174, 'Expenditure Breakdown'!$H$6:$H$174, "&gt;="&amp;SA1,'Expenditure Breakdown'!$H$6:$H$174, "&lt;"&amp;SB1)</f>
        <v>0</v>
      </c>
      <c r="SB5" s="112">
        <f>SUMIFS('Expenditure Breakdown'!$G$6:$G$174, 'Expenditure Breakdown'!$H$6:$H$174, "&gt;="&amp;SB1,'Expenditure Breakdown'!$H$6:$H$174, "&lt;"&amp;SC1)</f>
        <v>0</v>
      </c>
      <c r="SC5" s="112">
        <f>SUMIFS('Expenditure Breakdown'!$G$6:$G$174, 'Expenditure Breakdown'!$H$6:$H$174, "&gt;="&amp;SC1,'Expenditure Breakdown'!$H$6:$H$174, "&lt;"&amp;SD1)</f>
        <v>0</v>
      </c>
      <c r="SD5" s="112">
        <f>SUMIFS('Expenditure Breakdown'!$G$6:$G$174, 'Expenditure Breakdown'!$H$6:$H$174, "&gt;="&amp;SD1,'Expenditure Breakdown'!$H$6:$H$174, "&lt;"&amp;SE1)</f>
        <v>0</v>
      </c>
      <c r="SE5" s="112">
        <f>SUMIFS('Expenditure Breakdown'!$G$6:$G$174, 'Expenditure Breakdown'!$H$6:$H$174, "&gt;="&amp;SE1,'Expenditure Breakdown'!$H$6:$H$174, "&lt;"&amp;SF1)</f>
        <v>0</v>
      </c>
      <c r="SF5" s="112">
        <f>SUMIFS('Expenditure Breakdown'!$G$6:$G$174, 'Expenditure Breakdown'!$H$6:$H$174, "&gt;="&amp;SF1,'Expenditure Breakdown'!$H$6:$H$174, "&lt;"&amp;SG1)</f>
        <v>0</v>
      </c>
      <c r="SG5" s="112">
        <f>SUMIFS('Expenditure Breakdown'!$G$6:$G$174, 'Expenditure Breakdown'!$H$6:$H$174, "&gt;="&amp;SG1,'Expenditure Breakdown'!$H$6:$H$174, "&lt;"&amp;SH1)</f>
        <v>0</v>
      </c>
      <c r="SH5" s="112">
        <f>SUMIFS('Expenditure Breakdown'!$G$6:$G$174, 'Expenditure Breakdown'!$H$6:$H$174, "&gt;="&amp;SH1,'Expenditure Breakdown'!$H$6:$H$174, "&lt;"&amp;SI1)</f>
        <v>0</v>
      </c>
      <c r="SI5" s="112">
        <f>SUMIFS('Expenditure Breakdown'!$G$6:$G$174, 'Expenditure Breakdown'!$H$6:$H$174, "&gt;="&amp;SI1,'Expenditure Breakdown'!$H$6:$H$174, "&lt;"&amp;SJ1)</f>
        <v>0</v>
      </c>
      <c r="SJ5" s="112">
        <f>SUMIFS('Expenditure Breakdown'!$G$6:$G$174, 'Expenditure Breakdown'!$H$6:$H$174, "&gt;="&amp;SJ1,'Expenditure Breakdown'!$H$6:$H$174, "&lt;"&amp;SK1)</f>
        <v>0</v>
      </c>
      <c r="SK5" s="112">
        <f>SUMIFS('Expenditure Breakdown'!$G$6:$G$174, 'Expenditure Breakdown'!$H$6:$H$174, "&gt;="&amp;SK1,'Expenditure Breakdown'!$H$6:$H$174, "&lt;"&amp;SL1)</f>
        <v>0</v>
      </c>
      <c r="SL5" s="112">
        <f>SUMIFS('Expenditure Breakdown'!$G$6:$G$174, 'Expenditure Breakdown'!$H$6:$H$174, "&gt;="&amp;SL1,'Expenditure Breakdown'!$H$6:$H$174, "&lt;"&amp;SM1)</f>
        <v>0</v>
      </c>
      <c r="SM5" s="112">
        <f>SUMIFS('Expenditure Breakdown'!$G$6:$G$174, 'Expenditure Breakdown'!$H$6:$H$174, "&gt;="&amp;SM1,'Expenditure Breakdown'!$H$6:$H$174, "&lt;"&amp;SN1)</f>
        <v>0</v>
      </c>
      <c r="SN5" s="112">
        <f>SUMIFS('Expenditure Breakdown'!$G$6:$G$174, 'Expenditure Breakdown'!$H$6:$H$174, "&gt;="&amp;SN1,'Expenditure Breakdown'!$H$6:$H$174, "&lt;"&amp;SO1)</f>
        <v>0</v>
      </c>
      <c r="SO5" s="112">
        <f>SUMIFS('Expenditure Breakdown'!$G$6:$G$174, 'Expenditure Breakdown'!$H$6:$H$174, "&gt;="&amp;SO1,'Expenditure Breakdown'!$H$6:$H$174, "&lt;"&amp;SP1)</f>
        <v>0</v>
      </c>
      <c r="SP5" s="112">
        <f>SUMIFS('Expenditure Breakdown'!$G$6:$G$174, 'Expenditure Breakdown'!$H$6:$H$174, "&gt;="&amp;SP1,'Expenditure Breakdown'!$H$6:$H$174, "&lt;"&amp;SQ1)</f>
        <v>0</v>
      </c>
      <c r="SQ5" s="112">
        <f>SUMIFS('Expenditure Breakdown'!$G$6:$G$174, 'Expenditure Breakdown'!$H$6:$H$174, "&gt;="&amp;SQ1,'Expenditure Breakdown'!$H$6:$H$174, "&lt;"&amp;SR1)</f>
        <v>0</v>
      </c>
      <c r="SR5" s="112">
        <f>SUMIFS('Expenditure Breakdown'!$G$6:$G$174, 'Expenditure Breakdown'!$H$6:$H$174, "&gt;="&amp;SR1,'Expenditure Breakdown'!$H$6:$H$174, "&lt;"&amp;SS1)</f>
        <v>0</v>
      </c>
      <c r="SS5" s="112">
        <f>SUMIFS('Expenditure Breakdown'!$G$6:$G$174, 'Expenditure Breakdown'!$H$6:$H$174, "&gt;="&amp;SS1,'Expenditure Breakdown'!$H$6:$H$174, "&lt;"&amp;ST1)</f>
        <v>0</v>
      </c>
      <c r="ST5" s="112">
        <f>SUMIFS('Expenditure Breakdown'!$G$6:$G$174, 'Expenditure Breakdown'!$H$6:$H$174, "&gt;="&amp;ST1,'Expenditure Breakdown'!$H$6:$H$174, "&lt;"&amp;SU1)</f>
        <v>0</v>
      </c>
      <c r="SU5" s="112">
        <f>SUMIFS('Expenditure Breakdown'!$G$6:$G$174, 'Expenditure Breakdown'!$H$6:$H$174, "&gt;="&amp;SU1,'Expenditure Breakdown'!$H$6:$H$174, "&lt;"&amp;SV1)</f>
        <v>0</v>
      </c>
      <c r="SV5" s="112">
        <f>SUMIFS('Expenditure Breakdown'!$G$6:$G$174, 'Expenditure Breakdown'!$H$6:$H$174, "&gt;="&amp;SV1,'Expenditure Breakdown'!$H$6:$H$174, "&lt;"&amp;SW1)</f>
        <v>0</v>
      </c>
      <c r="SW5" s="112">
        <f>SUMIFS('Expenditure Breakdown'!$G$6:$G$174, 'Expenditure Breakdown'!$H$6:$H$174, "&gt;="&amp;SW1,'Expenditure Breakdown'!$H$6:$H$174, "&lt;"&amp;SX1)</f>
        <v>0</v>
      </c>
      <c r="SX5" s="112">
        <f>SUMIFS('Expenditure Breakdown'!$G$6:$G$174, 'Expenditure Breakdown'!$H$6:$H$174, "&gt;="&amp;SX1,'Expenditure Breakdown'!$H$6:$H$174, "&lt;"&amp;SY1)</f>
        <v>0</v>
      </c>
      <c r="SY5" s="112">
        <f>SUMIFS('Expenditure Breakdown'!$G$6:$G$174, 'Expenditure Breakdown'!$H$6:$H$174, "&gt;="&amp;SY1,'Expenditure Breakdown'!$H$6:$H$174, "&lt;"&amp;SZ1)</f>
        <v>0</v>
      </c>
      <c r="SZ5" s="112">
        <f>SUMIFS('Expenditure Breakdown'!$G$6:$G$174, 'Expenditure Breakdown'!$H$6:$H$174, "&gt;="&amp;SZ1,'Expenditure Breakdown'!$H$6:$H$174, "&lt;"&amp;TA1)</f>
        <v>0</v>
      </c>
      <c r="TA5" s="112">
        <f>SUMIFS('Expenditure Breakdown'!$G$6:$G$174, 'Expenditure Breakdown'!$H$6:$H$174, "&gt;="&amp;TA1,'Expenditure Breakdown'!$H$6:$H$174, "&lt;"&amp;TB1)</f>
        <v>0</v>
      </c>
      <c r="TB5" s="112">
        <f>SUMIFS('Expenditure Breakdown'!$G$6:$G$174, 'Expenditure Breakdown'!$H$6:$H$174, "&gt;="&amp;TB1,'Expenditure Breakdown'!$H$6:$H$174, "&lt;"&amp;TC1)</f>
        <v>0</v>
      </c>
      <c r="TC5" s="112">
        <f>SUMIFS('Expenditure Breakdown'!$G$6:$G$174, 'Expenditure Breakdown'!$H$6:$H$174, "&gt;="&amp;TC1,'Expenditure Breakdown'!$H$6:$H$174, "&lt;"&amp;TD1)</f>
        <v>0</v>
      </c>
      <c r="TD5" s="112">
        <f>SUMIFS('Expenditure Breakdown'!$G$6:$G$174, 'Expenditure Breakdown'!$H$6:$H$174, "&gt;="&amp;TD1,'Expenditure Breakdown'!$H$6:$H$174, "&lt;"&amp;TE1)</f>
        <v>0</v>
      </c>
      <c r="TE5" s="112">
        <f>SUMIFS('Expenditure Breakdown'!$G$6:$G$174, 'Expenditure Breakdown'!$H$6:$H$174, "&gt;="&amp;TE1,'Expenditure Breakdown'!$H$6:$H$174, "&lt;"&amp;TF1)</f>
        <v>0</v>
      </c>
      <c r="TF5" s="112">
        <f>SUMIFS('Expenditure Breakdown'!$G$6:$G$174, 'Expenditure Breakdown'!$H$6:$H$174, "&gt;="&amp;TF1,'Expenditure Breakdown'!$H$6:$H$174, "&lt;"&amp;TG1)</f>
        <v>0</v>
      </c>
      <c r="TG5" s="112">
        <f>SUMIFS('Expenditure Breakdown'!$G$6:$G$174, 'Expenditure Breakdown'!$H$6:$H$174, "&gt;="&amp;TG1,'Expenditure Breakdown'!$H$6:$H$174, "&lt;"&amp;TH1)</f>
        <v>0</v>
      </c>
      <c r="TH5" s="112">
        <f>SUMIFS('Expenditure Breakdown'!$G$6:$G$174, 'Expenditure Breakdown'!$H$6:$H$174, "&gt;="&amp;TH1,'Expenditure Breakdown'!$H$6:$H$174, "&lt;"&amp;TI1)</f>
        <v>0</v>
      </c>
      <c r="TI5" s="112">
        <f>SUMIFS('Expenditure Breakdown'!$G$6:$G$174, 'Expenditure Breakdown'!$H$6:$H$174, "&gt;="&amp;TI1,'Expenditure Breakdown'!$H$6:$H$174, "&lt;"&amp;TJ1)</f>
        <v>0</v>
      </c>
      <c r="TJ5" s="112">
        <f>SUMIFS('Expenditure Breakdown'!$G$6:$G$174, 'Expenditure Breakdown'!$H$6:$H$174, "&gt;="&amp;TJ1,'Expenditure Breakdown'!$H$6:$H$174, "&lt;"&amp;TK1)</f>
        <v>0</v>
      </c>
      <c r="TK5" s="112">
        <f>SUMIFS('Expenditure Breakdown'!$G$6:$G$174, 'Expenditure Breakdown'!$H$6:$H$174, "&gt;="&amp;TK1,'Expenditure Breakdown'!$H$6:$H$174, "&lt;"&amp;TL1)</f>
        <v>0</v>
      </c>
      <c r="TL5" s="112">
        <f>SUMIFS('Expenditure Breakdown'!$G$6:$G$174, 'Expenditure Breakdown'!$H$6:$H$174, "&gt;="&amp;TL1,'Expenditure Breakdown'!$H$6:$H$174, "&lt;"&amp;TM1)</f>
        <v>0</v>
      </c>
      <c r="TM5" s="112">
        <f>SUMIFS('Expenditure Breakdown'!$G$6:$G$174, 'Expenditure Breakdown'!$H$6:$H$174, "&gt;="&amp;TM1,'Expenditure Breakdown'!$H$6:$H$174, "&lt;"&amp;TN1)</f>
        <v>0</v>
      </c>
      <c r="TN5" s="112">
        <f>SUMIFS('Expenditure Breakdown'!$G$6:$G$174, 'Expenditure Breakdown'!$H$6:$H$174, "&gt;="&amp;TN1,'Expenditure Breakdown'!$H$6:$H$174, "&lt;"&amp;TO1)</f>
        <v>0</v>
      </c>
      <c r="TO5" s="112">
        <f>SUMIFS('Expenditure Breakdown'!$G$6:$G$174, 'Expenditure Breakdown'!$H$6:$H$174, "&gt;="&amp;TO1,'Expenditure Breakdown'!$H$6:$H$174, "&lt;"&amp;TP1)</f>
        <v>0</v>
      </c>
      <c r="TP5" s="112">
        <f>SUMIFS('Expenditure Breakdown'!$G$6:$G$174, 'Expenditure Breakdown'!$H$6:$H$174, "&gt;="&amp;TP1,'Expenditure Breakdown'!$H$6:$H$174, "&lt;"&amp;TQ1)</f>
        <v>0</v>
      </c>
      <c r="TQ5" s="112">
        <f>SUMIFS('Expenditure Breakdown'!$G$6:$G$174, 'Expenditure Breakdown'!$H$6:$H$174, "&gt;="&amp;TQ1,'Expenditure Breakdown'!$H$6:$H$174, "&lt;"&amp;TR1)</f>
        <v>0</v>
      </c>
      <c r="TR5" s="112">
        <f>SUMIFS('Expenditure Breakdown'!$G$6:$G$174, 'Expenditure Breakdown'!$H$6:$H$174, "&gt;="&amp;TR1,'Expenditure Breakdown'!$H$6:$H$174, "&lt;"&amp;TS1)</f>
        <v>0</v>
      </c>
      <c r="TS5" s="112">
        <f>SUMIFS('Expenditure Breakdown'!$G$6:$G$174, 'Expenditure Breakdown'!$H$6:$H$174, "&gt;="&amp;TS1,'Expenditure Breakdown'!$H$6:$H$174, "&lt;"&amp;TT1)</f>
        <v>0</v>
      </c>
      <c r="TT5" s="112">
        <f>SUMIFS('Expenditure Breakdown'!$G$6:$G$174, 'Expenditure Breakdown'!$H$6:$H$174, "&gt;="&amp;TT1,'Expenditure Breakdown'!$H$6:$H$174, "&lt;"&amp;TU1)</f>
        <v>0</v>
      </c>
      <c r="TU5" s="112">
        <f>SUMIFS('Expenditure Breakdown'!$G$6:$G$174, 'Expenditure Breakdown'!$H$6:$H$174, "&gt;="&amp;TU1,'Expenditure Breakdown'!$H$6:$H$174, "&lt;"&amp;TV1)</f>
        <v>0</v>
      </c>
      <c r="TV5" s="112">
        <f>SUMIFS('Expenditure Breakdown'!$G$6:$G$174, 'Expenditure Breakdown'!$H$6:$H$174, "&gt;="&amp;TV1,'Expenditure Breakdown'!$H$6:$H$174, "&lt;"&amp;TW1)</f>
        <v>0</v>
      </c>
      <c r="TW5" s="112">
        <f>SUMIFS('Expenditure Breakdown'!$G$6:$G$174, 'Expenditure Breakdown'!$H$6:$H$174, "&gt;="&amp;TW1,'Expenditure Breakdown'!$H$6:$H$174, "&lt;"&amp;TX1)</f>
        <v>0</v>
      </c>
      <c r="TX5" s="112">
        <f>SUMIFS('Expenditure Breakdown'!$G$6:$G$174, 'Expenditure Breakdown'!$H$6:$H$174, "&gt;="&amp;TX1,'Expenditure Breakdown'!$H$6:$H$174, "&lt;"&amp;TY1)</f>
        <v>0</v>
      </c>
      <c r="TY5" s="112">
        <f>SUMIFS('Expenditure Breakdown'!$G$6:$G$174, 'Expenditure Breakdown'!$H$6:$H$174, "&gt;="&amp;TY1,'Expenditure Breakdown'!$H$6:$H$174, "&lt;"&amp;TZ1)</f>
        <v>0</v>
      </c>
      <c r="TZ5" s="112">
        <f>SUMIFS('Expenditure Breakdown'!$G$6:$G$174, 'Expenditure Breakdown'!$H$6:$H$174, "&gt;="&amp;TZ1,'Expenditure Breakdown'!$H$6:$H$174, "&lt;"&amp;UA1)</f>
        <v>0</v>
      </c>
      <c r="UA5" s="112">
        <f>SUMIFS('Expenditure Breakdown'!$G$6:$G$174, 'Expenditure Breakdown'!$H$6:$H$174, "&gt;="&amp;UA1,'Expenditure Breakdown'!$H$6:$H$174, "&lt;"&amp;UB1)</f>
        <v>0</v>
      </c>
      <c r="UB5" s="112">
        <f>SUMIFS('Expenditure Breakdown'!$G$6:$G$174, 'Expenditure Breakdown'!$H$6:$H$174, "&gt;="&amp;UB1,'Expenditure Breakdown'!$H$6:$H$174, "&lt;"&amp;UC1)</f>
        <v>0</v>
      </c>
      <c r="UC5" s="112">
        <f>SUMIFS('Expenditure Breakdown'!$G$6:$G$174, 'Expenditure Breakdown'!$H$6:$H$174, "&gt;="&amp;UC1,'Expenditure Breakdown'!$H$6:$H$174, "&lt;"&amp;UD1)</f>
        <v>0</v>
      </c>
      <c r="UD5" s="112">
        <f>SUMIFS('Expenditure Breakdown'!$G$6:$G$174, 'Expenditure Breakdown'!$H$6:$H$174, "&gt;="&amp;UD1,'Expenditure Breakdown'!$H$6:$H$174, "&lt;"&amp;UE1)</f>
        <v>0</v>
      </c>
      <c r="UE5" s="112">
        <f>SUMIFS('Expenditure Breakdown'!$G$6:$G$174, 'Expenditure Breakdown'!$H$6:$H$174, "&gt;="&amp;UE1,'Expenditure Breakdown'!$H$6:$H$174, "&lt;"&amp;UF1)</f>
        <v>0</v>
      </c>
      <c r="UF5" s="112">
        <f>SUMIFS('Expenditure Breakdown'!$G$6:$G$174, 'Expenditure Breakdown'!$H$6:$H$174, "&gt;="&amp;UF1,'Expenditure Breakdown'!$H$6:$H$174, "&lt;"&amp;UG1)</f>
        <v>0</v>
      </c>
      <c r="UG5" s="112">
        <f>SUMIFS('Expenditure Breakdown'!$G$6:$G$174, 'Expenditure Breakdown'!$H$6:$H$174, "&gt;="&amp;UG1,'Expenditure Breakdown'!$H$6:$H$174, "&lt;"&amp;UH1)</f>
        <v>0</v>
      </c>
      <c r="UH5" s="112">
        <f>SUMIFS('Expenditure Breakdown'!$G$6:$G$174, 'Expenditure Breakdown'!$H$6:$H$174, "&gt;="&amp;UH1,'Expenditure Breakdown'!$H$6:$H$174, "&lt;"&amp;UI1)</f>
        <v>0</v>
      </c>
      <c r="UI5" s="112">
        <f>SUMIFS('Expenditure Breakdown'!$G$6:$G$174, 'Expenditure Breakdown'!$H$6:$H$174, "&gt;="&amp;UI1,'Expenditure Breakdown'!$H$6:$H$174, "&lt;"&amp;UJ1)</f>
        <v>0</v>
      </c>
      <c r="UJ5" s="112">
        <f>SUMIFS('Expenditure Breakdown'!$G$6:$G$174, 'Expenditure Breakdown'!$H$6:$H$174, "&gt;="&amp;UJ1,'Expenditure Breakdown'!$H$6:$H$174, "&lt;"&amp;UK1)</f>
        <v>0</v>
      </c>
      <c r="UK5" s="112">
        <f>SUMIFS('Expenditure Breakdown'!$G$6:$G$174, 'Expenditure Breakdown'!$H$6:$H$174, "&gt;="&amp;UK1,'Expenditure Breakdown'!$H$6:$H$174, "&lt;"&amp;UL1)</f>
        <v>0</v>
      </c>
      <c r="UL5" s="112">
        <f>SUMIFS('Expenditure Breakdown'!$G$6:$G$174, 'Expenditure Breakdown'!$H$6:$H$174, "&gt;="&amp;UL1,'Expenditure Breakdown'!$H$6:$H$174, "&lt;"&amp;UM1)</f>
        <v>0</v>
      </c>
      <c r="UM5" s="112">
        <f>SUMIFS('Expenditure Breakdown'!$G$6:$G$174, 'Expenditure Breakdown'!$H$6:$H$174, "&gt;="&amp;UM1,'Expenditure Breakdown'!$H$6:$H$174, "&lt;"&amp;UN1)</f>
        <v>0</v>
      </c>
      <c r="UN5" s="112">
        <f>SUMIFS('Expenditure Breakdown'!$G$6:$G$174, 'Expenditure Breakdown'!$H$6:$H$174, "&gt;="&amp;UN1,'Expenditure Breakdown'!$H$6:$H$174, "&lt;"&amp;UO1)</f>
        <v>0</v>
      </c>
      <c r="UO5" s="112">
        <f>SUMIFS('Expenditure Breakdown'!$G$6:$G$174, 'Expenditure Breakdown'!$H$6:$H$174, "&gt;="&amp;UO1,'Expenditure Breakdown'!$H$6:$H$174, "&lt;"&amp;UP1)</f>
        <v>0</v>
      </c>
      <c r="UP5" s="112">
        <f>SUMIFS('Expenditure Breakdown'!$G$6:$G$174, 'Expenditure Breakdown'!$H$6:$H$174, "&gt;="&amp;UP1,'Expenditure Breakdown'!$H$6:$H$174, "&lt;"&amp;UQ1)</f>
        <v>0</v>
      </c>
      <c r="UQ5" s="112">
        <f>SUMIFS('Expenditure Breakdown'!$G$6:$G$174, 'Expenditure Breakdown'!$H$6:$H$174, "&gt;="&amp;UQ1,'Expenditure Breakdown'!$H$6:$H$174, "&lt;"&amp;UR1)</f>
        <v>0</v>
      </c>
      <c r="UR5" s="112">
        <f>SUMIFS('Expenditure Breakdown'!$G$6:$G$174, 'Expenditure Breakdown'!$H$6:$H$174, "&gt;="&amp;UR1,'Expenditure Breakdown'!$H$6:$H$174, "&lt;"&amp;US1)</f>
        <v>0</v>
      </c>
      <c r="US5" s="112">
        <f>SUMIFS('Expenditure Breakdown'!$G$6:$G$174, 'Expenditure Breakdown'!$H$6:$H$174, "&gt;="&amp;US1,'Expenditure Breakdown'!$H$6:$H$174, "&lt;"&amp;UT1)</f>
        <v>0</v>
      </c>
      <c r="UT5" s="112">
        <f>SUMIFS('Expenditure Breakdown'!$G$6:$G$174, 'Expenditure Breakdown'!$H$6:$H$174, "&gt;="&amp;UT1,'Expenditure Breakdown'!$H$6:$H$174, "&lt;"&amp;UU1)</f>
        <v>0</v>
      </c>
      <c r="UU5" s="112">
        <f>SUMIFS('Expenditure Breakdown'!$G$6:$G$174, 'Expenditure Breakdown'!$H$6:$H$174, "&gt;="&amp;UU1,'Expenditure Breakdown'!$H$6:$H$174, "&lt;"&amp;UV1)</f>
        <v>0</v>
      </c>
      <c r="UV5" s="112">
        <f>SUMIFS('Expenditure Breakdown'!$G$6:$G$174, 'Expenditure Breakdown'!$H$6:$H$174, "&gt;="&amp;UV1,'Expenditure Breakdown'!$H$6:$H$174, "&lt;"&amp;UW1)</f>
        <v>0</v>
      </c>
      <c r="UW5" s="112">
        <f>SUMIFS('Expenditure Breakdown'!$G$6:$G$174, 'Expenditure Breakdown'!$H$6:$H$174, "&gt;="&amp;UW1,'Expenditure Breakdown'!$H$6:$H$174, "&lt;"&amp;UX1)</f>
        <v>0</v>
      </c>
      <c r="UX5" s="112">
        <f>SUMIFS('Expenditure Breakdown'!$G$6:$G$174, 'Expenditure Breakdown'!$H$6:$H$174, "&gt;="&amp;UX1,'Expenditure Breakdown'!$H$6:$H$174, "&lt;"&amp;UY1)</f>
        <v>0</v>
      </c>
      <c r="UY5" s="112">
        <f>SUMIFS('Expenditure Breakdown'!$G$6:$G$174, 'Expenditure Breakdown'!$H$6:$H$174, "&gt;="&amp;UY1,'Expenditure Breakdown'!$H$6:$H$174, "&lt;"&amp;UZ1)</f>
        <v>0</v>
      </c>
      <c r="UZ5" s="112">
        <f>SUMIFS('Expenditure Breakdown'!$G$6:$G$174, 'Expenditure Breakdown'!$H$6:$H$174, "&gt;="&amp;UZ1,'Expenditure Breakdown'!$H$6:$H$174, "&lt;"&amp;VA1)</f>
        <v>0</v>
      </c>
      <c r="VA5" s="112">
        <f>SUMIFS('Expenditure Breakdown'!$G$6:$G$174, 'Expenditure Breakdown'!$H$6:$H$174, "&gt;="&amp;VA1,'Expenditure Breakdown'!$H$6:$H$174, "&lt;"&amp;VB1)</f>
        <v>0</v>
      </c>
      <c r="VB5" s="112">
        <f>SUMIFS('Expenditure Breakdown'!$G$6:$G$174, 'Expenditure Breakdown'!$H$6:$H$174, "&gt;="&amp;VB1,'Expenditure Breakdown'!$H$6:$H$174, "&lt;"&amp;VC1)</f>
        <v>0</v>
      </c>
      <c r="VC5" s="112">
        <f>SUMIFS('Expenditure Breakdown'!$G$6:$G$174, 'Expenditure Breakdown'!$H$6:$H$174, "&gt;="&amp;VC1,'Expenditure Breakdown'!$H$6:$H$174, "&lt;"&amp;VD1)</f>
        <v>0</v>
      </c>
      <c r="VD5" s="112">
        <f>SUMIFS('Expenditure Breakdown'!$G$6:$G$174, 'Expenditure Breakdown'!$H$6:$H$174, "&gt;="&amp;VD1,'Expenditure Breakdown'!$H$6:$H$174, "&lt;"&amp;VE1)</f>
        <v>0</v>
      </c>
      <c r="VE5" s="112">
        <f>SUMIFS('Expenditure Breakdown'!$G$6:$G$174, 'Expenditure Breakdown'!$H$6:$H$174, "&gt;="&amp;VE1,'Expenditure Breakdown'!$H$6:$H$174, "&lt;"&amp;VF1)</f>
        <v>0</v>
      </c>
      <c r="VF5" s="112">
        <f>SUMIFS('Expenditure Breakdown'!$G$6:$G$174, 'Expenditure Breakdown'!$H$6:$H$174, "&gt;="&amp;VF1,'Expenditure Breakdown'!$H$6:$H$174, "&lt;"&amp;VG1)</f>
        <v>0</v>
      </c>
      <c r="VG5" s="112">
        <f>SUMIFS('Expenditure Breakdown'!$G$6:$G$174, 'Expenditure Breakdown'!$H$6:$H$174, "&gt;="&amp;VG1,'Expenditure Breakdown'!$H$6:$H$174, "&lt;"&amp;VH1)</f>
        <v>0</v>
      </c>
      <c r="VH5" s="112">
        <f>SUMIFS('Expenditure Breakdown'!$G$6:$G$174, 'Expenditure Breakdown'!$H$6:$H$174, "&gt;="&amp;VH1,'Expenditure Breakdown'!$H$6:$H$174, "&lt;"&amp;VI1)</f>
        <v>0</v>
      </c>
      <c r="VI5" s="112">
        <f>SUMIFS('Expenditure Breakdown'!$G$6:$G$174, 'Expenditure Breakdown'!$H$6:$H$174, "&gt;="&amp;VI1,'Expenditure Breakdown'!$H$6:$H$174, "&lt;"&amp;VJ1)</f>
        <v>0</v>
      </c>
      <c r="VJ5" s="112">
        <f>SUMIFS('Expenditure Breakdown'!$G$6:$G$174, 'Expenditure Breakdown'!$H$6:$H$174, "&gt;="&amp;VJ1,'Expenditure Breakdown'!$H$6:$H$174, "&lt;"&amp;VK1)</f>
        <v>0</v>
      </c>
      <c r="VK5" s="112">
        <f>SUMIFS('Expenditure Breakdown'!$G$6:$G$174, 'Expenditure Breakdown'!$H$6:$H$174, "&gt;="&amp;VK1,'Expenditure Breakdown'!$H$6:$H$174, "&lt;"&amp;VL1)</f>
        <v>0</v>
      </c>
      <c r="VL5" s="112">
        <f>SUMIFS('Expenditure Breakdown'!$G$6:$G$174, 'Expenditure Breakdown'!$H$6:$H$174, "&gt;="&amp;VL1,'Expenditure Breakdown'!$H$6:$H$174, "&lt;"&amp;VM1)</f>
        <v>0</v>
      </c>
      <c r="VM5" s="112">
        <f>SUMIFS('Expenditure Breakdown'!$G$6:$G$174, 'Expenditure Breakdown'!$H$6:$H$174, "&gt;="&amp;VM1,'Expenditure Breakdown'!$H$6:$H$174, "&lt;"&amp;VN1)</f>
        <v>0</v>
      </c>
      <c r="VN5" s="112">
        <f>SUMIFS('Expenditure Breakdown'!$G$6:$G$174, 'Expenditure Breakdown'!$H$6:$H$174, "&gt;="&amp;VN1,'Expenditure Breakdown'!$H$6:$H$174, "&lt;"&amp;VO1)</f>
        <v>0</v>
      </c>
      <c r="VO5" s="112">
        <f>SUMIFS('Expenditure Breakdown'!$G$6:$G$174, 'Expenditure Breakdown'!$H$6:$H$174, "&gt;="&amp;VO1,'Expenditure Breakdown'!$H$6:$H$174, "&lt;"&amp;VP1)</f>
        <v>0</v>
      </c>
      <c r="VP5" s="112">
        <f>SUMIFS('Expenditure Breakdown'!$G$6:$G$174, 'Expenditure Breakdown'!$H$6:$H$174, "&gt;="&amp;VP1,'Expenditure Breakdown'!$H$6:$H$174, "&lt;"&amp;VQ1)</f>
        <v>0</v>
      </c>
      <c r="VQ5" s="112">
        <f>SUMIFS('Expenditure Breakdown'!$G$6:$G$174, 'Expenditure Breakdown'!$H$6:$H$174, "&gt;="&amp;VQ1,'Expenditure Breakdown'!$H$6:$H$174, "&lt;"&amp;VR1)</f>
        <v>0</v>
      </c>
      <c r="VR5" s="112">
        <f>SUMIFS('Expenditure Breakdown'!$G$6:$G$174, 'Expenditure Breakdown'!$H$6:$H$174, "&gt;="&amp;VR1,'Expenditure Breakdown'!$H$6:$H$174, "&lt;"&amp;VS1)</f>
        <v>0</v>
      </c>
      <c r="VS5" s="112">
        <f>SUMIFS('Expenditure Breakdown'!$G$6:$G$174, 'Expenditure Breakdown'!$H$6:$H$174, "&gt;="&amp;VS1,'Expenditure Breakdown'!$H$6:$H$174, "&lt;"&amp;VT1)</f>
        <v>0</v>
      </c>
      <c r="VT5" s="112">
        <f>SUMIFS('Expenditure Breakdown'!$G$6:$G$174, 'Expenditure Breakdown'!$H$6:$H$174, "&gt;="&amp;VT1,'Expenditure Breakdown'!$H$6:$H$174, "&lt;"&amp;VU1)</f>
        <v>0</v>
      </c>
      <c r="VU5" s="112">
        <f>SUMIFS('Expenditure Breakdown'!$G$6:$G$174, 'Expenditure Breakdown'!$H$6:$H$174, "&gt;="&amp;VU1,'Expenditure Breakdown'!$H$6:$H$174, "&lt;"&amp;VV1)</f>
        <v>0</v>
      </c>
      <c r="VV5" s="112">
        <f>SUMIFS('Expenditure Breakdown'!$G$6:$G$174, 'Expenditure Breakdown'!$H$6:$H$174, "&gt;="&amp;VV1,'Expenditure Breakdown'!$H$6:$H$174, "&lt;"&amp;VW1)</f>
        <v>0</v>
      </c>
      <c r="VW5" s="112">
        <f>SUMIFS('Expenditure Breakdown'!$G$6:$G$174, 'Expenditure Breakdown'!$H$6:$H$174, "&gt;="&amp;VW1,'Expenditure Breakdown'!$H$6:$H$174, "&lt;"&amp;VX1)</f>
        <v>0</v>
      </c>
      <c r="VX5" s="112">
        <f>SUMIFS('Expenditure Breakdown'!$G$6:$G$174, 'Expenditure Breakdown'!$H$6:$H$174, "&gt;="&amp;VX1,'Expenditure Breakdown'!$H$6:$H$174, "&lt;"&amp;VY1)</f>
        <v>0</v>
      </c>
      <c r="VY5" s="112">
        <f>SUMIFS('Expenditure Breakdown'!$G$6:$G$174, 'Expenditure Breakdown'!$H$6:$H$174, "&gt;="&amp;VY1,'Expenditure Breakdown'!$H$6:$H$174, "&lt;"&amp;VZ1)</f>
        <v>0</v>
      </c>
      <c r="VZ5" s="112">
        <f>SUMIFS('Expenditure Breakdown'!$G$6:$G$174, 'Expenditure Breakdown'!$H$6:$H$174, "&gt;="&amp;VZ1,'Expenditure Breakdown'!$H$6:$H$174, "&lt;"&amp;WA1)</f>
        <v>0</v>
      </c>
      <c r="WA5" s="112">
        <f>SUMIFS('Expenditure Breakdown'!$G$6:$G$174, 'Expenditure Breakdown'!$H$6:$H$174, "&gt;="&amp;WA1,'Expenditure Breakdown'!$H$6:$H$174, "&lt;"&amp;WB1)</f>
        <v>0</v>
      </c>
      <c r="WB5" s="112">
        <f>SUMIFS('Expenditure Breakdown'!$G$6:$G$174, 'Expenditure Breakdown'!$H$6:$H$174, "&gt;="&amp;WB1,'Expenditure Breakdown'!$H$6:$H$174, "&lt;"&amp;WC1)</f>
        <v>0</v>
      </c>
      <c r="WC5" s="112">
        <f>SUMIFS('Expenditure Breakdown'!$G$6:$G$174, 'Expenditure Breakdown'!$H$6:$H$174, "&gt;="&amp;WC1,'Expenditure Breakdown'!$H$6:$H$174, "&lt;"&amp;WD1)</f>
        <v>0</v>
      </c>
      <c r="WD5" s="112">
        <f>SUMIFS('Expenditure Breakdown'!$G$6:$G$174, 'Expenditure Breakdown'!$H$6:$H$174, "&gt;="&amp;WD1,'Expenditure Breakdown'!$H$6:$H$174, "&lt;"&amp;WE1)</f>
        <v>0</v>
      </c>
      <c r="WE5" s="112">
        <f>SUMIFS('Expenditure Breakdown'!$G$6:$G$174, 'Expenditure Breakdown'!$H$6:$H$174, "&gt;="&amp;WE1,'Expenditure Breakdown'!$H$6:$H$174, "&lt;"&amp;WF1)</f>
        <v>0</v>
      </c>
      <c r="WF5" s="112">
        <f>SUMIFS('Expenditure Breakdown'!$G$6:$G$174, 'Expenditure Breakdown'!$H$6:$H$174, "&gt;="&amp;WF1,'Expenditure Breakdown'!$H$6:$H$174, "&lt;"&amp;WG1)</f>
        <v>0</v>
      </c>
      <c r="WG5" s="112">
        <f>SUMIFS('Expenditure Breakdown'!$G$6:$G$174, 'Expenditure Breakdown'!$H$6:$H$174, "&gt;="&amp;WG1,'Expenditure Breakdown'!$H$6:$H$174, "&lt;"&amp;WH1)</f>
        <v>0</v>
      </c>
      <c r="WH5" s="112">
        <f>SUMIFS('Expenditure Breakdown'!$G$6:$G$174, 'Expenditure Breakdown'!$H$6:$H$174, "&gt;="&amp;WH1,'Expenditure Breakdown'!$H$6:$H$174, "&lt;"&amp;WI1)</f>
        <v>0</v>
      </c>
      <c r="WI5" s="112">
        <f>SUMIFS('Expenditure Breakdown'!$G$6:$G$174, 'Expenditure Breakdown'!$H$6:$H$174, "&gt;="&amp;WI1,'Expenditure Breakdown'!$H$6:$H$174, "&lt;"&amp;WJ1)</f>
        <v>0</v>
      </c>
      <c r="WJ5" s="112">
        <f>SUMIFS('Expenditure Breakdown'!$G$6:$G$174, 'Expenditure Breakdown'!$H$6:$H$174, "&gt;="&amp;WJ1,'Expenditure Breakdown'!$H$6:$H$174, "&lt;"&amp;WK1)</f>
        <v>0</v>
      </c>
      <c r="WK5" s="112">
        <f>SUMIFS('Expenditure Breakdown'!$G$6:$G$174, 'Expenditure Breakdown'!$H$6:$H$174, "&gt;="&amp;WK1,'Expenditure Breakdown'!$H$6:$H$174, "&lt;"&amp;WL1)</f>
        <v>0</v>
      </c>
      <c r="WL5" s="112">
        <f>SUMIFS('Expenditure Breakdown'!$G$6:$G$174, 'Expenditure Breakdown'!$H$6:$H$174, "&gt;="&amp;WL1,'Expenditure Breakdown'!$H$6:$H$174, "&lt;"&amp;WM1)</f>
        <v>0</v>
      </c>
      <c r="WM5" s="112">
        <f>SUMIFS('Expenditure Breakdown'!$G$6:$G$174, 'Expenditure Breakdown'!$H$6:$H$174, "&gt;="&amp;WM1,'Expenditure Breakdown'!$H$6:$H$174, "&lt;"&amp;WN1)</f>
        <v>0</v>
      </c>
      <c r="WN5" s="112">
        <f>SUMIFS('Expenditure Breakdown'!$G$6:$G$174, 'Expenditure Breakdown'!$H$6:$H$174, "&gt;="&amp;WN1,'Expenditure Breakdown'!$H$6:$H$174, "&lt;"&amp;WO1)</f>
        <v>0</v>
      </c>
      <c r="WO5" s="112">
        <f>SUMIFS('Expenditure Breakdown'!$G$6:$G$174, 'Expenditure Breakdown'!$H$6:$H$174, "&gt;="&amp;WO1,'Expenditure Breakdown'!$H$6:$H$174, "&lt;"&amp;WP1)</f>
        <v>0</v>
      </c>
      <c r="WP5" s="112">
        <f>SUMIFS('Expenditure Breakdown'!$G$6:$G$174, 'Expenditure Breakdown'!$H$6:$H$174, "&gt;="&amp;WP1,'Expenditure Breakdown'!$H$6:$H$174, "&lt;"&amp;WQ1)</f>
        <v>0</v>
      </c>
      <c r="WQ5" s="112">
        <f>SUMIFS('Expenditure Breakdown'!$G$6:$G$174, 'Expenditure Breakdown'!$H$6:$H$174, "&gt;="&amp;WQ1,'Expenditure Breakdown'!$H$6:$H$174, "&lt;"&amp;WR1)</f>
        <v>0</v>
      </c>
      <c r="WR5" s="112">
        <f>SUMIFS('Expenditure Breakdown'!$G$6:$G$174, 'Expenditure Breakdown'!$H$6:$H$174, "&gt;="&amp;WR1,'Expenditure Breakdown'!$H$6:$H$174, "&lt;"&amp;WS1)</f>
        <v>0</v>
      </c>
      <c r="WS5" s="112">
        <f>SUMIFS('Expenditure Breakdown'!$G$6:$G$174, 'Expenditure Breakdown'!$H$6:$H$174, "&gt;="&amp;WS1,'Expenditure Breakdown'!$H$6:$H$174, "&lt;"&amp;WT1)</f>
        <v>0</v>
      </c>
      <c r="WT5" s="112">
        <f>SUMIFS('Expenditure Breakdown'!$G$6:$G$174, 'Expenditure Breakdown'!$H$6:$H$174, "&gt;="&amp;WT1,'Expenditure Breakdown'!$H$6:$H$174, "&lt;"&amp;WU1)</f>
        <v>0</v>
      </c>
      <c r="WU5" s="112">
        <f>SUMIFS('Expenditure Breakdown'!$G$6:$G$174, 'Expenditure Breakdown'!$H$6:$H$174, "&gt;="&amp;WU1,'Expenditure Breakdown'!$H$6:$H$174, "&lt;"&amp;WV1)</f>
        <v>0</v>
      </c>
      <c r="WV5" s="112">
        <f>SUMIFS('Expenditure Breakdown'!$G$6:$G$174, 'Expenditure Breakdown'!$H$6:$H$174, "&gt;="&amp;WV1,'Expenditure Breakdown'!$H$6:$H$174, "&lt;"&amp;WW1)</f>
        <v>0</v>
      </c>
      <c r="WW5" s="112">
        <f>SUMIFS('Expenditure Breakdown'!$G$6:$G$174, 'Expenditure Breakdown'!$H$6:$H$174, "&gt;="&amp;WW1,'Expenditure Breakdown'!$H$6:$H$174, "&lt;"&amp;WX1)</f>
        <v>0</v>
      </c>
      <c r="WX5" s="112">
        <f>SUMIFS('Expenditure Breakdown'!$G$6:$G$174, 'Expenditure Breakdown'!$H$6:$H$174, "&gt;="&amp;WX1,'Expenditure Breakdown'!$H$6:$H$174, "&lt;"&amp;WY1)</f>
        <v>0</v>
      </c>
      <c r="WY5" s="112">
        <f>SUMIFS('Expenditure Breakdown'!$G$6:$G$174, 'Expenditure Breakdown'!$H$6:$H$174, "&gt;="&amp;WY1,'Expenditure Breakdown'!$H$6:$H$174, "&lt;"&amp;WZ1)</f>
        <v>0</v>
      </c>
      <c r="WZ5" s="112">
        <f>SUMIFS('Expenditure Breakdown'!$G$6:$G$174, 'Expenditure Breakdown'!$H$6:$H$174, "&gt;="&amp;WZ1,'Expenditure Breakdown'!$H$6:$H$174, "&lt;"&amp;XA1)</f>
        <v>0</v>
      </c>
      <c r="XA5" s="112">
        <f>SUMIFS('Expenditure Breakdown'!$G$6:$G$174, 'Expenditure Breakdown'!$H$6:$H$174, "&gt;="&amp;XA1,'Expenditure Breakdown'!$H$6:$H$174, "&lt;"&amp;XB1)</f>
        <v>0</v>
      </c>
      <c r="XB5" s="112">
        <f>SUMIFS('Expenditure Breakdown'!$G$6:$G$174, 'Expenditure Breakdown'!$H$6:$H$174, "&gt;="&amp;XB1,'Expenditure Breakdown'!$H$6:$H$174, "&lt;"&amp;XC1)</f>
        <v>0</v>
      </c>
      <c r="XC5" s="112">
        <f>SUMIFS('Expenditure Breakdown'!$G$6:$G$174, 'Expenditure Breakdown'!$H$6:$H$174, "&gt;="&amp;XC1,'Expenditure Breakdown'!$H$6:$H$174, "&lt;"&amp;XD1)</f>
        <v>0</v>
      </c>
      <c r="XD5" s="112">
        <f>SUMIFS('Expenditure Breakdown'!$G$6:$G$174, 'Expenditure Breakdown'!$H$6:$H$174, "&gt;="&amp;XD1,'Expenditure Breakdown'!$H$6:$H$174, "&lt;"&amp;XE1)</f>
        <v>0</v>
      </c>
      <c r="XE5" s="112">
        <f>SUMIFS('Expenditure Breakdown'!$G$6:$G$174, 'Expenditure Breakdown'!$H$6:$H$174, "&gt;="&amp;XE1,'Expenditure Breakdown'!$H$6:$H$174, "&lt;"&amp;XF1)</f>
        <v>0</v>
      </c>
      <c r="XF5" s="112">
        <f>SUMIFS('Expenditure Breakdown'!$G$6:$G$174, 'Expenditure Breakdown'!$H$6:$H$174, "&gt;="&amp;XF1,'Expenditure Breakdown'!$H$6:$H$174, "&lt;"&amp;XG1)</f>
        <v>0</v>
      </c>
      <c r="XG5" s="112">
        <f>SUMIFS('Expenditure Breakdown'!$G$6:$G$174, 'Expenditure Breakdown'!$H$6:$H$174, "&gt;="&amp;XG1,'Expenditure Breakdown'!$H$6:$H$174, "&lt;"&amp;XH1)</f>
        <v>0</v>
      </c>
      <c r="XH5" s="112">
        <f>SUMIFS('Expenditure Breakdown'!$G$6:$G$174, 'Expenditure Breakdown'!$H$6:$H$174, "&gt;="&amp;XH1,'Expenditure Breakdown'!$H$6:$H$174, "&lt;"&amp;XI1)</f>
        <v>0</v>
      </c>
      <c r="XI5" s="112">
        <f>SUMIFS('Expenditure Breakdown'!$G$6:$G$174, 'Expenditure Breakdown'!$H$6:$H$174, "&gt;="&amp;XI1,'Expenditure Breakdown'!$H$6:$H$174, "&lt;"&amp;XJ1)</f>
        <v>0</v>
      </c>
      <c r="XJ5" s="112">
        <f>SUMIFS('Expenditure Breakdown'!$G$6:$G$174, 'Expenditure Breakdown'!$H$6:$H$174, "&gt;="&amp;XJ1,'Expenditure Breakdown'!$H$6:$H$174, "&lt;"&amp;XK1)</f>
        <v>0</v>
      </c>
      <c r="XK5" s="112">
        <f>SUMIFS('Expenditure Breakdown'!$G$6:$G$174, 'Expenditure Breakdown'!$H$6:$H$174, "&gt;="&amp;XK1,'Expenditure Breakdown'!$H$6:$H$174, "&lt;"&amp;XL1)</f>
        <v>0</v>
      </c>
      <c r="XL5" s="112">
        <f>SUMIFS('Expenditure Breakdown'!$G$6:$G$174, 'Expenditure Breakdown'!$H$6:$H$174, "&gt;="&amp;XL1,'Expenditure Breakdown'!$H$6:$H$174, "&lt;"&amp;XM1)</f>
        <v>0</v>
      </c>
      <c r="XM5" s="112">
        <f>SUMIFS('Expenditure Breakdown'!$G$6:$G$174, 'Expenditure Breakdown'!$H$6:$H$174, "&gt;="&amp;XM1,'Expenditure Breakdown'!$H$6:$H$174, "&lt;"&amp;XN1)</f>
        <v>0</v>
      </c>
      <c r="XN5" s="112">
        <f>SUMIFS('Expenditure Breakdown'!$G$6:$G$174, 'Expenditure Breakdown'!$H$6:$H$174, "&gt;="&amp;XN1,'Expenditure Breakdown'!$H$6:$H$174, "&lt;"&amp;XO1)</f>
        <v>0</v>
      </c>
      <c r="XO5" s="112">
        <f>SUMIFS('Expenditure Breakdown'!$G$6:$G$174, 'Expenditure Breakdown'!$H$6:$H$174, "&gt;="&amp;XO1,'Expenditure Breakdown'!$H$6:$H$174, "&lt;"&amp;XP1)</f>
        <v>0</v>
      </c>
      <c r="XP5" s="112">
        <f>SUMIFS('Expenditure Breakdown'!$G$6:$G$174, 'Expenditure Breakdown'!$H$6:$H$174, "&gt;="&amp;XP1,'Expenditure Breakdown'!$H$6:$H$174, "&lt;"&amp;XQ1)</f>
        <v>0</v>
      </c>
      <c r="XQ5" s="112">
        <f>SUMIFS('Expenditure Breakdown'!$G$6:$G$174, 'Expenditure Breakdown'!$H$6:$H$174, "&gt;="&amp;XQ1,'Expenditure Breakdown'!$H$6:$H$174, "&lt;"&amp;XR1)</f>
        <v>0</v>
      </c>
      <c r="XR5" s="112">
        <f>SUMIFS('Expenditure Breakdown'!$G$6:$G$174, 'Expenditure Breakdown'!$H$6:$H$174, "&gt;="&amp;XR1,'Expenditure Breakdown'!$H$6:$H$174, "&lt;"&amp;XS1)</f>
        <v>0</v>
      </c>
      <c r="XS5" s="112">
        <f>SUMIFS('Expenditure Breakdown'!$G$6:$G$174, 'Expenditure Breakdown'!$H$6:$H$174, "&gt;="&amp;XS1,'Expenditure Breakdown'!$H$6:$H$174, "&lt;"&amp;XT1)</f>
        <v>0</v>
      </c>
      <c r="XT5" s="112">
        <f>SUMIFS('Expenditure Breakdown'!$G$6:$G$174, 'Expenditure Breakdown'!$H$6:$H$174, "&gt;="&amp;XT1,'Expenditure Breakdown'!$H$6:$H$174, "&lt;"&amp;XU1)</f>
        <v>0</v>
      </c>
      <c r="XU5" s="112">
        <f>SUMIFS('Expenditure Breakdown'!$G$6:$G$174, 'Expenditure Breakdown'!$H$6:$H$174, "&gt;="&amp;XU1,'Expenditure Breakdown'!$H$6:$H$174, "&lt;"&amp;XV1)</f>
        <v>0</v>
      </c>
      <c r="XV5" s="112">
        <f>SUMIFS('Expenditure Breakdown'!$G$6:$G$174, 'Expenditure Breakdown'!$H$6:$H$174, "&gt;="&amp;XV1,'Expenditure Breakdown'!$H$6:$H$174, "&lt;"&amp;XW1)</f>
        <v>0</v>
      </c>
      <c r="XW5" s="112">
        <f>SUMIFS('Expenditure Breakdown'!$G$6:$G$174, 'Expenditure Breakdown'!$H$6:$H$174, "&gt;="&amp;XW1,'Expenditure Breakdown'!$H$6:$H$174, "&lt;"&amp;XX1)</f>
        <v>0</v>
      </c>
      <c r="XX5" s="112">
        <f>SUMIFS('Expenditure Breakdown'!$G$6:$G$174, 'Expenditure Breakdown'!$H$6:$H$174, "&gt;="&amp;XX1,'Expenditure Breakdown'!$H$6:$H$174, "&lt;"&amp;XY1)</f>
        <v>0</v>
      </c>
      <c r="XY5" s="112">
        <f>SUMIFS('Expenditure Breakdown'!$G$6:$G$174, 'Expenditure Breakdown'!$H$6:$H$174, "&gt;="&amp;XY1,'Expenditure Breakdown'!$H$6:$H$174, "&lt;"&amp;XZ1)</f>
        <v>0</v>
      </c>
      <c r="XZ5" s="112">
        <f>SUMIFS('Expenditure Breakdown'!$G$6:$G$174, 'Expenditure Breakdown'!$H$6:$H$174, "&gt;="&amp;XZ1,'Expenditure Breakdown'!$H$6:$H$174, "&lt;"&amp;YA1)</f>
        <v>0</v>
      </c>
      <c r="YA5" s="112">
        <f>SUMIFS('Expenditure Breakdown'!$G$6:$G$174, 'Expenditure Breakdown'!$H$6:$H$174, "&gt;="&amp;YA1,'Expenditure Breakdown'!$H$6:$H$174, "&lt;"&amp;YB1)</f>
        <v>0</v>
      </c>
      <c r="YB5" s="112">
        <f>SUMIFS('Expenditure Breakdown'!$G$6:$G$174, 'Expenditure Breakdown'!$H$6:$H$174, "&gt;="&amp;YB1,'Expenditure Breakdown'!$H$6:$H$174, "&lt;"&amp;YC1)</f>
        <v>0</v>
      </c>
      <c r="YC5" s="112">
        <f>SUMIFS('Expenditure Breakdown'!$G$6:$G$174, 'Expenditure Breakdown'!$H$6:$H$174, "&gt;="&amp;YC1,'Expenditure Breakdown'!$H$6:$H$174, "&lt;"&amp;YD1)</f>
        <v>0</v>
      </c>
      <c r="YD5" s="112">
        <f>SUMIFS('Expenditure Breakdown'!$G$6:$G$174, 'Expenditure Breakdown'!$H$6:$H$174, "&gt;="&amp;YD1,'Expenditure Breakdown'!$H$6:$H$174, "&lt;"&amp;YE1)</f>
        <v>0</v>
      </c>
      <c r="YE5" s="112">
        <f>SUMIFS('Expenditure Breakdown'!$G$6:$G$174, 'Expenditure Breakdown'!$H$6:$H$174, "&gt;="&amp;YE1,'Expenditure Breakdown'!$H$6:$H$174, "&lt;"&amp;YF1)</f>
        <v>0</v>
      </c>
      <c r="YF5" s="112">
        <f>SUMIFS('Expenditure Breakdown'!$G$6:$G$174, 'Expenditure Breakdown'!$H$6:$H$174, "&gt;="&amp;YF1,'Expenditure Breakdown'!$H$6:$H$174, "&lt;"&amp;YG1)</f>
        <v>0</v>
      </c>
      <c r="YG5" s="112">
        <f>SUMIFS('Expenditure Breakdown'!$G$6:$G$174, 'Expenditure Breakdown'!$H$6:$H$174, "&gt;="&amp;YG1,'Expenditure Breakdown'!$H$6:$H$174, "&lt;"&amp;YH1)</f>
        <v>0</v>
      </c>
      <c r="YH5" s="112">
        <f>SUMIFS('Expenditure Breakdown'!$G$6:$G$174, 'Expenditure Breakdown'!$H$6:$H$174, "&gt;="&amp;YH1,'Expenditure Breakdown'!$H$6:$H$174, "&lt;"&amp;YI1)</f>
        <v>0</v>
      </c>
      <c r="YI5" s="112">
        <f>SUMIFS('Expenditure Breakdown'!$G$6:$G$174, 'Expenditure Breakdown'!$H$6:$H$174, "&gt;="&amp;YI1,'Expenditure Breakdown'!$H$6:$H$174, "&lt;"&amp;YJ1)</f>
        <v>0</v>
      </c>
      <c r="YJ5" s="112">
        <f>SUMIFS('Expenditure Breakdown'!$G$6:$G$174, 'Expenditure Breakdown'!$H$6:$H$174, "&gt;="&amp;YJ1,'Expenditure Breakdown'!$H$6:$H$174, "&lt;"&amp;YK1)</f>
        <v>0</v>
      </c>
      <c r="YK5" s="112">
        <f>SUMIFS('Expenditure Breakdown'!$G$6:$G$174, 'Expenditure Breakdown'!$H$6:$H$174, "&gt;="&amp;YK1,'Expenditure Breakdown'!$H$6:$H$174, "&lt;"&amp;YL1)</f>
        <v>0</v>
      </c>
      <c r="YL5" s="112">
        <f>SUMIFS('Expenditure Breakdown'!$G$6:$G$174, 'Expenditure Breakdown'!$H$6:$H$174, "&gt;="&amp;YL1,'Expenditure Breakdown'!$H$6:$H$174, "&lt;"&amp;YM1)</f>
        <v>0</v>
      </c>
      <c r="YM5" s="112">
        <f>SUMIFS('Expenditure Breakdown'!$G$6:$G$174, 'Expenditure Breakdown'!$H$6:$H$174, "&gt;="&amp;YM1,'Expenditure Breakdown'!$H$6:$H$174, "&lt;"&amp;YN1)</f>
        <v>0</v>
      </c>
      <c r="YN5" s="112">
        <f>SUMIFS('Expenditure Breakdown'!$G$6:$G$174, 'Expenditure Breakdown'!$H$6:$H$174, "&gt;="&amp;YN1,'Expenditure Breakdown'!$H$6:$H$174, "&lt;"&amp;YO1)</f>
        <v>0</v>
      </c>
      <c r="YO5" s="112">
        <f>SUMIFS('Expenditure Breakdown'!$G$6:$G$174, 'Expenditure Breakdown'!$H$6:$H$174, "&gt;="&amp;YO1,'Expenditure Breakdown'!$H$6:$H$174, "&lt;"&amp;YP1)</f>
        <v>0</v>
      </c>
      <c r="YP5" s="112">
        <f>SUMIFS('Expenditure Breakdown'!$G$6:$G$174, 'Expenditure Breakdown'!$H$6:$H$174, "&gt;="&amp;YP1,'Expenditure Breakdown'!$H$6:$H$174, "&lt;"&amp;YQ1)</f>
        <v>0</v>
      </c>
      <c r="YQ5" s="112">
        <f>SUMIFS('Expenditure Breakdown'!$G$6:$G$174, 'Expenditure Breakdown'!$H$6:$H$174, "&gt;="&amp;YQ1,'Expenditure Breakdown'!$H$6:$H$174, "&lt;"&amp;YR1)</f>
        <v>0</v>
      </c>
      <c r="YR5" s="112">
        <f>SUMIFS('Expenditure Breakdown'!$G$6:$G$174, 'Expenditure Breakdown'!$H$6:$H$174, "&gt;="&amp;YR1,'Expenditure Breakdown'!$H$6:$H$174, "&lt;"&amp;YS1)</f>
        <v>0</v>
      </c>
      <c r="YS5" s="112">
        <f>SUMIFS('Expenditure Breakdown'!$G$6:$G$174, 'Expenditure Breakdown'!$H$6:$H$174, "&gt;="&amp;YS1,'Expenditure Breakdown'!$H$6:$H$174, "&lt;"&amp;YT1)</f>
        <v>0</v>
      </c>
      <c r="YT5" s="112">
        <f>SUMIFS('Expenditure Breakdown'!$G$6:$G$174, 'Expenditure Breakdown'!$H$6:$H$174, "&gt;="&amp;YT1,'Expenditure Breakdown'!$H$6:$H$174, "&lt;"&amp;YU1)</f>
        <v>0</v>
      </c>
      <c r="YU5" s="112">
        <f>SUMIFS('Expenditure Breakdown'!$G$6:$G$174, 'Expenditure Breakdown'!$H$6:$H$174, "&gt;="&amp;YU1,'Expenditure Breakdown'!$H$6:$H$174, "&lt;"&amp;YV1)</f>
        <v>0</v>
      </c>
      <c r="YV5" s="112">
        <f>SUMIFS('Expenditure Breakdown'!$G$6:$G$174, 'Expenditure Breakdown'!$H$6:$H$174, "&gt;="&amp;YV1,'Expenditure Breakdown'!$H$6:$H$174, "&lt;"&amp;YW1)</f>
        <v>0</v>
      </c>
      <c r="YW5" s="112">
        <f>SUMIFS('Expenditure Breakdown'!$G$6:$G$174, 'Expenditure Breakdown'!$H$6:$H$174, "&gt;="&amp;YW1,'Expenditure Breakdown'!$H$6:$H$174, "&lt;"&amp;YX1)</f>
        <v>0</v>
      </c>
      <c r="YX5" s="112">
        <f>SUMIFS('Expenditure Breakdown'!$G$6:$G$174, 'Expenditure Breakdown'!$H$6:$H$174, "&gt;="&amp;YX1,'Expenditure Breakdown'!$H$6:$H$174, "&lt;"&amp;YY1)</f>
        <v>0</v>
      </c>
      <c r="YY5" s="112">
        <f>SUMIFS('Expenditure Breakdown'!$G$6:$G$174, 'Expenditure Breakdown'!$H$6:$H$174, "&gt;="&amp;YY1,'Expenditure Breakdown'!$H$6:$H$174, "&lt;"&amp;YZ1)</f>
        <v>0</v>
      </c>
      <c r="YZ5" s="112">
        <f>SUMIFS('Expenditure Breakdown'!$G$6:$G$174, 'Expenditure Breakdown'!$H$6:$H$174, "&gt;="&amp;YZ1,'Expenditure Breakdown'!$H$6:$H$174, "&lt;"&amp;ZA1)</f>
        <v>0</v>
      </c>
      <c r="ZA5" s="112">
        <f>SUMIFS('Expenditure Breakdown'!$G$6:$G$174, 'Expenditure Breakdown'!$H$6:$H$174, "&gt;="&amp;ZA1,'Expenditure Breakdown'!$H$6:$H$174, "&lt;"&amp;ZB1)</f>
        <v>0</v>
      </c>
      <c r="ZB5" s="112">
        <f>SUMIFS('Expenditure Breakdown'!$G$6:$G$174, 'Expenditure Breakdown'!$H$6:$H$174, "&gt;="&amp;ZB1,'Expenditure Breakdown'!$H$6:$H$174, "&lt;"&amp;ZC1)</f>
        <v>0</v>
      </c>
      <c r="ZC5" s="112">
        <f>SUMIFS('Expenditure Breakdown'!$G$6:$G$174, 'Expenditure Breakdown'!$H$6:$H$174, "&gt;="&amp;ZC1,'Expenditure Breakdown'!$H$6:$H$174, "&lt;"&amp;ZD1)</f>
        <v>0</v>
      </c>
      <c r="ZD5" s="112">
        <f>SUMIFS('Expenditure Breakdown'!$G$6:$G$174, 'Expenditure Breakdown'!$H$6:$H$174, "&gt;="&amp;ZD1,'Expenditure Breakdown'!$H$6:$H$174, "&lt;"&amp;ZE1)</f>
        <v>0</v>
      </c>
      <c r="ZE5" s="112">
        <f>SUMIFS('Expenditure Breakdown'!$G$6:$G$174, 'Expenditure Breakdown'!$H$6:$H$174, "&gt;="&amp;ZE1,'Expenditure Breakdown'!$H$6:$H$174, "&lt;"&amp;ZF1)</f>
        <v>0</v>
      </c>
      <c r="ZF5" s="112">
        <f>SUMIFS('Expenditure Breakdown'!$G$6:$G$174, 'Expenditure Breakdown'!$H$6:$H$174, "&gt;="&amp;ZF1,'Expenditure Breakdown'!$H$6:$H$174, "&lt;"&amp;ZG1)</f>
        <v>0</v>
      </c>
      <c r="ZG5" s="112">
        <f>SUMIFS('Expenditure Breakdown'!$G$6:$G$174, 'Expenditure Breakdown'!$H$6:$H$174, "&gt;="&amp;ZG1,'Expenditure Breakdown'!$H$6:$H$174, "&lt;"&amp;ZH1)</f>
        <v>0</v>
      </c>
      <c r="ZH5" s="112">
        <f>SUMIFS('Expenditure Breakdown'!$G$6:$G$174, 'Expenditure Breakdown'!$H$6:$H$174, "&gt;="&amp;ZH1,'Expenditure Breakdown'!$H$6:$H$174, "&lt;"&amp;ZI1)</f>
        <v>0</v>
      </c>
      <c r="ZI5" s="112">
        <f>SUMIFS('Expenditure Breakdown'!$G$6:$G$174, 'Expenditure Breakdown'!$H$6:$H$174, "&gt;="&amp;ZI1,'Expenditure Breakdown'!$H$6:$H$174, "&lt;"&amp;ZJ1)</f>
        <v>0</v>
      </c>
      <c r="ZJ5" s="112">
        <f>SUMIFS('Expenditure Breakdown'!$G$6:$G$174, 'Expenditure Breakdown'!$H$6:$H$174, "&gt;="&amp;ZJ1,'Expenditure Breakdown'!$H$6:$H$174, "&lt;"&amp;ZK1)</f>
        <v>0</v>
      </c>
      <c r="ZK5" s="112">
        <f>SUMIFS('Expenditure Breakdown'!$G$6:$G$174, 'Expenditure Breakdown'!$H$6:$H$174, "&gt;="&amp;ZK1,'Expenditure Breakdown'!$H$6:$H$174, "&lt;"&amp;ZL1)</f>
        <v>0</v>
      </c>
      <c r="ZL5" s="112">
        <f>SUMIFS('Expenditure Breakdown'!$G$6:$G$174, 'Expenditure Breakdown'!$H$6:$H$174, "&gt;="&amp;ZL1,'Expenditure Breakdown'!$H$6:$H$174, "&lt;"&amp;ZM1)</f>
        <v>0</v>
      </c>
      <c r="ZM5" s="112">
        <f>SUMIFS('Expenditure Breakdown'!$G$6:$G$174, 'Expenditure Breakdown'!$H$6:$H$174, "&gt;="&amp;ZM1,'Expenditure Breakdown'!$H$6:$H$174, "&lt;"&amp;ZN1)</f>
        <v>0</v>
      </c>
      <c r="ZN5" s="112">
        <f>SUMIFS('Expenditure Breakdown'!$G$6:$G$174, 'Expenditure Breakdown'!$H$6:$H$174, "&gt;="&amp;ZN1,'Expenditure Breakdown'!$H$6:$H$174, "&lt;"&amp;ZO1)</f>
        <v>0</v>
      </c>
      <c r="ZO5" s="112">
        <f>SUMIFS('Expenditure Breakdown'!$G$6:$G$174, 'Expenditure Breakdown'!$H$6:$H$174, "&gt;="&amp;ZO1,'Expenditure Breakdown'!$H$6:$H$174, "&lt;"&amp;ZP1)</f>
        <v>0</v>
      </c>
      <c r="ZP5" s="112">
        <f>SUMIFS('Expenditure Breakdown'!$G$6:$G$174, 'Expenditure Breakdown'!$H$6:$H$174, "&gt;="&amp;ZP1,'Expenditure Breakdown'!$H$6:$H$174, "&lt;"&amp;ZQ1)</f>
        <v>0</v>
      </c>
      <c r="ZQ5" s="112">
        <f>SUMIFS('Expenditure Breakdown'!$G$6:$G$174, 'Expenditure Breakdown'!$H$6:$H$174, "&gt;="&amp;ZQ1,'Expenditure Breakdown'!$H$6:$H$174, "&lt;"&amp;ZR1)</f>
        <v>0</v>
      </c>
      <c r="ZR5" s="112">
        <f>SUMIFS('Expenditure Breakdown'!$G$6:$G$174, 'Expenditure Breakdown'!$H$6:$H$174, "&gt;="&amp;ZR1,'Expenditure Breakdown'!$H$6:$H$174, "&lt;"&amp;ZS1)</f>
        <v>0</v>
      </c>
      <c r="ZS5" s="112">
        <f>SUMIFS('Expenditure Breakdown'!$G$6:$G$174, 'Expenditure Breakdown'!$H$6:$H$174, "&gt;="&amp;ZS1,'Expenditure Breakdown'!$H$6:$H$174, "&lt;"&amp;ZT1)</f>
        <v>0</v>
      </c>
      <c r="ZT5" s="112">
        <f>SUMIFS('Expenditure Breakdown'!$G$6:$G$174, 'Expenditure Breakdown'!$H$6:$H$174, "&gt;="&amp;ZT1,'Expenditure Breakdown'!$H$6:$H$174, "&lt;"&amp;ZU1)</f>
        <v>0</v>
      </c>
      <c r="ZU5" s="112">
        <f>SUMIFS('Expenditure Breakdown'!$G$6:$G$174, 'Expenditure Breakdown'!$H$6:$H$174, "&gt;="&amp;ZU1,'Expenditure Breakdown'!$H$6:$H$174, "&lt;"&amp;ZV1)</f>
        <v>0</v>
      </c>
      <c r="ZV5" s="112">
        <f>SUMIFS('Expenditure Breakdown'!$G$6:$G$174, 'Expenditure Breakdown'!$H$6:$H$174, "&gt;="&amp;ZV1,'Expenditure Breakdown'!$H$6:$H$174, "&lt;"&amp;ZW1)</f>
        <v>0</v>
      </c>
      <c r="ZW5" s="112">
        <f>SUMIFS('Expenditure Breakdown'!$G$6:$G$174, 'Expenditure Breakdown'!$H$6:$H$174, "&gt;="&amp;ZW1,'Expenditure Breakdown'!$H$6:$H$174, "&lt;"&amp;ZX1)</f>
        <v>0</v>
      </c>
      <c r="ZX5" s="112">
        <f>SUMIFS('Expenditure Breakdown'!$G$6:$G$174, 'Expenditure Breakdown'!$H$6:$H$174, "&gt;="&amp;ZX1,'Expenditure Breakdown'!$H$6:$H$174, "&lt;"&amp;ZY1)</f>
        <v>0</v>
      </c>
      <c r="ZY5" s="112">
        <f>SUMIFS('Expenditure Breakdown'!$G$6:$G$174, 'Expenditure Breakdown'!$H$6:$H$174, "&gt;="&amp;ZY1,'Expenditure Breakdown'!$H$6:$H$174, "&lt;"&amp;ZZ1)</f>
        <v>0</v>
      </c>
      <c r="ZZ5" s="112">
        <f>SUMIFS('Expenditure Breakdown'!$G$6:$G$174, 'Expenditure Breakdown'!$H$6:$H$174, "&gt;="&amp;ZZ1,'Expenditure Breakdown'!$H$6:$H$174, "&lt;"&amp;AAA1)</f>
        <v>0</v>
      </c>
      <c r="AAA5" s="112">
        <f>SUMIFS('Expenditure Breakdown'!$G$6:$G$174, 'Expenditure Breakdown'!$H$6:$H$174, "&gt;="&amp;AAA1,'Expenditure Breakdown'!$H$6:$H$174, "&lt;"&amp;AAB1)</f>
        <v>0</v>
      </c>
      <c r="AAB5" s="112">
        <f>SUMIFS('Expenditure Breakdown'!$G$6:$G$174, 'Expenditure Breakdown'!$H$6:$H$174, "&gt;="&amp;AAB1,'Expenditure Breakdown'!$H$6:$H$174, "&lt;"&amp;AAC1)</f>
        <v>0</v>
      </c>
      <c r="AAC5" s="112">
        <f>SUMIFS('Expenditure Breakdown'!$G$6:$G$174, 'Expenditure Breakdown'!$H$6:$H$174, "&gt;="&amp;AAC1,'Expenditure Breakdown'!$H$6:$H$174, "&lt;"&amp;AAD1)</f>
        <v>0</v>
      </c>
      <c r="AAD5" s="112">
        <f>SUMIFS('Expenditure Breakdown'!$G$6:$G$174, 'Expenditure Breakdown'!$H$6:$H$174, "&gt;="&amp;AAD1,'Expenditure Breakdown'!$H$6:$H$174, "&lt;"&amp;AAE1)</f>
        <v>0</v>
      </c>
      <c r="AAE5" s="112">
        <f>SUMIFS('Expenditure Breakdown'!$G$6:$G$174, 'Expenditure Breakdown'!$H$6:$H$174, "&gt;="&amp;AAE1,'Expenditure Breakdown'!$H$6:$H$174, "&lt;"&amp;AAF1)</f>
        <v>0</v>
      </c>
      <c r="AAF5" s="112">
        <f>SUMIFS('Expenditure Breakdown'!$G$6:$G$174, 'Expenditure Breakdown'!$H$6:$H$174, "&gt;="&amp;AAF1,'Expenditure Breakdown'!$H$6:$H$174, "&lt;"&amp;AAG1)</f>
        <v>0</v>
      </c>
      <c r="AAG5" s="112">
        <f>SUMIFS('Expenditure Breakdown'!$G$6:$G$174, 'Expenditure Breakdown'!$H$6:$H$174, "&gt;="&amp;AAG1,'Expenditure Breakdown'!$H$6:$H$174, "&lt;"&amp;AAH1)</f>
        <v>0</v>
      </c>
      <c r="AAH5" s="112">
        <f>SUMIFS('Expenditure Breakdown'!$G$6:$G$174, 'Expenditure Breakdown'!$H$6:$H$174, "&gt;="&amp;AAH1,'Expenditure Breakdown'!$H$6:$H$174, "&lt;"&amp;AAI1)</f>
        <v>0</v>
      </c>
      <c r="AAI5" s="112">
        <f>SUMIFS('Expenditure Breakdown'!$G$6:$G$174, 'Expenditure Breakdown'!$H$6:$H$174, "&gt;="&amp;AAI1,'Expenditure Breakdown'!$H$6:$H$174, "&lt;"&amp;AAJ1)</f>
        <v>0</v>
      </c>
      <c r="AAJ5" s="112">
        <f>SUMIFS('Expenditure Breakdown'!$G$6:$G$174, 'Expenditure Breakdown'!$H$6:$H$174, "&gt;="&amp;AAJ1,'Expenditure Breakdown'!$H$6:$H$174, "&lt;"&amp;AAK1)</f>
        <v>0</v>
      </c>
      <c r="AAK5" s="112">
        <f>SUMIFS('Expenditure Breakdown'!$G$6:$G$174, 'Expenditure Breakdown'!$H$6:$H$174, "&gt;="&amp;AAK1,'Expenditure Breakdown'!$H$6:$H$174, "&lt;"&amp;AAL1)</f>
        <v>0</v>
      </c>
      <c r="AAL5" s="112">
        <f>SUMIFS('Expenditure Breakdown'!$G$6:$G$174, 'Expenditure Breakdown'!$H$6:$H$174, "&gt;="&amp;AAL1,'Expenditure Breakdown'!$H$6:$H$174, "&lt;"&amp;AAM1)</f>
        <v>0</v>
      </c>
      <c r="AAM5" s="112">
        <f>SUMIFS('Expenditure Breakdown'!$G$6:$G$174, 'Expenditure Breakdown'!$H$6:$H$174, "&gt;="&amp;AAM1,'Expenditure Breakdown'!$H$6:$H$174, "&lt;"&amp;AAN1)</f>
        <v>0</v>
      </c>
      <c r="AAN5" s="112">
        <f>SUMIFS('Expenditure Breakdown'!$G$6:$G$174, 'Expenditure Breakdown'!$H$6:$H$174, "&gt;="&amp;AAN1,'Expenditure Breakdown'!$H$6:$H$174, "&lt;"&amp;AAO1)</f>
        <v>0</v>
      </c>
      <c r="AAO5" s="112">
        <f>SUMIFS('Expenditure Breakdown'!$G$6:$G$174, 'Expenditure Breakdown'!$H$6:$H$174, "&gt;="&amp;AAO1,'Expenditure Breakdown'!$H$6:$H$174, "&lt;"&amp;AAP1)</f>
        <v>0</v>
      </c>
      <c r="AAP5" s="112">
        <f>SUMIFS('Expenditure Breakdown'!$G$6:$G$174, 'Expenditure Breakdown'!$H$6:$H$174, "&gt;="&amp;AAP1,'Expenditure Breakdown'!$H$6:$H$174, "&lt;"&amp;AAQ1)</f>
        <v>0</v>
      </c>
      <c r="AAQ5" s="112">
        <f>SUMIFS('Expenditure Breakdown'!$G$6:$G$174, 'Expenditure Breakdown'!$H$6:$H$174, "&gt;="&amp;AAQ1,'Expenditure Breakdown'!$H$6:$H$174, "&lt;"&amp;AAR1)</f>
        <v>0</v>
      </c>
      <c r="AAR5" s="112">
        <f>SUMIFS('Expenditure Breakdown'!$G$6:$G$174, 'Expenditure Breakdown'!$H$6:$H$174, "&gt;="&amp;AAR1,'Expenditure Breakdown'!$H$6:$H$174, "&lt;"&amp;AAS1)</f>
        <v>0</v>
      </c>
      <c r="AAS5" s="112">
        <f>SUMIFS('Expenditure Breakdown'!$G$6:$G$174, 'Expenditure Breakdown'!$H$6:$H$174, "&gt;="&amp;AAS1,'Expenditure Breakdown'!$H$6:$H$174, "&lt;"&amp;AAT1)</f>
        <v>0</v>
      </c>
      <c r="AAT5" s="112">
        <f>SUMIFS('Expenditure Breakdown'!$G$6:$G$174, 'Expenditure Breakdown'!$H$6:$H$174, "&gt;="&amp;AAT1,'Expenditure Breakdown'!$H$6:$H$174, "&lt;"&amp;AAU1)</f>
        <v>0</v>
      </c>
      <c r="AAU5" s="112">
        <f>SUMIFS('Expenditure Breakdown'!$G$6:$G$174, 'Expenditure Breakdown'!$H$6:$H$174, "&gt;="&amp;AAU1,'Expenditure Breakdown'!$H$6:$H$174, "&lt;"&amp;AAV1)</f>
        <v>0</v>
      </c>
      <c r="AAV5" s="112">
        <f>SUMIFS('Expenditure Breakdown'!$G$6:$G$174, 'Expenditure Breakdown'!$H$6:$H$174, "&gt;="&amp;AAV1,'Expenditure Breakdown'!$H$6:$H$174, "&lt;"&amp;AAW1)</f>
        <v>0</v>
      </c>
      <c r="AAW5" s="112">
        <f>SUMIFS('Expenditure Breakdown'!$G$6:$G$174, 'Expenditure Breakdown'!$H$6:$H$174, "&gt;="&amp;AAW1,'Expenditure Breakdown'!$H$6:$H$174, "&lt;"&amp;AAX1)</f>
        <v>0</v>
      </c>
      <c r="AAX5" s="112">
        <f>SUMIFS('Expenditure Breakdown'!$G$6:$G$174, 'Expenditure Breakdown'!$H$6:$H$174, "&gt;="&amp;AAX1,'Expenditure Breakdown'!$H$6:$H$174, "&lt;"&amp;AAY1)</f>
        <v>0</v>
      </c>
      <c r="AAY5" s="112">
        <f>SUMIFS('Expenditure Breakdown'!$G$6:$G$174, 'Expenditure Breakdown'!$H$6:$H$174, "&gt;="&amp;AAY1,'Expenditure Breakdown'!$H$6:$H$174, "&lt;"&amp;AAZ1)</f>
        <v>0</v>
      </c>
      <c r="AAZ5" s="112">
        <f>SUMIFS('Expenditure Breakdown'!$G$6:$G$174, 'Expenditure Breakdown'!$H$6:$H$174, "&gt;="&amp;AAZ1,'Expenditure Breakdown'!$H$6:$H$174, "&lt;"&amp;ABA1)</f>
        <v>0</v>
      </c>
      <c r="ABA5" s="112">
        <f>SUMIFS('Expenditure Breakdown'!$G$6:$G$174, 'Expenditure Breakdown'!$H$6:$H$174, "&gt;="&amp;ABA1,'Expenditure Breakdown'!$H$6:$H$174, "&lt;"&amp;ABB1)</f>
        <v>0</v>
      </c>
      <c r="ABB5" s="112">
        <f>SUMIFS('Expenditure Breakdown'!$G$6:$G$174, 'Expenditure Breakdown'!$H$6:$H$174, "&gt;="&amp;ABB1,'Expenditure Breakdown'!$H$6:$H$174, "&lt;"&amp;ABC1)</f>
        <v>0</v>
      </c>
      <c r="ABC5" s="112">
        <f>SUMIFS('Expenditure Breakdown'!$G$6:$G$174, 'Expenditure Breakdown'!$H$6:$H$174, "&gt;="&amp;ABC1,'Expenditure Breakdown'!$H$6:$H$174, "&lt;"&amp;ABD1)</f>
        <v>0</v>
      </c>
      <c r="ABD5" s="112">
        <f>SUMIFS('Expenditure Breakdown'!$G$6:$G$174, 'Expenditure Breakdown'!$H$6:$H$174, "&gt;="&amp;ABD1,'Expenditure Breakdown'!$H$6:$H$174, "&lt;"&amp;ABE1)</f>
        <v>0</v>
      </c>
      <c r="ABE5" s="112">
        <f>SUMIFS('Expenditure Breakdown'!$G$6:$G$174, 'Expenditure Breakdown'!$H$6:$H$174, "&gt;="&amp;ABE1,'Expenditure Breakdown'!$H$6:$H$174, "&lt;"&amp;ABF1)</f>
        <v>0</v>
      </c>
      <c r="ABF5" s="112">
        <f>SUMIFS('Expenditure Breakdown'!$G$6:$G$174, 'Expenditure Breakdown'!$H$6:$H$174, "&gt;="&amp;ABF1,'Expenditure Breakdown'!$H$6:$H$174, "&lt;"&amp;ABG1)</f>
        <v>0</v>
      </c>
      <c r="ABG5" s="112">
        <f>SUMIFS('Expenditure Breakdown'!$G$6:$G$174, 'Expenditure Breakdown'!$H$6:$H$174, "&gt;="&amp;ABG1,'Expenditure Breakdown'!$H$6:$H$174, "&lt;"&amp;ABH1)</f>
        <v>0</v>
      </c>
      <c r="ABH5" s="112">
        <f>SUMIFS('Expenditure Breakdown'!$G$6:$G$174, 'Expenditure Breakdown'!$H$6:$H$174, "&gt;="&amp;ABH1,'Expenditure Breakdown'!$H$6:$H$174, "&lt;"&amp;ABI1)</f>
        <v>0</v>
      </c>
      <c r="ABI5" s="112">
        <f>SUMIFS('Expenditure Breakdown'!$G$6:$G$174, 'Expenditure Breakdown'!$H$6:$H$174, "&gt;="&amp;ABI1,'Expenditure Breakdown'!$H$6:$H$174, "&lt;"&amp;ABJ1)</f>
        <v>0</v>
      </c>
      <c r="ABJ5" s="112">
        <f>SUMIFS('Expenditure Breakdown'!$G$6:$G$174, 'Expenditure Breakdown'!$H$6:$H$174, "&gt;="&amp;ABJ1,'Expenditure Breakdown'!$H$6:$H$174, "&lt;"&amp;ABK1)</f>
        <v>0</v>
      </c>
      <c r="ABK5" s="112">
        <f>SUMIFS('Expenditure Breakdown'!$G$6:$G$174, 'Expenditure Breakdown'!$H$6:$H$174, "&gt;="&amp;ABK1,'Expenditure Breakdown'!$H$6:$H$174, "&lt;"&amp;ABL1)</f>
        <v>0</v>
      </c>
      <c r="ABL5" s="112">
        <f>SUMIFS('Expenditure Breakdown'!$G$6:$G$174, 'Expenditure Breakdown'!$H$6:$H$174, "&gt;="&amp;ABL1,'Expenditure Breakdown'!$H$6:$H$174, "&lt;"&amp;ABM1)</f>
        <v>0</v>
      </c>
      <c r="ABM5" s="112">
        <f>SUMIFS('Expenditure Breakdown'!$G$6:$G$174, 'Expenditure Breakdown'!$H$6:$H$174, "&gt;="&amp;ABM1,'Expenditure Breakdown'!$H$6:$H$174, "&lt;"&amp;ABN1)</f>
        <v>0</v>
      </c>
      <c r="ABN5" s="112">
        <f>SUMIFS('Expenditure Breakdown'!$G$6:$G$174, 'Expenditure Breakdown'!$H$6:$H$174, "&gt;="&amp;ABN1,'Expenditure Breakdown'!$H$6:$H$174, "&lt;"&amp;ABO1)</f>
        <v>0</v>
      </c>
      <c r="ABO5" s="112">
        <f>SUMIFS('Expenditure Breakdown'!$G$6:$G$174, 'Expenditure Breakdown'!$H$6:$H$174, "&gt;="&amp;ABO1,'Expenditure Breakdown'!$H$6:$H$174, "&lt;"&amp;ABP1)</f>
        <v>0</v>
      </c>
      <c r="ABP5" s="112">
        <f>SUMIFS('Expenditure Breakdown'!$G$6:$G$174, 'Expenditure Breakdown'!$H$6:$H$174, "&gt;="&amp;ABP1,'Expenditure Breakdown'!$H$6:$H$174, "&lt;"&amp;ABQ1)</f>
        <v>0</v>
      </c>
      <c r="ABQ5" s="112">
        <f>SUMIFS('Expenditure Breakdown'!$G$6:$G$174, 'Expenditure Breakdown'!$H$6:$H$174, "&gt;="&amp;ABQ1,'Expenditure Breakdown'!$H$6:$H$174, "&lt;"&amp;ABR1)</f>
        <v>0</v>
      </c>
      <c r="ABR5" s="112">
        <f>SUMIFS('Expenditure Breakdown'!$G$6:$G$174, 'Expenditure Breakdown'!$H$6:$H$174, "&gt;="&amp;ABR1,'Expenditure Breakdown'!$H$6:$H$174, "&lt;"&amp;ABS1)</f>
        <v>0</v>
      </c>
      <c r="ABS5" s="112">
        <f>SUMIFS('Expenditure Breakdown'!$G$6:$G$174, 'Expenditure Breakdown'!$H$6:$H$174, "&gt;="&amp;ABS1,'Expenditure Breakdown'!$H$6:$H$174, "&lt;"&amp;ABT1)</f>
        <v>0</v>
      </c>
      <c r="ABT5" s="112">
        <f>SUMIFS('Expenditure Breakdown'!$G$6:$G$174, 'Expenditure Breakdown'!$H$6:$H$174, "&gt;="&amp;ABT1,'Expenditure Breakdown'!$H$6:$H$174, "&lt;"&amp;ABU1)</f>
        <v>0</v>
      </c>
      <c r="ABU5" s="112">
        <f>SUMIFS('Expenditure Breakdown'!$G$6:$G$174, 'Expenditure Breakdown'!$H$6:$H$174, "&gt;="&amp;ABU1,'Expenditure Breakdown'!$H$6:$H$174, "&lt;"&amp;ABV1)</f>
        <v>0</v>
      </c>
      <c r="ABV5" s="112">
        <f>SUMIFS('Expenditure Breakdown'!$G$6:$G$174, 'Expenditure Breakdown'!$H$6:$H$174, "&gt;="&amp;ABV1,'Expenditure Breakdown'!$H$6:$H$174, "&lt;"&amp;ABW1)</f>
        <v>0</v>
      </c>
      <c r="ABW5" s="112">
        <f>SUMIFS('Expenditure Breakdown'!$G$6:$G$174, 'Expenditure Breakdown'!$H$6:$H$174, "&gt;="&amp;ABW1,'Expenditure Breakdown'!$H$6:$H$174, "&lt;"&amp;ABX1)</f>
        <v>0</v>
      </c>
      <c r="ABX5" s="112">
        <f>SUMIFS('Expenditure Breakdown'!$G$6:$G$174, 'Expenditure Breakdown'!$H$6:$H$174, "&gt;="&amp;ABX1,'Expenditure Breakdown'!$H$6:$H$174, "&lt;"&amp;ABY1)</f>
        <v>0</v>
      </c>
      <c r="ABY5" s="112">
        <f>SUMIFS('Expenditure Breakdown'!$G$6:$G$174, 'Expenditure Breakdown'!$H$6:$H$174, "&gt;="&amp;ABY1,'Expenditure Breakdown'!$H$6:$H$174, "&lt;"&amp;ABZ1)</f>
        <v>0</v>
      </c>
      <c r="ABZ5" s="112">
        <f>SUMIFS('Expenditure Breakdown'!$G$6:$G$174, 'Expenditure Breakdown'!$H$6:$H$174, "&gt;="&amp;ABZ1,'Expenditure Breakdown'!$H$6:$H$174, "&lt;"&amp;ACA1)</f>
        <v>0</v>
      </c>
      <c r="ACA5" s="112">
        <f>SUMIFS('Expenditure Breakdown'!$G$6:$G$174, 'Expenditure Breakdown'!$H$6:$H$174, "&gt;="&amp;ACA1,'Expenditure Breakdown'!$H$6:$H$174, "&lt;"&amp;ACB1)</f>
        <v>0</v>
      </c>
      <c r="ACB5" s="112">
        <f>SUMIFS('Expenditure Breakdown'!$G$6:$G$174, 'Expenditure Breakdown'!$H$6:$H$174, "&gt;="&amp;ACB1,'Expenditure Breakdown'!$H$6:$H$174, "&lt;"&amp;ACC1)</f>
        <v>0</v>
      </c>
      <c r="ACC5" s="112">
        <f>SUMIFS('Expenditure Breakdown'!$G$6:$G$174, 'Expenditure Breakdown'!$H$6:$H$174, "&gt;="&amp;ACC1,'Expenditure Breakdown'!$H$6:$H$174, "&lt;"&amp;ACD1)</f>
        <v>0</v>
      </c>
      <c r="ACD5" s="112">
        <f>SUMIFS('Expenditure Breakdown'!$G$6:$G$174, 'Expenditure Breakdown'!$H$6:$H$174, "&gt;="&amp;ACD1,'Expenditure Breakdown'!$H$6:$H$174, "&lt;"&amp;ACE1)</f>
        <v>0</v>
      </c>
      <c r="ACE5" s="112">
        <f>SUMIFS('Expenditure Breakdown'!$G$6:$G$174, 'Expenditure Breakdown'!$H$6:$H$174, "&gt;="&amp;ACE1,'Expenditure Breakdown'!$H$6:$H$174, "&lt;"&amp;ACF1)</f>
        <v>0</v>
      </c>
      <c r="ACF5" s="112">
        <f>SUMIFS('Expenditure Breakdown'!$G$6:$G$174, 'Expenditure Breakdown'!$H$6:$H$174, "&gt;="&amp;ACF1,'Expenditure Breakdown'!$H$6:$H$174, "&lt;"&amp;ACG1)</f>
        <v>0</v>
      </c>
      <c r="ACG5" s="112">
        <f>SUMIFS('Expenditure Breakdown'!$G$6:$G$174, 'Expenditure Breakdown'!$H$6:$H$174, "&gt;="&amp;ACG1,'Expenditure Breakdown'!$H$6:$H$174, "&lt;"&amp;ACH1)</f>
        <v>0</v>
      </c>
      <c r="ACH5" s="112">
        <f>SUMIFS('Expenditure Breakdown'!$G$6:$G$174, 'Expenditure Breakdown'!$H$6:$H$174, "&gt;="&amp;ACH1,'Expenditure Breakdown'!$H$6:$H$174, "&lt;"&amp;ACI1)</f>
        <v>0</v>
      </c>
      <c r="ACI5" s="112">
        <f>SUMIFS('Expenditure Breakdown'!$G$6:$G$174, 'Expenditure Breakdown'!$H$6:$H$174, "&gt;="&amp;ACI1,'Expenditure Breakdown'!$H$6:$H$174, "&lt;"&amp;ACJ1)</f>
        <v>0</v>
      </c>
      <c r="ACJ5" s="112">
        <f>SUMIFS('Expenditure Breakdown'!$G$6:$G$174, 'Expenditure Breakdown'!$H$6:$H$174, "&gt;="&amp;ACJ1,'Expenditure Breakdown'!$H$6:$H$174, "&lt;"&amp;ACK1)</f>
        <v>0</v>
      </c>
      <c r="ACK5" s="112">
        <f>SUMIFS('Expenditure Breakdown'!$G$6:$G$174, 'Expenditure Breakdown'!$H$6:$H$174, "&gt;="&amp;ACK1,'Expenditure Breakdown'!$H$6:$H$174, "&lt;"&amp;ACL1)</f>
        <v>0</v>
      </c>
      <c r="ACL5" s="112">
        <f>SUMIFS('Expenditure Breakdown'!$G$6:$G$174, 'Expenditure Breakdown'!$H$6:$H$174, "&gt;="&amp;ACL1,'Expenditure Breakdown'!$H$6:$H$174, "&lt;"&amp;ACM1)</f>
        <v>0</v>
      </c>
      <c r="ACM5" s="112">
        <f>SUMIFS('Expenditure Breakdown'!$G$6:$G$174, 'Expenditure Breakdown'!$H$6:$H$174, "&gt;="&amp;ACM1,'Expenditure Breakdown'!$H$6:$H$174, "&lt;"&amp;ACN1)</f>
        <v>0</v>
      </c>
      <c r="ACN5" s="112">
        <f>SUMIFS('Expenditure Breakdown'!$G$6:$G$174, 'Expenditure Breakdown'!$H$6:$H$174, "&gt;="&amp;ACN1,'Expenditure Breakdown'!$H$6:$H$174, "&lt;"&amp;ACO1)</f>
        <v>0</v>
      </c>
      <c r="ACO5" s="112">
        <f>SUMIFS('Expenditure Breakdown'!$G$6:$G$174, 'Expenditure Breakdown'!$H$6:$H$174, "&gt;="&amp;ACO1,'Expenditure Breakdown'!$H$6:$H$174, "&lt;"&amp;ACP1)</f>
        <v>0</v>
      </c>
      <c r="ACP5" s="112">
        <f>SUMIFS('Expenditure Breakdown'!$G$6:$G$174, 'Expenditure Breakdown'!$H$6:$H$174, "&gt;="&amp;ACP1,'Expenditure Breakdown'!$H$6:$H$174, "&lt;"&amp;ACQ1)</f>
        <v>0</v>
      </c>
      <c r="ACQ5" s="112">
        <f>SUMIFS('Expenditure Breakdown'!$G$6:$G$174, 'Expenditure Breakdown'!$H$6:$H$174, "&gt;="&amp;ACQ1,'Expenditure Breakdown'!$H$6:$H$174, "&lt;"&amp;ACR1)</f>
        <v>0</v>
      </c>
      <c r="ACR5" s="112">
        <f>SUMIFS('Expenditure Breakdown'!$G$6:$G$174, 'Expenditure Breakdown'!$H$6:$H$174, "&gt;="&amp;ACR1,'Expenditure Breakdown'!$H$6:$H$174, "&lt;"&amp;ACS1)</f>
        <v>0</v>
      </c>
      <c r="ACS5" s="112">
        <f>SUMIFS('Expenditure Breakdown'!$G$6:$G$174, 'Expenditure Breakdown'!$H$6:$H$174, "&gt;="&amp;ACS1,'Expenditure Breakdown'!$H$6:$H$174, "&lt;"&amp;ACT1)</f>
        <v>0</v>
      </c>
      <c r="ACT5" s="112">
        <f>SUMIFS('Expenditure Breakdown'!$G$6:$G$174, 'Expenditure Breakdown'!$H$6:$H$174, "&gt;="&amp;ACT1,'Expenditure Breakdown'!$H$6:$H$174, "&lt;"&amp;ACU1)</f>
        <v>0</v>
      </c>
      <c r="ACU5" s="112">
        <f>SUMIFS('Expenditure Breakdown'!$G$6:$G$174, 'Expenditure Breakdown'!$H$6:$H$174, "&gt;="&amp;ACU1,'Expenditure Breakdown'!$H$6:$H$174, "&lt;"&amp;ACV1)</f>
        <v>0</v>
      </c>
      <c r="ACV5" s="112">
        <f>SUMIFS('Expenditure Breakdown'!$G$6:$G$174, 'Expenditure Breakdown'!$H$6:$H$174, "&gt;="&amp;ACV1,'Expenditure Breakdown'!$H$6:$H$174, "&lt;"&amp;ACW1)</f>
        <v>0</v>
      </c>
      <c r="ACW5" s="112">
        <f>SUMIFS('Expenditure Breakdown'!$G$6:$G$174, 'Expenditure Breakdown'!$H$6:$H$174, "&gt;="&amp;ACW1,'Expenditure Breakdown'!$H$6:$H$174, "&lt;"&amp;ACX1)</f>
        <v>0</v>
      </c>
      <c r="ACX5" s="112">
        <f>SUMIFS('Expenditure Breakdown'!$G$6:$G$174, 'Expenditure Breakdown'!$H$6:$H$174, "&gt;="&amp;ACX1,'Expenditure Breakdown'!$H$6:$H$174, "&lt;"&amp;ACY1)</f>
        <v>0</v>
      </c>
      <c r="ACY5" s="112">
        <f>SUMIFS('Expenditure Breakdown'!$G$6:$G$174, 'Expenditure Breakdown'!$H$6:$H$174, "&gt;="&amp;ACY1,'Expenditure Breakdown'!$H$6:$H$174, "&lt;"&amp;ACZ1)</f>
        <v>0</v>
      </c>
      <c r="ACZ5" s="112">
        <f>SUMIFS('Expenditure Breakdown'!$G$6:$G$174, 'Expenditure Breakdown'!$H$6:$H$174, "&gt;="&amp;ACZ1,'Expenditure Breakdown'!$H$6:$H$174, "&lt;"&amp;ADA1)</f>
        <v>0</v>
      </c>
      <c r="ADA5" s="112">
        <f>SUMIFS('Expenditure Breakdown'!$G$6:$G$174, 'Expenditure Breakdown'!$H$6:$H$174, "&gt;="&amp;ADA1,'Expenditure Breakdown'!$H$6:$H$174, "&lt;"&amp;ADB1)</f>
        <v>0</v>
      </c>
      <c r="ADB5" s="112">
        <f>SUMIFS('Expenditure Breakdown'!$G$6:$G$174, 'Expenditure Breakdown'!$H$6:$H$174, "&gt;="&amp;ADB1,'Expenditure Breakdown'!$H$6:$H$174, "&lt;"&amp;ADC1)</f>
        <v>0</v>
      </c>
      <c r="ADC5" s="112">
        <f>SUMIFS('Expenditure Breakdown'!$G$6:$G$174, 'Expenditure Breakdown'!$H$6:$H$174, "&gt;="&amp;ADC1,'Expenditure Breakdown'!$H$6:$H$174, "&lt;"&amp;ADD1)</f>
        <v>0</v>
      </c>
      <c r="ADD5" s="112">
        <f>SUMIFS('Expenditure Breakdown'!$G$6:$G$174, 'Expenditure Breakdown'!$H$6:$H$174, "&gt;="&amp;ADD1,'Expenditure Breakdown'!$H$6:$H$174, "&lt;"&amp;ADE1)</f>
        <v>0</v>
      </c>
      <c r="ADE5" s="112">
        <f>SUMIFS('Expenditure Breakdown'!$G$6:$G$174, 'Expenditure Breakdown'!$H$6:$H$174, "&gt;="&amp;ADE1,'Expenditure Breakdown'!$H$6:$H$174, "&lt;"&amp;ADF1)</f>
        <v>0</v>
      </c>
      <c r="ADF5" s="112">
        <f>SUMIFS('Expenditure Breakdown'!$G$6:$G$174, 'Expenditure Breakdown'!$H$6:$H$174, "&gt;="&amp;ADF1,'Expenditure Breakdown'!$H$6:$H$174, "&lt;"&amp;ADG1)</f>
        <v>0</v>
      </c>
      <c r="ADG5" s="112">
        <f>SUMIFS('Expenditure Breakdown'!$G$6:$G$174, 'Expenditure Breakdown'!$H$6:$H$174, "&gt;="&amp;ADG1,'Expenditure Breakdown'!$H$6:$H$174, "&lt;"&amp;ADH1)</f>
        <v>0</v>
      </c>
      <c r="ADH5" s="112">
        <f>SUMIFS('Expenditure Breakdown'!$G$6:$G$174, 'Expenditure Breakdown'!$H$6:$H$174, "&gt;="&amp;ADH1,'Expenditure Breakdown'!$H$6:$H$174, "&lt;"&amp;ADI1)</f>
        <v>0</v>
      </c>
      <c r="ADI5" s="112">
        <f>SUMIFS('Expenditure Breakdown'!$G$6:$G$174, 'Expenditure Breakdown'!$H$6:$H$174, "&gt;="&amp;ADI1,'Expenditure Breakdown'!$H$6:$H$174, "&lt;"&amp;ADJ1)</f>
        <v>0</v>
      </c>
      <c r="ADJ5" s="112">
        <f>SUMIFS('Expenditure Breakdown'!$G$6:$G$174, 'Expenditure Breakdown'!$H$6:$H$174, "&gt;="&amp;ADJ1,'Expenditure Breakdown'!$H$6:$H$174, "&lt;"&amp;ADK1)</f>
        <v>0</v>
      </c>
      <c r="ADK5" s="112">
        <f>SUMIFS('Expenditure Breakdown'!$G$6:$G$174, 'Expenditure Breakdown'!$H$6:$H$174, "&gt;="&amp;ADK1,'Expenditure Breakdown'!$H$6:$H$174, "&lt;"&amp;ADL1)</f>
        <v>0</v>
      </c>
      <c r="ADL5" s="112">
        <f>SUMIFS('Expenditure Breakdown'!$G$6:$G$174, 'Expenditure Breakdown'!$H$6:$H$174, "&gt;="&amp;ADL1,'Expenditure Breakdown'!$H$6:$H$174, "&lt;"&amp;ADM1)</f>
        <v>0</v>
      </c>
      <c r="ADM5" s="112">
        <f>SUMIFS('Expenditure Breakdown'!$G$6:$G$174, 'Expenditure Breakdown'!$H$6:$H$174, "&gt;="&amp;ADM1,'Expenditure Breakdown'!$H$6:$H$174, "&lt;"&amp;ADN1)</f>
        <v>0</v>
      </c>
      <c r="ADN5" s="112">
        <f>SUMIFS('Expenditure Breakdown'!$G$6:$G$174, 'Expenditure Breakdown'!$H$6:$H$174, "&gt;="&amp;ADN1,'Expenditure Breakdown'!$H$6:$H$174, "&lt;"&amp;ADO1)</f>
        <v>0</v>
      </c>
      <c r="ADO5" s="112">
        <f>SUMIFS('Expenditure Breakdown'!$G$6:$G$174, 'Expenditure Breakdown'!$H$6:$H$174, "&gt;="&amp;ADO1,'Expenditure Breakdown'!$H$6:$H$174, "&lt;"&amp;ADP1)</f>
        <v>0</v>
      </c>
      <c r="ADP5" s="112">
        <f>SUMIFS('Expenditure Breakdown'!$G$6:$G$174, 'Expenditure Breakdown'!$H$6:$H$174, "&gt;="&amp;ADP1,'Expenditure Breakdown'!$H$6:$H$174, "&lt;"&amp;ADQ1)</f>
        <v>0</v>
      </c>
      <c r="ADQ5" s="112">
        <f>SUMIFS('Expenditure Breakdown'!$G$6:$G$174, 'Expenditure Breakdown'!$H$6:$H$174, "&gt;="&amp;ADQ1,'Expenditure Breakdown'!$H$6:$H$174, "&lt;"&amp;ADR1)</f>
        <v>0</v>
      </c>
      <c r="ADR5" s="112">
        <f>SUMIFS('Expenditure Breakdown'!$G$6:$G$174, 'Expenditure Breakdown'!$H$6:$H$174, "&gt;="&amp;ADR1,'Expenditure Breakdown'!$H$6:$H$174, "&lt;"&amp;ADS1)</f>
        <v>0</v>
      </c>
      <c r="ADS5" s="112">
        <f>SUMIFS('Expenditure Breakdown'!$G$6:$G$174, 'Expenditure Breakdown'!$H$6:$H$174, "&gt;="&amp;ADS1,'Expenditure Breakdown'!$H$6:$H$174, "&lt;"&amp;ADT1)</f>
        <v>0</v>
      </c>
      <c r="ADT5" s="112">
        <f>SUMIFS('Expenditure Breakdown'!$G$6:$G$174, 'Expenditure Breakdown'!$H$6:$H$174, "&gt;="&amp;ADT1,'Expenditure Breakdown'!$H$6:$H$174, "&lt;"&amp;ADU1)</f>
        <v>0</v>
      </c>
      <c r="ADU5" s="112">
        <f>SUMIFS('Expenditure Breakdown'!$G$6:$G$174, 'Expenditure Breakdown'!$H$6:$H$174, "&gt;="&amp;ADU1,'Expenditure Breakdown'!$H$6:$H$174, "&lt;"&amp;ADV1)</f>
        <v>0</v>
      </c>
      <c r="ADV5" s="112">
        <f>SUMIFS('Expenditure Breakdown'!$G$6:$G$174, 'Expenditure Breakdown'!$H$6:$H$174, "&gt;="&amp;ADV1,'Expenditure Breakdown'!$H$6:$H$174, "&lt;"&amp;ADW1)</f>
        <v>0</v>
      </c>
      <c r="ADW5" s="112">
        <f>SUMIFS('Expenditure Breakdown'!$G$6:$G$174, 'Expenditure Breakdown'!$H$6:$H$174, "&gt;="&amp;ADW1,'Expenditure Breakdown'!$H$6:$H$174, "&lt;"&amp;ADX1)</f>
        <v>0</v>
      </c>
      <c r="ADX5" s="112">
        <f>SUMIFS('Expenditure Breakdown'!$G$6:$G$174, 'Expenditure Breakdown'!$H$6:$H$174, "&gt;="&amp;ADX1,'Expenditure Breakdown'!$H$6:$H$174, "&lt;"&amp;ADY1)</f>
        <v>0</v>
      </c>
      <c r="ADY5" s="112">
        <f>SUMIFS('Expenditure Breakdown'!$G$6:$G$174, 'Expenditure Breakdown'!$H$6:$H$174, "&gt;="&amp;ADY1,'Expenditure Breakdown'!$H$6:$H$174, "&lt;"&amp;ADZ1)</f>
        <v>0</v>
      </c>
      <c r="ADZ5" s="112">
        <f>SUMIFS('Expenditure Breakdown'!$G$6:$G$174, 'Expenditure Breakdown'!$H$6:$H$174, "&gt;="&amp;ADZ1,'Expenditure Breakdown'!$H$6:$H$174, "&lt;"&amp;AEA1)</f>
        <v>0</v>
      </c>
      <c r="AEA5" s="112">
        <f>SUMIFS('Expenditure Breakdown'!$G$6:$G$174, 'Expenditure Breakdown'!$H$6:$H$174, "&gt;="&amp;AEA1,'Expenditure Breakdown'!$H$6:$H$174, "&lt;"&amp;AEB1)</f>
        <v>0</v>
      </c>
      <c r="AEB5" s="112">
        <f>SUMIFS('Expenditure Breakdown'!$G$6:$G$174, 'Expenditure Breakdown'!$H$6:$H$174, "&gt;="&amp;AEB1,'Expenditure Breakdown'!$H$6:$H$174, "&lt;"&amp;AEC1)</f>
        <v>0</v>
      </c>
      <c r="AEC5" s="112">
        <f>SUMIFS('Expenditure Breakdown'!$G$6:$G$174, 'Expenditure Breakdown'!$H$6:$H$174, "&gt;="&amp;AEC1,'Expenditure Breakdown'!$H$6:$H$174, "&lt;"&amp;AED1)</f>
        <v>0</v>
      </c>
      <c r="AED5" s="112">
        <f>SUMIFS('Expenditure Breakdown'!$G$6:$G$174, 'Expenditure Breakdown'!$H$6:$H$174, "&gt;="&amp;AED1,'Expenditure Breakdown'!$H$6:$H$174, "&lt;"&amp;AEE1)</f>
        <v>0</v>
      </c>
      <c r="AEE5" s="112">
        <f>SUMIFS('Expenditure Breakdown'!$G$6:$G$174, 'Expenditure Breakdown'!$H$6:$H$174, "&gt;="&amp;AEE1,'Expenditure Breakdown'!$H$6:$H$174, "&lt;"&amp;AEF1)</f>
        <v>0</v>
      </c>
      <c r="AEF5" s="112">
        <f>SUMIFS('Expenditure Breakdown'!$G$6:$G$174, 'Expenditure Breakdown'!$H$6:$H$174, "&gt;="&amp;AEF1,'Expenditure Breakdown'!$H$6:$H$174, "&lt;"&amp;AEG1)</f>
        <v>0</v>
      </c>
      <c r="AEG5" s="112">
        <f>SUMIFS('Expenditure Breakdown'!$G$6:$G$174, 'Expenditure Breakdown'!$H$6:$H$174, "&gt;="&amp;AEG1,'Expenditure Breakdown'!$H$6:$H$174, "&lt;"&amp;AEH1)</f>
        <v>0</v>
      </c>
      <c r="AEH5" s="112">
        <f>SUMIFS('Expenditure Breakdown'!$G$6:$G$174, 'Expenditure Breakdown'!$H$6:$H$174, "&gt;="&amp;AEH1,'Expenditure Breakdown'!$H$6:$H$174, "&lt;"&amp;AEI1)</f>
        <v>0</v>
      </c>
      <c r="AEI5" s="112">
        <f>SUMIFS('Expenditure Breakdown'!$G$6:$G$174, 'Expenditure Breakdown'!$H$6:$H$174, "&gt;="&amp;AEI1,'Expenditure Breakdown'!$H$6:$H$174, "&lt;"&amp;AEJ1)</f>
        <v>0</v>
      </c>
      <c r="AEJ5" s="112">
        <f>SUMIFS('Expenditure Breakdown'!$G$6:$G$174, 'Expenditure Breakdown'!$H$6:$H$174, "&gt;="&amp;AEJ1,'Expenditure Breakdown'!$H$6:$H$174, "&lt;"&amp;AEK1)</f>
        <v>0</v>
      </c>
      <c r="AEK5" s="112">
        <f>SUMIFS('Expenditure Breakdown'!$G$6:$G$174, 'Expenditure Breakdown'!$H$6:$H$174, "&gt;="&amp;AEK1,'Expenditure Breakdown'!$H$6:$H$174, "&lt;"&amp;AEL1)</f>
        <v>0</v>
      </c>
      <c r="AEL5" s="112">
        <f>SUMIFS('Expenditure Breakdown'!$G$6:$G$174, 'Expenditure Breakdown'!$H$6:$H$174, "&gt;="&amp;AEL1,'Expenditure Breakdown'!$H$6:$H$174, "&lt;"&amp;AEM1)</f>
        <v>0</v>
      </c>
      <c r="AEM5" s="112">
        <f>SUMIFS('Expenditure Breakdown'!$G$6:$G$174, 'Expenditure Breakdown'!$H$6:$H$174, "&gt;="&amp;AEM1,'Expenditure Breakdown'!$H$6:$H$174, "&lt;"&amp;AEN1)</f>
        <v>0</v>
      </c>
      <c r="AEN5" s="112">
        <f>SUMIFS('Expenditure Breakdown'!$G$6:$G$174, 'Expenditure Breakdown'!$H$6:$H$174, "&gt;="&amp;AEN1,'Expenditure Breakdown'!$H$6:$H$174, "&lt;"&amp;AEO1)</f>
        <v>0</v>
      </c>
      <c r="AEO5" s="112">
        <f>SUMIFS('Expenditure Breakdown'!$G$6:$G$174, 'Expenditure Breakdown'!$H$6:$H$174, "&gt;="&amp;AEO1,'Expenditure Breakdown'!$H$6:$H$174, "&lt;"&amp;AEP1)</f>
        <v>0</v>
      </c>
      <c r="AEP5" s="112">
        <f>SUMIFS('Expenditure Breakdown'!$G$6:$G$174, 'Expenditure Breakdown'!$H$6:$H$174, "&gt;="&amp;AEP1,'Expenditure Breakdown'!$H$6:$H$174, "&lt;"&amp;AEQ1)</f>
        <v>0</v>
      </c>
      <c r="AEQ5" s="112">
        <f>SUMIFS('Expenditure Breakdown'!$G$6:$G$174, 'Expenditure Breakdown'!$H$6:$H$174, "&gt;="&amp;AEQ1,'Expenditure Breakdown'!$H$6:$H$174, "&lt;"&amp;AER1)</f>
        <v>0</v>
      </c>
      <c r="AER5" s="112">
        <f>SUMIFS('Expenditure Breakdown'!$G$6:$G$174, 'Expenditure Breakdown'!$H$6:$H$174, "&gt;="&amp;AER1,'Expenditure Breakdown'!$H$6:$H$174, "&lt;"&amp;AES1)</f>
        <v>0</v>
      </c>
      <c r="AES5" s="112">
        <f>SUMIFS('Expenditure Breakdown'!$G$6:$G$174, 'Expenditure Breakdown'!$H$6:$H$174, "&gt;="&amp;AES1,'Expenditure Breakdown'!$H$6:$H$174, "&lt;"&amp;AET1)</f>
        <v>0</v>
      </c>
      <c r="AET5" s="112">
        <f>SUMIFS('Expenditure Breakdown'!$G$6:$G$174, 'Expenditure Breakdown'!$H$6:$H$174, "&gt;="&amp;AET1,'Expenditure Breakdown'!$H$6:$H$174, "&lt;"&amp;AEU1)</f>
        <v>0</v>
      </c>
      <c r="AEU5" s="112">
        <f>SUMIFS('Expenditure Breakdown'!$G$6:$G$174, 'Expenditure Breakdown'!$H$6:$H$174, "&gt;="&amp;AEU1,'Expenditure Breakdown'!$H$6:$H$174, "&lt;"&amp;AEV1)</f>
        <v>0</v>
      </c>
      <c r="AEV5" s="112">
        <f>SUMIFS('Expenditure Breakdown'!$G$6:$G$174, 'Expenditure Breakdown'!$H$6:$H$174, "&gt;="&amp;AEV1,'Expenditure Breakdown'!$H$6:$H$174, "&lt;"&amp;AEW1)</f>
        <v>0</v>
      </c>
      <c r="AEW5" s="112">
        <f>SUMIFS('Expenditure Breakdown'!$G$6:$G$174, 'Expenditure Breakdown'!$H$6:$H$174, "&gt;="&amp;AEW1,'Expenditure Breakdown'!$H$6:$H$174, "&lt;"&amp;AEX1)</f>
        <v>0</v>
      </c>
      <c r="AEX5" s="112">
        <f>SUMIFS('Expenditure Breakdown'!$G$6:$G$174, 'Expenditure Breakdown'!$H$6:$H$174, "&gt;="&amp;AEX1,'Expenditure Breakdown'!$H$6:$H$174, "&lt;"&amp;AEY1)</f>
        <v>0</v>
      </c>
      <c r="AEY5" s="112">
        <f>SUMIFS('Expenditure Breakdown'!$G$6:$G$174, 'Expenditure Breakdown'!$H$6:$H$174, "&gt;="&amp;AEY1,'Expenditure Breakdown'!$H$6:$H$174, "&lt;"&amp;AEZ1)</f>
        <v>0</v>
      </c>
      <c r="AEZ5" s="112">
        <f>SUMIFS('Expenditure Breakdown'!$G$6:$G$174, 'Expenditure Breakdown'!$H$6:$H$174, "&gt;="&amp;AEZ1,'Expenditure Breakdown'!$H$6:$H$174, "&lt;"&amp;AFA1)</f>
        <v>0</v>
      </c>
      <c r="AFA5" s="112">
        <f>SUMIFS('Expenditure Breakdown'!$G$6:$G$174, 'Expenditure Breakdown'!$H$6:$H$174, "&gt;="&amp;AFA1,'Expenditure Breakdown'!$H$6:$H$174, "&lt;"&amp;AFB1)</f>
        <v>0</v>
      </c>
      <c r="AFB5" s="112">
        <f>SUMIFS('Expenditure Breakdown'!$G$6:$G$174, 'Expenditure Breakdown'!$H$6:$H$174, "&gt;="&amp;AFB1,'Expenditure Breakdown'!$H$6:$H$174, "&lt;"&amp;AFC1)</f>
        <v>0</v>
      </c>
      <c r="AFC5" s="112">
        <f>SUMIFS('Expenditure Breakdown'!$G$6:$G$174, 'Expenditure Breakdown'!$H$6:$H$174, "&gt;="&amp;AFC1,'Expenditure Breakdown'!$H$6:$H$174, "&lt;"&amp;AFD1)</f>
        <v>0</v>
      </c>
      <c r="AFD5" s="112">
        <f>SUMIFS('Expenditure Breakdown'!$G$6:$G$174, 'Expenditure Breakdown'!$H$6:$H$174, "&gt;="&amp;AFD1,'Expenditure Breakdown'!$H$6:$H$174, "&lt;"&amp;AFE1)</f>
        <v>0</v>
      </c>
      <c r="AFE5" s="112">
        <f>SUMIFS('Expenditure Breakdown'!$G$6:$G$174, 'Expenditure Breakdown'!$H$6:$H$174, "&gt;="&amp;AFE1,'Expenditure Breakdown'!$H$6:$H$174, "&lt;"&amp;AFF1)</f>
        <v>0</v>
      </c>
      <c r="AFF5" s="112">
        <f>SUMIFS('Expenditure Breakdown'!$G$6:$G$174, 'Expenditure Breakdown'!$H$6:$H$174, "&gt;="&amp;AFF1,'Expenditure Breakdown'!$H$6:$H$174, "&lt;"&amp;AFG1)</f>
        <v>0</v>
      </c>
      <c r="AFG5" s="112">
        <f>SUMIFS('Expenditure Breakdown'!$G$6:$G$174, 'Expenditure Breakdown'!$H$6:$H$174, "&gt;="&amp;AFG1,'Expenditure Breakdown'!$H$6:$H$174, "&lt;"&amp;AFH1)</f>
        <v>0</v>
      </c>
      <c r="AFH5" s="112">
        <f>SUMIFS('Expenditure Breakdown'!$G$6:$G$174, 'Expenditure Breakdown'!$H$6:$H$174, "&gt;="&amp;AFH1,'Expenditure Breakdown'!$H$6:$H$174, "&lt;"&amp;AFI1)</f>
        <v>0</v>
      </c>
      <c r="AFI5" s="112">
        <f>SUMIFS('Expenditure Breakdown'!$G$6:$G$174, 'Expenditure Breakdown'!$H$6:$H$174, "&gt;="&amp;AFI1,'Expenditure Breakdown'!$H$6:$H$174, "&lt;"&amp;AFJ1)</f>
        <v>0</v>
      </c>
      <c r="AFJ5" s="112">
        <f>SUMIFS('Expenditure Breakdown'!$G$6:$G$174, 'Expenditure Breakdown'!$H$6:$H$174, "&gt;="&amp;AFJ1,'Expenditure Breakdown'!$H$6:$H$174, "&lt;"&amp;AFK1)</f>
        <v>0</v>
      </c>
      <c r="AFK5" s="112">
        <f>SUMIFS('Expenditure Breakdown'!$G$6:$G$174, 'Expenditure Breakdown'!$H$6:$H$174, "&gt;="&amp;AFK1,'Expenditure Breakdown'!$H$6:$H$174, "&lt;"&amp;AFL1)</f>
        <v>0</v>
      </c>
      <c r="AFL5" s="112">
        <f>SUMIFS('Expenditure Breakdown'!$G$6:$G$174, 'Expenditure Breakdown'!$H$6:$H$174, "&gt;="&amp;AFL1,'Expenditure Breakdown'!$H$6:$H$174, "&lt;"&amp;AFM1)</f>
        <v>0</v>
      </c>
      <c r="AFM5" s="112">
        <f>SUMIFS('Expenditure Breakdown'!$G$6:$G$174, 'Expenditure Breakdown'!$H$6:$H$174, "&gt;="&amp;AFM1,'Expenditure Breakdown'!$H$6:$H$174, "&lt;"&amp;AFN1)</f>
        <v>0</v>
      </c>
      <c r="AFN5" s="112">
        <f>SUMIFS('Expenditure Breakdown'!$G$6:$G$174, 'Expenditure Breakdown'!$H$6:$H$174, "&gt;="&amp;AFN1,'Expenditure Breakdown'!$H$6:$H$174, "&lt;"&amp;AFO1)</f>
        <v>0</v>
      </c>
      <c r="AFO5" s="112">
        <f>SUMIFS('Expenditure Breakdown'!$G$6:$G$174, 'Expenditure Breakdown'!$H$6:$H$174, "&gt;="&amp;AFO1,'Expenditure Breakdown'!$H$6:$H$174, "&lt;"&amp;AFP1)</f>
        <v>0</v>
      </c>
      <c r="AFP5" s="112">
        <f>SUMIFS('Expenditure Breakdown'!$G$6:$G$174, 'Expenditure Breakdown'!$H$6:$H$174, "&gt;="&amp;AFP1,'Expenditure Breakdown'!$H$6:$H$174, "&lt;"&amp;AFQ1)</f>
        <v>0</v>
      </c>
      <c r="AFQ5" s="112">
        <f>SUMIFS('Expenditure Breakdown'!$G$6:$G$174, 'Expenditure Breakdown'!$H$6:$H$174, "&gt;="&amp;AFQ1,'Expenditure Breakdown'!$H$6:$H$174, "&lt;"&amp;AFR1)</f>
        <v>0</v>
      </c>
      <c r="AFR5" s="112">
        <f>SUMIFS('Expenditure Breakdown'!$G$6:$G$174, 'Expenditure Breakdown'!$H$6:$H$174, "&gt;="&amp;AFR1,'Expenditure Breakdown'!$H$6:$H$174, "&lt;"&amp;AFS1)</f>
        <v>0</v>
      </c>
      <c r="AFS5" s="112">
        <f>SUMIFS('Expenditure Breakdown'!$G$6:$G$174, 'Expenditure Breakdown'!$H$6:$H$174, "&gt;="&amp;AFS1,'Expenditure Breakdown'!$H$6:$H$174, "&lt;"&amp;AFT1)</f>
        <v>0</v>
      </c>
      <c r="AFT5" s="112">
        <f>SUMIFS('Expenditure Breakdown'!$G$6:$G$174, 'Expenditure Breakdown'!$H$6:$H$174, "&gt;="&amp;AFT1,'Expenditure Breakdown'!$H$6:$H$174, "&lt;"&amp;AFU1)</f>
        <v>0</v>
      </c>
      <c r="AFU5" s="112">
        <f>SUMIFS('Expenditure Breakdown'!$G$6:$G$174, 'Expenditure Breakdown'!$H$6:$H$174, "&gt;="&amp;AFU1,'Expenditure Breakdown'!$H$6:$H$174, "&lt;"&amp;AFV1)</f>
        <v>0</v>
      </c>
      <c r="AFV5" s="112">
        <f>SUMIFS('Expenditure Breakdown'!$G$6:$G$174, 'Expenditure Breakdown'!$H$6:$H$174, "&gt;="&amp;AFV1,'Expenditure Breakdown'!$H$6:$H$174, "&lt;"&amp;AFW1)</f>
        <v>0</v>
      </c>
      <c r="AFW5" s="112">
        <f>SUMIFS('Expenditure Breakdown'!$G$6:$G$174, 'Expenditure Breakdown'!$H$6:$H$174, "&gt;="&amp;AFW1,'Expenditure Breakdown'!$H$6:$H$174, "&lt;"&amp;AFX1)</f>
        <v>0</v>
      </c>
      <c r="AFX5" s="112">
        <f>SUMIFS('Expenditure Breakdown'!$G$6:$G$174, 'Expenditure Breakdown'!$H$6:$H$174, "&gt;="&amp;AFX1,'Expenditure Breakdown'!$H$6:$H$174, "&lt;"&amp;AFY1)</f>
        <v>0</v>
      </c>
      <c r="AFY5" s="112">
        <f>SUMIFS('Expenditure Breakdown'!$G$6:$G$174, 'Expenditure Breakdown'!$H$6:$H$174, "&gt;="&amp;AFY1,'Expenditure Breakdown'!$H$6:$H$174, "&lt;"&amp;AFZ1)</f>
        <v>0</v>
      </c>
      <c r="AFZ5" s="112">
        <f>SUMIFS('Expenditure Breakdown'!$G$6:$G$174, 'Expenditure Breakdown'!$H$6:$H$174, "&gt;="&amp;AFZ1,'Expenditure Breakdown'!$H$6:$H$174, "&lt;"&amp;AGA1)</f>
        <v>0</v>
      </c>
      <c r="AGA5" s="112">
        <f>SUMIFS('Expenditure Breakdown'!$G$6:$G$174, 'Expenditure Breakdown'!$H$6:$H$174, "&gt;="&amp;AGA1,'Expenditure Breakdown'!$H$6:$H$174, "&lt;"&amp;AGB1)</f>
        <v>0</v>
      </c>
      <c r="AGB5" s="112">
        <f>SUMIFS('Expenditure Breakdown'!$G$6:$G$174, 'Expenditure Breakdown'!$H$6:$H$174, "&gt;="&amp;AGB1,'Expenditure Breakdown'!$H$6:$H$174, "&lt;"&amp;AGC1)</f>
        <v>0</v>
      </c>
      <c r="AGC5" s="112">
        <f>SUMIFS('Expenditure Breakdown'!$G$6:$G$174, 'Expenditure Breakdown'!$H$6:$H$174, "&gt;="&amp;AGC1,'Expenditure Breakdown'!$H$6:$H$174, "&lt;"&amp;AGD1)</f>
        <v>0</v>
      </c>
      <c r="AGD5" s="112">
        <f>SUMIFS('Expenditure Breakdown'!$G$6:$G$174, 'Expenditure Breakdown'!$H$6:$H$174, "&gt;="&amp;AGD1,'Expenditure Breakdown'!$H$6:$H$174, "&lt;"&amp;AGE1)</f>
        <v>0</v>
      </c>
      <c r="AGE5" s="112">
        <f>SUMIFS('Expenditure Breakdown'!$G$6:$G$174, 'Expenditure Breakdown'!$H$6:$H$174, "&gt;="&amp;AGE1,'Expenditure Breakdown'!$H$6:$H$174, "&lt;"&amp;AGF1)</f>
        <v>0</v>
      </c>
      <c r="AGF5" s="112">
        <f>SUMIFS('Expenditure Breakdown'!$G$6:$G$174, 'Expenditure Breakdown'!$H$6:$H$174, "&gt;="&amp;AGF1,'Expenditure Breakdown'!$H$6:$H$174, "&lt;"&amp;AGG1)</f>
        <v>0</v>
      </c>
      <c r="AGG5" s="112">
        <f>SUMIFS('Expenditure Breakdown'!$G$6:$G$174, 'Expenditure Breakdown'!$H$6:$H$174, "&gt;="&amp;AGG1,'Expenditure Breakdown'!$H$6:$H$174, "&lt;"&amp;AGH1)</f>
        <v>0</v>
      </c>
      <c r="AGH5" s="112">
        <f>SUMIFS('Expenditure Breakdown'!$G$6:$G$174, 'Expenditure Breakdown'!$H$6:$H$174, "&gt;="&amp;AGH1,'Expenditure Breakdown'!$H$6:$H$174, "&lt;"&amp;AGI1)</f>
        <v>0</v>
      </c>
      <c r="AGI5" s="112">
        <f>SUMIFS('Expenditure Breakdown'!$G$6:$G$174, 'Expenditure Breakdown'!$H$6:$H$174, "&gt;="&amp;AGI1,'Expenditure Breakdown'!$H$6:$H$174, "&lt;"&amp;AGJ1)</f>
        <v>0</v>
      </c>
      <c r="AGJ5" s="112">
        <f>SUMIFS('Expenditure Breakdown'!$G$6:$G$174, 'Expenditure Breakdown'!$H$6:$H$174, "&gt;="&amp;AGJ1,'Expenditure Breakdown'!$H$6:$H$174, "&lt;"&amp;AGK1)</f>
        <v>0</v>
      </c>
      <c r="AGK5" s="112">
        <f>SUMIFS('Expenditure Breakdown'!$G$6:$G$174, 'Expenditure Breakdown'!$H$6:$H$174, "&gt;="&amp;AGK1,'Expenditure Breakdown'!$H$6:$H$174, "&lt;"&amp;AGL1)</f>
        <v>0</v>
      </c>
      <c r="AGL5" s="112">
        <f>SUMIFS('Expenditure Breakdown'!$G$6:$G$174, 'Expenditure Breakdown'!$H$6:$H$174, "&gt;="&amp;AGL1,'Expenditure Breakdown'!$H$6:$H$174, "&lt;"&amp;AGM1)</f>
        <v>0</v>
      </c>
      <c r="AGM5" s="112">
        <f>SUMIFS('Expenditure Breakdown'!$G$6:$G$174, 'Expenditure Breakdown'!$H$6:$H$174, "&gt;="&amp;AGM1,'Expenditure Breakdown'!$H$6:$H$174, "&lt;"&amp;AGN1)</f>
        <v>0</v>
      </c>
      <c r="AGN5" s="112">
        <f>SUMIFS('Expenditure Breakdown'!$G$6:$G$174, 'Expenditure Breakdown'!$H$6:$H$174, "&gt;="&amp;AGN1,'Expenditure Breakdown'!$H$6:$H$174, "&lt;"&amp;AGO1)</f>
        <v>0</v>
      </c>
      <c r="AGO5" s="112">
        <f>SUMIFS('Expenditure Breakdown'!$G$6:$G$174, 'Expenditure Breakdown'!$H$6:$H$174, "&gt;="&amp;AGO1,'Expenditure Breakdown'!$H$6:$H$174, "&lt;"&amp;AGP1)</f>
        <v>0</v>
      </c>
      <c r="AGP5" s="112">
        <f>SUMIFS('Expenditure Breakdown'!$G$6:$G$174, 'Expenditure Breakdown'!$H$6:$H$174, "&gt;="&amp;AGP1,'Expenditure Breakdown'!$H$6:$H$174, "&lt;"&amp;AGQ1)</f>
        <v>0</v>
      </c>
      <c r="AGQ5" s="112">
        <f>SUMIFS('Expenditure Breakdown'!$G$6:$G$174, 'Expenditure Breakdown'!$H$6:$H$174, "&gt;="&amp;AGQ1,'Expenditure Breakdown'!$H$6:$H$174, "&lt;"&amp;AGR1)</f>
        <v>0</v>
      </c>
      <c r="AGR5" s="112">
        <f>SUMIFS('Expenditure Breakdown'!$G$6:$G$174, 'Expenditure Breakdown'!$H$6:$H$174, "&gt;="&amp;AGR1,'Expenditure Breakdown'!$H$6:$H$174, "&lt;"&amp;AGS1)</f>
        <v>0</v>
      </c>
      <c r="AGS5" s="112">
        <f>SUMIFS('Expenditure Breakdown'!$G$6:$G$174, 'Expenditure Breakdown'!$H$6:$H$174, "&gt;="&amp;AGS1,'Expenditure Breakdown'!$H$6:$H$174, "&lt;"&amp;AGT1)</f>
        <v>0</v>
      </c>
      <c r="AGT5" s="112">
        <f>SUMIFS('Expenditure Breakdown'!$G$6:$G$174, 'Expenditure Breakdown'!$H$6:$H$174, "&gt;="&amp;AGT1,'Expenditure Breakdown'!$H$6:$H$174, "&lt;"&amp;AGU1)</f>
        <v>0</v>
      </c>
      <c r="AGU5" s="112">
        <f>SUMIFS('Expenditure Breakdown'!$G$6:$G$174, 'Expenditure Breakdown'!$H$6:$H$174, "&gt;="&amp;AGU1,'Expenditure Breakdown'!$H$6:$H$174, "&lt;"&amp;AGV1)</f>
        <v>0</v>
      </c>
      <c r="AGV5" s="112">
        <f>SUMIFS('Expenditure Breakdown'!$G$6:$G$174, 'Expenditure Breakdown'!$H$6:$H$174, "&gt;="&amp;AGV1,'Expenditure Breakdown'!$H$6:$H$174, "&lt;"&amp;AGW1)</f>
        <v>0</v>
      </c>
      <c r="AGW5" s="112">
        <f>SUMIFS('Expenditure Breakdown'!$G$6:$G$174, 'Expenditure Breakdown'!$H$6:$H$174, "&gt;="&amp;AGW1,'Expenditure Breakdown'!$H$6:$H$174, "&lt;"&amp;AGX1)</f>
        <v>0</v>
      </c>
      <c r="AGX5" s="112">
        <f>SUMIFS('Expenditure Breakdown'!$G$6:$G$174, 'Expenditure Breakdown'!$H$6:$H$174, "&gt;="&amp;AGX1,'Expenditure Breakdown'!$H$6:$H$174, "&lt;"&amp;AGY1)</f>
        <v>0</v>
      </c>
      <c r="AGY5" s="112">
        <f>SUMIFS('Expenditure Breakdown'!$G$6:$G$174, 'Expenditure Breakdown'!$H$6:$H$174, "&gt;="&amp;AGY1,'Expenditure Breakdown'!$H$6:$H$174, "&lt;"&amp;AGZ1)</f>
        <v>0</v>
      </c>
      <c r="AGZ5" s="112">
        <f>SUMIFS('Expenditure Breakdown'!$G$6:$G$174, 'Expenditure Breakdown'!$H$6:$H$174, "&gt;="&amp;AGZ1,'Expenditure Breakdown'!$H$6:$H$174, "&lt;"&amp;AHA1)</f>
        <v>0</v>
      </c>
      <c r="AHA5" s="112">
        <f>SUMIFS('Expenditure Breakdown'!$G$6:$G$174, 'Expenditure Breakdown'!$H$6:$H$174, "&gt;="&amp;AHA1,'Expenditure Breakdown'!$H$6:$H$174, "&lt;"&amp;AHB1)</f>
        <v>0</v>
      </c>
      <c r="AHB5" s="112">
        <f>SUMIFS('Expenditure Breakdown'!$G$6:$G$174, 'Expenditure Breakdown'!$H$6:$H$174, "&gt;="&amp;AHB1,'Expenditure Breakdown'!$H$6:$H$174, "&lt;"&amp;AHC1)</f>
        <v>0</v>
      </c>
      <c r="AHC5" s="112">
        <f>SUMIFS('Expenditure Breakdown'!$G$6:$G$174, 'Expenditure Breakdown'!$H$6:$H$174, "&gt;="&amp;AHC1,'Expenditure Breakdown'!$H$6:$H$174, "&lt;"&amp;AHD1)</f>
        <v>0</v>
      </c>
      <c r="AHD5" s="112">
        <f>SUMIFS('Expenditure Breakdown'!$G$6:$G$174, 'Expenditure Breakdown'!$H$6:$H$174, "&gt;="&amp;AHD1,'Expenditure Breakdown'!$H$6:$H$174, "&lt;"&amp;AHE1)</f>
        <v>0</v>
      </c>
      <c r="AHE5" s="112">
        <f>SUMIFS('Expenditure Breakdown'!$G$6:$G$174, 'Expenditure Breakdown'!$H$6:$H$174, "&gt;="&amp;AHE1,'Expenditure Breakdown'!$H$6:$H$174, "&lt;"&amp;AHF1)</f>
        <v>0</v>
      </c>
      <c r="AHF5" s="112">
        <f>SUMIFS('Expenditure Breakdown'!$G$6:$G$174, 'Expenditure Breakdown'!$H$6:$H$174, "&gt;="&amp;AHF1,'Expenditure Breakdown'!$H$6:$H$174, "&lt;"&amp;AHG1)</f>
        <v>0</v>
      </c>
      <c r="AHG5" s="112">
        <f>SUMIFS('Expenditure Breakdown'!$G$6:$G$174, 'Expenditure Breakdown'!$H$6:$H$174, "&gt;="&amp;AHG1,'Expenditure Breakdown'!$H$6:$H$174, "&lt;"&amp;AHH1)</f>
        <v>0</v>
      </c>
      <c r="AHH5" s="112">
        <f>SUMIFS('Expenditure Breakdown'!$G$6:$G$174, 'Expenditure Breakdown'!$H$6:$H$174, "&gt;="&amp;AHH1,'Expenditure Breakdown'!$H$6:$H$174, "&lt;"&amp;AHI1)</f>
        <v>0</v>
      </c>
      <c r="AHI5" s="112">
        <f>SUMIFS('Expenditure Breakdown'!$G$6:$G$174, 'Expenditure Breakdown'!$H$6:$H$174, "&gt;="&amp;AHI1,'Expenditure Breakdown'!$H$6:$H$174, "&lt;"&amp;AHJ1)</f>
        <v>0</v>
      </c>
      <c r="AHJ5" s="112">
        <f>SUMIFS('Expenditure Breakdown'!$G$6:$G$174, 'Expenditure Breakdown'!$H$6:$H$174, "&gt;="&amp;AHJ1,'Expenditure Breakdown'!$H$6:$H$174, "&lt;"&amp;AHK1)</f>
        <v>0</v>
      </c>
      <c r="AHK5" s="112">
        <f>SUMIFS('Expenditure Breakdown'!$G$6:$G$174, 'Expenditure Breakdown'!$H$6:$H$174, "&gt;="&amp;AHK1,'Expenditure Breakdown'!$H$6:$H$174, "&lt;"&amp;AHL1)</f>
        <v>0</v>
      </c>
      <c r="AHL5" s="112">
        <f>SUMIFS('Expenditure Breakdown'!$G$6:$G$174, 'Expenditure Breakdown'!$H$6:$H$174, "&gt;="&amp;AHL1,'Expenditure Breakdown'!$H$6:$H$174, "&lt;"&amp;AHM1)</f>
        <v>0</v>
      </c>
      <c r="AHM5" s="112">
        <f>SUMIFS('Expenditure Breakdown'!$G$6:$G$174, 'Expenditure Breakdown'!$H$6:$H$174, "&gt;="&amp;AHM1,'Expenditure Breakdown'!$H$6:$H$174, "&lt;"&amp;AHN1)</f>
        <v>0</v>
      </c>
      <c r="AHN5" s="112">
        <f>SUMIFS('Expenditure Breakdown'!$G$6:$G$174, 'Expenditure Breakdown'!$H$6:$H$174, "&gt;="&amp;AHN1,'Expenditure Breakdown'!$H$6:$H$174, "&lt;"&amp;AHO1)</f>
        <v>0</v>
      </c>
      <c r="AHO5" s="112">
        <f>SUMIFS('Expenditure Breakdown'!$G$6:$G$174, 'Expenditure Breakdown'!$H$6:$H$174, "&gt;="&amp;AHO1,'Expenditure Breakdown'!$H$6:$H$174, "&lt;"&amp;AHP1)</f>
        <v>0</v>
      </c>
      <c r="AHP5" s="112">
        <f>SUMIFS('Expenditure Breakdown'!$G$6:$G$174, 'Expenditure Breakdown'!$H$6:$H$174, "&gt;="&amp;AHP1,'Expenditure Breakdown'!$H$6:$H$174, "&lt;"&amp;AHQ1)</f>
        <v>0</v>
      </c>
      <c r="AHQ5" s="112">
        <f>SUMIFS('Expenditure Breakdown'!$G$6:$G$174, 'Expenditure Breakdown'!$H$6:$H$174, "&gt;="&amp;AHQ1,'Expenditure Breakdown'!$H$6:$H$174, "&lt;"&amp;AHR1)</f>
        <v>0</v>
      </c>
      <c r="AHR5" s="112">
        <f>SUMIFS('Expenditure Breakdown'!$G$6:$G$174, 'Expenditure Breakdown'!$H$6:$H$174, "&gt;="&amp;AHR1,'Expenditure Breakdown'!$H$6:$H$174, "&lt;"&amp;AHS1)</f>
        <v>0</v>
      </c>
      <c r="AHS5" s="112">
        <f>SUMIFS('Expenditure Breakdown'!$G$6:$G$174, 'Expenditure Breakdown'!$H$6:$H$174, "&gt;="&amp;AHS1,'Expenditure Breakdown'!$H$6:$H$174, "&lt;"&amp;AHT1)</f>
        <v>0</v>
      </c>
      <c r="AHT5" s="112">
        <f>SUMIFS('Expenditure Breakdown'!$G$6:$G$174, 'Expenditure Breakdown'!$H$6:$H$174, "&gt;="&amp;AHT1,'Expenditure Breakdown'!$H$6:$H$174, "&lt;"&amp;AHU1)</f>
        <v>0</v>
      </c>
      <c r="AHU5" s="112">
        <f>SUMIFS('Expenditure Breakdown'!$G$6:$G$174, 'Expenditure Breakdown'!$H$6:$H$174, "&gt;="&amp;AHU1,'Expenditure Breakdown'!$H$6:$H$174, "&lt;"&amp;AHV1)</f>
        <v>0</v>
      </c>
      <c r="AHV5" s="112">
        <f>SUMIFS('Expenditure Breakdown'!$G$6:$G$174, 'Expenditure Breakdown'!$H$6:$H$174, "&gt;="&amp;AHV1,'Expenditure Breakdown'!$H$6:$H$174, "&lt;"&amp;AHW1)</f>
        <v>0</v>
      </c>
      <c r="AHW5" s="112">
        <f>SUMIFS('Expenditure Breakdown'!$G$6:$G$174, 'Expenditure Breakdown'!$H$6:$H$174, "&gt;="&amp;AHW1,'Expenditure Breakdown'!$H$6:$H$174, "&lt;"&amp;AHX1)</f>
        <v>0</v>
      </c>
      <c r="AHX5" s="112">
        <f>SUMIFS('Expenditure Breakdown'!$G$6:$G$174, 'Expenditure Breakdown'!$H$6:$H$174, "&gt;="&amp;AHX1,'Expenditure Breakdown'!$H$6:$H$174, "&lt;"&amp;AHY1)</f>
        <v>0</v>
      </c>
      <c r="AHY5" s="112">
        <f>SUMIFS('Expenditure Breakdown'!$G$6:$G$174, 'Expenditure Breakdown'!$H$6:$H$174, "&gt;="&amp;AHY1,'Expenditure Breakdown'!$H$6:$H$174, "&lt;"&amp;AHZ1)</f>
        <v>0</v>
      </c>
      <c r="AHZ5" s="112">
        <f>SUMIFS('Expenditure Breakdown'!$G$6:$G$174, 'Expenditure Breakdown'!$H$6:$H$174, "&gt;="&amp;AHZ1,'Expenditure Breakdown'!$H$6:$H$174, "&lt;"&amp;AIA1)</f>
        <v>0</v>
      </c>
      <c r="AIA5" s="112">
        <f>SUMIFS('Expenditure Breakdown'!$G$6:$G$174, 'Expenditure Breakdown'!$H$6:$H$174, "&gt;="&amp;AIA1,'Expenditure Breakdown'!$H$6:$H$174, "&lt;"&amp;AIB1)</f>
        <v>0</v>
      </c>
      <c r="AIB5" s="112">
        <f>SUMIFS('Expenditure Breakdown'!$G$6:$G$174, 'Expenditure Breakdown'!$H$6:$H$174, "&gt;="&amp;AIB1,'Expenditure Breakdown'!$H$6:$H$174, "&lt;"&amp;AIC1)</f>
        <v>0</v>
      </c>
      <c r="AIC5" s="112">
        <f>SUMIFS('Expenditure Breakdown'!$G$6:$G$174, 'Expenditure Breakdown'!$H$6:$H$174, "&gt;="&amp;AIC1,'Expenditure Breakdown'!$H$6:$H$174, "&lt;"&amp;AID1)</f>
        <v>0</v>
      </c>
      <c r="AID5" s="112">
        <f>SUMIFS('Expenditure Breakdown'!$G$6:$G$174, 'Expenditure Breakdown'!$H$6:$H$174, "&gt;="&amp;AID1,'Expenditure Breakdown'!$H$6:$H$174, "&lt;"&amp;AIE1)</f>
        <v>0</v>
      </c>
      <c r="AIE5" s="112">
        <f>SUMIFS('Expenditure Breakdown'!$G$6:$G$174, 'Expenditure Breakdown'!$H$6:$H$174, "&gt;="&amp;AIE1,'Expenditure Breakdown'!$H$6:$H$174, "&lt;"&amp;AIF1)</f>
        <v>0</v>
      </c>
      <c r="AIF5" s="112">
        <f>SUMIFS('Expenditure Breakdown'!$G$6:$G$174, 'Expenditure Breakdown'!$H$6:$H$174, "&gt;="&amp;AIF1,'Expenditure Breakdown'!$H$6:$H$174, "&lt;"&amp;AIG1)</f>
        <v>0</v>
      </c>
      <c r="AIG5" s="112">
        <f>SUMIFS('Expenditure Breakdown'!$G$6:$G$174, 'Expenditure Breakdown'!$H$6:$H$174, "&gt;="&amp;AIG1,'Expenditure Breakdown'!$H$6:$H$174, "&lt;"&amp;AIH1)</f>
        <v>0</v>
      </c>
      <c r="AIH5" s="112">
        <f>SUMIFS('Expenditure Breakdown'!$G$6:$G$174, 'Expenditure Breakdown'!$H$6:$H$174, "&gt;="&amp;AIH1,'Expenditure Breakdown'!$H$6:$H$174, "&lt;"&amp;AII1)</f>
        <v>0</v>
      </c>
      <c r="AII5" s="112">
        <f>SUMIFS('Expenditure Breakdown'!$G$6:$G$174, 'Expenditure Breakdown'!$H$6:$H$174, "&gt;="&amp;AII1,'Expenditure Breakdown'!$H$6:$H$174, "&lt;"&amp;AIJ1)</f>
        <v>0</v>
      </c>
      <c r="AIJ5" s="112">
        <f>SUMIFS('Expenditure Breakdown'!$G$6:$G$174, 'Expenditure Breakdown'!$H$6:$H$174, "&gt;="&amp;AIJ1,'Expenditure Breakdown'!$H$6:$H$174, "&lt;"&amp;AIK1)</f>
        <v>0</v>
      </c>
      <c r="AIK5" s="112">
        <f>SUMIFS('Expenditure Breakdown'!$G$6:$G$174, 'Expenditure Breakdown'!$H$6:$H$174, "&gt;="&amp;AIK1,'Expenditure Breakdown'!$H$6:$H$174, "&lt;"&amp;AIL1)</f>
        <v>0</v>
      </c>
      <c r="AIL5" s="112">
        <f>SUMIFS('Expenditure Breakdown'!$G$6:$G$174, 'Expenditure Breakdown'!$H$6:$H$174, "&gt;="&amp;AIL1,'Expenditure Breakdown'!$H$6:$H$174, "&lt;"&amp;AIM1)</f>
        <v>0</v>
      </c>
      <c r="AIM5" s="112">
        <f>SUMIFS('Expenditure Breakdown'!$G$6:$G$174, 'Expenditure Breakdown'!$H$6:$H$174, "&gt;="&amp;AIM1,'Expenditure Breakdown'!$H$6:$H$174, "&lt;"&amp;AIN1)</f>
        <v>0</v>
      </c>
      <c r="AIN5" s="112">
        <f>SUMIFS('Expenditure Breakdown'!$G$6:$G$174, 'Expenditure Breakdown'!$H$6:$H$174, "&gt;="&amp;AIN1,'Expenditure Breakdown'!$H$6:$H$174, "&lt;"&amp;AIO1)</f>
        <v>0</v>
      </c>
      <c r="AIO5" s="112">
        <f>SUMIFS('Expenditure Breakdown'!$G$6:$G$174, 'Expenditure Breakdown'!$H$6:$H$174, "&gt;="&amp;AIO1,'Expenditure Breakdown'!$H$6:$H$174, "&lt;"&amp;AIP1)</f>
        <v>0</v>
      </c>
      <c r="AIP5" s="112">
        <f>SUMIFS('Expenditure Breakdown'!$G$6:$G$174, 'Expenditure Breakdown'!$H$6:$H$174, "&gt;="&amp;AIP1,'Expenditure Breakdown'!$H$6:$H$174, "&lt;"&amp;AIQ1)</f>
        <v>0</v>
      </c>
      <c r="AIQ5" s="112">
        <f>SUMIFS('Expenditure Breakdown'!$G$6:$G$174, 'Expenditure Breakdown'!$H$6:$H$174, "&gt;="&amp;AIQ1,'Expenditure Breakdown'!$H$6:$H$174, "&lt;"&amp;AIR1)</f>
        <v>0</v>
      </c>
      <c r="AIR5" s="112">
        <f>SUMIFS('Expenditure Breakdown'!$G$6:$G$174, 'Expenditure Breakdown'!$H$6:$H$174, "&gt;="&amp;AIR1,'Expenditure Breakdown'!$H$6:$H$174, "&lt;"&amp;AIS1)</f>
        <v>0</v>
      </c>
      <c r="AIS5" s="112">
        <f>SUMIFS('Expenditure Breakdown'!$G$6:$G$174, 'Expenditure Breakdown'!$H$6:$H$174, "&gt;="&amp;AIS1,'Expenditure Breakdown'!$H$6:$H$174, "&lt;"&amp;AIT1)</f>
        <v>0</v>
      </c>
      <c r="AIT5" s="112">
        <f>SUMIFS('Expenditure Breakdown'!$G$6:$G$174, 'Expenditure Breakdown'!$H$6:$H$174, "&gt;="&amp;AIT1,'Expenditure Breakdown'!$H$6:$H$174, "&lt;"&amp;AIU1)</f>
        <v>0</v>
      </c>
      <c r="AIU5" s="112">
        <f>SUMIFS('Expenditure Breakdown'!$G$6:$G$174, 'Expenditure Breakdown'!$H$6:$H$174, "&gt;="&amp;AIU1,'Expenditure Breakdown'!$H$6:$H$174, "&lt;"&amp;AIV1)</f>
        <v>0</v>
      </c>
      <c r="AIV5" s="112">
        <f>SUMIFS('Expenditure Breakdown'!$G$6:$G$174, 'Expenditure Breakdown'!$H$6:$H$174, "&gt;="&amp;AIV1,'Expenditure Breakdown'!$H$6:$H$174, "&lt;"&amp;AIW1)</f>
        <v>0</v>
      </c>
      <c r="AIW5" s="112">
        <f>SUMIFS('Expenditure Breakdown'!$G$6:$G$174, 'Expenditure Breakdown'!$H$6:$H$174, "&gt;="&amp;AIW1,'Expenditure Breakdown'!$H$6:$H$174, "&lt;"&amp;AIX1)</f>
        <v>0</v>
      </c>
      <c r="AIX5" s="112">
        <f>SUMIFS('Expenditure Breakdown'!$G$6:$G$174, 'Expenditure Breakdown'!$H$6:$H$174, "&gt;="&amp;AIX1,'Expenditure Breakdown'!$H$6:$H$174, "&lt;"&amp;AIY1)</f>
        <v>0</v>
      </c>
      <c r="AIY5" s="112">
        <f>SUMIFS('Expenditure Breakdown'!$G$6:$G$174, 'Expenditure Breakdown'!$H$6:$H$174, "&gt;="&amp;AIY1,'Expenditure Breakdown'!$H$6:$H$174, "&lt;"&amp;AIZ1)</f>
        <v>0</v>
      </c>
      <c r="AIZ5" s="112">
        <f>SUMIFS('Expenditure Breakdown'!$G$6:$G$174, 'Expenditure Breakdown'!$H$6:$H$174, "&gt;="&amp;AIZ1,'Expenditure Breakdown'!$H$6:$H$174, "&lt;"&amp;AJA1)</f>
        <v>0</v>
      </c>
      <c r="AJA5" s="112">
        <f>SUMIFS('Expenditure Breakdown'!$G$6:$G$174, 'Expenditure Breakdown'!$H$6:$H$174, "&gt;="&amp;AJA1,'Expenditure Breakdown'!$H$6:$H$174, "&lt;"&amp;AJB1)</f>
        <v>0</v>
      </c>
      <c r="AJB5" s="112">
        <f>SUMIFS('Expenditure Breakdown'!$G$6:$G$174, 'Expenditure Breakdown'!$H$6:$H$174, "&gt;="&amp;AJB1,'Expenditure Breakdown'!$H$6:$H$174, "&lt;"&amp;AJC1)</f>
        <v>0</v>
      </c>
      <c r="AJC5" s="112">
        <f>SUMIFS('Expenditure Breakdown'!$G$6:$G$174, 'Expenditure Breakdown'!$H$6:$H$174, "&gt;="&amp;AJC1,'Expenditure Breakdown'!$H$6:$H$174, "&lt;"&amp;AJD1)</f>
        <v>0</v>
      </c>
      <c r="AJD5" s="112">
        <f>SUMIFS('Expenditure Breakdown'!$G$6:$G$174, 'Expenditure Breakdown'!$H$6:$H$174, "&gt;="&amp;AJD1,'Expenditure Breakdown'!$H$6:$H$174, "&lt;"&amp;AJE1)</f>
        <v>0</v>
      </c>
      <c r="AJE5" s="112">
        <f>SUMIFS('Expenditure Breakdown'!$G$6:$G$174, 'Expenditure Breakdown'!$H$6:$H$174, "&gt;="&amp;AJE1,'Expenditure Breakdown'!$H$6:$H$174, "&lt;"&amp;AJF1)</f>
        <v>0</v>
      </c>
      <c r="AJF5" s="112">
        <f>SUMIFS('Expenditure Breakdown'!$G$6:$G$174, 'Expenditure Breakdown'!$H$6:$H$174, "&gt;="&amp;AJF1,'Expenditure Breakdown'!$H$6:$H$174, "&lt;"&amp;AJG1)</f>
        <v>0</v>
      </c>
      <c r="AJG5" s="112">
        <f>SUMIFS('Expenditure Breakdown'!$G$6:$G$174, 'Expenditure Breakdown'!$H$6:$H$174, "&gt;="&amp;AJG1,'Expenditure Breakdown'!$H$6:$H$174, "&lt;"&amp;AJH1)</f>
        <v>0</v>
      </c>
      <c r="AJH5" s="112">
        <f>SUMIFS('Expenditure Breakdown'!$G$6:$G$174, 'Expenditure Breakdown'!$H$6:$H$174, "&gt;="&amp;AJH1,'Expenditure Breakdown'!$H$6:$H$174, "&lt;"&amp;AJI1)</f>
        <v>0</v>
      </c>
      <c r="AJI5" s="112">
        <f>SUMIFS('Expenditure Breakdown'!$G$6:$G$174, 'Expenditure Breakdown'!$H$6:$H$174, "&gt;="&amp;AJI1,'Expenditure Breakdown'!$H$6:$H$174, "&lt;"&amp;AJJ1)</f>
        <v>0</v>
      </c>
      <c r="AJJ5" s="112">
        <f>SUMIFS('Expenditure Breakdown'!$G$6:$G$174, 'Expenditure Breakdown'!$H$6:$H$174, "&gt;="&amp;AJJ1,'Expenditure Breakdown'!$H$6:$H$174, "&lt;"&amp;AJK1)</f>
        <v>0</v>
      </c>
      <c r="AJK5" s="112">
        <f>SUMIFS('Expenditure Breakdown'!$G$6:$G$174, 'Expenditure Breakdown'!$H$6:$H$174, "&gt;="&amp;AJK1,'Expenditure Breakdown'!$H$6:$H$174, "&lt;"&amp;AJL1)</f>
        <v>0</v>
      </c>
      <c r="AJL5" s="112">
        <f>SUMIFS('Expenditure Breakdown'!$G$6:$G$174, 'Expenditure Breakdown'!$H$6:$H$174, "&gt;="&amp;AJL1,'Expenditure Breakdown'!$H$6:$H$174, "&lt;"&amp;AJM1)</f>
        <v>0</v>
      </c>
      <c r="AJM5" s="112">
        <f>SUMIFS('Expenditure Breakdown'!$G$6:$G$174, 'Expenditure Breakdown'!$H$6:$H$174, "&gt;="&amp;AJM1,'Expenditure Breakdown'!$H$6:$H$174, "&lt;"&amp;AJN1)</f>
        <v>0</v>
      </c>
      <c r="AJN5" s="112">
        <f>SUMIFS('Expenditure Breakdown'!$G$6:$G$174, 'Expenditure Breakdown'!$H$6:$H$174, "&gt;="&amp;AJN1,'Expenditure Breakdown'!$H$6:$H$174, "&lt;"&amp;AJO1)</f>
        <v>0</v>
      </c>
      <c r="AJO5" s="112">
        <f>SUMIFS('Expenditure Breakdown'!$G$6:$G$174, 'Expenditure Breakdown'!$H$6:$H$174, "&gt;="&amp;AJO1,'Expenditure Breakdown'!$H$6:$H$174, "&lt;"&amp;AJP1)</f>
        <v>0</v>
      </c>
      <c r="AJP5" s="112">
        <f>SUMIFS('Expenditure Breakdown'!$G$6:$G$174, 'Expenditure Breakdown'!$H$6:$H$174, "&gt;="&amp;AJP1,'Expenditure Breakdown'!$H$6:$H$174, "&lt;"&amp;AJQ1)</f>
        <v>0</v>
      </c>
      <c r="AJQ5" s="112">
        <f>SUMIFS('Expenditure Breakdown'!$G$6:$G$174, 'Expenditure Breakdown'!$H$6:$H$174, "&gt;="&amp;AJQ1,'Expenditure Breakdown'!$H$6:$H$174, "&lt;"&amp;AJR1)</f>
        <v>0</v>
      </c>
      <c r="AJR5" s="112">
        <f>SUMIFS('Expenditure Breakdown'!$G$6:$G$174, 'Expenditure Breakdown'!$H$6:$H$174, "&gt;="&amp;AJR1,'Expenditure Breakdown'!$H$6:$H$174, "&lt;"&amp;AJS1)</f>
        <v>0</v>
      </c>
      <c r="AJS5" s="112">
        <f>SUMIFS('Expenditure Breakdown'!$G$6:$G$174, 'Expenditure Breakdown'!$H$6:$H$174, "&gt;="&amp;AJS1,'Expenditure Breakdown'!$H$6:$H$174, "&lt;"&amp;AJT1)</f>
        <v>0</v>
      </c>
      <c r="AJT5" s="112">
        <f>SUMIFS('Expenditure Breakdown'!$G$6:$G$174, 'Expenditure Breakdown'!$H$6:$H$174, "&gt;="&amp;AJT1,'Expenditure Breakdown'!$H$6:$H$174, "&lt;"&amp;AJU1)</f>
        <v>0</v>
      </c>
      <c r="AJU5" s="112">
        <f>SUMIFS('Expenditure Breakdown'!$G$6:$G$174, 'Expenditure Breakdown'!$H$6:$H$174, "&gt;="&amp;AJU1,'Expenditure Breakdown'!$H$6:$H$174, "&lt;"&amp;AJV1)</f>
        <v>0</v>
      </c>
      <c r="AJV5" s="112">
        <f>SUMIFS('Expenditure Breakdown'!$G$6:$G$174, 'Expenditure Breakdown'!$H$6:$H$174, "&gt;="&amp;AJV1,'Expenditure Breakdown'!$H$6:$H$174, "&lt;"&amp;AJW1)</f>
        <v>0</v>
      </c>
      <c r="AJW5" s="112">
        <f>SUMIFS('Expenditure Breakdown'!$G$6:$G$174, 'Expenditure Breakdown'!$H$6:$H$174, "&gt;="&amp;AJW1,'Expenditure Breakdown'!$H$6:$H$174, "&lt;"&amp;AJX1)</f>
        <v>0</v>
      </c>
      <c r="AJX5" s="112">
        <f>SUMIFS('Expenditure Breakdown'!$G$6:$G$174, 'Expenditure Breakdown'!$H$6:$H$174, "&gt;="&amp;AJX1,'Expenditure Breakdown'!$H$6:$H$174, "&lt;"&amp;AJY1)</f>
        <v>0</v>
      </c>
      <c r="AJY5" s="112">
        <f>SUMIFS('Expenditure Breakdown'!$G$6:$G$174, 'Expenditure Breakdown'!$H$6:$H$174, "&gt;="&amp;AJY1,'Expenditure Breakdown'!$H$6:$H$174, "&lt;"&amp;AJZ1)</f>
        <v>0</v>
      </c>
      <c r="AJZ5" s="112">
        <f>SUMIFS('Expenditure Breakdown'!$G$6:$G$174, 'Expenditure Breakdown'!$H$6:$H$174, "&gt;="&amp;AJZ1,'Expenditure Breakdown'!$H$6:$H$174, "&lt;"&amp;AKA1)</f>
        <v>0</v>
      </c>
      <c r="AKA5" s="112">
        <f>SUMIFS('Expenditure Breakdown'!$G$6:$G$174, 'Expenditure Breakdown'!$H$6:$H$174, "&gt;="&amp;AKA1,'Expenditure Breakdown'!$H$6:$H$174, "&lt;"&amp;AKB1)</f>
        <v>0</v>
      </c>
      <c r="AKB5" s="112">
        <f>SUMIFS('Expenditure Breakdown'!$G$6:$G$174, 'Expenditure Breakdown'!$H$6:$H$174, "&gt;="&amp;AKB1,'Expenditure Breakdown'!$H$6:$H$174, "&lt;"&amp;AKC1)</f>
        <v>0</v>
      </c>
      <c r="AKC5" s="112">
        <f>SUMIFS('Expenditure Breakdown'!$G$6:$G$174, 'Expenditure Breakdown'!$H$6:$H$174, "&gt;="&amp;AKC1,'Expenditure Breakdown'!$H$6:$H$174, "&lt;"&amp;AKD1)</f>
        <v>0</v>
      </c>
      <c r="AKD5" s="112">
        <f>SUMIFS('Expenditure Breakdown'!$G$6:$G$174, 'Expenditure Breakdown'!$H$6:$H$174, "&gt;="&amp;AKD1,'Expenditure Breakdown'!$H$6:$H$174, "&lt;"&amp;AKE1)</f>
        <v>0</v>
      </c>
      <c r="AKE5" s="112">
        <f>SUMIFS('Expenditure Breakdown'!$G$6:$G$174, 'Expenditure Breakdown'!$H$6:$H$174, "&gt;="&amp;AKE1,'Expenditure Breakdown'!$H$6:$H$174, "&lt;"&amp;AKF1)</f>
        <v>0</v>
      </c>
      <c r="AKF5" s="112">
        <f>SUMIFS('Expenditure Breakdown'!$G$6:$G$174, 'Expenditure Breakdown'!$H$6:$H$174, "&gt;="&amp;AKF1,'Expenditure Breakdown'!$H$6:$H$174, "&lt;"&amp;AKG1)</f>
        <v>0</v>
      </c>
      <c r="AKG5" s="112">
        <f>SUMIFS('Expenditure Breakdown'!$G$6:$G$174, 'Expenditure Breakdown'!$H$6:$H$174, "&gt;="&amp;AKG1,'Expenditure Breakdown'!$H$6:$H$174, "&lt;"&amp;AKH1)</f>
        <v>0</v>
      </c>
      <c r="AKH5" s="112">
        <f>SUMIFS('Expenditure Breakdown'!$G$6:$G$174, 'Expenditure Breakdown'!$H$6:$H$174, "&gt;="&amp;AKH1,'Expenditure Breakdown'!$H$6:$H$174, "&lt;"&amp;AKI1)</f>
        <v>0</v>
      </c>
      <c r="AKI5" s="112">
        <f>SUMIFS('Expenditure Breakdown'!$G$6:$G$174, 'Expenditure Breakdown'!$H$6:$H$174, "&gt;="&amp;AKI1,'Expenditure Breakdown'!$H$6:$H$174, "&lt;"&amp;AKJ1)</f>
        <v>0</v>
      </c>
      <c r="AKJ5" s="112">
        <f>SUMIFS('Expenditure Breakdown'!$G$6:$G$174, 'Expenditure Breakdown'!$H$6:$H$174, "&gt;="&amp;AKJ1,'Expenditure Breakdown'!$H$6:$H$174, "&lt;"&amp;AKK1)</f>
        <v>0</v>
      </c>
      <c r="AKK5" s="112">
        <f>SUMIFS('Expenditure Breakdown'!$G$6:$G$174, 'Expenditure Breakdown'!$H$6:$H$174, "&gt;="&amp;AKK1,'Expenditure Breakdown'!$H$6:$H$174, "&lt;"&amp;AKL1)</f>
        <v>0</v>
      </c>
      <c r="AKL5" s="112">
        <f>SUMIFS('Expenditure Breakdown'!$G$6:$G$174, 'Expenditure Breakdown'!$H$6:$H$174, "&gt;="&amp;AKL1,'Expenditure Breakdown'!$H$6:$H$174, "&lt;"&amp;AKM1)</f>
        <v>0</v>
      </c>
      <c r="AKM5" s="112">
        <f>SUMIFS('Expenditure Breakdown'!$G$6:$G$174, 'Expenditure Breakdown'!$H$6:$H$174, "&gt;="&amp;AKM1,'Expenditure Breakdown'!$H$6:$H$174, "&lt;"&amp;AKN1)</f>
        <v>0</v>
      </c>
      <c r="AKN5" s="112">
        <f>SUMIFS('Expenditure Breakdown'!$G$6:$G$174, 'Expenditure Breakdown'!$H$6:$H$174, "&gt;="&amp;AKN1,'Expenditure Breakdown'!$H$6:$H$174, "&lt;"&amp;AKO1)</f>
        <v>0</v>
      </c>
      <c r="AKO5" s="112">
        <f>SUMIFS('Expenditure Breakdown'!$G$6:$G$174, 'Expenditure Breakdown'!$H$6:$H$174, "&gt;="&amp;AKO1,'Expenditure Breakdown'!$H$6:$H$174, "&lt;"&amp;AKP1)</f>
        <v>0</v>
      </c>
      <c r="AKP5" s="112">
        <f>SUMIFS('Expenditure Breakdown'!$G$6:$G$174, 'Expenditure Breakdown'!$H$6:$H$174, "&gt;="&amp;AKP1,'Expenditure Breakdown'!$H$6:$H$174, "&lt;"&amp;AKQ1)</f>
        <v>0</v>
      </c>
      <c r="AKQ5" s="112">
        <f>SUMIFS('Expenditure Breakdown'!$G$6:$G$174, 'Expenditure Breakdown'!$H$6:$H$174, "&gt;="&amp;AKQ1,'Expenditure Breakdown'!$H$6:$H$174, "&lt;"&amp;AKR1)</f>
        <v>0</v>
      </c>
      <c r="AKR5" s="112">
        <f>SUMIFS('Expenditure Breakdown'!$G$6:$G$174, 'Expenditure Breakdown'!$H$6:$H$174, "&gt;="&amp;AKR1,'Expenditure Breakdown'!$H$6:$H$174, "&lt;"&amp;AKS1)</f>
        <v>0</v>
      </c>
      <c r="AKS5" s="112">
        <f>SUMIFS('Expenditure Breakdown'!$G$6:$G$174, 'Expenditure Breakdown'!$H$6:$H$174, "&gt;="&amp;AKS1,'Expenditure Breakdown'!$H$6:$H$174, "&lt;"&amp;AKT1)</f>
        <v>0</v>
      </c>
      <c r="AKT5" s="112">
        <f>SUMIFS('Expenditure Breakdown'!$G$6:$G$174, 'Expenditure Breakdown'!$H$6:$H$174, "&gt;="&amp;AKT1,'Expenditure Breakdown'!$H$6:$H$174, "&lt;"&amp;AKU1)</f>
        <v>0</v>
      </c>
      <c r="AKU5" s="112">
        <f>SUMIFS('Expenditure Breakdown'!$G$6:$G$174, 'Expenditure Breakdown'!$H$6:$H$174, "&gt;="&amp;AKU1,'Expenditure Breakdown'!$H$6:$H$174, "&lt;"&amp;AKV1)</f>
        <v>0</v>
      </c>
      <c r="AKV5" s="112">
        <f>SUMIFS('Expenditure Breakdown'!$G$6:$G$174, 'Expenditure Breakdown'!$H$6:$H$174, "&gt;="&amp;AKV1,'Expenditure Breakdown'!$H$6:$H$174, "&lt;"&amp;AKW1)</f>
        <v>0</v>
      </c>
      <c r="AKW5" s="112">
        <f>SUMIFS('Expenditure Breakdown'!$G$6:$G$174, 'Expenditure Breakdown'!$H$6:$H$174, "&gt;="&amp;AKW1,'Expenditure Breakdown'!$H$6:$H$174, "&lt;"&amp;AKX1)</f>
        <v>0</v>
      </c>
      <c r="AKX5" s="112">
        <f>SUMIFS('Expenditure Breakdown'!$G$6:$G$174, 'Expenditure Breakdown'!$H$6:$H$174, "&gt;="&amp;AKX1,'Expenditure Breakdown'!$H$6:$H$174, "&lt;"&amp;AKY1)</f>
        <v>0</v>
      </c>
      <c r="AKY5" s="112">
        <f>SUMIFS('Expenditure Breakdown'!$G$6:$G$174, 'Expenditure Breakdown'!$H$6:$H$174, "&gt;="&amp;AKY1,'Expenditure Breakdown'!$H$6:$H$174, "&lt;"&amp;AKZ1)</f>
        <v>0</v>
      </c>
      <c r="AKZ5" s="112">
        <f>SUMIFS('Expenditure Breakdown'!$G$6:$G$174, 'Expenditure Breakdown'!$H$6:$H$174, "&gt;="&amp;AKZ1,'Expenditure Breakdown'!$H$6:$H$174, "&lt;"&amp;ALA1)</f>
        <v>0</v>
      </c>
      <c r="ALA5" s="112">
        <f>SUMIFS('Expenditure Breakdown'!$G$6:$G$174, 'Expenditure Breakdown'!$H$6:$H$174, "&gt;="&amp;ALA1,'Expenditure Breakdown'!$H$6:$H$174, "&lt;"&amp;ALB1)</f>
        <v>0</v>
      </c>
      <c r="ALB5" s="112">
        <f>SUMIFS('Expenditure Breakdown'!$G$6:$G$174, 'Expenditure Breakdown'!$H$6:$H$174, "&gt;="&amp;ALB1,'Expenditure Breakdown'!$H$6:$H$174, "&lt;"&amp;ALC1)</f>
        <v>0</v>
      </c>
      <c r="ALC5" s="112">
        <f>SUMIFS('Expenditure Breakdown'!$G$6:$G$174, 'Expenditure Breakdown'!$H$6:$H$174, "&gt;="&amp;ALC1,'Expenditure Breakdown'!$H$6:$H$174, "&lt;"&amp;ALD1)</f>
        <v>0</v>
      </c>
      <c r="ALD5" s="112">
        <f>SUMIFS('Expenditure Breakdown'!$G$6:$G$174, 'Expenditure Breakdown'!$H$6:$H$174, "&gt;="&amp;ALD1,'Expenditure Breakdown'!$H$6:$H$174, "&lt;"&amp;ALE1)</f>
        <v>0</v>
      </c>
      <c r="ALE5" s="112">
        <f>SUMIFS('Expenditure Breakdown'!$G$6:$G$174, 'Expenditure Breakdown'!$H$6:$H$174, "&gt;="&amp;ALE1,'Expenditure Breakdown'!$H$6:$H$174, "&lt;"&amp;ALF1)</f>
        <v>0</v>
      </c>
      <c r="ALF5" s="112">
        <f>SUMIFS('Expenditure Breakdown'!$G$6:$G$174, 'Expenditure Breakdown'!$H$6:$H$174, "&gt;="&amp;ALF1,'Expenditure Breakdown'!$H$6:$H$174, "&lt;"&amp;ALG1)</f>
        <v>0</v>
      </c>
      <c r="ALG5" s="112">
        <f>SUMIFS('Expenditure Breakdown'!$G$6:$G$174, 'Expenditure Breakdown'!$H$6:$H$174, "&gt;="&amp;ALG1,'Expenditure Breakdown'!$H$6:$H$174, "&lt;"&amp;ALH1)</f>
        <v>0</v>
      </c>
      <c r="ALH5" s="112">
        <f>SUMIFS('Expenditure Breakdown'!$G$6:$G$174, 'Expenditure Breakdown'!$H$6:$H$174, "&gt;="&amp;ALH1,'Expenditure Breakdown'!$H$6:$H$174, "&lt;"&amp;ALI1)</f>
        <v>0</v>
      </c>
      <c r="ALI5" s="112">
        <f>SUMIFS('Expenditure Breakdown'!$G$6:$G$174, 'Expenditure Breakdown'!$H$6:$H$174, "&gt;="&amp;ALI1,'Expenditure Breakdown'!$H$6:$H$174, "&lt;"&amp;ALJ1)</f>
        <v>0</v>
      </c>
      <c r="ALJ5" s="112">
        <f>SUMIFS('Expenditure Breakdown'!$G$6:$G$174, 'Expenditure Breakdown'!$H$6:$H$174, "&gt;="&amp;ALJ1,'Expenditure Breakdown'!$H$6:$H$174, "&lt;"&amp;ALK1)</f>
        <v>0</v>
      </c>
      <c r="ALK5" s="112">
        <f>SUMIFS('Expenditure Breakdown'!$G$6:$G$174, 'Expenditure Breakdown'!$H$6:$H$174, "&gt;="&amp;ALK1,'Expenditure Breakdown'!$H$6:$H$174, "&lt;"&amp;ALL1)</f>
        <v>0</v>
      </c>
      <c r="ALL5" s="112">
        <f>SUMIFS('Expenditure Breakdown'!$G$6:$G$174, 'Expenditure Breakdown'!$H$6:$H$174, "&gt;="&amp;ALL1,'Expenditure Breakdown'!$H$6:$H$174, "&lt;"&amp;ALM1)</f>
        <v>0</v>
      </c>
      <c r="ALM5" s="112">
        <f>SUMIFS('Expenditure Breakdown'!$G$6:$G$174, 'Expenditure Breakdown'!$H$6:$H$174, "&gt;="&amp;ALM1,'Expenditure Breakdown'!$H$6:$H$174, "&lt;"&amp;ALN1)</f>
        <v>0</v>
      </c>
      <c r="ALN5" s="112">
        <f>SUMIFS('Expenditure Breakdown'!$G$6:$G$174, 'Expenditure Breakdown'!$H$6:$H$174, "&gt;="&amp;ALN1,'Expenditure Breakdown'!$H$6:$H$174, "&lt;"&amp;ALO1)</f>
        <v>0</v>
      </c>
      <c r="ALO5" s="112">
        <f>SUMIFS('Expenditure Breakdown'!$G$6:$G$174, 'Expenditure Breakdown'!$H$6:$H$174, "&gt;="&amp;ALO1,'Expenditure Breakdown'!$H$6:$H$174, "&lt;"&amp;ALP1)</f>
        <v>0</v>
      </c>
      <c r="ALP5" s="112">
        <f>SUMIFS('Expenditure Breakdown'!$G$6:$G$174, 'Expenditure Breakdown'!$H$6:$H$174, "&gt;="&amp;ALP1,'Expenditure Breakdown'!$H$6:$H$174, "&lt;"&amp;ALQ1)</f>
        <v>0</v>
      </c>
      <c r="ALQ5" s="112">
        <f>SUMIFS('Expenditure Breakdown'!$G$6:$G$174, 'Expenditure Breakdown'!$H$6:$H$174, "&gt;="&amp;ALQ1,'Expenditure Breakdown'!$H$6:$H$174, "&lt;"&amp;ALR1)</f>
        <v>0</v>
      </c>
      <c r="ALR5" s="112">
        <f>SUMIFS('Expenditure Breakdown'!$G$6:$G$174, 'Expenditure Breakdown'!$H$6:$H$174, "&gt;="&amp;ALR1,'Expenditure Breakdown'!$H$6:$H$174, "&lt;"&amp;ALS1)</f>
        <v>0</v>
      </c>
      <c r="ALS5" s="112">
        <f>SUMIFS('Expenditure Breakdown'!$G$6:$G$174, 'Expenditure Breakdown'!$H$6:$H$174, "&gt;="&amp;ALS1,'Expenditure Breakdown'!$H$6:$H$174, "&lt;"&amp;ALT1)</f>
        <v>0</v>
      </c>
      <c r="ALT5" s="112">
        <f>SUMIFS('Expenditure Breakdown'!$G$6:$G$174, 'Expenditure Breakdown'!$H$6:$H$174, "&gt;="&amp;ALT1,'Expenditure Breakdown'!$H$6:$H$174, "&lt;"&amp;ALU1)</f>
        <v>0</v>
      </c>
      <c r="ALU5" s="112">
        <f>SUMIFS('Expenditure Breakdown'!$G$6:$G$174, 'Expenditure Breakdown'!$H$6:$H$174, "&gt;="&amp;ALU1,'Expenditure Breakdown'!$H$6:$H$174, "&lt;"&amp;ALV1)</f>
        <v>0</v>
      </c>
      <c r="ALV5" s="112">
        <f>SUMIFS('Expenditure Breakdown'!$G$6:$G$174, 'Expenditure Breakdown'!$H$6:$H$174, "&gt;="&amp;ALV1,'Expenditure Breakdown'!$H$6:$H$174, "&lt;"&amp;ALW1)</f>
        <v>0</v>
      </c>
      <c r="ALW5" s="112">
        <f>SUMIFS('Expenditure Breakdown'!$G$6:$G$174, 'Expenditure Breakdown'!$H$6:$H$174, "&gt;="&amp;ALW1,'Expenditure Breakdown'!$H$6:$H$174, "&lt;"&amp;ALX1)</f>
        <v>0</v>
      </c>
      <c r="ALX5" s="112">
        <f>SUMIFS('Expenditure Breakdown'!$G$6:$G$174, 'Expenditure Breakdown'!$H$6:$H$174, "&gt;="&amp;ALX1,'Expenditure Breakdown'!$H$6:$H$174, "&lt;"&amp;ALY1)</f>
        <v>0</v>
      </c>
      <c r="ALY5" s="112">
        <f>SUMIFS('Expenditure Breakdown'!$G$6:$G$174, 'Expenditure Breakdown'!$H$6:$H$174, "&gt;="&amp;ALY1,'Expenditure Breakdown'!$H$6:$H$174, "&lt;"&amp;ALZ1)</f>
        <v>0</v>
      </c>
      <c r="ALZ5" s="112">
        <f>SUMIFS('Expenditure Breakdown'!$G$6:$G$174, 'Expenditure Breakdown'!$H$6:$H$174, "&gt;="&amp;ALZ1,'Expenditure Breakdown'!$H$6:$H$174, "&lt;"&amp;AMA1)</f>
        <v>0</v>
      </c>
      <c r="AMA5" s="112">
        <f>SUMIFS('Expenditure Breakdown'!$G$6:$G$174, 'Expenditure Breakdown'!$H$6:$H$174, "&gt;="&amp;AMA1,'Expenditure Breakdown'!$H$6:$H$174, "&lt;"&amp;AMB1)</f>
        <v>0</v>
      </c>
      <c r="AMB5" s="112">
        <f>SUMIFS('Expenditure Breakdown'!$G$6:$G$174, 'Expenditure Breakdown'!$H$6:$H$174, "&gt;="&amp;AMB1,'Expenditure Breakdown'!$H$6:$H$174, "&lt;"&amp;AMC1)</f>
        <v>0</v>
      </c>
      <c r="AMC5" s="112">
        <f>SUMIFS('Expenditure Breakdown'!$G$6:$G$174, 'Expenditure Breakdown'!$H$6:$H$174, "&gt;="&amp;AMC1,'Expenditure Breakdown'!$H$6:$H$174, "&lt;"&amp;AMD1)</f>
        <v>0</v>
      </c>
      <c r="AMD5" s="112">
        <f>SUMIFS('Expenditure Breakdown'!$G$6:$G$174, 'Expenditure Breakdown'!$H$6:$H$174, "&gt;="&amp;AMD1,'Expenditure Breakdown'!$H$6:$H$174, "&lt;"&amp;AME1)</f>
        <v>0</v>
      </c>
      <c r="AME5" s="112">
        <f>SUMIFS('Expenditure Breakdown'!$G$6:$G$174, 'Expenditure Breakdown'!$H$6:$H$174, "&gt;="&amp;AME1,'Expenditure Breakdown'!$H$6:$H$174, "&lt;"&amp;AMF1)</f>
        <v>0</v>
      </c>
      <c r="AMF5" s="112">
        <f>SUMIFS('Expenditure Breakdown'!$G$6:$G$174, 'Expenditure Breakdown'!$H$6:$H$174, "&gt;="&amp;AMF1,'Expenditure Breakdown'!$H$6:$H$174, "&lt;"&amp;AMG1)</f>
        <v>0</v>
      </c>
      <c r="AMG5" s="112">
        <f>SUMIFS('Expenditure Breakdown'!$G$6:$G$174, 'Expenditure Breakdown'!$H$6:$H$174, "&gt;="&amp;AMG1,'Expenditure Breakdown'!$H$6:$H$174, "&lt;"&amp;AMH1)</f>
        <v>0</v>
      </c>
      <c r="AMH5" s="112">
        <f>SUMIFS('Expenditure Breakdown'!$G$6:$G$174, 'Expenditure Breakdown'!$H$6:$H$174, "&gt;="&amp;AMH1,'Expenditure Breakdown'!$H$6:$H$174, "&lt;"&amp;AMI1)</f>
        <v>0</v>
      </c>
      <c r="AMI5" s="112">
        <f>SUMIFS('Expenditure Breakdown'!$G$6:$G$174, 'Expenditure Breakdown'!$H$6:$H$174, "&gt;="&amp;AMI1,'Expenditure Breakdown'!$H$6:$H$174, "&lt;"&amp;AMJ1)</f>
        <v>0</v>
      </c>
      <c r="AMJ5" s="112">
        <f>SUMIFS('Expenditure Breakdown'!$G$6:$G$174, 'Expenditure Breakdown'!$H$6:$H$174, "&gt;="&amp;AMJ1,'Expenditure Breakdown'!$H$6:$H$174, "&lt;"&amp;AMK1)</f>
        <v>0</v>
      </c>
      <c r="AMK5" s="112">
        <f>SUMIFS('Expenditure Breakdown'!$G$6:$G$174, 'Expenditure Breakdown'!$H$6:$H$174, "&gt;="&amp;AMK1,'Expenditure Breakdown'!$H$6:$H$174, "&lt;"&amp;AML1)</f>
        <v>0</v>
      </c>
      <c r="AML5" s="112">
        <f>SUMIFS('Expenditure Breakdown'!$G$6:$G$174, 'Expenditure Breakdown'!$H$6:$H$174, "&gt;="&amp;AML1,'Expenditure Breakdown'!$H$6:$H$174, "&lt;"&amp;AMM1)</f>
        <v>0</v>
      </c>
      <c r="AMM5" s="112">
        <f>SUMIFS('Expenditure Breakdown'!$G$6:$G$174, 'Expenditure Breakdown'!$H$6:$H$174, "&gt;="&amp;AMM1,'Expenditure Breakdown'!$H$6:$H$174, "&lt;"&amp;AMN1)</f>
        <v>0</v>
      </c>
      <c r="AMN5" s="112">
        <f>SUMIFS('Expenditure Breakdown'!$G$6:$G$174, 'Expenditure Breakdown'!$H$6:$H$174, "&gt;="&amp;AMN1,'Expenditure Breakdown'!$H$6:$H$174, "&lt;"&amp;AMO1)</f>
        <v>0</v>
      </c>
      <c r="AMO5" s="112">
        <f>SUMIFS('Expenditure Breakdown'!$G$6:$G$174, 'Expenditure Breakdown'!$H$6:$H$174, "&gt;="&amp;AMO1,'Expenditure Breakdown'!$H$6:$H$174, "&lt;"&amp;AMP1)</f>
        <v>0</v>
      </c>
      <c r="AMP5" s="112">
        <f>SUMIFS('Expenditure Breakdown'!$G$6:$G$174, 'Expenditure Breakdown'!$H$6:$H$174, "&gt;="&amp;AMP1,'Expenditure Breakdown'!$H$6:$H$174, "&lt;"&amp;AMQ1)</f>
        <v>0</v>
      </c>
      <c r="AMQ5" s="112">
        <f>SUMIFS('Expenditure Breakdown'!$G$6:$G$174, 'Expenditure Breakdown'!$H$6:$H$174, "&gt;="&amp;AMQ1,'Expenditure Breakdown'!$H$6:$H$174, "&lt;"&amp;AMR1)</f>
        <v>0</v>
      </c>
      <c r="AMR5" s="112">
        <f>SUMIFS('Expenditure Breakdown'!$G$6:$G$174, 'Expenditure Breakdown'!$H$6:$H$174, "&gt;="&amp;AMR1,'Expenditure Breakdown'!$H$6:$H$174, "&lt;"&amp;AMS1)</f>
        <v>0</v>
      </c>
      <c r="AMS5" s="112">
        <f>SUMIFS('Expenditure Breakdown'!$G$6:$G$174, 'Expenditure Breakdown'!$H$6:$H$174, "&gt;="&amp;AMS1,'Expenditure Breakdown'!$H$6:$H$174, "&lt;"&amp;AMT1)</f>
        <v>0</v>
      </c>
      <c r="AMT5" s="112">
        <f>SUMIFS('Expenditure Breakdown'!$G$6:$G$174, 'Expenditure Breakdown'!$H$6:$H$174, "&gt;="&amp;AMT1,'Expenditure Breakdown'!$H$6:$H$174, "&lt;"&amp;AMU1)</f>
        <v>0</v>
      </c>
      <c r="AMU5" s="112">
        <f>SUMIFS('Expenditure Breakdown'!$G$6:$G$174, 'Expenditure Breakdown'!$H$6:$H$174, "&gt;="&amp;AMU1,'Expenditure Breakdown'!$H$6:$H$174, "&lt;"&amp;AMV1)</f>
        <v>0</v>
      </c>
      <c r="AMV5" s="112">
        <f>SUMIFS('Expenditure Breakdown'!$G$6:$G$174, 'Expenditure Breakdown'!$H$6:$H$174, "&gt;="&amp;AMV1,'Expenditure Breakdown'!$H$6:$H$174, "&lt;"&amp;AMW1)</f>
        <v>0</v>
      </c>
      <c r="AMW5" s="112">
        <f>SUMIFS('Expenditure Breakdown'!$G$6:$G$174, 'Expenditure Breakdown'!$H$6:$H$174, "&gt;="&amp;AMW1,'Expenditure Breakdown'!$H$6:$H$174, "&lt;"&amp;AMX1)</f>
        <v>0</v>
      </c>
      <c r="AMX5" s="112">
        <f>SUMIFS('Expenditure Breakdown'!$G$6:$G$174, 'Expenditure Breakdown'!$H$6:$H$174, "&gt;="&amp;AMX1,'Expenditure Breakdown'!$H$6:$H$174, "&lt;"&amp;AMY1)</f>
        <v>0</v>
      </c>
      <c r="AMY5" s="112">
        <f>SUMIFS('Expenditure Breakdown'!$G$6:$G$174, 'Expenditure Breakdown'!$H$6:$H$174, "&gt;="&amp;AMY1,'Expenditure Breakdown'!$H$6:$H$174, "&lt;"&amp;AMZ1)</f>
        <v>0</v>
      </c>
      <c r="AMZ5" s="112">
        <f>SUMIFS('Expenditure Breakdown'!$G$6:$G$174, 'Expenditure Breakdown'!$H$6:$H$174, "&gt;="&amp;AMZ1,'Expenditure Breakdown'!$H$6:$H$174, "&lt;"&amp;ANA1)</f>
        <v>0</v>
      </c>
      <c r="ANA5" s="112">
        <f>SUMIFS('Expenditure Breakdown'!$G$6:$G$174, 'Expenditure Breakdown'!$H$6:$H$174, "&gt;="&amp;ANA1,'Expenditure Breakdown'!$H$6:$H$174, "&lt;"&amp;ANB1)</f>
        <v>0</v>
      </c>
      <c r="ANB5" s="112">
        <f>SUMIFS('Expenditure Breakdown'!$G$6:$G$174, 'Expenditure Breakdown'!$H$6:$H$174, "&gt;="&amp;ANB1,'Expenditure Breakdown'!$H$6:$H$174, "&lt;"&amp;ANC1)</f>
        <v>0</v>
      </c>
      <c r="ANC5" s="112">
        <f>SUMIFS('Expenditure Breakdown'!$G$6:$G$174, 'Expenditure Breakdown'!$H$6:$H$174, "&gt;="&amp;ANC1,'Expenditure Breakdown'!$H$6:$H$174, "&lt;"&amp;AND1)</f>
        <v>0</v>
      </c>
      <c r="AND5" s="112">
        <f>SUMIFS('Expenditure Breakdown'!$G$6:$G$174, 'Expenditure Breakdown'!$H$6:$H$174, "&gt;="&amp;AND1,'Expenditure Breakdown'!$H$6:$H$174, "&lt;"&amp;ANE1)</f>
        <v>0</v>
      </c>
      <c r="ANE5" s="112">
        <f>SUMIFS('Expenditure Breakdown'!$G$6:$G$174, 'Expenditure Breakdown'!$H$6:$H$174, "&gt;="&amp;ANE1,'Expenditure Breakdown'!$H$6:$H$174, "&lt;"&amp;ANF1)</f>
        <v>0</v>
      </c>
      <c r="ANF5" s="112">
        <f>SUMIFS('Expenditure Breakdown'!$G$6:$G$174, 'Expenditure Breakdown'!$H$6:$H$174, "&gt;="&amp;ANF1,'Expenditure Breakdown'!$H$6:$H$174, "&lt;"&amp;ANG1)</f>
        <v>0</v>
      </c>
      <c r="ANG5" s="112">
        <f>SUMIFS('Expenditure Breakdown'!$G$6:$G$174, 'Expenditure Breakdown'!$H$6:$H$174, "&gt;="&amp;ANG1,'Expenditure Breakdown'!$H$6:$H$174, "&lt;"&amp;ANH1)</f>
        <v>0</v>
      </c>
      <c r="ANH5" s="112">
        <f>SUMIFS('Expenditure Breakdown'!$G$6:$G$174, 'Expenditure Breakdown'!$H$6:$H$174, "&gt;="&amp;ANH1,'Expenditure Breakdown'!$H$6:$H$174, "&lt;"&amp;ANI1)</f>
        <v>0</v>
      </c>
      <c r="ANI5" s="112">
        <f>SUMIFS('Expenditure Breakdown'!$G$6:$G$174, 'Expenditure Breakdown'!$H$6:$H$174, "&gt;="&amp;ANI1,'Expenditure Breakdown'!$H$6:$H$174, "&lt;"&amp;ANJ1)</f>
        <v>0</v>
      </c>
      <c r="ANJ5" s="112">
        <f>SUMIFS('Expenditure Breakdown'!$G$6:$G$174, 'Expenditure Breakdown'!$H$6:$H$174, "&gt;="&amp;ANJ1,'Expenditure Breakdown'!$H$6:$H$174, "&lt;"&amp;ANK1)</f>
        <v>0</v>
      </c>
      <c r="ANK5" s="112">
        <f>SUMIFS('Expenditure Breakdown'!$G$6:$G$174, 'Expenditure Breakdown'!$H$6:$H$174, "&gt;="&amp;ANK1,'Expenditure Breakdown'!$H$6:$H$174, "&lt;"&amp;ANL1)</f>
        <v>0</v>
      </c>
      <c r="ANL5" s="112">
        <f>SUMIFS('Expenditure Breakdown'!$G$6:$G$174, 'Expenditure Breakdown'!$H$6:$H$174, "&gt;="&amp;ANL1,'Expenditure Breakdown'!$H$6:$H$174, "&lt;"&amp;ANM1)</f>
        <v>0</v>
      </c>
      <c r="ANM5" s="112">
        <f>SUMIFS('Expenditure Breakdown'!$G$6:$G$174, 'Expenditure Breakdown'!$H$6:$H$174, "&gt;="&amp;ANM1,'Expenditure Breakdown'!$H$6:$H$174, "&lt;"&amp;ANN1)</f>
        <v>0</v>
      </c>
      <c r="ANN5" s="112">
        <f>SUMIFS('Expenditure Breakdown'!$G$6:$G$174, 'Expenditure Breakdown'!$H$6:$H$174, "&gt;="&amp;ANN1,'Expenditure Breakdown'!$H$6:$H$174, "&lt;"&amp;ANO1)</f>
        <v>0</v>
      </c>
      <c r="ANO5" s="112">
        <f>SUMIFS('Expenditure Breakdown'!$G$6:$G$174, 'Expenditure Breakdown'!$H$6:$H$174, "&gt;="&amp;ANO1,'Expenditure Breakdown'!$H$6:$H$174, "&lt;"&amp;ANP1)</f>
        <v>0</v>
      </c>
      <c r="ANP5" s="112">
        <f>SUMIFS('Expenditure Breakdown'!$G$6:$G$174, 'Expenditure Breakdown'!$H$6:$H$174, "&gt;="&amp;ANP1,'Expenditure Breakdown'!$H$6:$H$174, "&lt;"&amp;ANQ1)</f>
        <v>0</v>
      </c>
      <c r="ANQ5" s="112">
        <f>SUMIFS('Expenditure Breakdown'!$G$6:$G$174, 'Expenditure Breakdown'!$H$6:$H$174, "&gt;="&amp;ANQ1,'Expenditure Breakdown'!$H$6:$H$174, "&lt;"&amp;ANR1)</f>
        <v>0</v>
      </c>
      <c r="ANR5" s="112">
        <f>SUMIFS('Expenditure Breakdown'!$G$6:$G$174, 'Expenditure Breakdown'!$H$6:$H$174, "&gt;="&amp;ANR1,'Expenditure Breakdown'!$H$6:$H$174, "&lt;"&amp;ANS1)</f>
        <v>0</v>
      </c>
      <c r="ANS5" s="112">
        <f>SUMIFS('Expenditure Breakdown'!$G$6:$G$174, 'Expenditure Breakdown'!$H$6:$H$174, "&gt;="&amp;ANS1,'Expenditure Breakdown'!$H$6:$H$174, "&lt;"&amp;ANT1)</f>
        <v>0</v>
      </c>
      <c r="ANT5" s="112">
        <f>SUMIFS('Expenditure Breakdown'!$G$6:$G$174, 'Expenditure Breakdown'!$H$6:$H$174, "&gt;="&amp;ANT1,'Expenditure Breakdown'!$H$6:$H$174, "&lt;"&amp;ANU1)</f>
        <v>0</v>
      </c>
      <c r="ANU5" s="112">
        <f>SUMIFS('Expenditure Breakdown'!$G$6:$G$174, 'Expenditure Breakdown'!$H$6:$H$174, "&gt;="&amp;ANU1,'Expenditure Breakdown'!$H$6:$H$174, "&lt;"&amp;ANV1)</f>
        <v>0</v>
      </c>
      <c r="ANV5" s="112">
        <f>SUMIFS('Expenditure Breakdown'!$G$6:$G$174, 'Expenditure Breakdown'!$H$6:$H$174, "&gt;="&amp;ANV1,'Expenditure Breakdown'!$H$6:$H$174, "&lt;"&amp;ANW1)</f>
        <v>0</v>
      </c>
      <c r="ANW5" s="112">
        <f>SUMIFS('Expenditure Breakdown'!$G$6:$G$174, 'Expenditure Breakdown'!$H$6:$H$174, "&gt;="&amp;ANW1,'Expenditure Breakdown'!$H$6:$H$174, "&lt;"&amp;ANX1)</f>
        <v>0</v>
      </c>
      <c r="ANX5" s="112">
        <f>SUMIFS('Expenditure Breakdown'!$G$6:$G$174, 'Expenditure Breakdown'!$H$6:$H$174, "&gt;="&amp;ANX1,'Expenditure Breakdown'!$H$6:$H$174, "&lt;"&amp;ANY1)</f>
        <v>0</v>
      </c>
      <c r="ANY5" s="112">
        <f>SUMIFS('Expenditure Breakdown'!$G$6:$G$174, 'Expenditure Breakdown'!$H$6:$H$174, "&gt;="&amp;ANY1,'Expenditure Breakdown'!$H$6:$H$174, "&lt;"&amp;ANZ1)</f>
        <v>0</v>
      </c>
      <c r="ANZ5" s="112">
        <f>SUMIFS('Expenditure Breakdown'!$G$6:$G$174, 'Expenditure Breakdown'!$H$6:$H$174, "&gt;="&amp;ANZ1,'Expenditure Breakdown'!$H$6:$H$174, "&lt;"&amp;AOA1)</f>
        <v>0</v>
      </c>
      <c r="AOA5" s="112">
        <f>SUMIFS('Expenditure Breakdown'!$G$6:$G$174, 'Expenditure Breakdown'!$H$6:$H$174, "&gt;="&amp;AOA1,'Expenditure Breakdown'!$H$6:$H$174, "&lt;"&amp;AOB1)</f>
        <v>0</v>
      </c>
      <c r="AOB5" s="112">
        <f>SUMIFS('Expenditure Breakdown'!$G$6:$G$174, 'Expenditure Breakdown'!$H$6:$H$174, "&gt;="&amp;AOB1,'Expenditure Breakdown'!$H$6:$H$174, "&lt;"&amp;AOC1)</f>
        <v>0</v>
      </c>
      <c r="AOC5" s="112">
        <f>SUMIFS('Expenditure Breakdown'!$G$6:$G$174, 'Expenditure Breakdown'!$H$6:$H$174, "&gt;="&amp;AOC1,'Expenditure Breakdown'!$H$6:$H$174, "&lt;"&amp;AOD1)</f>
        <v>0</v>
      </c>
      <c r="AOD5" s="112">
        <f>SUMIFS('Expenditure Breakdown'!$G$6:$G$174, 'Expenditure Breakdown'!$H$6:$H$174, "&gt;="&amp;AOD1,'Expenditure Breakdown'!$H$6:$H$174, "&lt;"&amp;AOE1)</f>
        <v>0</v>
      </c>
      <c r="AOE5" s="112">
        <f>SUMIFS('Expenditure Breakdown'!$G$6:$G$174, 'Expenditure Breakdown'!$H$6:$H$174, "&gt;="&amp;AOE1,'Expenditure Breakdown'!$H$6:$H$174, "&lt;"&amp;AOF1)</f>
        <v>0</v>
      </c>
      <c r="AOF5" s="112">
        <f>SUMIFS('Expenditure Breakdown'!$G$6:$G$174, 'Expenditure Breakdown'!$H$6:$H$174, "&gt;="&amp;AOF1,'Expenditure Breakdown'!$H$6:$H$174, "&lt;"&amp;AOG1)</f>
        <v>0</v>
      </c>
      <c r="AOG5" s="112">
        <f>SUMIFS('Expenditure Breakdown'!$G$6:$G$174, 'Expenditure Breakdown'!$H$6:$H$174, "&gt;="&amp;AOG1,'Expenditure Breakdown'!$H$6:$H$174, "&lt;"&amp;AOH1)</f>
        <v>0</v>
      </c>
      <c r="AOH5" s="112">
        <f>SUMIFS('Expenditure Breakdown'!$G$6:$G$174, 'Expenditure Breakdown'!$H$6:$H$174, "&gt;="&amp;AOH1,'Expenditure Breakdown'!$H$6:$H$174, "&lt;"&amp;AOI1)</f>
        <v>0</v>
      </c>
      <c r="AOI5" s="112">
        <f>SUMIFS('Expenditure Breakdown'!$G$6:$G$174, 'Expenditure Breakdown'!$H$6:$H$174, "&gt;="&amp;AOI1,'Expenditure Breakdown'!$H$6:$H$174, "&lt;"&amp;AOJ1)</f>
        <v>0</v>
      </c>
      <c r="AOJ5" s="112">
        <f>SUMIFS('Expenditure Breakdown'!$G$6:$G$174, 'Expenditure Breakdown'!$H$6:$H$174, "&gt;="&amp;AOJ1,'Expenditure Breakdown'!$H$6:$H$174, "&lt;"&amp;AOK1)</f>
        <v>0</v>
      </c>
      <c r="AOK5" s="112">
        <f>SUMIFS('Expenditure Breakdown'!$G$6:$G$174, 'Expenditure Breakdown'!$H$6:$H$174, "&gt;="&amp;AOK1,'Expenditure Breakdown'!$H$6:$H$174, "&lt;"&amp;AOL1)</f>
        <v>0</v>
      </c>
      <c r="AOL5" s="112">
        <f>SUMIFS('Expenditure Breakdown'!$G$6:$G$174, 'Expenditure Breakdown'!$H$6:$H$174, "&gt;="&amp;AOL1,'Expenditure Breakdown'!$H$6:$H$174, "&lt;"&amp;AOM1)</f>
        <v>0</v>
      </c>
      <c r="AOM5" s="112">
        <f>SUMIFS('Expenditure Breakdown'!$G$6:$G$174, 'Expenditure Breakdown'!$H$6:$H$174, "&gt;="&amp;AOM1,'Expenditure Breakdown'!$H$6:$H$174, "&lt;"&amp;AON1)</f>
        <v>0</v>
      </c>
      <c r="AON5" s="112">
        <f>SUMIFS('Expenditure Breakdown'!$G$6:$G$174, 'Expenditure Breakdown'!$H$6:$H$174, "&gt;="&amp;AON1,'Expenditure Breakdown'!$H$6:$H$174, "&lt;"&amp;AOO1)</f>
        <v>0</v>
      </c>
      <c r="AOO5" s="112">
        <f>SUMIFS('Expenditure Breakdown'!$G$6:$G$174, 'Expenditure Breakdown'!$H$6:$H$174, "&gt;="&amp;AOO1,'Expenditure Breakdown'!$H$6:$H$174, "&lt;"&amp;AOP1)</f>
        <v>0</v>
      </c>
      <c r="AOP5" s="112">
        <f>SUMIFS('Expenditure Breakdown'!$G$6:$G$174, 'Expenditure Breakdown'!$H$6:$H$174, "&gt;="&amp;AOP1,'Expenditure Breakdown'!$H$6:$H$174, "&lt;"&amp;AOQ1)</f>
        <v>0</v>
      </c>
      <c r="AOQ5" s="112">
        <f>SUMIFS('Expenditure Breakdown'!$G$6:$G$174, 'Expenditure Breakdown'!$H$6:$H$174, "&gt;="&amp;AOQ1,'Expenditure Breakdown'!$H$6:$H$174, "&lt;"&amp;AOR1)</f>
        <v>0</v>
      </c>
      <c r="AOR5" s="112">
        <f>SUMIFS('Expenditure Breakdown'!$G$6:$G$174, 'Expenditure Breakdown'!$H$6:$H$174, "&gt;="&amp;AOR1,'Expenditure Breakdown'!$H$6:$H$174, "&lt;"&amp;AOS1)</f>
        <v>0</v>
      </c>
      <c r="AOS5" s="112">
        <f>SUMIFS('Expenditure Breakdown'!$G$6:$G$174, 'Expenditure Breakdown'!$H$6:$H$174, "&gt;="&amp;AOS1,'Expenditure Breakdown'!$H$6:$H$174, "&lt;"&amp;AOT1)</f>
        <v>0</v>
      </c>
      <c r="AOT5" s="112">
        <f>SUMIFS('Expenditure Breakdown'!$G$6:$G$174, 'Expenditure Breakdown'!$H$6:$H$174, "&gt;="&amp;AOT1,'Expenditure Breakdown'!$H$6:$H$174, "&lt;"&amp;AOU1)</f>
        <v>0</v>
      </c>
      <c r="AOU5" s="112">
        <f>SUMIFS('Expenditure Breakdown'!$G$6:$G$174, 'Expenditure Breakdown'!$H$6:$H$174, "&gt;="&amp;AOU1,'Expenditure Breakdown'!$H$6:$H$174, "&lt;"&amp;AOV1)</f>
        <v>0</v>
      </c>
      <c r="AOV5" s="112">
        <f>SUMIFS('Expenditure Breakdown'!$G$6:$G$174, 'Expenditure Breakdown'!$H$6:$H$174, "&gt;="&amp;AOV1,'Expenditure Breakdown'!$H$6:$H$174, "&lt;"&amp;AOW1)</f>
        <v>0</v>
      </c>
      <c r="AOW5" s="112">
        <f>SUMIFS('Expenditure Breakdown'!$G$6:$G$174, 'Expenditure Breakdown'!$H$6:$H$174, "&gt;="&amp;AOW1,'Expenditure Breakdown'!$H$6:$H$174, "&lt;"&amp;AOX1)</f>
        <v>0</v>
      </c>
      <c r="AOX5" s="112">
        <f>SUMIFS('Expenditure Breakdown'!$G$6:$G$174, 'Expenditure Breakdown'!$H$6:$H$174, "&gt;="&amp;AOX1,'Expenditure Breakdown'!$H$6:$H$174, "&lt;"&amp;AOY1)</f>
        <v>0</v>
      </c>
      <c r="AOY5" s="112">
        <f>SUMIFS('Expenditure Breakdown'!$G$6:$G$174, 'Expenditure Breakdown'!$H$6:$H$174, "&gt;="&amp;AOY1,'Expenditure Breakdown'!$H$6:$H$174, "&lt;"&amp;AOZ1)</f>
        <v>0</v>
      </c>
      <c r="AOZ5" s="112">
        <f>SUMIFS('Expenditure Breakdown'!$G$6:$G$174, 'Expenditure Breakdown'!$H$6:$H$174, "&gt;="&amp;AOZ1,'Expenditure Breakdown'!$H$6:$H$174, "&lt;"&amp;APA1)</f>
        <v>0</v>
      </c>
      <c r="APA5" s="112">
        <f>SUMIFS('Expenditure Breakdown'!$G$6:$G$174, 'Expenditure Breakdown'!$H$6:$H$174, "&gt;="&amp;APA1,'Expenditure Breakdown'!$H$6:$H$174, "&lt;"&amp;APB1)</f>
        <v>0</v>
      </c>
      <c r="APB5" s="112">
        <f>SUMIFS('Expenditure Breakdown'!$G$6:$G$174, 'Expenditure Breakdown'!$H$6:$H$174, "&gt;="&amp;APB1,'Expenditure Breakdown'!$H$6:$H$174, "&lt;"&amp;APC1)</f>
        <v>0</v>
      </c>
      <c r="APC5" s="112">
        <f>SUMIFS('Expenditure Breakdown'!$G$6:$G$174, 'Expenditure Breakdown'!$H$6:$H$174, "&gt;="&amp;APC1,'Expenditure Breakdown'!$H$6:$H$174, "&lt;"&amp;APD1)</f>
        <v>0</v>
      </c>
      <c r="APD5" s="112">
        <f>SUMIFS('Expenditure Breakdown'!$G$6:$G$174, 'Expenditure Breakdown'!$H$6:$H$174, "&gt;="&amp;APD1,'Expenditure Breakdown'!$H$6:$H$174, "&lt;"&amp;APE1)</f>
        <v>0</v>
      </c>
      <c r="APE5" s="112">
        <f>SUMIFS('Expenditure Breakdown'!$G$6:$G$174, 'Expenditure Breakdown'!$H$6:$H$174, "&gt;="&amp;APE1,'Expenditure Breakdown'!$H$6:$H$174, "&lt;"&amp;APF1)</f>
        <v>0</v>
      </c>
      <c r="APF5" s="112">
        <f>SUMIFS('Expenditure Breakdown'!$G$6:$G$174, 'Expenditure Breakdown'!$H$6:$H$174, "&gt;="&amp;APF1,'Expenditure Breakdown'!$H$6:$H$174, "&lt;"&amp;APG1)</f>
        <v>0</v>
      </c>
      <c r="APG5" s="112">
        <f>SUMIFS('Expenditure Breakdown'!$G$6:$G$174, 'Expenditure Breakdown'!$H$6:$H$174, "&gt;="&amp;APG1,'Expenditure Breakdown'!$H$6:$H$174, "&lt;"&amp;APH1)</f>
        <v>0</v>
      </c>
      <c r="APH5" s="112">
        <f>SUMIFS('Expenditure Breakdown'!$G$6:$G$174, 'Expenditure Breakdown'!$H$6:$H$174, "&gt;="&amp;APH1,'Expenditure Breakdown'!$H$6:$H$174, "&lt;"&amp;API1)</f>
        <v>0</v>
      </c>
      <c r="API5" s="112">
        <f>SUMIFS('Expenditure Breakdown'!$G$6:$G$174, 'Expenditure Breakdown'!$H$6:$H$174, "&gt;="&amp;API1,'Expenditure Breakdown'!$H$6:$H$174, "&lt;"&amp;APJ1)</f>
        <v>0</v>
      </c>
      <c r="APJ5" s="112">
        <f>SUMIFS('Expenditure Breakdown'!$G$6:$G$174, 'Expenditure Breakdown'!$H$6:$H$174, "&gt;="&amp;APJ1,'Expenditure Breakdown'!$H$6:$H$174, "&lt;"&amp;APK1)</f>
        <v>0</v>
      </c>
      <c r="APK5" s="112">
        <f>SUMIFS('Expenditure Breakdown'!$G$6:$G$174, 'Expenditure Breakdown'!$H$6:$H$174, "&gt;="&amp;APK1,'Expenditure Breakdown'!$H$6:$H$174, "&lt;"&amp;APL1)</f>
        <v>0</v>
      </c>
      <c r="APL5" s="112">
        <f>SUMIFS('Expenditure Breakdown'!$G$6:$G$174, 'Expenditure Breakdown'!$H$6:$H$174, "&gt;="&amp;APL1,'Expenditure Breakdown'!$H$6:$H$174, "&lt;"&amp;APM1)</f>
        <v>0</v>
      </c>
      <c r="APM5" s="112">
        <f>SUMIFS('Expenditure Breakdown'!$G$6:$G$174, 'Expenditure Breakdown'!$H$6:$H$174, "&gt;="&amp;APM1,'Expenditure Breakdown'!$H$6:$H$174, "&lt;"&amp;APN1)</f>
        <v>0</v>
      </c>
      <c r="APN5" s="112">
        <f>SUMIFS('Expenditure Breakdown'!$G$6:$G$174, 'Expenditure Breakdown'!$H$6:$H$174, "&gt;="&amp;APN1,'Expenditure Breakdown'!$H$6:$H$174, "&lt;"&amp;APO1)</f>
        <v>0</v>
      </c>
      <c r="APO5" s="112">
        <f>SUMIFS('Expenditure Breakdown'!$G$6:$G$174, 'Expenditure Breakdown'!$H$6:$H$174, "&gt;="&amp;APO1,'Expenditure Breakdown'!$H$6:$H$174, "&lt;"&amp;APP1)</f>
        <v>0</v>
      </c>
      <c r="APP5" s="112">
        <f>SUMIFS('Expenditure Breakdown'!$G$6:$G$174, 'Expenditure Breakdown'!$H$6:$H$174, "&gt;="&amp;APP1,'Expenditure Breakdown'!$H$6:$H$174, "&lt;"&amp;APQ1)</f>
        <v>0</v>
      </c>
      <c r="APQ5" s="112">
        <f>SUMIFS('Expenditure Breakdown'!$G$6:$G$174, 'Expenditure Breakdown'!$H$6:$H$174, "&gt;="&amp;APQ1,'Expenditure Breakdown'!$H$6:$H$174, "&lt;"&amp;APR1)</f>
        <v>0</v>
      </c>
      <c r="APR5" s="112">
        <f>SUMIFS('Expenditure Breakdown'!$G$6:$G$174, 'Expenditure Breakdown'!$H$6:$H$174, "&gt;="&amp;APR1,'Expenditure Breakdown'!$H$6:$H$174, "&lt;"&amp;APS1)</f>
        <v>0</v>
      </c>
      <c r="APS5" s="112">
        <f>SUMIFS('Expenditure Breakdown'!$G$6:$G$174, 'Expenditure Breakdown'!$H$6:$H$174, "&gt;="&amp;APS1,'Expenditure Breakdown'!$H$6:$H$174, "&lt;"&amp;APT1)</f>
        <v>0</v>
      </c>
      <c r="APT5" s="112">
        <f>SUMIFS('Expenditure Breakdown'!$G$6:$G$174, 'Expenditure Breakdown'!$H$6:$H$174, "&gt;="&amp;APT1,'Expenditure Breakdown'!$H$6:$H$174, "&lt;"&amp;APU1)</f>
        <v>0</v>
      </c>
      <c r="APU5" s="112">
        <f>SUMIFS('Expenditure Breakdown'!$G$6:$G$174, 'Expenditure Breakdown'!$H$6:$H$174, "&gt;="&amp;APU1,'Expenditure Breakdown'!$H$6:$H$174, "&lt;"&amp;APV1)</f>
        <v>0</v>
      </c>
      <c r="APV5" s="112">
        <f>SUMIFS('Expenditure Breakdown'!$G$6:$G$174, 'Expenditure Breakdown'!$H$6:$H$174, "&gt;="&amp;APV1,'Expenditure Breakdown'!$H$6:$H$174, "&lt;"&amp;APW1)</f>
        <v>0</v>
      </c>
      <c r="APW5" s="112">
        <f>SUMIFS('Expenditure Breakdown'!$G$6:$G$174, 'Expenditure Breakdown'!$H$6:$H$174, "&gt;="&amp;APW1,'Expenditure Breakdown'!$H$6:$H$174, "&lt;"&amp;APX1)</f>
        <v>0</v>
      </c>
      <c r="APX5" s="112">
        <f>SUMIFS('Expenditure Breakdown'!$G$6:$G$174, 'Expenditure Breakdown'!$H$6:$H$174, "&gt;="&amp;APX1,'Expenditure Breakdown'!$H$6:$H$174, "&lt;"&amp;APY1)</f>
        <v>0</v>
      </c>
      <c r="APY5" s="112">
        <f>SUMIFS('Expenditure Breakdown'!$G$6:$G$174, 'Expenditure Breakdown'!$H$6:$H$174, "&gt;="&amp;APY1,'Expenditure Breakdown'!$H$6:$H$174, "&lt;"&amp;APZ1)</f>
        <v>0</v>
      </c>
      <c r="APZ5" s="112">
        <f>SUMIFS('Expenditure Breakdown'!$G$6:$G$174, 'Expenditure Breakdown'!$H$6:$H$174, "&gt;="&amp;APZ1,'Expenditure Breakdown'!$H$6:$H$174, "&lt;"&amp;AQA1)</f>
        <v>0</v>
      </c>
      <c r="AQA5" s="112">
        <f>SUMIFS('Expenditure Breakdown'!$G$6:$G$174, 'Expenditure Breakdown'!$H$6:$H$174, "&gt;="&amp;AQA1,'Expenditure Breakdown'!$H$6:$H$174, "&lt;"&amp;AQB1)</f>
        <v>0</v>
      </c>
      <c r="AQB5" s="112">
        <f>SUMIFS('Expenditure Breakdown'!$G$6:$G$174, 'Expenditure Breakdown'!$H$6:$H$174, "&gt;="&amp;AQB1,'Expenditure Breakdown'!$H$6:$H$174, "&lt;"&amp;AQC1)</f>
        <v>0</v>
      </c>
      <c r="AQC5" s="112">
        <f>SUMIFS('Expenditure Breakdown'!$G$6:$G$174, 'Expenditure Breakdown'!$H$6:$H$174, "&gt;="&amp;AQC1,'Expenditure Breakdown'!$H$6:$H$174, "&lt;"&amp;AQD1)</f>
        <v>0</v>
      </c>
      <c r="AQD5" s="112">
        <f>SUMIFS('Expenditure Breakdown'!$G$6:$G$174, 'Expenditure Breakdown'!$H$6:$H$174, "&gt;="&amp;AQD1,'Expenditure Breakdown'!$H$6:$H$174, "&lt;"&amp;AQE1)</f>
        <v>0</v>
      </c>
      <c r="AQE5" s="112">
        <f>SUMIFS('Expenditure Breakdown'!$G$6:$G$174, 'Expenditure Breakdown'!$H$6:$H$174, "&gt;="&amp;AQE1,'Expenditure Breakdown'!$H$6:$H$174, "&lt;"&amp;AQF1)</f>
        <v>0</v>
      </c>
      <c r="AQF5" s="112">
        <f>SUMIFS('Expenditure Breakdown'!$G$6:$G$174, 'Expenditure Breakdown'!$H$6:$H$174, "&gt;="&amp;AQF1,'Expenditure Breakdown'!$H$6:$H$174, "&lt;"&amp;AQG1)</f>
        <v>0</v>
      </c>
      <c r="AQG5" s="112">
        <f>SUMIFS('Expenditure Breakdown'!$G$6:$G$174, 'Expenditure Breakdown'!$H$6:$H$174, "&gt;="&amp;AQG1,'Expenditure Breakdown'!$H$6:$H$174, "&lt;"&amp;AQH1)</f>
        <v>0</v>
      </c>
      <c r="AQH5" s="112">
        <f>SUMIFS('Expenditure Breakdown'!$G$6:$G$174, 'Expenditure Breakdown'!$H$6:$H$174, "&gt;="&amp;AQH1,'Expenditure Breakdown'!$H$6:$H$174, "&lt;"&amp;AQI1)</f>
        <v>0</v>
      </c>
      <c r="AQI5" s="112">
        <f>SUMIFS('Expenditure Breakdown'!$G$6:$G$174, 'Expenditure Breakdown'!$H$6:$H$174, "&gt;="&amp;AQI1,'Expenditure Breakdown'!$H$6:$H$174, "&lt;"&amp;AQJ1)</f>
        <v>0</v>
      </c>
      <c r="AQJ5" s="112">
        <f>SUMIFS('Expenditure Breakdown'!$G$6:$G$174, 'Expenditure Breakdown'!$H$6:$H$174, "&gt;="&amp;AQJ1,'Expenditure Breakdown'!$H$6:$H$174, "&lt;"&amp;AQK1)</f>
        <v>0</v>
      </c>
      <c r="AQK5" s="112">
        <f>SUMIFS('Expenditure Breakdown'!$G$6:$G$174, 'Expenditure Breakdown'!$H$6:$H$174, "&gt;="&amp;AQK1,'Expenditure Breakdown'!$H$6:$H$174, "&lt;"&amp;AQL1)</f>
        <v>0</v>
      </c>
      <c r="AQL5" s="112">
        <f>SUMIFS('Expenditure Breakdown'!$G$6:$G$174, 'Expenditure Breakdown'!$H$6:$H$174, "&gt;="&amp;AQL1,'Expenditure Breakdown'!$H$6:$H$174, "&lt;"&amp;AQM1)</f>
        <v>0</v>
      </c>
      <c r="AQM5" s="112">
        <f>SUMIFS('Expenditure Breakdown'!$G$6:$G$174, 'Expenditure Breakdown'!$H$6:$H$174, "&gt;="&amp;AQM1,'Expenditure Breakdown'!$H$6:$H$174, "&lt;"&amp;AQN1)</f>
        <v>0</v>
      </c>
      <c r="AQN5" s="112">
        <f>SUMIFS('Expenditure Breakdown'!$G$6:$G$174, 'Expenditure Breakdown'!$H$6:$H$174, "&gt;="&amp;AQN1,'Expenditure Breakdown'!$H$6:$H$174, "&lt;"&amp;AQO1)</f>
        <v>0</v>
      </c>
      <c r="AQO5" s="112">
        <f>SUMIFS('Expenditure Breakdown'!$G$6:$G$174, 'Expenditure Breakdown'!$H$6:$H$174, "&gt;="&amp;AQO1,'Expenditure Breakdown'!$H$6:$H$174, "&lt;"&amp;AQP1)</f>
        <v>0</v>
      </c>
      <c r="AQP5" s="112">
        <f>SUMIFS('Expenditure Breakdown'!$G$6:$G$174, 'Expenditure Breakdown'!$H$6:$H$174, "&gt;="&amp;AQP1,'Expenditure Breakdown'!$H$6:$H$174, "&lt;"&amp;AQQ1)</f>
        <v>0</v>
      </c>
      <c r="AQQ5" s="112">
        <f>SUMIFS('Expenditure Breakdown'!$G$6:$G$174, 'Expenditure Breakdown'!$H$6:$H$174, "&gt;="&amp;AQQ1,'Expenditure Breakdown'!$H$6:$H$174, "&lt;"&amp;AQR1)</f>
        <v>0</v>
      </c>
      <c r="AQR5" s="112">
        <f>SUMIFS('Expenditure Breakdown'!$G$6:$G$174, 'Expenditure Breakdown'!$H$6:$H$174, "&gt;="&amp;AQR1,'Expenditure Breakdown'!$H$6:$H$174, "&lt;"&amp;AQS1)</f>
        <v>0</v>
      </c>
      <c r="AQS5" s="112">
        <f>SUMIFS('Expenditure Breakdown'!$G$6:$G$174, 'Expenditure Breakdown'!$H$6:$H$174, "&gt;="&amp;AQS1,'Expenditure Breakdown'!$H$6:$H$174, "&lt;"&amp;AQT1)</f>
        <v>0</v>
      </c>
      <c r="AQT5" s="112">
        <f>SUMIFS('Expenditure Breakdown'!$G$6:$G$174, 'Expenditure Breakdown'!$H$6:$H$174, "&gt;="&amp;AQT1,'Expenditure Breakdown'!$H$6:$H$174, "&lt;"&amp;AQU1)</f>
        <v>0</v>
      </c>
      <c r="AQU5" s="112">
        <f>SUMIFS('Expenditure Breakdown'!$G$6:$G$174, 'Expenditure Breakdown'!$H$6:$H$174, "&gt;="&amp;AQU1,'Expenditure Breakdown'!$H$6:$H$174, "&lt;"&amp;AQV1)</f>
        <v>0</v>
      </c>
      <c r="AQV5" s="112">
        <f>SUMIFS('Expenditure Breakdown'!$G$6:$G$174, 'Expenditure Breakdown'!$H$6:$H$174, "&gt;="&amp;AQV1,'Expenditure Breakdown'!$H$6:$H$174, "&lt;"&amp;AQW1)</f>
        <v>0</v>
      </c>
      <c r="AQW5" s="112">
        <f>SUMIFS('Expenditure Breakdown'!$G$6:$G$174, 'Expenditure Breakdown'!$H$6:$H$174, "&gt;="&amp;AQW1,'Expenditure Breakdown'!$H$6:$H$174, "&lt;"&amp;AQX1)</f>
        <v>0</v>
      </c>
      <c r="AQX5" s="112">
        <f>SUMIFS('Expenditure Breakdown'!$G$6:$G$174, 'Expenditure Breakdown'!$H$6:$H$174, "&gt;="&amp;AQX1,'Expenditure Breakdown'!$H$6:$H$174, "&lt;"&amp;AQY1)</f>
        <v>0</v>
      </c>
      <c r="AQY5" s="112">
        <f>SUMIFS('Expenditure Breakdown'!$G$6:$G$174, 'Expenditure Breakdown'!$H$6:$H$174, "&gt;="&amp;AQY1,'Expenditure Breakdown'!$H$6:$H$174, "&lt;"&amp;AQZ1)</f>
        <v>0</v>
      </c>
      <c r="AQZ5" s="112">
        <f>SUMIFS('Expenditure Breakdown'!$G$6:$G$174, 'Expenditure Breakdown'!$H$6:$H$174, "&gt;="&amp;AQZ1,'Expenditure Breakdown'!$H$6:$H$174, "&lt;"&amp;ARA1)</f>
        <v>0</v>
      </c>
      <c r="ARA5" s="112">
        <f>SUMIFS('Expenditure Breakdown'!$G$6:$G$174, 'Expenditure Breakdown'!$H$6:$H$174, "&gt;="&amp;ARA1,'Expenditure Breakdown'!$H$6:$H$174, "&lt;"&amp;ARB1)</f>
        <v>0</v>
      </c>
      <c r="ARB5" s="112">
        <f>SUMIFS('Expenditure Breakdown'!$G$6:$G$174, 'Expenditure Breakdown'!$H$6:$H$174, "&gt;="&amp;ARB1,'Expenditure Breakdown'!$H$6:$H$174, "&lt;"&amp;ARC1)</f>
        <v>0</v>
      </c>
      <c r="ARC5" s="112">
        <f>SUMIFS('Expenditure Breakdown'!$G$6:$G$174, 'Expenditure Breakdown'!$H$6:$H$174, "&gt;="&amp;ARC1,'Expenditure Breakdown'!$H$6:$H$174, "&lt;"&amp;ARD1)</f>
        <v>0</v>
      </c>
      <c r="ARD5" s="112">
        <f>SUMIFS('Expenditure Breakdown'!$G$6:$G$174, 'Expenditure Breakdown'!$H$6:$H$174, "&gt;="&amp;ARD1,'Expenditure Breakdown'!$H$6:$H$174, "&lt;"&amp;ARE1)</f>
        <v>0</v>
      </c>
      <c r="ARE5" s="112">
        <f>SUMIFS('Expenditure Breakdown'!$G$6:$G$174, 'Expenditure Breakdown'!$H$6:$H$174, "&gt;="&amp;ARE1,'Expenditure Breakdown'!$H$6:$H$174, "&lt;"&amp;ARF1)</f>
        <v>0</v>
      </c>
      <c r="ARF5" s="112">
        <f>SUMIFS('Expenditure Breakdown'!$G$6:$G$174, 'Expenditure Breakdown'!$H$6:$H$174, "&gt;="&amp;ARF1,'Expenditure Breakdown'!$H$6:$H$174, "&lt;"&amp;ARG1)</f>
        <v>0</v>
      </c>
      <c r="ARG5" s="112">
        <f>SUMIFS('Expenditure Breakdown'!$G$6:$G$174, 'Expenditure Breakdown'!$H$6:$H$174, "&gt;="&amp;ARG1,'Expenditure Breakdown'!$H$6:$H$174, "&lt;"&amp;ARH1)</f>
        <v>0</v>
      </c>
      <c r="ARH5" s="112">
        <f>SUMIFS('Expenditure Breakdown'!$G$6:$G$174, 'Expenditure Breakdown'!$H$6:$H$174, "&gt;="&amp;ARH1,'Expenditure Breakdown'!$H$6:$H$174, "&lt;"&amp;ARI1)</f>
        <v>0</v>
      </c>
      <c r="ARI5" s="112">
        <f>SUMIFS('Expenditure Breakdown'!$G$6:$G$174, 'Expenditure Breakdown'!$H$6:$H$174, "&gt;="&amp;ARI1,'Expenditure Breakdown'!$H$6:$H$174, "&lt;"&amp;ARJ1)</f>
        <v>0</v>
      </c>
      <c r="ARJ5" s="112">
        <f>SUMIFS('Expenditure Breakdown'!$G$6:$G$174, 'Expenditure Breakdown'!$H$6:$H$174, "&gt;="&amp;ARJ1,'Expenditure Breakdown'!$H$6:$H$174, "&lt;"&amp;ARK1)</f>
        <v>0</v>
      </c>
      <c r="ARK5" s="112">
        <f>SUMIFS('Expenditure Breakdown'!$G$6:$G$174, 'Expenditure Breakdown'!$H$6:$H$174, "&gt;="&amp;ARK1,'Expenditure Breakdown'!$H$6:$H$174, "&lt;"&amp;ARL1)</f>
        <v>0</v>
      </c>
      <c r="ARL5" s="112">
        <f>SUMIFS('Expenditure Breakdown'!$G$6:$G$174, 'Expenditure Breakdown'!$H$6:$H$174, "&gt;="&amp;ARL1,'Expenditure Breakdown'!$H$6:$H$174, "&lt;"&amp;ARM1)</f>
        <v>0</v>
      </c>
      <c r="ARM5" s="112">
        <f>SUMIFS('Expenditure Breakdown'!$G$6:$G$174, 'Expenditure Breakdown'!$H$6:$H$174, "&gt;="&amp;ARM1,'Expenditure Breakdown'!$H$6:$H$174, "&lt;"&amp;ARN1)</f>
        <v>0</v>
      </c>
      <c r="ARN5" s="112">
        <f>SUMIFS('Expenditure Breakdown'!$G$6:$G$174, 'Expenditure Breakdown'!$H$6:$H$174, "&gt;="&amp;ARN1,'Expenditure Breakdown'!$H$6:$H$174, "&lt;"&amp;ARO1)</f>
        <v>0</v>
      </c>
      <c r="ARO5" s="112">
        <f>SUMIFS('Expenditure Breakdown'!$G$6:$G$174, 'Expenditure Breakdown'!$H$6:$H$174, "&gt;="&amp;ARO1,'Expenditure Breakdown'!$H$6:$H$174, "&lt;"&amp;ARP1)</f>
        <v>0</v>
      </c>
      <c r="ARP5" s="112">
        <f>SUMIFS('Expenditure Breakdown'!$G$6:$G$174, 'Expenditure Breakdown'!$H$6:$H$174, "&gt;="&amp;ARP1,'Expenditure Breakdown'!$H$6:$H$174, "&lt;"&amp;ARQ1)</f>
        <v>0</v>
      </c>
      <c r="ARQ5" s="112">
        <f>SUMIFS('Expenditure Breakdown'!$G$6:$G$174, 'Expenditure Breakdown'!$H$6:$H$174, "&gt;="&amp;ARQ1,'Expenditure Breakdown'!$H$6:$H$174, "&lt;"&amp;ARR1)</f>
        <v>0</v>
      </c>
      <c r="ARR5" s="112">
        <f>SUMIFS('Expenditure Breakdown'!$G$6:$G$174, 'Expenditure Breakdown'!$H$6:$H$174, "&gt;="&amp;ARR1,'Expenditure Breakdown'!$H$6:$H$174, "&lt;"&amp;ARS1)</f>
        <v>0</v>
      </c>
      <c r="ARS5" s="112">
        <f>SUMIFS('Expenditure Breakdown'!$G$6:$G$174, 'Expenditure Breakdown'!$H$6:$H$174, "&gt;="&amp;ARS1,'Expenditure Breakdown'!$H$6:$H$174, "&lt;"&amp;ART1)</f>
        <v>0</v>
      </c>
      <c r="ART5" s="112">
        <f>SUMIFS('Expenditure Breakdown'!$G$6:$G$174, 'Expenditure Breakdown'!$H$6:$H$174, "&gt;="&amp;ART1,'Expenditure Breakdown'!$H$6:$H$174, "&lt;"&amp;ARU1)</f>
        <v>0</v>
      </c>
      <c r="ARU5" s="112">
        <f>SUMIFS('Expenditure Breakdown'!$G$6:$G$174, 'Expenditure Breakdown'!$H$6:$H$174, "&gt;="&amp;ARU1,'Expenditure Breakdown'!$H$6:$H$174, "&lt;"&amp;ARV1)</f>
        <v>0</v>
      </c>
      <c r="ARV5" s="112">
        <f>SUMIFS('Expenditure Breakdown'!$G$6:$G$174, 'Expenditure Breakdown'!$H$6:$H$174, "&gt;="&amp;ARV1,'Expenditure Breakdown'!$H$6:$H$174, "&lt;"&amp;ARW1)</f>
        <v>0</v>
      </c>
      <c r="ARW5" s="112">
        <f>SUMIFS('Expenditure Breakdown'!$G$6:$G$174, 'Expenditure Breakdown'!$H$6:$H$174, "&gt;="&amp;ARW1,'Expenditure Breakdown'!$H$6:$H$174, "&lt;"&amp;ARX1)</f>
        <v>0</v>
      </c>
      <c r="ARX5" s="112">
        <f>SUMIFS('Expenditure Breakdown'!$G$6:$G$174, 'Expenditure Breakdown'!$H$6:$H$174, "&gt;="&amp;ARX1,'Expenditure Breakdown'!$H$6:$H$174, "&lt;"&amp;ARY1)</f>
        <v>0</v>
      </c>
      <c r="ARY5" s="112">
        <f>SUMIFS('Expenditure Breakdown'!$G$6:$G$174, 'Expenditure Breakdown'!$H$6:$H$174, "&gt;="&amp;ARY1,'Expenditure Breakdown'!$H$6:$H$174, "&lt;"&amp;ARZ1)</f>
        <v>0</v>
      </c>
      <c r="ARZ5" s="112">
        <f>SUMIFS('Expenditure Breakdown'!$G$6:$G$174, 'Expenditure Breakdown'!$H$6:$H$174, "&gt;="&amp;ARZ1,'Expenditure Breakdown'!$H$6:$H$174, "&lt;"&amp;ASA1)</f>
        <v>0</v>
      </c>
      <c r="ASA5" s="112">
        <f>SUMIFS('Expenditure Breakdown'!$G$6:$G$174, 'Expenditure Breakdown'!$H$6:$H$174, "&gt;="&amp;ASA1,'Expenditure Breakdown'!$H$6:$H$174, "&lt;"&amp;ASB1)</f>
        <v>0</v>
      </c>
      <c r="ASB5" s="112">
        <f>SUMIFS('Expenditure Breakdown'!$G$6:$G$174, 'Expenditure Breakdown'!$H$6:$H$174, "&gt;="&amp;ASB1,'Expenditure Breakdown'!$H$6:$H$174, "&lt;"&amp;ASC1)</f>
        <v>0</v>
      </c>
      <c r="ASC5" s="112">
        <f>SUMIFS('Expenditure Breakdown'!$G$6:$G$174, 'Expenditure Breakdown'!$H$6:$H$174, "&gt;="&amp;ASC1,'Expenditure Breakdown'!$H$6:$H$174, "&lt;"&amp;ASD1)</f>
        <v>0</v>
      </c>
      <c r="ASD5" s="112">
        <f>SUMIFS('Expenditure Breakdown'!$G$6:$G$174, 'Expenditure Breakdown'!$H$6:$H$174, "&gt;="&amp;ASD1,'Expenditure Breakdown'!$H$6:$H$174, "&lt;"&amp;ASE1)</f>
        <v>0</v>
      </c>
      <c r="ASE5" s="112">
        <f>SUMIFS('Expenditure Breakdown'!$G$6:$G$174, 'Expenditure Breakdown'!$H$6:$H$174, "&gt;="&amp;ASE1,'Expenditure Breakdown'!$H$6:$H$174, "&lt;"&amp;ASF1)</f>
        <v>0</v>
      </c>
      <c r="ASF5" s="112">
        <f>SUMIFS('Expenditure Breakdown'!$G$6:$G$174, 'Expenditure Breakdown'!$H$6:$H$174, "&gt;="&amp;ASF1,'Expenditure Breakdown'!$H$6:$H$174, "&lt;"&amp;ASG1)</f>
        <v>0</v>
      </c>
      <c r="ASG5" s="112">
        <f>SUMIFS('Expenditure Breakdown'!$G$6:$G$174, 'Expenditure Breakdown'!$H$6:$H$174, "&gt;="&amp;ASG1,'Expenditure Breakdown'!$H$6:$H$174, "&lt;"&amp;ASH1)</f>
        <v>0</v>
      </c>
      <c r="ASH5" s="112">
        <f>SUMIFS('Expenditure Breakdown'!$G$6:$G$174, 'Expenditure Breakdown'!$H$6:$H$174, "&gt;="&amp;ASH1,'Expenditure Breakdown'!$H$6:$H$174, "&lt;"&amp;ASI1)</f>
        <v>0</v>
      </c>
      <c r="ASI5" s="112">
        <f>SUMIFS('Expenditure Breakdown'!$G$6:$G$174, 'Expenditure Breakdown'!$H$6:$H$174, "&gt;="&amp;ASI1,'Expenditure Breakdown'!$H$6:$H$174, "&lt;"&amp;ASJ1)</f>
        <v>0</v>
      </c>
      <c r="ASJ5" s="112">
        <f>SUMIFS('Expenditure Breakdown'!$G$6:$G$174, 'Expenditure Breakdown'!$H$6:$H$174, "&gt;="&amp;ASJ1,'Expenditure Breakdown'!$H$6:$H$174, "&lt;"&amp;ASK1)</f>
        <v>0</v>
      </c>
      <c r="ASK5" s="112">
        <f>SUMIFS('Expenditure Breakdown'!$G$6:$G$174, 'Expenditure Breakdown'!$H$6:$H$174, "&gt;="&amp;ASK1,'Expenditure Breakdown'!$H$6:$H$174, "&lt;"&amp;ASL1)</f>
        <v>0</v>
      </c>
      <c r="ASL5" s="112">
        <f>SUMIFS('Expenditure Breakdown'!$G$6:$G$174, 'Expenditure Breakdown'!$H$6:$H$174, "&gt;="&amp;ASL1,'Expenditure Breakdown'!$H$6:$H$174, "&lt;"&amp;ASM1)</f>
        <v>0</v>
      </c>
      <c r="ASM5" s="112">
        <f>SUMIFS('Expenditure Breakdown'!$G$6:$G$174, 'Expenditure Breakdown'!$H$6:$H$174, "&gt;="&amp;ASM1,'Expenditure Breakdown'!$H$6:$H$174, "&lt;"&amp;ASN1)</f>
        <v>0</v>
      </c>
      <c r="ASN5" s="112">
        <f>SUMIFS('Expenditure Breakdown'!$G$6:$G$174, 'Expenditure Breakdown'!$H$6:$H$174, "&gt;="&amp;ASN1,'Expenditure Breakdown'!$H$6:$H$174, "&lt;"&amp;ASO1)</f>
        <v>0</v>
      </c>
      <c r="ASO5" s="112">
        <f>SUMIFS('Expenditure Breakdown'!$G$6:$G$174, 'Expenditure Breakdown'!$H$6:$H$174, "&gt;="&amp;ASO1,'Expenditure Breakdown'!$H$6:$H$174, "&lt;"&amp;ASP1)</f>
        <v>0</v>
      </c>
      <c r="ASP5" s="112">
        <f>SUMIFS('Expenditure Breakdown'!$G$6:$G$174, 'Expenditure Breakdown'!$H$6:$H$174, "&gt;="&amp;ASP1,'Expenditure Breakdown'!$H$6:$H$174, "&lt;"&amp;ASQ1)</f>
        <v>0</v>
      </c>
      <c r="ASQ5" s="112">
        <f>SUMIFS('Expenditure Breakdown'!$G$6:$G$174, 'Expenditure Breakdown'!$H$6:$H$174, "&gt;="&amp;ASQ1,'Expenditure Breakdown'!$H$6:$H$174, "&lt;"&amp;ASR1)</f>
        <v>0</v>
      </c>
      <c r="ASR5" s="112">
        <f>SUMIFS('Expenditure Breakdown'!$G$6:$G$174, 'Expenditure Breakdown'!$H$6:$H$174, "&gt;="&amp;ASR1,'Expenditure Breakdown'!$H$6:$H$174, "&lt;"&amp;ASS1)</f>
        <v>0</v>
      </c>
      <c r="ASS5" s="112">
        <f>SUMIFS('Expenditure Breakdown'!$G$6:$G$174, 'Expenditure Breakdown'!$H$6:$H$174, "&gt;="&amp;ASS1,'Expenditure Breakdown'!$H$6:$H$174, "&lt;"&amp;AST1)</f>
        <v>0</v>
      </c>
      <c r="AST5" s="112">
        <f>SUMIFS('Expenditure Breakdown'!$G$6:$G$174, 'Expenditure Breakdown'!$H$6:$H$174, "&gt;="&amp;AST1,'Expenditure Breakdown'!$H$6:$H$174, "&lt;"&amp;ASU1)</f>
        <v>0</v>
      </c>
      <c r="ASU5" s="112">
        <f>SUMIFS('Expenditure Breakdown'!$G$6:$G$174, 'Expenditure Breakdown'!$H$6:$H$174, "&gt;="&amp;ASU1,'Expenditure Breakdown'!$H$6:$H$174, "&lt;"&amp;ASV1)</f>
        <v>0</v>
      </c>
      <c r="ASV5" s="112">
        <f>SUMIFS('Expenditure Breakdown'!$G$6:$G$174, 'Expenditure Breakdown'!$H$6:$H$174, "&gt;="&amp;ASV1,'Expenditure Breakdown'!$H$6:$H$174, "&lt;"&amp;ASW1)</f>
        <v>0</v>
      </c>
      <c r="ASW5" s="112">
        <f>SUMIFS('Expenditure Breakdown'!$G$6:$G$174, 'Expenditure Breakdown'!$H$6:$H$174, "&gt;="&amp;ASW1,'Expenditure Breakdown'!$H$6:$H$174, "&lt;"&amp;ASX1)</f>
        <v>0</v>
      </c>
      <c r="ASX5" s="112">
        <f>SUMIFS('Expenditure Breakdown'!$G$6:$G$174, 'Expenditure Breakdown'!$H$6:$H$174, "&gt;="&amp;ASX1,'Expenditure Breakdown'!$H$6:$H$174, "&lt;"&amp;ASY1)</f>
        <v>0</v>
      </c>
      <c r="ASY5" s="112">
        <f>SUMIFS('Expenditure Breakdown'!$G$6:$G$174, 'Expenditure Breakdown'!$H$6:$H$174, "&gt;="&amp;ASY1,'Expenditure Breakdown'!$H$6:$H$174, "&lt;"&amp;ASZ1)</f>
        <v>0</v>
      </c>
      <c r="ASZ5" s="112">
        <f>SUMIFS('Expenditure Breakdown'!$G$6:$G$174, 'Expenditure Breakdown'!$H$6:$H$174, "&gt;="&amp;ASZ1,'Expenditure Breakdown'!$H$6:$H$174, "&lt;"&amp;ATA1)</f>
        <v>0</v>
      </c>
      <c r="ATA5" s="112">
        <f>SUMIFS('Expenditure Breakdown'!$G$6:$G$174, 'Expenditure Breakdown'!$H$6:$H$174, "&gt;="&amp;ATA1,'Expenditure Breakdown'!$H$6:$H$174, "&lt;"&amp;ATB1)</f>
        <v>0</v>
      </c>
      <c r="ATB5" s="112">
        <f>SUMIFS('Expenditure Breakdown'!$G$6:$G$174, 'Expenditure Breakdown'!$H$6:$H$174, "&gt;="&amp;ATB1,'Expenditure Breakdown'!$H$6:$H$174, "&lt;"&amp;ATC1)</f>
        <v>0</v>
      </c>
      <c r="ATC5" s="112">
        <f>SUMIFS('Expenditure Breakdown'!$G$6:$G$174, 'Expenditure Breakdown'!$H$6:$H$174, "&gt;="&amp;ATC1,'Expenditure Breakdown'!$H$6:$H$174, "&lt;"&amp;ATD1)</f>
        <v>0</v>
      </c>
      <c r="ATD5" s="112">
        <f>SUMIFS('Expenditure Breakdown'!$G$6:$G$174, 'Expenditure Breakdown'!$H$6:$H$174, "&gt;="&amp;ATD1,'Expenditure Breakdown'!$H$6:$H$174, "&lt;"&amp;ATE1)</f>
        <v>0</v>
      </c>
      <c r="ATE5" s="112">
        <f>SUMIFS('Expenditure Breakdown'!$G$6:$G$174, 'Expenditure Breakdown'!$H$6:$H$174, "&gt;="&amp;ATE1,'Expenditure Breakdown'!$H$6:$H$174, "&lt;"&amp;ATF1)</f>
        <v>0</v>
      </c>
      <c r="ATF5" s="112">
        <f>SUMIFS('Expenditure Breakdown'!$G$6:$G$174, 'Expenditure Breakdown'!$H$6:$H$174, "&gt;="&amp;ATF1,'Expenditure Breakdown'!$H$6:$H$174, "&lt;"&amp;ATG1)</f>
        <v>0</v>
      </c>
      <c r="ATG5" s="112">
        <f>SUMIFS('Expenditure Breakdown'!$G$6:$G$174, 'Expenditure Breakdown'!$H$6:$H$174, "&gt;="&amp;ATG1,'Expenditure Breakdown'!$H$6:$H$174, "&lt;"&amp;ATH1)</f>
        <v>0</v>
      </c>
      <c r="ATH5" s="112">
        <f>SUMIFS('Expenditure Breakdown'!$G$6:$G$174, 'Expenditure Breakdown'!$H$6:$H$174, "&gt;="&amp;ATH1,'Expenditure Breakdown'!$H$6:$H$174, "&lt;"&amp;ATI1)</f>
        <v>0</v>
      </c>
      <c r="ATI5" s="112">
        <f>SUMIFS('Expenditure Breakdown'!$G$6:$G$174, 'Expenditure Breakdown'!$H$6:$H$174, "&gt;="&amp;ATI1,'Expenditure Breakdown'!$H$6:$H$174, "&lt;"&amp;ATJ1)</f>
        <v>0</v>
      </c>
      <c r="ATJ5" s="112">
        <f>SUMIFS('Expenditure Breakdown'!$G$6:$G$174, 'Expenditure Breakdown'!$H$6:$H$174, "&gt;="&amp;ATJ1,'Expenditure Breakdown'!$H$6:$H$174, "&lt;"&amp;ATK1)</f>
        <v>0</v>
      </c>
      <c r="ATK5" s="112">
        <f>SUMIFS('Expenditure Breakdown'!$G$6:$G$174, 'Expenditure Breakdown'!$H$6:$H$174, "&gt;="&amp;ATK1,'Expenditure Breakdown'!$H$6:$H$174, "&lt;"&amp;ATL1)</f>
        <v>0</v>
      </c>
      <c r="ATL5" s="112">
        <f>SUMIFS('Expenditure Breakdown'!$G$6:$G$174, 'Expenditure Breakdown'!$H$6:$H$174, "&gt;="&amp;ATL1,'Expenditure Breakdown'!$H$6:$H$174, "&lt;"&amp;ATM1)</f>
        <v>0</v>
      </c>
      <c r="ATM5" s="112">
        <f>SUMIFS('Expenditure Breakdown'!$G$6:$G$174, 'Expenditure Breakdown'!$H$6:$H$174, "&gt;="&amp;ATM1,'Expenditure Breakdown'!$H$6:$H$174, "&lt;"&amp;ATN1)</f>
        <v>0</v>
      </c>
      <c r="ATN5" s="112">
        <f>SUMIFS('Expenditure Breakdown'!$G$6:$G$174, 'Expenditure Breakdown'!$H$6:$H$174, "&gt;="&amp;ATN1,'Expenditure Breakdown'!$H$6:$H$174, "&lt;"&amp;ATO1)</f>
        <v>0</v>
      </c>
      <c r="ATO5" s="112">
        <f>SUMIFS('Expenditure Breakdown'!$G$6:$G$174, 'Expenditure Breakdown'!$H$6:$H$174, "&gt;="&amp;ATO1,'Expenditure Breakdown'!$H$6:$H$174, "&lt;"&amp;ATP1)</f>
        <v>0</v>
      </c>
      <c r="ATP5" s="112">
        <f>SUMIFS('Expenditure Breakdown'!$G$6:$G$174, 'Expenditure Breakdown'!$H$6:$H$174, "&gt;="&amp;ATP1,'Expenditure Breakdown'!$H$6:$H$174, "&lt;"&amp;ATQ1)</f>
        <v>0</v>
      </c>
      <c r="ATQ5" s="112">
        <f>SUMIFS('Expenditure Breakdown'!$G$6:$G$174, 'Expenditure Breakdown'!$H$6:$H$174, "&gt;="&amp;ATQ1,'Expenditure Breakdown'!$H$6:$H$174, "&lt;"&amp;ATR1)</f>
        <v>0</v>
      </c>
      <c r="ATR5" s="112">
        <f>SUMIFS('Expenditure Breakdown'!$G$6:$G$174, 'Expenditure Breakdown'!$H$6:$H$174, "&gt;="&amp;ATR1,'Expenditure Breakdown'!$H$6:$H$174, "&lt;"&amp;ATS1)</f>
        <v>0</v>
      </c>
      <c r="ATS5" s="112">
        <f>SUMIFS('Expenditure Breakdown'!$G$6:$G$174, 'Expenditure Breakdown'!$H$6:$H$174, "&gt;="&amp;ATS1,'Expenditure Breakdown'!$H$6:$H$174, "&lt;"&amp;ATT1)</f>
        <v>0</v>
      </c>
      <c r="ATT5" s="112">
        <f>SUMIFS('Expenditure Breakdown'!$G$6:$G$174, 'Expenditure Breakdown'!$H$6:$H$174, "&gt;="&amp;ATT1,'Expenditure Breakdown'!$H$6:$H$174, "&lt;"&amp;ATU1)</f>
        <v>0</v>
      </c>
      <c r="ATU5" s="112">
        <f>SUMIFS('Expenditure Breakdown'!$G$6:$G$174, 'Expenditure Breakdown'!$H$6:$H$174, "&gt;="&amp;ATU1,'Expenditure Breakdown'!$H$6:$H$174, "&lt;"&amp;ATV1)</f>
        <v>0</v>
      </c>
      <c r="ATV5" s="112">
        <f>SUMIFS('Expenditure Breakdown'!$G$6:$G$174, 'Expenditure Breakdown'!$H$6:$H$174, "&gt;="&amp;ATV1,'Expenditure Breakdown'!$H$6:$H$174, "&lt;"&amp;ATW1)</f>
        <v>0</v>
      </c>
      <c r="ATW5" s="112">
        <f>SUMIFS('Expenditure Breakdown'!$G$6:$G$174, 'Expenditure Breakdown'!$H$6:$H$174, "&gt;="&amp;ATW1,'Expenditure Breakdown'!$H$6:$H$174, "&lt;"&amp;ATX1)</f>
        <v>0</v>
      </c>
      <c r="ATX5" s="112">
        <f>SUMIFS('Expenditure Breakdown'!$G$6:$G$174, 'Expenditure Breakdown'!$H$6:$H$174, "&gt;="&amp;ATX1,'Expenditure Breakdown'!$H$6:$H$174, "&lt;"&amp;ATY1)</f>
        <v>0</v>
      </c>
      <c r="ATY5" s="112">
        <f>SUMIFS('Expenditure Breakdown'!$G$6:$G$174, 'Expenditure Breakdown'!$H$6:$H$174, "&gt;="&amp;ATY1,'Expenditure Breakdown'!$H$6:$H$174, "&lt;"&amp;ATZ1)</f>
        <v>0</v>
      </c>
      <c r="ATZ5" s="112">
        <f>SUMIFS('Expenditure Breakdown'!$G$6:$G$174, 'Expenditure Breakdown'!$H$6:$H$174, "&gt;="&amp;ATZ1,'Expenditure Breakdown'!$H$6:$H$174, "&lt;"&amp;AUA1)</f>
        <v>0</v>
      </c>
      <c r="AUA5" s="112">
        <f>SUMIFS('Expenditure Breakdown'!$G$6:$G$174, 'Expenditure Breakdown'!$H$6:$H$174, "&gt;="&amp;AUA1,'Expenditure Breakdown'!$H$6:$H$174, "&lt;"&amp;AUB1)</f>
        <v>0</v>
      </c>
      <c r="AUB5" s="112">
        <f>SUMIFS('Expenditure Breakdown'!$G$6:$G$174, 'Expenditure Breakdown'!$H$6:$H$174, "&gt;="&amp;AUB1,'Expenditure Breakdown'!$H$6:$H$174, "&lt;"&amp;AUC1)</f>
        <v>0</v>
      </c>
      <c r="AUC5" s="112">
        <f>SUMIFS('Expenditure Breakdown'!$G$6:$G$174, 'Expenditure Breakdown'!$H$6:$H$174, "&gt;="&amp;AUC1,'Expenditure Breakdown'!$H$6:$H$174, "&lt;"&amp;AUD1)</f>
        <v>0</v>
      </c>
      <c r="AUD5" s="112">
        <f>SUMIFS('Expenditure Breakdown'!$G$6:$G$174, 'Expenditure Breakdown'!$H$6:$H$174, "&gt;="&amp;AUD1,'Expenditure Breakdown'!$H$6:$H$174, "&lt;"&amp;AUE1)</f>
        <v>0</v>
      </c>
      <c r="AUE5" s="112">
        <f>SUMIFS('Expenditure Breakdown'!$G$6:$G$174, 'Expenditure Breakdown'!$H$6:$H$174, "&gt;="&amp;AUE1,'Expenditure Breakdown'!$H$6:$H$174, "&lt;"&amp;AUF1)</f>
        <v>0</v>
      </c>
      <c r="AUF5" s="112">
        <f>SUMIFS('Expenditure Breakdown'!$G$6:$G$174, 'Expenditure Breakdown'!$H$6:$H$174, "&gt;="&amp;AUF1,'Expenditure Breakdown'!$H$6:$H$174, "&lt;"&amp;AUG1)</f>
        <v>0</v>
      </c>
      <c r="AUG5" s="112">
        <f>SUMIFS('Expenditure Breakdown'!$G$6:$G$174, 'Expenditure Breakdown'!$H$6:$H$174, "&gt;="&amp;AUG1,'Expenditure Breakdown'!$H$6:$H$174, "&lt;"&amp;AUH1)</f>
        <v>0</v>
      </c>
      <c r="AUH5" s="112">
        <f>SUMIFS('Expenditure Breakdown'!$G$6:$G$174, 'Expenditure Breakdown'!$H$6:$H$174, "&gt;="&amp;AUH1,'Expenditure Breakdown'!$H$6:$H$174, "&lt;"&amp;AUI1)</f>
        <v>0</v>
      </c>
      <c r="AUI5" s="112">
        <f>SUMIFS('Expenditure Breakdown'!$G$6:$G$174, 'Expenditure Breakdown'!$H$6:$H$174, "&gt;="&amp;AUI1,'Expenditure Breakdown'!$H$6:$H$174, "&lt;"&amp;AUJ1)</f>
        <v>0</v>
      </c>
      <c r="AUJ5" s="112">
        <f>SUMIFS('Expenditure Breakdown'!$G$6:$G$174, 'Expenditure Breakdown'!$H$6:$H$174, "&gt;="&amp;AUJ1,'Expenditure Breakdown'!$H$6:$H$174, "&lt;"&amp;AUK1)</f>
        <v>0</v>
      </c>
      <c r="AUK5" s="112">
        <f>SUMIFS('Expenditure Breakdown'!$G$6:$G$174, 'Expenditure Breakdown'!$H$6:$H$174, "&gt;="&amp;AUK1,'Expenditure Breakdown'!$H$6:$H$174, "&lt;"&amp;AUL1)</f>
        <v>0</v>
      </c>
      <c r="AUL5" s="112">
        <f>SUMIFS('Expenditure Breakdown'!$G$6:$G$174, 'Expenditure Breakdown'!$H$6:$H$174, "&gt;="&amp;AUL1,'Expenditure Breakdown'!$H$6:$H$174, "&lt;"&amp;AUM1)</f>
        <v>0</v>
      </c>
      <c r="AUM5" s="112">
        <f>SUMIFS('Expenditure Breakdown'!$G$6:$G$174, 'Expenditure Breakdown'!$H$6:$H$174, "&gt;="&amp;AUM1,'Expenditure Breakdown'!$H$6:$H$174, "&lt;"&amp;AUN1)</f>
        <v>0</v>
      </c>
      <c r="AUN5" s="112">
        <f>SUMIFS('Expenditure Breakdown'!$G$6:$G$174, 'Expenditure Breakdown'!$H$6:$H$174, "&gt;="&amp;AUN1,'Expenditure Breakdown'!$H$6:$H$174, "&lt;"&amp;AUO1)</f>
        <v>0</v>
      </c>
      <c r="AUO5" s="112">
        <f>SUMIFS('Expenditure Breakdown'!$G$6:$G$174, 'Expenditure Breakdown'!$H$6:$H$174, "&gt;="&amp;AUO1,'Expenditure Breakdown'!$H$6:$H$174, "&lt;"&amp;AUP1)</f>
        <v>0</v>
      </c>
      <c r="AUP5" s="112">
        <f>SUMIFS('Expenditure Breakdown'!$G$6:$G$174, 'Expenditure Breakdown'!$H$6:$H$174, "&gt;="&amp;AUP1,'Expenditure Breakdown'!$H$6:$H$174, "&lt;"&amp;AUQ1)</f>
        <v>0</v>
      </c>
      <c r="AUQ5" s="112">
        <f>SUMIFS('Expenditure Breakdown'!$G$6:$G$174, 'Expenditure Breakdown'!$H$6:$H$174, "&gt;="&amp;AUQ1,'Expenditure Breakdown'!$H$6:$H$174, "&lt;"&amp;AUR1)</f>
        <v>0</v>
      </c>
      <c r="AUR5" s="112">
        <f>SUMIFS('Expenditure Breakdown'!$G$6:$G$174, 'Expenditure Breakdown'!$H$6:$H$174, "&gt;="&amp;AUR1,'Expenditure Breakdown'!$H$6:$H$174, "&lt;"&amp;AUS1)</f>
        <v>0</v>
      </c>
      <c r="AUS5" s="112">
        <f>SUMIFS('Expenditure Breakdown'!$G$6:$G$174, 'Expenditure Breakdown'!$H$6:$H$174, "&gt;="&amp;AUS1,'Expenditure Breakdown'!$H$6:$H$174, "&lt;"&amp;AUT1)</f>
        <v>0</v>
      </c>
      <c r="AUT5" s="112">
        <f>SUMIFS('Expenditure Breakdown'!$G$6:$G$174, 'Expenditure Breakdown'!$H$6:$H$174, "&gt;="&amp;AUT1,'Expenditure Breakdown'!$H$6:$H$174, "&lt;"&amp;AUU1)</f>
        <v>0</v>
      </c>
      <c r="AUU5" s="112">
        <f>SUMIFS('Expenditure Breakdown'!$G$6:$G$174, 'Expenditure Breakdown'!$H$6:$H$174, "&gt;="&amp;AUU1,'Expenditure Breakdown'!$H$6:$H$174, "&lt;"&amp;AUV1)</f>
        <v>0</v>
      </c>
      <c r="AUV5" s="112">
        <f>SUMIFS('Expenditure Breakdown'!$G$6:$G$174, 'Expenditure Breakdown'!$H$6:$H$174, "&gt;="&amp;AUV1,'Expenditure Breakdown'!$H$6:$H$174, "&lt;"&amp;AUW1)</f>
        <v>0</v>
      </c>
      <c r="AUW5" s="112">
        <f>SUMIFS('Expenditure Breakdown'!$G$6:$G$174, 'Expenditure Breakdown'!$H$6:$H$174, "&gt;="&amp;AUW1,'Expenditure Breakdown'!$H$6:$H$174, "&lt;"&amp;AUX1)</f>
        <v>0</v>
      </c>
      <c r="AUX5" s="112">
        <f>SUMIFS('Expenditure Breakdown'!$G$6:$G$174, 'Expenditure Breakdown'!$H$6:$H$174, "&gt;="&amp;AUX1,'Expenditure Breakdown'!$H$6:$H$174, "&lt;"&amp;AUY1)</f>
        <v>0</v>
      </c>
      <c r="AUY5" s="112">
        <f>SUMIFS('Expenditure Breakdown'!$G$6:$G$174, 'Expenditure Breakdown'!$H$6:$H$174, "&gt;="&amp;AUY1,'Expenditure Breakdown'!$H$6:$H$174, "&lt;"&amp;AUZ1)</f>
        <v>0</v>
      </c>
      <c r="AUZ5" s="112">
        <f>SUMIFS('Expenditure Breakdown'!$G$6:$G$174, 'Expenditure Breakdown'!$H$6:$H$174, "&gt;="&amp;AUZ1,'Expenditure Breakdown'!$H$6:$H$174, "&lt;"&amp;AVA1)</f>
        <v>0</v>
      </c>
      <c r="AVA5" s="112">
        <f>SUMIFS('Expenditure Breakdown'!$G$6:$G$174, 'Expenditure Breakdown'!$H$6:$H$174, "&gt;="&amp;AVA1,'Expenditure Breakdown'!$H$6:$H$174, "&lt;"&amp;AVB1)</f>
        <v>0</v>
      </c>
      <c r="AVB5" s="112">
        <f>SUMIFS('Expenditure Breakdown'!$G$6:$G$174, 'Expenditure Breakdown'!$H$6:$H$174, "&gt;="&amp;AVB1,'Expenditure Breakdown'!$H$6:$H$174, "&lt;"&amp;AVC1)</f>
        <v>0</v>
      </c>
      <c r="AVC5" s="112">
        <f>SUMIFS('Expenditure Breakdown'!$G$6:$G$174, 'Expenditure Breakdown'!$H$6:$H$174, "&gt;="&amp;AVC1,'Expenditure Breakdown'!$H$6:$H$174, "&lt;"&amp;AVD1)</f>
        <v>0</v>
      </c>
      <c r="AVD5" s="112">
        <f>SUMIFS('Expenditure Breakdown'!$G$6:$G$174, 'Expenditure Breakdown'!$H$6:$H$174, "&gt;="&amp;AVD1,'Expenditure Breakdown'!$H$6:$H$174, "&lt;"&amp;AVE1)</f>
        <v>0</v>
      </c>
      <c r="AVE5" s="112">
        <f>SUMIFS('Expenditure Breakdown'!$G$6:$G$174, 'Expenditure Breakdown'!$H$6:$H$174, "&gt;="&amp;AVE1,'Expenditure Breakdown'!$H$6:$H$174, "&lt;"&amp;AVF1)</f>
        <v>0</v>
      </c>
      <c r="AVF5" s="112">
        <f>SUMIFS('Expenditure Breakdown'!$G$6:$G$174, 'Expenditure Breakdown'!$H$6:$H$174, "&gt;="&amp;AVF1,'Expenditure Breakdown'!$H$6:$H$174, "&lt;"&amp;AVG1)</f>
        <v>0</v>
      </c>
      <c r="AVG5" s="112">
        <f>SUMIFS('Expenditure Breakdown'!$G$6:$G$174, 'Expenditure Breakdown'!$H$6:$H$174, "&gt;="&amp;AVG1,'Expenditure Breakdown'!$H$6:$H$174, "&lt;"&amp;AVH1)</f>
        <v>0</v>
      </c>
      <c r="AVH5" s="112">
        <f>SUMIFS('Expenditure Breakdown'!$G$6:$G$174, 'Expenditure Breakdown'!$H$6:$H$174, "&gt;="&amp;AVH1,'Expenditure Breakdown'!$H$6:$H$174, "&lt;"&amp;AVI1)</f>
        <v>0</v>
      </c>
      <c r="AVI5" s="112">
        <f>SUMIFS('Expenditure Breakdown'!$G$6:$G$174, 'Expenditure Breakdown'!$H$6:$H$174, "&gt;="&amp;AVI1,'Expenditure Breakdown'!$H$6:$H$174, "&lt;"&amp;AVJ1)</f>
        <v>0</v>
      </c>
      <c r="AVJ5" s="112">
        <f>SUMIFS('Expenditure Breakdown'!$G$6:$G$174, 'Expenditure Breakdown'!$H$6:$H$174, "&gt;="&amp;AVJ1,'Expenditure Breakdown'!$H$6:$H$174, "&lt;"&amp;AVK1)</f>
        <v>0</v>
      </c>
      <c r="AVK5" s="112">
        <f>SUMIFS('Expenditure Breakdown'!$G$6:$G$174, 'Expenditure Breakdown'!$H$6:$H$174, "&gt;="&amp;AVK1,'Expenditure Breakdown'!$H$6:$H$174, "&lt;"&amp;AVL1)</f>
        <v>0</v>
      </c>
      <c r="AVL5" s="112">
        <f>SUMIFS('Expenditure Breakdown'!$G$6:$G$174, 'Expenditure Breakdown'!$H$6:$H$174, "&gt;="&amp;AVL1,'Expenditure Breakdown'!$H$6:$H$174, "&lt;"&amp;AVM1)</f>
        <v>0</v>
      </c>
      <c r="AVM5" s="112">
        <f>SUMIFS('Expenditure Breakdown'!$G$6:$G$174, 'Expenditure Breakdown'!$H$6:$H$174, "&gt;="&amp;AVM1,'Expenditure Breakdown'!$H$6:$H$174, "&lt;"&amp;AVN1)</f>
        <v>0</v>
      </c>
      <c r="AVN5" s="112">
        <f>SUMIFS('Expenditure Breakdown'!$G$6:$G$174, 'Expenditure Breakdown'!$H$6:$H$174, "&gt;="&amp;AVN1,'Expenditure Breakdown'!$H$6:$H$174, "&lt;"&amp;AVO1)</f>
        <v>0</v>
      </c>
      <c r="AVO5" s="112">
        <f>SUMIFS('Expenditure Breakdown'!$G$6:$G$174, 'Expenditure Breakdown'!$H$6:$H$174, "&gt;="&amp;AVO1,'Expenditure Breakdown'!$H$6:$H$174, "&lt;"&amp;AVP1)</f>
        <v>0</v>
      </c>
      <c r="AVP5" s="112">
        <f>SUMIFS('Expenditure Breakdown'!$G$6:$G$174, 'Expenditure Breakdown'!$H$6:$H$174, "&gt;="&amp;AVP1,'Expenditure Breakdown'!$H$6:$H$174, "&lt;"&amp;AVQ1)</f>
        <v>0</v>
      </c>
      <c r="AVQ5" s="112">
        <f>SUMIFS('Expenditure Breakdown'!$G$6:$G$174, 'Expenditure Breakdown'!$H$6:$H$174, "&gt;="&amp;AVQ1,'Expenditure Breakdown'!$H$6:$H$174, "&lt;"&amp;AVR1)</f>
        <v>0</v>
      </c>
      <c r="AVR5" s="112">
        <f>SUMIFS('Expenditure Breakdown'!$G$6:$G$174, 'Expenditure Breakdown'!$H$6:$H$174, "&gt;="&amp;AVR1,'Expenditure Breakdown'!$H$6:$H$174, "&lt;"&amp;AVS1)</f>
        <v>0</v>
      </c>
      <c r="AVS5" s="112">
        <f>SUMIFS('Expenditure Breakdown'!$G$6:$G$174, 'Expenditure Breakdown'!$H$6:$H$174, "&gt;="&amp;AVS1,'Expenditure Breakdown'!$H$6:$H$174, "&lt;"&amp;AVT1)</f>
        <v>0</v>
      </c>
      <c r="AVT5" s="112">
        <f>SUMIFS('Expenditure Breakdown'!$G$6:$G$174, 'Expenditure Breakdown'!$H$6:$H$174, "&gt;="&amp;AVT1,'Expenditure Breakdown'!$H$6:$H$174, "&lt;"&amp;AVU1)</f>
        <v>0</v>
      </c>
      <c r="AVU5" s="112">
        <f>SUMIFS('Expenditure Breakdown'!$G$6:$G$174, 'Expenditure Breakdown'!$H$6:$H$174, "&gt;="&amp;AVU1,'Expenditure Breakdown'!$H$6:$H$174, "&lt;"&amp;AVV1)</f>
        <v>0</v>
      </c>
      <c r="AVV5" s="112">
        <f>SUMIFS('Expenditure Breakdown'!$G$6:$G$174, 'Expenditure Breakdown'!$H$6:$H$174, "&gt;="&amp;AVV1,'Expenditure Breakdown'!$H$6:$H$174, "&lt;"&amp;AVW1)</f>
        <v>0</v>
      </c>
      <c r="AVW5" s="112">
        <f>SUMIFS('Expenditure Breakdown'!$G$6:$G$174, 'Expenditure Breakdown'!$H$6:$H$174, "&gt;="&amp;AVW1,'Expenditure Breakdown'!$H$6:$H$174, "&lt;"&amp;AVX1)</f>
        <v>0</v>
      </c>
      <c r="AVX5" s="112">
        <f>SUMIFS('Expenditure Breakdown'!$G$6:$G$174, 'Expenditure Breakdown'!$H$6:$H$174, "&gt;="&amp;AVX1,'Expenditure Breakdown'!$H$6:$H$174, "&lt;"&amp;AVY1)</f>
        <v>0</v>
      </c>
      <c r="AVY5" s="112">
        <f>SUMIFS('Expenditure Breakdown'!$G$6:$G$174, 'Expenditure Breakdown'!$H$6:$H$174, "&gt;="&amp;AVY1,'Expenditure Breakdown'!$H$6:$H$174, "&lt;"&amp;AVZ1)</f>
        <v>0</v>
      </c>
      <c r="AVZ5" s="112">
        <f>SUMIFS('Expenditure Breakdown'!$G$6:$G$174, 'Expenditure Breakdown'!$H$6:$H$174, "&gt;="&amp;AVZ1,'Expenditure Breakdown'!$H$6:$H$174, "&lt;"&amp;AWA1)</f>
        <v>0</v>
      </c>
      <c r="AWA5" s="112">
        <f>SUMIFS('Expenditure Breakdown'!$G$6:$G$174, 'Expenditure Breakdown'!$H$6:$H$174, "&gt;="&amp;AWA1,'Expenditure Breakdown'!$H$6:$H$174, "&lt;"&amp;AWB1)</f>
        <v>0</v>
      </c>
      <c r="AWB5" s="112">
        <f>SUMIFS('Expenditure Breakdown'!$G$6:$G$174, 'Expenditure Breakdown'!$H$6:$H$174, "&gt;="&amp;AWB1,'Expenditure Breakdown'!$H$6:$H$174, "&lt;"&amp;AWC1)</f>
        <v>0</v>
      </c>
      <c r="AWC5" s="112">
        <f>SUMIFS('Expenditure Breakdown'!$G$6:$G$174, 'Expenditure Breakdown'!$H$6:$H$174, "&gt;="&amp;AWC1,'Expenditure Breakdown'!$H$6:$H$174, "&lt;"&amp;AWD1)</f>
        <v>0</v>
      </c>
      <c r="AWD5" s="112">
        <f>SUMIFS('Expenditure Breakdown'!$G$6:$G$174, 'Expenditure Breakdown'!$H$6:$H$174, "&gt;="&amp;AWD1,'Expenditure Breakdown'!$H$6:$H$174, "&lt;"&amp;AWE1)</f>
        <v>0</v>
      </c>
      <c r="AWE5" s="112">
        <f>SUMIFS('Expenditure Breakdown'!$G$6:$G$174, 'Expenditure Breakdown'!$H$6:$H$174, "&gt;="&amp;AWE1,'Expenditure Breakdown'!$H$6:$H$174, "&lt;"&amp;AWF1)</f>
        <v>0</v>
      </c>
      <c r="AWF5" s="112">
        <f>SUMIFS('Expenditure Breakdown'!$G$6:$G$174, 'Expenditure Breakdown'!$H$6:$H$174, "&gt;="&amp;AWF1,'Expenditure Breakdown'!$H$6:$H$174, "&lt;"&amp;AWG1)</f>
        <v>0</v>
      </c>
      <c r="AWG5" s="112">
        <f>SUMIFS('Expenditure Breakdown'!$G$6:$G$174, 'Expenditure Breakdown'!$H$6:$H$174, "&gt;="&amp;AWG1,'Expenditure Breakdown'!$H$6:$H$174, "&lt;"&amp;AWH1)</f>
        <v>0</v>
      </c>
      <c r="AWH5" s="112">
        <f>SUMIFS('Expenditure Breakdown'!$G$6:$G$174, 'Expenditure Breakdown'!$H$6:$H$174, "&gt;="&amp;AWH1,'Expenditure Breakdown'!$H$6:$H$174, "&lt;"&amp;AWI1)</f>
        <v>0</v>
      </c>
      <c r="AWI5" s="112">
        <f>SUMIFS('Expenditure Breakdown'!$G$6:$G$174, 'Expenditure Breakdown'!$H$6:$H$174, "&gt;="&amp;AWI1,'Expenditure Breakdown'!$H$6:$H$174, "&lt;"&amp;AWJ1)</f>
        <v>0</v>
      </c>
      <c r="AWJ5" s="112">
        <f>SUMIFS('Expenditure Breakdown'!$G$6:$G$174, 'Expenditure Breakdown'!$H$6:$H$174, "&gt;="&amp;AWJ1,'Expenditure Breakdown'!$H$6:$H$174, "&lt;"&amp;AWK1)</f>
        <v>0</v>
      </c>
      <c r="AWK5" s="112">
        <f>SUMIFS('Expenditure Breakdown'!$G$6:$G$174, 'Expenditure Breakdown'!$H$6:$H$174, "&gt;="&amp;AWK1,'Expenditure Breakdown'!$H$6:$H$174, "&lt;"&amp;AWL1)</f>
        <v>0</v>
      </c>
      <c r="AWL5" s="112">
        <f>SUMIFS('Expenditure Breakdown'!$G$6:$G$174, 'Expenditure Breakdown'!$H$6:$H$174, "&gt;="&amp;AWL1,'Expenditure Breakdown'!$H$6:$H$174, "&lt;"&amp;AWM1)</f>
        <v>0</v>
      </c>
      <c r="AWM5" s="112">
        <f>SUMIFS('Expenditure Breakdown'!$G$6:$G$174, 'Expenditure Breakdown'!$H$6:$H$174, "&gt;="&amp;AWM1,'Expenditure Breakdown'!$H$6:$H$174, "&lt;"&amp;AWN1)</f>
        <v>0</v>
      </c>
      <c r="AWN5" s="112">
        <f>SUMIFS('Expenditure Breakdown'!$G$6:$G$174, 'Expenditure Breakdown'!$H$6:$H$174, "&gt;="&amp;AWN1,'Expenditure Breakdown'!$H$6:$H$174, "&lt;"&amp;AWO1)</f>
        <v>0</v>
      </c>
      <c r="AWO5" s="112">
        <f>SUMIFS('Expenditure Breakdown'!$G$6:$G$174, 'Expenditure Breakdown'!$H$6:$H$174, "&gt;="&amp;AWO1,'Expenditure Breakdown'!$H$6:$H$174, "&lt;"&amp;AWP1)</f>
        <v>0</v>
      </c>
      <c r="AWP5" s="112">
        <f>SUMIFS('Expenditure Breakdown'!$G$6:$G$174, 'Expenditure Breakdown'!$H$6:$H$174, "&gt;="&amp;AWP1,'Expenditure Breakdown'!$H$6:$H$174, "&lt;"&amp;AWQ1)</f>
        <v>0</v>
      </c>
      <c r="AWQ5" s="112">
        <f>SUMIFS('Expenditure Breakdown'!$G$6:$G$174, 'Expenditure Breakdown'!$H$6:$H$174, "&gt;="&amp;AWQ1,'Expenditure Breakdown'!$H$6:$H$174, "&lt;"&amp;AWR1)</f>
        <v>0</v>
      </c>
      <c r="AWR5" s="112">
        <f>SUMIFS('Expenditure Breakdown'!$G$6:$G$174, 'Expenditure Breakdown'!$H$6:$H$174, "&gt;="&amp;AWR1,'Expenditure Breakdown'!$H$6:$H$174, "&lt;"&amp;AWS1)</f>
        <v>0</v>
      </c>
      <c r="AWS5" s="112">
        <f>SUMIFS('Expenditure Breakdown'!$G$6:$G$174, 'Expenditure Breakdown'!$H$6:$H$174, "&gt;="&amp;AWS1,'Expenditure Breakdown'!$H$6:$H$174, "&lt;"&amp;AWT1)</f>
        <v>0</v>
      </c>
      <c r="AWT5" s="112">
        <f>SUMIFS('Expenditure Breakdown'!$G$6:$G$174, 'Expenditure Breakdown'!$H$6:$H$174, "&gt;="&amp;AWT1,'Expenditure Breakdown'!$H$6:$H$174, "&lt;"&amp;AWU1)</f>
        <v>0</v>
      </c>
      <c r="AWU5" s="112">
        <f>SUMIFS('Expenditure Breakdown'!$G$6:$G$174, 'Expenditure Breakdown'!$H$6:$H$174, "&gt;="&amp;AWU1,'Expenditure Breakdown'!$H$6:$H$174, "&lt;"&amp;AWV1)</f>
        <v>0</v>
      </c>
      <c r="AWV5" s="112">
        <f>SUMIFS('Expenditure Breakdown'!$G$6:$G$174, 'Expenditure Breakdown'!$H$6:$H$174, "&gt;="&amp;AWV1,'Expenditure Breakdown'!$H$6:$H$174, "&lt;"&amp;AWW1)</f>
        <v>0</v>
      </c>
      <c r="AWW5" s="112">
        <f>SUMIFS('Expenditure Breakdown'!$G$6:$G$174, 'Expenditure Breakdown'!$H$6:$H$174, "&gt;="&amp;AWW1,'Expenditure Breakdown'!$H$6:$H$174, "&lt;"&amp;AWX1)</f>
        <v>0</v>
      </c>
      <c r="AWX5" s="112">
        <f>SUMIFS('Expenditure Breakdown'!$G$6:$G$174, 'Expenditure Breakdown'!$H$6:$H$174, "&gt;="&amp;AWX1,'Expenditure Breakdown'!$H$6:$H$174, "&lt;"&amp;AWY1)</f>
        <v>0</v>
      </c>
      <c r="AWY5" s="112">
        <f>SUMIFS('Expenditure Breakdown'!$G$6:$G$174, 'Expenditure Breakdown'!$H$6:$H$174, "&gt;="&amp;AWY1,'Expenditure Breakdown'!$H$6:$H$174, "&lt;"&amp;AWZ1)</f>
        <v>0</v>
      </c>
      <c r="AWZ5" s="112">
        <f>SUMIFS('Expenditure Breakdown'!$G$6:$G$174, 'Expenditure Breakdown'!$H$6:$H$174, "&gt;="&amp;AWZ1,'Expenditure Breakdown'!$H$6:$H$174, "&lt;"&amp;AXA1)</f>
        <v>0</v>
      </c>
      <c r="AXA5" s="112">
        <f>SUMIFS('Expenditure Breakdown'!$G$6:$G$174, 'Expenditure Breakdown'!$H$6:$H$174, "&gt;="&amp;AXA1,'Expenditure Breakdown'!$H$6:$H$174, "&lt;"&amp;AXB1)</f>
        <v>0</v>
      </c>
      <c r="AXB5" s="112">
        <f>SUMIFS('Expenditure Breakdown'!$G$6:$G$174, 'Expenditure Breakdown'!$H$6:$H$174, "&gt;="&amp;AXB1,'Expenditure Breakdown'!$H$6:$H$174, "&lt;"&amp;AXC1)</f>
        <v>0</v>
      </c>
      <c r="AXC5" s="112">
        <f>SUMIFS('Expenditure Breakdown'!$G$6:$G$174, 'Expenditure Breakdown'!$H$6:$H$174, "&gt;="&amp;AXC1,'Expenditure Breakdown'!$H$6:$H$174, "&lt;"&amp;AXD1)</f>
        <v>0</v>
      </c>
      <c r="AXD5" s="112">
        <f>SUMIFS('Expenditure Breakdown'!$G$6:$G$174, 'Expenditure Breakdown'!$H$6:$H$174, "&gt;="&amp;AXD1,'Expenditure Breakdown'!$H$6:$H$174, "&lt;"&amp;AXE1)</f>
        <v>0</v>
      </c>
      <c r="AXE5" s="112">
        <f>SUMIFS('Expenditure Breakdown'!$G$6:$G$174, 'Expenditure Breakdown'!$H$6:$H$174, "&gt;="&amp;AXE1,'Expenditure Breakdown'!$H$6:$H$174, "&lt;"&amp;AXF1)</f>
        <v>0</v>
      </c>
      <c r="AXF5" s="112">
        <f>SUMIFS('Expenditure Breakdown'!$G$6:$G$174, 'Expenditure Breakdown'!$H$6:$H$174, "&gt;="&amp;AXF1,'Expenditure Breakdown'!$H$6:$H$174, "&lt;"&amp;AXG1)</f>
        <v>0</v>
      </c>
      <c r="AXG5" s="112">
        <f>SUMIFS('Expenditure Breakdown'!$G$6:$G$174, 'Expenditure Breakdown'!$H$6:$H$174, "&gt;="&amp;AXG1,'Expenditure Breakdown'!$H$6:$H$174, "&lt;"&amp;AXH1)</f>
        <v>0</v>
      </c>
      <c r="AXH5" s="112">
        <f>SUMIFS('Expenditure Breakdown'!$G$6:$G$174, 'Expenditure Breakdown'!$H$6:$H$174, "&gt;="&amp;AXH1,'Expenditure Breakdown'!$H$6:$H$174, "&lt;"&amp;AXI1)</f>
        <v>0</v>
      </c>
      <c r="AXI5" s="112">
        <f>SUMIFS('Expenditure Breakdown'!$G$6:$G$174, 'Expenditure Breakdown'!$H$6:$H$174, "&gt;="&amp;AXI1,'Expenditure Breakdown'!$H$6:$H$174, "&lt;"&amp;AXJ1)</f>
        <v>0</v>
      </c>
      <c r="AXJ5" s="112">
        <f>SUMIFS('Expenditure Breakdown'!$G$6:$G$174, 'Expenditure Breakdown'!$H$6:$H$174, "&gt;="&amp;AXJ1,'Expenditure Breakdown'!$H$6:$H$174, "&lt;"&amp;AXK1)</f>
        <v>0</v>
      </c>
      <c r="AXK5" s="112">
        <f>SUMIFS('Expenditure Breakdown'!$G$6:$G$174, 'Expenditure Breakdown'!$H$6:$H$174, "&gt;="&amp;AXK1,'Expenditure Breakdown'!$H$6:$H$174, "&lt;"&amp;AXL1)</f>
        <v>0</v>
      </c>
      <c r="AXL5" s="112">
        <f>SUMIFS('Expenditure Breakdown'!$G$6:$G$174, 'Expenditure Breakdown'!$H$6:$H$174, "&gt;="&amp;AXL1,'Expenditure Breakdown'!$H$6:$H$174, "&lt;"&amp;AXM1)</f>
        <v>0</v>
      </c>
      <c r="AXM5" s="112">
        <f>SUMIFS('Expenditure Breakdown'!$G$6:$G$174, 'Expenditure Breakdown'!$H$6:$H$174, "&gt;="&amp;AXM1,'Expenditure Breakdown'!$H$6:$H$174, "&lt;"&amp;AXN1)</f>
        <v>0</v>
      </c>
      <c r="AXN5" s="112">
        <f>SUMIFS('Expenditure Breakdown'!$G$6:$G$174, 'Expenditure Breakdown'!$H$6:$H$174, "&gt;="&amp;AXN1,'Expenditure Breakdown'!$H$6:$H$174, "&lt;"&amp;AXO1)</f>
        <v>0</v>
      </c>
      <c r="AXO5" s="112">
        <f>SUMIFS('Expenditure Breakdown'!$G$6:$G$174, 'Expenditure Breakdown'!$H$6:$H$174, "&gt;="&amp;AXO1,'Expenditure Breakdown'!$H$6:$H$174, "&lt;"&amp;AXP1)</f>
        <v>0</v>
      </c>
      <c r="AXP5" s="112">
        <f>SUMIFS('Expenditure Breakdown'!$G$6:$G$174, 'Expenditure Breakdown'!$H$6:$H$174, "&gt;="&amp;AXP1,'Expenditure Breakdown'!$H$6:$H$174, "&lt;"&amp;AXQ1)</f>
        <v>0</v>
      </c>
      <c r="AXQ5" s="112">
        <f>SUMIFS('Expenditure Breakdown'!$G$6:$G$174, 'Expenditure Breakdown'!$H$6:$H$174, "&gt;="&amp;AXQ1,'Expenditure Breakdown'!$H$6:$H$174, "&lt;"&amp;AXR1)</f>
        <v>0</v>
      </c>
      <c r="AXR5" s="112">
        <f>SUMIFS('Expenditure Breakdown'!$G$6:$G$174, 'Expenditure Breakdown'!$H$6:$H$174, "&gt;="&amp;AXR1,'Expenditure Breakdown'!$H$6:$H$174, "&lt;"&amp;AXS1)</f>
        <v>0</v>
      </c>
      <c r="AXS5" s="112">
        <f>SUMIFS('Expenditure Breakdown'!$G$6:$G$174, 'Expenditure Breakdown'!$H$6:$H$174, "&gt;="&amp;AXS1,'Expenditure Breakdown'!$H$6:$H$174, "&lt;"&amp;AXT1)</f>
        <v>0</v>
      </c>
      <c r="AXT5" s="112">
        <f>SUMIFS('Expenditure Breakdown'!$G$6:$G$174, 'Expenditure Breakdown'!$H$6:$H$174, "&gt;="&amp;AXT1,'Expenditure Breakdown'!$H$6:$H$174, "&lt;"&amp;AXU1)</f>
        <v>0</v>
      </c>
      <c r="AXU5" s="112">
        <f>SUMIFS('Expenditure Breakdown'!$G$6:$G$174, 'Expenditure Breakdown'!$H$6:$H$174, "&gt;="&amp;AXU1,'Expenditure Breakdown'!$H$6:$H$174, "&lt;"&amp;AXV1)</f>
        <v>0</v>
      </c>
      <c r="AXV5" s="112">
        <f>SUMIFS('Expenditure Breakdown'!$G$6:$G$174, 'Expenditure Breakdown'!$H$6:$H$174, "&gt;="&amp;AXV1,'Expenditure Breakdown'!$H$6:$H$174, "&lt;"&amp;AXW1)</f>
        <v>0</v>
      </c>
      <c r="AXW5" s="112">
        <f>SUMIFS('Expenditure Breakdown'!$G$6:$G$174, 'Expenditure Breakdown'!$H$6:$H$174, "&gt;="&amp;AXW1,'Expenditure Breakdown'!$H$6:$H$174, "&lt;"&amp;AXX1)</f>
        <v>0</v>
      </c>
      <c r="AXX5" s="112">
        <f>SUMIFS('Expenditure Breakdown'!$G$6:$G$174, 'Expenditure Breakdown'!$H$6:$H$174, "&gt;="&amp;AXX1,'Expenditure Breakdown'!$H$6:$H$174, "&lt;"&amp;AXY1)</f>
        <v>0</v>
      </c>
      <c r="AXY5" s="112">
        <f>SUMIFS('Expenditure Breakdown'!$G$6:$G$174, 'Expenditure Breakdown'!$H$6:$H$174, "&gt;="&amp;AXY1,'Expenditure Breakdown'!$H$6:$H$174, "&lt;"&amp;AXZ1)</f>
        <v>0</v>
      </c>
      <c r="AXZ5" s="112">
        <f>SUMIFS('Expenditure Breakdown'!$G$6:$G$174, 'Expenditure Breakdown'!$H$6:$H$174, "&gt;="&amp;AXZ1,'Expenditure Breakdown'!$H$6:$H$174, "&lt;"&amp;AYA1)</f>
        <v>0</v>
      </c>
      <c r="AYA5" s="112">
        <f>SUMIFS('Expenditure Breakdown'!$G$6:$G$174, 'Expenditure Breakdown'!$H$6:$H$174, "&gt;="&amp;AYA1,'Expenditure Breakdown'!$H$6:$H$174, "&lt;"&amp;AYB1)</f>
        <v>0</v>
      </c>
      <c r="AYB5" s="112">
        <f>SUMIFS('Expenditure Breakdown'!$G$6:$G$174, 'Expenditure Breakdown'!$H$6:$H$174, "&gt;="&amp;AYB1,'Expenditure Breakdown'!$H$6:$H$174, "&lt;"&amp;AYC1)</f>
        <v>0</v>
      </c>
      <c r="AYC5" s="112">
        <f>SUMIFS('Expenditure Breakdown'!$G$6:$G$174, 'Expenditure Breakdown'!$H$6:$H$174, "&gt;="&amp;AYC1,'Expenditure Breakdown'!$H$6:$H$174, "&lt;"&amp;AYD1)</f>
        <v>0</v>
      </c>
      <c r="AYD5" s="112">
        <f>SUMIFS('Expenditure Breakdown'!$G$6:$G$174, 'Expenditure Breakdown'!$H$6:$H$174, "&gt;="&amp;AYD1,'Expenditure Breakdown'!$H$6:$H$174, "&lt;"&amp;AYE1)</f>
        <v>0</v>
      </c>
      <c r="AYE5" s="112">
        <f>SUMIFS('Expenditure Breakdown'!$G$6:$G$174, 'Expenditure Breakdown'!$H$6:$H$174, "&gt;="&amp;AYE1,'Expenditure Breakdown'!$H$6:$H$174, "&lt;"&amp;AYF1)</f>
        <v>0</v>
      </c>
      <c r="AYF5" s="112">
        <f>SUMIFS('Expenditure Breakdown'!$G$6:$G$174, 'Expenditure Breakdown'!$H$6:$H$174, "&gt;="&amp;AYF1,'Expenditure Breakdown'!$H$6:$H$174, "&lt;"&amp;AYG1)</f>
        <v>0</v>
      </c>
      <c r="AYG5" s="112">
        <f>SUMIFS('Expenditure Breakdown'!$G$6:$G$174, 'Expenditure Breakdown'!$H$6:$H$174, "&gt;="&amp;AYG1,'Expenditure Breakdown'!$H$6:$H$174, "&lt;"&amp;AYH1)</f>
        <v>0</v>
      </c>
      <c r="AYH5" s="112">
        <f>SUMIFS('Expenditure Breakdown'!$G$6:$G$174, 'Expenditure Breakdown'!$H$6:$H$174, "&gt;="&amp;AYH1,'Expenditure Breakdown'!$H$6:$H$174, "&lt;"&amp;AYI1)</f>
        <v>0</v>
      </c>
      <c r="AYI5" s="112">
        <f>SUMIFS('Expenditure Breakdown'!$G$6:$G$174, 'Expenditure Breakdown'!$H$6:$H$174, "&gt;="&amp;AYI1,'Expenditure Breakdown'!$H$6:$H$174, "&lt;"&amp;AYJ1)</f>
        <v>0</v>
      </c>
      <c r="AYJ5" s="112">
        <f>SUMIFS('Expenditure Breakdown'!$G$6:$G$174, 'Expenditure Breakdown'!$H$6:$H$174, "&gt;="&amp;AYJ1,'Expenditure Breakdown'!$H$6:$H$174, "&lt;"&amp;AYK1)</f>
        <v>0</v>
      </c>
      <c r="AYK5" s="112">
        <f>SUMIFS('Expenditure Breakdown'!$G$6:$G$174, 'Expenditure Breakdown'!$H$6:$H$174, "&gt;="&amp;AYK1,'Expenditure Breakdown'!$H$6:$H$174, "&lt;"&amp;AYL1)</f>
        <v>0</v>
      </c>
      <c r="AYL5" s="112">
        <f>SUMIFS('Expenditure Breakdown'!$G$6:$G$174, 'Expenditure Breakdown'!$H$6:$H$174, "&gt;="&amp;AYL1,'Expenditure Breakdown'!$H$6:$H$174, "&lt;"&amp;AYM1)</f>
        <v>0</v>
      </c>
      <c r="AYM5" s="112">
        <f>SUMIFS('Expenditure Breakdown'!$G$6:$G$174, 'Expenditure Breakdown'!$H$6:$H$174, "&gt;="&amp;AYM1,'Expenditure Breakdown'!$H$6:$H$174, "&lt;"&amp;AYN1)</f>
        <v>0</v>
      </c>
      <c r="AYN5" s="112">
        <f>SUMIFS('Expenditure Breakdown'!$G$6:$G$174, 'Expenditure Breakdown'!$H$6:$H$174, "&gt;="&amp;AYN1,'Expenditure Breakdown'!$H$6:$H$174, "&lt;"&amp;AYO1)</f>
        <v>0</v>
      </c>
      <c r="AYO5" s="112">
        <f>SUMIFS('Expenditure Breakdown'!$G$6:$G$174, 'Expenditure Breakdown'!$H$6:$H$174, "&gt;="&amp;AYO1,'Expenditure Breakdown'!$H$6:$H$174, "&lt;"&amp;AYP1)</f>
        <v>0</v>
      </c>
      <c r="AYP5" s="112">
        <f>SUMIFS('Expenditure Breakdown'!$G$6:$G$174, 'Expenditure Breakdown'!$H$6:$H$174, "&gt;="&amp;AYP1,'Expenditure Breakdown'!$H$6:$H$174, "&lt;"&amp;AYQ1)</f>
        <v>0</v>
      </c>
      <c r="AYQ5" s="112">
        <f>SUMIFS('Expenditure Breakdown'!$G$6:$G$174, 'Expenditure Breakdown'!$H$6:$H$174, "&gt;="&amp;AYQ1,'Expenditure Breakdown'!$H$6:$H$174, "&lt;"&amp;AYR1)</f>
        <v>0</v>
      </c>
      <c r="AYR5" s="112">
        <f>SUMIFS('Expenditure Breakdown'!$G$6:$G$174, 'Expenditure Breakdown'!$H$6:$H$174, "&gt;="&amp;AYR1,'Expenditure Breakdown'!$H$6:$H$174, "&lt;"&amp;AYS1)</f>
        <v>0</v>
      </c>
      <c r="AYS5" s="112">
        <f>SUMIFS('Expenditure Breakdown'!$G$6:$G$174, 'Expenditure Breakdown'!$H$6:$H$174, "&gt;="&amp;AYS1,'Expenditure Breakdown'!$H$6:$H$174, "&lt;"&amp;AYT1)</f>
        <v>0</v>
      </c>
      <c r="AYT5" s="112">
        <f>SUMIFS('Expenditure Breakdown'!$G$6:$G$174, 'Expenditure Breakdown'!$H$6:$H$174, "&gt;="&amp;AYT1,'Expenditure Breakdown'!$H$6:$H$174, "&lt;"&amp;AYU1)</f>
        <v>0</v>
      </c>
      <c r="AYU5" s="112">
        <f>SUMIFS('Expenditure Breakdown'!$G$6:$G$174, 'Expenditure Breakdown'!$H$6:$H$174, "&gt;="&amp;AYU1,'Expenditure Breakdown'!$H$6:$H$174, "&lt;"&amp;AYV1)</f>
        <v>0</v>
      </c>
      <c r="AYV5" s="112">
        <f>SUMIFS('Expenditure Breakdown'!$G$6:$G$174, 'Expenditure Breakdown'!$H$6:$H$174, "&gt;="&amp;AYV1,'Expenditure Breakdown'!$H$6:$H$174, "&lt;"&amp;AYW1)</f>
        <v>0</v>
      </c>
      <c r="AYW5" s="112">
        <f>SUMIFS('Expenditure Breakdown'!$G$6:$G$174, 'Expenditure Breakdown'!$H$6:$H$174, "&gt;="&amp;AYW1,'Expenditure Breakdown'!$H$6:$H$174, "&lt;"&amp;AYX1)</f>
        <v>0</v>
      </c>
      <c r="AYX5" s="112">
        <f>SUMIFS('Expenditure Breakdown'!$G$6:$G$174, 'Expenditure Breakdown'!$H$6:$H$174, "&gt;="&amp;AYX1,'Expenditure Breakdown'!$H$6:$H$174, "&lt;"&amp;AYY1)</f>
        <v>0</v>
      </c>
      <c r="AYY5" s="112">
        <f>SUMIFS('Expenditure Breakdown'!$G$6:$G$174, 'Expenditure Breakdown'!$H$6:$H$174, "&gt;="&amp;AYY1,'Expenditure Breakdown'!$H$6:$H$174, "&lt;"&amp;AYZ1)</f>
        <v>0</v>
      </c>
      <c r="AYZ5" s="112">
        <f>SUMIFS('Expenditure Breakdown'!$G$6:$G$174, 'Expenditure Breakdown'!$H$6:$H$174, "&gt;="&amp;AYZ1,'Expenditure Breakdown'!$H$6:$H$174, "&lt;"&amp;AZA1)</f>
        <v>0</v>
      </c>
      <c r="AZA5" s="112">
        <f>SUMIFS('Expenditure Breakdown'!$G$6:$G$174, 'Expenditure Breakdown'!$H$6:$H$174, "&gt;="&amp;AZA1,'Expenditure Breakdown'!$H$6:$H$174, "&lt;"&amp;AZB1)</f>
        <v>0</v>
      </c>
      <c r="AZB5" s="112">
        <f>SUMIFS('Expenditure Breakdown'!$G$6:$G$174, 'Expenditure Breakdown'!$H$6:$H$174, "&gt;="&amp;AZB1,'Expenditure Breakdown'!$H$6:$H$174, "&lt;"&amp;AZC1)</f>
        <v>0</v>
      </c>
      <c r="AZC5" s="112">
        <f>SUMIFS('Expenditure Breakdown'!$G$6:$G$174, 'Expenditure Breakdown'!$H$6:$H$174, "&gt;="&amp;AZC1,'Expenditure Breakdown'!$H$6:$H$174, "&lt;"&amp;AZD1)</f>
        <v>0</v>
      </c>
      <c r="AZD5" s="112">
        <f>SUMIFS('Expenditure Breakdown'!$G$6:$G$174, 'Expenditure Breakdown'!$H$6:$H$174, "&gt;="&amp;AZD1,'Expenditure Breakdown'!$H$6:$H$174, "&lt;"&amp;AZE1)</f>
        <v>0</v>
      </c>
      <c r="AZE5" s="112">
        <f>SUMIFS('Expenditure Breakdown'!$G$6:$G$174, 'Expenditure Breakdown'!$H$6:$H$174, "&gt;="&amp;AZE1,'Expenditure Breakdown'!$H$6:$H$174, "&lt;"&amp;AZF1)</f>
        <v>0</v>
      </c>
      <c r="AZF5" s="112">
        <f>SUMIFS('Expenditure Breakdown'!$G$6:$G$174, 'Expenditure Breakdown'!$H$6:$H$174, "&gt;="&amp;AZF1,'Expenditure Breakdown'!$H$6:$H$174, "&lt;"&amp;AZG1)</f>
        <v>0</v>
      </c>
      <c r="AZG5" s="112">
        <f>SUMIFS('Expenditure Breakdown'!$G$6:$G$174, 'Expenditure Breakdown'!$H$6:$H$174, "&gt;="&amp;AZG1,'Expenditure Breakdown'!$H$6:$H$174, "&lt;"&amp;AZH1)</f>
        <v>0</v>
      </c>
      <c r="AZH5" s="102"/>
      <c r="AZI5" s="113"/>
      <c r="AZJ5" s="113"/>
    </row>
    <row r="6" spans="1:1837" s="114" customFormat="1">
      <c r="A6" s="777"/>
      <c r="B6" s="110" t="s">
        <v>499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44">H6+I5</f>
        <v>0</v>
      </c>
      <c r="J6" s="112">
        <f t="shared" si="44"/>
        <v>0</v>
      </c>
      <c r="K6" s="112">
        <f t="shared" si="44"/>
        <v>0</v>
      </c>
      <c r="L6" s="112">
        <f t="shared" si="44"/>
        <v>0</v>
      </c>
      <c r="M6" s="112">
        <f t="shared" si="44"/>
        <v>0</v>
      </c>
      <c r="N6" s="112">
        <f t="shared" si="44"/>
        <v>0</v>
      </c>
      <c r="O6" s="112">
        <f t="shared" si="44"/>
        <v>0</v>
      </c>
      <c r="P6" s="112">
        <f t="shared" si="44"/>
        <v>0</v>
      </c>
      <c r="Q6" s="112">
        <f t="shared" si="44"/>
        <v>0</v>
      </c>
      <c r="R6" s="112">
        <f t="shared" si="44"/>
        <v>0</v>
      </c>
      <c r="S6" s="112">
        <f t="shared" si="44"/>
        <v>18000</v>
      </c>
      <c r="T6" s="112">
        <f t="shared" si="44"/>
        <v>18000</v>
      </c>
      <c r="U6" s="112">
        <f t="shared" si="44"/>
        <v>18000</v>
      </c>
      <c r="V6" s="112">
        <f t="shared" si="44"/>
        <v>18000</v>
      </c>
      <c r="W6" s="112">
        <f t="shared" si="44"/>
        <v>244756.22222222222</v>
      </c>
      <c r="X6" s="112">
        <f t="shared" si="44"/>
        <v>640356.22222222225</v>
      </c>
      <c r="Y6" s="112">
        <f t="shared" si="44"/>
        <v>640356.22222222225</v>
      </c>
      <c r="Z6" s="112">
        <f t="shared" si="44"/>
        <v>640356.22222222225</v>
      </c>
      <c r="AA6" s="112">
        <f t="shared" si="44"/>
        <v>640356.22222222225</v>
      </c>
      <c r="AB6" s="112">
        <f t="shared" si="44"/>
        <v>640356.22222222225</v>
      </c>
      <c r="AC6" s="112">
        <f t="shared" si="44"/>
        <v>640356.22222222225</v>
      </c>
      <c r="AD6" s="112">
        <f>AC6+AD5</f>
        <v>640356.22222222225</v>
      </c>
      <c r="AE6" s="112">
        <f t="shared" si="44"/>
        <v>640356.22222222225</v>
      </c>
      <c r="AF6" s="112">
        <f t="shared" si="44"/>
        <v>640356.22222222225</v>
      </c>
      <c r="AG6" s="112">
        <f t="shared" si="44"/>
        <v>640356.22222222225</v>
      </c>
      <c r="AH6" s="112">
        <f t="shared" si="44"/>
        <v>640356.22222222225</v>
      </c>
      <c r="AI6" s="112">
        <f t="shared" si="44"/>
        <v>640356.22222222225</v>
      </c>
      <c r="AJ6" s="112">
        <f t="shared" si="44"/>
        <v>640356.22222222225</v>
      </c>
      <c r="AK6" s="112">
        <f t="shared" si="44"/>
        <v>640356.22222222225</v>
      </c>
      <c r="AL6" s="112">
        <f t="shared" si="44"/>
        <v>640356.22222222225</v>
      </c>
      <c r="AM6" s="112">
        <f t="shared" si="44"/>
        <v>640356.22222222225</v>
      </c>
      <c r="AN6" s="112">
        <f t="shared" si="44"/>
        <v>640356.22222222225</v>
      </c>
      <c r="AO6" s="112">
        <f t="shared" si="44"/>
        <v>640356.22222222225</v>
      </c>
      <c r="AP6" s="112">
        <f t="shared" si="44"/>
        <v>640356.22222222225</v>
      </c>
      <c r="AQ6" s="112">
        <f t="shared" si="44"/>
        <v>640356.22222222225</v>
      </c>
      <c r="AR6" s="112">
        <f t="shared" si="44"/>
        <v>640356.22222222225</v>
      </c>
      <c r="AS6" s="112">
        <f t="shared" si="44"/>
        <v>640356.22222222225</v>
      </c>
      <c r="AT6" s="112">
        <f t="shared" si="44"/>
        <v>640356.22222222225</v>
      </c>
      <c r="AU6" s="112">
        <f t="shared" si="44"/>
        <v>640356.22222222225</v>
      </c>
      <c r="AV6" s="112">
        <f t="shared" si="44"/>
        <v>640356.22222222225</v>
      </c>
      <c r="AW6" s="112">
        <f t="shared" si="44"/>
        <v>640356.22222222225</v>
      </c>
      <c r="AX6" s="112">
        <f t="shared" si="44"/>
        <v>640356.22222222225</v>
      </c>
      <c r="AY6" s="112">
        <f t="shared" si="44"/>
        <v>640356.22222222225</v>
      </c>
      <c r="AZ6" s="112">
        <f t="shared" si="44"/>
        <v>640356.22222222225</v>
      </c>
      <c r="BA6" s="112">
        <f t="shared" si="44"/>
        <v>640356.22222222225</v>
      </c>
      <c r="BB6" s="112">
        <f t="shared" si="44"/>
        <v>640356.22222222225</v>
      </c>
      <c r="BC6" s="112">
        <f t="shared" si="44"/>
        <v>640356.22222222225</v>
      </c>
      <c r="BD6" s="112">
        <f t="shared" si="44"/>
        <v>640356.22222222225</v>
      </c>
      <c r="BE6" s="112">
        <f t="shared" si="44"/>
        <v>640356.22222222225</v>
      </c>
      <c r="BF6" s="112">
        <f t="shared" si="44"/>
        <v>640356.22222222225</v>
      </c>
      <c r="BG6" s="112">
        <f t="shared" si="44"/>
        <v>640356.22222222225</v>
      </c>
      <c r="BH6" s="112">
        <f t="shared" si="44"/>
        <v>640356.22222222225</v>
      </c>
      <c r="BI6" s="112">
        <f t="shared" si="44"/>
        <v>640356.22222222225</v>
      </c>
      <c r="BJ6" s="112">
        <f t="shared" si="44"/>
        <v>640356.22222222225</v>
      </c>
      <c r="BK6" s="112">
        <f t="shared" si="44"/>
        <v>640356.22222222225</v>
      </c>
      <c r="BL6" s="112">
        <f t="shared" si="44"/>
        <v>640356.22222222225</v>
      </c>
      <c r="BM6" s="112">
        <f t="shared" si="44"/>
        <v>640356.22222222225</v>
      </c>
      <c r="BN6" s="112">
        <f t="shared" si="44"/>
        <v>640356.22222222225</v>
      </c>
      <c r="BO6" s="112">
        <f t="shared" si="44"/>
        <v>640356.22222222225</v>
      </c>
      <c r="BP6" s="112">
        <f t="shared" si="44"/>
        <v>640356.22222222225</v>
      </c>
      <c r="BQ6" s="112">
        <f t="shared" si="44"/>
        <v>640356.22222222225</v>
      </c>
      <c r="BR6" s="112">
        <f t="shared" si="44"/>
        <v>640356.22222222225</v>
      </c>
      <c r="BS6" s="112">
        <f t="shared" si="44"/>
        <v>640356.22222222225</v>
      </c>
      <c r="BT6" s="112">
        <f t="shared" si="44"/>
        <v>640356.22222222225</v>
      </c>
      <c r="BU6" s="112">
        <f t="shared" ref="BU6:EF6" si="45">BT6+BU5</f>
        <v>640356.22222222225</v>
      </c>
      <c r="BV6" s="112">
        <f t="shared" si="45"/>
        <v>640356.22222222225</v>
      </c>
      <c r="BW6" s="112">
        <f t="shared" si="45"/>
        <v>640356.22222222225</v>
      </c>
      <c r="BX6" s="112">
        <f t="shared" si="45"/>
        <v>640356.22222222225</v>
      </c>
      <c r="BY6" s="112">
        <f t="shared" si="45"/>
        <v>640356.22222222225</v>
      </c>
      <c r="BZ6" s="112">
        <f t="shared" si="45"/>
        <v>640356.22222222225</v>
      </c>
      <c r="CA6" s="112">
        <f t="shared" si="45"/>
        <v>640356.22222222225</v>
      </c>
      <c r="CB6" s="112">
        <f t="shared" si="45"/>
        <v>640356.22222222225</v>
      </c>
      <c r="CC6" s="112">
        <f t="shared" si="45"/>
        <v>640356.22222222225</v>
      </c>
      <c r="CD6" s="112">
        <f t="shared" si="45"/>
        <v>640356.22222222225</v>
      </c>
      <c r="CE6" s="112">
        <f t="shared" si="45"/>
        <v>640356.22222222225</v>
      </c>
      <c r="CF6" s="112">
        <f t="shared" si="45"/>
        <v>640356.22222222225</v>
      </c>
      <c r="CG6" s="112">
        <f t="shared" si="45"/>
        <v>640356.22222222225</v>
      </c>
      <c r="CH6" s="112">
        <f t="shared" si="45"/>
        <v>640356.22222222225</v>
      </c>
      <c r="CI6" s="112">
        <f t="shared" si="45"/>
        <v>640356.22222222225</v>
      </c>
      <c r="CJ6" s="112">
        <f t="shared" si="45"/>
        <v>640356.22222222225</v>
      </c>
      <c r="CK6" s="112">
        <f t="shared" si="45"/>
        <v>640356.22222222225</v>
      </c>
      <c r="CL6" s="112">
        <f t="shared" si="45"/>
        <v>640356.22222222225</v>
      </c>
      <c r="CM6" s="112">
        <f t="shared" si="45"/>
        <v>640356.22222222225</v>
      </c>
      <c r="CN6" s="112">
        <f t="shared" si="45"/>
        <v>640356.22222222225</v>
      </c>
      <c r="CO6" s="112">
        <f t="shared" si="45"/>
        <v>640356.22222222225</v>
      </c>
      <c r="CP6" s="112">
        <f t="shared" si="45"/>
        <v>640356.22222222225</v>
      </c>
      <c r="CQ6" s="112">
        <f t="shared" si="45"/>
        <v>640356.22222222225</v>
      </c>
      <c r="CR6" s="112">
        <f t="shared" si="45"/>
        <v>640356.22222222225</v>
      </c>
      <c r="CS6" s="112">
        <f t="shared" si="45"/>
        <v>640356.22222222225</v>
      </c>
      <c r="CT6" s="112">
        <f t="shared" si="45"/>
        <v>640356.22222222225</v>
      </c>
      <c r="CU6" s="112">
        <f t="shared" si="45"/>
        <v>640356.22222222225</v>
      </c>
      <c r="CV6" s="112">
        <f t="shared" si="45"/>
        <v>640356.22222222225</v>
      </c>
      <c r="CW6" s="112">
        <f t="shared" si="45"/>
        <v>640356.22222222225</v>
      </c>
      <c r="CX6" s="112">
        <f t="shared" si="45"/>
        <v>640356.22222222225</v>
      </c>
      <c r="CY6" s="112">
        <f t="shared" si="45"/>
        <v>640356.22222222225</v>
      </c>
      <c r="CZ6" s="112">
        <f t="shared" si="45"/>
        <v>640356.22222222225</v>
      </c>
      <c r="DA6" s="112">
        <f t="shared" si="45"/>
        <v>640356.22222222225</v>
      </c>
      <c r="DB6" s="112">
        <f t="shared" si="45"/>
        <v>640356.22222222225</v>
      </c>
      <c r="DC6" s="112">
        <f t="shared" si="45"/>
        <v>640356.22222222225</v>
      </c>
      <c r="DD6" s="112">
        <f t="shared" si="45"/>
        <v>640356.22222222225</v>
      </c>
      <c r="DE6" s="112">
        <f t="shared" si="45"/>
        <v>640356.22222222225</v>
      </c>
      <c r="DF6" s="112">
        <f t="shared" si="45"/>
        <v>640356.22222222225</v>
      </c>
      <c r="DG6" s="112">
        <f t="shared" si="45"/>
        <v>640356.22222222225</v>
      </c>
      <c r="DH6" s="112">
        <f t="shared" si="45"/>
        <v>640356.22222222225</v>
      </c>
      <c r="DI6" s="112">
        <f t="shared" si="45"/>
        <v>640356.22222222225</v>
      </c>
      <c r="DJ6" s="112">
        <f t="shared" si="45"/>
        <v>640356.22222222225</v>
      </c>
      <c r="DK6" s="112">
        <f t="shared" si="45"/>
        <v>640356.22222222225</v>
      </c>
      <c r="DL6" s="112">
        <f t="shared" si="45"/>
        <v>640356.22222222225</v>
      </c>
      <c r="DM6" s="112">
        <f t="shared" si="45"/>
        <v>640356.22222222225</v>
      </c>
      <c r="DN6" s="112">
        <f t="shared" si="45"/>
        <v>640356.22222222225</v>
      </c>
      <c r="DO6" s="112">
        <f t="shared" si="45"/>
        <v>640356.22222222225</v>
      </c>
      <c r="DP6" s="112">
        <f t="shared" si="45"/>
        <v>640356.22222222225</v>
      </c>
      <c r="DQ6" s="112">
        <f t="shared" si="45"/>
        <v>640356.22222222225</v>
      </c>
      <c r="DR6" s="112">
        <f t="shared" si="45"/>
        <v>640356.22222222225</v>
      </c>
      <c r="DS6" s="112">
        <f t="shared" si="45"/>
        <v>640356.22222222225</v>
      </c>
      <c r="DT6" s="112">
        <f t="shared" si="45"/>
        <v>640356.22222222225</v>
      </c>
      <c r="DU6" s="112">
        <f t="shared" si="45"/>
        <v>640356.22222222225</v>
      </c>
      <c r="DV6" s="112">
        <f t="shared" si="45"/>
        <v>640356.22222222225</v>
      </c>
      <c r="DW6" s="112">
        <f t="shared" si="45"/>
        <v>640356.22222222225</v>
      </c>
      <c r="DX6" s="112">
        <f t="shared" si="45"/>
        <v>640356.22222222225</v>
      </c>
      <c r="DY6" s="112">
        <f t="shared" si="45"/>
        <v>640356.22222222225</v>
      </c>
      <c r="DZ6" s="112">
        <f t="shared" si="45"/>
        <v>640356.22222222225</v>
      </c>
      <c r="EA6" s="112">
        <f t="shared" si="45"/>
        <v>640356.22222222225</v>
      </c>
      <c r="EB6" s="112">
        <f t="shared" si="45"/>
        <v>640356.22222222225</v>
      </c>
      <c r="EC6" s="112">
        <f t="shared" si="45"/>
        <v>640356.22222222225</v>
      </c>
      <c r="ED6" s="112">
        <f t="shared" si="45"/>
        <v>640356.22222222225</v>
      </c>
      <c r="EE6" s="112">
        <f t="shared" si="45"/>
        <v>640356.22222222225</v>
      </c>
      <c r="EF6" s="112">
        <f t="shared" si="45"/>
        <v>640356.22222222225</v>
      </c>
      <c r="EG6" s="112">
        <f t="shared" ref="EG6:GR6" si="46">EF6+EG5</f>
        <v>640356.22222222225</v>
      </c>
      <c r="EH6" s="112">
        <f t="shared" si="46"/>
        <v>640356.22222222225</v>
      </c>
      <c r="EI6" s="112">
        <f t="shared" si="46"/>
        <v>640356.22222222225</v>
      </c>
      <c r="EJ6" s="112">
        <f t="shared" si="46"/>
        <v>640356.22222222225</v>
      </c>
      <c r="EK6" s="112">
        <f t="shared" si="46"/>
        <v>640356.22222222225</v>
      </c>
      <c r="EL6" s="112">
        <f t="shared" si="46"/>
        <v>640356.22222222225</v>
      </c>
      <c r="EM6" s="112">
        <f t="shared" si="46"/>
        <v>640356.22222222225</v>
      </c>
      <c r="EN6" s="112">
        <f t="shared" si="46"/>
        <v>640356.22222222225</v>
      </c>
      <c r="EO6" s="112">
        <f t="shared" si="46"/>
        <v>640356.22222222225</v>
      </c>
      <c r="EP6" s="112">
        <f t="shared" si="46"/>
        <v>640356.22222222225</v>
      </c>
      <c r="EQ6" s="112">
        <f t="shared" si="46"/>
        <v>640356.22222222225</v>
      </c>
      <c r="ER6" s="112">
        <f t="shared" si="46"/>
        <v>640356.22222222225</v>
      </c>
      <c r="ES6" s="112">
        <f t="shared" si="46"/>
        <v>640356.22222222225</v>
      </c>
      <c r="ET6" s="112">
        <f t="shared" si="46"/>
        <v>640356.22222222225</v>
      </c>
      <c r="EU6" s="112">
        <f t="shared" si="46"/>
        <v>640356.22222222225</v>
      </c>
      <c r="EV6" s="112">
        <f t="shared" si="46"/>
        <v>640356.22222222225</v>
      </c>
      <c r="EW6" s="112">
        <f t="shared" si="46"/>
        <v>640356.22222222225</v>
      </c>
      <c r="EX6" s="112">
        <f t="shared" si="46"/>
        <v>640356.22222222225</v>
      </c>
      <c r="EY6" s="112">
        <f t="shared" si="46"/>
        <v>640356.22222222225</v>
      </c>
      <c r="EZ6" s="112">
        <f t="shared" si="46"/>
        <v>640356.22222222225</v>
      </c>
      <c r="FA6" s="112">
        <f t="shared" si="46"/>
        <v>640356.22222222225</v>
      </c>
      <c r="FB6" s="112">
        <f t="shared" si="46"/>
        <v>640356.22222222225</v>
      </c>
      <c r="FC6" s="112">
        <f t="shared" si="46"/>
        <v>640356.22222222225</v>
      </c>
      <c r="FD6" s="112">
        <f t="shared" si="46"/>
        <v>640356.22222222225</v>
      </c>
      <c r="FE6" s="112">
        <f t="shared" si="46"/>
        <v>640356.22222222225</v>
      </c>
      <c r="FF6" s="112">
        <f t="shared" si="46"/>
        <v>640356.22222222225</v>
      </c>
      <c r="FG6" s="112">
        <f t="shared" si="46"/>
        <v>640356.22222222225</v>
      </c>
      <c r="FH6" s="112">
        <f t="shared" si="46"/>
        <v>640356.22222222225</v>
      </c>
      <c r="FI6" s="112">
        <f t="shared" si="46"/>
        <v>640356.22222222225</v>
      </c>
      <c r="FJ6" s="112">
        <f t="shared" si="46"/>
        <v>640356.22222222225</v>
      </c>
      <c r="FK6" s="112">
        <f t="shared" si="46"/>
        <v>640356.22222222225</v>
      </c>
      <c r="FL6" s="112">
        <f t="shared" si="46"/>
        <v>640356.22222222225</v>
      </c>
      <c r="FM6" s="112">
        <f t="shared" si="46"/>
        <v>640356.22222222225</v>
      </c>
      <c r="FN6" s="112">
        <f t="shared" si="46"/>
        <v>640356.22222222225</v>
      </c>
      <c r="FO6" s="112">
        <f t="shared" si="46"/>
        <v>640356.22222222225</v>
      </c>
      <c r="FP6" s="112">
        <f t="shared" si="46"/>
        <v>640356.22222222225</v>
      </c>
      <c r="FQ6" s="112">
        <f t="shared" si="46"/>
        <v>640356.22222222225</v>
      </c>
      <c r="FR6" s="112">
        <f t="shared" si="46"/>
        <v>640356.22222222225</v>
      </c>
      <c r="FS6" s="112">
        <f t="shared" si="46"/>
        <v>640356.22222222225</v>
      </c>
      <c r="FT6" s="112">
        <f t="shared" si="46"/>
        <v>640356.22222222225</v>
      </c>
      <c r="FU6" s="112">
        <f t="shared" si="46"/>
        <v>640356.22222222225</v>
      </c>
      <c r="FV6" s="112">
        <f t="shared" si="46"/>
        <v>640356.22222222225</v>
      </c>
      <c r="FW6" s="112">
        <f t="shared" si="46"/>
        <v>640356.22222222225</v>
      </c>
      <c r="FX6" s="112">
        <f t="shared" si="46"/>
        <v>640356.22222222225</v>
      </c>
      <c r="FY6" s="112">
        <f t="shared" si="46"/>
        <v>640356.22222222225</v>
      </c>
      <c r="FZ6" s="112">
        <f t="shared" si="46"/>
        <v>640356.22222222225</v>
      </c>
      <c r="GA6" s="112">
        <f t="shared" si="46"/>
        <v>640356.22222222225</v>
      </c>
      <c r="GB6" s="112">
        <f t="shared" si="46"/>
        <v>640356.22222222225</v>
      </c>
      <c r="GC6" s="112">
        <f t="shared" si="46"/>
        <v>640356.22222222225</v>
      </c>
      <c r="GD6" s="112">
        <f t="shared" si="46"/>
        <v>640356.22222222225</v>
      </c>
      <c r="GE6" s="112">
        <f t="shared" si="46"/>
        <v>640356.22222222225</v>
      </c>
      <c r="GF6" s="112">
        <f t="shared" si="46"/>
        <v>640356.22222222225</v>
      </c>
      <c r="GG6" s="112">
        <f t="shared" si="46"/>
        <v>640356.22222222225</v>
      </c>
      <c r="GH6" s="112">
        <f t="shared" si="46"/>
        <v>640356.22222222225</v>
      </c>
      <c r="GI6" s="112">
        <f t="shared" si="46"/>
        <v>640356.22222222225</v>
      </c>
      <c r="GJ6" s="112">
        <f t="shared" si="46"/>
        <v>640356.22222222225</v>
      </c>
      <c r="GK6" s="112">
        <f t="shared" si="46"/>
        <v>640356.22222222225</v>
      </c>
      <c r="GL6" s="112">
        <f t="shared" si="46"/>
        <v>640356.22222222225</v>
      </c>
      <c r="GM6" s="112">
        <f t="shared" si="46"/>
        <v>640356.22222222225</v>
      </c>
      <c r="GN6" s="112">
        <f t="shared" si="46"/>
        <v>640356.22222222225</v>
      </c>
      <c r="GO6" s="112">
        <f t="shared" si="46"/>
        <v>640356.22222222225</v>
      </c>
      <c r="GP6" s="112">
        <f t="shared" si="46"/>
        <v>640356.22222222225</v>
      </c>
      <c r="GQ6" s="112">
        <f t="shared" si="46"/>
        <v>640356.22222222225</v>
      </c>
      <c r="GR6" s="112">
        <f t="shared" si="46"/>
        <v>640356.22222222225</v>
      </c>
      <c r="GS6" s="112">
        <f t="shared" ref="GS6:JD6" si="47">GR6+GS5</f>
        <v>640356.22222222225</v>
      </c>
      <c r="GT6" s="112">
        <f t="shared" si="47"/>
        <v>640356.22222222225</v>
      </c>
      <c r="GU6" s="112">
        <f t="shared" si="47"/>
        <v>640356.22222222225</v>
      </c>
      <c r="GV6" s="112">
        <f t="shared" si="47"/>
        <v>640356.22222222225</v>
      </c>
      <c r="GW6" s="112">
        <f t="shared" si="47"/>
        <v>640356.22222222225</v>
      </c>
      <c r="GX6" s="112">
        <f t="shared" si="47"/>
        <v>640356.22222222225</v>
      </c>
      <c r="GY6" s="112">
        <f t="shared" si="47"/>
        <v>640356.22222222225</v>
      </c>
      <c r="GZ6" s="112">
        <f t="shared" si="47"/>
        <v>640356.22222222225</v>
      </c>
      <c r="HA6" s="112">
        <f t="shared" si="47"/>
        <v>640356.22222222225</v>
      </c>
      <c r="HB6" s="112">
        <f t="shared" si="47"/>
        <v>640356.22222222225</v>
      </c>
      <c r="HC6" s="112">
        <f t="shared" si="47"/>
        <v>640356.22222222225</v>
      </c>
      <c r="HD6" s="112">
        <f t="shared" si="47"/>
        <v>640356.22222222225</v>
      </c>
      <c r="HE6" s="112">
        <f t="shared" si="47"/>
        <v>640356.22222222225</v>
      </c>
      <c r="HF6" s="112">
        <f t="shared" si="47"/>
        <v>640356.22222222225</v>
      </c>
      <c r="HG6" s="112">
        <f t="shared" si="47"/>
        <v>640356.22222222225</v>
      </c>
      <c r="HH6" s="112">
        <f t="shared" si="47"/>
        <v>640356.22222222225</v>
      </c>
      <c r="HI6" s="112">
        <f t="shared" si="47"/>
        <v>640356.22222222225</v>
      </c>
      <c r="HJ6" s="112">
        <f t="shared" si="47"/>
        <v>640356.22222222225</v>
      </c>
      <c r="HK6" s="112">
        <f t="shared" si="47"/>
        <v>640356.22222222225</v>
      </c>
      <c r="HL6" s="112">
        <f t="shared" si="47"/>
        <v>640356.22222222225</v>
      </c>
      <c r="HM6" s="112">
        <f t="shared" si="47"/>
        <v>640356.22222222225</v>
      </c>
      <c r="HN6" s="112">
        <f t="shared" si="47"/>
        <v>640356.22222222225</v>
      </c>
      <c r="HO6" s="112">
        <f t="shared" si="47"/>
        <v>640356.22222222225</v>
      </c>
      <c r="HP6" s="112">
        <f t="shared" si="47"/>
        <v>640356.22222222225</v>
      </c>
      <c r="HQ6" s="112">
        <f t="shared" si="47"/>
        <v>640356.22222222225</v>
      </c>
      <c r="HR6" s="112">
        <f t="shared" si="47"/>
        <v>640356.22222222225</v>
      </c>
      <c r="HS6" s="112">
        <f t="shared" si="47"/>
        <v>640356.22222222225</v>
      </c>
      <c r="HT6" s="112">
        <f t="shared" si="47"/>
        <v>640356.22222222225</v>
      </c>
      <c r="HU6" s="112">
        <f t="shared" si="47"/>
        <v>640356.22222222225</v>
      </c>
      <c r="HV6" s="112">
        <f t="shared" si="47"/>
        <v>640356.22222222225</v>
      </c>
      <c r="HW6" s="112">
        <f t="shared" si="47"/>
        <v>640356.22222222225</v>
      </c>
      <c r="HX6" s="112">
        <f t="shared" si="47"/>
        <v>640356.22222222225</v>
      </c>
      <c r="HY6" s="112">
        <f t="shared" si="47"/>
        <v>640356.22222222225</v>
      </c>
      <c r="HZ6" s="112">
        <f t="shared" si="47"/>
        <v>640356.22222222225</v>
      </c>
      <c r="IA6" s="112">
        <f t="shared" si="47"/>
        <v>640356.22222222225</v>
      </c>
      <c r="IB6" s="112">
        <f t="shared" si="47"/>
        <v>640356.22222222225</v>
      </c>
      <c r="IC6" s="112">
        <f t="shared" si="47"/>
        <v>640356.22222222225</v>
      </c>
      <c r="ID6" s="112">
        <f t="shared" si="47"/>
        <v>640356.22222222225</v>
      </c>
      <c r="IE6" s="112">
        <f t="shared" si="47"/>
        <v>640356.22222222225</v>
      </c>
      <c r="IF6" s="112">
        <f t="shared" si="47"/>
        <v>640356.22222222225</v>
      </c>
      <c r="IG6" s="112">
        <f t="shared" si="47"/>
        <v>640356.22222222225</v>
      </c>
      <c r="IH6" s="112">
        <f t="shared" si="47"/>
        <v>640356.22222222225</v>
      </c>
      <c r="II6" s="112">
        <f t="shared" si="47"/>
        <v>640356.22222222225</v>
      </c>
      <c r="IJ6" s="112">
        <f t="shared" si="47"/>
        <v>640356.22222222225</v>
      </c>
      <c r="IK6" s="112">
        <f t="shared" si="47"/>
        <v>640356.22222222225</v>
      </c>
      <c r="IL6" s="112">
        <f t="shared" si="47"/>
        <v>640356.22222222225</v>
      </c>
      <c r="IM6" s="112">
        <f t="shared" si="47"/>
        <v>640356.22222222225</v>
      </c>
      <c r="IN6" s="112">
        <f t="shared" si="47"/>
        <v>640356.22222222225</v>
      </c>
      <c r="IO6" s="112">
        <f t="shared" si="47"/>
        <v>640356.22222222225</v>
      </c>
      <c r="IP6" s="112">
        <f t="shared" si="47"/>
        <v>640356.22222222225</v>
      </c>
      <c r="IQ6" s="112">
        <f t="shared" si="47"/>
        <v>640356.22222222225</v>
      </c>
      <c r="IR6" s="112">
        <f t="shared" si="47"/>
        <v>640356.22222222225</v>
      </c>
      <c r="IS6" s="112">
        <f t="shared" si="47"/>
        <v>640356.22222222225</v>
      </c>
      <c r="IT6" s="112">
        <f t="shared" si="47"/>
        <v>640356.22222222225</v>
      </c>
      <c r="IU6" s="112">
        <f t="shared" si="47"/>
        <v>640356.22222222225</v>
      </c>
      <c r="IV6" s="112">
        <f t="shared" si="47"/>
        <v>640356.22222222225</v>
      </c>
      <c r="IW6" s="112">
        <f t="shared" si="47"/>
        <v>640356.22222222225</v>
      </c>
      <c r="IX6" s="112">
        <f t="shared" si="47"/>
        <v>640356.22222222225</v>
      </c>
      <c r="IY6" s="112">
        <f t="shared" si="47"/>
        <v>640356.22222222225</v>
      </c>
      <c r="IZ6" s="112">
        <f t="shared" si="47"/>
        <v>640356.22222222225</v>
      </c>
      <c r="JA6" s="112">
        <f t="shared" si="47"/>
        <v>640356.22222222225</v>
      </c>
      <c r="JB6" s="112">
        <f t="shared" si="47"/>
        <v>640356.22222222225</v>
      </c>
      <c r="JC6" s="112">
        <f t="shared" si="47"/>
        <v>640356.22222222225</v>
      </c>
      <c r="JD6" s="112">
        <f t="shared" si="47"/>
        <v>640356.22222222225</v>
      </c>
      <c r="JE6" s="112">
        <f t="shared" ref="JE6:LP6" si="48">JD6+JE5</f>
        <v>640356.22222222225</v>
      </c>
      <c r="JF6" s="112">
        <f t="shared" si="48"/>
        <v>640356.22222222225</v>
      </c>
      <c r="JG6" s="112">
        <f t="shared" si="48"/>
        <v>640356.22222222225</v>
      </c>
      <c r="JH6" s="112">
        <f t="shared" si="48"/>
        <v>640356.22222222225</v>
      </c>
      <c r="JI6" s="112">
        <f t="shared" si="48"/>
        <v>640356.22222222225</v>
      </c>
      <c r="JJ6" s="112">
        <f t="shared" si="48"/>
        <v>640356.22222222225</v>
      </c>
      <c r="JK6" s="112">
        <f t="shared" si="48"/>
        <v>640356.22222222225</v>
      </c>
      <c r="JL6" s="112">
        <f t="shared" si="48"/>
        <v>640356.22222222225</v>
      </c>
      <c r="JM6" s="112">
        <f t="shared" si="48"/>
        <v>640356.22222222225</v>
      </c>
      <c r="JN6" s="112">
        <f t="shared" si="48"/>
        <v>640356.22222222225</v>
      </c>
      <c r="JO6" s="112">
        <f t="shared" si="48"/>
        <v>640356.22222222225</v>
      </c>
      <c r="JP6" s="112">
        <f t="shared" si="48"/>
        <v>640356.22222222225</v>
      </c>
      <c r="JQ6" s="112">
        <f t="shared" si="48"/>
        <v>640356.22222222225</v>
      </c>
      <c r="JR6" s="112">
        <f t="shared" si="48"/>
        <v>640356.22222222225</v>
      </c>
      <c r="JS6" s="112">
        <f t="shared" si="48"/>
        <v>640356.22222222225</v>
      </c>
      <c r="JT6" s="112">
        <f t="shared" si="48"/>
        <v>640356.22222222225</v>
      </c>
      <c r="JU6" s="112">
        <f t="shared" si="48"/>
        <v>640356.22222222225</v>
      </c>
      <c r="JV6" s="112">
        <f t="shared" si="48"/>
        <v>640356.22222222225</v>
      </c>
      <c r="JW6" s="112">
        <f t="shared" si="48"/>
        <v>640356.22222222225</v>
      </c>
      <c r="JX6" s="112">
        <f t="shared" si="48"/>
        <v>640356.22222222225</v>
      </c>
      <c r="JY6" s="112">
        <f t="shared" si="48"/>
        <v>640356.22222222225</v>
      </c>
      <c r="JZ6" s="112">
        <f t="shared" si="48"/>
        <v>640356.22222222225</v>
      </c>
      <c r="KA6" s="112">
        <f t="shared" si="48"/>
        <v>640356.22222222225</v>
      </c>
      <c r="KB6" s="112">
        <f t="shared" si="48"/>
        <v>640356.22222222225</v>
      </c>
      <c r="KC6" s="112">
        <f t="shared" si="48"/>
        <v>640356.22222222225</v>
      </c>
      <c r="KD6" s="112">
        <f t="shared" si="48"/>
        <v>640356.22222222225</v>
      </c>
      <c r="KE6" s="112">
        <f t="shared" si="48"/>
        <v>640356.22222222225</v>
      </c>
      <c r="KF6" s="112">
        <f t="shared" si="48"/>
        <v>640356.22222222225</v>
      </c>
      <c r="KG6" s="112">
        <f t="shared" si="48"/>
        <v>640356.22222222225</v>
      </c>
      <c r="KH6" s="112">
        <f t="shared" si="48"/>
        <v>640356.22222222225</v>
      </c>
      <c r="KI6" s="112">
        <f t="shared" si="48"/>
        <v>640356.22222222225</v>
      </c>
      <c r="KJ6" s="112">
        <f t="shared" si="48"/>
        <v>640356.22222222225</v>
      </c>
      <c r="KK6" s="112">
        <f t="shared" si="48"/>
        <v>640356.22222222225</v>
      </c>
      <c r="KL6" s="112">
        <f t="shared" si="48"/>
        <v>640356.22222222225</v>
      </c>
      <c r="KM6" s="112">
        <f t="shared" si="48"/>
        <v>640356.22222222225</v>
      </c>
      <c r="KN6" s="112">
        <f t="shared" si="48"/>
        <v>640356.22222222225</v>
      </c>
      <c r="KO6" s="112">
        <f t="shared" si="48"/>
        <v>640356.22222222225</v>
      </c>
      <c r="KP6" s="112">
        <f t="shared" si="48"/>
        <v>640356.22222222225</v>
      </c>
      <c r="KQ6" s="112">
        <f t="shared" si="48"/>
        <v>640356.22222222225</v>
      </c>
      <c r="KR6" s="112">
        <f t="shared" si="48"/>
        <v>640356.22222222225</v>
      </c>
      <c r="KS6" s="112">
        <f t="shared" si="48"/>
        <v>640356.22222222225</v>
      </c>
      <c r="KT6" s="112">
        <f t="shared" si="48"/>
        <v>640356.22222222225</v>
      </c>
      <c r="KU6" s="112">
        <f t="shared" si="48"/>
        <v>640356.22222222225</v>
      </c>
      <c r="KV6" s="112">
        <f t="shared" si="48"/>
        <v>640356.22222222225</v>
      </c>
      <c r="KW6" s="112">
        <f t="shared" si="48"/>
        <v>640356.22222222225</v>
      </c>
      <c r="KX6" s="112">
        <f t="shared" si="48"/>
        <v>640356.22222222225</v>
      </c>
      <c r="KY6" s="112">
        <f t="shared" si="48"/>
        <v>640356.22222222225</v>
      </c>
      <c r="KZ6" s="112">
        <f t="shared" si="48"/>
        <v>640356.22222222225</v>
      </c>
      <c r="LA6" s="112">
        <f t="shared" si="48"/>
        <v>640356.22222222225</v>
      </c>
      <c r="LB6" s="112">
        <f t="shared" si="48"/>
        <v>640356.22222222225</v>
      </c>
      <c r="LC6" s="112">
        <f t="shared" si="48"/>
        <v>640356.22222222225</v>
      </c>
      <c r="LD6" s="112">
        <f t="shared" si="48"/>
        <v>640356.22222222225</v>
      </c>
      <c r="LE6" s="112">
        <f t="shared" si="48"/>
        <v>640356.22222222225</v>
      </c>
      <c r="LF6" s="112">
        <f t="shared" si="48"/>
        <v>640356.22222222225</v>
      </c>
      <c r="LG6" s="112">
        <f t="shared" si="48"/>
        <v>640356.22222222225</v>
      </c>
      <c r="LH6" s="112">
        <f t="shared" si="48"/>
        <v>640356.22222222225</v>
      </c>
      <c r="LI6" s="112">
        <f t="shared" si="48"/>
        <v>640356.22222222225</v>
      </c>
      <c r="LJ6" s="112">
        <f t="shared" si="48"/>
        <v>640356.22222222225</v>
      </c>
      <c r="LK6" s="112">
        <f t="shared" si="48"/>
        <v>640356.22222222225</v>
      </c>
      <c r="LL6" s="112">
        <f t="shared" si="48"/>
        <v>640356.22222222225</v>
      </c>
      <c r="LM6" s="112">
        <f t="shared" si="48"/>
        <v>640356.22222222225</v>
      </c>
      <c r="LN6" s="112">
        <f t="shared" si="48"/>
        <v>640356.22222222225</v>
      </c>
      <c r="LO6" s="112">
        <f t="shared" si="48"/>
        <v>640356.22222222225</v>
      </c>
      <c r="LP6" s="112">
        <f t="shared" si="48"/>
        <v>640356.22222222225</v>
      </c>
      <c r="LQ6" s="112">
        <f t="shared" ref="LQ6:OB6" si="49">LP6+LQ5</f>
        <v>640356.22222222225</v>
      </c>
      <c r="LR6" s="112">
        <f t="shared" si="49"/>
        <v>640356.22222222225</v>
      </c>
      <c r="LS6" s="112">
        <f t="shared" si="49"/>
        <v>640356.22222222225</v>
      </c>
      <c r="LT6" s="112">
        <f t="shared" si="49"/>
        <v>640356.22222222225</v>
      </c>
      <c r="LU6" s="112">
        <f t="shared" si="49"/>
        <v>640356.22222222225</v>
      </c>
      <c r="LV6" s="112">
        <f t="shared" si="49"/>
        <v>640356.22222222225</v>
      </c>
      <c r="LW6" s="112">
        <f t="shared" si="49"/>
        <v>640356.22222222225</v>
      </c>
      <c r="LX6" s="112">
        <f t="shared" si="49"/>
        <v>640356.22222222225</v>
      </c>
      <c r="LY6" s="112">
        <f t="shared" si="49"/>
        <v>640356.22222222225</v>
      </c>
      <c r="LZ6" s="112">
        <f t="shared" si="49"/>
        <v>640356.22222222225</v>
      </c>
      <c r="MA6" s="112">
        <f t="shared" si="49"/>
        <v>640356.22222222225</v>
      </c>
      <c r="MB6" s="112">
        <f t="shared" si="49"/>
        <v>640356.22222222225</v>
      </c>
      <c r="MC6" s="112">
        <f t="shared" si="49"/>
        <v>640356.22222222225</v>
      </c>
      <c r="MD6" s="112">
        <f t="shared" si="49"/>
        <v>640356.22222222225</v>
      </c>
      <c r="ME6" s="112">
        <f t="shared" si="49"/>
        <v>640356.22222222225</v>
      </c>
      <c r="MF6" s="112">
        <f t="shared" si="49"/>
        <v>640356.22222222225</v>
      </c>
      <c r="MG6" s="112">
        <f t="shared" si="49"/>
        <v>640356.22222222225</v>
      </c>
      <c r="MH6" s="112">
        <f t="shared" si="49"/>
        <v>640356.22222222225</v>
      </c>
      <c r="MI6" s="112">
        <f t="shared" si="49"/>
        <v>640356.22222222225</v>
      </c>
      <c r="MJ6" s="112">
        <f t="shared" si="49"/>
        <v>640356.22222222225</v>
      </c>
      <c r="MK6" s="112">
        <f t="shared" si="49"/>
        <v>640356.22222222225</v>
      </c>
      <c r="ML6" s="112">
        <f t="shared" si="49"/>
        <v>640356.22222222225</v>
      </c>
      <c r="MM6" s="112">
        <f t="shared" si="49"/>
        <v>640356.22222222225</v>
      </c>
      <c r="MN6" s="112">
        <f t="shared" si="49"/>
        <v>640356.22222222225</v>
      </c>
      <c r="MO6" s="112">
        <f t="shared" si="49"/>
        <v>640356.22222222225</v>
      </c>
      <c r="MP6" s="112">
        <f t="shared" si="49"/>
        <v>640356.22222222225</v>
      </c>
      <c r="MQ6" s="112">
        <f t="shared" si="49"/>
        <v>640356.22222222225</v>
      </c>
      <c r="MR6" s="112">
        <f t="shared" si="49"/>
        <v>640356.22222222225</v>
      </c>
      <c r="MS6" s="112">
        <f t="shared" si="49"/>
        <v>640356.22222222225</v>
      </c>
      <c r="MT6" s="112">
        <f t="shared" si="49"/>
        <v>640356.22222222225</v>
      </c>
      <c r="MU6" s="112">
        <f t="shared" si="49"/>
        <v>640356.22222222225</v>
      </c>
      <c r="MV6" s="112">
        <f t="shared" si="49"/>
        <v>640356.22222222225</v>
      </c>
      <c r="MW6" s="112">
        <f t="shared" si="49"/>
        <v>640356.22222222225</v>
      </c>
      <c r="MX6" s="112">
        <f t="shared" si="49"/>
        <v>640356.22222222225</v>
      </c>
      <c r="MY6" s="112">
        <f t="shared" si="49"/>
        <v>640356.22222222225</v>
      </c>
      <c r="MZ6" s="112">
        <f t="shared" si="49"/>
        <v>640356.22222222225</v>
      </c>
      <c r="NA6" s="112">
        <f t="shared" si="49"/>
        <v>640356.22222222225</v>
      </c>
      <c r="NB6" s="112">
        <f t="shared" si="49"/>
        <v>640356.22222222225</v>
      </c>
      <c r="NC6" s="112">
        <f t="shared" si="49"/>
        <v>640356.22222222225</v>
      </c>
      <c r="ND6" s="112">
        <f t="shared" si="49"/>
        <v>640356.22222222225</v>
      </c>
      <c r="NE6" s="112">
        <f t="shared" si="49"/>
        <v>640356.22222222225</v>
      </c>
      <c r="NF6" s="112">
        <f t="shared" si="49"/>
        <v>640356.22222222225</v>
      </c>
      <c r="NG6" s="112">
        <f t="shared" si="49"/>
        <v>640356.22222222225</v>
      </c>
      <c r="NH6" s="112">
        <f t="shared" si="49"/>
        <v>640356.22222222225</v>
      </c>
      <c r="NI6" s="112">
        <f t="shared" si="49"/>
        <v>640356.22222222225</v>
      </c>
      <c r="NJ6" s="112">
        <f t="shared" si="49"/>
        <v>640356.22222222225</v>
      </c>
      <c r="NK6" s="112">
        <f t="shared" si="49"/>
        <v>640356.22222222225</v>
      </c>
      <c r="NL6" s="112">
        <f t="shared" si="49"/>
        <v>640356.22222222225</v>
      </c>
      <c r="NM6" s="112">
        <f t="shared" si="49"/>
        <v>640356.22222222225</v>
      </c>
      <c r="NN6" s="112">
        <f t="shared" si="49"/>
        <v>640356.22222222225</v>
      </c>
      <c r="NO6" s="112">
        <f t="shared" si="49"/>
        <v>640356.22222222225</v>
      </c>
      <c r="NP6" s="112">
        <f t="shared" si="49"/>
        <v>640356.22222222225</v>
      </c>
      <c r="NQ6" s="112">
        <f t="shared" si="49"/>
        <v>640356.22222222225</v>
      </c>
      <c r="NR6" s="112">
        <f t="shared" si="49"/>
        <v>640356.22222222225</v>
      </c>
      <c r="NS6" s="112">
        <f t="shared" si="49"/>
        <v>640356.22222222225</v>
      </c>
      <c r="NT6" s="112">
        <f t="shared" si="49"/>
        <v>640356.22222222225</v>
      </c>
      <c r="NU6" s="112">
        <f t="shared" si="49"/>
        <v>640356.22222222225</v>
      </c>
      <c r="NV6" s="112">
        <f t="shared" si="49"/>
        <v>640356.22222222225</v>
      </c>
      <c r="NW6" s="112">
        <f t="shared" si="49"/>
        <v>640356.22222222225</v>
      </c>
      <c r="NX6" s="112">
        <f t="shared" si="49"/>
        <v>640356.22222222225</v>
      </c>
      <c r="NY6" s="112">
        <f t="shared" si="49"/>
        <v>640356.22222222225</v>
      </c>
      <c r="NZ6" s="112">
        <f t="shared" si="49"/>
        <v>640356.22222222225</v>
      </c>
      <c r="OA6" s="112">
        <f t="shared" si="49"/>
        <v>640356.22222222225</v>
      </c>
      <c r="OB6" s="112">
        <f t="shared" si="49"/>
        <v>640356.22222222225</v>
      </c>
      <c r="OC6" s="112">
        <f t="shared" ref="OC6:QN6" si="50">OB6+OC5</f>
        <v>640356.22222222225</v>
      </c>
      <c r="OD6" s="112">
        <f t="shared" si="50"/>
        <v>640356.22222222225</v>
      </c>
      <c r="OE6" s="112">
        <f t="shared" si="50"/>
        <v>640356.22222222225</v>
      </c>
      <c r="OF6" s="112">
        <f t="shared" si="50"/>
        <v>640356.22222222225</v>
      </c>
      <c r="OG6" s="112">
        <f t="shared" si="50"/>
        <v>640356.22222222225</v>
      </c>
      <c r="OH6" s="112">
        <f t="shared" si="50"/>
        <v>640356.22222222225</v>
      </c>
      <c r="OI6" s="112">
        <f t="shared" si="50"/>
        <v>640356.22222222225</v>
      </c>
      <c r="OJ6" s="112">
        <f t="shared" si="50"/>
        <v>640356.22222222225</v>
      </c>
      <c r="OK6" s="112">
        <f t="shared" si="50"/>
        <v>640356.22222222225</v>
      </c>
      <c r="OL6" s="112">
        <f t="shared" si="50"/>
        <v>640356.22222222225</v>
      </c>
      <c r="OM6" s="112">
        <f t="shared" si="50"/>
        <v>640356.22222222225</v>
      </c>
      <c r="ON6" s="112">
        <f t="shared" si="50"/>
        <v>640356.22222222225</v>
      </c>
      <c r="OO6" s="112">
        <f t="shared" si="50"/>
        <v>640356.22222222225</v>
      </c>
      <c r="OP6" s="112">
        <f t="shared" si="50"/>
        <v>640356.22222222225</v>
      </c>
      <c r="OQ6" s="112">
        <f t="shared" si="50"/>
        <v>640356.22222222225</v>
      </c>
      <c r="OR6" s="112">
        <f t="shared" si="50"/>
        <v>640356.22222222225</v>
      </c>
      <c r="OS6" s="112">
        <f t="shared" si="50"/>
        <v>640356.22222222225</v>
      </c>
      <c r="OT6" s="112">
        <f t="shared" si="50"/>
        <v>640356.22222222225</v>
      </c>
      <c r="OU6" s="112">
        <f t="shared" si="50"/>
        <v>640356.22222222225</v>
      </c>
      <c r="OV6" s="112">
        <f t="shared" si="50"/>
        <v>640356.22222222225</v>
      </c>
      <c r="OW6" s="112">
        <f t="shared" si="50"/>
        <v>640356.22222222225</v>
      </c>
      <c r="OX6" s="112">
        <f t="shared" si="50"/>
        <v>640356.22222222225</v>
      </c>
      <c r="OY6" s="112">
        <f t="shared" si="50"/>
        <v>640356.22222222225</v>
      </c>
      <c r="OZ6" s="112">
        <f t="shared" si="50"/>
        <v>640356.22222222225</v>
      </c>
      <c r="PA6" s="112">
        <f t="shared" si="50"/>
        <v>640356.22222222225</v>
      </c>
      <c r="PB6" s="112">
        <f t="shared" si="50"/>
        <v>640356.22222222225</v>
      </c>
      <c r="PC6" s="112">
        <f t="shared" si="50"/>
        <v>640356.22222222225</v>
      </c>
      <c r="PD6" s="112">
        <f t="shared" si="50"/>
        <v>640356.22222222225</v>
      </c>
      <c r="PE6" s="112">
        <f t="shared" si="50"/>
        <v>640356.22222222225</v>
      </c>
      <c r="PF6" s="112">
        <f t="shared" si="50"/>
        <v>640356.22222222225</v>
      </c>
      <c r="PG6" s="112">
        <f t="shared" si="50"/>
        <v>640356.22222222225</v>
      </c>
      <c r="PH6" s="112">
        <f t="shared" si="50"/>
        <v>640356.22222222225</v>
      </c>
      <c r="PI6" s="112">
        <f t="shared" si="50"/>
        <v>640356.22222222225</v>
      </c>
      <c r="PJ6" s="112">
        <f t="shared" si="50"/>
        <v>640356.22222222225</v>
      </c>
      <c r="PK6" s="112">
        <f t="shared" si="50"/>
        <v>640356.22222222225</v>
      </c>
      <c r="PL6" s="112">
        <f t="shared" si="50"/>
        <v>640356.22222222225</v>
      </c>
      <c r="PM6" s="112">
        <f t="shared" si="50"/>
        <v>640356.22222222225</v>
      </c>
      <c r="PN6" s="112">
        <f t="shared" si="50"/>
        <v>640356.22222222225</v>
      </c>
      <c r="PO6" s="112">
        <f t="shared" si="50"/>
        <v>640356.22222222225</v>
      </c>
      <c r="PP6" s="112">
        <f t="shared" si="50"/>
        <v>640356.22222222225</v>
      </c>
      <c r="PQ6" s="112">
        <f t="shared" si="50"/>
        <v>640356.22222222225</v>
      </c>
      <c r="PR6" s="112">
        <f t="shared" si="50"/>
        <v>640356.22222222225</v>
      </c>
      <c r="PS6" s="112">
        <f t="shared" si="50"/>
        <v>640356.22222222225</v>
      </c>
      <c r="PT6" s="112">
        <f t="shared" si="50"/>
        <v>640356.22222222225</v>
      </c>
      <c r="PU6" s="112">
        <f t="shared" si="50"/>
        <v>640356.22222222225</v>
      </c>
      <c r="PV6" s="112">
        <f t="shared" si="50"/>
        <v>640356.22222222225</v>
      </c>
      <c r="PW6" s="112">
        <f t="shared" si="50"/>
        <v>640356.22222222225</v>
      </c>
      <c r="PX6" s="112">
        <f t="shared" si="50"/>
        <v>640356.22222222225</v>
      </c>
      <c r="PY6" s="112">
        <f t="shared" si="50"/>
        <v>640356.22222222225</v>
      </c>
      <c r="PZ6" s="112">
        <f t="shared" si="50"/>
        <v>640356.22222222225</v>
      </c>
      <c r="QA6" s="112">
        <f t="shared" si="50"/>
        <v>640356.22222222225</v>
      </c>
      <c r="QB6" s="112">
        <f t="shared" si="50"/>
        <v>640356.22222222225</v>
      </c>
      <c r="QC6" s="112">
        <f t="shared" si="50"/>
        <v>640356.22222222225</v>
      </c>
      <c r="QD6" s="112">
        <f t="shared" si="50"/>
        <v>640356.22222222225</v>
      </c>
      <c r="QE6" s="112">
        <f t="shared" si="50"/>
        <v>640356.22222222225</v>
      </c>
      <c r="QF6" s="112">
        <f t="shared" si="50"/>
        <v>640356.22222222225</v>
      </c>
      <c r="QG6" s="112">
        <f t="shared" si="50"/>
        <v>640356.22222222225</v>
      </c>
      <c r="QH6" s="112">
        <f t="shared" si="50"/>
        <v>640356.22222222225</v>
      </c>
      <c r="QI6" s="112">
        <f t="shared" si="50"/>
        <v>640356.22222222225</v>
      </c>
      <c r="QJ6" s="112">
        <f t="shared" si="50"/>
        <v>640356.22222222225</v>
      </c>
      <c r="QK6" s="112">
        <f t="shared" si="50"/>
        <v>640356.22222222225</v>
      </c>
      <c r="QL6" s="112">
        <f t="shared" si="50"/>
        <v>640356.22222222225</v>
      </c>
      <c r="QM6" s="112">
        <f t="shared" si="50"/>
        <v>640356.22222222225</v>
      </c>
      <c r="QN6" s="112">
        <f t="shared" si="50"/>
        <v>640356.22222222225</v>
      </c>
      <c r="QO6" s="112">
        <f t="shared" ref="QO6:SZ6" si="51">QN6+QO5</f>
        <v>640356.22222222225</v>
      </c>
      <c r="QP6" s="112">
        <f t="shared" si="51"/>
        <v>640356.22222222225</v>
      </c>
      <c r="QQ6" s="112">
        <f t="shared" si="51"/>
        <v>640356.22222222225</v>
      </c>
      <c r="QR6" s="112">
        <f t="shared" si="51"/>
        <v>640356.22222222225</v>
      </c>
      <c r="QS6" s="112">
        <f t="shared" si="51"/>
        <v>640356.22222222225</v>
      </c>
      <c r="QT6" s="112">
        <f t="shared" si="51"/>
        <v>640356.22222222225</v>
      </c>
      <c r="QU6" s="112">
        <f t="shared" si="51"/>
        <v>640356.22222222225</v>
      </c>
      <c r="QV6" s="112">
        <f t="shared" si="51"/>
        <v>640356.22222222225</v>
      </c>
      <c r="QW6" s="112">
        <f t="shared" si="51"/>
        <v>640356.22222222225</v>
      </c>
      <c r="QX6" s="112">
        <f t="shared" si="51"/>
        <v>640356.22222222225</v>
      </c>
      <c r="QY6" s="112">
        <f t="shared" si="51"/>
        <v>640356.22222222225</v>
      </c>
      <c r="QZ6" s="112">
        <f t="shared" si="51"/>
        <v>640356.22222222225</v>
      </c>
      <c r="RA6" s="112">
        <f t="shared" si="51"/>
        <v>640356.22222222225</v>
      </c>
      <c r="RB6" s="112">
        <f t="shared" si="51"/>
        <v>640356.22222222225</v>
      </c>
      <c r="RC6" s="112">
        <f t="shared" si="51"/>
        <v>640356.22222222225</v>
      </c>
      <c r="RD6" s="112">
        <f t="shared" si="51"/>
        <v>640356.22222222225</v>
      </c>
      <c r="RE6" s="112">
        <f t="shared" si="51"/>
        <v>640356.22222222225</v>
      </c>
      <c r="RF6" s="112">
        <f t="shared" si="51"/>
        <v>640356.22222222225</v>
      </c>
      <c r="RG6" s="112">
        <f t="shared" si="51"/>
        <v>640356.22222222225</v>
      </c>
      <c r="RH6" s="112">
        <f t="shared" si="51"/>
        <v>640356.22222222225</v>
      </c>
      <c r="RI6" s="112">
        <f t="shared" si="51"/>
        <v>640356.22222222225</v>
      </c>
      <c r="RJ6" s="112">
        <f t="shared" si="51"/>
        <v>640356.22222222225</v>
      </c>
      <c r="RK6" s="112">
        <f t="shared" si="51"/>
        <v>640356.22222222225</v>
      </c>
      <c r="RL6" s="112">
        <f t="shared" si="51"/>
        <v>640356.22222222225</v>
      </c>
      <c r="RM6" s="112">
        <f t="shared" si="51"/>
        <v>640356.22222222225</v>
      </c>
      <c r="RN6" s="112">
        <f t="shared" si="51"/>
        <v>640356.22222222225</v>
      </c>
      <c r="RO6" s="112">
        <f t="shared" si="51"/>
        <v>640356.22222222225</v>
      </c>
      <c r="RP6" s="112">
        <f t="shared" si="51"/>
        <v>640356.22222222225</v>
      </c>
      <c r="RQ6" s="112">
        <f t="shared" si="51"/>
        <v>640356.22222222225</v>
      </c>
      <c r="RR6" s="112">
        <f t="shared" si="51"/>
        <v>640356.22222222225</v>
      </c>
      <c r="RS6" s="112">
        <f t="shared" si="51"/>
        <v>640356.22222222225</v>
      </c>
      <c r="RT6" s="112">
        <f t="shared" si="51"/>
        <v>640356.22222222225</v>
      </c>
      <c r="RU6" s="112">
        <f t="shared" si="51"/>
        <v>640356.22222222225</v>
      </c>
      <c r="RV6" s="112">
        <f t="shared" si="51"/>
        <v>640356.22222222225</v>
      </c>
      <c r="RW6" s="112">
        <f t="shared" si="51"/>
        <v>640356.22222222225</v>
      </c>
      <c r="RX6" s="112">
        <f t="shared" si="51"/>
        <v>640356.22222222225</v>
      </c>
      <c r="RY6" s="112">
        <f t="shared" si="51"/>
        <v>640356.22222222225</v>
      </c>
      <c r="RZ6" s="112">
        <f t="shared" si="51"/>
        <v>640356.22222222225</v>
      </c>
      <c r="SA6" s="112">
        <f t="shared" si="51"/>
        <v>640356.22222222225</v>
      </c>
      <c r="SB6" s="112">
        <f t="shared" si="51"/>
        <v>640356.22222222225</v>
      </c>
      <c r="SC6" s="112">
        <f t="shared" si="51"/>
        <v>640356.22222222225</v>
      </c>
      <c r="SD6" s="112">
        <f t="shared" si="51"/>
        <v>640356.22222222225</v>
      </c>
      <c r="SE6" s="112">
        <f t="shared" si="51"/>
        <v>640356.22222222225</v>
      </c>
      <c r="SF6" s="112">
        <f t="shared" si="51"/>
        <v>640356.22222222225</v>
      </c>
      <c r="SG6" s="112">
        <f t="shared" si="51"/>
        <v>640356.22222222225</v>
      </c>
      <c r="SH6" s="112">
        <f t="shared" si="51"/>
        <v>640356.22222222225</v>
      </c>
      <c r="SI6" s="112">
        <f t="shared" si="51"/>
        <v>640356.22222222225</v>
      </c>
      <c r="SJ6" s="112">
        <f t="shared" si="51"/>
        <v>640356.22222222225</v>
      </c>
      <c r="SK6" s="112">
        <f t="shared" si="51"/>
        <v>640356.22222222225</v>
      </c>
      <c r="SL6" s="112">
        <f t="shared" si="51"/>
        <v>640356.22222222225</v>
      </c>
      <c r="SM6" s="112">
        <f t="shared" si="51"/>
        <v>640356.22222222225</v>
      </c>
      <c r="SN6" s="112">
        <f t="shared" si="51"/>
        <v>640356.22222222225</v>
      </c>
      <c r="SO6" s="112">
        <f t="shared" si="51"/>
        <v>640356.22222222225</v>
      </c>
      <c r="SP6" s="112">
        <f t="shared" si="51"/>
        <v>640356.22222222225</v>
      </c>
      <c r="SQ6" s="112">
        <f t="shared" si="51"/>
        <v>640356.22222222225</v>
      </c>
      <c r="SR6" s="112">
        <f t="shared" si="51"/>
        <v>640356.22222222225</v>
      </c>
      <c r="SS6" s="112">
        <f t="shared" si="51"/>
        <v>640356.22222222225</v>
      </c>
      <c r="ST6" s="112">
        <f t="shared" si="51"/>
        <v>640356.22222222225</v>
      </c>
      <c r="SU6" s="112">
        <f t="shared" si="51"/>
        <v>640356.22222222225</v>
      </c>
      <c r="SV6" s="112">
        <f t="shared" si="51"/>
        <v>640356.22222222225</v>
      </c>
      <c r="SW6" s="112">
        <f t="shared" si="51"/>
        <v>640356.22222222225</v>
      </c>
      <c r="SX6" s="112">
        <f t="shared" si="51"/>
        <v>640356.22222222225</v>
      </c>
      <c r="SY6" s="112">
        <f t="shared" si="51"/>
        <v>640356.22222222225</v>
      </c>
      <c r="SZ6" s="112">
        <f t="shared" si="51"/>
        <v>640356.22222222225</v>
      </c>
      <c r="TA6" s="112">
        <f t="shared" ref="TA6:VL6" si="52">SZ6+TA5</f>
        <v>640356.22222222225</v>
      </c>
      <c r="TB6" s="112">
        <f t="shared" si="52"/>
        <v>640356.22222222225</v>
      </c>
      <c r="TC6" s="112">
        <f t="shared" si="52"/>
        <v>640356.22222222225</v>
      </c>
      <c r="TD6" s="112">
        <f t="shared" si="52"/>
        <v>640356.22222222225</v>
      </c>
      <c r="TE6" s="112">
        <f t="shared" si="52"/>
        <v>640356.22222222225</v>
      </c>
      <c r="TF6" s="112">
        <f t="shared" si="52"/>
        <v>640356.22222222225</v>
      </c>
      <c r="TG6" s="112">
        <f t="shared" si="52"/>
        <v>640356.22222222225</v>
      </c>
      <c r="TH6" s="112">
        <f t="shared" si="52"/>
        <v>640356.22222222225</v>
      </c>
      <c r="TI6" s="112">
        <f t="shared" si="52"/>
        <v>640356.22222222225</v>
      </c>
      <c r="TJ6" s="112">
        <f t="shared" si="52"/>
        <v>640356.22222222225</v>
      </c>
      <c r="TK6" s="112">
        <f t="shared" si="52"/>
        <v>640356.22222222225</v>
      </c>
      <c r="TL6" s="112">
        <f t="shared" si="52"/>
        <v>640356.22222222225</v>
      </c>
      <c r="TM6" s="112">
        <f t="shared" si="52"/>
        <v>640356.22222222225</v>
      </c>
      <c r="TN6" s="112">
        <f t="shared" si="52"/>
        <v>640356.22222222225</v>
      </c>
      <c r="TO6" s="112">
        <f t="shared" si="52"/>
        <v>640356.22222222225</v>
      </c>
      <c r="TP6" s="112">
        <f t="shared" si="52"/>
        <v>640356.22222222225</v>
      </c>
      <c r="TQ6" s="112">
        <f t="shared" si="52"/>
        <v>640356.22222222225</v>
      </c>
      <c r="TR6" s="112">
        <f t="shared" si="52"/>
        <v>640356.22222222225</v>
      </c>
      <c r="TS6" s="112">
        <f t="shared" si="52"/>
        <v>640356.22222222225</v>
      </c>
      <c r="TT6" s="112">
        <f t="shared" si="52"/>
        <v>640356.22222222225</v>
      </c>
      <c r="TU6" s="112">
        <f t="shared" si="52"/>
        <v>640356.22222222225</v>
      </c>
      <c r="TV6" s="112">
        <f t="shared" si="52"/>
        <v>640356.22222222225</v>
      </c>
      <c r="TW6" s="112">
        <f t="shared" si="52"/>
        <v>640356.22222222225</v>
      </c>
      <c r="TX6" s="112">
        <f t="shared" si="52"/>
        <v>640356.22222222225</v>
      </c>
      <c r="TY6" s="112">
        <f t="shared" si="52"/>
        <v>640356.22222222225</v>
      </c>
      <c r="TZ6" s="112">
        <f t="shared" si="52"/>
        <v>640356.22222222225</v>
      </c>
      <c r="UA6" s="112">
        <f t="shared" si="52"/>
        <v>640356.22222222225</v>
      </c>
      <c r="UB6" s="112">
        <f t="shared" si="52"/>
        <v>640356.22222222225</v>
      </c>
      <c r="UC6" s="112">
        <f t="shared" si="52"/>
        <v>640356.22222222225</v>
      </c>
      <c r="UD6" s="112">
        <f t="shared" si="52"/>
        <v>640356.22222222225</v>
      </c>
      <c r="UE6" s="112">
        <f t="shared" si="52"/>
        <v>640356.22222222225</v>
      </c>
      <c r="UF6" s="112">
        <f t="shared" si="52"/>
        <v>640356.22222222225</v>
      </c>
      <c r="UG6" s="112">
        <f t="shared" si="52"/>
        <v>640356.22222222225</v>
      </c>
      <c r="UH6" s="112">
        <f t="shared" si="52"/>
        <v>640356.22222222225</v>
      </c>
      <c r="UI6" s="112">
        <f t="shared" si="52"/>
        <v>640356.22222222225</v>
      </c>
      <c r="UJ6" s="112">
        <f t="shared" si="52"/>
        <v>640356.22222222225</v>
      </c>
      <c r="UK6" s="112">
        <f t="shared" si="52"/>
        <v>640356.22222222225</v>
      </c>
      <c r="UL6" s="112">
        <f t="shared" si="52"/>
        <v>640356.22222222225</v>
      </c>
      <c r="UM6" s="112">
        <f t="shared" si="52"/>
        <v>640356.22222222225</v>
      </c>
      <c r="UN6" s="112">
        <f t="shared" si="52"/>
        <v>640356.22222222225</v>
      </c>
      <c r="UO6" s="112">
        <f t="shared" si="52"/>
        <v>640356.22222222225</v>
      </c>
      <c r="UP6" s="112">
        <f t="shared" si="52"/>
        <v>640356.22222222225</v>
      </c>
      <c r="UQ6" s="112">
        <f t="shared" si="52"/>
        <v>640356.22222222225</v>
      </c>
      <c r="UR6" s="112">
        <f t="shared" si="52"/>
        <v>640356.22222222225</v>
      </c>
      <c r="US6" s="112">
        <f t="shared" si="52"/>
        <v>640356.22222222225</v>
      </c>
      <c r="UT6" s="112">
        <f t="shared" si="52"/>
        <v>640356.22222222225</v>
      </c>
      <c r="UU6" s="112">
        <f t="shared" si="52"/>
        <v>640356.22222222225</v>
      </c>
      <c r="UV6" s="112">
        <f t="shared" si="52"/>
        <v>640356.22222222225</v>
      </c>
      <c r="UW6" s="112">
        <f t="shared" si="52"/>
        <v>640356.22222222225</v>
      </c>
      <c r="UX6" s="112">
        <f t="shared" si="52"/>
        <v>640356.22222222225</v>
      </c>
      <c r="UY6" s="112">
        <f t="shared" si="52"/>
        <v>640356.22222222225</v>
      </c>
      <c r="UZ6" s="112">
        <f t="shared" si="52"/>
        <v>640356.22222222225</v>
      </c>
      <c r="VA6" s="112">
        <f t="shared" si="52"/>
        <v>640356.22222222225</v>
      </c>
      <c r="VB6" s="112">
        <f t="shared" si="52"/>
        <v>640356.22222222225</v>
      </c>
      <c r="VC6" s="112">
        <f t="shared" si="52"/>
        <v>640356.22222222225</v>
      </c>
      <c r="VD6" s="112">
        <f t="shared" si="52"/>
        <v>640356.22222222225</v>
      </c>
      <c r="VE6" s="112">
        <f t="shared" si="52"/>
        <v>640356.22222222225</v>
      </c>
      <c r="VF6" s="112">
        <f t="shared" si="52"/>
        <v>640356.22222222225</v>
      </c>
      <c r="VG6" s="112">
        <f t="shared" si="52"/>
        <v>640356.22222222225</v>
      </c>
      <c r="VH6" s="112">
        <f t="shared" si="52"/>
        <v>640356.22222222225</v>
      </c>
      <c r="VI6" s="112">
        <f t="shared" si="52"/>
        <v>640356.22222222225</v>
      </c>
      <c r="VJ6" s="112">
        <f t="shared" si="52"/>
        <v>640356.22222222225</v>
      </c>
      <c r="VK6" s="112">
        <f t="shared" si="52"/>
        <v>640356.22222222225</v>
      </c>
      <c r="VL6" s="112">
        <f t="shared" si="52"/>
        <v>640356.22222222225</v>
      </c>
      <c r="VM6" s="112">
        <f t="shared" ref="VM6:XX6" si="53">VL6+VM5</f>
        <v>640356.22222222225</v>
      </c>
      <c r="VN6" s="112">
        <f t="shared" si="53"/>
        <v>640356.22222222225</v>
      </c>
      <c r="VO6" s="112">
        <f t="shared" si="53"/>
        <v>640356.22222222225</v>
      </c>
      <c r="VP6" s="112">
        <f t="shared" si="53"/>
        <v>640356.22222222225</v>
      </c>
      <c r="VQ6" s="112">
        <f t="shared" si="53"/>
        <v>640356.22222222225</v>
      </c>
      <c r="VR6" s="112">
        <f t="shared" si="53"/>
        <v>640356.22222222225</v>
      </c>
      <c r="VS6" s="112">
        <f t="shared" si="53"/>
        <v>640356.22222222225</v>
      </c>
      <c r="VT6" s="112">
        <f t="shared" si="53"/>
        <v>640356.22222222225</v>
      </c>
      <c r="VU6" s="112">
        <f t="shared" si="53"/>
        <v>640356.22222222225</v>
      </c>
      <c r="VV6" s="112">
        <f t="shared" si="53"/>
        <v>640356.22222222225</v>
      </c>
      <c r="VW6" s="112">
        <f t="shared" si="53"/>
        <v>640356.22222222225</v>
      </c>
      <c r="VX6" s="112">
        <f t="shared" si="53"/>
        <v>640356.22222222225</v>
      </c>
      <c r="VY6" s="112">
        <f t="shared" si="53"/>
        <v>640356.22222222225</v>
      </c>
      <c r="VZ6" s="112">
        <f t="shared" si="53"/>
        <v>640356.22222222225</v>
      </c>
      <c r="WA6" s="112">
        <f t="shared" si="53"/>
        <v>640356.22222222225</v>
      </c>
      <c r="WB6" s="112">
        <f t="shared" si="53"/>
        <v>640356.22222222225</v>
      </c>
      <c r="WC6" s="112">
        <f t="shared" si="53"/>
        <v>640356.22222222225</v>
      </c>
      <c r="WD6" s="112">
        <f t="shared" si="53"/>
        <v>640356.22222222225</v>
      </c>
      <c r="WE6" s="112">
        <f t="shared" si="53"/>
        <v>640356.22222222225</v>
      </c>
      <c r="WF6" s="112">
        <f t="shared" si="53"/>
        <v>640356.22222222225</v>
      </c>
      <c r="WG6" s="112">
        <f t="shared" si="53"/>
        <v>640356.22222222225</v>
      </c>
      <c r="WH6" s="112">
        <f t="shared" si="53"/>
        <v>640356.22222222225</v>
      </c>
      <c r="WI6" s="112">
        <f t="shared" si="53"/>
        <v>640356.22222222225</v>
      </c>
      <c r="WJ6" s="112">
        <f t="shared" si="53"/>
        <v>640356.22222222225</v>
      </c>
      <c r="WK6" s="112">
        <f t="shared" si="53"/>
        <v>640356.22222222225</v>
      </c>
      <c r="WL6" s="112">
        <f t="shared" si="53"/>
        <v>640356.22222222225</v>
      </c>
      <c r="WM6" s="112">
        <f t="shared" si="53"/>
        <v>640356.22222222225</v>
      </c>
      <c r="WN6" s="112">
        <f t="shared" si="53"/>
        <v>640356.22222222225</v>
      </c>
      <c r="WO6" s="112">
        <f t="shared" si="53"/>
        <v>640356.22222222225</v>
      </c>
      <c r="WP6" s="112">
        <f t="shared" si="53"/>
        <v>640356.22222222225</v>
      </c>
      <c r="WQ6" s="112">
        <f t="shared" si="53"/>
        <v>640356.22222222225</v>
      </c>
      <c r="WR6" s="112">
        <f t="shared" si="53"/>
        <v>640356.22222222225</v>
      </c>
      <c r="WS6" s="112">
        <f t="shared" si="53"/>
        <v>640356.22222222225</v>
      </c>
      <c r="WT6" s="112">
        <f t="shared" si="53"/>
        <v>640356.22222222225</v>
      </c>
      <c r="WU6" s="112">
        <f t="shared" si="53"/>
        <v>640356.22222222225</v>
      </c>
      <c r="WV6" s="112">
        <f t="shared" si="53"/>
        <v>640356.22222222225</v>
      </c>
      <c r="WW6" s="112">
        <f t="shared" si="53"/>
        <v>640356.22222222225</v>
      </c>
      <c r="WX6" s="112">
        <f t="shared" si="53"/>
        <v>640356.22222222225</v>
      </c>
      <c r="WY6" s="112">
        <f t="shared" si="53"/>
        <v>640356.22222222225</v>
      </c>
      <c r="WZ6" s="112">
        <f t="shared" si="53"/>
        <v>640356.22222222225</v>
      </c>
      <c r="XA6" s="112">
        <f t="shared" si="53"/>
        <v>640356.22222222225</v>
      </c>
      <c r="XB6" s="112">
        <f t="shared" si="53"/>
        <v>640356.22222222225</v>
      </c>
      <c r="XC6" s="112">
        <f t="shared" si="53"/>
        <v>640356.22222222225</v>
      </c>
      <c r="XD6" s="112">
        <f t="shared" si="53"/>
        <v>640356.22222222225</v>
      </c>
      <c r="XE6" s="112">
        <f t="shared" si="53"/>
        <v>640356.22222222225</v>
      </c>
      <c r="XF6" s="112">
        <f t="shared" si="53"/>
        <v>640356.22222222225</v>
      </c>
      <c r="XG6" s="112">
        <f t="shared" si="53"/>
        <v>640356.22222222225</v>
      </c>
      <c r="XH6" s="112">
        <f t="shared" si="53"/>
        <v>640356.22222222225</v>
      </c>
      <c r="XI6" s="112">
        <f t="shared" si="53"/>
        <v>640356.22222222225</v>
      </c>
      <c r="XJ6" s="112">
        <f t="shared" si="53"/>
        <v>640356.22222222225</v>
      </c>
      <c r="XK6" s="112">
        <f t="shared" si="53"/>
        <v>640356.22222222225</v>
      </c>
      <c r="XL6" s="112">
        <f t="shared" si="53"/>
        <v>640356.22222222225</v>
      </c>
      <c r="XM6" s="112">
        <f t="shared" si="53"/>
        <v>640356.22222222225</v>
      </c>
      <c r="XN6" s="112">
        <f t="shared" si="53"/>
        <v>640356.22222222225</v>
      </c>
      <c r="XO6" s="112">
        <f t="shared" si="53"/>
        <v>640356.22222222225</v>
      </c>
      <c r="XP6" s="112">
        <f t="shared" si="53"/>
        <v>640356.22222222225</v>
      </c>
      <c r="XQ6" s="112">
        <f t="shared" si="53"/>
        <v>640356.22222222225</v>
      </c>
      <c r="XR6" s="112">
        <f t="shared" si="53"/>
        <v>640356.22222222225</v>
      </c>
      <c r="XS6" s="112">
        <f t="shared" si="53"/>
        <v>640356.22222222225</v>
      </c>
      <c r="XT6" s="112">
        <f t="shared" si="53"/>
        <v>640356.22222222225</v>
      </c>
      <c r="XU6" s="112">
        <f t="shared" si="53"/>
        <v>640356.22222222225</v>
      </c>
      <c r="XV6" s="112">
        <f t="shared" si="53"/>
        <v>640356.22222222225</v>
      </c>
      <c r="XW6" s="112">
        <f t="shared" si="53"/>
        <v>640356.22222222225</v>
      </c>
      <c r="XX6" s="112">
        <f t="shared" si="53"/>
        <v>640356.22222222225</v>
      </c>
      <c r="XY6" s="112">
        <f t="shared" ref="XY6:AAJ6" si="54">XX6+XY5</f>
        <v>640356.22222222225</v>
      </c>
      <c r="XZ6" s="112">
        <f t="shared" si="54"/>
        <v>640356.22222222225</v>
      </c>
      <c r="YA6" s="112">
        <f t="shared" si="54"/>
        <v>640356.22222222225</v>
      </c>
      <c r="YB6" s="112">
        <f t="shared" si="54"/>
        <v>640356.22222222225</v>
      </c>
      <c r="YC6" s="112">
        <f t="shared" si="54"/>
        <v>640356.22222222225</v>
      </c>
      <c r="YD6" s="112">
        <f t="shared" si="54"/>
        <v>640356.22222222225</v>
      </c>
      <c r="YE6" s="112">
        <f t="shared" si="54"/>
        <v>640356.22222222225</v>
      </c>
      <c r="YF6" s="112">
        <f t="shared" si="54"/>
        <v>640356.22222222225</v>
      </c>
      <c r="YG6" s="112">
        <f t="shared" si="54"/>
        <v>640356.22222222225</v>
      </c>
      <c r="YH6" s="112">
        <f t="shared" si="54"/>
        <v>640356.22222222225</v>
      </c>
      <c r="YI6" s="112">
        <f t="shared" si="54"/>
        <v>640356.22222222225</v>
      </c>
      <c r="YJ6" s="112">
        <f t="shared" si="54"/>
        <v>640356.22222222225</v>
      </c>
      <c r="YK6" s="112">
        <f t="shared" si="54"/>
        <v>640356.22222222225</v>
      </c>
      <c r="YL6" s="112">
        <f t="shared" si="54"/>
        <v>640356.22222222225</v>
      </c>
      <c r="YM6" s="112">
        <f t="shared" si="54"/>
        <v>640356.22222222225</v>
      </c>
      <c r="YN6" s="112">
        <f t="shared" si="54"/>
        <v>640356.22222222225</v>
      </c>
      <c r="YO6" s="112">
        <f t="shared" si="54"/>
        <v>640356.22222222225</v>
      </c>
      <c r="YP6" s="112">
        <f t="shared" si="54"/>
        <v>640356.22222222225</v>
      </c>
      <c r="YQ6" s="112">
        <f t="shared" si="54"/>
        <v>640356.22222222225</v>
      </c>
      <c r="YR6" s="112">
        <f t="shared" si="54"/>
        <v>640356.22222222225</v>
      </c>
      <c r="YS6" s="112">
        <f t="shared" si="54"/>
        <v>640356.22222222225</v>
      </c>
      <c r="YT6" s="112">
        <f t="shared" si="54"/>
        <v>640356.22222222225</v>
      </c>
      <c r="YU6" s="112">
        <f t="shared" si="54"/>
        <v>640356.22222222225</v>
      </c>
      <c r="YV6" s="112">
        <f t="shared" si="54"/>
        <v>640356.22222222225</v>
      </c>
      <c r="YW6" s="112">
        <f t="shared" si="54"/>
        <v>640356.22222222225</v>
      </c>
      <c r="YX6" s="112">
        <f t="shared" si="54"/>
        <v>640356.22222222225</v>
      </c>
      <c r="YY6" s="112">
        <f t="shared" si="54"/>
        <v>640356.22222222225</v>
      </c>
      <c r="YZ6" s="112">
        <f t="shared" si="54"/>
        <v>640356.22222222225</v>
      </c>
      <c r="ZA6" s="112">
        <f t="shared" si="54"/>
        <v>640356.22222222225</v>
      </c>
      <c r="ZB6" s="112">
        <f t="shared" si="54"/>
        <v>640356.22222222225</v>
      </c>
      <c r="ZC6" s="112">
        <f t="shared" si="54"/>
        <v>640356.22222222225</v>
      </c>
      <c r="ZD6" s="112">
        <f t="shared" si="54"/>
        <v>640356.22222222225</v>
      </c>
      <c r="ZE6" s="112">
        <f t="shared" si="54"/>
        <v>640356.22222222225</v>
      </c>
      <c r="ZF6" s="112">
        <f t="shared" si="54"/>
        <v>640356.22222222225</v>
      </c>
      <c r="ZG6" s="112">
        <f t="shared" si="54"/>
        <v>640356.22222222225</v>
      </c>
      <c r="ZH6" s="112">
        <f t="shared" si="54"/>
        <v>640356.22222222225</v>
      </c>
      <c r="ZI6" s="112">
        <f t="shared" si="54"/>
        <v>640356.22222222225</v>
      </c>
      <c r="ZJ6" s="112">
        <f t="shared" si="54"/>
        <v>640356.22222222225</v>
      </c>
      <c r="ZK6" s="112">
        <f t="shared" si="54"/>
        <v>640356.22222222225</v>
      </c>
      <c r="ZL6" s="112">
        <f t="shared" si="54"/>
        <v>640356.22222222225</v>
      </c>
      <c r="ZM6" s="112">
        <f t="shared" si="54"/>
        <v>640356.22222222225</v>
      </c>
      <c r="ZN6" s="112">
        <f t="shared" si="54"/>
        <v>640356.22222222225</v>
      </c>
      <c r="ZO6" s="112">
        <f t="shared" si="54"/>
        <v>640356.22222222225</v>
      </c>
      <c r="ZP6" s="112">
        <f t="shared" si="54"/>
        <v>640356.22222222225</v>
      </c>
      <c r="ZQ6" s="112">
        <f t="shared" si="54"/>
        <v>640356.22222222225</v>
      </c>
      <c r="ZR6" s="112">
        <f t="shared" si="54"/>
        <v>640356.22222222225</v>
      </c>
      <c r="ZS6" s="112">
        <f t="shared" si="54"/>
        <v>640356.22222222225</v>
      </c>
      <c r="ZT6" s="112">
        <f t="shared" si="54"/>
        <v>640356.22222222225</v>
      </c>
      <c r="ZU6" s="112">
        <f t="shared" si="54"/>
        <v>640356.22222222225</v>
      </c>
      <c r="ZV6" s="112">
        <f t="shared" si="54"/>
        <v>640356.22222222225</v>
      </c>
      <c r="ZW6" s="112">
        <f t="shared" si="54"/>
        <v>640356.22222222225</v>
      </c>
      <c r="ZX6" s="112">
        <f t="shared" si="54"/>
        <v>640356.22222222225</v>
      </c>
      <c r="ZY6" s="112">
        <f t="shared" si="54"/>
        <v>640356.22222222225</v>
      </c>
      <c r="ZZ6" s="112">
        <f t="shared" si="54"/>
        <v>640356.22222222225</v>
      </c>
      <c r="AAA6" s="112">
        <f t="shared" si="54"/>
        <v>640356.22222222225</v>
      </c>
      <c r="AAB6" s="112">
        <f t="shared" si="54"/>
        <v>640356.22222222225</v>
      </c>
      <c r="AAC6" s="112">
        <f t="shared" si="54"/>
        <v>640356.22222222225</v>
      </c>
      <c r="AAD6" s="112">
        <f t="shared" si="54"/>
        <v>640356.22222222225</v>
      </c>
      <c r="AAE6" s="112">
        <f t="shared" si="54"/>
        <v>640356.22222222225</v>
      </c>
      <c r="AAF6" s="112">
        <f t="shared" si="54"/>
        <v>640356.22222222225</v>
      </c>
      <c r="AAG6" s="112">
        <f t="shared" si="54"/>
        <v>640356.22222222225</v>
      </c>
      <c r="AAH6" s="112">
        <f t="shared" si="54"/>
        <v>640356.22222222225</v>
      </c>
      <c r="AAI6" s="112">
        <f t="shared" si="54"/>
        <v>640356.22222222225</v>
      </c>
      <c r="AAJ6" s="112">
        <f t="shared" si="54"/>
        <v>640356.22222222225</v>
      </c>
      <c r="AAK6" s="112">
        <f t="shared" ref="AAK6:ACV6" si="55">AAJ6+AAK5</f>
        <v>640356.22222222225</v>
      </c>
      <c r="AAL6" s="112">
        <f t="shared" si="55"/>
        <v>640356.22222222225</v>
      </c>
      <c r="AAM6" s="112">
        <f t="shared" si="55"/>
        <v>640356.22222222225</v>
      </c>
      <c r="AAN6" s="112">
        <f t="shared" si="55"/>
        <v>640356.22222222225</v>
      </c>
      <c r="AAO6" s="112">
        <f t="shared" si="55"/>
        <v>640356.22222222225</v>
      </c>
      <c r="AAP6" s="112">
        <f t="shared" si="55"/>
        <v>640356.22222222225</v>
      </c>
      <c r="AAQ6" s="112">
        <f t="shared" si="55"/>
        <v>640356.22222222225</v>
      </c>
      <c r="AAR6" s="112">
        <f t="shared" si="55"/>
        <v>640356.22222222225</v>
      </c>
      <c r="AAS6" s="112">
        <f t="shared" si="55"/>
        <v>640356.22222222225</v>
      </c>
      <c r="AAT6" s="112">
        <f t="shared" si="55"/>
        <v>640356.22222222225</v>
      </c>
      <c r="AAU6" s="112">
        <f t="shared" si="55"/>
        <v>640356.22222222225</v>
      </c>
      <c r="AAV6" s="112">
        <f t="shared" si="55"/>
        <v>640356.22222222225</v>
      </c>
      <c r="AAW6" s="112">
        <f t="shared" si="55"/>
        <v>640356.22222222225</v>
      </c>
      <c r="AAX6" s="112">
        <f t="shared" si="55"/>
        <v>640356.22222222225</v>
      </c>
      <c r="AAY6" s="112">
        <f t="shared" si="55"/>
        <v>640356.22222222225</v>
      </c>
      <c r="AAZ6" s="112">
        <f t="shared" si="55"/>
        <v>640356.22222222225</v>
      </c>
      <c r="ABA6" s="112">
        <f t="shared" si="55"/>
        <v>640356.22222222225</v>
      </c>
      <c r="ABB6" s="112">
        <f t="shared" si="55"/>
        <v>640356.22222222225</v>
      </c>
      <c r="ABC6" s="112">
        <f t="shared" si="55"/>
        <v>640356.22222222225</v>
      </c>
      <c r="ABD6" s="112">
        <f t="shared" si="55"/>
        <v>640356.22222222225</v>
      </c>
      <c r="ABE6" s="112">
        <f t="shared" si="55"/>
        <v>640356.22222222225</v>
      </c>
      <c r="ABF6" s="112">
        <f t="shared" si="55"/>
        <v>640356.22222222225</v>
      </c>
      <c r="ABG6" s="112">
        <f t="shared" si="55"/>
        <v>640356.22222222225</v>
      </c>
      <c r="ABH6" s="112">
        <f t="shared" si="55"/>
        <v>640356.22222222225</v>
      </c>
      <c r="ABI6" s="112">
        <f t="shared" si="55"/>
        <v>640356.22222222225</v>
      </c>
      <c r="ABJ6" s="112">
        <f t="shared" si="55"/>
        <v>640356.22222222225</v>
      </c>
      <c r="ABK6" s="112">
        <f t="shared" si="55"/>
        <v>640356.22222222225</v>
      </c>
      <c r="ABL6" s="112">
        <f t="shared" si="55"/>
        <v>640356.22222222225</v>
      </c>
      <c r="ABM6" s="112">
        <f t="shared" si="55"/>
        <v>640356.22222222225</v>
      </c>
      <c r="ABN6" s="112">
        <f t="shared" si="55"/>
        <v>640356.22222222225</v>
      </c>
      <c r="ABO6" s="112">
        <f t="shared" si="55"/>
        <v>640356.22222222225</v>
      </c>
      <c r="ABP6" s="112">
        <f t="shared" si="55"/>
        <v>640356.22222222225</v>
      </c>
      <c r="ABQ6" s="112">
        <f t="shared" si="55"/>
        <v>640356.22222222225</v>
      </c>
      <c r="ABR6" s="112">
        <f t="shared" si="55"/>
        <v>640356.22222222225</v>
      </c>
      <c r="ABS6" s="112">
        <f t="shared" si="55"/>
        <v>640356.22222222225</v>
      </c>
      <c r="ABT6" s="112">
        <f t="shared" si="55"/>
        <v>640356.22222222225</v>
      </c>
      <c r="ABU6" s="112">
        <f t="shared" si="55"/>
        <v>640356.22222222225</v>
      </c>
      <c r="ABV6" s="112">
        <f t="shared" si="55"/>
        <v>640356.22222222225</v>
      </c>
      <c r="ABW6" s="112">
        <f t="shared" si="55"/>
        <v>640356.22222222225</v>
      </c>
      <c r="ABX6" s="112">
        <f t="shared" si="55"/>
        <v>640356.22222222225</v>
      </c>
      <c r="ABY6" s="112">
        <f t="shared" si="55"/>
        <v>640356.22222222225</v>
      </c>
      <c r="ABZ6" s="112">
        <f t="shared" si="55"/>
        <v>640356.22222222225</v>
      </c>
      <c r="ACA6" s="112">
        <f t="shared" si="55"/>
        <v>640356.22222222225</v>
      </c>
      <c r="ACB6" s="112">
        <f t="shared" si="55"/>
        <v>640356.22222222225</v>
      </c>
      <c r="ACC6" s="112">
        <f t="shared" si="55"/>
        <v>640356.22222222225</v>
      </c>
      <c r="ACD6" s="112">
        <f t="shared" si="55"/>
        <v>640356.22222222225</v>
      </c>
      <c r="ACE6" s="112">
        <f t="shared" si="55"/>
        <v>640356.22222222225</v>
      </c>
      <c r="ACF6" s="112">
        <f t="shared" si="55"/>
        <v>640356.22222222225</v>
      </c>
      <c r="ACG6" s="112">
        <f t="shared" si="55"/>
        <v>640356.22222222225</v>
      </c>
      <c r="ACH6" s="112">
        <f t="shared" si="55"/>
        <v>640356.22222222225</v>
      </c>
      <c r="ACI6" s="112">
        <f t="shared" si="55"/>
        <v>640356.22222222225</v>
      </c>
      <c r="ACJ6" s="112">
        <f t="shared" si="55"/>
        <v>640356.22222222225</v>
      </c>
      <c r="ACK6" s="112">
        <f t="shared" si="55"/>
        <v>640356.22222222225</v>
      </c>
      <c r="ACL6" s="112">
        <f t="shared" si="55"/>
        <v>640356.22222222225</v>
      </c>
      <c r="ACM6" s="112">
        <f t="shared" si="55"/>
        <v>640356.22222222225</v>
      </c>
      <c r="ACN6" s="112">
        <f t="shared" si="55"/>
        <v>640356.22222222225</v>
      </c>
      <c r="ACO6" s="112">
        <f t="shared" si="55"/>
        <v>640356.22222222225</v>
      </c>
      <c r="ACP6" s="112">
        <f t="shared" si="55"/>
        <v>640356.22222222225</v>
      </c>
      <c r="ACQ6" s="112">
        <f t="shared" si="55"/>
        <v>640356.22222222225</v>
      </c>
      <c r="ACR6" s="112">
        <f t="shared" si="55"/>
        <v>640356.22222222225</v>
      </c>
      <c r="ACS6" s="112">
        <f t="shared" si="55"/>
        <v>640356.22222222225</v>
      </c>
      <c r="ACT6" s="112">
        <f t="shared" si="55"/>
        <v>640356.22222222225</v>
      </c>
      <c r="ACU6" s="112">
        <f t="shared" si="55"/>
        <v>640356.22222222225</v>
      </c>
      <c r="ACV6" s="112">
        <f t="shared" si="55"/>
        <v>640356.22222222225</v>
      </c>
      <c r="ACW6" s="112">
        <f t="shared" ref="ACW6:AFH6" si="56">ACV6+ACW5</f>
        <v>640356.22222222225</v>
      </c>
      <c r="ACX6" s="112">
        <f t="shared" si="56"/>
        <v>640356.22222222225</v>
      </c>
      <c r="ACY6" s="112">
        <f t="shared" si="56"/>
        <v>640356.22222222225</v>
      </c>
      <c r="ACZ6" s="112">
        <f t="shared" si="56"/>
        <v>640356.22222222225</v>
      </c>
      <c r="ADA6" s="112">
        <f t="shared" si="56"/>
        <v>640356.22222222225</v>
      </c>
      <c r="ADB6" s="112">
        <f t="shared" si="56"/>
        <v>640356.22222222225</v>
      </c>
      <c r="ADC6" s="112">
        <f t="shared" si="56"/>
        <v>640356.22222222225</v>
      </c>
      <c r="ADD6" s="112">
        <f t="shared" si="56"/>
        <v>640356.22222222225</v>
      </c>
      <c r="ADE6" s="112">
        <f t="shared" si="56"/>
        <v>640356.22222222225</v>
      </c>
      <c r="ADF6" s="112">
        <f t="shared" si="56"/>
        <v>640356.22222222225</v>
      </c>
      <c r="ADG6" s="112">
        <f t="shared" si="56"/>
        <v>640356.22222222225</v>
      </c>
      <c r="ADH6" s="112">
        <f t="shared" si="56"/>
        <v>640356.22222222225</v>
      </c>
      <c r="ADI6" s="112">
        <f t="shared" si="56"/>
        <v>640356.22222222225</v>
      </c>
      <c r="ADJ6" s="112">
        <f t="shared" si="56"/>
        <v>640356.22222222225</v>
      </c>
      <c r="ADK6" s="112">
        <f t="shared" si="56"/>
        <v>640356.22222222225</v>
      </c>
      <c r="ADL6" s="112">
        <f t="shared" si="56"/>
        <v>640356.22222222225</v>
      </c>
      <c r="ADM6" s="112">
        <f t="shared" si="56"/>
        <v>640356.22222222225</v>
      </c>
      <c r="ADN6" s="112">
        <f t="shared" si="56"/>
        <v>640356.22222222225</v>
      </c>
      <c r="ADO6" s="112">
        <f t="shared" si="56"/>
        <v>640356.22222222225</v>
      </c>
      <c r="ADP6" s="112">
        <f t="shared" si="56"/>
        <v>640356.22222222225</v>
      </c>
      <c r="ADQ6" s="112">
        <f t="shared" si="56"/>
        <v>640356.22222222225</v>
      </c>
      <c r="ADR6" s="112">
        <f t="shared" si="56"/>
        <v>640356.22222222225</v>
      </c>
      <c r="ADS6" s="112">
        <f t="shared" si="56"/>
        <v>640356.22222222225</v>
      </c>
      <c r="ADT6" s="112">
        <f t="shared" si="56"/>
        <v>640356.22222222225</v>
      </c>
      <c r="ADU6" s="112">
        <f t="shared" si="56"/>
        <v>640356.22222222225</v>
      </c>
      <c r="ADV6" s="112">
        <f t="shared" si="56"/>
        <v>640356.22222222225</v>
      </c>
      <c r="ADW6" s="112">
        <f t="shared" si="56"/>
        <v>640356.22222222225</v>
      </c>
      <c r="ADX6" s="112">
        <f t="shared" si="56"/>
        <v>640356.22222222225</v>
      </c>
      <c r="ADY6" s="112">
        <f t="shared" si="56"/>
        <v>640356.22222222225</v>
      </c>
      <c r="ADZ6" s="112">
        <f t="shared" si="56"/>
        <v>640356.22222222225</v>
      </c>
      <c r="AEA6" s="112">
        <f t="shared" si="56"/>
        <v>640356.22222222225</v>
      </c>
      <c r="AEB6" s="112">
        <f t="shared" si="56"/>
        <v>640356.22222222225</v>
      </c>
      <c r="AEC6" s="112">
        <f t="shared" si="56"/>
        <v>640356.22222222225</v>
      </c>
      <c r="AED6" s="112">
        <f t="shared" si="56"/>
        <v>640356.22222222225</v>
      </c>
      <c r="AEE6" s="112">
        <f t="shared" si="56"/>
        <v>640356.22222222225</v>
      </c>
      <c r="AEF6" s="112">
        <f t="shared" si="56"/>
        <v>640356.22222222225</v>
      </c>
      <c r="AEG6" s="112">
        <f t="shared" si="56"/>
        <v>640356.22222222225</v>
      </c>
      <c r="AEH6" s="112">
        <f t="shared" si="56"/>
        <v>640356.22222222225</v>
      </c>
      <c r="AEI6" s="112">
        <f t="shared" si="56"/>
        <v>640356.22222222225</v>
      </c>
      <c r="AEJ6" s="112">
        <f t="shared" si="56"/>
        <v>640356.22222222225</v>
      </c>
      <c r="AEK6" s="112">
        <f t="shared" si="56"/>
        <v>640356.22222222225</v>
      </c>
      <c r="AEL6" s="112">
        <f t="shared" si="56"/>
        <v>640356.22222222225</v>
      </c>
      <c r="AEM6" s="112">
        <f t="shared" si="56"/>
        <v>640356.22222222225</v>
      </c>
      <c r="AEN6" s="112">
        <f t="shared" si="56"/>
        <v>640356.22222222225</v>
      </c>
      <c r="AEO6" s="112">
        <f t="shared" si="56"/>
        <v>640356.22222222225</v>
      </c>
      <c r="AEP6" s="112">
        <f t="shared" si="56"/>
        <v>640356.22222222225</v>
      </c>
      <c r="AEQ6" s="112">
        <f t="shared" si="56"/>
        <v>640356.22222222225</v>
      </c>
      <c r="AER6" s="112">
        <f t="shared" si="56"/>
        <v>640356.22222222225</v>
      </c>
      <c r="AES6" s="112">
        <f t="shared" si="56"/>
        <v>640356.22222222225</v>
      </c>
      <c r="AET6" s="112">
        <f t="shared" si="56"/>
        <v>640356.22222222225</v>
      </c>
      <c r="AEU6" s="112">
        <f t="shared" si="56"/>
        <v>640356.22222222225</v>
      </c>
      <c r="AEV6" s="112">
        <f t="shared" si="56"/>
        <v>640356.22222222225</v>
      </c>
      <c r="AEW6" s="112">
        <f t="shared" si="56"/>
        <v>640356.22222222225</v>
      </c>
      <c r="AEX6" s="112">
        <f t="shared" si="56"/>
        <v>640356.22222222225</v>
      </c>
      <c r="AEY6" s="112">
        <f t="shared" si="56"/>
        <v>640356.22222222225</v>
      </c>
      <c r="AEZ6" s="112">
        <f t="shared" si="56"/>
        <v>640356.22222222225</v>
      </c>
      <c r="AFA6" s="112">
        <f t="shared" si="56"/>
        <v>640356.22222222225</v>
      </c>
      <c r="AFB6" s="112">
        <f t="shared" si="56"/>
        <v>640356.22222222225</v>
      </c>
      <c r="AFC6" s="112">
        <f t="shared" si="56"/>
        <v>640356.22222222225</v>
      </c>
      <c r="AFD6" s="112">
        <f t="shared" si="56"/>
        <v>640356.22222222225</v>
      </c>
      <c r="AFE6" s="112">
        <f t="shared" si="56"/>
        <v>640356.22222222225</v>
      </c>
      <c r="AFF6" s="112">
        <f t="shared" si="56"/>
        <v>640356.22222222225</v>
      </c>
      <c r="AFG6" s="112">
        <f t="shared" si="56"/>
        <v>640356.22222222225</v>
      </c>
      <c r="AFH6" s="112">
        <f t="shared" si="56"/>
        <v>640356.22222222225</v>
      </c>
      <c r="AFI6" s="112">
        <f t="shared" ref="AFI6:AHT6" si="57">AFH6+AFI5</f>
        <v>640356.22222222225</v>
      </c>
      <c r="AFJ6" s="112">
        <f t="shared" si="57"/>
        <v>640356.22222222225</v>
      </c>
      <c r="AFK6" s="112">
        <f t="shared" si="57"/>
        <v>640356.22222222225</v>
      </c>
      <c r="AFL6" s="112">
        <f t="shared" si="57"/>
        <v>640356.22222222225</v>
      </c>
      <c r="AFM6" s="112">
        <f t="shared" si="57"/>
        <v>640356.22222222225</v>
      </c>
      <c r="AFN6" s="112">
        <f t="shared" si="57"/>
        <v>640356.22222222225</v>
      </c>
      <c r="AFO6" s="112">
        <f t="shared" si="57"/>
        <v>640356.22222222225</v>
      </c>
      <c r="AFP6" s="112">
        <f t="shared" si="57"/>
        <v>640356.22222222225</v>
      </c>
      <c r="AFQ6" s="112">
        <f t="shared" si="57"/>
        <v>640356.22222222225</v>
      </c>
      <c r="AFR6" s="112">
        <f t="shared" si="57"/>
        <v>640356.22222222225</v>
      </c>
      <c r="AFS6" s="112">
        <f t="shared" si="57"/>
        <v>640356.22222222225</v>
      </c>
      <c r="AFT6" s="112">
        <f t="shared" si="57"/>
        <v>640356.22222222225</v>
      </c>
      <c r="AFU6" s="112">
        <f t="shared" si="57"/>
        <v>640356.22222222225</v>
      </c>
      <c r="AFV6" s="112">
        <f t="shared" si="57"/>
        <v>640356.22222222225</v>
      </c>
      <c r="AFW6" s="112">
        <f t="shared" si="57"/>
        <v>640356.22222222225</v>
      </c>
      <c r="AFX6" s="112">
        <f t="shared" si="57"/>
        <v>640356.22222222225</v>
      </c>
      <c r="AFY6" s="112">
        <f t="shared" si="57"/>
        <v>640356.22222222225</v>
      </c>
      <c r="AFZ6" s="112">
        <f t="shared" si="57"/>
        <v>640356.22222222225</v>
      </c>
      <c r="AGA6" s="112">
        <f t="shared" si="57"/>
        <v>640356.22222222225</v>
      </c>
      <c r="AGB6" s="112">
        <f t="shared" si="57"/>
        <v>640356.22222222225</v>
      </c>
      <c r="AGC6" s="112">
        <f t="shared" si="57"/>
        <v>640356.22222222225</v>
      </c>
      <c r="AGD6" s="112">
        <f t="shared" si="57"/>
        <v>640356.22222222225</v>
      </c>
      <c r="AGE6" s="112">
        <f t="shared" si="57"/>
        <v>640356.22222222225</v>
      </c>
      <c r="AGF6" s="112">
        <f t="shared" si="57"/>
        <v>640356.22222222225</v>
      </c>
      <c r="AGG6" s="112">
        <f t="shared" si="57"/>
        <v>640356.22222222225</v>
      </c>
      <c r="AGH6" s="112">
        <f t="shared" si="57"/>
        <v>640356.22222222225</v>
      </c>
      <c r="AGI6" s="112">
        <f t="shared" si="57"/>
        <v>640356.22222222225</v>
      </c>
      <c r="AGJ6" s="112">
        <f t="shared" si="57"/>
        <v>640356.22222222225</v>
      </c>
      <c r="AGK6" s="112">
        <f t="shared" si="57"/>
        <v>640356.22222222225</v>
      </c>
      <c r="AGL6" s="112">
        <f t="shared" si="57"/>
        <v>640356.22222222225</v>
      </c>
      <c r="AGM6" s="112">
        <f t="shared" si="57"/>
        <v>640356.22222222225</v>
      </c>
      <c r="AGN6" s="112">
        <f t="shared" si="57"/>
        <v>640356.22222222225</v>
      </c>
      <c r="AGO6" s="112">
        <f t="shared" si="57"/>
        <v>640356.22222222225</v>
      </c>
      <c r="AGP6" s="112">
        <f t="shared" si="57"/>
        <v>640356.22222222225</v>
      </c>
      <c r="AGQ6" s="112">
        <f t="shared" si="57"/>
        <v>640356.22222222225</v>
      </c>
      <c r="AGR6" s="112">
        <f t="shared" si="57"/>
        <v>640356.22222222225</v>
      </c>
      <c r="AGS6" s="112">
        <f t="shared" si="57"/>
        <v>640356.22222222225</v>
      </c>
      <c r="AGT6" s="112">
        <f t="shared" si="57"/>
        <v>640356.22222222225</v>
      </c>
      <c r="AGU6" s="112">
        <f t="shared" si="57"/>
        <v>640356.22222222225</v>
      </c>
      <c r="AGV6" s="112">
        <f t="shared" si="57"/>
        <v>640356.22222222225</v>
      </c>
      <c r="AGW6" s="112">
        <f t="shared" si="57"/>
        <v>640356.22222222225</v>
      </c>
      <c r="AGX6" s="112">
        <f t="shared" si="57"/>
        <v>640356.22222222225</v>
      </c>
      <c r="AGY6" s="112">
        <f t="shared" si="57"/>
        <v>640356.22222222225</v>
      </c>
      <c r="AGZ6" s="112">
        <f t="shared" si="57"/>
        <v>640356.22222222225</v>
      </c>
      <c r="AHA6" s="112">
        <f t="shared" si="57"/>
        <v>640356.22222222225</v>
      </c>
      <c r="AHB6" s="112">
        <f t="shared" si="57"/>
        <v>640356.22222222225</v>
      </c>
      <c r="AHC6" s="112">
        <f t="shared" si="57"/>
        <v>640356.22222222225</v>
      </c>
      <c r="AHD6" s="112">
        <f t="shared" si="57"/>
        <v>640356.22222222225</v>
      </c>
      <c r="AHE6" s="112">
        <f t="shared" si="57"/>
        <v>640356.22222222225</v>
      </c>
      <c r="AHF6" s="112">
        <f t="shared" si="57"/>
        <v>640356.22222222225</v>
      </c>
      <c r="AHG6" s="112">
        <f t="shared" si="57"/>
        <v>640356.22222222225</v>
      </c>
      <c r="AHH6" s="112">
        <f t="shared" si="57"/>
        <v>640356.22222222225</v>
      </c>
      <c r="AHI6" s="112">
        <f t="shared" si="57"/>
        <v>640356.22222222225</v>
      </c>
      <c r="AHJ6" s="112">
        <f t="shared" si="57"/>
        <v>640356.22222222225</v>
      </c>
      <c r="AHK6" s="112">
        <f t="shared" si="57"/>
        <v>640356.22222222225</v>
      </c>
      <c r="AHL6" s="112">
        <f t="shared" si="57"/>
        <v>640356.22222222225</v>
      </c>
      <c r="AHM6" s="112">
        <f t="shared" si="57"/>
        <v>640356.22222222225</v>
      </c>
      <c r="AHN6" s="112">
        <f t="shared" si="57"/>
        <v>640356.22222222225</v>
      </c>
      <c r="AHO6" s="112">
        <f t="shared" si="57"/>
        <v>640356.22222222225</v>
      </c>
      <c r="AHP6" s="112">
        <f t="shared" si="57"/>
        <v>640356.22222222225</v>
      </c>
      <c r="AHQ6" s="112">
        <f t="shared" si="57"/>
        <v>640356.22222222225</v>
      </c>
      <c r="AHR6" s="112">
        <f t="shared" si="57"/>
        <v>640356.22222222225</v>
      </c>
      <c r="AHS6" s="112">
        <f t="shared" si="57"/>
        <v>640356.22222222225</v>
      </c>
      <c r="AHT6" s="112">
        <f t="shared" si="57"/>
        <v>640356.22222222225</v>
      </c>
      <c r="AHU6" s="112">
        <f t="shared" ref="AHU6:AKF6" si="58">AHT6+AHU5</f>
        <v>640356.22222222225</v>
      </c>
      <c r="AHV6" s="112">
        <f t="shared" si="58"/>
        <v>640356.22222222225</v>
      </c>
      <c r="AHW6" s="112">
        <f t="shared" si="58"/>
        <v>640356.22222222225</v>
      </c>
      <c r="AHX6" s="112">
        <f t="shared" si="58"/>
        <v>640356.22222222225</v>
      </c>
      <c r="AHY6" s="112">
        <f t="shared" si="58"/>
        <v>640356.22222222225</v>
      </c>
      <c r="AHZ6" s="112">
        <f t="shared" si="58"/>
        <v>640356.22222222225</v>
      </c>
      <c r="AIA6" s="112">
        <f t="shared" si="58"/>
        <v>640356.22222222225</v>
      </c>
      <c r="AIB6" s="112">
        <f t="shared" si="58"/>
        <v>640356.22222222225</v>
      </c>
      <c r="AIC6" s="112">
        <f t="shared" si="58"/>
        <v>640356.22222222225</v>
      </c>
      <c r="AID6" s="112">
        <f t="shared" si="58"/>
        <v>640356.22222222225</v>
      </c>
      <c r="AIE6" s="112">
        <f t="shared" si="58"/>
        <v>640356.22222222225</v>
      </c>
      <c r="AIF6" s="112">
        <f t="shared" si="58"/>
        <v>640356.22222222225</v>
      </c>
      <c r="AIG6" s="112">
        <f t="shared" si="58"/>
        <v>640356.22222222225</v>
      </c>
      <c r="AIH6" s="112">
        <f t="shared" si="58"/>
        <v>640356.22222222225</v>
      </c>
      <c r="AII6" s="112">
        <f t="shared" si="58"/>
        <v>640356.22222222225</v>
      </c>
      <c r="AIJ6" s="112">
        <f t="shared" si="58"/>
        <v>640356.22222222225</v>
      </c>
      <c r="AIK6" s="112">
        <f t="shared" si="58"/>
        <v>640356.22222222225</v>
      </c>
      <c r="AIL6" s="112">
        <f t="shared" si="58"/>
        <v>640356.22222222225</v>
      </c>
      <c r="AIM6" s="112">
        <f t="shared" si="58"/>
        <v>640356.22222222225</v>
      </c>
      <c r="AIN6" s="112">
        <f t="shared" si="58"/>
        <v>640356.22222222225</v>
      </c>
      <c r="AIO6" s="112">
        <f t="shared" si="58"/>
        <v>640356.22222222225</v>
      </c>
      <c r="AIP6" s="112">
        <f t="shared" si="58"/>
        <v>640356.22222222225</v>
      </c>
      <c r="AIQ6" s="112">
        <f t="shared" si="58"/>
        <v>640356.22222222225</v>
      </c>
      <c r="AIR6" s="112">
        <f t="shared" si="58"/>
        <v>640356.22222222225</v>
      </c>
      <c r="AIS6" s="112">
        <f t="shared" si="58"/>
        <v>640356.22222222225</v>
      </c>
      <c r="AIT6" s="112">
        <f t="shared" si="58"/>
        <v>640356.22222222225</v>
      </c>
      <c r="AIU6" s="112">
        <f t="shared" si="58"/>
        <v>640356.22222222225</v>
      </c>
      <c r="AIV6" s="112">
        <f t="shared" si="58"/>
        <v>640356.22222222225</v>
      </c>
      <c r="AIW6" s="112">
        <f t="shared" si="58"/>
        <v>640356.22222222225</v>
      </c>
      <c r="AIX6" s="112">
        <f t="shared" si="58"/>
        <v>640356.22222222225</v>
      </c>
      <c r="AIY6" s="112">
        <f t="shared" si="58"/>
        <v>640356.22222222225</v>
      </c>
      <c r="AIZ6" s="112">
        <f t="shared" si="58"/>
        <v>640356.22222222225</v>
      </c>
      <c r="AJA6" s="112">
        <f t="shared" si="58"/>
        <v>640356.22222222225</v>
      </c>
      <c r="AJB6" s="112">
        <f t="shared" si="58"/>
        <v>640356.22222222225</v>
      </c>
      <c r="AJC6" s="112">
        <f t="shared" si="58"/>
        <v>640356.22222222225</v>
      </c>
      <c r="AJD6" s="112">
        <f t="shared" si="58"/>
        <v>640356.22222222225</v>
      </c>
      <c r="AJE6" s="112">
        <f t="shared" si="58"/>
        <v>640356.22222222225</v>
      </c>
      <c r="AJF6" s="112">
        <f t="shared" si="58"/>
        <v>640356.22222222225</v>
      </c>
      <c r="AJG6" s="112">
        <f t="shared" si="58"/>
        <v>640356.22222222225</v>
      </c>
      <c r="AJH6" s="112">
        <f t="shared" si="58"/>
        <v>640356.22222222225</v>
      </c>
      <c r="AJI6" s="112">
        <f t="shared" si="58"/>
        <v>640356.22222222225</v>
      </c>
      <c r="AJJ6" s="112">
        <f t="shared" si="58"/>
        <v>640356.22222222225</v>
      </c>
      <c r="AJK6" s="112">
        <f t="shared" si="58"/>
        <v>640356.22222222225</v>
      </c>
      <c r="AJL6" s="112">
        <f t="shared" si="58"/>
        <v>640356.22222222225</v>
      </c>
      <c r="AJM6" s="112">
        <f t="shared" si="58"/>
        <v>640356.22222222225</v>
      </c>
      <c r="AJN6" s="112">
        <f t="shared" si="58"/>
        <v>640356.22222222225</v>
      </c>
      <c r="AJO6" s="112">
        <f t="shared" si="58"/>
        <v>640356.22222222225</v>
      </c>
      <c r="AJP6" s="112">
        <f t="shared" si="58"/>
        <v>640356.22222222225</v>
      </c>
      <c r="AJQ6" s="112">
        <f t="shared" si="58"/>
        <v>640356.22222222225</v>
      </c>
      <c r="AJR6" s="112">
        <f t="shared" si="58"/>
        <v>640356.22222222225</v>
      </c>
      <c r="AJS6" s="112">
        <f t="shared" si="58"/>
        <v>640356.22222222225</v>
      </c>
      <c r="AJT6" s="112">
        <f t="shared" si="58"/>
        <v>640356.22222222225</v>
      </c>
      <c r="AJU6" s="112">
        <f t="shared" si="58"/>
        <v>640356.22222222225</v>
      </c>
      <c r="AJV6" s="112">
        <f t="shared" si="58"/>
        <v>640356.22222222225</v>
      </c>
      <c r="AJW6" s="112">
        <f t="shared" si="58"/>
        <v>640356.22222222225</v>
      </c>
      <c r="AJX6" s="112">
        <f t="shared" si="58"/>
        <v>640356.22222222225</v>
      </c>
      <c r="AJY6" s="112">
        <f t="shared" si="58"/>
        <v>640356.22222222225</v>
      </c>
      <c r="AJZ6" s="112">
        <f t="shared" si="58"/>
        <v>640356.22222222225</v>
      </c>
      <c r="AKA6" s="112">
        <f t="shared" si="58"/>
        <v>640356.22222222225</v>
      </c>
      <c r="AKB6" s="112">
        <f t="shared" si="58"/>
        <v>640356.22222222225</v>
      </c>
      <c r="AKC6" s="112">
        <f t="shared" si="58"/>
        <v>640356.22222222225</v>
      </c>
      <c r="AKD6" s="112">
        <f t="shared" si="58"/>
        <v>640356.22222222225</v>
      </c>
      <c r="AKE6" s="112">
        <f t="shared" si="58"/>
        <v>640356.22222222225</v>
      </c>
      <c r="AKF6" s="112">
        <f t="shared" si="58"/>
        <v>640356.22222222225</v>
      </c>
      <c r="AKG6" s="112">
        <f t="shared" ref="AKG6:AMR6" si="59">AKF6+AKG5</f>
        <v>640356.22222222225</v>
      </c>
      <c r="AKH6" s="112">
        <f t="shared" si="59"/>
        <v>640356.22222222225</v>
      </c>
      <c r="AKI6" s="112">
        <f t="shared" si="59"/>
        <v>640356.22222222225</v>
      </c>
      <c r="AKJ6" s="112">
        <f t="shared" si="59"/>
        <v>640356.22222222225</v>
      </c>
      <c r="AKK6" s="112">
        <f t="shared" si="59"/>
        <v>640356.22222222225</v>
      </c>
      <c r="AKL6" s="112">
        <f t="shared" si="59"/>
        <v>640356.22222222225</v>
      </c>
      <c r="AKM6" s="112">
        <f t="shared" si="59"/>
        <v>640356.22222222225</v>
      </c>
      <c r="AKN6" s="112">
        <f t="shared" si="59"/>
        <v>640356.22222222225</v>
      </c>
      <c r="AKO6" s="112">
        <f t="shared" si="59"/>
        <v>640356.22222222225</v>
      </c>
      <c r="AKP6" s="112">
        <f t="shared" si="59"/>
        <v>640356.22222222225</v>
      </c>
      <c r="AKQ6" s="112">
        <f t="shared" si="59"/>
        <v>640356.22222222225</v>
      </c>
      <c r="AKR6" s="112">
        <f t="shared" si="59"/>
        <v>640356.22222222225</v>
      </c>
      <c r="AKS6" s="112">
        <f t="shared" si="59"/>
        <v>640356.22222222225</v>
      </c>
      <c r="AKT6" s="112">
        <f t="shared" si="59"/>
        <v>640356.22222222225</v>
      </c>
      <c r="AKU6" s="112">
        <f t="shared" si="59"/>
        <v>640356.22222222225</v>
      </c>
      <c r="AKV6" s="112">
        <f t="shared" si="59"/>
        <v>640356.22222222225</v>
      </c>
      <c r="AKW6" s="112">
        <f t="shared" si="59"/>
        <v>640356.22222222225</v>
      </c>
      <c r="AKX6" s="112">
        <f t="shared" si="59"/>
        <v>640356.22222222225</v>
      </c>
      <c r="AKY6" s="112">
        <f t="shared" si="59"/>
        <v>640356.22222222225</v>
      </c>
      <c r="AKZ6" s="112">
        <f t="shared" si="59"/>
        <v>640356.22222222225</v>
      </c>
      <c r="ALA6" s="112">
        <f t="shared" si="59"/>
        <v>640356.22222222225</v>
      </c>
      <c r="ALB6" s="112">
        <f t="shared" si="59"/>
        <v>640356.22222222225</v>
      </c>
      <c r="ALC6" s="112">
        <f t="shared" si="59"/>
        <v>640356.22222222225</v>
      </c>
      <c r="ALD6" s="112">
        <f t="shared" si="59"/>
        <v>640356.22222222225</v>
      </c>
      <c r="ALE6" s="112">
        <f t="shared" si="59"/>
        <v>640356.22222222225</v>
      </c>
      <c r="ALF6" s="112">
        <f t="shared" si="59"/>
        <v>640356.22222222225</v>
      </c>
      <c r="ALG6" s="112">
        <f t="shared" si="59"/>
        <v>640356.22222222225</v>
      </c>
      <c r="ALH6" s="112">
        <f t="shared" si="59"/>
        <v>640356.22222222225</v>
      </c>
      <c r="ALI6" s="112">
        <f t="shared" si="59"/>
        <v>640356.22222222225</v>
      </c>
      <c r="ALJ6" s="112">
        <f t="shared" si="59"/>
        <v>640356.22222222225</v>
      </c>
      <c r="ALK6" s="112">
        <f t="shared" si="59"/>
        <v>640356.22222222225</v>
      </c>
      <c r="ALL6" s="112">
        <f t="shared" si="59"/>
        <v>640356.22222222225</v>
      </c>
      <c r="ALM6" s="112">
        <f t="shared" si="59"/>
        <v>640356.22222222225</v>
      </c>
      <c r="ALN6" s="112">
        <f t="shared" si="59"/>
        <v>640356.22222222225</v>
      </c>
      <c r="ALO6" s="112">
        <f t="shared" si="59"/>
        <v>640356.22222222225</v>
      </c>
      <c r="ALP6" s="112">
        <f t="shared" si="59"/>
        <v>640356.22222222225</v>
      </c>
      <c r="ALQ6" s="112">
        <f t="shared" si="59"/>
        <v>640356.22222222225</v>
      </c>
      <c r="ALR6" s="112">
        <f t="shared" si="59"/>
        <v>640356.22222222225</v>
      </c>
      <c r="ALS6" s="112">
        <f t="shared" si="59"/>
        <v>640356.22222222225</v>
      </c>
      <c r="ALT6" s="112">
        <f t="shared" si="59"/>
        <v>640356.22222222225</v>
      </c>
      <c r="ALU6" s="112">
        <f t="shared" si="59"/>
        <v>640356.22222222225</v>
      </c>
      <c r="ALV6" s="112">
        <f t="shared" si="59"/>
        <v>640356.22222222225</v>
      </c>
      <c r="ALW6" s="112">
        <f t="shared" si="59"/>
        <v>640356.22222222225</v>
      </c>
      <c r="ALX6" s="112">
        <f t="shared" si="59"/>
        <v>640356.22222222225</v>
      </c>
      <c r="ALY6" s="112">
        <f t="shared" si="59"/>
        <v>640356.22222222225</v>
      </c>
      <c r="ALZ6" s="112">
        <f t="shared" si="59"/>
        <v>640356.22222222225</v>
      </c>
      <c r="AMA6" s="112">
        <f t="shared" si="59"/>
        <v>640356.22222222225</v>
      </c>
      <c r="AMB6" s="112">
        <f t="shared" si="59"/>
        <v>640356.22222222225</v>
      </c>
      <c r="AMC6" s="112">
        <f t="shared" si="59"/>
        <v>640356.22222222225</v>
      </c>
      <c r="AMD6" s="112">
        <f t="shared" si="59"/>
        <v>640356.22222222225</v>
      </c>
      <c r="AME6" s="112">
        <f t="shared" si="59"/>
        <v>640356.22222222225</v>
      </c>
      <c r="AMF6" s="112">
        <f t="shared" si="59"/>
        <v>640356.22222222225</v>
      </c>
      <c r="AMG6" s="112">
        <f t="shared" si="59"/>
        <v>640356.22222222225</v>
      </c>
      <c r="AMH6" s="112">
        <f t="shared" si="59"/>
        <v>640356.22222222225</v>
      </c>
      <c r="AMI6" s="112">
        <f t="shared" si="59"/>
        <v>640356.22222222225</v>
      </c>
      <c r="AMJ6" s="112">
        <f t="shared" si="59"/>
        <v>640356.22222222225</v>
      </c>
      <c r="AMK6" s="112">
        <f t="shared" si="59"/>
        <v>640356.22222222225</v>
      </c>
      <c r="AML6" s="112">
        <f t="shared" si="59"/>
        <v>640356.22222222225</v>
      </c>
      <c r="AMM6" s="112">
        <f t="shared" si="59"/>
        <v>640356.22222222225</v>
      </c>
      <c r="AMN6" s="112">
        <f t="shared" si="59"/>
        <v>640356.22222222225</v>
      </c>
      <c r="AMO6" s="112">
        <f t="shared" si="59"/>
        <v>640356.22222222225</v>
      </c>
      <c r="AMP6" s="112">
        <f t="shared" si="59"/>
        <v>640356.22222222225</v>
      </c>
      <c r="AMQ6" s="112">
        <f t="shared" si="59"/>
        <v>640356.22222222225</v>
      </c>
      <c r="AMR6" s="112">
        <f t="shared" si="59"/>
        <v>640356.22222222225</v>
      </c>
      <c r="AMS6" s="112">
        <f t="shared" ref="AMS6:APD6" si="60">AMR6+AMS5</f>
        <v>640356.22222222225</v>
      </c>
      <c r="AMT6" s="112">
        <f t="shared" si="60"/>
        <v>640356.22222222225</v>
      </c>
      <c r="AMU6" s="112">
        <f t="shared" si="60"/>
        <v>640356.22222222225</v>
      </c>
      <c r="AMV6" s="112">
        <f t="shared" si="60"/>
        <v>640356.22222222225</v>
      </c>
      <c r="AMW6" s="112">
        <f t="shared" si="60"/>
        <v>640356.22222222225</v>
      </c>
      <c r="AMX6" s="112">
        <f t="shared" si="60"/>
        <v>640356.22222222225</v>
      </c>
      <c r="AMY6" s="112">
        <f t="shared" si="60"/>
        <v>640356.22222222225</v>
      </c>
      <c r="AMZ6" s="112">
        <f t="shared" si="60"/>
        <v>640356.22222222225</v>
      </c>
      <c r="ANA6" s="112">
        <f t="shared" si="60"/>
        <v>640356.22222222225</v>
      </c>
      <c r="ANB6" s="112">
        <f t="shared" si="60"/>
        <v>640356.22222222225</v>
      </c>
      <c r="ANC6" s="112">
        <f t="shared" si="60"/>
        <v>640356.22222222225</v>
      </c>
      <c r="AND6" s="112">
        <f t="shared" si="60"/>
        <v>640356.22222222225</v>
      </c>
      <c r="ANE6" s="112">
        <f t="shared" si="60"/>
        <v>640356.22222222225</v>
      </c>
      <c r="ANF6" s="112">
        <f t="shared" si="60"/>
        <v>640356.22222222225</v>
      </c>
      <c r="ANG6" s="112">
        <f t="shared" si="60"/>
        <v>640356.22222222225</v>
      </c>
      <c r="ANH6" s="112">
        <f t="shared" si="60"/>
        <v>640356.22222222225</v>
      </c>
      <c r="ANI6" s="112">
        <f t="shared" si="60"/>
        <v>640356.22222222225</v>
      </c>
      <c r="ANJ6" s="112">
        <f t="shared" si="60"/>
        <v>640356.22222222225</v>
      </c>
      <c r="ANK6" s="112">
        <f t="shared" si="60"/>
        <v>640356.22222222225</v>
      </c>
      <c r="ANL6" s="112">
        <f t="shared" si="60"/>
        <v>640356.22222222225</v>
      </c>
      <c r="ANM6" s="112">
        <f t="shared" si="60"/>
        <v>640356.22222222225</v>
      </c>
      <c r="ANN6" s="112">
        <f t="shared" si="60"/>
        <v>640356.22222222225</v>
      </c>
      <c r="ANO6" s="112">
        <f t="shared" si="60"/>
        <v>640356.22222222225</v>
      </c>
      <c r="ANP6" s="112">
        <f t="shared" si="60"/>
        <v>640356.22222222225</v>
      </c>
      <c r="ANQ6" s="112">
        <f t="shared" si="60"/>
        <v>640356.22222222225</v>
      </c>
      <c r="ANR6" s="112">
        <f t="shared" si="60"/>
        <v>640356.22222222225</v>
      </c>
      <c r="ANS6" s="112">
        <f t="shared" si="60"/>
        <v>640356.22222222225</v>
      </c>
      <c r="ANT6" s="112">
        <f t="shared" si="60"/>
        <v>640356.22222222225</v>
      </c>
      <c r="ANU6" s="112">
        <f t="shared" si="60"/>
        <v>640356.22222222225</v>
      </c>
      <c r="ANV6" s="112">
        <f t="shared" si="60"/>
        <v>640356.22222222225</v>
      </c>
      <c r="ANW6" s="112">
        <f t="shared" si="60"/>
        <v>640356.22222222225</v>
      </c>
      <c r="ANX6" s="112">
        <f t="shared" si="60"/>
        <v>640356.22222222225</v>
      </c>
      <c r="ANY6" s="112">
        <f t="shared" si="60"/>
        <v>640356.22222222225</v>
      </c>
      <c r="ANZ6" s="112">
        <f t="shared" si="60"/>
        <v>640356.22222222225</v>
      </c>
      <c r="AOA6" s="112">
        <f t="shared" si="60"/>
        <v>640356.22222222225</v>
      </c>
      <c r="AOB6" s="112">
        <f t="shared" si="60"/>
        <v>640356.22222222225</v>
      </c>
      <c r="AOC6" s="112">
        <f t="shared" si="60"/>
        <v>640356.22222222225</v>
      </c>
      <c r="AOD6" s="112">
        <f t="shared" si="60"/>
        <v>640356.22222222225</v>
      </c>
      <c r="AOE6" s="112">
        <f t="shared" si="60"/>
        <v>640356.22222222225</v>
      </c>
      <c r="AOF6" s="112">
        <f t="shared" si="60"/>
        <v>640356.22222222225</v>
      </c>
      <c r="AOG6" s="112">
        <f t="shared" si="60"/>
        <v>640356.22222222225</v>
      </c>
      <c r="AOH6" s="112">
        <f t="shared" si="60"/>
        <v>640356.22222222225</v>
      </c>
      <c r="AOI6" s="112">
        <f t="shared" si="60"/>
        <v>640356.22222222225</v>
      </c>
      <c r="AOJ6" s="112">
        <f t="shared" si="60"/>
        <v>640356.22222222225</v>
      </c>
      <c r="AOK6" s="112">
        <f t="shared" si="60"/>
        <v>640356.22222222225</v>
      </c>
      <c r="AOL6" s="112">
        <f t="shared" si="60"/>
        <v>640356.22222222225</v>
      </c>
      <c r="AOM6" s="112">
        <f t="shared" si="60"/>
        <v>640356.22222222225</v>
      </c>
      <c r="AON6" s="112">
        <f t="shared" si="60"/>
        <v>640356.22222222225</v>
      </c>
      <c r="AOO6" s="112">
        <f t="shared" si="60"/>
        <v>640356.22222222225</v>
      </c>
      <c r="AOP6" s="112">
        <f t="shared" si="60"/>
        <v>640356.22222222225</v>
      </c>
      <c r="AOQ6" s="112">
        <f t="shared" si="60"/>
        <v>640356.22222222225</v>
      </c>
      <c r="AOR6" s="112">
        <f t="shared" si="60"/>
        <v>640356.22222222225</v>
      </c>
      <c r="AOS6" s="112">
        <f t="shared" si="60"/>
        <v>640356.22222222225</v>
      </c>
      <c r="AOT6" s="112">
        <f t="shared" si="60"/>
        <v>640356.22222222225</v>
      </c>
      <c r="AOU6" s="112">
        <f t="shared" si="60"/>
        <v>640356.22222222225</v>
      </c>
      <c r="AOV6" s="112">
        <f t="shared" si="60"/>
        <v>640356.22222222225</v>
      </c>
      <c r="AOW6" s="112">
        <f t="shared" si="60"/>
        <v>640356.22222222225</v>
      </c>
      <c r="AOX6" s="112">
        <f t="shared" si="60"/>
        <v>640356.22222222225</v>
      </c>
      <c r="AOY6" s="112">
        <f t="shared" si="60"/>
        <v>640356.22222222225</v>
      </c>
      <c r="AOZ6" s="112">
        <f t="shared" si="60"/>
        <v>640356.22222222225</v>
      </c>
      <c r="APA6" s="112">
        <f t="shared" si="60"/>
        <v>640356.22222222225</v>
      </c>
      <c r="APB6" s="112">
        <f t="shared" si="60"/>
        <v>640356.22222222225</v>
      </c>
      <c r="APC6" s="112">
        <f t="shared" si="60"/>
        <v>640356.22222222225</v>
      </c>
      <c r="APD6" s="112">
        <f t="shared" si="60"/>
        <v>640356.22222222225</v>
      </c>
      <c r="APE6" s="112">
        <f t="shared" ref="APE6:ARP6" si="61">APD6+APE5</f>
        <v>640356.22222222225</v>
      </c>
      <c r="APF6" s="112">
        <f t="shared" si="61"/>
        <v>640356.22222222225</v>
      </c>
      <c r="APG6" s="112">
        <f t="shared" si="61"/>
        <v>640356.22222222225</v>
      </c>
      <c r="APH6" s="112">
        <f t="shared" si="61"/>
        <v>640356.22222222225</v>
      </c>
      <c r="API6" s="112">
        <f t="shared" si="61"/>
        <v>640356.22222222225</v>
      </c>
      <c r="APJ6" s="112">
        <f t="shared" si="61"/>
        <v>640356.22222222225</v>
      </c>
      <c r="APK6" s="112">
        <f t="shared" si="61"/>
        <v>640356.22222222225</v>
      </c>
      <c r="APL6" s="112">
        <f t="shared" si="61"/>
        <v>640356.22222222225</v>
      </c>
      <c r="APM6" s="112">
        <f t="shared" si="61"/>
        <v>640356.22222222225</v>
      </c>
      <c r="APN6" s="112">
        <f t="shared" si="61"/>
        <v>640356.22222222225</v>
      </c>
      <c r="APO6" s="112">
        <f t="shared" si="61"/>
        <v>640356.22222222225</v>
      </c>
      <c r="APP6" s="112">
        <f t="shared" si="61"/>
        <v>640356.22222222225</v>
      </c>
      <c r="APQ6" s="112">
        <f t="shared" si="61"/>
        <v>640356.22222222225</v>
      </c>
      <c r="APR6" s="112">
        <f t="shared" si="61"/>
        <v>640356.22222222225</v>
      </c>
      <c r="APS6" s="112">
        <f t="shared" si="61"/>
        <v>640356.22222222225</v>
      </c>
      <c r="APT6" s="112">
        <f t="shared" si="61"/>
        <v>640356.22222222225</v>
      </c>
      <c r="APU6" s="112">
        <f t="shared" si="61"/>
        <v>640356.22222222225</v>
      </c>
      <c r="APV6" s="112">
        <f t="shared" si="61"/>
        <v>640356.22222222225</v>
      </c>
      <c r="APW6" s="112">
        <f t="shared" si="61"/>
        <v>640356.22222222225</v>
      </c>
      <c r="APX6" s="112">
        <f t="shared" si="61"/>
        <v>640356.22222222225</v>
      </c>
      <c r="APY6" s="112">
        <f t="shared" si="61"/>
        <v>640356.22222222225</v>
      </c>
      <c r="APZ6" s="112">
        <f t="shared" si="61"/>
        <v>640356.22222222225</v>
      </c>
      <c r="AQA6" s="112">
        <f t="shared" si="61"/>
        <v>640356.22222222225</v>
      </c>
      <c r="AQB6" s="112">
        <f t="shared" si="61"/>
        <v>640356.22222222225</v>
      </c>
      <c r="AQC6" s="112">
        <f t="shared" si="61"/>
        <v>640356.22222222225</v>
      </c>
      <c r="AQD6" s="112">
        <f t="shared" si="61"/>
        <v>640356.22222222225</v>
      </c>
      <c r="AQE6" s="112">
        <f t="shared" si="61"/>
        <v>640356.22222222225</v>
      </c>
      <c r="AQF6" s="112">
        <f t="shared" si="61"/>
        <v>640356.22222222225</v>
      </c>
      <c r="AQG6" s="112">
        <f t="shared" si="61"/>
        <v>640356.22222222225</v>
      </c>
      <c r="AQH6" s="112">
        <f t="shared" si="61"/>
        <v>640356.22222222225</v>
      </c>
      <c r="AQI6" s="112">
        <f t="shared" si="61"/>
        <v>640356.22222222225</v>
      </c>
      <c r="AQJ6" s="112">
        <f t="shared" si="61"/>
        <v>640356.22222222225</v>
      </c>
      <c r="AQK6" s="112">
        <f t="shared" si="61"/>
        <v>640356.22222222225</v>
      </c>
      <c r="AQL6" s="112">
        <f t="shared" si="61"/>
        <v>640356.22222222225</v>
      </c>
      <c r="AQM6" s="112">
        <f t="shared" si="61"/>
        <v>640356.22222222225</v>
      </c>
      <c r="AQN6" s="112">
        <f t="shared" si="61"/>
        <v>640356.22222222225</v>
      </c>
      <c r="AQO6" s="112">
        <f t="shared" si="61"/>
        <v>640356.22222222225</v>
      </c>
      <c r="AQP6" s="112">
        <f t="shared" si="61"/>
        <v>640356.22222222225</v>
      </c>
      <c r="AQQ6" s="112">
        <f t="shared" si="61"/>
        <v>640356.22222222225</v>
      </c>
      <c r="AQR6" s="112">
        <f t="shared" si="61"/>
        <v>640356.22222222225</v>
      </c>
      <c r="AQS6" s="112">
        <f t="shared" si="61"/>
        <v>640356.22222222225</v>
      </c>
      <c r="AQT6" s="112">
        <f t="shared" si="61"/>
        <v>640356.22222222225</v>
      </c>
      <c r="AQU6" s="112">
        <f t="shared" si="61"/>
        <v>640356.22222222225</v>
      </c>
      <c r="AQV6" s="112">
        <f t="shared" si="61"/>
        <v>640356.22222222225</v>
      </c>
      <c r="AQW6" s="112">
        <f t="shared" si="61"/>
        <v>640356.22222222225</v>
      </c>
      <c r="AQX6" s="112">
        <f t="shared" si="61"/>
        <v>640356.22222222225</v>
      </c>
      <c r="AQY6" s="112">
        <f t="shared" si="61"/>
        <v>640356.22222222225</v>
      </c>
      <c r="AQZ6" s="112">
        <f t="shared" si="61"/>
        <v>640356.22222222225</v>
      </c>
      <c r="ARA6" s="112">
        <f t="shared" si="61"/>
        <v>640356.22222222225</v>
      </c>
      <c r="ARB6" s="112">
        <f t="shared" si="61"/>
        <v>640356.22222222225</v>
      </c>
      <c r="ARC6" s="112">
        <f t="shared" si="61"/>
        <v>640356.22222222225</v>
      </c>
      <c r="ARD6" s="112">
        <f t="shared" si="61"/>
        <v>640356.22222222225</v>
      </c>
      <c r="ARE6" s="112">
        <f t="shared" si="61"/>
        <v>640356.22222222225</v>
      </c>
      <c r="ARF6" s="112">
        <f t="shared" si="61"/>
        <v>640356.22222222225</v>
      </c>
      <c r="ARG6" s="112">
        <f t="shared" si="61"/>
        <v>640356.22222222225</v>
      </c>
      <c r="ARH6" s="112">
        <f t="shared" si="61"/>
        <v>640356.22222222225</v>
      </c>
      <c r="ARI6" s="112">
        <f t="shared" si="61"/>
        <v>640356.22222222225</v>
      </c>
      <c r="ARJ6" s="112">
        <f t="shared" si="61"/>
        <v>640356.22222222225</v>
      </c>
      <c r="ARK6" s="112">
        <f t="shared" si="61"/>
        <v>640356.22222222225</v>
      </c>
      <c r="ARL6" s="112">
        <f t="shared" si="61"/>
        <v>640356.22222222225</v>
      </c>
      <c r="ARM6" s="112">
        <f t="shared" si="61"/>
        <v>640356.22222222225</v>
      </c>
      <c r="ARN6" s="112">
        <f t="shared" si="61"/>
        <v>640356.22222222225</v>
      </c>
      <c r="ARO6" s="112">
        <f t="shared" si="61"/>
        <v>640356.22222222225</v>
      </c>
      <c r="ARP6" s="112">
        <f t="shared" si="61"/>
        <v>640356.22222222225</v>
      </c>
      <c r="ARQ6" s="112">
        <f t="shared" ref="ARQ6:AUB6" si="62">ARP6+ARQ5</f>
        <v>640356.22222222225</v>
      </c>
      <c r="ARR6" s="112">
        <f t="shared" si="62"/>
        <v>640356.22222222225</v>
      </c>
      <c r="ARS6" s="112">
        <f t="shared" si="62"/>
        <v>640356.22222222225</v>
      </c>
      <c r="ART6" s="112">
        <f t="shared" si="62"/>
        <v>640356.22222222225</v>
      </c>
      <c r="ARU6" s="112">
        <f t="shared" si="62"/>
        <v>640356.22222222225</v>
      </c>
      <c r="ARV6" s="112">
        <f t="shared" si="62"/>
        <v>640356.22222222225</v>
      </c>
      <c r="ARW6" s="112">
        <f t="shared" si="62"/>
        <v>640356.22222222225</v>
      </c>
      <c r="ARX6" s="112">
        <f t="shared" si="62"/>
        <v>640356.22222222225</v>
      </c>
      <c r="ARY6" s="112">
        <f t="shared" si="62"/>
        <v>640356.22222222225</v>
      </c>
      <c r="ARZ6" s="112">
        <f t="shared" si="62"/>
        <v>640356.22222222225</v>
      </c>
      <c r="ASA6" s="112">
        <f t="shared" si="62"/>
        <v>640356.22222222225</v>
      </c>
      <c r="ASB6" s="112">
        <f t="shared" si="62"/>
        <v>640356.22222222225</v>
      </c>
      <c r="ASC6" s="112">
        <f t="shared" si="62"/>
        <v>640356.22222222225</v>
      </c>
      <c r="ASD6" s="112">
        <f t="shared" si="62"/>
        <v>640356.22222222225</v>
      </c>
      <c r="ASE6" s="112">
        <f t="shared" si="62"/>
        <v>640356.22222222225</v>
      </c>
      <c r="ASF6" s="112">
        <f t="shared" si="62"/>
        <v>640356.22222222225</v>
      </c>
      <c r="ASG6" s="112">
        <f t="shared" si="62"/>
        <v>640356.22222222225</v>
      </c>
      <c r="ASH6" s="112">
        <f t="shared" si="62"/>
        <v>640356.22222222225</v>
      </c>
      <c r="ASI6" s="112">
        <f t="shared" si="62"/>
        <v>640356.22222222225</v>
      </c>
      <c r="ASJ6" s="112">
        <f t="shared" si="62"/>
        <v>640356.22222222225</v>
      </c>
      <c r="ASK6" s="112">
        <f t="shared" si="62"/>
        <v>640356.22222222225</v>
      </c>
      <c r="ASL6" s="112">
        <f t="shared" si="62"/>
        <v>640356.22222222225</v>
      </c>
      <c r="ASM6" s="112">
        <f t="shared" si="62"/>
        <v>640356.22222222225</v>
      </c>
      <c r="ASN6" s="112">
        <f t="shared" si="62"/>
        <v>640356.22222222225</v>
      </c>
      <c r="ASO6" s="112">
        <f t="shared" si="62"/>
        <v>640356.22222222225</v>
      </c>
      <c r="ASP6" s="112">
        <f t="shared" si="62"/>
        <v>640356.22222222225</v>
      </c>
      <c r="ASQ6" s="112">
        <f t="shared" si="62"/>
        <v>640356.22222222225</v>
      </c>
      <c r="ASR6" s="112">
        <f t="shared" si="62"/>
        <v>640356.22222222225</v>
      </c>
      <c r="ASS6" s="112">
        <f t="shared" si="62"/>
        <v>640356.22222222225</v>
      </c>
      <c r="AST6" s="112">
        <f t="shared" si="62"/>
        <v>640356.22222222225</v>
      </c>
      <c r="ASU6" s="112">
        <f t="shared" si="62"/>
        <v>640356.22222222225</v>
      </c>
      <c r="ASV6" s="112">
        <f t="shared" si="62"/>
        <v>640356.22222222225</v>
      </c>
      <c r="ASW6" s="112">
        <f t="shared" si="62"/>
        <v>640356.22222222225</v>
      </c>
      <c r="ASX6" s="112">
        <f t="shared" si="62"/>
        <v>640356.22222222225</v>
      </c>
      <c r="ASY6" s="112">
        <f t="shared" si="62"/>
        <v>640356.22222222225</v>
      </c>
      <c r="ASZ6" s="112">
        <f t="shared" si="62"/>
        <v>640356.22222222225</v>
      </c>
      <c r="ATA6" s="112">
        <f t="shared" si="62"/>
        <v>640356.22222222225</v>
      </c>
      <c r="ATB6" s="112">
        <f t="shared" si="62"/>
        <v>640356.22222222225</v>
      </c>
      <c r="ATC6" s="112">
        <f t="shared" si="62"/>
        <v>640356.22222222225</v>
      </c>
      <c r="ATD6" s="112">
        <f t="shared" si="62"/>
        <v>640356.22222222225</v>
      </c>
      <c r="ATE6" s="112">
        <f t="shared" si="62"/>
        <v>640356.22222222225</v>
      </c>
      <c r="ATF6" s="112">
        <f t="shared" si="62"/>
        <v>640356.22222222225</v>
      </c>
      <c r="ATG6" s="112">
        <f t="shared" si="62"/>
        <v>640356.22222222225</v>
      </c>
      <c r="ATH6" s="112">
        <f t="shared" si="62"/>
        <v>640356.22222222225</v>
      </c>
      <c r="ATI6" s="112">
        <f t="shared" si="62"/>
        <v>640356.22222222225</v>
      </c>
      <c r="ATJ6" s="112">
        <f t="shared" si="62"/>
        <v>640356.22222222225</v>
      </c>
      <c r="ATK6" s="112">
        <f t="shared" si="62"/>
        <v>640356.22222222225</v>
      </c>
      <c r="ATL6" s="112">
        <f t="shared" si="62"/>
        <v>640356.22222222225</v>
      </c>
      <c r="ATM6" s="112">
        <f t="shared" si="62"/>
        <v>640356.22222222225</v>
      </c>
      <c r="ATN6" s="112">
        <f t="shared" si="62"/>
        <v>640356.22222222225</v>
      </c>
      <c r="ATO6" s="112">
        <f t="shared" si="62"/>
        <v>640356.22222222225</v>
      </c>
      <c r="ATP6" s="112">
        <f t="shared" si="62"/>
        <v>640356.22222222225</v>
      </c>
      <c r="ATQ6" s="112">
        <f t="shared" si="62"/>
        <v>640356.22222222225</v>
      </c>
      <c r="ATR6" s="112">
        <f t="shared" si="62"/>
        <v>640356.22222222225</v>
      </c>
      <c r="ATS6" s="112">
        <f t="shared" si="62"/>
        <v>640356.22222222225</v>
      </c>
      <c r="ATT6" s="112">
        <f t="shared" si="62"/>
        <v>640356.22222222225</v>
      </c>
      <c r="ATU6" s="112">
        <f t="shared" si="62"/>
        <v>640356.22222222225</v>
      </c>
      <c r="ATV6" s="112">
        <f t="shared" si="62"/>
        <v>640356.22222222225</v>
      </c>
      <c r="ATW6" s="112">
        <f t="shared" si="62"/>
        <v>640356.22222222225</v>
      </c>
      <c r="ATX6" s="112">
        <f t="shared" si="62"/>
        <v>640356.22222222225</v>
      </c>
      <c r="ATY6" s="112">
        <f t="shared" si="62"/>
        <v>640356.22222222225</v>
      </c>
      <c r="ATZ6" s="112">
        <f t="shared" si="62"/>
        <v>640356.22222222225</v>
      </c>
      <c r="AUA6" s="112">
        <f t="shared" si="62"/>
        <v>640356.22222222225</v>
      </c>
      <c r="AUB6" s="112">
        <f t="shared" si="62"/>
        <v>640356.22222222225</v>
      </c>
      <c r="AUC6" s="112">
        <f t="shared" ref="AUC6:AWN6" si="63">AUB6+AUC5</f>
        <v>640356.22222222225</v>
      </c>
      <c r="AUD6" s="112">
        <f t="shared" si="63"/>
        <v>640356.22222222225</v>
      </c>
      <c r="AUE6" s="112">
        <f t="shared" si="63"/>
        <v>640356.22222222225</v>
      </c>
      <c r="AUF6" s="112">
        <f t="shared" si="63"/>
        <v>640356.22222222225</v>
      </c>
      <c r="AUG6" s="112">
        <f t="shared" si="63"/>
        <v>640356.22222222225</v>
      </c>
      <c r="AUH6" s="112">
        <f t="shared" si="63"/>
        <v>640356.22222222225</v>
      </c>
      <c r="AUI6" s="112">
        <f t="shared" si="63"/>
        <v>640356.22222222225</v>
      </c>
      <c r="AUJ6" s="112">
        <f t="shared" si="63"/>
        <v>640356.22222222225</v>
      </c>
      <c r="AUK6" s="112">
        <f t="shared" si="63"/>
        <v>640356.22222222225</v>
      </c>
      <c r="AUL6" s="112">
        <f t="shared" si="63"/>
        <v>640356.22222222225</v>
      </c>
      <c r="AUM6" s="112">
        <f t="shared" si="63"/>
        <v>640356.22222222225</v>
      </c>
      <c r="AUN6" s="112">
        <f t="shared" si="63"/>
        <v>640356.22222222225</v>
      </c>
      <c r="AUO6" s="112">
        <f t="shared" si="63"/>
        <v>640356.22222222225</v>
      </c>
      <c r="AUP6" s="112">
        <f t="shared" si="63"/>
        <v>640356.22222222225</v>
      </c>
      <c r="AUQ6" s="112">
        <f t="shared" si="63"/>
        <v>640356.22222222225</v>
      </c>
      <c r="AUR6" s="112">
        <f t="shared" si="63"/>
        <v>640356.22222222225</v>
      </c>
      <c r="AUS6" s="112">
        <f t="shared" si="63"/>
        <v>640356.22222222225</v>
      </c>
      <c r="AUT6" s="112">
        <f t="shared" si="63"/>
        <v>640356.22222222225</v>
      </c>
      <c r="AUU6" s="112">
        <f t="shared" si="63"/>
        <v>640356.22222222225</v>
      </c>
      <c r="AUV6" s="112">
        <f t="shared" si="63"/>
        <v>640356.22222222225</v>
      </c>
      <c r="AUW6" s="112">
        <f t="shared" si="63"/>
        <v>640356.22222222225</v>
      </c>
      <c r="AUX6" s="112">
        <f t="shared" si="63"/>
        <v>640356.22222222225</v>
      </c>
      <c r="AUY6" s="112">
        <f t="shared" si="63"/>
        <v>640356.22222222225</v>
      </c>
      <c r="AUZ6" s="112">
        <f t="shared" si="63"/>
        <v>640356.22222222225</v>
      </c>
      <c r="AVA6" s="112">
        <f t="shared" si="63"/>
        <v>640356.22222222225</v>
      </c>
      <c r="AVB6" s="112">
        <f t="shared" si="63"/>
        <v>640356.22222222225</v>
      </c>
      <c r="AVC6" s="112">
        <f t="shared" si="63"/>
        <v>640356.22222222225</v>
      </c>
      <c r="AVD6" s="112">
        <f t="shared" si="63"/>
        <v>640356.22222222225</v>
      </c>
      <c r="AVE6" s="112">
        <f t="shared" si="63"/>
        <v>640356.22222222225</v>
      </c>
      <c r="AVF6" s="112">
        <f t="shared" si="63"/>
        <v>640356.22222222225</v>
      </c>
      <c r="AVG6" s="112">
        <f t="shared" si="63"/>
        <v>640356.22222222225</v>
      </c>
      <c r="AVH6" s="112">
        <f t="shared" si="63"/>
        <v>640356.22222222225</v>
      </c>
      <c r="AVI6" s="112">
        <f t="shared" si="63"/>
        <v>640356.22222222225</v>
      </c>
      <c r="AVJ6" s="112">
        <f t="shared" si="63"/>
        <v>640356.22222222225</v>
      </c>
      <c r="AVK6" s="112">
        <f t="shared" si="63"/>
        <v>640356.22222222225</v>
      </c>
      <c r="AVL6" s="112">
        <f t="shared" si="63"/>
        <v>640356.22222222225</v>
      </c>
      <c r="AVM6" s="112">
        <f t="shared" si="63"/>
        <v>640356.22222222225</v>
      </c>
      <c r="AVN6" s="112">
        <f t="shared" si="63"/>
        <v>640356.22222222225</v>
      </c>
      <c r="AVO6" s="112">
        <f t="shared" si="63"/>
        <v>640356.22222222225</v>
      </c>
      <c r="AVP6" s="112">
        <f t="shared" si="63"/>
        <v>640356.22222222225</v>
      </c>
      <c r="AVQ6" s="112">
        <f t="shared" si="63"/>
        <v>640356.22222222225</v>
      </c>
      <c r="AVR6" s="112">
        <f t="shared" si="63"/>
        <v>640356.22222222225</v>
      </c>
      <c r="AVS6" s="112">
        <f t="shared" si="63"/>
        <v>640356.22222222225</v>
      </c>
      <c r="AVT6" s="112">
        <f t="shared" si="63"/>
        <v>640356.22222222225</v>
      </c>
      <c r="AVU6" s="112">
        <f t="shared" si="63"/>
        <v>640356.22222222225</v>
      </c>
      <c r="AVV6" s="112">
        <f t="shared" si="63"/>
        <v>640356.22222222225</v>
      </c>
      <c r="AVW6" s="112">
        <f t="shared" si="63"/>
        <v>640356.22222222225</v>
      </c>
      <c r="AVX6" s="112">
        <f t="shared" si="63"/>
        <v>640356.22222222225</v>
      </c>
      <c r="AVY6" s="112">
        <f t="shared" si="63"/>
        <v>640356.22222222225</v>
      </c>
      <c r="AVZ6" s="112">
        <f t="shared" si="63"/>
        <v>640356.22222222225</v>
      </c>
      <c r="AWA6" s="112">
        <f t="shared" si="63"/>
        <v>640356.22222222225</v>
      </c>
      <c r="AWB6" s="112">
        <f t="shared" si="63"/>
        <v>640356.22222222225</v>
      </c>
      <c r="AWC6" s="112">
        <f t="shared" si="63"/>
        <v>640356.22222222225</v>
      </c>
      <c r="AWD6" s="112">
        <f t="shared" si="63"/>
        <v>640356.22222222225</v>
      </c>
      <c r="AWE6" s="112">
        <f t="shared" si="63"/>
        <v>640356.22222222225</v>
      </c>
      <c r="AWF6" s="112">
        <f t="shared" si="63"/>
        <v>640356.22222222225</v>
      </c>
      <c r="AWG6" s="112">
        <f t="shared" si="63"/>
        <v>640356.22222222225</v>
      </c>
      <c r="AWH6" s="112">
        <f t="shared" si="63"/>
        <v>640356.22222222225</v>
      </c>
      <c r="AWI6" s="112">
        <f t="shared" si="63"/>
        <v>640356.22222222225</v>
      </c>
      <c r="AWJ6" s="112">
        <f t="shared" si="63"/>
        <v>640356.22222222225</v>
      </c>
      <c r="AWK6" s="112">
        <f t="shared" si="63"/>
        <v>640356.22222222225</v>
      </c>
      <c r="AWL6" s="112">
        <f t="shared" si="63"/>
        <v>640356.22222222225</v>
      </c>
      <c r="AWM6" s="112">
        <f t="shared" si="63"/>
        <v>640356.22222222225</v>
      </c>
      <c r="AWN6" s="112">
        <f t="shared" si="63"/>
        <v>640356.22222222225</v>
      </c>
      <c r="AWO6" s="112">
        <f t="shared" ref="AWO6:AYZ6" si="64">AWN6+AWO5</f>
        <v>640356.22222222225</v>
      </c>
      <c r="AWP6" s="112">
        <f t="shared" si="64"/>
        <v>640356.22222222225</v>
      </c>
      <c r="AWQ6" s="112">
        <f t="shared" si="64"/>
        <v>640356.22222222225</v>
      </c>
      <c r="AWR6" s="112">
        <f t="shared" si="64"/>
        <v>640356.22222222225</v>
      </c>
      <c r="AWS6" s="112">
        <f t="shared" si="64"/>
        <v>640356.22222222225</v>
      </c>
      <c r="AWT6" s="112">
        <f t="shared" si="64"/>
        <v>640356.22222222225</v>
      </c>
      <c r="AWU6" s="112">
        <f t="shared" si="64"/>
        <v>640356.22222222225</v>
      </c>
      <c r="AWV6" s="112">
        <f t="shared" si="64"/>
        <v>640356.22222222225</v>
      </c>
      <c r="AWW6" s="112">
        <f t="shared" si="64"/>
        <v>640356.22222222225</v>
      </c>
      <c r="AWX6" s="112">
        <f t="shared" si="64"/>
        <v>640356.22222222225</v>
      </c>
      <c r="AWY6" s="112">
        <f t="shared" si="64"/>
        <v>640356.22222222225</v>
      </c>
      <c r="AWZ6" s="112">
        <f t="shared" si="64"/>
        <v>640356.22222222225</v>
      </c>
      <c r="AXA6" s="112">
        <f t="shared" si="64"/>
        <v>640356.22222222225</v>
      </c>
      <c r="AXB6" s="112">
        <f t="shared" si="64"/>
        <v>640356.22222222225</v>
      </c>
      <c r="AXC6" s="112">
        <f t="shared" si="64"/>
        <v>640356.22222222225</v>
      </c>
      <c r="AXD6" s="112">
        <f t="shared" si="64"/>
        <v>640356.22222222225</v>
      </c>
      <c r="AXE6" s="112">
        <f t="shared" si="64"/>
        <v>640356.22222222225</v>
      </c>
      <c r="AXF6" s="112">
        <f t="shared" si="64"/>
        <v>640356.22222222225</v>
      </c>
      <c r="AXG6" s="112">
        <f t="shared" si="64"/>
        <v>640356.22222222225</v>
      </c>
      <c r="AXH6" s="112">
        <f t="shared" si="64"/>
        <v>640356.22222222225</v>
      </c>
      <c r="AXI6" s="112">
        <f t="shared" si="64"/>
        <v>640356.22222222225</v>
      </c>
      <c r="AXJ6" s="112">
        <f t="shared" si="64"/>
        <v>640356.22222222225</v>
      </c>
      <c r="AXK6" s="112">
        <f t="shared" si="64"/>
        <v>640356.22222222225</v>
      </c>
      <c r="AXL6" s="112">
        <f t="shared" si="64"/>
        <v>640356.22222222225</v>
      </c>
      <c r="AXM6" s="112">
        <f t="shared" si="64"/>
        <v>640356.22222222225</v>
      </c>
      <c r="AXN6" s="112">
        <f t="shared" si="64"/>
        <v>640356.22222222225</v>
      </c>
      <c r="AXO6" s="112">
        <f t="shared" si="64"/>
        <v>640356.22222222225</v>
      </c>
      <c r="AXP6" s="112">
        <f t="shared" si="64"/>
        <v>640356.22222222225</v>
      </c>
      <c r="AXQ6" s="112">
        <f t="shared" si="64"/>
        <v>640356.22222222225</v>
      </c>
      <c r="AXR6" s="112">
        <f t="shared" si="64"/>
        <v>640356.22222222225</v>
      </c>
      <c r="AXS6" s="112">
        <f t="shared" si="64"/>
        <v>640356.22222222225</v>
      </c>
      <c r="AXT6" s="112">
        <f t="shared" si="64"/>
        <v>640356.22222222225</v>
      </c>
      <c r="AXU6" s="112">
        <f t="shared" si="64"/>
        <v>640356.22222222225</v>
      </c>
      <c r="AXV6" s="112">
        <f t="shared" si="64"/>
        <v>640356.22222222225</v>
      </c>
      <c r="AXW6" s="112">
        <f t="shared" si="64"/>
        <v>640356.22222222225</v>
      </c>
      <c r="AXX6" s="112">
        <f t="shared" si="64"/>
        <v>640356.22222222225</v>
      </c>
      <c r="AXY6" s="112">
        <f t="shared" si="64"/>
        <v>640356.22222222225</v>
      </c>
      <c r="AXZ6" s="112">
        <f t="shared" si="64"/>
        <v>640356.22222222225</v>
      </c>
      <c r="AYA6" s="112">
        <f t="shared" si="64"/>
        <v>640356.22222222225</v>
      </c>
      <c r="AYB6" s="112">
        <f t="shared" si="64"/>
        <v>640356.22222222225</v>
      </c>
      <c r="AYC6" s="112">
        <f t="shared" si="64"/>
        <v>640356.22222222225</v>
      </c>
      <c r="AYD6" s="112">
        <f t="shared" si="64"/>
        <v>640356.22222222225</v>
      </c>
      <c r="AYE6" s="112">
        <f t="shared" si="64"/>
        <v>640356.22222222225</v>
      </c>
      <c r="AYF6" s="112">
        <f t="shared" si="64"/>
        <v>640356.22222222225</v>
      </c>
      <c r="AYG6" s="112">
        <f t="shared" si="64"/>
        <v>640356.22222222225</v>
      </c>
      <c r="AYH6" s="112">
        <f t="shared" si="64"/>
        <v>640356.22222222225</v>
      </c>
      <c r="AYI6" s="112">
        <f t="shared" si="64"/>
        <v>640356.22222222225</v>
      </c>
      <c r="AYJ6" s="112">
        <f t="shared" si="64"/>
        <v>640356.22222222225</v>
      </c>
      <c r="AYK6" s="112">
        <f t="shared" si="64"/>
        <v>640356.22222222225</v>
      </c>
      <c r="AYL6" s="112">
        <f t="shared" si="64"/>
        <v>640356.22222222225</v>
      </c>
      <c r="AYM6" s="112">
        <f t="shared" si="64"/>
        <v>640356.22222222225</v>
      </c>
      <c r="AYN6" s="112">
        <f t="shared" si="64"/>
        <v>640356.22222222225</v>
      </c>
      <c r="AYO6" s="112">
        <f t="shared" si="64"/>
        <v>640356.22222222225</v>
      </c>
      <c r="AYP6" s="112">
        <f t="shared" si="64"/>
        <v>640356.22222222225</v>
      </c>
      <c r="AYQ6" s="112">
        <f t="shared" si="64"/>
        <v>640356.22222222225</v>
      </c>
      <c r="AYR6" s="112">
        <f t="shared" si="64"/>
        <v>640356.22222222225</v>
      </c>
      <c r="AYS6" s="112">
        <f t="shared" si="64"/>
        <v>640356.22222222225</v>
      </c>
      <c r="AYT6" s="112">
        <f t="shared" si="64"/>
        <v>640356.22222222225</v>
      </c>
      <c r="AYU6" s="112">
        <f t="shared" si="64"/>
        <v>640356.22222222225</v>
      </c>
      <c r="AYV6" s="112">
        <f t="shared" si="64"/>
        <v>640356.22222222225</v>
      </c>
      <c r="AYW6" s="112">
        <f t="shared" si="64"/>
        <v>640356.22222222225</v>
      </c>
      <c r="AYX6" s="112">
        <f t="shared" si="64"/>
        <v>640356.22222222225</v>
      </c>
      <c r="AYY6" s="112">
        <f t="shared" si="64"/>
        <v>640356.22222222225</v>
      </c>
      <c r="AYZ6" s="112">
        <f t="shared" si="64"/>
        <v>640356.22222222225</v>
      </c>
      <c r="AZA6" s="112">
        <f t="shared" ref="AZA6:AZG6" si="65">AYZ6+AZA5</f>
        <v>640356.22222222225</v>
      </c>
      <c r="AZB6" s="112">
        <f t="shared" si="65"/>
        <v>640356.22222222225</v>
      </c>
      <c r="AZC6" s="112">
        <f t="shared" si="65"/>
        <v>640356.22222222225</v>
      </c>
      <c r="AZD6" s="112">
        <f t="shared" si="65"/>
        <v>640356.22222222225</v>
      </c>
      <c r="AZE6" s="112">
        <f t="shared" si="65"/>
        <v>640356.22222222225</v>
      </c>
      <c r="AZF6" s="112">
        <f t="shared" si="65"/>
        <v>640356.22222222225</v>
      </c>
      <c r="AZG6" s="112">
        <f t="shared" si="65"/>
        <v>640356.22222222225</v>
      </c>
      <c r="AZH6" s="102"/>
      <c r="AZI6" s="113"/>
    </row>
    <row r="7" spans="1:1837">
      <c r="A7" s="777"/>
      <c r="B7" s="115" t="s">
        <v>500</v>
      </c>
      <c r="C7" s="116"/>
      <c r="D7" s="116"/>
      <c r="E7" s="117"/>
      <c r="F7" s="118">
        <f>F4-F6</f>
        <v>0</v>
      </c>
      <c r="G7" s="118">
        <f>G4-G6</f>
        <v>0</v>
      </c>
      <c r="H7" s="118">
        <f>H4-H6</f>
        <v>0</v>
      </c>
      <c r="I7" s="118">
        <f t="shared" ref="I7:BT7" si="66">I4-I6</f>
        <v>0</v>
      </c>
      <c r="J7" s="118">
        <f t="shared" si="66"/>
        <v>0</v>
      </c>
      <c r="K7" s="118">
        <f t="shared" si="66"/>
        <v>0</v>
      </c>
      <c r="L7" s="118">
        <f t="shared" si="66"/>
        <v>0</v>
      </c>
      <c r="M7" s="118">
        <f t="shared" si="66"/>
        <v>0</v>
      </c>
      <c r="N7" s="118">
        <f t="shared" si="66"/>
        <v>0</v>
      </c>
      <c r="O7" s="118">
        <f t="shared" si="66"/>
        <v>0</v>
      </c>
      <c r="P7" s="118">
        <f t="shared" si="66"/>
        <v>0</v>
      </c>
      <c r="Q7" s="118">
        <f t="shared" si="66"/>
        <v>0</v>
      </c>
      <c r="R7" s="118">
        <f t="shared" si="66"/>
        <v>0</v>
      </c>
      <c r="S7" s="118">
        <f t="shared" si="66"/>
        <v>-18000</v>
      </c>
      <c r="T7" s="118">
        <f t="shared" si="66"/>
        <v>-18000</v>
      </c>
      <c r="U7" s="118">
        <f t="shared" si="66"/>
        <v>-18000</v>
      </c>
      <c r="V7" s="118">
        <f t="shared" si="66"/>
        <v>-18000</v>
      </c>
      <c r="W7" s="118">
        <f t="shared" si="66"/>
        <v>306425.8477777777</v>
      </c>
      <c r="X7" s="118">
        <f t="shared" si="66"/>
        <v>-89174.152222222299</v>
      </c>
      <c r="Y7" s="118">
        <f t="shared" si="66"/>
        <v>-89174.152222222299</v>
      </c>
      <c r="Z7" s="118">
        <f t="shared" si="66"/>
        <v>-89174.152222222299</v>
      </c>
      <c r="AA7" s="118">
        <f t="shared" si="66"/>
        <v>744743.91777777788</v>
      </c>
      <c r="AB7" s="118">
        <f t="shared" si="66"/>
        <v>967258.15777777787</v>
      </c>
      <c r="AC7" s="118">
        <f t="shared" si="66"/>
        <v>1258159.8177777778</v>
      </c>
      <c r="AD7" s="118">
        <f t="shared" si="66"/>
        <v>1258159.8177777778</v>
      </c>
      <c r="AE7" s="118">
        <f t="shared" si="66"/>
        <v>1258159.8177777778</v>
      </c>
      <c r="AF7" s="118">
        <f t="shared" si="66"/>
        <v>1258159.8177777778</v>
      </c>
      <c r="AG7" s="118">
        <f t="shared" si="66"/>
        <v>1258159.8177777778</v>
      </c>
      <c r="AH7" s="118">
        <f t="shared" si="66"/>
        <v>1258159.8177777778</v>
      </c>
      <c r="AI7" s="118">
        <f t="shared" si="66"/>
        <v>1258159.8177777778</v>
      </c>
      <c r="AJ7" s="118">
        <f t="shared" si="66"/>
        <v>1258159.8177777778</v>
      </c>
      <c r="AK7" s="118">
        <f t="shared" si="66"/>
        <v>1258159.8177777778</v>
      </c>
      <c r="AL7" s="118">
        <f t="shared" si="66"/>
        <v>1258159.8177777778</v>
      </c>
      <c r="AM7" s="118">
        <f t="shared" si="66"/>
        <v>1258159.8177777778</v>
      </c>
      <c r="AN7" s="118">
        <f t="shared" si="66"/>
        <v>1258159.8177777778</v>
      </c>
      <c r="AO7" s="118">
        <f t="shared" si="66"/>
        <v>1258159.8177777778</v>
      </c>
      <c r="AP7" s="118">
        <f t="shared" si="66"/>
        <v>1258159.8177777778</v>
      </c>
      <c r="AQ7" s="118">
        <f t="shared" si="66"/>
        <v>1258159.8177777778</v>
      </c>
      <c r="AR7" s="118">
        <f t="shared" si="66"/>
        <v>1298988.1477777779</v>
      </c>
      <c r="AS7" s="118">
        <f t="shared" si="66"/>
        <v>1298988.1477777779</v>
      </c>
      <c r="AT7" s="118">
        <f t="shared" si="66"/>
        <v>1298988.1477777779</v>
      </c>
      <c r="AU7" s="118">
        <f t="shared" si="66"/>
        <v>1298988.1477777779</v>
      </c>
      <c r="AV7" s="118">
        <f t="shared" si="66"/>
        <v>1298988.1477777779</v>
      </c>
      <c r="AW7" s="118">
        <f t="shared" si="66"/>
        <v>1298988.1477777779</v>
      </c>
      <c r="AX7" s="118">
        <f t="shared" si="66"/>
        <v>1298988.1477777779</v>
      </c>
      <c r="AY7" s="118">
        <f t="shared" si="66"/>
        <v>1401058.8977777779</v>
      </c>
      <c r="AZ7" s="118">
        <f t="shared" si="66"/>
        <v>1401058.8977777779</v>
      </c>
      <c r="BA7" s="118">
        <f t="shared" si="66"/>
        <v>1401058.8977777779</v>
      </c>
      <c r="BB7" s="118">
        <f t="shared" si="66"/>
        <v>1401058.8977777779</v>
      </c>
      <c r="BC7" s="118">
        <f t="shared" si="66"/>
        <v>1401058.8977777779</v>
      </c>
      <c r="BD7" s="118">
        <f t="shared" si="66"/>
        <v>1401058.8977777779</v>
      </c>
      <c r="BE7" s="118">
        <f t="shared" si="66"/>
        <v>1401058.8977777779</v>
      </c>
      <c r="BF7" s="118">
        <f t="shared" si="66"/>
        <v>1401058.8977777779</v>
      </c>
      <c r="BG7" s="118">
        <f t="shared" si="66"/>
        <v>1401058.8977777779</v>
      </c>
      <c r="BH7" s="118">
        <f t="shared" si="66"/>
        <v>1401058.8977777779</v>
      </c>
      <c r="BI7" s="118">
        <f t="shared" si="66"/>
        <v>1401058.8977777779</v>
      </c>
      <c r="BJ7" s="118">
        <f t="shared" si="66"/>
        <v>1401058.8977777779</v>
      </c>
      <c r="BK7" s="118">
        <f t="shared" si="66"/>
        <v>1401058.8977777779</v>
      </c>
      <c r="BL7" s="118">
        <f t="shared" si="66"/>
        <v>1401058.8977777779</v>
      </c>
      <c r="BM7" s="118">
        <f t="shared" si="66"/>
        <v>1401058.8977777779</v>
      </c>
      <c r="BN7" s="118">
        <f t="shared" si="66"/>
        <v>1401058.8977777779</v>
      </c>
      <c r="BO7" s="118">
        <f t="shared" si="66"/>
        <v>1401058.8977777779</v>
      </c>
      <c r="BP7" s="118">
        <f t="shared" si="66"/>
        <v>1401058.8977777779</v>
      </c>
      <c r="BQ7" s="118">
        <f t="shared" si="66"/>
        <v>1401058.8977777779</v>
      </c>
      <c r="BR7" s="118">
        <f t="shared" si="66"/>
        <v>1401058.8977777779</v>
      </c>
      <c r="BS7" s="118">
        <f t="shared" si="66"/>
        <v>1401058.8977777779</v>
      </c>
      <c r="BT7" s="118">
        <f t="shared" si="66"/>
        <v>1401058.8977777779</v>
      </c>
      <c r="BU7" s="118">
        <f t="shared" ref="BU7:EF7" si="67">BU4-BU6</f>
        <v>1401058.8977777779</v>
      </c>
      <c r="BV7" s="118">
        <f t="shared" si="67"/>
        <v>1401058.8977777779</v>
      </c>
      <c r="BW7" s="118">
        <f t="shared" si="67"/>
        <v>1401058.8977777779</v>
      </c>
      <c r="BX7" s="118">
        <f t="shared" si="67"/>
        <v>1401058.8977777779</v>
      </c>
      <c r="BY7" s="118">
        <f t="shared" si="67"/>
        <v>1401058.8977777779</v>
      </c>
      <c r="BZ7" s="118">
        <f t="shared" si="67"/>
        <v>1401058.8977777779</v>
      </c>
      <c r="CA7" s="118">
        <f t="shared" si="67"/>
        <v>1401058.8977777779</v>
      </c>
      <c r="CB7" s="118">
        <f t="shared" si="67"/>
        <v>1401058.8977777779</v>
      </c>
      <c r="CC7" s="118">
        <f t="shared" si="67"/>
        <v>1401058.8977777779</v>
      </c>
      <c r="CD7" s="118">
        <f t="shared" si="67"/>
        <v>1401058.8977777779</v>
      </c>
      <c r="CE7" s="118">
        <f t="shared" si="67"/>
        <v>1401058.8977777779</v>
      </c>
      <c r="CF7" s="118">
        <f t="shared" si="67"/>
        <v>1401058.8977777779</v>
      </c>
      <c r="CG7" s="118">
        <f t="shared" si="67"/>
        <v>1401058.8977777779</v>
      </c>
      <c r="CH7" s="118">
        <f t="shared" si="67"/>
        <v>1401058.8977777779</v>
      </c>
      <c r="CI7" s="118">
        <f t="shared" si="67"/>
        <v>1401058.8977777779</v>
      </c>
      <c r="CJ7" s="118">
        <f t="shared" si="67"/>
        <v>1401058.8977777779</v>
      </c>
      <c r="CK7" s="118">
        <f t="shared" si="67"/>
        <v>1401058.8977777779</v>
      </c>
      <c r="CL7" s="118">
        <f t="shared" si="67"/>
        <v>1401058.8977777779</v>
      </c>
      <c r="CM7" s="118">
        <f t="shared" si="67"/>
        <v>1401058.8977777779</v>
      </c>
      <c r="CN7" s="118">
        <f t="shared" si="67"/>
        <v>1401058.8977777779</v>
      </c>
      <c r="CO7" s="118">
        <f t="shared" si="67"/>
        <v>1401058.8977777779</v>
      </c>
      <c r="CP7" s="118">
        <f t="shared" si="67"/>
        <v>1401058.8977777779</v>
      </c>
      <c r="CQ7" s="118">
        <f t="shared" si="67"/>
        <v>1401058.8977777779</v>
      </c>
      <c r="CR7" s="118">
        <f t="shared" si="67"/>
        <v>1401058.8977777779</v>
      </c>
      <c r="CS7" s="118">
        <f t="shared" si="67"/>
        <v>1401058.8977777779</v>
      </c>
      <c r="CT7" s="118">
        <f t="shared" si="67"/>
        <v>1401058.8977777779</v>
      </c>
      <c r="CU7" s="118">
        <f t="shared" si="67"/>
        <v>1401058.8977777779</v>
      </c>
      <c r="CV7" s="118">
        <f t="shared" si="67"/>
        <v>1401058.8977777779</v>
      </c>
      <c r="CW7" s="118">
        <f t="shared" si="67"/>
        <v>1401058.8977777779</v>
      </c>
      <c r="CX7" s="118">
        <f t="shared" si="67"/>
        <v>1401058.8977777779</v>
      </c>
      <c r="CY7" s="118">
        <f t="shared" si="67"/>
        <v>1401058.8977777779</v>
      </c>
      <c r="CZ7" s="118">
        <f t="shared" si="67"/>
        <v>1401058.8977777779</v>
      </c>
      <c r="DA7" s="118">
        <f t="shared" si="67"/>
        <v>1401058.8977777779</v>
      </c>
      <c r="DB7" s="118">
        <f t="shared" si="67"/>
        <v>1401058.8977777779</v>
      </c>
      <c r="DC7" s="118">
        <f t="shared" si="67"/>
        <v>1401058.8977777779</v>
      </c>
      <c r="DD7" s="118">
        <f t="shared" si="67"/>
        <v>1401058.8977777779</v>
      </c>
      <c r="DE7" s="118">
        <f t="shared" si="67"/>
        <v>1401058.8977777779</v>
      </c>
      <c r="DF7" s="118">
        <f t="shared" si="67"/>
        <v>1401058.8977777779</v>
      </c>
      <c r="DG7" s="118">
        <f t="shared" si="67"/>
        <v>1401058.8977777779</v>
      </c>
      <c r="DH7" s="118">
        <f t="shared" si="67"/>
        <v>1401058.8977777779</v>
      </c>
      <c r="DI7" s="118">
        <f t="shared" si="67"/>
        <v>1401058.8977777779</v>
      </c>
      <c r="DJ7" s="118">
        <f t="shared" si="67"/>
        <v>1401058.8977777779</v>
      </c>
      <c r="DK7" s="118">
        <f t="shared" si="67"/>
        <v>1401058.8977777779</v>
      </c>
      <c r="DL7" s="118">
        <f t="shared" si="67"/>
        <v>1401058.8977777779</v>
      </c>
      <c r="DM7" s="118">
        <f t="shared" si="67"/>
        <v>1401058.8977777779</v>
      </c>
      <c r="DN7" s="118">
        <f t="shared" si="67"/>
        <v>1401058.8977777779</v>
      </c>
      <c r="DO7" s="118">
        <f t="shared" si="67"/>
        <v>1401058.8977777779</v>
      </c>
      <c r="DP7" s="118">
        <f t="shared" si="67"/>
        <v>1401058.8977777779</v>
      </c>
      <c r="DQ7" s="118">
        <f t="shared" si="67"/>
        <v>1401058.8977777779</v>
      </c>
      <c r="DR7" s="118">
        <f t="shared" si="67"/>
        <v>1401058.8977777779</v>
      </c>
      <c r="DS7" s="118">
        <f t="shared" si="67"/>
        <v>1401058.8977777779</v>
      </c>
      <c r="DT7" s="118">
        <f t="shared" si="67"/>
        <v>1401058.8977777779</v>
      </c>
      <c r="DU7" s="118">
        <f t="shared" si="67"/>
        <v>1401058.8977777779</v>
      </c>
      <c r="DV7" s="118">
        <f t="shared" si="67"/>
        <v>1401058.8977777779</v>
      </c>
      <c r="DW7" s="118">
        <f t="shared" si="67"/>
        <v>1401058.8977777779</v>
      </c>
      <c r="DX7" s="118">
        <f t="shared" si="67"/>
        <v>1401058.8977777779</v>
      </c>
      <c r="DY7" s="118">
        <f t="shared" si="67"/>
        <v>1401058.8977777779</v>
      </c>
      <c r="DZ7" s="118">
        <f t="shared" si="67"/>
        <v>1401058.8977777779</v>
      </c>
      <c r="EA7" s="118">
        <f t="shared" si="67"/>
        <v>1401058.8977777779</v>
      </c>
      <c r="EB7" s="118">
        <f t="shared" si="67"/>
        <v>1401058.8977777779</v>
      </c>
      <c r="EC7" s="118">
        <f t="shared" si="67"/>
        <v>1401058.8977777779</v>
      </c>
      <c r="ED7" s="118">
        <f t="shared" si="67"/>
        <v>1401058.8977777779</v>
      </c>
      <c r="EE7" s="118">
        <f t="shared" si="67"/>
        <v>1401058.8977777779</v>
      </c>
      <c r="EF7" s="118">
        <f t="shared" si="67"/>
        <v>1401058.8977777779</v>
      </c>
      <c r="EG7" s="118">
        <f t="shared" ref="EG7:GR7" si="68">EG4-EG6</f>
        <v>1401058.8977777779</v>
      </c>
      <c r="EH7" s="118">
        <f t="shared" si="68"/>
        <v>1401058.8977777779</v>
      </c>
      <c r="EI7" s="118">
        <f t="shared" si="68"/>
        <v>1401058.8977777779</v>
      </c>
      <c r="EJ7" s="118">
        <f t="shared" si="68"/>
        <v>1401058.8977777779</v>
      </c>
      <c r="EK7" s="118">
        <f t="shared" si="68"/>
        <v>1401058.8977777779</v>
      </c>
      <c r="EL7" s="118">
        <f t="shared" si="68"/>
        <v>1401058.8977777779</v>
      </c>
      <c r="EM7" s="118">
        <f t="shared" si="68"/>
        <v>1401058.8977777779</v>
      </c>
      <c r="EN7" s="118">
        <f t="shared" si="68"/>
        <v>1401058.8977777779</v>
      </c>
      <c r="EO7" s="118">
        <f t="shared" si="68"/>
        <v>1401058.8977777779</v>
      </c>
      <c r="EP7" s="118">
        <f t="shared" si="68"/>
        <v>1401058.8977777779</v>
      </c>
      <c r="EQ7" s="118">
        <f t="shared" si="68"/>
        <v>1401058.8977777779</v>
      </c>
      <c r="ER7" s="118">
        <f t="shared" si="68"/>
        <v>1401058.8977777779</v>
      </c>
      <c r="ES7" s="118">
        <f t="shared" si="68"/>
        <v>1401058.8977777779</v>
      </c>
      <c r="ET7" s="118">
        <f t="shared" si="68"/>
        <v>1401058.8977777779</v>
      </c>
      <c r="EU7" s="118">
        <f t="shared" si="68"/>
        <v>1401058.8977777779</v>
      </c>
      <c r="EV7" s="118">
        <f t="shared" si="68"/>
        <v>1401058.8977777779</v>
      </c>
      <c r="EW7" s="118">
        <f t="shared" si="68"/>
        <v>1401058.8977777779</v>
      </c>
      <c r="EX7" s="118">
        <f t="shared" si="68"/>
        <v>1401058.8977777779</v>
      </c>
      <c r="EY7" s="118">
        <f t="shared" si="68"/>
        <v>1401058.8977777779</v>
      </c>
      <c r="EZ7" s="118">
        <f t="shared" si="68"/>
        <v>1401058.8977777779</v>
      </c>
      <c r="FA7" s="118">
        <f t="shared" si="68"/>
        <v>1401058.8977777779</v>
      </c>
      <c r="FB7" s="118">
        <f t="shared" si="68"/>
        <v>1401058.8977777779</v>
      </c>
      <c r="FC7" s="118">
        <f t="shared" si="68"/>
        <v>1401058.8977777779</v>
      </c>
      <c r="FD7" s="118">
        <f t="shared" si="68"/>
        <v>1401058.8977777779</v>
      </c>
      <c r="FE7" s="118">
        <f t="shared" si="68"/>
        <v>1401058.8977777779</v>
      </c>
      <c r="FF7" s="118">
        <f t="shared" si="68"/>
        <v>1401058.8977777779</v>
      </c>
      <c r="FG7" s="118">
        <f t="shared" si="68"/>
        <v>1401058.8977777779</v>
      </c>
      <c r="FH7" s="118">
        <f t="shared" si="68"/>
        <v>1401058.8977777779</v>
      </c>
      <c r="FI7" s="118">
        <f t="shared" si="68"/>
        <v>1401058.8977777779</v>
      </c>
      <c r="FJ7" s="118">
        <f t="shared" si="68"/>
        <v>1401058.8977777779</v>
      </c>
      <c r="FK7" s="118">
        <f t="shared" si="68"/>
        <v>1401058.8977777779</v>
      </c>
      <c r="FL7" s="118">
        <f t="shared" si="68"/>
        <v>1401058.8977777779</v>
      </c>
      <c r="FM7" s="118">
        <f t="shared" si="68"/>
        <v>1401058.8977777779</v>
      </c>
      <c r="FN7" s="118">
        <f t="shared" si="68"/>
        <v>1401058.8977777779</v>
      </c>
      <c r="FO7" s="118">
        <f t="shared" si="68"/>
        <v>1401058.8977777779</v>
      </c>
      <c r="FP7" s="118">
        <f t="shared" si="68"/>
        <v>1401058.8977777779</v>
      </c>
      <c r="FQ7" s="118">
        <f t="shared" si="68"/>
        <v>1401058.8977777779</v>
      </c>
      <c r="FR7" s="118">
        <f t="shared" si="68"/>
        <v>1401058.8977777779</v>
      </c>
      <c r="FS7" s="118">
        <f t="shared" si="68"/>
        <v>1401058.8977777779</v>
      </c>
      <c r="FT7" s="118">
        <f t="shared" si="68"/>
        <v>1401058.8977777779</v>
      </c>
      <c r="FU7" s="118">
        <f t="shared" si="68"/>
        <v>1401058.8977777779</v>
      </c>
      <c r="FV7" s="118">
        <f t="shared" si="68"/>
        <v>1401058.8977777779</v>
      </c>
      <c r="FW7" s="118">
        <f t="shared" si="68"/>
        <v>1401058.8977777779</v>
      </c>
      <c r="FX7" s="118">
        <f t="shared" si="68"/>
        <v>1401058.8977777779</v>
      </c>
      <c r="FY7" s="118">
        <f t="shared" si="68"/>
        <v>1401058.8977777779</v>
      </c>
      <c r="FZ7" s="118">
        <f t="shared" si="68"/>
        <v>1401058.8977777779</v>
      </c>
      <c r="GA7" s="118">
        <f t="shared" si="68"/>
        <v>1401058.8977777779</v>
      </c>
      <c r="GB7" s="118">
        <f t="shared" si="68"/>
        <v>1401058.8977777779</v>
      </c>
      <c r="GC7" s="118">
        <f t="shared" si="68"/>
        <v>1401058.8977777779</v>
      </c>
      <c r="GD7" s="118">
        <f t="shared" si="68"/>
        <v>1401058.8977777779</v>
      </c>
      <c r="GE7" s="118">
        <f t="shared" si="68"/>
        <v>1401058.8977777779</v>
      </c>
      <c r="GF7" s="118">
        <f t="shared" si="68"/>
        <v>1401058.8977777779</v>
      </c>
      <c r="GG7" s="118">
        <f t="shared" si="68"/>
        <v>1401058.8977777779</v>
      </c>
      <c r="GH7" s="118">
        <f t="shared" si="68"/>
        <v>1401058.8977777779</v>
      </c>
      <c r="GI7" s="118">
        <f t="shared" si="68"/>
        <v>1401058.8977777779</v>
      </c>
      <c r="GJ7" s="118">
        <f t="shared" si="68"/>
        <v>1401058.8977777779</v>
      </c>
      <c r="GK7" s="118">
        <f t="shared" si="68"/>
        <v>1401058.8977777779</v>
      </c>
      <c r="GL7" s="118">
        <f t="shared" si="68"/>
        <v>1401058.8977777779</v>
      </c>
      <c r="GM7" s="118">
        <f t="shared" si="68"/>
        <v>1401058.8977777779</v>
      </c>
      <c r="GN7" s="118">
        <f t="shared" si="68"/>
        <v>1401058.8977777779</v>
      </c>
      <c r="GO7" s="118">
        <f t="shared" si="68"/>
        <v>1401058.8977777779</v>
      </c>
      <c r="GP7" s="118">
        <f t="shared" si="68"/>
        <v>1401058.8977777779</v>
      </c>
      <c r="GQ7" s="118">
        <f t="shared" si="68"/>
        <v>1401058.8977777779</v>
      </c>
      <c r="GR7" s="118">
        <f t="shared" si="68"/>
        <v>1401058.8977777779</v>
      </c>
      <c r="GS7" s="118">
        <f t="shared" ref="GS7:JD7" si="69">GS4-GS6</f>
        <v>1401058.8977777779</v>
      </c>
      <c r="GT7" s="118">
        <f t="shared" si="69"/>
        <v>1401058.8977777779</v>
      </c>
      <c r="GU7" s="118">
        <f t="shared" si="69"/>
        <v>1401058.8977777779</v>
      </c>
      <c r="GV7" s="118">
        <f t="shared" si="69"/>
        <v>1401058.8977777779</v>
      </c>
      <c r="GW7" s="118">
        <f t="shared" si="69"/>
        <v>1401058.8977777779</v>
      </c>
      <c r="GX7" s="118">
        <f t="shared" si="69"/>
        <v>1401058.8977777779</v>
      </c>
      <c r="GY7" s="118">
        <f t="shared" si="69"/>
        <v>1401058.8977777779</v>
      </c>
      <c r="GZ7" s="118">
        <f t="shared" si="69"/>
        <v>1401058.8977777779</v>
      </c>
      <c r="HA7" s="118">
        <f t="shared" si="69"/>
        <v>1401058.8977777779</v>
      </c>
      <c r="HB7" s="118">
        <f t="shared" si="69"/>
        <v>1401058.8977777779</v>
      </c>
      <c r="HC7" s="118">
        <f t="shared" si="69"/>
        <v>1401058.8977777779</v>
      </c>
      <c r="HD7" s="118">
        <f t="shared" si="69"/>
        <v>1401058.8977777779</v>
      </c>
      <c r="HE7" s="118">
        <f t="shared" si="69"/>
        <v>1401058.8977777779</v>
      </c>
      <c r="HF7" s="118">
        <f t="shared" si="69"/>
        <v>1401058.8977777779</v>
      </c>
      <c r="HG7" s="118">
        <f t="shared" si="69"/>
        <v>1401058.8977777779</v>
      </c>
      <c r="HH7" s="118">
        <f t="shared" si="69"/>
        <v>1401058.8977777779</v>
      </c>
      <c r="HI7" s="118">
        <f t="shared" si="69"/>
        <v>1401058.8977777779</v>
      </c>
      <c r="HJ7" s="118">
        <f t="shared" si="69"/>
        <v>1401058.8977777779</v>
      </c>
      <c r="HK7" s="118">
        <f t="shared" si="69"/>
        <v>1401058.8977777779</v>
      </c>
      <c r="HL7" s="118">
        <f t="shared" si="69"/>
        <v>1401058.8977777779</v>
      </c>
      <c r="HM7" s="118">
        <f t="shared" si="69"/>
        <v>1401058.8977777779</v>
      </c>
      <c r="HN7" s="118">
        <f t="shared" si="69"/>
        <v>1401058.8977777779</v>
      </c>
      <c r="HO7" s="118">
        <f t="shared" si="69"/>
        <v>1401058.8977777779</v>
      </c>
      <c r="HP7" s="118">
        <f t="shared" si="69"/>
        <v>1401058.8977777779</v>
      </c>
      <c r="HQ7" s="118">
        <f t="shared" si="69"/>
        <v>1401058.8977777779</v>
      </c>
      <c r="HR7" s="118">
        <f t="shared" si="69"/>
        <v>1401058.8977777779</v>
      </c>
      <c r="HS7" s="118">
        <f t="shared" si="69"/>
        <v>1401058.8977777779</v>
      </c>
      <c r="HT7" s="118">
        <f t="shared" si="69"/>
        <v>1401058.8977777779</v>
      </c>
      <c r="HU7" s="118">
        <f t="shared" si="69"/>
        <v>1401058.8977777779</v>
      </c>
      <c r="HV7" s="118">
        <f t="shared" si="69"/>
        <v>1401058.8977777779</v>
      </c>
      <c r="HW7" s="118">
        <f t="shared" si="69"/>
        <v>1401058.8977777779</v>
      </c>
      <c r="HX7" s="118">
        <f t="shared" si="69"/>
        <v>1401058.8977777779</v>
      </c>
      <c r="HY7" s="118">
        <f t="shared" si="69"/>
        <v>1401058.8977777779</v>
      </c>
      <c r="HZ7" s="118">
        <f t="shared" si="69"/>
        <v>1401058.8977777779</v>
      </c>
      <c r="IA7" s="118">
        <f t="shared" si="69"/>
        <v>1401058.8977777779</v>
      </c>
      <c r="IB7" s="118">
        <f t="shared" si="69"/>
        <v>1401058.8977777779</v>
      </c>
      <c r="IC7" s="118">
        <f t="shared" si="69"/>
        <v>1401058.8977777779</v>
      </c>
      <c r="ID7" s="118">
        <f t="shared" si="69"/>
        <v>1401058.8977777779</v>
      </c>
      <c r="IE7" s="118">
        <f t="shared" si="69"/>
        <v>1401058.8977777779</v>
      </c>
      <c r="IF7" s="118">
        <f t="shared" si="69"/>
        <v>1401058.8977777779</v>
      </c>
      <c r="IG7" s="118">
        <f t="shared" si="69"/>
        <v>1401058.8977777779</v>
      </c>
      <c r="IH7" s="118">
        <f t="shared" si="69"/>
        <v>1401058.8977777779</v>
      </c>
      <c r="II7" s="118">
        <f t="shared" si="69"/>
        <v>1401058.8977777779</v>
      </c>
      <c r="IJ7" s="118">
        <f t="shared" si="69"/>
        <v>1401058.8977777779</v>
      </c>
      <c r="IK7" s="118">
        <f t="shared" si="69"/>
        <v>1401058.8977777779</v>
      </c>
      <c r="IL7" s="118">
        <f t="shared" si="69"/>
        <v>1401058.8977777779</v>
      </c>
      <c r="IM7" s="118">
        <f t="shared" si="69"/>
        <v>1401058.8977777779</v>
      </c>
      <c r="IN7" s="118">
        <f t="shared" si="69"/>
        <v>1401058.8977777779</v>
      </c>
      <c r="IO7" s="118">
        <f t="shared" si="69"/>
        <v>1401058.8977777779</v>
      </c>
      <c r="IP7" s="118">
        <f t="shared" si="69"/>
        <v>1401058.8977777779</v>
      </c>
      <c r="IQ7" s="118">
        <f t="shared" si="69"/>
        <v>1401058.8977777779</v>
      </c>
      <c r="IR7" s="118">
        <f t="shared" si="69"/>
        <v>1401058.8977777779</v>
      </c>
      <c r="IS7" s="118">
        <f t="shared" si="69"/>
        <v>1401058.8977777779</v>
      </c>
      <c r="IT7" s="118">
        <f t="shared" si="69"/>
        <v>1401058.8977777779</v>
      </c>
      <c r="IU7" s="118">
        <f t="shared" si="69"/>
        <v>1401058.8977777779</v>
      </c>
      <c r="IV7" s="118">
        <f t="shared" si="69"/>
        <v>1401058.8977777779</v>
      </c>
      <c r="IW7" s="118">
        <f t="shared" si="69"/>
        <v>1401058.8977777779</v>
      </c>
      <c r="IX7" s="118">
        <f t="shared" si="69"/>
        <v>1401058.8977777779</v>
      </c>
      <c r="IY7" s="118">
        <f t="shared" si="69"/>
        <v>1401058.8977777779</v>
      </c>
      <c r="IZ7" s="118">
        <f t="shared" si="69"/>
        <v>1401058.8977777779</v>
      </c>
      <c r="JA7" s="118">
        <f t="shared" si="69"/>
        <v>1401058.8977777779</v>
      </c>
      <c r="JB7" s="118">
        <f t="shared" si="69"/>
        <v>1401058.8977777779</v>
      </c>
      <c r="JC7" s="118">
        <f t="shared" si="69"/>
        <v>1401058.8977777779</v>
      </c>
      <c r="JD7" s="118">
        <f t="shared" si="69"/>
        <v>1401058.8977777779</v>
      </c>
      <c r="JE7" s="118">
        <f t="shared" ref="JE7:LP7" si="70">JE4-JE6</f>
        <v>1401058.8977777779</v>
      </c>
      <c r="JF7" s="118">
        <f t="shared" si="70"/>
        <v>1401058.8977777779</v>
      </c>
      <c r="JG7" s="118">
        <f t="shared" si="70"/>
        <v>1401058.8977777779</v>
      </c>
      <c r="JH7" s="118">
        <f t="shared" si="70"/>
        <v>1401058.8977777779</v>
      </c>
      <c r="JI7" s="118">
        <f t="shared" si="70"/>
        <v>1401058.8977777779</v>
      </c>
      <c r="JJ7" s="118">
        <f t="shared" si="70"/>
        <v>1401058.8977777779</v>
      </c>
      <c r="JK7" s="118">
        <f t="shared" si="70"/>
        <v>1401058.8977777779</v>
      </c>
      <c r="JL7" s="118">
        <f t="shared" si="70"/>
        <v>1401058.8977777779</v>
      </c>
      <c r="JM7" s="118">
        <f t="shared" si="70"/>
        <v>1401058.8977777779</v>
      </c>
      <c r="JN7" s="118">
        <f t="shared" si="70"/>
        <v>1401058.8977777779</v>
      </c>
      <c r="JO7" s="118">
        <f t="shared" si="70"/>
        <v>1401058.8977777779</v>
      </c>
      <c r="JP7" s="118">
        <f t="shared" si="70"/>
        <v>1401058.8977777779</v>
      </c>
      <c r="JQ7" s="118">
        <f t="shared" si="70"/>
        <v>1401058.8977777779</v>
      </c>
      <c r="JR7" s="118">
        <f t="shared" si="70"/>
        <v>1401058.8977777779</v>
      </c>
      <c r="JS7" s="118">
        <f t="shared" si="70"/>
        <v>1401058.8977777779</v>
      </c>
      <c r="JT7" s="118">
        <f t="shared" si="70"/>
        <v>1401058.8977777779</v>
      </c>
      <c r="JU7" s="118">
        <f t="shared" si="70"/>
        <v>1401058.8977777779</v>
      </c>
      <c r="JV7" s="118">
        <f t="shared" si="70"/>
        <v>1401058.8977777779</v>
      </c>
      <c r="JW7" s="118">
        <f t="shared" si="70"/>
        <v>1401058.8977777779</v>
      </c>
      <c r="JX7" s="118">
        <f t="shared" si="70"/>
        <v>1401058.8977777779</v>
      </c>
      <c r="JY7" s="118">
        <f t="shared" si="70"/>
        <v>1401058.8977777779</v>
      </c>
      <c r="JZ7" s="118">
        <f t="shared" si="70"/>
        <v>1401058.8977777779</v>
      </c>
      <c r="KA7" s="118">
        <f t="shared" si="70"/>
        <v>1401058.8977777779</v>
      </c>
      <c r="KB7" s="118">
        <f t="shared" si="70"/>
        <v>1401058.8977777779</v>
      </c>
      <c r="KC7" s="118">
        <f t="shared" si="70"/>
        <v>1401058.8977777779</v>
      </c>
      <c r="KD7" s="118">
        <f t="shared" si="70"/>
        <v>1401058.8977777779</v>
      </c>
      <c r="KE7" s="118">
        <f t="shared" si="70"/>
        <v>1401058.8977777779</v>
      </c>
      <c r="KF7" s="118">
        <f t="shared" si="70"/>
        <v>1401058.8977777779</v>
      </c>
      <c r="KG7" s="118">
        <f t="shared" si="70"/>
        <v>1401058.8977777779</v>
      </c>
      <c r="KH7" s="118">
        <f t="shared" si="70"/>
        <v>1401058.8977777779</v>
      </c>
      <c r="KI7" s="118">
        <f t="shared" si="70"/>
        <v>1401058.8977777779</v>
      </c>
      <c r="KJ7" s="118">
        <f t="shared" si="70"/>
        <v>1401058.8977777779</v>
      </c>
      <c r="KK7" s="118">
        <f t="shared" si="70"/>
        <v>1401058.8977777779</v>
      </c>
      <c r="KL7" s="118">
        <f t="shared" si="70"/>
        <v>1401058.8977777779</v>
      </c>
      <c r="KM7" s="118">
        <f t="shared" si="70"/>
        <v>1401058.8977777779</v>
      </c>
      <c r="KN7" s="118">
        <f t="shared" si="70"/>
        <v>1401058.8977777779</v>
      </c>
      <c r="KO7" s="118">
        <f t="shared" si="70"/>
        <v>1401058.8977777779</v>
      </c>
      <c r="KP7" s="118">
        <f t="shared" si="70"/>
        <v>1401058.8977777779</v>
      </c>
      <c r="KQ7" s="118">
        <f t="shared" si="70"/>
        <v>1401058.8977777779</v>
      </c>
      <c r="KR7" s="118">
        <f t="shared" si="70"/>
        <v>1401058.8977777779</v>
      </c>
      <c r="KS7" s="118">
        <f t="shared" si="70"/>
        <v>1401058.8977777779</v>
      </c>
      <c r="KT7" s="118">
        <f t="shared" si="70"/>
        <v>1401058.8977777779</v>
      </c>
      <c r="KU7" s="118">
        <f t="shared" si="70"/>
        <v>1401058.8977777779</v>
      </c>
      <c r="KV7" s="118">
        <f t="shared" si="70"/>
        <v>1401058.8977777779</v>
      </c>
      <c r="KW7" s="118">
        <f t="shared" si="70"/>
        <v>1401058.8977777779</v>
      </c>
      <c r="KX7" s="118">
        <f t="shared" si="70"/>
        <v>1401058.8977777779</v>
      </c>
      <c r="KY7" s="118">
        <f t="shared" si="70"/>
        <v>1401058.8977777779</v>
      </c>
      <c r="KZ7" s="118">
        <f t="shared" si="70"/>
        <v>1401058.8977777779</v>
      </c>
      <c r="LA7" s="118">
        <f t="shared" si="70"/>
        <v>1401058.8977777779</v>
      </c>
      <c r="LB7" s="118">
        <f t="shared" si="70"/>
        <v>1401058.8977777779</v>
      </c>
      <c r="LC7" s="118">
        <f t="shared" si="70"/>
        <v>1401058.8977777779</v>
      </c>
      <c r="LD7" s="118">
        <f t="shared" si="70"/>
        <v>1401058.8977777779</v>
      </c>
      <c r="LE7" s="118">
        <f t="shared" si="70"/>
        <v>1401058.8977777779</v>
      </c>
      <c r="LF7" s="118">
        <f t="shared" si="70"/>
        <v>1401058.8977777779</v>
      </c>
      <c r="LG7" s="118">
        <f t="shared" si="70"/>
        <v>1401058.8977777779</v>
      </c>
      <c r="LH7" s="118">
        <f t="shared" si="70"/>
        <v>1401058.8977777779</v>
      </c>
      <c r="LI7" s="118">
        <f t="shared" si="70"/>
        <v>1401058.8977777779</v>
      </c>
      <c r="LJ7" s="118">
        <f t="shared" si="70"/>
        <v>1401058.8977777779</v>
      </c>
      <c r="LK7" s="118">
        <f t="shared" si="70"/>
        <v>1401058.8977777779</v>
      </c>
      <c r="LL7" s="118">
        <f t="shared" si="70"/>
        <v>1401058.8977777779</v>
      </c>
      <c r="LM7" s="118">
        <f t="shared" si="70"/>
        <v>1401058.8977777779</v>
      </c>
      <c r="LN7" s="118">
        <f t="shared" si="70"/>
        <v>1401058.8977777779</v>
      </c>
      <c r="LO7" s="118">
        <f t="shared" si="70"/>
        <v>1401058.8977777779</v>
      </c>
      <c r="LP7" s="118">
        <f t="shared" si="70"/>
        <v>1401058.8977777779</v>
      </c>
      <c r="LQ7" s="118">
        <f t="shared" ref="LQ7:OB7" si="71">LQ4-LQ6</f>
        <v>1401058.8977777779</v>
      </c>
      <c r="LR7" s="118">
        <f t="shared" si="71"/>
        <v>1401058.8977777779</v>
      </c>
      <c r="LS7" s="118">
        <f t="shared" si="71"/>
        <v>1401058.8977777779</v>
      </c>
      <c r="LT7" s="118">
        <f t="shared" si="71"/>
        <v>1401058.8977777779</v>
      </c>
      <c r="LU7" s="118">
        <f t="shared" si="71"/>
        <v>1401058.8977777779</v>
      </c>
      <c r="LV7" s="118">
        <f t="shared" si="71"/>
        <v>1401058.8977777779</v>
      </c>
      <c r="LW7" s="118">
        <f t="shared" si="71"/>
        <v>1401058.8977777779</v>
      </c>
      <c r="LX7" s="118">
        <f t="shared" si="71"/>
        <v>1401058.8977777779</v>
      </c>
      <c r="LY7" s="118">
        <f t="shared" si="71"/>
        <v>1401058.8977777779</v>
      </c>
      <c r="LZ7" s="118">
        <f t="shared" si="71"/>
        <v>1401058.8977777779</v>
      </c>
      <c r="MA7" s="118">
        <f t="shared" si="71"/>
        <v>1401058.8977777779</v>
      </c>
      <c r="MB7" s="118">
        <f t="shared" si="71"/>
        <v>1401058.8977777779</v>
      </c>
      <c r="MC7" s="118">
        <f t="shared" si="71"/>
        <v>1401058.8977777779</v>
      </c>
      <c r="MD7" s="118">
        <f t="shared" si="71"/>
        <v>1401058.8977777779</v>
      </c>
      <c r="ME7" s="118">
        <f t="shared" si="71"/>
        <v>1401058.8977777779</v>
      </c>
      <c r="MF7" s="118">
        <f t="shared" si="71"/>
        <v>1401058.8977777779</v>
      </c>
      <c r="MG7" s="118">
        <f t="shared" si="71"/>
        <v>1401058.8977777779</v>
      </c>
      <c r="MH7" s="118">
        <f t="shared" si="71"/>
        <v>1401058.8977777779</v>
      </c>
      <c r="MI7" s="118">
        <f t="shared" si="71"/>
        <v>1401058.8977777779</v>
      </c>
      <c r="MJ7" s="118">
        <f t="shared" si="71"/>
        <v>1401058.8977777779</v>
      </c>
      <c r="MK7" s="118">
        <f t="shared" si="71"/>
        <v>1401058.8977777779</v>
      </c>
      <c r="ML7" s="118">
        <f t="shared" si="71"/>
        <v>1401058.8977777779</v>
      </c>
      <c r="MM7" s="118">
        <f t="shared" si="71"/>
        <v>1401058.8977777779</v>
      </c>
      <c r="MN7" s="118">
        <f t="shared" si="71"/>
        <v>1401058.8977777779</v>
      </c>
      <c r="MO7" s="118">
        <f t="shared" si="71"/>
        <v>1401058.8977777779</v>
      </c>
      <c r="MP7" s="118">
        <f t="shared" si="71"/>
        <v>1401058.8977777779</v>
      </c>
      <c r="MQ7" s="118">
        <f t="shared" si="71"/>
        <v>1401058.8977777779</v>
      </c>
      <c r="MR7" s="118">
        <f t="shared" si="71"/>
        <v>1401058.8977777779</v>
      </c>
      <c r="MS7" s="118">
        <f t="shared" si="71"/>
        <v>1401058.8977777779</v>
      </c>
      <c r="MT7" s="118">
        <f t="shared" si="71"/>
        <v>1401058.8977777779</v>
      </c>
      <c r="MU7" s="118">
        <f t="shared" si="71"/>
        <v>1401058.8977777779</v>
      </c>
      <c r="MV7" s="118">
        <f t="shared" si="71"/>
        <v>1401058.8977777779</v>
      </c>
      <c r="MW7" s="118">
        <f t="shared" si="71"/>
        <v>1401058.8977777779</v>
      </c>
      <c r="MX7" s="118">
        <f t="shared" si="71"/>
        <v>1401058.8977777779</v>
      </c>
      <c r="MY7" s="118">
        <f t="shared" si="71"/>
        <v>1401058.8977777779</v>
      </c>
      <c r="MZ7" s="118">
        <f t="shared" si="71"/>
        <v>1401058.8977777779</v>
      </c>
      <c r="NA7" s="118">
        <f t="shared" si="71"/>
        <v>1401058.8977777779</v>
      </c>
      <c r="NB7" s="118">
        <f t="shared" si="71"/>
        <v>1401058.8977777779</v>
      </c>
      <c r="NC7" s="118">
        <f t="shared" si="71"/>
        <v>1401058.8977777779</v>
      </c>
      <c r="ND7" s="118">
        <f t="shared" si="71"/>
        <v>1401058.8977777779</v>
      </c>
      <c r="NE7" s="118">
        <f t="shared" si="71"/>
        <v>1401058.8977777779</v>
      </c>
      <c r="NF7" s="118">
        <f t="shared" si="71"/>
        <v>1401058.8977777779</v>
      </c>
      <c r="NG7" s="118">
        <f t="shared" si="71"/>
        <v>1401058.8977777779</v>
      </c>
      <c r="NH7" s="118">
        <f t="shared" si="71"/>
        <v>1401058.8977777779</v>
      </c>
      <c r="NI7" s="118">
        <f t="shared" si="71"/>
        <v>1401058.8977777779</v>
      </c>
      <c r="NJ7" s="118">
        <f t="shared" si="71"/>
        <v>1401058.8977777779</v>
      </c>
      <c r="NK7" s="118">
        <f t="shared" si="71"/>
        <v>1401058.8977777779</v>
      </c>
      <c r="NL7" s="118">
        <f t="shared" si="71"/>
        <v>1401058.8977777779</v>
      </c>
      <c r="NM7" s="118">
        <f t="shared" si="71"/>
        <v>1401058.8977777779</v>
      </c>
      <c r="NN7" s="118">
        <f t="shared" si="71"/>
        <v>1401058.8977777779</v>
      </c>
      <c r="NO7" s="118">
        <f t="shared" si="71"/>
        <v>1401058.8977777779</v>
      </c>
      <c r="NP7" s="118">
        <f t="shared" si="71"/>
        <v>1401058.8977777779</v>
      </c>
      <c r="NQ7" s="118">
        <f t="shared" si="71"/>
        <v>1401058.8977777779</v>
      </c>
      <c r="NR7" s="118">
        <f t="shared" si="71"/>
        <v>1401058.8977777779</v>
      </c>
      <c r="NS7" s="118">
        <f t="shared" si="71"/>
        <v>1401058.8977777779</v>
      </c>
      <c r="NT7" s="118">
        <f t="shared" si="71"/>
        <v>1401058.8977777779</v>
      </c>
      <c r="NU7" s="118">
        <f t="shared" si="71"/>
        <v>1401058.8977777779</v>
      </c>
      <c r="NV7" s="118">
        <f t="shared" si="71"/>
        <v>1401058.8977777779</v>
      </c>
      <c r="NW7" s="118">
        <f t="shared" si="71"/>
        <v>1401058.8977777779</v>
      </c>
      <c r="NX7" s="118">
        <f t="shared" si="71"/>
        <v>1401058.8977777779</v>
      </c>
      <c r="NY7" s="118">
        <f t="shared" si="71"/>
        <v>1401058.8977777779</v>
      </c>
      <c r="NZ7" s="118">
        <f t="shared" si="71"/>
        <v>1401058.8977777779</v>
      </c>
      <c r="OA7" s="118">
        <f t="shared" si="71"/>
        <v>1401058.8977777779</v>
      </c>
      <c r="OB7" s="118">
        <f t="shared" si="71"/>
        <v>1401058.8977777779</v>
      </c>
      <c r="OC7" s="118">
        <f t="shared" ref="OC7:QN7" si="72">OC4-OC6</f>
        <v>1401058.8977777779</v>
      </c>
      <c r="OD7" s="118">
        <f t="shared" si="72"/>
        <v>1401058.8977777779</v>
      </c>
      <c r="OE7" s="118">
        <f t="shared" si="72"/>
        <v>1401058.8977777779</v>
      </c>
      <c r="OF7" s="118">
        <f t="shared" si="72"/>
        <v>1401058.8977777779</v>
      </c>
      <c r="OG7" s="118">
        <f t="shared" si="72"/>
        <v>1401058.8977777779</v>
      </c>
      <c r="OH7" s="118">
        <f t="shared" si="72"/>
        <v>1401058.8977777779</v>
      </c>
      <c r="OI7" s="118">
        <f t="shared" si="72"/>
        <v>1401058.8977777779</v>
      </c>
      <c r="OJ7" s="118">
        <f t="shared" si="72"/>
        <v>1401058.8977777779</v>
      </c>
      <c r="OK7" s="118">
        <f t="shared" si="72"/>
        <v>1401058.8977777779</v>
      </c>
      <c r="OL7" s="118">
        <f t="shared" si="72"/>
        <v>1401058.8977777779</v>
      </c>
      <c r="OM7" s="118">
        <f t="shared" si="72"/>
        <v>1401058.8977777779</v>
      </c>
      <c r="ON7" s="118">
        <f t="shared" si="72"/>
        <v>1401058.8977777779</v>
      </c>
      <c r="OO7" s="118">
        <f t="shared" si="72"/>
        <v>1401058.8977777779</v>
      </c>
      <c r="OP7" s="118">
        <f t="shared" si="72"/>
        <v>1401058.8977777779</v>
      </c>
      <c r="OQ7" s="118">
        <f t="shared" si="72"/>
        <v>1401058.8977777779</v>
      </c>
      <c r="OR7" s="118">
        <f t="shared" si="72"/>
        <v>1401058.8977777779</v>
      </c>
      <c r="OS7" s="118">
        <f t="shared" si="72"/>
        <v>1401058.8977777779</v>
      </c>
      <c r="OT7" s="118">
        <f t="shared" si="72"/>
        <v>1401058.8977777779</v>
      </c>
      <c r="OU7" s="118">
        <f t="shared" si="72"/>
        <v>1401058.8977777779</v>
      </c>
      <c r="OV7" s="118">
        <f t="shared" si="72"/>
        <v>1401058.8977777779</v>
      </c>
      <c r="OW7" s="118">
        <f t="shared" si="72"/>
        <v>1401058.8977777779</v>
      </c>
      <c r="OX7" s="118">
        <f t="shared" si="72"/>
        <v>1401058.8977777779</v>
      </c>
      <c r="OY7" s="118">
        <f t="shared" si="72"/>
        <v>1401058.8977777779</v>
      </c>
      <c r="OZ7" s="118">
        <f t="shared" si="72"/>
        <v>1401058.8977777779</v>
      </c>
      <c r="PA7" s="118">
        <f t="shared" si="72"/>
        <v>1401058.8977777779</v>
      </c>
      <c r="PB7" s="118">
        <f t="shared" si="72"/>
        <v>1401058.8977777779</v>
      </c>
      <c r="PC7" s="118">
        <f t="shared" si="72"/>
        <v>1401058.8977777779</v>
      </c>
      <c r="PD7" s="118">
        <f t="shared" si="72"/>
        <v>1401058.8977777779</v>
      </c>
      <c r="PE7" s="118">
        <f t="shared" si="72"/>
        <v>1401058.8977777779</v>
      </c>
      <c r="PF7" s="118">
        <f t="shared" si="72"/>
        <v>1401058.8977777779</v>
      </c>
      <c r="PG7" s="118">
        <f t="shared" si="72"/>
        <v>1401058.8977777779</v>
      </c>
      <c r="PH7" s="118">
        <f t="shared" si="72"/>
        <v>1401058.8977777779</v>
      </c>
      <c r="PI7" s="118">
        <f t="shared" si="72"/>
        <v>1401058.8977777779</v>
      </c>
      <c r="PJ7" s="118">
        <f t="shared" si="72"/>
        <v>1401058.8977777779</v>
      </c>
      <c r="PK7" s="118">
        <f t="shared" si="72"/>
        <v>1401058.8977777779</v>
      </c>
      <c r="PL7" s="118">
        <f t="shared" si="72"/>
        <v>1401058.8977777779</v>
      </c>
      <c r="PM7" s="118">
        <f t="shared" si="72"/>
        <v>1401058.8977777779</v>
      </c>
      <c r="PN7" s="118">
        <f t="shared" si="72"/>
        <v>1401058.8977777779</v>
      </c>
      <c r="PO7" s="118">
        <f t="shared" si="72"/>
        <v>1401058.8977777779</v>
      </c>
      <c r="PP7" s="118">
        <f t="shared" si="72"/>
        <v>1401058.8977777779</v>
      </c>
      <c r="PQ7" s="118">
        <f t="shared" si="72"/>
        <v>1401058.8977777779</v>
      </c>
      <c r="PR7" s="118">
        <f t="shared" si="72"/>
        <v>1401058.8977777779</v>
      </c>
      <c r="PS7" s="118">
        <f t="shared" si="72"/>
        <v>1401058.8977777779</v>
      </c>
      <c r="PT7" s="118">
        <f t="shared" si="72"/>
        <v>1401058.8977777779</v>
      </c>
      <c r="PU7" s="118">
        <f t="shared" si="72"/>
        <v>1401058.8977777779</v>
      </c>
      <c r="PV7" s="118">
        <f t="shared" si="72"/>
        <v>1401058.8977777779</v>
      </c>
      <c r="PW7" s="118">
        <f t="shared" si="72"/>
        <v>1401058.8977777779</v>
      </c>
      <c r="PX7" s="118">
        <f t="shared" si="72"/>
        <v>1401058.8977777779</v>
      </c>
      <c r="PY7" s="118">
        <f t="shared" si="72"/>
        <v>1401058.8977777779</v>
      </c>
      <c r="PZ7" s="118">
        <f t="shared" si="72"/>
        <v>1401058.8977777779</v>
      </c>
      <c r="QA7" s="118">
        <f t="shared" si="72"/>
        <v>1401058.8977777779</v>
      </c>
      <c r="QB7" s="118">
        <f t="shared" si="72"/>
        <v>1401058.8977777779</v>
      </c>
      <c r="QC7" s="118">
        <f t="shared" si="72"/>
        <v>1401058.8977777779</v>
      </c>
      <c r="QD7" s="118">
        <f t="shared" si="72"/>
        <v>1401058.8977777779</v>
      </c>
      <c r="QE7" s="118">
        <f t="shared" si="72"/>
        <v>1401058.8977777779</v>
      </c>
      <c r="QF7" s="118">
        <f t="shared" si="72"/>
        <v>1401058.8977777779</v>
      </c>
      <c r="QG7" s="118">
        <f t="shared" si="72"/>
        <v>1401058.8977777779</v>
      </c>
      <c r="QH7" s="118">
        <f t="shared" si="72"/>
        <v>1401058.8977777779</v>
      </c>
      <c r="QI7" s="118">
        <f t="shared" si="72"/>
        <v>1401058.8977777779</v>
      </c>
      <c r="QJ7" s="118">
        <f t="shared" si="72"/>
        <v>1401058.8977777779</v>
      </c>
      <c r="QK7" s="118">
        <f t="shared" si="72"/>
        <v>1401058.8977777779</v>
      </c>
      <c r="QL7" s="118">
        <f t="shared" si="72"/>
        <v>1401058.8977777779</v>
      </c>
      <c r="QM7" s="118">
        <f t="shared" si="72"/>
        <v>1401058.8977777779</v>
      </c>
      <c r="QN7" s="118">
        <f t="shared" si="72"/>
        <v>1401058.8977777779</v>
      </c>
      <c r="QO7" s="118">
        <f t="shared" ref="QO7:SZ7" si="73">QO4-QO6</f>
        <v>1401058.8977777779</v>
      </c>
      <c r="QP7" s="118">
        <f t="shared" si="73"/>
        <v>1401058.8977777779</v>
      </c>
      <c r="QQ7" s="118">
        <f t="shared" si="73"/>
        <v>1401058.8977777779</v>
      </c>
      <c r="QR7" s="118">
        <f t="shared" si="73"/>
        <v>1401058.8977777779</v>
      </c>
      <c r="QS7" s="118">
        <f t="shared" si="73"/>
        <v>1401058.8977777779</v>
      </c>
      <c r="QT7" s="118">
        <f t="shared" si="73"/>
        <v>1401058.8977777779</v>
      </c>
      <c r="QU7" s="118">
        <f t="shared" si="73"/>
        <v>1401058.8977777779</v>
      </c>
      <c r="QV7" s="118">
        <f t="shared" si="73"/>
        <v>1401058.8977777779</v>
      </c>
      <c r="QW7" s="118">
        <f t="shared" si="73"/>
        <v>1401058.8977777779</v>
      </c>
      <c r="QX7" s="118">
        <f t="shared" si="73"/>
        <v>1401058.8977777779</v>
      </c>
      <c r="QY7" s="118">
        <f t="shared" si="73"/>
        <v>1401058.8977777779</v>
      </c>
      <c r="QZ7" s="118">
        <f t="shared" si="73"/>
        <v>1401058.8977777779</v>
      </c>
      <c r="RA7" s="118">
        <f t="shared" si="73"/>
        <v>1401058.8977777779</v>
      </c>
      <c r="RB7" s="118">
        <f t="shared" si="73"/>
        <v>1401058.8977777779</v>
      </c>
      <c r="RC7" s="118">
        <f t="shared" si="73"/>
        <v>1401058.8977777779</v>
      </c>
      <c r="RD7" s="118">
        <f t="shared" si="73"/>
        <v>1401058.8977777779</v>
      </c>
      <c r="RE7" s="118">
        <f t="shared" si="73"/>
        <v>1401058.8977777779</v>
      </c>
      <c r="RF7" s="118">
        <f t="shared" si="73"/>
        <v>1401058.8977777779</v>
      </c>
      <c r="RG7" s="118">
        <f t="shared" si="73"/>
        <v>1401058.8977777779</v>
      </c>
      <c r="RH7" s="118">
        <f t="shared" si="73"/>
        <v>1401058.8977777779</v>
      </c>
      <c r="RI7" s="118">
        <f t="shared" si="73"/>
        <v>1401058.8977777779</v>
      </c>
      <c r="RJ7" s="118">
        <f t="shared" si="73"/>
        <v>1401058.8977777779</v>
      </c>
      <c r="RK7" s="118">
        <f t="shared" si="73"/>
        <v>1401058.8977777779</v>
      </c>
      <c r="RL7" s="118">
        <f t="shared" si="73"/>
        <v>1401058.8977777779</v>
      </c>
      <c r="RM7" s="118">
        <f t="shared" si="73"/>
        <v>1401058.8977777779</v>
      </c>
      <c r="RN7" s="118">
        <f t="shared" si="73"/>
        <v>1401058.8977777779</v>
      </c>
      <c r="RO7" s="118">
        <f t="shared" si="73"/>
        <v>1401058.8977777779</v>
      </c>
      <c r="RP7" s="118">
        <f t="shared" si="73"/>
        <v>1401058.8977777779</v>
      </c>
      <c r="RQ7" s="118">
        <f t="shared" si="73"/>
        <v>1401058.8977777779</v>
      </c>
      <c r="RR7" s="118">
        <f t="shared" si="73"/>
        <v>1401058.8977777779</v>
      </c>
      <c r="RS7" s="118">
        <f t="shared" si="73"/>
        <v>1401058.8977777779</v>
      </c>
      <c r="RT7" s="118">
        <f t="shared" si="73"/>
        <v>1401058.8977777779</v>
      </c>
      <c r="RU7" s="118">
        <f t="shared" si="73"/>
        <v>1401058.8977777779</v>
      </c>
      <c r="RV7" s="118">
        <f t="shared" si="73"/>
        <v>1401058.8977777779</v>
      </c>
      <c r="RW7" s="118">
        <f t="shared" si="73"/>
        <v>1401058.8977777779</v>
      </c>
      <c r="RX7" s="118">
        <f t="shared" si="73"/>
        <v>1401058.8977777779</v>
      </c>
      <c r="RY7" s="118">
        <f t="shared" si="73"/>
        <v>1401058.8977777779</v>
      </c>
      <c r="RZ7" s="118">
        <f t="shared" si="73"/>
        <v>1401058.8977777779</v>
      </c>
      <c r="SA7" s="118">
        <f t="shared" si="73"/>
        <v>1401058.8977777779</v>
      </c>
      <c r="SB7" s="118">
        <f t="shared" si="73"/>
        <v>1401058.8977777779</v>
      </c>
      <c r="SC7" s="118">
        <f t="shared" si="73"/>
        <v>1401058.8977777779</v>
      </c>
      <c r="SD7" s="118">
        <f t="shared" si="73"/>
        <v>1401058.8977777779</v>
      </c>
      <c r="SE7" s="118">
        <f t="shared" si="73"/>
        <v>1401058.8977777779</v>
      </c>
      <c r="SF7" s="118">
        <f t="shared" si="73"/>
        <v>1401058.8977777779</v>
      </c>
      <c r="SG7" s="118">
        <f t="shared" si="73"/>
        <v>1401058.8977777779</v>
      </c>
      <c r="SH7" s="118">
        <f t="shared" si="73"/>
        <v>1401058.8977777779</v>
      </c>
      <c r="SI7" s="118">
        <f t="shared" si="73"/>
        <v>1401058.8977777779</v>
      </c>
      <c r="SJ7" s="118">
        <f t="shared" si="73"/>
        <v>1401058.8977777779</v>
      </c>
      <c r="SK7" s="118">
        <f t="shared" si="73"/>
        <v>1401058.8977777779</v>
      </c>
      <c r="SL7" s="118">
        <f t="shared" si="73"/>
        <v>1401058.8977777779</v>
      </c>
      <c r="SM7" s="118">
        <f t="shared" si="73"/>
        <v>1401058.8977777779</v>
      </c>
      <c r="SN7" s="118">
        <f t="shared" si="73"/>
        <v>1401058.8977777779</v>
      </c>
      <c r="SO7" s="118">
        <f t="shared" si="73"/>
        <v>1401058.8977777779</v>
      </c>
      <c r="SP7" s="118">
        <f t="shared" si="73"/>
        <v>1401058.8977777779</v>
      </c>
      <c r="SQ7" s="118">
        <f t="shared" si="73"/>
        <v>1401058.8977777779</v>
      </c>
      <c r="SR7" s="118">
        <f t="shared" si="73"/>
        <v>1401058.8977777779</v>
      </c>
      <c r="SS7" s="118">
        <f t="shared" si="73"/>
        <v>1401058.8977777779</v>
      </c>
      <c r="ST7" s="118">
        <f t="shared" si="73"/>
        <v>1401058.8977777779</v>
      </c>
      <c r="SU7" s="118">
        <f t="shared" si="73"/>
        <v>1401058.8977777779</v>
      </c>
      <c r="SV7" s="118">
        <f t="shared" si="73"/>
        <v>1401058.8977777779</v>
      </c>
      <c r="SW7" s="118">
        <f t="shared" si="73"/>
        <v>1401058.8977777779</v>
      </c>
      <c r="SX7" s="118">
        <f t="shared" si="73"/>
        <v>1401058.8977777779</v>
      </c>
      <c r="SY7" s="118">
        <f t="shared" si="73"/>
        <v>1401058.8977777779</v>
      </c>
      <c r="SZ7" s="118">
        <f t="shared" si="73"/>
        <v>1401058.8977777779</v>
      </c>
      <c r="TA7" s="118">
        <f t="shared" ref="TA7:VL7" si="74">TA4-TA6</f>
        <v>1401058.8977777779</v>
      </c>
      <c r="TB7" s="118">
        <f t="shared" si="74"/>
        <v>1401058.8977777779</v>
      </c>
      <c r="TC7" s="118">
        <f t="shared" si="74"/>
        <v>1401058.8977777779</v>
      </c>
      <c r="TD7" s="118">
        <f t="shared" si="74"/>
        <v>1401058.8977777779</v>
      </c>
      <c r="TE7" s="118">
        <f t="shared" si="74"/>
        <v>1401058.8977777779</v>
      </c>
      <c r="TF7" s="118">
        <f t="shared" si="74"/>
        <v>1401058.8977777779</v>
      </c>
      <c r="TG7" s="118">
        <f t="shared" si="74"/>
        <v>1401058.8977777779</v>
      </c>
      <c r="TH7" s="118">
        <f t="shared" si="74"/>
        <v>1401058.8977777779</v>
      </c>
      <c r="TI7" s="118">
        <f t="shared" si="74"/>
        <v>1401058.8977777779</v>
      </c>
      <c r="TJ7" s="118">
        <f t="shared" si="74"/>
        <v>1401058.8977777779</v>
      </c>
      <c r="TK7" s="118">
        <f t="shared" si="74"/>
        <v>1401058.8977777779</v>
      </c>
      <c r="TL7" s="118">
        <f t="shared" si="74"/>
        <v>1401058.8977777779</v>
      </c>
      <c r="TM7" s="118">
        <f t="shared" si="74"/>
        <v>1401058.8977777779</v>
      </c>
      <c r="TN7" s="118">
        <f t="shared" si="74"/>
        <v>1401058.8977777779</v>
      </c>
      <c r="TO7" s="118">
        <f t="shared" si="74"/>
        <v>1401058.8977777779</v>
      </c>
      <c r="TP7" s="118">
        <f t="shared" si="74"/>
        <v>1401058.8977777779</v>
      </c>
      <c r="TQ7" s="118">
        <f t="shared" si="74"/>
        <v>1401058.8977777779</v>
      </c>
      <c r="TR7" s="118">
        <f t="shared" si="74"/>
        <v>1401058.8977777779</v>
      </c>
      <c r="TS7" s="118">
        <f t="shared" si="74"/>
        <v>1401058.8977777779</v>
      </c>
      <c r="TT7" s="118">
        <f t="shared" si="74"/>
        <v>1401058.8977777779</v>
      </c>
      <c r="TU7" s="118">
        <f t="shared" si="74"/>
        <v>1401058.8977777779</v>
      </c>
      <c r="TV7" s="118">
        <f t="shared" si="74"/>
        <v>1401058.8977777779</v>
      </c>
      <c r="TW7" s="118">
        <f t="shared" si="74"/>
        <v>1401058.8977777779</v>
      </c>
      <c r="TX7" s="118">
        <f t="shared" si="74"/>
        <v>1401058.8977777779</v>
      </c>
      <c r="TY7" s="118">
        <f t="shared" si="74"/>
        <v>1401058.8977777779</v>
      </c>
      <c r="TZ7" s="118">
        <f t="shared" si="74"/>
        <v>1401058.8977777779</v>
      </c>
      <c r="UA7" s="118">
        <f t="shared" si="74"/>
        <v>1401058.8977777779</v>
      </c>
      <c r="UB7" s="118">
        <f t="shared" si="74"/>
        <v>1401058.8977777779</v>
      </c>
      <c r="UC7" s="118">
        <f t="shared" si="74"/>
        <v>1401058.8977777779</v>
      </c>
      <c r="UD7" s="118">
        <f t="shared" si="74"/>
        <v>1401058.8977777779</v>
      </c>
      <c r="UE7" s="118">
        <f t="shared" si="74"/>
        <v>1401058.8977777779</v>
      </c>
      <c r="UF7" s="118">
        <f t="shared" si="74"/>
        <v>1401058.8977777779</v>
      </c>
      <c r="UG7" s="118">
        <f t="shared" si="74"/>
        <v>1401058.8977777779</v>
      </c>
      <c r="UH7" s="118">
        <f t="shared" si="74"/>
        <v>1401058.8977777779</v>
      </c>
      <c r="UI7" s="118">
        <f t="shared" si="74"/>
        <v>1401058.8977777779</v>
      </c>
      <c r="UJ7" s="118">
        <f t="shared" si="74"/>
        <v>1401058.8977777779</v>
      </c>
      <c r="UK7" s="118">
        <f t="shared" si="74"/>
        <v>1401058.8977777779</v>
      </c>
      <c r="UL7" s="118">
        <f t="shared" si="74"/>
        <v>1401058.8977777779</v>
      </c>
      <c r="UM7" s="118">
        <f t="shared" si="74"/>
        <v>1401058.8977777779</v>
      </c>
      <c r="UN7" s="118">
        <f t="shared" si="74"/>
        <v>1401058.8977777779</v>
      </c>
      <c r="UO7" s="118">
        <f t="shared" si="74"/>
        <v>1401058.8977777779</v>
      </c>
      <c r="UP7" s="118">
        <f t="shared" si="74"/>
        <v>1401058.8977777779</v>
      </c>
      <c r="UQ7" s="118">
        <f t="shared" si="74"/>
        <v>1401058.8977777779</v>
      </c>
      <c r="UR7" s="118">
        <f t="shared" si="74"/>
        <v>1401058.8977777779</v>
      </c>
      <c r="US7" s="118">
        <f t="shared" si="74"/>
        <v>1401058.8977777779</v>
      </c>
      <c r="UT7" s="118">
        <f t="shared" si="74"/>
        <v>1401058.8977777779</v>
      </c>
      <c r="UU7" s="118">
        <f t="shared" si="74"/>
        <v>1401058.8977777779</v>
      </c>
      <c r="UV7" s="118">
        <f t="shared" si="74"/>
        <v>1401058.8977777779</v>
      </c>
      <c r="UW7" s="118">
        <f t="shared" si="74"/>
        <v>1401058.8977777779</v>
      </c>
      <c r="UX7" s="118">
        <f t="shared" si="74"/>
        <v>1401058.8977777779</v>
      </c>
      <c r="UY7" s="118">
        <f t="shared" si="74"/>
        <v>1401058.8977777779</v>
      </c>
      <c r="UZ7" s="118">
        <f t="shared" si="74"/>
        <v>1401058.8977777779</v>
      </c>
      <c r="VA7" s="118">
        <f t="shared" si="74"/>
        <v>1401058.8977777779</v>
      </c>
      <c r="VB7" s="118">
        <f t="shared" si="74"/>
        <v>1401058.8977777779</v>
      </c>
      <c r="VC7" s="118">
        <f t="shared" si="74"/>
        <v>1401058.8977777779</v>
      </c>
      <c r="VD7" s="118">
        <f t="shared" si="74"/>
        <v>1401058.8977777779</v>
      </c>
      <c r="VE7" s="118">
        <f t="shared" si="74"/>
        <v>1401058.8977777779</v>
      </c>
      <c r="VF7" s="118">
        <f t="shared" si="74"/>
        <v>1401058.8977777779</v>
      </c>
      <c r="VG7" s="118">
        <f t="shared" si="74"/>
        <v>1401058.8977777779</v>
      </c>
      <c r="VH7" s="118">
        <f t="shared" si="74"/>
        <v>1401058.8977777779</v>
      </c>
      <c r="VI7" s="118">
        <f t="shared" si="74"/>
        <v>1401058.8977777779</v>
      </c>
      <c r="VJ7" s="118">
        <f t="shared" si="74"/>
        <v>1401058.8977777779</v>
      </c>
      <c r="VK7" s="118">
        <f t="shared" si="74"/>
        <v>1401058.8977777779</v>
      </c>
      <c r="VL7" s="118">
        <f t="shared" si="74"/>
        <v>1401058.8977777779</v>
      </c>
      <c r="VM7" s="118">
        <f t="shared" ref="VM7:XX7" si="75">VM4-VM6</f>
        <v>1401058.8977777779</v>
      </c>
      <c r="VN7" s="118">
        <f t="shared" si="75"/>
        <v>1401058.8977777779</v>
      </c>
      <c r="VO7" s="118">
        <f t="shared" si="75"/>
        <v>1401058.8977777779</v>
      </c>
      <c r="VP7" s="118">
        <f t="shared" si="75"/>
        <v>1401058.8977777779</v>
      </c>
      <c r="VQ7" s="118">
        <f t="shared" si="75"/>
        <v>1401058.8977777779</v>
      </c>
      <c r="VR7" s="118">
        <f t="shared" si="75"/>
        <v>1401058.8977777779</v>
      </c>
      <c r="VS7" s="118">
        <f t="shared" si="75"/>
        <v>1401058.8977777779</v>
      </c>
      <c r="VT7" s="118">
        <f t="shared" si="75"/>
        <v>1401058.8977777779</v>
      </c>
      <c r="VU7" s="118">
        <f t="shared" si="75"/>
        <v>1401058.8977777779</v>
      </c>
      <c r="VV7" s="118">
        <f t="shared" si="75"/>
        <v>1401058.8977777779</v>
      </c>
      <c r="VW7" s="118">
        <f t="shared" si="75"/>
        <v>1401058.8977777779</v>
      </c>
      <c r="VX7" s="118">
        <f t="shared" si="75"/>
        <v>1401058.8977777779</v>
      </c>
      <c r="VY7" s="118">
        <f t="shared" si="75"/>
        <v>1401058.8977777779</v>
      </c>
      <c r="VZ7" s="118">
        <f t="shared" si="75"/>
        <v>1401058.8977777779</v>
      </c>
      <c r="WA7" s="118">
        <f t="shared" si="75"/>
        <v>1401058.8977777779</v>
      </c>
      <c r="WB7" s="118">
        <f t="shared" si="75"/>
        <v>1401058.8977777779</v>
      </c>
      <c r="WC7" s="118">
        <f t="shared" si="75"/>
        <v>1401058.8977777779</v>
      </c>
      <c r="WD7" s="118">
        <f t="shared" si="75"/>
        <v>1401058.8977777779</v>
      </c>
      <c r="WE7" s="118">
        <f t="shared" si="75"/>
        <v>1401058.8977777779</v>
      </c>
      <c r="WF7" s="118">
        <f t="shared" si="75"/>
        <v>1401058.8977777779</v>
      </c>
      <c r="WG7" s="118">
        <f t="shared" si="75"/>
        <v>1401058.8977777779</v>
      </c>
      <c r="WH7" s="118">
        <f t="shared" si="75"/>
        <v>1401058.8977777779</v>
      </c>
      <c r="WI7" s="118">
        <f t="shared" si="75"/>
        <v>1401058.8977777779</v>
      </c>
      <c r="WJ7" s="118">
        <f t="shared" si="75"/>
        <v>1401058.8977777779</v>
      </c>
      <c r="WK7" s="118">
        <f t="shared" si="75"/>
        <v>1401058.8977777779</v>
      </c>
      <c r="WL7" s="118">
        <f t="shared" si="75"/>
        <v>1401058.8977777779</v>
      </c>
      <c r="WM7" s="118">
        <f t="shared" si="75"/>
        <v>1401058.8977777779</v>
      </c>
      <c r="WN7" s="118">
        <f t="shared" si="75"/>
        <v>1401058.8977777779</v>
      </c>
      <c r="WO7" s="118">
        <f t="shared" si="75"/>
        <v>1401058.8977777779</v>
      </c>
      <c r="WP7" s="118">
        <f t="shared" si="75"/>
        <v>1401058.8977777779</v>
      </c>
      <c r="WQ7" s="118">
        <f t="shared" si="75"/>
        <v>1401058.8977777779</v>
      </c>
      <c r="WR7" s="118">
        <f t="shared" si="75"/>
        <v>1401058.8977777779</v>
      </c>
      <c r="WS7" s="118">
        <f t="shared" si="75"/>
        <v>1401058.8977777779</v>
      </c>
      <c r="WT7" s="118">
        <f t="shared" si="75"/>
        <v>1401058.8977777779</v>
      </c>
      <c r="WU7" s="118">
        <f t="shared" si="75"/>
        <v>1401058.8977777779</v>
      </c>
      <c r="WV7" s="118">
        <f t="shared" si="75"/>
        <v>1401058.8977777779</v>
      </c>
      <c r="WW7" s="118">
        <f t="shared" si="75"/>
        <v>1401058.8977777779</v>
      </c>
      <c r="WX7" s="118">
        <f t="shared" si="75"/>
        <v>1401058.8977777779</v>
      </c>
      <c r="WY7" s="118">
        <f t="shared" si="75"/>
        <v>1401058.8977777779</v>
      </c>
      <c r="WZ7" s="118">
        <f t="shared" si="75"/>
        <v>1401058.8977777779</v>
      </c>
      <c r="XA7" s="118">
        <f t="shared" si="75"/>
        <v>1401058.8977777779</v>
      </c>
      <c r="XB7" s="118">
        <f t="shared" si="75"/>
        <v>1401058.8977777779</v>
      </c>
      <c r="XC7" s="118">
        <f t="shared" si="75"/>
        <v>1401058.8977777779</v>
      </c>
      <c r="XD7" s="118">
        <f t="shared" si="75"/>
        <v>1401058.8977777779</v>
      </c>
      <c r="XE7" s="118">
        <f t="shared" si="75"/>
        <v>1401058.8977777779</v>
      </c>
      <c r="XF7" s="118">
        <f t="shared" si="75"/>
        <v>1401058.8977777779</v>
      </c>
      <c r="XG7" s="118">
        <f t="shared" si="75"/>
        <v>1401058.8977777779</v>
      </c>
      <c r="XH7" s="118">
        <f t="shared" si="75"/>
        <v>1401058.8977777779</v>
      </c>
      <c r="XI7" s="118">
        <f t="shared" si="75"/>
        <v>1401058.8977777779</v>
      </c>
      <c r="XJ7" s="118">
        <f t="shared" si="75"/>
        <v>1401058.8977777779</v>
      </c>
      <c r="XK7" s="118">
        <f t="shared" si="75"/>
        <v>1401058.8977777779</v>
      </c>
      <c r="XL7" s="118">
        <f t="shared" si="75"/>
        <v>1401058.8977777779</v>
      </c>
      <c r="XM7" s="118">
        <f t="shared" si="75"/>
        <v>1401058.8977777779</v>
      </c>
      <c r="XN7" s="118">
        <f t="shared" si="75"/>
        <v>1401058.8977777779</v>
      </c>
      <c r="XO7" s="118">
        <f t="shared" si="75"/>
        <v>1401058.8977777779</v>
      </c>
      <c r="XP7" s="118">
        <f t="shared" si="75"/>
        <v>1401058.8977777779</v>
      </c>
      <c r="XQ7" s="118">
        <f t="shared" si="75"/>
        <v>1401058.8977777779</v>
      </c>
      <c r="XR7" s="118">
        <f t="shared" si="75"/>
        <v>1401058.8977777779</v>
      </c>
      <c r="XS7" s="118">
        <f t="shared" si="75"/>
        <v>1401058.8977777779</v>
      </c>
      <c r="XT7" s="118">
        <f t="shared" si="75"/>
        <v>1401058.8977777779</v>
      </c>
      <c r="XU7" s="118">
        <f t="shared" si="75"/>
        <v>1401058.8977777779</v>
      </c>
      <c r="XV7" s="118">
        <f t="shared" si="75"/>
        <v>1401058.8977777779</v>
      </c>
      <c r="XW7" s="118">
        <f t="shared" si="75"/>
        <v>1401058.8977777779</v>
      </c>
      <c r="XX7" s="118">
        <f t="shared" si="75"/>
        <v>1401058.8977777779</v>
      </c>
      <c r="XY7" s="118">
        <f t="shared" ref="XY7:AAJ7" si="76">XY4-XY6</f>
        <v>1401058.8977777779</v>
      </c>
      <c r="XZ7" s="118">
        <f t="shared" si="76"/>
        <v>1401058.8977777779</v>
      </c>
      <c r="YA7" s="118">
        <f t="shared" si="76"/>
        <v>1401058.8977777779</v>
      </c>
      <c r="YB7" s="118">
        <f t="shared" si="76"/>
        <v>1401058.8977777779</v>
      </c>
      <c r="YC7" s="118">
        <f t="shared" si="76"/>
        <v>1401058.8977777779</v>
      </c>
      <c r="YD7" s="118">
        <f t="shared" si="76"/>
        <v>1401058.8977777779</v>
      </c>
      <c r="YE7" s="118">
        <f t="shared" si="76"/>
        <v>1401058.8977777779</v>
      </c>
      <c r="YF7" s="118">
        <f t="shared" si="76"/>
        <v>1401058.8977777779</v>
      </c>
      <c r="YG7" s="118">
        <f t="shared" si="76"/>
        <v>1401058.8977777779</v>
      </c>
      <c r="YH7" s="118">
        <f t="shared" si="76"/>
        <v>1401058.8977777779</v>
      </c>
      <c r="YI7" s="118">
        <f t="shared" si="76"/>
        <v>1401058.8977777779</v>
      </c>
      <c r="YJ7" s="118">
        <f t="shared" si="76"/>
        <v>1401058.8977777779</v>
      </c>
      <c r="YK7" s="118">
        <f t="shared" si="76"/>
        <v>1401058.8977777779</v>
      </c>
      <c r="YL7" s="118">
        <f t="shared" si="76"/>
        <v>1401058.8977777779</v>
      </c>
      <c r="YM7" s="118">
        <f t="shared" si="76"/>
        <v>1401058.8977777779</v>
      </c>
      <c r="YN7" s="118">
        <f t="shared" si="76"/>
        <v>1401058.8977777779</v>
      </c>
      <c r="YO7" s="118">
        <f t="shared" si="76"/>
        <v>1401058.8977777779</v>
      </c>
      <c r="YP7" s="118">
        <f t="shared" si="76"/>
        <v>1401058.8977777779</v>
      </c>
      <c r="YQ7" s="118">
        <f t="shared" si="76"/>
        <v>1401058.8977777779</v>
      </c>
      <c r="YR7" s="118">
        <f t="shared" si="76"/>
        <v>1401058.8977777779</v>
      </c>
      <c r="YS7" s="118">
        <f t="shared" si="76"/>
        <v>1401058.8977777779</v>
      </c>
      <c r="YT7" s="118">
        <f t="shared" si="76"/>
        <v>1401058.8977777779</v>
      </c>
      <c r="YU7" s="118">
        <f t="shared" si="76"/>
        <v>1401058.8977777779</v>
      </c>
      <c r="YV7" s="118">
        <f t="shared" si="76"/>
        <v>1401058.8977777779</v>
      </c>
      <c r="YW7" s="118">
        <f t="shared" si="76"/>
        <v>1401058.8977777779</v>
      </c>
      <c r="YX7" s="118">
        <f t="shared" si="76"/>
        <v>1401058.8977777779</v>
      </c>
      <c r="YY7" s="118">
        <f t="shared" si="76"/>
        <v>1401058.8977777779</v>
      </c>
      <c r="YZ7" s="118">
        <f t="shared" si="76"/>
        <v>1401058.8977777779</v>
      </c>
      <c r="ZA7" s="118">
        <f t="shared" si="76"/>
        <v>1401058.8977777779</v>
      </c>
      <c r="ZB7" s="118">
        <f t="shared" si="76"/>
        <v>1401058.8977777779</v>
      </c>
      <c r="ZC7" s="118">
        <f t="shared" si="76"/>
        <v>1401058.8977777779</v>
      </c>
      <c r="ZD7" s="118">
        <f t="shared" si="76"/>
        <v>1401058.8977777779</v>
      </c>
      <c r="ZE7" s="118">
        <f t="shared" si="76"/>
        <v>1401058.8977777779</v>
      </c>
      <c r="ZF7" s="118">
        <f t="shared" si="76"/>
        <v>1401058.8977777779</v>
      </c>
      <c r="ZG7" s="118">
        <f t="shared" si="76"/>
        <v>1401058.8977777779</v>
      </c>
      <c r="ZH7" s="118">
        <f t="shared" si="76"/>
        <v>1401058.8977777779</v>
      </c>
      <c r="ZI7" s="118">
        <f t="shared" si="76"/>
        <v>1401058.8977777779</v>
      </c>
      <c r="ZJ7" s="118">
        <f t="shared" si="76"/>
        <v>1401058.8977777779</v>
      </c>
      <c r="ZK7" s="118">
        <f t="shared" si="76"/>
        <v>1401058.8977777779</v>
      </c>
      <c r="ZL7" s="118">
        <f t="shared" si="76"/>
        <v>1401058.8977777779</v>
      </c>
      <c r="ZM7" s="118">
        <f t="shared" si="76"/>
        <v>1401058.8977777779</v>
      </c>
      <c r="ZN7" s="118">
        <f t="shared" si="76"/>
        <v>1401058.8977777779</v>
      </c>
      <c r="ZO7" s="118">
        <f t="shared" si="76"/>
        <v>1401058.8977777779</v>
      </c>
      <c r="ZP7" s="118">
        <f t="shared" si="76"/>
        <v>1401058.8977777779</v>
      </c>
      <c r="ZQ7" s="118">
        <f t="shared" si="76"/>
        <v>1401058.8977777779</v>
      </c>
      <c r="ZR7" s="118">
        <f t="shared" si="76"/>
        <v>1401058.8977777779</v>
      </c>
      <c r="ZS7" s="118">
        <f t="shared" si="76"/>
        <v>1401058.8977777779</v>
      </c>
      <c r="ZT7" s="118">
        <f t="shared" si="76"/>
        <v>1401058.8977777779</v>
      </c>
      <c r="ZU7" s="118">
        <f t="shared" si="76"/>
        <v>1401058.8977777779</v>
      </c>
      <c r="ZV7" s="118">
        <f t="shared" si="76"/>
        <v>1401058.8977777779</v>
      </c>
      <c r="ZW7" s="118">
        <f t="shared" si="76"/>
        <v>1401058.8977777779</v>
      </c>
      <c r="ZX7" s="118">
        <f t="shared" si="76"/>
        <v>1401058.8977777779</v>
      </c>
      <c r="ZY7" s="118">
        <f t="shared" si="76"/>
        <v>1401058.8977777779</v>
      </c>
      <c r="ZZ7" s="118">
        <f t="shared" si="76"/>
        <v>1401058.8977777779</v>
      </c>
      <c r="AAA7" s="118">
        <f t="shared" si="76"/>
        <v>1401058.8977777779</v>
      </c>
      <c r="AAB7" s="118">
        <f t="shared" si="76"/>
        <v>1401058.8977777779</v>
      </c>
      <c r="AAC7" s="118">
        <f t="shared" si="76"/>
        <v>1401058.8977777779</v>
      </c>
      <c r="AAD7" s="118">
        <f t="shared" si="76"/>
        <v>1401058.8977777779</v>
      </c>
      <c r="AAE7" s="118">
        <f t="shared" si="76"/>
        <v>1401058.8977777779</v>
      </c>
      <c r="AAF7" s="118">
        <f t="shared" si="76"/>
        <v>1401058.8977777779</v>
      </c>
      <c r="AAG7" s="118">
        <f t="shared" si="76"/>
        <v>1401058.8977777779</v>
      </c>
      <c r="AAH7" s="118">
        <f t="shared" si="76"/>
        <v>1401058.8977777779</v>
      </c>
      <c r="AAI7" s="118">
        <f t="shared" si="76"/>
        <v>1401058.8977777779</v>
      </c>
      <c r="AAJ7" s="118">
        <f t="shared" si="76"/>
        <v>1401058.8977777779</v>
      </c>
      <c r="AAK7" s="118">
        <f t="shared" ref="AAK7:ACV7" si="77">AAK4-AAK6</f>
        <v>1401058.8977777779</v>
      </c>
      <c r="AAL7" s="118">
        <f t="shared" si="77"/>
        <v>1401058.8977777779</v>
      </c>
      <c r="AAM7" s="118">
        <f t="shared" si="77"/>
        <v>1401058.8977777779</v>
      </c>
      <c r="AAN7" s="118">
        <f t="shared" si="77"/>
        <v>1401058.8977777779</v>
      </c>
      <c r="AAO7" s="118">
        <f t="shared" si="77"/>
        <v>1401058.8977777779</v>
      </c>
      <c r="AAP7" s="118">
        <f t="shared" si="77"/>
        <v>1401058.8977777779</v>
      </c>
      <c r="AAQ7" s="118">
        <f t="shared" si="77"/>
        <v>1401058.8977777779</v>
      </c>
      <c r="AAR7" s="118">
        <f t="shared" si="77"/>
        <v>1401058.8977777779</v>
      </c>
      <c r="AAS7" s="118">
        <f t="shared" si="77"/>
        <v>1401058.8977777779</v>
      </c>
      <c r="AAT7" s="118">
        <f t="shared" si="77"/>
        <v>1401058.8977777779</v>
      </c>
      <c r="AAU7" s="118">
        <f t="shared" si="77"/>
        <v>1401058.8977777779</v>
      </c>
      <c r="AAV7" s="118">
        <f t="shared" si="77"/>
        <v>1401058.8977777779</v>
      </c>
      <c r="AAW7" s="118">
        <f t="shared" si="77"/>
        <v>1401058.8977777779</v>
      </c>
      <c r="AAX7" s="118">
        <f t="shared" si="77"/>
        <v>1401058.8977777779</v>
      </c>
      <c r="AAY7" s="118">
        <f t="shared" si="77"/>
        <v>1401058.8977777779</v>
      </c>
      <c r="AAZ7" s="118">
        <f t="shared" si="77"/>
        <v>1401058.8977777779</v>
      </c>
      <c r="ABA7" s="118">
        <f t="shared" si="77"/>
        <v>1401058.8977777779</v>
      </c>
      <c r="ABB7" s="118">
        <f t="shared" si="77"/>
        <v>1401058.8977777779</v>
      </c>
      <c r="ABC7" s="118">
        <f t="shared" si="77"/>
        <v>1401058.8977777779</v>
      </c>
      <c r="ABD7" s="118">
        <f t="shared" si="77"/>
        <v>1401058.8977777779</v>
      </c>
      <c r="ABE7" s="118">
        <f t="shared" si="77"/>
        <v>1401058.8977777779</v>
      </c>
      <c r="ABF7" s="118">
        <f t="shared" si="77"/>
        <v>1401058.8977777779</v>
      </c>
      <c r="ABG7" s="118">
        <f t="shared" si="77"/>
        <v>1401058.8977777779</v>
      </c>
      <c r="ABH7" s="118">
        <f t="shared" si="77"/>
        <v>1401058.8977777779</v>
      </c>
      <c r="ABI7" s="118">
        <f t="shared" si="77"/>
        <v>1401058.8977777779</v>
      </c>
      <c r="ABJ7" s="118">
        <f t="shared" si="77"/>
        <v>1401058.8977777779</v>
      </c>
      <c r="ABK7" s="118">
        <f t="shared" si="77"/>
        <v>1401058.8977777779</v>
      </c>
      <c r="ABL7" s="118">
        <f t="shared" si="77"/>
        <v>1401058.8977777779</v>
      </c>
      <c r="ABM7" s="118">
        <f t="shared" si="77"/>
        <v>1401058.8977777779</v>
      </c>
      <c r="ABN7" s="118">
        <f t="shared" si="77"/>
        <v>1401058.8977777779</v>
      </c>
      <c r="ABO7" s="118">
        <f t="shared" si="77"/>
        <v>1401058.8977777779</v>
      </c>
      <c r="ABP7" s="118">
        <f t="shared" si="77"/>
        <v>1401058.8977777779</v>
      </c>
      <c r="ABQ7" s="118">
        <f t="shared" si="77"/>
        <v>1401058.8977777779</v>
      </c>
      <c r="ABR7" s="118">
        <f t="shared" si="77"/>
        <v>1401058.8977777779</v>
      </c>
      <c r="ABS7" s="118">
        <f t="shared" si="77"/>
        <v>1401058.8977777779</v>
      </c>
      <c r="ABT7" s="118">
        <f t="shared" si="77"/>
        <v>1401058.8977777779</v>
      </c>
      <c r="ABU7" s="118">
        <f t="shared" si="77"/>
        <v>1401058.8977777779</v>
      </c>
      <c r="ABV7" s="118">
        <f t="shared" si="77"/>
        <v>1401058.8977777779</v>
      </c>
      <c r="ABW7" s="118">
        <f t="shared" si="77"/>
        <v>1401058.8977777779</v>
      </c>
      <c r="ABX7" s="118">
        <f t="shared" si="77"/>
        <v>1401058.8977777779</v>
      </c>
      <c r="ABY7" s="118">
        <f t="shared" si="77"/>
        <v>1401058.8977777779</v>
      </c>
      <c r="ABZ7" s="118">
        <f t="shared" si="77"/>
        <v>1401058.8977777779</v>
      </c>
      <c r="ACA7" s="118">
        <f t="shared" si="77"/>
        <v>1401058.8977777779</v>
      </c>
      <c r="ACB7" s="118">
        <f t="shared" si="77"/>
        <v>1401058.8977777779</v>
      </c>
      <c r="ACC7" s="118">
        <f t="shared" si="77"/>
        <v>1401058.8977777779</v>
      </c>
      <c r="ACD7" s="118">
        <f t="shared" si="77"/>
        <v>1401058.8977777779</v>
      </c>
      <c r="ACE7" s="118">
        <f t="shared" si="77"/>
        <v>1401058.8977777779</v>
      </c>
      <c r="ACF7" s="118">
        <f t="shared" si="77"/>
        <v>1401058.8977777779</v>
      </c>
      <c r="ACG7" s="118">
        <f t="shared" si="77"/>
        <v>1401058.8977777779</v>
      </c>
      <c r="ACH7" s="118">
        <f t="shared" si="77"/>
        <v>1401058.8977777779</v>
      </c>
      <c r="ACI7" s="118">
        <f t="shared" si="77"/>
        <v>1401058.8977777779</v>
      </c>
      <c r="ACJ7" s="118">
        <f t="shared" si="77"/>
        <v>1401058.8977777779</v>
      </c>
      <c r="ACK7" s="118">
        <f t="shared" si="77"/>
        <v>1401058.8977777779</v>
      </c>
      <c r="ACL7" s="118">
        <f t="shared" si="77"/>
        <v>1401058.8977777779</v>
      </c>
      <c r="ACM7" s="118">
        <f t="shared" si="77"/>
        <v>1401058.8977777779</v>
      </c>
      <c r="ACN7" s="118">
        <f t="shared" si="77"/>
        <v>1401058.8977777779</v>
      </c>
      <c r="ACO7" s="118">
        <f t="shared" si="77"/>
        <v>1401058.8977777779</v>
      </c>
      <c r="ACP7" s="118">
        <f t="shared" si="77"/>
        <v>1401058.8977777779</v>
      </c>
      <c r="ACQ7" s="118">
        <f t="shared" si="77"/>
        <v>1401058.8977777779</v>
      </c>
      <c r="ACR7" s="118">
        <f t="shared" si="77"/>
        <v>1401058.8977777779</v>
      </c>
      <c r="ACS7" s="118">
        <f t="shared" si="77"/>
        <v>1401058.8977777779</v>
      </c>
      <c r="ACT7" s="118">
        <f t="shared" si="77"/>
        <v>1401058.8977777779</v>
      </c>
      <c r="ACU7" s="118">
        <f t="shared" si="77"/>
        <v>1401058.8977777779</v>
      </c>
      <c r="ACV7" s="118">
        <f t="shared" si="77"/>
        <v>1401058.8977777779</v>
      </c>
      <c r="ACW7" s="118">
        <f t="shared" ref="ACW7:AFH7" si="78">ACW4-ACW6</f>
        <v>1401058.8977777779</v>
      </c>
      <c r="ACX7" s="118">
        <f t="shared" si="78"/>
        <v>1401058.8977777779</v>
      </c>
      <c r="ACY7" s="118">
        <f t="shared" si="78"/>
        <v>1401058.8977777779</v>
      </c>
      <c r="ACZ7" s="118">
        <f t="shared" si="78"/>
        <v>1401058.8977777779</v>
      </c>
      <c r="ADA7" s="118">
        <f t="shared" si="78"/>
        <v>1401058.8977777779</v>
      </c>
      <c r="ADB7" s="118">
        <f t="shared" si="78"/>
        <v>1401058.8977777779</v>
      </c>
      <c r="ADC7" s="118">
        <f t="shared" si="78"/>
        <v>1401058.8977777779</v>
      </c>
      <c r="ADD7" s="118">
        <f t="shared" si="78"/>
        <v>1401058.8977777779</v>
      </c>
      <c r="ADE7" s="118">
        <f t="shared" si="78"/>
        <v>1401058.8977777779</v>
      </c>
      <c r="ADF7" s="118">
        <f t="shared" si="78"/>
        <v>1401058.8977777779</v>
      </c>
      <c r="ADG7" s="118">
        <f t="shared" si="78"/>
        <v>1401058.8977777779</v>
      </c>
      <c r="ADH7" s="118">
        <f t="shared" si="78"/>
        <v>1401058.8977777779</v>
      </c>
      <c r="ADI7" s="118">
        <f t="shared" si="78"/>
        <v>1401058.8977777779</v>
      </c>
      <c r="ADJ7" s="118">
        <f t="shared" si="78"/>
        <v>1401058.8977777779</v>
      </c>
      <c r="ADK7" s="118">
        <f t="shared" si="78"/>
        <v>1401058.8977777779</v>
      </c>
      <c r="ADL7" s="118">
        <f t="shared" si="78"/>
        <v>1401058.8977777779</v>
      </c>
      <c r="ADM7" s="118">
        <f t="shared" si="78"/>
        <v>1401058.8977777779</v>
      </c>
      <c r="ADN7" s="118">
        <f t="shared" si="78"/>
        <v>1401058.8977777779</v>
      </c>
      <c r="ADO7" s="118">
        <f t="shared" si="78"/>
        <v>1401058.8977777779</v>
      </c>
      <c r="ADP7" s="118">
        <f t="shared" si="78"/>
        <v>1401058.8977777779</v>
      </c>
      <c r="ADQ7" s="118">
        <f t="shared" si="78"/>
        <v>1401058.8977777779</v>
      </c>
      <c r="ADR7" s="118">
        <f t="shared" si="78"/>
        <v>1401058.8977777779</v>
      </c>
      <c r="ADS7" s="118">
        <f t="shared" si="78"/>
        <v>1401058.8977777779</v>
      </c>
      <c r="ADT7" s="118">
        <f t="shared" si="78"/>
        <v>1401058.8977777779</v>
      </c>
      <c r="ADU7" s="118">
        <f t="shared" si="78"/>
        <v>1401058.8977777779</v>
      </c>
      <c r="ADV7" s="118">
        <f t="shared" si="78"/>
        <v>1401058.8977777779</v>
      </c>
      <c r="ADW7" s="118">
        <f t="shared" si="78"/>
        <v>1401058.8977777779</v>
      </c>
      <c r="ADX7" s="118">
        <f t="shared" si="78"/>
        <v>1401058.8977777779</v>
      </c>
      <c r="ADY7" s="118">
        <f t="shared" si="78"/>
        <v>1401058.8977777779</v>
      </c>
      <c r="ADZ7" s="118">
        <f t="shared" si="78"/>
        <v>1401058.8977777779</v>
      </c>
      <c r="AEA7" s="118">
        <f t="shared" si="78"/>
        <v>1401058.8977777779</v>
      </c>
      <c r="AEB7" s="118">
        <f t="shared" si="78"/>
        <v>1401058.8977777779</v>
      </c>
      <c r="AEC7" s="118">
        <f t="shared" si="78"/>
        <v>1401058.8977777779</v>
      </c>
      <c r="AED7" s="118">
        <f t="shared" si="78"/>
        <v>1401058.8977777779</v>
      </c>
      <c r="AEE7" s="118">
        <f t="shared" si="78"/>
        <v>1401058.8977777779</v>
      </c>
      <c r="AEF7" s="118">
        <f t="shared" si="78"/>
        <v>1401058.8977777779</v>
      </c>
      <c r="AEG7" s="118">
        <f t="shared" si="78"/>
        <v>1401058.8977777779</v>
      </c>
      <c r="AEH7" s="118">
        <f t="shared" si="78"/>
        <v>1401058.8977777779</v>
      </c>
      <c r="AEI7" s="118">
        <f t="shared" si="78"/>
        <v>1401058.8977777779</v>
      </c>
      <c r="AEJ7" s="118">
        <f t="shared" si="78"/>
        <v>1401058.8977777779</v>
      </c>
      <c r="AEK7" s="118">
        <f t="shared" si="78"/>
        <v>1401058.8977777779</v>
      </c>
      <c r="AEL7" s="118">
        <f t="shared" si="78"/>
        <v>1401058.8977777779</v>
      </c>
      <c r="AEM7" s="118">
        <f t="shared" si="78"/>
        <v>1401058.8977777779</v>
      </c>
      <c r="AEN7" s="118">
        <f t="shared" si="78"/>
        <v>1401058.8977777779</v>
      </c>
      <c r="AEO7" s="118">
        <f t="shared" si="78"/>
        <v>1401058.8977777779</v>
      </c>
      <c r="AEP7" s="118">
        <f t="shared" si="78"/>
        <v>1401058.8977777779</v>
      </c>
      <c r="AEQ7" s="118">
        <f t="shared" si="78"/>
        <v>1401058.8977777779</v>
      </c>
      <c r="AER7" s="118">
        <f t="shared" si="78"/>
        <v>1401058.8977777779</v>
      </c>
      <c r="AES7" s="118">
        <f t="shared" si="78"/>
        <v>1401058.8977777779</v>
      </c>
      <c r="AET7" s="118">
        <f t="shared" si="78"/>
        <v>1401058.8977777779</v>
      </c>
      <c r="AEU7" s="118">
        <f t="shared" si="78"/>
        <v>1401058.8977777779</v>
      </c>
      <c r="AEV7" s="118">
        <f t="shared" si="78"/>
        <v>1401058.8977777779</v>
      </c>
      <c r="AEW7" s="118">
        <f t="shared" si="78"/>
        <v>1401058.8977777779</v>
      </c>
      <c r="AEX7" s="118">
        <f t="shared" si="78"/>
        <v>1401058.8977777779</v>
      </c>
      <c r="AEY7" s="118">
        <f t="shared" si="78"/>
        <v>1401058.8977777779</v>
      </c>
      <c r="AEZ7" s="118">
        <f t="shared" si="78"/>
        <v>1401058.8977777779</v>
      </c>
      <c r="AFA7" s="118">
        <f t="shared" si="78"/>
        <v>1401058.8977777779</v>
      </c>
      <c r="AFB7" s="118">
        <f t="shared" si="78"/>
        <v>1401058.8977777779</v>
      </c>
      <c r="AFC7" s="118">
        <f t="shared" si="78"/>
        <v>1401058.8977777779</v>
      </c>
      <c r="AFD7" s="118">
        <f t="shared" si="78"/>
        <v>1401058.8977777779</v>
      </c>
      <c r="AFE7" s="118">
        <f t="shared" si="78"/>
        <v>1401058.8977777779</v>
      </c>
      <c r="AFF7" s="118">
        <f t="shared" si="78"/>
        <v>1401058.8977777779</v>
      </c>
      <c r="AFG7" s="118">
        <f t="shared" si="78"/>
        <v>1401058.8977777779</v>
      </c>
      <c r="AFH7" s="118">
        <f t="shared" si="78"/>
        <v>1401058.8977777779</v>
      </c>
      <c r="AFI7" s="118">
        <f t="shared" ref="AFI7:AHT7" si="79">AFI4-AFI6</f>
        <v>1401058.8977777779</v>
      </c>
      <c r="AFJ7" s="118">
        <f t="shared" si="79"/>
        <v>1401058.8977777779</v>
      </c>
      <c r="AFK7" s="118">
        <f t="shared" si="79"/>
        <v>1401058.8977777779</v>
      </c>
      <c r="AFL7" s="118">
        <f t="shared" si="79"/>
        <v>1401058.8977777779</v>
      </c>
      <c r="AFM7" s="118">
        <f t="shared" si="79"/>
        <v>1401058.8977777779</v>
      </c>
      <c r="AFN7" s="118">
        <f t="shared" si="79"/>
        <v>1401058.8977777779</v>
      </c>
      <c r="AFO7" s="118">
        <f t="shared" si="79"/>
        <v>1401058.8977777779</v>
      </c>
      <c r="AFP7" s="118">
        <f t="shared" si="79"/>
        <v>1401058.8977777779</v>
      </c>
      <c r="AFQ7" s="118">
        <f t="shared" si="79"/>
        <v>1401058.8977777779</v>
      </c>
      <c r="AFR7" s="118">
        <f t="shared" si="79"/>
        <v>1401058.8977777779</v>
      </c>
      <c r="AFS7" s="118">
        <f t="shared" si="79"/>
        <v>1401058.8977777779</v>
      </c>
      <c r="AFT7" s="118">
        <f t="shared" si="79"/>
        <v>1401058.8977777779</v>
      </c>
      <c r="AFU7" s="118">
        <f t="shared" si="79"/>
        <v>1401058.8977777779</v>
      </c>
      <c r="AFV7" s="118">
        <f t="shared" si="79"/>
        <v>1401058.8977777779</v>
      </c>
      <c r="AFW7" s="118">
        <f t="shared" si="79"/>
        <v>1401058.8977777779</v>
      </c>
      <c r="AFX7" s="118">
        <f t="shared" si="79"/>
        <v>1401058.8977777779</v>
      </c>
      <c r="AFY7" s="118">
        <f t="shared" si="79"/>
        <v>1401058.8977777779</v>
      </c>
      <c r="AFZ7" s="118">
        <f t="shared" si="79"/>
        <v>1401058.8977777779</v>
      </c>
      <c r="AGA7" s="118">
        <f t="shared" si="79"/>
        <v>1401058.8977777779</v>
      </c>
      <c r="AGB7" s="118">
        <f t="shared" si="79"/>
        <v>1401058.8977777779</v>
      </c>
      <c r="AGC7" s="118">
        <f t="shared" si="79"/>
        <v>1401058.8977777779</v>
      </c>
      <c r="AGD7" s="118">
        <f t="shared" si="79"/>
        <v>1401058.8977777779</v>
      </c>
      <c r="AGE7" s="118">
        <f t="shared" si="79"/>
        <v>1401058.8977777779</v>
      </c>
      <c r="AGF7" s="118">
        <f t="shared" si="79"/>
        <v>1401058.8977777779</v>
      </c>
      <c r="AGG7" s="118">
        <f t="shared" si="79"/>
        <v>1401058.8977777779</v>
      </c>
      <c r="AGH7" s="118">
        <f t="shared" si="79"/>
        <v>1401058.8977777779</v>
      </c>
      <c r="AGI7" s="118">
        <f t="shared" si="79"/>
        <v>1401058.8977777779</v>
      </c>
      <c r="AGJ7" s="118">
        <f t="shared" si="79"/>
        <v>1401058.8977777779</v>
      </c>
      <c r="AGK7" s="118">
        <f t="shared" si="79"/>
        <v>1401058.8977777779</v>
      </c>
      <c r="AGL7" s="118">
        <f t="shared" si="79"/>
        <v>1401058.8977777779</v>
      </c>
      <c r="AGM7" s="118">
        <f t="shared" si="79"/>
        <v>1401058.8977777779</v>
      </c>
      <c r="AGN7" s="118">
        <f t="shared" si="79"/>
        <v>1401058.8977777779</v>
      </c>
      <c r="AGO7" s="118">
        <f t="shared" si="79"/>
        <v>1401058.8977777779</v>
      </c>
      <c r="AGP7" s="118">
        <f t="shared" si="79"/>
        <v>1401058.8977777779</v>
      </c>
      <c r="AGQ7" s="118">
        <f t="shared" si="79"/>
        <v>1401058.8977777779</v>
      </c>
      <c r="AGR7" s="118">
        <f t="shared" si="79"/>
        <v>1401058.8977777779</v>
      </c>
      <c r="AGS7" s="118">
        <f t="shared" si="79"/>
        <v>1401058.8977777779</v>
      </c>
      <c r="AGT7" s="118">
        <f t="shared" si="79"/>
        <v>1401058.8977777779</v>
      </c>
      <c r="AGU7" s="118">
        <f t="shared" si="79"/>
        <v>1401058.8977777779</v>
      </c>
      <c r="AGV7" s="118">
        <f t="shared" si="79"/>
        <v>1401058.8977777779</v>
      </c>
      <c r="AGW7" s="118">
        <f t="shared" si="79"/>
        <v>1401058.8977777779</v>
      </c>
      <c r="AGX7" s="118">
        <f t="shared" si="79"/>
        <v>1401058.8977777779</v>
      </c>
      <c r="AGY7" s="118">
        <f t="shared" si="79"/>
        <v>1401058.8977777779</v>
      </c>
      <c r="AGZ7" s="118">
        <f t="shared" si="79"/>
        <v>1401058.8977777779</v>
      </c>
      <c r="AHA7" s="118">
        <f t="shared" si="79"/>
        <v>1401058.8977777779</v>
      </c>
      <c r="AHB7" s="118">
        <f t="shared" si="79"/>
        <v>1401058.8977777779</v>
      </c>
      <c r="AHC7" s="118">
        <f t="shared" si="79"/>
        <v>1401058.8977777779</v>
      </c>
      <c r="AHD7" s="118">
        <f t="shared" si="79"/>
        <v>1401058.8977777779</v>
      </c>
      <c r="AHE7" s="118">
        <f t="shared" si="79"/>
        <v>1401058.8977777779</v>
      </c>
      <c r="AHF7" s="118">
        <f t="shared" si="79"/>
        <v>1401058.8977777779</v>
      </c>
      <c r="AHG7" s="118">
        <f t="shared" si="79"/>
        <v>1401058.8977777779</v>
      </c>
      <c r="AHH7" s="118">
        <f t="shared" si="79"/>
        <v>1401058.8977777779</v>
      </c>
      <c r="AHI7" s="118">
        <f t="shared" si="79"/>
        <v>1401058.8977777779</v>
      </c>
      <c r="AHJ7" s="118">
        <f t="shared" si="79"/>
        <v>1401058.8977777779</v>
      </c>
      <c r="AHK7" s="118">
        <f t="shared" si="79"/>
        <v>1401058.8977777779</v>
      </c>
      <c r="AHL7" s="118">
        <f t="shared" si="79"/>
        <v>1401058.8977777779</v>
      </c>
      <c r="AHM7" s="118">
        <f t="shared" si="79"/>
        <v>1401058.8977777779</v>
      </c>
      <c r="AHN7" s="118">
        <f t="shared" si="79"/>
        <v>1401058.8977777779</v>
      </c>
      <c r="AHO7" s="118">
        <f t="shared" si="79"/>
        <v>1401058.8977777779</v>
      </c>
      <c r="AHP7" s="118">
        <f t="shared" si="79"/>
        <v>1401058.8977777779</v>
      </c>
      <c r="AHQ7" s="118">
        <f t="shared" si="79"/>
        <v>1401058.8977777779</v>
      </c>
      <c r="AHR7" s="118">
        <f t="shared" si="79"/>
        <v>1401058.8977777779</v>
      </c>
      <c r="AHS7" s="118">
        <f t="shared" si="79"/>
        <v>1401058.8977777779</v>
      </c>
      <c r="AHT7" s="118">
        <f t="shared" si="79"/>
        <v>1401058.8977777779</v>
      </c>
      <c r="AHU7" s="118">
        <f t="shared" ref="AHU7:AKF7" si="80">AHU4-AHU6</f>
        <v>1401058.8977777779</v>
      </c>
      <c r="AHV7" s="118">
        <f t="shared" si="80"/>
        <v>1401058.8977777779</v>
      </c>
      <c r="AHW7" s="118">
        <f t="shared" si="80"/>
        <v>1401058.8977777779</v>
      </c>
      <c r="AHX7" s="118">
        <f t="shared" si="80"/>
        <v>1401058.8977777779</v>
      </c>
      <c r="AHY7" s="118">
        <f t="shared" si="80"/>
        <v>1401058.8977777779</v>
      </c>
      <c r="AHZ7" s="118">
        <f t="shared" si="80"/>
        <v>1401058.8977777779</v>
      </c>
      <c r="AIA7" s="118">
        <f t="shared" si="80"/>
        <v>1401058.8977777779</v>
      </c>
      <c r="AIB7" s="118">
        <f t="shared" si="80"/>
        <v>1401058.8977777779</v>
      </c>
      <c r="AIC7" s="118">
        <f t="shared" si="80"/>
        <v>1401058.8977777779</v>
      </c>
      <c r="AID7" s="118">
        <f t="shared" si="80"/>
        <v>1401058.8977777779</v>
      </c>
      <c r="AIE7" s="118">
        <f t="shared" si="80"/>
        <v>1401058.8977777779</v>
      </c>
      <c r="AIF7" s="118">
        <f t="shared" si="80"/>
        <v>1401058.8977777779</v>
      </c>
      <c r="AIG7" s="118">
        <f t="shared" si="80"/>
        <v>1401058.8977777779</v>
      </c>
      <c r="AIH7" s="118">
        <f t="shared" si="80"/>
        <v>1401058.8977777779</v>
      </c>
      <c r="AII7" s="118">
        <f t="shared" si="80"/>
        <v>1401058.8977777779</v>
      </c>
      <c r="AIJ7" s="118">
        <f t="shared" si="80"/>
        <v>1401058.8977777779</v>
      </c>
      <c r="AIK7" s="118">
        <f t="shared" si="80"/>
        <v>1401058.8977777779</v>
      </c>
      <c r="AIL7" s="118">
        <f t="shared" si="80"/>
        <v>1401058.8977777779</v>
      </c>
      <c r="AIM7" s="118">
        <f t="shared" si="80"/>
        <v>1401058.8977777779</v>
      </c>
      <c r="AIN7" s="118">
        <f t="shared" si="80"/>
        <v>1401058.8977777779</v>
      </c>
      <c r="AIO7" s="118">
        <f t="shared" si="80"/>
        <v>1401058.8977777779</v>
      </c>
      <c r="AIP7" s="118">
        <f t="shared" si="80"/>
        <v>1401058.8977777779</v>
      </c>
      <c r="AIQ7" s="118">
        <f t="shared" si="80"/>
        <v>1401058.8977777779</v>
      </c>
      <c r="AIR7" s="118">
        <f t="shared" si="80"/>
        <v>1401058.8977777779</v>
      </c>
      <c r="AIS7" s="118">
        <f t="shared" si="80"/>
        <v>1401058.8977777779</v>
      </c>
      <c r="AIT7" s="118">
        <f t="shared" si="80"/>
        <v>1401058.8977777779</v>
      </c>
      <c r="AIU7" s="118">
        <f t="shared" si="80"/>
        <v>1401058.8977777779</v>
      </c>
      <c r="AIV7" s="118">
        <f t="shared" si="80"/>
        <v>1401058.8977777779</v>
      </c>
      <c r="AIW7" s="118">
        <f t="shared" si="80"/>
        <v>1401058.8977777779</v>
      </c>
      <c r="AIX7" s="118">
        <f t="shared" si="80"/>
        <v>1401058.8977777779</v>
      </c>
      <c r="AIY7" s="118">
        <f t="shared" si="80"/>
        <v>1401058.8977777779</v>
      </c>
      <c r="AIZ7" s="118">
        <f t="shared" si="80"/>
        <v>1401058.8977777779</v>
      </c>
      <c r="AJA7" s="118">
        <f t="shared" si="80"/>
        <v>1401058.8977777779</v>
      </c>
      <c r="AJB7" s="118">
        <f t="shared" si="80"/>
        <v>1401058.8977777779</v>
      </c>
      <c r="AJC7" s="118">
        <f t="shared" si="80"/>
        <v>1401058.8977777779</v>
      </c>
      <c r="AJD7" s="118">
        <f t="shared" si="80"/>
        <v>1401058.8977777779</v>
      </c>
      <c r="AJE7" s="118">
        <f t="shared" si="80"/>
        <v>1401058.8977777779</v>
      </c>
      <c r="AJF7" s="118">
        <f t="shared" si="80"/>
        <v>1401058.8977777779</v>
      </c>
      <c r="AJG7" s="118">
        <f t="shared" si="80"/>
        <v>1401058.8977777779</v>
      </c>
      <c r="AJH7" s="118">
        <f t="shared" si="80"/>
        <v>1401058.8977777779</v>
      </c>
      <c r="AJI7" s="118">
        <f t="shared" si="80"/>
        <v>1401058.8977777779</v>
      </c>
      <c r="AJJ7" s="118">
        <f t="shared" si="80"/>
        <v>1401058.8977777779</v>
      </c>
      <c r="AJK7" s="118">
        <f t="shared" si="80"/>
        <v>1401058.8977777779</v>
      </c>
      <c r="AJL7" s="118">
        <f t="shared" si="80"/>
        <v>1401058.8977777779</v>
      </c>
      <c r="AJM7" s="118">
        <f t="shared" si="80"/>
        <v>1401058.8977777779</v>
      </c>
      <c r="AJN7" s="118">
        <f t="shared" si="80"/>
        <v>1401058.8977777779</v>
      </c>
      <c r="AJO7" s="118">
        <f t="shared" si="80"/>
        <v>1401058.8977777779</v>
      </c>
      <c r="AJP7" s="118">
        <f t="shared" si="80"/>
        <v>1401058.8977777779</v>
      </c>
      <c r="AJQ7" s="118">
        <f t="shared" si="80"/>
        <v>1401058.8977777779</v>
      </c>
      <c r="AJR7" s="118">
        <f t="shared" si="80"/>
        <v>1401058.8977777779</v>
      </c>
      <c r="AJS7" s="118">
        <f t="shared" si="80"/>
        <v>1401058.8977777779</v>
      </c>
      <c r="AJT7" s="118">
        <f t="shared" si="80"/>
        <v>1401058.8977777779</v>
      </c>
      <c r="AJU7" s="118">
        <f t="shared" si="80"/>
        <v>1401058.8977777779</v>
      </c>
      <c r="AJV7" s="118">
        <f t="shared" si="80"/>
        <v>1401058.8977777779</v>
      </c>
      <c r="AJW7" s="118">
        <f t="shared" si="80"/>
        <v>1401058.8977777779</v>
      </c>
      <c r="AJX7" s="118">
        <f t="shared" si="80"/>
        <v>1401058.8977777779</v>
      </c>
      <c r="AJY7" s="118">
        <f t="shared" si="80"/>
        <v>1401058.8977777779</v>
      </c>
      <c r="AJZ7" s="118">
        <f t="shared" si="80"/>
        <v>1401058.8977777779</v>
      </c>
      <c r="AKA7" s="118">
        <f t="shared" si="80"/>
        <v>1401058.8977777779</v>
      </c>
      <c r="AKB7" s="118">
        <f t="shared" si="80"/>
        <v>1401058.8977777779</v>
      </c>
      <c r="AKC7" s="118">
        <f t="shared" si="80"/>
        <v>1401058.8977777779</v>
      </c>
      <c r="AKD7" s="118">
        <f t="shared" si="80"/>
        <v>1401058.8977777779</v>
      </c>
      <c r="AKE7" s="118">
        <f t="shared" si="80"/>
        <v>1401058.8977777779</v>
      </c>
      <c r="AKF7" s="118">
        <f t="shared" si="80"/>
        <v>1401058.8977777779</v>
      </c>
      <c r="AKG7" s="118">
        <f t="shared" ref="AKG7:AMR7" si="81">AKG4-AKG6</f>
        <v>1401058.8977777779</v>
      </c>
      <c r="AKH7" s="118">
        <f t="shared" si="81"/>
        <v>1401058.8977777779</v>
      </c>
      <c r="AKI7" s="118">
        <f t="shared" si="81"/>
        <v>1401058.8977777779</v>
      </c>
      <c r="AKJ7" s="118">
        <f t="shared" si="81"/>
        <v>1401058.8977777779</v>
      </c>
      <c r="AKK7" s="118">
        <f t="shared" si="81"/>
        <v>1401058.8977777779</v>
      </c>
      <c r="AKL7" s="118">
        <f t="shared" si="81"/>
        <v>1401058.8977777779</v>
      </c>
      <c r="AKM7" s="118">
        <f t="shared" si="81"/>
        <v>1401058.8977777779</v>
      </c>
      <c r="AKN7" s="118">
        <f t="shared" si="81"/>
        <v>1401058.8977777779</v>
      </c>
      <c r="AKO7" s="118">
        <f t="shared" si="81"/>
        <v>1401058.8977777779</v>
      </c>
      <c r="AKP7" s="118">
        <f t="shared" si="81"/>
        <v>1401058.8977777779</v>
      </c>
      <c r="AKQ7" s="118">
        <f t="shared" si="81"/>
        <v>1401058.8977777779</v>
      </c>
      <c r="AKR7" s="118">
        <f t="shared" si="81"/>
        <v>1401058.8977777779</v>
      </c>
      <c r="AKS7" s="118">
        <f t="shared" si="81"/>
        <v>1401058.8977777779</v>
      </c>
      <c r="AKT7" s="118">
        <f t="shared" si="81"/>
        <v>1401058.8977777779</v>
      </c>
      <c r="AKU7" s="118">
        <f t="shared" si="81"/>
        <v>1401058.8977777779</v>
      </c>
      <c r="AKV7" s="118">
        <f t="shared" si="81"/>
        <v>1401058.8977777779</v>
      </c>
      <c r="AKW7" s="118">
        <f t="shared" si="81"/>
        <v>1401058.8977777779</v>
      </c>
      <c r="AKX7" s="118">
        <f t="shared" si="81"/>
        <v>1401058.8977777779</v>
      </c>
      <c r="AKY7" s="118">
        <f t="shared" si="81"/>
        <v>1401058.8977777779</v>
      </c>
      <c r="AKZ7" s="118">
        <f t="shared" si="81"/>
        <v>1401058.8977777779</v>
      </c>
      <c r="ALA7" s="118">
        <f t="shared" si="81"/>
        <v>1401058.8977777779</v>
      </c>
      <c r="ALB7" s="118">
        <f t="shared" si="81"/>
        <v>1401058.8977777779</v>
      </c>
      <c r="ALC7" s="118">
        <f t="shared" si="81"/>
        <v>1401058.8977777779</v>
      </c>
      <c r="ALD7" s="118">
        <f t="shared" si="81"/>
        <v>1401058.8977777779</v>
      </c>
      <c r="ALE7" s="118">
        <f t="shared" si="81"/>
        <v>1401058.8977777779</v>
      </c>
      <c r="ALF7" s="118">
        <f t="shared" si="81"/>
        <v>1401058.8977777779</v>
      </c>
      <c r="ALG7" s="118">
        <f t="shared" si="81"/>
        <v>1401058.8977777779</v>
      </c>
      <c r="ALH7" s="118">
        <f t="shared" si="81"/>
        <v>1401058.8977777779</v>
      </c>
      <c r="ALI7" s="118">
        <f t="shared" si="81"/>
        <v>1401058.8977777779</v>
      </c>
      <c r="ALJ7" s="118">
        <f t="shared" si="81"/>
        <v>1401058.8977777779</v>
      </c>
      <c r="ALK7" s="118">
        <f t="shared" si="81"/>
        <v>1401058.8977777779</v>
      </c>
      <c r="ALL7" s="118">
        <f t="shared" si="81"/>
        <v>1401058.8977777779</v>
      </c>
      <c r="ALM7" s="118">
        <f t="shared" si="81"/>
        <v>1401058.8977777779</v>
      </c>
      <c r="ALN7" s="118">
        <f t="shared" si="81"/>
        <v>1401058.8977777779</v>
      </c>
      <c r="ALO7" s="118">
        <f t="shared" si="81"/>
        <v>1401058.8977777779</v>
      </c>
      <c r="ALP7" s="118">
        <f t="shared" si="81"/>
        <v>1401058.8977777779</v>
      </c>
      <c r="ALQ7" s="118">
        <f t="shared" si="81"/>
        <v>1401058.8977777779</v>
      </c>
      <c r="ALR7" s="118">
        <f t="shared" si="81"/>
        <v>1401058.8977777779</v>
      </c>
      <c r="ALS7" s="118">
        <f t="shared" si="81"/>
        <v>1401058.8977777779</v>
      </c>
      <c r="ALT7" s="118">
        <f t="shared" si="81"/>
        <v>1401058.8977777779</v>
      </c>
      <c r="ALU7" s="118">
        <f t="shared" si="81"/>
        <v>1401058.8977777779</v>
      </c>
      <c r="ALV7" s="118">
        <f t="shared" si="81"/>
        <v>1401058.8977777779</v>
      </c>
      <c r="ALW7" s="118">
        <f t="shared" si="81"/>
        <v>1401058.8977777779</v>
      </c>
      <c r="ALX7" s="118">
        <f t="shared" si="81"/>
        <v>1401058.8977777779</v>
      </c>
      <c r="ALY7" s="118">
        <f t="shared" si="81"/>
        <v>1401058.8977777779</v>
      </c>
      <c r="ALZ7" s="118">
        <f t="shared" si="81"/>
        <v>1401058.8977777779</v>
      </c>
      <c r="AMA7" s="118">
        <f t="shared" si="81"/>
        <v>1401058.8977777779</v>
      </c>
      <c r="AMB7" s="118">
        <f t="shared" si="81"/>
        <v>1401058.8977777779</v>
      </c>
      <c r="AMC7" s="118">
        <f t="shared" si="81"/>
        <v>1401058.8977777779</v>
      </c>
      <c r="AMD7" s="118">
        <f t="shared" si="81"/>
        <v>1401058.8977777779</v>
      </c>
      <c r="AME7" s="118">
        <f t="shared" si="81"/>
        <v>1401058.8977777779</v>
      </c>
      <c r="AMF7" s="118">
        <f t="shared" si="81"/>
        <v>1401058.8977777779</v>
      </c>
      <c r="AMG7" s="118">
        <f t="shared" si="81"/>
        <v>1401058.8977777779</v>
      </c>
      <c r="AMH7" s="118">
        <f t="shared" si="81"/>
        <v>1401058.8977777779</v>
      </c>
      <c r="AMI7" s="118">
        <f t="shared" si="81"/>
        <v>1401058.8977777779</v>
      </c>
      <c r="AMJ7" s="118">
        <f t="shared" si="81"/>
        <v>1401058.8977777779</v>
      </c>
      <c r="AMK7" s="118">
        <f t="shared" si="81"/>
        <v>1401058.8977777779</v>
      </c>
      <c r="AML7" s="118">
        <f t="shared" si="81"/>
        <v>1401058.8977777779</v>
      </c>
      <c r="AMM7" s="118">
        <f t="shared" si="81"/>
        <v>1401058.8977777779</v>
      </c>
      <c r="AMN7" s="118">
        <f t="shared" si="81"/>
        <v>1401058.8977777779</v>
      </c>
      <c r="AMO7" s="118">
        <f t="shared" si="81"/>
        <v>1401058.8977777779</v>
      </c>
      <c r="AMP7" s="118">
        <f t="shared" si="81"/>
        <v>1401058.8977777779</v>
      </c>
      <c r="AMQ7" s="118">
        <f t="shared" si="81"/>
        <v>1401058.8977777779</v>
      </c>
      <c r="AMR7" s="118">
        <f t="shared" si="81"/>
        <v>1401058.8977777779</v>
      </c>
      <c r="AMS7" s="118">
        <f t="shared" ref="AMS7:APD7" si="82">AMS4-AMS6</f>
        <v>1401058.8977777779</v>
      </c>
      <c r="AMT7" s="118">
        <f t="shared" si="82"/>
        <v>1401058.8977777779</v>
      </c>
      <c r="AMU7" s="118">
        <f t="shared" si="82"/>
        <v>1401058.8977777779</v>
      </c>
      <c r="AMV7" s="118">
        <f t="shared" si="82"/>
        <v>1401058.8977777779</v>
      </c>
      <c r="AMW7" s="118">
        <f t="shared" si="82"/>
        <v>1401058.8977777779</v>
      </c>
      <c r="AMX7" s="118">
        <f t="shared" si="82"/>
        <v>1401058.8977777779</v>
      </c>
      <c r="AMY7" s="118">
        <f t="shared" si="82"/>
        <v>1401058.8977777779</v>
      </c>
      <c r="AMZ7" s="118">
        <f t="shared" si="82"/>
        <v>1401058.8977777779</v>
      </c>
      <c r="ANA7" s="118">
        <f t="shared" si="82"/>
        <v>1401058.8977777779</v>
      </c>
      <c r="ANB7" s="118">
        <f t="shared" si="82"/>
        <v>1401058.8977777779</v>
      </c>
      <c r="ANC7" s="118">
        <f t="shared" si="82"/>
        <v>1401058.8977777779</v>
      </c>
      <c r="AND7" s="118">
        <f t="shared" si="82"/>
        <v>1401058.8977777779</v>
      </c>
      <c r="ANE7" s="118">
        <f t="shared" si="82"/>
        <v>1401058.8977777779</v>
      </c>
      <c r="ANF7" s="118">
        <f t="shared" si="82"/>
        <v>1401058.8977777779</v>
      </c>
      <c r="ANG7" s="118">
        <f t="shared" si="82"/>
        <v>1401058.8977777779</v>
      </c>
      <c r="ANH7" s="118">
        <f t="shared" si="82"/>
        <v>1401058.8977777779</v>
      </c>
      <c r="ANI7" s="118">
        <f t="shared" si="82"/>
        <v>1401058.8977777779</v>
      </c>
      <c r="ANJ7" s="118">
        <f t="shared" si="82"/>
        <v>1401058.8977777779</v>
      </c>
      <c r="ANK7" s="118">
        <f t="shared" si="82"/>
        <v>1401058.8977777779</v>
      </c>
      <c r="ANL7" s="118">
        <f t="shared" si="82"/>
        <v>1401058.8977777779</v>
      </c>
      <c r="ANM7" s="118">
        <f t="shared" si="82"/>
        <v>1401058.8977777779</v>
      </c>
      <c r="ANN7" s="118">
        <f t="shared" si="82"/>
        <v>1401058.8977777779</v>
      </c>
      <c r="ANO7" s="118">
        <f t="shared" si="82"/>
        <v>1401058.8977777779</v>
      </c>
      <c r="ANP7" s="118">
        <f t="shared" si="82"/>
        <v>1401058.8977777779</v>
      </c>
      <c r="ANQ7" s="118">
        <f t="shared" si="82"/>
        <v>1401058.8977777779</v>
      </c>
      <c r="ANR7" s="118">
        <f t="shared" si="82"/>
        <v>1401058.8977777779</v>
      </c>
      <c r="ANS7" s="118">
        <f t="shared" si="82"/>
        <v>1401058.8977777779</v>
      </c>
      <c r="ANT7" s="118">
        <f t="shared" si="82"/>
        <v>1401058.8977777779</v>
      </c>
      <c r="ANU7" s="118">
        <f t="shared" si="82"/>
        <v>1401058.8977777779</v>
      </c>
      <c r="ANV7" s="118">
        <f t="shared" si="82"/>
        <v>1401058.8977777779</v>
      </c>
      <c r="ANW7" s="118">
        <f t="shared" si="82"/>
        <v>1401058.8977777779</v>
      </c>
      <c r="ANX7" s="118">
        <f t="shared" si="82"/>
        <v>1401058.8977777779</v>
      </c>
      <c r="ANY7" s="118">
        <f t="shared" si="82"/>
        <v>1401058.8977777779</v>
      </c>
      <c r="ANZ7" s="118">
        <f t="shared" si="82"/>
        <v>1401058.8977777779</v>
      </c>
      <c r="AOA7" s="118">
        <f t="shared" si="82"/>
        <v>1401058.8977777779</v>
      </c>
      <c r="AOB7" s="118">
        <f t="shared" si="82"/>
        <v>1401058.8977777779</v>
      </c>
      <c r="AOC7" s="118">
        <f t="shared" si="82"/>
        <v>1401058.8977777779</v>
      </c>
      <c r="AOD7" s="118">
        <f t="shared" si="82"/>
        <v>1401058.8977777779</v>
      </c>
      <c r="AOE7" s="118">
        <f t="shared" si="82"/>
        <v>1401058.8977777779</v>
      </c>
      <c r="AOF7" s="118">
        <f t="shared" si="82"/>
        <v>1401058.8977777779</v>
      </c>
      <c r="AOG7" s="118">
        <f t="shared" si="82"/>
        <v>1401058.8977777779</v>
      </c>
      <c r="AOH7" s="118">
        <f t="shared" si="82"/>
        <v>1401058.8977777779</v>
      </c>
      <c r="AOI7" s="118">
        <f t="shared" si="82"/>
        <v>1401058.8977777779</v>
      </c>
      <c r="AOJ7" s="118">
        <f t="shared" si="82"/>
        <v>1401058.8977777779</v>
      </c>
      <c r="AOK7" s="118">
        <f t="shared" si="82"/>
        <v>1401058.8977777779</v>
      </c>
      <c r="AOL7" s="118">
        <f t="shared" si="82"/>
        <v>1401058.8977777779</v>
      </c>
      <c r="AOM7" s="118">
        <f t="shared" si="82"/>
        <v>1401058.8977777779</v>
      </c>
      <c r="AON7" s="118">
        <f t="shared" si="82"/>
        <v>1401058.8977777779</v>
      </c>
      <c r="AOO7" s="118">
        <f t="shared" si="82"/>
        <v>1401058.8977777779</v>
      </c>
      <c r="AOP7" s="118">
        <f t="shared" si="82"/>
        <v>1401058.8977777779</v>
      </c>
      <c r="AOQ7" s="118">
        <f t="shared" si="82"/>
        <v>1401058.8977777779</v>
      </c>
      <c r="AOR7" s="118">
        <f t="shared" si="82"/>
        <v>1401058.8977777779</v>
      </c>
      <c r="AOS7" s="118">
        <f t="shared" si="82"/>
        <v>1401058.8977777779</v>
      </c>
      <c r="AOT7" s="118">
        <f t="shared" si="82"/>
        <v>1401058.8977777779</v>
      </c>
      <c r="AOU7" s="118">
        <f t="shared" si="82"/>
        <v>1401058.8977777779</v>
      </c>
      <c r="AOV7" s="118">
        <f t="shared" si="82"/>
        <v>1401058.8977777779</v>
      </c>
      <c r="AOW7" s="118">
        <f t="shared" si="82"/>
        <v>1401058.8977777779</v>
      </c>
      <c r="AOX7" s="118">
        <f t="shared" si="82"/>
        <v>1401058.8977777779</v>
      </c>
      <c r="AOY7" s="118">
        <f t="shared" si="82"/>
        <v>1401058.8977777779</v>
      </c>
      <c r="AOZ7" s="118">
        <f t="shared" si="82"/>
        <v>1401058.8977777779</v>
      </c>
      <c r="APA7" s="118">
        <f t="shared" si="82"/>
        <v>1401058.8977777779</v>
      </c>
      <c r="APB7" s="118">
        <f t="shared" si="82"/>
        <v>1401058.8977777779</v>
      </c>
      <c r="APC7" s="118">
        <f t="shared" si="82"/>
        <v>1401058.8977777779</v>
      </c>
      <c r="APD7" s="118">
        <f t="shared" si="82"/>
        <v>1401058.8977777779</v>
      </c>
      <c r="APE7" s="118">
        <f t="shared" ref="APE7:ARP7" si="83">APE4-APE6</f>
        <v>1401058.8977777779</v>
      </c>
      <c r="APF7" s="118">
        <f t="shared" si="83"/>
        <v>1401058.8977777779</v>
      </c>
      <c r="APG7" s="118">
        <f t="shared" si="83"/>
        <v>1401058.8977777779</v>
      </c>
      <c r="APH7" s="118">
        <f t="shared" si="83"/>
        <v>1401058.8977777779</v>
      </c>
      <c r="API7" s="118">
        <f t="shared" si="83"/>
        <v>1401058.8977777779</v>
      </c>
      <c r="APJ7" s="118">
        <f t="shared" si="83"/>
        <v>1401058.8977777779</v>
      </c>
      <c r="APK7" s="118">
        <f t="shared" si="83"/>
        <v>1401058.8977777779</v>
      </c>
      <c r="APL7" s="118">
        <f t="shared" si="83"/>
        <v>1401058.8977777779</v>
      </c>
      <c r="APM7" s="118">
        <f t="shared" si="83"/>
        <v>1401058.8977777779</v>
      </c>
      <c r="APN7" s="118">
        <f t="shared" si="83"/>
        <v>1401058.8977777779</v>
      </c>
      <c r="APO7" s="118">
        <f t="shared" si="83"/>
        <v>1401058.8977777779</v>
      </c>
      <c r="APP7" s="118">
        <f t="shared" si="83"/>
        <v>1401058.8977777779</v>
      </c>
      <c r="APQ7" s="118">
        <f t="shared" si="83"/>
        <v>1401058.8977777779</v>
      </c>
      <c r="APR7" s="118">
        <f t="shared" si="83"/>
        <v>1401058.8977777779</v>
      </c>
      <c r="APS7" s="118">
        <f t="shared" si="83"/>
        <v>1401058.8977777779</v>
      </c>
      <c r="APT7" s="118">
        <f t="shared" si="83"/>
        <v>1401058.8977777779</v>
      </c>
      <c r="APU7" s="118">
        <f t="shared" si="83"/>
        <v>1401058.8977777779</v>
      </c>
      <c r="APV7" s="118">
        <f t="shared" si="83"/>
        <v>1401058.8977777779</v>
      </c>
      <c r="APW7" s="118">
        <f t="shared" si="83"/>
        <v>1401058.8977777779</v>
      </c>
      <c r="APX7" s="118">
        <f t="shared" si="83"/>
        <v>1401058.8977777779</v>
      </c>
      <c r="APY7" s="118">
        <f t="shared" si="83"/>
        <v>1401058.8977777779</v>
      </c>
      <c r="APZ7" s="118">
        <f t="shared" si="83"/>
        <v>1401058.8977777779</v>
      </c>
      <c r="AQA7" s="118">
        <f t="shared" si="83"/>
        <v>1401058.8977777779</v>
      </c>
      <c r="AQB7" s="118">
        <f t="shared" si="83"/>
        <v>1401058.8977777779</v>
      </c>
      <c r="AQC7" s="118">
        <f t="shared" si="83"/>
        <v>1401058.8977777779</v>
      </c>
      <c r="AQD7" s="118">
        <f t="shared" si="83"/>
        <v>1401058.8977777779</v>
      </c>
      <c r="AQE7" s="118">
        <f t="shared" si="83"/>
        <v>1401058.8977777779</v>
      </c>
      <c r="AQF7" s="118">
        <f t="shared" si="83"/>
        <v>1401058.8977777779</v>
      </c>
      <c r="AQG7" s="118">
        <f t="shared" si="83"/>
        <v>1401058.8977777779</v>
      </c>
      <c r="AQH7" s="118">
        <f t="shared" si="83"/>
        <v>1401058.8977777779</v>
      </c>
      <c r="AQI7" s="118">
        <f t="shared" si="83"/>
        <v>1401058.8977777779</v>
      </c>
      <c r="AQJ7" s="118">
        <f t="shared" si="83"/>
        <v>1401058.8977777779</v>
      </c>
      <c r="AQK7" s="118">
        <f t="shared" si="83"/>
        <v>1401058.8977777779</v>
      </c>
      <c r="AQL7" s="118">
        <f t="shared" si="83"/>
        <v>1401058.8977777779</v>
      </c>
      <c r="AQM7" s="118">
        <f t="shared" si="83"/>
        <v>1401058.8977777779</v>
      </c>
      <c r="AQN7" s="118">
        <f t="shared" si="83"/>
        <v>1401058.8977777779</v>
      </c>
      <c r="AQO7" s="118">
        <f t="shared" si="83"/>
        <v>1401058.8977777779</v>
      </c>
      <c r="AQP7" s="118">
        <f t="shared" si="83"/>
        <v>1401058.8977777779</v>
      </c>
      <c r="AQQ7" s="118">
        <f t="shared" si="83"/>
        <v>1401058.8977777779</v>
      </c>
      <c r="AQR7" s="118">
        <f t="shared" si="83"/>
        <v>1401058.8977777779</v>
      </c>
      <c r="AQS7" s="118">
        <f t="shared" si="83"/>
        <v>1401058.8977777779</v>
      </c>
      <c r="AQT7" s="118">
        <f t="shared" si="83"/>
        <v>1401058.8977777779</v>
      </c>
      <c r="AQU7" s="118">
        <f t="shared" si="83"/>
        <v>1401058.8977777779</v>
      </c>
      <c r="AQV7" s="118">
        <f t="shared" si="83"/>
        <v>1401058.8977777779</v>
      </c>
      <c r="AQW7" s="118">
        <f t="shared" si="83"/>
        <v>1401058.8977777779</v>
      </c>
      <c r="AQX7" s="118">
        <f t="shared" si="83"/>
        <v>1401058.8977777779</v>
      </c>
      <c r="AQY7" s="118">
        <f t="shared" si="83"/>
        <v>1401058.8977777779</v>
      </c>
      <c r="AQZ7" s="118">
        <f t="shared" si="83"/>
        <v>1401058.8977777779</v>
      </c>
      <c r="ARA7" s="118">
        <f t="shared" si="83"/>
        <v>1401058.8977777779</v>
      </c>
      <c r="ARB7" s="118">
        <f t="shared" si="83"/>
        <v>1401058.8977777779</v>
      </c>
      <c r="ARC7" s="118">
        <f t="shared" si="83"/>
        <v>1401058.8977777779</v>
      </c>
      <c r="ARD7" s="118">
        <f t="shared" si="83"/>
        <v>1401058.8977777779</v>
      </c>
      <c r="ARE7" s="118">
        <f t="shared" si="83"/>
        <v>1401058.8977777779</v>
      </c>
      <c r="ARF7" s="118">
        <f t="shared" si="83"/>
        <v>1401058.8977777779</v>
      </c>
      <c r="ARG7" s="118">
        <f t="shared" si="83"/>
        <v>1401058.8977777779</v>
      </c>
      <c r="ARH7" s="118">
        <f t="shared" si="83"/>
        <v>1401058.8977777779</v>
      </c>
      <c r="ARI7" s="118">
        <f t="shared" si="83"/>
        <v>1401058.8977777779</v>
      </c>
      <c r="ARJ7" s="118">
        <f t="shared" si="83"/>
        <v>1401058.8977777779</v>
      </c>
      <c r="ARK7" s="118">
        <f t="shared" si="83"/>
        <v>1401058.8977777779</v>
      </c>
      <c r="ARL7" s="118">
        <f t="shared" si="83"/>
        <v>1401058.8977777779</v>
      </c>
      <c r="ARM7" s="118">
        <f t="shared" si="83"/>
        <v>1401058.8977777779</v>
      </c>
      <c r="ARN7" s="118">
        <f t="shared" si="83"/>
        <v>1401058.8977777779</v>
      </c>
      <c r="ARO7" s="118">
        <f t="shared" si="83"/>
        <v>1401058.8977777779</v>
      </c>
      <c r="ARP7" s="118">
        <f t="shared" si="83"/>
        <v>1401058.8977777779</v>
      </c>
      <c r="ARQ7" s="118">
        <f t="shared" ref="ARQ7:AUB7" si="84">ARQ4-ARQ6</f>
        <v>1401058.8977777779</v>
      </c>
      <c r="ARR7" s="118">
        <f t="shared" si="84"/>
        <v>1401058.8977777779</v>
      </c>
      <c r="ARS7" s="118">
        <f t="shared" si="84"/>
        <v>1401058.8977777779</v>
      </c>
      <c r="ART7" s="118">
        <f t="shared" si="84"/>
        <v>1401058.8977777779</v>
      </c>
      <c r="ARU7" s="118">
        <f t="shared" si="84"/>
        <v>1401058.8977777779</v>
      </c>
      <c r="ARV7" s="118">
        <f t="shared" si="84"/>
        <v>1401058.8977777779</v>
      </c>
      <c r="ARW7" s="118">
        <f t="shared" si="84"/>
        <v>1401058.8977777779</v>
      </c>
      <c r="ARX7" s="118">
        <f t="shared" si="84"/>
        <v>1401058.8977777779</v>
      </c>
      <c r="ARY7" s="118">
        <f t="shared" si="84"/>
        <v>1401058.8977777779</v>
      </c>
      <c r="ARZ7" s="118">
        <f t="shared" si="84"/>
        <v>1401058.8977777779</v>
      </c>
      <c r="ASA7" s="118">
        <f t="shared" si="84"/>
        <v>1401058.8977777779</v>
      </c>
      <c r="ASB7" s="118">
        <f t="shared" si="84"/>
        <v>1401058.8977777779</v>
      </c>
      <c r="ASC7" s="118">
        <f t="shared" si="84"/>
        <v>1401058.8977777779</v>
      </c>
      <c r="ASD7" s="118">
        <f t="shared" si="84"/>
        <v>1401058.8977777779</v>
      </c>
      <c r="ASE7" s="118">
        <f t="shared" si="84"/>
        <v>1401058.8977777779</v>
      </c>
      <c r="ASF7" s="118">
        <f t="shared" si="84"/>
        <v>1401058.8977777779</v>
      </c>
      <c r="ASG7" s="118">
        <f t="shared" si="84"/>
        <v>1401058.8977777779</v>
      </c>
      <c r="ASH7" s="118">
        <f t="shared" si="84"/>
        <v>1401058.8977777779</v>
      </c>
      <c r="ASI7" s="118">
        <f t="shared" si="84"/>
        <v>1401058.8977777779</v>
      </c>
      <c r="ASJ7" s="118">
        <f t="shared" si="84"/>
        <v>1401058.8977777779</v>
      </c>
      <c r="ASK7" s="118">
        <f t="shared" si="84"/>
        <v>1401058.8977777779</v>
      </c>
      <c r="ASL7" s="118">
        <f t="shared" si="84"/>
        <v>1401058.8977777779</v>
      </c>
      <c r="ASM7" s="118">
        <f t="shared" si="84"/>
        <v>1401058.8977777779</v>
      </c>
      <c r="ASN7" s="118">
        <f t="shared" si="84"/>
        <v>1401058.8977777779</v>
      </c>
      <c r="ASO7" s="118">
        <f t="shared" si="84"/>
        <v>1401058.8977777779</v>
      </c>
      <c r="ASP7" s="118">
        <f t="shared" si="84"/>
        <v>1401058.8977777779</v>
      </c>
      <c r="ASQ7" s="118">
        <f t="shared" si="84"/>
        <v>1401058.8977777779</v>
      </c>
      <c r="ASR7" s="118">
        <f t="shared" si="84"/>
        <v>1401058.8977777779</v>
      </c>
      <c r="ASS7" s="118">
        <f t="shared" si="84"/>
        <v>1401058.8977777779</v>
      </c>
      <c r="AST7" s="118">
        <f t="shared" si="84"/>
        <v>1401058.8977777779</v>
      </c>
      <c r="ASU7" s="118">
        <f t="shared" si="84"/>
        <v>1401058.8977777779</v>
      </c>
      <c r="ASV7" s="118">
        <f t="shared" si="84"/>
        <v>1401058.8977777779</v>
      </c>
      <c r="ASW7" s="118">
        <f t="shared" si="84"/>
        <v>1401058.8977777779</v>
      </c>
      <c r="ASX7" s="118">
        <f t="shared" si="84"/>
        <v>1401058.8977777779</v>
      </c>
      <c r="ASY7" s="118">
        <f t="shared" si="84"/>
        <v>1401058.8977777779</v>
      </c>
      <c r="ASZ7" s="118">
        <f t="shared" si="84"/>
        <v>1401058.8977777779</v>
      </c>
      <c r="ATA7" s="118">
        <f t="shared" si="84"/>
        <v>1401058.8977777779</v>
      </c>
      <c r="ATB7" s="118">
        <f t="shared" si="84"/>
        <v>1401058.8977777779</v>
      </c>
      <c r="ATC7" s="118">
        <f t="shared" si="84"/>
        <v>1401058.8977777779</v>
      </c>
      <c r="ATD7" s="118">
        <f t="shared" si="84"/>
        <v>1401058.8977777779</v>
      </c>
      <c r="ATE7" s="118">
        <f t="shared" si="84"/>
        <v>1401058.8977777779</v>
      </c>
      <c r="ATF7" s="118">
        <f t="shared" si="84"/>
        <v>1401058.8977777779</v>
      </c>
      <c r="ATG7" s="118">
        <f t="shared" si="84"/>
        <v>1401058.8977777779</v>
      </c>
      <c r="ATH7" s="118">
        <f t="shared" si="84"/>
        <v>1401058.8977777779</v>
      </c>
      <c r="ATI7" s="118">
        <f t="shared" si="84"/>
        <v>1401058.8977777779</v>
      </c>
      <c r="ATJ7" s="118">
        <f t="shared" si="84"/>
        <v>1401058.8977777779</v>
      </c>
      <c r="ATK7" s="118">
        <f t="shared" si="84"/>
        <v>1401058.8977777779</v>
      </c>
      <c r="ATL7" s="118">
        <f t="shared" si="84"/>
        <v>1401058.8977777779</v>
      </c>
      <c r="ATM7" s="118">
        <f t="shared" si="84"/>
        <v>1401058.8977777779</v>
      </c>
      <c r="ATN7" s="118">
        <f t="shared" si="84"/>
        <v>1401058.8977777779</v>
      </c>
      <c r="ATO7" s="118">
        <f t="shared" si="84"/>
        <v>1401058.8977777779</v>
      </c>
      <c r="ATP7" s="118">
        <f t="shared" si="84"/>
        <v>1401058.8977777779</v>
      </c>
      <c r="ATQ7" s="118">
        <f t="shared" si="84"/>
        <v>1401058.8977777779</v>
      </c>
      <c r="ATR7" s="118">
        <f t="shared" si="84"/>
        <v>1401058.8977777779</v>
      </c>
      <c r="ATS7" s="118">
        <f t="shared" si="84"/>
        <v>1401058.8977777779</v>
      </c>
      <c r="ATT7" s="118">
        <f t="shared" si="84"/>
        <v>1401058.8977777779</v>
      </c>
      <c r="ATU7" s="118">
        <f t="shared" si="84"/>
        <v>1401058.8977777779</v>
      </c>
      <c r="ATV7" s="118">
        <f t="shared" si="84"/>
        <v>1401058.8977777779</v>
      </c>
      <c r="ATW7" s="118">
        <f t="shared" si="84"/>
        <v>1401058.8977777779</v>
      </c>
      <c r="ATX7" s="118">
        <f t="shared" si="84"/>
        <v>1401058.8977777779</v>
      </c>
      <c r="ATY7" s="118">
        <f t="shared" si="84"/>
        <v>1401058.8977777779</v>
      </c>
      <c r="ATZ7" s="118">
        <f t="shared" si="84"/>
        <v>1401058.8977777779</v>
      </c>
      <c r="AUA7" s="118">
        <f t="shared" si="84"/>
        <v>1401058.8977777779</v>
      </c>
      <c r="AUB7" s="118">
        <f t="shared" si="84"/>
        <v>1401058.8977777779</v>
      </c>
      <c r="AUC7" s="118">
        <f t="shared" ref="AUC7:AWN7" si="85">AUC4-AUC6</f>
        <v>1401058.8977777779</v>
      </c>
      <c r="AUD7" s="118">
        <f t="shared" si="85"/>
        <v>1401058.8977777779</v>
      </c>
      <c r="AUE7" s="118">
        <f t="shared" si="85"/>
        <v>1401058.8977777779</v>
      </c>
      <c r="AUF7" s="118">
        <f t="shared" si="85"/>
        <v>1401058.8977777779</v>
      </c>
      <c r="AUG7" s="118">
        <f t="shared" si="85"/>
        <v>1401058.8977777779</v>
      </c>
      <c r="AUH7" s="118">
        <f t="shared" si="85"/>
        <v>1401058.8977777779</v>
      </c>
      <c r="AUI7" s="118">
        <f t="shared" si="85"/>
        <v>1401058.8977777779</v>
      </c>
      <c r="AUJ7" s="118">
        <f t="shared" si="85"/>
        <v>1401058.8977777779</v>
      </c>
      <c r="AUK7" s="118">
        <f t="shared" si="85"/>
        <v>1401058.8977777779</v>
      </c>
      <c r="AUL7" s="118">
        <f t="shared" si="85"/>
        <v>1401058.8977777779</v>
      </c>
      <c r="AUM7" s="118">
        <f t="shared" si="85"/>
        <v>1401058.8977777779</v>
      </c>
      <c r="AUN7" s="118">
        <f t="shared" si="85"/>
        <v>1401058.8977777779</v>
      </c>
      <c r="AUO7" s="118">
        <f t="shared" si="85"/>
        <v>1401058.8977777779</v>
      </c>
      <c r="AUP7" s="118">
        <f t="shared" si="85"/>
        <v>1401058.8977777779</v>
      </c>
      <c r="AUQ7" s="118">
        <f t="shared" si="85"/>
        <v>1401058.8977777779</v>
      </c>
      <c r="AUR7" s="118">
        <f t="shared" si="85"/>
        <v>1401058.8977777779</v>
      </c>
      <c r="AUS7" s="118">
        <f t="shared" si="85"/>
        <v>1401058.8977777779</v>
      </c>
      <c r="AUT7" s="118">
        <f t="shared" si="85"/>
        <v>1401058.8977777779</v>
      </c>
      <c r="AUU7" s="118">
        <f t="shared" si="85"/>
        <v>1401058.8977777779</v>
      </c>
      <c r="AUV7" s="118">
        <f t="shared" si="85"/>
        <v>1401058.8977777779</v>
      </c>
      <c r="AUW7" s="118">
        <f t="shared" si="85"/>
        <v>1401058.8977777779</v>
      </c>
      <c r="AUX7" s="118">
        <f t="shared" si="85"/>
        <v>1401058.8977777779</v>
      </c>
      <c r="AUY7" s="118">
        <f t="shared" si="85"/>
        <v>1401058.8977777779</v>
      </c>
      <c r="AUZ7" s="118">
        <f t="shared" si="85"/>
        <v>1401058.8977777779</v>
      </c>
      <c r="AVA7" s="118">
        <f t="shared" si="85"/>
        <v>1401058.8977777779</v>
      </c>
      <c r="AVB7" s="118">
        <f t="shared" si="85"/>
        <v>1401058.8977777779</v>
      </c>
      <c r="AVC7" s="118">
        <f t="shared" si="85"/>
        <v>1401058.8977777779</v>
      </c>
      <c r="AVD7" s="118">
        <f t="shared" si="85"/>
        <v>1401058.8977777779</v>
      </c>
      <c r="AVE7" s="118">
        <f t="shared" si="85"/>
        <v>1401058.8977777779</v>
      </c>
      <c r="AVF7" s="118">
        <f t="shared" si="85"/>
        <v>1401058.8977777779</v>
      </c>
      <c r="AVG7" s="118">
        <f t="shared" si="85"/>
        <v>1401058.8977777779</v>
      </c>
      <c r="AVH7" s="118">
        <f t="shared" si="85"/>
        <v>1401058.8977777779</v>
      </c>
      <c r="AVI7" s="118">
        <f t="shared" si="85"/>
        <v>1401058.8977777779</v>
      </c>
      <c r="AVJ7" s="118">
        <f t="shared" si="85"/>
        <v>1401058.8977777779</v>
      </c>
      <c r="AVK7" s="118">
        <f t="shared" si="85"/>
        <v>1401058.8977777779</v>
      </c>
      <c r="AVL7" s="118">
        <f t="shared" si="85"/>
        <v>1401058.8977777779</v>
      </c>
      <c r="AVM7" s="118">
        <f t="shared" si="85"/>
        <v>1401058.8977777779</v>
      </c>
      <c r="AVN7" s="118">
        <f t="shared" si="85"/>
        <v>1401058.8977777779</v>
      </c>
      <c r="AVO7" s="118">
        <f t="shared" si="85"/>
        <v>1401058.8977777779</v>
      </c>
      <c r="AVP7" s="118">
        <f t="shared" si="85"/>
        <v>1401058.8977777779</v>
      </c>
      <c r="AVQ7" s="118">
        <f t="shared" si="85"/>
        <v>1401058.8977777779</v>
      </c>
      <c r="AVR7" s="118">
        <f t="shared" si="85"/>
        <v>1401058.8977777779</v>
      </c>
      <c r="AVS7" s="118">
        <f t="shared" si="85"/>
        <v>1401058.8977777779</v>
      </c>
      <c r="AVT7" s="118">
        <f t="shared" si="85"/>
        <v>1401058.8977777779</v>
      </c>
      <c r="AVU7" s="118">
        <f t="shared" si="85"/>
        <v>1401058.8977777779</v>
      </c>
      <c r="AVV7" s="118">
        <f t="shared" si="85"/>
        <v>1401058.8977777779</v>
      </c>
      <c r="AVW7" s="118">
        <f t="shared" si="85"/>
        <v>1401058.8977777779</v>
      </c>
      <c r="AVX7" s="118">
        <f t="shared" si="85"/>
        <v>1401058.8977777779</v>
      </c>
      <c r="AVY7" s="118">
        <f t="shared" si="85"/>
        <v>1401058.8977777779</v>
      </c>
      <c r="AVZ7" s="118">
        <f t="shared" si="85"/>
        <v>1401058.8977777779</v>
      </c>
      <c r="AWA7" s="118">
        <f t="shared" si="85"/>
        <v>1401058.8977777779</v>
      </c>
      <c r="AWB7" s="118">
        <f t="shared" si="85"/>
        <v>1401058.8977777779</v>
      </c>
      <c r="AWC7" s="118">
        <f t="shared" si="85"/>
        <v>1401058.8977777779</v>
      </c>
      <c r="AWD7" s="118">
        <f t="shared" si="85"/>
        <v>1401058.8977777779</v>
      </c>
      <c r="AWE7" s="118">
        <f t="shared" si="85"/>
        <v>1401058.8977777779</v>
      </c>
      <c r="AWF7" s="118">
        <f t="shared" si="85"/>
        <v>1401058.8977777779</v>
      </c>
      <c r="AWG7" s="118">
        <f t="shared" si="85"/>
        <v>1401058.8977777779</v>
      </c>
      <c r="AWH7" s="118">
        <f t="shared" si="85"/>
        <v>1401058.8977777779</v>
      </c>
      <c r="AWI7" s="118">
        <f t="shared" si="85"/>
        <v>1401058.8977777779</v>
      </c>
      <c r="AWJ7" s="118">
        <f t="shared" si="85"/>
        <v>1401058.8977777779</v>
      </c>
      <c r="AWK7" s="118">
        <f t="shared" si="85"/>
        <v>1401058.8977777779</v>
      </c>
      <c r="AWL7" s="118">
        <f t="shared" si="85"/>
        <v>1401058.8977777779</v>
      </c>
      <c r="AWM7" s="118">
        <f t="shared" si="85"/>
        <v>1401058.8977777779</v>
      </c>
      <c r="AWN7" s="118">
        <f t="shared" si="85"/>
        <v>1401058.8977777779</v>
      </c>
      <c r="AWO7" s="118">
        <f t="shared" ref="AWO7:AYZ7" si="86">AWO4-AWO6</f>
        <v>1401058.8977777779</v>
      </c>
      <c r="AWP7" s="118">
        <f t="shared" si="86"/>
        <v>1401058.8977777779</v>
      </c>
      <c r="AWQ7" s="118">
        <f t="shared" si="86"/>
        <v>1401058.8977777779</v>
      </c>
      <c r="AWR7" s="118">
        <f t="shared" si="86"/>
        <v>1401058.8977777779</v>
      </c>
      <c r="AWS7" s="118">
        <f t="shared" si="86"/>
        <v>1401058.8977777779</v>
      </c>
      <c r="AWT7" s="118">
        <f t="shared" si="86"/>
        <v>1401058.8977777779</v>
      </c>
      <c r="AWU7" s="118">
        <f t="shared" si="86"/>
        <v>1401058.8977777779</v>
      </c>
      <c r="AWV7" s="118">
        <f t="shared" si="86"/>
        <v>1401058.8977777779</v>
      </c>
      <c r="AWW7" s="118">
        <f t="shared" si="86"/>
        <v>1401058.8977777779</v>
      </c>
      <c r="AWX7" s="118">
        <f t="shared" si="86"/>
        <v>1401058.8977777779</v>
      </c>
      <c r="AWY7" s="118">
        <f t="shared" si="86"/>
        <v>1401058.8977777779</v>
      </c>
      <c r="AWZ7" s="118">
        <f t="shared" si="86"/>
        <v>1401058.8977777779</v>
      </c>
      <c r="AXA7" s="118">
        <f t="shared" si="86"/>
        <v>1401058.8977777779</v>
      </c>
      <c r="AXB7" s="118">
        <f t="shared" si="86"/>
        <v>1401058.8977777779</v>
      </c>
      <c r="AXC7" s="118">
        <f t="shared" si="86"/>
        <v>1401058.8977777779</v>
      </c>
      <c r="AXD7" s="118">
        <f t="shared" si="86"/>
        <v>1401058.8977777779</v>
      </c>
      <c r="AXE7" s="118">
        <f t="shared" si="86"/>
        <v>1401058.8977777779</v>
      </c>
      <c r="AXF7" s="118">
        <f t="shared" si="86"/>
        <v>1401058.8977777779</v>
      </c>
      <c r="AXG7" s="118">
        <f t="shared" si="86"/>
        <v>1401058.8977777779</v>
      </c>
      <c r="AXH7" s="118">
        <f t="shared" si="86"/>
        <v>1401058.8977777779</v>
      </c>
      <c r="AXI7" s="118">
        <f t="shared" si="86"/>
        <v>1401058.8977777779</v>
      </c>
      <c r="AXJ7" s="118">
        <f t="shared" si="86"/>
        <v>1401058.8977777779</v>
      </c>
      <c r="AXK7" s="118">
        <f t="shared" si="86"/>
        <v>1401058.8977777779</v>
      </c>
      <c r="AXL7" s="118">
        <f t="shared" si="86"/>
        <v>1401058.8977777779</v>
      </c>
      <c r="AXM7" s="118">
        <f t="shared" si="86"/>
        <v>1401058.8977777779</v>
      </c>
      <c r="AXN7" s="118">
        <f t="shared" si="86"/>
        <v>1401058.8977777779</v>
      </c>
      <c r="AXO7" s="118">
        <f t="shared" si="86"/>
        <v>1401058.8977777779</v>
      </c>
      <c r="AXP7" s="118">
        <f t="shared" si="86"/>
        <v>1401058.8977777779</v>
      </c>
      <c r="AXQ7" s="118">
        <f t="shared" si="86"/>
        <v>1401058.8977777779</v>
      </c>
      <c r="AXR7" s="118">
        <f t="shared" si="86"/>
        <v>1401058.8977777779</v>
      </c>
      <c r="AXS7" s="118">
        <f t="shared" si="86"/>
        <v>1401058.8977777779</v>
      </c>
      <c r="AXT7" s="118">
        <f t="shared" si="86"/>
        <v>1401058.8977777779</v>
      </c>
      <c r="AXU7" s="118">
        <f t="shared" si="86"/>
        <v>1401058.8977777779</v>
      </c>
      <c r="AXV7" s="118">
        <f t="shared" si="86"/>
        <v>1401058.8977777779</v>
      </c>
      <c r="AXW7" s="118">
        <f t="shared" si="86"/>
        <v>1401058.8977777779</v>
      </c>
      <c r="AXX7" s="118">
        <f t="shared" si="86"/>
        <v>1401058.8977777779</v>
      </c>
      <c r="AXY7" s="118">
        <f t="shared" si="86"/>
        <v>1401058.8977777779</v>
      </c>
      <c r="AXZ7" s="118">
        <f t="shared" si="86"/>
        <v>1401058.8977777779</v>
      </c>
      <c r="AYA7" s="118">
        <f t="shared" si="86"/>
        <v>1401058.8977777779</v>
      </c>
      <c r="AYB7" s="118">
        <f t="shared" si="86"/>
        <v>1401058.8977777779</v>
      </c>
      <c r="AYC7" s="118">
        <f t="shared" si="86"/>
        <v>1401058.8977777779</v>
      </c>
      <c r="AYD7" s="118">
        <f t="shared" si="86"/>
        <v>1401058.8977777779</v>
      </c>
      <c r="AYE7" s="118">
        <f t="shared" si="86"/>
        <v>1401058.8977777779</v>
      </c>
      <c r="AYF7" s="118">
        <f t="shared" si="86"/>
        <v>1401058.8977777779</v>
      </c>
      <c r="AYG7" s="118">
        <f t="shared" si="86"/>
        <v>1401058.8977777779</v>
      </c>
      <c r="AYH7" s="118">
        <f t="shared" si="86"/>
        <v>1401058.8977777779</v>
      </c>
      <c r="AYI7" s="118">
        <f t="shared" si="86"/>
        <v>1401058.8977777779</v>
      </c>
      <c r="AYJ7" s="118">
        <f t="shared" si="86"/>
        <v>1401058.8977777779</v>
      </c>
      <c r="AYK7" s="118">
        <f t="shared" si="86"/>
        <v>1401058.8977777779</v>
      </c>
      <c r="AYL7" s="118">
        <f t="shared" si="86"/>
        <v>1401058.8977777779</v>
      </c>
      <c r="AYM7" s="118">
        <f t="shared" si="86"/>
        <v>1401058.8977777779</v>
      </c>
      <c r="AYN7" s="118">
        <f t="shared" si="86"/>
        <v>1401058.8977777779</v>
      </c>
      <c r="AYO7" s="118">
        <f t="shared" si="86"/>
        <v>1401058.8977777779</v>
      </c>
      <c r="AYP7" s="118">
        <f t="shared" si="86"/>
        <v>1401058.8977777779</v>
      </c>
      <c r="AYQ7" s="118">
        <f t="shared" si="86"/>
        <v>1401058.8977777779</v>
      </c>
      <c r="AYR7" s="118">
        <f t="shared" si="86"/>
        <v>1401058.8977777779</v>
      </c>
      <c r="AYS7" s="118">
        <f t="shared" si="86"/>
        <v>1401058.8977777779</v>
      </c>
      <c r="AYT7" s="118">
        <f t="shared" si="86"/>
        <v>1401058.8977777779</v>
      </c>
      <c r="AYU7" s="118">
        <f t="shared" si="86"/>
        <v>1401058.8977777779</v>
      </c>
      <c r="AYV7" s="118">
        <f t="shared" si="86"/>
        <v>1401058.8977777779</v>
      </c>
      <c r="AYW7" s="118">
        <f t="shared" si="86"/>
        <v>1401058.8977777779</v>
      </c>
      <c r="AYX7" s="118">
        <f t="shared" si="86"/>
        <v>1401058.8977777779</v>
      </c>
      <c r="AYY7" s="118">
        <f t="shared" si="86"/>
        <v>1401058.8977777779</v>
      </c>
      <c r="AYZ7" s="118">
        <f t="shared" si="86"/>
        <v>1401058.8977777779</v>
      </c>
      <c r="AZA7" s="118">
        <f t="shared" ref="AZA7:AZG7" si="87">AZA4-AZA6</f>
        <v>1401058.8977777779</v>
      </c>
      <c r="AZB7" s="118">
        <f t="shared" si="87"/>
        <v>1401058.8977777779</v>
      </c>
      <c r="AZC7" s="118">
        <f t="shared" si="87"/>
        <v>1401058.8977777779</v>
      </c>
      <c r="AZD7" s="118">
        <f t="shared" si="87"/>
        <v>1401058.8977777779</v>
      </c>
      <c r="AZE7" s="118">
        <f t="shared" si="87"/>
        <v>1401058.8977777779</v>
      </c>
      <c r="AZF7" s="118">
        <f t="shared" si="87"/>
        <v>1401058.8977777779</v>
      </c>
      <c r="AZG7" s="118">
        <f t="shared" si="87"/>
        <v>1401058.8977777779</v>
      </c>
    </row>
    <row r="8" spans="1:1837" s="102" customFormat="1">
      <c r="A8" s="776" t="s">
        <v>244</v>
      </c>
      <c r="B8" s="103"/>
      <c r="C8" s="104" t="s">
        <v>320</v>
      </c>
      <c r="D8" s="104" t="s">
        <v>320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G8" s="119"/>
      <c r="KH8" s="119"/>
      <c r="KI8" s="119"/>
      <c r="KJ8" s="119"/>
      <c r="KK8" s="119"/>
      <c r="KL8" s="119"/>
      <c r="KM8" s="119"/>
      <c r="KN8" s="119"/>
      <c r="KO8" s="119"/>
      <c r="KP8" s="119"/>
      <c r="KQ8" s="119"/>
      <c r="KR8" s="119"/>
      <c r="KS8" s="119"/>
      <c r="KT8" s="119"/>
      <c r="KU8" s="119"/>
      <c r="KV8" s="119"/>
      <c r="KW8" s="119"/>
      <c r="KX8" s="119"/>
      <c r="KY8" s="119"/>
      <c r="KZ8" s="119"/>
      <c r="LA8" s="119"/>
      <c r="LB8" s="119"/>
      <c r="LC8" s="119"/>
      <c r="LD8" s="119"/>
      <c r="LE8" s="119"/>
      <c r="LF8" s="119"/>
      <c r="LG8" s="119"/>
      <c r="LH8" s="119"/>
      <c r="LI8" s="119"/>
      <c r="LJ8" s="119"/>
      <c r="LK8" s="119"/>
      <c r="LL8" s="119"/>
      <c r="LM8" s="119"/>
      <c r="LN8" s="119"/>
      <c r="LO8" s="119"/>
      <c r="LP8" s="119"/>
      <c r="LQ8" s="119"/>
      <c r="LR8" s="119"/>
      <c r="LS8" s="119"/>
      <c r="LT8" s="119"/>
      <c r="LU8" s="119"/>
      <c r="LV8" s="119"/>
      <c r="LW8" s="119"/>
      <c r="LX8" s="119"/>
      <c r="LY8" s="119"/>
      <c r="LZ8" s="119"/>
      <c r="MA8" s="119"/>
      <c r="MB8" s="119"/>
      <c r="MC8" s="119"/>
      <c r="MD8" s="119"/>
      <c r="ME8" s="119"/>
      <c r="MF8" s="119"/>
      <c r="MG8" s="119"/>
      <c r="MH8" s="119"/>
      <c r="MI8" s="119"/>
      <c r="MJ8" s="119"/>
      <c r="MK8" s="119"/>
      <c r="ML8" s="119"/>
      <c r="MM8" s="119"/>
      <c r="MN8" s="119"/>
      <c r="MO8" s="119"/>
      <c r="MP8" s="119"/>
      <c r="MQ8" s="119"/>
      <c r="MR8" s="119"/>
      <c r="MS8" s="119"/>
      <c r="MT8" s="119"/>
      <c r="MU8" s="119"/>
      <c r="MV8" s="119"/>
      <c r="MW8" s="119"/>
      <c r="MX8" s="119"/>
      <c r="MY8" s="119"/>
      <c r="MZ8" s="119"/>
      <c r="NA8" s="119"/>
      <c r="NB8" s="119"/>
      <c r="NC8" s="119"/>
      <c r="ND8" s="119"/>
      <c r="NE8" s="119"/>
      <c r="NF8" s="119"/>
      <c r="NG8" s="119"/>
      <c r="NH8" s="119"/>
      <c r="NI8" s="119"/>
      <c r="NJ8" s="119"/>
      <c r="NK8" s="119"/>
      <c r="NL8" s="119"/>
      <c r="NM8" s="119"/>
      <c r="NN8" s="119"/>
      <c r="NO8" s="119"/>
      <c r="NP8" s="119"/>
      <c r="NQ8" s="119"/>
      <c r="NR8" s="119"/>
      <c r="NS8" s="119"/>
      <c r="NT8" s="119"/>
      <c r="NU8" s="119"/>
      <c r="NV8" s="119"/>
      <c r="NW8" s="119"/>
      <c r="NX8" s="119"/>
      <c r="NY8" s="119"/>
      <c r="NZ8" s="119"/>
      <c r="OA8" s="119"/>
      <c r="OB8" s="119"/>
      <c r="OC8" s="119"/>
      <c r="OD8" s="119"/>
      <c r="OE8" s="119"/>
      <c r="OF8" s="119"/>
      <c r="OG8" s="119"/>
      <c r="OH8" s="119"/>
      <c r="OI8" s="119"/>
      <c r="OJ8" s="119"/>
      <c r="OK8" s="119"/>
      <c r="OL8" s="119"/>
      <c r="OM8" s="119"/>
      <c r="ON8" s="119"/>
      <c r="OO8" s="119"/>
      <c r="OP8" s="119"/>
      <c r="OQ8" s="119"/>
      <c r="OR8" s="119"/>
      <c r="OS8" s="119"/>
      <c r="OT8" s="119"/>
      <c r="OU8" s="119"/>
      <c r="OV8" s="119"/>
      <c r="OW8" s="119"/>
      <c r="OX8" s="119"/>
      <c r="OY8" s="119"/>
      <c r="OZ8" s="119"/>
      <c r="PA8" s="119"/>
      <c r="PB8" s="119"/>
      <c r="PC8" s="119"/>
      <c r="PD8" s="119"/>
      <c r="PE8" s="119"/>
      <c r="PF8" s="119"/>
      <c r="PG8" s="119"/>
      <c r="PH8" s="119"/>
      <c r="PI8" s="119"/>
      <c r="PJ8" s="119"/>
      <c r="PK8" s="119"/>
      <c r="PL8" s="119"/>
      <c r="PM8" s="119"/>
      <c r="PN8" s="119"/>
      <c r="PO8" s="119"/>
      <c r="PP8" s="119"/>
      <c r="PQ8" s="119"/>
      <c r="PR8" s="119"/>
      <c r="PS8" s="119"/>
      <c r="PT8" s="119"/>
      <c r="PU8" s="119"/>
      <c r="PV8" s="119"/>
      <c r="PW8" s="119"/>
      <c r="PX8" s="119"/>
      <c r="PY8" s="119"/>
      <c r="PZ8" s="119"/>
      <c r="QA8" s="119"/>
      <c r="QB8" s="119"/>
      <c r="QC8" s="119"/>
      <c r="QD8" s="119"/>
      <c r="QE8" s="119"/>
      <c r="QF8" s="119"/>
      <c r="QG8" s="119"/>
      <c r="QH8" s="119"/>
      <c r="QI8" s="119"/>
      <c r="QJ8" s="119"/>
      <c r="QK8" s="119"/>
      <c r="QL8" s="119"/>
      <c r="QM8" s="119"/>
      <c r="QN8" s="119"/>
      <c r="QO8" s="119"/>
      <c r="QP8" s="119"/>
      <c r="QQ8" s="119"/>
      <c r="QR8" s="119"/>
      <c r="QS8" s="119"/>
      <c r="QT8" s="119"/>
      <c r="QU8" s="119"/>
      <c r="QV8" s="119"/>
      <c r="QW8" s="119"/>
      <c r="QX8" s="119"/>
      <c r="QY8" s="119"/>
      <c r="QZ8" s="119"/>
      <c r="RA8" s="119"/>
      <c r="RB8" s="119"/>
      <c r="RC8" s="119"/>
      <c r="RD8" s="119"/>
      <c r="RE8" s="119"/>
      <c r="RF8" s="119"/>
      <c r="RG8" s="119"/>
      <c r="RH8" s="119"/>
      <c r="RI8" s="119"/>
      <c r="RJ8" s="119"/>
      <c r="RK8" s="119"/>
      <c r="RL8" s="119"/>
      <c r="RM8" s="119"/>
      <c r="RN8" s="119"/>
      <c r="RO8" s="119"/>
      <c r="RP8" s="119"/>
      <c r="RQ8" s="119"/>
      <c r="RR8" s="119"/>
      <c r="RS8" s="119"/>
      <c r="RT8" s="119"/>
      <c r="RU8" s="119"/>
      <c r="RV8" s="119"/>
      <c r="RW8" s="119"/>
      <c r="RX8" s="119"/>
      <c r="RY8" s="119"/>
      <c r="RZ8" s="119"/>
      <c r="SA8" s="119"/>
      <c r="SB8" s="119"/>
      <c r="SC8" s="119"/>
      <c r="SD8" s="119"/>
      <c r="SE8" s="119"/>
      <c r="SF8" s="119"/>
      <c r="SG8" s="119"/>
      <c r="SH8" s="119"/>
      <c r="SI8" s="119"/>
      <c r="SJ8" s="119"/>
      <c r="SK8" s="119"/>
      <c r="SL8" s="119"/>
      <c r="SM8" s="119"/>
      <c r="SN8" s="119"/>
      <c r="SO8" s="119"/>
      <c r="SP8" s="119"/>
      <c r="SQ8" s="119"/>
      <c r="SR8" s="119"/>
      <c r="SS8" s="119"/>
      <c r="ST8" s="119"/>
      <c r="SU8" s="119"/>
      <c r="SV8" s="119"/>
      <c r="SW8" s="119"/>
      <c r="SX8" s="119"/>
      <c r="SY8" s="119"/>
      <c r="SZ8" s="119"/>
      <c r="TA8" s="119"/>
      <c r="TB8" s="119"/>
      <c r="TC8" s="119"/>
      <c r="TD8" s="119"/>
      <c r="TE8" s="119"/>
      <c r="TF8" s="119"/>
      <c r="TG8" s="119"/>
      <c r="TH8" s="119"/>
      <c r="TI8" s="119"/>
      <c r="TJ8" s="119"/>
      <c r="TK8" s="119"/>
      <c r="TL8" s="119"/>
      <c r="TM8" s="119"/>
      <c r="TN8" s="119"/>
      <c r="TO8" s="119"/>
      <c r="TP8" s="119"/>
      <c r="TQ8" s="119"/>
      <c r="TR8" s="119"/>
      <c r="TS8" s="119"/>
      <c r="TT8" s="119"/>
      <c r="TU8" s="119"/>
      <c r="TV8" s="119"/>
      <c r="TW8" s="119"/>
      <c r="TX8" s="119"/>
      <c r="TY8" s="119"/>
      <c r="TZ8" s="119"/>
      <c r="UA8" s="119"/>
      <c r="UB8" s="119"/>
      <c r="UC8" s="119"/>
      <c r="UD8" s="119"/>
      <c r="UE8" s="119"/>
      <c r="UF8" s="119"/>
      <c r="UG8" s="119"/>
      <c r="UH8" s="119"/>
      <c r="UI8" s="119"/>
      <c r="UJ8" s="119"/>
      <c r="UK8" s="119"/>
      <c r="UL8" s="119"/>
      <c r="UM8" s="119"/>
      <c r="UN8" s="119"/>
      <c r="UO8" s="119"/>
      <c r="UP8" s="119"/>
      <c r="UQ8" s="119"/>
      <c r="UR8" s="119"/>
      <c r="US8" s="119"/>
      <c r="UT8" s="119"/>
      <c r="UU8" s="119"/>
      <c r="UV8" s="119"/>
      <c r="UW8" s="119"/>
      <c r="UX8" s="119"/>
      <c r="UY8" s="119"/>
      <c r="UZ8" s="119"/>
      <c r="VA8" s="119"/>
      <c r="VB8" s="119"/>
      <c r="VC8" s="119"/>
      <c r="VD8" s="119"/>
      <c r="VE8" s="119"/>
      <c r="VF8" s="119"/>
      <c r="VG8" s="119"/>
      <c r="VH8" s="119"/>
      <c r="VI8" s="119"/>
      <c r="VJ8" s="119"/>
      <c r="VK8" s="119"/>
      <c r="VL8" s="119"/>
      <c r="VM8" s="119"/>
      <c r="VN8" s="119"/>
      <c r="VO8" s="119"/>
      <c r="VP8" s="119"/>
      <c r="VQ8" s="119"/>
      <c r="VR8" s="119"/>
      <c r="VS8" s="119"/>
      <c r="VT8" s="119"/>
      <c r="VU8" s="119"/>
      <c r="VV8" s="119"/>
      <c r="VW8" s="119"/>
      <c r="VX8" s="119"/>
      <c r="VY8" s="119"/>
      <c r="VZ8" s="119"/>
      <c r="WA8" s="119"/>
      <c r="WB8" s="119"/>
      <c r="WC8" s="119"/>
      <c r="WD8" s="119"/>
      <c r="WE8" s="119"/>
      <c r="WF8" s="119"/>
      <c r="WG8" s="119"/>
      <c r="WH8" s="119"/>
      <c r="WI8" s="119"/>
      <c r="WJ8" s="119"/>
      <c r="WK8" s="119"/>
      <c r="WL8" s="119"/>
      <c r="WM8" s="119"/>
      <c r="WN8" s="119"/>
      <c r="WO8" s="119"/>
      <c r="WP8" s="119"/>
      <c r="WQ8" s="119"/>
      <c r="WR8" s="119"/>
      <c r="WS8" s="119"/>
      <c r="WT8" s="119"/>
      <c r="WU8" s="119"/>
      <c r="WV8" s="119"/>
      <c r="WW8" s="119"/>
      <c r="WX8" s="119"/>
      <c r="WY8" s="119"/>
      <c r="WZ8" s="119"/>
      <c r="XA8" s="119"/>
      <c r="XB8" s="119"/>
      <c r="XC8" s="119"/>
      <c r="XD8" s="119"/>
      <c r="XE8" s="119"/>
      <c r="XF8" s="119"/>
      <c r="XG8" s="119"/>
      <c r="XH8" s="119"/>
      <c r="XI8" s="119"/>
      <c r="XJ8" s="119"/>
      <c r="XK8" s="119"/>
      <c r="XL8" s="119"/>
      <c r="XM8" s="119"/>
      <c r="XN8" s="119"/>
      <c r="XO8" s="119"/>
      <c r="XP8" s="119"/>
      <c r="XQ8" s="119"/>
      <c r="XR8" s="119"/>
      <c r="XS8" s="119"/>
      <c r="XT8" s="119"/>
      <c r="XU8" s="119"/>
      <c r="XV8" s="119"/>
      <c r="XW8" s="119"/>
      <c r="XX8" s="119"/>
      <c r="XY8" s="119"/>
      <c r="XZ8" s="119"/>
      <c r="YA8" s="119"/>
      <c r="YB8" s="119"/>
      <c r="YC8" s="119"/>
      <c r="YD8" s="119"/>
      <c r="YE8" s="119"/>
      <c r="YF8" s="119"/>
      <c r="YG8" s="119"/>
      <c r="YH8" s="119"/>
      <c r="YI8" s="119"/>
      <c r="YJ8" s="119"/>
      <c r="YK8" s="119"/>
      <c r="YL8" s="119"/>
      <c r="YM8" s="119"/>
      <c r="YN8" s="119"/>
      <c r="YO8" s="119"/>
      <c r="YP8" s="119"/>
      <c r="YQ8" s="119"/>
      <c r="YR8" s="119"/>
      <c r="YS8" s="119"/>
      <c r="YT8" s="119"/>
      <c r="YU8" s="119"/>
      <c r="YV8" s="119"/>
      <c r="YW8" s="119"/>
      <c r="YX8" s="119"/>
      <c r="YY8" s="119"/>
      <c r="YZ8" s="119"/>
      <c r="ZA8" s="119"/>
      <c r="ZB8" s="119"/>
      <c r="ZC8" s="119"/>
      <c r="ZD8" s="119"/>
      <c r="ZE8" s="119"/>
      <c r="ZF8" s="119"/>
      <c r="ZG8" s="119"/>
      <c r="ZH8" s="119"/>
      <c r="ZI8" s="119"/>
      <c r="ZJ8" s="119"/>
      <c r="ZK8" s="119"/>
      <c r="ZL8" s="119"/>
      <c r="ZM8" s="119"/>
      <c r="ZN8" s="119"/>
      <c r="ZO8" s="119"/>
      <c r="ZP8" s="119"/>
      <c r="ZQ8" s="119"/>
      <c r="ZR8" s="119"/>
      <c r="ZS8" s="119"/>
      <c r="ZT8" s="119"/>
      <c r="ZU8" s="119"/>
      <c r="ZV8" s="119"/>
      <c r="ZW8" s="119"/>
      <c r="ZX8" s="119"/>
      <c r="ZY8" s="119"/>
      <c r="ZZ8" s="119"/>
      <c r="AAA8" s="119"/>
      <c r="AAB8" s="119"/>
      <c r="AAC8" s="119"/>
      <c r="AAD8" s="119"/>
      <c r="AAE8" s="119"/>
      <c r="AAF8" s="119"/>
      <c r="AAG8" s="119"/>
      <c r="AAH8" s="119"/>
      <c r="AAI8" s="119"/>
      <c r="AAJ8" s="119"/>
      <c r="AAK8" s="119"/>
      <c r="AAL8" s="119"/>
      <c r="AAM8" s="119"/>
      <c r="AAN8" s="119"/>
      <c r="AAO8" s="119"/>
      <c r="AAP8" s="119"/>
      <c r="AAQ8" s="119"/>
      <c r="AAR8" s="119"/>
      <c r="AAS8" s="119"/>
      <c r="AAT8" s="119"/>
      <c r="AAU8" s="119"/>
      <c r="AAV8" s="119"/>
      <c r="AAW8" s="119"/>
      <c r="AAX8" s="119"/>
      <c r="AAY8" s="119"/>
      <c r="AAZ8" s="119"/>
      <c r="ABA8" s="119"/>
      <c r="ABB8" s="119"/>
      <c r="ABC8" s="119"/>
      <c r="ABD8" s="119"/>
      <c r="ABE8" s="119"/>
      <c r="ABF8" s="119"/>
      <c r="ABG8" s="119"/>
      <c r="ABH8" s="119"/>
      <c r="ABI8" s="119"/>
      <c r="ABJ8" s="119"/>
      <c r="ABK8" s="119"/>
      <c r="ABL8" s="119"/>
      <c r="ABM8" s="119"/>
      <c r="ABN8" s="119"/>
      <c r="ABO8" s="119"/>
      <c r="ABP8" s="119"/>
      <c r="ABQ8" s="119"/>
      <c r="ABR8" s="119"/>
      <c r="ABS8" s="119"/>
      <c r="ABT8" s="119"/>
      <c r="ABU8" s="119"/>
      <c r="ABV8" s="119"/>
      <c r="ABW8" s="119"/>
      <c r="ABX8" s="119"/>
      <c r="ABY8" s="119"/>
      <c r="ABZ8" s="119"/>
      <c r="ACA8" s="119"/>
      <c r="ACB8" s="119"/>
      <c r="ACC8" s="119"/>
      <c r="ACD8" s="119"/>
      <c r="ACE8" s="119"/>
      <c r="ACF8" s="119"/>
      <c r="ACG8" s="119"/>
      <c r="ACH8" s="119"/>
      <c r="ACI8" s="119"/>
      <c r="ACJ8" s="119"/>
      <c r="ACK8" s="119"/>
      <c r="ACL8" s="119"/>
      <c r="ACM8" s="119"/>
      <c r="ACN8" s="119"/>
      <c r="ACO8" s="119"/>
      <c r="ACP8" s="119"/>
      <c r="ACQ8" s="119"/>
      <c r="ACR8" s="119"/>
      <c r="ACS8" s="119"/>
      <c r="ACT8" s="119"/>
      <c r="ACU8" s="119"/>
      <c r="ACV8" s="119"/>
      <c r="ACW8" s="119"/>
      <c r="ACX8" s="119"/>
      <c r="ACY8" s="119"/>
      <c r="ACZ8" s="119"/>
      <c r="ADA8" s="119"/>
      <c r="ADB8" s="119"/>
      <c r="ADC8" s="119"/>
      <c r="ADD8" s="119"/>
      <c r="ADE8" s="119"/>
      <c r="ADF8" s="119"/>
      <c r="ADG8" s="119"/>
      <c r="ADH8" s="119"/>
      <c r="ADI8" s="119"/>
      <c r="ADJ8" s="119"/>
      <c r="ADK8" s="119"/>
      <c r="ADL8" s="119"/>
      <c r="ADM8" s="119"/>
      <c r="ADN8" s="119"/>
      <c r="ADO8" s="119"/>
      <c r="ADP8" s="119"/>
      <c r="ADQ8" s="119"/>
      <c r="ADR8" s="119"/>
      <c r="ADS8" s="119"/>
      <c r="ADT8" s="119"/>
      <c r="ADU8" s="119"/>
      <c r="ADV8" s="119"/>
      <c r="ADW8" s="119"/>
      <c r="ADX8" s="119"/>
      <c r="ADY8" s="119"/>
      <c r="ADZ8" s="119"/>
      <c r="AEA8" s="119"/>
      <c r="AEB8" s="119"/>
      <c r="AEC8" s="119"/>
      <c r="AED8" s="119"/>
      <c r="AEE8" s="119"/>
      <c r="AEF8" s="119"/>
      <c r="AEG8" s="119"/>
      <c r="AEH8" s="119"/>
      <c r="AEI8" s="119"/>
      <c r="AEJ8" s="119"/>
      <c r="AEK8" s="119"/>
      <c r="AEL8" s="119"/>
      <c r="AEM8" s="119"/>
      <c r="AEN8" s="119"/>
      <c r="AEO8" s="119"/>
      <c r="AEP8" s="119"/>
      <c r="AEQ8" s="119"/>
      <c r="AER8" s="119"/>
      <c r="AES8" s="119"/>
      <c r="AET8" s="119"/>
      <c r="AEU8" s="119"/>
      <c r="AEV8" s="119"/>
      <c r="AEW8" s="119"/>
      <c r="AEX8" s="119"/>
      <c r="AEY8" s="119"/>
      <c r="AEZ8" s="119"/>
      <c r="AFA8" s="119"/>
      <c r="AFB8" s="119"/>
      <c r="AFC8" s="119"/>
      <c r="AFD8" s="119"/>
      <c r="AFE8" s="119"/>
      <c r="AFF8" s="119"/>
      <c r="AFG8" s="119"/>
      <c r="AFH8" s="119"/>
      <c r="AFI8" s="119"/>
      <c r="AFJ8" s="119"/>
      <c r="AFK8" s="119"/>
      <c r="AFL8" s="119"/>
      <c r="AFM8" s="119"/>
      <c r="AFN8" s="119"/>
      <c r="AFO8" s="119"/>
      <c r="AFP8" s="119"/>
      <c r="AFQ8" s="119"/>
      <c r="AFR8" s="119"/>
      <c r="AFS8" s="119"/>
      <c r="AFT8" s="119"/>
      <c r="AFU8" s="119"/>
      <c r="AFV8" s="119"/>
      <c r="AFW8" s="119"/>
      <c r="AFX8" s="119"/>
      <c r="AFY8" s="119"/>
      <c r="AFZ8" s="119"/>
      <c r="AGA8" s="119"/>
      <c r="AGB8" s="119"/>
      <c r="AGC8" s="119"/>
      <c r="AGD8" s="119"/>
      <c r="AGE8" s="119"/>
      <c r="AGF8" s="119"/>
      <c r="AGG8" s="119"/>
      <c r="AGH8" s="119"/>
      <c r="AGI8" s="119"/>
      <c r="AGJ8" s="119"/>
      <c r="AGK8" s="119"/>
      <c r="AGL8" s="119"/>
      <c r="AGM8" s="119"/>
      <c r="AGN8" s="119"/>
      <c r="AGO8" s="119"/>
      <c r="AGP8" s="119"/>
      <c r="AGQ8" s="119"/>
      <c r="AGR8" s="119"/>
      <c r="AGS8" s="119"/>
      <c r="AGT8" s="119"/>
      <c r="AGU8" s="119"/>
      <c r="AGV8" s="119"/>
      <c r="AGW8" s="119"/>
      <c r="AGX8" s="119"/>
      <c r="AGY8" s="119"/>
      <c r="AGZ8" s="119"/>
      <c r="AHA8" s="119"/>
      <c r="AHB8" s="119"/>
      <c r="AHC8" s="119"/>
      <c r="AHD8" s="119"/>
      <c r="AHE8" s="119"/>
      <c r="AHF8" s="119"/>
      <c r="AHG8" s="119"/>
      <c r="AHH8" s="119"/>
      <c r="AHI8" s="119"/>
      <c r="AHJ8" s="119"/>
      <c r="AHK8" s="119"/>
      <c r="AHL8" s="119"/>
      <c r="AHM8" s="119"/>
      <c r="AHN8" s="119"/>
      <c r="AHO8" s="119"/>
      <c r="AHP8" s="119"/>
      <c r="AHQ8" s="119"/>
      <c r="AHR8" s="119"/>
      <c r="AHS8" s="119"/>
      <c r="AHT8" s="119"/>
      <c r="AHU8" s="119"/>
      <c r="AHV8" s="119"/>
      <c r="AHW8" s="119"/>
      <c r="AHX8" s="119"/>
      <c r="AHY8" s="119"/>
      <c r="AHZ8" s="119"/>
      <c r="AIA8" s="119"/>
      <c r="AIB8" s="119"/>
      <c r="AIC8" s="119"/>
      <c r="AID8" s="119"/>
      <c r="AIE8" s="119"/>
      <c r="AIF8" s="119"/>
      <c r="AIG8" s="119"/>
      <c r="AIH8" s="119"/>
      <c r="AII8" s="119"/>
      <c r="AIJ8" s="119"/>
      <c r="AIK8" s="119"/>
      <c r="AIL8" s="119"/>
      <c r="AIM8" s="119"/>
      <c r="AIN8" s="119"/>
      <c r="AIO8" s="119"/>
      <c r="AIP8" s="119"/>
      <c r="AIQ8" s="119"/>
      <c r="AIR8" s="119"/>
      <c r="AIS8" s="119"/>
      <c r="AIT8" s="119"/>
      <c r="AIU8" s="119"/>
      <c r="AIV8" s="119"/>
      <c r="AIW8" s="119"/>
      <c r="AIX8" s="119"/>
      <c r="AIY8" s="119"/>
      <c r="AIZ8" s="119"/>
      <c r="AJA8" s="119"/>
      <c r="AJB8" s="119"/>
      <c r="AJC8" s="119"/>
      <c r="AJD8" s="119"/>
      <c r="AJE8" s="119"/>
      <c r="AJF8" s="119"/>
      <c r="AJG8" s="119"/>
      <c r="AJH8" s="119"/>
      <c r="AJI8" s="119"/>
      <c r="AJJ8" s="119"/>
      <c r="AJK8" s="119"/>
      <c r="AJL8" s="119"/>
      <c r="AJM8" s="119"/>
      <c r="AJN8" s="119"/>
      <c r="AJO8" s="119"/>
      <c r="AJP8" s="119"/>
      <c r="AJQ8" s="119"/>
      <c r="AJR8" s="119"/>
      <c r="AJS8" s="119"/>
      <c r="AJT8" s="119"/>
      <c r="AJU8" s="119"/>
      <c r="AJV8" s="119"/>
      <c r="AJW8" s="119"/>
      <c r="AJX8" s="119"/>
      <c r="AJY8" s="119"/>
      <c r="AJZ8" s="119"/>
      <c r="AKA8" s="119"/>
      <c r="AKB8" s="119"/>
      <c r="AKC8" s="119"/>
      <c r="AKD8" s="119"/>
      <c r="AKE8" s="119"/>
      <c r="AKF8" s="119"/>
      <c r="AKG8" s="119"/>
      <c r="AKH8" s="119"/>
      <c r="AKI8" s="119"/>
      <c r="AKJ8" s="119"/>
      <c r="AKK8" s="119"/>
      <c r="AKL8" s="119"/>
      <c r="AKM8" s="119"/>
      <c r="AKN8" s="119"/>
      <c r="AKO8" s="119"/>
      <c r="AKP8" s="119"/>
      <c r="AKQ8" s="119"/>
      <c r="AKR8" s="119"/>
      <c r="AKS8" s="119"/>
      <c r="AKT8" s="119"/>
      <c r="AKU8" s="119"/>
      <c r="AKV8" s="119"/>
      <c r="AKW8" s="119"/>
      <c r="AKX8" s="119"/>
      <c r="AKY8" s="119"/>
      <c r="AKZ8" s="119"/>
      <c r="ALA8" s="119"/>
      <c r="ALB8" s="119"/>
      <c r="ALC8" s="119"/>
      <c r="ALD8" s="119"/>
      <c r="ALE8" s="119"/>
      <c r="ALF8" s="119"/>
      <c r="ALG8" s="119"/>
      <c r="ALH8" s="119"/>
      <c r="ALI8" s="119"/>
      <c r="ALJ8" s="119"/>
      <c r="ALK8" s="119"/>
      <c r="ALL8" s="119"/>
      <c r="ALM8" s="119"/>
      <c r="ALN8" s="119"/>
      <c r="ALO8" s="119"/>
      <c r="ALP8" s="119"/>
      <c r="ALQ8" s="119"/>
      <c r="ALR8" s="119"/>
      <c r="ALS8" s="119"/>
      <c r="ALT8" s="119"/>
      <c r="ALU8" s="119"/>
      <c r="ALV8" s="119"/>
      <c r="ALW8" s="119"/>
      <c r="ALX8" s="119"/>
      <c r="ALY8" s="119"/>
      <c r="ALZ8" s="119"/>
      <c r="AMA8" s="119"/>
      <c r="AMB8" s="119"/>
      <c r="AMC8" s="119"/>
      <c r="AMD8" s="119"/>
      <c r="AME8" s="119"/>
      <c r="AMF8" s="119"/>
      <c r="AMG8" s="119"/>
      <c r="AMH8" s="119"/>
      <c r="AMI8" s="119"/>
      <c r="AMJ8" s="119"/>
      <c r="AMK8" s="119"/>
      <c r="AML8" s="119"/>
      <c r="AMM8" s="119"/>
      <c r="AMN8" s="119"/>
      <c r="AMO8" s="119"/>
      <c r="AMP8" s="119"/>
      <c r="AMQ8" s="119"/>
      <c r="AMR8" s="119"/>
      <c r="AMS8" s="119"/>
      <c r="AMT8" s="119"/>
      <c r="AMU8" s="119"/>
      <c r="AMV8" s="119"/>
      <c r="AMW8" s="119"/>
      <c r="AMX8" s="119"/>
      <c r="AMY8" s="119"/>
      <c r="AMZ8" s="119"/>
      <c r="ANA8" s="119"/>
      <c r="ANB8" s="119"/>
      <c r="ANC8" s="119"/>
      <c r="AND8" s="119"/>
      <c r="ANE8" s="119"/>
      <c r="ANF8" s="119"/>
      <c r="ANG8" s="119"/>
      <c r="ANH8" s="119"/>
      <c r="ANI8" s="119"/>
      <c r="ANJ8" s="119"/>
      <c r="ANK8" s="119"/>
      <c r="ANL8" s="119"/>
      <c r="ANM8" s="119"/>
      <c r="ANN8" s="119"/>
      <c r="ANO8" s="119"/>
      <c r="ANP8" s="119"/>
      <c r="ANQ8" s="119"/>
      <c r="ANR8" s="119"/>
      <c r="ANS8" s="119"/>
      <c r="ANT8" s="119"/>
      <c r="ANU8" s="119"/>
      <c r="ANV8" s="119"/>
      <c r="ANW8" s="119"/>
      <c r="ANX8" s="119"/>
      <c r="ANY8" s="119"/>
      <c r="ANZ8" s="119"/>
      <c r="AOA8" s="119"/>
      <c r="AOB8" s="119"/>
      <c r="AOC8" s="119"/>
      <c r="AOD8" s="119"/>
      <c r="AOE8" s="119"/>
      <c r="AOF8" s="119"/>
      <c r="AOG8" s="119"/>
      <c r="AOH8" s="119"/>
      <c r="AOI8" s="119"/>
      <c r="AOJ8" s="119"/>
      <c r="AOK8" s="119"/>
      <c r="AOL8" s="119"/>
      <c r="AOM8" s="119"/>
      <c r="AON8" s="119"/>
      <c r="AOO8" s="119"/>
      <c r="AOP8" s="119"/>
      <c r="AOQ8" s="119"/>
      <c r="AOR8" s="119"/>
      <c r="AOS8" s="119"/>
      <c r="AOT8" s="119"/>
      <c r="AOU8" s="119"/>
      <c r="AOV8" s="119"/>
      <c r="AOW8" s="119"/>
      <c r="AOX8" s="119"/>
      <c r="AOY8" s="119"/>
      <c r="AOZ8" s="119"/>
      <c r="APA8" s="119"/>
      <c r="APB8" s="119"/>
      <c r="APC8" s="119"/>
      <c r="APD8" s="119"/>
      <c r="APE8" s="119"/>
      <c r="APF8" s="119"/>
      <c r="APG8" s="119"/>
      <c r="APH8" s="119"/>
      <c r="API8" s="119"/>
      <c r="APJ8" s="119"/>
      <c r="APK8" s="119"/>
      <c r="APL8" s="119"/>
      <c r="APM8" s="119"/>
      <c r="APN8" s="119"/>
      <c r="APO8" s="119"/>
      <c r="APP8" s="119"/>
      <c r="APQ8" s="119"/>
      <c r="APR8" s="119"/>
      <c r="APS8" s="119"/>
      <c r="APT8" s="119"/>
      <c r="APU8" s="119"/>
      <c r="APV8" s="119"/>
      <c r="APW8" s="119"/>
      <c r="APX8" s="119"/>
      <c r="APY8" s="119"/>
      <c r="APZ8" s="119"/>
      <c r="AQA8" s="119"/>
      <c r="AQB8" s="119"/>
      <c r="AQC8" s="119"/>
      <c r="AQD8" s="119"/>
      <c r="AQE8" s="119"/>
      <c r="AQF8" s="119"/>
      <c r="AQG8" s="119"/>
      <c r="AQH8" s="119"/>
      <c r="AQI8" s="119"/>
      <c r="AQJ8" s="119"/>
      <c r="AQK8" s="119"/>
      <c r="AQL8" s="119"/>
      <c r="AQM8" s="119"/>
      <c r="AQN8" s="119"/>
      <c r="AQO8" s="119"/>
      <c r="AQP8" s="119"/>
      <c r="AQQ8" s="119"/>
      <c r="AQR8" s="119"/>
      <c r="AQS8" s="119"/>
      <c r="AQT8" s="119"/>
      <c r="AQU8" s="119"/>
      <c r="AQV8" s="119"/>
      <c r="AQW8" s="119"/>
      <c r="AQX8" s="119"/>
      <c r="AQY8" s="119"/>
      <c r="AQZ8" s="119"/>
      <c r="ARA8" s="119"/>
      <c r="ARB8" s="119"/>
      <c r="ARC8" s="119"/>
      <c r="ARD8" s="119"/>
      <c r="ARE8" s="119"/>
      <c r="ARF8" s="119"/>
      <c r="ARG8" s="119"/>
      <c r="ARH8" s="119"/>
      <c r="ARI8" s="119"/>
      <c r="ARJ8" s="119"/>
      <c r="ARK8" s="119"/>
      <c r="ARL8" s="119"/>
      <c r="ARM8" s="119"/>
      <c r="ARN8" s="119"/>
      <c r="ARO8" s="119"/>
      <c r="ARP8" s="119"/>
      <c r="ARQ8" s="119"/>
      <c r="ARR8" s="119"/>
      <c r="ARS8" s="119"/>
      <c r="ART8" s="119"/>
      <c r="ARU8" s="119"/>
      <c r="ARV8" s="119"/>
      <c r="ARW8" s="119"/>
      <c r="ARX8" s="119"/>
      <c r="ARY8" s="119"/>
      <c r="ARZ8" s="119"/>
      <c r="ASA8" s="119"/>
      <c r="ASB8" s="119"/>
      <c r="ASC8" s="119"/>
      <c r="ASD8" s="119"/>
      <c r="ASE8" s="119"/>
      <c r="ASF8" s="119"/>
      <c r="ASG8" s="119"/>
      <c r="ASH8" s="119"/>
      <c r="ASI8" s="119"/>
      <c r="ASJ8" s="119"/>
      <c r="ASK8" s="119"/>
      <c r="ASL8" s="119"/>
      <c r="ASM8" s="119"/>
      <c r="ASN8" s="119"/>
      <c r="ASO8" s="119"/>
      <c r="ASP8" s="119"/>
      <c r="ASQ8" s="119"/>
      <c r="ASR8" s="119"/>
      <c r="ASS8" s="119"/>
      <c r="AST8" s="119"/>
      <c r="ASU8" s="119"/>
      <c r="ASV8" s="119"/>
      <c r="ASW8" s="119"/>
      <c r="ASX8" s="119"/>
      <c r="ASY8" s="119"/>
      <c r="ASZ8" s="119"/>
      <c r="ATA8" s="119"/>
      <c r="ATB8" s="119"/>
      <c r="ATC8" s="119"/>
      <c r="ATD8" s="119"/>
      <c r="ATE8" s="119"/>
      <c r="ATF8" s="119"/>
      <c r="ATG8" s="119"/>
      <c r="ATH8" s="119"/>
      <c r="ATI8" s="119"/>
      <c r="ATJ8" s="119"/>
      <c r="ATK8" s="119"/>
      <c r="ATL8" s="119"/>
      <c r="ATM8" s="119"/>
      <c r="ATN8" s="119"/>
      <c r="ATO8" s="119"/>
      <c r="ATP8" s="119"/>
      <c r="ATQ8" s="119"/>
      <c r="ATR8" s="119"/>
      <c r="ATS8" s="119"/>
      <c r="ATT8" s="119"/>
      <c r="ATU8" s="119"/>
      <c r="ATV8" s="119"/>
      <c r="ATW8" s="119"/>
      <c r="ATX8" s="119"/>
      <c r="ATY8" s="119"/>
      <c r="ATZ8" s="119"/>
      <c r="AUA8" s="119"/>
      <c r="AUB8" s="119"/>
      <c r="AUC8" s="119"/>
      <c r="AUD8" s="119"/>
      <c r="AUE8" s="119"/>
      <c r="AUF8" s="119"/>
      <c r="AUG8" s="119"/>
      <c r="AUH8" s="119"/>
      <c r="AUI8" s="119"/>
      <c r="AUJ8" s="119"/>
      <c r="AUK8" s="119"/>
      <c r="AUL8" s="119"/>
      <c r="AUM8" s="119"/>
      <c r="AUN8" s="119"/>
      <c r="AUO8" s="119"/>
      <c r="AUP8" s="119"/>
      <c r="AUQ8" s="119"/>
      <c r="AUR8" s="119"/>
      <c r="AUS8" s="119"/>
      <c r="AUT8" s="119"/>
      <c r="AUU8" s="119"/>
      <c r="AUV8" s="119"/>
      <c r="AUW8" s="119"/>
      <c r="AUX8" s="119"/>
      <c r="AUY8" s="119"/>
      <c r="AUZ8" s="119"/>
      <c r="AVA8" s="119"/>
      <c r="AVB8" s="119"/>
      <c r="AVC8" s="119"/>
      <c r="AVD8" s="119"/>
      <c r="AVE8" s="119"/>
      <c r="AVF8" s="119"/>
      <c r="AVG8" s="119"/>
      <c r="AVH8" s="119"/>
      <c r="AVI8" s="119"/>
      <c r="AVJ8" s="119"/>
      <c r="AVK8" s="119"/>
      <c r="AVL8" s="119"/>
      <c r="AVM8" s="119"/>
      <c r="AVN8" s="119"/>
      <c r="AVO8" s="119"/>
      <c r="AVP8" s="119"/>
      <c r="AVQ8" s="119"/>
      <c r="AVR8" s="119"/>
      <c r="AVS8" s="119"/>
      <c r="AVT8" s="119"/>
      <c r="AVU8" s="119"/>
      <c r="AVV8" s="119"/>
      <c r="AVW8" s="119"/>
      <c r="AVX8" s="119"/>
      <c r="AVY8" s="119"/>
      <c r="AVZ8" s="119"/>
      <c r="AWA8" s="119"/>
      <c r="AWB8" s="119"/>
      <c r="AWC8" s="119"/>
      <c r="AWD8" s="119"/>
      <c r="AWE8" s="119"/>
      <c r="AWF8" s="119"/>
      <c r="AWG8" s="119"/>
      <c r="AWH8" s="119"/>
      <c r="AWI8" s="119"/>
      <c r="AWJ8" s="119"/>
      <c r="AWK8" s="119"/>
      <c r="AWL8" s="119"/>
      <c r="AWM8" s="119"/>
      <c r="AWN8" s="119"/>
      <c r="AWO8" s="119"/>
      <c r="AWP8" s="119"/>
      <c r="AWQ8" s="119"/>
      <c r="AWR8" s="119"/>
      <c r="AWS8" s="119"/>
      <c r="AWT8" s="119"/>
      <c r="AWU8" s="119"/>
      <c r="AWV8" s="119"/>
      <c r="AWW8" s="119"/>
      <c r="AWX8" s="119"/>
      <c r="AWY8" s="119"/>
      <c r="AWZ8" s="119"/>
      <c r="AXA8" s="119"/>
      <c r="AXB8" s="119"/>
      <c r="AXC8" s="119"/>
      <c r="AXD8" s="119"/>
      <c r="AXE8" s="119"/>
      <c r="AXF8" s="119"/>
      <c r="AXG8" s="119"/>
      <c r="AXH8" s="119"/>
      <c r="AXI8" s="119"/>
      <c r="AXJ8" s="119"/>
      <c r="AXK8" s="119"/>
      <c r="AXL8" s="119"/>
      <c r="AXM8" s="119"/>
      <c r="AXN8" s="119"/>
      <c r="AXO8" s="119"/>
      <c r="AXP8" s="119"/>
      <c r="AXQ8" s="119"/>
      <c r="AXR8" s="119"/>
      <c r="AXS8" s="119"/>
      <c r="AXT8" s="119"/>
      <c r="AXU8" s="119"/>
      <c r="AXV8" s="119"/>
      <c r="AXW8" s="119"/>
      <c r="AXX8" s="119"/>
      <c r="AXY8" s="119"/>
      <c r="AXZ8" s="119"/>
      <c r="AYA8" s="119"/>
      <c r="AYB8" s="119"/>
      <c r="AYC8" s="119"/>
      <c r="AYD8" s="119"/>
      <c r="AYE8" s="119"/>
      <c r="AYF8" s="119"/>
      <c r="AYG8" s="119"/>
      <c r="AYH8" s="119"/>
      <c r="AYI8" s="119"/>
      <c r="AYJ8" s="119"/>
      <c r="AYK8" s="119"/>
      <c r="AYL8" s="119"/>
      <c r="AYM8" s="119"/>
      <c r="AYN8" s="119"/>
      <c r="AYO8" s="119"/>
      <c r="AYP8" s="119"/>
      <c r="AYQ8" s="119"/>
      <c r="AYR8" s="119"/>
      <c r="AYS8" s="119"/>
      <c r="AYT8" s="119"/>
      <c r="AYU8" s="119"/>
      <c r="AYV8" s="119"/>
      <c r="AYW8" s="119"/>
      <c r="AYX8" s="119"/>
      <c r="AYY8" s="119"/>
      <c r="AYZ8" s="119"/>
      <c r="AZA8" s="119"/>
      <c r="AZB8" s="119"/>
      <c r="AZC8" s="119"/>
      <c r="AZD8" s="119"/>
      <c r="AZE8" s="119"/>
      <c r="AZF8" s="119"/>
      <c r="AZG8" s="119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777"/>
      <c r="B9" s="120" t="s">
        <v>501</v>
      </c>
      <c r="C9" s="121">
        <f>'Revenue Tracking'!F4</f>
        <v>2041415.1199999999</v>
      </c>
      <c r="D9" s="121">
        <f>SUM(F9:AZG9)-150000</f>
        <v>1891415.12</v>
      </c>
      <c r="E9" s="108"/>
      <c r="F9" s="122">
        <f>SUMIFS('Revenue Tracking'!$F$13:$F$26, 'Revenue Tracking'!$P$13:$P$26, "&gt;="&amp;F1,'Revenue Tracking'!$P$13:$P$26, "&lt;"&amp;G1)</f>
        <v>0</v>
      </c>
      <c r="G9" s="122">
        <f>SUMIFS('Revenue Tracking'!$F$13:$F$26, 'Revenue Tracking'!$P$13:$P$26, "&gt;="&amp;G1,'Revenue Tracking'!$P$13:$P$26, "&lt;"&amp;H1)</f>
        <v>0</v>
      </c>
      <c r="H9" s="122">
        <f>SUMIFS('Revenue Tracking'!$F$13:$F$26, 'Revenue Tracking'!$P$13:$P$26, "&gt;="&amp;H1,'Revenue Tracking'!$P$13:$P$26, "&lt;"&amp;I1)</f>
        <v>0</v>
      </c>
      <c r="I9" s="122">
        <f>SUMIFS('Revenue Tracking'!$F$13:$F$26, 'Revenue Tracking'!$P$13:$P$26, "&gt;="&amp;I1,'Revenue Tracking'!$P$13:$P$26, "&lt;"&amp;J1)</f>
        <v>0</v>
      </c>
      <c r="J9" s="122">
        <f>SUMIFS('Revenue Tracking'!$F$13:$F$26, 'Revenue Tracking'!$P$13:$P$26, "&gt;="&amp;J1,'Revenue Tracking'!$P$13:$P$26, "&lt;"&amp;K1)</f>
        <v>0</v>
      </c>
      <c r="K9" s="122">
        <f>SUMIFS('Revenue Tracking'!$F$13:$F$26, 'Revenue Tracking'!$P$13:$P$26, "&gt;="&amp;K1,'Revenue Tracking'!$P$13:$P$26, "&lt;"&amp;L1)</f>
        <v>0</v>
      </c>
      <c r="L9" s="122">
        <f>SUMIFS('Revenue Tracking'!$F$13:$F$26, 'Revenue Tracking'!$P$13:$P$26, "&gt;="&amp;L1,'Revenue Tracking'!$P$13:$P$26, "&lt;"&amp;M1)</f>
        <v>0</v>
      </c>
      <c r="M9" s="122">
        <f>SUMIFS('Revenue Tracking'!$F$13:$F$26, 'Revenue Tracking'!$P$13:$P$26, "&gt;="&amp;M1,'Revenue Tracking'!$P$13:$P$26, "&lt;"&amp;N1)</f>
        <v>0</v>
      </c>
      <c r="N9" s="122">
        <f>SUMIFS('Revenue Tracking'!$F$13:$F$26, 'Revenue Tracking'!$P$13:$P$26, "&gt;="&amp;N1,'Revenue Tracking'!$P$13:$P$26, "&lt;"&amp;O1)</f>
        <v>0</v>
      </c>
      <c r="O9" s="122">
        <f>SUMIFS('Revenue Tracking'!$F$13:$F$26, 'Revenue Tracking'!$P$13:$P$26, "&gt;="&amp;O1,'Revenue Tracking'!$P$13:$P$26, "&lt;"&amp;P1)</f>
        <v>0</v>
      </c>
      <c r="P9" s="122">
        <f>SUMIFS('Revenue Tracking'!$F$13:$F$26, 'Revenue Tracking'!$P$13:$P$26, "&gt;="&amp;P1,'Revenue Tracking'!$P$13:$P$26, "&lt;"&amp;Q1)</f>
        <v>0</v>
      </c>
      <c r="Q9" s="122">
        <f>SUMIFS('Revenue Tracking'!$F$13:$F$26, 'Revenue Tracking'!$P$13:$P$26, "&gt;="&amp;Q1,'Revenue Tracking'!$P$13:$P$26, "&lt;"&amp;R1)</f>
        <v>0</v>
      </c>
      <c r="R9" s="122">
        <f>SUMIFS('Revenue Tracking'!$F$13:$F$26, 'Revenue Tracking'!$P$13:$P$26, "&gt;="&amp;R1,'Revenue Tracking'!$P$13:$P$26, "&lt;"&amp;S1)</f>
        <v>0</v>
      </c>
      <c r="S9" s="122">
        <f>SUMIFS('Revenue Tracking'!$F$13:$F$26, 'Revenue Tracking'!$P$13:$P$26, "&gt;="&amp;S1,'Revenue Tracking'!$P$13:$P$26, "&lt;"&amp;T1)</f>
        <v>0</v>
      </c>
      <c r="T9" s="122">
        <f>SUMIFS('Revenue Tracking'!$F$13:$F$26, 'Revenue Tracking'!$P$13:$P$26, "&gt;="&amp;T1,'Revenue Tracking'!$P$13:$P$26, "&lt;"&amp;U1)</f>
        <v>0</v>
      </c>
      <c r="U9" s="122">
        <f>SUMIFS('Revenue Tracking'!$F$13:$F$26, 'Revenue Tracking'!$P$13:$P$26, "&gt;="&amp;U1,'Revenue Tracking'!$P$13:$P$26, "&lt;"&amp;V1)</f>
        <v>0</v>
      </c>
      <c r="V9" s="122">
        <f>SUMIFS('Revenue Tracking'!$F$13:$F$26, 'Revenue Tracking'!$P$13:$P$26, "&gt;="&amp;V1,'Revenue Tracking'!$P$13:$P$26, "&lt;"&amp;W1)</f>
        <v>0</v>
      </c>
      <c r="W9" s="122">
        <f>SUMIFS('Revenue Tracking'!$F$13:$F$26, 'Revenue Tracking'!$P$13:$P$26, "&gt;="&amp;W1,'Revenue Tracking'!$P$13:$P$26, "&lt;"&amp;X1)</f>
        <v>0</v>
      </c>
      <c r="X9" s="122">
        <f>SUMIFS('Revenue Tracking'!$F$13:$F$26, 'Revenue Tracking'!$P$13:$P$26, "&gt;="&amp;X1,'Revenue Tracking'!$P$13:$P$26, "&lt;"&amp;Y1)</f>
        <v>0</v>
      </c>
      <c r="Y9" s="122">
        <f>SUMIFS('Revenue Tracking'!$F$13:$F$26, 'Revenue Tracking'!$P$13:$P$26, "&gt;="&amp;Y1,'Revenue Tracking'!$P$13:$P$26, "&lt;"&amp;Z1)</f>
        <v>0</v>
      </c>
      <c r="Z9" s="122">
        <f>SUMIFS('Revenue Tracking'!$F$13:$F$26, 'Revenue Tracking'!$P$13:$P$26, "&gt;="&amp;Z1,'Revenue Tracking'!$P$13:$P$26, "&lt;"&amp;AA1)</f>
        <v>551182.06999999995</v>
      </c>
      <c r="AA9" s="122">
        <f>SUMIFS('Revenue Tracking'!$F$13:$F$26, 'Revenue Tracking'!$P$13:$P$26, "&gt;="&amp;AA1,'Revenue Tracking'!$P$13:$P$26, "&lt;"&amp;AB1)</f>
        <v>0</v>
      </c>
      <c r="AB9" s="122">
        <f>SUMIFS('Revenue Tracking'!$F$13:$F$26, 'Revenue Tracking'!$P$13:$P$26, "&gt;="&amp;AB1,'Revenue Tracking'!$P$13:$P$26, "&lt;"&amp;AC1)</f>
        <v>0</v>
      </c>
      <c r="AC9" s="122">
        <f>SUMIFS('Revenue Tracking'!$F$13:$F$26, 'Revenue Tracking'!$P$13:$P$26, "&gt;="&amp;AC1,'Revenue Tracking'!$P$13:$P$26, "&lt;"&amp;AD1)</f>
        <v>0</v>
      </c>
      <c r="AD9" s="122">
        <f>SUMIFS('Revenue Tracking'!$F$13:$F$26, 'Revenue Tracking'!$P$13:$P$26, "&gt;="&amp;AD1,'Revenue Tracking'!$P$13:$P$26, "&lt;"&amp;AE1)</f>
        <v>0</v>
      </c>
      <c r="AE9" s="122">
        <f>SUMIFS('Revenue Tracking'!$F$13:$F$26, 'Revenue Tracking'!$P$13:$P$26, "&gt;="&amp;AE1,'Revenue Tracking'!$P$13:$P$26, "&lt;"&amp;AF1)</f>
        <v>0</v>
      </c>
      <c r="AF9" s="122">
        <f>SUMIFS('Revenue Tracking'!$F$13:$F$26, 'Revenue Tracking'!$P$13:$P$26, "&gt;="&amp;AF1,'Revenue Tracking'!$P$13:$P$26, "&lt;"&amp;AG1)</f>
        <v>0</v>
      </c>
      <c r="AG9" s="122">
        <f>SUMIFS('Revenue Tracking'!$F$13:$F$26, 'Revenue Tracking'!$P$13:$P$26, "&gt;="&amp;AG1,'Revenue Tracking'!$P$13:$P$26, "&lt;"&amp;AH1)</f>
        <v>0</v>
      </c>
      <c r="AH9" s="122">
        <f>SUMIFS('Revenue Tracking'!$F$13:$F$26, 'Revenue Tracking'!$P$13:$P$26, "&gt;="&amp;AH1,'Revenue Tracking'!$P$13:$P$26, "&lt;"&amp;AI1)</f>
        <v>0</v>
      </c>
      <c r="AI9" s="122">
        <f>SUMIFS('Revenue Tracking'!$F$13:$F$26, 'Revenue Tracking'!$P$13:$P$26, "&gt;="&amp;AI1,'Revenue Tracking'!$P$13:$P$26, "&lt;"&amp;AJ1)</f>
        <v>0</v>
      </c>
      <c r="AJ9" s="122">
        <f>SUMIFS('Revenue Tracking'!$F$13:$F$26, 'Revenue Tracking'!$P$13:$P$26, "&gt;="&amp;AJ1,'Revenue Tracking'!$P$13:$P$26, "&lt;"&amp;AK1)</f>
        <v>0</v>
      </c>
      <c r="AK9" s="122">
        <f>SUMIFS('Revenue Tracking'!$F$13:$F$26, 'Revenue Tracking'!$P$13:$P$26, "&gt;="&amp;AK1,'Revenue Tracking'!$P$13:$P$26, "&lt;"&amp;AL1)</f>
        <v>0</v>
      </c>
      <c r="AL9" s="122">
        <f>SUMIFS('Revenue Tracking'!$F$13:$F$26, 'Revenue Tracking'!$P$13:$P$26, "&gt;="&amp;AL1,'Revenue Tracking'!$P$13:$P$26, "&lt;"&amp;AM1)</f>
        <v>0</v>
      </c>
      <c r="AM9" s="122">
        <f>SUMIFS('Revenue Tracking'!$F$13:$F$26, 'Revenue Tracking'!$P$13:$P$26, "&gt;="&amp;AM1,'Revenue Tracking'!$P$13:$P$26, "&lt;"&amp;AN1)</f>
        <v>1449404.72</v>
      </c>
      <c r="AN9" s="122">
        <f>SUMIFS('Revenue Tracking'!$F$13:$F$26, 'Revenue Tracking'!$P$13:$P$26, "&gt;="&amp;AN1,'Revenue Tracking'!$P$13:$P$26, "&lt;"&amp;AO1)</f>
        <v>0</v>
      </c>
      <c r="AO9" s="122">
        <f>SUMIFS('Revenue Tracking'!$F$13:$F$26, 'Revenue Tracking'!$P$13:$P$26, "&gt;="&amp;AO1,'Revenue Tracking'!$P$13:$P$26, "&lt;"&amp;AP1)</f>
        <v>0</v>
      </c>
      <c r="AP9" s="122">
        <f>SUMIFS('Revenue Tracking'!$F$13:$F$26, 'Revenue Tracking'!$P$13:$P$26, "&gt;="&amp;AP1,'Revenue Tracking'!$P$13:$P$26, "&lt;"&amp;AQ1)</f>
        <v>0</v>
      </c>
      <c r="AQ9" s="122">
        <f>SUMIFS('Revenue Tracking'!$F$13:$F$26, 'Revenue Tracking'!$P$13:$P$26, "&gt;="&amp;AQ1,'Revenue Tracking'!$P$13:$P$26, "&lt;"&amp;AR1)</f>
        <v>0</v>
      </c>
      <c r="AR9" s="122">
        <f>SUMIFS('Revenue Tracking'!$F$13:$F$26, 'Revenue Tracking'!$P$13:$P$26, "&gt;="&amp;AR1,'Revenue Tracking'!$P$13:$P$26, "&lt;"&amp;AS1)</f>
        <v>40828.33</v>
      </c>
      <c r="AS9" s="122">
        <f>SUMIFS('Revenue Tracking'!$F$13:$F$26, 'Revenue Tracking'!$P$13:$P$26, "&gt;="&amp;AS1,'Revenue Tracking'!$P$13:$P$26, "&lt;"&amp;AT1)</f>
        <v>0</v>
      </c>
      <c r="AT9" s="122">
        <f>SUMIFS('Revenue Tracking'!$F$13:$F$26, 'Revenue Tracking'!$P$13:$P$26, "&gt;="&amp;AT1,'Revenue Tracking'!$P$13:$P$26, "&lt;"&amp;AU1)</f>
        <v>0</v>
      </c>
      <c r="AU9" s="122">
        <f>SUMIFS('Revenue Tracking'!$F$13:$F$26, 'Revenue Tracking'!$P$13:$P$26, "&gt;="&amp;AU1,'Revenue Tracking'!$P$13:$P$26, "&lt;"&amp;AV1)</f>
        <v>0</v>
      </c>
      <c r="AV9" s="122">
        <f>SUMIFS('Revenue Tracking'!$F$13:$F$26, 'Revenue Tracking'!$P$13:$P$26, "&gt;="&amp;AV1,'Revenue Tracking'!$P$13:$P$26, "&lt;"&amp;AW1)</f>
        <v>0</v>
      </c>
      <c r="AW9" s="122">
        <f>SUMIFS('Revenue Tracking'!$F$13:$F$26, 'Revenue Tracking'!$P$13:$P$26, "&gt;="&amp;AW1,'Revenue Tracking'!$P$13:$P$26, "&lt;"&amp;AX1)</f>
        <v>0</v>
      </c>
      <c r="AX9" s="122">
        <f>SUMIFS('Revenue Tracking'!$F$13:$F$26, 'Revenue Tracking'!$P$13:$P$26, "&gt;="&amp;AX1,'Revenue Tracking'!$P$13:$P$26, "&lt;"&amp;AY1)</f>
        <v>0</v>
      </c>
      <c r="AY9" s="122">
        <f>SUMIFS('Revenue Tracking'!$F$13:$F$26, 'Revenue Tracking'!$P$13:$P$26, "&gt;="&amp;AY1,'Revenue Tracking'!$P$13:$P$26, "&lt;"&amp;AZ1)</f>
        <v>0</v>
      </c>
      <c r="AZ9" s="122">
        <f>SUMIFS('Revenue Tracking'!$F$13:$F$26, 'Revenue Tracking'!$P$13:$P$26, "&gt;="&amp;AZ1,'Revenue Tracking'!$P$13:$P$26, "&lt;"&amp;BA1)</f>
        <v>0</v>
      </c>
      <c r="BA9" s="122">
        <f>SUMIFS('Revenue Tracking'!$F$13:$F$26, 'Revenue Tracking'!$P$13:$P$26, "&gt;="&amp;BA1,'Revenue Tracking'!$P$13:$P$26, "&lt;"&amp;BB1)</f>
        <v>0</v>
      </c>
      <c r="BB9" s="122">
        <f>SUMIFS('Revenue Tracking'!$F$13:$F$26, 'Revenue Tracking'!$P$13:$P$26, "&gt;="&amp;BB1,'Revenue Tracking'!$P$13:$P$26, "&lt;"&amp;BC1)</f>
        <v>0</v>
      </c>
      <c r="BC9" s="122">
        <f>SUMIFS('Revenue Tracking'!$F$13:$F$26, 'Revenue Tracking'!$P$13:$P$26, "&gt;="&amp;BC1,'Revenue Tracking'!$P$13:$P$26, "&lt;"&amp;BD1)</f>
        <v>0</v>
      </c>
      <c r="BD9" s="122">
        <f>SUMIFS('Revenue Tracking'!$F$13:$F$26, 'Revenue Tracking'!$P$13:$P$26, "&gt;="&amp;BD1,'Revenue Tracking'!$P$13:$P$26, "&lt;"&amp;BE1)</f>
        <v>0</v>
      </c>
      <c r="BE9" s="122">
        <f>SUMIFS('Revenue Tracking'!$F$13:$F$26, 'Revenue Tracking'!$P$13:$P$26, "&gt;="&amp;BE1,'Revenue Tracking'!$P$13:$P$26, "&lt;"&amp;BF1)</f>
        <v>0</v>
      </c>
      <c r="BF9" s="122">
        <f>SUMIFS('Revenue Tracking'!$F$13:$F$26, 'Revenue Tracking'!$P$13:$P$26, "&gt;="&amp;BF1,'Revenue Tracking'!$P$13:$P$26, "&lt;"&amp;BG1)</f>
        <v>0</v>
      </c>
      <c r="BG9" s="122">
        <f>SUMIFS('Revenue Tracking'!$F$13:$F$26, 'Revenue Tracking'!$P$13:$P$26, "&gt;="&amp;BG1,'Revenue Tracking'!$P$13:$P$26, "&lt;"&amp;BH1)</f>
        <v>0</v>
      </c>
      <c r="BH9" s="122">
        <f>SUMIFS('Revenue Tracking'!$F$13:$F$26, 'Revenue Tracking'!$P$13:$P$26, "&gt;="&amp;BH1,'Revenue Tracking'!$P$13:$P$26, "&lt;"&amp;BI1)</f>
        <v>0</v>
      </c>
      <c r="BI9" s="122">
        <f>SUMIFS('Revenue Tracking'!$F$13:$F$26, 'Revenue Tracking'!$P$13:$P$26, "&gt;="&amp;BI1,'Revenue Tracking'!$P$13:$P$26, "&lt;"&amp;BJ1)</f>
        <v>0</v>
      </c>
      <c r="BJ9" s="122">
        <f>SUMIFS('Revenue Tracking'!$F$13:$F$26, 'Revenue Tracking'!$P$13:$P$26, "&gt;="&amp;BJ1,'Revenue Tracking'!$P$13:$P$26, "&lt;"&amp;BK1)</f>
        <v>0</v>
      </c>
      <c r="BK9" s="122">
        <f>SUMIFS('Revenue Tracking'!$F$13:$F$26, 'Revenue Tracking'!$P$13:$P$26, "&gt;="&amp;BK1,'Revenue Tracking'!$P$13:$P$26, "&lt;"&amp;BL1)</f>
        <v>0</v>
      </c>
      <c r="BL9" s="122">
        <f>SUMIFS('Revenue Tracking'!$F$13:$F$26, 'Revenue Tracking'!$P$13:$P$26, "&gt;="&amp;BL1,'Revenue Tracking'!$P$13:$P$26, "&lt;"&amp;BM1)</f>
        <v>0</v>
      </c>
      <c r="BM9" s="122">
        <f>SUMIFS('Revenue Tracking'!$F$13:$F$26, 'Revenue Tracking'!$P$13:$P$26, "&gt;="&amp;BM1,'Revenue Tracking'!$P$13:$P$26, "&lt;"&amp;BN1)</f>
        <v>0</v>
      </c>
      <c r="BN9" s="122">
        <f>SUMIFS('Revenue Tracking'!$F$13:$F$26, 'Revenue Tracking'!$P$13:$P$26, "&gt;="&amp;BN1,'Revenue Tracking'!$P$13:$P$26, "&lt;"&amp;BO1)</f>
        <v>0</v>
      </c>
      <c r="BO9" s="122">
        <f>SUMIFS('Revenue Tracking'!$F$13:$F$26, 'Revenue Tracking'!$P$13:$P$26, "&gt;="&amp;BO1,'Revenue Tracking'!$P$13:$P$26, "&lt;"&amp;BP1)</f>
        <v>0</v>
      </c>
      <c r="BP9" s="122">
        <f>SUMIFS('Revenue Tracking'!$F$13:$F$26, 'Revenue Tracking'!$P$13:$P$26, "&gt;="&amp;BP1,'Revenue Tracking'!$P$13:$P$26, "&lt;"&amp;BQ1)</f>
        <v>0</v>
      </c>
      <c r="BQ9" s="122">
        <f>SUMIFS('Revenue Tracking'!$F$13:$F$26, 'Revenue Tracking'!$P$13:$P$26, "&gt;="&amp;BQ1,'Revenue Tracking'!$P$13:$P$26, "&lt;"&amp;BR1)</f>
        <v>0</v>
      </c>
      <c r="BR9" s="122">
        <f>SUMIFS('Revenue Tracking'!$F$13:$F$26, 'Revenue Tracking'!$P$13:$P$26, "&gt;="&amp;BR1,'Revenue Tracking'!$P$13:$P$26, "&lt;"&amp;BS1)</f>
        <v>0</v>
      </c>
      <c r="BS9" s="122">
        <f>SUMIFS('Revenue Tracking'!$F$13:$F$26, 'Revenue Tracking'!$P$13:$P$26, "&gt;="&amp;BS1,'Revenue Tracking'!$P$13:$P$26, "&lt;"&amp;BT1)</f>
        <v>0</v>
      </c>
      <c r="BT9" s="122">
        <f>SUMIFS('Revenue Tracking'!$F$13:$F$26, 'Revenue Tracking'!$P$13:$P$26, "&gt;="&amp;BT1,'Revenue Tracking'!$P$13:$P$26, "&lt;"&amp;BU1)</f>
        <v>0</v>
      </c>
      <c r="BU9" s="122">
        <f>SUMIFS('Revenue Tracking'!$F$13:$F$26, 'Revenue Tracking'!$P$13:$P$26, "&gt;="&amp;BU1,'Revenue Tracking'!$P$13:$P$26, "&lt;"&amp;BV1)</f>
        <v>0</v>
      </c>
      <c r="BV9" s="122">
        <f>SUMIFS('Revenue Tracking'!$F$13:$F$26, 'Revenue Tracking'!$P$13:$P$26, "&gt;="&amp;BV1,'Revenue Tracking'!$P$13:$P$26, "&lt;"&amp;BW1)</f>
        <v>0</v>
      </c>
      <c r="BW9" s="122">
        <f>SUMIFS('Revenue Tracking'!$F$13:$F$26, 'Revenue Tracking'!$P$13:$P$26, "&gt;="&amp;BW1,'Revenue Tracking'!$P$13:$P$26, "&lt;"&amp;BX1)</f>
        <v>0</v>
      </c>
      <c r="BX9" s="122">
        <f>SUMIFS('Revenue Tracking'!$F$13:$F$26, 'Revenue Tracking'!$P$13:$P$26, "&gt;="&amp;BX1,'Revenue Tracking'!$P$13:$P$26, "&lt;"&amp;BY1)</f>
        <v>0</v>
      </c>
      <c r="BY9" s="122">
        <f>SUMIFS('Revenue Tracking'!$F$13:$F$26, 'Revenue Tracking'!$P$13:$P$26, "&gt;="&amp;BY1,'Revenue Tracking'!$P$13:$P$26, "&lt;"&amp;BZ1)</f>
        <v>0</v>
      </c>
      <c r="BZ9" s="122">
        <f>SUMIFS('Revenue Tracking'!$F$13:$F$26, 'Revenue Tracking'!$P$13:$P$26, "&gt;="&amp;BZ1,'Revenue Tracking'!$P$13:$P$26, "&lt;"&amp;CA1)</f>
        <v>0</v>
      </c>
      <c r="CA9" s="122">
        <f>SUMIFS('Revenue Tracking'!$F$13:$F$26, 'Revenue Tracking'!$P$13:$P$26, "&gt;="&amp;CA1,'Revenue Tracking'!$P$13:$P$26, "&lt;"&amp;CB1)</f>
        <v>0</v>
      </c>
      <c r="CB9" s="122">
        <f>SUMIFS('Revenue Tracking'!$F$13:$F$26, 'Revenue Tracking'!$P$13:$P$26, "&gt;="&amp;CB1,'Revenue Tracking'!$P$13:$P$26, "&lt;"&amp;CC1)</f>
        <v>0</v>
      </c>
      <c r="CC9" s="122">
        <f>SUMIFS('Revenue Tracking'!$F$13:$F$26, 'Revenue Tracking'!$P$13:$P$26, "&gt;="&amp;CC1,'Revenue Tracking'!$P$13:$P$26, "&lt;"&amp;CD1)</f>
        <v>0</v>
      </c>
      <c r="CD9" s="122">
        <f>SUMIFS('Revenue Tracking'!$F$13:$F$26, 'Revenue Tracking'!$P$13:$P$26, "&gt;="&amp;CD1,'Revenue Tracking'!$P$13:$P$26, "&lt;"&amp;CE1)</f>
        <v>0</v>
      </c>
      <c r="CE9" s="122">
        <f>SUMIFS('Revenue Tracking'!$F$13:$F$26, 'Revenue Tracking'!$P$13:$P$26, "&gt;="&amp;CE1,'Revenue Tracking'!$P$13:$P$26, "&lt;"&amp;CF1)</f>
        <v>0</v>
      </c>
      <c r="CF9" s="122">
        <f>SUMIFS('Revenue Tracking'!$F$13:$F$26, 'Revenue Tracking'!$P$13:$P$26, "&gt;="&amp;CF1,'Revenue Tracking'!$P$13:$P$26, "&lt;"&amp;CG1)</f>
        <v>0</v>
      </c>
      <c r="CG9" s="122">
        <f>SUMIFS('Revenue Tracking'!$F$13:$F$26, 'Revenue Tracking'!$P$13:$P$26, "&gt;="&amp;CG1,'Revenue Tracking'!$P$13:$P$26, "&lt;"&amp;CH1)</f>
        <v>0</v>
      </c>
      <c r="CH9" s="122">
        <f>SUMIFS('Revenue Tracking'!$F$13:$F$26, 'Revenue Tracking'!$P$13:$P$26, "&gt;="&amp;CH1,'Revenue Tracking'!$P$13:$P$26, "&lt;"&amp;CI1)</f>
        <v>0</v>
      </c>
      <c r="CI9" s="122">
        <f>SUMIFS('Revenue Tracking'!$F$13:$F$26, 'Revenue Tracking'!$P$13:$P$26, "&gt;="&amp;CI1,'Revenue Tracking'!$P$13:$P$26, "&lt;"&amp;CJ1)</f>
        <v>0</v>
      </c>
      <c r="CJ9" s="122">
        <f>SUMIFS('Revenue Tracking'!$F$13:$F$26, 'Revenue Tracking'!$P$13:$P$26, "&gt;="&amp;CJ1,'Revenue Tracking'!$P$13:$P$26, "&lt;"&amp;CK1)</f>
        <v>0</v>
      </c>
      <c r="CK9" s="122">
        <f>SUMIFS('Revenue Tracking'!$F$13:$F$26, 'Revenue Tracking'!$P$13:$P$26, "&gt;="&amp;CK1,'Revenue Tracking'!$P$13:$P$26, "&lt;"&amp;CL1)</f>
        <v>0</v>
      </c>
      <c r="CL9" s="122">
        <f>SUMIFS('Revenue Tracking'!$F$13:$F$26, 'Revenue Tracking'!$P$13:$P$26, "&gt;="&amp;CL1,'Revenue Tracking'!$P$13:$P$26, "&lt;"&amp;CM1)</f>
        <v>0</v>
      </c>
      <c r="CM9" s="122">
        <f>SUMIFS('Revenue Tracking'!$F$13:$F$26, 'Revenue Tracking'!$P$13:$P$26, "&gt;="&amp;CM1,'Revenue Tracking'!$P$13:$P$26, "&lt;"&amp;CN1)</f>
        <v>0</v>
      </c>
      <c r="CN9" s="122">
        <f>SUMIFS('Revenue Tracking'!$F$13:$F$26, 'Revenue Tracking'!$P$13:$P$26, "&gt;="&amp;CN1,'Revenue Tracking'!$P$13:$P$26, "&lt;"&amp;CO1)</f>
        <v>0</v>
      </c>
      <c r="CO9" s="122">
        <f>SUMIFS('Revenue Tracking'!$F$13:$F$26, 'Revenue Tracking'!$P$13:$P$26, "&gt;="&amp;CO1,'Revenue Tracking'!$P$13:$P$26, "&lt;"&amp;CP1)</f>
        <v>0</v>
      </c>
      <c r="CP9" s="122">
        <f>SUMIFS('Revenue Tracking'!$F$13:$F$26, 'Revenue Tracking'!$P$13:$P$26, "&gt;="&amp;CP1,'Revenue Tracking'!$P$13:$P$26, "&lt;"&amp;CQ1)</f>
        <v>0</v>
      </c>
      <c r="CQ9" s="122">
        <f>SUMIFS('Revenue Tracking'!$F$13:$F$26, 'Revenue Tracking'!$P$13:$P$26, "&gt;="&amp;CQ1,'Revenue Tracking'!$P$13:$P$26, "&lt;"&amp;CR1)</f>
        <v>0</v>
      </c>
      <c r="CR9" s="122">
        <f>SUMIFS('Revenue Tracking'!$F$13:$F$26, 'Revenue Tracking'!$P$13:$P$26, "&gt;="&amp;CR1,'Revenue Tracking'!$P$13:$P$26, "&lt;"&amp;CS1)</f>
        <v>0</v>
      </c>
      <c r="CS9" s="122">
        <f>SUMIFS('Revenue Tracking'!$F$13:$F$26, 'Revenue Tracking'!$P$13:$P$26, "&gt;="&amp;CS1,'Revenue Tracking'!$P$13:$P$26, "&lt;"&amp;CT1)</f>
        <v>0</v>
      </c>
      <c r="CT9" s="122">
        <f>SUMIFS('Revenue Tracking'!$F$13:$F$26, 'Revenue Tracking'!$P$13:$P$26, "&gt;="&amp;CT1,'Revenue Tracking'!$P$13:$P$26, "&lt;"&amp;CU1)</f>
        <v>0</v>
      </c>
      <c r="CU9" s="122">
        <f>SUMIFS('Revenue Tracking'!$F$13:$F$26, 'Revenue Tracking'!$P$13:$P$26, "&gt;="&amp;CU1,'Revenue Tracking'!$P$13:$P$26, "&lt;"&amp;CV1)</f>
        <v>0</v>
      </c>
      <c r="CV9" s="122">
        <f>SUMIFS('Revenue Tracking'!$F$13:$F$26, 'Revenue Tracking'!$P$13:$P$26, "&gt;="&amp;CV1,'Revenue Tracking'!$P$13:$P$26, "&lt;"&amp;CW1)</f>
        <v>0</v>
      </c>
      <c r="CW9" s="122">
        <f>SUMIFS('Revenue Tracking'!$F$13:$F$26, 'Revenue Tracking'!$P$13:$P$26, "&gt;="&amp;CW1,'Revenue Tracking'!$P$13:$P$26, "&lt;"&amp;CX1)</f>
        <v>0</v>
      </c>
      <c r="CX9" s="122">
        <f>SUMIFS('Revenue Tracking'!$F$13:$F$26, 'Revenue Tracking'!$P$13:$P$26, "&gt;="&amp;CX1,'Revenue Tracking'!$P$13:$P$26, "&lt;"&amp;CY1)</f>
        <v>0</v>
      </c>
      <c r="CY9" s="122">
        <f>SUMIFS('Revenue Tracking'!$F$13:$F$26, 'Revenue Tracking'!$P$13:$P$26, "&gt;="&amp;CY1,'Revenue Tracking'!$P$13:$P$26, "&lt;"&amp;CZ1)</f>
        <v>0</v>
      </c>
      <c r="CZ9" s="122">
        <f>SUMIFS('Revenue Tracking'!$F$13:$F$26, 'Revenue Tracking'!$P$13:$P$26, "&gt;="&amp;CZ1,'Revenue Tracking'!$P$13:$P$26, "&lt;"&amp;DA1)</f>
        <v>0</v>
      </c>
      <c r="DA9" s="122">
        <f>SUMIFS('Revenue Tracking'!$F$13:$F$26, 'Revenue Tracking'!$P$13:$P$26, "&gt;="&amp;DA1,'Revenue Tracking'!$P$13:$P$26, "&lt;"&amp;DB1)</f>
        <v>0</v>
      </c>
      <c r="DB9" s="122">
        <f>SUMIFS('Revenue Tracking'!$F$13:$F$26, 'Revenue Tracking'!$P$13:$P$26, "&gt;="&amp;DB1,'Revenue Tracking'!$P$13:$P$26, "&lt;"&amp;DC1)</f>
        <v>0</v>
      </c>
      <c r="DC9" s="122">
        <f>SUMIFS('Revenue Tracking'!$F$13:$F$26, 'Revenue Tracking'!$P$13:$P$26, "&gt;="&amp;DC1,'Revenue Tracking'!$P$13:$P$26, "&lt;"&amp;DD1)</f>
        <v>0</v>
      </c>
      <c r="DD9" s="122">
        <f>SUMIFS('Revenue Tracking'!$F$13:$F$26, 'Revenue Tracking'!$P$13:$P$26, "&gt;="&amp;DD1,'Revenue Tracking'!$P$13:$P$26, "&lt;"&amp;DE1)</f>
        <v>0</v>
      </c>
      <c r="DE9" s="122">
        <f>SUMIFS('Revenue Tracking'!$F$13:$F$26, 'Revenue Tracking'!$P$13:$P$26, "&gt;="&amp;DE1,'Revenue Tracking'!$P$13:$P$26, "&lt;"&amp;DF1)</f>
        <v>0</v>
      </c>
      <c r="DF9" s="122">
        <f>SUMIFS('Revenue Tracking'!$F$13:$F$26, 'Revenue Tracking'!$P$13:$P$26, "&gt;="&amp;DF1,'Revenue Tracking'!$P$13:$P$26, "&lt;"&amp;DG1)</f>
        <v>0</v>
      </c>
      <c r="DG9" s="122">
        <f>SUMIFS('Revenue Tracking'!$F$13:$F$26, 'Revenue Tracking'!$P$13:$P$26, "&gt;="&amp;DG1,'Revenue Tracking'!$P$13:$P$26, "&lt;"&amp;DH1)</f>
        <v>0</v>
      </c>
      <c r="DH9" s="122">
        <f>SUMIFS('Revenue Tracking'!$F$13:$F$26, 'Revenue Tracking'!$P$13:$P$26, "&gt;="&amp;DH1,'Revenue Tracking'!$P$13:$P$26, "&lt;"&amp;DI1)</f>
        <v>0</v>
      </c>
      <c r="DI9" s="122">
        <f>SUMIFS('Revenue Tracking'!$F$13:$F$26, 'Revenue Tracking'!$P$13:$P$26, "&gt;="&amp;DI1,'Revenue Tracking'!$P$13:$P$26, "&lt;"&amp;DJ1)</f>
        <v>0</v>
      </c>
      <c r="DJ9" s="122">
        <f>SUMIFS('Revenue Tracking'!$F$13:$F$26, 'Revenue Tracking'!$P$13:$P$26, "&gt;="&amp;DJ1,'Revenue Tracking'!$P$13:$P$26, "&lt;"&amp;DK1)</f>
        <v>0</v>
      </c>
      <c r="DK9" s="122">
        <f>SUMIFS('Revenue Tracking'!$F$13:$F$26, 'Revenue Tracking'!$P$13:$P$26, "&gt;="&amp;DK1,'Revenue Tracking'!$P$13:$P$26, "&lt;"&amp;DL1)</f>
        <v>0</v>
      </c>
      <c r="DL9" s="122">
        <f>SUMIFS('Revenue Tracking'!$F$13:$F$26, 'Revenue Tracking'!$P$13:$P$26, "&gt;="&amp;DL1,'Revenue Tracking'!$P$13:$P$26, "&lt;"&amp;DM1)</f>
        <v>0</v>
      </c>
      <c r="DM9" s="122">
        <f>SUMIFS('Revenue Tracking'!$F$13:$F$26, 'Revenue Tracking'!$P$13:$P$26, "&gt;="&amp;DM1,'Revenue Tracking'!$P$13:$P$26, "&lt;"&amp;DN1)</f>
        <v>0</v>
      </c>
      <c r="DN9" s="122">
        <f>SUMIFS('Revenue Tracking'!$F$13:$F$26, 'Revenue Tracking'!$P$13:$P$26, "&gt;="&amp;DN1,'Revenue Tracking'!$P$13:$P$26, "&lt;"&amp;DO1)</f>
        <v>0</v>
      </c>
      <c r="DO9" s="122">
        <f>SUMIFS('Revenue Tracking'!$F$13:$F$26, 'Revenue Tracking'!$P$13:$P$26, "&gt;="&amp;DO1,'Revenue Tracking'!$P$13:$P$26, "&lt;"&amp;DP1)</f>
        <v>0</v>
      </c>
      <c r="DP9" s="122">
        <f>SUMIFS('Revenue Tracking'!$F$13:$F$26, 'Revenue Tracking'!$P$13:$P$26, "&gt;="&amp;DP1,'Revenue Tracking'!$P$13:$P$26, "&lt;"&amp;DQ1)</f>
        <v>0</v>
      </c>
      <c r="DQ9" s="122">
        <f>SUMIFS('Revenue Tracking'!$F$13:$F$26, 'Revenue Tracking'!$P$13:$P$26, "&gt;="&amp;DQ1,'Revenue Tracking'!$P$13:$P$26, "&lt;"&amp;DR1)</f>
        <v>0</v>
      </c>
      <c r="DR9" s="122">
        <f>SUMIFS('Revenue Tracking'!$F$13:$F$26, 'Revenue Tracking'!$P$13:$P$26, "&gt;="&amp;DR1,'Revenue Tracking'!$P$13:$P$26, "&lt;"&amp;DS1)</f>
        <v>0</v>
      </c>
      <c r="DS9" s="122">
        <f>SUMIFS('Revenue Tracking'!$F$13:$F$26, 'Revenue Tracking'!$P$13:$P$26, "&gt;="&amp;DS1,'Revenue Tracking'!$P$13:$P$26, "&lt;"&amp;DT1)</f>
        <v>0</v>
      </c>
      <c r="DT9" s="122">
        <f>SUMIFS('Revenue Tracking'!$F$13:$F$26, 'Revenue Tracking'!$P$13:$P$26, "&gt;="&amp;DT1,'Revenue Tracking'!$P$13:$P$26, "&lt;"&amp;DU1)</f>
        <v>0</v>
      </c>
      <c r="DU9" s="122">
        <f>SUMIFS('Revenue Tracking'!$F$13:$F$26, 'Revenue Tracking'!$P$13:$P$26, "&gt;="&amp;DU1,'Revenue Tracking'!$P$13:$P$26, "&lt;"&amp;DV1)</f>
        <v>0</v>
      </c>
      <c r="DV9" s="122">
        <f>SUMIFS('Revenue Tracking'!$F$13:$F$26, 'Revenue Tracking'!$P$13:$P$26, "&gt;="&amp;DV1,'Revenue Tracking'!$P$13:$P$26, "&lt;"&amp;DW1)</f>
        <v>0</v>
      </c>
      <c r="DW9" s="122">
        <f>SUMIFS('Revenue Tracking'!$F$13:$F$26, 'Revenue Tracking'!$P$13:$P$26, "&gt;="&amp;DW1,'Revenue Tracking'!$P$13:$P$26, "&lt;"&amp;DX1)</f>
        <v>0</v>
      </c>
      <c r="DX9" s="122">
        <f>SUMIFS('Revenue Tracking'!$F$13:$F$26, 'Revenue Tracking'!$P$13:$P$26, "&gt;="&amp;DX1,'Revenue Tracking'!$P$13:$P$26, "&lt;"&amp;DY1)</f>
        <v>0</v>
      </c>
      <c r="DY9" s="122">
        <f>SUMIFS('Revenue Tracking'!$F$13:$F$26, 'Revenue Tracking'!$P$13:$P$26, "&gt;="&amp;DY1,'Revenue Tracking'!$P$13:$P$26, "&lt;"&amp;DZ1)</f>
        <v>0</v>
      </c>
      <c r="DZ9" s="122">
        <f>SUMIFS('Revenue Tracking'!$F$13:$F$26, 'Revenue Tracking'!$P$13:$P$26, "&gt;="&amp;DZ1,'Revenue Tracking'!$P$13:$P$26, "&lt;"&amp;EA1)</f>
        <v>0</v>
      </c>
      <c r="EA9" s="122">
        <f>SUMIFS('Revenue Tracking'!$F$13:$F$26, 'Revenue Tracking'!$P$13:$P$26, "&gt;="&amp;EA1,'Revenue Tracking'!$P$13:$P$26, "&lt;"&amp;EB1)</f>
        <v>0</v>
      </c>
      <c r="EB9" s="122">
        <f>SUMIFS('Revenue Tracking'!$F$13:$F$26, 'Revenue Tracking'!$P$13:$P$26, "&gt;="&amp;EB1,'Revenue Tracking'!$P$13:$P$26, "&lt;"&amp;EC1)</f>
        <v>0</v>
      </c>
      <c r="EC9" s="122">
        <f>SUMIFS('Revenue Tracking'!$F$13:$F$26, 'Revenue Tracking'!$P$13:$P$26, "&gt;="&amp;EC1,'Revenue Tracking'!$P$13:$P$26, "&lt;"&amp;ED1)</f>
        <v>0</v>
      </c>
      <c r="ED9" s="122">
        <f>SUMIFS('Revenue Tracking'!$F$13:$F$26, 'Revenue Tracking'!$P$13:$P$26, "&gt;="&amp;ED1,'Revenue Tracking'!$P$13:$P$26, "&lt;"&amp;EE1)</f>
        <v>0</v>
      </c>
      <c r="EE9" s="122">
        <f>SUMIFS('Revenue Tracking'!$F$13:$F$26, 'Revenue Tracking'!$P$13:$P$26, "&gt;="&amp;EE1,'Revenue Tracking'!$P$13:$P$26, "&lt;"&amp;EF1)</f>
        <v>0</v>
      </c>
      <c r="EF9" s="122">
        <f>SUMIFS('Revenue Tracking'!$F$13:$F$26, 'Revenue Tracking'!$P$13:$P$26, "&gt;="&amp;EF1,'Revenue Tracking'!$P$13:$P$26, "&lt;"&amp;EG1)</f>
        <v>0</v>
      </c>
      <c r="EG9" s="122">
        <f>SUMIFS('Revenue Tracking'!$F$13:$F$26, 'Revenue Tracking'!$P$13:$P$26, "&gt;="&amp;EG1,'Revenue Tracking'!$P$13:$P$26, "&lt;"&amp;EH1)</f>
        <v>0</v>
      </c>
      <c r="EH9" s="122">
        <f>SUMIFS('Revenue Tracking'!$F$13:$F$26, 'Revenue Tracking'!$P$13:$P$26, "&gt;="&amp;EH1,'Revenue Tracking'!$P$13:$P$26, "&lt;"&amp;EI1)</f>
        <v>0</v>
      </c>
      <c r="EI9" s="122">
        <f>SUMIFS('Revenue Tracking'!$F$13:$F$26, 'Revenue Tracking'!$P$13:$P$26, "&gt;="&amp;EI1,'Revenue Tracking'!$P$13:$P$26, "&lt;"&amp;EJ1)</f>
        <v>0</v>
      </c>
      <c r="EJ9" s="122">
        <f>SUMIFS('Revenue Tracking'!$F$13:$F$26, 'Revenue Tracking'!$P$13:$P$26, "&gt;="&amp;EJ1,'Revenue Tracking'!$P$13:$P$26, "&lt;"&amp;EK1)</f>
        <v>0</v>
      </c>
      <c r="EK9" s="122">
        <f>SUMIFS('Revenue Tracking'!$F$13:$F$26, 'Revenue Tracking'!$P$13:$P$26, "&gt;="&amp;EK1,'Revenue Tracking'!$P$13:$P$26, "&lt;"&amp;EL1)</f>
        <v>0</v>
      </c>
      <c r="EL9" s="122">
        <f>SUMIFS('Revenue Tracking'!$F$13:$F$26, 'Revenue Tracking'!$P$13:$P$26, "&gt;="&amp;EL1,'Revenue Tracking'!$P$13:$P$26, "&lt;"&amp;EM1)</f>
        <v>0</v>
      </c>
      <c r="EM9" s="122">
        <f>SUMIFS('Revenue Tracking'!$F$13:$F$26, 'Revenue Tracking'!$P$13:$P$26, "&gt;="&amp;EM1,'Revenue Tracking'!$P$13:$P$26, "&lt;"&amp;EN1)</f>
        <v>0</v>
      </c>
      <c r="EN9" s="122">
        <f>SUMIFS('Revenue Tracking'!$F$13:$F$26, 'Revenue Tracking'!$P$13:$P$26, "&gt;="&amp;EN1,'Revenue Tracking'!$P$13:$P$26, "&lt;"&amp;EO1)</f>
        <v>0</v>
      </c>
      <c r="EO9" s="122">
        <f>SUMIFS('Revenue Tracking'!$F$13:$F$26, 'Revenue Tracking'!$P$13:$P$26, "&gt;="&amp;EO1,'Revenue Tracking'!$P$13:$P$26, "&lt;"&amp;EP1)</f>
        <v>0</v>
      </c>
      <c r="EP9" s="122">
        <f>SUMIFS('Revenue Tracking'!$F$13:$F$26, 'Revenue Tracking'!$P$13:$P$26, "&gt;="&amp;EP1,'Revenue Tracking'!$P$13:$P$26, "&lt;"&amp;EQ1)</f>
        <v>0</v>
      </c>
      <c r="EQ9" s="122">
        <f>SUMIFS('Revenue Tracking'!$F$13:$F$26, 'Revenue Tracking'!$P$13:$P$26, "&gt;="&amp;EQ1,'Revenue Tracking'!$P$13:$P$26, "&lt;"&amp;ER1)</f>
        <v>0</v>
      </c>
      <c r="ER9" s="122">
        <f>SUMIFS('Revenue Tracking'!$F$13:$F$26, 'Revenue Tracking'!$P$13:$P$26, "&gt;="&amp;ER1,'Revenue Tracking'!$P$13:$P$26, "&lt;"&amp;ES1)</f>
        <v>0</v>
      </c>
      <c r="ES9" s="122">
        <f>SUMIFS('Revenue Tracking'!$F$13:$F$26, 'Revenue Tracking'!$P$13:$P$26, "&gt;="&amp;ES1,'Revenue Tracking'!$P$13:$P$26, "&lt;"&amp;ET1)</f>
        <v>0</v>
      </c>
      <c r="ET9" s="122">
        <f>SUMIFS('Revenue Tracking'!$F$13:$F$26, 'Revenue Tracking'!$P$13:$P$26, "&gt;="&amp;ET1,'Revenue Tracking'!$P$13:$P$26, "&lt;"&amp;EU1)</f>
        <v>0</v>
      </c>
      <c r="EU9" s="122">
        <f>SUMIFS('Revenue Tracking'!$F$13:$F$26, 'Revenue Tracking'!$P$13:$P$26, "&gt;="&amp;EU1,'Revenue Tracking'!$P$13:$P$26, "&lt;"&amp;EV1)</f>
        <v>0</v>
      </c>
      <c r="EV9" s="122">
        <f>SUMIFS('Revenue Tracking'!$F$13:$F$26, 'Revenue Tracking'!$P$13:$P$26, "&gt;="&amp;EV1,'Revenue Tracking'!$P$13:$P$26, "&lt;"&amp;EW1)</f>
        <v>0</v>
      </c>
      <c r="EW9" s="122">
        <f>SUMIFS('Revenue Tracking'!$F$13:$F$26, 'Revenue Tracking'!$P$13:$P$26, "&gt;="&amp;EW1,'Revenue Tracking'!$P$13:$P$26, "&lt;"&amp;EX1)</f>
        <v>0</v>
      </c>
      <c r="EX9" s="122">
        <f>SUMIFS('Revenue Tracking'!$F$13:$F$26, 'Revenue Tracking'!$P$13:$P$26, "&gt;="&amp;EX1,'Revenue Tracking'!$P$13:$P$26, "&lt;"&amp;EY1)</f>
        <v>0</v>
      </c>
      <c r="EY9" s="122">
        <f>SUMIFS('Revenue Tracking'!$F$13:$F$26, 'Revenue Tracking'!$P$13:$P$26, "&gt;="&amp;EY1,'Revenue Tracking'!$P$13:$P$26, "&lt;"&amp;EZ1)</f>
        <v>0</v>
      </c>
      <c r="EZ9" s="122">
        <f>SUMIFS('Revenue Tracking'!$F$13:$F$26, 'Revenue Tracking'!$P$13:$P$26, "&gt;="&amp;EZ1,'Revenue Tracking'!$P$13:$P$26, "&lt;"&amp;FA1)</f>
        <v>0</v>
      </c>
      <c r="FA9" s="122">
        <f>SUMIFS('Revenue Tracking'!$F$13:$F$26, 'Revenue Tracking'!$P$13:$P$26, "&gt;="&amp;FA1,'Revenue Tracking'!$P$13:$P$26, "&lt;"&amp;FB1)</f>
        <v>0</v>
      </c>
      <c r="FB9" s="122">
        <f>SUMIFS('Revenue Tracking'!$F$13:$F$26, 'Revenue Tracking'!$P$13:$P$26, "&gt;="&amp;FB1,'Revenue Tracking'!$P$13:$P$26, "&lt;"&amp;FC1)</f>
        <v>0</v>
      </c>
      <c r="FC9" s="122">
        <f>SUMIFS('Revenue Tracking'!$F$13:$F$26, 'Revenue Tracking'!$P$13:$P$26, "&gt;="&amp;FC1,'Revenue Tracking'!$P$13:$P$26, "&lt;"&amp;FD1)</f>
        <v>0</v>
      </c>
      <c r="FD9" s="122">
        <f>SUMIFS('Revenue Tracking'!$F$13:$F$26, 'Revenue Tracking'!$P$13:$P$26, "&gt;="&amp;FD1,'Revenue Tracking'!$P$13:$P$26, "&lt;"&amp;FE1)</f>
        <v>0</v>
      </c>
      <c r="FE9" s="122">
        <f>SUMIFS('Revenue Tracking'!$F$13:$F$26, 'Revenue Tracking'!$P$13:$P$26, "&gt;="&amp;FE1,'Revenue Tracking'!$P$13:$P$26, "&lt;"&amp;FF1)</f>
        <v>0</v>
      </c>
      <c r="FF9" s="122">
        <f>SUMIFS('Revenue Tracking'!$F$13:$F$26, 'Revenue Tracking'!$P$13:$P$26, "&gt;="&amp;FF1,'Revenue Tracking'!$P$13:$P$26, "&lt;"&amp;FG1)</f>
        <v>0</v>
      </c>
      <c r="FG9" s="122">
        <f>SUMIFS('Revenue Tracking'!$F$13:$F$26, 'Revenue Tracking'!$P$13:$P$26, "&gt;="&amp;FG1,'Revenue Tracking'!$P$13:$P$26, "&lt;"&amp;FH1)</f>
        <v>0</v>
      </c>
      <c r="FH9" s="122">
        <f>SUMIFS('Revenue Tracking'!$F$13:$F$26, 'Revenue Tracking'!$P$13:$P$26, "&gt;="&amp;FH1,'Revenue Tracking'!$P$13:$P$26, "&lt;"&amp;FI1)</f>
        <v>0</v>
      </c>
      <c r="FI9" s="122">
        <f>SUMIFS('Revenue Tracking'!$F$13:$F$26, 'Revenue Tracking'!$P$13:$P$26, "&gt;="&amp;FI1,'Revenue Tracking'!$P$13:$P$26, "&lt;"&amp;FJ1)</f>
        <v>0</v>
      </c>
      <c r="FJ9" s="122">
        <f>SUMIFS('Revenue Tracking'!$F$13:$F$26, 'Revenue Tracking'!$P$13:$P$26, "&gt;="&amp;FJ1,'Revenue Tracking'!$P$13:$P$26, "&lt;"&amp;FK1)</f>
        <v>0</v>
      </c>
      <c r="FK9" s="122">
        <f>SUMIFS('Revenue Tracking'!$F$13:$F$26, 'Revenue Tracking'!$P$13:$P$26, "&gt;="&amp;FK1,'Revenue Tracking'!$P$13:$P$26, "&lt;"&amp;FL1)</f>
        <v>0</v>
      </c>
      <c r="FL9" s="122">
        <f>SUMIFS('Revenue Tracking'!$F$13:$F$26, 'Revenue Tracking'!$P$13:$P$26, "&gt;="&amp;FL1,'Revenue Tracking'!$P$13:$P$26, "&lt;"&amp;FM1)</f>
        <v>0</v>
      </c>
      <c r="FM9" s="122">
        <f>SUMIFS('Revenue Tracking'!$F$13:$F$26, 'Revenue Tracking'!$P$13:$P$26, "&gt;="&amp;FM1,'Revenue Tracking'!$P$13:$P$26, "&lt;"&amp;FN1)</f>
        <v>0</v>
      </c>
      <c r="FN9" s="122">
        <f>SUMIFS('Revenue Tracking'!$F$13:$F$26, 'Revenue Tracking'!$P$13:$P$26, "&gt;="&amp;FN1,'Revenue Tracking'!$P$13:$P$26, "&lt;"&amp;FO1)</f>
        <v>0</v>
      </c>
      <c r="FO9" s="122">
        <f>SUMIFS('Revenue Tracking'!$F$13:$F$26, 'Revenue Tracking'!$P$13:$P$26, "&gt;="&amp;FO1,'Revenue Tracking'!$P$13:$P$26, "&lt;"&amp;FP1)</f>
        <v>0</v>
      </c>
      <c r="FP9" s="122">
        <f>SUMIFS('Revenue Tracking'!$F$13:$F$26, 'Revenue Tracking'!$P$13:$P$26, "&gt;="&amp;FP1,'Revenue Tracking'!$P$13:$P$26, "&lt;"&amp;FQ1)</f>
        <v>0</v>
      </c>
      <c r="FQ9" s="122">
        <f>SUMIFS('Revenue Tracking'!$F$13:$F$26, 'Revenue Tracking'!$P$13:$P$26, "&gt;="&amp;FQ1,'Revenue Tracking'!$P$13:$P$26, "&lt;"&amp;FR1)</f>
        <v>0</v>
      </c>
      <c r="FR9" s="122">
        <f>SUMIFS('Revenue Tracking'!$F$13:$F$26, 'Revenue Tracking'!$P$13:$P$26, "&gt;="&amp;FR1,'Revenue Tracking'!$P$13:$P$26, "&lt;"&amp;FS1)</f>
        <v>0</v>
      </c>
      <c r="FS9" s="122">
        <f>SUMIFS('Revenue Tracking'!$F$13:$F$26, 'Revenue Tracking'!$P$13:$P$26, "&gt;="&amp;FS1,'Revenue Tracking'!$P$13:$P$26, "&lt;"&amp;FT1)</f>
        <v>0</v>
      </c>
      <c r="FT9" s="122">
        <f>SUMIFS('Revenue Tracking'!$F$13:$F$26, 'Revenue Tracking'!$P$13:$P$26, "&gt;="&amp;FT1,'Revenue Tracking'!$P$13:$P$26, "&lt;"&amp;FU1)</f>
        <v>0</v>
      </c>
      <c r="FU9" s="122">
        <f>SUMIFS('Revenue Tracking'!$F$13:$F$26, 'Revenue Tracking'!$P$13:$P$26, "&gt;="&amp;FU1,'Revenue Tracking'!$P$13:$P$26, "&lt;"&amp;FV1)</f>
        <v>0</v>
      </c>
      <c r="FV9" s="122">
        <f>SUMIFS('Revenue Tracking'!$F$13:$F$26, 'Revenue Tracking'!$P$13:$P$26, "&gt;="&amp;FV1,'Revenue Tracking'!$P$13:$P$26, "&lt;"&amp;FW1)</f>
        <v>0</v>
      </c>
      <c r="FW9" s="122">
        <f>SUMIFS('Revenue Tracking'!$F$13:$F$26, 'Revenue Tracking'!$P$13:$P$26, "&gt;="&amp;FW1,'Revenue Tracking'!$P$13:$P$26, "&lt;"&amp;FX1)</f>
        <v>0</v>
      </c>
      <c r="FX9" s="122">
        <f>SUMIFS('Revenue Tracking'!$F$13:$F$26, 'Revenue Tracking'!$P$13:$P$26, "&gt;="&amp;FX1,'Revenue Tracking'!$P$13:$P$26, "&lt;"&amp;FY1)</f>
        <v>0</v>
      </c>
      <c r="FY9" s="122">
        <f>SUMIFS('Revenue Tracking'!$F$13:$F$26, 'Revenue Tracking'!$P$13:$P$26, "&gt;="&amp;FY1,'Revenue Tracking'!$P$13:$P$26, "&lt;"&amp;FZ1)</f>
        <v>0</v>
      </c>
      <c r="FZ9" s="122">
        <f>SUMIFS('Revenue Tracking'!$F$13:$F$26, 'Revenue Tracking'!$P$13:$P$26, "&gt;="&amp;FZ1,'Revenue Tracking'!$P$13:$P$26, "&lt;"&amp;GA1)</f>
        <v>0</v>
      </c>
      <c r="GA9" s="122">
        <f>SUMIFS('Revenue Tracking'!$F$13:$F$26, 'Revenue Tracking'!$P$13:$P$26, "&gt;="&amp;GA1,'Revenue Tracking'!$P$13:$P$26, "&lt;"&amp;GB1)</f>
        <v>0</v>
      </c>
      <c r="GB9" s="122">
        <f>SUMIFS('Revenue Tracking'!$F$13:$F$26, 'Revenue Tracking'!$P$13:$P$26, "&gt;="&amp;GB1,'Revenue Tracking'!$P$13:$P$26, "&lt;"&amp;GC1)</f>
        <v>0</v>
      </c>
      <c r="GC9" s="122">
        <f>SUMIFS('Revenue Tracking'!$F$13:$F$26, 'Revenue Tracking'!$P$13:$P$26, "&gt;="&amp;GC1,'Revenue Tracking'!$P$13:$P$26, "&lt;"&amp;GD1)</f>
        <v>0</v>
      </c>
      <c r="GD9" s="122">
        <f>SUMIFS('Revenue Tracking'!$F$13:$F$26, 'Revenue Tracking'!$P$13:$P$26, "&gt;="&amp;GD1,'Revenue Tracking'!$P$13:$P$26, "&lt;"&amp;GE1)</f>
        <v>0</v>
      </c>
      <c r="GE9" s="122">
        <f>SUMIFS('Revenue Tracking'!$F$13:$F$26, 'Revenue Tracking'!$P$13:$P$26, "&gt;="&amp;GE1,'Revenue Tracking'!$P$13:$P$26, "&lt;"&amp;GF1)</f>
        <v>0</v>
      </c>
      <c r="GF9" s="122">
        <f>SUMIFS('Revenue Tracking'!$F$13:$F$26, 'Revenue Tracking'!$P$13:$P$26, "&gt;="&amp;GF1,'Revenue Tracking'!$P$13:$P$26, "&lt;"&amp;GG1)</f>
        <v>0</v>
      </c>
      <c r="GG9" s="122">
        <f>SUMIFS('Revenue Tracking'!$F$13:$F$26, 'Revenue Tracking'!$P$13:$P$26, "&gt;="&amp;GG1,'Revenue Tracking'!$P$13:$P$26, "&lt;"&amp;GH1)</f>
        <v>0</v>
      </c>
      <c r="GH9" s="122">
        <f>SUMIFS('Revenue Tracking'!$F$13:$F$26, 'Revenue Tracking'!$P$13:$P$26, "&gt;="&amp;GH1,'Revenue Tracking'!$P$13:$P$26, "&lt;"&amp;GI1)</f>
        <v>0</v>
      </c>
      <c r="GI9" s="122">
        <f>SUMIFS('Revenue Tracking'!$F$13:$F$26, 'Revenue Tracking'!$P$13:$P$26, "&gt;="&amp;GI1,'Revenue Tracking'!$P$13:$P$26, "&lt;"&amp;GJ1)</f>
        <v>0</v>
      </c>
      <c r="GJ9" s="122">
        <f>SUMIFS('Revenue Tracking'!$F$13:$F$26, 'Revenue Tracking'!$P$13:$P$26, "&gt;="&amp;GJ1,'Revenue Tracking'!$P$13:$P$26, "&lt;"&amp;GK1)</f>
        <v>0</v>
      </c>
      <c r="GK9" s="122">
        <f>SUMIFS('Revenue Tracking'!$F$13:$F$26, 'Revenue Tracking'!$P$13:$P$26, "&gt;="&amp;GK1,'Revenue Tracking'!$P$13:$P$26, "&lt;"&amp;GL1)</f>
        <v>0</v>
      </c>
      <c r="GL9" s="122">
        <f>SUMIFS('Revenue Tracking'!$F$13:$F$26, 'Revenue Tracking'!$P$13:$P$26, "&gt;="&amp;GL1,'Revenue Tracking'!$P$13:$P$26, "&lt;"&amp;GM1)</f>
        <v>0</v>
      </c>
      <c r="GM9" s="122">
        <f>SUMIFS('Revenue Tracking'!$F$13:$F$26, 'Revenue Tracking'!$P$13:$P$26, "&gt;="&amp;GM1,'Revenue Tracking'!$P$13:$P$26, "&lt;"&amp;GN1)</f>
        <v>0</v>
      </c>
      <c r="GN9" s="122">
        <f>SUMIFS('Revenue Tracking'!$F$13:$F$26, 'Revenue Tracking'!$P$13:$P$26, "&gt;="&amp;GN1,'Revenue Tracking'!$P$13:$P$26, "&lt;"&amp;GO1)</f>
        <v>0</v>
      </c>
      <c r="GO9" s="122">
        <f>SUMIFS('Revenue Tracking'!$F$13:$F$26, 'Revenue Tracking'!$P$13:$P$26, "&gt;="&amp;GO1,'Revenue Tracking'!$P$13:$P$26, "&lt;"&amp;GP1)</f>
        <v>0</v>
      </c>
      <c r="GP9" s="122">
        <f>SUMIFS('Revenue Tracking'!$F$13:$F$26, 'Revenue Tracking'!$P$13:$P$26, "&gt;="&amp;GP1,'Revenue Tracking'!$P$13:$P$26, "&lt;"&amp;GQ1)</f>
        <v>0</v>
      </c>
      <c r="GQ9" s="122">
        <f>SUMIFS('Revenue Tracking'!$F$13:$F$26, 'Revenue Tracking'!$P$13:$P$26, "&gt;="&amp;GQ1,'Revenue Tracking'!$P$13:$P$26, "&lt;"&amp;GR1)</f>
        <v>0</v>
      </c>
      <c r="GR9" s="122">
        <f>SUMIFS('Revenue Tracking'!$F$13:$F$26, 'Revenue Tracking'!$P$13:$P$26, "&gt;="&amp;GR1,'Revenue Tracking'!$P$13:$P$26, "&lt;"&amp;GS1)</f>
        <v>0</v>
      </c>
      <c r="GS9" s="122">
        <f>SUMIFS('Revenue Tracking'!$F$13:$F$26, 'Revenue Tracking'!$P$13:$P$26, "&gt;="&amp;GS1,'Revenue Tracking'!$P$13:$P$26, "&lt;"&amp;GT1)</f>
        <v>0</v>
      </c>
      <c r="GT9" s="122">
        <f>SUMIFS('Revenue Tracking'!$F$13:$F$26, 'Revenue Tracking'!$P$13:$P$26, "&gt;="&amp;GT1,'Revenue Tracking'!$P$13:$P$26, "&lt;"&amp;GU1)</f>
        <v>0</v>
      </c>
      <c r="GU9" s="122">
        <f>SUMIFS('Revenue Tracking'!$F$13:$F$26, 'Revenue Tracking'!$P$13:$P$26, "&gt;="&amp;GU1,'Revenue Tracking'!$P$13:$P$26, "&lt;"&amp;GV1)</f>
        <v>0</v>
      </c>
      <c r="GV9" s="122">
        <f>SUMIFS('Revenue Tracking'!$F$13:$F$26, 'Revenue Tracking'!$P$13:$P$26, "&gt;="&amp;GV1,'Revenue Tracking'!$P$13:$P$26, "&lt;"&amp;GW1)</f>
        <v>0</v>
      </c>
      <c r="GW9" s="122">
        <f>SUMIFS('Revenue Tracking'!$F$13:$F$26, 'Revenue Tracking'!$P$13:$P$26, "&gt;="&amp;GW1,'Revenue Tracking'!$P$13:$P$26, "&lt;"&amp;GX1)</f>
        <v>0</v>
      </c>
      <c r="GX9" s="122">
        <f>SUMIFS('Revenue Tracking'!$F$13:$F$26, 'Revenue Tracking'!$P$13:$P$26, "&gt;="&amp;GX1,'Revenue Tracking'!$P$13:$P$26, "&lt;"&amp;GY1)</f>
        <v>0</v>
      </c>
      <c r="GY9" s="122">
        <f>SUMIFS('Revenue Tracking'!$F$13:$F$26, 'Revenue Tracking'!$P$13:$P$26, "&gt;="&amp;GY1,'Revenue Tracking'!$P$13:$P$26, "&lt;"&amp;GZ1)</f>
        <v>0</v>
      </c>
      <c r="GZ9" s="122">
        <f>SUMIFS('Revenue Tracking'!$F$13:$F$26, 'Revenue Tracking'!$P$13:$P$26, "&gt;="&amp;GZ1,'Revenue Tracking'!$P$13:$P$26, "&lt;"&amp;HA1)</f>
        <v>0</v>
      </c>
      <c r="HA9" s="122">
        <f>SUMIFS('Revenue Tracking'!$F$13:$F$26, 'Revenue Tracking'!$P$13:$P$26, "&gt;="&amp;HA1,'Revenue Tracking'!$P$13:$P$26, "&lt;"&amp;HB1)</f>
        <v>0</v>
      </c>
      <c r="HB9" s="122">
        <f>SUMIFS('Revenue Tracking'!$F$13:$F$26, 'Revenue Tracking'!$P$13:$P$26, "&gt;="&amp;HB1,'Revenue Tracking'!$P$13:$P$26, "&lt;"&amp;HC1)</f>
        <v>0</v>
      </c>
      <c r="HC9" s="122">
        <f>SUMIFS('Revenue Tracking'!$F$13:$F$26, 'Revenue Tracking'!$P$13:$P$26, "&gt;="&amp;HC1,'Revenue Tracking'!$P$13:$P$26, "&lt;"&amp;HD1)</f>
        <v>0</v>
      </c>
      <c r="HD9" s="122">
        <f>SUMIFS('Revenue Tracking'!$F$13:$F$26, 'Revenue Tracking'!$P$13:$P$26, "&gt;="&amp;HD1,'Revenue Tracking'!$P$13:$P$26, "&lt;"&amp;HE1)</f>
        <v>0</v>
      </c>
      <c r="HE9" s="122">
        <f>SUMIFS('Revenue Tracking'!$F$13:$F$26, 'Revenue Tracking'!$P$13:$P$26, "&gt;="&amp;HE1,'Revenue Tracking'!$P$13:$P$26, "&lt;"&amp;HF1)</f>
        <v>0</v>
      </c>
      <c r="HF9" s="122">
        <f>SUMIFS('Revenue Tracking'!$F$13:$F$26, 'Revenue Tracking'!$P$13:$P$26, "&gt;="&amp;HF1,'Revenue Tracking'!$P$13:$P$26, "&lt;"&amp;HG1)</f>
        <v>0</v>
      </c>
      <c r="HG9" s="122">
        <f>SUMIFS('Revenue Tracking'!$F$13:$F$26, 'Revenue Tracking'!$P$13:$P$26, "&gt;="&amp;HG1,'Revenue Tracking'!$P$13:$P$26, "&lt;"&amp;HH1)</f>
        <v>0</v>
      </c>
      <c r="HH9" s="122">
        <f>SUMIFS('Revenue Tracking'!$F$13:$F$26, 'Revenue Tracking'!$P$13:$P$26, "&gt;="&amp;HH1,'Revenue Tracking'!$P$13:$P$26, "&lt;"&amp;HI1)</f>
        <v>0</v>
      </c>
      <c r="HI9" s="122">
        <f>SUMIFS('Revenue Tracking'!$F$13:$F$26, 'Revenue Tracking'!$P$13:$P$26, "&gt;="&amp;HI1,'Revenue Tracking'!$P$13:$P$26, "&lt;"&amp;HJ1)</f>
        <v>0</v>
      </c>
      <c r="HJ9" s="122">
        <f>SUMIFS('Revenue Tracking'!$F$13:$F$26, 'Revenue Tracking'!$P$13:$P$26, "&gt;="&amp;HJ1,'Revenue Tracking'!$P$13:$P$26, "&lt;"&amp;HK1)</f>
        <v>0</v>
      </c>
      <c r="HK9" s="122">
        <f>SUMIFS('Revenue Tracking'!$F$13:$F$26, 'Revenue Tracking'!$P$13:$P$26, "&gt;="&amp;HK1,'Revenue Tracking'!$P$13:$P$26, "&lt;"&amp;HL1)</f>
        <v>0</v>
      </c>
      <c r="HL9" s="122">
        <f>SUMIFS('Revenue Tracking'!$F$13:$F$26, 'Revenue Tracking'!$P$13:$P$26, "&gt;="&amp;HL1,'Revenue Tracking'!$P$13:$P$26, "&lt;"&amp;HM1)</f>
        <v>0</v>
      </c>
      <c r="HM9" s="122">
        <f>SUMIFS('Revenue Tracking'!$F$13:$F$26, 'Revenue Tracking'!$P$13:$P$26, "&gt;="&amp;HM1,'Revenue Tracking'!$P$13:$P$26, "&lt;"&amp;HN1)</f>
        <v>0</v>
      </c>
      <c r="HN9" s="122">
        <f>SUMIFS('Revenue Tracking'!$F$13:$F$26, 'Revenue Tracking'!$P$13:$P$26, "&gt;="&amp;HN1,'Revenue Tracking'!$P$13:$P$26, "&lt;"&amp;HO1)</f>
        <v>0</v>
      </c>
      <c r="HO9" s="122">
        <f>SUMIFS('Revenue Tracking'!$F$13:$F$26, 'Revenue Tracking'!$P$13:$P$26, "&gt;="&amp;HO1,'Revenue Tracking'!$P$13:$P$26, "&lt;"&amp;HP1)</f>
        <v>0</v>
      </c>
      <c r="HP9" s="122">
        <f>SUMIFS('Revenue Tracking'!$F$13:$F$26, 'Revenue Tracking'!$P$13:$P$26, "&gt;="&amp;HP1,'Revenue Tracking'!$P$13:$P$26, "&lt;"&amp;HQ1)</f>
        <v>0</v>
      </c>
      <c r="HQ9" s="122">
        <f>SUMIFS('Revenue Tracking'!$F$13:$F$26, 'Revenue Tracking'!$P$13:$P$26, "&gt;="&amp;HQ1,'Revenue Tracking'!$P$13:$P$26, "&lt;"&amp;HR1)</f>
        <v>0</v>
      </c>
      <c r="HR9" s="122">
        <f>SUMIFS('Revenue Tracking'!$F$13:$F$26, 'Revenue Tracking'!$P$13:$P$26, "&gt;="&amp;HR1,'Revenue Tracking'!$P$13:$P$26, "&lt;"&amp;HS1)</f>
        <v>0</v>
      </c>
      <c r="HS9" s="122">
        <f>SUMIFS('Revenue Tracking'!$F$13:$F$26, 'Revenue Tracking'!$P$13:$P$26, "&gt;="&amp;HS1,'Revenue Tracking'!$P$13:$P$26, "&lt;"&amp;HT1)</f>
        <v>0</v>
      </c>
      <c r="HT9" s="122">
        <f>SUMIFS('Revenue Tracking'!$F$13:$F$26, 'Revenue Tracking'!$P$13:$P$26, "&gt;="&amp;HT1,'Revenue Tracking'!$P$13:$P$26, "&lt;"&amp;HU1)</f>
        <v>0</v>
      </c>
      <c r="HU9" s="122">
        <f>SUMIFS('Revenue Tracking'!$F$13:$F$26, 'Revenue Tracking'!$P$13:$P$26, "&gt;="&amp;HU1,'Revenue Tracking'!$P$13:$P$26, "&lt;"&amp;HV1)</f>
        <v>0</v>
      </c>
      <c r="HV9" s="122">
        <f>SUMIFS('Revenue Tracking'!$F$13:$F$26, 'Revenue Tracking'!$P$13:$P$26, "&gt;="&amp;HV1,'Revenue Tracking'!$P$13:$P$26, "&lt;"&amp;HW1)</f>
        <v>0</v>
      </c>
      <c r="HW9" s="122">
        <f>SUMIFS('Revenue Tracking'!$F$13:$F$26, 'Revenue Tracking'!$P$13:$P$26, "&gt;="&amp;HW1,'Revenue Tracking'!$P$13:$P$26, "&lt;"&amp;HX1)</f>
        <v>0</v>
      </c>
      <c r="HX9" s="122">
        <f>SUMIFS('Revenue Tracking'!$F$13:$F$26, 'Revenue Tracking'!$P$13:$P$26, "&gt;="&amp;HX1,'Revenue Tracking'!$P$13:$P$26, "&lt;"&amp;HY1)</f>
        <v>0</v>
      </c>
      <c r="HY9" s="122">
        <f>SUMIFS('Revenue Tracking'!$F$13:$F$26, 'Revenue Tracking'!$P$13:$P$26, "&gt;="&amp;HY1,'Revenue Tracking'!$P$13:$P$26, "&lt;"&amp;HZ1)</f>
        <v>0</v>
      </c>
      <c r="HZ9" s="122">
        <f>SUMIFS('Revenue Tracking'!$F$13:$F$26, 'Revenue Tracking'!$P$13:$P$26, "&gt;="&amp;HZ1,'Revenue Tracking'!$P$13:$P$26, "&lt;"&amp;IA1)</f>
        <v>0</v>
      </c>
      <c r="IA9" s="122">
        <f>SUMIFS('Revenue Tracking'!$F$13:$F$26, 'Revenue Tracking'!$P$13:$P$26, "&gt;="&amp;IA1,'Revenue Tracking'!$P$13:$P$26, "&lt;"&amp;IB1)</f>
        <v>0</v>
      </c>
      <c r="IB9" s="122">
        <f>SUMIFS('Revenue Tracking'!$F$13:$F$26, 'Revenue Tracking'!$P$13:$P$26, "&gt;="&amp;IB1,'Revenue Tracking'!$P$13:$P$26, "&lt;"&amp;IC1)</f>
        <v>0</v>
      </c>
      <c r="IC9" s="122">
        <f>SUMIFS('Revenue Tracking'!$F$13:$F$26, 'Revenue Tracking'!$P$13:$P$26, "&gt;="&amp;IC1,'Revenue Tracking'!$P$13:$P$26, "&lt;"&amp;ID1)</f>
        <v>0</v>
      </c>
      <c r="ID9" s="122">
        <f>SUMIFS('Revenue Tracking'!$F$13:$F$26, 'Revenue Tracking'!$P$13:$P$26, "&gt;="&amp;ID1,'Revenue Tracking'!$P$13:$P$26, "&lt;"&amp;IE1)</f>
        <v>0</v>
      </c>
      <c r="IE9" s="122">
        <f>SUMIFS('Revenue Tracking'!$F$13:$F$26, 'Revenue Tracking'!$P$13:$P$26, "&gt;="&amp;IE1,'Revenue Tracking'!$P$13:$P$26, "&lt;"&amp;IF1)</f>
        <v>0</v>
      </c>
      <c r="IF9" s="122">
        <f>SUMIFS('Revenue Tracking'!$F$13:$F$26, 'Revenue Tracking'!$P$13:$P$26, "&gt;="&amp;IF1,'Revenue Tracking'!$P$13:$P$26, "&lt;"&amp;IG1)</f>
        <v>0</v>
      </c>
      <c r="IG9" s="122">
        <f>SUMIFS('Revenue Tracking'!$F$13:$F$26, 'Revenue Tracking'!$P$13:$P$26, "&gt;="&amp;IG1,'Revenue Tracking'!$P$13:$P$26, "&lt;"&amp;IH1)</f>
        <v>0</v>
      </c>
      <c r="IH9" s="122">
        <f>SUMIFS('Revenue Tracking'!$F$13:$F$26, 'Revenue Tracking'!$P$13:$P$26, "&gt;="&amp;IH1,'Revenue Tracking'!$P$13:$P$26, "&lt;"&amp;II1)</f>
        <v>0</v>
      </c>
      <c r="II9" s="122">
        <f>SUMIFS('Revenue Tracking'!$F$13:$F$26, 'Revenue Tracking'!$P$13:$P$26, "&gt;="&amp;II1,'Revenue Tracking'!$P$13:$P$26, "&lt;"&amp;IJ1)</f>
        <v>0</v>
      </c>
      <c r="IJ9" s="122">
        <f>SUMIFS('Revenue Tracking'!$F$13:$F$26, 'Revenue Tracking'!$P$13:$P$26, "&gt;="&amp;IJ1,'Revenue Tracking'!$P$13:$P$26, "&lt;"&amp;IK1)</f>
        <v>0</v>
      </c>
      <c r="IK9" s="122">
        <f>SUMIFS('Revenue Tracking'!$F$13:$F$26, 'Revenue Tracking'!$P$13:$P$26, "&gt;="&amp;IK1,'Revenue Tracking'!$P$13:$P$26, "&lt;"&amp;IL1)</f>
        <v>0</v>
      </c>
      <c r="IL9" s="122">
        <f>SUMIFS('Revenue Tracking'!$F$13:$F$26, 'Revenue Tracking'!$P$13:$P$26, "&gt;="&amp;IL1,'Revenue Tracking'!$P$13:$P$26, "&lt;"&amp;IM1)</f>
        <v>0</v>
      </c>
      <c r="IM9" s="122">
        <f>SUMIFS('Revenue Tracking'!$F$13:$F$26, 'Revenue Tracking'!$P$13:$P$26, "&gt;="&amp;IM1,'Revenue Tracking'!$P$13:$P$26, "&lt;"&amp;IN1)</f>
        <v>0</v>
      </c>
      <c r="IN9" s="122">
        <f>SUMIFS('Revenue Tracking'!$F$13:$F$26, 'Revenue Tracking'!$P$13:$P$26, "&gt;="&amp;IN1,'Revenue Tracking'!$P$13:$P$26, "&lt;"&amp;IO1)</f>
        <v>0</v>
      </c>
      <c r="IO9" s="122">
        <f>SUMIFS('Revenue Tracking'!$F$13:$F$26, 'Revenue Tracking'!$P$13:$P$26, "&gt;="&amp;IO1,'Revenue Tracking'!$P$13:$P$26, "&lt;"&amp;IP1)</f>
        <v>0</v>
      </c>
      <c r="IP9" s="122">
        <f>SUMIFS('Revenue Tracking'!$F$13:$F$26, 'Revenue Tracking'!$P$13:$P$26, "&gt;="&amp;IP1,'Revenue Tracking'!$P$13:$P$26, "&lt;"&amp;IQ1)</f>
        <v>0</v>
      </c>
      <c r="IQ9" s="122">
        <f>SUMIFS('Revenue Tracking'!$F$13:$F$26, 'Revenue Tracking'!$P$13:$P$26, "&gt;="&amp;IQ1,'Revenue Tracking'!$P$13:$P$26, "&lt;"&amp;IR1)</f>
        <v>0</v>
      </c>
      <c r="IR9" s="122">
        <f>SUMIFS('Revenue Tracking'!$F$13:$F$26, 'Revenue Tracking'!$P$13:$P$26, "&gt;="&amp;IR1,'Revenue Tracking'!$P$13:$P$26, "&lt;"&amp;IS1)</f>
        <v>0</v>
      </c>
      <c r="IS9" s="122">
        <f>SUMIFS('Revenue Tracking'!$F$13:$F$26, 'Revenue Tracking'!$P$13:$P$26, "&gt;="&amp;IS1,'Revenue Tracking'!$P$13:$P$26, "&lt;"&amp;IT1)</f>
        <v>0</v>
      </c>
      <c r="IT9" s="122">
        <f>SUMIFS('Revenue Tracking'!$F$13:$F$26, 'Revenue Tracking'!$P$13:$P$26, "&gt;="&amp;IT1,'Revenue Tracking'!$P$13:$P$26, "&lt;"&amp;IU1)</f>
        <v>0</v>
      </c>
      <c r="IU9" s="122">
        <f>SUMIFS('Revenue Tracking'!$F$13:$F$26, 'Revenue Tracking'!$P$13:$P$26, "&gt;="&amp;IU1,'Revenue Tracking'!$P$13:$P$26, "&lt;"&amp;IV1)</f>
        <v>0</v>
      </c>
      <c r="IV9" s="122">
        <f>SUMIFS('Revenue Tracking'!$F$13:$F$26, 'Revenue Tracking'!$P$13:$P$26, "&gt;="&amp;IV1,'Revenue Tracking'!$P$13:$P$26, "&lt;"&amp;IW1)</f>
        <v>0</v>
      </c>
      <c r="IW9" s="122">
        <f>SUMIFS('Revenue Tracking'!$F$13:$F$26, 'Revenue Tracking'!$P$13:$P$26, "&gt;="&amp;IW1,'Revenue Tracking'!$P$13:$P$26, "&lt;"&amp;IX1)</f>
        <v>0</v>
      </c>
      <c r="IX9" s="122">
        <f>SUMIFS('Revenue Tracking'!$F$13:$F$26, 'Revenue Tracking'!$P$13:$P$26, "&gt;="&amp;IX1,'Revenue Tracking'!$P$13:$P$26, "&lt;"&amp;IY1)</f>
        <v>0</v>
      </c>
      <c r="IY9" s="122">
        <f>SUMIFS('Revenue Tracking'!$F$13:$F$26, 'Revenue Tracking'!$P$13:$P$26, "&gt;="&amp;IY1,'Revenue Tracking'!$P$13:$P$26, "&lt;"&amp;IZ1)</f>
        <v>0</v>
      </c>
      <c r="IZ9" s="122">
        <f>SUMIFS('Revenue Tracking'!$F$13:$F$26, 'Revenue Tracking'!$P$13:$P$26, "&gt;="&amp;IZ1,'Revenue Tracking'!$P$13:$P$26, "&lt;"&amp;JA1)</f>
        <v>0</v>
      </c>
      <c r="JA9" s="122">
        <f>SUMIFS('Revenue Tracking'!$F$13:$F$26, 'Revenue Tracking'!$P$13:$P$26, "&gt;="&amp;JA1,'Revenue Tracking'!$P$13:$P$26, "&lt;"&amp;JB1)</f>
        <v>0</v>
      </c>
      <c r="JB9" s="122">
        <f>SUMIFS('Revenue Tracking'!$F$13:$F$26, 'Revenue Tracking'!$P$13:$P$26, "&gt;="&amp;JB1,'Revenue Tracking'!$P$13:$P$26, "&lt;"&amp;JC1)</f>
        <v>0</v>
      </c>
      <c r="JC9" s="122">
        <f>SUMIFS('Revenue Tracking'!$F$13:$F$26, 'Revenue Tracking'!$P$13:$P$26, "&gt;="&amp;JC1,'Revenue Tracking'!$P$13:$P$26, "&lt;"&amp;JD1)</f>
        <v>0</v>
      </c>
      <c r="JD9" s="122">
        <f>SUMIFS('Revenue Tracking'!$F$13:$F$26, 'Revenue Tracking'!$P$13:$P$26, "&gt;="&amp;JD1,'Revenue Tracking'!$P$13:$P$26, "&lt;"&amp;JE1)</f>
        <v>0</v>
      </c>
      <c r="JE9" s="122">
        <f>SUMIFS('Revenue Tracking'!$F$13:$F$26, 'Revenue Tracking'!$P$13:$P$26, "&gt;="&amp;JE1,'Revenue Tracking'!$P$13:$P$26, "&lt;"&amp;JF1)</f>
        <v>0</v>
      </c>
      <c r="JF9" s="122">
        <f>SUMIFS('Revenue Tracking'!$F$13:$F$26, 'Revenue Tracking'!$P$13:$P$26, "&gt;="&amp;JF1,'Revenue Tracking'!$P$13:$P$26, "&lt;"&amp;JG1)</f>
        <v>0</v>
      </c>
      <c r="JG9" s="122">
        <f>SUMIFS('Revenue Tracking'!$F$13:$F$26, 'Revenue Tracking'!$P$13:$P$26, "&gt;="&amp;JG1,'Revenue Tracking'!$P$13:$P$26, "&lt;"&amp;JH1)</f>
        <v>0</v>
      </c>
      <c r="JH9" s="122">
        <f>SUMIFS('Revenue Tracking'!$F$13:$F$26, 'Revenue Tracking'!$P$13:$P$26, "&gt;="&amp;JH1,'Revenue Tracking'!$P$13:$P$26, "&lt;"&amp;JI1)</f>
        <v>0</v>
      </c>
      <c r="JI9" s="122">
        <f>SUMIFS('Revenue Tracking'!$F$13:$F$26, 'Revenue Tracking'!$P$13:$P$26, "&gt;="&amp;JI1,'Revenue Tracking'!$P$13:$P$26, "&lt;"&amp;JJ1)</f>
        <v>0</v>
      </c>
      <c r="JJ9" s="122">
        <f>SUMIFS('Revenue Tracking'!$F$13:$F$26, 'Revenue Tracking'!$P$13:$P$26, "&gt;="&amp;JJ1,'Revenue Tracking'!$P$13:$P$26, "&lt;"&amp;JK1)</f>
        <v>0</v>
      </c>
      <c r="JK9" s="122">
        <f>SUMIFS('Revenue Tracking'!$F$13:$F$26, 'Revenue Tracking'!$P$13:$P$26, "&gt;="&amp;JK1,'Revenue Tracking'!$P$13:$P$26, "&lt;"&amp;JL1)</f>
        <v>0</v>
      </c>
      <c r="JL9" s="122">
        <f>SUMIFS('Revenue Tracking'!$F$13:$F$26, 'Revenue Tracking'!$P$13:$P$26, "&gt;="&amp;JL1,'Revenue Tracking'!$P$13:$P$26, "&lt;"&amp;JM1)</f>
        <v>0</v>
      </c>
      <c r="JM9" s="122">
        <f>SUMIFS('Revenue Tracking'!$F$13:$F$26, 'Revenue Tracking'!$P$13:$P$26, "&gt;="&amp;JM1,'Revenue Tracking'!$P$13:$P$26, "&lt;"&amp;JN1)</f>
        <v>0</v>
      </c>
      <c r="JN9" s="122">
        <f>SUMIFS('Revenue Tracking'!$F$13:$F$26, 'Revenue Tracking'!$P$13:$P$26, "&gt;="&amp;JN1,'Revenue Tracking'!$P$13:$P$26, "&lt;"&amp;JO1)</f>
        <v>0</v>
      </c>
      <c r="JO9" s="122">
        <f>SUMIFS('Revenue Tracking'!$F$13:$F$26, 'Revenue Tracking'!$P$13:$P$26, "&gt;="&amp;JO1,'Revenue Tracking'!$P$13:$P$26, "&lt;"&amp;JP1)</f>
        <v>0</v>
      </c>
      <c r="JP9" s="122">
        <f>SUMIFS('Revenue Tracking'!$F$13:$F$26, 'Revenue Tracking'!$P$13:$P$26, "&gt;="&amp;JP1,'Revenue Tracking'!$P$13:$P$26, "&lt;"&amp;JQ1)</f>
        <v>0</v>
      </c>
      <c r="JQ9" s="122">
        <f>SUMIFS('Revenue Tracking'!$F$13:$F$26, 'Revenue Tracking'!$P$13:$P$26, "&gt;="&amp;JQ1,'Revenue Tracking'!$P$13:$P$26, "&lt;"&amp;JR1)</f>
        <v>0</v>
      </c>
      <c r="JR9" s="122">
        <f>SUMIFS('Revenue Tracking'!$F$13:$F$26, 'Revenue Tracking'!$P$13:$P$26, "&gt;="&amp;JR1,'Revenue Tracking'!$P$13:$P$26, "&lt;"&amp;JS1)</f>
        <v>0</v>
      </c>
      <c r="JS9" s="122">
        <f>SUMIFS('Revenue Tracking'!$F$13:$F$26, 'Revenue Tracking'!$P$13:$P$26, "&gt;="&amp;JS1,'Revenue Tracking'!$P$13:$P$26, "&lt;"&amp;JT1)</f>
        <v>0</v>
      </c>
      <c r="JT9" s="122">
        <f>SUMIFS('Revenue Tracking'!$F$13:$F$26, 'Revenue Tracking'!$P$13:$P$26, "&gt;="&amp;JT1,'Revenue Tracking'!$P$13:$P$26, "&lt;"&amp;JU1)</f>
        <v>0</v>
      </c>
      <c r="JU9" s="122">
        <f>SUMIFS('Revenue Tracking'!$F$13:$F$26, 'Revenue Tracking'!$P$13:$P$26, "&gt;="&amp;JU1,'Revenue Tracking'!$P$13:$P$26, "&lt;"&amp;JV1)</f>
        <v>0</v>
      </c>
      <c r="JV9" s="122">
        <f>SUMIFS('Revenue Tracking'!$F$13:$F$26, 'Revenue Tracking'!$P$13:$P$26, "&gt;="&amp;JV1,'Revenue Tracking'!$P$13:$P$26, "&lt;"&amp;JW1)</f>
        <v>0</v>
      </c>
      <c r="JW9" s="122">
        <f>SUMIFS('Revenue Tracking'!$F$13:$F$26, 'Revenue Tracking'!$P$13:$P$26, "&gt;="&amp;JW1,'Revenue Tracking'!$P$13:$P$26, "&lt;"&amp;JX1)</f>
        <v>0</v>
      </c>
      <c r="JX9" s="122">
        <f>SUMIFS('Revenue Tracking'!$F$13:$F$26, 'Revenue Tracking'!$P$13:$P$26, "&gt;="&amp;JX1,'Revenue Tracking'!$P$13:$P$26, "&lt;"&amp;JY1)</f>
        <v>0</v>
      </c>
      <c r="JY9" s="122">
        <f>SUMIFS('Revenue Tracking'!$F$13:$F$26, 'Revenue Tracking'!$P$13:$P$26, "&gt;="&amp;JY1,'Revenue Tracking'!$P$13:$P$26, "&lt;"&amp;JZ1)</f>
        <v>0</v>
      </c>
      <c r="JZ9" s="122">
        <f>SUMIFS('Revenue Tracking'!$F$13:$F$26, 'Revenue Tracking'!$P$13:$P$26, "&gt;="&amp;JZ1,'Revenue Tracking'!$P$13:$P$26, "&lt;"&amp;KA1)</f>
        <v>0</v>
      </c>
      <c r="KA9" s="122">
        <f>SUMIFS('Revenue Tracking'!$F$13:$F$26, 'Revenue Tracking'!$P$13:$P$26, "&gt;="&amp;KA1,'Revenue Tracking'!$P$13:$P$26, "&lt;"&amp;KB1)</f>
        <v>0</v>
      </c>
      <c r="KB9" s="122">
        <f>SUMIFS('Revenue Tracking'!$F$13:$F$26, 'Revenue Tracking'!$P$13:$P$26, "&gt;="&amp;KB1,'Revenue Tracking'!$P$13:$P$26, "&lt;"&amp;KC1)</f>
        <v>0</v>
      </c>
      <c r="KC9" s="122">
        <f>SUMIFS('Revenue Tracking'!$F$13:$F$26, 'Revenue Tracking'!$P$13:$P$26, "&gt;="&amp;KC1,'Revenue Tracking'!$P$13:$P$26, "&lt;"&amp;KD1)</f>
        <v>0</v>
      </c>
      <c r="KD9" s="122">
        <f>SUMIFS('Revenue Tracking'!$F$13:$F$26, 'Revenue Tracking'!$P$13:$P$26, "&gt;="&amp;KD1,'Revenue Tracking'!$P$13:$P$26, "&lt;"&amp;KE1)</f>
        <v>0</v>
      </c>
      <c r="KE9" s="122">
        <f>SUMIFS('Revenue Tracking'!$F$13:$F$26, 'Revenue Tracking'!$P$13:$P$26, "&gt;="&amp;KE1,'Revenue Tracking'!$P$13:$P$26, "&lt;"&amp;KF1)</f>
        <v>0</v>
      </c>
      <c r="KF9" s="122">
        <f>SUMIFS('Revenue Tracking'!$F$13:$F$26, 'Revenue Tracking'!$P$13:$P$26, "&gt;="&amp;KF1,'Revenue Tracking'!$P$13:$P$26, "&lt;"&amp;KG1)</f>
        <v>0</v>
      </c>
      <c r="KG9" s="122">
        <f>SUMIFS('Revenue Tracking'!$F$13:$F$26, 'Revenue Tracking'!$P$13:$P$26, "&gt;="&amp;KG1,'Revenue Tracking'!$P$13:$P$26, "&lt;"&amp;KH1)</f>
        <v>0</v>
      </c>
      <c r="KH9" s="122">
        <f>SUMIFS('Revenue Tracking'!$F$13:$F$26, 'Revenue Tracking'!$P$13:$P$26, "&gt;="&amp;KH1,'Revenue Tracking'!$P$13:$P$26, "&lt;"&amp;KI1)</f>
        <v>0</v>
      </c>
      <c r="KI9" s="122">
        <f>SUMIFS('Revenue Tracking'!$F$13:$F$26, 'Revenue Tracking'!$P$13:$P$26, "&gt;="&amp;KI1,'Revenue Tracking'!$P$13:$P$26, "&lt;"&amp;KJ1)</f>
        <v>0</v>
      </c>
      <c r="KJ9" s="122">
        <f>SUMIFS('Revenue Tracking'!$F$13:$F$26, 'Revenue Tracking'!$P$13:$P$26, "&gt;="&amp;KJ1,'Revenue Tracking'!$P$13:$P$26, "&lt;"&amp;KK1)</f>
        <v>0</v>
      </c>
      <c r="KK9" s="122">
        <f>SUMIFS('Revenue Tracking'!$F$13:$F$26, 'Revenue Tracking'!$P$13:$P$26, "&gt;="&amp;KK1,'Revenue Tracking'!$P$13:$P$26, "&lt;"&amp;KL1)</f>
        <v>0</v>
      </c>
      <c r="KL9" s="122">
        <f>SUMIFS('Revenue Tracking'!$F$13:$F$26, 'Revenue Tracking'!$P$13:$P$26, "&gt;="&amp;KL1,'Revenue Tracking'!$P$13:$P$26, "&lt;"&amp;KM1)</f>
        <v>0</v>
      </c>
      <c r="KM9" s="122">
        <f>SUMIFS('Revenue Tracking'!$F$13:$F$26, 'Revenue Tracking'!$P$13:$P$26, "&gt;="&amp;KM1,'Revenue Tracking'!$P$13:$P$26, "&lt;"&amp;KN1)</f>
        <v>0</v>
      </c>
      <c r="KN9" s="122">
        <f>SUMIFS('Revenue Tracking'!$F$13:$F$26, 'Revenue Tracking'!$P$13:$P$26, "&gt;="&amp;KN1,'Revenue Tracking'!$P$13:$P$26, "&lt;"&amp;KO1)</f>
        <v>0</v>
      </c>
      <c r="KO9" s="122">
        <f>SUMIFS('Revenue Tracking'!$F$13:$F$26, 'Revenue Tracking'!$P$13:$P$26, "&gt;="&amp;KO1,'Revenue Tracking'!$P$13:$P$26, "&lt;"&amp;KP1)</f>
        <v>0</v>
      </c>
      <c r="KP9" s="122">
        <f>SUMIFS('Revenue Tracking'!$F$13:$F$26, 'Revenue Tracking'!$P$13:$P$26, "&gt;="&amp;KP1,'Revenue Tracking'!$P$13:$P$26, "&lt;"&amp;KQ1)</f>
        <v>0</v>
      </c>
      <c r="KQ9" s="122">
        <f>SUMIFS('Revenue Tracking'!$F$13:$F$26, 'Revenue Tracking'!$P$13:$P$26, "&gt;="&amp;KQ1,'Revenue Tracking'!$P$13:$P$26, "&lt;"&amp;KR1)</f>
        <v>0</v>
      </c>
      <c r="KR9" s="122">
        <f>SUMIFS('Revenue Tracking'!$F$13:$F$26, 'Revenue Tracking'!$P$13:$P$26, "&gt;="&amp;KR1,'Revenue Tracking'!$P$13:$P$26, "&lt;"&amp;KS1)</f>
        <v>0</v>
      </c>
      <c r="KS9" s="122">
        <f>SUMIFS('Revenue Tracking'!$F$13:$F$26, 'Revenue Tracking'!$P$13:$P$26, "&gt;="&amp;KS1,'Revenue Tracking'!$P$13:$P$26, "&lt;"&amp;KT1)</f>
        <v>0</v>
      </c>
      <c r="KT9" s="122">
        <f>SUMIFS('Revenue Tracking'!$F$13:$F$26, 'Revenue Tracking'!$P$13:$P$26, "&gt;="&amp;KT1,'Revenue Tracking'!$P$13:$P$26, "&lt;"&amp;KU1)</f>
        <v>0</v>
      </c>
      <c r="KU9" s="122">
        <f>SUMIFS('Revenue Tracking'!$F$13:$F$26, 'Revenue Tracking'!$P$13:$P$26, "&gt;="&amp;KU1,'Revenue Tracking'!$P$13:$P$26, "&lt;"&amp;KV1)</f>
        <v>0</v>
      </c>
      <c r="KV9" s="122">
        <f>SUMIFS('Revenue Tracking'!$F$13:$F$26, 'Revenue Tracking'!$P$13:$P$26, "&gt;="&amp;KV1,'Revenue Tracking'!$P$13:$P$26, "&lt;"&amp;KW1)</f>
        <v>0</v>
      </c>
      <c r="KW9" s="122">
        <f>SUMIFS('Revenue Tracking'!$F$13:$F$26, 'Revenue Tracking'!$P$13:$P$26, "&gt;="&amp;KW1,'Revenue Tracking'!$P$13:$P$26, "&lt;"&amp;KX1)</f>
        <v>0</v>
      </c>
      <c r="KX9" s="122">
        <f>SUMIFS('Revenue Tracking'!$F$13:$F$26, 'Revenue Tracking'!$P$13:$P$26, "&gt;="&amp;KX1,'Revenue Tracking'!$P$13:$P$26, "&lt;"&amp;KY1)</f>
        <v>0</v>
      </c>
      <c r="KY9" s="122">
        <f>SUMIFS('Revenue Tracking'!$F$13:$F$26, 'Revenue Tracking'!$P$13:$P$26, "&gt;="&amp;KY1,'Revenue Tracking'!$P$13:$P$26, "&lt;"&amp;KZ1)</f>
        <v>0</v>
      </c>
      <c r="KZ9" s="122">
        <f>SUMIFS('Revenue Tracking'!$F$13:$F$26, 'Revenue Tracking'!$P$13:$P$26, "&gt;="&amp;KZ1,'Revenue Tracking'!$P$13:$P$26, "&lt;"&amp;LA1)</f>
        <v>0</v>
      </c>
      <c r="LA9" s="122">
        <f>SUMIFS('Revenue Tracking'!$F$13:$F$26, 'Revenue Tracking'!$P$13:$P$26, "&gt;="&amp;LA1,'Revenue Tracking'!$P$13:$P$26, "&lt;"&amp;LB1)</f>
        <v>0</v>
      </c>
      <c r="LB9" s="122">
        <f>SUMIFS('Revenue Tracking'!$F$13:$F$26, 'Revenue Tracking'!$P$13:$P$26, "&gt;="&amp;LB1,'Revenue Tracking'!$P$13:$P$26, "&lt;"&amp;LC1)</f>
        <v>0</v>
      </c>
      <c r="LC9" s="122">
        <f>SUMIFS('Revenue Tracking'!$F$13:$F$26, 'Revenue Tracking'!$P$13:$P$26, "&gt;="&amp;LC1,'Revenue Tracking'!$P$13:$P$26, "&lt;"&amp;LD1)</f>
        <v>0</v>
      </c>
      <c r="LD9" s="122">
        <f>SUMIFS('Revenue Tracking'!$F$13:$F$26, 'Revenue Tracking'!$P$13:$P$26, "&gt;="&amp;LD1,'Revenue Tracking'!$P$13:$P$26, "&lt;"&amp;LE1)</f>
        <v>0</v>
      </c>
      <c r="LE9" s="122">
        <f>SUMIFS('Revenue Tracking'!$F$13:$F$26, 'Revenue Tracking'!$P$13:$P$26, "&gt;="&amp;LE1,'Revenue Tracking'!$P$13:$P$26, "&lt;"&amp;LF1)</f>
        <v>0</v>
      </c>
      <c r="LF9" s="122">
        <f>SUMIFS('Revenue Tracking'!$F$13:$F$26, 'Revenue Tracking'!$P$13:$P$26, "&gt;="&amp;LF1,'Revenue Tracking'!$P$13:$P$26, "&lt;"&amp;LG1)</f>
        <v>0</v>
      </c>
      <c r="LG9" s="122">
        <f>SUMIFS('Revenue Tracking'!$F$13:$F$26, 'Revenue Tracking'!$P$13:$P$26, "&gt;="&amp;LG1,'Revenue Tracking'!$P$13:$P$26, "&lt;"&amp;LH1)</f>
        <v>0</v>
      </c>
      <c r="LH9" s="122">
        <f>SUMIFS('Revenue Tracking'!$F$13:$F$26, 'Revenue Tracking'!$P$13:$P$26, "&gt;="&amp;LH1,'Revenue Tracking'!$P$13:$P$26, "&lt;"&amp;LI1)</f>
        <v>0</v>
      </c>
      <c r="LI9" s="122">
        <f>SUMIFS('Revenue Tracking'!$F$13:$F$26, 'Revenue Tracking'!$P$13:$P$26, "&gt;="&amp;LI1,'Revenue Tracking'!$P$13:$P$26, "&lt;"&amp;LJ1)</f>
        <v>0</v>
      </c>
      <c r="LJ9" s="122">
        <f>SUMIFS('Revenue Tracking'!$F$13:$F$26, 'Revenue Tracking'!$P$13:$P$26, "&gt;="&amp;LJ1,'Revenue Tracking'!$P$13:$P$26, "&lt;"&amp;LK1)</f>
        <v>0</v>
      </c>
      <c r="LK9" s="122">
        <f>SUMIFS('Revenue Tracking'!$F$13:$F$26, 'Revenue Tracking'!$P$13:$P$26, "&gt;="&amp;LK1,'Revenue Tracking'!$P$13:$P$26, "&lt;"&amp;LL1)</f>
        <v>0</v>
      </c>
      <c r="LL9" s="122">
        <f>SUMIFS('Revenue Tracking'!$F$13:$F$26, 'Revenue Tracking'!$P$13:$P$26, "&gt;="&amp;LL1,'Revenue Tracking'!$P$13:$P$26, "&lt;"&amp;LM1)</f>
        <v>0</v>
      </c>
      <c r="LM9" s="122">
        <f>SUMIFS('Revenue Tracking'!$F$13:$F$26, 'Revenue Tracking'!$P$13:$P$26, "&gt;="&amp;LM1,'Revenue Tracking'!$P$13:$P$26, "&lt;"&amp;LN1)</f>
        <v>0</v>
      </c>
      <c r="LN9" s="122">
        <f>SUMIFS('Revenue Tracking'!$F$13:$F$26, 'Revenue Tracking'!$P$13:$P$26, "&gt;="&amp;LN1,'Revenue Tracking'!$P$13:$P$26, "&lt;"&amp;LO1)</f>
        <v>0</v>
      </c>
      <c r="LO9" s="122">
        <f>SUMIFS('Revenue Tracking'!$F$13:$F$26, 'Revenue Tracking'!$P$13:$P$26, "&gt;="&amp;LO1,'Revenue Tracking'!$P$13:$P$26, "&lt;"&amp;LP1)</f>
        <v>0</v>
      </c>
      <c r="LP9" s="122">
        <f>SUMIFS('Revenue Tracking'!$F$13:$F$26, 'Revenue Tracking'!$P$13:$P$26, "&gt;="&amp;LP1,'Revenue Tracking'!$P$13:$P$26, "&lt;"&amp;LQ1)</f>
        <v>0</v>
      </c>
      <c r="LQ9" s="122">
        <f>SUMIFS('Revenue Tracking'!$F$13:$F$26, 'Revenue Tracking'!$P$13:$P$26, "&gt;="&amp;LQ1,'Revenue Tracking'!$P$13:$P$26, "&lt;"&amp;LR1)</f>
        <v>0</v>
      </c>
      <c r="LR9" s="122">
        <f>SUMIFS('Revenue Tracking'!$F$13:$F$26, 'Revenue Tracking'!$P$13:$P$26, "&gt;="&amp;LR1,'Revenue Tracking'!$P$13:$P$26, "&lt;"&amp;LS1)</f>
        <v>0</v>
      </c>
      <c r="LS9" s="122">
        <f>SUMIFS('Revenue Tracking'!$F$13:$F$26, 'Revenue Tracking'!$P$13:$P$26, "&gt;="&amp;LS1,'Revenue Tracking'!$P$13:$P$26, "&lt;"&amp;LT1)</f>
        <v>0</v>
      </c>
      <c r="LT9" s="122">
        <f>SUMIFS('Revenue Tracking'!$F$13:$F$26, 'Revenue Tracking'!$P$13:$P$26, "&gt;="&amp;LT1,'Revenue Tracking'!$P$13:$P$26, "&lt;"&amp;LU1)</f>
        <v>0</v>
      </c>
      <c r="LU9" s="122">
        <f>SUMIFS('Revenue Tracking'!$F$13:$F$26, 'Revenue Tracking'!$P$13:$P$26, "&gt;="&amp;LU1,'Revenue Tracking'!$P$13:$P$26, "&lt;"&amp;LV1)</f>
        <v>0</v>
      </c>
      <c r="LV9" s="122">
        <f>SUMIFS('Revenue Tracking'!$F$13:$F$26, 'Revenue Tracking'!$P$13:$P$26, "&gt;="&amp;LV1,'Revenue Tracking'!$P$13:$P$26, "&lt;"&amp;LW1)</f>
        <v>0</v>
      </c>
      <c r="LW9" s="122">
        <f>SUMIFS('Revenue Tracking'!$F$13:$F$26, 'Revenue Tracking'!$P$13:$P$26, "&gt;="&amp;LW1,'Revenue Tracking'!$P$13:$P$26, "&lt;"&amp;LX1)</f>
        <v>0</v>
      </c>
      <c r="LX9" s="122">
        <f>SUMIFS('Revenue Tracking'!$F$13:$F$26, 'Revenue Tracking'!$P$13:$P$26, "&gt;="&amp;LX1,'Revenue Tracking'!$P$13:$P$26, "&lt;"&amp;LY1)</f>
        <v>0</v>
      </c>
      <c r="LY9" s="122">
        <f>SUMIFS('Revenue Tracking'!$F$13:$F$26, 'Revenue Tracking'!$P$13:$P$26, "&gt;="&amp;LY1,'Revenue Tracking'!$P$13:$P$26, "&lt;"&amp;LZ1)</f>
        <v>0</v>
      </c>
      <c r="LZ9" s="122">
        <f>SUMIFS('Revenue Tracking'!$F$13:$F$26, 'Revenue Tracking'!$P$13:$P$26, "&gt;="&amp;LZ1,'Revenue Tracking'!$P$13:$P$26, "&lt;"&amp;MA1)</f>
        <v>0</v>
      </c>
      <c r="MA9" s="122">
        <f>SUMIFS('Revenue Tracking'!$F$13:$F$26, 'Revenue Tracking'!$P$13:$P$26, "&gt;="&amp;MA1,'Revenue Tracking'!$P$13:$P$26, "&lt;"&amp;MB1)</f>
        <v>0</v>
      </c>
      <c r="MB9" s="122">
        <f>SUMIFS('Revenue Tracking'!$F$13:$F$26, 'Revenue Tracking'!$P$13:$P$26, "&gt;="&amp;MB1,'Revenue Tracking'!$P$13:$P$26, "&lt;"&amp;MC1)</f>
        <v>0</v>
      </c>
      <c r="MC9" s="122">
        <f>SUMIFS('Revenue Tracking'!$F$13:$F$26, 'Revenue Tracking'!$P$13:$P$26, "&gt;="&amp;MC1,'Revenue Tracking'!$P$13:$P$26, "&lt;"&amp;MD1)</f>
        <v>0</v>
      </c>
      <c r="MD9" s="122">
        <f>SUMIFS('Revenue Tracking'!$F$13:$F$26, 'Revenue Tracking'!$P$13:$P$26, "&gt;="&amp;MD1,'Revenue Tracking'!$P$13:$P$26, "&lt;"&amp;ME1)</f>
        <v>0</v>
      </c>
      <c r="ME9" s="122">
        <f>SUMIFS('Revenue Tracking'!$F$13:$F$26, 'Revenue Tracking'!$P$13:$P$26, "&gt;="&amp;ME1,'Revenue Tracking'!$P$13:$P$26, "&lt;"&amp;MF1)</f>
        <v>0</v>
      </c>
      <c r="MF9" s="122">
        <f>SUMIFS('Revenue Tracking'!$F$13:$F$26, 'Revenue Tracking'!$P$13:$P$26, "&gt;="&amp;MF1,'Revenue Tracking'!$P$13:$P$26, "&lt;"&amp;MG1)</f>
        <v>0</v>
      </c>
      <c r="MG9" s="122">
        <f>SUMIFS('Revenue Tracking'!$F$13:$F$26, 'Revenue Tracking'!$P$13:$P$26, "&gt;="&amp;MG1,'Revenue Tracking'!$P$13:$P$26, "&lt;"&amp;MH1)</f>
        <v>0</v>
      </c>
      <c r="MH9" s="122">
        <f>SUMIFS('Revenue Tracking'!$F$13:$F$26, 'Revenue Tracking'!$P$13:$P$26, "&gt;="&amp;MH1,'Revenue Tracking'!$P$13:$P$26, "&lt;"&amp;MI1)</f>
        <v>0</v>
      </c>
      <c r="MI9" s="122">
        <f>SUMIFS('Revenue Tracking'!$F$13:$F$26, 'Revenue Tracking'!$P$13:$P$26, "&gt;="&amp;MI1,'Revenue Tracking'!$P$13:$P$26, "&lt;"&amp;MJ1)</f>
        <v>0</v>
      </c>
      <c r="MJ9" s="122">
        <f>SUMIFS('Revenue Tracking'!$F$13:$F$26, 'Revenue Tracking'!$P$13:$P$26, "&gt;="&amp;MJ1,'Revenue Tracking'!$P$13:$P$26, "&lt;"&amp;MK1)</f>
        <v>0</v>
      </c>
      <c r="MK9" s="122">
        <f>SUMIFS('Revenue Tracking'!$F$13:$F$26, 'Revenue Tracking'!$P$13:$P$26, "&gt;="&amp;MK1,'Revenue Tracking'!$P$13:$P$26, "&lt;"&amp;ML1)</f>
        <v>0</v>
      </c>
      <c r="ML9" s="122">
        <f>SUMIFS('Revenue Tracking'!$F$13:$F$26, 'Revenue Tracking'!$P$13:$P$26, "&gt;="&amp;ML1,'Revenue Tracking'!$P$13:$P$26, "&lt;"&amp;MM1)</f>
        <v>0</v>
      </c>
      <c r="MM9" s="122">
        <f>SUMIFS('Revenue Tracking'!$F$13:$F$26, 'Revenue Tracking'!$P$13:$P$26, "&gt;="&amp;MM1,'Revenue Tracking'!$P$13:$P$26, "&lt;"&amp;MN1)</f>
        <v>0</v>
      </c>
      <c r="MN9" s="122">
        <f>SUMIFS('Revenue Tracking'!$F$13:$F$26, 'Revenue Tracking'!$P$13:$P$26, "&gt;="&amp;MN1,'Revenue Tracking'!$P$13:$P$26, "&lt;"&amp;MO1)</f>
        <v>0</v>
      </c>
      <c r="MO9" s="122">
        <f>SUMIFS('Revenue Tracking'!$F$13:$F$26, 'Revenue Tracking'!$P$13:$P$26, "&gt;="&amp;MO1,'Revenue Tracking'!$P$13:$P$26, "&lt;"&amp;MP1)</f>
        <v>0</v>
      </c>
      <c r="MP9" s="122">
        <f>SUMIFS('Revenue Tracking'!$F$13:$F$26, 'Revenue Tracking'!$P$13:$P$26, "&gt;="&amp;MP1,'Revenue Tracking'!$P$13:$P$26, "&lt;"&amp;MQ1)</f>
        <v>0</v>
      </c>
      <c r="MQ9" s="122">
        <f>SUMIFS('Revenue Tracking'!$F$13:$F$26, 'Revenue Tracking'!$P$13:$P$26, "&gt;="&amp;MQ1,'Revenue Tracking'!$P$13:$P$26, "&lt;"&amp;MR1)</f>
        <v>0</v>
      </c>
      <c r="MR9" s="122">
        <f>SUMIFS('Revenue Tracking'!$F$13:$F$26, 'Revenue Tracking'!$P$13:$P$26, "&gt;="&amp;MR1,'Revenue Tracking'!$P$13:$P$26, "&lt;"&amp;MS1)</f>
        <v>0</v>
      </c>
      <c r="MS9" s="122">
        <f>SUMIFS('Revenue Tracking'!$F$13:$F$26, 'Revenue Tracking'!$P$13:$P$26, "&gt;="&amp;MS1,'Revenue Tracking'!$P$13:$P$26, "&lt;"&amp;MT1)</f>
        <v>0</v>
      </c>
      <c r="MT9" s="122">
        <f>SUMIFS('Revenue Tracking'!$F$13:$F$26, 'Revenue Tracking'!$P$13:$P$26, "&gt;="&amp;MT1,'Revenue Tracking'!$P$13:$P$26, "&lt;"&amp;MU1)</f>
        <v>0</v>
      </c>
      <c r="MU9" s="122">
        <f>SUMIFS('Revenue Tracking'!$F$13:$F$26, 'Revenue Tracking'!$P$13:$P$26, "&gt;="&amp;MU1,'Revenue Tracking'!$P$13:$P$26, "&lt;"&amp;MV1)</f>
        <v>0</v>
      </c>
      <c r="MV9" s="122">
        <f>SUMIFS('Revenue Tracking'!$F$13:$F$26, 'Revenue Tracking'!$P$13:$P$26, "&gt;="&amp;MV1,'Revenue Tracking'!$P$13:$P$26, "&lt;"&amp;MW1)</f>
        <v>0</v>
      </c>
      <c r="MW9" s="122">
        <f>SUMIFS('Revenue Tracking'!$F$13:$F$26, 'Revenue Tracking'!$P$13:$P$26, "&gt;="&amp;MW1,'Revenue Tracking'!$P$13:$P$26, "&lt;"&amp;MX1)</f>
        <v>0</v>
      </c>
      <c r="MX9" s="122">
        <f>SUMIFS('Revenue Tracking'!$F$13:$F$26, 'Revenue Tracking'!$P$13:$P$26, "&gt;="&amp;MX1,'Revenue Tracking'!$P$13:$P$26, "&lt;"&amp;MY1)</f>
        <v>0</v>
      </c>
      <c r="MY9" s="122">
        <f>SUMIFS('Revenue Tracking'!$F$13:$F$26, 'Revenue Tracking'!$P$13:$P$26, "&gt;="&amp;MY1,'Revenue Tracking'!$P$13:$P$26, "&lt;"&amp;MZ1)</f>
        <v>0</v>
      </c>
      <c r="MZ9" s="122">
        <f>SUMIFS('Revenue Tracking'!$F$13:$F$26, 'Revenue Tracking'!$P$13:$P$26, "&gt;="&amp;MZ1,'Revenue Tracking'!$P$13:$P$26, "&lt;"&amp;NA1)</f>
        <v>0</v>
      </c>
      <c r="NA9" s="122">
        <f>SUMIFS('Revenue Tracking'!$F$13:$F$26, 'Revenue Tracking'!$P$13:$P$26, "&gt;="&amp;NA1,'Revenue Tracking'!$P$13:$P$26, "&lt;"&amp;NB1)</f>
        <v>0</v>
      </c>
      <c r="NB9" s="122">
        <f>SUMIFS('Revenue Tracking'!$F$13:$F$26, 'Revenue Tracking'!$P$13:$P$26, "&gt;="&amp;NB1,'Revenue Tracking'!$P$13:$P$26, "&lt;"&amp;NC1)</f>
        <v>0</v>
      </c>
      <c r="NC9" s="122">
        <f>SUMIFS('Revenue Tracking'!$F$13:$F$26, 'Revenue Tracking'!$P$13:$P$26, "&gt;="&amp;NC1,'Revenue Tracking'!$P$13:$P$26, "&lt;"&amp;ND1)</f>
        <v>0</v>
      </c>
      <c r="ND9" s="122">
        <f>SUMIFS('Revenue Tracking'!$F$13:$F$26, 'Revenue Tracking'!$P$13:$P$26, "&gt;="&amp;ND1,'Revenue Tracking'!$P$13:$P$26, "&lt;"&amp;NE1)</f>
        <v>0</v>
      </c>
      <c r="NE9" s="122">
        <f>SUMIFS('Revenue Tracking'!$F$13:$F$26, 'Revenue Tracking'!$P$13:$P$26, "&gt;="&amp;NE1,'Revenue Tracking'!$P$13:$P$26, "&lt;"&amp;NF1)</f>
        <v>0</v>
      </c>
      <c r="NF9" s="122">
        <f>SUMIFS('Revenue Tracking'!$F$13:$F$26, 'Revenue Tracking'!$P$13:$P$26, "&gt;="&amp;NF1,'Revenue Tracking'!$P$13:$P$26, "&lt;"&amp;NG1)</f>
        <v>0</v>
      </c>
      <c r="NG9" s="122">
        <f>SUMIFS('Revenue Tracking'!$F$13:$F$26, 'Revenue Tracking'!$P$13:$P$26, "&gt;="&amp;NG1,'Revenue Tracking'!$P$13:$P$26, "&lt;"&amp;NH1)</f>
        <v>0</v>
      </c>
      <c r="NH9" s="122">
        <f>SUMIFS('Revenue Tracking'!$F$13:$F$26, 'Revenue Tracking'!$P$13:$P$26, "&gt;="&amp;NH1,'Revenue Tracking'!$P$13:$P$26, "&lt;"&amp;NI1)</f>
        <v>0</v>
      </c>
      <c r="NI9" s="122">
        <f>SUMIFS('Revenue Tracking'!$F$13:$F$26, 'Revenue Tracking'!$P$13:$P$26, "&gt;="&amp;NI1,'Revenue Tracking'!$P$13:$P$26, "&lt;"&amp;NJ1)</f>
        <v>0</v>
      </c>
      <c r="NJ9" s="122">
        <f>SUMIFS('Revenue Tracking'!$F$13:$F$26, 'Revenue Tracking'!$P$13:$P$26, "&gt;="&amp;NJ1,'Revenue Tracking'!$P$13:$P$26, "&lt;"&amp;NK1)</f>
        <v>0</v>
      </c>
      <c r="NK9" s="122">
        <f>SUMIFS('Revenue Tracking'!$F$13:$F$26, 'Revenue Tracking'!$P$13:$P$26, "&gt;="&amp;NK1,'Revenue Tracking'!$P$13:$P$26, "&lt;"&amp;NL1)</f>
        <v>0</v>
      </c>
      <c r="NL9" s="122">
        <f>SUMIFS('Revenue Tracking'!$F$13:$F$26, 'Revenue Tracking'!$P$13:$P$26, "&gt;="&amp;NL1,'Revenue Tracking'!$P$13:$P$26, "&lt;"&amp;NM1)</f>
        <v>0</v>
      </c>
      <c r="NM9" s="122">
        <f>SUMIFS('Revenue Tracking'!$F$13:$F$26, 'Revenue Tracking'!$P$13:$P$26, "&gt;="&amp;NM1,'Revenue Tracking'!$P$13:$P$26, "&lt;"&amp;NN1)</f>
        <v>0</v>
      </c>
      <c r="NN9" s="122">
        <f>SUMIFS('Revenue Tracking'!$F$13:$F$26, 'Revenue Tracking'!$P$13:$P$26, "&gt;="&amp;NN1,'Revenue Tracking'!$P$13:$P$26, "&lt;"&amp;NO1)</f>
        <v>0</v>
      </c>
      <c r="NO9" s="122">
        <f>SUMIFS('Revenue Tracking'!$F$13:$F$26, 'Revenue Tracking'!$P$13:$P$26, "&gt;="&amp;NO1,'Revenue Tracking'!$P$13:$P$26, "&lt;"&amp;NP1)</f>
        <v>0</v>
      </c>
      <c r="NP9" s="122">
        <f>SUMIFS('Revenue Tracking'!$F$13:$F$26, 'Revenue Tracking'!$P$13:$P$26, "&gt;="&amp;NP1,'Revenue Tracking'!$P$13:$P$26, "&lt;"&amp;NQ1)</f>
        <v>0</v>
      </c>
      <c r="NQ9" s="122">
        <f>SUMIFS('Revenue Tracking'!$F$13:$F$26, 'Revenue Tracking'!$P$13:$P$26, "&gt;="&amp;NQ1,'Revenue Tracking'!$P$13:$P$26, "&lt;"&amp;NR1)</f>
        <v>0</v>
      </c>
      <c r="NR9" s="122">
        <f>SUMIFS('Revenue Tracking'!$F$13:$F$26, 'Revenue Tracking'!$P$13:$P$26, "&gt;="&amp;NR1,'Revenue Tracking'!$P$13:$P$26, "&lt;"&amp;NS1)</f>
        <v>0</v>
      </c>
      <c r="NS9" s="122">
        <f>SUMIFS('Revenue Tracking'!$F$13:$F$26, 'Revenue Tracking'!$P$13:$P$26, "&gt;="&amp;NS1,'Revenue Tracking'!$P$13:$P$26, "&lt;"&amp;NT1)</f>
        <v>0</v>
      </c>
      <c r="NT9" s="122">
        <f>SUMIFS('Revenue Tracking'!$F$13:$F$26, 'Revenue Tracking'!$P$13:$P$26, "&gt;="&amp;NT1,'Revenue Tracking'!$P$13:$P$26, "&lt;"&amp;NU1)</f>
        <v>0</v>
      </c>
      <c r="NU9" s="122">
        <f>SUMIFS('Revenue Tracking'!$F$13:$F$26, 'Revenue Tracking'!$P$13:$P$26, "&gt;="&amp;NU1,'Revenue Tracking'!$P$13:$P$26, "&lt;"&amp;NV1)</f>
        <v>0</v>
      </c>
      <c r="NV9" s="122">
        <f>SUMIFS('Revenue Tracking'!$F$13:$F$26, 'Revenue Tracking'!$P$13:$P$26, "&gt;="&amp;NV1,'Revenue Tracking'!$P$13:$P$26, "&lt;"&amp;NW1)</f>
        <v>0</v>
      </c>
      <c r="NW9" s="122">
        <f>SUMIFS('Revenue Tracking'!$F$13:$F$26, 'Revenue Tracking'!$P$13:$P$26, "&gt;="&amp;NW1,'Revenue Tracking'!$P$13:$P$26, "&lt;"&amp;NX1)</f>
        <v>0</v>
      </c>
      <c r="NX9" s="122">
        <f>SUMIFS('Revenue Tracking'!$F$13:$F$26, 'Revenue Tracking'!$P$13:$P$26, "&gt;="&amp;NX1,'Revenue Tracking'!$P$13:$P$26, "&lt;"&amp;NY1)</f>
        <v>0</v>
      </c>
      <c r="NY9" s="122">
        <f>SUMIFS('Revenue Tracking'!$F$13:$F$26, 'Revenue Tracking'!$P$13:$P$26, "&gt;="&amp;NY1,'Revenue Tracking'!$P$13:$P$26, "&lt;"&amp;NZ1)</f>
        <v>0</v>
      </c>
      <c r="NZ9" s="122">
        <f>SUMIFS('Revenue Tracking'!$F$13:$F$26, 'Revenue Tracking'!$P$13:$P$26, "&gt;="&amp;NZ1,'Revenue Tracking'!$P$13:$P$26, "&lt;"&amp;OA1)</f>
        <v>0</v>
      </c>
      <c r="OA9" s="122">
        <f>SUMIFS('Revenue Tracking'!$F$13:$F$26, 'Revenue Tracking'!$P$13:$P$26, "&gt;="&amp;OA1,'Revenue Tracking'!$P$13:$P$26, "&lt;"&amp;OB1)</f>
        <v>0</v>
      </c>
      <c r="OB9" s="122">
        <f>SUMIFS('Revenue Tracking'!$F$13:$F$26, 'Revenue Tracking'!$P$13:$P$26, "&gt;="&amp;OB1,'Revenue Tracking'!$P$13:$P$26, "&lt;"&amp;OC1)</f>
        <v>0</v>
      </c>
      <c r="OC9" s="122">
        <f>SUMIFS('Revenue Tracking'!$F$13:$F$26, 'Revenue Tracking'!$P$13:$P$26, "&gt;="&amp;OC1,'Revenue Tracking'!$P$13:$P$26, "&lt;"&amp;OD1)</f>
        <v>0</v>
      </c>
      <c r="OD9" s="122">
        <f>SUMIFS('Revenue Tracking'!$F$13:$F$26, 'Revenue Tracking'!$P$13:$P$26, "&gt;="&amp;OD1,'Revenue Tracking'!$P$13:$P$26, "&lt;"&amp;OE1)</f>
        <v>0</v>
      </c>
      <c r="OE9" s="122">
        <f>SUMIFS('Revenue Tracking'!$F$13:$F$26, 'Revenue Tracking'!$P$13:$P$26, "&gt;="&amp;OE1,'Revenue Tracking'!$P$13:$P$26, "&lt;"&amp;OF1)</f>
        <v>0</v>
      </c>
      <c r="OF9" s="122">
        <f>SUMIFS('Revenue Tracking'!$F$13:$F$26, 'Revenue Tracking'!$P$13:$P$26, "&gt;="&amp;OF1,'Revenue Tracking'!$P$13:$P$26, "&lt;"&amp;OG1)</f>
        <v>0</v>
      </c>
      <c r="OG9" s="122">
        <f>SUMIFS('Revenue Tracking'!$F$13:$F$26, 'Revenue Tracking'!$P$13:$P$26, "&gt;="&amp;OG1,'Revenue Tracking'!$P$13:$P$26, "&lt;"&amp;OH1)</f>
        <v>0</v>
      </c>
      <c r="OH9" s="122">
        <f>SUMIFS('Revenue Tracking'!$F$13:$F$26, 'Revenue Tracking'!$P$13:$P$26, "&gt;="&amp;OH1,'Revenue Tracking'!$P$13:$P$26, "&lt;"&amp;OI1)</f>
        <v>0</v>
      </c>
      <c r="OI9" s="122">
        <f>SUMIFS('Revenue Tracking'!$F$13:$F$26, 'Revenue Tracking'!$P$13:$P$26, "&gt;="&amp;OI1,'Revenue Tracking'!$P$13:$P$26, "&lt;"&amp;OJ1)</f>
        <v>0</v>
      </c>
      <c r="OJ9" s="122">
        <f>SUMIFS('Revenue Tracking'!$F$13:$F$26, 'Revenue Tracking'!$P$13:$P$26, "&gt;="&amp;OJ1,'Revenue Tracking'!$P$13:$P$26, "&lt;"&amp;OK1)</f>
        <v>0</v>
      </c>
      <c r="OK9" s="122">
        <f>SUMIFS('Revenue Tracking'!$F$13:$F$26, 'Revenue Tracking'!$P$13:$P$26, "&gt;="&amp;OK1,'Revenue Tracking'!$P$13:$P$26, "&lt;"&amp;OL1)</f>
        <v>0</v>
      </c>
      <c r="OL9" s="122">
        <f>SUMIFS('Revenue Tracking'!$F$13:$F$26, 'Revenue Tracking'!$P$13:$P$26, "&gt;="&amp;OL1,'Revenue Tracking'!$P$13:$P$26, "&lt;"&amp;OM1)</f>
        <v>0</v>
      </c>
      <c r="OM9" s="122">
        <f>SUMIFS('Revenue Tracking'!$F$13:$F$26, 'Revenue Tracking'!$P$13:$P$26, "&gt;="&amp;OM1,'Revenue Tracking'!$P$13:$P$26, "&lt;"&amp;ON1)</f>
        <v>0</v>
      </c>
      <c r="ON9" s="122">
        <f>SUMIFS('Revenue Tracking'!$F$13:$F$26, 'Revenue Tracking'!$P$13:$P$26, "&gt;="&amp;ON1,'Revenue Tracking'!$P$13:$P$26, "&lt;"&amp;OO1)</f>
        <v>0</v>
      </c>
      <c r="OO9" s="122">
        <f>SUMIFS('Revenue Tracking'!$F$13:$F$26, 'Revenue Tracking'!$P$13:$P$26, "&gt;="&amp;OO1,'Revenue Tracking'!$P$13:$P$26, "&lt;"&amp;OP1)</f>
        <v>0</v>
      </c>
      <c r="OP9" s="122">
        <f>SUMIFS('Revenue Tracking'!$F$13:$F$26, 'Revenue Tracking'!$P$13:$P$26, "&gt;="&amp;OP1,'Revenue Tracking'!$P$13:$P$26, "&lt;"&amp;OQ1)</f>
        <v>0</v>
      </c>
      <c r="OQ9" s="122">
        <f>SUMIFS('Revenue Tracking'!$F$13:$F$26, 'Revenue Tracking'!$P$13:$P$26, "&gt;="&amp;OQ1,'Revenue Tracking'!$P$13:$P$26, "&lt;"&amp;OR1)</f>
        <v>0</v>
      </c>
      <c r="OR9" s="122">
        <f>SUMIFS('Revenue Tracking'!$F$13:$F$26, 'Revenue Tracking'!$P$13:$P$26, "&gt;="&amp;OR1,'Revenue Tracking'!$P$13:$P$26, "&lt;"&amp;OS1)</f>
        <v>0</v>
      </c>
      <c r="OS9" s="122">
        <f>SUMIFS('Revenue Tracking'!$F$13:$F$26, 'Revenue Tracking'!$P$13:$P$26, "&gt;="&amp;OS1,'Revenue Tracking'!$P$13:$P$26, "&lt;"&amp;OT1)</f>
        <v>0</v>
      </c>
      <c r="OT9" s="122">
        <f>SUMIFS('Revenue Tracking'!$F$13:$F$26, 'Revenue Tracking'!$P$13:$P$26, "&gt;="&amp;OT1,'Revenue Tracking'!$P$13:$P$26, "&lt;"&amp;OU1)</f>
        <v>0</v>
      </c>
      <c r="OU9" s="122">
        <f>SUMIFS('Revenue Tracking'!$F$13:$F$26, 'Revenue Tracking'!$P$13:$P$26, "&gt;="&amp;OU1,'Revenue Tracking'!$P$13:$P$26, "&lt;"&amp;OV1)</f>
        <v>0</v>
      </c>
      <c r="OV9" s="122">
        <f>SUMIFS('Revenue Tracking'!$F$13:$F$26, 'Revenue Tracking'!$P$13:$P$26, "&gt;="&amp;OV1,'Revenue Tracking'!$P$13:$P$26, "&lt;"&amp;OW1)</f>
        <v>0</v>
      </c>
      <c r="OW9" s="122">
        <f>SUMIFS('Revenue Tracking'!$F$13:$F$26, 'Revenue Tracking'!$P$13:$P$26, "&gt;="&amp;OW1,'Revenue Tracking'!$P$13:$P$26, "&lt;"&amp;OX1)</f>
        <v>0</v>
      </c>
      <c r="OX9" s="122">
        <f>SUMIFS('Revenue Tracking'!$F$13:$F$26, 'Revenue Tracking'!$P$13:$P$26, "&gt;="&amp;OX1,'Revenue Tracking'!$P$13:$P$26, "&lt;"&amp;OY1)</f>
        <v>0</v>
      </c>
      <c r="OY9" s="122">
        <f>SUMIFS('Revenue Tracking'!$F$13:$F$26, 'Revenue Tracking'!$P$13:$P$26, "&gt;="&amp;OY1,'Revenue Tracking'!$P$13:$P$26, "&lt;"&amp;OZ1)</f>
        <v>0</v>
      </c>
      <c r="OZ9" s="122">
        <f>SUMIFS('Revenue Tracking'!$F$13:$F$26, 'Revenue Tracking'!$P$13:$P$26, "&gt;="&amp;OZ1,'Revenue Tracking'!$P$13:$P$26, "&lt;"&amp;PA1)</f>
        <v>0</v>
      </c>
      <c r="PA9" s="122">
        <f>SUMIFS('Revenue Tracking'!$F$13:$F$26, 'Revenue Tracking'!$P$13:$P$26, "&gt;="&amp;PA1,'Revenue Tracking'!$P$13:$P$26, "&lt;"&amp;PB1)</f>
        <v>0</v>
      </c>
      <c r="PB9" s="122">
        <f>SUMIFS('Revenue Tracking'!$F$13:$F$26, 'Revenue Tracking'!$P$13:$P$26, "&gt;="&amp;PB1,'Revenue Tracking'!$P$13:$P$26, "&lt;"&amp;PC1)</f>
        <v>0</v>
      </c>
      <c r="PC9" s="122">
        <f>SUMIFS('Revenue Tracking'!$F$13:$F$26, 'Revenue Tracking'!$P$13:$P$26, "&gt;="&amp;PC1,'Revenue Tracking'!$P$13:$P$26, "&lt;"&amp;PD1)</f>
        <v>0</v>
      </c>
      <c r="PD9" s="122">
        <f>SUMIFS('Revenue Tracking'!$F$13:$F$26, 'Revenue Tracking'!$P$13:$P$26, "&gt;="&amp;PD1,'Revenue Tracking'!$P$13:$P$26, "&lt;"&amp;PE1)</f>
        <v>0</v>
      </c>
      <c r="PE9" s="122">
        <f>SUMIFS('Revenue Tracking'!$F$13:$F$26, 'Revenue Tracking'!$P$13:$P$26, "&gt;="&amp;PE1,'Revenue Tracking'!$P$13:$P$26, "&lt;"&amp;PF1)</f>
        <v>0</v>
      </c>
      <c r="PF9" s="122">
        <f>SUMIFS('Revenue Tracking'!$F$13:$F$26, 'Revenue Tracking'!$P$13:$P$26, "&gt;="&amp;PF1,'Revenue Tracking'!$P$13:$P$26, "&lt;"&amp;PG1)</f>
        <v>0</v>
      </c>
      <c r="PG9" s="122">
        <f>SUMIFS('Revenue Tracking'!$F$13:$F$26, 'Revenue Tracking'!$P$13:$P$26, "&gt;="&amp;PG1,'Revenue Tracking'!$P$13:$P$26, "&lt;"&amp;PH1)</f>
        <v>0</v>
      </c>
      <c r="PH9" s="122">
        <f>SUMIFS('Revenue Tracking'!$F$13:$F$26, 'Revenue Tracking'!$P$13:$P$26, "&gt;="&amp;PH1,'Revenue Tracking'!$P$13:$P$26, "&lt;"&amp;PI1)</f>
        <v>0</v>
      </c>
      <c r="PI9" s="122">
        <f>SUMIFS('Revenue Tracking'!$F$13:$F$26, 'Revenue Tracking'!$P$13:$P$26, "&gt;="&amp;PI1,'Revenue Tracking'!$P$13:$P$26, "&lt;"&amp;PJ1)</f>
        <v>0</v>
      </c>
      <c r="PJ9" s="122">
        <f>SUMIFS('Revenue Tracking'!$F$13:$F$26, 'Revenue Tracking'!$P$13:$P$26, "&gt;="&amp;PJ1,'Revenue Tracking'!$P$13:$P$26, "&lt;"&amp;PK1)</f>
        <v>0</v>
      </c>
      <c r="PK9" s="122">
        <f>SUMIFS('Revenue Tracking'!$F$13:$F$26, 'Revenue Tracking'!$P$13:$P$26, "&gt;="&amp;PK1,'Revenue Tracking'!$P$13:$P$26, "&lt;"&amp;PL1)</f>
        <v>0</v>
      </c>
      <c r="PL9" s="122">
        <f>SUMIFS('Revenue Tracking'!$F$13:$F$26, 'Revenue Tracking'!$P$13:$P$26, "&gt;="&amp;PL1,'Revenue Tracking'!$P$13:$P$26, "&lt;"&amp;PM1)</f>
        <v>0</v>
      </c>
      <c r="PM9" s="122">
        <f>SUMIFS('Revenue Tracking'!$F$13:$F$26, 'Revenue Tracking'!$P$13:$P$26, "&gt;="&amp;PM1,'Revenue Tracking'!$P$13:$P$26, "&lt;"&amp;PN1)</f>
        <v>0</v>
      </c>
      <c r="PN9" s="122">
        <f>SUMIFS('Revenue Tracking'!$F$13:$F$26, 'Revenue Tracking'!$P$13:$P$26, "&gt;="&amp;PN1,'Revenue Tracking'!$P$13:$P$26, "&lt;"&amp;PO1)</f>
        <v>0</v>
      </c>
      <c r="PO9" s="122">
        <f>SUMIFS('Revenue Tracking'!$F$13:$F$26, 'Revenue Tracking'!$P$13:$P$26, "&gt;="&amp;PO1,'Revenue Tracking'!$P$13:$P$26, "&lt;"&amp;PP1)</f>
        <v>0</v>
      </c>
      <c r="PP9" s="122">
        <f>SUMIFS('Revenue Tracking'!$F$13:$F$26, 'Revenue Tracking'!$P$13:$P$26, "&gt;="&amp;PP1,'Revenue Tracking'!$P$13:$P$26, "&lt;"&amp;PQ1)</f>
        <v>0</v>
      </c>
      <c r="PQ9" s="122">
        <f>SUMIFS('Revenue Tracking'!$F$13:$F$26, 'Revenue Tracking'!$P$13:$P$26, "&gt;="&amp;PQ1,'Revenue Tracking'!$P$13:$P$26, "&lt;"&amp;PR1)</f>
        <v>0</v>
      </c>
      <c r="PR9" s="122">
        <f>SUMIFS('Revenue Tracking'!$F$13:$F$26, 'Revenue Tracking'!$P$13:$P$26, "&gt;="&amp;PR1,'Revenue Tracking'!$P$13:$P$26, "&lt;"&amp;PS1)</f>
        <v>0</v>
      </c>
      <c r="PS9" s="122">
        <f>SUMIFS('Revenue Tracking'!$F$13:$F$26, 'Revenue Tracking'!$P$13:$P$26, "&gt;="&amp;PS1,'Revenue Tracking'!$P$13:$P$26, "&lt;"&amp;PT1)</f>
        <v>0</v>
      </c>
      <c r="PT9" s="122">
        <f>SUMIFS('Revenue Tracking'!$F$13:$F$26, 'Revenue Tracking'!$P$13:$P$26, "&gt;="&amp;PT1,'Revenue Tracking'!$P$13:$P$26, "&lt;"&amp;PU1)</f>
        <v>0</v>
      </c>
      <c r="PU9" s="122">
        <f>SUMIFS('Revenue Tracking'!$F$13:$F$26, 'Revenue Tracking'!$P$13:$P$26, "&gt;="&amp;PU1,'Revenue Tracking'!$P$13:$P$26, "&lt;"&amp;PV1)</f>
        <v>0</v>
      </c>
      <c r="PV9" s="122">
        <f>SUMIFS('Revenue Tracking'!$F$13:$F$26, 'Revenue Tracking'!$P$13:$P$26, "&gt;="&amp;PV1,'Revenue Tracking'!$P$13:$P$26, "&lt;"&amp;PW1)</f>
        <v>0</v>
      </c>
      <c r="PW9" s="122">
        <f>SUMIFS('Revenue Tracking'!$F$13:$F$26, 'Revenue Tracking'!$P$13:$P$26, "&gt;="&amp;PW1,'Revenue Tracking'!$P$13:$P$26, "&lt;"&amp;PX1)</f>
        <v>0</v>
      </c>
      <c r="PX9" s="122">
        <f>SUMIFS('Revenue Tracking'!$F$13:$F$26, 'Revenue Tracking'!$P$13:$P$26, "&gt;="&amp;PX1,'Revenue Tracking'!$P$13:$P$26, "&lt;"&amp;PY1)</f>
        <v>0</v>
      </c>
      <c r="PY9" s="122">
        <f>SUMIFS('Revenue Tracking'!$F$13:$F$26, 'Revenue Tracking'!$P$13:$P$26, "&gt;="&amp;PY1,'Revenue Tracking'!$P$13:$P$26, "&lt;"&amp;PZ1)</f>
        <v>0</v>
      </c>
      <c r="PZ9" s="122">
        <f>SUMIFS('Revenue Tracking'!$F$13:$F$26, 'Revenue Tracking'!$P$13:$P$26, "&gt;="&amp;PZ1,'Revenue Tracking'!$P$13:$P$26, "&lt;"&amp;QA1)</f>
        <v>0</v>
      </c>
      <c r="QA9" s="122">
        <f>SUMIFS('Revenue Tracking'!$F$13:$F$26, 'Revenue Tracking'!$P$13:$P$26, "&gt;="&amp;QA1,'Revenue Tracking'!$P$13:$P$26, "&lt;"&amp;QB1)</f>
        <v>0</v>
      </c>
      <c r="QB9" s="122">
        <f>SUMIFS('Revenue Tracking'!$F$13:$F$26, 'Revenue Tracking'!$P$13:$P$26, "&gt;="&amp;QB1,'Revenue Tracking'!$P$13:$P$26, "&lt;"&amp;QC1)</f>
        <v>0</v>
      </c>
      <c r="QC9" s="122">
        <f>SUMIFS('Revenue Tracking'!$F$13:$F$26, 'Revenue Tracking'!$P$13:$P$26, "&gt;="&amp;QC1,'Revenue Tracking'!$P$13:$P$26, "&lt;"&amp;QD1)</f>
        <v>0</v>
      </c>
      <c r="QD9" s="122">
        <f>SUMIFS('Revenue Tracking'!$F$13:$F$26, 'Revenue Tracking'!$P$13:$P$26, "&gt;="&amp;QD1,'Revenue Tracking'!$P$13:$P$26, "&lt;"&amp;QE1)</f>
        <v>0</v>
      </c>
      <c r="QE9" s="122">
        <f>SUMIFS('Revenue Tracking'!$F$13:$F$26, 'Revenue Tracking'!$P$13:$P$26, "&gt;="&amp;QE1,'Revenue Tracking'!$P$13:$P$26, "&lt;"&amp;QF1)</f>
        <v>0</v>
      </c>
      <c r="QF9" s="122">
        <f>SUMIFS('Revenue Tracking'!$F$13:$F$26, 'Revenue Tracking'!$P$13:$P$26, "&gt;="&amp;QF1,'Revenue Tracking'!$P$13:$P$26, "&lt;"&amp;QG1)</f>
        <v>0</v>
      </c>
      <c r="QG9" s="122">
        <f>SUMIFS('Revenue Tracking'!$F$13:$F$26, 'Revenue Tracking'!$P$13:$P$26, "&gt;="&amp;QG1,'Revenue Tracking'!$P$13:$P$26, "&lt;"&amp;QH1)</f>
        <v>0</v>
      </c>
      <c r="QH9" s="122">
        <f>SUMIFS('Revenue Tracking'!$F$13:$F$26, 'Revenue Tracking'!$P$13:$P$26, "&gt;="&amp;QH1,'Revenue Tracking'!$P$13:$P$26, "&lt;"&amp;QI1)</f>
        <v>0</v>
      </c>
      <c r="QI9" s="122">
        <f>SUMIFS('Revenue Tracking'!$F$13:$F$26, 'Revenue Tracking'!$P$13:$P$26, "&gt;="&amp;QI1,'Revenue Tracking'!$P$13:$P$26, "&lt;"&amp;QJ1)</f>
        <v>0</v>
      </c>
      <c r="QJ9" s="122">
        <f>SUMIFS('Revenue Tracking'!$F$13:$F$26, 'Revenue Tracking'!$P$13:$P$26, "&gt;="&amp;QJ1,'Revenue Tracking'!$P$13:$P$26, "&lt;"&amp;QK1)</f>
        <v>0</v>
      </c>
      <c r="QK9" s="122">
        <f>SUMIFS('Revenue Tracking'!$F$13:$F$26, 'Revenue Tracking'!$P$13:$P$26, "&gt;="&amp;QK1,'Revenue Tracking'!$P$13:$P$26, "&lt;"&amp;QL1)</f>
        <v>0</v>
      </c>
      <c r="QL9" s="122">
        <f>SUMIFS('Revenue Tracking'!$F$13:$F$26, 'Revenue Tracking'!$P$13:$P$26, "&gt;="&amp;QL1,'Revenue Tracking'!$P$13:$P$26, "&lt;"&amp;QM1)</f>
        <v>0</v>
      </c>
      <c r="QM9" s="122">
        <f>SUMIFS('Revenue Tracking'!$F$13:$F$26, 'Revenue Tracking'!$P$13:$P$26, "&gt;="&amp;QM1,'Revenue Tracking'!$P$13:$P$26, "&lt;"&amp;QN1)</f>
        <v>0</v>
      </c>
      <c r="QN9" s="122">
        <f>SUMIFS('Revenue Tracking'!$F$13:$F$26, 'Revenue Tracking'!$P$13:$P$26, "&gt;="&amp;QN1,'Revenue Tracking'!$P$13:$P$26, "&lt;"&amp;QO1)</f>
        <v>0</v>
      </c>
      <c r="QO9" s="122">
        <f>SUMIFS('Revenue Tracking'!$F$13:$F$26, 'Revenue Tracking'!$P$13:$P$26, "&gt;="&amp;QO1,'Revenue Tracking'!$P$13:$P$26, "&lt;"&amp;QP1)</f>
        <v>0</v>
      </c>
      <c r="QP9" s="122">
        <f>SUMIFS('Revenue Tracking'!$F$13:$F$26, 'Revenue Tracking'!$P$13:$P$26, "&gt;="&amp;QP1,'Revenue Tracking'!$P$13:$P$26, "&lt;"&amp;QQ1)</f>
        <v>0</v>
      </c>
      <c r="QQ9" s="122">
        <f>SUMIFS('Revenue Tracking'!$F$13:$F$26, 'Revenue Tracking'!$P$13:$P$26, "&gt;="&amp;QQ1,'Revenue Tracking'!$P$13:$P$26, "&lt;"&amp;QR1)</f>
        <v>0</v>
      </c>
      <c r="QR9" s="122">
        <f>SUMIFS('Revenue Tracking'!$F$13:$F$26, 'Revenue Tracking'!$P$13:$P$26, "&gt;="&amp;QR1,'Revenue Tracking'!$P$13:$P$26, "&lt;"&amp;QS1)</f>
        <v>0</v>
      </c>
      <c r="QS9" s="122">
        <f>SUMIFS('Revenue Tracking'!$F$13:$F$26, 'Revenue Tracking'!$P$13:$P$26, "&gt;="&amp;QS1,'Revenue Tracking'!$P$13:$P$26, "&lt;"&amp;QT1)</f>
        <v>0</v>
      </c>
      <c r="QT9" s="122">
        <f>SUMIFS('Revenue Tracking'!$F$13:$F$26, 'Revenue Tracking'!$P$13:$P$26, "&gt;="&amp;QT1,'Revenue Tracking'!$P$13:$P$26, "&lt;"&amp;QU1)</f>
        <v>0</v>
      </c>
      <c r="QU9" s="122">
        <f>SUMIFS('Revenue Tracking'!$F$13:$F$26, 'Revenue Tracking'!$P$13:$P$26, "&gt;="&amp;QU1,'Revenue Tracking'!$P$13:$P$26, "&lt;"&amp;QV1)</f>
        <v>0</v>
      </c>
      <c r="QV9" s="122">
        <f>SUMIFS('Revenue Tracking'!$F$13:$F$26, 'Revenue Tracking'!$P$13:$P$26, "&gt;="&amp;QV1,'Revenue Tracking'!$P$13:$P$26, "&lt;"&amp;QW1)</f>
        <v>0</v>
      </c>
      <c r="QW9" s="122">
        <f>SUMIFS('Revenue Tracking'!$F$13:$F$26, 'Revenue Tracking'!$P$13:$P$26, "&gt;="&amp;QW1,'Revenue Tracking'!$P$13:$P$26, "&lt;"&amp;QX1)</f>
        <v>0</v>
      </c>
      <c r="QX9" s="122">
        <f>SUMIFS('Revenue Tracking'!$F$13:$F$26, 'Revenue Tracking'!$P$13:$P$26, "&gt;="&amp;QX1,'Revenue Tracking'!$P$13:$P$26, "&lt;"&amp;QY1)</f>
        <v>0</v>
      </c>
      <c r="QY9" s="122">
        <f>SUMIFS('Revenue Tracking'!$F$13:$F$26, 'Revenue Tracking'!$P$13:$P$26, "&gt;="&amp;QY1,'Revenue Tracking'!$P$13:$P$26, "&lt;"&amp;QZ1)</f>
        <v>0</v>
      </c>
      <c r="QZ9" s="122">
        <f>SUMIFS('Revenue Tracking'!$F$13:$F$26, 'Revenue Tracking'!$P$13:$P$26, "&gt;="&amp;QZ1,'Revenue Tracking'!$P$13:$P$26, "&lt;"&amp;RA1)</f>
        <v>0</v>
      </c>
      <c r="RA9" s="122">
        <f>SUMIFS('Revenue Tracking'!$F$13:$F$26, 'Revenue Tracking'!$P$13:$P$26, "&gt;="&amp;RA1,'Revenue Tracking'!$P$13:$P$26, "&lt;"&amp;RB1)</f>
        <v>0</v>
      </c>
      <c r="RB9" s="122">
        <f>SUMIFS('Revenue Tracking'!$F$13:$F$26, 'Revenue Tracking'!$P$13:$P$26, "&gt;="&amp;RB1,'Revenue Tracking'!$P$13:$P$26, "&lt;"&amp;RC1)</f>
        <v>0</v>
      </c>
      <c r="RC9" s="122">
        <f>SUMIFS('Revenue Tracking'!$F$13:$F$26, 'Revenue Tracking'!$P$13:$P$26, "&gt;="&amp;RC1,'Revenue Tracking'!$P$13:$P$26, "&lt;"&amp;RD1)</f>
        <v>0</v>
      </c>
      <c r="RD9" s="122">
        <f>SUMIFS('Revenue Tracking'!$F$13:$F$26, 'Revenue Tracking'!$P$13:$P$26, "&gt;="&amp;RD1,'Revenue Tracking'!$P$13:$P$26, "&lt;"&amp;RE1)</f>
        <v>0</v>
      </c>
      <c r="RE9" s="122">
        <f>SUMIFS('Revenue Tracking'!$F$13:$F$26, 'Revenue Tracking'!$P$13:$P$26, "&gt;="&amp;RE1,'Revenue Tracking'!$P$13:$P$26, "&lt;"&amp;RF1)</f>
        <v>0</v>
      </c>
      <c r="RF9" s="122">
        <f>SUMIFS('Revenue Tracking'!$F$13:$F$26, 'Revenue Tracking'!$P$13:$P$26, "&gt;="&amp;RF1,'Revenue Tracking'!$P$13:$P$26, "&lt;"&amp;RG1)</f>
        <v>0</v>
      </c>
      <c r="RG9" s="122">
        <f>SUMIFS('Revenue Tracking'!$F$13:$F$26, 'Revenue Tracking'!$P$13:$P$26, "&gt;="&amp;RG1,'Revenue Tracking'!$P$13:$P$26, "&lt;"&amp;RH1)</f>
        <v>0</v>
      </c>
      <c r="RH9" s="122">
        <f>SUMIFS('Revenue Tracking'!$F$13:$F$26, 'Revenue Tracking'!$P$13:$P$26, "&gt;="&amp;RH1,'Revenue Tracking'!$P$13:$P$26, "&lt;"&amp;RI1)</f>
        <v>0</v>
      </c>
      <c r="RI9" s="122">
        <f>SUMIFS('Revenue Tracking'!$F$13:$F$26, 'Revenue Tracking'!$P$13:$P$26, "&gt;="&amp;RI1,'Revenue Tracking'!$P$13:$P$26, "&lt;"&amp;RJ1)</f>
        <v>0</v>
      </c>
      <c r="RJ9" s="122">
        <f>SUMIFS('Revenue Tracking'!$F$13:$F$26, 'Revenue Tracking'!$P$13:$P$26, "&gt;="&amp;RJ1,'Revenue Tracking'!$P$13:$P$26, "&lt;"&amp;RK1)</f>
        <v>0</v>
      </c>
      <c r="RK9" s="122">
        <f>SUMIFS('Revenue Tracking'!$F$13:$F$26, 'Revenue Tracking'!$P$13:$P$26, "&gt;="&amp;RK1,'Revenue Tracking'!$P$13:$P$26, "&lt;"&amp;RL1)</f>
        <v>0</v>
      </c>
      <c r="RL9" s="122">
        <f>SUMIFS('Revenue Tracking'!$F$13:$F$26, 'Revenue Tracking'!$P$13:$P$26, "&gt;="&amp;RL1,'Revenue Tracking'!$P$13:$P$26, "&lt;"&amp;RM1)</f>
        <v>0</v>
      </c>
      <c r="RM9" s="122">
        <f>SUMIFS('Revenue Tracking'!$F$13:$F$26, 'Revenue Tracking'!$P$13:$P$26, "&gt;="&amp;RM1,'Revenue Tracking'!$P$13:$P$26, "&lt;"&amp;RN1)</f>
        <v>0</v>
      </c>
      <c r="RN9" s="122">
        <f>SUMIFS('Revenue Tracking'!$F$13:$F$26, 'Revenue Tracking'!$P$13:$P$26, "&gt;="&amp;RN1,'Revenue Tracking'!$P$13:$P$26, "&lt;"&amp;RO1)</f>
        <v>0</v>
      </c>
      <c r="RO9" s="122">
        <f>SUMIFS('Revenue Tracking'!$F$13:$F$26, 'Revenue Tracking'!$P$13:$P$26, "&gt;="&amp;RO1,'Revenue Tracking'!$P$13:$P$26, "&lt;"&amp;RP1)</f>
        <v>0</v>
      </c>
      <c r="RP9" s="122">
        <f>SUMIFS('Revenue Tracking'!$F$13:$F$26, 'Revenue Tracking'!$P$13:$P$26, "&gt;="&amp;RP1,'Revenue Tracking'!$P$13:$P$26, "&lt;"&amp;RQ1)</f>
        <v>0</v>
      </c>
      <c r="RQ9" s="122">
        <f>SUMIFS('Revenue Tracking'!$F$13:$F$26, 'Revenue Tracking'!$P$13:$P$26, "&gt;="&amp;RQ1,'Revenue Tracking'!$P$13:$P$26, "&lt;"&amp;RR1)</f>
        <v>0</v>
      </c>
      <c r="RR9" s="122">
        <f>SUMIFS('Revenue Tracking'!$F$13:$F$26, 'Revenue Tracking'!$P$13:$P$26, "&gt;="&amp;RR1,'Revenue Tracking'!$P$13:$P$26, "&lt;"&amp;RS1)</f>
        <v>0</v>
      </c>
      <c r="RS9" s="122">
        <f>SUMIFS('Revenue Tracking'!$F$13:$F$26, 'Revenue Tracking'!$P$13:$P$26, "&gt;="&amp;RS1,'Revenue Tracking'!$P$13:$P$26, "&lt;"&amp;RT1)</f>
        <v>0</v>
      </c>
      <c r="RT9" s="122">
        <f>SUMIFS('Revenue Tracking'!$F$13:$F$26, 'Revenue Tracking'!$P$13:$P$26, "&gt;="&amp;RT1,'Revenue Tracking'!$P$13:$P$26, "&lt;"&amp;RU1)</f>
        <v>0</v>
      </c>
      <c r="RU9" s="122">
        <f>SUMIFS('Revenue Tracking'!$F$13:$F$26, 'Revenue Tracking'!$P$13:$P$26, "&gt;="&amp;RU1,'Revenue Tracking'!$P$13:$P$26, "&lt;"&amp;RV1)</f>
        <v>0</v>
      </c>
      <c r="RV9" s="122">
        <f>SUMIFS('Revenue Tracking'!$F$13:$F$26, 'Revenue Tracking'!$P$13:$P$26, "&gt;="&amp;RV1,'Revenue Tracking'!$P$13:$P$26, "&lt;"&amp;RW1)</f>
        <v>0</v>
      </c>
      <c r="RW9" s="122">
        <f>SUMIFS('Revenue Tracking'!$F$13:$F$26, 'Revenue Tracking'!$P$13:$P$26, "&gt;="&amp;RW1,'Revenue Tracking'!$P$13:$P$26, "&lt;"&amp;RX1)</f>
        <v>0</v>
      </c>
      <c r="RX9" s="122">
        <f>SUMIFS('Revenue Tracking'!$F$13:$F$26, 'Revenue Tracking'!$P$13:$P$26, "&gt;="&amp;RX1,'Revenue Tracking'!$P$13:$P$26, "&lt;"&amp;RY1)</f>
        <v>0</v>
      </c>
      <c r="RY9" s="122">
        <f>SUMIFS('Revenue Tracking'!$F$13:$F$26, 'Revenue Tracking'!$P$13:$P$26, "&gt;="&amp;RY1,'Revenue Tracking'!$P$13:$P$26, "&lt;"&amp;RZ1)</f>
        <v>0</v>
      </c>
      <c r="RZ9" s="122">
        <f>SUMIFS('Revenue Tracking'!$F$13:$F$26, 'Revenue Tracking'!$P$13:$P$26, "&gt;="&amp;RZ1,'Revenue Tracking'!$P$13:$P$26, "&lt;"&amp;SA1)</f>
        <v>0</v>
      </c>
      <c r="SA9" s="122">
        <f>SUMIFS('Revenue Tracking'!$F$13:$F$26, 'Revenue Tracking'!$P$13:$P$26, "&gt;="&amp;SA1,'Revenue Tracking'!$P$13:$P$26, "&lt;"&amp;SB1)</f>
        <v>0</v>
      </c>
      <c r="SB9" s="122">
        <f>SUMIFS('Revenue Tracking'!$F$13:$F$26, 'Revenue Tracking'!$P$13:$P$26, "&gt;="&amp;SB1,'Revenue Tracking'!$P$13:$P$26, "&lt;"&amp;SC1)</f>
        <v>0</v>
      </c>
      <c r="SC9" s="122">
        <f>SUMIFS('Revenue Tracking'!$F$13:$F$26, 'Revenue Tracking'!$P$13:$P$26, "&gt;="&amp;SC1,'Revenue Tracking'!$P$13:$P$26, "&lt;"&amp;SD1)</f>
        <v>0</v>
      </c>
      <c r="SD9" s="122">
        <f>SUMIFS('Revenue Tracking'!$F$13:$F$26, 'Revenue Tracking'!$P$13:$P$26, "&gt;="&amp;SD1,'Revenue Tracking'!$P$13:$P$26, "&lt;"&amp;SE1)</f>
        <v>0</v>
      </c>
      <c r="SE9" s="122">
        <f>SUMIFS('Revenue Tracking'!$F$13:$F$26, 'Revenue Tracking'!$P$13:$P$26, "&gt;="&amp;SE1,'Revenue Tracking'!$P$13:$P$26, "&lt;"&amp;SF1)</f>
        <v>0</v>
      </c>
      <c r="SF9" s="122">
        <f>SUMIFS('Revenue Tracking'!$F$13:$F$26, 'Revenue Tracking'!$P$13:$P$26, "&gt;="&amp;SF1,'Revenue Tracking'!$P$13:$P$26, "&lt;"&amp;SG1)</f>
        <v>0</v>
      </c>
      <c r="SG9" s="122">
        <f>SUMIFS('Revenue Tracking'!$F$13:$F$26, 'Revenue Tracking'!$P$13:$P$26, "&gt;="&amp;SG1,'Revenue Tracking'!$P$13:$P$26, "&lt;"&amp;SH1)</f>
        <v>0</v>
      </c>
      <c r="SH9" s="122">
        <f>SUMIFS('Revenue Tracking'!$F$13:$F$26, 'Revenue Tracking'!$P$13:$P$26, "&gt;="&amp;SH1,'Revenue Tracking'!$P$13:$P$26, "&lt;"&amp;SI1)</f>
        <v>0</v>
      </c>
      <c r="SI9" s="122">
        <f>SUMIFS('Revenue Tracking'!$F$13:$F$26, 'Revenue Tracking'!$P$13:$P$26, "&gt;="&amp;SI1,'Revenue Tracking'!$P$13:$P$26, "&lt;"&amp;SJ1)</f>
        <v>0</v>
      </c>
      <c r="SJ9" s="122">
        <f>SUMIFS('Revenue Tracking'!$F$13:$F$26, 'Revenue Tracking'!$P$13:$P$26, "&gt;="&amp;SJ1,'Revenue Tracking'!$P$13:$P$26, "&lt;"&amp;SK1)</f>
        <v>0</v>
      </c>
      <c r="SK9" s="122">
        <f>SUMIFS('Revenue Tracking'!$F$13:$F$26, 'Revenue Tracking'!$P$13:$P$26, "&gt;="&amp;SK1,'Revenue Tracking'!$P$13:$P$26, "&lt;"&amp;SL1)</f>
        <v>0</v>
      </c>
      <c r="SL9" s="122">
        <f>SUMIFS('Revenue Tracking'!$F$13:$F$26, 'Revenue Tracking'!$P$13:$P$26, "&gt;="&amp;SL1,'Revenue Tracking'!$P$13:$P$26, "&lt;"&amp;SM1)</f>
        <v>0</v>
      </c>
      <c r="SM9" s="122">
        <f>SUMIFS('Revenue Tracking'!$F$13:$F$26, 'Revenue Tracking'!$P$13:$P$26, "&gt;="&amp;SM1,'Revenue Tracking'!$P$13:$P$26, "&lt;"&amp;SN1)</f>
        <v>0</v>
      </c>
      <c r="SN9" s="122">
        <f>SUMIFS('Revenue Tracking'!$F$13:$F$26, 'Revenue Tracking'!$P$13:$P$26, "&gt;="&amp;SN1,'Revenue Tracking'!$P$13:$P$26, "&lt;"&amp;SO1)</f>
        <v>0</v>
      </c>
      <c r="SO9" s="122">
        <f>SUMIFS('Revenue Tracking'!$F$13:$F$26, 'Revenue Tracking'!$P$13:$P$26, "&gt;="&amp;SO1,'Revenue Tracking'!$P$13:$P$26, "&lt;"&amp;SP1)</f>
        <v>0</v>
      </c>
      <c r="SP9" s="122">
        <f>SUMIFS('Revenue Tracking'!$F$13:$F$26, 'Revenue Tracking'!$P$13:$P$26, "&gt;="&amp;SP1,'Revenue Tracking'!$P$13:$P$26, "&lt;"&amp;SQ1)</f>
        <v>0</v>
      </c>
      <c r="SQ9" s="122">
        <f>SUMIFS('Revenue Tracking'!$F$13:$F$26, 'Revenue Tracking'!$P$13:$P$26, "&gt;="&amp;SQ1,'Revenue Tracking'!$P$13:$P$26, "&lt;"&amp;SR1)</f>
        <v>0</v>
      </c>
      <c r="SR9" s="122">
        <f>SUMIFS('Revenue Tracking'!$F$13:$F$26, 'Revenue Tracking'!$P$13:$P$26, "&gt;="&amp;SR1,'Revenue Tracking'!$P$13:$P$26, "&lt;"&amp;SS1)</f>
        <v>0</v>
      </c>
      <c r="SS9" s="122">
        <f>SUMIFS('Revenue Tracking'!$F$13:$F$26, 'Revenue Tracking'!$P$13:$P$26, "&gt;="&amp;SS1,'Revenue Tracking'!$P$13:$P$26, "&lt;"&amp;ST1)</f>
        <v>0</v>
      </c>
      <c r="ST9" s="122">
        <f>SUMIFS('Revenue Tracking'!$F$13:$F$26, 'Revenue Tracking'!$P$13:$P$26, "&gt;="&amp;ST1,'Revenue Tracking'!$P$13:$P$26, "&lt;"&amp;SU1)</f>
        <v>0</v>
      </c>
      <c r="SU9" s="122">
        <f>SUMIFS('Revenue Tracking'!$F$13:$F$26, 'Revenue Tracking'!$P$13:$P$26, "&gt;="&amp;SU1,'Revenue Tracking'!$P$13:$P$26, "&lt;"&amp;SV1)</f>
        <v>0</v>
      </c>
      <c r="SV9" s="122">
        <f>SUMIFS('Revenue Tracking'!$F$13:$F$26, 'Revenue Tracking'!$P$13:$P$26, "&gt;="&amp;SV1,'Revenue Tracking'!$P$13:$P$26, "&lt;"&amp;SW1)</f>
        <v>0</v>
      </c>
      <c r="SW9" s="122">
        <f>SUMIFS('Revenue Tracking'!$F$13:$F$26, 'Revenue Tracking'!$P$13:$P$26, "&gt;="&amp;SW1,'Revenue Tracking'!$P$13:$P$26, "&lt;"&amp;SX1)</f>
        <v>0</v>
      </c>
      <c r="SX9" s="122">
        <f>SUMIFS('Revenue Tracking'!$F$13:$F$26, 'Revenue Tracking'!$P$13:$P$26, "&gt;="&amp;SX1,'Revenue Tracking'!$P$13:$P$26, "&lt;"&amp;SY1)</f>
        <v>0</v>
      </c>
      <c r="SY9" s="122">
        <f>SUMIFS('Revenue Tracking'!$F$13:$F$26, 'Revenue Tracking'!$P$13:$P$26, "&gt;="&amp;SY1,'Revenue Tracking'!$P$13:$P$26, "&lt;"&amp;SZ1)</f>
        <v>0</v>
      </c>
      <c r="SZ9" s="122">
        <f>SUMIFS('Revenue Tracking'!$F$13:$F$26, 'Revenue Tracking'!$P$13:$P$26, "&gt;="&amp;SZ1,'Revenue Tracking'!$P$13:$P$26, "&lt;"&amp;TA1)</f>
        <v>0</v>
      </c>
      <c r="TA9" s="122">
        <f>SUMIFS('Revenue Tracking'!$F$13:$F$26, 'Revenue Tracking'!$P$13:$P$26, "&gt;="&amp;TA1,'Revenue Tracking'!$P$13:$P$26, "&lt;"&amp;TB1)</f>
        <v>0</v>
      </c>
      <c r="TB9" s="122">
        <f>SUMIFS('Revenue Tracking'!$F$13:$F$26, 'Revenue Tracking'!$P$13:$P$26, "&gt;="&amp;TB1,'Revenue Tracking'!$P$13:$P$26, "&lt;"&amp;TC1)</f>
        <v>0</v>
      </c>
      <c r="TC9" s="122">
        <f>SUMIFS('Revenue Tracking'!$F$13:$F$26, 'Revenue Tracking'!$P$13:$P$26, "&gt;="&amp;TC1,'Revenue Tracking'!$P$13:$P$26, "&lt;"&amp;TD1)</f>
        <v>0</v>
      </c>
      <c r="TD9" s="122">
        <f>SUMIFS('Revenue Tracking'!$F$13:$F$26, 'Revenue Tracking'!$P$13:$P$26, "&gt;="&amp;TD1,'Revenue Tracking'!$P$13:$P$26, "&lt;"&amp;TE1)</f>
        <v>0</v>
      </c>
      <c r="TE9" s="122">
        <f>SUMIFS('Revenue Tracking'!$F$13:$F$26, 'Revenue Tracking'!$P$13:$P$26, "&gt;="&amp;TE1,'Revenue Tracking'!$P$13:$P$26, "&lt;"&amp;TF1)</f>
        <v>0</v>
      </c>
      <c r="TF9" s="122">
        <f>SUMIFS('Revenue Tracking'!$F$13:$F$26, 'Revenue Tracking'!$P$13:$P$26, "&gt;="&amp;TF1,'Revenue Tracking'!$P$13:$P$26, "&lt;"&amp;TG1)</f>
        <v>0</v>
      </c>
      <c r="TG9" s="122">
        <f>SUMIFS('Revenue Tracking'!$F$13:$F$26, 'Revenue Tracking'!$P$13:$P$26, "&gt;="&amp;TG1,'Revenue Tracking'!$P$13:$P$26, "&lt;"&amp;TH1)</f>
        <v>0</v>
      </c>
      <c r="TH9" s="122">
        <f>SUMIFS('Revenue Tracking'!$F$13:$F$26, 'Revenue Tracking'!$P$13:$P$26, "&gt;="&amp;TH1,'Revenue Tracking'!$P$13:$P$26, "&lt;"&amp;TI1)</f>
        <v>0</v>
      </c>
      <c r="TI9" s="122">
        <f>SUMIFS('Revenue Tracking'!$F$13:$F$26, 'Revenue Tracking'!$P$13:$P$26, "&gt;="&amp;TI1,'Revenue Tracking'!$P$13:$P$26, "&lt;"&amp;TJ1)</f>
        <v>0</v>
      </c>
      <c r="TJ9" s="122">
        <f>SUMIFS('Revenue Tracking'!$F$13:$F$26, 'Revenue Tracking'!$P$13:$P$26, "&gt;="&amp;TJ1,'Revenue Tracking'!$P$13:$P$26, "&lt;"&amp;TK1)</f>
        <v>0</v>
      </c>
      <c r="TK9" s="122">
        <f>SUMIFS('Revenue Tracking'!$F$13:$F$26, 'Revenue Tracking'!$P$13:$P$26, "&gt;="&amp;TK1,'Revenue Tracking'!$P$13:$P$26, "&lt;"&amp;TL1)</f>
        <v>0</v>
      </c>
      <c r="TL9" s="122">
        <f>SUMIFS('Revenue Tracking'!$F$13:$F$26, 'Revenue Tracking'!$P$13:$P$26, "&gt;="&amp;TL1,'Revenue Tracking'!$P$13:$P$26, "&lt;"&amp;TM1)</f>
        <v>0</v>
      </c>
      <c r="TM9" s="122">
        <f>SUMIFS('Revenue Tracking'!$F$13:$F$26, 'Revenue Tracking'!$P$13:$P$26, "&gt;="&amp;TM1,'Revenue Tracking'!$P$13:$P$26, "&lt;"&amp;TN1)</f>
        <v>0</v>
      </c>
      <c r="TN9" s="122">
        <f>SUMIFS('Revenue Tracking'!$F$13:$F$26, 'Revenue Tracking'!$P$13:$P$26, "&gt;="&amp;TN1,'Revenue Tracking'!$P$13:$P$26, "&lt;"&amp;TO1)</f>
        <v>0</v>
      </c>
      <c r="TO9" s="122">
        <f>SUMIFS('Revenue Tracking'!$F$13:$F$26, 'Revenue Tracking'!$P$13:$P$26, "&gt;="&amp;TO1,'Revenue Tracking'!$P$13:$P$26, "&lt;"&amp;TP1)</f>
        <v>0</v>
      </c>
      <c r="TP9" s="122">
        <f>SUMIFS('Revenue Tracking'!$F$13:$F$26, 'Revenue Tracking'!$P$13:$P$26, "&gt;="&amp;TP1,'Revenue Tracking'!$P$13:$P$26, "&lt;"&amp;TQ1)</f>
        <v>0</v>
      </c>
      <c r="TQ9" s="122">
        <f>SUMIFS('Revenue Tracking'!$F$13:$F$26, 'Revenue Tracking'!$P$13:$P$26, "&gt;="&amp;TQ1,'Revenue Tracking'!$P$13:$P$26, "&lt;"&amp;TR1)</f>
        <v>0</v>
      </c>
      <c r="TR9" s="122">
        <f>SUMIFS('Revenue Tracking'!$F$13:$F$26, 'Revenue Tracking'!$P$13:$P$26, "&gt;="&amp;TR1,'Revenue Tracking'!$P$13:$P$26, "&lt;"&amp;TS1)</f>
        <v>0</v>
      </c>
      <c r="TS9" s="122">
        <f>SUMIFS('Revenue Tracking'!$F$13:$F$26, 'Revenue Tracking'!$P$13:$P$26, "&gt;="&amp;TS1,'Revenue Tracking'!$P$13:$P$26, "&lt;"&amp;TT1)</f>
        <v>0</v>
      </c>
      <c r="TT9" s="122">
        <f>SUMIFS('Revenue Tracking'!$F$13:$F$26, 'Revenue Tracking'!$P$13:$P$26, "&gt;="&amp;TT1,'Revenue Tracking'!$P$13:$P$26, "&lt;"&amp;TU1)</f>
        <v>0</v>
      </c>
      <c r="TU9" s="122">
        <f>SUMIFS('Revenue Tracking'!$F$13:$F$26, 'Revenue Tracking'!$P$13:$P$26, "&gt;="&amp;TU1,'Revenue Tracking'!$P$13:$P$26, "&lt;"&amp;TV1)</f>
        <v>0</v>
      </c>
      <c r="TV9" s="122">
        <f>SUMIFS('Revenue Tracking'!$F$13:$F$26, 'Revenue Tracking'!$P$13:$P$26, "&gt;="&amp;TV1,'Revenue Tracking'!$P$13:$P$26, "&lt;"&amp;TW1)</f>
        <v>0</v>
      </c>
      <c r="TW9" s="122">
        <f>SUMIFS('Revenue Tracking'!$F$13:$F$26, 'Revenue Tracking'!$P$13:$P$26, "&gt;="&amp;TW1,'Revenue Tracking'!$P$13:$P$26, "&lt;"&amp;TX1)</f>
        <v>0</v>
      </c>
      <c r="TX9" s="122">
        <f>SUMIFS('Revenue Tracking'!$F$13:$F$26, 'Revenue Tracking'!$P$13:$P$26, "&gt;="&amp;TX1,'Revenue Tracking'!$P$13:$P$26, "&lt;"&amp;TY1)</f>
        <v>0</v>
      </c>
      <c r="TY9" s="122">
        <f>SUMIFS('Revenue Tracking'!$F$13:$F$26, 'Revenue Tracking'!$P$13:$P$26, "&gt;="&amp;TY1,'Revenue Tracking'!$P$13:$P$26, "&lt;"&amp;TZ1)</f>
        <v>0</v>
      </c>
      <c r="TZ9" s="122">
        <f>SUMIFS('Revenue Tracking'!$F$13:$F$26, 'Revenue Tracking'!$P$13:$P$26, "&gt;="&amp;TZ1,'Revenue Tracking'!$P$13:$P$26, "&lt;"&amp;UA1)</f>
        <v>0</v>
      </c>
      <c r="UA9" s="122">
        <f>SUMIFS('Revenue Tracking'!$F$13:$F$26, 'Revenue Tracking'!$P$13:$P$26, "&gt;="&amp;UA1,'Revenue Tracking'!$P$13:$P$26, "&lt;"&amp;UB1)</f>
        <v>0</v>
      </c>
      <c r="UB9" s="122">
        <f>SUMIFS('Revenue Tracking'!$F$13:$F$26, 'Revenue Tracking'!$P$13:$P$26, "&gt;="&amp;UB1,'Revenue Tracking'!$P$13:$P$26, "&lt;"&amp;UC1)</f>
        <v>0</v>
      </c>
      <c r="UC9" s="122">
        <f>SUMIFS('Revenue Tracking'!$F$13:$F$26, 'Revenue Tracking'!$P$13:$P$26, "&gt;="&amp;UC1,'Revenue Tracking'!$P$13:$P$26, "&lt;"&amp;UD1)</f>
        <v>0</v>
      </c>
      <c r="UD9" s="122">
        <f>SUMIFS('Revenue Tracking'!$F$13:$F$26, 'Revenue Tracking'!$P$13:$P$26, "&gt;="&amp;UD1,'Revenue Tracking'!$P$13:$P$26, "&lt;"&amp;UE1)</f>
        <v>0</v>
      </c>
      <c r="UE9" s="122">
        <f>SUMIFS('Revenue Tracking'!$F$13:$F$26, 'Revenue Tracking'!$P$13:$P$26, "&gt;="&amp;UE1,'Revenue Tracking'!$P$13:$P$26, "&lt;"&amp;UF1)</f>
        <v>0</v>
      </c>
      <c r="UF9" s="122">
        <f>SUMIFS('Revenue Tracking'!$F$13:$F$26, 'Revenue Tracking'!$P$13:$P$26, "&gt;="&amp;UF1,'Revenue Tracking'!$P$13:$P$26, "&lt;"&amp;UG1)</f>
        <v>0</v>
      </c>
      <c r="UG9" s="122">
        <f>SUMIFS('Revenue Tracking'!$F$13:$F$26, 'Revenue Tracking'!$P$13:$P$26, "&gt;="&amp;UG1,'Revenue Tracking'!$P$13:$P$26, "&lt;"&amp;UH1)</f>
        <v>0</v>
      </c>
      <c r="UH9" s="122">
        <f>SUMIFS('Revenue Tracking'!$F$13:$F$26, 'Revenue Tracking'!$P$13:$P$26, "&gt;="&amp;UH1,'Revenue Tracking'!$P$13:$P$26, "&lt;"&amp;UI1)</f>
        <v>0</v>
      </c>
      <c r="UI9" s="122">
        <f>SUMIFS('Revenue Tracking'!$F$13:$F$26, 'Revenue Tracking'!$P$13:$P$26, "&gt;="&amp;UI1,'Revenue Tracking'!$P$13:$P$26, "&lt;"&amp;UJ1)</f>
        <v>0</v>
      </c>
      <c r="UJ9" s="122">
        <f>SUMIFS('Revenue Tracking'!$F$13:$F$26, 'Revenue Tracking'!$P$13:$P$26, "&gt;="&amp;UJ1,'Revenue Tracking'!$P$13:$P$26, "&lt;"&amp;UK1)</f>
        <v>0</v>
      </c>
      <c r="UK9" s="122">
        <f>SUMIFS('Revenue Tracking'!$F$13:$F$26, 'Revenue Tracking'!$P$13:$P$26, "&gt;="&amp;UK1,'Revenue Tracking'!$P$13:$P$26, "&lt;"&amp;UL1)</f>
        <v>0</v>
      </c>
      <c r="UL9" s="122">
        <f>SUMIFS('Revenue Tracking'!$F$13:$F$26, 'Revenue Tracking'!$P$13:$P$26, "&gt;="&amp;UL1,'Revenue Tracking'!$P$13:$P$26, "&lt;"&amp;UM1)</f>
        <v>0</v>
      </c>
      <c r="UM9" s="122">
        <f>SUMIFS('Revenue Tracking'!$F$13:$F$26, 'Revenue Tracking'!$P$13:$P$26, "&gt;="&amp;UM1,'Revenue Tracking'!$P$13:$P$26, "&lt;"&amp;UN1)</f>
        <v>0</v>
      </c>
      <c r="UN9" s="122">
        <f>SUMIFS('Revenue Tracking'!$F$13:$F$26, 'Revenue Tracking'!$P$13:$P$26, "&gt;="&amp;UN1,'Revenue Tracking'!$P$13:$P$26, "&lt;"&amp;UO1)</f>
        <v>0</v>
      </c>
      <c r="UO9" s="122">
        <f>SUMIFS('Revenue Tracking'!$F$13:$F$26, 'Revenue Tracking'!$P$13:$P$26, "&gt;="&amp;UO1,'Revenue Tracking'!$P$13:$P$26, "&lt;"&amp;UP1)</f>
        <v>0</v>
      </c>
      <c r="UP9" s="122">
        <f>SUMIFS('Revenue Tracking'!$F$13:$F$26, 'Revenue Tracking'!$P$13:$P$26, "&gt;="&amp;UP1,'Revenue Tracking'!$P$13:$P$26, "&lt;"&amp;UQ1)</f>
        <v>0</v>
      </c>
      <c r="UQ9" s="122">
        <f>SUMIFS('Revenue Tracking'!$F$13:$F$26, 'Revenue Tracking'!$P$13:$P$26, "&gt;="&amp;UQ1,'Revenue Tracking'!$P$13:$P$26, "&lt;"&amp;UR1)</f>
        <v>0</v>
      </c>
      <c r="UR9" s="122">
        <f>SUMIFS('Revenue Tracking'!$F$13:$F$26, 'Revenue Tracking'!$P$13:$P$26, "&gt;="&amp;UR1,'Revenue Tracking'!$P$13:$P$26, "&lt;"&amp;US1)</f>
        <v>0</v>
      </c>
      <c r="US9" s="122">
        <f>SUMIFS('Revenue Tracking'!$F$13:$F$26, 'Revenue Tracking'!$P$13:$P$26, "&gt;="&amp;US1,'Revenue Tracking'!$P$13:$P$26, "&lt;"&amp;UT1)</f>
        <v>0</v>
      </c>
      <c r="UT9" s="122">
        <f>SUMIFS('Revenue Tracking'!$F$13:$F$26, 'Revenue Tracking'!$P$13:$P$26, "&gt;="&amp;UT1,'Revenue Tracking'!$P$13:$P$26, "&lt;"&amp;UU1)</f>
        <v>0</v>
      </c>
      <c r="UU9" s="122">
        <f>SUMIFS('Revenue Tracking'!$F$13:$F$26, 'Revenue Tracking'!$P$13:$P$26, "&gt;="&amp;UU1,'Revenue Tracking'!$P$13:$P$26, "&lt;"&amp;UV1)</f>
        <v>0</v>
      </c>
      <c r="UV9" s="122">
        <f>SUMIFS('Revenue Tracking'!$F$13:$F$26, 'Revenue Tracking'!$P$13:$P$26, "&gt;="&amp;UV1,'Revenue Tracking'!$P$13:$P$26, "&lt;"&amp;UW1)</f>
        <v>0</v>
      </c>
      <c r="UW9" s="122">
        <f>SUMIFS('Revenue Tracking'!$F$13:$F$26, 'Revenue Tracking'!$P$13:$P$26, "&gt;="&amp;UW1,'Revenue Tracking'!$P$13:$P$26, "&lt;"&amp;UX1)</f>
        <v>0</v>
      </c>
      <c r="UX9" s="122">
        <f>SUMIFS('Revenue Tracking'!$F$13:$F$26, 'Revenue Tracking'!$P$13:$P$26, "&gt;="&amp;UX1,'Revenue Tracking'!$P$13:$P$26, "&lt;"&amp;UY1)</f>
        <v>0</v>
      </c>
      <c r="UY9" s="122">
        <f>SUMIFS('Revenue Tracking'!$F$13:$F$26, 'Revenue Tracking'!$P$13:$P$26, "&gt;="&amp;UY1,'Revenue Tracking'!$P$13:$P$26, "&lt;"&amp;UZ1)</f>
        <v>0</v>
      </c>
      <c r="UZ9" s="122">
        <f>SUMIFS('Revenue Tracking'!$F$13:$F$26, 'Revenue Tracking'!$P$13:$P$26, "&gt;="&amp;UZ1,'Revenue Tracking'!$P$13:$P$26, "&lt;"&amp;VA1)</f>
        <v>0</v>
      </c>
      <c r="VA9" s="122">
        <f>SUMIFS('Revenue Tracking'!$F$13:$F$26, 'Revenue Tracking'!$P$13:$P$26, "&gt;="&amp;VA1,'Revenue Tracking'!$P$13:$P$26, "&lt;"&amp;VB1)</f>
        <v>0</v>
      </c>
      <c r="VB9" s="122">
        <f>SUMIFS('Revenue Tracking'!$F$13:$F$26, 'Revenue Tracking'!$P$13:$P$26, "&gt;="&amp;VB1,'Revenue Tracking'!$P$13:$P$26, "&lt;"&amp;VC1)</f>
        <v>0</v>
      </c>
      <c r="VC9" s="122">
        <f>SUMIFS('Revenue Tracking'!$F$13:$F$26, 'Revenue Tracking'!$P$13:$P$26, "&gt;="&amp;VC1,'Revenue Tracking'!$P$13:$P$26, "&lt;"&amp;VD1)</f>
        <v>0</v>
      </c>
      <c r="VD9" s="122">
        <f>SUMIFS('Revenue Tracking'!$F$13:$F$26, 'Revenue Tracking'!$P$13:$P$26, "&gt;="&amp;VD1,'Revenue Tracking'!$P$13:$P$26, "&lt;"&amp;VE1)</f>
        <v>0</v>
      </c>
      <c r="VE9" s="122">
        <f>SUMIFS('Revenue Tracking'!$F$13:$F$26, 'Revenue Tracking'!$P$13:$P$26, "&gt;="&amp;VE1,'Revenue Tracking'!$P$13:$P$26, "&lt;"&amp;VF1)</f>
        <v>0</v>
      </c>
      <c r="VF9" s="122">
        <f>SUMIFS('Revenue Tracking'!$F$13:$F$26, 'Revenue Tracking'!$P$13:$P$26, "&gt;="&amp;VF1,'Revenue Tracking'!$P$13:$P$26, "&lt;"&amp;VG1)</f>
        <v>0</v>
      </c>
      <c r="VG9" s="122">
        <f>SUMIFS('Revenue Tracking'!$F$13:$F$26, 'Revenue Tracking'!$P$13:$P$26, "&gt;="&amp;VG1,'Revenue Tracking'!$P$13:$P$26, "&lt;"&amp;VH1)</f>
        <v>0</v>
      </c>
      <c r="VH9" s="122">
        <f>SUMIFS('Revenue Tracking'!$F$13:$F$26, 'Revenue Tracking'!$P$13:$P$26, "&gt;="&amp;VH1,'Revenue Tracking'!$P$13:$P$26, "&lt;"&amp;VI1)</f>
        <v>0</v>
      </c>
      <c r="VI9" s="122">
        <f>SUMIFS('Revenue Tracking'!$F$13:$F$26, 'Revenue Tracking'!$P$13:$P$26, "&gt;="&amp;VI1,'Revenue Tracking'!$P$13:$P$26, "&lt;"&amp;VJ1)</f>
        <v>0</v>
      </c>
      <c r="VJ9" s="122">
        <f>SUMIFS('Revenue Tracking'!$F$13:$F$26, 'Revenue Tracking'!$P$13:$P$26, "&gt;="&amp;VJ1,'Revenue Tracking'!$P$13:$P$26, "&lt;"&amp;VK1)</f>
        <v>0</v>
      </c>
      <c r="VK9" s="122">
        <f>SUMIFS('Revenue Tracking'!$F$13:$F$26, 'Revenue Tracking'!$P$13:$P$26, "&gt;="&amp;VK1,'Revenue Tracking'!$P$13:$P$26, "&lt;"&amp;VL1)</f>
        <v>0</v>
      </c>
      <c r="VL9" s="122">
        <f>SUMIFS('Revenue Tracking'!$F$13:$F$26, 'Revenue Tracking'!$P$13:$P$26, "&gt;="&amp;VL1,'Revenue Tracking'!$P$13:$P$26, "&lt;"&amp;VM1)</f>
        <v>0</v>
      </c>
      <c r="VM9" s="122">
        <f>SUMIFS('Revenue Tracking'!$F$13:$F$26, 'Revenue Tracking'!$P$13:$P$26, "&gt;="&amp;VM1,'Revenue Tracking'!$P$13:$P$26, "&lt;"&amp;VN1)</f>
        <v>0</v>
      </c>
      <c r="VN9" s="122">
        <f>SUMIFS('Revenue Tracking'!$F$13:$F$26, 'Revenue Tracking'!$P$13:$P$26, "&gt;="&amp;VN1,'Revenue Tracking'!$P$13:$P$26, "&lt;"&amp;VO1)</f>
        <v>0</v>
      </c>
      <c r="VO9" s="122">
        <f>SUMIFS('Revenue Tracking'!$F$13:$F$26, 'Revenue Tracking'!$P$13:$P$26, "&gt;="&amp;VO1,'Revenue Tracking'!$P$13:$P$26, "&lt;"&amp;VP1)</f>
        <v>0</v>
      </c>
      <c r="VP9" s="122">
        <f>SUMIFS('Revenue Tracking'!$F$13:$F$26, 'Revenue Tracking'!$P$13:$P$26, "&gt;="&amp;VP1,'Revenue Tracking'!$P$13:$P$26, "&lt;"&amp;VQ1)</f>
        <v>0</v>
      </c>
      <c r="VQ9" s="122">
        <f>SUMIFS('Revenue Tracking'!$F$13:$F$26, 'Revenue Tracking'!$P$13:$P$26, "&gt;="&amp;VQ1,'Revenue Tracking'!$P$13:$P$26, "&lt;"&amp;VR1)</f>
        <v>0</v>
      </c>
      <c r="VR9" s="122">
        <f>SUMIFS('Revenue Tracking'!$F$13:$F$26, 'Revenue Tracking'!$P$13:$P$26, "&gt;="&amp;VR1,'Revenue Tracking'!$P$13:$P$26, "&lt;"&amp;VS1)</f>
        <v>0</v>
      </c>
      <c r="VS9" s="122">
        <f>SUMIFS('Revenue Tracking'!$F$13:$F$26, 'Revenue Tracking'!$P$13:$P$26, "&gt;="&amp;VS1,'Revenue Tracking'!$P$13:$P$26, "&lt;"&amp;VT1)</f>
        <v>0</v>
      </c>
      <c r="VT9" s="122">
        <f>SUMIFS('Revenue Tracking'!$F$13:$F$26, 'Revenue Tracking'!$P$13:$P$26, "&gt;="&amp;VT1,'Revenue Tracking'!$P$13:$P$26, "&lt;"&amp;VU1)</f>
        <v>0</v>
      </c>
      <c r="VU9" s="122">
        <f>SUMIFS('Revenue Tracking'!$F$13:$F$26, 'Revenue Tracking'!$P$13:$P$26, "&gt;="&amp;VU1,'Revenue Tracking'!$P$13:$P$26, "&lt;"&amp;VV1)</f>
        <v>0</v>
      </c>
      <c r="VV9" s="122">
        <f>SUMIFS('Revenue Tracking'!$F$13:$F$26, 'Revenue Tracking'!$P$13:$P$26, "&gt;="&amp;VV1,'Revenue Tracking'!$P$13:$P$26, "&lt;"&amp;VW1)</f>
        <v>0</v>
      </c>
      <c r="VW9" s="122">
        <f>SUMIFS('Revenue Tracking'!$F$13:$F$26, 'Revenue Tracking'!$P$13:$P$26, "&gt;="&amp;VW1,'Revenue Tracking'!$P$13:$P$26, "&lt;"&amp;VX1)</f>
        <v>0</v>
      </c>
      <c r="VX9" s="122">
        <f>SUMIFS('Revenue Tracking'!$F$13:$F$26, 'Revenue Tracking'!$P$13:$P$26, "&gt;="&amp;VX1,'Revenue Tracking'!$P$13:$P$26, "&lt;"&amp;VY1)</f>
        <v>0</v>
      </c>
      <c r="VY9" s="122">
        <f>SUMIFS('Revenue Tracking'!$F$13:$F$26, 'Revenue Tracking'!$P$13:$P$26, "&gt;="&amp;VY1,'Revenue Tracking'!$P$13:$P$26, "&lt;"&amp;VZ1)</f>
        <v>0</v>
      </c>
      <c r="VZ9" s="122">
        <f>SUMIFS('Revenue Tracking'!$F$13:$F$26, 'Revenue Tracking'!$P$13:$P$26, "&gt;="&amp;VZ1,'Revenue Tracking'!$P$13:$P$26, "&lt;"&amp;WA1)</f>
        <v>0</v>
      </c>
      <c r="WA9" s="122">
        <f>SUMIFS('Revenue Tracking'!$F$13:$F$26, 'Revenue Tracking'!$P$13:$P$26, "&gt;="&amp;WA1,'Revenue Tracking'!$P$13:$P$26, "&lt;"&amp;WB1)</f>
        <v>0</v>
      </c>
      <c r="WB9" s="122">
        <f>SUMIFS('Revenue Tracking'!$F$13:$F$26, 'Revenue Tracking'!$P$13:$P$26, "&gt;="&amp;WB1,'Revenue Tracking'!$P$13:$P$26, "&lt;"&amp;WC1)</f>
        <v>0</v>
      </c>
      <c r="WC9" s="122">
        <f>SUMIFS('Revenue Tracking'!$F$13:$F$26, 'Revenue Tracking'!$P$13:$P$26, "&gt;="&amp;WC1,'Revenue Tracking'!$P$13:$P$26, "&lt;"&amp;WD1)</f>
        <v>0</v>
      </c>
      <c r="WD9" s="122">
        <f>SUMIFS('Revenue Tracking'!$F$13:$F$26, 'Revenue Tracking'!$P$13:$P$26, "&gt;="&amp;WD1,'Revenue Tracking'!$P$13:$P$26, "&lt;"&amp;WE1)</f>
        <v>0</v>
      </c>
      <c r="WE9" s="122">
        <f>SUMIFS('Revenue Tracking'!$F$13:$F$26, 'Revenue Tracking'!$P$13:$P$26, "&gt;="&amp;WE1,'Revenue Tracking'!$P$13:$P$26, "&lt;"&amp;WF1)</f>
        <v>0</v>
      </c>
      <c r="WF9" s="122">
        <f>SUMIFS('Revenue Tracking'!$F$13:$F$26, 'Revenue Tracking'!$P$13:$P$26, "&gt;="&amp;WF1,'Revenue Tracking'!$P$13:$P$26, "&lt;"&amp;WG1)</f>
        <v>0</v>
      </c>
      <c r="WG9" s="122">
        <f>SUMIFS('Revenue Tracking'!$F$13:$F$26, 'Revenue Tracking'!$P$13:$P$26, "&gt;="&amp;WG1,'Revenue Tracking'!$P$13:$P$26, "&lt;"&amp;WH1)</f>
        <v>0</v>
      </c>
      <c r="WH9" s="122">
        <f>SUMIFS('Revenue Tracking'!$F$13:$F$26, 'Revenue Tracking'!$P$13:$P$26, "&gt;="&amp;WH1,'Revenue Tracking'!$P$13:$P$26, "&lt;"&amp;WI1)</f>
        <v>0</v>
      </c>
      <c r="WI9" s="122">
        <f>SUMIFS('Revenue Tracking'!$F$13:$F$26, 'Revenue Tracking'!$P$13:$P$26, "&gt;="&amp;WI1,'Revenue Tracking'!$P$13:$P$26, "&lt;"&amp;WJ1)</f>
        <v>0</v>
      </c>
      <c r="WJ9" s="122">
        <f>SUMIFS('Revenue Tracking'!$F$13:$F$26, 'Revenue Tracking'!$P$13:$P$26, "&gt;="&amp;WJ1,'Revenue Tracking'!$P$13:$P$26, "&lt;"&amp;WK1)</f>
        <v>0</v>
      </c>
      <c r="WK9" s="122">
        <f>SUMIFS('Revenue Tracking'!$F$13:$F$26, 'Revenue Tracking'!$P$13:$P$26, "&gt;="&amp;WK1,'Revenue Tracking'!$P$13:$P$26, "&lt;"&amp;WL1)</f>
        <v>0</v>
      </c>
      <c r="WL9" s="122">
        <f>SUMIFS('Revenue Tracking'!$F$13:$F$26, 'Revenue Tracking'!$P$13:$P$26, "&gt;="&amp;WL1,'Revenue Tracking'!$P$13:$P$26, "&lt;"&amp;WM1)</f>
        <v>0</v>
      </c>
      <c r="WM9" s="122">
        <f>SUMIFS('Revenue Tracking'!$F$13:$F$26, 'Revenue Tracking'!$P$13:$P$26, "&gt;="&amp;WM1,'Revenue Tracking'!$P$13:$P$26, "&lt;"&amp;WN1)</f>
        <v>0</v>
      </c>
      <c r="WN9" s="122">
        <f>SUMIFS('Revenue Tracking'!$F$13:$F$26, 'Revenue Tracking'!$P$13:$P$26, "&gt;="&amp;WN1,'Revenue Tracking'!$P$13:$P$26, "&lt;"&amp;WO1)</f>
        <v>0</v>
      </c>
      <c r="WO9" s="122">
        <f>SUMIFS('Revenue Tracking'!$F$13:$F$26, 'Revenue Tracking'!$P$13:$P$26, "&gt;="&amp;WO1,'Revenue Tracking'!$P$13:$P$26, "&lt;"&amp;WP1)</f>
        <v>0</v>
      </c>
      <c r="WP9" s="122">
        <f>SUMIFS('Revenue Tracking'!$F$13:$F$26, 'Revenue Tracking'!$P$13:$P$26, "&gt;="&amp;WP1,'Revenue Tracking'!$P$13:$P$26, "&lt;"&amp;WQ1)</f>
        <v>0</v>
      </c>
      <c r="WQ9" s="122">
        <f>SUMIFS('Revenue Tracking'!$F$13:$F$26, 'Revenue Tracking'!$P$13:$P$26, "&gt;="&amp;WQ1,'Revenue Tracking'!$P$13:$P$26, "&lt;"&amp;WR1)</f>
        <v>0</v>
      </c>
      <c r="WR9" s="122">
        <f>SUMIFS('Revenue Tracking'!$F$13:$F$26, 'Revenue Tracking'!$P$13:$P$26, "&gt;="&amp;WR1,'Revenue Tracking'!$P$13:$P$26, "&lt;"&amp;WS1)</f>
        <v>0</v>
      </c>
      <c r="WS9" s="122">
        <f>SUMIFS('Revenue Tracking'!$F$13:$F$26, 'Revenue Tracking'!$P$13:$P$26, "&gt;="&amp;WS1,'Revenue Tracking'!$P$13:$P$26, "&lt;"&amp;WT1)</f>
        <v>0</v>
      </c>
      <c r="WT9" s="122">
        <f>SUMIFS('Revenue Tracking'!$F$13:$F$26, 'Revenue Tracking'!$P$13:$P$26, "&gt;="&amp;WT1,'Revenue Tracking'!$P$13:$P$26, "&lt;"&amp;WU1)</f>
        <v>0</v>
      </c>
      <c r="WU9" s="122">
        <f>SUMIFS('Revenue Tracking'!$F$13:$F$26, 'Revenue Tracking'!$P$13:$P$26, "&gt;="&amp;WU1,'Revenue Tracking'!$P$13:$P$26, "&lt;"&amp;WV1)</f>
        <v>0</v>
      </c>
      <c r="WV9" s="122">
        <f>SUMIFS('Revenue Tracking'!$F$13:$F$26, 'Revenue Tracking'!$P$13:$P$26, "&gt;="&amp;WV1,'Revenue Tracking'!$P$13:$P$26, "&lt;"&amp;WW1)</f>
        <v>0</v>
      </c>
      <c r="WW9" s="122">
        <f>SUMIFS('Revenue Tracking'!$F$13:$F$26, 'Revenue Tracking'!$P$13:$P$26, "&gt;="&amp;WW1,'Revenue Tracking'!$P$13:$P$26, "&lt;"&amp;WX1)</f>
        <v>0</v>
      </c>
      <c r="WX9" s="122">
        <f>SUMIFS('Revenue Tracking'!$F$13:$F$26, 'Revenue Tracking'!$P$13:$P$26, "&gt;="&amp;WX1,'Revenue Tracking'!$P$13:$P$26, "&lt;"&amp;WY1)</f>
        <v>0</v>
      </c>
      <c r="WY9" s="122">
        <f>SUMIFS('Revenue Tracking'!$F$13:$F$26, 'Revenue Tracking'!$P$13:$P$26, "&gt;="&amp;WY1,'Revenue Tracking'!$P$13:$P$26, "&lt;"&amp;WZ1)</f>
        <v>0</v>
      </c>
      <c r="WZ9" s="122">
        <f>SUMIFS('Revenue Tracking'!$F$13:$F$26, 'Revenue Tracking'!$P$13:$P$26, "&gt;="&amp;WZ1,'Revenue Tracking'!$P$13:$P$26, "&lt;"&amp;XA1)</f>
        <v>0</v>
      </c>
      <c r="XA9" s="122">
        <f>SUMIFS('Revenue Tracking'!$F$13:$F$26, 'Revenue Tracking'!$P$13:$P$26, "&gt;="&amp;XA1,'Revenue Tracking'!$P$13:$P$26, "&lt;"&amp;XB1)</f>
        <v>0</v>
      </c>
      <c r="XB9" s="122">
        <f>SUMIFS('Revenue Tracking'!$F$13:$F$26, 'Revenue Tracking'!$P$13:$P$26, "&gt;="&amp;XB1,'Revenue Tracking'!$P$13:$P$26, "&lt;"&amp;XC1)</f>
        <v>0</v>
      </c>
      <c r="XC9" s="122">
        <f>SUMIFS('Revenue Tracking'!$F$13:$F$26, 'Revenue Tracking'!$P$13:$P$26, "&gt;="&amp;XC1,'Revenue Tracking'!$P$13:$P$26, "&lt;"&amp;XD1)</f>
        <v>0</v>
      </c>
      <c r="XD9" s="122">
        <f>SUMIFS('Revenue Tracking'!$F$13:$F$26, 'Revenue Tracking'!$P$13:$P$26, "&gt;="&amp;XD1,'Revenue Tracking'!$P$13:$P$26, "&lt;"&amp;XE1)</f>
        <v>0</v>
      </c>
      <c r="XE9" s="122">
        <f>SUMIFS('Revenue Tracking'!$F$13:$F$26, 'Revenue Tracking'!$P$13:$P$26, "&gt;="&amp;XE1,'Revenue Tracking'!$P$13:$P$26, "&lt;"&amp;XF1)</f>
        <v>0</v>
      </c>
      <c r="XF9" s="122">
        <f>SUMIFS('Revenue Tracking'!$F$13:$F$26, 'Revenue Tracking'!$P$13:$P$26, "&gt;="&amp;XF1,'Revenue Tracking'!$P$13:$P$26, "&lt;"&amp;XG1)</f>
        <v>0</v>
      </c>
      <c r="XG9" s="122">
        <f>SUMIFS('Revenue Tracking'!$F$13:$F$26, 'Revenue Tracking'!$P$13:$P$26, "&gt;="&amp;XG1,'Revenue Tracking'!$P$13:$P$26, "&lt;"&amp;XH1)</f>
        <v>0</v>
      </c>
      <c r="XH9" s="122">
        <f>SUMIFS('Revenue Tracking'!$F$13:$F$26, 'Revenue Tracking'!$P$13:$P$26, "&gt;="&amp;XH1,'Revenue Tracking'!$P$13:$P$26, "&lt;"&amp;XI1)</f>
        <v>0</v>
      </c>
      <c r="XI9" s="122">
        <f>SUMIFS('Revenue Tracking'!$F$13:$F$26, 'Revenue Tracking'!$P$13:$P$26, "&gt;="&amp;XI1,'Revenue Tracking'!$P$13:$P$26, "&lt;"&amp;XJ1)</f>
        <v>0</v>
      </c>
      <c r="XJ9" s="122">
        <f>SUMIFS('Revenue Tracking'!$F$13:$F$26, 'Revenue Tracking'!$P$13:$P$26, "&gt;="&amp;XJ1,'Revenue Tracking'!$P$13:$P$26, "&lt;"&amp;XK1)</f>
        <v>0</v>
      </c>
      <c r="XK9" s="122">
        <f>SUMIFS('Revenue Tracking'!$F$13:$F$26, 'Revenue Tracking'!$P$13:$P$26, "&gt;="&amp;XK1,'Revenue Tracking'!$P$13:$P$26, "&lt;"&amp;XL1)</f>
        <v>0</v>
      </c>
      <c r="XL9" s="122">
        <f>SUMIFS('Revenue Tracking'!$F$13:$F$26, 'Revenue Tracking'!$P$13:$P$26, "&gt;="&amp;XL1,'Revenue Tracking'!$P$13:$P$26, "&lt;"&amp;XM1)</f>
        <v>0</v>
      </c>
      <c r="XM9" s="122">
        <f>SUMIFS('Revenue Tracking'!$F$13:$F$26, 'Revenue Tracking'!$P$13:$P$26, "&gt;="&amp;XM1,'Revenue Tracking'!$P$13:$P$26, "&lt;"&amp;XN1)</f>
        <v>0</v>
      </c>
      <c r="XN9" s="122">
        <f>SUMIFS('Revenue Tracking'!$F$13:$F$26, 'Revenue Tracking'!$P$13:$P$26, "&gt;="&amp;XN1,'Revenue Tracking'!$P$13:$P$26, "&lt;"&amp;XO1)</f>
        <v>0</v>
      </c>
      <c r="XO9" s="122">
        <f>SUMIFS('Revenue Tracking'!$F$13:$F$26, 'Revenue Tracking'!$P$13:$P$26, "&gt;="&amp;XO1,'Revenue Tracking'!$P$13:$P$26, "&lt;"&amp;XP1)</f>
        <v>0</v>
      </c>
      <c r="XP9" s="122">
        <f>SUMIFS('Revenue Tracking'!$F$13:$F$26, 'Revenue Tracking'!$P$13:$P$26, "&gt;="&amp;XP1,'Revenue Tracking'!$P$13:$P$26, "&lt;"&amp;XQ1)</f>
        <v>0</v>
      </c>
      <c r="XQ9" s="122">
        <f>SUMIFS('Revenue Tracking'!$F$13:$F$26, 'Revenue Tracking'!$P$13:$P$26, "&gt;="&amp;XQ1,'Revenue Tracking'!$P$13:$P$26, "&lt;"&amp;XR1)</f>
        <v>0</v>
      </c>
      <c r="XR9" s="122">
        <f>SUMIFS('Revenue Tracking'!$F$13:$F$26, 'Revenue Tracking'!$P$13:$P$26, "&gt;="&amp;XR1,'Revenue Tracking'!$P$13:$P$26, "&lt;"&amp;XS1)</f>
        <v>0</v>
      </c>
      <c r="XS9" s="122">
        <f>SUMIFS('Revenue Tracking'!$F$13:$F$26, 'Revenue Tracking'!$P$13:$P$26, "&gt;="&amp;XS1,'Revenue Tracking'!$P$13:$P$26, "&lt;"&amp;XT1)</f>
        <v>0</v>
      </c>
      <c r="XT9" s="122">
        <f>SUMIFS('Revenue Tracking'!$F$13:$F$26, 'Revenue Tracking'!$P$13:$P$26, "&gt;="&amp;XT1,'Revenue Tracking'!$P$13:$P$26, "&lt;"&amp;XU1)</f>
        <v>0</v>
      </c>
      <c r="XU9" s="122">
        <f>SUMIFS('Revenue Tracking'!$F$13:$F$26, 'Revenue Tracking'!$P$13:$P$26, "&gt;="&amp;XU1,'Revenue Tracking'!$P$13:$P$26, "&lt;"&amp;XV1)</f>
        <v>0</v>
      </c>
      <c r="XV9" s="122">
        <f>SUMIFS('Revenue Tracking'!$F$13:$F$26, 'Revenue Tracking'!$P$13:$P$26, "&gt;="&amp;XV1,'Revenue Tracking'!$P$13:$P$26, "&lt;"&amp;XW1)</f>
        <v>0</v>
      </c>
      <c r="XW9" s="122">
        <f>SUMIFS('Revenue Tracking'!$F$13:$F$26, 'Revenue Tracking'!$P$13:$P$26, "&gt;="&amp;XW1,'Revenue Tracking'!$P$13:$P$26, "&lt;"&amp;XX1)</f>
        <v>0</v>
      </c>
      <c r="XX9" s="122">
        <f>SUMIFS('Revenue Tracking'!$F$13:$F$26, 'Revenue Tracking'!$P$13:$P$26, "&gt;="&amp;XX1,'Revenue Tracking'!$P$13:$P$26, "&lt;"&amp;XY1)</f>
        <v>0</v>
      </c>
      <c r="XY9" s="122">
        <f>SUMIFS('Revenue Tracking'!$F$13:$F$26, 'Revenue Tracking'!$P$13:$P$26, "&gt;="&amp;XY1,'Revenue Tracking'!$P$13:$P$26, "&lt;"&amp;XZ1)</f>
        <v>0</v>
      </c>
      <c r="XZ9" s="122">
        <f>SUMIFS('Revenue Tracking'!$F$13:$F$26, 'Revenue Tracking'!$P$13:$P$26, "&gt;="&amp;XZ1,'Revenue Tracking'!$P$13:$P$26, "&lt;"&amp;YA1)</f>
        <v>0</v>
      </c>
      <c r="YA9" s="122">
        <f>SUMIFS('Revenue Tracking'!$F$13:$F$26, 'Revenue Tracking'!$P$13:$P$26, "&gt;="&amp;YA1,'Revenue Tracking'!$P$13:$P$26, "&lt;"&amp;YB1)</f>
        <v>0</v>
      </c>
      <c r="YB9" s="122">
        <f>SUMIFS('Revenue Tracking'!$F$13:$F$26, 'Revenue Tracking'!$P$13:$P$26, "&gt;="&amp;YB1,'Revenue Tracking'!$P$13:$P$26, "&lt;"&amp;YC1)</f>
        <v>0</v>
      </c>
      <c r="YC9" s="122">
        <f>SUMIFS('Revenue Tracking'!$F$13:$F$26, 'Revenue Tracking'!$P$13:$P$26, "&gt;="&amp;YC1,'Revenue Tracking'!$P$13:$P$26, "&lt;"&amp;YD1)</f>
        <v>0</v>
      </c>
      <c r="YD9" s="122">
        <f>SUMIFS('Revenue Tracking'!$F$13:$F$26, 'Revenue Tracking'!$P$13:$P$26, "&gt;="&amp;YD1,'Revenue Tracking'!$P$13:$P$26, "&lt;"&amp;YE1)</f>
        <v>0</v>
      </c>
      <c r="YE9" s="122">
        <f>SUMIFS('Revenue Tracking'!$F$13:$F$26, 'Revenue Tracking'!$P$13:$P$26, "&gt;="&amp;YE1,'Revenue Tracking'!$P$13:$P$26, "&lt;"&amp;YF1)</f>
        <v>0</v>
      </c>
      <c r="YF9" s="122">
        <f>SUMIFS('Revenue Tracking'!$F$13:$F$26, 'Revenue Tracking'!$P$13:$P$26, "&gt;="&amp;YF1,'Revenue Tracking'!$P$13:$P$26, "&lt;"&amp;YG1)</f>
        <v>0</v>
      </c>
      <c r="YG9" s="122">
        <f>SUMIFS('Revenue Tracking'!$F$13:$F$26, 'Revenue Tracking'!$P$13:$P$26, "&gt;="&amp;YG1,'Revenue Tracking'!$P$13:$P$26, "&lt;"&amp;YH1)</f>
        <v>0</v>
      </c>
      <c r="YH9" s="122">
        <f>SUMIFS('Revenue Tracking'!$F$13:$F$26, 'Revenue Tracking'!$P$13:$P$26, "&gt;="&amp;YH1,'Revenue Tracking'!$P$13:$P$26, "&lt;"&amp;YI1)</f>
        <v>0</v>
      </c>
      <c r="YI9" s="122">
        <f>SUMIFS('Revenue Tracking'!$F$13:$F$26, 'Revenue Tracking'!$P$13:$P$26, "&gt;="&amp;YI1,'Revenue Tracking'!$P$13:$P$26, "&lt;"&amp;YJ1)</f>
        <v>0</v>
      </c>
      <c r="YJ9" s="122">
        <f>SUMIFS('Revenue Tracking'!$F$13:$F$26, 'Revenue Tracking'!$P$13:$P$26, "&gt;="&amp;YJ1,'Revenue Tracking'!$P$13:$P$26, "&lt;"&amp;YK1)</f>
        <v>0</v>
      </c>
      <c r="YK9" s="122">
        <f>SUMIFS('Revenue Tracking'!$F$13:$F$26, 'Revenue Tracking'!$P$13:$P$26, "&gt;="&amp;YK1,'Revenue Tracking'!$P$13:$P$26, "&lt;"&amp;YL1)</f>
        <v>0</v>
      </c>
      <c r="YL9" s="122">
        <f>SUMIFS('Revenue Tracking'!$F$13:$F$26, 'Revenue Tracking'!$P$13:$P$26, "&gt;="&amp;YL1,'Revenue Tracking'!$P$13:$P$26, "&lt;"&amp;YM1)</f>
        <v>0</v>
      </c>
      <c r="YM9" s="122">
        <f>SUMIFS('Revenue Tracking'!$F$13:$F$26, 'Revenue Tracking'!$P$13:$P$26, "&gt;="&amp;YM1,'Revenue Tracking'!$P$13:$P$26, "&lt;"&amp;YN1)</f>
        <v>0</v>
      </c>
      <c r="YN9" s="122">
        <f>SUMIFS('Revenue Tracking'!$F$13:$F$26, 'Revenue Tracking'!$P$13:$P$26, "&gt;="&amp;YN1,'Revenue Tracking'!$P$13:$P$26, "&lt;"&amp;YO1)</f>
        <v>0</v>
      </c>
      <c r="YO9" s="122">
        <f>SUMIFS('Revenue Tracking'!$F$13:$F$26, 'Revenue Tracking'!$P$13:$P$26, "&gt;="&amp;YO1,'Revenue Tracking'!$P$13:$P$26, "&lt;"&amp;YP1)</f>
        <v>0</v>
      </c>
      <c r="YP9" s="122">
        <f>SUMIFS('Revenue Tracking'!$F$13:$F$26, 'Revenue Tracking'!$P$13:$P$26, "&gt;="&amp;YP1,'Revenue Tracking'!$P$13:$P$26, "&lt;"&amp;YQ1)</f>
        <v>0</v>
      </c>
      <c r="YQ9" s="122">
        <f>SUMIFS('Revenue Tracking'!$F$13:$F$26, 'Revenue Tracking'!$P$13:$P$26, "&gt;="&amp;YQ1,'Revenue Tracking'!$P$13:$P$26, "&lt;"&amp;YR1)</f>
        <v>0</v>
      </c>
      <c r="YR9" s="122">
        <f>SUMIFS('Revenue Tracking'!$F$13:$F$26, 'Revenue Tracking'!$P$13:$P$26, "&gt;="&amp;YR1,'Revenue Tracking'!$P$13:$P$26, "&lt;"&amp;YS1)</f>
        <v>0</v>
      </c>
      <c r="YS9" s="122">
        <f>SUMIFS('Revenue Tracking'!$F$13:$F$26, 'Revenue Tracking'!$P$13:$P$26, "&gt;="&amp;YS1,'Revenue Tracking'!$P$13:$P$26, "&lt;"&amp;YT1)</f>
        <v>0</v>
      </c>
      <c r="YT9" s="122">
        <f>SUMIFS('Revenue Tracking'!$F$13:$F$26, 'Revenue Tracking'!$P$13:$P$26, "&gt;="&amp;YT1,'Revenue Tracking'!$P$13:$P$26, "&lt;"&amp;YU1)</f>
        <v>0</v>
      </c>
      <c r="YU9" s="122">
        <f>SUMIFS('Revenue Tracking'!$F$13:$F$26, 'Revenue Tracking'!$P$13:$P$26, "&gt;="&amp;YU1,'Revenue Tracking'!$P$13:$P$26, "&lt;"&amp;YV1)</f>
        <v>0</v>
      </c>
      <c r="YV9" s="122">
        <f>SUMIFS('Revenue Tracking'!$F$13:$F$26, 'Revenue Tracking'!$P$13:$P$26, "&gt;="&amp;YV1,'Revenue Tracking'!$P$13:$P$26, "&lt;"&amp;YW1)</f>
        <v>0</v>
      </c>
      <c r="YW9" s="122">
        <f>SUMIFS('Revenue Tracking'!$F$13:$F$26, 'Revenue Tracking'!$P$13:$P$26, "&gt;="&amp;YW1,'Revenue Tracking'!$P$13:$P$26, "&lt;"&amp;YX1)</f>
        <v>0</v>
      </c>
      <c r="YX9" s="122">
        <f>SUMIFS('Revenue Tracking'!$F$13:$F$26, 'Revenue Tracking'!$P$13:$P$26, "&gt;="&amp;YX1,'Revenue Tracking'!$P$13:$P$26, "&lt;"&amp;YY1)</f>
        <v>0</v>
      </c>
      <c r="YY9" s="122">
        <f>SUMIFS('Revenue Tracking'!$F$13:$F$26, 'Revenue Tracking'!$P$13:$P$26, "&gt;="&amp;YY1,'Revenue Tracking'!$P$13:$P$26, "&lt;"&amp;YZ1)</f>
        <v>0</v>
      </c>
      <c r="YZ9" s="122">
        <f>SUMIFS('Revenue Tracking'!$F$13:$F$26, 'Revenue Tracking'!$P$13:$P$26, "&gt;="&amp;YZ1,'Revenue Tracking'!$P$13:$P$26, "&lt;"&amp;ZA1)</f>
        <v>0</v>
      </c>
      <c r="ZA9" s="122">
        <f>SUMIFS('Revenue Tracking'!$F$13:$F$26, 'Revenue Tracking'!$P$13:$P$26, "&gt;="&amp;ZA1,'Revenue Tracking'!$P$13:$P$26, "&lt;"&amp;ZB1)</f>
        <v>0</v>
      </c>
      <c r="ZB9" s="122">
        <f>SUMIFS('Revenue Tracking'!$F$13:$F$26, 'Revenue Tracking'!$P$13:$P$26, "&gt;="&amp;ZB1,'Revenue Tracking'!$P$13:$P$26, "&lt;"&amp;ZC1)</f>
        <v>0</v>
      </c>
      <c r="ZC9" s="122">
        <f>SUMIFS('Revenue Tracking'!$F$13:$F$26, 'Revenue Tracking'!$P$13:$P$26, "&gt;="&amp;ZC1,'Revenue Tracking'!$P$13:$P$26, "&lt;"&amp;ZD1)</f>
        <v>0</v>
      </c>
      <c r="ZD9" s="122">
        <f>SUMIFS('Revenue Tracking'!$F$13:$F$26, 'Revenue Tracking'!$P$13:$P$26, "&gt;="&amp;ZD1,'Revenue Tracking'!$P$13:$P$26, "&lt;"&amp;ZE1)</f>
        <v>0</v>
      </c>
      <c r="ZE9" s="122">
        <f>SUMIFS('Revenue Tracking'!$F$13:$F$26, 'Revenue Tracking'!$P$13:$P$26, "&gt;="&amp;ZE1,'Revenue Tracking'!$P$13:$P$26, "&lt;"&amp;ZF1)</f>
        <v>0</v>
      </c>
      <c r="ZF9" s="122">
        <f>SUMIFS('Revenue Tracking'!$F$13:$F$26, 'Revenue Tracking'!$P$13:$P$26, "&gt;="&amp;ZF1,'Revenue Tracking'!$P$13:$P$26, "&lt;"&amp;ZG1)</f>
        <v>0</v>
      </c>
      <c r="ZG9" s="122">
        <f>SUMIFS('Revenue Tracking'!$F$13:$F$26, 'Revenue Tracking'!$P$13:$P$26, "&gt;="&amp;ZG1,'Revenue Tracking'!$P$13:$P$26, "&lt;"&amp;ZH1)</f>
        <v>0</v>
      </c>
      <c r="ZH9" s="122">
        <f>SUMIFS('Revenue Tracking'!$F$13:$F$26, 'Revenue Tracking'!$P$13:$P$26, "&gt;="&amp;ZH1,'Revenue Tracking'!$P$13:$P$26, "&lt;"&amp;ZI1)</f>
        <v>0</v>
      </c>
      <c r="ZI9" s="122">
        <f>SUMIFS('Revenue Tracking'!$F$13:$F$26, 'Revenue Tracking'!$P$13:$P$26, "&gt;="&amp;ZI1,'Revenue Tracking'!$P$13:$P$26, "&lt;"&amp;ZJ1)</f>
        <v>0</v>
      </c>
      <c r="ZJ9" s="122">
        <f>SUMIFS('Revenue Tracking'!$F$13:$F$26, 'Revenue Tracking'!$P$13:$P$26, "&gt;="&amp;ZJ1,'Revenue Tracking'!$P$13:$P$26, "&lt;"&amp;ZK1)</f>
        <v>0</v>
      </c>
      <c r="ZK9" s="122">
        <f>SUMIFS('Revenue Tracking'!$F$13:$F$26, 'Revenue Tracking'!$P$13:$P$26, "&gt;="&amp;ZK1,'Revenue Tracking'!$P$13:$P$26, "&lt;"&amp;ZL1)</f>
        <v>0</v>
      </c>
      <c r="ZL9" s="122">
        <f>SUMIFS('Revenue Tracking'!$F$13:$F$26, 'Revenue Tracking'!$P$13:$P$26, "&gt;="&amp;ZL1,'Revenue Tracking'!$P$13:$P$26, "&lt;"&amp;ZM1)</f>
        <v>0</v>
      </c>
      <c r="ZM9" s="122">
        <f>SUMIFS('Revenue Tracking'!$F$13:$F$26, 'Revenue Tracking'!$P$13:$P$26, "&gt;="&amp;ZM1,'Revenue Tracking'!$P$13:$P$26, "&lt;"&amp;ZN1)</f>
        <v>0</v>
      </c>
      <c r="ZN9" s="122">
        <f>SUMIFS('Revenue Tracking'!$F$13:$F$26, 'Revenue Tracking'!$P$13:$P$26, "&gt;="&amp;ZN1,'Revenue Tracking'!$P$13:$P$26, "&lt;"&amp;ZO1)</f>
        <v>0</v>
      </c>
      <c r="ZO9" s="122">
        <f>SUMIFS('Revenue Tracking'!$F$13:$F$26, 'Revenue Tracking'!$P$13:$P$26, "&gt;="&amp;ZO1,'Revenue Tracking'!$P$13:$P$26, "&lt;"&amp;ZP1)</f>
        <v>0</v>
      </c>
      <c r="ZP9" s="122">
        <f>SUMIFS('Revenue Tracking'!$F$13:$F$26, 'Revenue Tracking'!$P$13:$P$26, "&gt;="&amp;ZP1,'Revenue Tracking'!$P$13:$P$26, "&lt;"&amp;ZQ1)</f>
        <v>0</v>
      </c>
      <c r="ZQ9" s="122">
        <f>SUMIFS('Revenue Tracking'!$F$13:$F$26, 'Revenue Tracking'!$P$13:$P$26, "&gt;="&amp;ZQ1,'Revenue Tracking'!$P$13:$P$26, "&lt;"&amp;ZR1)</f>
        <v>0</v>
      </c>
      <c r="ZR9" s="122">
        <f>SUMIFS('Revenue Tracking'!$F$13:$F$26, 'Revenue Tracking'!$P$13:$P$26, "&gt;="&amp;ZR1,'Revenue Tracking'!$P$13:$P$26, "&lt;"&amp;ZS1)</f>
        <v>0</v>
      </c>
      <c r="ZS9" s="122">
        <f>SUMIFS('Revenue Tracking'!$F$13:$F$26, 'Revenue Tracking'!$P$13:$P$26, "&gt;="&amp;ZS1,'Revenue Tracking'!$P$13:$P$26, "&lt;"&amp;ZT1)</f>
        <v>0</v>
      </c>
      <c r="ZT9" s="122">
        <f>SUMIFS('Revenue Tracking'!$F$13:$F$26, 'Revenue Tracking'!$P$13:$P$26, "&gt;="&amp;ZT1,'Revenue Tracking'!$P$13:$P$26, "&lt;"&amp;ZU1)</f>
        <v>0</v>
      </c>
      <c r="ZU9" s="122">
        <f>SUMIFS('Revenue Tracking'!$F$13:$F$26, 'Revenue Tracking'!$P$13:$P$26, "&gt;="&amp;ZU1,'Revenue Tracking'!$P$13:$P$26, "&lt;"&amp;ZV1)</f>
        <v>0</v>
      </c>
      <c r="ZV9" s="122">
        <f>SUMIFS('Revenue Tracking'!$F$13:$F$26, 'Revenue Tracking'!$P$13:$P$26, "&gt;="&amp;ZV1,'Revenue Tracking'!$P$13:$P$26, "&lt;"&amp;ZW1)</f>
        <v>0</v>
      </c>
      <c r="ZW9" s="122">
        <f>SUMIFS('Revenue Tracking'!$F$13:$F$26, 'Revenue Tracking'!$P$13:$P$26, "&gt;="&amp;ZW1,'Revenue Tracking'!$P$13:$P$26, "&lt;"&amp;ZX1)</f>
        <v>0</v>
      </c>
      <c r="ZX9" s="122">
        <f>SUMIFS('Revenue Tracking'!$F$13:$F$26, 'Revenue Tracking'!$P$13:$P$26, "&gt;="&amp;ZX1,'Revenue Tracking'!$P$13:$P$26, "&lt;"&amp;ZY1)</f>
        <v>0</v>
      </c>
      <c r="ZY9" s="122">
        <f>SUMIFS('Revenue Tracking'!$F$13:$F$26, 'Revenue Tracking'!$P$13:$P$26, "&gt;="&amp;ZY1,'Revenue Tracking'!$P$13:$P$26, "&lt;"&amp;ZZ1)</f>
        <v>0</v>
      </c>
      <c r="ZZ9" s="122">
        <f>SUMIFS('Revenue Tracking'!$F$13:$F$26, 'Revenue Tracking'!$P$13:$P$26, "&gt;="&amp;ZZ1,'Revenue Tracking'!$P$13:$P$26, "&lt;"&amp;AAA1)</f>
        <v>0</v>
      </c>
      <c r="AAA9" s="122">
        <f>SUMIFS('Revenue Tracking'!$F$13:$F$26, 'Revenue Tracking'!$P$13:$P$26, "&gt;="&amp;AAA1,'Revenue Tracking'!$P$13:$P$26, "&lt;"&amp;AAB1)</f>
        <v>0</v>
      </c>
      <c r="AAB9" s="122">
        <f>SUMIFS('Revenue Tracking'!$F$13:$F$26, 'Revenue Tracking'!$P$13:$P$26, "&gt;="&amp;AAB1,'Revenue Tracking'!$P$13:$P$26, "&lt;"&amp;AAC1)</f>
        <v>0</v>
      </c>
      <c r="AAC9" s="122">
        <f>SUMIFS('Revenue Tracking'!$F$13:$F$26, 'Revenue Tracking'!$P$13:$P$26, "&gt;="&amp;AAC1,'Revenue Tracking'!$P$13:$P$26, "&lt;"&amp;AAD1)</f>
        <v>0</v>
      </c>
      <c r="AAD9" s="122">
        <f>SUMIFS('Revenue Tracking'!$F$13:$F$26, 'Revenue Tracking'!$P$13:$P$26, "&gt;="&amp;AAD1,'Revenue Tracking'!$P$13:$P$26, "&lt;"&amp;AAE1)</f>
        <v>0</v>
      </c>
      <c r="AAE9" s="122">
        <f>SUMIFS('Revenue Tracking'!$F$13:$F$26, 'Revenue Tracking'!$P$13:$P$26, "&gt;="&amp;AAE1,'Revenue Tracking'!$P$13:$P$26, "&lt;"&amp;AAF1)</f>
        <v>0</v>
      </c>
      <c r="AAF9" s="122">
        <f>SUMIFS('Revenue Tracking'!$F$13:$F$26, 'Revenue Tracking'!$P$13:$P$26, "&gt;="&amp;AAF1,'Revenue Tracking'!$P$13:$P$26, "&lt;"&amp;AAG1)</f>
        <v>0</v>
      </c>
      <c r="AAG9" s="122">
        <f>SUMIFS('Revenue Tracking'!$F$13:$F$26, 'Revenue Tracking'!$P$13:$P$26, "&gt;="&amp;AAG1,'Revenue Tracking'!$P$13:$P$26, "&lt;"&amp;AAH1)</f>
        <v>0</v>
      </c>
      <c r="AAH9" s="122">
        <f>SUMIFS('Revenue Tracking'!$F$13:$F$26, 'Revenue Tracking'!$P$13:$P$26, "&gt;="&amp;AAH1,'Revenue Tracking'!$P$13:$P$26, "&lt;"&amp;AAI1)</f>
        <v>0</v>
      </c>
      <c r="AAI9" s="122">
        <f>SUMIFS('Revenue Tracking'!$F$13:$F$26, 'Revenue Tracking'!$P$13:$P$26, "&gt;="&amp;AAI1,'Revenue Tracking'!$P$13:$P$26, "&lt;"&amp;AAJ1)</f>
        <v>0</v>
      </c>
      <c r="AAJ9" s="122">
        <f>SUMIFS('Revenue Tracking'!$F$13:$F$26, 'Revenue Tracking'!$P$13:$P$26, "&gt;="&amp;AAJ1,'Revenue Tracking'!$P$13:$P$26, "&lt;"&amp;AAK1)</f>
        <v>0</v>
      </c>
      <c r="AAK9" s="122">
        <f>SUMIFS('Revenue Tracking'!$F$13:$F$26, 'Revenue Tracking'!$P$13:$P$26, "&gt;="&amp;AAK1,'Revenue Tracking'!$P$13:$P$26, "&lt;"&amp;AAL1)</f>
        <v>0</v>
      </c>
      <c r="AAL9" s="122">
        <f>SUMIFS('Revenue Tracking'!$F$13:$F$26, 'Revenue Tracking'!$P$13:$P$26, "&gt;="&amp;AAL1,'Revenue Tracking'!$P$13:$P$26, "&lt;"&amp;AAM1)</f>
        <v>0</v>
      </c>
      <c r="AAM9" s="122">
        <f>SUMIFS('Revenue Tracking'!$F$13:$F$26, 'Revenue Tracking'!$P$13:$P$26, "&gt;="&amp;AAM1,'Revenue Tracking'!$P$13:$P$26, "&lt;"&amp;AAN1)</f>
        <v>0</v>
      </c>
      <c r="AAN9" s="122">
        <f>SUMIFS('Revenue Tracking'!$F$13:$F$26, 'Revenue Tracking'!$P$13:$P$26, "&gt;="&amp;AAN1,'Revenue Tracking'!$P$13:$P$26, "&lt;"&amp;AAO1)</f>
        <v>0</v>
      </c>
      <c r="AAO9" s="122">
        <f>SUMIFS('Revenue Tracking'!$F$13:$F$26, 'Revenue Tracking'!$P$13:$P$26, "&gt;="&amp;AAO1,'Revenue Tracking'!$P$13:$P$26, "&lt;"&amp;AAP1)</f>
        <v>0</v>
      </c>
      <c r="AAP9" s="122">
        <f>SUMIFS('Revenue Tracking'!$F$13:$F$26, 'Revenue Tracking'!$P$13:$P$26, "&gt;="&amp;AAP1,'Revenue Tracking'!$P$13:$P$26, "&lt;"&amp;AAQ1)</f>
        <v>0</v>
      </c>
      <c r="AAQ9" s="122">
        <f>SUMIFS('Revenue Tracking'!$F$13:$F$26, 'Revenue Tracking'!$P$13:$P$26, "&gt;="&amp;AAQ1,'Revenue Tracking'!$P$13:$P$26, "&lt;"&amp;AAR1)</f>
        <v>0</v>
      </c>
      <c r="AAR9" s="122">
        <f>SUMIFS('Revenue Tracking'!$F$13:$F$26, 'Revenue Tracking'!$P$13:$P$26, "&gt;="&amp;AAR1,'Revenue Tracking'!$P$13:$P$26, "&lt;"&amp;AAS1)</f>
        <v>0</v>
      </c>
      <c r="AAS9" s="122">
        <f>SUMIFS('Revenue Tracking'!$F$13:$F$26, 'Revenue Tracking'!$P$13:$P$26, "&gt;="&amp;AAS1,'Revenue Tracking'!$P$13:$P$26, "&lt;"&amp;AAT1)</f>
        <v>0</v>
      </c>
      <c r="AAT9" s="122">
        <f>SUMIFS('Revenue Tracking'!$F$13:$F$26, 'Revenue Tracking'!$P$13:$P$26, "&gt;="&amp;AAT1,'Revenue Tracking'!$P$13:$P$26, "&lt;"&amp;AAU1)</f>
        <v>0</v>
      </c>
      <c r="AAU9" s="122">
        <f>SUMIFS('Revenue Tracking'!$F$13:$F$26, 'Revenue Tracking'!$P$13:$P$26, "&gt;="&amp;AAU1,'Revenue Tracking'!$P$13:$P$26, "&lt;"&amp;AAV1)</f>
        <v>0</v>
      </c>
      <c r="AAV9" s="122">
        <f>SUMIFS('Revenue Tracking'!$F$13:$F$26, 'Revenue Tracking'!$P$13:$P$26, "&gt;="&amp;AAV1,'Revenue Tracking'!$P$13:$P$26, "&lt;"&amp;AAW1)</f>
        <v>0</v>
      </c>
      <c r="AAW9" s="122">
        <f>SUMIFS('Revenue Tracking'!$F$13:$F$26, 'Revenue Tracking'!$P$13:$P$26, "&gt;="&amp;AAW1,'Revenue Tracking'!$P$13:$P$26, "&lt;"&amp;AAX1)</f>
        <v>0</v>
      </c>
      <c r="AAX9" s="122">
        <f>SUMIFS('Revenue Tracking'!$F$13:$F$26, 'Revenue Tracking'!$P$13:$P$26, "&gt;="&amp;AAX1,'Revenue Tracking'!$P$13:$P$26, "&lt;"&amp;AAY1)</f>
        <v>0</v>
      </c>
      <c r="AAY9" s="122">
        <f>SUMIFS('Revenue Tracking'!$F$13:$F$26, 'Revenue Tracking'!$P$13:$P$26, "&gt;="&amp;AAY1,'Revenue Tracking'!$P$13:$P$26, "&lt;"&amp;AAZ1)</f>
        <v>0</v>
      </c>
      <c r="AAZ9" s="122">
        <f>SUMIFS('Revenue Tracking'!$F$13:$F$26, 'Revenue Tracking'!$P$13:$P$26, "&gt;="&amp;AAZ1,'Revenue Tracking'!$P$13:$P$26, "&lt;"&amp;ABA1)</f>
        <v>0</v>
      </c>
      <c r="ABA9" s="122">
        <f>SUMIFS('Revenue Tracking'!$F$13:$F$26, 'Revenue Tracking'!$P$13:$P$26, "&gt;="&amp;ABA1,'Revenue Tracking'!$P$13:$P$26, "&lt;"&amp;ABB1)</f>
        <v>0</v>
      </c>
      <c r="ABB9" s="122">
        <f>SUMIFS('Revenue Tracking'!$F$13:$F$26, 'Revenue Tracking'!$P$13:$P$26, "&gt;="&amp;ABB1,'Revenue Tracking'!$P$13:$P$26, "&lt;"&amp;ABC1)</f>
        <v>0</v>
      </c>
      <c r="ABC9" s="122">
        <f>SUMIFS('Revenue Tracking'!$F$13:$F$26, 'Revenue Tracking'!$P$13:$P$26, "&gt;="&amp;ABC1,'Revenue Tracking'!$P$13:$P$26, "&lt;"&amp;ABD1)</f>
        <v>0</v>
      </c>
      <c r="ABD9" s="122">
        <f>SUMIFS('Revenue Tracking'!$F$13:$F$26, 'Revenue Tracking'!$P$13:$P$26, "&gt;="&amp;ABD1,'Revenue Tracking'!$P$13:$P$26, "&lt;"&amp;ABE1)</f>
        <v>0</v>
      </c>
      <c r="ABE9" s="122">
        <f>SUMIFS('Revenue Tracking'!$F$13:$F$26, 'Revenue Tracking'!$P$13:$P$26, "&gt;="&amp;ABE1,'Revenue Tracking'!$P$13:$P$26, "&lt;"&amp;ABF1)</f>
        <v>0</v>
      </c>
      <c r="ABF9" s="122">
        <f>SUMIFS('Revenue Tracking'!$F$13:$F$26, 'Revenue Tracking'!$P$13:$P$26, "&gt;="&amp;ABF1,'Revenue Tracking'!$P$13:$P$26, "&lt;"&amp;ABG1)</f>
        <v>0</v>
      </c>
      <c r="ABG9" s="122">
        <f>SUMIFS('Revenue Tracking'!$F$13:$F$26, 'Revenue Tracking'!$P$13:$P$26, "&gt;="&amp;ABG1,'Revenue Tracking'!$P$13:$P$26, "&lt;"&amp;ABH1)</f>
        <v>0</v>
      </c>
      <c r="ABH9" s="122">
        <f>SUMIFS('Revenue Tracking'!$F$13:$F$26, 'Revenue Tracking'!$P$13:$P$26, "&gt;="&amp;ABH1,'Revenue Tracking'!$P$13:$P$26, "&lt;"&amp;ABI1)</f>
        <v>0</v>
      </c>
      <c r="ABI9" s="122">
        <f>SUMIFS('Revenue Tracking'!$F$13:$F$26, 'Revenue Tracking'!$P$13:$P$26, "&gt;="&amp;ABI1,'Revenue Tracking'!$P$13:$P$26, "&lt;"&amp;ABJ1)</f>
        <v>0</v>
      </c>
      <c r="ABJ9" s="122">
        <f>SUMIFS('Revenue Tracking'!$F$13:$F$26, 'Revenue Tracking'!$P$13:$P$26, "&gt;="&amp;ABJ1,'Revenue Tracking'!$P$13:$P$26, "&lt;"&amp;ABK1)</f>
        <v>0</v>
      </c>
      <c r="ABK9" s="122">
        <f>SUMIFS('Revenue Tracking'!$F$13:$F$26, 'Revenue Tracking'!$P$13:$P$26, "&gt;="&amp;ABK1,'Revenue Tracking'!$P$13:$P$26, "&lt;"&amp;ABL1)</f>
        <v>0</v>
      </c>
      <c r="ABL9" s="122">
        <f>SUMIFS('Revenue Tracking'!$F$13:$F$26, 'Revenue Tracking'!$P$13:$P$26, "&gt;="&amp;ABL1,'Revenue Tracking'!$P$13:$P$26, "&lt;"&amp;ABM1)</f>
        <v>0</v>
      </c>
      <c r="ABM9" s="122">
        <f>SUMIFS('Revenue Tracking'!$F$13:$F$26, 'Revenue Tracking'!$P$13:$P$26, "&gt;="&amp;ABM1,'Revenue Tracking'!$P$13:$P$26, "&lt;"&amp;ABN1)</f>
        <v>0</v>
      </c>
      <c r="ABN9" s="122">
        <f>SUMIFS('Revenue Tracking'!$F$13:$F$26, 'Revenue Tracking'!$P$13:$P$26, "&gt;="&amp;ABN1,'Revenue Tracking'!$P$13:$P$26, "&lt;"&amp;ABO1)</f>
        <v>0</v>
      </c>
      <c r="ABO9" s="122">
        <f>SUMIFS('Revenue Tracking'!$F$13:$F$26, 'Revenue Tracking'!$P$13:$P$26, "&gt;="&amp;ABO1,'Revenue Tracking'!$P$13:$P$26, "&lt;"&amp;ABP1)</f>
        <v>0</v>
      </c>
      <c r="ABP9" s="122">
        <f>SUMIFS('Revenue Tracking'!$F$13:$F$26, 'Revenue Tracking'!$P$13:$P$26, "&gt;="&amp;ABP1,'Revenue Tracking'!$P$13:$P$26, "&lt;"&amp;ABQ1)</f>
        <v>0</v>
      </c>
      <c r="ABQ9" s="122">
        <f>SUMIFS('Revenue Tracking'!$F$13:$F$26, 'Revenue Tracking'!$P$13:$P$26, "&gt;="&amp;ABQ1,'Revenue Tracking'!$P$13:$P$26, "&lt;"&amp;ABR1)</f>
        <v>0</v>
      </c>
      <c r="ABR9" s="122">
        <f>SUMIFS('Revenue Tracking'!$F$13:$F$26, 'Revenue Tracking'!$P$13:$P$26, "&gt;="&amp;ABR1,'Revenue Tracking'!$P$13:$P$26, "&lt;"&amp;ABS1)</f>
        <v>0</v>
      </c>
      <c r="ABS9" s="122">
        <f>SUMIFS('Revenue Tracking'!$F$13:$F$26, 'Revenue Tracking'!$P$13:$P$26, "&gt;="&amp;ABS1,'Revenue Tracking'!$P$13:$P$26, "&lt;"&amp;ABT1)</f>
        <v>0</v>
      </c>
      <c r="ABT9" s="122">
        <f>SUMIFS('Revenue Tracking'!$F$13:$F$26, 'Revenue Tracking'!$P$13:$P$26, "&gt;="&amp;ABT1,'Revenue Tracking'!$P$13:$P$26, "&lt;"&amp;ABU1)</f>
        <v>0</v>
      </c>
      <c r="ABU9" s="122">
        <f>SUMIFS('Revenue Tracking'!$F$13:$F$26, 'Revenue Tracking'!$P$13:$P$26, "&gt;="&amp;ABU1,'Revenue Tracking'!$P$13:$P$26, "&lt;"&amp;ABV1)</f>
        <v>0</v>
      </c>
      <c r="ABV9" s="122">
        <f>SUMIFS('Revenue Tracking'!$F$13:$F$26, 'Revenue Tracking'!$P$13:$P$26, "&gt;="&amp;ABV1,'Revenue Tracking'!$P$13:$P$26, "&lt;"&amp;ABW1)</f>
        <v>0</v>
      </c>
      <c r="ABW9" s="122">
        <f>SUMIFS('Revenue Tracking'!$F$13:$F$26, 'Revenue Tracking'!$P$13:$P$26, "&gt;="&amp;ABW1,'Revenue Tracking'!$P$13:$P$26, "&lt;"&amp;ABX1)</f>
        <v>0</v>
      </c>
      <c r="ABX9" s="122">
        <f>SUMIFS('Revenue Tracking'!$F$13:$F$26, 'Revenue Tracking'!$P$13:$P$26, "&gt;="&amp;ABX1,'Revenue Tracking'!$P$13:$P$26, "&lt;"&amp;ABY1)</f>
        <v>0</v>
      </c>
      <c r="ABY9" s="122">
        <f>SUMIFS('Revenue Tracking'!$F$13:$F$26, 'Revenue Tracking'!$P$13:$P$26, "&gt;="&amp;ABY1,'Revenue Tracking'!$P$13:$P$26, "&lt;"&amp;ABZ1)</f>
        <v>0</v>
      </c>
      <c r="ABZ9" s="122">
        <f>SUMIFS('Revenue Tracking'!$F$13:$F$26, 'Revenue Tracking'!$P$13:$P$26, "&gt;="&amp;ABZ1,'Revenue Tracking'!$P$13:$P$26, "&lt;"&amp;ACA1)</f>
        <v>0</v>
      </c>
      <c r="ACA9" s="122">
        <f>SUMIFS('Revenue Tracking'!$F$13:$F$26, 'Revenue Tracking'!$P$13:$P$26, "&gt;="&amp;ACA1,'Revenue Tracking'!$P$13:$P$26, "&lt;"&amp;ACB1)</f>
        <v>0</v>
      </c>
      <c r="ACB9" s="122">
        <f>SUMIFS('Revenue Tracking'!$F$13:$F$26, 'Revenue Tracking'!$P$13:$P$26, "&gt;="&amp;ACB1,'Revenue Tracking'!$P$13:$P$26, "&lt;"&amp;ACC1)</f>
        <v>0</v>
      </c>
      <c r="ACC9" s="122">
        <f>SUMIFS('Revenue Tracking'!$F$13:$F$26, 'Revenue Tracking'!$P$13:$P$26, "&gt;="&amp;ACC1,'Revenue Tracking'!$P$13:$P$26, "&lt;"&amp;ACD1)</f>
        <v>0</v>
      </c>
      <c r="ACD9" s="122">
        <f>SUMIFS('Revenue Tracking'!$F$13:$F$26, 'Revenue Tracking'!$P$13:$P$26, "&gt;="&amp;ACD1,'Revenue Tracking'!$P$13:$P$26, "&lt;"&amp;ACE1)</f>
        <v>0</v>
      </c>
      <c r="ACE9" s="122">
        <f>SUMIFS('Revenue Tracking'!$F$13:$F$26, 'Revenue Tracking'!$P$13:$P$26, "&gt;="&amp;ACE1,'Revenue Tracking'!$P$13:$P$26, "&lt;"&amp;ACF1)</f>
        <v>0</v>
      </c>
      <c r="ACF9" s="122">
        <f>SUMIFS('Revenue Tracking'!$F$13:$F$26, 'Revenue Tracking'!$P$13:$P$26, "&gt;="&amp;ACF1,'Revenue Tracking'!$P$13:$P$26, "&lt;"&amp;ACG1)</f>
        <v>0</v>
      </c>
      <c r="ACG9" s="122">
        <f>SUMIFS('Revenue Tracking'!$F$13:$F$26, 'Revenue Tracking'!$P$13:$P$26, "&gt;="&amp;ACG1,'Revenue Tracking'!$P$13:$P$26, "&lt;"&amp;ACH1)</f>
        <v>0</v>
      </c>
      <c r="ACH9" s="122">
        <f>SUMIFS('Revenue Tracking'!$F$13:$F$26, 'Revenue Tracking'!$P$13:$P$26, "&gt;="&amp;ACH1,'Revenue Tracking'!$P$13:$P$26, "&lt;"&amp;ACI1)</f>
        <v>0</v>
      </c>
      <c r="ACI9" s="122">
        <f>SUMIFS('Revenue Tracking'!$F$13:$F$26, 'Revenue Tracking'!$P$13:$P$26, "&gt;="&amp;ACI1,'Revenue Tracking'!$P$13:$P$26, "&lt;"&amp;ACJ1)</f>
        <v>0</v>
      </c>
      <c r="ACJ9" s="122">
        <f>SUMIFS('Revenue Tracking'!$F$13:$F$26, 'Revenue Tracking'!$P$13:$P$26, "&gt;="&amp;ACJ1,'Revenue Tracking'!$P$13:$P$26, "&lt;"&amp;ACK1)</f>
        <v>0</v>
      </c>
      <c r="ACK9" s="122">
        <f>SUMIFS('Revenue Tracking'!$F$13:$F$26, 'Revenue Tracking'!$P$13:$P$26, "&gt;="&amp;ACK1,'Revenue Tracking'!$P$13:$P$26, "&lt;"&amp;ACL1)</f>
        <v>0</v>
      </c>
      <c r="ACL9" s="122">
        <f>SUMIFS('Revenue Tracking'!$F$13:$F$26, 'Revenue Tracking'!$P$13:$P$26, "&gt;="&amp;ACL1,'Revenue Tracking'!$P$13:$P$26, "&lt;"&amp;ACM1)</f>
        <v>0</v>
      </c>
      <c r="ACM9" s="122">
        <f>SUMIFS('Revenue Tracking'!$F$13:$F$26, 'Revenue Tracking'!$P$13:$P$26, "&gt;="&amp;ACM1,'Revenue Tracking'!$P$13:$P$26, "&lt;"&amp;ACN1)</f>
        <v>0</v>
      </c>
      <c r="ACN9" s="122">
        <f>SUMIFS('Revenue Tracking'!$F$13:$F$26, 'Revenue Tracking'!$P$13:$P$26, "&gt;="&amp;ACN1,'Revenue Tracking'!$P$13:$P$26, "&lt;"&amp;ACO1)</f>
        <v>0</v>
      </c>
      <c r="ACO9" s="122">
        <f>SUMIFS('Revenue Tracking'!$F$13:$F$26, 'Revenue Tracking'!$P$13:$P$26, "&gt;="&amp;ACO1,'Revenue Tracking'!$P$13:$P$26, "&lt;"&amp;ACP1)</f>
        <v>0</v>
      </c>
      <c r="ACP9" s="122">
        <f>SUMIFS('Revenue Tracking'!$F$13:$F$26, 'Revenue Tracking'!$P$13:$P$26, "&gt;="&amp;ACP1,'Revenue Tracking'!$P$13:$P$26, "&lt;"&amp;ACQ1)</f>
        <v>0</v>
      </c>
      <c r="ACQ9" s="122">
        <f>SUMIFS('Revenue Tracking'!$F$13:$F$26, 'Revenue Tracking'!$P$13:$P$26, "&gt;="&amp;ACQ1,'Revenue Tracking'!$P$13:$P$26, "&lt;"&amp;ACR1)</f>
        <v>0</v>
      </c>
      <c r="ACR9" s="122">
        <f>SUMIFS('Revenue Tracking'!$F$13:$F$26, 'Revenue Tracking'!$P$13:$P$26, "&gt;="&amp;ACR1,'Revenue Tracking'!$P$13:$P$26, "&lt;"&amp;ACS1)</f>
        <v>0</v>
      </c>
      <c r="ACS9" s="122">
        <f>SUMIFS('Revenue Tracking'!$F$13:$F$26, 'Revenue Tracking'!$P$13:$P$26, "&gt;="&amp;ACS1,'Revenue Tracking'!$P$13:$P$26, "&lt;"&amp;ACT1)</f>
        <v>0</v>
      </c>
      <c r="ACT9" s="122">
        <f>SUMIFS('Revenue Tracking'!$F$13:$F$26, 'Revenue Tracking'!$P$13:$P$26, "&gt;="&amp;ACT1,'Revenue Tracking'!$P$13:$P$26, "&lt;"&amp;ACU1)</f>
        <v>0</v>
      </c>
      <c r="ACU9" s="122">
        <f>SUMIFS('Revenue Tracking'!$F$13:$F$26, 'Revenue Tracking'!$P$13:$P$26, "&gt;="&amp;ACU1,'Revenue Tracking'!$P$13:$P$26, "&lt;"&amp;ACV1)</f>
        <v>0</v>
      </c>
      <c r="ACV9" s="122">
        <f>SUMIFS('Revenue Tracking'!$F$13:$F$26, 'Revenue Tracking'!$P$13:$P$26, "&gt;="&amp;ACV1,'Revenue Tracking'!$P$13:$P$26, "&lt;"&amp;ACW1)</f>
        <v>0</v>
      </c>
      <c r="ACW9" s="122">
        <f>SUMIFS('Revenue Tracking'!$F$13:$F$26, 'Revenue Tracking'!$P$13:$P$26, "&gt;="&amp;ACW1,'Revenue Tracking'!$P$13:$P$26, "&lt;"&amp;ACX1)</f>
        <v>0</v>
      </c>
      <c r="ACX9" s="122">
        <f>SUMIFS('Revenue Tracking'!$F$13:$F$26, 'Revenue Tracking'!$P$13:$P$26, "&gt;="&amp;ACX1,'Revenue Tracking'!$P$13:$P$26, "&lt;"&amp;ACY1)</f>
        <v>0</v>
      </c>
      <c r="ACY9" s="122">
        <f>SUMIFS('Revenue Tracking'!$F$13:$F$26, 'Revenue Tracking'!$P$13:$P$26, "&gt;="&amp;ACY1,'Revenue Tracking'!$P$13:$P$26, "&lt;"&amp;ACZ1)</f>
        <v>0</v>
      </c>
      <c r="ACZ9" s="122">
        <f>SUMIFS('Revenue Tracking'!$F$13:$F$26, 'Revenue Tracking'!$P$13:$P$26, "&gt;="&amp;ACZ1,'Revenue Tracking'!$P$13:$P$26, "&lt;"&amp;ADA1)</f>
        <v>0</v>
      </c>
      <c r="ADA9" s="122">
        <f>SUMIFS('Revenue Tracking'!$F$13:$F$26, 'Revenue Tracking'!$P$13:$P$26, "&gt;="&amp;ADA1,'Revenue Tracking'!$P$13:$P$26, "&lt;"&amp;ADB1)</f>
        <v>0</v>
      </c>
      <c r="ADB9" s="122">
        <f>SUMIFS('Revenue Tracking'!$F$13:$F$26, 'Revenue Tracking'!$P$13:$P$26, "&gt;="&amp;ADB1,'Revenue Tracking'!$P$13:$P$26, "&lt;"&amp;ADC1)</f>
        <v>0</v>
      </c>
      <c r="ADC9" s="122">
        <f>SUMIFS('Revenue Tracking'!$F$13:$F$26, 'Revenue Tracking'!$P$13:$P$26, "&gt;="&amp;ADC1,'Revenue Tracking'!$P$13:$P$26, "&lt;"&amp;ADD1)</f>
        <v>0</v>
      </c>
      <c r="ADD9" s="122">
        <f>SUMIFS('Revenue Tracking'!$F$13:$F$26, 'Revenue Tracking'!$P$13:$P$26, "&gt;="&amp;ADD1,'Revenue Tracking'!$P$13:$P$26, "&lt;"&amp;ADE1)</f>
        <v>0</v>
      </c>
      <c r="ADE9" s="122">
        <f>SUMIFS('Revenue Tracking'!$F$13:$F$26, 'Revenue Tracking'!$P$13:$P$26, "&gt;="&amp;ADE1,'Revenue Tracking'!$P$13:$P$26, "&lt;"&amp;ADF1)</f>
        <v>0</v>
      </c>
      <c r="ADF9" s="122">
        <f>SUMIFS('Revenue Tracking'!$F$13:$F$26, 'Revenue Tracking'!$P$13:$P$26, "&gt;="&amp;ADF1,'Revenue Tracking'!$P$13:$P$26, "&lt;"&amp;ADG1)</f>
        <v>0</v>
      </c>
      <c r="ADG9" s="122">
        <f>SUMIFS('Revenue Tracking'!$F$13:$F$26, 'Revenue Tracking'!$P$13:$P$26, "&gt;="&amp;ADG1,'Revenue Tracking'!$P$13:$P$26, "&lt;"&amp;ADH1)</f>
        <v>0</v>
      </c>
      <c r="ADH9" s="122">
        <f>SUMIFS('Revenue Tracking'!$F$13:$F$26, 'Revenue Tracking'!$P$13:$P$26, "&gt;="&amp;ADH1,'Revenue Tracking'!$P$13:$P$26, "&lt;"&amp;ADI1)</f>
        <v>0</v>
      </c>
      <c r="ADI9" s="122">
        <f>SUMIFS('Revenue Tracking'!$F$13:$F$26, 'Revenue Tracking'!$P$13:$P$26, "&gt;="&amp;ADI1,'Revenue Tracking'!$P$13:$P$26, "&lt;"&amp;ADJ1)</f>
        <v>0</v>
      </c>
      <c r="ADJ9" s="122">
        <f>SUMIFS('Revenue Tracking'!$F$13:$F$26, 'Revenue Tracking'!$P$13:$P$26, "&gt;="&amp;ADJ1,'Revenue Tracking'!$P$13:$P$26, "&lt;"&amp;ADK1)</f>
        <v>0</v>
      </c>
      <c r="ADK9" s="122">
        <f>SUMIFS('Revenue Tracking'!$F$13:$F$26, 'Revenue Tracking'!$P$13:$P$26, "&gt;="&amp;ADK1,'Revenue Tracking'!$P$13:$P$26, "&lt;"&amp;ADL1)</f>
        <v>0</v>
      </c>
      <c r="ADL9" s="122">
        <f>SUMIFS('Revenue Tracking'!$F$13:$F$26, 'Revenue Tracking'!$P$13:$P$26, "&gt;="&amp;ADL1,'Revenue Tracking'!$P$13:$P$26, "&lt;"&amp;ADM1)</f>
        <v>0</v>
      </c>
      <c r="ADM9" s="122">
        <f>SUMIFS('Revenue Tracking'!$F$13:$F$26, 'Revenue Tracking'!$P$13:$P$26, "&gt;="&amp;ADM1,'Revenue Tracking'!$P$13:$P$26, "&lt;"&amp;ADN1)</f>
        <v>0</v>
      </c>
      <c r="ADN9" s="122">
        <f>SUMIFS('Revenue Tracking'!$F$13:$F$26, 'Revenue Tracking'!$P$13:$P$26, "&gt;="&amp;ADN1,'Revenue Tracking'!$P$13:$P$26, "&lt;"&amp;ADO1)</f>
        <v>0</v>
      </c>
      <c r="ADO9" s="122">
        <f>SUMIFS('Revenue Tracking'!$F$13:$F$26, 'Revenue Tracking'!$P$13:$P$26, "&gt;="&amp;ADO1,'Revenue Tracking'!$P$13:$P$26, "&lt;"&amp;ADP1)</f>
        <v>0</v>
      </c>
      <c r="ADP9" s="122">
        <f>SUMIFS('Revenue Tracking'!$F$13:$F$26, 'Revenue Tracking'!$P$13:$P$26, "&gt;="&amp;ADP1,'Revenue Tracking'!$P$13:$P$26, "&lt;"&amp;ADQ1)</f>
        <v>0</v>
      </c>
      <c r="ADQ9" s="122">
        <f>SUMIFS('Revenue Tracking'!$F$13:$F$26, 'Revenue Tracking'!$P$13:$P$26, "&gt;="&amp;ADQ1,'Revenue Tracking'!$P$13:$P$26, "&lt;"&amp;ADR1)</f>
        <v>0</v>
      </c>
      <c r="ADR9" s="122">
        <f>SUMIFS('Revenue Tracking'!$F$13:$F$26, 'Revenue Tracking'!$P$13:$P$26, "&gt;="&amp;ADR1,'Revenue Tracking'!$P$13:$P$26, "&lt;"&amp;ADS1)</f>
        <v>0</v>
      </c>
      <c r="ADS9" s="122">
        <f>SUMIFS('Revenue Tracking'!$F$13:$F$26, 'Revenue Tracking'!$P$13:$P$26, "&gt;="&amp;ADS1,'Revenue Tracking'!$P$13:$P$26, "&lt;"&amp;ADT1)</f>
        <v>0</v>
      </c>
      <c r="ADT9" s="122">
        <f>SUMIFS('Revenue Tracking'!$F$13:$F$26, 'Revenue Tracking'!$P$13:$P$26, "&gt;="&amp;ADT1,'Revenue Tracking'!$P$13:$P$26, "&lt;"&amp;ADU1)</f>
        <v>0</v>
      </c>
      <c r="ADU9" s="122">
        <f>SUMIFS('Revenue Tracking'!$F$13:$F$26, 'Revenue Tracking'!$P$13:$P$26, "&gt;="&amp;ADU1,'Revenue Tracking'!$P$13:$P$26, "&lt;"&amp;ADV1)</f>
        <v>0</v>
      </c>
      <c r="ADV9" s="122">
        <f>SUMIFS('Revenue Tracking'!$F$13:$F$26, 'Revenue Tracking'!$P$13:$P$26, "&gt;="&amp;ADV1,'Revenue Tracking'!$P$13:$P$26, "&lt;"&amp;ADW1)</f>
        <v>0</v>
      </c>
      <c r="ADW9" s="122">
        <f>SUMIFS('Revenue Tracking'!$F$13:$F$26, 'Revenue Tracking'!$P$13:$P$26, "&gt;="&amp;ADW1,'Revenue Tracking'!$P$13:$P$26, "&lt;"&amp;ADX1)</f>
        <v>0</v>
      </c>
      <c r="ADX9" s="122">
        <f>SUMIFS('Revenue Tracking'!$F$13:$F$26, 'Revenue Tracking'!$P$13:$P$26, "&gt;="&amp;ADX1,'Revenue Tracking'!$P$13:$P$26, "&lt;"&amp;ADY1)</f>
        <v>0</v>
      </c>
      <c r="ADY9" s="122">
        <f>SUMIFS('Revenue Tracking'!$F$13:$F$26, 'Revenue Tracking'!$P$13:$P$26, "&gt;="&amp;ADY1,'Revenue Tracking'!$P$13:$P$26, "&lt;"&amp;ADZ1)</f>
        <v>0</v>
      </c>
      <c r="ADZ9" s="122">
        <f>SUMIFS('Revenue Tracking'!$F$13:$F$26, 'Revenue Tracking'!$P$13:$P$26, "&gt;="&amp;ADZ1,'Revenue Tracking'!$P$13:$P$26, "&lt;"&amp;AEA1)</f>
        <v>0</v>
      </c>
      <c r="AEA9" s="122">
        <f>SUMIFS('Revenue Tracking'!$F$13:$F$26, 'Revenue Tracking'!$P$13:$P$26, "&gt;="&amp;AEA1,'Revenue Tracking'!$P$13:$P$26, "&lt;"&amp;AEB1)</f>
        <v>0</v>
      </c>
      <c r="AEB9" s="122">
        <f>SUMIFS('Revenue Tracking'!$F$13:$F$26, 'Revenue Tracking'!$P$13:$P$26, "&gt;="&amp;AEB1,'Revenue Tracking'!$P$13:$P$26, "&lt;"&amp;AEC1)</f>
        <v>0</v>
      </c>
      <c r="AEC9" s="122">
        <f>SUMIFS('Revenue Tracking'!$F$13:$F$26, 'Revenue Tracking'!$P$13:$P$26, "&gt;="&amp;AEC1,'Revenue Tracking'!$P$13:$P$26, "&lt;"&amp;AED1)</f>
        <v>0</v>
      </c>
      <c r="AED9" s="122">
        <f>SUMIFS('Revenue Tracking'!$F$13:$F$26, 'Revenue Tracking'!$P$13:$P$26, "&gt;="&amp;AED1,'Revenue Tracking'!$P$13:$P$26, "&lt;"&amp;AEE1)</f>
        <v>0</v>
      </c>
      <c r="AEE9" s="122">
        <f>SUMIFS('Revenue Tracking'!$F$13:$F$26, 'Revenue Tracking'!$P$13:$P$26, "&gt;="&amp;AEE1,'Revenue Tracking'!$P$13:$P$26, "&lt;"&amp;AEF1)</f>
        <v>0</v>
      </c>
      <c r="AEF9" s="122">
        <f>SUMIFS('Revenue Tracking'!$F$13:$F$26, 'Revenue Tracking'!$P$13:$P$26, "&gt;="&amp;AEF1,'Revenue Tracking'!$P$13:$P$26, "&lt;"&amp;AEG1)</f>
        <v>0</v>
      </c>
      <c r="AEG9" s="122">
        <f>SUMIFS('Revenue Tracking'!$F$13:$F$26, 'Revenue Tracking'!$P$13:$P$26, "&gt;="&amp;AEG1,'Revenue Tracking'!$P$13:$P$26, "&lt;"&amp;AEH1)</f>
        <v>0</v>
      </c>
      <c r="AEH9" s="122">
        <f>SUMIFS('Revenue Tracking'!$F$13:$F$26, 'Revenue Tracking'!$P$13:$P$26, "&gt;="&amp;AEH1,'Revenue Tracking'!$P$13:$P$26, "&lt;"&amp;AEI1)</f>
        <v>0</v>
      </c>
      <c r="AEI9" s="122">
        <f>SUMIFS('Revenue Tracking'!$F$13:$F$26, 'Revenue Tracking'!$P$13:$P$26, "&gt;="&amp;AEI1,'Revenue Tracking'!$P$13:$P$26, "&lt;"&amp;AEJ1)</f>
        <v>0</v>
      </c>
      <c r="AEJ9" s="122">
        <f>SUMIFS('Revenue Tracking'!$F$13:$F$26, 'Revenue Tracking'!$P$13:$P$26, "&gt;="&amp;AEJ1,'Revenue Tracking'!$P$13:$P$26, "&lt;"&amp;AEK1)</f>
        <v>0</v>
      </c>
      <c r="AEK9" s="122">
        <f>SUMIFS('Revenue Tracking'!$F$13:$F$26, 'Revenue Tracking'!$P$13:$P$26, "&gt;="&amp;AEK1,'Revenue Tracking'!$P$13:$P$26, "&lt;"&amp;AEL1)</f>
        <v>0</v>
      </c>
      <c r="AEL9" s="122">
        <f>SUMIFS('Revenue Tracking'!$F$13:$F$26, 'Revenue Tracking'!$P$13:$P$26, "&gt;="&amp;AEL1,'Revenue Tracking'!$P$13:$P$26, "&lt;"&amp;AEM1)</f>
        <v>0</v>
      </c>
      <c r="AEM9" s="122">
        <f>SUMIFS('Revenue Tracking'!$F$13:$F$26, 'Revenue Tracking'!$P$13:$P$26, "&gt;="&amp;AEM1,'Revenue Tracking'!$P$13:$P$26, "&lt;"&amp;AEN1)</f>
        <v>0</v>
      </c>
      <c r="AEN9" s="122">
        <f>SUMIFS('Revenue Tracking'!$F$13:$F$26, 'Revenue Tracking'!$P$13:$P$26, "&gt;="&amp;AEN1,'Revenue Tracking'!$P$13:$P$26, "&lt;"&amp;AEO1)</f>
        <v>0</v>
      </c>
      <c r="AEO9" s="122">
        <f>SUMIFS('Revenue Tracking'!$F$13:$F$26, 'Revenue Tracking'!$P$13:$P$26, "&gt;="&amp;AEO1,'Revenue Tracking'!$P$13:$P$26, "&lt;"&amp;AEP1)</f>
        <v>0</v>
      </c>
      <c r="AEP9" s="122">
        <f>SUMIFS('Revenue Tracking'!$F$13:$F$26, 'Revenue Tracking'!$P$13:$P$26, "&gt;="&amp;AEP1,'Revenue Tracking'!$P$13:$P$26, "&lt;"&amp;AEQ1)</f>
        <v>0</v>
      </c>
      <c r="AEQ9" s="122">
        <f>SUMIFS('Revenue Tracking'!$F$13:$F$26, 'Revenue Tracking'!$P$13:$P$26, "&gt;="&amp;AEQ1,'Revenue Tracking'!$P$13:$P$26, "&lt;"&amp;AER1)</f>
        <v>0</v>
      </c>
      <c r="AER9" s="122">
        <f>SUMIFS('Revenue Tracking'!$F$13:$F$26, 'Revenue Tracking'!$P$13:$P$26, "&gt;="&amp;AER1,'Revenue Tracking'!$P$13:$P$26, "&lt;"&amp;AES1)</f>
        <v>0</v>
      </c>
      <c r="AES9" s="122">
        <f>SUMIFS('Revenue Tracking'!$F$13:$F$26, 'Revenue Tracking'!$P$13:$P$26, "&gt;="&amp;AES1,'Revenue Tracking'!$P$13:$P$26, "&lt;"&amp;AET1)</f>
        <v>0</v>
      </c>
      <c r="AET9" s="122">
        <f>SUMIFS('Revenue Tracking'!$F$13:$F$26, 'Revenue Tracking'!$P$13:$P$26, "&gt;="&amp;AET1,'Revenue Tracking'!$P$13:$P$26, "&lt;"&amp;AEU1)</f>
        <v>0</v>
      </c>
      <c r="AEU9" s="122">
        <f>SUMIFS('Revenue Tracking'!$F$13:$F$26, 'Revenue Tracking'!$P$13:$P$26, "&gt;="&amp;AEU1,'Revenue Tracking'!$P$13:$P$26, "&lt;"&amp;AEV1)</f>
        <v>0</v>
      </c>
      <c r="AEV9" s="122">
        <f>SUMIFS('Revenue Tracking'!$F$13:$F$26, 'Revenue Tracking'!$P$13:$P$26, "&gt;="&amp;AEV1,'Revenue Tracking'!$P$13:$P$26, "&lt;"&amp;AEW1)</f>
        <v>0</v>
      </c>
      <c r="AEW9" s="122">
        <f>SUMIFS('Revenue Tracking'!$F$13:$F$26, 'Revenue Tracking'!$P$13:$P$26, "&gt;="&amp;AEW1,'Revenue Tracking'!$P$13:$P$26, "&lt;"&amp;AEX1)</f>
        <v>0</v>
      </c>
      <c r="AEX9" s="122">
        <f>SUMIFS('Revenue Tracking'!$F$13:$F$26, 'Revenue Tracking'!$P$13:$P$26, "&gt;="&amp;AEX1,'Revenue Tracking'!$P$13:$P$26, "&lt;"&amp;AEY1)</f>
        <v>0</v>
      </c>
      <c r="AEY9" s="122">
        <f>SUMIFS('Revenue Tracking'!$F$13:$F$26, 'Revenue Tracking'!$P$13:$P$26, "&gt;="&amp;AEY1,'Revenue Tracking'!$P$13:$P$26, "&lt;"&amp;AEZ1)</f>
        <v>0</v>
      </c>
      <c r="AEZ9" s="122">
        <f>SUMIFS('Revenue Tracking'!$F$13:$F$26, 'Revenue Tracking'!$P$13:$P$26, "&gt;="&amp;AEZ1,'Revenue Tracking'!$P$13:$P$26, "&lt;"&amp;AFA1)</f>
        <v>0</v>
      </c>
      <c r="AFA9" s="122">
        <f>SUMIFS('Revenue Tracking'!$F$13:$F$26, 'Revenue Tracking'!$P$13:$P$26, "&gt;="&amp;AFA1,'Revenue Tracking'!$P$13:$P$26, "&lt;"&amp;AFB1)</f>
        <v>0</v>
      </c>
      <c r="AFB9" s="122">
        <f>SUMIFS('Revenue Tracking'!$F$13:$F$26, 'Revenue Tracking'!$P$13:$P$26, "&gt;="&amp;AFB1,'Revenue Tracking'!$P$13:$P$26, "&lt;"&amp;AFC1)</f>
        <v>0</v>
      </c>
      <c r="AFC9" s="122">
        <f>SUMIFS('Revenue Tracking'!$F$13:$F$26, 'Revenue Tracking'!$P$13:$P$26, "&gt;="&amp;AFC1,'Revenue Tracking'!$P$13:$P$26, "&lt;"&amp;AFD1)</f>
        <v>0</v>
      </c>
      <c r="AFD9" s="122">
        <f>SUMIFS('Revenue Tracking'!$F$13:$F$26, 'Revenue Tracking'!$P$13:$P$26, "&gt;="&amp;AFD1,'Revenue Tracking'!$P$13:$P$26, "&lt;"&amp;AFE1)</f>
        <v>0</v>
      </c>
      <c r="AFE9" s="122">
        <f>SUMIFS('Revenue Tracking'!$F$13:$F$26, 'Revenue Tracking'!$P$13:$P$26, "&gt;="&amp;AFE1,'Revenue Tracking'!$P$13:$P$26, "&lt;"&amp;AFF1)</f>
        <v>0</v>
      </c>
      <c r="AFF9" s="122">
        <f>SUMIFS('Revenue Tracking'!$F$13:$F$26, 'Revenue Tracking'!$P$13:$P$26, "&gt;="&amp;AFF1,'Revenue Tracking'!$P$13:$P$26, "&lt;"&amp;AFG1)</f>
        <v>0</v>
      </c>
      <c r="AFG9" s="122">
        <f>SUMIFS('Revenue Tracking'!$F$13:$F$26, 'Revenue Tracking'!$P$13:$P$26, "&gt;="&amp;AFG1,'Revenue Tracking'!$P$13:$P$26, "&lt;"&amp;AFH1)</f>
        <v>0</v>
      </c>
      <c r="AFH9" s="122">
        <f>SUMIFS('Revenue Tracking'!$F$13:$F$26, 'Revenue Tracking'!$P$13:$P$26, "&gt;="&amp;AFH1,'Revenue Tracking'!$P$13:$P$26, "&lt;"&amp;AFI1)</f>
        <v>0</v>
      </c>
      <c r="AFI9" s="122">
        <f>SUMIFS('Revenue Tracking'!$F$13:$F$26, 'Revenue Tracking'!$P$13:$P$26, "&gt;="&amp;AFI1,'Revenue Tracking'!$P$13:$P$26, "&lt;"&amp;AFJ1)</f>
        <v>0</v>
      </c>
      <c r="AFJ9" s="122">
        <f>SUMIFS('Revenue Tracking'!$F$13:$F$26, 'Revenue Tracking'!$P$13:$P$26, "&gt;="&amp;AFJ1,'Revenue Tracking'!$P$13:$P$26, "&lt;"&amp;AFK1)</f>
        <v>0</v>
      </c>
      <c r="AFK9" s="122">
        <f>SUMIFS('Revenue Tracking'!$F$13:$F$26, 'Revenue Tracking'!$P$13:$P$26, "&gt;="&amp;AFK1,'Revenue Tracking'!$P$13:$P$26, "&lt;"&amp;AFL1)</f>
        <v>0</v>
      </c>
      <c r="AFL9" s="122">
        <f>SUMIFS('Revenue Tracking'!$F$13:$F$26, 'Revenue Tracking'!$P$13:$P$26, "&gt;="&amp;AFL1,'Revenue Tracking'!$P$13:$P$26, "&lt;"&amp;AFM1)</f>
        <v>0</v>
      </c>
      <c r="AFM9" s="122">
        <f>SUMIFS('Revenue Tracking'!$F$13:$F$26, 'Revenue Tracking'!$P$13:$P$26, "&gt;="&amp;AFM1,'Revenue Tracking'!$P$13:$P$26, "&lt;"&amp;AFN1)</f>
        <v>0</v>
      </c>
      <c r="AFN9" s="122">
        <f>SUMIFS('Revenue Tracking'!$F$13:$F$26, 'Revenue Tracking'!$P$13:$P$26, "&gt;="&amp;AFN1,'Revenue Tracking'!$P$13:$P$26, "&lt;"&amp;AFO1)</f>
        <v>0</v>
      </c>
      <c r="AFO9" s="122">
        <f>SUMIFS('Revenue Tracking'!$F$13:$F$26, 'Revenue Tracking'!$P$13:$P$26, "&gt;="&amp;AFO1,'Revenue Tracking'!$P$13:$P$26, "&lt;"&amp;AFP1)</f>
        <v>0</v>
      </c>
      <c r="AFP9" s="122">
        <f>SUMIFS('Revenue Tracking'!$F$13:$F$26, 'Revenue Tracking'!$P$13:$P$26, "&gt;="&amp;AFP1,'Revenue Tracking'!$P$13:$P$26, "&lt;"&amp;AFQ1)</f>
        <v>0</v>
      </c>
      <c r="AFQ9" s="122">
        <f>SUMIFS('Revenue Tracking'!$F$13:$F$26, 'Revenue Tracking'!$P$13:$P$26, "&gt;="&amp;AFQ1,'Revenue Tracking'!$P$13:$P$26, "&lt;"&amp;AFR1)</f>
        <v>0</v>
      </c>
      <c r="AFR9" s="122">
        <f>SUMIFS('Revenue Tracking'!$F$13:$F$26, 'Revenue Tracking'!$P$13:$P$26, "&gt;="&amp;AFR1,'Revenue Tracking'!$P$13:$P$26, "&lt;"&amp;AFS1)</f>
        <v>0</v>
      </c>
      <c r="AFS9" s="122">
        <f>SUMIFS('Revenue Tracking'!$F$13:$F$26, 'Revenue Tracking'!$P$13:$P$26, "&gt;="&amp;AFS1,'Revenue Tracking'!$P$13:$P$26, "&lt;"&amp;AFT1)</f>
        <v>0</v>
      </c>
      <c r="AFT9" s="122">
        <f>SUMIFS('Revenue Tracking'!$F$13:$F$26, 'Revenue Tracking'!$P$13:$P$26, "&gt;="&amp;AFT1,'Revenue Tracking'!$P$13:$P$26, "&lt;"&amp;AFU1)</f>
        <v>0</v>
      </c>
      <c r="AFU9" s="122">
        <f>SUMIFS('Revenue Tracking'!$F$13:$F$26, 'Revenue Tracking'!$P$13:$P$26, "&gt;="&amp;AFU1,'Revenue Tracking'!$P$13:$P$26, "&lt;"&amp;AFV1)</f>
        <v>0</v>
      </c>
      <c r="AFV9" s="122">
        <f>SUMIFS('Revenue Tracking'!$F$13:$F$26, 'Revenue Tracking'!$P$13:$P$26, "&gt;="&amp;AFV1,'Revenue Tracking'!$P$13:$P$26, "&lt;"&amp;AFW1)</f>
        <v>0</v>
      </c>
      <c r="AFW9" s="122">
        <f>SUMIFS('Revenue Tracking'!$F$13:$F$26, 'Revenue Tracking'!$P$13:$P$26, "&gt;="&amp;AFW1,'Revenue Tracking'!$P$13:$P$26, "&lt;"&amp;AFX1)</f>
        <v>0</v>
      </c>
      <c r="AFX9" s="122">
        <f>SUMIFS('Revenue Tracking'!$F$13:$F$26, 'Revenue Tracking'!$P$13:$P$26, "&gt;="&amp;AFX1,'Revenue Tracking'!$P$13:$P$26, "&lt;"&amp;AFY1)</f>
        <v>0</v>
      </c>
      <c r="AFY9" s="122">
        <f>SUMIFS('Revenue Tracking'!$F$13:$F$26, 'Revenue Tracking'!$P$13:$P$26, "&gt;="&amp;AFY1,'Revenue Tracking'!$P$13:$P$26, "&lt;"&amp;AFZ1)</f>
        <v>0</v>
      </c>
      <c r="AFZ9" s="122">
        <f>SUMIFS('Revenue Tracking'!$F$13:$F$26, 'Revenue Tracking'!$P$13:$P$26, "&gt;="&amp;AFZ1,'Revenue Tracking'!$P$13:$P$26, "&lt;"&amp;AGA1)</f>
        <v>0</v>
      </c>
      <c r="AGA9" s="122">
        <f>SUMIFS('Revenue Tracking'!$F$13:$F$26, 'Revenue Tracking'!$P$13:$P$26, "&gt;="&amp;AGA1,'Revenue Tracking'!$P$13:$P$26, "&lt;"&amp;AGB1)</f>
        <v>0</v>
      </c>
      <c r="AGB9" s="122">
        <f>SUMIFS('Revenue Tracking'!$F$13:$F$26, 'Revenue Tracking'!$P$13:$P$26, "&gt;="&amp;AGB1,'Revenue Tracking'!$P$13:$P$26, "&lt;"&amp;AGC1)</f>
        <v>0</v>
      </c>
      <c r="AGC9" s="122">
        <f>SUMIFS('Revenue Tracking'!$F$13:$F$26, 'Revenue Tracking'!$P$13:$P$26, "&gt;="&amp;AGC1,'Revenue Tracking'!$P$13:$P$26, "&lt;"&amp;AGD1)</f>
        <v>0</v>
      </c>
      <c r="AGD9" s="122">
        <f>SUMIFS('Revenue Tracking'!$F$13:$F$26, 'Revenue Tracking'!$P$13:$P$26, "&gt;="&amp;AGD1,'Revenue Tracking'!$P$13:$P$26, "&lt;"&amp;AGE1)</f>
        <v>0</v>
      </c>
      <c r="AGE9" s="122">
        <f>SUMIFS('Revenue Tracking'!$F$13:$F$26, 'Revenue Tracking'!$P$13:$P$26, "&gt;="&amp;AGE1,'Revenue Tracking'!$P$13:$P$26, "&lt;"&amp;AGF1)</f>
        <v>0</v>
      </c>
      <c r="AGF9" s="122">
        <f>SUMIFS('Revenue Tracking'!$F$13:$F$26, 'Revenue Tracking'!$P$13:$P$26, "&gt;="&amp;AGF1,'Revenue Tracking'!$P$13:$P$26, "&lt;"&amp;AGG1)</f>
        <v>0</v>
      </c>
      <c r="AGG9" s="122">
        <f>SUMIFS('Revenue Tracking'!$F$13:$F$26, 'Revenue Tracking'!$P$13:$P$26, "&gt;="&amp;AGG1,'Revenue Tracking'!$P$13:$P$26, "&lt;"&amp;AGH1)</f>
        <v>0</v>
      </c>
      <c r="AGH9" s="122">
        <f>SUMIFS('Revenue Tracking'!$F$13:$F$26, 'Revenue Tracking'!$P$13:$P$26, "&gt;="&amp;AGH1,'Revenue Tracking'!$P$13:$P$26, "&lt;"&amp;AGI1)</f>
        <v>0</v>
      </c>
      <c r="AGI9" s="122">
        <f>SUMIFS('Revenue Tracking'!$F$13:$F$26, 'Revenue Tracking'!$P$13:$P$26, "&gt;="&amp;AGI1,'Revenue Tracking'!$P$13:$P$26, "&lt;"&amp;AGJ1)</f>
        <v>0</v>
      </c>
      <c r="AGJ9" s="122">
        <f>SUMIFS('Revenue Tracking'!$F$13:$F$26, 'Revenue Tracking'!$P$13:$P$26, "&gt;="&amp;AGJ1,'Revenue Tracking'!$P$13:$P$26, "&lt;"&amp;AGK1)</f>
        <v>0</v>
      </c>
      <c r="AGK9" s="122">
        <f>SUMIFS('Revenue Tracking'!$F$13:$F$26, 'Revenue Tracking'!$P$13:$P$26, "&gt;="&amp;AGK1,'Revenue Tracking'!$P$13:$P$26, "&lt;"&amp;AGL1)</f>
        <v>0</v>
      </c>
      <c r="AGL9" s="122">
        <f>SUMIFS('Revenue Tracking'!$F$13:$F$26, 'Revenue Tracking'!$P$13:$P$26, "&gt;="&amp;AGL1,'Revenue Tracking'!$P$13:$P$26, "&lt;"&amp;AGM1)</f>
        <v>0</v>
      </c>
      <c r="AGM9" s="122">
        <f>SUMIFS('Revenue Tracking'!$F$13:$F$26, 'Revenue Tracking'!$P$13:$P$26, "&gt;="&amp;AGM1,'Revenue Tracking'!$P$13:$P$26, "&lt;"&amp;AGN1)</f>
        <v>0</v>
      </c>
      <c r="AGN9" s="122">
        <f>SUMIFS('Revenue Tracking'!$F$13:$F$26, 'Revenue Tracking'!$P$13:$P$26, "&gt;="&amp;AGN1,'Revenue Tracking'!$P$13:$P$26, "&lt;"&amp;AGO1)</f>
        <v>0</v>
      </c>
      <c r="AGO9" s="122">
        <f>SUMIFS('Revenue Tracking'!$F$13:$F$26, 'Revenue Tracking'!$P$13:$P$26, "&gt;="&amp;AGO1,'Revenue Tracking'!$P$13:$P$26, "&lt;"&amp;AGP1)</f>
        <v>0</v>
      </c>
      <c r="AGP9" s="122">
        <f>SUMIFS('Revenue Tracking'!$F$13:$F$26, 'Revenue Tracking'!$P$13:$P$26, "&gt;="&amp;AGP1,'Revenue Tracking'!$P$13:$P$26, "&lt;"&amp;AGQ1)</f>
        <v>0</v>
      </c>
      <c r="AGQ9" s="122">
        <f>SUMIFS('Revenue Tracking'!$F$13:$F$26, 'Revenue Tracking'!$P$13:$P$26, "&gt;="&amp;AGQ1,'Revenue Tracking'!$P$13:$P$26, "&lt;"&amp;AGR1)</f>
        <v>0</v>
      </c>
      <c r="AGR9" s="122">
        <f>SUMIFS('Revenue Tracking'!$F$13:$F$26, 'Revenue Tracking'!$P$13:$P$26, "&gt;="&amp;AGR1,'Revenue Tracking'!$P$13:$P$26, "&lt;"&amp;AGS1)</f>
        <v>0</v>
      </c>
      <c r="AGS9" s="122">
        <f>SUMIFS('Revenue Tracking'!$F$13:$F$26, 'Revenue Tracking'!$P$13:$P$26, "&gt;="&amp;AGS1,'Revenue Tracking'!$P$13:$P$26, "&lt;"&amp;AGT1)</f>
        <v>0</v>
      </c>
      <c r="AGT9" s="122">
        <f>SUMIFS('Revenue Tracking'!$F$13:$F$26, 'Revenue Tracking'!$P$13:$P$26, "&gt;="&amp;AGT1,'Revenue Tracking'!$P$13:$P$26, "&lt;"&amp;AGU1)</f>
        <v>0</v>
      </c>
      <c r="AGU9" s="122">
        <f>SUMIFS('Revenue Tracking'!$F$13:$F$26, 'Revenue Tracking'!$P$13:$P$26, "&gt;="&amp;AGU1,'Revenue Tracking'!$P$13:$P$26, "&lt;"&amp;AGV1)</f>
        <v>0</v>
      </c>
      <c r="AGV9" s="122">
        <f>SUMIFS('Revenue Tracking'!$F$13:$F$26, 'Revenue Tracking'!$P$13:$P$26, "&gt;="&amp;AGV1,'Revenue Tracking'!$P$13:$P$26, "&lt;"&amp;AGW1)</f>
        <v>0</v>
      </c>
      <c r="AGW9" s="122">
        <f>SUMIFS('Revenue Tracking'!$F$13:$F$26, 'Revenue Tracking'!$P$13:$P$26, "&gt;="&amp;AGW1,'Revenue Tracking'!$P$13:$P$26, "&lt;"&amp;AGX1)</f>
        <v>0</v>
      </c>
      <c r="AGX9" s="122">
        <f>SUMIFS('Revenue Tracking'!$F$13:$F$26, 'Revenue Tracking'!$P$13:$P$26, "&gt;="&amp;AGX1,'Revenue Tracking'!$P$13:$P$26, "&lt;"&amp;AGY1)</f>
        <v>0</v>
      </c>
      <c r="AGY9" s="122">
        <f>SUMIFS('Revenue Tracking'!$F$13:$F$26, 'Revenue Tracking'!$P$13:$P$26, "&gt;="&amp;AGY1,'Revenue Tracking'!$P$13:$P$26, "&lt;"&amp;AGZ1)</f>
        <v>0</v>
      </c>
      <c r="AGZ9" s="122">
        <f>SUMIFS('Revenue Tracking'!$F$13:$F$26, 'Revenue Tracking'!$P$13:$P$26, "&gt;="&amp;AGZ1,'Revenue Tracking'!$P$13:$P$26, "&lt;"&amp;AHA1)</f>
        <v>0</v>
      </c>
      <c r="AHA9" s="122">
        <f>SUMIFS('Revenue Tracking'!$F$13:$F$26, 'Revenue Tracking'!$P$13:$P$26, "&gt;="&amp;AHA1,'Revenue Tracking'!$P$13:$P$26, "&lt;"&amp;AHB1)</f>
        <v>0</v>
      </c>
      <c r="AHB9" s="122">
        <f>SUMIFS('Revenue Tracking'!$F$13:$F$26, 'Revenue Tracking'!$P$13:$P$26, "&gt;="&amp;AHB1,'Revenue Tracking'!$P$13:$P$26, "&lt;"&amp;AHC1)</f>
        <v>0</v>
      </c>
      <c r="AHC9" s="122">
        <f>SUMIFS('Revenue Tracking'!$F$13:$F$26, 'Revenue Tracking'!$P$13:$P$26, "&gt;="&amp;AHC1,'Revenue Tracking'!$P$13:$P$26, "&lt;"&amp;AHD1)</f>
        <v>0</v>
      </c>
      <c r="AHD9" s="122">
        <f>SUMIFS('Revenue Tracking'!$F$13:$F$26, 'Revenue Tracking'!$P$13:$P$26, "&gt;="&amp;AHD1,'Revenue Tracking'!$P$13:$P$26, "&lt;"&amp;AHE1)</f>
        <v>0</v>
      </c>
      <c r="AHE9" s="122">
        <f>SUMIFS('Revenue Tracking'!$F$13:$F$26, 'Revenue Tracking'!$P$13:$P$26, "&gt;="&amp;AHE1,'Revenue Tracking'!$P$13:$P$26, "&lt;"&amp;AHF1)</f>
        <v>0</v>
      </c>
      <c r="AHF9" s="122">
        <f>SUMIFS('Revenue Tracking'!$F$13:$F$26, 'Revenue Tracking'!$P$13:$P$26, "&gt;="&amp;AHF1,'Revenue Tracking'!$P$13:$P$26, "&lt;"&amp;AHG1)</f>
        <v>0</v>
      </c>
      <c r="AHG9" s="122">
        <f>SUMIFS('Revenue Tracking'!$F$13:$F$26, 'Revenue Tracking'!$P$13:$P$26, "&gt;="&amp;AHG1,'Revenue Tracking'!$P$13:$P$26, "&lt;"&amp;AHH1)</f>
        <v>0</v>
      </c>
      <c r="AHH9" s="122">
        <f>SUMIFS('Revenue Tracking'!$F$13:$F$26, 'Revenue Tracking'!$P$13:$P$26, "&gt;="&amp;AHH1,'Revenue Tracking'!$P$13:$P$26, "&lt;"&amp;AHI1)</f>
        <v>0</v>
      </c>
      <c r="AHI9" s="122">
        <f>SUMIFS('Revenue Tracking'!$F$13:$F$26, 'Revenue Tracking'!$P$13:$P$26, "&gt;="&amp;AHI1,'Revenue Tracking'!$P$13:$P$26, "&lt;"&amp;AHJ1)</f>
        <v>0</v>
      </c>
      <c r="AHJ9" s="122">
        <f>SUMIFS('Revenue Tracking'!$F$13:$F$26, 'Revenue Tracking'!$P$13:$P$26, "&gt;="&amp;AHJ1,'Revenue Tracking'!$P$13:$P$26, "&lt;"&amp;AHK1)</f>
        <v>0</v>
      </c>
      <c r="AHK9" s="122">
        <f>SUMIFS('Revenue Tracking'!$F$13:$F$26, 'Revenue Tracking'!$P$13:$P$26, "&gt;="&amp;AHK1,'Revenue Tracking'!$P$13:$P$26, "&lt;"&amp;AHL1)</f>
        <v>0</v>
      </c>
      <c r="AHL9" s="122">
        <f>SUMIFS('Revenue Tracking'!$F$13:$F$26, 'Revenue Tracking'!$P$13:$P$26, "&gt;="&amp;AHL1,'Revenue Tracking'!$P$13:$P$26, "&lt;"&amp;AHM1)</f>
        <v>0</v>
      </c>
      <c r="AHM9" s="122">
        <f>SUMIFS('Revenue Tracking'!$F$13:$F$26, 'Revenue Tracking'!$P$13:$P$26, "&gt;="&amp;AHM1,'Revenue Tracking'!$P$13:$P$26, "&lt;"&amp;AHN1)</f>
        <v>0</v>
      </c>
      <c r="AHN9" s="122">
        <f>SUMIFS('Revenue Tracking'!$F$13:$F$26, 'Revenue Tracking'!$P$13:$P$26, "&gt;="&amp;AHN1,'Revenue Tracking'!$P$13:$P$26, "&lt;"&amp;AHO1)</f>
        <v>0</v>
      </c>
      <c r="AHO9" s="122">
        <f>SUMIFS('Revenue Tracking'!$F$13:$F$26, 'Revenue Tracking'!$P$13:$P$26, "&gt;="&amp;AHO1,'Revenue Tracking'!$P$13:$P$26, "&lt;"&amp;AHP1)</f>
        <v>0</v>
      </c>
      <c r="AHP9" s="122">
        <f>SUMIFS('Revenue Tracking'!$F$13:$F$26, 'Revenue Tracking'!$P$13:$P$26, "&gt;="&amp;AHP1,'Revenue Tracking'!$P$13:$P$26, "&lt;"&amp;AHQ1)</f>
        <v>0</v>
      </c>
      <c r="AHQ9" s="122">
        <f>SUMIFS('Revenue Tracking'!$F$13:$F$26, 'Revenue Tracking'!$P$13:$P$26, "&gt;="&amp;AHQ1,'Revenue Tracking'!$P$13:$P$26, "&lt;"&amp;AHR1)</f>
        <v>0</v>
      </c>
      <c r="AHR9" s="122">
        <f>SUMIFS('Revenue Tracking'!$F$13:$F$26, 'Revenue Tracking'!$P$13:$P$26, "&gt;="&amp;AHR1,'Revenue Tracking'!$P$13:$P$26, "&lt;"&amp;AHS1)</f>
        <v>0</v>
      </c>
      <c r="AHS9" s="122">
        <f>SUMIFS('Revenue Tracking'!$F$13:$F$26, 'Revenue Tracking'!$P$13:$P$26, "&gt;="&amp;AHS1,'Revenue Tracking'!$P$13:$P$26, "&lt;"&amp;AHT1)</f>
        <v>0</v>
      </c>
      <c r="AHT9" s="122">
        <f>SUMIFS('Revenue Tracking'!$F$13:$F$26, 'Revenue Tracking'!$P$13:$P$26, "&gt;="&amp;AHT1,'Revenue Tracking'!$P$13:$P$26, "&lt;"&amp;AHU1)</f>
        <v>0</v>
      </c>
      <c r="AHU9" s="122">
        <f>SUMIFS('Revenue Tracking'!$F$13:$F$26, 'Revenue Tracking'!$P$13:$P$26, "&gt;="&amp;AHU1,'Revenue Tracking'!$P$13:$P$26, "&lt;"&amp;AHV1)</f>
        <v>0</v>
      </c>
      <c r="AHV9" s="122">
        <f>SUMIFS('Revenue Tracking'!$F$13:$F$26, 'Revenue Tracking'!$P$13:$P$26, "&gt;="&amp;AHV1,'Revenue Tracking'!$P$13:$P$26, "&lt;"&amp;AHW1)</f>
        <v>0</v>
      </c>
      <c r="AHW9" s="122">
        <f>SUMIFS('Revenue Tracking'!$F$13:$F$26, 'Revenue Tracking'!$P$13:$P$26, "&gt;="&amp;AHW1,'Revenue Tracking'!$P$13:$P$26, "&lt;"&amp;AHX1)</f>
        <v>0</v>
      </c>
      <c r="AHX9" s="122">
        <f>SUMIFS('Revenue Tracking'!$F$13:$F$26, 'Revenue Tracking'!$P$13:$P$26, "&gt;="&amp;AHX1,'Revenue Tracking'!$P$13:$P$26, "&lt;"&amp;AHY1)</f>
        <v>0</v>
      </c>
      <c r="AHY9" s="122">
        <f>SUMIFS('Revenue Tracking'!$F$13:$F$26, 'Revenue Tracking'!$P$13:$P$26, "&gt;="&amp;AHY1,'Revenue Tracking'!$P$13:$P$26, "&lt;"&amp;AHZ1)</f>
        <v>0</v>
      </c>
      <c r="AHZ9" s="122">
        <f>SUMIFS('Revenue Tracking'!$F$13:$F$26, 'Revenue Tracking'!$P$13:$P$26, "&gt;="&amp;AHZ1,'Revenue Tracking'!$P$13:$P$26, "&lt;"&amp;AIA1)</f>
        <v>0</v>
      </c>
      <c r="AIA9" s="122">
        <f>SUMIFS('Revenue Tracking'!$F$13:$F$26, 'Revenue Tracking'!$P$13:$P$26, "&gt;="&amp;AIA1,'Revenue Tracking'!$P$13:$P$26, "&lt;"&amp;AIB1)</f>
        <v>0</v>
      </c>
      <c r="AIB9" s="122">
        <f>SUMIFS('Revenue Tracking'!$F$13:$F$26, 'Revenue Tracking'!$P$13:$P$26, "&gt;="&amp;AIB1,'Revenue Tracking'!$P$13:$P$26, "&lt;"&amp;AIC1)</f>
        <v>0</v>
      </c>
      <c r="AIC9" s="122">
        <f>SUMIFS('Revenue Tracking'!$F$13:$F$26, 'Revenue Tracking'!$P$13:$P$26, "&gt;="&amp;AIC1,'Revenue Tracking'!$P$13:$P$26, "&lt;"&amp;AID1)</f>
        <v>0</v>
      </c>
      <c r="AID9" s="122">
        <f>SUMIFS('Revenue Tracking'!$F$13:$F$26, 'Revenue Tracking'!$P$13:$P$26, "&gt;="&amp;AID1,'Revenue Tracking'!$P$13:$P$26, "&lt;"&amp;AIE1)</f>
        <v>0</v>
      </c>
      <c r="AIE9" s="122">
        <f>SUMIFS('Revenue Tracking'!$F$13:$F$26, 'Revenue Tracking'!$P$13:$P$26, "&gt;="&amp;AIE1,'Revenue Tracking'!$P$13:$P$26, "&lt;"&amp;AIF1)</f>
        <v>0</v>
      </c>
      <c r="AIF9" s="122">
        <f>SUMIFS('Revenue Tracking'!$F$13:$F$26, 'Revenue Tracking'!$P$13:$P$26, "&gt;="&amp;AIF1,'Revenue Tracking'!$P$13:$P$26, "&lt;"&amp;AIG1)</f>
        <v>0</v>
      </c>
      <c r="AIG9" s="122">
        <f>SUMIFS('Revenue Tracking'!$F$13:$F$26, 'Revenue Tracking'!$P$13:$P$26, "&gt;="&amp;AIG1,'Revenue Tracking'!$P$13:$P$26, "&lt;"&amp;AIH1)</f>
        <v>0</v>
      </c>
      <c r="AIH9" s="122">
        <f>SUMIFS('Revenue Tracking'!$F$13:$F$26, 'Revenue Tracking'!$P$13:$P$26, "&gt;="&amp;AIH1,'Revenue Tracking'!$P$13:$P$26, "&lt;"&amp;AII1)</f>
        <v>0</v>
      </c>
      <c r="AII9" s="122">
        <f>SUMIFS('Revenue Tracking'!$F$13:$F$26, 'Revenue Tracking'!$P$13:$P$26, "&gt;="&amp;AII1,'Revenue Tracking'!$P$13:$P$26, "&lt;"&amp;AIJ1)</f>
        <v>0</v>
      </c>
      <c r="AIJ9" s="122">
        <f>SUMIFS('Revenue Tracking'!$F$13:$F$26, 'Revenue Tracking'!$P$13:$P$26, "&gt;="&amp;AIJ1,'Revenue Tracking'!$P$13:$P$26, "&lt;"&amp;AIK1)</f>
        <v>0</v>
      </c>
      <c r="AIK9" s="122">
        <f>SUMIFS('Revenue Tracking'!$F$13:$F$26, 'Revenue Tracking'!$P$13:$P$26, "&gt;="&amp;AIK1,'Revenue Tracking'!$P$13:$P$26, "&lt;"&amp;AIL1)</f>
        <v>0</v>
      </c>
      <c r="AIL9" s="122">
        <f>SUMIFS('Revenue Tracking'!$F$13:$F$26, 'Revenue Tracking'!$P$13:$P$26, "&gt;="&amp;AIL1,'Revenue Tracking'!$P$13:$P$26, "&lt;"&amp;AIM1)</f>
        <v>0</v>
      </c>
      <c r="AIM9" s="122">
        <f>SUMIFS('Revenue Tracking'!$F$13:$F$26, 'Revenue Tracking'!$P$13:$P$26, "&gt;="&amp;AIM1,'Revenue Tracking'!$P$13:$P$26, "&lt;"&amp;AIN1)</f>
        <v>0</v>
      </c>
      <c r="AIN9" s="122">
        <f>SUMIFS('Revenue Tracking'!$F$13:$F$26, 'Revenue Tracking'!$P$13:$P$26, "&gt;="&amp;AIN1,'Revenue Tracking'!$P$13:$P$26, "&lt;"&amp;AIO1)</f>
        <v>0</v>
      </c>
      <c r="AIO9" s="122">
        <f>SUMIFS('Revenue Tracking'!$F$13:$F$26, 'Revenue Tracking'!$P$13:$P$26, "&gt;="&amp;AIO1,'Revenue Tracking'!$P$13:$P$26, "&lt;"&amp;AIP1)</f>
        <v>0</v>
      </c>
      <c r="AIP9" s="122">
        <f>SUMIFS('Revenue Tracking'!$F$13:$F$26, 'Revenue Tracking'!$P$13:$P$26, "&gt;="&amp;AIP1,'Revenue Tracking'!$P$13:$P$26, "&lt;"&amp;AIQ1)</f>
        <v>0</v>
      </c>
      <c r="AIQ9" s="122">
        <f>SUMIFS('Revenue Tracking'!$F$13:$F$26, 'Revenue Tracking'!$P$13:$P$26, "&gt;="&amp;AIQ1,'Revenue Tracking'!$P$13:$P$26, "&lt;"&amp;AIR1)</f>
        <v>0</v>
      </c>
      <c r="AIR9" s="122">
        <f>SUMIFS('Revenue Tracking'!$F$13:$F$26, 'Revenue Tracking'!$P$13:$P$26, "&gt;="&amp;AIR1,'Revenue Tracking'!$P$13:$P$26, "&lt;"&amp;AIS1)</f>
        <v>0</v>
      </c>
      <c r="AIS9" s="122">
        <f>SUMIFS('Revenue Tracking'!$F$13:$F$26, 'Revenue Tracking'!$P$13:$P$26, "&gt;="&amp;AIS1,'Revenue Tracking'!$P$13:$P$26, "&lt;"&amp;AIT1)</f>
        <v>0</v>
      </c>
      <c r="AIT9" s="122">
        <f>SUMIFS('Revenue Tracking'!$F$13:$F$26, 'Revenue Tracking'!$P$13:$P$26, "&gt;="&amp;AIT1,'Revenue Tracking'!$P$13:$P$26, "&lt;"&amp;AIU1)</f>
        <v>0</v>
      </c>
      <c r="AIU9" s="122">
        <f>SUMIFS('Revenue Tracking'!$F$13:$F$26, 'Revenue Tracking'!$P$13:$P$26, "&gt;="&amp;AIU1,'Revenue Tracking'!$P$13:$P$26, "&lt;"&amp;AIV1)</f>
        <v>0</v>
      </c>
      <c r="AIV9" s="122">
        <f>SUMIFS('Revenue Tracking'!$F$13:$F$26, 'Revenue Tracking'!$P$13:$P$26, "&gt;="&amp;AIV1,'Revenue Tracking'!$P$13:$P$26, "&lt;"&amp;AIW1)</f>
        <v>0</v>
      </c>
      <c r="AIW9" s="122">
        <f>SUMIFS('Revenue Tracking'!$F$13:$F$26, 'Revenue Tracking'!$P$13:$P$26, "&gt;="&amp;AIW1,'Revenue Tracking'!$P$13:$P$26, "&lt;"&amp;AIX1)</f>
        <v>0</v>
      </c>
      <c r="AIX9" s="122">
        <f>SUMIFS('Revenue Tracking'!$F$13:$F$26, 'Revenue Tracking'!$P$13:$P$26, "&gt;="&amp;AIX1,'Revenue Tracking'!$P$13:$P$26, "&lt;"&amp;AIY1)</f>
        <v>0</v>
      </c>
      <c r="AIY9" s="122">
        <f>SUMIFS('Revenue Tracking'!$F$13:$F$26, 'Revenue Tracking'!$P$13:$P$26, "&gt;="&amp;AIY1,'Revenue Tracking'!$P$13:$P$26, "&lt;"&amp;AIZ1)</f>
        <v>0</v>
      </c>
      <c r="AIZ9" s="122">
        <f>SUMIFS('Revenue Tracking'!$F$13:$F$26, 'Revenue Tracking'!$P$13:$P$26, "&gt;="&amp;AIZ1,'Revenue Tracking'!$P$13:$P$26, "&lt;"&amp;AJA1)</f>
        <v>0</v>
      </c>
      <c r="AJA9" s="122">
        <f>SUMIFS('Revenue Tracking'!$F$13:$F$26, 'Revenue Tracking'!$P$13:$P$26, "&gt;="&amp;AJA1,'Revenue Tracking'!$P$13:$P$26, "&lt;"&amp;AJB1)</f>
        <v>0</v>
      </c>
      <c r="AJB9" s="122">
        <f>SUMIFS('Revenue Tracking'!$F$13:$F$26, 'Revenue Tracking'!$P$13:$P$26, "&gt;="&amp;AJB1,'Revenue Tracking'!$P$13:$P$26, "&lt;"&amp;AJC1)</f>
        <v>0</v>
      </c>
      <c r="AJC9" s="122">
        <f>SUMIFS('Revenue Tracking'!$F$13:$F$26, 'Revenue Tracking'!$P$13:$P$26, "&gt;="&amp;AJC1,'Revenue Tracking'!$P$13:$P$26, "&lt;"&amp;AJD1)</f>
        <v>0</v>
      </c>
      <c r="AJD9" s="122">
        <f>SUMIFS('Revenue Tracking'!$F$13:$F$26, 'Revenue Tracking'!$P$13:$P$26, "&gt;="&amp;AJD1,'Revenue Tracking'!$P$13:$P$26, "&lt;"&amp;AJE1)</f>
        <v>0</v>
      </c>
      <c r="AJE9" s="122">
        <f>SUMIFS('Revenue Tracking'!$F$13:$F$26, 'Revenue Tracking'!$P$13:$P$26, "&gt;="&amp;AJE1,'Revenue Tracking'!$P$13:$P$26, "&lt;"&amp;AJF1)</f>
        <v>0</v>
      </c>
      <c r="AJF9" s="122">
        <f>SUMIFS('Revenue Tracking'!$F$13:$F$26, 'Revenue Tracking'!$P$13:$P$26, "&gt;="&amp;AJF1,'Revenue Tracking'!$P$13:$P$26, "&lt;"&amp;AJG1)</f>
        <v>0</v>
      </c>
      <c r="AJG9" s="122">
        <f>SUMIFS('Revenue Tracking'!$F$13:$F$26, 'Revenue Tracking'!$P$13:$P$26, "&gt;="&amp;AJG1,'Revenue Tracking'!$P$13:$P$26, "&lt;"&amp;AJH1)</f>
        <v>0</v>
      </c>
      <c r="AJH9" s="122">
        <f>SUMIFS('Revenue Tracking'!$F$13:$F$26, 'Revenue Tracking'!$P$13:$P$26, "&gt;="&amp;AJH1,'Revenue Tracking'!$P$13:$P$26, "&lt;"&amp;AJI1)</f>
        <v>0</v>
      </c>
      <c r="AJI9" s="122">
        <f>SUMIFS('Revenue Tracking'!$F$13:$F$26, 'Revenue Tracking'!$P$13:$P$26, "&gt;="&amp;AJI1,'Revenue Tracking'!$P$13:$P$26, "&lt;"&amp;AJJ1)</f>
        <v>0</v>
      </c>
      <c r="AJJ9" s="122">
        <f>SUMIFS('Revenue Tracking'!$F$13:$F$26, 'Revenue Tracking'!$P$13:$P$26, "&gt;="&amp;AJJ1,'Revenue Tracking'!$P$13:$P$26, "&lt;"&amp;AJK1)</f>
        <v>0</v>
      </c>
      <c r="AJK9" s="122">
        <f>SUMIFS('Revenue Tracking'!$F$13:$F$26, 'Revenue Tracking'!$P$13:$P$26, "&gt;="&amp;AJK1,'Revenue Tracking'!$P$13:$P$26, "&lt;"&amp;AJL1)</f>
        <v>0</v>
      </c>
      <c r="AJL9" s="122">
        <f>SUMIFS('Revenue Tracking'!$F$13:$F$26, 'Revenue Tracking'!$P$13:$P$26, "&gt;="&amp;AJL1,'Revenue Tracking'!$P$13:$P$26, "&lt;"&amp;AJM1)</f>
        <v>0</v>
      </c>
      <c r="AJM9" s="122">
        <f>SUMIFS('Revenue Tracking'!$F$13:$F$26, 'Revenue Tracking'!$P$13:$P$26, "&gt;="&amp;AJM1,'Revenue Tracking'!$P$13:$P$26, "&lt;"&amp;AJN1)</f>
        <v>0</v>
      </c>
      <c r="AJN9" s="122">
        <f>SUMIFS('Revenue Tracking'!$F$13:$F$26, 'Revenue Tracking'!$P$13:$P$26, "&gt;="&amp;AJN1,'Revenue Tracking'!$P$13:$P$26, "&lt;"&amp;AJO1)</f>
        <v>0</v>
      </c>
      <c r="AJO9" s="122">
        <f>SUMIFS('Revenue Tracking'!$F$13:$F$26, 'Revenue Tracking'!$P$13:$P$26, "&gt;="&amp;AJO1,'Revenue Tracking'!$P$13:$P$26, "&lt;"&amp;AJP1)</f>
        <v>0</v>
      </c>
      <c r="AJP9" s="122">
        <f>SUMIFS('Revenue Tracking'!$F$13:$F$26, 'Revenue Tracking'!$P$13:$P$26, "&gt;="&amp;AJP1,'Revenue Tracking'!$P$13:$P$26, "&lt;"&amp;AJQ1)</f>
        <v>0</v>
      </c>
      <c r="AJQ9" s="122">
        <f>SUMIFS('Revenue Tracking'!$F$13:$F$26, 'Revenue Tracking'!$P$13:$P$26, "&gt;="&amp;AJQ1,'Revenue Tracking'!$P$13:$P$26, "&lt;"&amp;AJR1)</f>
        <v>0</v>
      </c>
      <c r="AJR9" s="122">
        <f>SUMIFS('Revenue Tracking'!$F$13:$F$26, 'Revenue Tracking'!$P$13:$P$26, "&gt;="&amp;AJR1,'Revenue Tracking'!$P$13:$P$26, "&lt;"&amp;AJS1)</f>
        <v>0</v>
      </c>
      <c r="AJS9" s="122">
        <f>SUMIFS('Revenue Tracking'!$F$13:$F$26, 'Revenue Tracking'!$P$13:$P$26, "&gt;="&amp;AJS1,'Revenue Tracking'!$P$13:$P$26, "&lt;"&amp;AJT1)</f>
        <v>0</v>
      </c>
      <c r="AJT9" s="122">
        <f>SUMIFS('Revenue Tracking'!$F$13:$F$26, 'Revenue Tracking'!$P$13:$P$26, "&gt;="&amp;AJT1,'Revenue Tracking'!$P$13:$P$26, "&lt;"&amp;AJU1)</f>
        <v>0</v>
      </c>
      <c r="AJU9" s="122">
        <f>SUMIFS('Revenue Tracking'!$F$13:$F$26, 'Revenue Tracking'!$P$13:$P$26, "&gt;="&amp;AJU1,'Revenue Tracking'!$P$13:$P$26, "&lt;"&amp;AJV1)</f>
        <v>0</v>
      </c>
      <c r="AJV9" s="122">
        <f>SUMIFS('Revenue Tracking'!$F$13:$F$26, 'Revenue Tracking'!$P$13:$P$26, "&gt;="&amp;AJV1,'Revenue Tracking'!$P$13:$P$26, "&lt;"&amp;AJW1)</f>
        <v>0</v>
      </c>
      <c r="AJW9" s="122">
        <f>SUMIFS('Revenue Tracking'!$F$13:$F$26, 'Revenue Tracking'!$P$13:$P$26, "&gt;="&amp;AJW1,'Revenue Tracking'!$P$13:$P$26, "&lt;"&amp;AJX1)</f>
        <v>0</v>
      </c>
      <c r="AJX9" s="122">
        <f>SUMIFS('Revenue Tracking'!$F$13:$F$26, 'Revenue Tracking'!$P$13:$P$26, "&gt;="&amp;AJX1,'Revenue Tracking'!$P$13:$P$26, "&lt;"&amp;AJY1)</f>
        <v>0</v>
      </c>
      <c r="AJY9" s="122">
        <f>SUMIFS('Revenue Tracking'!$F$13:$F$26, 'Revenue Tracking'!$P$13:$P$26, "&gt;="&amp;AJY1,'Revenue Tracking'!$P$13:$P$26, "&lt;"&amp;AJZ1)</f>
        <v>0</v>
      </c>
      <c r="AJZ9" s="122">
        <f>SUMIFS('Revenue Tracking'!$F$13:$F$26, 'Revenue Tracking'!$P$13:$P$26, "&gt;="&amp;AJZ1,'Revenue Tracking'!$P$13:$P$26, "&lt;"&amp;AKA1)</f>
        <v>0</v>
      </c>
      <c r="AKA9" s="122">
        <f>SUMIFS('Revenue Tracking'!$F$13:$F$26, 'Revenue Tracking'!$P$13:$P$26, "&gt;="&amp;AKA1,'Revenue Tracking'!$P$13:$P$26, "&lt;"&amp;AKB1)</f>
        <v>0</v>
      </c>
      <c r="AKB9" s="122">
        <f>SUMIFS('Revenue Tracking'!$F$13:$F$26, 'Revenue Tracking'!$P$13:$P$26, "&gt;="&amp;AKB1,'Revenue Tracking'!$P$13:$P$26, "&lt;"&amp;AKC1)</f>
        <v>0</v>
      </c>
      <c r="AKC9" s="122">
        <f>SUMIFS('Revenue Tracking'!$F$13:$F$26, 'Revenue Tracking'!$P$13:$P$26, "&gt;="&amp;AKC1,'Revenue Tracking'!$P$13:$P$26, "&lt;"&amp;AKD1)</f>
        <v>0</v>
      </c>
      <c r="AKD9" s="122">
        <f>SUMIFS('Revenue Tracking'!$F$13:$F$26, 'Revenue Tracking'!$P$13:$P$26, "&gt;="&amp;AKD1,'Revenue Tracking'!$P$13:$P$26, "&lt;"&amp;AKE1)</f>
        <v>0</v>
      </c>
      <c r="AKE9" s="122">
        <f>SUMIFS('Revenue Tracking'!$F$13:$F$26, 'Revenue Tracking'!$P$13:$P$26, "&gt;="&amp;AKE1,'Revenue Tracking'!$P$13:$P$26, "&lt;"&amp;AKF1)</f>
        <v>0</v>
      </c>
      <c r="AKF9" s="122">
        <f>SUMIFS('Revenue Tracking'!$F$13:$F$26, 'Revenue Tracking'!$P$13:$P$26, "&gt;="&amp;AKF1,'Revenue Tracking'!$P$13:$P$26, "&lt;"&amp;AKG1)</f>
        <v>0</v>
      </c>
      <c r="AKG9" s="122">
        <f>SUMIFS('Revenue Tracking'!$F$13:$F$26, 'Revenue Tracking'!$P$13:$P$26, "&gt;="&amp;AKG1,'Revenue Tracking'!$P$13:$P$26, "&lt;"&amp;AKH1)</f>
        <v>0</v>
      </c>
      <c r="AKH9" s="122">
        <f>SUMIFS('Revenue Tracking'!$F$13:$F$26, 'Revenue Tracking'!$P$13:$P$26, "&gt;="&amp;AKH1,'Revenue Tracking'!$P$13:$P$26, "&lt;"&amp;AKI1)</f>
        <v>0</v>
      </c>
      <c r="AKI9" s="122">
        <f>SUMIFS('Revenue Tracking'!$F$13:$F$26, 'Revenue Tracking'!$P$13:$P$26, "&gt;="&amp;AKI1,'Revenue Tracking'!$P$13:$P$26, "&lt;"&amp;AKJ1)</f>
        <v>0</v>
      </c>
      <c r="AKJ9" s="122">
        <f>SUMIFS('Revenue Tracking'!$F$13:$F$26, 'Revenue Tracking'!$P$13:$P$26, "&gt;="&amp;AKJ1,'Revenue Tracking'!$P$13:$P$26, "&lt;"&amp;AKK1)</f>
        <v>0</v>
      </c>
      <c r="AKK9" s="122">
        <f>SUMIFS('Revenue Tracking'!$F$13:$F$26, 'Revenue Tracking'!$P$13:$P$26, "&gt;="&amp;AKK1,'Revenue Tracking'!$P$13:$P$26, "&lt;"&amp;AKL1)</f>
        <v>0</v>
      </c>
      <c r="AKL9" s="122">
        <f>SUMIFS('Revenue Tracking'!$F$13:$F$26, 'Revenue Tracking'!$P$13:$P$26, "&gt;="&amp;AKL1,'Revenue Tracking'!$P$13:$P$26, "&lt;"&amp;AKM1)</f>
        <v>0</v>
      </c>
      <c r="AKM9" s="122">
        <f>SUMIFS('Revenue Tracking'!$F$13:$F$26, 'Revenue Tracking'!$P$13:$P$26, "&gt;="&amp;AKM1,'Revenue Tracking'!$P$13:$P$26, "&lt;"&amp;AKN1)</f>
        <v>0</v>
      </c>
      <c r="AKN9" s="122">
        <f>SUMIFS('Revenue Tracking'!$F$13:$F$26, 'Revenue Tracking'!$P$13:$P$26, "&gt;="&amp;AKN1,'Revenue Tracking'!$P$13:$P$26, "&lt;"&amp;AKO1)</f>
        <v>0</v>
      </c>
      <c r="AKO9" s="122">
        <f>SUMIFS('Revenue Tracking'!$F$13:$F$26, 'Revenue Tracking'!$P$13:$P$26, "&gt;="&amp;AKO1,'Revenue Tracking'!$P$13:$P$26, "&lt;"&amp;AKP1)</f>
        <v>0</v>
      </c>
      <c r="AKP9" s="122">
        <f>SUMIFS('Revenue Tracking'!$F$13:$F$26, 'Revenue Tracking'!$P$13:$P$26, "&gt;="&amp;AKP1,'Revenue Tracking'!$P$13:$P$26, "&lt;"&amp;AKQ1)</f>
        <v>0</v>
      </c>
      <c r="AKQ9" s="122">
        <f>SUMIFS('Revenue Tracking'!$F$13:$F$26, 'Revenue Tracking'!$P$13:$P$26, "&gt;="&amp;AKQ1,'Revenue Tracking'!$P$13:$P$26, "&lt;"&amp;AKR1)</f>
        <v>0</v>
      </c>
      <c r="AKR9" s="122">
        <f>SUMIFS('Revenue Tracking'!$F$13:$F$26, 'Revenue Tracking'!$P$13:$P$26, "&gt;="&amp;AKR1,'Revenue Tracking'!$P$13:$P$26, "&lt;"&amp;AKS1)</f>
        <v>0</v>
      </c>
      <c r="AKS9" s="122">
        <f>SUMIFS('Revenue Tracking'!$F$13:$F$26, 'Revenue Tracking'!$P$13:$P$26, "&gt;="&amp;AKS1,'Revenue Tracking'!$P$13:$P$26, "&lt;"&amp;AKT1)</f>
        <v>0</v>
      </c>
      <c r="AKT9" s="122">
        <f>SUMIFS('Revenue Tracking'!$F$13:$F$26, 'Revenue Tracking'!$P$13:$P$26, "&gt;="&amp;AKT1,'Revenue Tracking'!$P$13:$P$26, "&lt;"&amp;AKU1)</f>
        <v>0</v>
      </c>
      <c r="AKU9" s="122">
        <f>SUMIFS('Revenue Tracking'!$F$13:$F$26, 'Revenue Tracking'!$P$13:$P$26, "&gt;="&amp;AKU1,'Revenue Tracking'!$P$13:$P$26, "&lt;"&amp;AKV1)</f>
        <v>0</v>
      </c>
      <c r="AKV9" s="122">
        <f>SUMIFS('Revenue Tracking'!$F$13:$F$26, 'Revenue Tracking'!$P$13:$P$26, "&gt;="&amp;AKV1,'Revenue Tracking'!$P$13:$P$26, "&lt;"&amp;AKW1)</f>
        <v>0</v>
      </c>
      <c r="AKW9" s="122">
        <f>SUMIFS('Revenue Tracking'!$F$13:$F$26, 'Revenue Tracking'!$P$13:$P$26, "&gt;="&amp;AKW1,'Revenue Tracking'!$P$13:$P$26, "&lt;"&amp;AKX1)</f>
        <v>0</v>
      </c>
      <c r="AKX9" s="122">
        <f>SUMIFS('Revenue Tracking'!$F$13:$F$26, 'Revenue Tracking'!$P$13:$P$26, "&gt;="&amp;AKX1,'Revenue Tracking'!$P$13:$P$26, "&lt;"&amp;AKY1)</f>
        <v>0</v>
      </c>
      <c r="AKY9" s="122">
        <f>SUMIFS('Revenue Tracking'!$F$13:$F$26, 'Revenue Tracking'!$P$13:$P$26, "&gt;="&amp;AKY1,'Revenue Tracking'!$P$13:$P$26, "&lt;"&amp;AKZ1)</f>
        <v>0</v>
      </c>
      <c r="AKZ9" s="122">
        <f>SUMIFS('Revenue Tracking'!$F$13:$F$26, 'Revenue Tracking'!$P$13:$P$26, "&gt;="&amp;AKZ1,'Revenue Tracking'!$P$13:$P$26, "&lt;"&amp;ALA1)</f>
        <v>0</v>
      </c>
      <c r="ALA9" s="122">
        <f>SUMIFS('Revenue Tracking'!$F$13:$F$26, 'Revenue Tracking'!$P$13:$P$26, "&gt;="&amp;ALA1,'Revenue Tracking'!$P$13:$P$26, "&lt;"&amp;ALB1)</f>
        <v>0</v>
      </c>
      <c r="ALB9" s="122">
        <f>SUMIFS('Revenue Tracking'!$F$13:$F$26, 'Revenue Tracking'!$P$13:$P$26, "&gt;="&amp;ALB1,'Revenue Tracking'!$P$13:$P$26, "&lt;"&amp;ALC1)</f>
        <v>0</v>
      </c>
      <c r="ALC9" s="122">
        <f>SUMIFS('Revenue Tracking'!$F$13:$F$26, 'Revenue Tracking'!$P$13:$P$26, "&gt;="&amp;ALC1,'Revenue Tracking'!$P$13:$P$26, "&lt;"&amp;ALD1)</f>
        <v>0</v>
      </c>
      <c r="ALD9" s="122">
        <f>SUMIFS('Revenue Tracking'!$F$13:$F$26, 'Revenue Tracking'!$P$13:$P$26, "&gt;="&amp;ALD1,'Revenue Tracking'!$P$13:$P$26, "&lt;"&amp;ALE1)</f>
        <v>0</v>
      </c>
      <c r="ALE9" s="122">
        <f>SUMIFS('Revenue Tracking'!$F$13:$F$26, 'Revenue Tracking'!$P$13:$P$26, "&gt;="&amp;ALE1,'Revenue Tracking'!$P$13:$P$26, "&lt;"&amp;ALF1)</f>
        <v>0</v>
      </c>
      <c r="ALF9" s="122">
        <f>SUMIFS('Revenue Tracking'!$F$13:$F$26, 'Revenue Tracking'!$P$13:$P$26, "&gt;="&amp;ALF1,'Revenue Tracking'!$P$13:$P$26, "&lt;"&amp;ALG1)</f>
        <v>0</v>
      </c>
      <c r="ALG9" s="122">
        <f>SUMIFS('Revenue Tracking'!$F$13:$F$26, 'Revenue Tracking'!$P$13:$P$26, "&gt;="&amp;ALG1,'Revenue Tracking'!$P$13:$P$26, "&lt;"&amp;ALH1)</f>
        <v>0</v>
      </c>
      <c r="ALH9" s="122">
        <f>SUMIFS('Revenue Tracking'!$F$13:$F$26, 'Revenue Tracking'!$P$13:$P$26, "&gt;="&amp;ALH1,'Revenue Tracking'!$P$13:$P$26, "&lt;"&amp;ALI1)</f>
        <v>0</v>
      </c>
      <c r="ALI9" s="122">
        <f>SUMIFS('Revenue Tracking'!$F$13:$F$26, 'Revenue Tracking'!$P$13:$P$26, "&gt;="&amp;ALI1,'Revenue Tracking'!$P$13:$P$26, "&lt;"&amp;ALJ1)</f>
        <v>0</v>
      </c>
      <c r="ALJ9" s="122">
        <f>SUMIFS('Revenue Tracking'!$F$13:$F$26, 'Revenue Tracking'!$P$13:$P$26, "&gt;="&amp;ALJ1,'Revenue Tracking'!$P$13:$P$26, "&lt;"&amp;ALK1)</f>
        <v>0</v>
      </c>
      <c r="ALK9" s="122">
        <f>SUMIFS('Revenue Tracking'!$F$13:$F$26, 'Revenue Tracking'!$P$13:$P$26, "&gt;="&amp;ALK1,'Revenue Tracking'!$P$13:$P$26, "&lt;"&amp;ALL1)</f>
        <v>0</v>
      </c>
      <c r="ALL9" s="122">
        <f>SUMIFS('Revenue Tracking'!$F$13:$F$26, 'Revenue Tracking'!$P$13:$P$26, "&gt;="&amp;ALL1,'Revenue Tracking'!$P$13:$P$26, "&lt;"&amp;ALM1)</f>
        <v>0</v>
      </c>
      <c r="ALM9" s="122">
        <f>SUMIFS('Revenue Tracking'!$F$13:$F$26, 'Revenue Tracking'!$P$13:$P$26, "&gt;="&amp;ALM1,'Revenue Tracking'!$P$13:$P$26, "&lt;"&amp;ALN1)</f>
        <v>0</v>
      </c>
      <c r="ALN9" s="122">
        <f>SUMIFS('Revenue Tracking'!$F$13:$F$26, 'Revenue Tracking'!$P$13:$P$26, "&gt;="&amp;ALN1,'Revenue Tracking'!$P$13:$P$26, "&lt;"&amp;ALO1)</f>
        <v>0</v>
      </c>
      <c r="ALO9" s="122">
        <f>SUMIFS('Revenue Tracking'!$F$13:$F$26, 'Revenue Tracking'!$P$13:$P$26, "&gt;="&amp;ALO1,'Revenue Tracking'!$P$13:$P$26, "&lt;"&amp;ALP1)</f>
        <v>0</v>
      </c>
      <c r="ALP9" s="122">
        <f>SUMIFS('Revenue Tracking'!$F$13:$F$26, 'Revenue Tracking'!$P$13:$P$26, "&gt;="&amp;ALP1,'Revenue Tracking'!$P$13:$P$26, "&lt;"&amp;ALQ1)</f>
        <v>0</v>
      </c>
      <c r="ALQ9" s="122">
        <f>SUMIFS('Revenue Tracking'!$F$13:$F$26, 'Revenue Tracking'!$P$13:$P$26, "&gt;="&amp;ALQ1,'Revenue Tracking'!$P$13:$P$26, "&lt;"&amp;ALR1)</f>
        <v>0</v>
      </c>
      <c r="ALR9" s="122">
        <f>SUMIFS('Revenue Tracking'!$F$13:$F$26, 'Revenue Tracking'!$P$13:$P$26, "&gt;="&amp;ALR1,'Revenue Tracking'!$P$13:$P$26, "&lt;"&amp;ALS1)</f>
        <v>0</v>
      </c>
      <c r="ALS9" s="122">
        <f>SUMIFS('Revenue Tracking'!$F$13:$F$26, 'Revenue Tracking'!$P$13:$P$26, "&gt;="&amp;ALS1,'Revenue Tracking'!$P$13:$P$26, "&lt;"&amp;ALT1)</f>
        <v>0</v>
      </c>
      <c r="ALT9" s="122">
        <f>SUMIFS('Revenue Tracking'!$F$13:$F$26, 'Revenue Tracking'!$P$13:$P$26, "&gt;="&amp;ALT1,'Revenue Tracking'!$P$13:$P$26, "&lt;"&amp;ALU1)</f>
        <v>0</v>
      </c>
      <c r="ALU9" s="122">
        <f>SUMIFS('Revenue Tracking'!$F$13:$F$26, 'Revenue Tracking'!$P$13:$P$26, "&gt;="&amp;ALU1,'Revenue Tracking'!$P$13:$P$26, "&lt;"&amp;ALV1)</f>
        <v>0</v>
      </c>
      <c r="ALV9" s="122">
        <f>SUMIFS('Revenue Tracking'!$F$13:$F$26, 'Revenue Tracking'!$P$13:$P$26, "&gt;="&amp;ALV1,'Revenue Tracking'!$P$13:$P$26, "&lt;"&amp;ALW1)</f>
        <v>0</v>
      </c>
      <c r="ALW9" s="122">
        <f>SUMIFS('Revenue Tracking'!$F$13:$F$26, 'Revenue Tracking'!$P$13:$P$26, "&gt;="&amp;ALW1,'Revenue Tracking'!$P$13:$P$26, "&lt;"&amp;ALX1)</f>
        <v>0</v>
      </c>
      <c r="ALX9" s="122">
        <f>SUMIFS('Revenue Tracking'!$F$13:$F$26, 'Revenue Tracking'!$P$13:$P$26, "&gt;="&amp;ALX1,'Revenue Tracking'!$P$13:$P$26, "&lt;"&amp;ALY1)</f>
        <v>0</v>
      </c>
      <c r="ALY9" s="122">
        <f>SUMIFS('Revenue Tracking'!$F$13:$F$26, 'Revenue Tracking'!$P$13:$P$26, "&gt;="&amp;ALY1,'Revenue Tracking'!$P$13:$P$26, "&lt;"&amp;ALZ1)</f>
        <v>0</v>
      </c>
      <c r="ALZ9" s="122">
        <f>SUMIFS('Revenue Tracking'!$F$13:$F$26, 'Revenue Tracking'!$P$13:$P$26, "&gt;="&amp;ALZ1,'Revenue Tracking'!$P$13:$P$26, "&lt;"&amp;AMA1)</f>
        <v>0</v>
      </c>
      <c r="AMA9" s="122">
        <f>SUMIFS('Revenue Tracking'!$F$13:$F$26, 'Revenue Tracking'!$P$13:$P$26, "&gt;="&amp;AMA1,'Revenue Tracking'!$P$13:$P$26, "&lt;"&amp;AMB1)</f>
        <v>0</v>
      </c>
      <c r="AMB9" s="122">
        <f>SUMIFS('Revenue Tracking'!$F$13:$F$26, 'Revenue Tracking'!$P$13:$P$26, "&gt;="&amp;AMB1,'Revenue Tracking'!$P$13:$P$26, "&lt;"&amp;AMC1)</f>
        <v>0</v>
      </c>
      <c r="AMC9" s="122">
        <f>SUMIFS('Revenue Tracking'!$F$13:$F$26, 'Revenue Tracking'!$P$13:$P$26, "&gt;="&amp;AMC1,'Revenue Tracking'!$P$13:$P$26, "&lt;"&amp;AMD1)</f>
        <v>0</v>
      </c>
      <c r="AMD9" s="122">
        <f>SUMIFS('Revenue Tracking'!$F$13:$F$26, 'Revenue Tracking'!$P$13:$P$26, "&gt;="&amp;AMD1,'Revenue Tracking'!$P$13:$P$26, "&lt;"&amp;AME1)</f>
        <v>0</v>
      </c>
      <c r="AME9" s="122">
        <f>SUMIFS('Revenue Tracking'!$F$13:$F$26, 'Revenue Tracking'!$P$13:$P$26, "&gt;="&amp;AME1,'Revenue Tracking'!$P$13:$P$26, "&lt;"&amp;AMF1)</f>
        <v>0</v>
      </c>
      <c r="AMF9" s="122">
        <f>SUMIFS('Revenue Tracking'!$F$13:$F$26, 'Revenue Tracking'!$P$13:$P$26, "&gt;="&amp;AMF1,'Revenue Tracking'!$P$13:$P$26, "&lt;"&amp;AMG1)</f>
        <v>0</v>
      </c>
      <c r="AMG9" s="122">
        <f>SUMIFS('Revenue Tracking'!$F$13:$F$26, 'Revenue Tracking'!$P$13:$P$26, "&gt;="&amp;AMG1,'Revenue Tracking'!$P$13:$P$26, "&lt;"&amp;AMH1)</f>
        <v>0</v>
      </c>
      <c r="AMH9" s="122">
        <f>SUMIFS('Revenue Tracking'!$F$13:$F$26, 'Revenue Tracking'!$P$13:$P$26, "&gt;="&amp;AMH1,'Revenue Tracking'!$P$13:$P$26, "&lt;"&amp;AMI1)</f>
        <v>0</v>
      </c>
      <c r="AMI9" s="122">
        <f>SUMIFS('Revenue Tracking'!$F$13:$F$26, 'Revenue Tracking'!$P$13:$P$26, "&gt;="&amp;AMI1,'Revenue Tracking'!$P$13:$P$26, "&lt;"&amp;AMJ1)</f>
        <v>0</v>
      </c>
      <c r="AMJ9" s="122">
        <f>SUMIFS('Revenue Tracking'!$F$13:$F$26, 'Revenue Tracking'!$P$13:$P$26, "&gt;="&amp;AMJ1,'Revenue Tracking'!$P$13:$P$26, "&lt;"&amp;AMK1)</f>
        <v>0</v>
      </c>
      <c r="AMK9" s="122">
        <f>SUMIFS('Revenue Tracking'!$F$13:$F$26, 'Revenue Tracking'!$P$13:$P$26, "&gt;="&amp;AMK1,'Revenue Tracking'!$P$13:$P$26, "&lt;"&amp;AML1)</f>
        <v>0</v>
      </c>
      <c r="AML9" s="122">
        <f>SUMIFS('Revenue Tracking'!$F$13:$F$26, 'Revenue Tracking'!$P$13:$P$26, "&gt;="&amp;AML1,'Revenue Tracking'!$P$13:$P$26, "&lt;"&amp;AMM1)</f>
        <v>0</v>
      </c>
      <c r="AMM9" s="122">
        <f>SUMIFS('Revenue Tracking'!$F$13:$F$26, 'Revenue Tracking'!$P$13:$P$26, "&gt;="&amp;AMM1,'Revenue Tracking'!$P$13:$P$26, "&lt;"&amp;AMN1)</f>
        <v>0</v>
      </c>
      <c r="AMN9" s="122">
        <f>SUMIFS('Revenue Tracking'!$F$13:$F$26, 'Revenue Tracking'!$P$13:$P$26, "&gt;="&amp;AMN1,'Revenue Tracking'!$P$13:$P$26, "&lt;"&amp;AMO1)</f>
        <v>0</v>
      </c>
      <c r="AMO9" s="122">
        <f>SUMIFS('Revenue Tracking'!$F$13:$F$26, 'Revenue Tracking'!$P$13:$P$26, "&gt;="&amp;AMO1,'Revenue Tracking'!$P$13:$P$26, "&lt;"&amp;AMP1)</f>
        <v>0</v>
      </c>
      <c r="AMP9" s="122">
        <f>SUMIFS('Revenue Tracking'!$F$13:$F$26, 'Revenue Tracking'!$P$13:$P$26, "&gt;="&amp;AMP1,'Revenue Tracking'!$P$13:$P$26, "&lt;"&amp;AMQ1)</f>
        <v>0</v>
      </c>
      <c r="AMQ9" s="122">
        <f>SUMIFS('Revenue Tracking'!$F$13:$F$26, 'Revenue Tracking'!$P$13:$P$26, "&gt;="&amp;AMQ1,'Revenue Tracking'!$P$13:$P$26, "&lt;"&amp;AMR1)</f>
        <v>0</v>
      </c>
      <c r="AMR9" s="122">
        <f>SUMIFS('Revenue Tracking'!$F$13:$F$26, 'Revenue Tracking'!$P$13:$P$26, "&gt;="&amp;AMR1,'Revenue Tracking'!$P$13:$P$26, "&lt;"&amp;AMS1)</f>
        <v>0</v>
      </c>
      <c r="AMS9" s="122">
        <f>SUMIFS('Revenue Tracking'!$F$13:$F$26, 'Revenue Tracking'!$P$13:$P$26, "&gt;="&amp;AMS1,'Revenue Tracking'!$P$13:$P$26, "&lt;"&amp;AMT1)</f>
        <v>0</v>
      </c>
      <c r="AMT9" s="122">
        <f>SUMIFS('Revenue Tracking'!$F$13:$F$26, 'Revenue Tracking'!$P$13:$P$26, "&gt;="&amp;AMT1,'Revenue Tracking'!$P$13:$P$26, "&lt;"&amp;AMU1)</f>
        <v>0</v>
      </c>
      <c r="AMU9" s="122">
        <f>SUMIFS('Revenue Tracking'!$F$13:$F$26, 'Revenue Tracking'!$P$13:$P$26, "&gt;="&amp;AMU1,'Revenue Tracking'!$P$13:$P$26, "&lt;"&amp;AMV1)</f>
        <v>0</v>
      </c>
      <c r="AMV9" s="122">
        <f>SUMIFS('Revenue Tracking'!$F$13:$F$26, 'Revenue Tracking'!$P$13:$P$26, "&gt;="&amp;AMV1,'Revenue Tracking'!$P$13:$P$26, "&lt;"&amp;AMW1)</f>
        <v>0</v>
      </c>
      <c r="AMW9" s="122">
        <f>SUMIFS('Revenue Tracking'!$F$13:$F$26, 'Revenue Tracking'!$P$13:$P$26, "&gt;="&amp;AMW1,'Revenue Tracking'!$P$13:$P$26, "&lt;"&amp;AMX1)</f>
        <v>0</v>
      </c>
      <c r="AMX9" s="122">
        <f>SUMIFS('Revenue Tracking'!$F$13:$F$26, 'Revenue Tracking'!$P$13:$P$26, "&gt;="&amp;AMX1,'Revenue Tracking'!$P$13:$P$26, "&lt;"&amp;AMY1)</f>
        <v>0</v>
      </c>
      <c r="AMY9" s="122">
        <f>SUMIFS('Revenue Tracking'!$F$13:$F$26, 'Revenue Tracking'!$P$13:$P$26, "&gt;="&amp;AMY1,'Revenue Tracking'!$P$13:$P$26, "&lt;"&amp;AMZ1)</f>
        <v>0</v>
      </c>
      <c r="AMZ9" s="122">
        <f>SUMIFS('Revenue Tracking'!$F$13:$F$26, 'Revenue Tracking'!$P$13:$P$26, "&gt;="&amp;AMZ1,'Revenue Tracking'!$P$13:$P$26, "&lt;"&amp;ANA1)</f>
        <v>0</v>
      </c>
      <c r="ANA9" s="122">
        <f>SUMIFS('Revenue Tracking'!$F$13:$F$26, 'Revenue Tracking'!$P$13:$P$26, "&gt;="&amp;ANA1,'Revenue Tracking'!$P$13:$P$26, "&lt;"&amp;ANB1)</f>
        <v>0</v>
      </c>
      <c r="ANB9" s="122">
        <f>SUMIFS('Revenue Tracking'!$F$13:$F$26, 'Revenue Tracking'!$P$13:$P$26, "&gt;="&amp;ANB1,'Revenue Tracking'!$P$13:$P$26, "&lt;"&amp;ANC1)</f>
        <v>0</v>
      </c>
      <c r="ANC9" s="122">
        <f>SUMIFS('Revenue Tracking'!$F$13:$F$26, 'Revenue Tracking'!$P$13:$P$26, "&gt;="&amp;ANC1,'Revenue Tracking'!$P$13:$P$26, "&lt;"&amp;AND1)</f>
        <v>0</v>
      </c>
      <c r="AND9" s="122">
        <f>SUMIFS('Revenue Tracking'!$F$13:$F$26, 'Revenue Tracking'!$P$13:$P$26, "&gt;="&amp;AND1,'Revenue Tracking'!$P$13:$P$26, "&lt;"&amp;ANE1)</f>
        <v>0</v>
      </c>
      <c r="ANE9" s="122">
        <f>SUMIFS('Revenue Tracking'!$F$13:$F$26, 'Revenue Tracking'!$P$13:$P$26, "&gt;="&amp;ANE1,'Revenue Tracking'!$P$13:$P$26, "&lt;"&amp;ANF1)</f>
        <v>0</v>
      </c>
      <c r="ANF9" s="122">
        <f>SUMIFS('Revenue Tracking'!$F$13:$F$26, 'Revenue Tracking'!$P$13:$P$26, "&gt;="&amp;ANF1,'Revenue Tracking'!$P$13:$P$26, "&lt;"&amp;ANG1)</f>
        <v>0</v>
      </c>
      <c r="ANG9" s="122">
        <f>SUMIFS('Revenue Tracking'!$F$13:$F$26, 'Revenue Tracking'!$P$13:$P$26, "&gt;="&amp;ANG1,'Revenue Tracking'!$P$13:$P$26, "&lt;"&amp;ANH1)</f>
        <v>0</v>
      </c>
      <c r="ANH9" s="122">
        <f>SUMIFS('Revenue Tracking'!$F$13:$F$26, 'Revenue Tracking'!$P$13:$P$26, "&gt;="&amp;ANH1,'Revenue Tracking'!$P$13:$P$26, "&lt;"&amp;ANI1)</f>
        <v>0</v>
      </c>
      <c r="ANI9" s="122">
        <f>SUMIFS('Revenue Tracking'!$F$13:$F$26, 'Revenue Tracking'!$P$13:$P$26, "&gt;="&amp;ANI1,'Revenue Tracking'!$P$13:$P$26, "&lt;"&amp;ANJ1)</f>
        <v>0</v>
      </c>
      <c r="ANJ9" s="122">
        <f>SUMIFS('Revenue Tracking'!$F$13:$F$26, 'Revenue Tracking'!$P$13:$P$26, "&gt;="&amp;ANJ1,'Revenue Tracking'!$P$13:$P$26, "&lt;"&amp;ANK1)</f>
        <v>0</v>
      </c>
      <c r="ANK9" s="122">
        <f>SUMIFS('Revenue Tracking'!$F$13:$F$26, 'Revenue Tracking'!$P$13:$P$26, "&gt;="&amp;ANK1,'Revenue Tracking'!$P$13:$P$26, "&lt;"&amp;ANL1)</f>
        <v>0</v>
      </c>
      <c r="ANL9" s="122">
        <f>SUMIFS('Revenue Tracking'!$F$13:$F$26, 'Revenue Tracking'!$P$13:$P$26, "&gt;="&amp;ANL1,'Revenue Tracking'!$P$13:$P$26, "&lt;"&amp;ANM1)</f>
        <v>0</v>
      </c>
      <c r="ANM9" s="122">
        <f>SUMIFS('Revenue Tracking'!$F$13:$F$26, 'Revenue Tracking'!$P$13:$P$26, "&gt;="&amp;ANM1,'Revenue Tracking'!$P$13:$P$26, "&lt;"&amp;ANN1)</f>
        <v>0</v>
      </c>
      <c r="ANN9" s="122">
        <f>SUMIFS('Revenue Tracking'!$F$13:$F$26, 'Revenue Tracking'!$P$13:$P$26, "&gt;="&amp;ANN1,'Revenue Tracking'!$P$13:$P$26, "&lt;"&amp;ANO1)</f>
        <v>0</v>
      </c>
      <c r="ANO9" s="122">
        <f>SUMIFS('Revenue Tracking'!$F$13:$F$26, 'Revenue Tracking'!$P$13:$P$26, "&gt;="&amp;ANO1,'Revenue Tracking'!$P$13:$P$26, "&lt;"&amp;ANP1)</f>
        <v>0</v>
      </c>
      <c r="ANP9" s="122">
        <f>SUMIFS('Revenue Tracking'!$F$13:$F$26, 'Revenue Tracking'!$P$13:$P$26, "&gt;="&amp;ANP1,'Revenue Tracking'!$P$13:$P$26, "&lt;"&amp;ANQ1)</f>
        <v>0</v>
      </c>
      <c r="ANQ9" s="122">
        <f>SUMIFS('Revenue Tracking'!$F$13:$F$26, 'Revenue Tracking'!$P$13:$P$26, "&gt;="&amp;ANQ1,'Revenue Tracking'!$P$13:$P$26, "&lt;"&amp;ANR1)</f>
        <v>0</v>
      </c>
      <c r="ANR9" s="122">
        <f>SUMIFS('Revenue Tracking'!$F$13:$F$26, 'Revenue Tracking'!$P$13:$P$26, "&gt;="&amp;ANR1,'Revenue Tracking'!$P$13:$P$26, "&lt;"&amp;ANS1)</f>
        <v>0</v>
      </c>
      <c r="ANS9" s="122">
        <f>SUMIFS('Revenue Tracking'!$F$13:$F$26, 'Revenue Tracking'!$P$13:$P$26, "&gt;="&amp;ANS1,'Revenue Tracking'!$P$13:$P$26, "&lt;"&amp;ANT1)</f>
        <v>0</v>
      </c>
      <c r="ANT9" s="122">
        <f>SUMIFS('Revenue Tracking'!$F$13:$F$26, 'Revenue Tracking'!$P$13:$P$26, "&gt;="&amp;ANT1,'Revenue Tracking'!$P$13:$P$26, "&lt;"&amp;ANU1)</f>
        <v>0</v>
      </c>
      <c r="ANU9" s="122">
        <f>SUMIFS('Revenue Tracking'!$F$13:$F$26, 'Revenue Tracking'!$P$13:$P$26, "&gt;="&amp;ANU1,'Revenue Tracking'!$P$13:$P$26, "&lt;"&amp;ANV1)</f>
        <v>0</v>
      </c>
      <c r="ANV9" s="122">
        <f>SUMIFS('Revenue Tracking'!$F$13:$F$26, 'Revenue Tracking'!$P$13:$P$26, "&gt;="&amp;ANV1,'Revenue Tracking'!$P$13:$P$26, "&lt;"&amp;ANW1)</f>
        <v>0</v>
      </c>
      <c r="ANW9" s="122">
        <f>SUMIFS('Revenue Tracking'!$F$13:$F$26, 'Revenue Tracking'!$P$13:$P$26, "&gt;="&amp;ANW1,'Revenue Tracking'!$P$13:$P$26, "&lt;"&amp;ANX1)</f>
        <v>0</v>
      </c>
      <c r="ANX9" s="122">
        <f>SUMIFS('Revenue Tracking'!$F$13:$F$26, 'Revenue Tracking'!$P$13:$P$26, "&gt;="&amp;ANX1,'Revenue Tracking'!$P$13:$P$26, "&lt;"&amp;ANY1)</f>
        <v>0</v>
      </c>
      <c r="ANY9" s="122">
        <f>SUMIFS('Revenue Tracking'!$F$13:$F$26, 'Revenue Tracking'!$P$13:$P$26, "&gt;="&amp;ANY1,'Revenue Tracking'!$P$13:$P$26, "&lt;"&amp;ANZ1)</f>
        <v>0</v>
      </c>
      <c r="ANZ9" s="122">
        <f>SUMIFS('Revenue Tracking'!$F$13:$F$26, 'Revenue Tracking'!$P$13:$P$26, "&gt;="&amp;ANZ1,'Revenue Tracking'!$P$13:$P$26, "&lt;"&amp;AOA1)</f>
        <v>0</v>
      </c>
      <c r="AOA9" s="122">
        <f>SUMIFS('Revenue Tracking'!$F$13:$F$26, 'Revenue Tracking'!$P$13:$P$26, "&gt;="&amp;AOA1,'Revenue Tracking'!$P$13:$P$26, "&lt;"&amp;AOB1)</f>
        <v>0</v>
      </c>
      <c r="AOB9" s="122">
        <f>SUMIFS('Revenue Tracking'!$F$13:$F$26, 'Revenue Tracking'!$P$13:$P$26, "&gt;="&amp;AOB1,'Revenue Tracking'!$P$13:$P$26, "&lt;"&amp;AOC1)</f>
        <v>0</v>
      </c>
      <c r="AOC9" s="122">
        <f>SUMIFS('Revenue Tracking'!$F$13:$F$26, 'Revenue Tracking'!$P$13:$P$26, "&gt;="&amp;AOC1,'Revenue Tracking'!$P$13:$P$26, "&lt;"&amp;AOD1)</f>
        <v>0</v>
      </c>
      <c r="AOD9" s="122">
        <f>SUMIFS('Revenue Tracking'!$F$13:$F$26, 'Revenue Tracking'!$P$13:$P$26, "&gt;="&amp;AOD1,'Revenue Tracking'!$P$13:$P$26, "&lt;"&amp;AOE1)</f>
        <v>0</v>
      </c>
      <c r="AOE9" s="122">
        <f>SUMIFS('Revenue Tracking'!$F$13:$F$26, 'Revenue Tracking'!$P$13:$P$26, "&gt;="&amp;AOE1,'Revenue Tracking'!$P$13:$P$26, "&lt;"&amp;AOF1)</f>
        <v>0</v>
      </c>
      <c r="AOF9" s="122">
        <f>SUMIFS('Revenue Tracking'!$F$13:$F$26, 'Revenue Tracking'!$P$13:$P$26, "&gt;="&amp;AOF1,'Revenue Tracking'!$P$13:$P$26, "&lt;"&amp;AOG1)</f>
        <v>0</v>
      </c>
      <c r="AOG9" s="122">
        <f>SUMIFS('Revenue Tracking'!$F$13:$F$26, 'Revenue Tracking'!$P$13:$P$26, "&gt;="&amp;AOG1,'Revenue Tracking'!$P$13:$P$26, "&lt;"&amp;AOH1)</f>
        <v>0</v>
      </c>
      <c r="AOH9" s="122">
        <f>SUMIFS('Revenue Tracking'!$F$13:$F$26, 'Revenue Tracking'!$P$13:$P$26, "&gt;="&amp;AOH1,'Revenue Tracking'!$P$13:$P$26, "&lt;"&amp;AOI1)</f>
        <v>0</v>
      </c>
      <c r="AOI9" s="122">
        <f>SUMIFS('Revenue Tracking'!$F$13:$F$26, 'Revenue Tracking'!$P$13:$P$26, "&gt;="&amp;AOI1,'Revenue Tracking'!$P$13:$P$26, "&lt;"&amp;AOJ1)</f>
        <v>0</v>
      </c>
      <c r="AOJ9" s="122">
        <f>SUMIFS('Revenue Tracking'!$F$13:$F$26, 'Revenue Tracking'!$P$13:$P$26, "&gt;="&amp;AOJ1,'Revenue Tracking'!$P$13:$P$26, "&lt;"&amp;AOK1)</f>
        <v>0</v>
      </c>
      <c r="AOK9" s="122">
        <f>SUMIFS('Revenue Tracking'!$F$13:$F$26, 'Revenue Tracking'!$P$13:$P$26, "&gt;="&amp;AOK1,'Revenue Tracking'!$P$13:$P$26, "&lt;"&amp;AOL1)</f>
        <v>0</v>
      </c>
      <c r="AOL9" s="122">
        <f>SUMIFS('Revenue Tracking'!$F$13:$F$26, 'Revenue Tracking'!$P$13:$P$26, "&gt;="&amp;AOL1,'Revenue Tracking'!$P$13:$P$26, "&lt;"&amp;AOM1)</f>
        <v>0</v>
      </c>
      <c r="AOM9" s="122">
        <f>SUMIFS('Revenue Tracking'!$F$13:$F$26, 'Revenue Tracking'!$P$13:$P$26, "&gt;="&amp;AOM1,'Revenue Tracking'!$P$13:$P$26, "&lt;"&amp;AON1)</f>
        <v>0</v>
      </c>
      <c r="AON9" s="122">
        <f>SUMIFS('Revenue Tracking'!$F$13:$F$26, 'Revenue Tracking'!$P$13:$P$26, "&gt;="&amp;AON1,'Revenue Tracking'!$P$13:$P$26, "&lt;"&amp;AOO1)</f>
        <v>0</v>
      </c>
      <c r="AOO9" s="122">
        <f>SUMIFS('Revenue Tracking'!$F$13:$F$26, 'Revenue Tracking'!$P$13:$P$26, "&gt;="&amp;AOO1,'Revenue Tracking'!$P$13:$P$26, "&lt;"&amp;AOP1)</f>
        <v>0</v>
      </c>
      <c r="AOP9" s="122">
        <f>SUMIFS('Revenue Tracking'!$F$13:$F$26, 'Revenue Tracking'!$P$13:$P$26, "&gt;="&amp;AOP1,'Revenue Tracking'!$P$13:$P$26, "&lt;"&amp;AOQ1)</f>
        <v>0</v>
      </c>
      <c r="AOQ9" s="122">
        <f>SUMIFS('Revenue Tracking'!$F$13:$F$26, 'Revenue Tracking'!$P$13:$P$26, "&gt;="&amp;AOQ1,'Revenue Tracking'!$P$13:$P$26, "&lt;"&amp;AOR1)</f>
        <v>0</v>
      </c>
      <c r="AOR9" s="122">
        <f>SUMIFS('Revenue Tracking'!$F$13:$F$26, 'Revenue Tracking'!$P$13:$P$26, "&gt;="&amp;AOR1,'Revenue Tracking'!$P$13:$P$26, "&lt;"&amp;AOS1)</f>
        <v>0</v>
      </c>
      <c r="AOS9" s="122">
        <f>SUMIFS('Revenue Tracking'!$F$13:$F$26, 'Revenue Tracking'!$P$13:$P$26, "&gt;="&amp;AOS1,'Revenue Tracking'!$P$13:$P$26, "&lt;"&amp;AOT1)</f>
        <v>0</v>
      </c>
      <c r="AOT9" s="122">
        <f>SUMIFS('Revenue Tracking'!$F$13:$F$26, 'Revenue Tracking'!$P$13:$P$26, "&gt;="&amp;AOT1,'Revenue Tracking'!$P$13:$P$26, "&lt;"&amp;AOU1)</f>
        <v>0</v>
      </c>
      <c r="AOU9" s="122">
        <f>SUMIFS('Revenue Tracking'!$F$13:$F$26, 'Revenue Tracking'!$P$13:$P$26, "&gt;="&amp;AOU1,'Revenue Tracking'!$P$13:$P$26, "&lt;"&amp;AOV1)</f>
        <v>0</v>
      </c>
      <c r="AOV9" s="122">
        <f>SUMIFS('Revenue Tracking'!$F$13:$F$26, 'Revenue Tracking'!$P$13:$P$26, "&gt;="&amp;AOV1,'Revenue Tracking'!$P$13:$P$26, "&lt;"&amp;AOW1)</f>
        <v>0</v>
      </c>
      <c r="AOW9" s="122">
        <f>SUMIFS('Revenue Tracking'!$F$13:$F$26, 'Revenue Tracking'!$P$13:$P$26, "&gt;="&amp;AOW1,'Revenue Tracking'!$P$13:$P$26, "&lt;"&amp;AOX1)</f>
        <v>0</v>
      </c>
      <c r="AOX9" s="122">
        <f>SUMIFS('Revenue Tracking'!$F$13:$F$26, 'Revenue Tracking'!$P$13:$P$26, "&gt;="&amp;AOX1,'Revenue Tracking'!$P$13:$P$26, "&lt;"&amp;AOY1)</f>
        <v>0</v>
      </c>
      <c r="AOY9" s="122">
        <f>SUMIFS('Revenue Tracking'!$F$13:$F$26, 'Revenue Tracking'!$P$13:$P$26, "&gt;="&amp;AOY1,'Revenue Tracking'!$P$13:$P$26, "&lt;"&amp;AOZ1)</f>
        <v>0</v>
      </c>
      <c r="AOZ9" s="122">
        <f>SUMIFS('Revenue Tracking'!$F$13:$F$26, 'Revenue Tracking'!$P$13:$P$26, "&gt;="&amp;AOZ1,'Revenue Tracking'!$P$13:$P$26, "&lt;"&amp;APA1)</f>
        <v>0</v>
      </c>
      <c r="APA9" s="122">
        <f>SUMIFS('Revenue Tracking'!$F$13:$F$26, 'Revenue Tracking'!$P$13:$P$26, "&gt;="&amp;APA1,'Revenue Tracking'!$P$13:$P$26, "&lt;"&amp;APB1)</f>
        <v>0</v>
      </c>
      <c r="APB9" s="122">
        <f>SUMIFS('Revenue Tracking'!$F$13:$F$26, 'Revenue Tracking'!$P$13:$P$26, "&gt;="&amp;APB1,'Revenue Tracking'!$P$13:$P$26, "&lt;"&amp;APC1)</f>
        <v>0</v>
      </c>
      <c r="APC9" s="122">
        <f>SUMIFS('Revenue Tracking'!$F$13:$F$26, 'Revenue Tracking'!$P$13:$P$26, "&gt;="&amp;APC1,'Revenue Tracking'!$P$13:$P$26, "&lt;"&amp;APD1)</f>
        <v>0</v>
      </c>
      <c r="APD9" s="122">
        <f>SUMIFS('Revenue Tracking'!$F$13:$F$26, 'Revenue Tracking'!$P$13:$P$26, "&gt;="&amp;APD1,'Revenue Tracking'!$P$13:$P$26, "&lt;"&amp;APE1)</f>
        <v>0</v>
      </c>
      <c r="APE9" s="122">
        <f>SUMIFS('Revenue Tracking'!$F$13:$F$26, 'Revenue Tracking'!$P$13:$P$26, "&gt;="&amp;APE1,'Revenue Tracking'!$P$13:$P$26, "&lt;"&amp;APF1)</f>
        <v>0</v>
      </c>
      <c r="APF9" s="122">
        <f>SUMIFS('Revenue Tracking'!$F$13:$F$26, 'Revenue Tracking'!$P$13:$P$26, "&gt;="&amp;APF1,'Revenue Tracking'!$P$13:$P$26, "&lt;"&amp;APG1)</f>
        <v>0</v>
      </c>
      <c r="APG9" s="122">
        <f>SUMIFS('Revenue Tracking'!$F$13:$F$26, 'Revenue Tracking'!$P$13:$P$26, "&gt;="&amp;APG1,'Revenue Tracking'!$P$13:$P$26, "&lt;"&amp;APH1)</f>
        <v>0</v>
      </c>
      <c r="APH9" s="122">
        <f>SUMIFS('Revenue Tracking'!$F$13:$F$26, 'Revenue Tracking'!$P$13:$P$26, "&gt;="&amp;APH1,'Revenue Tracking'!$P$13:$P$26, "&lt;"&amp;API1)</f>
        <v>0</v>
      </c>
      <c r="API9" s="122">
        <f>SUMIFS('Revenue Tracking'!$F$13:$F$26, 'Revenue Tracking'!$P$13:$P$26, "&gt;="&amp;API1,'Revenue Tracking'!$P$13:$P$26, "&lt;"&amp;APJ1)</f>
        <v>0</v>
      </c>
      <c r="APJ9" s="122">
        <f>SUMIFS('Revenue Tracking'!$F$13:$F$26, 'Revenue Tracking'!$P$13:$P$26, "&gt;="&amp;APJ1,'Revenue Tracking'!$P$13:$P$26, "&lt;"&amp;APK1)</f>
        <v>0</v>
      </c>
      <c r="APK9" s="122">
        <f>SUMIFS('Revenue Tracking'!$F$13:$F$26, 'Revenue Tracking'!$P$13:$P$26, "&gt;="&amp;APK1,'Revenue Tracking'!$P$13:$P$26, "&lt;"&amp;APL1)</f>
        <v>0</v>
      </c>
      <c r="APL9" s="122">
        <f>SUMIFS('Revenue Tracking'!$F$13:$F$26, 'Revenue Tracking'!$P$13:$P$26, "&gt;="&amp;APL1,'Revenue Tracking'!$P$13:$P$26, "&lt;"&amp;APM1)</f>
        <v>0</v>
      </c>
      <c r="APM9" s="122">
        <f>SUMIFS('Revenue Tracking'!$F$13:$F$26, 'Revenue Tracking'!$P$13:$P$26, "&gt;="&amp;APM1,'Revenue Tracking'!$P$13:$P$26, "&lt;"&amp;APN1)</f>
        <v>0</v>
      </c>
      <c r="APN9" s="122">
        <f>SUMIFS('Revenue Tracking'!$F$13:$F$26, 'Revenue Tracking'!$P$13:$P$26, "&gt;="&amp;APN1,'Revenue Tracking'!$P$13:$P$26, "&lt;"&amp;APO1)</f>
        <v>0</v>
      </c>
      <c r="APO9" s="122">
        <f>SUMIFS('Revenue Tracking'!$F$13:$F$26, 'Revenue Tracking'!$P$13:$P$26, "&gt;="&amp;APO1,'Revenue Tracking'!$P$13:$P$26, "&lt;"&amp;APP1)</f>
        <v>0</v>
      </c>
      <c r="APP9" s="122">
        <f>SUMIFS('Revenue Tracking'!$F$13:$F$26, 'Revenue Tracking'!$P$13:$P$26, "&gt;="&amp;APP1,'Revenue Tracking'!$P$13:$P$26, "&lt;"&amp;APQ1)</f>
        <v>0</v>
      </c>
      <c r="APQ9" s="122">
        <f>SUMIFS('Revenue Tracking'!$F$13:$F$26, 'Revenue Tracking'!$P$13:$P$26, "&gt;="&amp;APQ1,'Revenue Tracking'!$P$13:$P$26, "&lt;"&amp;APR1)</f>
        <v>0</v>
      </c>
      <c r="APR9" s="122">
        <f>SUMIFS('Revenue Tracking'!$F$13:$F$26, 'Revenue Tracking'!$P$13:$P$26, "&gt;="&amp;APR1,'Revenue Tracking'!$P$13:$P$26, "&lt;"&amp;APS1)</f>
        <v>0</v>
      </c>
      <c r="APS9" s="122">
        <f>SUMIFS('Revenue Tracking'!$F$13:$F$26, 'Revenue Tracking'!$P$13:$P$26, "&gt;="&amp;APS1,'Revenue Tracking'!$P$13:$P$26, "&lt;"&amp;APT1)</f>
        <v>0</v>
      </c>
      <c r="APT9" s="122">
        <f>SUMIFS('Revenue Tracking'!$F$13:$F$26, 'Revenue Tracking'!$P$13:$P$26, "&gt;="&amp;APT1,'Revenue Tracking'!$P$13:$P$26, "&lt;"&amp;APU1)</f>
        <v>0</v>
      </c>
      <c r="APU9" s="122">
        <f>SUMIFS('Revenue Tracking'!$F$13:$F$26, 'Revenue Tracking'!$P$13:$P$26, "&gt;="&amp;APU1,'Revenue Tracking'!$P$13:$P$26, "&lt;"&amp;APV1)</f>
        <v>0</v>
      </c>
      <c r="APV9" s="122">
        <f>SUMIFS('Revenue Tracking'!$F$13:$F$26, 'Revenue Tracking'!$P$13:$P$26, "&gt;="&amp;APV1,'Revenue Tracking'!$P$13:$P$26, "&lt;"&amp;APW1)</f>
        <v>0</v>
      </c>
      <c r="APW9" s="122">
        <f>SUMIFS('Revenue Tracking'!$F$13:$F$26, 'Revenue Tracking'!$P$13:$P$26, "&gt;="&amp;APW1,'Revenue Tracking'!$P$13:$P$26, "&lt;"&amp;APX1)</f>
        <v>0</v>
      </c>
      <c r="APX9" s="122">
        <f>SUMIFS('Revenue Tracking'!$F$13:$F$26, 'Revenue Tracking'!$P$13:$P$26, "&gt;="&amp;APX1,'Revenue Tracking'!$P$13:$P$26, "&lt;"&amp;APY1)</f>
        <v>0</v>
      </c>
      <c r="APY9" s="122">
        <f>SUMIFS('Revenue Tracking'!$F$13:$F$26, 'Revenue Tracking'!$P$13:$P$26, "&gt;="&amp;APY1,'Revenue Tracking'!$P$13:$P$26, "&lt;"&amp;APZ1)</f>
        <v>0</v>
      </c>
      <c r="APZ9" s="122">
        <f>SUMIFS('Revenue Tracking'!$F$13:$F$26, 'Revenue Tracking'!$P$13:$P$26, "&gt;="&amp;APZ1,'Revenue Tracking'!$P$13:$P$26, "&lt;"&amp;AQA1)</f>
        <v>0</v>
      </c>
      <c r="AQA9" s="122">
        <f>SUMIFS('Revenue Tracking'!$F$13:$F$26, 'Revenue Tracking'!$P$13:$P$26, "&gt;="&amp;AQA1,'Revenue Tracking'!$P$13:$P$26, "&lt;"&amp;AQB1)</f>
        <v>0</v>
      </c>
      <c r="AQB9" s="122">
        <f>SUMIFS('Revenue Tracking'!$F$13:$F$26, 'Revenue Tracking'!$P$13:$P$26, "&gt;="&amp;AQB1,'Revenue Tracking'!$P$13:$P$26, "&lt;"&amp;AQC1)</f>
        <v>0</v>
      </c>
      <c r="AQC9" s="122">
        <f>SUMIFS('Revenue Tracking'!$F$13:$F$26, 'Revenue Tracking'!$P$13:$P$26, "&gt;="&amp;AQC1,'Revenue Tracking'!$P$13:$P$26, "&lt;"&amp;AQD1)</f>
        <v>0</v>
      </c>
      <c r="AQD9" s="122">
        <f>SUMIFS('Revenue Tracking'!$F$13:$F$26, 'Revenue Tracking'!$P$13:$P$26, "&gt;="&amp;AQD1,'Revenue Tracking'!$P$13:$P$26, "&lt;"&amp;AQE1)</f>
        <v>0</v>
      </c>
      <c r="AQE9" s="122">
        <f>SUMIFS('Revenue Tracking'!$F$13:$F$26, 'Revenue Tracking'!$P$13:$P$26, "&gt;="&amp;AQE1,'Revenue Tracking'!$P$13:$P$26, "&lt;"&amp;AQF1)</f>
        <v>0</v>
      </c>
      <c r="AQF9" s="122">
        <f>SUMIFS('Revenue Tracking'!$F$13:$F$26, 'Revenue Tracking'!$P$13:$P$26, "&gt;="&amp;AQF1,'Revenue Tracking'!$P$13:$P$26, "&lt;"&amp;AQG1)</f>
        <v>0</v>
      </c>
      <c r="AQG9" s="122">
        <f>SUMIFS('Revenue Tracking'!$F$13:$F$26, 'Revenue Tracking'!$P$13:$P$26, "&gt;="&amp;AQG1,'Revenue Tracking'!$P$13:$P$26, "&lt;"&amp;AQH1)</f>
        <v>0</v>
      </c>
      <c r="AQH9" s="122">
        <f>SUMIFS('Revenue Tracking'!$F$13:$F$26, 'Revenue Tracking'!$P$13:$P$26, "&gt;="&amp;AQH1,'Revenue Tracking'!$P$13:$P$26, "&lt;"&amp;AQI1)</f>
        <v>0</v>
      </c>
      <c r="AQI9" s="122">
        <f>SUMIFS('Revenue Tracking'!$F$13:$F$26, 'Revenue Tracking'!$P$13:$P$26, "&gt;="&amp;AQI1,'Revenue Tracking'!$P$13:$P$26, "&lt;"&amp;AQJ1)</f>
        <v>0</v>
      </c>
      <c r="AQJ9" s="122">
        <f>SUMIFS('Revenue Tracking'!$F$13:$F$26, 'Revenue Tracking'!$P$13:$P$26, "&gt;="&amp;AQJ1,'Revenue Tracking'!$P$13:$P$26, "&lt;"&amp;AQK1)</f>
        <v>0</v>
      </c>
      <c r="AQK9" s="122">
        <f>SUMIFS('Revenue Tracking'!$F$13:$F$26, 'Revenue Tracking'!$P$13:$P$26, "&gt;="&amp;AQK1,'Revenue Tracking'!$P$13:$P$26, "&lt;"&amp;AQL1)</f>
        <v>0</v>
      </c>
      <c r="AQL9" s="122">
        <f>SUMIFS('Revenue Tracking'!$F$13:$F$26, 'Revenue Tracking'!$P$13:$P$26, "&gt;="&amp;AQL1,'Revenue Tracking'!$P$13:$P$26, "&lt;"&amp;AQM1)</f>
        <v>0</v>
      </c>
      <c r="AQM9" s="122">
        <f>SUMIFS('Revenue Tracking'!$F$13:$F$26, 'Revenue Tracking'!$P$13:$P$26, "&gt;="&amp;AQM1,'Revenue Tracking'!$P$13:$P$26, "&lt;"&amp;AQN1)</f>
        <v>0</v>
      </c>
      <c r="AQN9" s="122">
        <f>SUMIFS('Revenue Tracking'!$F$13:$F$26, 'Revenue Tracking'!$P$13:$P$26, "&gt;="&amp;AQN1,'Revenue Tracking'!$P$13:$P$26, "&lt;"&amp;AQO1)</f>
        <v>0</v>
      </c>
      <c r="AQO9" s="122">
        <f>SUMIFS('Revenue Tracking'!$F$13:$F$26, 'Revenue Tracking'!$P$13:$P$26, "&gt;="&amp;AQO1,'Revenue Tracking'!$P$13:$P$26, "&lt;"&amp;AQP1)</f>
        <v>0</v>
      </c>
      <c r="AQP9" s="122">
        <f>SUMIFS('Revenue Tracking'!$F$13:$F$26, 'Revenue Tracking'!$P$13:$P$26, "&gt;="&amp;AQP1,'Revenue Tracking'!$P$13:$P$26, "&lt;"&amp;AQQ1)</f>
        <v>0</v>
      </c>
      <c r="AQQ9" s="122">
        <f>SUMIFS('Revenue Tracking'!$F$13:$F$26, 'Revenue Tracking'!$P$13:$P$26, "&gt;="&amp;AQQ1,'Revenue Tracking'!$P$13:$P$26, "&lt;"&amp;AQR1)</f>
        <v>0</v>
      </c>
      <c r="AQR9" s="122">
        <f>SUMIFS('Revenue Tracking'!$F$13:$F$26, 'Revenue Tracking'!$P$13:$P$26, "&gt;="&amp;AQR1,'Revenue Tracking'!$P$13:$P$26, "&lt;"&amp;AQS1)</f>
        <v>0</v>
      </c>
      <c r="AQS9" s="122">
        <f>SUMIFS('Revenue Tracking'!$F$13:$F$26, 'Revenue Tracking'!$P$13:$P$26, "&gt;="&amp;AQS1,'Revenue Tracking'!$P$13:$P$26, "&lt;"&amp;AQT1)</f>
        <v>0</v>
      </c>
      <c r="AQT9" s="122">
        <f>SUMIFS('Revenue Tracking'!$F$13:$F$26, 'Revenue Tracking'!$P$13:$P$26, "&gt;="&amp;AQT1,'Revenue Tracking'!$P$13:$P$26, "&lt;"&amp;AQU1)</f>
        <v>0</v>
      </c>
      <c r="AQU9" s="122">
        <f>SUMIFS('Revenue Tracking'!$F$13:$F$26, 'Revenue Tracking'!$P$13:$P$26, "&gt;="&amp;AQU1,'Revenue Tracking'!$P$13:$P$26, "&lt;"&amp;AQV1)</f>
        <v>0</v>
      </c>
      <c r="AQV9" s="122">
        <f>SUMIFS('Revenue Tracking'!$F$13:$F$26, 'Revenue Tracking'!$P$13:$P$26, "&gt;="&amp;AQV1,'Revenue Tracking'!$P$13:$P$26, "&lt;"&amp;AQW1)</f>
        <v>0</v>
      </c>
      <c r="AQW9" s="122">
        <f>SUMIFS('Revenue Tracking'!$F$13:$F$26, 'Revenue Tracking'!$P$13:$P$26, "&gt;="&amp;AQW1,'Revenue Tracking'!$P$13:$P$26, "&lt;"&amp;AQX1)</f>
        <v>0</v>
      </c>
      <c r="AQX9" s="122">
        <f>SUMIFS('Revenue Tracking'!$F$13:$F$26, 'Revenue Tracking'!$P$13:$P$26, "&gt;="&amp;AQX1,'Revenue Tracking'!$P$13:$P$26, "&lt;"&amp;AQY1)</f>
        <v>0</v>
      </c>
      <c r="AQY9" s="122">
        <f>SUMIFS('Revenue Tracking'!$F$13:$F$26, 'Revenue Tracking'!$P$13:$P$26, "&gt;="&amp;AQY1,'Revenue Tracking'!$P$13:$P$26, "&lt;"&amp;AQZ1)</f>
        <v>0</v>
      </c>
      <c r="AQZ9" s="122">
        <f>SUMIFS('Revenue Tracking'!$F$13:$F$26, 'Revenue Tracking'!$P$13:$P$26, "&gt;="&amp;AQZ1,'Revenue Tracking'!$P$13:$P$26, "&lt;"&amp;ARA1)</f>
        <v>0</v>
      </c>
      <c r="ARA9" s="122">
        <f>SUMIFS('Revenue Tracking'!$F$13:$F$26, 'Revenue Tracking'!$P$13:$P$26, "&gt;="&amp;ARA1,'Revenue Tracking'!$P$13:$P$26, "&lt;"&amp;ARB1)</f>
        <v>0</v>
      </c>
      <c r="ARB9" s="122">
        <f>SUMIFS('Revenue Tracking'!$F$13:$F$26, 'Revenue Tracking'!$P$13:$P$26, "&gt;="&amp;ARB1,'Revenue Tracking'!$P$13:$P$26, "&lt;"&amp;ARC1)</f>
        <v>0</v>
      </c>
      <c r="ARC9" s="122">
        <f>SUMIFS('Revenue Tracking'!$F$13:$F$26, 'Revenue Tracking'!$P$13:$P$26, "&gt;="&amp;ARC1,'Revenue Tracking'!$P$13:$P$26, "&lt;"&amp;ARD1)</f>
        <v>0</v>
      </c>
      <c r="ARD9" s="122">
        <f>SUMIFS('Revenue Tracking'!$F$13:$F$26, 'Revenue Tracking'!$P$13:$P$26, "&gt;="&amp;ARD1,'Revenue Tracking'!$P$13:$P$26, "&lt;"&amp;ARE1)</f>
        <v>0</v>
      </c>
      <c r="ARE9" s="122">
        <f>SUMIFS('Revenue Tracking'!$F$13:$F$26, 'Revenue Tracking'!$P$13:$P$26, "&gt;="&amp;ARE1,'Revenue Tracking'!$P$13:$P$26, "&lt;"&amp;ARF1)</f>
        <v>0</v>
      </c>
      <c r="ARF9" s="122">
        <f>SUMIFS('Revenue Tracking'!$F$13:$F$26, 'Revenue Tracking'!$P$13:$P$26, "&gt;="&amp;ARF1,'Revenue Tracking'!$P$13:$P$26, "&lt;"&amp;ARG1)</f>
        <v>0</v>
      </c>
      <c r="ARG9" s="122">
        <f>SUMIFS('Revenue Tracking'!$F$13:$F$26, 'Revenue Tracking'!$P$13:$P$26, "&gt;="&amp;ARG1,'Revenue Tracking'!$P$13:$P$26, "&lt;"&amp;ARH1)</f>
        <v>0</v>
      </c>
      <c r="ARH9" s="122">
        <f>SUMIFS('Revenue Tracking'!$F$13:$F$26, 'Revenue Tracking'!$P$13:$P$26, "&gt;="&amp;ARH1,'Revenue Tracking'!$P$13:$P$26, "&lt;"&amp;ARI1)</f>
        <v>0</v>
      </c>
      <c r="ARI9" s="122">
        <f>SUMIFS('Revenue Tracking'!$F$13:$F$26, 'Revenue Tracking'!$P$13:$P$26, "&gt;="&amp;ARI1,'Revenue Tracking'!$P$13:$P$26, "&lt;"&amp;ARJ1)</f>
        <v>0</v>
      </c>
      <c r="ARJ9" s="122">
        <f>SUMIFS('Revenue Tracking'!$F$13:$F$26, 'Revenue Tracking'!$P$13:$P$26, "&gt;="&amp;ARJ1,'Revenue Tracking'!$P$13:$P$26, "&lt;"&amp;ARK1)</f>
        <v>0</v>
      </c>
      <c r="ARK9" s="122">
        <f>SUMIFS('Revenue Tracking'!$F$13:$F$26, 'Revenue Tracking'!$P$13:$P$26, "&gt;="&amp;ARK1,'Revenue Tracking'!$P$13:$P$26, "&lt;"&amp;ARL1)</f>
        <v>0</v>
      </c>
      <c r="ARL9" s="122">
        <f>SUMIFS('Revenue Tracking'!$F$13:$F$26, 'Revenue Tracking'!$P$13:$P$26, "&gt;="&amp;ARL1,'Revenue Tracking'!$P$13:$P$26, "&lt;"&amp;ARM1)</f>
        <v>0</v>
      </c>
      <c r="ARM9" s="122">
        <f>SUMIFS('Revenue Tracking'!$F$13:$F$26, 'Revenue Tracking'!$P$13:$P$26, "&gt;="&amp;ARM1,'Revenue Tracking'!$P$13:$P$26, "&lt;"&amp;ARN1)</f>
        <v>0</v>
      </c>
      <c r="ARN9" s="122">
        <f>SUMIFS('Revenue Tracking'!$F$13:$F$26, 'Revenue Tracking'!$P$13:$P$26, "&gt;="&amp;ARN1,'Revenue Tracking'!$P$13:$P$26, "&lt;"&amp;ARO1)</f>
        <v>0</v>
      </c>
      <c r="ARO9" s="122">
        <f>SUMIFS('Revenue Tracking'!$F$13:$F$26, 'Revenue Tracking'!$P$13:$P$26, "&gt;="&amp;ARO1,'Revenue Tracking'!$P$13:$P$26, "&lt;"&amp;ARP1)</f>
        <v>0</v>
      </c>
      <c r="ARP9" s="122">
        <f>SUMIFS('Revenue Tracking'!$F$13:$F$26, 'Revenue Tracking'!$P$13:$P$26, "&gt;="&amp;ARP1,'Revenue Tracking'!$P$13:$P$26, "&lt;"&amp;ARQ1)</f>
        <v>0</v>
      </c>
      <c r="ARQ9" s="122">
        <f>SUMIFS('Revenue Tracking'!$F$13:$F$26, 'Revenue Tracking'!$P$13:$P$26, "&gt;="&amp;ARQ1,'Revenue Tracking'!$P$13:$P$26, "&lt;"&amp;ARR1)</f>
        <v>0</v>
      </c>
      <c r="ARR9" s="122">
        <f>SUMIFS('Revenue Tracking'!$F$13:$F$26, 'Revenue Tracking'!$P$13:$P$26, "&gt;="&amp;ARR1,'Revenue Tracking'!$P$13:$P$26, "&lt;"&amp;ARS1)</f>
        <v>0</v>
      </c>
      <c r="ARS9" s="122">
        <f>SUMIFS('Revenue Tracking'!$F$13:$F$26, 'Revenue Tracking'!$P$13:$P$26, "&gt;="&amp;ARS1,'Revenue Tracking'!$P$13:$P$26, "&lt;"&amp;ART1)</f>
        <v>0</v>
      </c>
      <c r="ART9" s="122">
        <f>SUMIFS('Revenue Tracking'!$F$13:$F$26, 'Revenue Tracking'!$P$13:$P$26, "&gt;="&amp;ART1,'Revenue Tracking'!$P$13:$P$26, "&lt;"&amp;ARU1)</f>
        <v>0</v>
      </c>
      <c r="ARU9" s="122">
        <f>SUMIFS('Revenue Tracking'!$F$13:$F$26, 'Revenue Tracking'!$P$13:$P$26, "&gt;="&amp;ARU1,'Revenue Tracking'!$P$13:$P$26, "&lt;"&amp;ARV1)</f>
        <v>0</v>
      </c>
      <c r="ARV9" s="122">
        <f>SUMIFS('Revenue Tracking'!$F$13:$F$26, 'Revenue Tracking'!$P$13:$P$26, "&gt;="&amp;ARV1,'Revenue Tracking'!$P$13:$P$26, "&lt;"&amp;ARW1)</f>
        <v>0</v>
      </c>
      <c r="ARW9" s="122">
        <f>SUMIFS('Revenue Tracking'!$F$13:$F$26, 'Revenue Tracking'!$P$13:$P$26, "&gt;="&amp;ARW1,'Revenue Tracking'!$P$13:$P$26, "&lt;"&amp;ARX1)</f>
        <v>0</v>
      </c>
      <c r="ARX9" s="122">
        <f>SUMIFS('Revenue Tracking'!$F$13:$F$26, 'Revenue Tracking'!$P$13:$P$26, "&gt;="&amp;ARX1,'Revenue Tracking'!$P$13:$P$26, "&lt;"&amp;ARY1)</f>
        <v>0</v>
      </c>
      <c r="ARY9" s="122">
        <f>SUMIFS('Revenue Tracking'!$F$13:$F$26, 'Revenue Tracking'!$P$13:$P$26, "&gt;="&amp;ARY1,'Revenue Tracking'!$P$13:$P$26, "&lt;"&amp;ARZ1)</f>
        <v>0</v>
      </c>
      <c r="ARZ9" s="122">
        <f>SUMIFS('Revenue Tracking'!$F$13:$F$26, 'Revenue Tracking'!$P$13:$P$26, "&gt;="&amp;ARZ1,'Revenue Tracking'!$P$13:$P$26, "&lt;"&amp;ASA1)</f>
        <v>0</v>
      </c>
      <c r="ASA9" s="122">
        <f>SUMIFS('Revenue Tracking'!$F$13:$F$26, 'Revenue Tracking'!$P$13:$P$26, "&gt;="&amp;ASA1,'Revenue Tracking'!$P$13:$P$26, "&lt;"&amp;ASB1)</f>
        <v>0</v>
      </c>
      <c r="ASB9" s="122">
        <f>SUMIFS('Revenue Tracking'!$F$13:$F$26, 'Revenue Tracking'!$P$13:$P$26, "&gt;="&amp;ASB1,'Revenue Tracking'!$P$13:$P$26, "&lt;"&amp;ASC1)</f>
        <v>0</v>
      </c>
      <c r="ASC9" s="122">
        <f>SUMIFS('Revenue Tracking'!$F$13:$F$26, 'Revenue Tracking'!$P$13:$P$26, "&gt;="&amp;ASC1,'Revenue Tracking'!$P$13:$P$26, "&lt;"&amp;ASD1)</f>
        <v>0</v>
      </c>
      <c r="ASD9" s="122">
        <f>SUMIFS('Revenue Tracking'!$F$13:$F$26, 'Revenue Tracking'!$P$13:$P$26, "&gt;="&amp;ASD1,'Revenue Tracking'!$P$13:$P$26, "&lt;"&amp;ASE1)</f>
        <v>0</v>
      </c>
      <c r="ASE9" s="122">
        <f>SUMIFS('Revenue Tracking'!$F$13:$F$26, 'Revenue Tracking'!$P$13:$P$26, "&gt;="&amp;ASE1,'Revenue Tracking'!$P$13:$P$26, "&lt;"&amp;ASF1)</f>
        <v>0</v>
      </c>
      <c r="ASF9" s="122">
        <f>SUMIFS('Revenue Tracking'!$F$13:$F$26, 'Revenue Tracking'!$P$13:$P$26, "&gt;="&amp;ASF1,'Revenue Tracking'!$P$13:$P$26, "&lt;"&amp;ASG1)</f>
        <v>0</v>
      </c>
      <c r="ASG9" s="122">
        <f>SUMIFS('Revenue Tracking'!$F$13:$F$26, 'Revenue Tracking'!$P$13:$P$26, "&gt;="&amp;ASG1,'Revenue Tracking'!$P$13:$P$26, "&lt;"&amp;ASH1)</f>
        <v>0</v>
      </c>
      <c r="ASH9" s="122">
        <f>SUMIFS('Revenue Tracking'!$F$13:$F$26, 'Revenue Tracking'!$P$13:$P$26, "&gt;="&amp;ASH1,'Revenue Tracking'!$P$13:$P$26, "&lt;"&amp;ASI1)</f>
        <v>0</v>
      </c>
      <c r="ASI9" s="122">
        <f>SUMIFS('Revenue Tracking'!$F$13:$F$26, 'Revenue Tracking'!$P$13:$P$26, "&gt;="&amp;ASI1,'Revenue Tracking'!$P$13:$P$26, "&lt;"&amp;ASJ1)</f>
        <v>0</v>
      </c>
      <c r="ASJ9" s="122">
        <f>SUMIFS('Revenue Tracking'!$F$13:$F$26, 'Revenue Tracking'!$P$13:$P$26, "&gt;="&amp;ASJ1,'Revenue Tracking'!$P$13:$P$26, "&lt;"&amp;ASK1)</f>
        <v>0</v>
      </c>
      <c r="ASK9" s="122">
        <f>SUMIFS('Revenue Tracking'!$F$13:$F$26, 'Revenue Tracking'!$P$13:$P$26, "&gt;="&amp;ASK1,'Revenue Tracking'!$P$13:$P$26, "&lt;"&amp;ASL1)</f>
        <v>0</v>
      </c>
      <c r="ASL9" s="122">
        <f>SUMIFS('Revenue Tracking'!$F$13:$F$26, 'Revenue Tracking'!$P$13:$P$26, "&gt;="&amp;ASL1,'Revenue Tracking'!$P$13:$P$26, "&lt;"&amp;ASM1)</f>
        <v>0</v>
      </c>
      <c r="ASM9" s="122">
        <f>SUMIFS('Revenue Tracking'!$F$13:$F$26, 'Revenue Tracking'!$P$13:$P$26, "&gt;="&amp;ASM1,'Revenue Tracking'!$P$13:$P$26, "&lt;"&amp;ASN1)</f>
        <v>0</v>
      </c>
      <c r="ASN9" s="122">
        <f>SUMIFS('Revenue Tracking'!$F$13:$F$26, 'Revenue Tracking'!$P$13:$P$26, "&gt;="&amp;ASN1,'Revenue Tracking'!$P$13:$P$26, "&lt;"&amp;ASO1)</f>
        <v>0</v>
      </c>
      <c r="ASO9" s="122">
        <f>SUMIFS('Revenue Tracking'!$F$13:$F$26, 'Revenue Tracking'!$P$13:$P$26, "&gt;="&amp;ASO1,'Revenue Tracking'!$P$13:$P$26, "&lt;"&amp;ASP1)</f>
        <v>0</v>
      </c>
      <c r="ASP9" s="122">
        <f>SUMIFS('Revenue Tracking'!$F$13:$F$26, 'Revenue Tracking'!$P$13:$P$26, "&gt;="&amp;ASP1,'Revenue Tracking'!$P$13:$P$26, "&lt;"&amp;ASQ1)</f>
        <v>0</v>
      </c>
      <c r="ASQ9" s="122">
        <f>SUMIFS('Revenue Tracking'!$F$13:$F$26, 'Revenue Tracking'!$P$13:$P$26, "&gt;="&amp;ASQ1,'Revenue Tracking'!$P$13:$P$26, "&lt;"&amp;ASR1)</f>
        <v>0</v>
      </c>
      <c r="ASR9" s="122">
        <f>SUMIFS('Revenue Tracking'!$F$13:$F$26, 'Revenue Tracking'!$P$13:$P$26, "&gt;="&amp;ASR1,'Revenue Tracking'!$P$13:$P$26, "&lt;"&amp;ASS1)</f>
        <v>0</v>
      </c>
      <c r="ASS9" s="122">
        <f>SUMIFS('Revenue Tracking'!$F$13:$F$26, 'Revenue Tracking'!$P$13:$P$26, "&gt;="&amp;ASS1,'Revenue Tracking'!$P$13:$P$26, "&lt;"&amp;AST1)</f>
        <v>0</v>
      </c>
      <c r="AST9" s="122">
        <f>SUMIFS('Revenue Tracking'!$F$13:$F$26, 'Revenue Tracking'!$P$13:$P$26, "&gt;="&amp;AST1,'Revenue Tracking'!$P$13:$P$26, "&lt;"&amp;ASU1)</f>
        <v>0</v>
      </c>
      <c r="ASU9" s="122">
        <f>SUMIFS('Revenue Tracking'!$F$13:$F$26, 'Revenue Tracking'!$P$13:$P$26, "&gt;="&amp;ASU1,'Revenue Tracking'!$P$13:$P$26, "&lt;"&amp;ASV1)</f>
        <v>0</v>
      </c>
      <c r="ASV9" s="122">
        <f>SUMIFS('Revenue Tracking'!$F$13:$F$26, 'Revenue Tracking'!$P$13:$P$26, "&gt;="&amp;ASV1,'Revenue Tracking'!$P$13:$P$26, "&lt;"&amp;ASW1)</f>
        <v>0</v>
      </c>
      <c r="ASW9" s="122">
        <f>SUMIFS('Revenue Tracking'!$F$13:$F$26, 'Revenue Tracking'!$P$13:$P$26, "&gt;="&amp;ASW1,'Revenue Tracking'!$P$13:$P$26, "&lt;"&amp;ASX1)</f>
        <v>0</v>
      </c>
      <c r="ASX9" s="122">
        <f>SUMIFS('Revenue Tracking'!$F$13:$F$26, 'Revenue Tracking'!$P$13:$P$26, "&gt;="&amp;ASX1,'Revenue Tracking'!$P$13:$P$26, "&lt;"&amp;ASY1)</f>
        <v>0</v>
      </c>
      <c r="ASY9" s="122">
        <f>SUMIFS('Revenue Tracking'!$F$13:$F$26, 'Revenue Tracking'!$P$13:$P$26, "&gt;="&amp;ASY1,'Revenue Tracking'!$P$13:$P$26, "&lt;"&amp;ASZ1)</f>
        <v>0</v>
      </c>
      <c r="ASZ9" s="122">
        <f>SUMIFS('Revenue Tracking'!$F$13:$F$26, 'Revenue Tracking'!$P$13:$P$26, "&gt;="&amp;ASZ1,'Revenue Tracking'!$P$13:$P$26, "&lt;"&amp;ATA1)</f>
        <v>0</v>
      </c>
      <c r="ATA9" s="122">
        <f>SUMIFS('Revenue Tracking'!$F$13:$F$26, 'Revenue Tracking'!$P$13:$P$26, "&gt;="&amp;ATA1,'Revenue Tracking'!$P$13:$P$26, "&lt;"&amp;ATB1)</f>
        <v>0</v>
      </c>
      <c r="ATB9" s="122">
        <f>SUMIFS('Revenue Tracking'!$F$13:$F$26, 'Revenue Tracking'!$P$13:$P$26, "&gt;="&amp;ATB1,'Revenue Tracking'!$P$13:$P$26, "&lt;"&amp;ATC1)</f>
        <v>0</v>
      </c>
      <c r="ATC9" s="122">
        <f>SUMIFS('Revenue Tracking'!$F$13:$F$26, 'Revenue Tracking'!$P$13:$P$26, "&gt;="&amp;ATC1,'Revenue Tracking'!$P$13:$P$26, "&lt;"&amp;ATD1)</f>
        <v>0</v>
      </c>
      <c r="ATD9" s="122">
        <f>SUMIFS('Revenue Tracking'!$F$13:$F$26, 'Revenue Tracking'!$P$13:$P$26, "&gt;="&amp;ATD1,'Revenue Tracking'!$P$13:$P$26, "&lt;"&amp;ATE1)</f>
        <v>0</v>
      </c>
      <c r="ATE9" s="122">
        <f>SUMIFS('Revenue Tracking'!$F$13:$F$26, 'Revenue Tracking'!$P$13:$P$26, "&gt;="&amp;ATE1,'Revenue Tracking'!$P$13:$P$26, "&lt;"&amp;ATF1)</f>
        <v>0</v>
      </c>
      <c r="ATF9" s="122">
        <f>SUMIFS('Revenue Tracking'!$F$13:$F$26, 'Revenue Tracking'!$P$13:$P$26, "&gt;="&amp;ATF1,'Revenue Tracking'!$P$13:$P$26, "&lt;"&amp;ATG1)</f>
        <v>0</v>
      </c>
      <c r="ATG9" s="122">
        <f>SUMIFS('Revenue Tracking'!$F$13:$F$26, 'Revenue Tracking'!$P$13:$P$26, "&gt;="&amp;ATG1,'Revenue Tracking'!$P$13:$P$26, "&lt;"&amp;ATH1)</f>
        <v>0</v>
      </c>
      <c r="ATH9" s="122">
        <f>SUMIFS('Revenue Tracking'!$F$13:$F$26, 'Revenue Tracking'!$P$13:$P$26, "&gt;="&amp;ATH1,'Revenue Tracking'!$P$13:$P$26, "&lt;"&amp;ATI1)</f>
        <v>0</v>
      </c>
      <c r="ATI9" s="122">
        <f>SUMIFS('Revenue Tracking'!$F$13:$F$26, 'Revenue Tracking'!$P$13:$P$26, "&gt;="&amp;ATI1,'Revenue Tracking'!$P$13:$P$26, "&lt;"&amp;ATJ1)</f>
        <v>0</v>
      </c>
      <c r="ATJ9" s="122">
        <f>SUMIFS('Revenue Tracking'!$F$13:$F$26, 'Revenue Tracking'!$P$13:$P$26, "&gt;="&amp;ATJ1,'Revenue Tracking'!$P$13:$P$26, "&lt;"&amp;ATK1)</f>
        <v>0</v>
      </c>
      <c r="ATK9" s="122">
        <f>SUMIFS('Revenue Tracking'!$F$13:$F$26, 'Revenue Tracking'!$P$13:$P$26, "&gt;="&amp;ATK1,'Revenue Tracking'!$P$13:$P$26, "&lt;"&amp;ATL1)</f>
        <v>0</v>
      </c>
      <c r="ATL9" s="122">
        <f>SUMIFS('Revenue Tracking'!$F$13:$F$26, 'Revenue Tracking'!$P$13:$P$26, "&gt;="&amp;ATL1,'Revenue Tracking'!$P$13:$P$26, "&lt;"&amp;ATM1)</f>
        <v>0</v>
      </c>
      <c r="ATM9" s="122">
        <f>SUMIFS('Revenue Tracking'!$F$13:$F$26, 'Revenue Tracking'!$P$13:$P$26, "&gt;="&amp;ATM1,'Revenue Tracking'!$P$13:$P$26, "&lt;"&amp;ATN1)</f>
        <v>0</v>
      </c>
      <c r="ATN9" s="122">
        <f>SUMIFS('Revenue Tracking'!$F$13:$F$26, 'Revenue Tracking'!$P$13:$P$26, "&gt;="&amp;ATN1,'Revenue Tracking'!$P$13:$P$26, "&lt;"&amp;ATO1)</f>
        <v>0</v>
      </c>
      <c r="ATO9" s="122">
        <f>SUMIFS('Revenue Tracking'!$F$13:$F$26, 'Revenue Tracking'!$P$13:$P$26, "&gt;="&amp;ATO1,'Revenue Tracking'!$P$13:$P$26, "&lt;"&amp;ATP1)</f>
        <v>0</v>
      </c>
      <c r="ATP9" s="122">
        <f>SUMIFS('Revenue Tracking'!$F$13:$F$26, 'Revenue Tracking'!$P$13:$P$26, "&gt;="&amp;ATP1,'Revenue Tracking'!$P$13:$P$26, "&lt;"&amp;ATQ1)</f>
        <v>0</v>
      </c>
      <c r="ATQ9" s="122">
        <f>SUMIFS('Revenue Tracking'!$F$13:$F$26, 'Revenue Tracking'!$P$13:$P$26, "&gt;="&amp;ATQ1,'Revenue Tracking'!$P$13:$P$26, "&lt;"&amp;ATR1)</f>
        <v>0</v>
      </c>
      <c r="ATR9" s="122">
        <f>SUMIFS('Revenue Tracking'!$F$13:$F$26, 'Revenue Tracking'!$P$13:$P$26, "&gt;="&amp;ATR1,'Revenue Tracking'!$P$13:$P$26, "&lt;"&amp;ATS1)</f>
        <v>0</v>
      </c>
      <c r="ATS9" s="122">
        <f>SUMIFS('Revenue Tracking'!$F$13:$F$26, 'Revenue Tracking'!$P$13:$P$26, "&gt;="&amp;ATS1,'Revenue Tracking'!$P$13:$P$26, "&lt;"&amp;ATT1)</f>
        <v>0</v>
      </c>
      <c r="ATT9" s="122">
        <f>SUMIFS('Revenue Tracking'!$F$13:$F$26, 'Revenue Tracking'!$P$13:$P$26, "&gt;="&amp;ATT1,'Revenue Tracking'!$P$13:$P$26, "&lt;"&amp;ATU1)</f>
        <v>0</v>
      </c>
      <c r="ATU9" s="122">
        <f>SUMIFS('Revenue Tracking'!$F$13:$F$26, 'Revenue Tracking'!$P$13:$P$26, "&gt;="&amp;ATU1,'Revenue Tracking'!$P$13:$P$26, "&lt;"&amp;ATV1)</f>
        <v>0</v>
      </c>
      <c r="ATV9" s="122">
        <f>SUMIFS('Revenue Tracking'!$F$13:$F$26, 'Revenue Tracking'!$P$13:$P$26, "&gt;="&amp;ATV1,'Revenue Tracking'!$P$13:$P$26, "&lt;"&amp;ATW1)</f>
        <v>0</v>
      </c>
      <c r="ATW9" s="122">
        <f>SUMIFS('Revenue Tracking'!$F$13:$F$26, 'Revenue Tracking'!$P$13:$P$26, "&gt;="&amp;ATW1,'Revenue Tracking'!$P$13:$P$26, "&lt;"&amp;ATX1)</f>
        <v>0</v>
      </c>
      <c r="ATX9" s="122">
        <f>SUMIFS('Revenue Tracking'!$F$13:$F$26, 'Revenue Tracking'!$P$13:$P$26, "&gt;="&amp;ATX1,'Revenue Tracking'!$P$13:$P$26, "&lt;"&amp;ATY1)</f>
        <v>0</v>
      </c>
      <c r="ATY9" s="122">
        <f>SUMIFS('Revenue Tracking'!$F$13:$F$26, 'Revenue Tracking'!$P$13:$P$26, "&gt;="&amp;ATY1,'Revenue Tracking'!$P$13:$P$26, "&lt;"&amp;ATZ1)</f>
        <v>0</v>
      </c>
      <c r="ATZ9" s="122">
        <f>SUMIFS('Revenue Tracking'!$F$13:$F$26, 'Revenue Tracking'!$P$13:$P$26, "&gt;="&amp;ATZ1,'Revenue Tracking'!$P$13:$P$26, "&lt;"&amp;AUA1)</f>
        <v>0</v>
      </c>
      <c r="AUA9" s="122">
        <f>SUMIFS('Revenue Tracking'!$F$13:$F$26, 'Revenue Tracking'!$P$13:$P$26, "&gt;="&amp;AUA1,'Revenue Tracking'!$P$13:$P$26, "&lt;"&amp;AUB1)</f>
        <v>0</v>
      </c>
      <c r="AUB9" s="122">
        <f>SUMIFS('Revenue Tracking'!$F$13:$F$26, 'Revenue Tracking'!$P$13:$P$26, "&gt;="&amp;AUB1,'Revenue Tracking'!$P$13:$P$26, "&lt;"&amp;AUC1)</f>
        <v>0</v>
      </c>
      <c r="AUC9" s="122">
        <f>SUMIFS('Revenue Tracking'!$F$13:$F$26, 'Revenue Tracking'!$P$13:$P$26, "&gt;="&amp;AUC1,'Revenue Tracking'!$P$13:$P$26, "&lt;"&amp;AUD1)</f>
        <v>0</v>
      </c>
      <c r="AUD9" s="122">
        <f>SUMIFS('Revenue Tracking'!$F$13:$F$26, 'Revenue Tracking'!$P$13:$P$26, "&gt;="&amp;AUD1,'Revenue Tracking'!$P$13:$P$26, "&lt;"&amp;AUE1)</f>
        <v>0</v>
      </c>
      <c r="AUE9" s="122">
        <f>SUMIFS('Revenue Tracking'!$F$13:$F$26, 'Revenue Tracking'!$P$13:$P$26, "&gt;="&amp;AUE1,'Revenue Tracking'!$P$13:$P$26, "&lt;"&amp;AUF1)</f>
        <v>0</v>
      </c>
      <c r="AUF9" s="122">
        <f>SUMIFS('Revenue Tracking'!$F$13:$F$26, 'Revenue Tracking'!$P$13:$P$26, "&gt;="&amp;AUF1,'Revenue Tracking'!$P$13:$P$26, "&lt;"&amp;AUG1)</f>
        <v>0</v>
      </c>
      <c r="AUG9" s="122">
        <f>SUMIFS('Revenue Tracking'!$F$13:$F$26, 'Revenue Tracking'!$P$13:$P$26, "&gt;="&amp;AUG1,'Revenue Tracking'!$P$13:$P$26, "&lt;"&amp;AUH1)</f>
        <v>0</v>
      </c>
      <c r="AUH9" s="122">
        <f>SUMIFS('Revenue Tracking'!$F$13:$F$26, 'Revenue Tracking'!$P$13:$P$26, "&gt;="&amp;AUH1,'Revenue Tracking'!$P$13:$P$26, "&lt;"&amp;AUI1)</f>
        <v>0</v>
      </c>
      <c r="AUI9" s="122">
        <f>SUMIFS('Revenue Tracking'!$F$13:$F$26, 'Revenue Tracking'!$P$13:$P$26, "&gt;="&amp;AUI1,'Revenue Tracking'!$P$13:$P$26, "&lt;"&amp;AUJ1)</f>
        <v>0</v>
      </c>
      <c r="AUJ9" s="122">
        <f>SUMIFS('Revenue Tracking'!$F$13:$F$26, 'Revenue Tracking'!$P$13:$P$26, "&gt;="&amp;AUJ1,'Revenue Tracking'!$P$13:$P$26, "&lt;"&amp;AUK1)</f>
        <v>0</v>
      </c>
      <c r="AUK9" s="122">
        <f>SUMIFS('Revenue Tracking'!$F$13:$F$26, 'Revenue Tracking'!$P$13:$P$26, "&gt;="&amp;AUK1,'Revenue Tracking'!$P$13:$P$26, "&lt;"&amp;AUL1)</f>
        <v>0</v>
      </c>
      <c r="AUL9" s="122">
        <f>SUMIFS('Revenue Tracking'!$F$13:$F$26, 'Revenue Tracking'!$P$13:$P$26, "&gt;="&amp;AUL1,'Revenue Tracking'!$P$13:$P$26, "&lt;"&amp;AUM1)</f>
        <v>0</v>
      </c>
      <c r="AUM9" s="122">
        <f>SUMIFS('Revenue Tracking'!$F$13:$F$26, 'Revenue Tracking'!$P$13:$P$26, "&gt;="&amp;AUM1,'Revenue Tracking'!$P$13:$P$26, "&lt;"&amp;AUN1)</f>
        <v>0</v>
      </c>
      <c r="AUN9" s="122">
        <f>SUMIFS('Revenue Tracking'!$F$13:$F$26, 'Revenue Tracking'!$P$13:$P$26, "&gt;="&amp;AUN1,'Revenue Tracking'!$P$13:$P$26, "&lt;"&amp;AUO1)</f>
        <v>0</v>
      </c>
      <c r="AUO9" s="122">
        <f>SUMIFS('Revenue Tracking'!$F$13:$F$26, 'Revenue Tracking'!$P$13:$P$26, "&gt;="&amp;AUO1,'Revenue Tracking'!$P$13:$P$26, "&lt;"&amp;AUP1)</f>
        <v>0</v>
      </c>
      <c r="AUP9" s="122">
        <f>SUMIFS('Revenue Tracking'!$F$13:$F$26, 'Revenue Tracking'!$P$13:$P$26, "&gt;="&amp;AUP1,'Revenue Tracking'!$P$13:$P$26, "&lt;"&amp;AUQ1)</f>
        <v>0</v>
      </c>
      <c r="AUQ9" s="122">
        <f>SUMIFS('Revenue Tracking'!$F$13:$F$26, 'Revenue Tracking'!$P$13:$P$26, "&gt;="&amp;AUQ1,'Revenue Tracking'!$P$13:$P$26, "&lt;"&amp;AUR1)</f>
        <v>0</v>
      </c>
      <c r="AUR9" s="122">
        <f>SUMIFS('Revenue Tracking'!$F$13:$F$26, 'Revenue Tracking'!$P$13:$P$26, "&gt;="&amp;AUR1,'Revenue Tracking'!$P$13:$P$26, "&lt;"&amp;AUS1)</f>
        <v>0</v>
      </c>
      <c r="AUS9" s="122">
        <f>SUMIFS('Revenue Tracking'!$F$13:$F$26, 'Revenue Tracking'!$P$13:$P$26, "&gt;="&amp;AUS1,'Revenue Tracking'!$P$13:$P$26, "&lt;"&amp;AUT1)</f>
        <v>0</v>
      </c>
      <c r="AUT9" s="122">
        <f>SUMIFS('Revenue Tracking'!$F$13:$F$26, 'Revenue Tracking'!$P$13:$P$26, "&gt;="&amp;AUT1,'Revenue Tracking'!$P$13:$P$26, "&lt;"&amp;AUU1)</f>
        <v>0</v>
      </c>
      <c r="AUU9" s="122">
        <f>SUMIFS('Revenue Tracking'!$F$13:$F$26, 'Revenue Tracking'!$P$13:$P$26, "&gt;="&amp;AUU1,'Revenue Tracking'!$P$13:$P$26, "&lt;"&amp;AUV1)</f>
        <v>0</v>
      </c>
      <c r="AUV9" s="122">
        <f>SUMIFS('Revenue Tracking'!$F$13:$F$26, 'Revenue Tracking'!$P$13:$P$26, "&gt;="&amp;AUV1,'Revenue Tracking'!$P$13:$P$26, "&lt;"&amp;AUW1)</f>
        <v>0</v>
      </c>
      <c r="AUW9" s="122">
        <f>SUMIFS('Revenue Tracking'!$F$13:$F$26, 'Revenue Tracking'!$P$13:$P$26, "&gt;="&amp;AUW1,'Revenue Tracking'!$P$13:$P$26, "&lt;"&amp;AUX1)</f>
        <v>0</v>
      </c>
      <c r="AUX9" s="122">
        <f>SUMIFS('Revenue Tracking'!$F$13:$F$26, 'Revenue Tracking'!$P$13:$P$26, "&gt;="&amp;AUX1,'Revenue Tracking'!$P$13:$P$26, "&lt;"&amp;AUY1)</f>
        <v>0</v>
      </c>
      <c r="AUY9" s="122">
        <f>SUMIFS('Revenue Tracking'!$F$13:$F$26, 'Revenue Tracking'!$P$13:$P$26, "&gt;="&amp;AUY1,'Revenue Tracking'!$P$13:$P$26, "&lt;"&amp;AUZ1)</f>
        <v>0</v>
      </c>
      <c r="AUZ9" s="122">
        <f>SUMIFS('Revenue Tracking'!$F$13:$F$26, 'Revenue Tracking'!$P$13:$P$26, "&gt;="&amp;AUZ1,'Revenue Tracking'!$P$13:$P$26, "&lt;"&amp;AVA1)</f>
        <v>0</v>
      </c>
      <c r="AVA9" s="122">
        <f>SUMIFS('Revenue Tracking'!$F$13:$F$26, 'Revenue Tracking'!$P$13:$P$26, "&gt;="&amp;AVA1,'Revenue Tracking'!$P$13:$P$26, "&lt;"&amp;AVB1)</f>
        <v>0</v>
      </c>
      <c r="AVB9" s="122">
        <f>SUMIFS('Revenue Tracking'!$F$13:$F$26, 'Revenue Tracking'!$P$13:$P$26, "&gt;="&amp;AVB1,'Revenue Tracking'!$P$13:$P$26, "&lt;"&amp;AVC1)</f>
        <v>0</v>
      </c>
      <c r="AVC9" s="122">
        <f>SUMIFS('Revenue Tracking'!$F$13:$F$26, 'Revenue Tracking'!$P$13:$P$26, "&gt;="&amp;AVC1,'Revenue Tracking'!$P$13:$P$26, "&lt;"&amp;AVD1)</f>
        <v>0</v>
      </c>
      <c r="AVD9" s="122">
        <f>SUMIFS('Revenue Tracking'!$F$13:$F$26, 'Revenue Tracking'!$P$13:$P$26, "&gt;="&amp;AVD1,'Revenue Tracking'!$P$13:$P$26, "&lt;"&amp;AVE1)</f>
        <v>0</v>
      </c>
      <c r="AVE9" s="122">
        <f>SUMIFS('Revenue Tracking'!$F$13:$F$26, 'Revenue Tracking'!$P$13:$P$26, "&gt;="&amp;AVE1,'Revenue Tracking'!$P$13:$P$26, "&lt;"&amp;AVF1)</f>
        <v>0</v>
      </c>
      <c r="AVF9" s="122">
        <f>SUMIFS('Revenue Tracking'!$F$13:$F$26, 'Revenue Tracking'!$P$13:$P$26, "&gt;="&amp;AVF1,'Revenue Tracking'!$P$13:$P$26, "&lt;"&amp;AVG1)</f>
        <v>0</v>
      </c>
      <c r="AVG9" s="122">
        <f>SUMIFS('Revenue Tracking'!$F$13:$F$26, 'Revenue Tracking'!$P$13:$P$26, "&gt;="&amp;AVG1,'Revenue Tracking'!$P$13:$P$26, "&lt;"&amp;AVH1)</f>
        <v>0</v>
      </c>
      <c r="AVH9" s="122">
        <f>SUMIFS('Revenue Tracking'!$F$13:$F$26, 'Revenue Tracking'!$P$13:$P$26, "&gt;="&amp;AVH1,'Revenue Tracking'!$P$13:$P$26, "&lt;"&amp;AVI1)</f>
        <v>0</v>
      </c>
      <c r="AVI9" s="122">
        <f>SUMIFS('Revenue Tracking'!$F$13:$F$26, 'Revenue Tracking'!$P$13:$P$26, "&gt;="&amp;AVI1,'Revenue Tracking'!$P$13:$P$26, "&lt;"&amp;AVJ1)</f>
        <v>0</v>
      </c>
      <c r="AVJ9" s="122">
        <f>SUMIFS('Revenue Tracking'!$F$13:$F$26, 'Revenue Tracking'!$P$13:$P$26, "&gt;="&amp;AVJ1,'Revenue Tracking'!$P$13:$P$26, "&lt;"&amp;AVK1)</f>
        <v>0</v>
      </c>
      <c r="AVK9" s="122">
        <f>SUMIFS('Revenue Tracking'!$F$13:$F$26, 'Revenue Tracking'!$P$13:$P$26, "&gt;="&amp;AVK1,'Revenue Tracking'!$P$13:$P$26, "&lt;"&amp;AVL1)</f>
        <v>0</v>
      </c>
      <c r="AVL9" s="122">
        <f>SUMIFS('Revenue Tracking'!$F$13:$F$26, 'Revenue Tracking'!$P$13:$P$26, "&gt;="&amp;AVL1,'Revenue Tracking'!$P$13:$P$26, "&lt;"&amp;AVM1)</f>
        <v>0</v>
      </c>
      <c r="AVM9" s="122">
        <f>SUMIFS('Revenue Tracking'!$F$13:$F$26, 'Revenue Tracking'!$P$13:$P$26, "&gt;="&amp;AVM1,'Revenue Tracking'!$P$13:$P$26, "&lt;"&amp;AVN1)</f>
        <v>0</v>
      </c>
      <c r="AVN9" s="122">
        <f>SUMIFS('Revenue Tracking'!$F$13:$F$26, 'Revenue Tracking'!$P$13:$P$26, "&gt;="&amp;AVN1,'Revenue Tracking'!$P$13:$P$26, "&lt;"&amp;AVO1)</f>
        <v>0</v>
      </c>
      <c r="AVO9" s="122">
        <f>SUMIFS('Revenue Tracking'!$F$13:$F$26, 'Revenue Tracking'!$P$13:$P$26, "&gt;="&amp;AVO1,'Revenue Tracking'!$P$13:$P$26, "&lt;"&amp;AVP1)</f>
        <v>0</v>
      </c>
      <c r="AVP9" s="122">
        <f>SUMIFS('Revenue Tracking'!$F$13:$F$26, 'Revenue Tracking'!$P$13:$P$26, "&gt;="&amp;AVP1,'Revenue Tracking'!$P$13:$P$26, "&lt;"&amp;AVQ1)</f>
        <v>0</v>
      </c>
      <c r="AVQ9" s="122">
        <f>SUMIFS('Revenue Tracking'!$F$13:$F$26, 'Revenue Tracking'!$P$13:$P$26, "&gt;="&amp;AVQ1,'Revenue Tracking'!$P$13:$P$26, "&lt;"&amp;AVR1)</f>
        <v>0</v>
      </c>
      <c r="AVR9" s="122">
        <f>SUMIFS('Revenue Tracking'!$F$13:$F$26, 'Revenue Tracking'!$P$13:$P$26, "&gt;="&amp;AVR1,'Revenue Tracking'!$P$13:$P$26, "&lt;"&amp;AVS1)</f>
        <v>0</v>
      </c>
      <c r="AVS9" s="122">
        <f>SUMIFS('Revenue Tracking'!$F$13:$F$26, 'Revenue Tracking'!$P$13:$P$26, "&gt;="&amp;AVS1,'Revenue Tracking'!$P$13:$P$26, "&lt;"&amp;AVT1)</f>
        <v>0</v>
      </c>
      <c r="AVT9" s="122">
        <f>SUMIFS('Revenue Tracking'!$F$13:$F$26, 'Revenue Tracking'!$P$13:$P$26, "&gt;="&amp;AVT1,'Revenue Tracking'!$P$13:$P$26, "&lt;"&amp;AVU1)</f>
        <v>0</v>
      </c>
      <c r="AVU9" s="122">
        <f>SUMIFS('Revenue Tracking'!$F$13:$F$26, 'Revenue Tracking'!$P$13:$P$26, "&gt;="&amp;AVU1,'Revenue Tracking'!$P$13:$P$26, "&lt;"&amp;AVV1)</f>
        <v>0</v>
      </c>
      <c r="AVV9" s="122">
        <f>SUMIFS('Revenue Tracking'!$F$13:$F$26, 'Revenue Tracking'!$P$13:$P$26, "&gt;="&amp;AVV1,'Revenue Tracking'!$P$13:$P$26, "&lt;"&amp;AVW1)</f>
        <v>0</v>
      </c>
      <c r="AVW9" s="122">
        <f>SUMIFS('Revenue Tracking'!$F$13:$F$26, 'Revenue Tracking'!$P$13:$P$26, "&gt;="&amp;AVW1,'Revenue Tracking'!$P$13:$P$26, "&lt;"&amp;AVX1)</f>
        <v>0</v>
      </c>
      <c r="AVX9" s="122">
        <f>SUMIFS('Revenue Tracking'!$F$13:$F$26, 'Revenue Tracking'!$P$13:$P$26, "&gt;="&amp;AVX1,'Revenue Tracking'!$P$13:$P$26, "&lt;"&amp;AVY1)</f>
        <v>0</v>
      </c>
      <c r="AVY9" s="122">
        <f>SUMIFS('Revenue Tracking'!$F$13:$F$26, 'Revenue Tracking'!$P$13:$P$26, "&gt;="&amp;AVY1,'Revenue Tracking'!$P$13:$P$26, "&lt;"&amp;AVZ1)</f>
        <v>0</v>
      </c>
      <c r="AVZ9" s="122">
        <f>SUMIFS('Revenue Tracking'!$F$13:$F$26, 'Revenue Tracking'!$P$13:$P$26, "&gt;="&amp;AVZ1,'Revenue Tracking'!$P$13:$P$26, "&lt;"&amp;AWA1)</f>
        <v>0</v>
      </c>
      <c r="AWA9" s="122">
        <f>SUMIFS('Revenue Tracking'!$F$13:$F$26, 'Revenue Tracking'!$P$13:$P$26, "&gt;="&amp;AWA1,'Revenue Tracking'!$P$13:$P$26, "&lt;"&amp;AWB1)</f>
        <v>0</v>
      </c>
      <c r="AWB9" s="122">
        <f>SUMIFS('Revenue Tracking'!$F$13:$F$26, 'Revenue Tracking'!$P$13:$P$26, "&gt;="&amp;AWB1,'Revenue Tracking'!$P$13:$P$26, "&lt;"&amp;AWC1)</f>
        <v>0</v>
      </c>
      <c r="AWC9" s="122">
        <f>SUMIFS('Revenue Tracking'!$F$13:$F$26, 'Revenue Tracking'!$P$13:$P$26, "&gt;="&amp;AWC1,'Revenue Tracking'!$P$13:$P$26, "&lt;"&amp;AWD1)</f>
        <v>0</v>
      </c>
      <c r="AWD9" s="122">
        <f>SUMIFS('Revenue Tracking'!$F$13:$F$26, 'Revenue Tracking'!$P$13:$P$26, "&gt;="&amp;AWD1,'Revenue Tracking'!$P$13:$P$26, "&lt;"&amp;AWE1)</f>
        <v>0</v>
      </c>
      <c r="AWE9" s="122">
        <f>SUMIFS('Revenue Tracking'!$F$13:$F$26, 'Revenue Tracking'!$P$13:$P$26, "&gt;="&amp;AWE1,'Revenue Tracking'!$P$13:$P$26, "&lt;"&amp;AWF1)</f>
        <v>0</v>
      </c>
      <c r="AWF9" s="122">
        <f>SUMIFS('Revenue Tracking'!$F$13:$F$26, 'Revenue Tracking'!$P$13:$P$26, "&gt;="&amp;AWF1,'Revenue Tracking'!$P$13:$P$26, "&lt;"&amp;AWG1)</f>
        <v>0</v>
      </c>
      <c r="AWG9" s="122">
        <f>SUMIFS('Revenue Tracking'!$F$13:$F$26, 'Revenue Tracking'!$P$13:$P$26, "&gt;="&amp;AWG1,'Revenue Tracking'!$P$13:$P$26, "&lt;"&amp;AWH1)</f>
        <v>0</v>
      </c>
      <c r="AWH9" s="122">
        <f>SUMIFS('Revenue Tracking'!$F$13:$F$26, 'Revenue Tracking'!$P$13:$P$26, "&gt;="&amp;AWH1,'Revenue Tracking'!$P$13:$P$26, "&lt;"&amp;AWI1)</f>
        <v>0</v>
      </c>
      <c r="AWI9" s="122">
        <f>SUMIFS('Revenue Tracking'!$F$13:$F$26, 'Revenue Tracking'!$P$13:$P$26, "&gt;="&amp;AWI1,'Revenue Tracking'!$P$13:$P$26, "&lt;"&amp;AWJ1)</f>
        <v>0</v>
      </c>
      <c r="AWJ9" s="122">
        <f>SUMIFS('Revenue Tracking'!$F$13:$F$26, 'Revenue Tracking'!$P$13:$P$26, "&gt;="&amp;AWJ1,'Revenue Tracking'!$P$13:$P$26, "&lt;"&amp;AWK1)</f>
        <v>0</v>
      </c>
      <c r="AWK9" s="122">
        <f>SUMIFS('Revenue Tracking'!$F$13:$F$26, 'Revenue Tracking'!$P$13:$P$26, "&gt;="&amp;AWK1,'Revenue Tracking'!$P$13:$P$26, "&lt;"&amp;AWL1)</f>
        <v>0</v>
      </c>
      <c r="AWL9" s="122">
        <f>SUMIFS('Revenue Tracking'!$F$13:$F$26, 'Revenue Tracking'!$P$13:$P$26, "&gt;="&amp;AWL1,'Revenue Tracking'!$P$13:$P$26, "&lt;"&amp;AWM1)</f>
        <v>0</v>
      </c>
      <c r="AWM9" s="122">
        <f>SUMIFS('Revenue Tracking'!$F$13:$F$26, 'Revenue Tracking'!$P$13:$P$26, "&gt;="&amp;AWM1,'Revenue Tracking'!$P$13:$P$26, "&lt;"&amp;AWN1)</f>
        <v>0</v>
      </c>
      <c r="AWN9" s="122">
        <f>SUMIFS('Revenue Tracking'!$F$13:$F$26, 'Revenue Tracking'!$P$13:$P$26, "&gt;="&amp;AWN1,'Revenue Tracking'!$P$13:$P$26, "&lt;"&amp;AWO1)</f>
        <v>0</v>
      </c>
      <c r="AWO9" s="122">
        <f>SUMIFS('Revenue Tracking'!$F$13:$F$26, 'Revenue Tracking'!$P$13:$P$26, "&gt;="&amp;AWO1,'Revenue Tracking'!$P$13:$P$26, "&lt;"&amp;AWP1)</f>
        <v>0</v>
      </c>
      <c r="AWP9" s="122">
        <f>SUMIFS('Revenue Tracking'!$F$13:$F$26, 'Revenue Tracking'!$P$13:$P$26, "&gt;="&amp;AWP1,'Revenue Tracking'!$P$13:$P$26, "&lt;"&amp;AWQ1)</f>
        <v>0</v>
      </c>
      <c r="AWQ9" s="122">
        <f>SUMIFS('Revenue Tracking'!$F$13:$F$26, 'Revenue Tracking'!$P$13:$P$26, "&gt;="&amp;AWQ1,'Revenue Tracking'!$P$13:$P$26, "&lt;"&amp;AWR1)</f>
        <v>0</v>
      </c>
      <c r="AWR9" s="122">
        <f>SUMIFS('Revenue Tracking'!$F$13:$F$26, 'Revenue Tracking'!$P$13:$P$26, "&gt;="&amp;AWR1,'Revenue Tracking'!$P$13:$P$26, "&lt;"&amp;AWS1)</f>
        <v>0</v>
      </c>
      <c r="AWS9" s="122">
        <f>SUMIFS('Revenue Tracking'!$F$13:$F$26, 'Revenue Tracking'!$P$13:$P$26, "&gt;="&amp;AWS1,'Revenue Tracking'!$P$13:$P$26, "&lt;"&amp;AWT1)</f>
        <v>0</v>
      </c>
      <c r="AWT9" s="122">
        <f>SUMIFS('Revenue Tracking'!$F$13:$F$26, 'Revenue Tracking'!$P$13:$P$26, "&gt;="&amp;AWT1,'Revenue Tracking'!$P$13:$P$26, "&lt;"&amp;AWU1)</f>
        <v>0</v>
      </c>
      <c r="AWU9" s="122">
        <f>SUMIFS('Revenue Tracking'!$F$13:$F$26, 'Revenue Tracking'!$P$13:$P$26, "&gt;="&amp;AWU1,'Revenue Tracking'!$P$13:$P$26, "&lt;"&amp;AWV1)</f>
        <v>0</v>
      </c>
      <c r="AWV9" s="122">
        <f>SUMIFS('Revenue Tracking'!$F$13:$F$26, 'Revenue Tracking'!$P$13:$P$26, "&gt;="&amp;AWV1,'Revenue Tracking'!$P$13:$P$26, "&lt;"&amp;AWW1)</f>
        <v>0</v>
      </c>
      <c r="AWW9" s="122">
        <f>SUMIFS('Revenue Tracking'!$F$13:$F$26, 'Revenue Tracking'!$P$13:$P$26, "&gt;="&amp;AWW1,'Revenue Tracking'!$P$13:$P$26, "&lt;"&amp;AWX1)</f>
        <v>0</v>
      </c>
      <c r="AWX9" s="122">
        <f>SUMIFS('Revenue Tracking'!$F$13:$F$26, 'Revenue Tracking'!$P$13:$P$26, "&gt;="&amp;AWX1,'Revenue Tracking'!$P$13:$P$26, "&lt;"&amp;AWY1)</f>
        <v>0</v>
      </c>
      <c r="AWY9" s="122">
        <f>SUMIFS('Revenue Tracking'!$F$13:$F$26, 'Revenue Tracking'!$P$13:$P$26, "&gt;="&amp;AWY1,'Revenue Tracking'!$P$13:$P$26, "&lt;"&amp;AWZ1)</f>
        <v>0</v>
      </c>
      <c r="AWZ9" s="122">
        <f>SUMIFS('Revenue Tracking'!$F$13:$F$26, 'Revenue Tracking'!$P$13:$P$26, "&gt;="&amp;AWZ1,'Revenue Tracking'!$P$13:$P$26, "&lt;"&amp;AXA1)</f>
        <v>0</v>
      </c>
      <c r="AXA9" s="122">
        <f>SUMIFS('Revenue Tracking'!$F$13:$F$26, 'Revenue Tracking'!$P$13:$P$26, "&gt;="&amp;AXA1,'Revenue Tracking'!$P$13:$P$26, "&lt;"&amp;AXB1)</f>
        <v>0</v>
      </c>
      <c r="AXB9" s="122">
        <f>SUMIFS('Revenue Tracking'!$F$13:$F$26, 'Revenue Tracking'!$P$13:$P$26, "&gt;="&amp;AXB1,'Revenue Tracking'!$P$13:$P$26, "&lt;"&amp;AXC1)</f>
        <v>0</v>
      </c>
      <c r="AXC9" s="122">
        <f>SUMIFS('Revenue Tracking'!$F$13:$F$26, 'Revenue Tracking'!$P$13:$P$26, "&gt;="&amp;AXC1,'Revenue Tracking'!$P$13:$P$26, "&lt;"&amp;AXD1)</f>
        <v>0</v>
      </c>
      <c r="AXD9" s="122">
        <f>SUMIFS('Revenue Tracking'!$F$13:$F$26, 'Revenue Tracking'!$P$13:$P$26, "&gt;="&amp;AXD1,'Revenue Tracking'!$P$13:$P$26, "&lt;"&amp;AXE1)</f>
        <v>0</v>
      </c>
      <c r="AXE9" s="122">
        <f>SUMIFS('Revenue Tracking'!$F$13:$F$26, 'Revenue Tracking'!$P$13:$P$26, "&gt;="&amp;AXE1,'Revenue Tracking'!$P$13:$P$26, "&lt;"&amp;AXF1)</f>
        <v>0</v>
      </c>
      <c r="AXF9" s="122">
        <f>SUMIFS('Revenue Tracking'!$F$13:$F$26, 'Revenue Tracking'!$P$13:$P$26, "&gt;="&amp;AXF1,'Revenue Tracking'!$P$13:$P$26, "&lt;"&amp;AXG1)</f>
        <v>0</v>
      </c>
      <c r="AXG9" s="122">
        <f>SUMIFS('Revenue Tracking'!$F$13:$F$26, 'Revenue Tracking'!$P$13:$P$26, "&gt;="&amp;AXG1,'Revenue Tracking'!$P$13:$P$26, "&lt;"&amp;AXH1)</f>
        <v>0</v>
      </c>
      <c r="AXH9" s="122">
        <f>SUMIFS('Revenue Tracking'!$F$13:$F$26, 'Revenue Tracking'!$P$13:$P$26, "&gt;="&amp;AXH1,'Revenue Tracking'!$P$13:$P$26, "&lt;"&amp;AXI1)</f>
        <v>0</v>
      </c>
      <c r="AXI9" s="122">
        <f>SUMIFS('Revenue Tracking'!$F$13:$F$26, 'Revenue Tracking'!$P$13:$P$26, "&gt;="&amp;AXI1,'Revenue Tracking'!$P$13:$P$26, "&lt;"&amp;AXJ1)</f>
        <v>0</v>
      </c>
      <c r="AXJ9" s="122">
        <f>SUMIFS('Revenue Tracking'!$F$13:$F$26, 'Revenue Tracking'!$P$13:$P$26, "&gt;="&amp;AXJ1,'Revenue Tracking'!$P$13:$P$26, "&lt;"&amp;AXK1)</f>
        <v>0</v>
      </c>
      <c r="AXK9" s="122">
        <f>SUMIFS('Revenue Tracking'!$F$13:$F$26, 'Revenue Tracking'!$P$13:$P$26, "&gt;="&amp;AXK1,'Revenue Tracking'!$P$13:$P$26, "&lt;"&amp;AXL1)</f>
        <v>0</v>
      </c>
      <c r="AXL9" s="122">
        <f>SUMIFS('Revenue Tracking'!$F$13:$F$26, 'Revenue Tracking'!$P$13:$P$26, "&gt;="&amp;AXL1,'Revenue Tracking'!$P$13:$P$26, "&lt;"&amp;AXM1)</f>
        <v>0</v>
      </c>
      <c r="AXM9" s="122">
        <f>SUMIFS('Revenue Tracking'!$F$13:$F$26, 'Revenue Tracking'!$P$13:$P$26, "&gt;="&amp;AXM1,'Revenue Tracking'!$P$13:$P$26, "&lt;"&amp;AXN1)</f>
        <v>0</v>
      </c>
      <c r="AXN9" s="122">
        <f>SUMIFS('Revenue Tracking'!$F$13:$F$26, 'Revenue Tracking'!$P$13:$P$26, "&gt;="&amp;AXN1,'Revenue Tracking'!$P$13:$P$26, "&lt;"&amp;AXO1)</f>
        <v>0</v>
      </c>
      <c r="AXO9" s="122">
        <f>SUMIFS('Revenue Tracking'!$F$13:$F$26, 'Revenue Tracking'!$P$13:$P$26, "&gt;="&amp;AXO1,'Revenue Tracking'!$P$13:$P$26, "&lt;"&amp;AXP1)</f>
        <v>0</v>
      </c>
      <c r="AXP9" s="122">
        <f>SUMIFS('Revenue Tracking'!$F$13:$F$26, 'Revenue Tracking'!$P$13:$P$26, "&gt;="&amp;AXP1,'Revenue Tracking'!$P$13:$P$26, "&lt;"&amp;AXQ1)</f>
        <v>0</v>
      </c>
      <c r="AXQ9" s="122">
        <f>SUMIFS('Revenue Tracking'!$F$13:$F$26, 'Revenue Tracking'!$P$13:$P$26, "&gt;="&amp;AXQ1,'Revenue Tracking'!$P$13:$P$26, "&lt;"&amp;AXR1)</f>
        <v>0</v>
      </c>
      <c r="AXR9" s="122">
        <f>SUMIFS('Revenue Tracking'!$F$13:$F$26, 'Revenue Tracking'!$P$13:$P$26, "&gt;="&amp;AXR1,'Revenue Tracking'!$P$13:$P$26, "&lt;"&amp;AXS1)</f>
        <v>0</v>
      </c>
      <c r="AXS9" s="122">
        <f>SUMIFS('Revenue Tracking'!$F$13:$F$26, 'Revenue Tracking'!$P$13:$P$26, "&gt;="&amp;AXS1,'Revenue Tracking'!$P$13:$P$26, "&lt;"&amp;AXT1)</f>
        <v>0</v>
      </c>
      <c r="AXT9" s="122">
        <f>SUMIFS('Revenue Tracking'!$F$13:$F$26, 'Revenue Tracking'!$P$13:$P$26, "&gt;="&amp;AXT1,'Revenue Tracking'!$P$13:$P$26, "&lt;"&amp;AXU1)</f>
        <v>0</v>
      </c>
      <c r="AXU9" s="122">
        <f>SUMIFS('Revenue Tracking'!$F$13:$F$26, 'Revenue Tracking'!$P$13:$P$26, "&gt;="&amp;AXU1,'Revenue Tracking'!$P$13:$P$26, "&lt;"&amp;AXV1)</f>
        <v>0</v>
      </c>
      <c r="AXV9" s="122">
        <f>SUMIFS('Revenue Tracking'!$F$13:$F$26, 'Revenue Tracking'!$P$13:$P$26, "&gt;="&amp;AXV1,'Revenue Tracking'!$P$13:$P$26, "&lt;"&amp;AXW1)</f>
        <v>0</v>
      </c>
      <c r="AXW9" s="122">
        <f>SUMIFS('Revenue Tracking'!$F$13:$F$26, 'Revenue Tracking'!$P$13:$P$26, "&gt;="&amp;AXW1,'Revenue Tracking'!$P$13:$P$26, "&lt;"&amp;AXX1)</f>
        <v>0</v>
      </c>
      <c r="AXX9" s="122">
        <f>SUMIFS('Revenue Tracking'!$F$13:$F$26, 'Revenue Tracking'!$P$13:$P$26, "&gt;="&amp;AXX1,'Revenue Tracking'!$P$13:$P$26, "&lt;"&amp;AXY1)</f>
        <v>0</v>
      </c>
      <c r="AXY9" s="122">
        <f>SUMIFS('Revenue Tracking'!$F$13:$F$26, 'Revenue Tracking'!$P$13:$P$26, "&gt;="&amp;AXY1,'Revenue Tracking'!$P$13:$P$26, "&lt;"&amp;AXZ1)</f>
        <v>0</v>
      </c>
      <c r="AXZ9" s="122">
        <f>SUMIFS('Revenue Tracking'!$F$13:$F$26, 'Revenue Tracking'!$P$13:$P$26, "&gt;="&amp;AXZ1,'Revenue Tracking'!$P$13:$P$26, "&lt;"&amp;AYA1)</f>
        <v>0</v>
      </c>
      <c r="AYA9" s="122">
        <f>SUMIFS('Revenue Tracking'!$F$13:$F$26, 'Revenue Tracking'!$P$13:$P$26, "&gt;="&amp;AYA1,'Revenue Tracking'!$P$13:$P$26, "&lt;"&amp;AYB1)</f>
        <v>0</v>
      </c>
      <c r="AYB9" s="122">
        <f>SUMIFS('Revenue Tracking'!$F$13:$F$26, 'Revenue Tracking'!$P$13:$P$26, "&gt;="&amp;AYB1,'Revenue Tracking'!$P$13:$P$26, "&lt;"&amp;AYC1)</f>
        <v>0</v>
      </c>
      <c r="AYC9" s="122">
        <f>SUMIFS('Revenue Tracking'!$F$13:$F$26, 'Revenue Tracking'!$P$13:$P$26, "&gt;="&amp;AYC1,'Revenue Tracking'!$P$13:$P$26, "&lt;"&amp;AYD1)</f>
        <v>0</v>
      </c>
      <c r="AYD9" s="122">
        <f>SUMIFS('Revenue Tracking'!$F$13:$F$26, 'Revenue Tracking'!$P$13:$P$26, "&gt;="&amp;AYD1,'Revenue Tracking'!$P$13:$P$26, "&lt;"&amp;AYE1)</f>
        <v>0</v>
      </c>
      <c r="AYE9" s="122">
        <f>SUMIFS('Revenue Tracking'!$F$13:$F$26, 'Revenue Tracking'!$P$13:$P$26, "&gt;="&amp;AYE1,'Revenue Tracking'!$P$13:$P$26, "&lt;"&amp;AYF1)</f>
        <v>0</v>
      </c>
      <c r="AYF9" s="122">
        <f>SUMIFS('Revenue Tracking'!$F$13:$F$26, 'Revenue Tracking'!$P$13:$P$26, "&gt;="&amp;AYF1,'Revenue Tracking'!$P$13:$P$26, "&lt;"&amp;AYG1)</f>
        <v>0</v>
      </c>
      <c r="AYG9" s="122">
        <f>SUMIFS('Revenue Tracking'!$F$13:$F$26, 'Revenue Tracking'!$P$13:$P$26, "&gt;="&amp;AYG1,'Revenue Tracking'!$P$13:$P$26, "&lt;"&amp;AYH1)</f>
        <v>0</v>
      </c>
      <c r="AYH9" s="122">
        <f>SUMIFS('Revenue Tracking'!$F$13:$F$26, 'Revenue Tracking'!$P$13:$P$26, "&gt;="&amp;AYH1,'Revenue Tracking'!$P$13:$P$26, "&lt;"&amp;AYI1)</f>
        <v>0</v>
      </c>
      <c r="AYI9" s="122">
        <f>SUMIFS('Revenue Tracking'!$F$13:$F$26, 'Revenue Tracking'!$P$13:$P$26, "&gt;="&amp;AYI1,'Revenue Tracking'!$P$13:$P$26, "&lt;"&amp;AYJ1)</f>
        <v>0</v>
      </c>
      <c r="AYJ9" s="122">
        <f>SUMIFS('Revenue Tracking'!$F$13:$F$26, 'Revenue Tracking'!$P$13:$P$26, "&gt;="&amp;AYJ1,'Revenue Tracking'!$P$13:$P$26, "&lt;"&amp;AYK1)</f>
        <v>0</v>
      </c>
      <c r="AYK9" s="122">
        <f>SUMIFS('Revenue Tracking'!$F$13:$F$26, 'Revenue Tracking'!$P$13:$P$26, "&gt;="&amp;AYK1,'Revenue Tracking'!$P$13:$P$26, "&lt;"&amp;AYL1)</f>
        <v>0</v>
      </c>
      <c r="AYL9" s="122">
        <f>SUMIFS('Revenue Tracking'!$F$13:$F$26, 'Revenue Tracking'!$P$13:$P$26, "&gt;="&amp;AYL1,'Revenue Tracking'!$P$13:$P$26, "&lt;"&amp;AYM1)</f>
        <v>0</v>
      </c>
      <c r="AYM9" s="122">
        <f>SUMIFS('Revenue Tracking'!$F$13:$F$26, 'Revenue Tracking'!$P$13:$P$26, "&gt;="&amp;AYM1,'Revenue Tracking'!$P$13:$P$26, "&lt;"&amp;AYN1)</f>
        <v>0</v>
      </c>
      <c r="AYN9" s="122">
        <f>SUMIFS('Revenue Tracking'!$F$13:$F$26, 'Revenue Tracking'!$P$13:$P$26, "&gt;="&amp;AYN1,'Revenue Tracking'!$P$13:$P$26, "&lt;"&amp;AYO1)</f>
        <v>0</v>
      </c>
      <c r="AYO9" s="122">
        <f>SUMIFS('Revenue Tracking'!$F$13:$F$26, 'Revenue Tracking'!$P$13:$P$26, "&gt;="&amp;AYO1,'Revenue Tracking'!$P$13:$P$26, "&lt;"&amp;AYP1)</f>
        <v>0</v>
      </c>
      <c r="AYP9" s="122">
        <f>SUMIFS('Revenue Tracking'!$F$13:$F$26, 'Revenue Tracking'!$P$13:$P$26, "&gt;="&amp;AYP1,'Revenue Tracking'!$P$13:$P$26, "&lt;"&amp;AYQ1)</f>
        <v>0</v>
      </c>
      <c r="AYQ9" s="122">
        <f>SUMIFS('Revenue Tracking'!$F$13:$F$26, 'Revenue Tracking'!$P$13:$P$26, "&gt;="&amp;AYQ1,'Revenue Tracking'!$P$13:$P$26, "&lt;"&amp;AYR1)</f>
        <v>0</v>
      </c>
      <c r="AYR9" s="122">
        <f>SUMIFS('Revenue Tracking'!$F$13:$F$26, 'Revenue Tracking'!$P$13:$P$26, "&gt;="&amp;AYR1,'Revenue Tracking'!$P$13:$P$26, "&lt;"&amp;AYS1)</f>
        <v>0</v>
      </c>
      <c r="AYS9" s="122">
        <f>SUMIFS('Revenue Tracking'!$F$13:$F$26, 'Revenue Tracking'!$P$13:$P$26, "&gt;="&amp;AYS1,'Revenue Tracking'!$P$13:$P$26, "&lt;"&amp;AYT1)</f>
        <v>0</v>
      </c>
      <c r="AYT9" s="122">
        <f>SUMIFS('Revenue Tracking'!$F$13:$F$26, 'Revenue Tracking'!$P$13:$P$26, "&gt;="&amp;AYT1,'Revenue Tracking'!$P$13:$P$26, "&lt;"&amp;AYU1)</f>
        <v>0</v>
      </c>
      <c r="AYU9" s="122">
        <f>SUMIFS('Revenue Tracking'!$F$13:$F$26, 'Revenue Tracking'!$P$13:$P$26, "&gt;="&amp;AYU1,'Revenue Tracking'!$P$13:$P$26, "&lt;"&amp;AYV1)</f>
        <v>0</v>
      </c>
      <c r="AYV9" s="122">
        <f>SUMIFS('Revenue Tracking'!$F$13:$F$26, 'Revenue Tracking'!$P$13:$P$26, "&gt;="&amp;AYV1,'Revenue Tracking'!$P$13:$P$26, "&lt;"&amp;AYW1)</f>
        <v>0</v>
      </c>
      <c r="AYW9" s="122">
        <f>SUMIFS('Revenue Tracking'!$F$13:$F$26, 'Revenue Tracking'!$P$13:$P$26, "&gt;="&amp;AYW1,'Revenue Tracking'!$P$13:$P$26, "&lt;"&amp;AYX1)</f>
        <v>0</v>
      </c>
      <c r="AYX9" s="122">
        <f>SUMIFS('Revenue Tracking'!$F$13:$F$26, 'Revenue Tracking'!$P$13:$P$26, "&gt;="&amp;AYX1,'Revenue Tracking'!$P$13:$P$26, "&lt;"&amp;AYY1)</f>
        <v>0</v>
      </c>
      <c r="AYY9" s="122">
        <f>SUMIFS('Revenue Tracking'!$F$13:$F$26, 'Revenue Tracking'!$P$13:$P$26, "&gt;="&amp;AYY1,'Revenue Tracking'!$P$13:$P$26, "&lt;"&amp;AYZ1)</f>
        <v>0</v>
      </c>
      <c r="AYZ9" s="122">
        <f>SUMIFS('Revenue Tracking'!$F$13:$F$26, 'Revenue Tracking'!$P$13:$P$26, "&gt;="&amp;AYZ1,'Revenue Tracking'!$P$13:$P$26, "&lt;"&amp;AZA1)</f>
        <v>0</v>
      </c>
      <c r="AZA9" s="122">
        <f>SUMIFS('Revenue Tracking'!$F$13:$F$26, 'Revenue Tracking'!$P$13:$P$26, "&gt;="&amp;AZA1,'Revenue Tracking'!$P$13:$P$26, "&lt;"&amp;AZB1)</f>
        <v>0</v>
      </c>
      <c r="AZB9" s="122">
        <f>SUMIFS('Revenue Tracking'!$F$13:$F$26, 'Revenue Tracking'!$P$13:$P$26, "&gt;="&amp;AZB1,'Revenue Tracking'!$P$13:$P$26, "&lt;"&amp;AZC1)</f>
        <v>0</v>
      </c>
      <c r="AZC9" s="122">
        <f>SUMIFS('Revenue Tracking'!$F$13:$F$26, 'Revenue Tracking'!$P$13:$P$26, "&gt;="&amp;AZC1,'Revenue Tracking'!$P$13:$P$26, "&lt;"&amp;AZD1)</f>
        <v>0</v>
      </c>
      <c r="AZD9" s="122">
        <f>SUMIFS('Revenue Tracking'!$F$13:$F$26, 'Revenue Tracking'!$P$13:$P$26, "&gt;="&amp;AZD1,'Revenue Tracking'!$P$13:$P$26, "&lt;"&amp;AZE1)</f>
        <v>0</v>
      </c>
      <c r="AZE9" s="122">
        <f>SUMIFS('Revenue Tracking'!$F$13:$F$26, 'Revenue Tracking'!$P$13:$P$26, "&gt;="&amp;AZE1,'Revenue Tracking'!$P$13:$P$26, "&lt;"&amp;AZF1)</f>
        <v>0</v>
      </c>
      <c r="AZF9" s="122">
        <f>SUMIFS('Revenue Tracking'!$F$13:$F$26, 'Revenue Tracking'!$P$13:$P$26, "&gt;="&amp;AZF1,'Revenue Tracking'!$P$13:$P$26, "&lt;"&amp;AZG1)</f>
        <v>0</v>
      </c>
      <c r="AZG9" s="122">
        <f>SUMIFS('Revenue Tracking'!$F$13:$F$26, 'Revenue Tracking'!$P$13:$P$26, "&gt;="&amp;AZG1,'Revenue Tracking'!$P$13:$P$26, "&lt;"&amp;AZH1)</f>
        <v>0</v>
      </c>
    </row>
    <row r="10" spans="1:1837">
      <c r="A10" s="777"/>
      <c r="B10" s="120" t="s">
        <v>502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88">H10+I9</f>
        <v>0</v>
      </c>
      <c r="J10" s="122">
        <f t="shared" si="88"/>
        <v>0</v>
      </c>
      <c r="K10" s="122">
        <f t="shared" si="88"/>
        <v>0</v>
      </c>
      <c r="L10" s="122">
        <f t="shared" si="88"/>
        <v>0</v>
      </c>
      <c r="M10" s="122">
        <f t="shared" si="88"/>
        <v>0</v>
      </c>
      <c r="N10" s="122">
        <f t="shared" si="88"/>
        <v>0</v>
      </c>
      <c r="O10" s="122">
        <f t="shared" si="88"/>
        <v>0</v>
      </c>
      <c r="P10" s="122">
        <f t="shared" si="88"/>
        <v>0</v>
      </c>
      <c r="Q10" s="122">
        <f t="shared" si="88"/>
        <v>0</v>
      </c>
      <c r="R10" s="122">
        <f t="shared" si="88"/>
        <v>0</v>
      </c>
      <c r="S10" s="122">
        <f t="shared" si="88"/>
        <v>0</v>
      </c>
      <c r="T10" s="122">
        <f t="shared" si="88"/>
        <v>0</v>
      </c>
      <c r="U10" s="122">
        <f t="shared" si="88"/>
        <v>0</v>
      </c>
      <c r="V10" s="122">
        <f t="shared" si="88"/>
        <v>0</v>
      </c>
      <c r="W10" s="122">
        <f t="shared" si="88"/>
        <v>0</v>
      </c>
      <c r="X10" s="122">
        <f t="shared" si="88"/>
        <v>0</v>
      </c>
      <c r="Y10" s="122">
        <f t="shared" si="88"/>
        <v>0</v>
      </c>
      <c r="Z10" s="122">
        <f t="shared" si="88"/>
        <v>551182.06999999995</v>
      </c>
      <c r="AA10" s="122">
        <f t="shared" si="88"/>
        <v>551182.06999999995</v>
      </c>
      <c r="AB10" s="122">
        <f t="shared" si="88"/>
        <v>551182.06999999995</v>
      </c>
      <c r="AC10" s="122">
        <f t="shared" si="88"/>
        <v>551182.06999999995</v>
      </c>
      <c r="AD10" s="122">
        <f>AC10+AD9</f>
        <v>551182.06999999995</v>
      </c>
      <c r="AE10" s="122">
        <f t="shared" si="88"/>
        <v>551182.06999999995</v>
      </c>
      <c r="AF10" s="122">
        <f t="shared" si="88"/>
        <v>551182.06999999995</v>
      </c>
      <c r="AG10" s="122">
        <f t="shared" si="88"/>
        <v>551182.06999999995</v>
      </c>
      <c r="AH10" s="122">
        <f t="shared" si="88"/>
        <v>551182.06999999995</v>
      </c>
      <c r="AI10" s="122">
        <f t="shared" si="88"/>
        <v>551182.06999999995</v>
      </c>
      <c r="AJ10" s="122">
        <f t="shared" si="88"/>
        <v>551182.06999999995</v>
      </c>
      <c r="AK10" s="122">
        <f t="shared" si="88"/>
        <v>551182.06999999995</v>
      </c>
      <c r="AL10" s="122">
        <f t="shared" si="88"/>
        <v>551182.06999999995</v>
      </c>
      <c r="AM10" s="122">
        <f t="shared" si="88"/>
        <v>2000586.79</v>
      </c>
      <c r="AN10" s="122">
        <f t="shared" si="88"/>
        <v>2000586.79</v>
      </c>
      <c r="AO10" s="122">
        <f t="shared" si="88"/>
        <v>2000586.79</v>
      </c>
      <c r="AP10" s="122">
        <f t="shared" si="88"/>
        <v>2000586.79</v>
      </c>
      <c r="AQ10" s="122">
        <f t="shared" si="88"/>
        <v>2000586.79</v>
      </c>
      <c r="AR10" s="122">
        <f t="shared" si="88"/>
        <v>2041415.12</v>
      </c>
      <c r="AS10" s="122">
        <f t="shared" si="88"/>
        <v>2041415.12</v>
      </c>
      <c r="AT10" s="122">
        <f t="shared" si="88"/>
        <v>2041415.12</v>
      </c>
      <c r="AU10" s="122">
        <f t="shared" si="88"/>
        <v>2041415.12</v>
      </c>
      <c r="AV10" s="122">
        <f t="shared" si="88"/>
        <v>2041415.12</v>
      </c>
      <c r="AW10" s="122">
        <f t="shared" si="88"/>
        <v>2041415.12</v>
      </c>
      <c r="AX10" s="122">
        <f t="shared" si="88"/>
        <v>2041415.12</v>
      </c>
      <c r="AY10" s="122">
        <f t="shared" si="88"/>
        <v>2041415.12</v>
      </c>
      <c r="AZ10" s="122">
        <f t="shared" si="88"/>
        <v>2041415.12</v>
      </c>
      <c r="BA10" s="122">
        <f t="shared" si="88"/>
        <v>2041415.12</v>
      </c>
      <c r="BB10" s="122">
        <f t="shared" si="88"/>
        <v>2041415.12</v>
      </c>
      <c r="BC10" s="122">
        <f t="shared" si="88"/>
        <v>2041415.12</v>
      </c>
      <c r="BD10" s="122">
        <f t="shared" si="88"/>
        <v>2041415.12</v>
      </c>
      <c r="BE10" s="122">
        <f t="shared" si="88"/>
        <v>2041415.12</v>
      </c>
      <c r="BF10" s="122">
        <f t="shared" si="88"/>
        <v>2041415.12</v>
      </c>
      <c r="BG10" s="122">
        <f t="shared" si="88"/>
        <v>2041415.12</v>
      </c>
      <c r="BH10" s="122">
        <f t="shared" si="88"/>
        <v>2041415.12</v>
      </c>
      <c r="BI10" s="122">
        <f t="shared" si="88"/>
        <v>2041415.12</v>
      </c>
      <c r="BJ10" s="122">
        <f t="shared" si="88"/>
        <v>2041415.12</v>
      </c>
      <c r="BK10" s="122">
        <f t="shared" si="88"/>
        <v>2041415.12</v>
      </c>
      <c r="BL10" s="122">
        <f t="shared" si="88"/>
        <v>2041415.12</v>
      </c>
      <c r="BM10" s="122">
        <f t="shared" si="88"/>
        <v>2041415.12</v>
      </c>
      <c r="BN10" s="122">
        <f t="shared" si="88"/>
        <v>2041415.12</v>
      </c>
      <c r="BO10" s="122">
        <f t="shared" si="88"/>
        <v>2041415.12</v>
      </c>
      <c r="BP10" s="122">
        <f t="shared" si="88"/>
        <v>2041415.12</v>
      </c>
      <c r="BQ10" s="122">
        <f t="shared" si="88"/>
        <v>2041415.12</v>
      </c>
      <c r="BR10" s="122">
        <f t="shared" si="88"/>
        <v>2041415.12</v>
      </c>
      <c r="BS10" s="122">
        <f t="shared" si="88"/>
        <v>2041415.12</v>
      </c>
      <c r="BT10" s="122">
        <f t="shared" si="88"/>
        <v>2041415.12</v>
      </c>
      <c r="BU10" s="122">
        <f t="shared" ref="BU10:EF10" si="89">BT10+BU9</f>
        <v>2041415.12</v>
      </c>
      <c r="BV10" s="122">
        <f t="shared" si="89"/>
        <v>2041415.12</v>
      </c>
      <c r="BW10" s="122">
        <f t="shared" si="89"/>
        <v>2041415.12</v>
      </c>
      <c r="BX10" s="122">
        <f t="shared" si="89"/>
        <v>2041415.12</v>
      </c>
      <c r="BY10" s="122">
        <f t="shared" si="89"/>
        <v>2041415.12</v>
      </c>
      <c r="BZ10" s="122">
        <f t="shared" si="89"/>
        <v>2041415.12</v>
      </c>
      <c r="CA10" s="122">
        <f t="shared" si="89"/>
        <v>2041415.12</v>
      </c>
      <c r="CB10" s="122">
        <f t="shared" si="89"/>
        <v>2041415.12</v>
      </c>
      <c r="CC10" s="122">
        <f t="shared" si="89"/>
        <v>2041415.12</v>
      </c>
      <c r="CD10" s="122">
        <f t="shared" si="89"/>
        <v>2041415.12</v>
      </c>
      <c r="CE10" s="122">
        <f t="shared" si="89"/>
        <v>2041415.12</v>
      </c>
      <c r="CF10" s="122">
        <f t="shared" si="89"/>
        <v>2041415.12</v>
      </c>
      <c r="CG10" s="122">
        <f t="shared" si="89"/>
        <v>2041415.12</v>
      </c>
      <c r="CH10" s="122">
        <f t="shared" si="89"/>
        <v>2041415.12</v>
      </c>
      <c r="CI10" s="122">
        <f t="shared" si="89"/>
        <v>2041415.12</v>
      </c>
      <c r="CJ10" s="122">
        <f t="shared" si="89"/>
        <v>2041415.12</v>
      </c>
      <c r="CK10" s="122">
        <f t="shared" si="89"/>
        <v>2041415.12</v>
      </c>
      <c r="CL10" s="122">
        <f t="shared" si="89"/>
        <v>2041415.12</v>
      </c>
      <c r="CM10" s="122">
        <f t="shared" si="89"/>
        <v>2041415.12</v>
      </c>
      <c r="CN10" s="122">
        <f t="shared" si="89"/>
        <v>2041415.12</v>
      </c>
      <c r="CO10" s="122">
        <f t="shared" si="89"/>
        <v>2041415.12</v>
      </c>
      <c r="CP10" s="122">
        <f t="shared" si="89"/>
        <v>2041415.12</v>
      </c>
      <c r="CQ10" s="122">
        <f t="shared" si="89"/>
        <v>2041415.12</v>
      </c>
      <c r="CR10" s="122">
        <f t="shared" si="89"/>
        <v>2041415.12</v>
      </c>
      <c r="CS10" s="122">
        <f t="shared" si="89"/>
        <v>2041415.12</v>
      </c>
      <c r="CT10" s="122">
        <f t="shared" si="89"/>
        <v>2041415.12</v>
      </c>
      <c r="CU10" s="122">
        <f t="shared" si="89"/>
        <v>2041415.12</v>
      </c>
      <c r="CV10" s="122">
        <f t="shared" si="89"/>
        <v>2041415.12</v>
      </c>
      <c r="CW10" s="122">
        <f t="shared" si="89"/>
        <v>2041415.12</v>
      </c>
      <c r="CX10" s="122">
        <f t="shared" si="89"/>
        <v>2041415.12</v>
      </c>
      <c r="CY10" s="122">
        <f t="shared" si="89"/>
        <v>2041415.12</v>
      </c>
      <c r="CZ10" s="122">
        <f t="shared" si="89"/>
        <v>2041415.12</v>
      </c>
      <c r="DA10" s="122">
        <f t="shared" si="89"/>
        <v>2041415.12</v>
      </c>
      <c r="DB10" s="122">
        <f t="shared" si="89"/>
        <v>2041415.12</v>
      </c>
      <c r="DC10" s="122">
        <f t="shared" si="89"/>
        <v>2041415.12</v>
      </c>
      <c r="DD10" s="122">
        <f t="shared" si="89"/>
        <v>2041415.12</v>
      </c>
      <c r="DE10" s="122">
        <f t="shared" si="89"/>
        <v>2041415.12</v>
      </c>
      <c r="DF10" s="122">
        <f t="shared" si="89"/>
        <v>2041415.12</v>
      </c>
      <c r="DG10" s="122">
        <f t="shared" si="89"/>
        <v>2041415.12</v>
      </c>
      <c r="DH10" s="122">
        <f t="shared" si="89"/>
        <v>2041415.12</v>
      </c>
      <c r="DI10" s="122">
        <f t="shared" si="89"/>
        <v>2041415.12</v>
      </c>
      <c r="DJ10" s="122">
        <f t="shared" si="89"/>
        <v>2041415.12</v>
      </c>
      <c r="DK10" s="122">
        <f t="shared" si="89"/>
        <v>2041415.12</v>
      </c>
      <c r="DL10" s="122">
        <f t="shared" si="89"/>
        <v>2041415.12</v>
      </c>
      <c r="DM10" s="122">
        <f t="shared" si="89"/>
        <v>2041415.12</v>
      </c>
      <c r="DN10" s="122">
        <f t="shared" si="89"/>
        <v>2041415.12</v>
      </c>
      <c r="DO10" s="122">
        <f t="shared" si="89"/>
        <v>2041415.12</v>
      </c>
      <c r="DP10" s="122">
        <f t="shared" si="89"/>
        <v>2041415.12</v>
      </c>
      <c r="DQ10" s="122">
        <f t="shared" si="89"/>
        <v>2041415.12</v>
      </c>
      <c r="DR10" s="122">
        <f t="shared" si="89"/>
        <v>2041415.12</v>
      </c>
      <c r="DS10" s="122">
        <f t="shared" si="89"/>
        <v>2041415.12</v>
      </c>
      <c r="DT10" s="122">
        <f t="shared" si="89"/>
        <v>2041415.12</v>
      </c>
      <c r="DU10" s="122">
        <f t="shared" si="89"/>
        <v>2041415.12</v>
      </c>
      <c r="DV10" s="122">
        <f t="shared" si="89"/>
        <v>2041415.12</v>
      </c>
      <c r="DW10" s="122">
        <f t="shared" si="89"/>
        <v>2041415.12</v>
      </c>
      <c r="DX10" s="122">
        <f t="shared" si="89"/>
        <v>2041415.12</v>
      </c>
      <c r="DY10" s="122">
        <f t="shared" si="89"/>
        <v>2041415.12</v>
      </c>
      <c r="DZ10" s="122">
        <f t="shared" si="89"/>
        <v>2041415.12</v>
      </c>
      <c r="EA10" s="122">
        <f t="shared" si="89"/>
        <v>2041415.12</v>
      </c>
      <c r="EB10" s="122">
        <f t="shared" si="89"/>
        <v>2041415.12</v>
      </c>
      <c r="EC10" s="122">
        <f t="shared" si="89"/>
        <v>2041415.12</v>
      </c>
      <c r="ED10" s="122">
        <f t="shared" si="89"/>
        <v>2041415.12</v>
      </c>
      <c r="EE10" s="122">
        <f t="shared" si="89"/>
        <v>2041415.12</v>
      </c>
      <c r="EF10" s="122">
        <f t="shared" si="89"/>
        <v>2041415.12</v>
      </c>
      <c r="EG10" s="122">
        <f t="shared" ref="EG10:GR10" si="90">EF10+EG9</f>
        <v>2041415.12</v>
      </c>
      <c r="EH10" s="122">
        <f t="shared" si="90"/>
        <v>2041415.12</v>
      </c>
      <c r="EI10" s="122">
        <f t="shared" si="90"/>
        <v>2041415.12</v>
      </c>
      <c r="EJ10" s="122">
        <f t="shared" si="90"/>
        <v>2041415.12</v>
      </c>
      <c r="EK10" s="122">
        <f t="shared" si="90"/>
        <v>2041415.12</v>
      </c>
      <c r="EL10" s="122">
        <f t="shared" si="90"/>
        <v>2041415.12</v>
      </c>
      <c r="EM10" s="122">
        <f t="shared" si="90"/>
        <v>2041415.12</v>
      </c>
      <c r="EN10" s="122">
        <f t="shared" si="90"/>
        <v>2041415.12</v>
      </c>
      <c r="EO10" s="122">
        <f t="shared" si="90"/>
        <v>2041415.12</v>
      </c>
      <c r="EP10" s="122">
        <f t="shared" si="90"/>
        <v>2041415.12</v>
      </c>
      <c r="EQ10" s="122">
        <f t="shared" si="90"/>
        <v>2041415.12</v>
      </c>
      <c r="ER10" s="122">
        <f t="shared" si="90"/>
        <v>2041415.12</v>
      </c>
      <c r="ES10" s="122">
        <f t="shared" si="90"/>
        <v>2041415.12</v>
      </c>
      <c r="ET10" s="122">
        <f t="shared" si="90"/>
        <v>2041415.12</v>
      </c>
      <c r="EU10" s="122">
        <f t="shared" si="90"/>
        <v>2041415.12</v>
      </c>
      <c r="EV10" s="122">
        <f t="shared" si="90"/>
        <v>2041415.12</v>
      </c>
      <c r="EW10" s="122">
        <f t="shared" si="90"/>
        <v>2041415.12</v>
      </c>
      <c r="EX10" s="122">
        <f t="shared" si="90"/>
        <v>2041415.12</v>
      </c>
      <c r="EY10" s="122">
        <f t="shared" si="90"/>
        <v>2041415.12</v>
      </c>
      <c r="EZ10" s="122">
        <f t="shared" si="90"/>
        <v>2041415.12</v>
      </c>
      <c r="FA10" s="122">
        <f t="shared" si="90"/>
        <v>2041415.12</v>
      </c>
      <c r="FB10" s="122">
        <f t="shared" si="90"/>
        <v>2041415.12</v>
      </c>
      <c r="FC10" s="122">
        <f t="shared" si="90"/>
        <v>2041415.12</v>
      </c>
      <c r="FD10" s="122">
        <f t="shared" si="90"/>
        <v>2041415.12</v>
      </c>
      <c r="FE10" s="122">
        <f t="shared" si="90"/>
        <v>2041415.12</v>
      </c>
      <c r="FF10" s="122">
        <f t="shared" si="90"/>
        <v>2041415.12</v>
      </c>
      <c r="FG10" s="122">
        <f t="shared" si="90"/>
        <v>2041415.12</v>
      </c>
      <c r="FH10" s="122">
        <f t="shared" si="90"/>
        <v>2041415.12</v>
      </c>
      <c r="FI10" s="122">
        <f t="shared" si="90"/>
        <v>2041415.12</v>
      </c>
      <c r="FJ10" s="122">
        <f t="shared" si="90"/>
        <v>2041415.12</v>
      </c>
      <c r="FK10" s="122">
        <f t="shared" si="90"/>
        <v>2041415.12</v>
      </c>
      <c r="FL10" s="122">
        <f t="shared" si="90"/>
        <v>2041415.12</v>
      </c>
      <c r="FM10" s="122">
        <f t="shared" si="90"/>
        <v>2041415.12</v>
      </c>
      <c r="FN10" s="122">
        <f t="shared" si="90"/>
        <v>2041415.12</v>
      </c>
      <c r="FO10" s="122">
        <f t="shared" si="90"/>
        <v>2041415.12</v>
      </c>
      <c r="FP10" s="122">
        <f t="shared" si="90"/>
        <v>2041415.12</v>
      </c>
      <c r="FQ10" s="122">
        <f t="shared" si="90"/>
        <v>2041415.12</v>
      </c>
      <c r="FR10" s="122">
        <f t="shared" si="90"/>
        <v>2041415.12</v>
      </c>
      <c r="FS10" s="122">
        <f t="shared" si="90"/>
        <v>2041415.12</v>
      </c>
      <c r="FT10" s="122">
        <f t="shared" si="90"/>
        <v>2041415.12</v>
      </c>
      <c r="FU10" s="122">
        <f t="shared" si="90"/>
        <v>2041415.12</v>
      </c>
      <c r="FV10" s="122">
        <f t="shared" si="90"/>
        <v>2041415.12</v>
      </c>
      <c r="FW10" s="122">
        <f t="shared" si="90"/>
        <v>2041415.12</v>
      </c>
      <c r="FX10" s="122">
        <f t="shared" si="90"/>
        <v>2041415.12</v>
      </c>
      <c r="FY10" s="122">
        <f t="shared" si="90"/>
        <v>2041415.12</v>
      </c>
      <c r="FZ10" s="122">
        <f t="shared" si="90"/>
        <v>2041415.12</v>
      </c>
      <c r="GA10" s="122">
        <f t="shared" si="90"/>
        <v>2041415.12</v>
      </c>
      <c r="GB10" s="122">
        <f t="shared" si="90"/>
        <v>2041415.12</v>
      </c>
      <c r="GC10" s="122">
        <f t="shared" si="90"/>
        <v>2041415.12</v>
      </c>
      <c r="GD10" s="122">
        <f t="shared" si="90"/>
        <v>2041415.12</v>
      </c>
      <c r="GE10" s="122">
        <f t="shared" si="90"/>
        <v>2041415.12</v>
      </c>
      <c r="GF10" s="122">
        <f t="shared" si="90"/>
        <v>2041415.12</v>
      </c>
      <c r="GG10" s="122">
        <f t="shared" si="90"/>
        <v>2041415.12</v>
      </c>
      <c r="GH10" s="122">
        <f t="shared" si="90"/>
        <v>2041415.12</v>
      </c>
      <c r="GI10" s="122">
        <f t="shared" si="90"/>
        <v>2041415.12</v>
      </c>
      <c r="GJ10" s="122">
        <f t="shared" si="90"/>
        <v>2041415.12</v>
      </c>
      <c r="GK10" s="122">
        <f t="shared" si="90"/>
        <v>2041415.12</v>
      </c>
      <c r="GL10" s="122">
        <f t="shared" si="90"/>
        <v>2041415.12</v>
      </c>
      <c r="GM10" s="122">
        <f t="shared" si="90"/>
        <v>2041415.12</v>
      </c>
      <c r="GN10" s="122">
        <f t="shared" si="90"/>
        <v>2041415.12</v>
      </c>
      <c r="GO10" s="122">
        <f t="shared" si="90"/>
        <v>2041415.12</v>
      </c>
      <c r="GP10" s="122">
        <f t="shared" si="90"/>
        <v>2041415.12</v>
      </c>
      <c r="GQ10" s="122">
        <f t="shared" si="90"/>
        <v>2041415.12</v>
      </c>
      <c r="GR10" s="122">
        <f t="shared" si="90"/>
        <v>2041415.12</v>
      </c>
      <c r="GS10" s="122">
        <f t="shared" ref="GS10:JD10" si="91">GR10+GS9</f>
        <v>2041415.12</v>
      </c>
      <c r="GT10" s="122">
        <f t="shared" si="91"/>
        <v>2041415.12</v>
      </c>
      <c r="GU10" s="122">
        <f t="shared" si="91"/>
        <v>2041415.12</v>
      </c>
      <c r="GV10" s="122">
        <f t="shared" si="91"/>
        <v>2041415.12</v>
      </c>
      <c r="GW10" s="122">
        <f t="shared" si="91"/>
        <v>2041415.12</v>
      </c>
      <c r="GX10" s="122">
        <f t="shared" si="91"/>
        <v>2041415.12</v>
      </c>
      <c r="GY10" s="122">
        <f t="shared" si="91"/>
        <v>2041415.12</v>
      </c>
      <c r="GZ10" s="122">
        <f t="shared" si="91"/>
        <v>2041415.12</v>
      </c>
      <c r="HA10" s="122">
        <f t="shared" si="91"/>
        <v>2041415.12</v>
      </c>
      <c r="HB10" s="122">
        <f t="shared" si="91"/>
        <v>2041415.12</v>
      </c>
      <c r="HC10" s="122">
        <f t="shared" si="91"/>
        <v>2041415.12</v>
      </c>
      <c r="HD10" s="122">
        <f t="shared" si="91"/>
        <v>2041415.12</v>
      </c>
      <c r="HE10" s="122">
        <f t="shared" si="91"/>
        <v>2041415.12</v>
      </c>
      <c r="HF10" s="122">
        <f t="shared" si="91"/>
        <v>2041415.12</v>
      </c>
      <c r="HG10" s="122">
        <f t="shared" si="91"/>
        <v>2041415.12</v>
      </c>
      <c r="HH10" s="122">
        <f t="shared" si="91"/>
        <v>2041415.12</v>
      </c>
      <c r="HI10" s="122">
        <f t="shared" si="91"/>
        <v>2041415.12</v>
      </c>
      <c r="HJ10" s="122">
        <f t="shared" si="91"/>
        <v>2041415.12</v>
      </c>
      <c r="HK10" s="122">
        <f t="shared" si="91"/>
        <v>2041415.12</v>
      </c>
      <c r="HL10" s="122">
        <f t="shared" si="91"/>
        <v>2041415.12</v>
      </c>
      <c r="HM10" s="122">
        <f t="shared" si="91"/>
        <v>2041415.12</v>
      </c>
      <c r="HN10" s="122">
        <f t="shared" si="91"/>
        <v>2041415.12</v>
      </c>
      <c r="HO10" s="122">
        <f t="shared" si="91"/>
        <v>2041415.12</v>
      </c>
      <c r="HP10" s="122">
        <f t="shared" si="91"/>
        <v>2041415.12</v>
      </c>
      <c r="HQ10" s="122">
        <f t="shared" si="91"/>
        <v>2041415.12</v>
      </c>
      <c r="HR10" s="122">
        <f t="shared" si="91"/>
        <v>2041415.12</v>
      </c>
      <c r="HS10" s="122">
        <f t="shared" si="91"/>
        <v>2041415.12</v>
      </c>
      <c r="HT10" s="122">
        <f t="shared" si="91"/>
        <v>2041415.12</v>
      </c>
      <c r="HU10" s="122">
        <f t="shared" si="91"/>
        <v>2041415.12</v>
      </c>
      <c r="HV10" s="122">
        <f t="shared" si="91"/>
        <v>2041415.12</v>
      </c>
      <c r="HW10" s="122">
        <f t="shared" si="91"/>
        <v>2041415.12</v>
      </c>
      <c r="HX10" s="122">
        <f t="shared" si="91"/>
        <v>2041415.12</v>
      </c>
      <c r="HY10" s="122">
        <f t="shared" si="91"/>
        <v>2041415.12</v>
      </c>
      <c r="HZ10" s="122">
        <f t="shared" si="91"/>
        <v>2041415.12</v>
      </c>
      <c r="IA10" s="122">
        <f t="shared" si="91"/>
        <v>2041415.12</v>
      </c>
      <c r="IB10" s="122">
        <f t="shared" si="91"/>
        <v>2041415.12</v>
      </c>
      <c r="IC10" s="122">
        <f t="shared" si="91"/>
        <v>2041415.12</v>
      </c>
      <c r="ID10" s="122">
        <f t="shared" si="91"/>
        <v>2041415.12</v>
      </c>
      <c r="IE10" s="122">
        <f t="shared" si="91"/>
        <v>2041415.12</v>
      </c>
      <c r="IF10" s="122">
        <f t="shared" si="91"/>
        <v>2041415.12</v>
      </c>
      <c r="IG10" s="122">
        <f t="shared" si="91"/>
        <v>2041415.12</v>
      </c>
      <c r="IH10" s="122">
        <f t="shared" si="91"/>
        <v>2041415.12</v>
      </c>
      <c r="II10" s="122">
        <f t="shared" si="91"/>
        <v>2041415.12</v>
      </c>
      <c r="IJ10" s="122">
        <f t="shared" si="91"/>
        <v>2041415.12</v>
      </c>
      <c r="IK10" s="122">
        <f t="shared" si="91"/>
        <v>2041415.12</v>
      </c>
      <c r="IL10" s="122">
        <f t="shared" si="91"/>
        <v>2041415.12</v>
      </c>
      <c r="IM10" s="122">
        <f t="shared" si="91"/>
        <v>2041415.12</v>
      </c>
      <c r="IN10" s="122">
        <f t="shared" si="91"/>
        <v>2041415.12</v>
      </c>
      <c r="IO10" s="122">
        <f t="shared" si="91"/>
        <v>2041415.12</v>
      </c>
      <c r="IP10" s="122">
        <f t="shared" si="91"/>
        <v>2041415.12</v>
      </c>
      <c r="IQ10" s="122">
        <f t="shared" si="91"/>
        <v>2041415.12</v>
      </c>
      <c r="IR10" s="122">
        <f t="shared" si="91"/>
        <v>2041415.12</v>
      </c>
      <c r="IS10" s="122">
        <f t="shared" si="91"/>
        <v>2041415.12</v>
      </c>
      <c r="IT10" s="122">
        <f t="shared" si="91"/>
        <v>2041415.12</v>
      </c>
      <c r="IU10" s="122">
        <f t="shared" si="91"/>
        <v>2041415.12</v>
      </c>
      <c r="IV10" s="122">
        <f t="shared" si="91"/>
        <v>2041415.12</v>
      </c>
      <c r="IW10" s="122">
        <f t="shared" si="91"/>
        <v>2041415.12</v>
      </c>
      <c r="IX10" s="122">
        <f t="shared" si="91"/>
        <v>2041415.12</v>
      </c>
      <c r="IY10" s="122">
        <f t="shared" si="91"/>
        <v>2041415.12</v>
      </c>
      <c r="IZ10" s="122">
        <f t="shared" si="91"/>
        <v>2041415.12</v>
      </c>
      <c r="JA10" s="122">
        <f t="shared" si="91"/>
        <v>2041415.12</v>
      </c>
      <c r="JB10" s="122">
        <f t="shared" si="91"/>
        <v>2041415.12</v>
      </c>
      <c r="JC10" s="122">
        <f t="shared" si="91"/>
        <v>2041415.12</v>
      </c>
      <c r="JD10" s="122">
        <f t="shared" si="91"/>
        <v>2041415.12</v>
      </c>
      <c r="JE10" s="122">
        <f t="shared" ref="JE10:LP10" si="92">JD10+JE9</f>
        <v>2041415.12</v>
      </c>
      <c r="JF10" s="122">
        <f t="shared" si="92"/>
        <v>2041415.12</v>
      </c>
      <c r="JG10" s="122">
        <f t="shared" si="92"/>
        <v>2041415.12</v>
      </c>
      <c r="JH10" s="122">
        <f t="shared" si="92"/>
        <v>2041415.12</v>
      </c>
      <c r="JI10" s="122">
        <f t="shared" si="92"/>
        <v>2041415.12</v>
      </c>
      <c r="JJ10" s="122">
        <f t="shared" si="92"/>
        <v>2041415.12</v>
      </c>
      <c r="JK10" s="122">
        <f t="shared" si="92"/>
        <v>2041415.12</v>
      </c>
      <c r="JL10" s="122">
        <f t="shared" si="92"/>
        <v>2041415.12</v>
      </c>
      <c r="JM10" s="122">
        <f t="shared" si="92"/>
        <v>2041415.12</v>
      </c>
      <c r="JN10" s="122">
        <f t="shared" si="92"/>
        <v>2041415.12</v>
      </c>
      <c r="JO10" s="122">
        <f t="shared" si="92"/>
        <v>2041415.12</v>
      </c>
      <c r="JP10" s="122">
        <f t="shared" si="92"/>
        <v>2041415.12</v>
      </c>
      <c r="JQ10" s="122">
        <f t="shared" si="92"/>
        <v>2041415.12</v>
      </c>
      <c r="JR10" s="122">
        <f t="shared" si="92"/>
        <v>2041415.12</v>
      </c>
      <c r="JS10" s="122">
        <f t="shared" si="92"/>
        <v>2041415.12</v>
      </c>
      <c r="JT10" s="122">
        <f t="shared" si="92"/>
        <v>2041415.12</v>
      </c>
      <c r="JU10" s="122">
        <f t="shared" si="92"/>
        <v>2041415.12</v>
      </c>
      <c r="JV10" s="122">
        <f t="shared" si="92"/>
        <v>2041415.12</v>
      </c>
      <c r="JW10" s="122">
        <f t="shared" si="92"/>
        <v>2041415.12</v>
      </c>
      <c r="JX10" s="122">
        <f t="shared" si="92"/>
        <v>2041415.12</v>
      </c>
      <c r="JY10" s="122">
        <f t="shared" si="92"/>
        <v>2041415.12</v>
      </c>
      <c r="JZ10" s="122">
        <f t="shared" si="92"/>
        <v>2041415.12</v>
      </c>
      <c r="KA10" s="122">
        <f t="shared" si="92"/>
        <v>2041415.12</v>
      </c>
      <c r="KB10" s="122">
        <f t="shared" si="92"/>
        <v>2041415.12</v>
      </c>
      <c r="KC10" s="122">
        <f t="shared" si="92"/>
        <v>2041415.12</v>
      </c>
      <c r="KD10" s="122">
        <f t="shared" si="92"/>
        <v>2041415.12</v>
      </c>
      <c r="KE10" s="122">
        <f t="shared" si="92"/>
        <v>2041415.12</v>
      </c>
      <c r="KF10" s="122">
        <f t="shared" si="92"/>
        <v>2041415.12</v>
      </c>
      <c r="KG10" s="122">
        <f t="shared" si="92"/>
        <v>2041415.12</v>
      </c>
      <c r="KH10" s="122">
        <f t="shared" si="92"/>
        <v>2041415.12</v>
      </c>
      <c r="KI10" s="122">
        <f t="shared" si="92"/>
        <v>2041415.12</v>
      </c>
      <c r="KJ10" s="122">
        <f t="shared" si="92"/>
        <v>2041415.12</v>
      </c>
      <c r="KK10" s="122">
        <f t="shared" si="92"/>
        <v>2041415.12</v>
      </c>
      <c r="KL10" s="122">
        <f t="shared" si="92"/>
        <v>2041415.12</v>
      </c>
      <c r="KM10" s="122">
        <f t="shared" si="92"/>
        <v>2041415.12</v>
      </c>
      <c r="KN10" s="122">
        <f t="shared" si="92"/>
        <v>2041415.12</v>
      </c>
      <c r="KO10" s="122">
        <f t="shared" si="92"/>
        <v>2041415.12</v>
      </c>
      <c r="KP10" s="122">
        <f t="shared" si="92"/>
        <v>2041415.12</v>
      </c>
      <c r="KQ10" s="122">
        <f t="shared" si="92"/>
        <v>2041415.12</v>
      </c>
      <c r="KR10" s="122">
        <f t="shared" si="92"/>
        <v>2041415.12</v>
      </c>
      <c r="KS10" s="122">
        <f t="shared" si="92"/>
        <v>2041415.12</v>
      </c>
      <c r="KT10" s="122">
        <f t="shared" si="92"/>
        <v>2041415.12</v>
      </c>
      <c r="KU10" s="122">
        <f t="shared" si="92"/>
        <v>2041415.12</v>
      </c>
      <c r="KV10" s="122">
        <f t="shared" si="92"/>
        <v>2041415.12</v>
      </c>
      <c r="KW10" s="122">
        <f t="shared" si="92"/>
        <v>2041415.12</v>
      </c>
      <c r="KX10" s="122">
        <f t="shared" si="92"/>
        <v>2041415.12</v>
      </c>
      <c r="KY10" s="122">
        <f t="shared" si="92"/>
        <v>2041415.12</v>
      </c>
      <c r="KZ10" s="122">
        <f t="shared" si="92"/>
        <v>2041415.12</v>
      </c>
      <c r="LA10" s="122">
        <f t="shared" si="92"/>
        <v>2041415.12</v>
      </c>
      <c r="LB10" s="122">
        <f t="shared" si="92"/>
        <v>2041415.12</v>
      </c>
      <c r="LC10" s="122">
        <f t="shared" si="92"/>
        <v>2041415.12</v>
      </c>
      <c r="LD10" s="122">
        <f t="shared" si="92"/>
        <v>2041415.12</v>
      </c>
      <c r="LE10" s="122">
        <f t="shared" si="92"/>
        <v>2041415.12</v>
      </c>
      <c r="LF10" s="122">
        <f t="shared" si="92"/>
        <v>2041415.12</v>
      </c>
      <c r="LG10" s="122">
        <f t="shared" si="92"/>
        <v>2041415.12</v>
      </c>
      <c r="LH10" s="122">
        <f t="shared" si="92"/>
        <v>2041415.12</v>
      </c>
      <c r="LI10" s="122">
        <f t="shared" si="92"/>
        <v>2041415.12</v>
      </c>
      <c r="LJ10" s="122">
        <f t="shared" si="92"/>
        <v>2041415.12</v>
      </c>
      <c r="LK10" s="122">
        <f t="shared" si="92"/>
        <v>2041415.12</v>
      </c>
      <c r="LL10" s="122">
        <f t="shared" si="92"/>
        <v>2041415.12</v>
      </c>
      <c r="LM10" s="122">
        <f t="shared" si="92"/>
        <v>2041415.12</v>
      </c>
      <c r="LN10" s="122">
        <f t="shared" si="92"/>
        <v>2041415.12</v>
      </c>
      <c r="LO10" s="122">
        <f t="shared" si="92"/>
        <v>2041415.12</v>
      </c>
      <c r="LP10" s="122">
        <f t="shared" si="92"/>
        <v>2041415.12</v>
      </c>
      <c r="LQ10" s="122">
        <f t="shared" ref="LQ10:OB10" si="93">LP10+LQ9</f>
        <v>2041415.12</v>
      </c>
      <c r="LR10" s="122">
        <f t="shared" si="93"/>
        <v>2041415.12</v>
      </c>
      <c r="LS10" s="122">
        <f t="shared" si="93"/>
        <v>2041415.12</v>
      </c>
      <c r="LT10" s="122">
        <f t="shared" si="93"/>
        <v>2041415.12</v>
      </c>
      <c r="LU10" s="122">
        <f t="shared" si="93"/>
        <v>2041415.12</v>
      </c>
      <c r="LV10" s="122">
        <f t="shared" si="93"/>
        <v>2041415.12</v>
      </c>
      <c r="LW10" s="122">
        <f t="shared" si="93"/>
        <v>2041415.12</v>
      </c>
      <c r="LX10" s="122">
        <f t="shared" si="93"/>
        <v>2041415.12</v>
      </c>
      <c r="LY10" s="122">
        <f t="shared" si="93"/>
        <v>2041415.12</v>
      </c>
      <c r="LZ10" s="122">
        <f t="shared" si="93"/>
        <v>2041415.12</v>
      </c>
      <c r="MA10" s="122">
        <f t="shared" si="93"/>
        <v>2041415.12</v>
      </c>
      <c r="MB10" s="122">
        <f t="shared" si="93"/>
        <v>2041415.12</v>
      </c>
      <c r="MC10" s="122">
        <f t="shared" si="93"/>
        <v>2041415.12</v>
      </c>
      <c r="MD10" s="122">
        <f t="shared" si="93"/>
        <v>2041415.12</v>
      </c>
      <c r="ME10" s="122">
        <f t="shared" si="93"/>
        <v>2041415.12</v>
      </c>
      <c r="MF10" s="122">
        <f t="shared" si="93"/>
        <v>2041415.12</v>
      </c>
      <c r="MG10" s="122">
        <f t="shared" si="93"/>
        <v>2041415.12</v>
      </c>
      <c r="MH10" s="122">
        <f t="shared" si="93"/>
        <v>2041415.12</v>
      </c>
      <c r="MI10" s="122">
        <f t="shared" si="93"/>
        <v>2041415.12</v>
      </c>
      <c r="MJ10" s="122">
        <f t="shared" si="93"/>
        <v>2041415.12</v>
      </c>
      <c r="MK10" s="122">
        <f t="shared" si="93"/>
        <v>2041415.12</v>
      </c>
      <c r="ML10" s="122">
        <f t="shared" si="93"/>
        <v>2041415.12</v>
      </c>
      <c r="MM10" s="122">
        <f t="shared" si="93"/>
        <v>2041415.12</v>
      </c>
      <c r="MN10" s="122">
        <f t="shared" si="93"/>
        <v>2041415.12</v>
      </c>
      <c r="MO10" s="122">
        <f t="shared" si="93"/>
        <v>2041415.12</v>
      </c>
      <c r="MP10" s="122">
        <f t="shared" si="93"/>
        <v>2041415.12</v>
      </c>
      <c r="MQ10" s="122">
        <f t="shared" si="93"/>
        <v>2041415.12</v>
      </c>
      <c r="MR10" s="122">
        <f t="shared" si="93"/>
        <v>2041415.12</v>
      </c>
      <c r="MS10" s="122">
        <f t="shared" si="93"/>
        <v>2041415.12</v>
      </c>
      <c r="MT10" s="122">
        <f t="shared" si="93"/>
        <v>2041415.12</v>
      </c>
      <c r="MU10" s="122">
        <f t="shared" si="93"/>
        <v>2041415.12</v>
      </c>
      <c r="MV10" s="122">
        <f t="shared" si="93"/>
        <v>2041415.12</v>
      </c>
      <c r="MW10" s="122">
        <f t="shared" si="93"/>
        <v>2041415.12</v>
      </c>
      <c r="MX10" s="122">
        <f t="shared" si="93"/>
        <v>2041415.12</v>
      </c>
      <c r="MY10" s="122">
        <f t="shared" si="93"/>
        <v>2041415.12</v>
      </c>
      <c r="MZ10" s="122">
        <f t="shared" si="93"/>
        <v>2041415.12</v>
      </c>
      <c r="NA10" s="122">
        <f t="shared" si="93"/>
        <v>2041415.12</v>
      </c>
      <c r="NB10" s="122">
        <f t="shared" si="93"/>
        <v>2041415.12</v>
      </c>
      <c r="NC10" s="122">
        <f t="shared" si="93"/>
        <v>2041415.12</v>
      </c>
      <c r="ND10" s="122">
        <f t="shared" si="93"/>
        <v>2041415.12</v>
      </c>
      <c r="NE10" s="122">
        <f t="shared" si="93"/>
        <v>2041415.12</v>
      </c>
      <c r="NF10" s="122">
        <f t="shared" si="93"/>
        <v>2041415.12</v>
      </c>
      <c r="NG10" s="122">
        <f t="shared" si="93"/>
        <v>2041415.12</v>
      </c>
      <c r="NH10" s="122">
        <f t="shared" si="93"/>
        <v>2041415.12</v>
      </c>
      <c r="NI10" s="122">
        <f t="shared" si="93"/>
        <v>2041415.12</v>
      </c>
      <c r="NJ10" s="122">
        <f t="shared" si="93"/>
        <v>2041415.12</v>
      </c>
      <c r="NK10" s="122">
        <f t="shared" si="93"/>
        <v>2041415.12</v>
      </c>
      <c r="NL10" s="122">
        <f t="shared" si="93"/>
        <v>2041415.12</v>
      </c>
      <c r="NM10" s="122">
        <f t="shared" si="93"/>
        <v>2041415.12</v>
      </c>
      <c r="NN10" s="122">
        <f t="shared" si="93"/>
        <v>2041415.12</v>
      </c>
      <c r="NO10" s="122">
        <f t="shared" si="93"/>
        <v>2041415.12</v>
      </c>
      <c r="NP10" s="122">
        <f t="shared" si="93"/>
        <v>2041415.12</v>
      </c>
      <c r="NQ10" s="122">
        <f t="shared" si="93"/>
        <v>2041415.12</v>
      </c>
      <c r="NR10" s="122">
        <f t="shared" si="93"/>
        <v>2041415.12</v>
      </c>
      <c r="NS10" s="122">
        <f t="shared" si="93"/>
        <v>2041415.12</v>
      </c>
      <c r="NT10" s="122">
        <f t="shared" si="93"/>
        <v>2041415.12</v>
      </c>
      <c r="NU10" s="122">
        <f t="shared" si="93"/>
        <v>2041415.12</v>
      </c>
      <c r="NV10" s="122">
        <f t="shared" si="93"/>
        <v>2041415.12</v>
      </c>
      <c r="NW10" s="122">
        <f t="shared" si="93"/>
        <v>2041415.12</v>
      </c>
      <c r="NX10" s="122">
        <f t="shared" si="93"/>
        <v>2041415.12</v>
      </c>
      <c r="NY10" s="122">
        <f t="shared" si="93"/>
        <v>2041415.12</v>
      </c>
      <c r="NZ10" s="122">
        <f t="shared" si="93"/>
        <v>2041415.12</v>
      </c>
      <c r="OA10" s="122">
        <f t="shared" si="93"/>
        <v>2041415.12</v>
      </c>
      <c r="OB10" s="122">
        <f t="shared" si="93"/>
        <v>2041415.12</v>
      </c>
      <c r="OC10" s="122">
        <f t="shared" ref="OC10:QN10" si="94">OB10+OC9</f>
        <v>2041415.12</v>
      </c>
      <c r="OD10" s="122">
        <f t="shared" si="94"/>
        <v>2041415.12</v>
      </c>
      <c r="OE10" s="122">
        <f t="shared" si="94"/>
        <v>2041415.12</v>
      </c>
      <c r="OF10" s="122">
        <f t="shared" si="94"/>
        <v>2041415.12</v>
      </c>
      <c r="OG10" s="122">
        <f t="shared" si="94"/>
        <v>2041415.12</v>
      </c>
      <c r="OH10" s="122">
        <f t="shared" si="94"/>
        <v>2041415.12</v>
      </c>
      <c r="OI10" s="122">
        <f t="shared" si="94"/>
        <v>2041415.12</v>
      </c>
      <c r="OJ10" s="122">
        <f t="shared" si="94"/>
        <v>2041415.12</v>
      </c>
      <c r="OK10" s="122">
        <f t="shared" si="94"/>
        <v>2041415.12</v>
      </c>
      <c r="OL10" s="122">
        <f t="shared" si="94"/>
        <v>2041415.12</v>
      </c>
      <c r="OM10" s="122">
        <f t="shared" si="94"/>
        <v>2041415.12</v>
      </c>
      <c r="ON10" s="122">
        <f t="shared" si="94"/>
        <v>2041415.12</v>
      </c>
      <c r="OO10" s="122">
        <f t="shared" si="94"/>
        <v>2041415.12</v>
      </c>
      <c r="OP10" s="122">
        <f t="shared" si="94"/>
        <v>2041415.12</v>
      </c>
      <c r="OQ10" s="122">
        <f t="shared" si="94"/>
        <v>2041415.12</v>
      </c>
      <c r="OR10" s="122">
        <f t="shared" si="94"/>
        <v>2041415.12</v>
      </c>
      <c r="OS10" s="122">
        <f t="shared" si="94"/>
        <v>2041415.12</v>
      </c>
      <c r="OT10" s="122">
        <f t="shared" si="94"/>
        <v>2041415.12</v>
      </c>
      <c r="OU10" s="122">
        <f t="shared" si="94"/>
        <v>2041415.12</v>
      </c>
      <c r="OV10" s="122">
        <f t="shared" si="94"/>
        <v>2041415.12</v>
      </c>
      <c r="OW10" s="122">
        <f t="shared" si="94"/>
        <v>2041415.12</v>
      </c>
      <c r="OX10" s="122">
        <f t="shared" si="94"/>
        <v>2041415.12</v>
      </c>
      <c r="OY10" s="122">
        <f t="shared" si="94"/>
        <v>2041415.12</v>
      </c>
      <c r="OZ10" s="122">
        <f t="shared" si="94"/>
        <v>2041415.12</v>
      </c>
      <c r="PA10" s="122">
        <f t="shared" si="94"/>
        <v>2041415.12</v>
      </c>
      <c r="PB10" s="122">
        <f t="shared" si="94"/>
        <v>2041415.12</v>
      </c>
      <c r="PC10" s="122">
        <f t="shared" si="94"/>
        <v>2041415.12</v>
      </c>
      <c r="PD10" s="122">
        <f t="shared" si="94"/>
        <v>2041415.12</v>
      </c>
      <c r="PE10" s="122">
        <f t="shared" si="94"/>
        <v>2041415.12</v>
      </c>
      <c r="PF10" s="122">
        <f t="shared" si="94"/>
        <v>2041415.12</v>
      </c>
      <c r="PG10" s="122">
        <f t="shared" si="94"/>
        <v>2041415.12</v>
      </c>
      <c r="PH10" s="122">
        <f t="shared" si="94"/>
        <v>2041415.12</v>
      </c>
      <c r="PI10" s="122">
        <f t="shared" si="94"/>
        <v>2041415.12</v>
      </c>
      <c r="PJ10" s="122">
        <f t="shared" si="94"/>
        <v>2041415.12</v>
      </c>
      <c r="PK10" s="122">
        <f t="shared" si="94"/>
        <v>2041415.12</v>
      </c>
      <c r="PL10" s="122">
        <f t="shared" si="94"/>
        <v>2041415.12</v>
      </c>
      <c r="PM10" s="122">
        <f t="shared" si="94"/>
        <v>2041415.12</v>
      </c>
      <c r="PN10" s="122">
        <f t="shared" si="94"/>
        <v>2041415.12</v>
      </c>
      <c r="PO10" s="122">
        <f t="shared" si="94"/>
        <v>2041415.12</v>
      </c>
      <c r="PP10" s="122">
        <f t="shared" si="94"/>
        <v>2041415.12</v>
      </c>
      <c r="PQ10" s="122">
        <f t="shared" si="94"/>
        <v>2041415.12</v>
      </c>
      <c r="PR10" s="122">
        <f t="shared" si="94"/>
        <v>2041415.12</v>
      </c>
      <c r="PS10" s="122">
        <f t="shared" si="94"/>
        <v>2041415.12</v>
      </c>
      <c r="PT10" s="122">
        <f t="shared" si="94"/>
        <v>2041415.12</v>
      </c>
      <c r="PU10" s="122">
        <f t="shared" si="94"/>
        <v>2041415.12</v>
      </c>
      <c r="PV10" s="122">
        <f t="shared" si="94"/>
        <v>2041415.12</v>
      </c>
      <c r="PW10" s="122">
        <f t="shared" si="94"/>
        <v>2041415.12</v>
      </c>
      <c r="PX10" s="122">
        <f t="shared" si="94"/>
        <v>2041415.12</v>
      </c>
      <c r="PY10" s="122">
        <f t="shared" si="94"/>
        <v>2041415.12</v>
      </c>
      <c r="PZ10" s="122">
        <f t="shared" si="94"/>
        <v>2041415.12</v>
      </c>
      <c r="QA10" s="122">
        <f t="shared" si="94"/>
        <v>2041415.12</v>
      </c>
      <c r="QB10" s="122">
        <f t="shared" si="94"/>
        <v>2041415.12</v>
      </c>
      <c r="QC10" s="122">
        <f t="shared" si="94"/>
        <v>2041415.12</v>
      </c>
      <c r="QD10" s="122">
        <f t="shared" si="94"/>
        <v>2041415.12</v>
      </c>
      <c r="QE10" s="122">
        <f t="shared" si="94"/>
        <v>2041415.12</v>
      </c>
      <c r="QF10" s="122">
        <f t="shared" si="94"/>
        <v>2041415.12</v>
      </c>
      <c r="QG10" s="122">
        <f t="shared" si="94"/>
        <v>2041415.12</v>
      </c>
      <c r="QH10" s="122">
        <f t="shared" si="94"/>
        <v>2041415.12</v>
      </c>
      <c r="QI10" s="122">
        <f t="shared" si="94"/>
        <v>2041415.12</v>
      </c>
      <c r="QJ10" s="122">
        <f t="shared" si="94"/>
        <v>2041415.12</v>
      </c>
      <c r="QK10" s="122">
        <f t="shared" si="94"/>
        <v>2041415.12</v>
      </c>
      <c r="QL10" s="122">
        <f t="shared" si="94"/>
        <v>2041415.12</v>
      </c>
      <c r="QM10" s="122">
        <f t="shared" si="94"/>
        <v>2041415.12</v>
      </c>
      <c r="QN10" s="122">
        <f t="shared" si="94"/>
        <v>2041415.12</v>
      </c>
      <c r="QO10" s="122">
        <f t="shared" ref="QO10:SZ10" si="95">QN10+QO9</f>
        <v>2041415.12</v>
      </c>
      <c r="QP10" s="122">
        <f t="shared" si="95"/>
        <v>2041415.12</v>
      </c>
      <c r="QQ10" s="122">
        <f t="shared" si="95"/>
        <v>2041415.12</v>
      </c>
      <c r="QR10" s="122">
        <f t="shared" si="95"/>
        <v>2041415.12</v>
      </c>
      <c r="QS10" s="122">
        <f t="shared" si="95"/>
        <v>2041415.12</v>
      </c>
      <c r="QT10" s="122">
        <f t="shared" si="95"/>
        <v>2041415.12</v>
      </c>
      <c r="QU10" s="122">
        <f t="shared" si="95"/>
        <v>2041415.12</v>
      </c>
      <c r="QV10" s="122">
        <f t="shared" si="95"/>
        <v>2041415.12</v>
      </c>
      <c r="QW10" s="122">
        <f t="shared" si="95"/>
        <v>2041415.12</v>
      </c>
      <c r="QX10" s="122">
        <f t="shared" si="95"/>
        <v>2041415.12</v>
      </c>
      <c r="QY10" s="122">
        <f t="shared" si="95"/>
        <v>2041415.12</v>
      </c>
      <c r="QZ10" s="122">
        <f t="shared" si="95"/>
        <v>2041415.12</v>
      </c>
      <c r="RA10" s="122">
        <f t="shared" si="95"/>
        <v>2041415.12</v>
      </c>
      <c r="RB10" s="122">
        <f t="shared" si="95"/>
        <v>2041415.12</v>
      </c>
      <c r="RC10" s="122">
        <f t="shared" si="95"/>
        <v>2041415.12</v>
      </c>
      <c r="RD10" s="122">
        <f t="shared" si="95"/>
        <v>2041415.12</v>
      </c>
      <c r="RE10" s="122">
        <f t="shared" si="95"/>
        <v>2041415.12</v>
      </c>
      <c r="RF10" s="122">
        <f t="shared" si="95"/>
        <v>2041415.12</v>
      </c>
      <c r="RG10" s="122">
        <f t="shared" si="95"/>
        <v>2041415.12</v>
      </c>
      <c r="RH10" s="122">
        <f t="shared" si="95"/>
        <v>2041415.12</v>
      </c>
      <c r="RI10" s="122">
        <f t="shared" si="95"/>
        <v>2041415.12</v>
      </c>
      <c r="RJ10" s="122">
        <f t="shared" si="95"/>
        <v>2041415.12</v>
      </c>
      <c r="RK10" s="122">
        <f t="shared" si="95"/>
        <v>2041415.12</v>
      </c>
      <c r="RL10" s="122">
        <f t="shared" si="95"/>
        <v>2041415.12</v>
      </c>
      <c r="RM10" s="122">
        <f t="shared" si="95"/>
        <v>2041415.12</v>
      </c>
      <c r="RN10" s="122">
        <f t="shared" si="95"/>
        <v>2041415.12</v>
      </c>
      <c r="RO10" s="122">
        <f t="shared" si="95"/>
        <v>2041415.12</v>
      </c>
      <c r="RP10" s="122">
        <f t="shared" si="95"/>
        <v>2041415.12</v>
      </c>
      <c r="RQ10" s="122">
        <f t="shared" si="95"/>
        <v>2041415.12</v>
      </c>
      <c r="RR10" s="122">
        <f t="shared" si="95"/>
        <v>2041415.12</v>
      </c>
      <c r="RS10" s="122">
        <f t="shared" si="95"/>
        <v>2041415.12</v>
      </c>
      <c r="RT10" s="122">
        <f t="shared" si="95"/>
        <v>2041415.12</v>
      </c>
      <c r="RU10" s="122">
        <f t="shared" si="95"/>
        <v>2041415.12</v>
      </c>
      <c r="RV10" s="122">
        <f t="shared" si="95"/>
        <v>2041415.12</v>
      </c>
      <c r="RW10" s="122">
        <f t="shared" si="95"/>
        <v>2041415.12</v>
      </c>
      <c r="RX10" s="122">
        <f t="shared" si="95"/>
        <v>2041415.12</v>
      </c>
      <c r="RY10" s="122">
        <f t="shared" si="95"/>
        <v>2041415.12</v>
      </c>
      <c r="RZ10" s="122">
        <f t="shared" si="95"/>
        <v>2041415.12</v>
      </c>
      <c r="SA10" s="122">
        <f t="shared" si="95"/>
        <v>2041415.12</v>
      </c>
      <c r="SB10" s="122">
        <f t="shared" si="95"/>
        <v>2041415.12</v>
      </c>
      <c r="SC10" s="122">
        <f t="shared" si="95"/>
        <v>2041415.12</v>
      </c>
      <c r="SD10" s="122">
        <f t="shared" si="95"/>
        <v>2041415.12</v>
      </c>
      <c r="SE10" s="122">
        <f t="shared" si="95"/>
        <v>2041415.12</v>
      </c>
      <c r="SF10" s="122">
        <f t="shared" si="95"/>
        <v>2041415.12</v>
      </c>
      <c r="SG10" s="122">
        <f t="shared" si="95"/>
        <v>2041415.12</v>
      </c>
      <c r="SH10" s="122">
        <f t="shared" si="95"/>
        <v>2041415.12</v>
      </c>
      <c r="SI10" s="122">
        <f t="shared" si="95"/>
        <v>2041415.12</v>
      </c>
      <c r="SJ10" s="122">
        <f t="shared" si="95"/>
        <v>2041415.12</v>
      </c>
      <c r="SK10" s="122">
        <f t="shared" si="95"/>
        <v>2041415.12</v>
      </c>
      <c r="SL10" s="122">
        <f t="shared" si="95"/>
        <v>2041415.12</v>
      </c>
      <c r="SM10" s="122">
        <f t="shared" si="95"/>
        <v>2041415.12</v>
      </c>
      <c r="SN10" s="122">
        <f t="shared" si="95"/>
        <v>2041415.12</v>
      </c>
      <c r="SO10" s="122">
        <f t="shared" si="95"/>
        <v>2041415.12</v>
      </c>
      <c r="SP10" s="122">
        <f t="shared" si="95"/>
        <v>2041415.12</v>
      </c>
      <c r="SQ10" s="122">
        <f t="shared" si="95"/>
        <v>2041415.12</v>
      </c>
      <c r="SR10" s="122">
        <f t="shared" si="95"/>
        <v>2041415.12</v>
      </c>
      <c r="SS10" s="122">
        <f t="shared" si="95"/>
        <v>2041415.12</v>
      </c>
      <c r="ST10" s="122">
        <f t="shared" si="95"/>
        <v>2041415.12</v>
      </c>
      <c r="SU10" s="122">
        <f t="shared" si="95"/>
        <v>2041415.12</v>
      </c>
      <c r="SV10" s="122">
        <f t="shared" si="95"/>
        <v>2041415.12</v>
      </c>
      <c r="SW10" s="122">
        <f t="shared" si="95"/>
        <v>2041415.12</v>
      </c>
      <c r="SX10" s="122">
        <f t="shared" si="95"/>
        <v>2041415.12</v>
      </c>
      <c r="SY10" s="122">
        <f t="shared" si="95"/>
        <v>2041415.12</v>
      </c>
      <c r="SZ10" s="122">
        <f t="shared" si="95"/>
        <v>2041415.12</v>
      </c>
      <c r="TA10" s="122">
        <f t="shared" ref="TA10:VL10" si="96">SZ10+TA9</f>
        <v>2041415.12</v>
      </c>
      <c r="TB10" s="122">
        <f t="shared" si="96"/>
        <v>2041415.12</v>
      </c>
      <c r="TC10" s="122">
        <f t="shared" si="96"/>
        <v>2041415.12</v>
      </c>
      <c r="TD10" s="122">
        <f t="shared" si="96"/>
        <v>2041415.12</v>
      </c>
      <c r="TE10" s="122">
        <f t="shared" si="96"/>
        <v>2041415.12</v>
      </c>
      <c r="TF10" s="122">
        <f t="shared" si="96"/>
        <v>2041415.12</v>
      </c>
      <c r="TG10" s="122">
        <f t="shared" si="96"/>
        <v>2041415.12</v>
      </c>
      <c r="TH10" s="122">
        <f t="shared" si="96"/>
        <v>2041415.12</v>
      </c>
      <c r="TI10" s="122">
        <f t="shared" si="96"/>
        <v>2041415.12</v>
      </c>
      <c r="TJ10" s="122">
        <f t="shared" si="96"/>
        <v>2041415.12</v>
      </c>
      <c r="TK10" s="122">
        <f t="shared" si="96"/>
        <v>2041415.12</v>
      </c>
      <c r="TL10" s="122">
        <f t="shared" si="96"/>
        <v>2041415.12</v>
      </c>
      <c r="TM10" s="122">
        <f t="shared" si="96"/>
        <v>2041415.12</v>
      </c>
      <c r="TN10" s="122">
        <f t="shared" si="96"/>
        <v>2041415.12</v>
      </c>
      <c r="TO10" s="122">
        <f t="shared" si="96"/>
        <v>2041415.12</v>
      </c>
      <c r="TP10" s="122">
        <f t="shared" si="96"/>
        <v>2041415.12</v>
      </c>
      <c r="TQ10" s="122">
        <f t="shared" si="96"/>
        <v>2041415.12</v>
      </c>
      <c r="TR10" s="122">
        <f t="shared" si="96"/>
        <v>2041415.12</v>
      </c>
      <c r="TS10" s="122">
        <f t="shared" si="96"/>
        <v>2041415.12</v>
      </c>
      <c r="TT10" s="122">
        <f t="shared" si="96"/>
        <v>2041415.12</v>
      </c>
      <c r="TU10" s="122">
        <f t="shared" si="96"/>
        <v>2041415.12</v>
      </c>
      <c r="TV10" s="122">
        <f t="shared" si="96"/>
        <v>2041415.12</v>
      </c>
      <c r="TW10" s="122">
        <f t="shared" si="96"/>
        <v>2041415.12</v>
      </c>
      <c r="TX10" s="122">
        <f t="shared" si="96"/>
        <v>2041415.12</v>
      </c>
      <c r="TY10" s="122">
        <f t="shared" si="96"/>
        <v>2041415.12</v>
      </c>
      <c r="TZ10" s="122">
        <f t="shared" si="96"/>
        <v>2041415.12</v>
      </c>
      <c r="UA10" s="122">
        <f t="shared" si="96"/>
        <v>2041415.12</v>
      </c>
      <c r="UB10" s="122">
        <f t="shared" si="96"/>
        <v>2041415.12</v>
      </c>
      <c r="UC10" s="122">
        <f t="shared" si="96"/>
        <v>2041415.12</v>
      </c>
      <c r="UD10" s="122">
        <f t="shared" si="96"/>
        <v>2041415.12</v>
      </c>
      <c r="UE10" s="122">
        <f t="shared" si="96"/>
        <v>2041415.12</v>
      </c>
      <c r="UF10" s="122">
        <f t="shared" si="96"/>
        <v>2041415.12</v>
      </c>
      <c r="UG10" s="122">
        <f t="shared" si="96"/>
        <v>2041415.12</v>
      </c>
      <c r="UH10" s="122">
        <f t="shared" si="96"/>
        <v>2041415.12</v>
      </c>
      <c r="UI10" s="122">
        <f t="shared" si="96"/>
        <v>2041415.12</v>
      </c>
      <c r="UJ10" s="122">
        <f t="shared" si="96"/>
        <v>2041415.12</v>
      </c>
      <c r="UK10" s="122">
        <f t="shared" si="96"/>
        <v>2041415.12</v>
      </c>
      <c r="UL10" s="122">
        <f t="shared" si="96"/>
        <v>2041415.12</v>
      </c>
      <c r="UM10" s="122">
        <f t="shared" si="96"/>
        <v>2041415.12</v>
      </c>
      <c r="UN10" s="122">
        <f t="shared" si="96"/>
        <v>2041415.12</v>
      </c>
      <c r="UO10" s="122">
        <f t="shared" si="96"/>
        <v>2041415.12</v>
      </c>
      <c r="UP10" s="122">
        <f t="shared" si="96"/>
        <v>2041415.12</v>
      </c>
      <c r="UQ10" s="122">
        <f t="shared" si="96"/>
        <v>2041415.12</v>
      </c>
      <c r="UR10" s="122">
        <f t="shared" si="96"/>
        <v>2041415.12</v>
      </c>
      <c r="US10" s="122">
        <f t="shared" si="96"/>
        <v>2041415.12</v>
      </c>
      <c r="UT10" s="122">
        <f t="shared" si="96"/>
        <v>2041415.12</v>
      </c>
      <c r="UU10" s="122">
        <f t="shared" si="96"/>
        <v>2041415.12</v>
      </c>
      <c r="UV10" s="122">
        <f t="shared" si="96"/>
        <v>2041415.12</v>
      </c>
      <c r="UW10" s="122">
        <f t="shared" si="96"/>
        <v>2041415.12</v>
      </c>
      <c r="UX10" s="122">
        <f t="shared" si="96"/>
        <v>2041415.12</v>
      </c>
      <c r="UY10" s="122">
        <f t="shared" si="96"/>
        <v>2041415.12</v>
      </c>
      <c r="UZ10" s="122">
        <f t="shared" si="96"/>
        <v>2041415.12</v>
      </c>
      <c r="VA10" s="122">
        <f t="shared" si="96"/>
        <v>2041415.12</v>
      </c>
      <c r="VB10" s="122">
        <f t="shared" si="96"/>
        <v>2041415.12</v>
      </c>
      <c r="VC10" s="122">
        <f t="shared" si="96"/>
        <v>2041415.12</v>
      </c>
      <c r="VD10" s="122">
        <f t="shared" si="96"/>
        <v>2041415.12</v>
      </c>
      <c r="VE10" s="122">
        <f t="shared" si="96"/>
        <v>2041415.12</v>
      </c>
      <c r="VF10" s="122">
        <f t="shared" si="96"/>
        <v>2041415.12</v>
      </c>
      <c r="VG10" s="122">
        <f t="shared" si="96"/>
        <v>2041415.12</v>
      </c>
      <c r="VH10" s="122">
        <f t="shared" si="96"/>
        <v>2041415.12</v>
      </c>
      <c r="VI10" s="122">
        <f t="shared" si="96"/>
        <v>2041415.12</v>
      </c>
      <c r="VJ10" s="122">
        <f t="shared" si="96"/>
        <v>2041415.12</v>
      </c>
      <c r="VK10" s="122">
        <f t="shared" si="96"/>
        <v>2041415.12</v>
      </c>
      <c r="VL10" s="122">
        <f t="shared" si="96"/>
        <v>2041415.12</v>
      </c>
      <c r="VM10" s="122">
        <f t="shared" ref="VM10:XX10" si="97">VL10+VM9</f>
        <v>2041415.12</v>
      </c>
      <c r="VN10" s="122">
        <f t="shared" si="97"/>
        <v>2041415.12</v>
      </c>
      <c r="VO10" s="122">
        <f t="shared" si="97"/>
        <v>2041415.12</v>
      </c>
      <c r="VP10" s="122">
        <f t="shared" si="97"/>
        <v>2041415.12</v>
      </c>
      <c r="VQ10" s="122">
        <f t="shared" si="97"/>
        <v>2041415.12</v>
      </c>
      <c r="VR10" s="122">
        <f t="shared" si="97"/>
        <v>2041415.12</v>
      </c>
      <c r="VS10" s="122">
        <f t="shared" si="97"/>
        <v>2041415.12</v>
      </c>
      <c r="VT10" s="122">
        <f t="shared" si="97"/>
        <v>2041415.12</v>
      </c>
      <c r="VU10" s="122">
        <f t="shared" si="97"/>
        <v>2041415.12</v>
      </c>
      <c r="VV10" s="122">
        <f t="shared" si="97"/>
        <v>2041415.12</v>
      </c>
      <c r="VW10" s="122">
        <f t="shared" si="97"/>
        <v>2041415.12</v>
      </c>
      <c r="VX10" s="122">
        <f t="shared" si="97"/>
        <v>2041415.12</v>
      </c>
      <c r="VY10" s="122">
        <f t="shared" si="97"/>
        <v>2041415.12</v>
      </c>
      <c r="VZ10" s="122">
        <f t="shared" si="97"/>
        <v>2041415.12</v>
      </c>
      <c r="WA10" s="122">
        <f t="shared" si="97"/>
        <v>2041415.12</v>
      </c>
      <c r="WB10" s="122">
        <f t="shared" si="97"/>
        <v>2041415.12</v>
      </c>
      <c r="WC10" s="122">
        <f t="shared" si="97"/>
        <v>2041415.12</v>
      </c>
      <c r="WD10" s="122">
        <f t="shared" si="97"/>
        <v>2041415.12</v>
      </c>
      <c r="WE10" s="122">
        <f t="shared" si="97"/>
        <v>2041415.12</v>
      </c>
      <c r="WF10" s="122">
        <f t="shared" si="97"/>
        <v>2041415.12</v>
      </c>
      <c r="WG10" s="122">
        <f t="shared" si="97"/>
        <v>2041415.12</v>
      </c>
      <c r="WH10" s="122">
        <f t="shared" si="97"/>
        <v>2041415.12</v>
      </c>
      <c r="WI10" s="122">
        <f t="shared" si="97"/>
        <v>2041415.12</v>
      </c>
      <c r="WJ10" s="122">
        <f t="shared" si="97"/>
        <v>2041415.12</v>
      </c>
      <c r="WK10" s="122">
        <f t="shared" si="97"/>
        <v>2041415.12</v>
      </c>
      <c r="WL10" s="122">
        <f t="shared" si="97"/>
        <v>2041415.12</v>
      </c>
      <c r="WM10" s="122">
        <f t="shared" si="97"/>
        <v>2041415.12</v>
      </c>
      <c r="WN10" s="122">
        <f t="shared" si="97"/>
        <v>2041415.12</v>
      </c>
      <c r="WO10" s="122">
        <f t="shared" si="97"/>
        <v>2041415.12</v>
      </c>
      <c r="WP10" s="122">
        <f t="shared" si="97"/>
        <v>2041415.12</v>
      </c>
      <c r="WQ10" s="122">
        <f t="shared" si="97"/>
        <v>2041415.12</v>
      </c>
      <c r="WR10" s="122">
        <f t="shared" si="97"/>
        <v>2041415.12</v>
      </c>
      <c r="WS10" s="122">
        <f t="shared" si="97"/>
        <v>2041415.12</v>
      </c>
      <c r="WT10" s="122">
        <f t="shared" si="97"/>
        <v>2041415.12</v>
      </c>
      <c r="WU10" s="122">
        <f t="shared" si="97"/>
        <v>2041415.12</v>
      </c>
      <c r="WV10" s="122">
        <f t="shared" si="97"/>
        <v>2041415.12</v>
      </c>
      <c r="WW10" s="122">
        <f t="shared" si="97"/>
        <v>2041415.12</v>
      </c>
      <c r="WX10" s="122">
        <f t="shared" si="97"/>
        <v>2041415.12</v>
      </c>
      <c r="WY10" s="122">
        <f t="shared" si="97"/>
        <v>2041415.12</v>
      </c>
      <c r="WZ10" s="122">
        <f t="shared" si="97"/>
        <v>2041415.12</v>
      </c>
      <c r="XA10" s="122">
        <f t="shared" si="97"/>
        <v>2041415.12</v>
      </c>
      <c r="XB10" s="122">
        <f t="shared" si="97"/>
        <v>2041415.12</v>
      </c>
      <c r="XC10" s="122">
        <f t="shared" si="97"/>
        <v>2041415.12</v>
      </c>
      <c r="XD10" s="122">
        <f t="shared" si="97"/>
        <v>2041415.12</v>
      </c>
      <c r="XE10" s="122">
        <f t="shared" si="97"/>
        <v>2041415.12</v>
      </c>
      <c r="XF10" s="122">
        <f t="shared" si="97"/>
        <v>2041415.12</v>
      </c>
      <c r="XG10" s="122">
        <f t="shared" si="97"/>
        <v>2041415.12</v>
      </c>
      <c r="XH10" s="122">
        <f t="shared" si="97"/>
        <v>2041415.12</v>
      </c>
      <c r="XI10" s="122">
        <f t="shared" si="97"/>
        <v>2041415.12</v>
      </c>
      <c r="XJ10" s="122">
        <f t="shared" si="97"/>
        <v>2041415.12</v>
      </c>
      <c r="XK10" s="122">
        <f t="shared" si="97"/>
        <v>2041415.12</v>
      </c>
      <c r="XL10" s="122">
        <f t="shared" si="97"/>
        <v>2041415.12</v>
      </c>
      <c r="XM10" s="122">
        <f t="shared" si="97"/>
        <v>2041415.12</v>
      </c>
      <c r="XN10" s="122">
        <f t="shared" si="97"/>
        <v>2041415.12</v>
      </c>
      <c r="XO10" s="122">
        <f t="shared" si="97"/>
        <v>2041415.12</v>
      </c>
      <c r="XP10" s="122">
        <f t="shared" si="97"/>
        <v>2041415.12</v>
      </c>
      <c r="XQ10" s="122">
        <f t="shared" si="97"/>
        <v>2041415.12</v>
      </c>
      <c r="XR10" s="122">
        <f t="shared" si="97"/>
        <v>2041415.12</v>
      </c>
      <c r="XS10" s="122">
        <f t="shared" si="97"/>
        <v>2041415.12</v>
      </c>
      <c r="XT10" s="122">
        <f t="shared" si="97"/>
        <v>2041415.12</v>
      </c>
      <c r="XU10" s="122">
        <f t="shared" si="97"/>
        <v>2041415.12</v>
      </c>
      <c r="XV10" s="122">
        <f t="shared" si="97"/>
        <v>2041415.12</v>
      </c>
      <c r="XW10" s="122">
        <f t="shared" si="97"/>
        <v>2041415.12</v>
      </c>
      <c r="XX10" s="122">
        <f t="shared" si="97"/>
        <v>2041415.12</v>
      </c>
      <c r="XY10" s="122">
        <f t="shared" ref="XY10:AAJ10" si="98">XX10+XY9</f>
        <v>2041415.12</v>
      </c>
      <c r="XZ10" s="122">
        <f t="shared" si="98"/>
        <v>2041415.12</v>
      </c>
      <c r="YA10" s="122">
        <f t="shared" si="98"/>
        <v>2041415.12</v>
      </c>
      <c r="YB10" s="122">
        <f t="shared" si="98"/>
        <v>2041415.12</v>
      </c>
      <c r="YC10" s="122">
        <f t="shared" si="98"/>
        <v>2041415.12</v>
      </c>
      <c r="YD10" s="122">
        <f t="shared" si="98"/>
        <v>2041415.12</v>
      </c>
      <c r="YE10" s="122">
        <f t="shared" si="98"/>
        <v>2041415.12</v>
      </c>
      <c r="YF10" s="122">
        <f t="shared" si="98"/>
        <v>2041415.12</v>
      </c>
      <c r="YG10" s="122">
        <f t="shared" si="98"/>
        <v>2041415.12</v>
      </c>
      <c r="YH10" s="122">
        <f t="shared" si="98"/>
        <v>2041415.12</v>
      </c>
      <c r="YI10" s="122">
        <f t="shared" si="98"/>
        <v>2041415.12</v>
      </c>
      <c r="YJ10" s="122">
        <f t="shared" si="98"/>
        <v>2041415.12</v>
      </c>
      <c r="YK10" s="122">
        <f t="shared" si="98"/>
        <v>2041415.12</v>
      </c>
      <c r="YL10" s="122">
        <f t="shared" si="98"/>
        <v>2041415.12</v>
      </c>
      <c r="YM10" s="122">
        <f t="shared" si="98"/>
        <v>2041415.12</v>
      </c>
      <c r="YN10" s="122">
        <f t="shared" si="98"/>
        <v>2041415.12</v>
      </c>
      <c r="YO10" s="122">
        <f t="shared" si="98"/>
        <v>2041415.12</v>
      </c>
      <c r="YP10" s="122">
        <f t="shared" si="98"/>
        <v>2041415.12</v>
      </c>
      <c r="YQ10" s="122">
        <f t="shared" si="98"/>
        <v>2041415.12</v>
      </c>
      <c r="YR10" s="122">
        <f t="shared" si="98"/>
        <v>2041415.12</v>
      </c>
      <c r="YS10" s="122">
        <f t="shared" si="98"/>
        <v>2041415.12</v>
      </c>
      <c r="YT10" s="122">
        <f t="shared" si="98"/>
        <v>2041415.12</v>
      </c>
      <c r="YU10" s="122">
        <f t="shared" si="98"/>
        <v>2041415.12</v>
      </c>
      <c r="YV10" s="122">
        <f t="shared" si="98"/>
        <v>2041415.12</v>
      </c>
      <c r="YW10" s="122">
        <f t="shared" si="98"/>
        <v>2041415.12</v>
      </c>
      <c r="YX10" s="122">
        <f t="shared" si="98"/>
        <v>2041415.12</v>
      </c>
      <c r="YY10" s="122">
        <f t="shared" si="98"/>
        <v>2041415.12</v>
      </c>
      <c r="YZ10" s="122">
        <f t="shared" si="98"/>
        <v>2041415.12</v>
      </c>
      <c r="ZA10" s="122">
        <f t="shared" si="98"/>
        <v>2041415.12</v>
      </c>
      <c r="ZB10" s="122">
        <f t="shared" si="98"/>
        <v>2041415.12</v>
      </c>
      <c r="ZC10" s="122">
        <f t="shared" si="98"/>
        <v>2041415.12</v>
      </c>
      <c r="ZD10" s="122">
        <f t="shared" si="98"/>
        <v>2041415.12</v>
      </c>
      <c r="ZE10" s="122">
        <f t="shared" si="98"/>
        <v>2041415.12</v>
      </c>
      <c r="ZF10" s="122">
        <f t="shared" si="98"/>
        <v>2041415.12</v>
      </c>
      <c r="ZG10" s="122">
        <f t="shared" si="98"/>
        <v>2041415.12</v>
      </c>
      <c r="ZH10" s="122">
        <f t="shared" si="98"/>
        <v>2041415.12</v>
      </c>
      <c r="ZI10" s="122">
        <f t="shared" si="98"/>
        <v>2041415.12</v>
      </c>
      <c r="ZJ10" s="122">
        <f t="shared" si="98"/>
        <v>2041415.12</v>
      </c>
      <c r="ZK10" s="122">
        <f t="shared" si="98"/>
        <v>2041415.12</v>
      </c>
      <c r="ZL10" s="122">
        <f t="shared" si="98"/>
        <v>2041415.12</v>
      </c>
      <c r="ZM10" s="122">
        <f t="shared" si="98"/>
        <v>2041415.12</v>
      </c>
      <c r="ZN10" s="122">
        <f t="shared" si="98"/>
        <v>2041415.12</v>
      </c>
      <c r="ZO10" s="122">
        <f t="shared" si="98"/>
        <v>2041415.12</v>
      </c>
      <c r="ZP10" s="122">
        <f t="shared" si="98"/>
        <v>2041415.12</v>
      </c>
      <c r="ZQ10" s="122">
        <f t="shared" si="98"/>
        <v>2041415.12</v>
      </c>
      <c r="ZR10" s="122">
        <f t="shared" si="98"/>
        <v>2041415.12</v>
      </c>
      <c r="ZS10" s="122">
        <f t="shared" si="98"/>
        <v>2041415.12</v>
      </c>
      <c r="ZT10" s="122">
        <f t="shared" si="98"/>
        <v>2041415.12</v>
      </c>
      <c r="ZU10" s="122">
        <f t="shared" si="98"/>
        <v>2041415.12</v>
      </c>
      <c r="ZV10" s="122">
        <f t="shared" si="98"/>
        <v>2041415.12</v>
      </c>
      <c r="ZW10" s="122">
        <f t="shared" si="98"/>
        <v>2041415.12</v>
      </c>
      <c r="ZX10" s="122">
        <f t="shared" si="98"/>
        <v>2041415.12</v>
      </c>
      <c r="ZY10" s="122">
        <f t="shared" si="98"/>
        <v>2041415.12</v>
      </c>
      <c r="ZZ10" s="122">
        <f t="shared" si="98"/>
        <v>2041415.12</v>
      </c>
      <c r="AAA10" s="122">
        <f t="shared" si="98"/>
        <v>2041415.12</v>
      </c>
      <c r="AAB10" s="122">
        <f t="shared" si="98"/>
        <v>2041415.12</v>
      </c>
      <c r="AAC10" s="122">
        <f t="shared" si="98"/>
        <v>2041415.12</v>
      </c>
      <c r="AAD10" s="122">
        <f t="shared" si="98"/>
        <v>2041415.12</v>
      </c>
      <c r="AAE10" s="122">
        <f t="shared" si="98"/>
        <v>2041415.12</v>
      </c>
      <c r="AAF10" s="122">
        <f t="shared" si="98"/>
        <v>2041415.12</v>
      </c>
      <c r="AAG10" s="122">
        <f t="shared" si="98"/>
        <v>2041415.12</v>
      </c>
      <c r="AAH10" s="122">
        <f t="shared" si="98"/>
        <v>2041415.12</v>
      </c>
      <c r="AAI10" s="122">
        <f t="shared" si="98"/>
        <v>2041415.12</v>
      </c>
      <c r="AAJ10" s="122">
        <f t="shared" si="98"/>
        <v>2041415.12</v>
      </c>
      <c r="AAK10" s="122">
        <f t="shared" ref="AAK10:ACV10" si="99">AAJ10+AAK9</f>
        <v>2041415.12</v>
      </c>
      <c r="AAL10" s="122">
        <f t="shared" si="99"/>
        <v>2041415.12</v>
      </c>
      <c r="AAM10" s="122">
        <f t="shared" si="99"/>
        <v>2041415.12</v>
      </c>
      <c r="AAN10" s="122">
        <f t="shared" si="99"/>
        <v>2041415.12</v>
      </c>
      <c r="AAO10" s="122">
        <f t="shared" si="99"/>
        <v>2041415.12</v>
      </c>
      <c r="AAP10" s="122">
        <f t="shared" si="99"/>
        <v>2041415.12</v>
      </c>
      <c r="AAQ10" s="122">
        <f t="shared" si="99"/>
        <v>2041415.12</v>
      </c>
      <c r="AAR10" s="122">
        <f t="shared" si="99"/>
        <v>2041415.12</v>
      </c>
      <c r="AAS10" s="122">
        <f t="shared" si="99"/>
        <v>2041415.12</v>
      </c>
      <c r="AAT10" s="122">
        <f t="shared" si="99"/>
        <v>2041415.12</v>
      </c>
      <c r="AAU10" s="122">
        <f t="shared" si="99"/>
        <v>2041415.12</v>
      </c>
      <c r="AAV10" s="122">
        <f t="shared" si="99"/>
        <v>2041415.12</v>
      </c>
      <c r="AAW10" s="122">
        <f t="shared" si="99"/>
        <v>2041415.12</v>
      </c>
      <c r="AAX10" s="122">
        <f t="shared" si="99"/>
        <v>2041415.12</v>
      </c>
      <c r="AAY10" s="122">
        <f t="shared" si="99"/>
        <v>2041415.12</v>
      </c>
      <c r="AAZ10" s="122">
        <f t="shared" si="99"/>
        <v>2041415.12</v>
      </c>
      <c r="ABA10" s="122">
        <f t="shared" si="99"/>
        <v>2041415.12</v>
      </c>
      <c r="ABB10" s="122">
        <f t="shared" si="99"/>
        <v>2041415.12</v>
      </c>
      <c r="ABC10" s="122">
        <f t="shared" si="99"/>
        <v>2041415.12</v>
      </c>
      <c r="ABD10" s="122">
        <f t="shared" si="99"/>
        <v>2041415.12</v>
      </c>
      <c r="ABE10" s="122">
        <f t="shared" si="99"/>
        <v>2041415.12</v>
      </c>
      <c r="ABF10" s="122">
        <f t="shared" si="99"/>
        <v>2041415.12</v>
      </c>
      <c r="ABG10" s="122">
        <f t="shared" si="99"/>
        <v>2041415.12</v>
      </c>
      <c r="ABH10" s="122">
        <f t="shared" si="99"/>
        <v>2041415.12</v>
      </c>
      <c r="ABI10" s="122">
        <f t="shared" si="99"/>
        <v>2041415.12</v>
      </c>
      <c r="ABJ10" s="122">
        <f t="shared" si="99"/>
        <v>2041415.12</v>
      </c>
      <c r="ABK10" s="122">
        <f t="shared" si="99"/>
        <v>2041415.12</v>
      </c>
      <c r="ABL10" s="122">
        <f t="shared" si="99"/>
        <v>2041415.12</v>
      </c>
      <c r="ABM10" s="122">
        <f t="shared" si="99"/>
        <v>2041415.12</v>
      </c>
      <c r="ABN10" s="122">
        <f t="shared" si="99"/>
        <v>2041415.12</v>
      </c>
      <c r="ABO10" s="122">
        <f t="shared" si="99"/>
        <v>2041415.12</v>
      </c>
      <c r="ABP10" s="122">
        <f t="shared" si="99"/>
        <v>2041415.12</v>
      </c>
      <c r="ABQ10" s="122">
        <f t="shared" si="99"/>
        <v>2041415.12</v>
      </c>
      <c r="ABR10" s="122">
        <f t="shared" si="99"/>
        <v>2041415.12</v>
      </c>
      <c r="ABS10" s="122">
        <f t="shared" si="99"/>
        <v>2041415.12</v>
      </c>
      <c r="ABT10" s="122">
        <f t="shared" si="99"/>
        <v>2041415.12</v>
      </c>
      <c r="ABU10" s="122">
        <f t="shared" si="99"/>
        <v>2041415.12</v>
      </c>
      <c r="ABV10" s="122">
        <f t="shared" si="99"/>
        <v>2041415.12</v>
      </c>
      <c r="ABW10" s="122">
        <f t="shared" si="99"/>
        <v>2041415.12</v>
      </c>
      <c r="ABX10" s="122">
        <f t="shared" si="99"/>
        <v>2041415.12</v>
      </c>
      <c r="ABY10" s="122">
        <f t="shared" si="99"/>
        <v>2041415.12</v>
      </c>
      <c r="ABZ10" s="122">
        <f t="shared" si="99"/>
        <v>2041415.12</v>
      </c>
      <c r="ACA10" s="122">
        <f t="shared" si="99"/>
        <v>2041415.12</v>
      </c>
      <c r="ACB10" s="122">
        <f t="shared" si="99"/>
        <v>2041415.12</v>
      </c>
      <c r="ACC10" s="122">
        <f t="shared" si="99"/>
        <v>2041415.12</v>
      </c>
      <c r="ACD10" s="122">
        <f t="shared" si="99"/>
        <v>2041415.12</v>
      </c>
      <c r="ACE10" s="122">
        <f t="shared" si="99"/>
        <v>2041415.12</v>
      </c>
      <c r="ACF10" s="122">
        <f t="shared" si="99"/>
        <v>2041415.12</v>
      </c>
      <c r="ACG10" s="122">
        <f t="shared" si="99"/>
        <v>2041415.12</v>
      </c>
      <c r="ACH10" s="122">
        <f t="shared" si="99"/>
        <v>2041415.12</v>
      </c>
      <c r="ACI10" s="122">
        <f t="shared" si="99"/>
        <v>2041415.12</v>
      </c>
      <c r="ACJ10" s="122">
        <f t="shared" si="99"/>
        <v>2041415.12</v>
      </c>
      <c r="ACK10" s="122">
        <f t="shared" si="99"/>
        <v>2041415.12</v>
      </c>
      <c r="ACL10" s="122">
        <f t="shared" si="99"/>
        <v>2041415.12</v>
      </c>
      <c r="ACM10" s="122">
        <f t="shared" si="99"/>
        <v>2041415.12</v>
      </c>
      <c r="ACN10" s="122">
        <f t="shared" si="99"/>
        <v>2041415.12</v>
      </c>
      <c r="ACO10" s="122">
        <f t="shared" si="99"/>
        <v>2041415.12</v>
      </c>
      <c r="ACP10" s="122">
        <f t="shared" si="99"/>
        <v>2041415.12</v>
      </c>
      <c r="ACQ10" s="122">
        <f t="shared" si="99"/>
        <v>2041415.12</v>
      </c>
      <c r="ACR10" s="122">
        <f t="shared" si="99"/>
        <v>2041415.12</v>
      </c>
      <c r="ACS10" s="122">
        <f t="shared" si="99"/>
        <v>2041415.12</v>
      </c>
      <c r="ACT10" s="122">
        <f t="shared" si="99"/>
        <v>2041415.12</v>
      </c>
      <c r="ACU10" s="122">
        <f t="shared" si="99"/>
        <v>2041415.12</v>
      </c>
      <c r="ACV10" s="122">
        <f t="shared" si="99"/>
        <v>2041415.12</v>
      </c>
      <c r="ACW10" s="122">
        <f t="shared" ref="ACW10:AFH10" si="100">ACV10+ACW9</f>
        <v>2041415.12</v>
      </c>
      <c r="ACX10" s="122">
        <f t="shared" si="100"/>
        <v>2041415.12</v>
      </c>
      <c r="ACY10" s="122">
        <f t="shared" si="100"/>
        <v>2041415.12</v>
      </c>
      <c r="ACZ10" s="122">
        <f t="shared" si="100"/>
        <v>2041415.12</v>
      </c>
      <c r="ADA10" s="122">
        <f t="shared" si="100"/>
        <v>2041415.12</v>
      </c>
      <c r="ADB10" s="122">
        <f t="shared" si="100"/>
        <v>2041415.12</v>
      </c>
      <c r="ADC10" s="122">
        <f t="shared" si="100"/>
        <v>2041415.12</v>
      </c>
      <c r="ADD10" s="122">
        <f t="shared" si="100"/>
        <v>2041415.12</v>
      </c>
      <c r="ADE10" s="122">
        <f t="shared" si="100"/>
        <v>2041415.12</v>
      </c>
      <c r="ADF10" s="122">
        <f t="shared" si="100"/>
        <v>2041415.12</v>
      </c>
      <c r="ADG10" s="122">
        <f t="shared" si="100"/>
        <v>2041415.12</v>
      </c>
      <c r="ADH10" s="122">
        <f t="shared" si="100"/>
        <v>2041415.12</v>
      </c>
      <c r="ADI10" s="122">
        <f t="shared" si="100"/>
        <v>2041415.12</v>
      </c>
      <c r="ADJ10" s="122">
        <f t="shared" si="100"/>
        <v>2041415.12</v>
      </c>
      <c r="ADK10" s="122">
        <f t="shared" si="100"/>
        <v>2041415.12</v>
      </c>
      <c r="ADL10" s="122">
        <f t="shared" si="100"/>
        <v>2041415.12</v>
      </c>
      <c r="ADM10" s="122">
        <f t="shared" si="100"/>
        <v>2041415.12</v>
      </c>
      <c r="ADN10" s="122">
        <f t="shared" si="100"/>
        <v>2041415.12</v>
      </c>
      <c r="ADO10" s="122">
        <f t="shared" si="100"/>
        <v>2041415.12</v>
      </c>
      <c r="ADP10" s="122">
        <f t="shared" si="100"/>
        <v>2041415.12</v>
      </c>
      <c r="ADQ10" s="122">
        <f t="shared" si="100"/>
        <v>2041415.12</v>
      </c>
      <c r="ADR10" s="122">
        <f t="shared" si="100"/>
        <v>2041415.12</v>
      </c>
      <c r="ADS10" s="122">
        <f t="shared" si="100"/>
        <v>2041415.12</v>
      </c>
      <c r="ADT10" s="122">
        <f t="shared" si="100"/>
        <v>2041415.12</v>
      </c>
      <c r="ADU10" s="122">
        <f t="shared" si="100"/>
        <v>2041415.12</v>
      </c>
      <c r="ADV10" s="122">
        <f t="shared" si="100"/>
        <v>2041415.12</v>
      </c>
      <c r="ADW10" s="122">
        <f t="shared" si="100"/>
        <v>2041415.12</v>
      </c>
      <c r="ADX10" s="122">
        <f t="shared" si="100"/>
        <v>2041415.12</v>
      </c>
      <c r="ADY10" s="122">
        <f t="shared" si="100"/>
        <v>2041415.12</v>
      </c>
      <c r="ADZ10" s="122">
        <f t="shared" si="100"/>
        <v>2041415.12</v>
      </c>
      <c r="AEA10" s="122">
        <f t="shared" si="100"/>
        <v>2041415.12</v>
      </c>
      <c r="AEB10" s="122">
        <f t="shared" si="100"/>
        <v>2041415.12</v>
      </c>
      <c r="AEC10" s="122">
        <f t="shared" si="100"/>
        <v>2041415.12</v>
      </c>
      <c r="AED10" s="122">
        <f t="shared" si="100"/>
        <v>2041415.12</v>
      </c>
      <c r="AEE10" s="122">
        <f t="shared" si="100"/>
        <v>2041415.12</v>
      </c>
      <c r="AEF10" s="122">
        <f t="shared" si="100"/>
        <v>2041415.12</v>
      </c>
      <c r="AEG10" s="122">
        <f t="shared" si="100"/>
        <v>2041415.12</v>
      </c>
      <c r="AEH10" s="122">
        <f t="shared" si="100"/>
        <v>2041415.12</v>
      </c>
      <c r="AEI10" s="122">
        <f t="shared" si="100"/>
        <v>2041415.12</v>
      </c>
      <c r="AEJ10" s="122">
        <f t="shared" si="100"/>
        <v>2041415.12</v>
      </c>
      <c r="AEK10" s="122">
        <f t="shared" si="100"/>
        <v>2041415.12</v>
      </c>
      <c r="AEL10" s="122">
        <f t="shared" si="100"/>
        <v>2041415.12</v>
      </c>
      <c r="AEM10" s="122">
        <f t="shared" si="100"/>
        <v>2041415.12</v>
      </c>
      <c r="AEN10" s="122">
        <f t="shared" si="100"/>
        <v>2041415.12</v>
      </c>
      <c r="AEO10" s="122">
        <f t="shared" si="100"/>
        <v>2041415.12</v>
      </c>
      <c r="AEP10" s="122">
        <f t="shared" si="100"/>
        <v>2041415.12</v>
      </c>
      <c r="AEQ10" s="122">
        <f t="shared" si="100"/>
        <v>2041415.12</v>
      </c>
      <c r="AER10" s="122">
        <f t="shared" si="100"/>
        <v>2041415.12</v>
      </c>
      <c r="AES10" s="122">
        <f t="shared" si="100"/>
        <v>2041415.12</v>
      </c>
      <c r="AET10" s="122">
        <f t="shared" si="100"/>
        <v>2041415.12</v>
      </c>
      <c r="AEU10" s="122">
        <f t="shared" si="100"/>
        <v>2041415.12</v>
      </c>
      <c r="AEV10" s="122">
        <f t="shared" si="100"/>
        <v>2041415.12</v>
      </c>
      <c r="AEW10" s="122">
        <f t="shared" si="100"/>
        <v>2041415.12</v>
      </c>
      <c r="AEX10" s="122">
        <f t="shared" si="100"/>
        <v>2041415.12</v>
      </c>
      <c r="AEY10" s="122">
        <f t="shared" si="100"/>
        <v>2041415.12</v>
      </c>
      <c r="AEZ10" s="122">
        <f t="shared" si="100"/>
        <v>2041415.12</v>
      </c>
      <c r="AFA10" s="122">
        <f t="shared" si="100"/>
        <v>2041415.12</v>
      </c>
      <c r="AFB10" s="122">
        <f t="shared" si="100"/>
        <v>2041415.12</v>
      </c>
      <c r="AFC10" s="122">
        <f t="shared" si="100"/>
        <v>2041415.12</v>
      </c>
      <c r="AFD10" s="122">
        <f t="shared" si="100"/>
        <v>2041415.12</v>
      </c>
      <c r="AFE10" s="122">
        <f t="shared" si="100"/>
        <v>2041415.12</v>
      </c>
      <c r="AFF10" s="122">
        <f t="shared" si="100"/>
        <v>2041415.12</v>
      </c>
      <c r="AFG10" s="122">
        <f t="shared" si="100"/>
        <v>2041415.12</v>
      </c>
      <c r="AFH10" s="122">
        <f t="shared" si="100"/>
        <v>2041415.12</v>
      </c>
      <c r="AFI10" s="122">
        <f t="shared" ref="AFI10:AHT10" si="101">AFH10+AFI9</f>
        <v>2041415.12</v>
      </c>
      <c r="AFJ10" s="122">
        <f t="shared" si="101"/>
        <v>2041415.12</v>
      </c>
      <c r="AFK10" s="122">
        <f t="shared" si="101"/>
        <v>2041415.12</v>
      </c>
      <c r="AFL10" s="122">
        <f t="shared" si="101"/>
        <v>2041415.12</v>
      </c>
      <c r="AFM10" s="122">
        <f t="shared" si="101"/>
        <v>2041415.12</v>
      </c>
      <c r="AFN10" s="122">
        <f t="shared" si="101"/>
        <v>2041415.12</v>
      </c>
      <c r="AFO10" s="122">
        <f t="shared" si="101"/>
        <v>2041415.12</v>
      </c>
      <c r="AFP10" s="122">
        <f t="shared" si="101"/>
        <v>2041415.12</v>
      </c>
      <c r="AFQ10" s="122">
        <f t="shared" si="101"/>
        <v>2041415.12</v>
      </c>
      <c r="AFR10" s="122">
        <f t="shared" si="101"/>
        <v>2041415.12</v>
      </c>
      <c r="AFS10" s="122">
        <f t="shared" si="101"/>
        <v>2041415.12</v>
      </c>
      <c r="AFT10" s="122">
        <f t="shared" si="101"/>
        <v>2041415.12</v>
      </c>
      <c r="AFU10" s="122">
        <f t="shared" si="101"/>
        <v>2041415.12</v>
      </c>
      <c r="AFV10" s="122">
        <f t="shared" si="101"/>
        <v>2041415.12</v>
      </c>
      <c r="AFW10" s="122">
        <f t="shared" si="101"/>
        <v>2041415.12</v>
      </c>
      <c r="AFX10" s="122">
        <f t="shared" si="101"/>
        <v>2041415.12</v>
      </c>
      <c r="AFY10" s="122">
        <f t="shared" si="101"/>
        <v>2041415.12</v>
      </c>
      <c r="AFZ10" s="122">
        <f t="shared" si="101"/>
        <v>2041415.12</v>
      </c>
      <c r="AGA10" s="122">
        <f t="shared" si="101"/>
        <v>2041415.12</v>
      </c>
      <c r="AGB10" s="122">
        <f t="shared" si="101"/>
        <v>2041415.12</v>
      </c>
      <c r="AGC10" s="122">
        <f t="shared" si="101"/>
        <v>2041415.12</v>
      </c>
      <c r="AGD10" s="122">
        <f t="shared" si="101"/>
        <v>2041415.12</v>
      </c>
      <c r="AGE10" s="122">
        <f t="shared" si="101"/>
        <v>2041415.12</v>
      </c>
      <c r="AGF10" s="122">
        <f t="shared" si="101"/>
        <v>2041415.12</v>
      </c>
      <c r="AGG10" s="122">
        <f t="shared" si="101"/>
        <v>2041415.12</v>
      </c>
      <c r="AGH10" s="122">
        <f t="shared" si="101"/>
        <v>2041415.12</v>
      </c>
      <c r="AGI10" s="122">
        <f t="shared" si="101"/>
        <v>2041415.12</v>
      </c>
      <c r="AGJ10" s="122">
        <f t="shared" si="101"/>
        <v>2041415.12</v>
      </c>
      <c r="AGK10" s="122">
        <f t="shared" si="101"/>
        <v>2041415.12</v>
      </c>
      <c r="AGL10" s="122">
        <f t="shared" si="101"/>
        <v>2041415.12</v>
      </c>
      <c r="AGM10" s="122">
        <f t="shared" si="101"/>
        <v>2041415.12</v>
      </c>
      <c r="AGN10" s="122">
        <f t="shared" si="101"/>
        <v>2041415.12</v>
      </c>
      <c r="AGO10" s="122">
        <f t="shared" si="101"/>
        <v>2041415.12</v>
      </c>
      <c r="AGP10" s="122">
        <f t="shared" si="101"/>
        <v>2041415.12</v>
      </c>
      <c r="AGQ10" s="122">
        <f t="shared" si="101"/>
        <v>2041415.12</v>
      </c>
      <c r="AGR10" s="122">
        <f t="shared" si="101"/>
        <v>2041415.12</v>
      </c>
      <c r="AGS10" s="122">
        <f t="shared" si="101"/>
        <v>2041415.12</v>
      </c>
      <c r="AGT10" s="122">
        <f t="shared" si="101"/>
        <v>2041415.12</v>
      </c>
      <c r="AGU10" s="122">
        <f t="shared" si="101"/>
        <v>2041415.12</v>
      </c>
      <c r="AGV10" s="122">
        <f t="shared" si="101"/>
        <v>2041415.12</v>
      </c>
      <c r="AGW10" s="122">
        <f t="shared" si="101"/>
        <v>2041415.12</v>
      </c>
      <c r="AGX10" s="122">
        <f t="shared" si="101"/>
        <v>2041415.12</v>
      </c>
      <c r="AGY10" s="122">
        <f t="shared" si="101"/>
        <v>2041415.12</v>
      </c>
      <c r="AGZ10" s="122">
        <f t="shared" si="101"/>
        <v>2041415.12</v>
      </c>
      <c r="AHA10" s="122">
        <f t="shared" si="101"/>
        <v>2041415.12</v>
      </c>
      <c r="AHB10" s="122">
        <f t="shared" si="101"/>
        <v>2041415.12</v>
      </c>
      <c r="AHC10" s="122">
        <f t="shared" si="101"/>
        <v>2041415.12</v>
      </c>
      <c r="AHD10" s="122">
        <f t="shared" si="101"/>
        <v>2041415.12</v>
      </c>
      <c r="AHE10" s="122">
        <f t="shared" si="101"/>
        <v>2041415.12</v>
      </c>
      <c r="AHF10" s="122">
        <f t="shared" si="101"/>
        <v>2041415.12</v>
      </c>
      <c r="AHG10" s="122">
        <f t="shared" si="101"/>
        <v>2041415.12</v>
      </c>
      <c r="AHH10" s="122">
        <f t="shared" si="101"/>
        <v>2041415.12</v>
      </c>
      <c r="AHI10" s="122">
        <f t="shared" si="101"/>
        <v>2041415.12</v>
      </c>
      <c r="AHJ10" s="122">
        <f t="shared" si="101"/>
        <v>2041415.12</v>
      </c>
      <c r="AHK10" s="122">
        <f t="shared" si="101"/>
        <v>2041415.12</v>
      </c>
      <c r="AHL10" s="122">
        <f t="shared" si="101"/>
        <v>2041415.12</v>
      </c>
      <c r="AHM10" s="122">
        <f t="shared" si="101"/>
        <v>2041415.12</v>
      </c>
      <c r="AHN10" s="122">
        <f t="shared" si="101"/>
        <v>2041415.12</v>
      </c>
      <c r="AHO10" s="122">
        <f t="shared" si="101"/>
        <v>2041415.12</v>
      </c>
      <c r="AHP10" s="122">
        <f t="shared" si="101"/>
        <v>2041415.12</v>
      </c>
      <c r="AHQ10" s="122">
        <f t="shared" si="101"/>
        <v>2041415.12</v>
      </c>
      <c r="AHR10" s="122">
        <f t="shared" si="101"/>
        <v>2041415.12</v>
      </c>
      <c r="AHS10" s="122">
        <f t="shared" si="101"/>
        <v>2041415.12</v>
      </c>
      <c r="AHT10" s="122">
        <f t="shared" si="101"/>
        <v>2041415.12</v>
      </c>
      <c r="AHU10" s="122">
        <f t="shared" ref="AHU10:AKF10" si="102">AHT10+AHU9</f>
        <v>2041415.12</v>
      </c>
      <c r="AHV10" s="122">
        <f t="shared" si="102"/>
        <v>2041415.12</v>
      </c>
      <c r="AHW10" s="122">
        <f t="shared" si="102"/>
        <v>2041415.12</v>
      </c>
      <c r="AHX10" s="122">
        <f t="shared" si="102"/>
        <v>2041415.12</v>
      </c>
      <c r="AHY10" s="122">
        <f t="shared" si="102"/>
        <v>2041415.12</v>
      </c>
      <c r="AHZ10" s="122">
        <f t="shared" si="102"/>
        <v>2041415.12</v>
      </c>
      <c r="AIA10" s="122">
        <f t="shared" si="102"/>
        <v>2041415.12</v>
      </c>
      <c r="AIB10" s="122">
        <f t="shared" si="102"/>
        <v>2041415.12</v>
      </c>
      <c r="AIC10" s="122">
        <f t="shared" si="102"/>
        <v>2041415.12</v>
      </c>
      <c r="AID10" s="122">
        <f t="shared" si="102"/>
        <v>2041415.12</v>
      </c>
      <c r="AIE10" s="122">
        <f t="shared" si="102"/>
        <v>2041415.12</v>
      </c>
      <c r="AIF10" s="122">
        <f t="shared" si="102"/>
        <v>2041415.12</v>
      </c>
      <c r="AIG10" s="122">
        <f t="shared" si="102"/>
        <v>2041415.12</v>
      </c>
      <c r="AIH10" s="122">
        <f t="shared" si="102"/>
        <v>2041415.12</v>
      </c>
      <c r="AII10" s="122">
        <f t="shared" si="102"/>
        <v>2041415.12</v>
      </c>
      <c r="AIJ10" s="122">
        <f t="shared" si="102"/>
        <v>2041415.12</v>
      </c>
      <c r="AIK10" s="122">
        <f t="shared" si="102"/>
        <v>2041415.12</v>
      </c>
      <c r="AIL10" s="122">
        <f t="shared" si="102"/>
        <v>2041415.12</v>
      </c>
      <c r="AIM10" s="122">
        <f t="shared" si="102"/>
        <v>2041415.12</v>
      </c>
      <c r="AIN10" s="122">
        <f t="shared" si="102"/>
        <v>2041415.12</v>
      </c>
      <c r="AIO10" s="122">
        <f t="shared" si="102"/>
        <v>2041415.12</v>
      </c>
      <c r="AIP10" s="122">
        <f t="shared" si="102"/>
        <v>2041415.12</v>
      </c>
      <c r="AIQ10" s="122">
        <f t="shared" si="102"/>
        <v>2041415.12</v>
      </c>
      <c r="AIR10" s="122">
        <f t="shared" si="102"/>
        <v>2041415.12</v>
      </c>
      <c r="AIS10" s="122">
        <f t="shared" si="102"/>
        <v>2041415.12</v>
      </c>
      <c r="AIT10" s="122">
        <f t="shared" si="102"/>
        <v>2041415.12</v>
      </c>
      <c r="AIU10" s="122">
        <f t="shared" si="102"/>
        <v>2041415.12</v>
      </c>
      <c r="AIV10" s="122">
        <f t="shared" si="102"/>
        <v>2041415.12</v>
      </c>
      <c r="AIW10" s="122">
        <f t="shared" si="102"/>
        <v>2041415.12</v>
      </c>
      <c r="AIX10" s="122">
        <f t="shared" si="102"/>
        <v>2041415.12</v>
      </c>
      <c r="AIY10" s="122">
        <f t="shared" si="102"/>
        <v>2041415.12</v>
      </c>
      <c r="AIZ10" s="122">
        <f t="shared" si="102"/>
        <v>2041415.12</v>
      </c>
      <c r="AJA10" s="122">
        <f t="shared" si="102"/>
        <v>2041415.12</v>
      </c>
      <c r="AJB10" s="122">
        <f t="shared" si="102"/>
        <v>2041415.12</v>
      </c>
      <c r="AJC10" s="122">
        <f t="shared" si="102"/>
        <v>2041415.12</v>
      </c>
      <c r="AJD10" s="122">
        <f t="shared" si="102"/>
        <v>2041415.12</v>
      </c>
      <c r="AJE10" s="122">
        <f t="shared" si="102"/>
        <v>2041415.12</v>
      </c>
      <c r="AJF10" s="122">
        <f t="shared" si="102"/>
        <v>2041415.12</v>
      </c>
      <c r="AJG10" s="122">
        <f t="shared" si="102"/>
        <v>2041415.12</v>
      </c>
      <c r="AJH10" s="122">
        <f t="shared" si="102"/>
        <v>2041415.12</v>
      </c>
      <c r="AJI10" s="122">
        <f t="shared" si="102"/>
        <v>2041415.12</v>
      </c>
      <c r="AJJ10" s="122">
        <f t="shared" si="102"/>
        <v>2041415.12</v>
      </c>
      <c r="AJK10" s="122">
        <f t="shared" si="102"/>
        <v>2041415.12</v>
      </c>
      <c r="AJL10" s="122">
        <f t="shared" si="102"/>
        <v>2041415.12</v>
      </c>
      <c r="AJM10" s="122">
        <f t="shared" si="102"/>
        <v>2041415.12</v>
      </c>
      <c r="AJN10" s="122">
        <f t="shared" si="102"/>
        <v>2041415.12</v>
      </c>
      <c r="AJO10" s="122">
        <f t="shared" si="102"/>
        <v>2041415.12</v>
      </c>
      <c r="AJP10" s="122">
        <f t="shared" si="102"/>
        <v>2041415.12</v>
      </c>
      <c r="AJQ10" s="122">
        <f t="shared" si="102"/>
        <v>2041415.12</v>
      </c>
      <c r="AJR10" s="122">
        <f t="shared" si="102"/>
        <v>2041415.12</v>
      </c>
      <c r="AJS10" s="122">
        <f t="shared" si="102"/>
        <v>2041415.12</v>
      </c>
      <c r="AJT10" s="122">
        <f t="shared" si="102"/>
        <v>2041415.12</v>
      </c>
      <c r="AJU10" s="122">
        <f t="shared" si="102"/>
        <v>2041415.12</v>
      </c>
      <c r="AJV10" s="122">
        <f t="shared" si="102"/>
        <v>2041415.12</v>
      </c>
      <c r="AJW10" s="122">
        <f t="shared" si="102"/>
        <v>2041415.12</v>
      </c>
      <c r="AJX10" s="122">
        <f t="shared" si="102"/>
        <v>2041415.12</v>
      </c>
      <c r="AJY10" s="122">
        <f t="shared" si="102"/>
        <v>2041415.12</v>
      </c>
      <c r="AJZ10" s="122">
        <f t="shared" si="102"/>
        <v>2041415.12</v>
      </c>
      <c r="AKA10" s="122">
        <f t="shared" si="102"/>
        <v>2041415.12</v>
      </c>
      <c r="AKB10" s="122">
        <f t="shared" si="102"/>
        <v>2041415.12</v>
      </c>
      <c r="AKC10" s="122">
        <f t="shared" si="102"/>
        <v>2041415.12</v>
      </c>
      <c r="AKD10" s="122">
        <f t="shared" si="102"/>
        <v>2041415.12</v>
      </c>
      <c r="AKE10" s="122">
        <f t="shared" si="102"/>
        <v>2041415.12</v>
      </c>
      <c r="AKF10" s="122">
        <f t="shared" si="102"/>
        <v>2041415.12</v>
      </c>
      <c r="AKG10" s="122">
        <f t="shared" ref="AKG10:AMR10" si="103">AKF10+AKG9</f>
        <v>2041415.12</v>
      </c>
      <c r="AKH10" s="122">
        <f t="shared" si="103"/>
        <v>2041415.12</v>
      </c>
      <c r="AKI10" s="122">
        <f t="shared" si="103"/>
        <v>2041415.12</v>
      </c>
      <c r="AKJ10" s="122">
        <f t="shared" si="103"/>
        <v>2041415.12</v>
      </c>
      <c r="AKK10" s="122">
        <f t="shared" si="103"/>
        <v>2041415.12</v>
      </c>
      <c r="AKL10" s="122">
        <f t="shared" si="103"/>
        <v>2041415.12</v>
      </c>
      <c r="AKM10" s="122">
        <f t="shared" si="103"/>
        <v>2041415.12</v>
      </c>
      <c r="AKN10" s="122">
        <f t="shared" si="103"/>
        <v>2041415.12</v>
      </c>
      <c r="AKO10" s="122">
        <f t="shared" si="103"/>
        <v>2041415.12</v>
      </c>
      <c r="AKP10" s="122">
        <f t="shared" si="103"/>
        <v>2041415.12</v>
      </c>
      <c r="AKQ10" s="122">
        <f t="shared" si="103"/>
        <v>2041415.12</v>
      </c>
      <c r="AKR10" s="122">
        <f t="shared" si="103"/>
        <v>2041415.12</v>
      </c>
      <c r="AKS10" s="122">
        <f t="shared" si="103"/>
        <v>2041415.12</v>
      </c>
      <c r="AKT10" s="122">
        <f t="shared" si="103"/>
        <v>2041415.12</v>
      </c>
      <c r="AKU10" s="122">
        <f t="shared" si="103"/>
        <v>2041415.12</v>
      </c>
      <c r="AKV10" s="122">
        <f t="shared" si="103"/>
        <v>2041415.12</v>
      </c>
      <c r="AKW10" s="122">
        <f t="shared" si="103"/>
        <v>2041415.12</v>
      </c>
      <c r="AKX10" s="122">
        <f t="shared" si="103"/>
        <v>2041415.12</v>
      </c>
      <c r="AKY10" s="122">
        <f t="shared" si="103"/>
        <v>2041415.12</v>
      </c>
      <c r="AKZ10" s="122">
        <f t="shared" si="103"/>
        <v>2041415.12</v>
      </c>
      <c r="ALA10" s="122">
        <f t="shared" si="103"/>
        <v>2041415.12</v>
      </c>
      <c r="ALB10" s="122">
        <f t="shared" si="103"/>
        <v>2041415.12</v>
      </c>
      <c r="ALC10" s="122">
        <f t="shared" si="103"/>
        <v>2041415.12</v>
      </c>
      <c r="ALD10" s="122">
        <f t="shared" si="103"/>
        <v>2041415.12</v>
      </c>
      <c r="ALE10" s="122">
        <f t="shared" si="103"/>
        <v>2041415.12</v>
      </c>
      <c r="ALF10" s="122">
        <f t="shared" si="103"/>
        <v>2041415.12</v>
      </c>
      <c r="ALG10" s="122">
        <f t="shared" si="103"/>
        <v>2041415.12</v>
      </c>
      <c r="ALH10" s="122">
        <f t="shared" si="103"/>
        <v>2041415.12</v>
      </c>
      <c r="ALI10" s="122">
        <f t="shared" si="103"/>
        <v>2041415.12</v>
      </c>
      <c r="ALJ10" s="122">
        <f t="shared" si="103"/>
        <v>2041415.12</v>
      </c>
      <c r="ALK10" s="122">
        <f t="shared" si="103"/>
        <v>2041415.12</v>
      </c>
      <c r="ALL10" s="122">
        <f t="shared" si="103"/>
        <v>2041415.12</v>
      </c>
      <c r="ALM10" s="122">
        <f t="shared" si="103"/>
        <v>2041415.12</v>
      </c>
      <c r="ALN10" s="122">
        <f t="shared" si="103"/>
        <v>2041415.12</v>
      </c>
      <c r="ALO10" s="122">
        <f t="shared" si="103"/>
        <v>2041415.12</v>
      </c>
      <c r="ALP10" s="122">
        <f t="shared" si="103"/>
        <v>2041415.12</v>
      </c>
      <c r="ALQ10" s="122">
        <f t="shared" si="103"/>
        <v>2041415.12</v>
      </c>
      <c r="ALR10" s="122">
        <f t="shared" si="103"/>
        <v>2041415.12</v>
      </c>
      <c r="ALS10" s="122">
        <f t="shared" si="103"/>
        <v>2041415.12</v>
      </c>
      <c r="ALT10" s="122">
        <f t="shared" si="103"/>
        <v>2041415.12</v>
      </c>
      <c r="ALU10" s="122">
        <f t="shared" si="103"/>
        <v>2041415.12</v>
      </c>
      <c r="ALV10" s="122">
        <f t="shared" si="103"/>
        <v>2041415.12</v>
      </c>
      <c r="ALW10" s="122">
        <f t="shared" si="103"/>
        <v>2041415.12</v>
      </c>
      <c r="ALX10" s="122">
        <f t="shared" si="103"/>
        <v>2041415.12</v>
      </c>
      <c r="ALY10" s="122">
        <f t="shared" si="103"/>
        <v>2041415.12</v>
      </c>
      <c r="ALZ10" s="122">
        <f t="shared" si="103"/>
        <v>2041415.12</v>
      </c>
      <c r="AMA10" s="122">
        <f t="shared" si="103"/>
        <v>2041415.12</v>
      </c>
      <c r="AMB10" s="122">
        <f t="shared" si="103"/>
        <v>2041415.12</v>
      </c>
      <c r="AMC10" s="122">
        <f t="shared" si="103"/>
        <v>2041415.12</v>
      </c>
      <c r="AMD10" s="122">
        <f t="shared" si="103"/>
        <v>2041415.12</v>
      </c>
      <c r="AME10" s="122">
        <f t="shared" si="103"/>
        <v>2041415.12</v>
      </c>
      <c r="AMF10" s="122">
        <f t="shared" si="103"/>
        <v>2041415.12</v>
      </c>
      <c r="AMG10" s="122">
        <f t="shared" si="103"/>
        <v>2041415.12</v>
      </c>
      <c r="AMH10" s="122">
        <f t="shared" si="103"/>
        <v>2041415.12</v>
      </c>
      <c r="AMI10" s="122">
        <f t="shared" si="103"/>
        <v>2041415.12</v>
      </c>
      <c r="AMJ10" s="122">
        <f t="shared" si="103"/>
        <v>2041415.12</v>
      </c>
      <c r="AMK10" s="122">
        <f t="shared" si="103"/>
        <v>2041415.12</v>
      </c>
      <c r="AML10" s="122">
        <f t="shared" si="103"/>
        <v>2041415.12</v>
      </c>
      <c r="AMM10" s="122">
        <f t="shared" si="103"/>
        <v>2041415.12</v>
      </c>
      <c r="AMN10" s="122">
        <f t="shared" si="103"/>
        <v>2041415.12</v>
      </c>
      <c r="AMO10" s="122">
        <f t="shared" si="103"/>
        <v>2041415.12</v>
      </c>
      <c r="AMP10" s="122">
        <f t="shared" si="103"/>
        <v>2041415.12</v>
      </c>
      <c r="AMQ10" s="122">
        <f t="shared" si="103"/>
        <v>2041415.12</v>
      </c>
      <c r="AMR10" s="122">
        <f t="shared" si="103"/>
        <v>2041415.12</v>
      </c>
      <c r="AMS10" s="122">
        <f t="shared" ref="AMS10:APD10" si="104">AMR10+AMS9</f>
        <v>2041415.12</v>
      </c>
      <c r="AMT10" s="122">
        <f t="shared" si="104"/>
        <v>2041415.12</v>
      </c>
      <c r="AMU10" s="122">
        <f t="shared" si="104"/>
        <v>2041415.12</v>
      </c>
      <c r="AMV10" s="122">
        <f t="shared" si="104"/>
        <v>2041415.12</v>
      </c>
      <c r="AMW10" s="122">
        <f t="shared" si="104"/>
        <v>2041415.12</v>
      </c>
      <c r="AMX10" s="122">
        <f t="shared" si="104"/>
        <v>2041415.12</v>
      </c>
      <c r="AMY10" s="122">
        <f t="shared" si="104"/>
        <v>2041415.12</v>
      </c>
      <c r="AMZ10" s="122">
        <f t="shared" si="104"/>
        <v>2041415.12</v>
      </c>
      <c r="ANA10" s="122">
        <f t="shared" si="104"/>
        <v>2041415.12</v>
      </c>
      <c r="ANB10" s="122">
        <f t="shared" si="104"/>
        <v>2041415.12</v>
      </c>
      <c r="ANC10" s="122">
        <f t="shared" si="104"/>
        <v>2041415.12</v>
      </c>
      <c r="AND10" s="122">
        <f t="shared" si="104"/>
        <v>2041415.12</v>
      </c>
      <c r="ANE10" s="122">
        <f t="shared" si="104"/>
        <v>2041415.12</v>
      </c>
      <c r="ANF10" s="122">
        <f t="shared" si="104"/>
        <v>2041415.12</v>
      </c>
      <c r="ANG10" s="122">
        <f t="shared" si="104"/>
        <v>2041415.12</v>
      </c>
      <c r="ANH10" s="122">
        <f t="shared" si="104"/>
        <v>2041415.12</v>
      </c>
      <c r="ANI10" s="122">
        <f t="shared" si="104"/>
        <v>2041415.12</v>
      </c>
      <c r="ANJ10" s="122">
        <f t="shared" si="104"/>
        <v>2041415.12</v>
      </c>
      <c r="ANK10" s="122">
        <f t="shared" si="104"/>
        <v>2041415.12</v>
      </c>
      <c r="ANL10" s="122">
        <f t="shared" si="104"/>
        <v>2041415.12</v>
      </c>
      <c r="ANM10" s="122">
        <f t="shared" si="104"/>
        <v>2041415.12</v>
      </c>
      <c r="ANN10" s="122">
        <f t="shared" si="104"/>
        <v>2041415.12</v>
      </c>
      <c r="ANO10" s="122">
        <f t="shared" si="104"/>
        <v>2041415.12</v>
      </c>
      <c r="ANP10" s="122">
        <f t="shared" si="104"/>
        <v>2041415.12</v>
      </c>
      <c r="ANQ10" s="122">
        <f t="shared" si="104"/>
        <v>2041415.12</v>
      </c>
      <c r="ANR10" s="122">
        <f t="shared" si="104"/>
        <v>2041415.12</v>
      </c>
      <c r="ANS10" s="122">
        <f t="shared" si="104"/>
        <v>2041415.12</v>
      </c>
      <c r="ANT10" s="122">
        <f t="shared" si="104"/>
        <v>2041415.12</v>
      </c>
      <c r="ANU10" s="122">
        <f t="shared" si="104"/>
        <v>2041415.12</v>
      </c>
      <c r="ANV10" s="122">
        <f t="shared" si="104"/>
        <v>2041415.12</v>
      </c>
      <c r="ANW10" s="122">
        <f t="shared" si="104"/>
        <v>2041415.12</v>
      </c>
      <c r="ANX10" s="122">
        <f t="shared" si="104"/>
        <v>2041415.12</v>
      </c>
      <c r="ANY10" s="122">
        <f t="shared" si="104"/>
        <v>2041415.12</v>
      </c>
      <c r="ANZ10" s="122">
        <f t="shared" si="104"/>
        <v>2041415.12</v>
      </c>
      <c r="AOA10" s="122">
        <f t="shared" si="104"/>
        <v>2041415.12</v>
      </c>
      <c r="AOB10" s="122">
        <f t="shared" si="104"/>
        <v>2041415.12</v>
      </c>
      <c r="AOC10" s="122">
        <f t="shared" si="104"/>
        <v>2041415.12</v>
      </c>
      <c r="AOD10" s="122">
        <f t="shared" si="104"/>
        <v>2041415.12</v>
      </c>
      <c r="AOE10" s="122">
        <f t="shared" si="104"/>
        <v>2041415.12</v>
      </c>
      <c r="AOF10" s="122">
        <f t="shared" si="104"/>
        <v>2041415.12</v>
      </c>
      <c r="AOG10" s="122">
        <f t="shared" si="104"/>
        <v>2041415.12</v>
      </c>
      <c r="AOH10" s="122">
        <f t="shared" si="104"/>
        <v>2041415.12</v>
      </c>
      <c r="AOI10" s="122">
        <f t="shared" si="104"/>
        <v>2041415.12</v>
      </c>
      <c r="AOJ10" s="122">
        <f t="shared" si="104"/>
        <v>2041415.12</v>
      </c>
      <c r="AOK10" s="122">
        <f t="shared" si="104"/>
        <v>2041415.12</v>
      </c>
      <c r="AOL10" s="122">
        <f t="shared" si="104"/>
        <v>2041415.12</v>
      </c>
      <c r="AOM10" s="122">
        <f t="shared" si="104"/>
        <v>2041415.12</v>
      </c>
      <c r="AON10" s="122">
        <f t="shared" si="104"/>
        <v>2041415.12</v>
      </c>
      <c r="AOO10" s="122">
        <f t="shared" si="104"/>
        <v>2041415.12</v>
      </c>
      <c r="AOP10" s="122">
        <f t="shared" si="104"/>
        <v>2041415.12</v>
      </c>
      <c r="AOQ10" s="122">
        <f t="shared" si="104"/>
        <v>2041415.12</v>
      </c>
      <c r="AOR10" s="122">
        <f t="shared" si="104"/>
        <v>2041415.12</v>
      </c>
      <c r="AOS10" s="122">
        <f t="shared" si="104"/>
        <v>2041415.12</v>
      </c>
      <c r="AOT10" s="122">
        <f t="shared" si="104"/>
        <v>2041415.12</v>
      </c>
      <c r="AOU10" s="122">
        <f t="shared" si="104"/>
        <v>2041415.12</v>
      </c>
      <c r="AOV10" s="122">
        <f t="shared" si="104"/>
        <v>2041415.12</v>
      </c>
      <c r="AOW10" s="122">
        <f t="shared" si="104"/>
        <v>2041415.12</v>
      </c>
      <c r="AOX10" s="122">
        <f t="shared" si="104"/>
        <v>2041415.12</v>
      </c>
      <c r="AOY10" s="122">
        <f t="shared" si="104"/>
        <v>2041415.12</v>
      </c>
      <c r="AOZ10" s="122">
        <f t="shared" si="104"/>
        <v>2041415.12</v>
      </c>
      <c r="APA10" s="122">
        <f t="shared" si="104"/>
        <v>2041415.12</v>
      </c>
      <c r="APB10" s="122">
        <f t="shared" si="104"/>
        <v>2041415.12</v>
      </c>
      <c r="APC10" s="122">
        <f t="shared" si="104"/>
        <v>2041415.12</v>
      </c>
      <c r="APD10" s="122">
        <f t="shared" si="104"/>
        <v>2041415.12</v>
      </c>
      <c r="APE10" s="122">
        <f t="shared" ref="APE10:ARP10" si="105">APD10+APE9</f>
        <v>2041415.12</v>
      </c>
      <c r="APF10" s="122">
        <f t="shared" si="105"/>
        <v>2041415.12</v>
      </c>
      <c r="APG10" s="122">
        <f t="shared" si="105"/>
        <v>2041415.12</v>
      </c>
      <c r="APH10" s="122">
        <f t="shared" si="105"/>
        <v>2041415.12</v>
      </c>
      <c r="API10" s="122">
        <f t="shared" si="105"/>
        <v>2041415.12</v>
      </c>
      <c r="APJ10" s="122">
        <f t="shared" si="105"/>
        <v>2041415.12</v>
      </c>
      <c r="APK10" s="122">
        <f t="shared" si="105"/>
        <v>2041415.12</v>
      </c>
      <c r="APL10" s="122">
        <f t="shared" si="105"/>
        <v>2041415.12</v>
      </c>
      <c r="APM10" s="122">
        <f t="shared" si="105"/>
        <v>2041415.12</v>
      </c>
      <c r="APN10" s="122">
        <f t="shared" si="105"/>
        <v>2041415.12</v>
      </c>
      <c r="APO10" s="122">
        <f t="shared" si="105"/>
        <v>2041415.12</v>
      </c>
      <c r="APP10" s="122">
        <f t="shared" si="105"/>
        <v>2041415.12</v>
      </c>
      <c r="APQ10" s="122">
        <f t="shared" si="105"/>
        <v>2041415.12</v>
      </c>
      <c r="APR10" s="122">
        <f t="shared" si="105"/>
        <v>2041415.12</v>
      </c>
      <c r="APS10" s="122">
        <f t="shared" si="105"/>
        <v>2041415.12</v>
      </c>
      <c r="APT10" s="122">
        <f t="shared" si="105"/>
        <v>2041415.12</v>
      </c>
      <c r="APU10" s="122">
        <f t="shared" si="105"/>
        <v>2041415.12</v>
      </c>
      <c r="APV10" s="122">
        <f t="shared" si="105"/>
        <v>2041415.12</v>
      </c>
      <c r="APW10" s="122">
        <f t="shared" si="105"/>
        <v>2041415.12</v>
      </c>
      <c r="APX10" s="122">
        <f t="shared" si="105"/>
        <v>2041415.12</v>
      </c>
      <c r="APY10" s="122">
        <f t="shared" si="105"/>
        <v>2041415.12</v>
      </c>
      <c r="APZ10" s="122">
        <f t="shared" si="105"/>
        <v>2041415.12</v>
      </c>
      <c r="AQA10" s="122">
        <f t="shared" si="105"/>
        <v>2041415.12</v>
      </c>
      <c r="AQB10" s="122">
        <f t="shared" si="105"/>
        <v>2041415.12</v>
      </c>
      <c r="AQC10" s="122">
        <f t="shared" si="105"/>
        <v>2041415.12</v>
      </c>
      <c r="AQD10" s="122">
        <f t="shared" si="105"/>
        <v>2041415.12</v>
      </c>
      <c r="AQE10" s="122">
        <f t="shared" si="105"/>
        <v>2041415.12</v>
      </c>
      <c r="AQF10" s="122">
        <f t="shared" si="105"/>
        <v>2041415.12</v>
      </c>
      <c r="AQG10" s="122">
        <f t="shared" si="105"/>
        <v>2041415.12</v>
      </c>
      <c r="AQH10" s="122">
        <f t="shared" si="105"/>
        <v>2041415.12</v>
      </c>
      <c r="AQI10" s="122">
        <f t="shared" si="105"/>
        <v>2041415.12</v>
      </c>
      <c r="AQJ10" s="122">
        <f t="shared" si="105"/>
        <v>2041415.12</v>
      </c>
      <c r="AQK10" s="122">
        <f t="shared" si="105"/>
        <v>2041415.12</v>
      </c>
      <c r="AQL10" s="122">
        <f t="shared" si="105"/>
        <v>2041415.12</v>
      </c>
      <c r="AQM10" s="122">
        <f t="shared" si="105"/>
        <v>2041415.12</v>
      </c>
      <c r="AQN10" s="122">
        <f t="shared" si="105"/>
        <v>2041415.12</v>
      </c>
      <c r="AQO10" s="122">
        <f t="shared" si="105"/>
        <v>2041415.12</v>
      </c>
      <c r="AQP10" s="122">
        <f t="shared" si="105"/>
        <v>2041415.12</v>
      </c>
      <c r="AQQ10" s="122">
        <f t="shared" si="105"/>
        <v>2041415.12</v>
      </c>
      <c r="AQR10" s="122">
        <f t="shared" si="105"/>
        <v>2041415.12</v>
      </c>
      <c r="AQS10" s="122">
        <f t="shared" si="105"/>
        <v>2041415.12</v>
      </c>
      <c r="AQT10" s="122">
        <f t="shared" si="105"/>
        <v>2041415.12</v>
      </c>
      <c r="AQU10" s="122">
        <f t="shared" si="105"/>
        <v>2041415.12</v>
      </c>
      <c r="AQV10" s="122">
        <f t="shared" si="105"/>
        <v>2041415.12</v>
      </c>
      <c r="AQW10" s="122">
        <f t="shared" si="105"/>
        <v>2041415.12</v>
      </c>
      <c r="AQX10" s="122">
        <f t="shared" si="105"/>
        <v>2041415.12</v>
      </c>
      <c r="AQY10" s="122">
        <f t="shared" si="105"/>
        <v>2041415.12</v>
      </c>
      <c r="AQZ10" s="122">
        <f t="shared" si="105"/>
        <v>2041415.12</v>
      </c>
      <c r="ARA10" s="122">
        <f t="shared" si="105"/>
        <v>2041415.12</v>
      </c>
      <c r="ARB10" s="122">
        <f t="shared" si="105"/>
        <v>2041415.12</v>
      </c>
      <c r="ARC10" s="122">
        <f t="shared" si="105"/>
        <v>2041415.12</v>
      </c>
      <c r="ARD10" s="122">
        <f t="shared" si="105"/>
        <v>2041415.12</v>
      </c>
      <c r="ARE10" s="122">
        <f t="shared" si="105"/>
        <v>2041415.12</v>
      </c>
      <c r="ARF10" s="122">
        <f t="shared" si="105"/>
        <v>2041415.12</v>
      </c>
      <c r="ARG10" s="122">
        <f t="shared" si="105"/>
        <v>2041415.12</v>
      </c>
      <c r="ARH10" s="122">
        <f t="shared" si="105"/>
        <v>2041415.12</v>
      </c>
      <c r="ARI10" s="122">
        <f t="shared" si="105"/>
        <v>2041415.12</v>
      </c>
      <c r="ARJ10" s="122">
        <f t="shared" si="105"/>
        <v>2041415.12</v>
      </c>
      <c r="ARK10" s="122">
        <f t="shared" si="105"/>
        <v>2041415.12</v>
      </c>
      <c r="ARL10" s="122">
        <f t="shared" si="105"/>
        <v>2041415.12</v>
      </c>
      <c r="ARM10" s="122">
        <f t="shared" si="105"/>
        <v>2041415.12</v>
      </c>
      <c r="ARN10" s="122">
        <f t="shared" si="105"/>
        <v>2041415.12</v>
      </c>
      <c r="ARO10" s="122">
        <f t="shared" si="105"/>
        <v>2041415.12</v>
      </c>
      <c r="ARP10" s="122">
        <f t="shared" si="105"/>
        <v>2041415.12</v>
      </c>
      <c r="ARQ10" s="122">
        <f t="shared" ref="ARQ10:AUB10" si="106">ARP10+ARQ9</f>
        <v>2041415.12</v>
      </c>
      <c r="ARR10" s="122">
        <f t="shared" si="106"/>
        <v>2041415.12</v>
      </c>
      <c r="ARS10" s="122">
        <f t="shared" si="106"/>
        <v>2041415.12</v>
      </c>
      <c r="ART10" s="122">
        <f t="shared" si="106"/>
        <v>2041415.12</v>
      </c>
      <c r="ARU10" s="122">
        <f t="shared" si="106"/>
        <v>2041415.12</v>
      </c>
      <c r="ARV10" s="122">
        <f t="shared" si="106"/>
        <v>2041415.12</v>
      </c>
      <c r="ARW10" s="122">
        <f t="shared" si="106"/>
        <v>2041415.12</v>
      </c>
      <c r="ARX10" s="122">
        <f t="shared" si="106"/>
        <v>2041415.12</v>
      </c>
      <c r="ARY10" s="122">
        <f t="shared" si="106"/>
        <v>2041415.12</v>
      </c>
      <c r="ARZ10" s="122">
        <f t="shared" si="106"/>
        <v>2041415.12</v>
      </c>
      <c r="ASA10" s="122">
        <f t="shared" si="106"/>
        <v>2041415.12</v>
      </c>
      <c r="ASB10" s="122">
        <f t="shared" si="106"/>
        <v>2041415.12</v>
      </c>
      <c r="ASC10" s="122">
        <f t="shared" si="106"/>
        <v>2041415.12</v>
      </c>
      <c r="ASD10" s="122">
        <f t="shared" si="106"/>
        <v>2041415.12</v>
      </c>
      <c r="ASE10" s="122">
        <f t="shared" si="106"/>
        <v>2041415.12</v>
      </c>
      <c r="ASF10" s="122">
        <f t="shared" si="106"/>
        <v>2041415.12</v>
      </c>
      <c r="ASG10" s="122">
        <f t="shared" si="106"/>
        <v>2041415.12</v>
      </c>
      <c r="ASH10" s="122">
        <f t="shared" si="106"/>
        <v>2041415.12</v>
      </c>
      <c r="ASI10" s="122">
        <f t="shared" si="106"/>
        <v>2041415.12</v>
      </c>
      <c r="ASJ10" s="122">
        <f t="shared" si="106"/>
        <v>2041415.12</v>
      </c>
      <c r="ASK10" s="122">
        <f t="shared" si="106"/>
        <v>2041415.12</v>
      </c>
      <c r="ASL10" s="122">
        <f t="shared" si="106"/>
        <v>2041415.12</v>
      </c>
      <c r="ASM10" s="122">
        <f t="shared" si="106"/>
        <v>2041415.12</v>
      </c>
      <c r="ASN10" s="122">
        <f t="shared" si="106"/>
        <v>2041415.12</v>
      </c>
      <c r="ASO10" s="122">
        <f t="shared" si="106"/>
        <v>2041415.12</v>
      </c>
      <c r="ASP10" s="122">
        <f t="shared" si="106"/>
        <v>2041415.12</v>
      </c>
      <c r="ASQ10" s="122">
        <f t="shared" si="106"/>
        <v>2041415.12</v>
      </c>
      <c r="ASR10" s="122">
        <f t="shared" si="106"/>
        <v>2041415.12</v>
      </c>
      <c r="ASS10" s="122">
        <f t="shared" si="106"/>
        <v>2041415.12</v>
      </c>
      <c r="AST10" s="122">
        <f t="shared" si="106"/>
        <v>2041415.12</v>
      </c>
      <c r="ASU10" s="122">
        <f t="shared" si="106"/>
        <v>2041415.12</v>
      </c>
      <c r="ASV10" s="122">
        <f t="shared" si="106"/>
        <v>2041415.12</v>
      </c>
      <c r="ASW10" s="122">
        <f t="shared" si="106"/>
        <v>2041415.12</v>
      </c>
      <c r="ASX10" s="122">
        <f t="shared" si="106"/>
        <v>2041415.12</v>
      </c>
      <c r="ASY10" s="122">
        <f t="shared" si="106"/>
        <v>2041415.12</v>
      </c>
      <c r="ASZ10" s="122">
        <f t="shared" si="106"/>
        <v>2041415.12</v>
      </c>
      <c r="ATA10" s="122">
        <f t="shared" si="106"/>
        <v>2041415.12</v>
      </c>
      <c r="ATB10" s="122">
        <f t="shared" si="106"/>
        <v>2041415.12</v>
      </c>
      <c r="ATC10" s="122">
        <f t="shared" si="106"/>
        <v>2041415.12</v>
      </c>
      <c r="ATD10" s="122">
        <f t="shared" si="106"/>
        <v>2041415.12</v>
      </c>
      <c r="ATE10" s="122">
        <f t="shared" si="106"/>
        <v>2041415.12</v>
      </c>
      <c r="ATF10" s="122">
        <f t="shared" si="106"/>
        <v>2041415.12</v>
      </c>
      <c r="ATG10" s="122">
        <f t="shared" si="106"/>
        <v>2041415.12</v>
      </c>
      <c r="ATH10" s="122">
        <f t="shared" si="106"/>
        <v>2041415.12</v>
      </c>
      <c r="ATI10" s="122">
        <f t="shared" si="106"/>
        <v>2041415.12</v>
      </c>
      <c r="ATJ10" s="122">
        <f t="shared" si="106"/>
        <v>2041415.12</v>
      </c>
      <c r="ATK10" s="122">
        <f t="shared" si="106"/>
        <v>2041415.12</v>
      </c>
      <c r="ATL10" s="122">
        <f t="shared" si="106"/>
        <v>2041415.12</v>
      </c>
      <c r="ATM10" s="122">
        <f t="shared" si="106"/>
        <v>2041415.12</v>
      </c>
      <c r="ATN10" s="122">
        <f t="shared" si="106"/>
        <v>2041415.12</v>
      </c>
      <c r="ATO10" s="122">
        <f t="shared" si="106"/>
        <v>2041415.12</v>
      </c>
      <c r="ATP10" s="122">
        <f t="shared" si="106"/>
        <v>2041415.12</v>
      </c>
      <c r="ATQ10" s="122">
        <f t="shared" si="106"/>
        <v>2041415.12</v>
      </c>
      <c r="ATR10" s="122">
        <f t="shared" si="106"/>
        <v>2041415.12</v>
      </c>
      <c r="ATS10" s="122">
        <f t="shared" si="106"/>
        <v>2041415.12</v>
      </c>
      <c r="ATT10" s="122">
        <f t="shared" si="106"/>
        <v>2041415.12</v>
      </c>
      <c r="ATU10" s="122">
        <f t="shared" si="106"/>
        <v>2041415.12</v>
      </c>
      <c r="ATV10" s="122">
        <f t="shared" si="106"/>
        <v>2041415.12</v>
      </c>
      <c r="ATW10" s="122">
        <f t="shared" si="106"/>
        <v>2041415.12</v>
      </c>
      <c r="ATX10" s="122">
        <f t="shared" si="106"/>
        <v>2041415.12</v>
      </c>
      <c r="ATY10" s="122">
        <f t="shared" si="106"/>
        <v>2041415.12</v>
      </c>
      <c r="ATZ10" s="122">
        <f t="shared" si="106"/>
        <v>2041415.12</v>
      </c>
      <c r="AUA10" s="122">
        <f t="shared" si="106"/>
        <v>2041415.12</v>
      </c>
      <c r="AUB10" s="122">
        <f t="shared" si="106"/>
        <v>2041415.12</v>
      </c>
      <c r="AUC10" s="122">
        <f t="shared" ref="AUC10:AWN10" si="107">AUB10+AUC9</f>
        <v>2041415.12</v>
      </c>
      <c r="AUD10" s="122">
        <f t="shared" si="107"/>
        <v>2041415.12</v>
      </c>
      <c r="AUE10" s="122">
        <f t="shared" si="107"/>
        <v>2041415.12</v>
      </c>
      <c r="AUF10" s="122">
        <f t="shared" si="107"/>
        <v>2041415.12</v>
      </c>
      <c r="AUG10" s="122">
        <f t="shared" si="107"/>
        <v>2041415.12</v>
      </c>
      <c r="AUH10" s="122">
        <f t="shared" si="107"/>
        <v>2041415.12</v>
      </c>
      <c r="AUI10" s="122">
        <f t="shared" si="107"/>
        <v>2041415.12</v>
      </c>
      <c r="AUJ10" s="122">
        <f t="shared" si="107"/>
        <v>2041415.12</v>
      </c>
      <c r="AUK10" s="122">
        <f t="shared" si="107"/>
        <v>2041415.12</v>
      </c>
      <c r="AUL10" s="122">
        <f t="shared" si="107"/>
        <v>2041415.12</v>
      </c>
      <c r="AUM10" s="122">
        <f t="shared" si="107"/>
        <v>2041415.12</v>
      </c>
      <c r="AUN10" s="122">
        <f t="shared" si="107"/>
        <v>2041415.12</v>
      </c>
      <c r="AUO10" s="122">
        <f t="shared" si="107"/>
        <v>2041415.12</v>
      </c>
      <c r="AUP10" s="122">
        <f t="shared" si="107"/>
        <v>2041415.12</v>
      </c>
      <c r="AUQ10" s="122">
        <f t="shared" si="107"/>
        <v>2041415.12</v>
      </c>
      <c r="AUR10" s="122">
        <f t="shared" si="107"/>
        <v>2041415.12</v>
      </c>
      <c r="AUS10" s="122">
        <f t="shared" si="107"/>
        <v>2041415.12</v>
      </c>
      <c r="AUT10" s="122">
        <f t="shared" si="107"/>
        <v>2041415.12</v>
      </c>
      <c r="AUU10" s="122">
        <f t="shared" si="107"/>
        <v>2041415.12</v>
      </c>
      <c r="AUV10" s="122">
        <f t="shared" si="107"/>
        <v>2041415.12</v>
      </c>
      <c r="AUW10" s="122">
        <f t="shared" si="107"/>
        <v>2041415.12</v>
      </c>
      <c r="AUX10" s="122">
        <f t="shared" si="107"/>
        <v>2041415.12</v>
      </c>
      <c r="AUY10" s="122">
        <f t="shared" si="107"/>
        <v>2041415.12</v>
      </c>
      <c r="AUZ10" s="122">
        <f t="shared" si="107"/>
        <v>2041415.12</v>
      </c>
      <c r="AVA10" s="122">
        <f t="shared" si="107"/>
        <v>2041415.12</v>
      </c>
      <c r="AVB10" s="122">
        <f t="shared" si="107"/>
        <v>2041415.12</v>
      </c>
      <c r="AVC10" s="122">
        <f t="shared" si="107"/>
        <v>2041415.12</v>
      </c>
      <c r="AVD10" s="122">
        <f t="shared" si="107"/>
        <v>2041415.12</v>
      </c>
      <c r="AVE10" s="122">
        <f t="shared" si="107"/>
        <v>2041415.12</v>
      </c>
      <c r="AVF10" s="122">
        <f t="shared" si="107"/>
        <v>2041415.12</v>
      </c>
      <c r="AVG10" s="122">
        <f t="shared" si="107"/>
        <v>2041415.12</v>
      </c>
      <c r="AVH10" s="122">
        <f t="shared" si="107"/>
        <v>2041415.12</v>
      </c>
      <c r="AVI10" s="122">
        <f t="shared" si="107"/>
        <v>2041415.12</v>
      </c>
      <c r="AVJ10" s="122">
        <f t="shared" si="107"/>
        <v>2041415.12</v>
      </c>
      <c r="AVK10" s="122">
        <f t="shared" si="107"/>
        <v>2041415.12</v>
      </c>
      <c r="AVL10" s="122">
        <f t="shared" si="107"/>
        <v>2041415.12</v>
      </c>
      <c r="AVM10" s="122">
        <f t="shared" si="107"/>
        <v>2041415.12</v>
      </c>
      <c r="AVN10" s="122">
        <f t="shared" si="107"/>
        <v>2041415.12</v>
      </c>
      <c r="AVO10" s="122">
        <f t="shared" si="107"/>
        <v>2041415.12</v>
      </c>
      <c r="AVP10" s="122">
        <f t="shared" si="107"/>
        <v>2041415.12</v>
      </c>
      <c r="AVQ10" s="122">
        <f t="shared" si="107"/>
        <v>2041415.12</v>
      </c>
      <c r="AVR10" s="122">
        <f t="shared" si="107"/>
        <v>2041415.12</v>
      </c>
      <c r="AVS10" s="122">
        <f t="shared" si="107"/>
        <v>2041415.12</v>
      </c>
      <c r="AVT10" s="122">
        <f t="shared" si="107"/>
        <v>2041415.12</v>
      </c>
      <c r="AVU10" s="122">
        <f t="shared" si="107"/>
        <v>2041415.12</v>
      </c>
      <c r="AVV10" s="122">
        <f t="shared" si="107"/>
        <v>2041415.12</v>
      </c>
      <c r="AVW10" s="122">
        <f t="shared" si="107"/>
        <v>2041415.12</v>
      </c>
      <c r="AVX10" s="122">
        <f t="shared" si="107"/>
        <v>2041415.12</v>
      </c>
      <c r="AVY10" s="122">
        <f t="shared" si="107"/>
        <v>2041415.12</v>
      </c>
      <c r="AVZ10" s="122">
        <f t="shared" si="107"/>
        <v>2041415.12</v>
      </c>
      <c r="AWA10" s="122">
        <f t="shared" si="107"/>
        <v>2041415.12</v>
      </c>
      <c r="AWB10" s="122">
        <f t="shared" si="107"/>
        <v>2041415.12</v>
      </c>
      <c r="AWC10" s="122">
        <f t="shared" si="107"/>
        <v>2041415.12</v>
      </c>
      <c r="AWD10" s="122">
        <f t="shared" si="107"/>
        <v>2041415.12</v>
      </c>
      <c r="AWE10" s="122">
        <f t="shared" si="107"/>
        <v>2041415.12</v>
      </c>
      <c r="AWF10" s="122">
        <f t="shared" si="107"/>
        <v>2041415.12</v>
      </c>
      <c r="AWG10" s="122">
        <f t="shared" si="107"/>
        <v>2041415.12</v>
      </c>
      <c r="AWH10" s="122">
        <f t="shared" si="107"/>
        <v>2041415.12</v>
      </c>
      <c r="AWI10" s="122">
        <f t="shared" si="107"/>
        <v>2041415.12</v>
      </c>
      <c r="AWJ10" s="122">
        <f t="shared" si="107"/>
        <v>2041415.12</v>
      </c>
      <c r="AWK10" s="122">
        <f t="shared" si="107"/>
        <v>2041415.12</v>
      </c>
      <c r="AWL10" s="122">
        <f t="shared" si="107"/>
        <v>2041415.12</v>
      </c>
      <c r="AWM10" s="122">
        <f t="shared" si="107"/>
        <v>2041415.12</v>
      </c>
      <c r="AWN10" s="122">
        <f t="shared" si="107"/>
        <v>2041415.12</v>
      </c>
      <c r="AWO10" s="122">
        <f t="shared" ref="AWO10:AYZ10" si="108">AWN10+AWO9</f>
        <v>2041415.12</v>
      </c>
      <c r="AWP10" s="122">
        <f t="shared" si="108"/>
        <v>2041415.12</v>
      </c>
      <c r="AWQ10" s="122">
        <f t="shared" si="108"/>
        <v>2041415.12</v>
      </c>
      <c r="AWR10" s="122">
        <f t="shared" si="108"/>
        <v>2041415.12</v>
      </c>
      <c r="AWS10" s="122">
        <f t="shared" si="108"/>
        <v>2041415.12</v>
      </c>
      <c r="AWT10" s="122">
        <f t="shared" si="108"/>
        <v>2041415.12</v>
      </c>
      <c r="AWU10" s="122">
        <f t="shared" si="108"/>
        <v>2041415.12</v>
      </c>
      <c r="AWV10" s="122">
        <f t="shared" si="108"/>
        <v>2041415.12</v>
      </c>
      <c r="AWW10" s="122">
        <f t="shared" si="108"/>
        <v>2041415.12</v>
      </c>
      <c r="AWX10" s="122">
        <f t="shared" si="108"/>
        <v>2041415.12</v>
      </c>
      <c r="AWY10" s="122">
        <f t="shared" si="108"/>
        <v>2041415.12</v>
      </c>
      <c r="AWZ10" s="122">
        <f t="shared" si="108"/>
        <v>2041415.12</v>
      </c>
      <c r="AXA10" s="122">
        <f t="shared" si="108"/>
        <v>2041415.12</v>
      </c>
      <c r="AXB10" s="122">
        <f t="shared" si="108"/>
        <v>2041415.12</v>
      </c>
      <c r="AXC10" s="122">
        <f t="shared" si="108"/>
        <v>2041415.12</v>
      </c>
      <c r="AXD10" s="122">
        <f t="shared" si="108"/>
        <v>2041415.12</v>
      </c>
      <c r="AXE10" s="122">
        <f t="shared" si="108"/>
        <v>2041415.12</v>
      </c>
      <c r="AXF10" s="122">
        <f t="shared" si="108"/>
        <v>2041415.12</v>
      </c>
      <c r="AXG10" s="122">
        <f t="shared" si="108"/>
        <v>2041415.12</v>
      </c>
      <c r="AXH10" s="122">
        <f t="shared" si="108"/>
        <v>2041415.12</v>
      </c>
      <c r="AXI10" s="122">
        <f t="shared" si="108"/>
        <v>2041415.12</v>
      </c>
      <c r="AXJ10" s="122">
        <f t="shared" si="108"/>
        <v>2041415.12</v>
      </c>
      <c r="AXK10" s="122">
        <f t="shared" si="108"/>
        <v>2041415.12</v>
      </c>
      <c r="AXL10" s="122">
        <f t="shared" si="108"/>
        <v>2041415.12</v>
      </c>
      <c r="AXM10" s="122">
        <f t="shared" si="108"/>
        <v>2041415.12</v>
      </c>
      <c r="AXN10" s="122">
        <f t="shared" si="108"/>
        <v>2041415.12</v>
      </c>
      <c r="AXO10" s="122">
        <f t="shared" si="108"/>
        <v>2041415.12</v>
      </c>
      <c r="AXP10" s="122">
        <f t="shared" si="108"/>
        <v>2041415.12</v>
      </c>
      <c r="AXQ10" s="122">
        <f t="shared" si="108"/>
        <v>2041415.12</v>
      </c>
      <c r="AXR10" s="122">
        <f t="shared" si="108"/>
        <v>2041415.12</v>
      </c>
      <c r="AXS10" s="122">
        <f t="shared" si="108"/>
        <v>2041415.12</v>
      </c>
      <c r="AXT10" s="122">
        <f t="shared" si="108"/>
        <v>2041415.12</v>
      </c>
      <c r="AXU10" s="122">
        <f t="shared" si="108"/>
        <v>2041415.12</v>
      </c>
      <c r="AXV10" s="122">
        <f t="shared" si="108"/>
        <v>2041415.12</v>
      </c>
      <c r="AXW10" s="122">
        <f t="shared" si="108"/>
        <v>2041415.12</v>
      </c>
      <c r="AXX10" s="122">
        <f t="shared" si="108"/>
        <v>2041415.12</v>
      </c>
      <c r="AXY10" s="122">
        <f t="shared" si="108"/>
        <v>2041415.12</v>
      </c>
      <c r="AXZ10" s="122">
        <f t="shared" si="108"/>
        <v>2041415.12</v>
      </c>
      <c r="AYA10" s="122">
        <f t="shared" si="108"/>
        <v>2041415.12</v>
      </c>
      <c r="AYB10" s="122">
        <f t="shared" si="108"/>
        <v>2041415.12</v>
      </c>
      <c r="AYC10" s="122">
        <f t="shared" si="108"/>
        <v>2041415.12</v>
      </c>
      <c r="AYD10" s="122">
        <f t="shared" si="108"/>
        <v>2041415.12</v>
      </c>
      <c r="AYE10" s="122">
        <f t="shared" si="108"/>
        <v>2041415.12</v>
      </c>
      <c r="AYF10" s="122">
        <f t="shared" si="108"/>
        <v>2041415.12</v>
      </c>
      <c r="AYG10" s="122">
        <f t="shared" si="108"/>
        <v>2041415.12</v>
      </c>
      <c r="AYH10" s="122">
        <f t="shared" si="108"/>
        <v>2041415.12</v>
      </c>
      <c r="AYI10" s="122">
        <f t="shared" si="108"/>
        <v>2041415.12</v>
      </c>
      <c r="AYJ10" s="122">
        <f t="shared" si="108"/>
        <v>2041415.12</v>
      </c>
      <c r="AYK10" s="122">
        <f t="shared" si="108"/>
        <v>2041415.12</v>
      </c>
      <c r="AYL10" s="122">
        <f t="shared" si="108"/>
        <v>2041415.12</v>
      </c>
      <c r="AYM10" s="122">
        <f t="shared" si="108"/>
        <v>2041415.12</v>
      </c>
      <c r="AYN10" s="122">
        <f t="shared" si="108"/>
        <v>2041415.12</v>
      </c>
      <c r="AYO10" s="122">
        <f t="shared" si="108"/>
        <v>2041415.12</v>
      </c>
      <c r="AYP10" s="122">
        <f t="shared" si="108"/>
        <v>2041415.12</v>
      </c>
      <c r="AYQ10" s="122">
        <f t="shared" si="108"/>
        <v>2041415.12</v>
      </c>
      <c r="AYR10" s="122">
        <f t="shared" si="108"/>
        <v>2041415.12</v>
      </c>
      <c r="AYS10" s="122">
        <f t="shared" si="108"/>
        <v>2041415.12</v>
      </c>
      <c r="AYT10" s="122">
        <f t="shared" si="108"/>
        <v>2041415.12</v>
      </c>
      <c r="AYU10" s="122">
        <f t="shared" si="108"/>
        <v>2041415.12</v>
      </c>
      <c r="AYV10" s="122">
        <f t="shared" si="108"/>
        <v>2041415.12</v>
      </c>
      <c r="AYW10" s="122">
        <f t="shared" si="108"/>
        <v>2041415.12</v>
      </c>
      <c r="AYX10" s="122">
        <f t="shared" si="108"/>
        <v>2041415.12</v>
      </c>
      <c r="AYY10" s="122">
        <f t="shared" si="108"/>
        <v>2041415.12</v>
      </c>
      <c r="AYZ10" s="122">
        <f t="shared" si="108"/>
        <v>2041415.12</v>
      </c>
      <c r="AZA10" s="122">
        <f t="shared" ref="AZA10:AZG10" si="109">AYZ10+AZA9</f>
        <v>2041415.12</v>
      </c>
      <c r="AZB10" s="122">
        <f t="shared" si="109"/>
        <v>2041415.12</v>
      </c>
      <c r="AZC10" s="122">
        <f t="shared" si="109"/>
        <v>2041415.12</v>
      </c>
      <c r="AZD10" s="122">
        <f t="shared" si="109"/>
        <v>2041415.12</v>
      </c>
      <c r="AZE10" s="122">
        <f t="shared" si="109"/>
        <v>2041415.12</v>
      </c>
      <c r="AZF10" s="122">
        <f t="shared" si="109"/>
        <v>2041415.12</v>
      </c>
      <c r="AZG10" s="122">
        <f t="shared" si="109"/>
        <v>2041415.12</v>
      </c>
    </row>
    <row r="11" spans="1:1837" s="114" customFormat="1">
      <c r="A11" s="777"/>
      <c r="B11" s="123" t="s">
        <v>503</v>
      </c>
      <c r="C11" s="124">
        <f>'Revenue Tracking'!F5</f>
        <v>1377826.1763984046</v>
      </c>
      <c r="D11" s="124">
        <f>SUM(F11:AZG11)</f>
        <v>1377826.1763984044</v>
      </c>
      <c r="E11" s="108"/>
      <c r="F11" s="125">
        <f>SUMIFS('Expenditure Breakdown'!$Q$6:$Q$174, 'Expenditure Breakdown'!$W$6:$W$174, "&gt;="&amp;F1,'Expenditure Breakdown'!$W$6:$W$174, "&lt;"&amp;G1)</f>
        <v>0</v>
      </c>
      <c r="G11" s="125">
        <f>SUMIFS('Expenditure Breakdown'!$Q$6:$Q$174, 'Expenditure Breakdown'!$W$6:$W$174, "&gt;="&amp;G1,'Expenditure Breakdown'!$W$6:$W$174, "&lt;"&amp;H1)</f>
        <v>0</v>
      </c>
      <c r="H11" s="125">
        <f>SUMIFS('Expenditure Breakdown'!$Q$6:$Q$174, 'Expenditure Breakdown'!$W$6:$W$174, "&gt;="&amp;H1,'Expenditure Breakdown'!$W$6:$W$174, "&lt;"&amp;I1)</f>
        <v>0</v>
      </c>
      <c r="I11" s="125">
        <f>SUMIFS('Expenditure Breakdown'!$Q$6:$Q$174, 'Expenditure Breakdown'!$W$6:$W$174, "&gt;="&amp;I1,'Expenditure Breakdown'!$W$6:$W$174, "&lt;"&amp;J1)</f>
        <v>0</v>
      </c>
      <c r="J11" s="125">
        <f>SUMIFS('Expenditure Breakdown'!$Q$6:$Q$174, 'Expenditure Breakdown'!$W$6:$W$174, "&gt;="&amp;J1,'Expenditure Breakdown'!$W$6:$W$174, "&lt;"&amp;K1)</f>
        <v>0</v>
      </c>
      <c r="K11" s="125">
        <f>SUMIFS('Expenditure Breakdown'!$Q$6:$Q$174, 'Expenditure Breakdown'!$W$6:$W$174, "&gt;="&amp;K1,'Expenditure Breakdown'!$W$6:$W$174, "&lt;"&amp;L1)</f>
        <v>0</v>
      </c>
      <c r="L11" s="125">
        <f>SUMIFS('Expenditure Breakdown'!$Q$6:$Q$174, 'Expenditure Breakdown'!$W$6:$W$174, "&gt;="&amp;L1,'Expenditure Breakdown'!$W$6:$W$174, "&lt;"&amp;M1)</f>
        <v>0</v>
      </c>
      <c r="M11" s="125">
        <f>SUMIFS('Expenditure Breakdown'!$Q$6:$Q$174, 'Expenditure Breakdown'!$W$6:$W$174, "&gt;="&amp;M1,'Expenditure Breakdown'!$W$6:$W$174, "&lt;"&amp;N1)</f>
        <v>0</v>
      </c>
      <c r="N11" s="125">
        <f>SUMIFS('Expenditure Breakdown'!$Q$6:$Q$174, 'Expenditure Breakdown'!$W$6:$W$174, "&gt;="&amp;N1,'Expenditure Breakdown'!$W$6:$W$174, "&lt;"&amp;O1)</f>
        <v>0</v>
      </c>
      <c r="O11" s="125">
        <f>SUMIFS('Expenditure Breakdown'!$Q$6:$Q$174, 'Expenditure Breakdown'!$W$6:$W$174, "&gt;="&amp;O1,'Expenditure Breakdown'!$W$6:$W$174, "&lt;"&amp;P1)</f>
        <v>0</v>
      </c>
      <c r="P11" s="125">
        <f>SUMIFS('Expenditure Breakdown'!$Q$6:$Q$174, 'Expenditure Breakdown'!$W$6:$W$174, "&gt;="&amp;P1,'Expenditure Breakdown'!$W$6:$W$174, "&lt;"&amp;Q1)</f>
        <v>0</v>
      </c>
      <c r="Q11" s="125">
        <f>SUMIFS('Expenditure Breakdown'!$Q$6:$Q$174, 'Expenditure Breakdown'!$W$6:$W$174, "&gt;="&amp;Q1,'Expenditure Breakdown'!$W$6:$W$174, "&lt;"&amp;R1)</f>
        <v>0</v>
      </c>
      <c r="R11" s="125">
        <f>SUMIFS('Expenditure Breakdown'!$Q$6:$Q$174, 'Expenditure Breakdown'!$W$6:$W$174, "&gt;="&amp;R1,'Expenditure Breakdown'!$W$6:$W$174, "&lt;"&amp;S1)</f>
        <v>0</v>
      </c>
      <c r="S11" s="125">
        <f>SUMIFS('Expenditure Breakdown'!$Q$6:$Q$174, 'Expenditure Breakdown'!$W$6:$W$174, "&gt;="&amp;S1,'Expenditure Breakdown'!$W$6:$W$174, "&lt;"&amp;T1)</f>
        <v>0</v>
      </c>
      <c r="T11" s="125">
        <f>SUMIFS('Expenditure Breakdown'!$Q$6:$Q$174, 'Expenditure Breakdown'!$W$6:$W$174, "&gt;="&amp;T1,'Expenditure Breakdown'!$W$6:$W$174, "&lt;"&amp;U1)</f>
        <v>0</v>
      </c>
      <c r="U11" s="125">
        <f>SUMIFS('Expenditure Breakdown'!$Q$6:$Q$174, 'Expenditure Breakdown'!$W$6:$W$174, "&gt;="&amp;U1,'Expenditure Breakdown'!$W$6:$W$174, "&lt;"&amp;V1)</f>
        <v>138000</v>
      </c>
      <c r="V11" s="125">
        <f>SUMIFS('Expenditure Breakdown'!$Q$6:$Q$174, 'Expenditure Breakdown'!$W$6:$W$174, "&gt;="&amp;V1,'Expenditure Breakdown'!$W$6:$W$174, "&lt;"&amp;W1)</f>
        <v>0</v>
      </c>
      <c r="W11" s="125">
        <f>SUMIFS('Expenditure Breakdown'!$Q$6:$Q$174, 'Expenditure Breakdown'!$W$6:$W$174, "&gt;="&amp;W1,'Expenditure Breakdown'!$W$6:$W$174, "&lt;"&amp;X1)</f>
        <v>23.8</v>
      </c>
      <c r="X11" s="125">
        <f>SUMIFS('Expenditure Breakdown'!$Q$6:$Q$174, 'Expenditure Breakdown'!$W$6:$W$174, "&gt;="&amp;X1,'Expenditure Breakdown'!$W$6:$W$174, "&lt;"&amp;Y1)</f>
        <v>1664.1</v>
      </c>
      <c r="Y11" s="125">
        <f>SUMIFS('Expenditure Breakdown'!$Q$6:$Q$174, 'Expenditure Breakdown'!$W$6:$W$174, "&gt;="&amp;Y1,'Expenditure Breakdown'!$W$6:$W$174, "&lt;"&amp;Z1)</f>
        <v>0</v>
      </c>
      <c r="Z11" s="125">
        <f>SUMIFS('Expenditure Breakdown'!$Q$6:$Q$174, 'Expenditure Breakdown'!$W$6:$W$174, "&gt;="&amp;Z1,'Expenditure Breakdown'!$W$6:$W$174, "&lt;"&amp;AA1)</f>
        <v>368650.07</v>
      </c>
      <c r="AA11" s="125">
        <f>SUMIFS('Expenditure Breakdown'!$Q$6:$Q$174, 'Expenditure Breakdown'!$W$6:$W$174, "&gt;="&amp;AA1,'Expenditure Breakdown'!$W$6:$W$174, "&lt;"&amp;AB1)</f>
        <v>1360.2</v>
      </c>
      <c r="AB11" s="125">
        <f>SUMIFS('Expenditure Breakdown'!$Q$6:$Q$174, 'Expenditure Breakdown'!$W$6:$W$174, "&gt;="&amp;AB1,'Expenditure Breakdown'!$W$6:$W$174, "&lt;"&amp;AC1)</f>
        <v>159631.77042606787</v>
      </c>
      <c r="AC11" s="125">
        <f>SUMIFS('Expenditure Breakdown'!$Q$6:$Q$174, 'Expenditure Breakdown'!$W$6:$W$174, "&gt;="&amp;AC1,'Expenditure Breakdown'!$W$6:$W$174, "&lt;"&amp;AD1)</f>
        <v>88768.229573932127</v>
      </c>
      <c r="AD11" s="125">
        <f>SUMIFS('Expenditure Breakdown'!$Q$6:$Q$174, 'Expenditure Breakdown'!$W$6:$W$174, "&gt;="&amp;AD1,'Expenditure Breakdown'!$W$6:$W$174, "&lt;"&amp;AE1)</f>
        <v>0</v>
      </c>
      <c r="AE11" s="125">
        <f>SUMIFS('Expenditure Breakdown'!$Q$6:$Q$174, 'Expenditure Breakdown'!$W$6:$W$174, "&gt;="&amp;AE1,'Expenditure Breakdown'!$W$6:$W$174, "&lt;"&amp;AF1)</f>
        <v>43480.76</v>
      </c>
      <c r="AF11" s="125">
        <f>SUMIFS('Expenditure Breakdown'!$Q$6:$Q$174, 'Expenditure Breakdown'!$W$6:$W$174, "&gt;="&amp;AF1,'Expenditure Breakdown'!$W$6:$W$174, "&lt;"&amp;AG1)</f>
        <v>52784.58</v>
      </c>
      <c r="AG11" s="125">
        <f>SUMIFS('Expenditure Breakdown'!$Q$6:$Q$174, 'Expenditure Breakdown'!$W$6:$W$174, "&gt;="&amp;AG1,'Expenditure Breakdown'!$W$6:$W$174, "&lt;"&amp;AH1)</f>
        <v>0</v>
      </c>
      <c r="AH11" s="125">
        <f>SUMIFS('Expenditure Breakdown'!$Q$6:$Q$174, 'Expenditure Breakdown'!$W$6:$W$174, "&gt;="&amp;AH1,'Expenditure Breakdown'!$W$6:$W$174, "&lt;"&amp;AI1)</f>
        <v>0</v>
      </c>
      <c r="AI11" s="125">
        <f>SUMIFS('Expenditure Breakdown'!$Q$6:$Q$174, 'Expenditure Breakdown'!$W$6:$W$174, "&gt;="&amp;AI1,'Expenditure Breakdown'!$W$6:$W$174, "&lt;"&amp;AJ1)</f>
        <v>210668.99319920232</v>
      </c>
      <c r="AJ11" s="125">
        <f>SUMIFS('Expenditure Breakdown'!$Q$6:$Q$174, 'Expenditure Breakdown'!$W$6:$W$174, "&gt;="&amp;AJ1,'Expenditure Breakdown'!$W$6:$W$174, "&lt;"&amp;AK1)</f>
        <v>199.92</v>
      </c>
      <c r="AK11" s="125">
        <f>SUMIFS('Expenditure Breakdown'!$Q$6:$Q$174, 'Expenditure Breakdown'!$W$6:$W$174, "&gt;="&amp;AK1,'Expenditure Breakdown'!$W$6:$W$174, "&lt;"&amp;AL1)</f>
        <v>0</v>
      </c>
      <c r="AL11" s="125">
        <f>SUMIFS('Expenditure Breakdown'!$Q$6:$Q$174, 'Expenditure Breakdown'!$W$6:$W$174, "&gt;="&amp;AL1,'Expenditure Breakdown'!$W$6:$W$174, "&lt;"&amp;AM1)</f>
        <v>20725</v>
      </c>
      <c r="AM11" s="125">
        <f>SUMIFS('Expenditure Breakdown'!$Q$6:$Q$174, 'Expenditure Breakdown'!$W$6:$W$174, "&gt;="&amp;AM1,'Expenditure Breakdown'!$W$6:$W$174, "&lt;"&amp;AN1)</f>
        <v>285618.75319920236</v>
      </c>
      <c r="AN11" s="125">
        <f>SUMIFS('Expenditure Breakdown'!$Q$6:$Q$174, 'Expenditure Breakdown'!$W$6:$W$174, "&gt;="&amp;AN1,'Expenditure Breakdown'!$W$6:$W$174, "&lt;"&amp;AO1)</f>
        <v>6250</v>
      </c>
      <c r="AO11" s="125">
        <f>SUMIFS('Expenditure Breakdown'!$Q$6:$Q$174, 'Expenditure Breakdown'!$W$6:$W$174, "&gt;="&amp;AO1,'Expenditure Breakdown'!$W$6:$W$174, "&lt;"&amp;AP1)</f>
        <v>0</v>
      </c>
      <c r="AP11" s="125">
        <f>SUMIFS('Expenditure Breakdown'!$Q$6:$Q$174, 'Expenditure Breakdown'!$W$6:$W$174, "&gt;="&amp;AP1,'Expenditure Breakdown'!$W$6:$W$174, "&lt;"&amp;AQ1)</f>
        <v>0</v>
      </c>
      <c r="AQ11" s="125">
        <f>SUMIFS('Expenditure Breakdown'!$Q$6:$Q$174, 'Expenditure Breakdown'!$W$6:$W$174, "&gt;="&amp;AQ1,'Expenditure Breakdown'!$W$6:$W$174, "&lt;"&amp;AR1)</f>
        <v>0</v>
      </c>
      <c r="AR11" s="125">
        <f>SUMIFS('Expenditure Breakdown'!$Q$6:$Q$174, 'Expenditure Breakdown'!$W$6:$W$174, "&gt;="&amp;AR1,'Expenditure Breakdown'!$W$6:$W$174, "&lt;"&amp;AS1)</f>
        <v>0</v>
      </c>
      <c r="AS11" s="125">
        <f>SUMIFS('Expenditure Breakdown'!$Q$6:$Q$174, 'Expenditure Breakdown'!$W$6:$W$174, "&gt;="&amp;AS1,'Expenditure Breakdown'!$W$6:$W$174, "&lt;"&amp;AT1)</f>
        <v>0</v>
      </c>
      <c r="AT11" s="125">
        <f>SUMIFS('Expenditure Breakdown'!$Q$6:$Q$174, 'Expenditure Breakdown'!$W$6:$W$174, "&gt;="&amp;AT1,'Expenditure Breakdown'!$W$6:$W$174, "&lt;"&amp;AU1)</f>
        <v>0</v>
      </c>
      <c r="AU11" s="125">
        <f>SUMIFS('Expenditure Breakdown'!$Q$6:$Q$174, 'Expenditure Breakdown'!$W$6:$W$174, "&gt;="&amp;AU1,'Expenditure Breakdown'!$W$6:$W$174, "&lt;"&amp;AV1)</f>
        <v>0</v>
      </c>
      <c r="AV11" s="125">
        <f>SUMIFS('Expenditure Breakdown'!$Q$6:$Q$174, 'Expenditure Breakdown'!$W$6:$W$174, "&gt;="&amp;AV1,'Expenditure Breakdown'!$W$6:$W$174, "&lt;"&amp;AW1)</f>
        <v>0</v>
      </c>
      <c r="AW11" s="125">
        <f>SUMIFS('Expenditure Breakdown'!$Q$6:$Q$174, 'Expenditure Breakdown'!$W$6:$W$174, "&gt;="&amp;AW1,'Expenditure Breakdown'!$W$6:$W$174, "&lt;"&amp;AX1)</f>
        <v>0</v>
      </c>
      <c r="AX11" s="125">
        <f>SUMIFS('Expenditure Breakdown'!$Q$6:$Q$174, 'Expenditure Breakdown'!$W$6:$W$174, "&gt;="&amp;AX1,'Expenditure Breakdown'!$W$6:$W$174, "&lt;"&amp;AY1)</f>
        <v>0</v>
      </c>
      <c r="AY11" s="125">
        <f>SUMIFS('Expenditure Breakdown'!$Q$6:$Q$174, 'Expenditure Breakdown'!$W$6:$W$174, "&gt;="&amp;AY1,'Expenditure Breakdown'!$W$6:$W$174, "&lt;"&amp;AZ1)</f>
        <v>0</v>
      </c>
      <c r="AZ11" s="125">
        <f>SUMIFS('Expenditure Breakdown'!$Q$6:$Q$174, 'Expenditure Breakdown'!$W$6:$W$174, "&gt;="&amp;AZ1,'Expenditure Breakdown'!$W$6:$W$174, "&lt;"&amp;BA1)</f>
        <v>0</v>
      </c>
      <c r="BA11" s="125">
        <f>SUMIFS('Expenditure Breakdown'!$Q$6:$Q$174, 'Expenditure Breakdown'!$W$6:$W$174, "&gt;="&amp;BA1,'Expenditure Breakdown'!$W$6:$W$174, "&lt;"&amp;BB1)</f>
        <v>0</v>
      </c>
      <c r="BB11" s="125">
        <f>SUMIFS('Expenditure Breakdown'!$Q$6:$Q$174, 'Expenditure Breakdown'!$W$6:$W$174, "&gt;="&amp;BB1,'Expenditure Breakdown'!$W$6:$W$174, "&lt;"&amp;BC1)</f>
        <v>0</v>
      </c>
      <c r="BC11" s="125">
        <f>SUMIFS('Expenditure Breakdown'!$Q$6:$Q$174, 'Expenditure Breakdown'!$W$6:$W$174, "&gt;="&amp;BC1,'Expenditure Breakdown'!$W$6:$W$174, "&lt;"&amp;BD1)</f>
        <v>0</v>
      </c>
      <c r="BD11" s="125">
        <f>SUMIFS('Expenditure Breakdown'!$Q$6:$Q$174, 'Expenditure Breakdown'!$W$6:$W$174, "&gt;="&amp;BD1,'Expenditure Breakdown'!$W$6:$W$174, "&lt;"&amp;BE1)</f>
        <v>0</v>
      </c>
      <c r="BE11" s="125">
        <f>SUMIFS('Expenditure Breakdown'!$Q$6:$Q$174, 'Expenditure Breakdown'!$W$6:$W$174, "&gt;="&amp;BE1,'Expenditure Breakdown'!$W$6:$W$174, "&lt;"&amp;BF1)</f>
        <v>0</v>
      </c>
      <c r="BF11" s="125">
        <f>SUMIFS('Expenditure Breakdown'!$Q$6:$Q$174, 'Expenditure Breakdown'!$W$6:$W$174, "&gt;="&amp;BF1,'Expenditure Breakdown'!$W$6:$W$174, "&lt;"&amp;BG1)</f>
        <v>0</v>
      </c>
      <c r="BG11" s="125">
        <f>SUMIFS('Expenditure Breakdown'!$Q$6:$Q$174, 'Expenditure Breakdown'!$W$6:$W$174, "&gt;="&amp;BG1,'Expenditure Breakdown'!$W$6:$W$174, "&lt;"&amp;BH1)</f>
        <v>0</v>
      </c>
      <c r="BH11" s="125">
        <f>SUMIFS('Expenditure Breakdown'!$Q$6:$Q$174, 'Expenditure Breakdown'!$W$6:$W$174, "&gt;="&amp;BH1,'Expenditure Breakdown'!$W$6:$W$174, "&lt;"&amp;BI1)</f>
        <v>0</v>
      </c>
      <c r="BI11" s="125">
        <f>SUMIFS('Expenditure Breakdown'!$Q$6:$Q$174, 'Expenditure Breakdown'!$W$6:$W$174, "&gt;="&amp;BI1,'Expenditure Breakdown'!$W$6:$W$174, "&lt;"&amp;BJ1)</f>
        <v>0</v>
      </c>
      <c r="BJ11" s="125">
        <f>SUMIFS('Expenditure Breakdown'!$Q$6:$Q$174, 'Expenditure Breakdown'!$W$6:$W$174, "&gt;="&amp;BJ1,'Expenditure Breakdown'!$W$6:$W$174, "&lt;"&amp;BK1)</f>
        <v>0</v>
      </c>
      <c r="BK11" s="125">
        <f>SUMIFS('Expenditure Breakdown'!$Q$6:$Q$174, 'Expenditure Breakdown'!$W$6:$W$174, "&gt;="&amp;BK1,'Expenditure Breakdown'!$W$6:$W$174, "&lt;"&amp;BL1)</f>
        <v>0</v>
      </c>
      <c r="BL11" s="125">
        <f>SUMIFS('Expenditure Breakdown'!$Q$6:$Q$174, 'Expenditure Breakdown'!$W$6:$W$174, "&gt;="&amp;BL1,'Expenditure Breakdown'!$W$6:$W$174, "&lt;"&amp;BM1)</f>
        <v>0</v>
      </c>
      <c r="BM11" s="125">
        <f>SUMIFS('Expenditure Breakdown'!$Q$6:$Q$174, 'Expenditure Breakdown'!$W$6:$W$174, "&gt;="&amp;BM1,'Expenditure Breakdown'!$W$6:$W$174, "&lt;"&amp;BN1)</f>
        <v>0</v>
      </c>
      <c r="BN11" s="125">
        <f>SUMIFS('Expenditure Breakdown'!$Q$6:$Q$174, 'Expenditure Breakdown'!$W$6:$W$174, "&gt;="&amp;BN1,'Expenditure Breakdown'!$W$6:$W$174, "&lt;"&amp;BO1)</f>
        <v>0</v>
      </c>
      <c r="BO11" s="125">
        <f>SUMIFS('Expenditure Breakdown'!$Q$6:$Q$174, 'Expenditure Breakdown'!$W$6:$W$174, "&gt;="&amp;BO1,'Expenditure Breakdown'!$W$6:$W$174, "&lt;"&amp;BP1)</f>
        <v>0</v>
      </c>
      <c r="BP11" s="125">
        <f>SUMIFS('Expenditure Breakdown'!$Q$6:$Q$174, 'Expenditure Breakdown'!$W$6:$W$174, "&gt;="&amp;BP1,'Expenditure Breakdown'!$W$6:$W$174, "&lt;"&amp;BQ1)</f>
        <v>0</v>
      </c>
      <c r="BQ11" s="125">
        <f>SUMIFS('Expenditure Breakdown'!$Q$6:$Q$174, 'Expenditure Breakdown'!$W$6:$W$174, "&gt;="&amp;BQ1,'Expenditure Breakdown'!$W$6:$W$174, "&lt;"&amp;BR1)</f>
        <v>0</v>
      </c>
      <c r="BR11" s="125">
        <f>SUMIFS('Expenditure Breakdown'!$Q$6:$Q$174, 'Expenditure Breakdown'!$W$6:$W$174, "&gt;="&amp;BR1,'Expenditure Breakdown'!$W$6:$W$174, "&lt;"&amp;BS1)</f>
        <v>0</v>
      </c>
      <c r="BS11" s="125">
        <f>SUMIFS('Expenditure Breakdown'!$Q$6:$Q$174, 'Expenditure Breakdown'!$W$6:$W$174, "&gt;="&amp;BS1,'Expenditure Breakdown'!$W$6:$W$174, "&lt;"&amp;BT1)</f>
        <v>0</v>
      </c>
      <c r="BT11" s="125">
        <f>SUMIFS('Expenditure Breakdown'!$Q$6:$Q$174, 'Expenditure Breakdown'!$W$6:$W$174, "&gt;="&amp;BT1,'Expenditure Breakdown'!$W$6:$W$174, "&lt;"&amp;BU1)</f>
        <v>0</v>
      </c>
      <c r="BU11" s="125">
        <f>SUMIFS('Expenditure Breakdown'!$Q$6:$Q$174, 'Expenditure Breakdown'!$W$6:$W$174, "&gt;="&amp;BU1,'Expenditure Breakdown'!$W$6:$W$174, "&lt;"&amp;BV1)</f>
        <v>0</v>
      </c>
      <c r="BV11" s="125">
        <f>SUMIFS('Expenditure Breakdown'!$Q$6:$Q$174, 'Expenditure Breakdown'!$W$6:$W$174, "&gt;="&amp;BV1,'Expenditure Breakdown'!$W$6:$W$174, "&lt;"&amp;BW1)</f>
        <v>0</v>
      </c>
      <c r="BW11" s="125">
        <f>SUMIFS('Expenditure Breakdown'!$Q$6:$Q$174, 'Expenditure Breakdown'!$W$6:$W$174, "&gt;="&amp;BW1,'Expenditure Breakdown'!$W$6:$W$174, "&lt;"&amp;BX1)</f>
        <v>0</v>
      </c>
      <c r="BX11" s="125">
        <f>SUMIFS('Expenditure Breakdown'!$Q$6:$Q$174, 'Expenditure Breakdown'!$W$6:$W$174, "&gt;="&amp;BX1,'Expenditure Breakdown'!$W$6:$W$174, "&lt;"&amp;BY1)</f>
        <v>0</v>
      </c>
      <c r="BY11" s="125">
        <f>SUMIFS('Expenditure Breakdown'!$Q$6:$Q$174, 'Expenditure Breakdown'!$W$6:$W$174, "&gt;="&amp;BY1,'Expenditure Breakdown'!$W$6:$W$174, "&lt;"&amp;BZ1)</f>
        <v>0</v>
      </c>
      <c r="BZ11" s="125">
        <f>SUMIFS('Expenditure Breakdown'!$Q$6:$Q$174, 'Expenditure Breakdown'!$W$6:$W$174, "&gt;="&amp;BZ1,'Expenditure Breakdown'!$W$6:$W$174, "&lt;"&amp;CA1)</f>
        <v>0</v>
      </c>
      <c r="CA11" s="125">
        <f>SUMIFS('Expenditure Breakdown'!$Q$6:$Q$174, 'Expenditure Breakdown'!$W$6:$W$174, "&gt;="&amp;CA1,'Expenditure Breakdown'!$W$6:$W$174, "&lt;"&amp;CB1)</f>
        <v>0</v>
      </c>
      <c r="CB11" s="125">
        <f>SUMIFS('Expenditure Breakdown'!$Q$6:$Q$174, 'Expenditure Breakdown'!$W$6:$W$174, "&gt;="&amp;CB1,'Expenditure Breakdown'!$W$6:$W$174, "&lt;"&amp;CC1)</f>
        <v>0</v>
      </c>
      <c r="CC11" s="125">
        <f>SUMIFS('Expenditure Breakdown'!$Q$6:$Q$174, 'Expenditure Breakdown'!$W$6:$W$174, "&gt;="&amp;CC1,'Expenditure Breakdown'!$W$6:$W$174, "&lt;"&amp;CD1)</f>
        <v>0</v>
      </c>
      <c r="CD11" s="125">
        <f>SUMIFS('Expenditure Breakdown'!$Q$6:$Q$174, 'Expenditure Breakdown'!$W$6:$W$174, "&gt;="&amp;CD1,'Expenditure Breakdown'!$W$6:$W$174, "&lt;"&amp;CE1)</f>
        <v>0</v>
      </c>
      <c r="CE11" s="125">
        <f>SUMIFS('Expenditure Breakdown'!$Q$6:$Q$174, 'Expenditure Breakdown'!$W$6:$W$174, "&gt;="&amp;CE1,'Expenditure Breakdown'!$W$6:$W$174, "&lt;"&amp;CF1)</f>
        <v>0</v>
      </c>
      <c r="CF11" s="125">
        <f>SUMIFS('Expenditure Breakdown'!$Q$6:$Q$174, 'Expenditure Breakdown'!$W$6:$W$174, "&gt;="&amp;CF1,'Expenditure Breakdown'!$W$6:$W$174, "&lt;"&amp;CG1)</f>
        <v>0</v>
      </c>
      <c r="CG11" s="125">
        <f>SUMIFS('Expenditure Breakdown'!$Q$6:$Q$174, 'Expenditure Breakdown'!$W$6:$W$174, "&gt;="&amp;CG1,'Expenditure Breakdown'!$W$6:$W$174, "&lt;"&amp;CH1)</f>
        <v>0</v>
      </c>
      <c r="CH11" s="125">
        <f>SUMIFS('Expenditure Breakdown'!$Q$6:$Q$174, 'Expenditure Breakdown'!$W$6:$W$174, "&gt;="&amp;CH1,'Expenditure Breakdown'!$W$6:$W$174, "&lt;"&amp;CI1)</f>
        <v>0</v>
      </c>
      <c r="CI11" s="125">
        <f>SUMIFS('Expenditure Breakdown'!$Q$6:$Q$174, 'Expenditure Breakdown'!$W$6:$W$174, "&gt;="&amp;CI1,'Expenditure Breakdown'!$W$6:$W$174, "&lt;"&amp;CJ1)</f>
        <v>0</v>
      </c>
      <c r="CJ11" s="125">
        <f>SUMIFS('Expenditure Breakdown'!$Q$6:$Q$174, 'Expenditure Breakdown'!$W$6:$W$174, "&gt;="&amp;CJ1,'Expenditure Breakdown'!$W$6:$W$174, "&lt;"&amp;CK1)</f>
        <v>0</v>
      </c>
      <c r="CK11" s="125">
        <f>SUMIFS('Expenditure Breakdown'!$Q$6:$Q$174, 'Expenditure Breakdown'!$W$6:$W$174, "&gt;="&amp;CK1,'Expenditure Breakdown'!$W$6:$W$174, "&lt;"&amp;CL1)</f>
        <v>0</v>
      </c>
      <c r="CL11" s="125">
        <f>SUMIFS('Expenditure Breakdown'!$Q$6:$Q$174, 'Expenditure Breakdown'!$W$6:$W$174, "&gt;="&amp;CL1,'Expenditure Breakdown'!$W$6:$W$174, "&lt;"&amp;CM1)</f>
        <v>0</v>
      </c>
      <c r="CM11" s="125">
        <f>SUMIFS('Expenditure Breakdown'!$Q$6:$Q$174, 'Expenditure Breakdown'!$W$6:$W$174, "&gt;="&amp;CM1,'Expenditure Breakdown'!$W$6:$W$174, "&lt;"&amp;CN1)</f>
        <v>0</v>
      </c>
      <c r="CN11" s="125">
        <f>SUMIFS('Expenditure Breakdown'!$Q$6:$Q$174, 'Expenditure Breakdown'!$W$6:$W$174, "&gt;="&amp;CN1,'Expenditure Breakdown'!$W$6:$W$174, "&lt;"&amp;CO1)</f>
        <v>0</v>
      </c>
      <c r="CO11" s="125">
        <f>SUMIFS('Expenditure Breakdown'!$Q$6:$Q$174, 'Expenditure Breakdown'!$W$6:$W$174, "&gt;="&amp;CO1,'Expenditure Breakdown'!$W$6:$W$174, "&lt;"&amp;CP1)</f>
        <v>0</v>
      </c>
      <c r="CP11" s="125">
        <f>SUMIFS('Expenditure Breakdown'!$Q$6:$Q$174, 'Expenditure Breakdown'!$W$6:$W$174, "&gt;="&amp;CP1,'Expenditure Breakdown'!$W$6:$W$174, "&lt;"&amp;CQ1)</f>
        <v>0</v>
      </c>
      <c r="CQ11" s="125">
        <f>SUMIFS('Expenditure Breakdown'!$Q$6:$Q$174, 'Expenditure Breakdown'!$W$6:$W$174, "&gt;="&amp;CQ1,'Expenditure Breakdown'!$W$6:$W$174, "&lt;"&amp;CR1)</f>
        <v>0</v>
      </c>
      <c r="CR11" s="125">
        <f>SUMIFS('Expenditure Breakdown'!$Q$6:$Q$174, 'Expenditure Breakdown'!$W$6:$W$174, "&gt;="&amp;CR1,'Expenditure Breakdown'!$W$6:$W$174, "&lt;"&amp;CS1)</f>
        <v>0</v>
      </c>
      <c r="CS11" s="125">
        <f>SUMIFS('Expenditure Breakdown'!$Q$6:$Q$174, 'Expenditure Breakdown'!$W$6:$W$174, "&gt;="&amp;CS1,'Expenditure Breakdown'!$W$6:$W$174, "&lt;"&amp;CT1)</f>
        <v>0</v>
      </c>
      <c r="CT11" s="125">
        <f>SUMIFS('Expenditure Breakdown'!$Q$6:$Q$174, 'Expenditure Breakdown'!$W$6:$W$174, "&gt;="&amp;CT1,'Expenditure Breakdown'!$W$6:$W$174, "&lt;"&amp;CU1)</f>
        <v>0</v>
      </c>
      <c r="CU11" s="125">
        <f>SUMIFS('Expenditure Breakdown'!$Q$6:$Q$174, 'Expenditure Breakdown'!$W$6:$W$174, "&gt;="&amp;CU1,'Expenditure Breakdown'!$W$6:$W$174, "&lt;"&amp;CV1)</f>
        <v>0</v>
      </c>
      <c r="CV11" s="125">
        <f>SUMIFS('Expenditure Breakdown'!$Q$6:$Q$174, 'Expenditure Breakdown'!$W$6:$W$174, "&gt;="&amp;CV1,'Expenditure Breakdown'!$W$6:$W$174, "&lt;"&amp;CW1)</f>
        <v>0</v>
      </c>
      <c r="CW11" s="125">
        <f>SUMIFS('Expenditure Breakdown'!$Q$6:$Q$174, 'Expenditure Breakdown'!$W$6:$W$174, "&gt;="&amp;CW1,'Expenditure Breakdown'!$W$6:$W$174, "&lt;"&amp;CX1)</f>
        <v>0</v>
      </c>
      <c r="CX11" s="125">
        <f>SUMIFS('Expenditure Breakdown'!$Q$6:$Q$174, 'Expenditure Breakdown'!$W$6:$W$174, "&gt;="&amp;CX1,'Expenditure Breakdown'!$W$6:$W$174, "&lt;"&amp;CY1)</f>
        <v>0</v>
      </c>
      <c r="CY11" s="125">
        <f>SUMIFS('Expenditure Breakdown'!$Q$6:$Q$174, 'Expenditure Breakdown'!$W$6:$W$174, "&gt;="&amp;CY1,'Expenditure Breakdown'!$W$6:$W$174, "&lt;"&amp;CZ1)</f>
        <v>0</v>
      </c>
      <c r="CZ11" s="125">
        <f>SUMIFS('Expenditure Breakdown'!$Q$6:$Q$174, 'Expenditure Breakdown'!$W$6:$W$174, "&gt;="&amp;CZ1,'Expenditure Breakdown'!$W$6:$W$174, "&lt;"&amp;DA1)</f>
        <v>0</v>
      </c>
      <c r="DA11" s="125">
        <f>SUMIFS('Expenditure Breakdown'!$Q$6:$Q$174, 'Expenditure Breakdown'!$W$6:$W$174, "&gt;="&amp;DA1,'Expenditure Breakdown'!$W$6:$W$174, "&lt;"&amp;DB1)</f>
        <v>0</v>
      </c>
      <c r="DB11" s="125">
        <f>SUMIFS('Expenditure Breakdown'!$Q$6:$Q$174, 'Expenditure Breakdown'!$W$6:$W$174, "&gt;="&amp;DB1,'Expenditure Breakdown'!$W$6:$W$174, "&lt;"&amp;DC1)</f>
        <v>0</v>
      </c>
      <c r="DC11" s="125">
        <f>SUMIFS('Expenditure Breakdown'!$Q$6:$Q$174, 'Expenditure Breakdown'!$W$6:$W$174, "&gt;="&amp;DC1,'Expenditure Breakdown'!$W$6:$W$174, "&lt;"&amp;DD1)</f>
        <v>0</v>
      </c>
      <c r="DD11" s="125">
        <f>SUMIFS('Expenditure Breakdown'!$Q$6:$Q$174, 'Expenditure Breakdown'!$W$6:$W$174, "&gt;="&amp;DD1,'Expenditure Breakdown'!$W$6:$W$174, "&lt;"&amp;DE1)</f>
        <v>0</v>
      </c>
      <c r="DE11" s="125">
        <f>SUMIFS('Expenditure Breakdown'!$Q$6:$Q$174, 'Expenditure Breakdown'!$W$6:$W$174, "&gt;="&amp;DE1,'Expenditure Breakdown'!$W$6:$W$174, "&lt;"&amp;DF1)</f>
        <v>0</v>
      </c>
      <c r="DF11" s="125">
        <f>SUMIFS('Expenditure Breakdown'!$Q$6:$Q$174, 'Expenditure Breakdown'!$W$6:$W$174, "&gt;="&amp;DF1,'Expenditure Breakdown'!$W$6:$W$174, "&lt;"&amp;DG1)</f>
        <v>0</v>
      </c>
      <c r="DG11" s="125">
        <f>SUMIFS('Expenditure Breakdown'!$Q$6:$Q$174, 'Expenditure Breakdown'!$W$6:$W$174, "&gt;="&amp;DG1,'Expenditure Breakdown'!$W$6:$W$174, "&lt;"&amp;DH1)</f>
        <v>0</v>
      </c>
      <c r="DH11" s="125">
        <f>SUMIFS('Expenditure Breakdown'!$Q$6:$Q$174, 'Expenditure Breakdown'!$W$6:$W$174, "&gt;="&amp;DH1,'Expenditure Breakdown'!$W$6:$W$174, "&lt;"&amp;DI1)</f>
        <v>0</v>
      </c>
      <c r="DI11" s="125">
        <f>SUMIFS('Expenditure Breakdown'!$Q$6:$Q$174, 'Expenditure Breakdown'!$W$6:$W$174, "&gt;="&amp;DI1,'Expenditure Breakdown'!$W$6:$W$174, "&lt;"&amp;DJ1)</f>
        <v>0</v>
      </c>
      <c r="DJ11" s="125">
        <f>SUMIFS('Expenditure Breakdown'!$Q$6:$Q$174, 'Expenditure Breakdown'!$W$6:$W$174, "&gt;="&amp;DJ1,'Expenditure Breakdown'!$W$6:$W$174, "&lt;"&amp;DK1)</f>
        <v>0</v>
      </c>
      <c r="DK11" s="125">
        <f>SUMIFS('Expenditure Breakdown'!$Q$6:$Q$174, 'Expenditure Breakdown'!$W$6:$W$174, "&gt;="&amp;DK1,'Expenditure Breakdown'!$W$6:$W$174, "&lt;"&amp;DL1)</f>
        <v>0</v>
      </c>
      <c r="DL11" s="125">
        <f>SUMIFS('Expenditure Breakdown'!$Q$6:$Q$174, 'Expenditure Breakdown'!$W$6:$W$174, "&gt;="&amp;DL1,'Expenditure Breakdown'!$W$6:$W$174, "&lt;"&amp;DM1)</f>
        <v>0</v>
      </c>
      <c r="DM11" s="125">
        <f>SUMIFS('Expenditure Breakdown'!$Q$6:$Q$174, 'Expenditure Breakdown'!$W$6:$W$174, "&gt;="&amp;DM1,'Expenditure Breakdown'!$W$6:$W$174, "&lt;"&amp;DN1)</f>
        <v>0</v>
      </c>
      <c r="DN11" s="125">
        <f>SUMIFS('Expenditure Breakdown'!$Q$6:$Q$174, 'Expenditure Breakdown'!$W$6:$W$174, "&gt;="&amp;DN1,'Expenditure Breakdown'!$W$6:$W$174, "&lt;"&amp;DO1)</f>
        <v>0</v>
      </c>
      <c r="DO11" s="125">
        <f>SUMIFS('Expenditure Breakdown'!$Q$6:$Q$174, 'Expenditure Breakdown'!$W$6:$W$174, "&gt;="&amp;DO1,'Expenditure Breakdown'!$W$6:$W$174, "&lt;"&amp;DP1)</f>
        <v>0</v>
      </c>
      <c r="DP11" s="125">
        <f>SUMIFS('Expenditure Breakdown'!$Q$6:$Q$174, 'Expenditure Breakdown'!$W$6:$W$174, "&gt;="&amp;DP1,'Expenditure Breakdown'!$W$6:$W$174, "&lt;"&amp;DQ1)</f>
        <v>0</v>
      </c>
      <c r="DQ11" s="125">
        <f>SUMIFS('Expenditure Breakdown'!$Q$6:$Q$174, 'Expenditure Breakdown'!$W$6:$W$174, "&gt;="&amp;DQ1,'Expenditure Breakdown'!$W$6:$W$174, "&lt;"&amp;DR1)</f>
        <v>0</v>
      </c>
      <c r="DR11" s="125">
        <f>SUMIFS('Expenditure Breakdown'!$Q$6:$Q$174, 'Expenditure Breakdown'!$W$6:$W$174, "&gt;="&amp;DR1,'Expenditure Breakdown'!$W$6:$W$174, "&lt;"&amp;DS1)</f>
        <v>0</v>
      </c>
      <c r="DS11" s="125">
        <f>SUMIFS('Expenditure Breakdown'!$Q$6:$Q$174, 'Expenditure Breakdown'!$W$6:$W$174, "&gt;="&amp;DS1,'Expenditure Breakdown'!$W$6:$W$174, "&lt;"&amp;DT1)</f>
        <v>0</v>
      </c>
      <c r="DT11" s="125">
        <f>SUMIFS('Expenditure Breakdown'!$Q$6:$Q$174, 'Expenditure Breakdown'!$W$6:$W$174, "&gt;="&amp;DT1,'Expenditure Breakdown'!$W$6:$W$174, "&lt;"&amp;DU1)</f>
        <v>0</v>
      </c>
      <c r="DU11" s="125">
        <f>SUMIFS('Expenditure Breakdown'!$Q$6:$Q$174, 'Expenditure Breakdown'!$W$6:$W$174, "&gt;="&amp;DU1,'Expenditure Breakdown'!$W$6:$W$174, "&lt;"&amp;DV1)</f>
        <v>0</v>
      </c>
      <c r="DV11" s="125">
        <f>SUMIFS('Expenditure Breakdown'!$Q$6:$Q$174, 'Expenditure Breakdown'!$W$6:$W$174, "&gt;="&amp;DV1,'Expenditure Breakdown'!$W$6:$W$174, "&lt;"&amp;DW1)</f>
        <v>0</v>
      </c>
      <c r="DW11" s="125">
        <f>SUMIFS('Expenditure Breakdown'!$Q$6:$Q$174, 'Expenditure Breakdown'!$W$6:$W$174, "&gt;="&amp;DW1,'Expenditure Breakdown'!$W$6:$W$174, "&lt;"&amp;DX1)</f>
        <v>0</v>
      </c>
      <c r="DX11" s="125">
        <f>SUMIFS('Expenditure Breakdown'!$Q$6:$Q$174, 'Expenditure Breakdown'!$W$6:$W$174, "&gt;="&amp;DX1,'Expenditure Breakdown'!$W$6:$W$174, "&lt;"&amp;DY1)</f>
        <v>0</v>
      </c>
      <c r="DY11" s="125">
        <f>SUMIFS('Expenditure Breakdown'!$Q$6:$Q$174, 'Expenditure Breakdown'!$W$6:$W$174, "&gt;="&amp;DY1,'Expenditure Breakdown'!$W$6:$W$174, "&lt;"&amp;DZ1)</f>
        <v>0</v>
      </c>
      <c r="DZ11" s="125">
        <f>SUMIFS('Expenditure Breakdown'!$Q$6:$Q$174, 'Expenditure Breakdown'!$W$6:$W$174, "&gt;="&amp;DZ1,'Expenditure Breakdown'!$W$6:$W$174, "&lt;"&amp;EA1)</f>
        <v>0</v>
      </c>
      <c r="EA11" s="125">
        <f>SUMIFS('Expenditure Breakdown'!$Q$6:$Q$174, 'Expenditure Breakdown'!$W$6:$W$174, "&gt;="&amp;EA1,'Expenditure Breakdown'!$W$6:$W$174, "&lt;"&amp;EB1)</f>
        <v>0</v>
      </c>
      <c r="EB11" s="125">
        <f>SUMIFS('Expenditure Breakdown'!$Q$6:$Q$174, 'Expenditure Breakdown'!$W$6:$W$174, "&gt;="&amp;EB1,'Expenditure Breakdown'!$W$6:$W$174, "&lt;"&amp;EC1)</f>
        <v>0</v>
      </c>
      <c r="EC11" s="125">
        <f>SUMIFS('Expenditure Breakdown'!$Q$6:$Q$174, 'Expenditure Breakdown'!$W$6:$W$174, "&gt;="&amp;EC1,'Expenditure Breakdown'!$W$6:$W$174, "&lt;"&amp;ED1)</f>
        <v>0</v>
      </c>
      <c r="ED11" s="125">
        <f>SUMIFS('Expenditure Breakdown'!$Q$6:$Q$174, 'Expenditure Breakdown'!$W$6:$W$174, "&gt;="&amp;ED1,'Expenditure Breakdown'!$W$6:$W$174, "&lt;"&amp;EE1)</f>
        <v>0</v>
      </c>
      <c r="EE11" s="125">
        <f>SUMIFS('Expenditure Breakdown'!$Q$6:$Q$174, 'Expenditure Breakdown'!$W$6:$W$174, "&gt;="&amp;EE1,'Expenditure Breakdown'!$W$6:$W$174, "&lt;"&amp;EF1)</f>
        <v>0</v>
      </c>
      <c r="EF11" s="125">
        <f>SUMIFS('Expenditure Breakdown'!$Q$6:$Q$174, 'Expenditure Breakdown'!$W$6:$W$174, "&gt;="&amp;EF1,'Expenditure Breakdown'!$W$6:$W$174, "&lt;"&amp;EG1)</f>
        <v>0</v>
      </c>
      <c r="EG11" s="125">
        <f>SUMIFS('Expenditure Breakdown'!$Q$6:$Q$174, 'Expenditure Breakdown'!$W$6:$W$174, "&gt;="&amp;EG1,'Expenditure Breakdown'!$W$6:$W$174, "&lt;"&amp;EH1)</f>
        <v>0</v>
      </c>
      <c r="EH11" s="125">
        <f>SUMIFS('Expenditure Breakdown'!$Q$6:$Q$174, 'Expenditure Breakdown'!$W$6:$W$174, "&gt;="&amp;EH1,'Expenditure Breakdown'!$W$6:$W$174, "&lt;"&amp;EI1)</f>
        <v>0</v>
      </c>
      <c r="EI11" s="125">
        <f>SUMIFS('Expenditure Breakdown'!$Q$6:$Q$174, 'Expenditure Breakdown'!$W$6:$W$174, "&gt;="&amp;EI1,'Expenditure Breakdown'!$W$6:$W$174, "&lt;"&amp;EJ1)</f>
        <v>0</v>
      </c>
      <c r="EJ11" s="125">
        <f>SUMIFS('Expenditure Breakdown'!$Q$6:$Q$174, 'Expenditure Breakdown'!$W$6:$W$174, "&gt;="&amp;EJ1,'Expenditure Breakdown'!$W$6:$W$174, "&lt;"&amp;EK1)</f>
        <v>0</v>
      </c>
      <c r="EK11" s="125">
        <f>SUMIFS('Expenditure Breakdown'!$Q$6:$Q$174, 'Expenditure Breakdown'!$W$6:$W$174, "&gt;="&amp;EK1,'Expenditure Breakdown'!$W$6:$W$174, "&lt;"&amp;EL1)</f>
        <v>0</v>
      </c>
      <c r="EL11" s="125">
        <f>SUMIFS('Expenditure Breakdown'!$Q$6:$Q$174, 'Expenditure Breakdown'!$W$6:$W$174, "&gt;="&amp;EL1,'Expenditure Breakdown'!$W$6:$W$174, "&lt;"&amp;EM1)</f>
        <v>0</v>
      </c>
      <c r="EM11" s="125">
        <f>SUMIFS('Expenditure Breakdown'!$Q$6:$Q$174, 'Expenditure Breakdown'!$W$6:$W$174, "&gt;="&amp;EM1,'Expenditure Breakdown'!$W$6:$W$174, "&lt;"&amp;EN1)</f>
        <v>0</v>
      </c>
      <c r="EN11" s="125">
        <f>SUMIFS('Expenditure Breakdown'!$Q$6:$Q$174, 'Expenditure Breakdown'!$W$6:$W$174, "&gt;="&amp;EN1,'Expenditure Breakdown'!$W$6:$W$174, "&lt;"&amp;EO1)</f>
        <v>0</v>
      </c>
      <c r="EO11" s="125">
        <f>SUMIFS('Expenditure Breakdown'!$Q$6:$Q$174, 'Expenditure Breakdown'!$W$6:$W$174, "&gt;="&amp;EO1,'Expenditure Breakdown'!$W$6:$W$174, "&lt;"&amp;EP1)</f>
        <v>0</v>
      </c>
      <c r="EP11" s="125">
        <f>SUMIFS('Expenditure Breakdown'!$Q$6:$Q$174, 'Expenditure Breakdown'!$W$6:$W$174, "&gt;="&amp;EP1,'Expenditure Breakdown'!$W$6:$W$174, "&lt;"&amp;EQ1)</f>
        <v>0</v>
      </c>
      <c r="EQ11" s="125">
        <f>SUMIFS('Expenditure Breakdown'!$Q$6:$Q$174, 'Expenditure Breakdown'!$W$6:$W$174, "&gt;="&amp;EQ1,'Expenditure Breakdown'!$W$6:$W$174, "&lt;"&amp;ER1)</f>
        <v>0</v>
      </c>
      <c r="ER11" s="125">
        <f>SUMIFS('Expenditure Breakdown'!$Q$6:$Q$174, 'Expenditure Breakdown'!$W$6:$W$174, "&gt;="&amp;ER1,'Expenditure Breakdown'!$W$6:$W$174, "&lt;"&amp;ES1)</f>
        <v>0</v>
      </c>
      <c r="ES11" s="125">
        <f>SUMIFS('Expenditure Breakdown'!$Q$6:$Q$174, 'Expenditure Breakdown'!$W$6:$W$174, "&gt;="&amp;ES1,'Expenditure Breakdown'!$W$6:$W$174, "&lt;"&amp;ET1)</f>
        <v>0</v>
      </c>
      <c r="ET11" s="125">
        <f>SUMIFS('Expenditure Breakdown'!$Q$6:$Q$174, 'Expenditure Breakdown'!$W$6:$W$174, "&gt;="&amp;ET1,'Expenditure Breakdown'!$W$6:$W$174, "&lt;"&amp;EU1)</f>
        <v>0</v>
      </c>
      <c r="EU11" s="125">
        <f>SUMIFS('Expenditure Breakdown'!$Q$6:$Q$174, 'Expenditure Breakdown'!$W$6:$W$174, "&gt;="&amp;EU1,'Expenditure Breakdown'!$W$6:$W$174, "&lt;"&amp;EV1)</f>
        <v>0</v>
      </c>
      <c r="EV11" s="125">
        <f>SUMIFS('Expenditure Breakdown'!$Q$6:$Q$174, 'Expenditure Breakdown'!$W$6:$W$174, "&gt;="&amp;EV1,'Expenditure Breakdown'!$W$6:$W$174, "&lt;"&amp;EW1)</f>
        <v>0</v>
      </c>
      <c r="EW11" s="125">
        <f>SUMIFS('Expenditure Breakdown'!$Q$6:$Q$174, 'Expenditure Breakdown'!$W$6:$W$174, "&gt;="&amp;EW1,'Expenditure Breakdown'!$W$6:$W$174, "&lt;"&amp;EX1)</f>
        <v>0</v>
      </c>
      <c r="EX11" s="125">
        <f>SUMIFS('Expenditure Breakdown'!$Q$6:$Q$174, 'Expenditure Breakdown'!$W$6:$W$174, "&gt;="&amp;EX1,'Expenditure Breakdown'!$W$6:$W$174, "&lt;"&amp;EY1)</f>
        <v>0</v>
      </c>
      <c r="EY11" s="125">
        <f>SUMIFS('Expenditure Breakdown'!$Q$6:$Q$174, 'Expenditure Breakdown'!$W$6:$W$174, "&gt;="&amp;EY1,'Expenditure Breakdown'!$W$6:$W$174, "&lt;"&amp;EZ1)</f>
        <v>0</v>
      </c>
      <c r="EZ11" s="125">
        <f>SUMIFS('Expenditure Breakdown'!$Q$6:$Q$174, 'Expenditure Breakdown'!$W$6:$W$174, "&gt;="&amp;EZ1,'Expenditure Breakdown'!$W$6:$W$174, "&lt;"&amp;FA1)</f>
        <v>0</v>
      </c>
      <c r="FA11" s="125">
        <f>SUMIFS('Expenditure Breakdown'!$Q$6:$Q$174, 'Expenditure Breakdown'!$W$6:$W$174, "&gt;="&amp;FA1,'Expenditure Breakdown'!$W$6:$W$174, "&lt;"&amp;FB1)</f>
        <v>0</v>
      </c>
      <c r="FB11" s="125">
        <f>SUMIFS('Expenditure Breakdown'!$Q$6:$Q$174, 'Expenditure Breakdown'!$W$6:$W$174, "&gt;="&amp;FB1,'Expenditure Breakdown'!$W$6:$W$174, "&lt;"&amp;FC1)</f>
        <v>0</v>
      </c>
      <c r="FC11" s="125">
        <f>SUMIFS('Expenditure Breakdown'!$Q$6:$Q$174, 'Expenditure Breakdown'!$W$6:$W$174, "&gt;="&amp;FC1,'Expenditure Breakdown'!$W$6:$W$174, "&lt;"&amp;FD1)</f>
        <v>0</v>
      </c>
      <c r="FD11" s="125">
        <f>SUMIFS('Expenditure Breakdown'!$Q$6:$Q$174, 'Expenditure Breakdown'!$W$6:$W$174, "&gt;="&amp;FD1,'Expenditure Breakdown'!$W$6:$W$174, "&lt;"&amp;FE1)</f>
        <v>0</v>
      </c>
      <c r="FE11" s="125">
        <f>SUMIFS('Expenditure Breakdown'!$Q$6:$Q$174, 'Expenditure Breakdown'!$W$6:$W$174, "&gt;="&amp;FE1,'Expenditure Breakdown'!$W$6:$W$174, "&lt;"&amp;FF1)</f>
        <v>0</v>
      </c>
      <c r="FF11" s="125">
        <f>SUMIFS('Expenditure Breakdown'!$Q$6:$Q$174, 'Expenditure Breakdown'!$W$6:$W$174, "&gt;="&amp;FF1,'Expenditure Breakdown'!$W$6:$W$174, "&lt;"&amp;FG1)</f>
        <v>0</v>
      </c>
      <c r="FG11" s="125">
        <f>SUMIFS('Expenditure Breakdown'!$Q$6:$Q$174, 'Expenditure Breakdown'!$W$6:$W$174, "&gt;="&amp;FG1,'Expenditure Breakdown'!$W$6:$W$174, "&lt;"&amp;FH1)</f>
        <v>0</v>
      </c>
      <c r="FH11" s="125">
        <f>SUMIFS('Expenditure Breakdown'!$Q$6:$Q$174, 'Expenditure Breakdown'!$W$6:$W$174, "&gt;="&amp;FH1,'Expenditure Breakdown'!$W$6:$W$174, "&lt;"&amp;FI1)</f>
        <v>0</v>
      </c>
      <c r="FI11" s="125">
        <f>SUMIFS('Expenditure Breakdown'!$Q$6:$Q$174, 'Expenditure Breakdown'!$W$6:$W$174, "&gt;="&amp;FI1,'Expenditure Breakdown'!$W$6:$W$174, "&lt;"&amp;FJ1)</f>
        <v>0</v>
      </c>
      <c r="FJ11" s="125">
        <f>SUMIFS('Expenditure Breakdown'!$Q$6:$Q$174, 'Expenditure Breakdown'!$W$6:$W$174, "&gt;="&amp;FJ1,'Expenditure Breakdown'!$W$6:$W$174, "&lt;"&amp;FK1)</f>
        <v>0</v>
      </c>
      <c r="FK11" s="125">
        <f>SUMIFS('Expenditure Breakdown'!$Q$6:$Q$174, 'Expenditure Breakdown'!$W$6:$W$174, "&gt;="&amp;FK1,'Expenditure Breakdown'!$W$6:$W$174, "&lt;"&amp;FL1)</f>
        <v>0</v>
      </c>
      <c r="FL11" s="125">
        <f>SUMIFS('Expenditure Breakdown'!$Q$6:$Q$174, 'Expenditure Breakdown'!$W$6:$W$174, "&gt;="&amp;FL1,'Expenditure Breakdown'!$W$6:$W$174, "&lt;"&amp;FM1)</f>
        <v>0</v>
      </c>
      <c r="FM11" s="125">
        <f>SUMIFS('Expenditure Breakdown'!$Q$6:$Q$174, 'Expenditure Breakdown'!$W$6:$W$174, "&gt;="&amp;FM1,'Expenditure Breakdown'!$W$6:$W$174, "&lt;"&amp;FN1)</f>
        <v>0</v>
      </c>
      <c r="FN11" s="125">
        <f>SUMIFS('Expenditure Breakdown'!$Q$6:$Q$174, 'Expenditure Breakdown'!$W$6:$W$174, "&gt;="&amp;FN1,'Expenditure Breakdown'!$W$6:$W$174, "&lt;"&amp;FO1)</f>
        <v>0</v>
      </c>
      <c r="FO11" s="125">
        <f>SUMIFS('Expenditure Breakdown'!$Q$6:$Q$174, 'Expenditure Breakdown'!$W$6:$W$174, "&gt;="&amp;FO1,'Expenditure Breakdown'!$W$6:$W$174, "&lt;"&amp;FP1)</f>
        <v>0</v>
      </c>
      <c r="FP11" s="125">
        <f>SUMIFS('Expenditure Breakdown'!$Q$6:$Q$174, 'Expenditure Breakdown'!$W$6:$W$174, "&gt;="&amp;FP1,'Expenditure Breakdown'!$W$6:$W$174, "&lt;"&amp;FQ1)</f>
        <v>0</v>
      </c>
      <c r="FQ11" s="125">
        <f>SUMIFS('Expenditure Breakdown'!$Q$6:$Q$174, 'Expenditure Breakdown'!$W$6:$W$174, "&gt;="&amp;FQ1,'Expenditure Breakdown'!$W$6:$W$174, "&lt;"&amp;FR1)</f>
        <v>0</v>
      </c>
      <c r="FR11" s="125">
        <f>SUMIFS('Expenditure Breakdown'!$Q$6:$Q$174, 'Expenditure Breakdown'!$W$6:$W$174, "&gt;="&amp;FR1,'Expenditure Breakdown'!$W$6:$W$174, "&lt;"&amp;FS1)</f>
        <v>0</v>
      </c>
      <c r="FS11" s="125">
        <f>SUMIFS('Expenditure Breakdown'!$Q$6:$Q$174, 'Expenditure Breakdown'!$W$6:$W$174, "&gt;="&amp;FS1,'Expenditure Breakdown'!$W$6:$W$174, "&lt;"&amp;FT1)</f>
        <v>0</v>
      </c>
      <c r="FT11" s="125">
        <f>SUMIFS('Expenditure Breakdown'!$Q$6:$Q$174, 'Expenditure Breakdown'!$W$6:$W$174, "&gt;="&amp;FT1,'Expenditure Breakdown'!$W$6:$W$174, "&lt;"&amp;FU1)</f>
        <v>0</v>
      </c>
      <c r="FU11" s="125">
        <f>SUMIFS('Expenditure Breakdown'!$Q$6:$Q$174, 'Expenditure Breakdown'!$W$6:$W$174, "&gt;="&amp;FU1,'Expenditure Breakdown'!$W$6:$W$174, "&lt;"&amp;FV1)</f>
        <v>0</v>
      </c>
      <c r="FV11" s="125">
        <f>SUMIFS('Expenditure Breakdown'!$Q$6:$Q$174, 'Expenditure Breakdown'!$W$6:$W$174, "&gt;="&amp;FV1,'Expenditure Breakdown'!$W$6:$W$174, "&lt;"&amp;FW1)</f>
        <v>0</v>
      </c>
      <c r="FW11" s="125">
        <f>SUMIFS('Expenditure Breakdown'!$Q$6:$Q$174, 'Expenditure Breakdown'!$W$6:$W$174, "&gt;="&amp;FW1,'Expenditure Breakdown'!$W$6:$W$174, "&lt;"&amp;FX1)</f>
        <v>0</v>
      </c>
      <c r="FX11" s="125">
        <f>SUMIFS('Expenditure Breakdown'!$Q$6:$Q$174, 'Expenditure Breakdown'!$W$6:$W$174, "&gt;="&amp;FX1,'Expenditure Breakdown'!$W$6:$W$174, "&lt;"&amp;FY1)</f>
        <v>0</v>
      </c>
      <c r="FY11" s="125">
        <f>SUMIFS('Expenditure Breakdown'!$Q$6:$Q$174, 'Expenditure Breakdown'!$W$6:$W$174, "&gt;="&amp;FY1,'Expenditure Breakdown'!$W$6:$W$174, "&lt;"&amp;FZ1)</f>
        <v>0</v>
      </c>
      <c r="FZ11" s="125">
        <f>SUMIFS('Expenditure Breakdown'!$Q$6:$Q$174, 'Expenditure Breakdown'!$W$6:$W$174, "&gt;="&amp;FZ1,'Expenditure Breakdown'!$W$6:$W$174, "&lt;"&amp;GA1)</f>
        <v>0</v>
      </c>
      <c r="GA11" s="125">
        <f>SUMIFS('Expenditure Breakdown'!$Q$6:$Q$174, 'Expenditure Breakdown'!$W$6:$W$174, "&gt;="&amp;GA1,'Expenditure Breakdown'!$W$6:$W$174, "&lt;"&amp;GB1)</f>
        <v>0</v>
      </c>
      <c r="GB11" s="125">
        <f>SUMIFS('Expenditure Breakdown'!$Q$6:$Q$174, 'Expenditure Breakdown'!$W$6:$W$174, "&gt;="&amp;GB1,'Expenditure Breakdown'!$W$6:$W$174, "&lt;"&amp;GC1)</f>
        <v>0</v>
      </c>
      <c r="GC11" s="125">
        <f>SUMIFS('Expenditure Breakdown'!$Q$6:$Q$174, 'Expenditure Breakdown'!$W$6:$W$174, "&gt;="&amp;GC1,'Expenditure Breakdown'!$W$6:$W$174, "&lt;"&amp;GD1)</f>
        <v>0</v>
      </c>
      <c r="GD11" s="125">
        <f>SUMIFS('Expenditure Breakdown'!$Q$6:$Q$174, 'Expenditure Breakdown'!$W$6:$W$174, "&gt;="&amp;GD1,'Expenditure Breakdown'!$W$6:$W$174, "&lt;"&amp;GE1)</f>
        <v>0</v>
      </c>
      <c r="GE11" s="125">
        <f>SUMIFS('Expenditure Breakdown'!$Q$6:$Q$174, 'Expenditure Breakdown'!$W$6:$W$174, "&gt;="&amp;GE1,'Expenditure Breakdown'!$W$6:$W$174, "&lt;"&amp;GF1)</f>
        <v>0</v>
      </c>
      <c r="GF11" s="125">
        <f>SUMIFS('Expenditure Breakdown'!$Q$6:$Q$174, 'Expenditure Breakdown'!$W$6:$W$174, "&gt;="&amp;GF1,'Expenditure Breakdown'!$W$6:$W$174, "&lt;"&amp;GG1)</f>
        <v>0</v>
      </c>
      <c r="GG11" s="125">
        <f>SUMIFS('Expenditure Breakdown'!$Q$6:$Q$174, 'Expenditure Breakdown'!$W$6:$W$174, "&gt;="&amp;GG1,'Expenditure Breakdown'!$W$6:$W$174, "&lt;"&amp;GH1)</f>
        <v>0</v>
      </c>
      <c r="GH11" s="125">
        <f>SUMIFS('Expenditure Breakdown'!$Q$6:$Q$174, 'Expenditure Breakdown'!$W$6:$W$174, "&gt;="&amp;GH1,'Expenditure Breakdown'!$W$6:$W$174, "&lt;"&amp;GI1)</f>
        <v>0</v>
      </c>
      <c r="GI11" s="125">
        <f>SUMIFS('Expenditure Breakdown'!$Q$6:$Q$174, 'Expenditure Breakdown'!$W$6:$W$174, "&gt;="&amp;GI1,'Expenditure Breakdown'!$W$6:$W$174, "&lt;"&amp;GJ1)</f>
        <v>0</v>
      </c>
      <c r="GJ11" s="125">
        <f>SUMIFS('Expenditure Breakdown'!$Q$6:$Q$174, 'Expenditure Breakdown'!$W$6:$W$174, "&gt;="&amp;GJ1,'Expenditure Breakdown'!$W$6:$W$174, "&lt;"&amp;GK1)</f>
        <v>0</v>
      </c>
      <c r="GK11" s="125">
        <f>SUMIFS('Expenditure Breakdown'!$Q$6:$Q$174, 'Expenditure Breakdown'!$W$6:$W$174, "&gt;="&amp;GK1,'Expenditure Breakdown'!$W$6:$W$174, "&lt;"&amp;GL1)</f>
        <v>0</v>
      </c>
      <c r="GL11" s="125">
        <f>SUMIFS('Expenditure Breakdown'!$Q$6:$Q$174, 'Expenditure Breakdown'!$W$6:$W$174, "&gt;="&amp;GL1,'Expenditure Breakdown'!$W$6:$W$174, "&lt;"&amp;GM1)</f>
        <v>0</v>
      </c>
      <c r="GM11" s="125">
        <f>SUMIFS('Expenditure Breakdown'!$Q$6:$Q$174, 'Expenditure Breakdown'!$W$6:$W$174, "&gt;="&amp;GM1,'Expenditure Breakdown'!$W$6:$W$174, "&lt;"&amp;GN1)</f>
        <v>0</v>
      </c>
      <c r="GN11" s="125">
        <f>SUMIFS('Expenditure Breakdown'!$Q$6:$Q$174, 'Expenditure Breakdown'!$W$6:$W$174, "&gt;="&amp;GN1,'Expenditure Breakdown'!$W$6:$W$174, "&lt;"&amp;GO1)</f>
        <v>0</v>
      </c>
      <c r="GO11" s="125">
        <f>SUMIFS('Expenditure Breakdown'!$Q$6:$Q$174, 'Expenditure Breakdown'!$W$6:$W$174, "&gt;="&amp;GO1,'Expenditure Breakdown'!$W$6:$W$174, "&lt;"&amp;GP1)</f>
        <v>0</v>
      </c>
      <c r="GP11" s="125">
        <f>SUMIFS('Expenditure Breakdown'!$Q$6:$Q$174, 'Expenditure Breakdown'!$W$6:$W$174, "&gt;="&amp;GP1,'Expenditure Breakdown'!$W$6:$W$174, "&lt;"&amp;GQ1)</f>
        <v>0</v>
      </c>
      <c r="GQ11" s="125">
        <f>SUMIFS('Expenditure Breakdown'!$Q$6:$Q$174, 'Expenditure Breakdown'!$W$6:$W$174, "&gt;="&amp;GQ1,'Expenditure Breakdown'!$W$6:$W$174, "&lt;"&amp;GR1)</f>
        <v>0</v>
      </c>
      <c r="GR11" s="125">
        <f>SUMIFS('Expenditure Breakdown'!$Q$6:$Q$174, 'Expenditure Breakdown'!$W$6:$W$174, "&gt;="&amp;GR1,'Expenditure Breakdown'!$W$6:$W$174, "&lt;"&amp;GS1)</f>
        <v>0</v>
      </c>
      <c r="GS11" s="125">
        <f>SUMIFS('Expenditure Breakdown'!$Q$6:$Q$174, 'Expenditure Breakdown'!$W$6:$W$174, "&gt;="&amp;GS1,'Expenditure Breakdown'!$W$6:$W$174, "&lt;"&amp;GT1)</f>
        <v>0</v>
      </c>
      <c r="GT11" s="125">
        <f>SUMIFS('Expenditure Breakdown'!$Q$6:$Q$174, 'Expenditure Breakdown'!$W$6:$W$174, "&gt;="&amp;GT1,'Expenditure Breakdown'!$W$6:$W$174, "&lt;"&amp;GU1)</f>
        <v>0</v>
      </c>
      <c r="GU11" s="125">
        <f>SUMIFS('Expenditure Breakdown'!$Q$6:$Q$174, 'Expenditure Breakdown'!$W$6:$W$174, "&gt;="&amp;GU1,'Expenditure Breakdown'!$W$6:$W$174, "&lt;"&amp;GV1)</f>
        <v>0</v>
      </c>
      <c r="GV11" s="125">
        <f>SUMIFS('Expenditure Breakdown'!$Q$6:$Q$174, 'Expenditure Breakdown'!$W$6:$W$174, "&gt;="&amp;GV1,'Expenditure Breakdown'!$W$6:$W$174, "&lt;"&amp;GW1)</f>
        <v>0</v>
      </c>
      <c r="GW11" s="125">
        <f>SUMIFS('Expenditure Breakdown'!$Q$6:$Q$174, 'Expenditure Breakdown'!$W$6:$W$174, "&gt;="&amp;GW1,'Expenditure Breakdown'!$W$6:$W$174, "&lt;"&amp;GX1)</f>
        <v>0</v>
      </c>
      <c r="GX11" s="125">
        <f>SUMIFS('Expenditure Breakdown'!$Q$6:$Q$174, 'Expenditure Breakdown'!$W$6:$W$174, "&gt;="&amp;GX1,'Expenditure Breakdown'!$W$6:$W$174, "&lt;"&amp;GY1)</f>
        <v>0</v>
      </c>
      <c r="GY11" s="125">
        <f>SUMIFS('Expenditure Breakdown'!$Q$6:$Q$174, 'Expenditure Breakdown'!$W$6:$W$174, "&gt;="&amp;GY1,'Expenditure Breakdown'!$W$6:$W$174, "&lt;"&amp;GZ1)</f>
        <v>0</v>
      </c>
      <c r="GZ11" s="125">
        <f>SUMIFS('Expenditure Breakdown'!$Q$6:$Q$174, 'Expenditure Breakdown'!$W$6:$W$174, "&gt;="&amp;GZ1,'Expenditure Breakdown'!$W$6:$W$174, "&lt;"&amp;HA1)</f>
        <v>0</v>
      </c>
      <c r="HA11" s="125">
        <f>SUMIFS('Expenditure Breakdown'!$Q$6:$Q$174, 'Expenditure Breakdown'!$W$6:$W$174, "&gt;="&amp;HA1,'Expenditure Breakdown'!$W$6:$W$174, "&lt;"&amp;HB1)</f>
        <v>0</v>
      </c>
      <c r="HB11" s="125">
        <f>SUMIFS('Expenditure Breakdown'!$Q$6:$Q$174, 'Expenditure Breakdown'!$W$6:$W$174, "&gt;="&amp;HB1,'Expenditure Breakdown'!$W$6:$W$174, "&lt;"&amp;HC1)</f>
        <v>0</v>
      </c>
      <c r="HC11" s="125">
        <f>SUMIFS('Expenditure Breakdown'!$Q$6:$Q$174, 'Expenditure Breakdown'!$W$6:$W$174, "&gt;="&amp;HC1,'Expenditure Breakdown'!$W$6:$W$174, "&lt;"&amp;HD1)</f>
        <v>0</v>
      </c>
      <c r="HD11" s="125">
        <f>SUMIFS('Expenditure Breakdown'!$Q$6:$Q$174, 'Expenditure Breakdown'!$W$6:$W$174, "&gt;="&amp;HD1,'Expenditure Breakdown'!$W$6:$W$174, "&lt;"&amp;HE1)</f>
        <v>0</v>
      </c>
      <c r="HE11" s="125">
        <f>SUMIFS('Expenditure Breakdown'!$Q$6:$Q$174, 'Expenditure Breakdown'!$W$6:$W$174, "&gt;="&amp;HE1,'Expenditure Breakdown'!$W$6:$W$174, "&lt;"&amp;HF1)</f>
        <v>0</v>
      </c>
      <c r="HF11" s="125">
        <f>SUMIFS('Expenditure Breakdown'!$Q$6:$Q$174, 'Expenditure Breakdown'!$W$6:$W$174, "&gt;="&amp;HF1,'Expenditure Breakdown'!$W$6:$W$174, "&lt;"&amp;HG1)</f>
        <v>0</v>
      </c>
      <c r="HG11" s="125">
        <f>SUMIFS('Expenditure Breakdown'!$Q$6:$Q$174, 'Expenditure Breakdown'!$W$6:$W$174, "&gt;="&amp;HG1,'Expenditure Breakdown'!$W$6:$W$174, "&lt;"&amp;HH1)</f>
        <v>0</v>
      </c>
      <c r="HH11" s="125">
        <f>SUMIFS('Expenditure Breakdown'!$Q$6:$Q$174, 'Expenditure Breakdown'!$W$6:$W$174, "&gt;="&amp;HH1,'Expenditure Breakdown'!$W$6:$W$174, "&lt;"&amp;HI1)</f>
        <v>0</v>
      </c>
      <c r="HI11" s="125">
        <f>SUMIFS('Expenditure Breakdown'!$Q$6:$Q$174, 'Expenditure Breakdown'!$W$6:$W$174, "&gt;="&amp;HI1,'Expenditure Breakdown'!$W$6:$W$174, "&lt;"&amp;HJ1)</f>
        <v>0</v>
      </c>
      <c r="HJ11" s="125">
        <f>SUMIFS('Expenditure Breakdown'!$Q$6:$Q$174, 'Expenditure Breakdown'!$W$6:$W$174, "&gt;="&amp;HJ1,'Expenditure Breakdown'!$W$6:$W$174, "&lt;"&amp;HK1)</f>
        <v>0</v>
      </c>
      <c r="HK11" s="125">
        <f>SUMIFS('Expenditure Breakdown'!$Q$6:$Q$174, 'Expenditure Breakdown'!$W$6:$W$174, "&gt;="&amp;HK1,'Expenditure Breakdown'!$W$6:$W$174, "&lt;"&amp;HL1)</f>
        <v>0</v>
      </c>
      <c r="HL11" s="125">
        <f>SUMIFS('Expenditure Breakdown'!$Q$6:$Q$174, 'Expenditure Breakdown'!$W$6:$W$174, "&gt;="&amp;HL1,'Expenditure Breakdown'!$W$6:$W$174, "&lt;"&amp;HM1)</f>
        <v>0</v>
      </c>
      <c r="HM11" s="125">
        <f>SUMIFS('Expenditure Breakdown'!$Q$6:$Q$174, 'Expenditure Breakdown'!$W$6:$W$174, "&gt;="&amp;HM1,'Expenditure Breakdown'!$W$6:$W$174, "&lt;"&amp;HN1)</f>
        <v>0</v>
      </c>
      <c r="HN11" s="125">
        <f>SUMIFS('Expenditure Breakdown'!$Q$6:$Q$174, 'Expenditure Breakdown'!$W$6:$W$174, "&gt;="&amp;HN1,'Expenditure Breakdown'!$W$6:$W$174, "&lt;"&amp;HO1)</f>
        <v>0</v>
      </c>
      <c r="HO11" s="125">
        <f>SUMIFS('Expenditure Breakdown'!$Q$6:$Q$174, 'Expenditure Breakdown'!$W$6:$W$174, "&gt;="&amp;HO1,'Expenditure Breakdown'!$W$6:$W$174, "&lt;"&amp;HP1)</f>
        <v>0</v>
      </c>
      <c r="HP11" s="125">
        <f>SUMIFS('Expenditure Breakdown'!$Q$6:$Q$174, 'Expenditure Breakdown'!$W$6:$W$174, "&gt;="&amp;HP1,'Expenditure Breakdown'!$W$6:$W$174, "&lt;"&amp;HQ1)</f>
        <v>0</v>
      </c>
      <c r="HQ11" s="125">
        <f>SUMIFS('Expenditure Breakdown'!$Q$6:$Q$174, 'Expenditure Breakdown'!$W$6:$W$174, "&gt;="&amp;HQ1,'Expenditure Breakdown'!$W$6:$W$174, "&lt;"&amp;HR1)</f>
        <v>0</v>
      </c>
      <c r="HR11" s="125">
        <f>SUMIFS('Expenditure Breakdown'!$Q$6:$Q$174, 'Expenditure Breakdown'!$W$6:$W$174, "&gt;="&amp;HR1,'Expenditure Breakdown'!$W$6:$W$174, "&lt;"&amp;HS1)</f>
        <v>0</v>
      </c>
      <c r="HS11" s="125">
        <f>SUMIFS('Expenditure Breakdown'!$Q$6:$Q$174, 'Expenditure Breakdown'!$W$6:$W$174, "&gt;="&amp;HS1,'Expenditure Breakdown'!$W$6:$W$174, "&lt;"&amp;HT1)</f>
        <v>0</v>
      </c>
      <c r="HT11" s="125">
        <f>SUMIFS('Expenditure Breakdown'!$Q$6:$Q$174, 'Expenditure Breakdown'!$W$6:$W$174, "&gt;="&amp;HT1,'Expenditure Breakdown'!$W$6:$W$174, "&lt;"&amp;HU1)</f>
        <v>0</v>
      </c>
      <c r="HU11" s="125">
        <f>SUMIFS('Expenditure Breakdown'!$Q$6:$Q$174, 'Expenditure Breakdown'!$W$6:$W$174, "&gt;="&amp;HU1,'Expenditure Breakdown'!$W$6:$W$174, "&lt;"&amp;HV1)</f>
        <v>0</v>
      </c>
      <c r="HV11" s="125">
        <f>SUMIFS('Expenditure Breakdown'!$Q$6:$Q$174, 'Expenditure Breakdown'!$W$6:$W$174, "&gt;="&amp;HV1,'Expenditure Breakdown'!$W$6:$W$174, "&lt;"&amp;HW1)</f>
        <v>0</v>
      </c>
      <c r="HW11" s="125">
        <f>SUMIFS('Expenditure Breakdown'!$Q$6:$Q$174, 'Expenditure Breakdown'!$W$6:$W$174, "&gt;="&amp;HW1,'Expenditure Breakdown'!$W$6:$W$174, "&lt;"&amp;HX1)</f>
        <v>0</v>
      </c>
      <c r="HX11" s="125">
        <f>SUMIFS('Expenditure Breakdown'!$Q$6:$Q$174, 'Expenditure Breakdown'!$W$6:$W$174, "&gt;="&amp;HX1,'Expenditure Breakdown'!$W$6:$W$174, "&lt;"&amp;HY1)</f>
        <v>0</v>
      </c>
      <c r="HY11" s="125">
        <f>SUMIFS('Expenditure Breakdown'!$Q$6:$Q$174, 'Expenditure Breakdown'!$W$6:$W$174, "&gt;="&amp;HY1,'Expenditure Breakdown'!$W$6:$W$174, "&lt;"&amp;HZ1)</f>
        <v>0</v>
      </c>
      <c r="HZ11" s="125">
        <f>SUMIFS('Expenditure Breakdown'!$Q$6:$Q$174, 'Expenditure Breakdown'!$W$6:$W$174, "&gt;="&amp;HZ1,'Expenditure Breakdown'!$W$6:$W$174, "&lt;"&amp;IA1)</f>
        <v>0</v>
      </c>
      <c r="IA11" s="125">
        <f>SUMIFS('Expenditure Breakdown'!$Q$6:$Q$174, 'Expenditure Breakdown'!$W$6:$W$174, "&gt;="&amp;IA1,'Expenditure Breakdown'!$W$6:$W$174, "&lt;"&amp;IB1)</f>
        <v>0</v>
      </c>
      <c r="IB11" s="125">
        <f>SUMIFS('Expenditure Breakdown'!$Q$6:$Q$174, 'Expenditure Breakdown'!$W$6:$W$174, "&gt;="&amp;IB1,'Expenditure Breakdown'!$W$6:$W$174, "&lt;"&amp;IC1)</f>
        <v>0</v>
      </c>
      <c r="IC11" s="125">
        <f>SUMIFS('Expenditure Breakdown'!$Q$6:$Q$174, 'Expenditure Breakdown'!$W$6:$W$174, "&gt;="&amp;IC1,'Expenditure Breakdown'!$W$6:$W$174, "&lt;"&amp;ID1)</f>
        <v>0</v>
      </c>
      <c r="ID11" s="125">
        <f>SUMIFS('Expenditure Breakdown'!$Q$6:$Q$174, 'Expenditure Breakdown'!$W$6:$W$174, "&gt;="&amp;ID1,'Expenditure Breakdown'!$W$6:$W$174, "&lt;"&amp;IE1)</f>
        <v>0</v>
      </c>
      <c r="IE11" s="125">
        <f>SUMIFS('Expenditure Breakdown'!$Q$6:$Q$174, 'Expenditure Breakdown'!$W$6:$W$174, "&gt;="&amp;IE1,'Expenditure Breakdown'!$W$6:$W$174, "&lt;"&amp;IF1)</f>
        <v>0</v>
      </c>
      <c r="IF11" s="125">
        <f>SUMIFS('Expenditure Breakdown'!$Q$6:$Q$174, 'Expenditure Breakdown'!$W$6:$W$174, "&gt;="&amp;IF1,'Expenditure Breakdown'!$W$6:$W$174, "&lt;"&amp;IG1)</f>
        <v>0</v>
      </c>
      <c r="IG11" s="125">
        <f>SUMIFS('Expenditure Breakdown'!$Q$6:$Q$174, 'Expenditure Breakdown'!$W$6:$W$174, "&gt;="&amp;IG1,'Expenditure Breakdown'!$W$6:$W$174, "&lt;"&amp;IH1)</f>
        <v>0</v>
      </c>
      <c r="IH11" s="125">
        <f>SUMIFS('Expenditure Breakdown'!$Q$6:$Q$174, 'Expenditure Breakdown'!$W$6:$W$174, "&gt;="&amp;IH1,'Expenditure Breakdown'!$W$6:$W$174, "&lt;"&amp;II1)</f>
        <v>0</v>
      </c>
      <c r="II11" s="125">
        <f>SUMIFS('Expenditure Breakdown'!$Q$6:$Q$174, 'Expenditure Breakdown'!$W$6:$W$174, "&gt;="&amp;II1,'Expenditure Breakdown'!$W$6:$W$174, "&lt;"&amp;IJ1)</f>
        <v>0</v>
      </c>
      <c r="IJ11" s="125">
        <f>SUMIFS('Expenditure Breakdown'!$Q$6:$Q$174, 'Expenditure Breakdown'!$W$6:$W$174, "&gt;="&amp;IJ1,'Expenditure Breakdown'!$W$6:$W$174, "&lt;"&amp;IK1)</f>
        <v>0</v>
      </c>
      <c r="IK11" s="125">
        <f>SUMIFS('Expenditure Breakdown'!$Q$6:$Q$174, 'Expenditure Breakdown'!$W$6:$W$174, "&gt;="&amp;IK1,'Expenditure Breakdown'!$W$6:$W$174, "&lt;"&amp;IL1)</f>
        <v>0</v>
      </c>
      <c r="IL11" s="125">
        <f>SUMIFS('Expenditure Breakdown'!$Q$6:$Q$174, 'Expenditure Breakdown'!$W$6:$W$174, "&gt;="&amp;IL1,'Expenditure Breakdown'!$W$6:$W$174, "&lt;"&amp;IM1)</f>
        <v>0</v>
      </c>
      <c r="IM11" s="125">
        <f>SUMIFS('Expenditure Breakdown'!$Q$6:$Q$174, 'Expenditure Breakdown'!$W$6:$W$174, "&gt;="&amp;IM1,'Expenditure Breakdown'!$W$6:$W$174, "&lt;"&amp;IN1)</f>
        <v>0</v>
      </c>
      <c r="IN11" s="125">
        <f>SUMIFS('Expenditure Breakdown'!$Q$6:$Q$174, 'Expenditure Breakdown'!$W$6:$W$174, "&gt;="&amp;IN1,'Expenditure Breakdown'!$W$6:$W$174, "&lt;"&amp;IO1)</f>
        <v>0</v>
      </c>
      <c r="IO11" s="125">
        <f>SUMIFS('Expenditure Breakdown'!$Q$6:$Q$174, 'Expenditure Breakdown'!$W$6:$W$174, "&gt;="&amp;IO1,'Expenditure Breakdown'!$W$6:$W$174, "&lt;"&amp;IP1)</f>
        <v>0</v>
      </c>
      <c r="IP11" s="125">
        <f>SUMIFS('Expenditure Breakdown'!$Q$6:$Q$174, 'Expenditure Breakdown'!$W$6:$W$174, "&gt;="&amp;IP1,'Expenditure Breakdown'!$W$6:$W$174, "&lt;"&amp;IQ1)</f>
        <v>0</v>
      </c>
      <c r="IQ11" s="125">
        <f>SUMIFS('Expenditure Breakdown'!$Q$6:$Q$174, 'Expenditure Breakdown'!$W$6:$W$174, "&gt;="&amp;IQ1,'Expenditure Breakdown'!$W$6:$W$174, "&lt;"&amp;IR1)</f>
        <v>0</v>
      </c>
      <c r="IR11" s="125">
        <f>SUMIFS('Expenditure Breakdown'!$Q$6:$Q$174, 'Expenditure Breakdown'!$W$6:$W$174, "&gt;="&amp;IR1,'Expenditure Breakdown'!$W$6:$W$174, "&lt;"&amp;IS1)</f>
        <v>0</v>
      </c>
      <c r="IS11" s="125">
        <f>SUMIFS('Expenditure Breakdown'!$Q$6:$Q$174, 'Expenditure Breakdown'!$W$6:$W$174, "&gt;="&amp;IS1,'Expenditure Breakdown'!$W$6:$W$174, "&lt;"&amp;IT1)</f>
        <v>0</v>
      </c>
      <c r="IT11" s="125">
        <f>SUMIFS('Expenditure Breakdown'!$Q$6:$Q$174, 'Expenditure Breakdown'!$W$6:$W$174, "&gt;="&amp;IT1,'Expenditure Breakdown'!$W$6:$W$174, "&lt;"&amp;IU1)</f>
        <v>0</v>
      </c>
      <c r="IU11" s="125">
        <f>SUMIFS('Expenditure Breakdown'!$Q$6:$Q$174, 'Expenditure Breakdown'!$W$6:$W$174, "&gt;="&amp;IU1,'Expenditure Breakdown'!$W$6:$W$174, "&lt;"&amp;IV1)</f>
        <v>0</v>
      </c>
      <c r="IV11" s="125">
        <f>SUMIFS('Expenditure Breakdown'!$Q$6:$Q$174, 'Expenditure Breakdown'!$W$6:$W$174, "&gt;="&amp;IV1,'Expenditure Breakdown'!$W$6:$W$174, "&lt;"&amp;IW1)</f>
        <v>0</v>
      </c>
      <c r="IW11" s="125">
        <f>SUMIFS('Expenditure Breakdown'!$Q$6:$Q$174, 'Expenditure Breakdown'!$W$6:$W$174, "&gt;="&amp;IW1,'Expenditure Breakdown'!$W$6:$W$174, "&lt;"&amp;IX1)</f>
        <v>0</v>
      </c>
      <c r="IX11" s="125">
        <f>SUMIFS('Expenditure Breakdown'!$Q$6:$Q$174, 'Expenditure Breakdown'!$W$6:$W$174, "&gt;="&amp;IX1,'Expenditure Breakdown'!$W$6:$W$174, "&lt;"&amp;IY1)</f>
        <v>0</v>
      </c>
      <c r="IY11" s="125">
        <f>SUMIFS('Expenditure Breakdown'!$Q$6:$Q$174, 'Expenditure Breakdown'!$W$6:$W$174, "&gt;="&amp;IY1,'Expenditure Breakdown'!$W$6:$W$174, "&lt;"&amp;IZ1)</f>
        <v>0</v>
      </c>
      <c r="IZ11" s="125">
        <f>SUMIFS('Expenditure Breakdown'!$Q$6:$Q$174, 'Expenditure Breakdown'!$W$6:$W$174, "&gt;="&amp;IZ1,'Expenditure Breakdown'!$W$6:$W$174, "&lt;"&amp;JA1)</f>
        <v>0</v>
      </c>
      <c r="JA11" s="125">
        <f>SUMIFS('Expenditure Breakdown'!$Q$6:$Q$174, 'Expenditure Breakdown'!$W$6:$W$174, "&gt;="&amp;JA1,'Expenditure Breakdown'!$W$6:$W$174, "&lt;"&amp;JB1)</f>
        <v>0</v>
      </c>
      <c r="JB11" s="125">
        <f>SUMIFS('Expenditure Breakdown'!$Q$6:$Q$174, 'Expenditure Breakdown'!$W$6:$W$174, "&gt;="&amp;JB1,'Expenditure Breakdown'!$W$6:$W$174, "&lt;"&amp;JC1)</f>
        <v>0</v>
      </c>
      <c r="JC11" s="125">
        <f>SUMIFS('Expenditure Breakdown'!$Q$6:$Q$174, 'Expenditure Breakdown'!$W$6:$W$174, "&gt;="&amp;JC1,'Expenditure Breakdown'!$W$6:$W$174, "&lt;"&amp;JD1)</f>
        <v>0</v>
      </c>
      <c r="JD11" s="125">
        <f>SUMIFS('Expenditure Breakdown'!$Q$6:$Q$174, 'Expenditure Breakdown'!$W$6:$W$174, "&gt;="&amp;JD1,'Expenditure Breakdown'!$W$6:$W$174, "&lt;"&amp;JE1)</f>
        <v>0</v>
      </c>
      <c r="JE11" s="125">
        <f>SUMIFS('Expenditure Breakdown'!$Q$6:$Q$174, 'Expenditure Breakdown'!$W$6:$W$174, "&gt;="&amp;JE1,'Expenditure Breakdown'!$W$6:$W$174, "&lt;"&amp;JF1)</f>
        <v>0</v>
      </c>
      <c r="JF11" s="125">
        <f>SUMIFS('Expenditure Breakdown'!$Q$6:$Q$174, 'Expenditure Breakdown'!$W$6:$W$174, "&gt;="&amp;JF1,'Expenditure Breakdown'!$W$6:$W$174, "&lt;"&amp;JG1)</f>
        <v>0</v>
      </c>
      <c r="JG11" s="125">
        <f>SUMIFS('Expenditure Breakdown'!$Q$6:$Q$174, 'Expenditure Breakdown'!$W$6:$W$174, "&gt;="&amp;JG1,'Expenditure Breakdown'!$W$6:$W$174, "&lt;"&amp;JH1)</f>
        <v>0</v>
      </c>
      <c r="JH11" s="125">
        <f>SUMIFS('Expenditure Breakdown'!$Q$6:$Q$174, 'Expenditure Breakdown'!$W$6:$W$174, "&gt;="&amp;JH1,'Expenditure Breakdown'!$W$6:$W$174, "&lt;"&amp;JI1)</f>
        <v>0</v>
      </c>
      <c r="JI11" s="125">
        <f>SUMIFS('Expenditure Breakdown'!$Q$6:$Q$174, 'Expenditure Breakdown'!$W$6:$W$174, "&gt;="&amp;JI1,'Expenditure Breakdown'!$W$6:$W$174, "&lt;"&amp;JJ1)</f>
        <v>0</v>
      </c>
      <c r="JJ11" s="125">
        <f>SUMIFS('Expenditure Breakdown'!$Q$6:$Q$174, 'Expenditure Breakdown'!$W$6:$W$174, "&gt;="&amp;JJ1,'Expenditure Breakdown'!$W$6:$W$174, "&lt;"&amp;JK1)</f>
        <v>0</v>
      </c>
      <c r="JK11" s="125">
        <f>SUMIFS('Expenditure Breakdown'!$Q$6:$Q$174, 'Expenditure Breakdown'!$W$6:$W$174, "&gt;="&amp;JK1,'Expenditure Breakdown'!$W$6:$W$174, "&lt;"&amp;JL1)</f>
        <v>0</v>
      </c>
      <c r="JL11" s="125">
        <f>SUMIFS('Expenditure Breakdown'!$Q$6:$Q$174, 'Expenditure Breakdown'!$W$6:$W$174, "&gt;="&amp;JL1,'Expenditure Breakdown'!$W$6:$W$174, "&lt;"&amp;JM1)</f>
        <v>0</v>
      </c>
      <c r="JM11" s="125">
        <f>SUMIFS('Expenditure Breakdown'!$Q$6:$Q$174, 'Expenditure Breakdown'!$W$6:$W$174, "&gt;="&amp;JM1,'Expenditure Breakdown'!$W$6:$W$174, "&lt;"&amp;JN1)</f>
        <v>0</v>
      </c>
      <c r="JN11" s="125">
        <f>SUMIFS('Expenditure Breakdown'!$Q$6:$Q$174, 'Expenditure Breakdown'!$W$6:$W$174, "&gt;="&amp;JN1,'Expenditure Breakdown'!$W$6:$W$174, "&lt;"&amp;JO1)</f>
        <v>0</v>
      </c>
      <c r="JO11" s="125">
        <f>SUMIFS('Expenditure Breakdown'!$Q$6:$Q$174, 'Expenditure Breakdown'!$W$6:$W$174, "&gt;="&amp;JO1,'Expenditure Breakdown'!$W$6:$W$174, "&lt;"&amp;JP1)</f>
        <v>0</v>
      </c>
      <c r="JP11" s="125">
        <f>SUMIFS('Expenditure Breakdown'!$Q$6:$Q$174, 'Expenditure Breakdown'!$W$6:$W$174, "&gt;="&amp;JP1,'Expenditure Breakdown'!$W$6:$W$174, "&lt;"&amp;JQ1)</f>
        <v>0</v>
      </c>
      <c r="JQ11" s="125">
        <f>SUMIFS('Expenditure Breakdown'!$Q$6:$Q$174, 'Expenditure Breakdown'!$W$6:$W$174, "&gt;="&amp;JQ1,'Expenditure Breakdown'!$W$6:$W$174, "&lt;"&amp;JR1)</f>
        <v>0</v>
      </c>
      <c r="JR11" s="125">
        <f>SUMIFS('Expenditure Breakdown'!$Q$6:$Q$174, 'Expenditure Breakdown'!$W$6:$W$174, "&gt;="&amp;JR1,'Expenditure Breakdown'!$W$6:$W$174, "&lt;"&amp;JS1)</f>
        <v>0</v>
      </c>
      <c r="JS11" s="125">
        <f>SUMIFS('Expenditure Breakdown'!$Q$6:$Q$174, 'Expenditure Breakdown'!$W$6:$W$174, "&gt;="&amp;JS1,'Expenditure Breakdown'!$W$6:$W$174, "&lt;"&amp;JT1)</f>
        <v>0</v>
      </c>
      <c r="JT11" s="125">
        <f>SUMIFS('Expenditure Breakdown'!$Q$6:$Q$174, 'Expenditure Breakdown'!$W$6:$W$174, "&gt;="&amp;JT1,'Expenditure Breakdown'!$W$6:$W$174, "&lt;"&amp;JU1)</f>
        <v>0</v>
      </c>
      <c r="JU11" s="125">
        <f>SUMIFS('Expenditure Breakdown'!$Q$6:$Q$174, 'Expenditure Breakdown'!$W$6:$W$174, "&gt;="&amp;JU1,'Expenditure Breakdown'!$W$6:$W$174, "&lt;"&amp;JV1)</f>
        <v>0</v>
      </c>
      <c r="JV11" s="125">
        <f>SUMIFS('Expenditure Breakdown'!$Q$6:$Q$174, 'Expenditure Breakdown'!$W$6:$W$174, "&gt;="&amp;JV1,'Expenditure Breakdown'!$W$6:$W$174, "&lt;"&amp;JW1)</f>
        <v>0</v>
      </c>
      <c r="JW11" s="125">
        <f>SUMIFS('Expenditure Breakdown'!$Q$6:$Q$174, 'Expenditure Breakdown'!$W$6:$W$174, "&gt;="&amp;JW1,'Expenditure Breakdown'!$W$6:$W$174, "&lt;"&amp;JX1)</f>
        <v>0</v>
      </c>
      <c r="JX11" s="125">
        <f>SUMIFS('Expenditure Breakdown'!$Q$6:$Q$174, 'Expenditure Breakdown'!$W$6:$W$174, "&gt;="&amp;JX1,'Expenditure Breakdown'!$W$6:$W$174, "&lt;"&amp;JY1)</f>
        <v>0</v>
      </c>
      <c r="JY11" s="125">
        <f>SUMIFS('Expenditure Breakdown'!$Q$6:$Q$174, 'Expenditure Breakdown'!$W$6:$W$174, "&gt;="&amp;JY1,'Expenditure Breakdown'!$W$6:$W$174, "&lt;"&amp;JZ1)</f>
        <v>0</v>
      </c>
      <c r="JZ11" s="125">
        <f>SUMIFS('Expenditure Breakdown'!$Q$6:$Q$174, 'Expenditure Breakdown'!$W$6:$W$174, "&gt;="&amp;JZ1,'Expenditure Breakdown'!$W$6:$W$174, "&lt;"&amp;KA1)</f>
        <v>0</v>
      </c>
      <c r="KA11" s="125">
        <f>SUMIFS('Expenditure Breakdown'!$Q$6:$Q$174, 'Expenditure Breakdown'!$W$6:$W$174, "&gt;="&amp;KA1,'Expenditure Breakdown'!$W$6:$W$174, "&lt;"&amp;KB1)</f>
        <v>0</v>
      </c>
      <c r="KB11" s="125">
        <f>SUMIFS('Expenditure Breakdown'!$Q$6:$Q$174, 'Expenditure Breakdown'!$W$6:$W$174, "&gt;="&amp;KB1,'Expenditure Breakdown'!$W$6:$W$174, "&lt;"&amp;KC1)</f>
        <v>0</v>
      </c>
      <c r="KC11" s="125">
        <f>SUMIFS('Expenditure Breakdown'!$Q$6:$Q$174, 'Expenditure Breakdown'!$W$6:$W$174, "&gt;="&amp;KC1,'Expenditure Breakdown'!$W$6:$W$174, "&lt;"&amp;KD1)</f>
        <v>0</v>
      </c>
      <c r="KD11" s="125">
        <f>SUMIFS('Expenditure Breakdown'!$Q$6:$Q$174, 'Expenditure Breakdown'!$W$6:$W$174, "&gt;="&amp;KD1,'Expenditure Breakdown'!$W$6:$W$174, "&lt;"&amp;KE1)</f>
        <v>0</v>
      </c>
      <c r="KE11" s="125">
        <f>SUMIFS('Expenditure Breakdown'!$Q$6:$Q$174, 'Expenditure Breakdown'!$W$6:$W$174, "&gt;="&amp;KE1,'Expenditure Breakdown'!$W$6:$W$174, "&lt;"&amp;KF1)</f>
        <v>0</v>
      </c>
      <c r="KF11" s="125">
        <f>SUMIFS('Expenditure Breakdown'!$Q$6:$Q$174, 'Expenditure Breakdown'!$W$6:$W$174, "&gt;="&amp;KF1,'Expenditure Breakdown'!$W$6:$W$174, "&lt;"&amp;KG1)</f>
        <v>0</v>
      </c>
      <c r="KG11" s="125">
        <f>SUMIFS('Expenditure Breakdown'!$Q$6:$Q$174, 'Expenditure Breakdown'!$W$6:$W$174, "&gt;="&amp;KG1,'Expenditure Breakdown'!$W$6:$W$174, "&lt;"&amp;KH1)</f>
        <v>0</v>
      </c>
      <c r="KH11" s="125">
        <f>SUMIFS('Expenditure Breakdown'!$Q$6:$Q$174, 'Expenditure Breakdown'!$W$6:$W$174, "&gt;="&amp;KH1,'Expenditure Breakdown'!$W$6:$W$174, "&lt;"&amp;KI1)</f>
        <v>0</v>
      </c>
      <c r="KI11" s="125">
        <f>SUMIFS('Expenditure Breakdown'!$Q$6:$Q$174, 'Expenditure Breakdown'!$W$6:$W$174, "&gt;="&amp;KI1,'Expenditure Breakdown'!$W$6:$W$174, "&lt;"&amp;KJ1)</f>
        <v>0</v>
      </c>
      <c r="KJ11" s="125">
        <f>SUMIFS('Expenditure Breakdown'!$Q$6:$Q$174, 'Expenditure Breakdown'!$W$6:$W$174, "&gt;="&amp;KJ1,'Expenditure Breakdown'!$W$6:$W$174, "&lt;"&amp;KK1)</f>
        <v>0</v>
      </c>
      <c r="KK11" s="125">
        <f>SUMIFS('Expenditure Breakdown'!$Q$6:$Q$174, 'Expenditure Breakdown'!$W$6:$W$174, "&gt;="&amp;KK1,'Expenditure Breakdown'!$W$6:$W$174, "&lt;"&amp;KL1)</f>
        <v>0</v>
      </c>
      <c r="KL11" s="125">
        <f>SUMIFS('Expenditure Breakdown'!$Q$6:$Q$174, 'Expenditure Breakdown'!$W$6:$W$174, "&gt;="&amp;KL1,'Expenditure Breakdown'!$W$6:$W$174, "&lt;"&amp;KM1)</f>
        <v>0</v>
      </c>
      <c r="KM11" s="125">
        <f>SUMIFS('Expenditure Breakdown'!$Q$6:$Q$174, 'Expenditure Breakdown'!$W$6:$W$174, "&gt;="&amp;KM1,'Expenditure Breakdown'!$W$6:$W$174, "&lt;"&amp;KN1)</f>
        <v>0</v>
      </c>
      <c r="KN11" s="125">
        <f>SUMIFS('Expenditure Breakdown'!$Q$6:$Q$174, 'Expenditure Breakdown'!$W$6:$W$174, "&gt;="&amp;KN1,'Expenditure Breakdown'!$W$6:$W$174, "&lt;"&amp;KO1)</f>
        <v>0</v>
      </c>
      <c r="KO11" s="125">
        <f>SUMIFS('Expenditure Breakdown'!$Q$6:$Q$174, 'Expenditure Breakdown'!$W$6:$W$174, "&gt;="&amp;KO1,'Expenditure Breakdown'!$W$6:$W$174, "&lt;"&amp;KP1)</f>
        <v>0</v>
      </c>
      <c r="KP11" s="125">
        <f>SUMIFS('Expenditure Breakdown'!$Q$6:$Q$174, 'Expenditure Breakdown'!$W$6:$W$174, "&gt;="&amp;KP1,'Expenditure Breakdown'!$W$6:$W$174, "&lt;"&amp;KQ1)</f>
        <v>0</v>
      </c>
      <c r="KQ11" s="125">
        <f>SUMIFS('Expenditure Breakdown'!$Q$6:$Q$174, 'Expenditure Breakdown'!$W$6:$W$174, "&gt;="&amp;KQ1,'Expenditure Breakdown'!$W$6:$W$174, "&lt;"&amp;KR1)</f>
        <v>0</v>
      </c>
      <c r="KR11" s="125">
        <f>SUMIFS('Expenditure Breakdown'!$Q$6:$Q$174, 'Expenditure Breakdown'!$W$6:$W$174, "&gt;="&amp;KR1,'Expenditure Breakdown'!$W$6:$W$174, "&lt;"&amp;KS1)</f>
        <v>0</v>
      </c>
      <c r="KS11" s="125">
        <f>SUMIFS('Expenditure Breakdown'!$Q$6:$Q$174, 'Expenditure Breakdown'!$W$6:$W$174, "&gt;="&amp;KS1,'Expenditure Breakdown'!$W$6:$W$174, "&lt;"&amp;KT1)</f>
        <v>0</v>
      </c>
      <c r="KT11" s="125">
        <f>SUMIFS('Expenditure Breakdown'!$Q$6:$Q$174, 'Expenditure Breakdown'!$W$6:$W$174, "&gt;="&amp;KT1,'Expenditure Breakdown'!$W$6:$W$174, "&lt;"&amp;KU1)</f>
        <v>0</v>
      </c>
      <c r="KU11" s="125">
        <f>SUMIFS('Expenditure Breakdown'!$Q$6:$Q$174, 'Expenditure Breakdown'!$W$6:$W$174, "&gt;="&amp;KU1,'Expenditure Breakdown'!$W$6:$W$174, "&lt;"&amp;KV1)</f>
        <v>0</v>
      </c>
      <c r="KV11" s="125">
        <f>SUMIFS('Expenditure Breakdown'!$Q$6:$Q$174, 'Expenditure Breakdown'!$W$6:$W$174, "&gt;="&amp;KV1,'Expenditure Breakdown'!$W$6:$W$174, "&lt;"&amp;KW1)</f>
        <v>0</v>
      </c>
      <c r="KW11" s="125">
        <f>SUMIFS('Expenditure Breakdown'!$Q$6:$Q$174, 'Expenditure Breakdown'!$W$6:$W$174, "&gt;="&amp;KW1,'Expenditure Breakdown'!$W$6:$W$174, "&lt;"&amp;KX1)</f>
        <v>0</v>
      </c>
      <c r="KX11" s="125">
        <f>SUMIFS('Expenditure Breakdown'!$Q$6:$Q$174, 'Expenditure Breakdown'!$W$6:$W$174, "&gt;="&amp;KX1,'Expenditure Breakdown'!$W$6:$W$174, "&lt;"&amp;KY1)</f>
        <v>0</v>
      </c>
      <c r="KY11" s="125">
        <f>SUMIFS('Expenditure Breakdown'!$Q$6:$Q$174, 'Expenditure Breakdown'!$W$6:$W$174, "&gt;="&amp;KY1,'Expenditure Breakdown'!$W$6:$W$174, "&lt;"&amp;KZ1)</f>
        <v>0</v>
      </c>
      <c r="KZ11" s="125">
        <f>SUMIFS('Expenditure Breakdown'!$Q$6:$Q$174, 'Expenditure Breakdown'!$W$6:$W$174, "&gt;="&amp;KZ1,'Expenditure Breakdown'!$W$6:$W$174, "&lt;"&amp;LA1)</f>
        <v>0</v>
      </c>
      <c r="LA11" s="125">
        <f>SUMIFS('Expenditure Breakdown'!$Q$6:$Q$174, 'Expenditure Breakdown'!$W$6:$W$174, "&gt;="&amp;LA1,'Expenditure Breakdown'!$W$6:$W$174, "&lt;"&amp;LB1)</f>
        <v>0</v>
      </c>
      <c r="LB11" s="125">
        <f>SUMIFS('Expenditure Breakdown'!$Q$6:$Q$174, 'Expenditure Breakdown'!$W$6:$W$174, "&gt;="&amp;LB1,'Expenditure Breakdown'!$W$6:$W$174, "&lt;"&amp;LC1)</f>
        <v>0</v>
      </c>
      <c r="LC11" s="125">
        <f>SUMIFS('Expenditure Breakdown'!$Q$6:$Q$174, 'Expenditure Breakdown'!$W$6:$W$174, "&gt;="&amp;LC1,'Expenditure Breakdown'!$W$6:$W$174, "&lt;"&amp;LD1)</f>
        <v>0</v>
      </c>
      <c r="LD11" s="125">
        <f>SUMIFS('Expenditure Breakdown'!$Q$6:$Q$174, 'Expenditure Breakdown'!$W$6:$W$174, "&gt;="&amp;LD1,'Expenditure Breakdown'!$W$6:$W$174, "&lt;"&amp;LE1)</f>
        <v>0</v>
      </c>
      <c r="LE11" s="125">
        <f>SUMIFS('Expenditure Breakdown'!$Q$6:$Q$174, 'Expenditure Breakdown'!$W$6:$W$174, "&gt;="&amp;LE1,'Expenditure Breakdown'!$W$6:$W$174, "&lt;"&amp;LF1)</f>
        <v>0</v>
      </c>
      <c r="LF11" s="125">
        <f>SUMIFS('Expenditure Breakdown'!$Q$6:$Q$174, 'Expenditure Breakdown'!$W$6:$W$174, "&gt;="&amp;LF1,'Expenditure Breakdown'!$W$6:$W$174, "&lt;"&amp;LG1)</f>
        <v>0</v>
      </c>
      <c r="LG11" s="125">
        <f>SUMIFS('Expenditure Breakdown'!$Q$6:$Q$174, 'Expenditure Breakdown'!$W$6:$W$174, "&gt;="&amp;LG1,'Expenditure Breakdown'!$W$6:$W$174, "&lt;"&amp;LH1)</f>
        <v>0</v>
      </c>
      <c r="LH11" s="125">
        <f>SUMIFS('Expenditure Breakdown'!$Q$6:$Q$174, 'Expenditure Breakdown'!$W$6:$W$174, "&gt;="&amp;LH1,'Expenditure Breakdown'!$W$6:$W$174, "&lt;"&amp;LI1)</f>
        <v>0</v>
      </c>
      <c r="LI11" s="125">
        <f>SUMIFS('Expenditure Breakdown'!$Q$6:$Q$174, 'Expenditure Breakdown'!$W$6:$W$174, "&gt;="&amp;LI1,'Expenditure Breakdown'!$W$6:$W$174, "&lt;"&amp;LJ1)</f>
        <v>0</v>
      </c>
      <c r="LJ11" s="125">
        <f>SUMIFS('Expenditure Breakdown'!$Q$6:$Q$174, 'Expenditure Breakdown'!$W$6:$W$174, "&gt;="&amp;LJ1,'Expenditure Breakdown'!$W$6:$W$174, "&lt;"&amp;LK1)</f>
        <v>0</v>
      </c>
      <c r="LK11" s="125">
        <f>SUMIFS('Expenditure Breakdown'!$Q$6:$Q$174, 'Expenditure Breakdown'!$W$6:$W$174, "&gt;="&amp;LK1,'Expenditure Breakdown'!$W$6:$W$174, "&lt;"&amp;LL1)</f>
        <v>0</v>
      </c>
      <c r="LL11" s="125">
        <f>SUMIFS('Expenditure Breakdown'!$Q$6:$Q$174, 'Expenditure Breakdown'!$W$6:$W$174, "&gt;="&amp;LL1,'Expenditure Breakdown'!$W$6:$W$174, "&lt;"&amp;LM1)</f>
        <v>0</v>
      </c>
      <c r="LM11" s="125">
        <f>SUMIFS('Expenditure Breakdown'!$Q$6:$Q$174, 'Expenditure Breakdown'!$W$6:$W$174, "&gt;="&amp;LM1,'Expenditure Breakdown'!$W$6:$W$174, "&lt;"&amp;LN1)</f>
        <v>0</v>
      </c>
      <c r="LN11" s="125">
        <f>SUMIFS('Expenditure Breakdown'!$Q$6:$Q$174, 'Expenditure Breakdown'!$W$6:$W$174, "&gt;="&amp;LN1,'Expenditure Breakdown'!$W$6:$W$174, "&lt;"&amp;LO1)</f>
        <v>0</v>
      </c>
      <c r="LO11" s="125">
        <f>SUMIFS('Expenditure Breakdown'!$Q$6:$Q$174, 'Expenditure Breakdown'!$W$6:$W$174, "&gt;="&amp;LO1,'Expenditure Breakdown'!$W$6:$W$174, "&lt;"&amp;LP1)</f>
        <v>0</v>
      </c>
      <c r="LP11" s="125">
        <f>SUMIFS('Expenditure Breakdown'!$Q$6:$Q$174, 'Expenditure Breakdown'!$W$6:$W$174, "&gt;="&amp;LP1,'Expenditure Breakdown'!$W$6:$W$174, "&lt;"&amp;LQ1)</f>
        <v>0</v>
      </c>
      <c r="LQ11" s="125">
        <f>SUMIFS('Expenditure Breakdown'!$Q$6:$Q$174, 'Expenditure Breakdown'!$W$6:$W$174, "&gt;="&amp;LQ1,'Expenditure Breakdown'!$W$6:$W$174, "&lt;"&amp;LR1)</f>
        <v>0</v>
      </c>
      <c r="LR11" s="125">
        <f>SUMIFS('Expenditure Breakdown'!$Q$6:$Q$174, 'Expenditure Breakdown'!$W$6:$W$174, "&gt;="&amp;LR1,'Expenditure Breakdown'!$W$6:$W$174, "&lt;"&amp;LS1)</f>
        <v>0</v>
      </c>
      <c r="LS11" s="125">
        <f>SUMIFS('Expenditure Breakdown'!$Q$6:$Q$174, 'Expenditure Breakdown'!$W$6:$W$174, "&gt;="&amp;LS1,'Expenditure Breakdown'!$W$6:$W$174, "&lt;"&amp;LT1)</f>
        <v>0</v>
      </c>
      <c r="LT11" s="125">
        <f>SUMIFS('Expenditure Breakdown'!$Q$6:$Q$174, 'Expenditure Breakdown'!$W$6:$W$174, "&gt;="&amp;LT1,'Expenditure Breakdown'!$W$6:$W$174, "&lt;"&amp;LU1)</f>
        <v>0</v>
      </c>
      <c r="LU11" s="125">
        <f>SUMIFS('Expenditure Breakdown'!$Q$6:$Q$174, 'Expenditure Breakdown'!$W$6:$W$174, "&gt;="&amp;LU1,'Expenditure Breakdown'!$W$6:$W$174, "&lt;"&amp;LV1)</f>
        <v>0</v>
      </c>
      <c r="LV11" s="125">
        <f>SUMIFS('Expenditure Breakdown'!$Q$6:$Q$174, 'Expenditure Breakdown'!$W$6:$W$174, "&gt;="&amp;LV1,'Expenditure Breakdown'!$W$6:$W$174, "&lt;"&amp;LW1)</f>
        <v>0</v>
      </c>
      <c r="LW11" s="125">
        <f>SUMIFS('Expenditure Breakdown'!$Q$6:$Q$174, 'Expenditure Breakdown'!$W$6:$W$174, "&gt;="&amp;LW1,'Expenditure Breakdown'!$W$6:$W$174, "&lt;"&amp;LX1)</f>
        <v>0</v>
      </c>
      <c r="LX11" s="125">
        <f>SUMIFS('Expenditure Breakdown'!$Q$6:$Q$174, 'Expenditure Breakdown'!$W$6:$W$174, "&gt;="&amp;LX1,'Expenditure Breakdown'!$W$6:$W$174, "&lt;"&amp;LY1)</f>
        <v>0</v>
      </c>
      <c r="LY11" s="125">
        <f>SUMIFS('Expenditure Breakdown'!$Q$6:$Q$174, 'Expenditure Breakdown'!$W$6:$W$174, "&gt;="&amp;LY1,'Expenditure Breakdown'!$W$6:$W$174, "&lt;"&amp;LZ1)</f>
        <v>0</v>
      </c>
      <c r="LZ11" s="125">
        <f>SUMIFS('Expenditure Breakdown'!$Q$6:$Q$174, 'Expenditure Breakdown'!$W$6:$W$174, "&gt;="&amp;LZ1,'Expenditure Breakdown'!$W$6:$W$174, "&lt;"&amp;MA1)</f>
        <v>0</v>
      </c>
      <c r="MA11" s="125">
        <f>SUMIFS('Expenditure Breakdown'!$Q$6:$Q$174, 'Expenditure Breakdown'!$W$6:$W$174, "&gt;="&amp;MA1,'Expenditure Breakdown'!$W$6:$W$174, "&lt;"&amp;MB1)</f>
        <v>0</v>
      </c>
      <c r="MB11" s="125">
        <f>SUMIFS('Expenditure Breakdown'!$Q$6:$Q$174, 'Expenditure Breakdown'!$W$6:$W$174, "&gt;="&amp;MB1,'Expenditure Breakdown'!$W$6:$W$174, "&lt;"&amp;MC1)</f>
        <v>0</v>
      </c>
      <c r="MC11" s="125">
        <f>SUMIFS('Expenditure Breakdown'!$Q$6:$Q$174, 'Expenditure Breakdown'!$W$6:$W$174, "&gt;="&amp;MC1,'Expenditure Breakdown'!$W$6:$W$174, "&lt;"&amp;MD1)</f>
        <v>0</v>
      </c>
      <c r="MD11" s="125">
        <f>SUMIFS('Expenditure Breakdown'!$Q$6:$Q$174, 'Expenditure Breakdown'!$W$6:$W$174, "&gt;="&amp;MD1,'Expenditure Breakdown'!$W$6:$W$174, "&lt;"&amp;ME1)</f>
        <v>0</v>
      </c>
      <c r="ME11" s="125">
        <f>SUMIFS('Expenditure Breakdown'!$Q$6:$Q$174, 'Expenditure Breakdown'!$W$6:$W$174, "&gt;="&amp;ME1,'Expenditure Breakdown'!$W$6:$W$174, "&lt;"&amp;MF1)</f>
        <v>0</v>
      </c>
      <c r="MF11" s="125">
        <f>SUMIFS('Expenditure Breakdown'!$Q$6:$Q$174, 'Expenditure Breakdown'!$W$6:$W$174, "&gt;="&amp;MF1,'Expenditure Breakdown'!$W$6:$W$174, "&lt;"&amp;MG1)</f>
        <v>0</v>
      </c>
      <c r="MG11" s="125">
        <f>SUMIFS('Expenditure Breakdown'!$Q$6:$Q$174, 'Expenditure Breakdown'!$W$6:$W$174, "&gt;="&amp;MG1,'Expenditure Breakdown'!$W$6:$W$174, "&lt;"&amp;MH1)</f>
        <v>0</v>
      </c>
      <c r="MH11" s="125">
        <f>SUMIFS('Expenditure Breakdown'!$Q$6:$Q$174, 'Expenditure Breakdown'!$W$6:$W$174, "&gt;="&amp;MH1,'Expenditure Breakdown'!$W$6:$W$174, "&lt;"&amp;MI1)</f>
        <v>0</v>
      </c>
      <c r="MI11" s="125">
        <f>SUMIFS('Expenditure Breakdown'!$Q$6:$Q$174, 'Expenditure Breakdown'!$W$6:$W$174, "&gt;="&amp;MI1,'Expenditure Breakdown'!$W$6:$W$174, "&lt;"&amp;MJ1)</f>
        <v>0</v>
      </c>
      <c r="MJ11" s="125">
        <f>SUMIFS('Expenditure Breakdown'!$Q$6:$Q$174, 'Expenditure Breakdown'!$W$6:$W$174, "&gt;="&amp;MJ1,'Expenditure Breakdown'!$W$6:$W$174, "&lt;"&amp;MK1)</f>
        <v>0</v>
      </c>
      <c r="MK11" s="125">
        <f>SUMIFS('Expenditure Breakdown'!$Q$6:$Q$174, 'Expenditure Breakdown'!$W$6:$W$174, "&gt;="&amp;MK1,'Expenditure Breakdown'!$W$6:$W$174, "&lt;"&amp;ML1)</f>
        <v>0</v>
      </c>
      <c r="ML11" s="125">
        <f>SUMIFS('Expenditure Breakdown'!$Q$6:$Q$174, 'Expenditure Breakdown'!$W$6:$W$174, "&gt;="&amp;ML1,'Expenditure Breakdown'!$W$6:$W$174, "&lt;"&amp;MM1)</f>
        <v>0</v>
      </c>
      <c r="MM11" s="125">
        <f>SUMIFS('Expenditure Breakdown'!$Q$6:$Q$174, 'Expenditure Breakdown'!$W$6:$W$174, "&gt;="&amp;MM1,'Expenditure Breakdown'!$W$6:$W$174, "&lt;"&amp;MN1)</f>
        <v>0</v>
      </c>
      <c r="MN11" s="125">
        <f>SUMIFS('Expenditure Breakdown'!$Q$6:$Q$174, 'Expenditure Breakdown'!$W$6:$W$174, "&gt;="&amp;MN1,'Expenditure Breakdown'!$W$6:$W$174, "&lt;"&amp;MO1)</f>
        <v>0</v>
      </c>
      <c r="MO11" s="125">
        <f>SUMIFS('Expenditure Breakdown'!$Q$6:$Q$174, 'Expenditure Breakdown'!$W$6:$W$174, "&gt;="&amp;MO1,'Expenditure Breakdown'!$W$6:$W$174, "&lt;"&amp;MP1)</f>
        <v>0</v>
      </c>
      <c r="MP11" s="125">
        <f>SUMIFS('Expenditure Breakdown'!$Q$6:$Q$174, 'Expenditure Breakdown'!$W$6:$W$174, "&gt;="&amp;MP1,'Expenditure Breakdown'!$W$6:$W$174, "&lt;"&amp;MQ1)</f>
        <v>0</v>
      </c>
      <c r="MQ11" s="125">
        <f>SUMIFS('Expenditure Breakdown'!$Q$6:$Q$174, 'Expenditure Breakdown'!$W$6:$W$174, "&gt;="&amp;MQ1,'Expenditure Breakdown'!$W$6:$W$174, "&lt;"&amp;MR1)</f>
        <v>0</v>
      </c>
      <c r="MR11" s="125">
        <f>SUMIFS('Expenditure Breakdown'!$Q$6:$Q$174, 'Expenditure Breakdown'!$W$6:$W$174, "&gt;="&amp;MR1,'Expenditure Breakdown'!$W$6:$W$174, "&lt;"&amp;MS1)</f>
        <v>0</v>
      </c>
      <c r="MS11" s="125">
        <f>SUMIFS('Expenditure Breakdown'!$Q$6:$Q$174, 'Expenditure Breakdown'!$W$6:$W$174, "&gt;="&amp;MS1,'Expenditure Breakdown'!$W$6:$W$174, "&lt;"&amp;MT1)</f>
        <v>0</v>
      </c>
      <c r="MT11" s="125">
        <f>SUMIFS('Expenditure Breakdown'!$Q$6:$Q$174, 'Expenditure Breakdown'!$W$6:$W$174, "&gt;="&amp;MT1,'Expenditure Breakdown'!$W$6:$W$174, "&lt;"&amp;MU1)</f>
        <v>0</v>
      </c>
      <c r="MU11" s="125">
        <f>SUMIFS('Expenditure Breakdown'!$Q$6:$Q$174, 'Expenditure Breakdown'!$W$6:$W$174, "&gt;="&amp;MU1,'Expenditure Breakdown'!$W$6:$W$174, "&lt;"&amp;MV1)</f>
        <v>0</v>
      </c>
      <c r="MV11" s="125">
        <f>SUMIFS('Expenditure Breakdown'!$Q$6:$Q$174, 'Expenditure Breakdown'!$W$6:$W$174, "&gt;="&amp;MV1,'Expenditure Breakdown'!$W$6:$W$174, "&lt;"&amp;MW1)</f>
        <v>0</v>
      </c>
      <c r="MW11" s="125">
        <f>SUMIFS('Expenditure Breakdown'!$Q$6:$Q$174, 'Expenditure Breakdown'!$W$6:$W$174, "&gt;="&amp;MW1,'Expenditure Breakdown'!$W$6:$W$174, "&lt;"&amp;MX1)</f>
        <v>0</v>
      </c>
      <c r="MX11" s="125">
        <f>SUMIFS('Expenditure Breakdown'!$Q$6:$Q$174, 'Expenditure Breakdown'!$W$6:$W$174, "&gt;="&amp;MX1,'Expenditure Breakdown'!$W$6:$W$174, "&lt;"&amp;MY1)</f>
        <v>0</v>
      </c>
      <c r="MY11" s="125">
        <f>SUMIFS('Expenditure Breakdown'!$Q$6:$Q$174, 'Expenditure Breakdown'!$W$6:$W$174, "&gt;="&amp;MY1,'Expenditure Breakdown'!$W$6:$W$174, "&lt;"&amp;MZ1)</f>
        <v>0</v>
      </c>
      <c r="MZ11" s="125">
        <f>SUMIFS('Expenditure Breakdown'!$Q$6:$Q$174, 'Expenditure Breakdown'!$W$6:$W$174, "&gt;="&amp;MZ1,'Expenditure Breakdown'!$W$6:$W$174, "&lt;"&amp;NA1)</f>
        <v>0</v>
      </c>
      <c r="NA11" s="125">
        <f>SUMIFS('Expenditure Breakdown'!$Q$6:$Q$174, 'Expenditure Breakdown'!$W$6:$W$174, "&gt;="&amp;NA1,'Expenditure Breakdown'!$W$6:$W$174, "&lt;"&amp;NB1)</f>
        <v>0</v>
      </c>
      <c r="NB11" s="125">
        <f>SUMIFS('Expenditure Breakdown'!$Q$6:$Q$174, 'Expenditure Breakdown'!$W$6:$W$174, "&gt;="&amp;NB1,'Expenditure Breakdown'!$W$6:$W$174, "&lt;"&amp;NC1)</f>
        <v>0</v>
      </c>
      <c r="NC11" s="125">
        <f>SUMIFS('Expenditure Breakdown'!$Q$6:$Q$174, 'Expenditure Breakdown'!$W$6:$W$174, "&gt;="&amp;NC1,'Expenditure Breakdown'!$W$6:$W$174, "&lt;"&amp;ND1)</f>
        <v>0</v>
      </c>
      <c r="ND11" s="125">
        <f>SUMIFS('Expenditure Breakdown'!$Q$6:$Q$174, 'Expenditure Breakdown'!$W$6:$W$174, "&gt;="&amp;ND1,'Expenditure Breakdown'!$W$6:$W$174, "&lt;"&amp;NE1)</f>
        <v>0</v>
      </c>
      <c r="NE11" s="125">
        <f>SUMIFS('Expenditure Breakdown'!$Q$6:$Q$174, 'Expenditure Breakdown'!$W$6:$W$174, "&gt;="&amp;NE1,'Expenditure Breakdown'!$W$6:$W$174, "&lt;"&amp;NF1)</f>
        <v>0</v>
      </c>
      <c r="NF11" s="125">
        <f>SUMIFS('Expenditure Breakdown'!$Q$6:$Q$174, 'Expenditure Breakdown'!$W$6:$W$174, "&gt;="&amp;NF1,'Expenditure Breakdown'!$W$6:$W$174, "&lt;"&amp;NG1)</f>
        <v>0</v>
      </c>
      <c r="NG11" s="125">
        <f>SUMIFS('Expenditure Breakdown'!$Q$6:$Q$174, 'Expenditure Breakdown'!$W$6:$W$174, "&gt;="&amp;NG1,'Expenditure Breakdown'!$W$6:$W$174, "&lt;"&amp;NH1)</f>
        <v>0</v>
      </c>
      <c r="NH11" s="125">
        <f>SUMIFS('Expenditure Breakdown'!$Q$6:$Q$174, 'Expenditure Breakdown'!$W$6:$W$174, "&gt;="&amp;NH1,'Expenditure Breakdown'!$W$6:$W$174, "&lt;"&amp;NI1)</f>
        <v>0</v>
      </c>
      <c r="NI11" s="125">
        <f>SUMIFS('Expenditure Breakdown'!$Q$6:$Q$174, 'Expenditure Breakdown'!$W$6:$W$174, "&gt;="&amp;NI1,'Expenditure Breakdown'!$W$6:$W$174, "&lt;"&amp;NJ1)</f>
        <v>0</v>
      </c>
      <c r="NJ11" s="125">
        <f>SUMIFS('Expenditure Breakdown'!$Q$6:$Q$174, 'Expenditure Breakdown'!$W$6:$W$174, "&gt;="&amp;NJ1,'Expenditure Breakdown'!$W$6:$W$174, "&lt;"&amp;NK1)</f>
        <v>0</v>
      </c>
      <c r="NK11" s="125">
        <f>SUMIFS('Expenditure Breakdown'!$Q$6:$Q$174, 'Expenditure Breakdown'!$W$6:$W$174, "&gt;="&amp;NK1,'Expenditure Breakdown'!$W$6:$W$174, "&lt;"&amp;NL1)</f>
        <v>0</v>
      </c>
      <c r="NL11" s="125">
        <f>SUMIFS('Expenditure Breakdown'!$Q$6:$Q$174, 'Expenditure Breakdown'!$W$6:$W$174, "&gt;="&amp;NL1,'Expenditure Breakdown'!$W$6:$W$174, "&lt;"&amp;NM1)</f>
        <v>0</v>
      </c>
      <c r="NM11" s="125">
        <f>SUMIFS('Expenditure Breakdown'!$Q$6:$Q$174, 'Expenditure Breakdown'!$W$6:$W$174, "&gt;="&amp;NM1,'Expenditure Breakdown'!$W$6:$W$174, "&lt;"&amp;NN1)</f>
        <v>0</v>
      </c>
      <c r="NN11" s="125">
        <f>SUMIFS('Expenditure Breakdown'!$Q$6:$Q$174, 'Expenditure Breakdown'!$W$6:$W$174, "&gt;="&amp;NN1,'Expenditure Breakdown'!$W$6:$W$174, "&lt;"&amp;NO1)</f>
        <v>0</v>
      </c>
      <c r="NO11" s="125">
        <f>SUMIFS('Expenditure Breakdown'!$Q$6:$Q$174, 'Expenditure Breakdown'!$W$6:$W$174, "&gt;="&amp;NO1,'Expenditure Breakdown'!$W$6:$W$174, "&lt;"&amp;NP1)</f>
        <v>0</v>
      </c>
      <c r="NP11" s="125">
        <f>SUMIFS('Expenditure Breakdown'!$Q$6:$Q$174, 'Expenditure Breakdown'!$W$6:$W$174, "&gt;="&amp;NP1,'Expenditure Breakdown'!$W$6:$W$174, "&lt;"&amp;NQ1)</f>
        <v>0</v>
      </c>
      <c r="NQ11" s="125">
        <f>SUMIFS('Expenditure Breakdown'!$Q$6:$Q$174, 'Expenditure Breakdown'!$W$6:$W$174, "&gt;="&amp;NQ1,'Expenditure Breakdown'!$W$6:$W$174, "&lt;"&amp;NR1)</f>
        <v>0</v>
      </c>
      <c r="NR11" s="125">
        <f>SUMIFS('Expenditure Breakdown'!$Q$6:$Q$174, 'Expenditure Breakdown'!$W$6:$W$174, "&gt;="&amp;NR1,'Expenditure Breakdown'!$W$6:$W$174, "&lt;"&amp;NS1)</f>
        <v>0</v>
      </c>
      <c r="NS11" s="125">
        <f>SUMIFS('Expenditure Breakdown'!$Q$6:$Q$174, 'Expenditure Breakdown'!$W$6:$W$174, "&gt;="&amp;NS1,'Expenditure Breakdown'!$W$6:$W$174, "&lt;"&amp;NT1)</f>
        <v>0</v>
      </c>
      <c r="NT11" s="125">
        <f>SUMIFS('Expenditure Breakdown'!$Q$6:$Q$174, 'Expenditure Breakdown'!$W$6:$W$174, "&gt;="&amp;NT1,'Expenditure Breakdown'!$W$6:$W$174, "&lt;"&amp;NU1)</f>
        <v>0</v>
      </c>
      <c r="NU11" s="125">
        <f>SUMIFS('Expenditure Breakdown'!$Q$6:$Q$174, 'Expenditure Breakdown'!$W$6:$W$174, "&gt;="&amp;NU1,'Expenditure Breakdown'!$W$6:$W$174, "&lt;"&amp;NV1)</f>
        <v>0</v>
      </c>
      <c r="NV11" s="125">
        <f>SUMIFS('Expenditure Breakdown'!$Q$6:$Q$174, 'Expenditure Breakdown'!$W$6:$W$174, "&gt;="&amp;NV1,'Expenditure Breakdown'!$W$6:$W$174, "&lt;"&amp;NW1)</f>
        <v>0</v>
      </c>
      <c r="NW11" s="125">
        <f>SUMIFS('Expenditure Breakdown'!$Q$6:$Q$174, 'Expenditure Breakdown'!$W$6:$W$174, "&gt;="&amp;NW1,'Expenditure Breakdown'!$W$6:$W$174, "&lt;"&amp;NX1)</f>
        <v>0</v>
      </c>
      <c r="NX11" s="125">
        <f>SUMIFS('Expenditure Breakdown'!$Q$6:$Q$174, 'Expenditure Breakdown'!$W$6:$W$174, "&gt;="&amp;NX1,'Expenditure Breakdown'!$W$6:$W$174, "&lt;"&amp;NY1)</f>
        <v>0</v>
      </c>
      <c r="NY11" s="125">
        <f>SUMIFS('Expenditure Breakdown'!$Q$6:$Q$174, 'Expenditure Breakdown'!$W$6:$W$174, "&gt;="&amp;NY1,'Expenditure Breakdown'!$W$6:$W$174, "&lt;"&amp;NZ1)</f>
        <v>0</v>
      </c>
      <c r="NZ11" s="125">
        <f>SUMIFS('Expenditure Breakdown'!$Q$6:$Q$174, 'Expenditure Breakdown'!$W$6:$W$174, "&gt;="&amp;NZ1,'Expenditure Breakdown'!$W$6:$W$174, "&lt;"&amp;OA1)</f>
        <v>0</v>
      </c>
      <c r="OA11" s="125">
        <f>SUMIFS('Expenditure Breakdown'!$Q$6:$Q$174, 'Expenditure Breakdown'!$W$6:$W$174, "&gt;="&amp;OA1,'Expenditure Breakdown'!$W$6:$W$174, "&lt;"&amp;OB1)</f>
        <v>0</v>
      </c>
      <c r="OB11" s="125">
        <f>SUMIFS('Expenditure Breakdown'!$Q$6:$Q$174, 'Expenditure Breakdown'!$W$6:$W$174, "&gt;="&amp;OB1,'Expenditure Breakdown'!$W$6:$W$174, "&lt;"&amp;OC1)</f>
        <v>0</v>
      </c>
      <c r="OC11" s="125">
        <f>SUMIFS('Expenditure Breakdown'!$Q$6:$Q$174, 'Expenditure Breakdown'!$W$6:$W$174, "&gt;="&amp;OC1,'Expenditure Breakdown'!$W$6:$W$174, "&lt;"&amp;OD1)</f>
        <v>0</v>
      </c>
      <c r="OD11" s="125">
        <f>SUMIFS('Expenditure Breakdown'!$Q$6:$Q$174, 'Expenditure Breakdown'!$W$6:$W$174, "&gt;="&amp;OD1,'Expenditure Breakdown'!$W$6:$W$174, "&lt;"&amp;OE1)</f>
        <v>0</v>
      </c>
      <c r="OE11" s="125">
        <f>SUMIFS('Expenditure Breakdown'!$Q$6:$Q$174, 'Expenditure Breakdown'!$W$6:$W$174, "&gt;="&amp;OE1,'Expenditure Breakdown'!$W$6:$W$174, "&lt;"&amp;OF1)</f>
        <v>0</v>
      </c>
      <c r="OF11" s="125">
        <f>SUMIFS('Expenditure Breakdown'!$Q$6:$Q$174, 'Expenditure Breakdown'!$W$6:$W$174, "&gt;="&amp;OF1,'Expenditure Breakdown'!$W$6:$W$174, "&lt;"&amp;OG1)</f>
        <v>0</v>
      </c>
      <c r="OG11" s="125">
        <f>SUMIFS('Expenditure Breakdown'!$Q$6:$Q$174, 'Expenditure Breakdown'!$W$6:$W$174, "&gt;="&amp;OG1,'Expenditure Breakdown'!$W$6:$W$174, "&lt;"&amp;OH1)</f>
        <v>0</v>
      </c>
      <c r="OH11" s="125">
        <f>SUMIFS('Expenditure Breakdown'!$Q$6:$Q$174, 'Expenditure Breakdown'!$W$6:$W$174, "&gt;="&amp;OH1,'Expenditure Breakdown'!$W$6:$W$174, "&lt;"&amp;OI1)</f>
        <v>0</v>
      </c>
      <c r="OI11" s="125">
        <f>SUMIFS('Expenditure Breakdown'!$Q$6:$Q$174, 'Expenditure Breakdown'!$W$6:$W$174, "&gt;="&amp;OI1,'Expenditure Breakdown'!$W$6:$W$174, "&lt;"&amp;OJ1)</f>
        <v>0</v>
      </c>
      <c r="OJ11" s="125">
        <f>SUMIFS('Expenditure Breakdown'!$Q$6:$Q$174, 'Expenditure Breakdown'!$W$6:$W$174, "&gt;="&amp;OJ1,'Expenditure Breakdown'!$W$6:$W$174, "&lt;"&amp;OK1)</f>
        <v>0</v>
      </c>
      <c r="OK11" s="125">
        <f>SUMIFS('Expenditure Breakdown'!$Q$6:$Q$174, 'Expenditure Breakdown'!$W$6:$W$174, "&gt;="&amp;OK1,'Expenditure Breakdown'!$W$6:$W$174, "&lt;"&amp;OL1)</f>
        <v>0</v>
      </c>
      <c r="OL11" s="125">
        <f>SUMIFS('Expenditure Breakdown'!$Q$6:$Q$174, 'Expenditure Breakdown'!$W$6:$W$174, "&gt;="&amp;OL1,'Expenditure Breakdown'!$W$6:$W$174, "&lt;"&amp;OM1)</f>
        <v>0</v>
      </c>
      <c r="OM11" s="125">
        <f>SUMIFS('Expenditure Breakdown'!$Q$6:$Q$174, 'Expenditure Breakdown'!$W$6:$W$174, "&gt;="&amp;OM1,'Expenditure Breakdown'!$W$6:$W$174, "&lt;"&amp;ON1)</f>
        <v>0</v>
      </c>
      <c r="ON11" s="125">
        <f>SUMIFS('Expenditure Breakdown'!$Q$6:$Q$174, 'Expenditure Breakdown'!$W$6:$W$174, "&gt;="&amp;ON1,'Expenditure Breakdown'!$W$6:$W$174, "&lt;"&amp;OO1)</f>
        <v>0</v>
      </c>
      <c r="OO11" s="125">
        <f>SUMIFS('Expenditure Breakdown'!$Q$6:$Q$174, 'Expenditure Breakdown'!$W$6:$W$174, "&gt;="&amp;OO1,'Expenditure Breakdown'!$W$6:$W$174, "&lt;"&amp;OP1)</f>
        <v>0</v>
      </c>
      <c r="OP11" s="125">
        <f>SUMIFS('Expenditure Breakdown'!$Q$6:$Q$174, 'Expenditure Breakdown'!$W$6:$W$174, "&gt;="&amp;OP1,'Expenditure Breakdown'!$W$6:$W$174, "&lt;"&amp;OQ1)</f>
        <v>0</v>
      </c>
      <c r="OQ11" s="125">
        <f>SUMIFS('Expenditure Breakdown'!$Q$6:$Q$174, 'Expenditure Breakdown'!$W$6:$W$174, "&gt;="&amp;OQ1,'Expenditure Breakdown'!$W$6:$W$174, "&lt;"&amp;OR1)</f>
        <v>0</v>
      </c>
      <c r="OR11" s="125">
        <f>SUMIFS('Expenditure Breakdown'!$Q$6:$Q$174, 'Expenditure Breakdown'!$W$6:$W$174, "&gt;="&amp;OR1,'Expenditure Breakdown'!$W$6:$W$174, "&lt;"&amp;OS1)</f>
        <v>0</v>
      </c>
      <c r="OS11" s="125">
        <f>SUMIFS('Expenditure Breakdown'!$Q$6:$Q$174, 'Expenditure Breakdown'!$W$6:$W$174, "&gt;="&amp;OS1,'Expenditure Breakdown'!$W$6:$W$174, "&lt;"&amp;OT1)</f>
        <v>0</v>
      </c>
      <c r="OT11" s="125">
        <f>SUMIFS('Expenditure Breakdown'!$Q$6:$Q$174, 'Expenditure Breakdown'!$W$6:$W$174, "&gt;="&amp;OT1,'Expenditure Breakdown'!$W$6:$W$174, "&lt;"&amp;OU1)</f>
        <v>0</v>
      </c>
      <c r="OU11" s="125">
        <f>SUMIFS('Expenditure Breakdown'!$Q$6:$Q$174, 'Expenditure Breakdown'!$W$6:$W$174, "&gt;="&amp;OU1,'Expenditure Breakdown'!$W$6:$W$174, "&lt;"&amp;OV1)</f>
        <v>0</v>
      </c>
      <c r="OV11" s="125">
        <f>SUMIFS('Expenditure Breakdown'!$Q$6:$Q$174, 'Expenditure Breakdown'!$W$6:$W$174, "&gt;="&amp;OV1,'Expenditure Breakdown'!$W$6:$W$174, "&lt;"&amp;OW1)</f>
        <v>0</v>
      </c>
      <c r="OW11" s="125">
        <f>SUMIFS('Expenditure Breakdown'!$Q$6:$Q$174, 'Expenditure Breakdown'!$W$6:$W$174, "&gt;="&amp;OW1,'Expenditure Breakdown'!$W$6:$W$174, "&lt;"&amp;OX1)</f>
        <v>0</v>
      </c>
      <c r="OX11" s="125">
        <f>SUMIFS('Expenditure Breakdown'!$Q$6:$Q$174, 'Expenditure Breakdown'!$W$6:$W$174, "&gt;="&amp;OX1,'Expenditure Breakdown'!$W$6:$W$174, "&lt;"&amp;OY1)</f>
        <v>0</v>
      </c>
      <c r="OY11" s="125">
        <f>SUMIFS('Expenditure Breakdown'!$Q$6:$Q$174, 'Expenditure Breakdown'!$W$6:$W$174, "&gt;="&amp;OY1,'Expenditure Breakdown'!$W$6:$W$174, "&lt;"&amp;OZ1)</f>
        <v>0</v>
      </c>
      <c r="OZ11" s="125">
        <f>SUMIFS('Expenditure Breakdown'!$Q$6:$Q$174, 'Expenditure Breakdown'!$W$6:$W$174, "&gt;="&amp;OZ1,'Expenditure Breakdown'!$W$6:$W$174, "&lt;"&amp;PA1)</f>
        <v>0</v>
      </c>
      <c r="PA11" s="125">
        <f>SUMIFS('Expenditure Breakdown'!$Q$6:$Q$174, 'Expenditure Breakdown'!$W$6:$W$174, "&gt;="&amp;PA1,'Expenditure Breakdown'!$W$6:$W$174, "&lt;"&amp;PB1)</f>
        <v>0</v>
      </c>
      <c r="PB11" s="125">
        <f>SUMIFS('Expenditure Breakdown'!$Q$6:$Q$174, 'Expenditure Breakdown'!$W$6:$W$174, "&gt;="&amp;PB1,'Expenditure Breakdown'!$W$6:$W$174, "&lt;"&amp;PC1)</f>
        <v>0</v>
      </c>
      <c r="PC11" s="125">
        <f>SUMIFS('Expenditure Breakdown'!$Q$6:$Q$174, 'Expenditure Breakdown'!$W$6:$W$174, "&gt;="&amp;PC1,'Expenditure Breakdown'!$W$6:$W$174, "&lt;"&amp;PD1)</f>
        <v>0</v>
      </c>
      <c r="PD11" s="125">
        <f>SUMIFS('Expenditure Breakdown'!$Q$6:$Q$174, 'Expenditure Breakdown'!$W$6:$W$174, "&gt;="&amp;PD1,'Expenditure Breakdown'!$W$6:$W$174, "&lt;"&amp;PE1)</f>
        <v>0</v>
      </c>
      <c r="PE11" s="125">
        <f>SUMIFS('Expenditure Breakdown'!$Q$6:$Q$174, 'Expenditure Breakdown'!$W$6:$W$174, "&gt;="&amp;PE1,'Expenditure Breakdown'!$W$6:$W$174, "&lt;"&amp;PF1)</f>
        <v>0</v>
      </c>
      <c r="PF11" s="125">
        <f>SUMIFS('Expenditure Breakdown'!$Q$6:$Q$174, 'Expenditure Breakdown'!$W$6:$W$174, "&gt;="&amp;PF1,'Expenditure Breakdown'!$W$6:$W$174, "&lt;"&amp;PG1)</f>
        <v>0</v>
      </c>
      <c r="PG11" s="125">
        <f>SUMIFS('Expenditure Breakdown'!$Q$6:$Q$174, 'Expenditure Breakdown'!$W$6:$W$174, "&gt;="&amp;PG1,'Expenditure Breakdown'!$W$6:$W$174, "&lt;"&amp;PH1)</f>
        <v>0</v>
      </c>
      <c r="PH11" s="125">
        <f>SUMIFS('Expenditure Breakdown'!$Q$6:$Q$174, 'Expenditure Breakdown'!$W$6:$W$174, "&gt;="&amp;PH1,'Expenditure Breakdown'!$W$6:$W$174, "&lt;"&amp;PI1)</f>
        <v>0</v>
      </c>
      <c r="PI11" s="125">
        <f>SUMIFS('Expenditure Breakdown'!$Q$6:$Q$174, 'Expenditure Breakdown'!$W$6:$W$174, "&gt;="&amp;PI1,'Expenditure Breakdown'!$W$6:$W$174, "&lt;"&amp;PJ1)</f>
        <v>0</v>
      </c>
      <c r="PJ11" s="125">
        <f>SUMIFS('Expenditure Breakdown'!$Q$6:$Q$174, 'Expenditure Breakdown'!$W$6:$W$174, "&gt;="&amp;PJ1,'Expenditure Breakdown'!$W$6:$W$174, "&lt;"&amp;PK1)</f>
        <v>0</v>
      </c>
      <c r="PK11" s="125">
        <f>SUMIFS('Expenditure Breakdown'!$Q$6:$Q$174, 'Expenditure Breakdown'!$W$6:$W$174, "&gt;="&amp;PK1,'Expenditure Breakdown'!$W$6:$W$174, "&lt;"&amp;PL1)</f>
        <v>0</v>
      </c>
      <c r="PL11" s="125">
        <f>SUMIFS('Expenditure Breakdown'!$Q$6:$Q$174, 'Expenditure Breakdown'!$W$6:$W$174, "&gt;="&amp;PL1,'Expenditure Breakdown'!$W$6:$W$174, "&lt;"&amp;PM1)</f>
        <v>0</v>
      </c>
      <c r="PM11" s="125">
        <f>SUMIFS('Expenditure Breakdown'!$Q$6:$Q$174, 'Expenditure Breakdown'!$W$6:$W$174, "&gt;="&amp;PM1,'Expenditure Breakdown'!$W$6:$W$174, "&lt;"&amp;PN1)</f>
        <v>0</v>
      </c>
      <c r="PN11" s="125">
        <f>SUMIFS('Expenditure Breakdown'!$Q$6:$Q$174, 'Expenditure Breakdown'!$W$6:$W$174, "&gt;="&amp;PN1,'Expenditure Breakdown'!$W$6:$W$174, "&lt;"&amp;PO1)</f>
        <v>0</v>
      </c>
      <c r="PO11" s="125">
        <f>SUMIFS('Expenditure Breakdown'!$Q$6:$Q$174, 'Expenditure Breakdown'!$W$6:$W$174, "&gt;="&amp;PO1,'Expenditure Breakdown'!$W$6:$W$174, "&lt;"&amp;PP1)</f>
        <v>0</v>
      </c>
      <c r="PP11" s="125">
        <f>SUMIFS('Expenditure Breakdown'!$Q$6:$Q$174, 'Expenditure Breakdown'!$W$6:$W$174, "&gt;="&amp;PP1,'Expenditure Breakdown'!$W$6:$W$174, "&lt;"&amp;PQ1)</f>
        <v>0</v>
      </c>
      <c r="PQ11" s="125">
        <f>SUMIFS('Expenditure Breakdown'!$Q$6:$Q$174, 'Expenditure Breakdown'!$W$6:$W$174, "&gt;="&amp;PQ1,'Expenditure Breakdown'!$W$6:$W$174, "&lt;"&amp;PR1)</f>
        <v>0</v>
      </c>
      <c r="PR11" s="125">
        <f>SUMIFS('Expenditure Breakdown'!$Q$6:$Q$174, 'Expenditure Breakdown'!$W$6:$W$174, "&gt;="&amp;PR1,'Expenditure Breakdown'!$W$6:$W$174, "&lt;"&amp;PS1)</f>
        <v>0</v>
      </c>
      <c r="PS11" s="125">
        <f>SUMIFS('Expenditure Breakdown'!$Q$6:$Q$174, 'Expenditure Breakdown'!$W$6:$W$174, "&gt;="&amp;PS1,'Expenditure Breakdown'!$W$6:$W$174, "&lt;"&amp;PT1)</f>
        <v>0</v>
      </c>
      <c r="PT11" s="125">
        <f>SUMIFS('Expenditure Breakdown'!$Q$6:$Q$174, 'Expenditure Breakdown'!$W$6:$W$174, "&gt;="&amp;PT1,'Expenditure Breakdown'!$W$6:$W$174, "&lt;"&amp;PU1)</f>
        <v>0</v>
      </c>
      <c r="PU11" s="125">
        <f>SUMIFS('Expenditure Breakdown'!$Q$6:$Q$174, 'Expenditure Breakdown'!$W$6:$W$174, "&gt;="&amp;PU1,'Expenditure Breakdown'!$W$6:$W$174, "&lt;"&amp;PV1)</f>
        <v>0</v>
      </c>
      <c r="PV11" s="125">
        <f>SUMIFS('Expenditure Breakdown'!$Q$6:$Q$174, 'Expenditure Breakdown'!$W$6:$W$174, "&gt;="&amp;PV1,'Expenditure Breakdown'!$W$6:$W$174, "&lt;"&amp;PW1)</f>
        <v>0</v>
      </c>
      <c r="PW11" s="125">
        <f>SUMIFS('Expenditure Breakdown'!$Q$6:$Q$174, 'Expenditure Breakdown'!$W$6:$W$174, "&gt;="&amp;PW1,'Expenditure Breakdown'!$W$6:$W$174, "&lt;"&amp;PX1)</f>
        <v>0</v>
      </c>
      <c r="PX11" s="125">
        <f>SUMIFS('Expenditure Breakdown'!$Q$6:$Q$174, 'Expenditure Breakdown'!$W$6:$W$174, "&gt;="&amp;PX1,'Expenditure Breakdown'!$W$6:$W$174, "&lt;"&amp;PY1)</f>
        <v>0</v>
      </c>
      <c r="PY11" s="125">
        <f>SUMIFS('Expenditure Breakdown'!$Q$6:$Q$174, 'Expenditure Breakdown'!$W$6:$W$174, "&gt;="&amp;PY1,'Expenditure Breakdown'!$W$6:$W$174, "&lt;"&amp;PZ1)</f>
        <v>0</v>
      </c>
      <c r="PZ11" s="125">
        <f>SUMIFS('Expenditure Breakdown'!$Q$6:$Q$174, 'Expenditure Breakdown'!$W$6:$W$174, "&gt;="&amp;PZ1,'Expenditure Breakdown'!$W$6:$W$174, "&lt;"&amp;QA1)</f>
        <v>0</v>
      </c>
      <c r="QA11" s="125">
        <f>SUMIFS('Expenditure Breakdown'!$Q$6:$Q$174, 'Expenditure Breakdown'!$W$6:$W$174, "&gt;="&amp;QA1,'Expenditure Breakdown'!$W$6:$W$174, "&lt;"&amp;QB1)</f>
        <v>0</v>
      </c>
      <c r="QB11" s="125">
        <f>SUMIFS('Expenditure Breakdown'!$Q$6:$Q$174, 'Expenditure Breakdown'!$W$6:$W$174, "&gt;="&amp;QB1,'Expenditure Breakdown'!$W$6:$W$174, "&lt;"&amp;QC1)</f>
        <v>0</v>
      </c>
      <c r="QC11" s="125">
        <f>SUMIFS('Expenditure Breakdown'!$Q$6:$Q$174, 'Expenditure Breakdown'!$W$6:$W$174, "&gt;="&amp;QC1,'Expenditure Breakdown'!$W$6:$W$174, "&lt;"&amp;QD1)</f>
        <v>0</v>
      </c>
      <c r="QD11" s="125">
        <f>SUMIFS('Expenditure Breakdown'!$Q$6:$Q$174, 'Expenditure Breakdown'!$W$6:$W$174, "&gt;="&amp;QD1,'Expenditure Breakdown'!$W$6:$W$174, "&lt;"&amp;QE1)</f>
        <v>0</v>
      </c>
      <c r="QE11" s="125">
        <f>SUMIFS('Expenditure Breakdown'!$Q$6:$Q$174, 'Expenditure Breakdown'!$W$6:$W$174, "&gt;="&amp;QE1,'Expenditure Breakdown'!$W$6:$W$174, "&lt;"&amp;QF1)</f>
        <v>0</v>
      </c>
      <c r="QF11" s="125">
        <f>SUMIFS('Expenditure Breakdown'!$Q$6:$Q$174, 'Expenditure Breakdown'!$W$6:$W$174, "&gt;="&amp;QF1,'Expenditure Breakdown'!$W$6:$W$174, "&lt;"&amp;QG1)</f>
        <v>0</v>
      </c>
      <c r="QG11" s="125">
        <f>SUMIFS('Expenditure Breakdown'!$Q$6:$Q$174, 'Expenditure Breakdown'!$W$6:$W$174, "&gt;="&amp;QG1,'Expenditure Breakdown'!$W$6:$W$174, "&lt;"&amp;QH1)</f>
        <v>0</v>
      </c>
      <c r="QH11" s="125">
        <f>SUMIFS('Expenditure Breakdown'!$Q$6:$Q$174, 'Expenditure Breakdown'!$W$6:$W$174, "&gt;="&amp;QH1,'Expenditure Breakdown'!$W$6:$W$174, "&lt;"&amp;QI1)</f>
        <v>0</v>
      </c>
      <c r="QI11" s="125">
        <f>SUMIFS('Expenditure Breakdown'!$Q$6:$Q$174, 'Expenditure Breakdown'!$W$6:$W$174, "&gt;="&amp;QI1,'Expenditure Breakdown'!$W$6:$W$174, "&lt;"&amp;QJ1)</f>
        <v>0</v>
      </c>
      <c r="QJ11" s="125">
        <f>SUMIFS('Expenditure Breakdown'!$Q$6:$Q$174, 'Expenditure Breakdown'!$W$6:$W$174, "&gt;="&amp;QJ1,'Expenditure Breakdown'!$W$6:$W$174, "&lt;"&amp;QK1)</f>
        <v>0</v>
      </c>
      <c r="QK11" s="125">
        <f>SUMIFS('Expenditure Breakdown'!$Q$6:$Q$174, 'Expenditure Breakdown'!$W$6:$W$174, "&gt;="&amp;QK1,'Expenditure Breakdown'!$W$6:$W$174, "&lt;"&amp;QL1)</f>
        <v>0</v>
      </c>
      <c r="QL11" s="125">
        <f>SUMIFS('Expenditure Breakdown'!$Q$6:$Q$174, 'Expenditure Breakdown'!$W$6:$W$174, "&gt;="&amp;QL1,'Expenditure Breakdown'!$W$6:$W$174, "&lt;"&amp;QM1)</f>
        <v>0</v>
      </c>
      <c r="QM11" s="125">
        <f>SUMIFS('Expenditure Breakdown'!$Q$6:$Q$174, 'Expenditure Breakdown'!$W$6:$W$174, "&gt;="&amp;QM1,'Expenditure Breakdown'!$W$6:$W$174, "&lt;"&amp;QN1)</f>
        <v>0</v>
      </c>
      <c r="QN11" s="125">
        <f>SUMIFS('Expenditure Breakdown'!$Q$6:$Q$174, 'Expenditure Breakdown'!$W$6:$W$174, "&gt;="&amp;QN1,'Expenditure Breakdown'!$W$6:$W$174, "&lt;"&amp;QO1)</f>
        <v>0</v>
      </c>
      <c r="QO11" s="125">
        <f>SUMIFS('Expenditure Breakdown'!$Q$6:$Q$174, 'Expenditure Breakdown'!$W$6:$W$174, "&gt;="&amp;QO1,'Expenditure Breakdown'!$W$6:$W$174, "&lt;"&amp;QP1)</f>
        <v>0</v>
      </c>
      <c r="QP11" s="125">
        <f>SUMIFS('Expenditure Breakdown'!$Q$6:$Q$174, 'Expenditure Breakdown'!$W$6:$W$174, "&gt;="&amp;QP1,'Expenditure Breakdown'!$W$6:$W$174, "&lt;"&amp;QQ1)</f>
        <v>0</v>
      </c>
      <c r="QQ11" s="125">
        <f>SUMIFS('Expenditure Breakdown'!$Q$6:$Q$174, 'Expenditure Breakdown'!$W$6:$W$174, "&gt;="&amp;QQ1,'Expenditure Breakdown'!$W$6:$W$174, "&lt;"&amp;QR1)</f>
        <v>0</v>
      </c>
      <c r="QR11" s="125">
        <f>SUMIFS('Expenditure Breakdown'!$Q$6:$Q$174, 'Expenditure Breakdown'!$W$6:$W$174, "&gt;="&amp;QR1,'Expenditure Breakdown'!$W$6:$W$174, "&lt;"&amp;QS1)</f>
        <v>0</v>
      </c>
      <c r="QS11" s="125">
        <f>SUMIFS('Expenditure Breakdown'!$Q$6:$Q$174, 'Expenditure Breakdown'!$W$6:$W$174, "&gt;="&amp;QS1,'Expenditure Breakdown'!$W$6:$W$174, "&lt;"&amp;QT1)</f>
        <v>0</v>
      </c>
      <c r="QT11" s="125">
        <f>SUMIFS('Expenditure Breakdown'!$Q$6:$Q$174, 'Expenditure Breakdown'!$W$6:$W$174, "&gt;="&amp;QT1,'Expenditure Breakdown'!$W$6:$W$174, "&lt;"&amp;QU1)</f>
        <v>0</v>
      </c>
      <c r="QU11" s="125">
        <f>SUMIFS('Expenditure Breakdown'!$Q$6:$Q$174, 'Expenditure Breakdown'!$W$6:$W$174, "&gt;="&amp;QU1,'Expenditure Breakdown'!$W$6:$W$174, "&lt;"&amp;QV1)</f>
        <v>0</v>
      </c>
      <c r="QV11" s="125">
        <f>SUMIFS('Expenditure Breakdown'!$Q$6:$Q$174, 'Expenditure Breakdown'!$W$6:$W$174, "&gt;="&amp;QV1,'Expenditure Breakdown'!$W$6:$W$174, "&lt;"&amp;QW1)</f>
        <v>0</v>
      </c>
      <c r="QW11" s="125">
        <f>SUMIFS('Expenditure Breakdown'!$Q$6:$Q$174, 'Expenditure Breakdown'!$W$6:$W$174, "&gt;="&amp;QW1,'Expenditure Breakdown'!$W$6:$W$174, "&lt;"&amp;QX1)</f>
        <v>0</v>
      </c>
      <c r="QX11" s="125">
        <f>SUMIFS('Expenditure Breakdown'!$Q$6:$Q$174, 'Expenditure Breakdown'!$W$6:$W$174, "&gt;="&amp;QX1,'Expenditure Breakdown'!$W$6:$W$174, "&lt;"&amp;QY1)</f>
        <v>0</v>
      </c>
      <c r="QY11" s="125">
        <f>SUMIFS('Expenditure Breakdown'!$Q$6:$Q$174, 'Expenditure Breakdown'!$W$6:$W$174, "&gt;="&amp;QY1,'Expenditure Breakdown'!$W$6:$W$174, "&lt;"&amp;QZ1)</f>
        <v>0</v>
      </c>
      <c r="QZ11" s="125">
        <f>SUMIFS('Expenditure Breakdown'!$Q$6:$Q$174, 'Expenditure Breakdown'!$W$6:$W$174, "&gt;="&amp;QZ1,'Expenditure Breakdown'!$W$6:$W$174, "&lt;"&amp;RA1)</f>
        <v>0</v>
      </c>
      <c r="RA11" s="125">
        <f>SUMIFS('Expenditure Breakdown'!$Q$6:$Q$174, 'Expenditure Breakdown'!$W$6:$W$174, "&gt;="&amp;RA1,'Expenditure Breakdown'!$W$6:$W$174, "&lt;"&amp;RB1)</f>
        <v>0</v>
      </c>
      <c r="RB11" s="125">
        <f>SUMIFS('Expenditure Breakdown'!$Q$6:$Q$174, 'Expenditure Breakdown'!$W$6:$W$174, "&gt;="&amp;RB1,'Expenditure Breakdown'!$W$6:$W$174, "&lt;"&amp;RC1)</f>
        <v>0</v>
      </c>
      <c r="RC11" s="125">
        <f>SUMIFS('Expenditure Breakdown'!$Q$6:$Q$174, 'Expenditure Breakdown'!$W$6:$W$174, "&gt;="&amp;RC1,'Expenditure Breakdown'!$W$6:$W$174, "&lt;"&amp;RD1)</f>
        <v>0</v>
      </c>
      <c r="RD11" s="125">
        <f>SUMIFS('Expenditure Breakdown'!$Q$6:$Q$174, 'Expenditure Breakdown'!$W$6:$W$174, "&gt;="&amp;RD1,'Expenditure Breakdown'!$W$6:$W$174, "&lt;"&amp;RE1)</f>
        <v>0</v>
      </c>
      <c r="RE11" s="125">
        <f>SUMIFS('Expenditure Breakdown'!$Q$6:$Q$174, 'Expenditure Breakdown'!$W$6:$W$174, "&gt;="&amp;RE1,'Expenditure Breakdown'!$W$6:$W$174, "&lt;"&amp;RF1)</f>
        <v>0</v>
      </c>
      <c r="RF11" s="125">
        <f>SUMIFS('Expenditure Breakdown'!$Q$6:$Q$174, 'Expenditure Breakdown'!$W$6:$W$174, "&gt;="&amp;RF1,'Expenditure Breakdown'!$W$6:$W$174, "&lt;"&amp;RG1)</f>
        <v>0</v>
      </c>
      <c r="RG11" s="125">
        <f>SUMIFS('Expenditure Breakdown'!$Q$6:$Q$174, 'Expenditure Breakdown'!$W$6:$W$174, "&gt;="&amp;RG1,'Expenditure Breakdown'!$W$6:$W$174, "&lt;"&amp;RH1)</f>
        <v>0</v>
      </c>
      <c r="RH11" s="125">
        <f>SUMIFS('Expenditure Breakdown'!$Q$6:$Q$174, 'Expenditure Breakdown'!$W$6:$W$174, "&gt;="&amp;RH1,'Expenditure Breakdown'!$W$6:$W$174, "&lt;"&amp;RI1)</f>
        <v>0</v>
      </c>
      <c r="RI11" s="125">
        <f>SUMIFS('Expenditure Breakdown'!$Q$6:$Q$174, 'Expenditure Breakdown'!$W$6:$W$174, "&gt;="&amp;RI1,'Expenditure Breakdown'!$W$6:$W$174, "&lt;"&amp;RJ1)</f>
        <v>0</v>
      </c>
      <c r="RJ11" s="125">
        <f>SUMIFS('Expenditure Breakdown'!$Q$6:$Q$174, 'Expenditure Breakdown'!$W$6:$W$174, "&gt;="&amp;RJ1,'Expenditure Breakdown'!$W$6:$W$174, "&lt;"&amp;RK1)</f>
        <v>0</v>
      </c>
      <c r="RK11" s="125">
        <f>SUMIFS('Expenditure Breakdown'!$Q$6:$Q$174, 'Expenditure Breakdown'!$W$6:$W$174, "&gt;="&amp;RK1,'Expenditure Breakdown'!$W$6:$W$174, "&lt;"&amp;RL1)</f>
        <v>0</v>
      </c>
      <c r="RL11" s="125">
        <f>SUMIFS('Expenditure Breakdown'!$Q$6:$Q$174, 'Expenditure Breakdown'!$W$6:$W$174, "&gt;="&amp;RL1,'Expenditure Breakdown'!$W$6:$W$174, "&lt;"&amp;RM1)</f>
        <v>0</v>
      </c>
      <c r="RM11" s="125">
        <f>SUMIFS('Expenditure Breakdown'!$Q$6:$Q$174, 'Expenditure Breakdown'!$W$6:$W$174, "&gt;="&amp;RM1,'Expenditure Breakdown'!$W$6:$W$174, "&lt;"&amp;RN1)</f>
        <v>0</v>
      </c>
      <c r="RN11" s="125">
        <f>SUMIFS('Expenditure Breakdown'!$Q$6:$Q$174, 'Expenditure Breakdown'!$W$6:$W$174, "&gt;="&amp;RN1,'Expenditure Breakdown'!$W$6:$W$174, "&lt;"&amp;RO1)</f>
        <v>0</v>
      </c>
      <c r="RO11" s="125">
        <f>SUMIFS('Expenditure Breakdown'!$Q$6:$Q$174, 'Expenditure Breakdown'!$W$6:$W$174, "&gt;="&amp;RO1,'Expenditure Breakdown'!$W$6:$W$174, "&lt;"&amp;RP1)</f>
        <v>0</v>
      </c>
      <c r="RP11" s="125">
        <f>SUMIFS('Expenditure Breakdown'!$Q$6:$Q$174, 'Expenditure Breakdown'!$W$6:$W$174, "&gt;="&amp;RP1,'Expenditure Breakdown'!$W$6:$W$174, "&lt;"&amp;RQ1)</f>
        <v>0</v>
      </c>
      <c r="RQ11" s="125">
        <f>SUMIFS('Expenditure Breakdown'!$Q$6:$Q$174, 'Expenditure Breakdown'!$W$6:$W$174, "&gt;="&amp;RQ1,'Expenditure Breakdown'!$W$6:$W$174, "&lt;"&amp;RR1)</f>
        <v>0</v>
      </c>
      <c r="RR11" s="125">
        <f>SUMIFS('Expenditure Breakdown'!$Q$6:$Q$174, 'Expenditure Breakdown'!$W$6:$W$174, "&gt;="&amp;RR1,'Expenditure Breakdown'!$W$6:$W$174, "&lt;"&amp;RS1)</f>
        <v>0</v>
      </c>
      <c r="RS11" s="125">
        <f>SUMIFS('Expenditure Breakdown'!$Q$6:$Q$174, 'Expenditure Breakdown'!$W$6:$W$174, "&gt;="&amp;RS1,'Expenditure Breakdown'!$W$6:$W$174, "&lt;"&amp;RT1)</f>
        <v>0</v>
      </c>
      <c r="RT11" s="125">
        <f>SUMIFS('Expenditure Breakdown'!$Q$6:$Q$174, 'Expenditure Breakdown'!$W$6:$W$174, "&gt;="&amp;RT1,'Expenditure Breakdown'!$W$6:$W$174, "&lt;"&amp;RU1)</f>
        <v>0</v>
      </c>
      <c r="RU11" s="125">
        <f>SUMIFS('Expenditure Breakdown'!$Q$6:$Q$174, 'Expenditure Breakdown'!$W$6:$W$174, "&gt;="&amp;RU1,'Expenditure Breakdown'!$W$6:$W$174, "&lt;"&amp;RV1)</f>
        <v>0</v>
      </c>
      <c r="RV11" s="125">
        <f>SUMIFS('Expenditure Breakdown'!$Q$6:$Q$174, 'Expenditure Breakdown'!$W$6:$W$174, "&gt;="&amp;RV1,'Expenditure Breakdown'!$W$6:$W$174, "&lt;"&amp;RW1)</f>
        <v>0</v>
      </c>
      <c r="RW11" s="125">
        <f>SUMIFS('Expenditure Breakdown'!$Q$6:$Q$174, 'Expenditure Breakdown'!$W$6:$W$174, "&gt;="&amp;RW1,'Expenditure Breakdown'!$W$6:$W$174, "&lt;"&amp;RX1)</f>
        <v>0</v>
      </c>
      <c r="RX11" s="125">
        <f>SUMIFS('Expenditure Breakdown'!$Q$6:$Q$174, 'Expenditure Breakdown'!$W$6:$W$174, "&gt;="&amp;RX1,'Expenditure Breakdown'!$W$6:$W$174, "&lt;"&amp;RY1)</f>
        <v>0</v>
      </c>
      <c r="RY11" s="125">
        <f>SUMIFS('Expenditure Breakdown'!$Q$6:$Q$174, 'Expenditure Breakdown'!$W$6:$W$174, "&gt;="&amp;RY1,'Expenditure Breakdown'!$W$6:$W$174, "&lt;"&amp;RZ1)</f>
        <v>0</v>
      </c>
      <c r="RZ11" s="125">
        <f>SUMIFS('Expenditure Breakdown'!$Q$6:$Q$174, 'Expenditure Breakdown'!$W$6:$W$174, "&gt;="&amp;RZ1,'Expenditure Breakdown'!$W$6:$W$174, "&lt;"&amp;SA1)</f>
        <v>0</v>
      </c>
      <c r="SA11" s="125">
        <f>SUMIFS('Expenditure Breakdown'!$Q$6:$Q$174, 'Expenditure Breakdown'!$W$6:$W$174, "&gt;="&amp;SA1,'Expenditure Breakdown'!$W$6:$W$174, "&lt;"&amp;SB1)</f>
        <v>0</v>
      </c>
      <c r="SB11" s="125">
        <f>SUMIFS('Expenditure Breakdown'!$Q$6:$Q$174, 'Expenditure Breakdown'!$W$6:$W$174, "&gt;="&amp;SB1,'Expenditure Breakdown'!$W$6:$W$174, "&lt;"&amp;SC1)</f>
        <v>0</v>
      </c>
      <c r="SC11" s="125">
        <f>SUMIFS('Expenditure Breakdown'!$Q$6:$Q$174, 'Expenditure Breakdown'!$W$6:$W$174, "&gt;="&amp;SC1,'Expenditure Breakdown'!$W$6:$W$174, "&lt;"&amp;SD1)</f>
        <v>0</v>
      </c>
      <c r="SD11" s="125">
        <f>SUMIFS('Expenditure Breakdown'!$Q$6:$Q$174, 'Expenditure Breakdown'!$W$6:$W$174, "&gt;="&amp;SD1,'Expenditure Breakdown'!$W$6:$W$174, "&lt;"&amp;SE1)</f>
        <v>0</v>
      </c>
      <c r="SE11" s="125">
        <f>SUMIFS('Expenditure Breakdown'!$Q$6:$Q$174, 'Expenditure Breakdown'!$W$6:$W$174, "&gt;="&amp;SE1,'Expenditure Breakdown'!$W$6:$W$174, "&lt;"&amp;SF1)</f>
        <v>0</v>
      </c>
      <c r="SF11" s="125">
        <f>SUMIFS('Expenditure Breakdown'!$Q$6:$Q$174, 'Expenditure Breakdown'!$W$6:$W$174, "&gt;="&amp;SF1,'Expenditure Breakdown'!$W$6:$W$174, "&lt;"&amp;SG1)</f>
        <v>0</v>
      </c>
      <c r="SG11" s="125">
        <f>SUMIFS('Expenditure Breakdown'!$Q$6:$Q$174, 'Expenditure Breakdown'!$W$6:$W$174, "&gt;="&amp;SG1,'Expenditure Breakdown'!$W$6:$W$174, "&lt;"&amp;SH1)</f>
        <v>0</v>
      </c>
      <c r="SH11" s="125">
        <f>SUMIFS('Expenditure Breakdown'!$Q$6:$Q$174, 'Expenditure Breakdown'!$W$6:$W$174, "&gt;="&amp;SH1,'Expenditure Breakdown'!$W$6:$W$174, "&lt;"&amp;SI1)</f>
        <v>0</v>
      </c>
      <c r="SI11" s="125">
        <f>SUMIFS('Expenditure Breakdown'!$Q$6:$Q$174, 'Expenditure Breakdown'!$W$6:$W$174, "&gt;="&amp;SI1,'Expenditure Breakdown'!$W$6:$W$174, "&lt;"&amp;SJ1)</f>
        <v>0</v>
      </c>
      <c r="SJ11" s="125">
        <f>SUMIFS('Expenditure Breakdown'!$Q$6:$Q$174, 'Expenditure Breakdown'!$W$6:$W$174, "&gt;="&amp;SJ1,'Expenditure Breakdown'!$W$6:$W$174, "&lt;"&amp;SK1)</f>
        <v>0</v>
      </c>
      <c r="SK11" s="125">
        <f>SUMIFS('Expenditure Breakdown'!$Q$6:$Q$174, 'Expenditure Breakdown'!$W$6:$W$174, "&gt;="&amp;SK1,'Expenditure Breakdown'!$W$6:$W$174, "&lt;"&amp;SL1)</f>
        <v>0</v>
      </c>
      <c r="SL11" s="125">
        <f>SUMIFS('Expenditure Breakdown'!$Q$6:$Q$174, 'Expenditure Breakdown'!$W$6:$W$174, "&gt;="&amp;SL1,'Expenditure Breakdown'!$W$6:$W$174, "&lt;"&amp;SM1)</f>
        <v>0</v>
      </c>
      <c r="SM11" s="125">
        <f>SUMIFS('Expenditure Breakdown'!$Q$6:$Q$174, 'Expenditure Breakdown'!$W$6:$W$174, "&gt;="&amp;SM1,'Expenditure Breakdown'!$W$6:$W$174, "&lt;"&amp;SN1)</f>
        <v>0</v>
      </c>
      <c r="SN11" s="125">
        <f>SUMIFS('Expenditure Breakdown'!$Q$6:$Q$174, 'Expenditure Breakdown'!$W$6:$W$174, "&gt;="&amp;SN1,'Expenditure Breakdown'!$W$6:$W$174, "&lt;"&amp;SO1)</f>
        <v>0</v>
      </c>
      <c r="SO11" s="125">
        <f>SUMIFS('Expenditure Breakdown'!$Q$6:$Q$174, 'Expenditure Breakdown'!$W$6:$W$174, "&gt;="&amp;SO1,'Expenditure Breakdown'!$W$6:$W$174, "&lt;"&amp;SP1)</f>
        <v>0</v>
      </c>
      <c r="SP11" s="125">
        <f>SUMIFS('Expenditure Breakdown'!$Q$6:$Q$174, 'Expenditure Breakdown'!$W$6:$W$174, "&gt;="&amp;SP1,'Expenditure Breakdown'!$W$6:$W$174, "&lt;"&amp;SQ1)</f>
        <v>0</v>
      </c>
      <c r="SQ11" s="125">
        <f>SUMIFS('Expenditure Breakdown'!$Q$6:$Q$174, 'Expenditure Breakdown'!$W$6:$W$174, "&gt;="&amp;SQ1,'Expenditure Breakdown'!$W$6:$W$174, "&lt;"&amp;SR1)</f>
        <v>0</v>
      </c>
      <c r="SR11" s="125">
        <f>SUMIFS('Expenditure Breakdown'!$Q$6:$Q$174, 'Expenditure Breakdown'!$W$6:$W$174, "&gt;="&amp;SR1,'Expenditure Breakdown'!$W$6:$W$174, "&lt;"&amp;SS1)</f>
        <v>0</v>
      </c>
      <c r="SS11" s="125">
        <f>SUMIFS('Expenditure Breakdown'!$Q$6:$Q$174, 'Expenditure Breakdown'!$W$6:$W$174, "&gt;="&amp;SS1,'Expenditure Breakdown'!$W$6:$W$174, "&lt;"&amp;ST1)</f>
        <v>0</v>
      </c>
      <c r="ST11" s="125">
        <f>SUMIFS('Expenditure Breakdown'!$Q$6:$Q$174, 'Expenditure Breakdown'!$W$6:$W$174, "&gt;="&amp;ST1,'Expenditure Breakdown'!$W$6:$W$174, "&lt;"&amp;SU1)</f>
        <v>0</v>
      </c>
      <c r="SU11" s="125">
        <f>SUMIFS('Expenditure Breakdown'!$Q$6:$Q$174, 'Expenditure Breakdown'!$W$6:$W$174, "&gt;="&amp;SU1,'Expenditure Breakdown'!$W$6:$W$174, "&lt;"&amp;SV1)</f>
        <v>0</v>
      </c>
      <c r="SV11" s="125">
        <f>SUMIFS('Expenditure Breakdown'!$Q$6:$Q$174, 'Expenditure Breakdown'!$W$6:$W$174, "&gt;="&amp;SV1,'Expenditure Breakdown'!$W$6:$W$174, "&lt;"&amp;SW1)</f>
        <v>0</v>
      </c>
      <c r="SW11" s="125">
        <f>SUMIFS('Expenditure Breakdown'!$Q$6:$Q$174, 'Expenditure Breakdown'!$W$6:$W$174, "&gt;="&amp;SW1,'Expenditure Breakdown'!$W$6:$W$174, "&lt;"&amp;SX1)</f>
        <v>0</v>
      </c>
      <c r="SX11" s="125">
        <f>SUMIFS('Expenditure Breakdown'!$Q$6:$Q$174, 'Expenditure Breakdown'!$W$6:$W$174, "&gt;="&amp;SX1,'Expenditure Breakdown'!$W$6:$W$174, "&lt;"&amp;SY1)</f>
        <v>0</v>
      </c>
      <c r="SY11" s="125">
        <f>SUMIFS('Expenditure Breakdown'!$Q$6:$Q$174, 'Expenditure Breakdown'!$W$6:$W$174, "&gt;="&amp;SY1,'Expenditure Breakdown'!$W$6:$W$174, "&lt;"&amp;SZ1)</f>
        <v>0</v>
      </c>
      <c r="SZ11" s="125">
        <f>SUMIFS('Expenditure Breakdown'!$Q$6:$Q$174, 'Expenditure Breakdown'!$W$6:$W$174, "&gt;="&amp;SZ1,'Expenditure Breakdown'!$W$6:$W$174, "&lt;"&amp;TA1)</f>
        <v>0</v>
      </c>
      <c r="TA11" s="125">
        <f>SUMIFS('Expenditure Breakdown'!$Q$6:$Q$174, 'Expenditure Breakdown'!$W$6:$W$174, "&gt;="&amp;TA1,'Expenditure Breakdown'!$W$6:$W$174, "&lt;"&amp;TB1)</f>
        <v>0</v>
      </c>
      <c r="TB11" s="125">
        <f>SUMIFS('Expenditure Breakdown'!$Q$6:$Q$174, 'Expenditure Breakdown'!$W$6:$W$174, "&gt;="&amp;TB1,'Expenditure Breakdown'!$W$6:$W$174, "&lt;"&amp;TC1)</f>
        <v>0</v>
      </c>
      <c r="TC11" s="125">
        <f>SUMIFS('Expenditure Breakdown'!$Q$6:$Q$174, 'Expenditure Breakdown'!$W$6:$W$174, "&gt;="&amp;TC1,'Expenditure Breakdown'!$W$6:$W$174, "&lt;"&amp;TD1)</f>
        <v>0</v>
      </c>
      <c r="TD11" s="125">
        <f>SUMIFS('Expenditure Breakdown'!$Q$6:$Q$174, 'Expenditure Breakdown'!$W$6:$W$174, "&gt;="&amp;TD1,'Expenditure Breakdown'!$W$6:$W$174, "&lt;"&amp;TE1)</f>
        <v>0</v>
      </c>
      <c r="TE11" s="125">
        <f>SUMIFS('Expenditure Breakdown'!$Q$6:$Q$174, 'Expenditure Breakdown'!$W$6:$W$174, "&gt;="&amp;TE1,'Expenditure Breakdown'!$W$6:$W$174, "&lt;"&amp;TF1)</f>
        <v>0</v>
      </c>
      <c r="TF11" s="125">
        <f>SUMIFS('Expenditure Breakdown'!$Q$6:$Q$174, 'Expenditure Breakdown'!$W$6:$W$174, "&gt;="&amp;TF1,'Expenditure Breakdown'!$W$6:$W$174, "&lt;"&amp;TG1)</f>
        <v>0</v>
      </c>
      <c r="TG11" s="125">
        <f>SUMIFS('Expenditure Breakdown'!$Q$6:$Q$174, 'Expenditure Breakdown'!$W$6:$W$174, "&gt;="&amp;TG1,'Expenditure Breakdown'!$W$6:$W$174, "&lt;"&amp;TH1)</f>
        <v>0</v>
      </c>
      <c r="TH11" s="125">
        <f>SUMIFS('Expenditure Breakdown'!$Q$6:$Q$174, 'Expenditure Breakdown'!$W$6:$W$174, "&gt;="&amp;TH1,'Expenditure Breakdown'!$W$6:$W$174, "&lt;"&amp;TI1)</f>
        <v>0</v>
      </c>
      <c r="TI11" s="125">
        <f>SUMIFS('Expenditure Breakdown'!$Q$6:$Q$174, 'Expenditure Breakdown'!$W$6:$W$174, "&gt;="&amp;TI1,'Expenditure Breakdown'!$W$6:$W$174, "&lt;"&amp;TJ1)</f>
        <v>0</v>
      </c>
      <c r="TJ11" s="125">
        <f>SUMIFS('Expenditure Breakdown'!$Q$6:$Q$174, 'Expenditure Breakdown'!$W$6:$W$174, "&gt;="&amp;TJ1,'Expenditure Breakdown'!$W$6:$W$174, "&lt;"&amp;TK1)</f>
        <v>0</v>
      </c>
      <c r="TK11" s="125">
        <f>SUMIFS('Expenditure Breakdown'!$Q$6:$Q$174, 'Expenditure Breakdown'!$W$6:$W$174, "&gt;="&amp;TK1,'Expenditure Breakdown'!$W$6:$W$174, "&lt;"&amp;TL1)</f>
        <v>0</v>
      </c>
      <c r="TL11" s="125">
        <f>SUMIFS('Expenditure Breakdown'!$Q$6:$Q$174, 'Expenditure Breakdown'!$W$6:$W$174, "&gt;="&amp;TL1,'Expenditure Breakdown'!$W$6:$W$174, "&lt;"&amp;TM1)</f>
        <v>0</v>
      </c>
      <c r="TM11" s="125">
        <f>SUMIFS('Expenditure Breakdown'!$Q$6:$Q$174, 'Expenditure Breakdown'!$W$6:$W$174, "&gt;="&amp;TM1,'Expenditure Breakdown'!$W$6:$W$174, "&lt;"&amp;TN1)</f>
        <v>0</v>
      </c>
      <c r="TN11" s="125">
        <f>SUMIFS('Expenditure Breakdown'!$Q$6:$Q$174, 'Expenditure Breakdown'!$W$6:$W$174, "&gt;="&amp;TN1,'Expenditure Breakdown'!$W$6:$W$174, "&lt;"&amp;TO1)</f>
        <v>0</v>
      </c>
      <c r="TO11" s="125">
        <f>SUMIFS('Expenditure Breakdown'!$Q$6:$Q$174, 'Expenditure Breakdown'!$W$6:$W$174, "&gt;="&amp;TO1,'Expenditure Breakdown'!$W$6:$W$174, "&lt;"&amp;TP1)</f>
        <v>0</v>
      </c>
      <c r="TP11" s="125">
        <f>SUMIFS('Expenditure Breakdown'!$Q$6:$Q$174, 'Expenditure Breakdown'!$W$6:$W$174, "&gt;="&amp;TP1,'Expenditure Breakdown'!$W$6:$W$174, "&lt;"&amp;TQ1)</f>
        <v>0</v>
      </c>
      <c r="TQ11" s="125">
        <f>SUMIFS('Expenditure Breakdown'!$Q$6:$Q$174, 'Expenditure Breakdown'!$W$6:$W$174, "&gt;="&amp;TQ1,'Expenditure Breakdown'!$W$6:$W$174, "&lt;"&amp;TR1)</f>
        <v>0</v>
      </c>
      <c r="TR11" s="125">
        <f>SUMIFS('Expenditure Breakdown'!$Q$6:$Q$174, 'Expenditure Breakdown'!$W$6:$W$174, "&gt;="&amp;TR1,'Expenditure Breakdown'!$W$6:$W$174, "&lt;"&amp;TS1)</f>
        <v>0</v>
      </c>
      <c r="TS11" s="125">
        <f>SUMIFS('Expenditure Breakdown'!$Q$6:$Q$174, 'Expenditure Breakdown'!$W$6:$W$174, "&gt;="&amp;TS1,'Expenditure Breakdown'!$W$6:$W$174, "&lt;"&amp;TT1)</f>
        <v>0</v>
      </c>
      <c r="TT11" s="125">
        <f>SUMIFS('Expenditure Breakdown'!$Q$6:$Q$174, 'Expenditure Breakdown'!$W$6:$W$174, "&gt;="&amp;TT1,'Expenditure Breakdown'!$W$6:$W$174, "&lt;"&amp;TU1)</f>
        <v>0</v>
      </c>
      <c r="TU11" s="125">
        <f>SUMIFS('Expenditure Breakdown'!$Q$6:$Q$174, 'Expenditure Breakdown'!$W$6:$W$174, "&gt;="&amp;TU1,'Expenditure Breakdown'!$W$6:$W$174, "&lt;"&amp;TV1)</f>
        <v>0</v>
      </c>
      <c r="TV11" s="125">
        <f>SUMIFS('Expenditure Breakdown'!$Q$6:$Q$174, 'Expenditure Breakdown'!$W$6:$W$174, "&gt;="&amp;TV1,'Expenditure Breakdown'!$W$6:$W$174, "&lt;"&amp;TW1)</f>
        <v>0</v>
      </c>
      <c r="TW11" s="125">
        <f>SUMIFS('Expenditure Breakdown'!$Q$6:$Q$174, 'Expenditure Breakdown'!$W$6:$W$174, "&gt;="&amp;TW1,'Expenditure Breakdown'!$W$6:$W$174, "&lt;"&amp;TX1)</f>
        <v>0</v>
      </c>
      <c r="TX11" s="125">
        <f>SUMIFS('Expenditure Breakdown'!$Q$6:$Q$174, 'Expenditure Breakdown'!$W$6:$W$174, "&gt;="&amp;TX1,'Expenditure Breakdown'!$W$6:$W$174, "&lt;"&amp;TY1)</f>
        <v>0</v>
      </c>
      <c r="TY11" s="125">
        <f>SUMIFS('Expenditure Breakdown'!$Q$6:$Q$174, 'Expenditure Breakdown'!$W$6:$W$174, "&gt;="&amp;TY1,'Expenditure Breakdown'!$W$6:$W$174, "&lt;"&amp;TZ1)</f>
        <v>0</v>
      </c>
      <c r="TZ11" s="125">
        <f>SUMIFS('Expenditure Breakdown'!$Q$6:$Q$174, 'Expenditure Breakdown'!$W$6:$W$174, "&gt;="&amp;TZ1,'Expenditure Breakdown'!$W$6:$W$174, "&lt;"&amp;UA1)</f>
        <v>0</v>
      </c>
      <c r="UA11" s="125">
        <f>SUMIFS('Expenditure Breakdown'!$Q$6:$Q$174, 'Expenditure Breakdown'!$W$6:$W$174, "&gt;="&amp;UA1,'Expenditure Breakdown'!$W$6:$W$174, "&lt;"&amp;UB1)</f>
        <v>0</v>
      </c>
      <c r="UB11" s="125">
        <f>SUMIFS('Expenditure Breakdown'!$Q$6:$Q$174, 'Expenditure Breakdown'!$W$6:$W$174, "&gt;="&amp;UB1,'Expenditure Breakdown'!$W$6:$W$174, "&lt;"&amp;UC1)</f>
        <v>0</v>
      </c>
      <c r="UC11" s="125">
        <f>SUMIFS('Expenditure Breakdown'!$Q$6:$Q$174, 'Expenditure Breakdown'!$W$6:$W$174, "&gt;="&amp;UC1,'Expenditure Breakdown'!$W$6:$W$174, "&lt;"&amp;UD1)</f>
        <v>0</v>
      </c>
      <c r="UD11" s="125">
        <f>SUMIFS('Expenditure Breakdown'!$Q$6:$Q$174, 'Expenditure Breakdown'!$W$6:$W$174, "&gt;="&amp;UD1,'Expenditure Breakdown'!$W$6:$W$174, "&lt;"&amp;UE1)</f>
        <v>0</v>
      </c>
      <c r="UE11" s="125">
        <f>SUMIFS('Expenditure Breakdown'!$Q$6:$Q$174, 'Expenditure Breakdown'!$W$6:$W$174, "&gt;="&amp;UE1,'Expenditure Breakdown'!$W$6:$W$174, "&lt;"&amp;UF1)</f>
        <v>0</v>
      </c>
      <c r="UF11" s="125">
        <f>SUMIFS('Expenditure Breakdown'!$Q$6:$Q$174, 'Expenditure Breakdown'!$W$6:$W$174, "&gt;="&amp;UF1,'Expenditure Breakdown'!$W$6:$W$174, "&lt;"&amp;UG1)</f>
        <v>0</v>
      </c>
      <c r="UG11" s="125">
        <f>SUMIFS('Expenditure Breakdown'!$Q$6:$Q$174, 'Expenditure Breakdown'!$W$6:$W$174, "&gt;="&amp;UG1,'Expenditure Breakdown'!$W$6:$W$174, "&lt;"&amp;UH1)</f>
        <v>0</v>
      </c>
      <c r="UH11" s="125">
        <f>SUMIFS('Expenditure Breakdown'!$Q$6:$Q$174, 'Expenditure Breakdown'!$W$6:$W$174, "&gt;="&amp;UH1,'Expenditure Breakdown'!$W$6:$W$174, "&lt;"&amp;UI1)</f>
        <v>0</v>
      </c>
      <c r="UI11" s="125">
        <f>SUMIFS('Expenditure Breakdown'!$Q$6:$Q$174, 'Expenditure Breakdown'!$W$6:$W$174, "&gt;="&amp;UI1,'Expenditure Breakdown'!$W$6:$W$174, "&lt;"&amp;UJ1)</f>
        <v>0</v>
      </c>
      <c r="UJ11" s="125">
        <f>SUMIFS('Expenditure Breakdown'!$Q$6:$Q$174, 'Expenditure Breakdown'!$W$6:$W$174, "&gt;="&amp;UJ1,'Expenditure Breakdown'!$W$6:$W$174, "&lt;"&amp;UK1)</f>
        <v>0</v>
      </c>
      <c r="UK11" s="125">
        <f>SUMIFS('Expenditure Breakdown'!$Q$6:$Q$174, 'Expenditure Breakdown'!$W$6:$W$174, "&gt;="&amp;UK1,'Expenditure Breakdown'!$W$6:$W$174, "&lt;"&amp;UL1)</f>
        <v>0</v>
      </c>
      <c r="UL11" s="125">
        <f>SUMIFS('Expenditure Breakdown'!$Q$6:$Q$174, 'Expenditure Breakdown'!$W$6:$W$174, "&gt;="&amp;UL1,'Expenditure Breakdown'!$W$6:$W$174, "&lt;"&amp;UM1)</f>
        <v>0</v>
      </c>
      <c r="UM11" s="125">
        <f>SUMIFS('Expenditure Breakdown'!$Q$6:$Q$174, 'Expenditure Breakdown'!$W$6:$W$174, "&gt;="&amp;UM1,'Expenditure Breakdown'!$W$6:$W$174, "&lt;"&amp;UN1)</f>
        <v>0</v>
      </c>
      <c r="UN11" s="125">
        <f>SUMIFS('Expenditure Breakdown'!$Q$6:$Q$174, 'Expenditure Breakdown'!$W$6:$W$174, "&gt;="&amp;UN1,'Expenditure Breakdown'!$W$6:$W$174, "&lt;"&amp;UO1)</f>
        <v>0</v>
      </c>
      <c r="UO11" s="125">
        <f>SUMIFS('Expenditure Breakdown'!$Q$6:$Q$174, 'Expenditure Breakdown'!$W$6:$W$174, "&gt;="&amp;UO1,'Expenditure Breakdown'!$W$6:$W$174, "&lt;"&amp;UP1)</f>
        <v>0</v>
      </c>
      <c r="UP11" s="125">
        <f>SUMIFS('Expenditure Breakdown'!$Q$6:$Q$174, 'Expenditure Breakdown'!$W$6:$W$174, "&gt;="&amp;UP1,'Expenditure Breakdown'!$W$6:$W$174, "&lt;"&amp;UQ1)</f>
        <v>0</v>
      </c>
      <c r="UQ11" s="125">
        <f>SUMIFS('Expenditure Breakdown'!$Q$6:$Q$174, 'Expenditure Breakdown'!$W$6:$W$174, "&gt;="&amp;UQ1,'Expenditure Breakdown'!$W$6:$W$174, "&lt;"&amp;UR1)</f>
        <v>0</v>
      </c>
      <c r="UR11" s="125">
        <f>SUMIFS('Expenditure Breakdown'!$Q$6:$Q$174, 'Expenditure Breakdown'!$W$6:$W$174, "&gt;="&amp;UR1,'Expenditure Breakdown'!$W$6:$W$174, "&lt;"&amp;US1)</f>
        <v>0</v>
      </c>
      <c r="US11" s="125">
        <f>SUMIFS('Expenditure Breakdown'!$Q$6:$Q$174, 'Expenditure Breakdown'!$W$6:$W$174, "&gt;="&amp;US1,'Expenditure Breakdown'!$W$6:$W$174, "&lt;"&amp;UT1)</f>
        <v>0</v>
      </c>
      <c r="UT11" s="125">
        <f>SUMIFS('Expenditure Breakdown'!$Q$6:$Q$174, 'Expenditure Breakdown'!$W$6:$W$174, "&gt;="&amp;UT1,'Expenditure Breakdown'!$W$6:$W$174, "&lt;"&amp;UU1)</f>
        <v>0</v>
      </c>
      <c r="UU11" s="125">
        <f>SUMIFS('Expenditure Breakdown'!$Q$6:$Q$174, 'Expenditure Breakdown'!$W$6:$W$174, "&gt;="&amp;UU1,'Expenditure Breakdown'!$W$6:$W$174, "&lt;"&amp;UV1)</f>
        <v>0</v>
      </c>
      <c r="UV11" s="125">
        <f>SUMIFS('Expenditure Breakdown'!$Q$6:$Q$174, 'Expenditure Breakdown'!$W$6:$W$174, "&gt;="&amp;UV1,'Expenditure Breakdown'!$W$6:$W$174, "&lt;"&amp;UW1)</f>
        <v>0</v>
      </c>
      <c r="UW11" s="125">
        <f>SUMIFS('Expenditure Breakdown'!$Q$6:$Q$174, 'Expenditure Breakdown'!$W$6:$W$174, "&gt;="&amp;UW1,'Expenditure Breakdown'!$W$6:$W$174, "&lt;"&amp;UX1)</f>
        <v>0</v>
      </c>
      <c r="UX11" s="125">
        <f>SUMIFS('Expenditure Breakdown'!$Q$6:$Q$174, 'Expenditure Breakdown'!$W$6:$W$174, "&gt;="&amp;UX1,'Expenditure Breakdown'!$W$6:$W$174, "&lt;"&amp;UY1)</f>
        <v>0</v>
      </c>
      <c r="UY11" s="125">
        <f>SUMIFS('Expenditure Breakdown'!$Q$6:$Q$174, 'Expenditure Breakdown'!$W$6:$W$174, "&gt;="&amp;UY1,'Expenditure Breakdown'!$W$6:$W$174, "&lt;"&amp;UZ1)</f>
        <v>0</v>
      </c>
      <c r="UZ11" s="125">
        <f>SUMIFS('Expenditure Breakdown'!$Q$6:$Q$174, 'Expenditure Breakdown'!$W$6:$W$174, "&gt;="&amp;UZ1,'Expenditure Breakdown'!$W$6:$W$174, "&lt;"&amp;VA1)</f>
        <v>0</v>
      </c>
      <c r="VA11" s="125">
        <f>SUMIFS('Expenditure Breakdown'!$Q$6:$Q$174, 'Expenditure Breakdown'!$W$6:$W$174, "&gt;="&amp;VA1,'Expenditure Breakdown'!$W$6:$W$174, "&lt;"&amp;VB1)</f>
        <v>0</v>
      </c>
      <c r="VB11" s="125">
        <f>SUMIFS('Expenditure Breakdown'!$Q$6:$Q$174, 'Expenditure Breakdown'!$W$6:$W$174, "&gt;="&amp;VB1,'Expenditure Breakdown'!$W$6:$W$174, "&lt;"&amp;VC1)</f>
        <v>0</v>
      </c>
      <c r="VC11" s="125">
        <f>SUMIFS('Expenditure Breakdown'!$Q$6:$Q$174, 'Expenditure Breakdown'!$W$6:$W$174, "&gt;="&amp;VC1,'Expenditure Breakdown'!$W$6:$W$174, "&lt;"&amp;VD1)</f>
        <v>0</v>
      </c>
      <c r="VD11" s="125">
        <f>SUMIFS('Expenditure Breakdown'!$Q$6:$Q$174, 'Expenditure Breakdown'!$W$6:$W$174, "&gt;="&amp;VD1,'Expenditure Breakdown'!$W$6:$W$174, "&lt;"&amp;VE1)</f>
        <v>0</v>
      </c>
      <c r="VE11" s="125">
        <f>SUMIFS('Expenditure Breakdown'!$Q$6:$Q$174, 'Expenditure Breakdown'!$W$6:$W$174, "&gt;="&amp;VE1,'Expenditure Breakdown'!$W$6:$W$174, "&lt;"&amp;VF1)</f>
        <v>0</v>
      </c>
      <c r="VF11" s="125">
        <f>SUMIFS('Expenditure Breakdown'!$Q$6:$Q$174, 'Expenditure Breakdown'!$W$6:$W$174, "&gt;="&amp;VF1,'Expenditure Breakdown'!$W$6:$W$174, "&lt;"&amp;VG1)</f>
        <v>0</v>
      </c>
      <c r="VG11" s="125">
        <f>SUMIFS('Expenditure Breakdown'!$Q$6:$Q$174, 'Expenditure Breakdown'!$W$6:$W$174, "&gt;="&amp;VG1,'Expenditure Breakdown'!$W$6:$W$174, "&lt;"&amp;VH1)</f>
        <v>0</v>
      </c>
      <c r="VH11" s="125">
        <f>SUMIFS('Expenditure Breakdown'!$Q$6:$Q$174, 'Expenditure Breakdown'!$W$6:$W$174, "&gt;="&amp;VH1,'Expenditure Breakdown'!$W$6:$W$174, "&lt;"&amp;VI1)</f>
        <v>0</v>
      </c>
      <c r="VI11" s="125">
        <f>SUMIFS('Expenditure Breakdown'!$Q$6:$Q$174, 'Expenditure Breakdown'!$W$6:$W$174, "&gt;="&amp;VI1,'Expenditure Breakdown'!$W$6:$W$174, "&lt;"&amp;VJ1)</f>
        <v>0</v>
      </c>
      <c r="VJ11" s="125">
        <f>SUMIFS('Expenditure Breakdown'!$Q$6:$Q$174, 'Expenditure Breakdown'!$W$6:$W$174, "&gt;="&amp;VJ1,'Expenditure Breakdown'!$W$6:$W$174, "&lt;"&amp;VK1)</f>
        <v>0</v>
      </c>
      <c r="VK11" s="125">
        <f>SUMIFS('Expenditure Breakdown'!$Q$6:$Q$174, 'Expenditure Breakdown'!$W$6:$W$174, "&gt;="&amp;VK1,'Expenditure Breakdown'!$W$6:$W$174, "&lt;"&amp;VL1)</f>
        <v>0</v>
      </c>
      <c r="VL11" s="125">
        <f>SUMIFS('Expenditure Breakdown'!$Q$6:$Q$174, 'Expenditure Breakdown'!$W$6:$W$174, "&gt;="&amp;VL1,'Expenditure Breakdown'!$W$6:$W$174, "&lt;"&amp;VM1)</f>
        <v>0</v>
      </c>
      <c r="VM11" s="125">
        <f>SUMIFS('Expenditure Breakdown'!$Q$6:$Q$174, 'Expenditure Breakdown'!$W$6:$W$174, "&gt;="&amp;VM1,'Expenditure Breakdown'!$W$6:$W$174, "&lt;"&amp;VN1)</f>
        <v>0</v>
      </c>
      <c r="VN11" s="125">
        <f>SUMIFS('Expenditure Breakdown'!$Q$6:$Q$174, 'Expenditure Breakdown'!$W$6:$W$174, "&gt;="&amp;VN1,'Expenditure Breakdown'!$W$6:$W$174, "&lt;"&amp;VO1)</f>
        <v>0</v>
      </c>
      <c r="VO11" s="125">
        <f>SUMIFS('Expenditure Breakdown'!$Q$6:$Q$174, 'Expenditure Breakdown'!$W$6:$W$174, "&gt;="&amp;VO1,'Expenditure Breakdown'!$W$6:$W$174, "&lt;"&amp;VP1)</f>
        <v>0</v>
      </c>
      <c r="VP11" s="125">
        <f>SUMIFS('Expenditure Breakdown'!$Q$6:$Q$174, 'Expenditure Breakdown'!$W$6:$W$174, "&gt;="&amp;VP1,'Expenditure Breakdown'!$W$6:$W$174, "&lt;"&amp;VQ1)</f>
        <v>0</v>
      </c>
      <c r="VQ11" s="125">
        <f>SUMIFS('Expenditure Breakdown'!$Q$6:$Q$174, 'Expenditure Breakdown'!$W$6:$W$174, "&gt;="&amp;VQ1,'Expenditure Breakdown'!$W$6:$W$174, "&lt;"&amp;VR1)</f>
        <v>0</v>
      </c>
      <c r="VR11" s="125">
        <f>SUMIFS('Expenditure Breakdown'!$Q$6:$Q$174, 'Expenditure Breakdown'!$W$6:$W$174, "&gt;="&amp;VR1,'Expenditure Breakdown'!$W$6:$W$174, "&lt;"&amp;VS1)</f>
        <v>0</v>
      </c>
      <c r="VS11" s="125">
        <f>SUMIFS('Expenditure Breakdown'!$Q$6:$Q$174, 'Expenditure Breakdown'!$W$6:$W$174, "&gt;="&amp;VS1,'Expenditure Breakdown'!$W$6:$W$174, "&lt;"&amp;VT1)</f>
        <v>0</v>
      </c>
      <c r="VT11" s="125">
        <f>SUMIFS('Expenditure Breakdown'!$Q$6:$Q$174, 'Expenditure Breakdown'!$W$6:$W$174, "&gt;="&amp;VT1,'Expenditure Breakdown'!$W$6:$W$174, "&lt;"&amp;VU1)</f>
        <v>0</v>
      </c>
      <c r="VU11" s="125">
        <f>SUMIFS('Expenditure Breakdown'!$Q$6:$Q$174, 'Expenditure Breakdown'!$W$6:$W$174, "&gt;="&amp;VU1,'Expenditure Breakdown'!$W$6:$W$174, "&lt;"&amp;VV1)</f>
        <v>0</v>
      </c>
      <c r="VV11" s="125">
        <f>SUMIFS('Expenditure Breakdown'!$Q$6:$Q$174, 'Expenditure Breakdown'!$W$6:$W$174, "&gt;="&amp;VV1,'Expenditure Breakdown'!$W$6:$W$174, "&lt;"&amp;VW1)</f>
        <v>0</v>
      </c>
      <c r="VW11" s="125">
        <f>SUMIFS('Expenditure Breakdown'!$Q$6:$Q$174, 'Expenditure Breakdown'!$W$6:$W$174, "&gt;="&amp;VW1,'Expenditure Breakdown'!$W$6:$W$174, "&lt;"&amp;VX1)</f>
        <v>0</v>
      </c>
      <c r="VX11" s="125">
        <f>SUMIFS('Expenditure Breakdown'!$Q$6:$Q$174, 'Expenditure Breakdown'!$W$6:$W$174, "&gt;="&amp;VX1,'Expenditure Breakdown'!$W$6:$W$174, "&lt;"&amp;VY1)</f>
        <v>0</v>
      </c>
      <c r="VY11" s="125">
        <f>SUMIFS('Expenditure Breakdown'!$Q$6:$Q$174, 'Expenditure Breakdown'!$W$6:$W$174, "&gt;="&amp;VY1,'Expenditure Breakdown'!$W$6:$W$174, "&lt;"&amp;VZ1)</f>
        <v>0</v>
      </c>
      <c r="VZ11" s="125">
        <f>SUMIFS('Expenditure Breakdown'!$Q$6:$Q$174, 'Expenditure Breakdown'!$W$6:$W$174, "&gt;="&amp;VZ1,'Expenditure Breakdown'!$W$6:$W$174, "&lt;"&amp;WA1)</f>
        <v>0</v>
      </c>
      <c r="WA11" s="125">
        <f>SUMIFS('Expenditure Breakdown'!$Q$6:$Q$174, 'Expenditure Breakdown'!$W$6:$W$174, "&gt;="&amp;WA1,'Expenditure Breakdown'!$W$6:$W$174, "&lt;"&amp;WB1)</f>
        <v>0</v>
      </c>
      <c r="WB11" s="125">
        <f>SUMIFS('Expenditure Breakdown'!$Q$6:$Q$174, 'Expenditure Breakdown'!$W$6:$W$174, "&gt;="&amp;WB1,'Expenditure Breakdown'!$W$6:$W$174, "&lt;"&amp;WC1)</f>
        <v>0</v>
      </c>
      <c r="WC11" s="125">
        <f>SUMIFS('Expenditure Breakdown'!$Q$6:$Q$174, 'Expenditure Breakdown'!$W$6:$W$174, "&gt;="&amp;WC1,'Expenditure Breakdown'!$W$6:$W$174, "&lt;"&amp;WD1)</f>
        <v>0</v>
      </c>
      <c r="WD11" s="125">
        <f>SUMIFS('Expenditure Breakdown'!$Q$6:$Q$174, 'Expenditure Breakdown'!$W$6:$W$174, "&gt;="&amp;WD1,'Expenditure Breakdown'!$W$6:$W$174, "&lt;"&amp;WE1)</f>
        <v>0</v>
      </c>
      <c r="WE11" s="125">
        <f>SUMIFS('Expenditure Breakdown'!$Q$6:$Q$174, 'Expenditure Breakdown'!$W$6:$W$174, "&gt;="&amp;WE1,'Expenditure Breakdown'!$W$6:$W$174, "&lt;"&amp;WF1)</f>
        <v>0</v>
      </c>
      <c r="WF11" s="125">
        <f>SUMIFS('Expenditure Breakdown'!$Q$6:$Q$174, 'Expenditure Breakdown'!$W$6:$W$174, "&gt;="&amp;WF1,'Expenditure Breakdown'!$W$6:$W$174, "&lt;"&amp;WG1)</f>
        <v>0</v>
      </c>
      <c r="WG11" s="125">
        <f>SUMIFS('Expenditure Breakdown'!$Q$6:$Q$174, 'Expenditure Breakdown'!$W$6:$W$174, "&gt;="&amp;WG1,'Expenditure Breakdown'!$W$6:$W$174, "&lt;"&amp;WH1)</f>
        <v>0</v>
      </c>
      <c r="WH11" s="125">
        <f>SUMIFS('Expenditure Breakdown'!$Q$6:$Q$174, 'Expenditure Breakdown'!$W$6:$W$174, "&gt;="&amp;WH1,'Expenditure Breakdown'!$W$6:$W$174, "&lt;"&amp;WI1)</f>
        <v>0</v>
      </c>
      <c r="WI11" s="125">
        <f>SUMIFS('Expenditure Breakdown'!$Q$6:$Q$174, 'Expenditure Breakdown'!$W$6:$W$174, "&gt;="&amp;WI1,'Expenditure Breakdown'!$W$6:$W$174, "&lt;"&amp;WJ1)</f>
        <v>0</v>
      </c>
      <c r="WJ11" s="125">
        <f>SUMIFS('Expenditure Breakdown'!$Q$6:$Q$174, 'Expenditure Breakdown'!$W$6:$W$174, "&gt;="&amp;WJ1,'Expenditure Breakdown'!$W$6:$W$174, "&lt;"&amp;WK1)</f>
        <v>0</v>
      </c>
      <c r="WK11" s="125">
        <f>SUMIFS('Expenditure Breakdown'!$Q$6:$Q$174, 'Expenditure Breakdown'!$W$6:$W$174, "&gt;="&amp;WK1,'Expenditure Breakdown'!$W$6:$W$174, "&lt;"&amp;WL1)</f>
        <v>0</v>
      </c>
      <c r="WL11" s="125">
        <f>SUMIFS('Expenditure Breakdown'!$Q$6:$Q$174, 'Expenditure Breakdown'!$W$6:$W$174, "&gt;="&amp;WL1,'Expenditure Breakdown'!$W$6:$W$174, "&lt;"&amp;WM1)</f>
        <v>0</v>
      </c>
      <c r="WM11" s="125">
        <f>SUMIFS('Expenditure Breakdown'!$Q$6:$Q$174, 'Expenditure Breakdown'!$W$6:$W$174, "&gt;="&amp;WM1,'Expenditure Breakdown'!$W$6:$W$174, "&lt;"&amp;WN1)</f>
        <v>0</v>
      </c>
      <c r="WN11" s="125">
        <f>SUMIFS('Expenditure Breakdown'!$Q$6:$Q$174, 'Expenditure Breakdown'!$W$6:$W$174, "&gt;="&amp;WN1,'Expenditure Breakdown'!$W$6:$W$174, "&lt;"&amp;WO1)</f>
        <v>0</v>
      </c>
      <c r="WO11" s="125">
        <f>SUMIFS('Expenditure Breakdown'!$Q$6:$Q$174, 'Expenditure Breakdown'!$W$6:$W$174, "&gt;="&amp;WO1,'Expenditure Breakdown'!$W$6:$W$174, "&lt;"&amp;WP1)</f>
        <v>0</v>
      </c>
      <c r="WP11" s="125">
        <f>SUMIFS('Expenditure Breakdown'!$Q$6:$Q$174, 'Expenditure Breakdown'!$W$6:$W$174, "&gt;="&amp;WP1,'Expenditure Breakdown'!$W$6:$W$174, "&lt;"&amp;WQ1)</f>
        <v>0</v>
      </c>
      <c r="WQ11" s="125">
        <f>SUMIFS('Expenditure Breakdown'!$Q$6:$Q$174, 'Expenditure Breakdown'!$W$6:$W$174, "&gt;="&amp;WQ1,'Expenditure Breakdown'!$W$6:$W$174, "&lt;"&amp;WR1)</f>
        <v>0</v>
      </c>
      <c r="WR11" s="125">
        <f>SUMIFS('Expenditure Breakdown'!$Q$6:$Q$174, 'Expenditure Breakdown'!$W$6:$W$174, "&gt;="&amp;WR1,'Expenditure Breakdown'!$W$6:$W$174, "&lt;"&amp;WS1)</f>
        <v>0</v>
      </c>
      <c r="WS11" s="125">
        <f>SUMIFS('Expenditure Breakdown'!$Q$6:$Q$174, 'Expenditure Breakdown'!$W$6:$W$174, "&gt;="&amp;WS1,'Expenditure Breakdown'!$W$6:$W$174, "&lt;"&amp;WT1)</f>
        <v>0</v>
      </c>
      <c r="WT11" s="125">
        <f>SUMIFS('Expenditure Breakdown'!$Q$6:$Q$174, 'Expenditure Breakdown'!$W$6:$W$174, "&gt;="&amp;WT1,'Expenditure Breakdown'!$W$6:$W$174, "&lt;"&amp;WU1)</f>
        <v>0</v>
      </c>
      <c r="WU11" s="125">
        <f>SUMIFS('Expenditure Breakdown'!$Q$6:$Q$174, 'Expenditure Breakdown'!$W$6:$W$174, "&gt;="&amp;WU1,'Expenditure Breakdown'!$W$6:$W$174, "&lt;"&amp;WV1)</f>
        <v>0</v>
      </c>
      <c r="WV11" s="125">
        <f>SUMIFS('Expenditure Breakdown'!$Q$6:$Q$174, 'Expenditure Breakdown'!$W$6:$W$174, "&gt;="&amp;WV1,'Expenditure Breakdown'!$W$6:$W$174, "&lt;"&amp;WW1)</f>
        <v>0</v>
      </c>
      <c r="WW11" s="125">
        <f>SUMIFS('Expenditure Breakdown'!$Q$6:$Q$174, 'Expenditure Breakdown'!$W$6:$W$174, "&gt;="&amp;WW1,'Expenditure Breakdown'!$W$6:$W$174, "&lt;"&amp;WX1)</f>
        <v>0</v>
      </c>
      <c r="WX11" s="125">
        <f>SUMIFS('Expenditure Breakdown'!$Q$6:$Q$174, 'Expenditure Breakdown'!$W$6:$W$174, "&gt;="&amp;WX1,'Expenditure Breakdown'!$W$6:$W$174, "&lt;"&amp;WY1)</f>
        <v>0</v>
      </c>
      <c r="WY11" s="125">
        <f>SUMIFS('Expenditure Breakdown'!$Q$6:$Q$174, 'Expenditure Breakdown'!$W$6:$W$174, "&gt;="&amp;WY1,'Expenditure Breakdown'!$W$6:$W$174, "&lt;"&amp;WZ1)</f>
        <v>0</v>
      </c>
      <c r="WZ11" s="125">
        <f>SUMIFS('Expenditure Breakdown'!$Q$6:$Q$174, 'Expenditure Breakdown'!$W$6:$W$174, "&gt;="&amp;WZ1,'Expenditure Breakdown'!$W$6:$W$174, "&lt;"&amp;XA1)</f>
        <v>0</v>
      </c>
      <c r="XA11" s="125">
        <f>SUMIFS('Expenditure Breakdown'!$Q$6:$Q$174, 'Expenditure Breakdown'!$W$6:$W$174, "&gt;="&amp;XA1,'Expenditure Breakdown'!$W$6:$W$174, "&lt;"&amp;XB1)</f>
        <v>0</v>
      </c>
      <c r="XB11" s="125">
        <f>SUMIFS('Expenditure Breakdown'!$Q$6:$Q$174, 'Expenditure Breakdown'!$W$6:$W$174, "&gt;="&amp;XB1,'Expenditure Breakdown'!$W$6:$W$174, "&lt;"&amp;XC1)</f>
        <v>0</v>
      </c>
      <c r="XC11" s="125">
        <f>SUMIFS('Expenditure Breakdown'!$Q$6:$Q$174, 'Expenditure Breakdown'!$W$6:$W$174, "&gt;="&amp;XC1,'Expenditure Breakdown'!$W$6:$W$174, "&lt;"&amp;XD1)</f>
        <v>0</v>
      </c>
      <c r="XD11" s="125">
        <f>SUMIFS('Expenditure Breakdown'!$Q$6:$Q$174, 'Expenditure Breakdown'!$W$6:$W$174, "&gt;="&amp;XD1,'Expenditure Breakdown'!$W$6:$W$174, "&lt;"&amp;XE1)</f>
        <v>0</v>
      </c>
      <c r="XE11" s="125">
        <f>SUMIFS('Expenditure Breakdown'!$Q$6:$Q$174, 'Expenditure Breakdown'!$W$6:$W$174, "&gt;="&amp;XE1,'Expenditure Breakdown'!$W$6:$W$174, "&lt;"&amp;XF1)</f>
        <v>0</v>
      </c>
      <c r="XF11" s="125">
        <f>SUMIFS('Expenditure Breakdown'!$Q$6:$Q$174, 'Expenditure Breakdown'!$W$6:$W$174, "&gt;="&amp;XF1,'Expenditure Breakdown'!$W$6:$W$174, "&lt;"&amp;XG1)</f>
        <v>0</v>
      </c>
      <c r="XG11" s="125">
        <f>SUMIFS('Expenditure Breakdown'!$Q$6:$Q$174, 'Expenditure Breakdown'!$W$6:$W$174, "&gt;="&amp;XG1,'Expenditure Breakdown'!$W$6:$W$174, "&lt;"&amp;XH1)</f>
        <v>0</v>
      </c>
      <c r="XH11" s="125">
        <f>SUMIFS('Expenditure Breakdown'!$Q$6:$Q$174, 'Expenditure Breakdown'!$W$6:$W$174, "&gt;="&amp;XH1,'Expenditure Breakdown'!$W$6:$W$174, "&lt;"&amp;XI1)</f>
        <v>0</v>
      </c>
      <c r="XI11" s="125">
        <f>SUMIFS('Expenditure Breakdown'!$Q$6:$Q$174, 'Expenditure Breakdown'!$W$6:$W$174, "&gt;="&amp;XI1,'Expenditure Breakdown'!$W$6:$W$174, "&lt;"&amp;XJ1)</f>
        <v>0</v>
      </c>
      <c r="XJ11" s="125">
        <f>SUMIFS('Expenditure Breakdown'!$Q$6:$Q$174, 'Expenditure Breakdown'!$W$6:$W$174, "&gt;="&amp;XJ1,'Expenditure Breakdown'!$W$6:$W$174, "&lt;"&amp;XK1)</f>
        <v>0</v>
      </c>
      <c r="XK11" s="125">
        <f>SUMIFS('Expenditure Breakdown'!$Q$6:$Q$174, 'Expenditure Breakdown'!$W$6:$W$174, "&gt;="&amp;XK1,'Expenditure Breakdown'!$W$6:$W$174, "&lt;"&amp;XL1)</f>
        <v>0</v>
      </c>
      <c r="XL11" s="125">
        <f>SUMIFS('Expenditure Breakdown'!$Q$6:$Q$174, 'Expenditure Breakdown'!$W$6:$W$174, "&gt;="&amp;XL1,'Expenditure Breakdown'!$W$6:$W$174, "&lt;"&amp;XM1)</f>
        <v>0</v>
      </c>
      <c r="XM11" s="125">
        <f>SUMIFS('Expenditure Breakdown'!$Q$6:$Q$174, 'Expenditure Breakdown'!$W$6:$W$174, "&gt;="&amp;XM1,'Expenditure Breakdown'!$W$6:$W$174, "&lt;"&amp;XN1)</f>
        <v>0</v>
      </c>
      <c r="XN11" s="125">
        <f>SUMIFS('Expenditure Breakdown'!$Q$6:$Q$174, 'Expenditure Breakdown'!$W$6:$W$174, "&gt;="&amp;XN1,'Expenditure Breakdown'!$W$6:$W$174, "&lt;"&amp;XO1)</f>
        <v>0</v>
      </c>
      <c r="XO11" s="125">
        <f>SUMIFS('Expenditure Breakdown'!$Q$6:$Q$174, 'Expenditure Breakdown'!$W$6:$W$174, "&gt;="&amp;XO1,'Expenditure Breakdown'!$W$6:$W$174, "&lt;"&amp;XP1)</f>
        <v>0</v>
      </c>
      <c r="XP11" s="125">
        <f>SUMIFS('Expenditure Breakdown'!$Q$6:$Q$174, 'Expenditure Breakdown'!$W$6:$W$174, "&gt;="&amp;XP1,'Expenditure Breakdown'!$W$6:$W$174, "&lt;"&amp;XQ1)</f>
        <v>0</v>
      </c>
      <c r="XQ11" s="125">
        <f>SUMIFS('Expenditure Breakdown'!$Q$6:$Q$174, 'Expenditure Breakdown'!$W$6:$W$174, "&gt;="&amp;XQ1,'Expenditure Breakdown'!$W$6:$W$174, "&lt;"&amp;XR1)</f>
        <v>0</v>
      </c>
      <c r="XR11" s="125">
        <f>SUMIFS('Expenditure Breakdown'!$Q$6:$Q$174, 'Expenditure Breakdown'!$W$6:$W$174, "&gt;="&amp;XR1,'Expenditure Breakdown'!$W$6:$W$174, "&lt;"&amp;XS1)</f>
        <v>0</v>
      </c>
      <c r="XS11" s="125">
        <f>SUMIFS('Expenditure Breakdown'!$Q$6:$Q$174, 'Expenditure Breakdown'!$W$6:$W$174, "&gt;="&amp;XS1,'Expenditure Breakdown'!$W$6:$W$174, "&lt;"&amp;XT1)</f>
        <v>0</v>
      </c>
      <c r="XT11" s="125">
        <f>SUMIFS('Expenditure Breakdown'!$Q$6:$Q$174, 'Expenditure Breakdown'!$W$6:$W$174, "&gt;="&amp;XT1,'Expenditure Breakdown'!$W$6:$W$174, "&lt;"&amp;XU1)</f>
        <v>0</v>
      </c>
      <c r="XU11" s="125">
        <f>SUMIFS('Expenditure Breakdown'!$Q$6:$Q$174, 'Expenditure Breakdown'!$W$6:$W$174, "&gt;="&amp;XU1,'Expenditure Breakdown'!$W$6:$W$174, "&lt;"&amp;XV1)</f>
        <v>0</v>
      </c>
      <c r="XV11" s="125">
        <f>SUMIFS('Expenditure Breakdown'!$Q$6:$Q$174, 'Expenditure Breakdown'!$W$6:$W$174, "&gt;="&amp;XV1,'Expenditure Breakdown'!$W$6:$W$174, "&lt;"&amp;XW1)</f>
        <v>0</v>
      </c>
      <c r="XW11" s="125">
        <f>SUMIFS('Expenditure Breakdown'!$Q$6:$Q$174, 'Expenditure Breakdown'!$W$6:$W$174, "&gt;="&amp;XW1,'Expenditure Breakdown'!$W$6:$W$174, "&lt;"&amp;XX1)</f>
        <v>0</v>
      </c>
      <c r="XX11" s="125">
        <f>SUMIFS('Expenditure Breakdown'!$Q$6:$Q$174, 'Expenditure Breakdown'!$W$6:$W$174, "&gt;="&amp;XX1,'Expenditure Breakdown'!$W$6:$W$174, "&lt;"&amp;XY1)</f>
        <v>0</v>
      </c>
      <c r="XY11" s="125">
        <f>SUMIFS('Expenditure Breakdown'!$Q$6:$Q$174, 'Expenditure Breakdown'!$W$6:$W$174, "&gt;="&amp;XY1,'Expenditure Breakdown'!$W$6:$W$174, "&lt;"&amp;XZ1)</f>
        <v>0</v>
      </c>
      <c r="XZ11" s="125">
        <f>SUMIFS('Expenditure Breakdown'!$Q$6:$Q$174, 'Expenditure Breakdown'!$W$6:$W$174, "&gt;="&amp;XZ1,'Expenditure Breakdown'!$W$6:$W$174, "&lt;"&amp;YA1)</f>
        <v>0</v>
      </c>
      <c r="YA11" s="125">
        <f>SUMIFS('Expenditure Breakdown'!$Q$6:$Q$174, 'Expenditure Breakdown'!$W$6:$W$174, "&gt;="&amp;YA1,'Expenditure Breakdown'!$W$6:$W$174, "&lt;"&amp;YB1)</f>
        <v>0</v>
      </c>
      <c r="YB11" s="125">
        <f>SUMIFS('Expenditure Breakdown'!$Q$6:$Q$174, 'Expenditure Breakdown'!$W$6:$W$174, "&gt;="&amp;YB1,'Expenditure Breakdown'!$W$6:$W$174, "&lt;"&amp;YC1)</f>
        <v>0</v>
      </c>
      <c r="YC11" s="125">
        <f>SUMIFS('Expenditure Breakdown'!$Q$6:$Q$174, 'Expenditure Breakdown'!$W$6:$W$174, "&gt;="&amp;YC1,'Expenditure Breakdown'!$W$6:$W$174, "&lt;"&amp;YD1)</f>
        <v>0</v>
      </c>
      <c r="YD11" s="125">
        <f>SUMIFS('Expenditure Breakdown'!$Q$6:$Q$174, 'Expenditure Breakdown'!$W$6:$W$174, "&gt;="&amp;YD1,'Expenditure Breakdown'!$W$6:$W$174, "&lt;"&amp;YE1)</f>
        <v>0</v>
      </c>
      <c r="YE11" s="125">
        <f>SUMIFS('Expenditure Breakdown'!$Q$6:$Q$174, 'Expenditure Breakdown'!$W$6:$W$174, "&gt;="&amp;YE1,'Expenditure Breakdown'!$W$6:$W$174, "&lt;"&amp;YF1)</f>
        <v>0</v>
      </c>
      <c r="YF11" s="125">
        <f>SUMIFS('Expenditure Breakdown'!$Q$6:$Q$174, 'Expenditure Breakdown'!$W$6:$W$174, "&gt;="&amp;YF1,'Expenditure Breakdown'!$W$6:$W$174, "&lt;"&amp;YG1)</f>
        <v>0</v>
      </c>
      <c r="YG11" s="125">
        <f>SUMIFS('Expenditure Breakdown'!$Q$6:$Q$174, 'Expenditure Breakdown'!$W$6:$W$174, "&gt;="&amp;YG1,'Expenditure Breakdown'!$W$6:$W$174, "&lt;"&amp;YH1)</f>
        <v>0</v>
      </c>
      <c r="YH11" s="125">
        <f>SUMIFS('Expenditure Breakdown'!$Q$6:$Q$174, 'Expenditure Breakdown'!$W$6:$W$174, "&gt;="&amp;YH1,'Expenditure Breakdown'!$W$6:$W$174, "&lt;"&amp;YI1)</f>
        <v>0</v>
      </c>
      <c r="YI11" s="125">
        <f>SUMIFS('Expenditure Breakdown'!$Q$6:$Q$174, 'Expenditure Breakdown'!$W$6:$W$174, "&gt;="&amp;YI1,'Expenditure Breakdown'!$W$6:$W$174, "&lt;"&amp;YJ1)</f>
        <v>0</v>
      </c>
      <c r="YJ11" s="125">
        <f>SUMIFS('Expenditure Breakdown'!$Q$6:$Q$174, 'Expenditure Breakdown'!$W$6:$W$174, "&gt;="&amp;YJ1,'Expenditure Breakdown'!$W$6:$W$174, "&lt;"&amp;YK1)</f>
        <v>0</v>
      </c>
      <c r="YK11" s="125">
        <f>SUMIFS('Expenditure Breakdown'!$Q$6:$Q$174, 'Expenditure Breakdown'!$W$6:$W$174, "&gt;="&amp;YK1,'Expenditure Breakdown'!$W$6:$W$174, "&lt;"&amp;YL1)</f>
        <v>0</v>
      </c>
      <c r="YL11" s="125">
        <f>SUMIFS('Expenditure Breakdown'!$Q$6:$Q$174, 'Expenditure Breakdown'!$W$6:$W$174, "&gt;="&amp;YL1,'Expenditure Breakdown'!$W$6:$W$174, "&lt;"&amp;YM1)</f>
        <v>0</v>
      </c>
      <c r="YM11" s="125">
        <f>SUMIFS('Expenditure Breakdown'!$Q$6:$Q$174, 'Expenditure Breakdown'!$W$6:$W$174, "&gt;="&amp;YM1,'Expenditure Breakdown'!$W$6:$W$174, "&lt;"&amp;YN1)</f>
        <v>0</v>
      </c>
      <c r="YN11" s="125">
        <f>SUMIFS('Expenditure Breakdown'!$Q$6:$Q$174, 'Expenditure Breakdown'!$W$6:$W$174, "&gt;="&amp;YN1,'Expenditure Breakdown'!$W$6:$W$174, "&lt;"&amp;YO1)</f>
        <v>0</v>
      </c>
      <c r="YO11" s="125">
        <f>SUMIFS('Expenditure Breakdown'!$Q$6:$Q$174, 'Expenditure Breakdown'!$W$6:$W$174, "&gt;="&amp;YO1,'Expenditure Breakdown'!$W$6:$W$174, "&lt;"&amp;YP1)</f>
        <v>0</v>
      </c>
      <c r="YP11" s="125">
        <f>SUMIFS('Expenditure Breakdown'!$Q$6:$Q$174, 'Expenditure Breakdown'!$W$6:$W$174, "&gt;="&amp;YP1,'Expenditure Breakdown'!$W$6:$W$174, "&lt;"&amp;YQ1)</f>
        <v>0</v>
      </c>
      <c r="YQ11" s="125">
        <f>SUMIFS('Expenditure Breakdown'!$Q$6:$Q$174, 'Expenditure Breakdown'!$W$6:$W$174, "&gt;="&amp;YQ1,'Expenditure Breakdown'!$W$6:$W$174, "&lt;"&amp;YR1)</f>
        <v>0</v>
      </c>
      <c r="YR11" s="125">
        <f>SUMIFS('Expenditure Breakdown'!$Q$6:$Q$174, 'Expenditure Breakdown'!$W$6:$W$174, "&gt;="&amp;YR1,'Expenditure Breakdown'!$W$6:$W$174, "&lt;"&amp;YS1)</f>
        <v>0</v>
      </c>
      <c r="YS11" s="125">
        <f>SUMIFS('Expenditure Breakdown'!$Q$6:$Q$174, 'Expenditure Breakdown'!$W$6:$W$174, "&gt;="&amp;YS1,'Expenditure Breakdown'!$W$6:$W$174, "&lt;"&amp;YT1)</f>
        <v>0</v>
      </c>
      <c r="YT11" s="125">
        <f>SUMIFS('Expenditure Breakdown'!$Q$6:$Q$174, 'Expenditure Breakdown'!$W$6:$W$174, "&gt;="&amp;YT1,'Expenditure Breakdown'!$W$6:$W$174, "&lt;"&amp;YU1)</f>
        <v>0</v>
      </c>
      <c r="YU11" s="125">
        <f>SUMIFS('Expenditure Breakdown'!$Q$6:$Q$174, 'Expenditure Breakdown'!$W$6:$W$174, "&gt;="&amp;YU1,'Expenditure Breakdown'!$W$6:$W$174, "&lt;"&amp;YV1)</f>
        <v>0</v>
      </c>
      <c r="YV11" s="125">
        <f>SUMIFS('Expenditure Breakdown'!$Q$6:$Q$174, 'Expenditure Breakdown'!$W$6:$W$174, "&gt;="&amp;YV1,'Expenditure Breakdown'!$W$6:$W$174, "&lt;"&amp;YW1)</f>
        <v>0</v>
      </c>
      <c r="YW11" s="125">
        <f>SUMIFS('Expenditure Breakdown'!$Q$6:$Q$174, 'Expenditure Breakdown'!$W$6:$W$174, "&gt;="&amp;YW1,'Expenditure Breakdown'!$W$6:$W$174, "&lt;"&amp;YX1)</f>
        <v>0</v>
      </c>
      <c r="YX11" s="125">
        <f>SUMIFS('Expenditure Breakdown'!$Q$6:$Q$174, 'Expenditure Breakdown'!$W$6:$W$174, "&gt;="&amp;YX1,'Expenditure Breakdown'!$W$6:$W$174, "&lt;"&amp;YY1)</f>
        <v>0</v>
      </c>
      <c r="YY11" s="125">
        <f>SUMIFS('Expenditure Breakdown'!$Q$6:$Q$174, 'Expenditure Breakdown'!$W$6:$W$174, "&gt;="&amp;YY1,'Expenditure Breakdown'!$W$6:$W$174, "&lt;"&amp;YZ1)</f>
        <v>0</v>
      </c>
      <c r="YZ11" s="125">
        <f>SUMIFS('Expenditure Breakdown'!$Q$6:$Q$174, 'Expenditure Breakdown'!$W$6:$W$174, "&gt;="&amp;YZ1,'Expenditure Breakdown'!$W$6:$W$174, "&lt;"&amp;ZA1)</f>
        <v>0</v>
      </c>
      <c r="ZA11" s="125">
        <f>SUMIFS('Expenditure Breakdown'!$Q$6:$Q$174, 'Expenditure Breakdown'!$W$6:$W$174, "&gt;="&amp;ZA1,'Expenditure Breakdown'!$W$6:$W$174, "&lt;"&amp;ZB1)</f>
        <v>0</v>
      </c>
      <c r="ZB11" s="125">
        <f>SUMIFS('Expenditure Breakdown'!$Q$6:$Q$174, 'Expenditure Breakdown'!$W$6:$W$174, "&gt;="&amp;ZB1,'Expenditure Breakdown'!$W$6:$W$174, "&lt;"&amp;ZC1)</f>
        <v>0</v>
      </c>
      <c r="ZC11" s="125">
        <f>SUMIFS('Expenditure Breakdown'!$Q$6:$Q$174, 'Expenditure Breakdown'!$W$6:$W$174, "&gt;="&amp;ZC1,'Expenditure Breakdown'!$W$6:$W$174, "&lt;"&amp;ZD1)</f>
        <v>0</v>
      </c>
      <c r="ZD11" s="125">
        <f>SUMIFS('Expenditure Breakdown'!$Q$6:$Q$174, 'Expenditure Breakdown'!$W$6:$W$174, "&gt;="&amp;ZD1,'Expenditure Breakdown'!$W$6:$W$174, "&lt;"&amp;ZE1)</f>
        <v>0</v>
      </c>
      <c r="ZE11" s="125">
        <f>SUMIFS('Expenditure Breakdown'!$Q$6:$Q$174, 'Expenditure Breakdown'!$W$6:$W$174, "&gt;="&amp;ZE1,'Expenditure Breakdown'!$W$6:$W$174, "&lt;"&amp;ZF1)</f>
        <v>0</v>
      </c>
      <c r="ZF11" s="125">
        <f>SUMIFS('Expenditure Breakdown'!$Q$6:$Q$174, 'Expenditure Breakdown'!$W$6:$W$174, "&gt;="&amp;ZF1,'Expenditure Breakdown'!$W$6:$W$174, "&lt;"&amp;ZG1)</f>
        <v>0</v>
      </c>
      <c r="ZG11" s="125">
        <f>SUMIFS('Expenditure Breakdown'!$Q$6:$Q$174, 'Expenditure Breakdown'!$W$6:$W$174, "&gt;="&amp;ZG1,'Expenditure Breakdown'!$W$6:$W$174, "&lt;"&amp;ZH1)</f>
        <v>0</v>
      </c>
      <c r="ZH11" s="125">
        <f>SUMIFS('Expenditure Breakdown'!$Q$6:$Q$174, 'Expenditure Breakdown'!$W$6:$W$174, "&gt;="&amp;ZH1,'Expenditure Breakdown'!$W$6:$W$174, "&lt;"&amp;ZI1)</f>
        <v>0</v>
      </c>
      <c r="ZI11" s="125">
        <f>SUMIFS('Expenditure Breakdown'!$Q$6:$Q$174, 'Expenditure Breakdown'!$W$6:$W$174, "&gt;="&amp;ZI1,'Expenditure Breakdown'!$W$6:$W$174, "&lt;"&amp;ZJ1)</f>
        <v>0</v>
      </c>
      <c r="ZJ11" s="125">
        <f>SUMIFS('Expenditure Breakdown'!$Q$6:$Q$174, 'Expenditure Breakdown'!$W$6:$W$174, "&gt;="&amp;ZJ1,'Expenditure Breakdown'!$W$6:$W$174, "&lt;"&amp;ZK1)</f>
        <v>0</v>
      </c>
      <c r="ZK11" s="125">
        <f>SUMIFS('Expenditure Breakdown'!$Q$6:$Q$174, 'Expenditure Breakdown'!$W$6:$W$174, "&gt;="&amp;ZK1,'Expenditure Breakdown'!$W$6:$W$174, "&lt;"&amp;ZL1)</f>
        <v>0</v>
      </c>
      <c r="ZL11" s="125">
        <f>SUMIFS('Expenditure Breakdown'!$Q$6:$Q$174, 'Expenditure Breakdown'!$W$6:$W$174, "&gt;="&amp;ZL1,'Expenditure Breakdown'!$W$6:$W$174, "&lt;"&amp;ZM1)</f>
        <v>0</v>
      </c>
      <c r="ZM11" s="125">
        <f>SUMIFS('Expenditure Breakdown'!$Q$6:$Q$174, 'Expenditure Breakdown'!$W$6:$W$174, "&gt;="&amp;ZM1,'Expenditure Breakdown'!$W$6:$W$174, "&lt;"&amp;ZN1)</f>
        <v>0</v>
      </c>
      <c r="ZN11" s="125">
        <f>SUMIFS('Expenditure Breakdown'!$Q$6:$Q$174, 'Expenditure Breakdown'!$W$6:$W$174, "&gt;="&amp;ZN1,'Expenditure Breakdown'!$W$6:$W$174, "&lt;"&amp;ZO1)</f>
        <v>0</v>
      </c>
      <c r="ZO11" s="125">
        <f>SUMIFS('Expenditure Breakdown'!$Q$6:$Q$174, 'Expenditure Breakdown'!$W$6:$W$174, "&gt;="&amp;ZO1,'Expenditure Breakdown'!$W$6:$W$174, "&lt;"&amp;ZP1)</f>
        <v>0</v>
      </c>
      <c r="ZP11" s="125">
        <f>SUMIFS('Expenditure Breakdown'!$Q$6:$Q$174, 'Expenditure Breakdown'!$W$6:$W$174, "&gt;="&amp;ZP1,'Expenditure Breakdown'!$W$6:$W$174, "&lt;"&amp;ZQ1)</f>
        <v>0</v>
      </c>
      <c r="ZQ11" s="125">
        <f>SUMIFS('Expenditure Breakdown'!$Q$6:$Q$174, 'Expenditure Breakdown'!$W$6:$W$174, "&gt;="&amp;ZQ1,'Expenditure Breakdown'!$W$6:$W$174, "&lt;"&amp;ZR1)</f>
        <v>0</v>
      </c>
      <c r="ZR11" s="125">
        <f>SUMIFS('Expenditure Breakdown'!$Q$6:$Q$174, 'Expenditure Breakdown'!$W$6:$W$174, "&gt;="&amp;ZR1,'Expenditure Breakdown'!$W$6:$W$174, "&lt;"&amp;ZS1)</f>
        <v>0</v>
      </c>
      <c r="ZS11" s="125">
        <f>SUMIFS('Expenditure Breakdown'!$Q$6:$Q$174, 'Expenditure Breakdown'!$W$6:$W$174, "&gt;="&amp;ZS1,'Expenditure Breakdown'!$W$6:$W$174, "&lt;"&amp;ZT1)</f>
        <v>0</v>
      </c>
      <c r="ZT11" s="125">
        <f>SUMIFS('Expenditure Breakdown'!$Q$6:$Q$174, 'Expenditure Breakdown'!$W$6:$W$174, "&gt;="&amp;ZT1,'Expenditure Breakdown'!$W$6:$W$174, "&lt;"&amp;ZU1)</f>
        <v>0</v>
      </c>
      <c r="ZU11" s="125">
        <f>SUMIFS('Expenditure Breakdown'!$Q$6:$Q$174, 'Expenditure Breakdown'!$W$6:$W$174, "&gt;="&amp;ZU1,'Expenditure Breakdown'!$W$6:$W$174, "&lt;"&amp;ZV1)</f>
        <v>0</v>
      </c>
      <c r="ZV11" s="125">
        <f>SUMIFS('Expenditure Breakdown'!$Q$6:$Q$174, 'Expenditure Breakdown'!$W$6:$W$174, "&gt;="&amp;ZV1,'Expenditure Breakdown'!$W$6:$W$174, "&lt;"&amp;ZW1)</f>
        <v>0</v>
      </c>
      <c r="ZW11" s="125">
        <f>SUMIFS('Expenditure Breakdown'!$Q$6:$Q$174, 'Expenditure Breakdown'!$W$6:$W$174, "&gt;="&amp;ZW1,'Expenditure Breakdown'!$W$6:$W$174, "&lt;"&amp;ZX1)</f>
        <v>0</v>
      </c>
      <c r="ZX11" s="125">
        <f>SUMIFS('Expenditure Breakdown'!$Q$6:$Q$174, 'Expenditure Breakdown'!$W$6:$W$174, "&gt;="&amp;ZX1,'Expenditure Breakdown'!$W$6:$W$174, "&lt;"&amp;ZY1)</f>
        <v>0</v>
      </c>
      <c r="ZY11" s="125">
        <f>SUMIFS('Expenditure Breakdown'!$Q$6:$Q$174, 'Expenditure Breakdown'!$W$6:$W$174, "&gt;="&amp;ZY1,'Expenditure Breakdown'!$W$6:$W$174, "&lt;"&amp;ZZ1)</f>
        <v>0</v>
      </c>
      <c r="ZZ11" s="125">
        <f>SUMIFS('Expenditure Breakdown'!$Q$6:$Q$174, 'Expenditure Breakdown'!$W$6:$W$174, "&gt;="&amp;ZZ1,'Expenditure Breakdown'!$W$6:$W$174, "&lt;"&amp;AAA1)</f>
        <v>0</v>
      </c>
      <c r="AAA11" s="125">
        <f>SUMIFS('Expenditure Breakdown'!$Q$6:$Q$174, 'Expenditure Breakdown'!$W$6:$W$174, "&gt;="&amp;AAA1,'Expenditure Breakdown'!$W$6:$W$174, "&lt;"&amp;AAB1)</f>
        <v>0</v>
      </c>
      <c r="AAB11" s="125">
        <f>SUMIFS('Expenditure Breakdown'!$Q$6:$Q$174, 'Expenditure Breakdown'!$W$6:$W$174, "&gt;="&amp;AAB1,'Expenditure Breakdown'!$W$6:$W$174, "&lt;"&amp;AAC1)</f>
        <v>0</v>
      </c>
      <c r="AAC11" s="125">
        <f>SUMIFS('Expenditure Breakdown'!$Q$6:$Q$174, 'Expenditure Breakdown'!$W$6:$W$174, "&gt;="&amp;AAC1,'Expenditure Breakdown'!$W$6:$W$174, "&lt;"&amp;AAD1)</f>
        <v>0</v>
      </c>
      <c r="AAD11" s="125">
        <f>SUMIFS('Expenditure Breakdown'!$Q$6:$Q$174, 'Expenditure Breakdown'!$W$6:$W$174, "&gt;="&amp;AAD1,'Expenditure Breakdown'!$W$6:$W$174, "&lt;"&amp;AAE1)</f>
        <v>0</v>
      </c>
      <c r="AAE11" s="125">
        <f>SUMIFS('Expenditure Breakdown'!$Q$6:$Q$174, 'Expenditure Breakdown'!$W$6:$W$174, "&gt;="&amp;AAE1,'Expenditure Breakdown'!$W$6:$W$174, "&lt;"&amp;AAF1)</f>
        <v>0</v>
      </c>
      <c r="AAF11" s="125">
        <f>SUMIFS('Expenditure Breakdown'!$Q$6:$Q$174, 'Expenditure Breakdown'!$W$6:$W$174, "&gt;="&amp;AAF1,'Expenditure Breakdown'!$W$6:$W$174, "&lt;"&amp;AAG1)</f>
        <v>0</v>
      </c>
      <c r="AAG11" s="125">
        <f>SUMIFS('Expenditure Breakdown'!$Q$6:$Q$174, 'Expenditure Breakdown'!$W$6:$W$174, "&gt;="&amp;AAG1,'Expenditure Breakdown'!$W$6:$W$174, "&lt;"&amp;AAH1)</f>
        <v>0</v>
      </c>
      <c r="AAH11" s="125">
        <f>SUMIFS('Expenditure Breakdown'!$Q$6:$Q$174, 'Expenditure Breakdown'!$W$6:$W$174, "&gt;="&amp;AAH1,'Expenditure Breakdown'!$W$6:$W$174, "&lt;"&amp;AAI1)</f>
        <v>0</v>
      </c>
      <c r="AAI11" s="125">
        <f>SUMIFS('Expenditure Breakdown'!$Q$6:$Q$174, 'Expenditure Breakdown'!$W$6:$W$174, "&gt;="&amp;AAI1,'Expenditure Breakdown'!$W$6:$W$174, "&lt;"&amp;AAJ1)</f>
        <v>0</v>
      </c>
      <c r="AAJ11" s="125">
        <f>SUMIFS('Expenditure Breakdown'!$Q$6:$Q$174, 'Expenditure Breakdown'!$W$6:$W$174, "&gt;="&amp;AAJ1,'Expenditure Breakdown'!$W$6:$W$174, "&lt;"&amp;AAK1)</f>
        <v>0</v>
      </c>
      <c r="AAK11" s="125">
        <f>SUMIFS('Expenditure Breakdown'!$Q$6:$Q$174, 'Expenditure Breakdown'!$W$6:$W$174, "&gt;="&amp;AAK1,'Expenditure Breakdown'!$W$6:$W$174, "&lt;"&amp;AAL1)</f>
        <v>0</v>
      </c>
      <c r="AAL11" s="125">
        <f>SUMIFS('Expenditure Breakdown'!$Q$6:$Q$174, 'Expenditure Breakdown'!$W$6:$W$174, "&gt;="&amp;AAL1,'Expenditure Breakdown'!$W$6:$W$174, "&lt;"&amp;AAM1)</f>
        <v>0</v>
      </c>
      <c r="AAM11" s="125">
        <f>SUMIFS('Expenditure Breakdown'!$Q$6:$Q$174, 'Expenditure Breakdown'!$W$6:$W$174, "&gt;="&amp;AAM1,'Expenditure Breakdown'!$W$6:$W$174, "&lt;"&amp;AAN1)</f>
        <v>0</v>
      </c>
      <c r="AAN11" s="125">
        <f>SUMIFS('Expenditure Breakdown'!$Q$6:$Q$174, 'Expenditure Breakdown'!$W$6:$W$174, "&gt;="&amp;AAN1,'Expenditure Breakdown'!$W$6:$W$174, "&lt;"&amp;AAO1)</f>
        <v>0</v>
      </c>
      <c r="AAO11" s="125">
        <f>SUMIFS('Expenditure Breakdown'!$Q$6:$Q$174, 'Expenditure Breakdown'!$W$6:$W$174, "&gt;="&amp;AAO1,'Expenditure Breakdown'!$W$6:$W$174, "&lt;"&amp;AAP1)</f>
        <v>0</v>
      </c>
      <c r="AAP11" s="125">
        <f>SUMIFS('Expenditure Breakdown'!$Q$6:$Q$174, 'Expenditure Breakdown'!$W$6:$W$174, "&gt;="&amp;AAP1,'Expenditure Breakdown'!$W$6:$W$174, "&lt;"&amp;AAQ1)</f>
        <v>0</v>
      </c>
      <c r="AAQ11" s="125">
        <f>SUMIFS('Expenditure Breakdown'!$Q$6:$Q$174, 'Expenditure Breakdown'!$W$6:$W$174, "&gt;="&amp;AAQ1,'Expenditure Breakdown'!$W$6:$W$174, "&lt;"&amp;AAR1)</f>
        <v>0</v>
      </c>
      <c r="AAR11" s="125">
        <f>SUMIFS('Expenditure Breakdown'!$Q$6:$Q$174, 'Expenditure Breakdown'!$W$6:$W$174, "&gt;="&amp;AAR1,'Expenditure Breakdown'!$W$6:$W$174, "&lt;"&amp;AAS1)</f>
        <v>0</v>
      </c>
      <c r="AAS11" s="125">
        <f>SUMIFS('Expenditure Breakdown'!$Q$6:$Q$174, 'Expenditure Breakdown'!$W$6:$W$174, "&gt;="&amp;AAS1,'Expenditure Breakdown'!$W$6:$W$174, "&lt;"&amp;AAT1)</f>
        <v>0</v>
      </c>
      <c r="AAT11" s="125">
        <f>SUMIFS('Expenditure Breakdown'!$Q$6:$Q$174, 'Expenditure Breakdown'!$W$6:$W$174, "&gt;="&amp;AAT1,'Expenditure Breakdown'!$W$6:$W$174, "&lt;"&amp;AAU1)</f>
        <v>0</v>
      </c>
      <c r="AAU11" s="125">
        <f>SUMIFS('Expenditure Breakdown'!$Q$6:$Q$174, 'Expenditure Breakdown'!$W$6:$W$174, "&gt;="&amp;AAU1,'Expenditure Breakdown'!$W$6:$W$174, "&lt;"&amp;AAV1)</f>
        <v>0</v>
      </c>
      <c r="AAV11" s="125">
        <f>SUMIFS('Expenditure Breakdown'!$Q$6:$Q$174, 'Expenditure Breakdown'!$W$6:$W$174, "&gt;="&amp;AAV1,'Expenditure Breakdown'!$W$6:$W$174, "&lt;"&amp;AAW1)</f>
        <v>0</v>
      </c>
      <c r="AAW11" s="125">
        <f>SUMIFS('Expenditure Breakdown'!$Q$6:$Q$174, 'Expenditure Breakdown'!$W$6:$W$174, "&gt;="&amp;AAW1,'Expenditure Breakdown'!$W$6:$W$174, "&lt;"&amp;AAX1)</f>
        <v>0</v>
      </c>
      <c r="AAX11" s="125">
        <f>SUMIFS('Expenditure Breakdown'!$Q$6:$Q$174, 'Expenditure Breakdown'!$W$6:$W$174, "&gt;="&amp;AAX1,'Expenditure Breakdown'!$W$6:$W$174, "&lt;"&amp;AAY1)</f>
        <v>0</v>
      </c>
      <c r="AAY11" s="125">
        <f>SUMIFS('Expenditure Breakdown'!$Q$6:$Q$174, 'Expenditure Breakdown'!$W$6:$W$174, "&gt;="&amp;AAY1,'Expenditure Breakdown'!$W$6:$W$174, "&lt;"&amp;AAZ1)</f>
        <v>0</v>
      </c>
      <c r="AAZ11" s="125">
        <f>SUMIFS('Expenditure Breakdown'!$Q$6:$Q$174, 'Expenditure Breakdown'!$W$6:$W$174, "&gt;="&amp;AAZ1,'Expenditure Breakdown'!$W$6:$W$174, "&lt;"&amp;ABA1)</f>
        <v>0</v>
      </c>
      <c r="ABA11" s="125">
        <f>SUMIFS('Expenditure Breakdown'!$Q$6:$Q$174, 'Expenditure Breakdown'!$W$6:$W$174, "&gt;="&amp;ABA1,'Expenditure Breakdown'!$W$6:$W$174, "&lt;"&amp;ABB1)</f>
        <v>0</v>
      </c>
      <c r="ABB11" s="125">
        <f>SUMIFS('Expenditure Breakdown'!$Q$6:$Q$174, 'Expenditure Breakdown'!$W$6:$W$174, "&gt;="&amp;ABB1,'Expenditure Breakdown'!$W$6:$W$174, "&lt;"&amp;ABC1)</f>
        <v>0</v>
      </c>
      <c r="ABC11" s="125">
        <f>SUMIFS('Expenditure Breakdown'!$Q$6:$Q$174, 'Expenditure Breakdown'!$W$6:$W$174, "&gt;="&amp;ABC1,'Expenditure Breakdown'!$W$6:$W$174, "&lt;"&amp;ABD1)</f>
        <v>0</v>
      </c>
      <c r="ABD11" s="125">
        <f>SUMIFS('Expenditure Breakdown'!$Q$6:$Q$174, 'Expenditure Breakdown'!$W$6:$W$174, "&gt;="&amp;ABD1,'Expenditure Breakdown'!$W$6:$W$174, "&lt;"&amp;ABE1)</f>
        <v>0</v>
      </c>
      <c r="ABE11" s="125">
        <f>SUMIFS('Expenditure Breakdown'!$Q$6:$Q$174, 'Expenditure Breakdown'!$W$6:$W$174, "&gt;="&amp;ABE1,'Expenditure Breakdown'!$W$6:$W$174, "&lt;"&amp;ABF1)</f>
        <v>0</v>
      </c>
      <c r="ABF11" s="125">
        <f>SUMIFS('Expenditure Breakdown'!$Q$6:$Q$174, 'Expenditure Breakdown'!$W$6:$W$174, "&gt;="&amp;ABF1,'Expenditure Breakdown'!$W$6:$W$174, "&lt;"&amp;ABG1)</f>
        <v>0</v>
      </c>
      <c r="ABG11" s="125">
        <f>SUMIFS('Expenditure Breakdown'!$Q$6:$Q$174, 'Expenditure Breakdown'!$W$6:$W$174, "&gt;="&amp;ABG1,'Expenditure Breakdown'!$W$6:$W$174, "&lt;"&amp;ABH1)</f>
        <v>0</v>
      </c>
      <c r="ABH11" s="125">
        <f>SUMIFS('Expenditure Breakdown'!$Q$6:$Q$174, 'Expenditure Breakdown'!$W$6:$W$174, "&gt;="&amp;ABH1,'Expenditure Breakdown'!$W$6:$W$174, "&lt;"&amp;ABI1)</f>
        <v>0</v>
      </c>
      <c r="ABI11" s="125">
        <f>SUMIFS('Expenditure Breakdown'!$Q$6:$Q$174, 'Expenditure Breakdown'!$W$6:$W$174, "&gt;="&amp;ABI1,'Expenditure Breakdown'!$W$6:$W$174, "&lt;"&amp;ABJ1)</f>
        <v>0</v>
      </c>
      <c r="ABJ11" s="125">
        <f>SUMIFS('Expenditure Breakdown'!$Q$6:$Q$174, 'Expenditure Breakdown'!$W$6:$W$174, "&gt;="&amp;ABJ1,'Expenditure Breakdown'!$W$6:$W$174, "&lt;"&amp;ABK1)</f>
        <v>0</v>
      </c>
      <c r="ABK11" s="125">
        <f>SUMIFS('Expenditure Breakdown'!$Q$6:$Q$174, 'Expenditure Breakdown'!$W$6:$W$174, "&gt;="&amp;ABK1,'Expenditure Breakdown'!$W$6:$W$174, "&lt;"&amp;ABL1)</f>
        <v>0</v>
      </c>
      <c r="ABL11" s="125">
        <f>SUMIFS('Expenditure Breakdown'!$Q$6:$Q$174, 'Expenditure Breakdown'!$W$6:$W$174, "&gt;="&amp;ABL1,'Expenditure Breakdown'!$W$6:$W$174, "&lt;"&amp;ABM1)</f>
        <v>0</v>
      </c>
      <c r="ABM11" s="125">
        <f>SUMIFS('Expenditure Breakdown'!$Q$6:$Q$174, 'Expenditure Breakdown'!$W$6:$W$174, "&gt;="&amp;ABM1,'Expenditure Breakdown'!$W$6:$W$174, "&lt;"&amp;ABN1)</f>
        <v>0</v>
      </c>
      <c r="ABN11" s="125">
        <f>SUMIFS('Expenditure Breakdown'!$Q$6:$Q$174, 'Expenditure Breakdown'!$W$6:$W$174, "&gt;="&amp;ABN1,'Expenditure Breakdown'!$W$6:$W$174, "&lt;"&amp;ABO1)</f>
        <v>0</v>
      </c>
      <c r="ABO11" s="125">
        <f>SUMIFS('Expenditure Breakdown'!$Q$6:$Q$174, 'Expenditure Breakdown'!$W$6:$W$174, "&gt;="&amp;ABO1,'Expenditure Breakdown'!$W$6:$W$174, "&lt;"&amp;ABP1)</f>
        <v>0</v>
      </c>
      <c r="ABP11" s="125">
        <f>SUMIFS('Expenditure Breakdown'!$Q$6:$Q$174, 'Expenditure Breakdown'!$W$6:$W$174, "&gt;="&amp;ABP1,'Expenditure Breakdown'!$W$6:$W$174, "&lt;"&amp;ABQ1)</f>
        <v>0</v>
      </c>
      <c r="ABQ11" s="125">
        <f>SUMIFS('Expenditure Breakdown'!$Q$6:$Q$174, 'Expenditure Breakdown'!$W$6:$W$174, "&gt;="&amp;ABQ1,'Expenditure Breakdown'!$W$6:$W$174, "&lt;"&amp;ABR1)</f>
        <v>0</v>
      </c>
      <c r="ABR11" s="125">
        <f>SUMIFS('Expenditure Breakdown'!$Q$6:$Q$174, 'Expenditure Breakdown'!$W$6:$W$174, "&gt;="&amp;ABR1,'Expenditure Breakdown'!$W$6:$W$174, "&lt;"&amp;ABS1)</f>
        <v>0</v>
      </c>
      <c r="ABS11" s="125">
        <f>SUMIFS('Expenditure Breakdown'!$Q$6:$Q$174, 'Expenditure Breakdown'!$W$6:$W$174, "&gt;="&amp;ABS1,'Expenditure Breakdown'!$W$6:$W$174, "&lt;"&amp;ABT1)</f>
        <v>0</v>
      </c>
      <c r="ABT11" s="125">
        <f>SUMIFS('Expenditure Breakdown'!$Q$6:$Q$174, 'Expenditure Breakdown'!$W$6:$W$174, "&gt;="&amp;ABT1,'Expenditure Breakdown'!$W$6:$W$174, "&lt;"&amp;ABU1)</f>
        <v>0</v>
      </c>
      <c r="ABU11" s="125">
        <f>SUMIFS('Expenditure Breakdown'!$Q$6:$Q$174, 'Expenditure Breakdown'!$W$6:$W$174, "&gt;="&amp;ABU1,'Expenditure Breakdown'!$W$6:$W$174, "&lt;"&amp;ABV1)</f>
        <v>0</v>
      </c>
      <c r="ABV11" s="125">
        <f>SUMIFS('Expenditure Breakdown'!$Q$6:$Q$174, 'Expenditure Breakdown'!$W$6:$W$174, "&gt;="&amp;ABV1,'Expenditure Breakdown'!$W$6:$W$174, "&lt;"&amp;ABW1)</f>
        <v>0</v>
      </c>
      <c r="ABW11" s="125">
        <f>SUMIFS('Expenditure Breakdown'!$Q$6:$Q$174, 'Expenditure Breakdown'!$W$6:$W$174, "&gt;="&amp;ABW1,'Expenditure Breakdown'!$W$6:$W$174, "&lt;"&amp;ABX1)</f>
        <v>0</v>
      </c>
      <c r="ABX11" s="125">
        <f>SUMIFS('Expenditure Breakdown'!$Q$6:$Q$174, 'Expenditure Breakdown'!$W$6:$W$174, "&gt;="&amp;ABX1,'Expenditure Breakdown'!$W$6:$W$174, "&lt;"&amp;ABY1)</f>
        <v>0</v>
      </c>
      <c r="ABY11" s="125">
        <f>SUMIFS('Expenditure Breakdown'!$Q$6:$Q$174, 'Expenditure Breakdown'!$W$6:$W$174, "&gt;="&amp;ABY1,'Expenditure Breakdown'!$W$6:$W$174, "&lt;"&amp;ABZ1)</f>
        <v>0</v>
      </c>
      <c r="ABZ11" s="125">
        <f>SUMIFS('Expenditure Breakdown'!$Q$6:$Q$174, 'Expenditure Breakdown'!$W$6:$W$174, "&gt;="&amp;ABZ1,'Expenditure Breakdown'!$W$6:$W$174, "&lt;"&amp;ACA1)</f>
        <v>0</v>
      </c>
      <c r="ACA11" s="125">
        <f>SUMIFS('Expenditure Breakdown'!$Q$6:$Q$174, 'Expenditure Breakdown'!$W$6:$W$174, "&gt;="&amp;ACA1,'Expenditure Breakdown'!$W$6:$W$174, "&lt;"&amp;ACB1)</f>
        <v>0</v>
      </c>
      <c r="ACB11" s="125">
        <f>SUMIFS('Expenditure Breakdown'!$Q$6:$Q$174, 'Expenditure Breakdown'!$W$6:$W$174, "&gt;="&amp;ACB1,'Expenditure Breakdown'!$W$6:$W$174, "&lt;"&amp;ACC1)</f>
        <v>0</v>
      </c>
      <c r="ACC11" s="125">
        <f>SUMIFS('Expenditure Breakdown'!$Q$6:$Q$174, 'Expenditure Breakdown'!$W$6:$W$174, "&gt;="&amp;ACC1,'Expenditure Breakdown'!$W$6:$W$174, "&lt;"&amp;ACD1)</f>
        <v>0</v>
      </c>
      <c r="ACD11" s="125">
        <f>SUMIFS('Expenditure Breakdown'!$Q$6:$Q$174, 'Expenditure Breakdown'!$W$6:$W$174, "&gt;="&amp;ACD1,'Expenditure Breakdown'!$W$6:$W$174, "&lt;"&amp;ACE1)</f>
        <v>0</v>
      </c>
      <c r="ACE11" s="125">
        <f>SUMIFS('Expenditure Breakdown'!$Q$6:$Q$174, 'Expenditure Breakdown'!$W$6:$W$174, "&gt;="&amp;ACE1,'Expenditure Breakdown'!$W$6:$W$174, "&lt;"&amp;ACF1)</f>
        <v>0</v>
      </c>
      <c r="ACF11" s="125">
        <f>SUMIFS('Expenditure Breakdown'!$Q$6:$Q$174, 'Expenditure Breakdown'!$W$6:$W$174, "&gt;="&amp;ACF1,'Expenditure Breakdown'!$W$6:$W$174, "&lt;"&amp;ACG1)</f>
        <v>0</v>
      </c>
      <c r="ACG11" s="125">
        <f>SUMIFS('Expenditure Breakdown'!$Q$6:$Q$174, 'Expenditure Breakdown'!$W$6:$W$174, "&gt;="&amp;ACG1,'Expenditure Breakdown'!$W$6:$W$174, "&lt;"&amp;ACH1)</f>
        <v>0</v>
      </c>
      <c r="ACH11" s="125">
        <f>SUMIFS('Expenditure Breakdown'!$Q$6:$Q$174, 'Expenditure Breakdown'!$W$6:$W$174, "&gt;="&amp;ACH1,'Expenditure Breakdown'!$W$6:$W$174, "&lt;"&amp;ACI1)</f>
        <v>0</v>
      </c>
      <c r="ACI11" s="125">
        <f>SUMIFS('Expenditure Breakdown'!$Q$6:$Q$174, 'Expenditure Breakdown'!$W$6:$W$174, "&gt;="&amp;ACI1,'Expenditure Breakdown'!$W$6:$W$174, "&lt;"&amp;ACJ1)</f>
        <v>0</v>
      </c>
      <c r="ACJ11" s="125">
        <f>SUMIFS('Expenditure Breakdown'!$Q$6:$Q$174, 'Expenditure Breakdown'!$W$6:$W$174, "&gt;="&amp;ACJ1,'Expenditure Breakdown'!$W$6:$W$174, "&lt;"&amp;ACK1)</f>
        <v>0</v>
      </c>
      <c r="ACK11" s="125">
        <f>SUMIFS('Expenditure Breakdown'!$Q$6:$Q$174, 'Expenditure Breakdown'!$W$6:$W$174, "&gt;="&amp;ACK1,'Expenditure Breakdown'!$W$6:$W$174, "&lt;"&amp;ACL1)</f>
        <v>0</v>
      </c>
      <c r="ACL11" s="125">
        <f>SUMIFS('Expenditure Breakdown'!$Q$6:$Q$174, 'Expenditure Breakdown'!$W$6:$W$174, "&gt;="&amp;ACL1,'Expenditure Breakdown'!$W$6:$W$174, "&lt;"&amp;ACM1)</f>
        <v>0</v>
      </c>
      <c r="ACM11" s="125">
        <f>SUMIFS('Expenditure Breakdown'!$Q$6:$Q$174, 'Expenditure Breakdown'!$W$6:$W$174, "&gt;="&amp;ACM1,'Expenditure Breakdown'!$W$6:$W$174, "&lt;"&amp;ACN1)</f>
        <v>0</v>
      </c>
      <c r="ACN11" s="125">
        <f>SUMIFS('Expenditure Breakdown'!$Q$6:$Q$174, 'Expenditure Breakdown'!$W$6:$W$174, "&gt;="&amp;ACN1,'Expenditure Breakdown'!$W$6:$W$174, "&lt;"&amp;ACO1)</f>
        <v>0</v>
      </c>
      <c r="ACO11" s="125">
        <f>SUMIFS('Expenditure Breakdown'!$Q$6:$Q$174, 'Expenditure Breakdown'!$W$6:$W$174, "&gt;="&amp;ACO1,'Expenditure Breakdown'!$W$6:$W$174, "&lt;"&amp;ACP1)</f>
        <v>0</v>
      </c>
      <c r="ACP11" s="125">
        <f>SUMIFS('Expenditure Breakdown'!$Q$6:$Q$174, 'Expenditure Breakdown'!$W$6:$W$174, "&gt;="&amp;ACP1,'Expenditure Breakdown'!$W$6:$W$174, "&lt;"&amp;ACQ1)</f>
        <v>0</v>
      </c>
      <c r="ACQ11" s="125">
        <f>SUMIFS('Expenditure Breakdown'!$Q$6:$Q$174, 'Expenditure Breakdown'!$W$6:$W$174, "&gt;="&amp;ACQ1,'Expenditure Breakdown'!$W$6:$W$174, "&lt;"&amp;ACR1)</f>
        <v>0</v>
      </c>
      <c r="ACR11" s="125">
        <f>SUMIFS('Expenditure Breakdown'!$Q$6:$Q$174, 'Expenditure Breakdown'!$W$6:$W$174, "&gt;="&amp;ACR1,'Expenditure Breakdown'!$W$6:$W$174, "&lt;"&amp;ACS1)</f>
        <v>0</v>
      </c>
      <c r="ACS11" s="125">
        <f>SUMIFS('Expenditure Breakdown'!$Q$6:$Q$174, 'Expenditure Breakdown'!$W$6:$W$174, "&gt;="&amp;ACS1,'Expenditure Breakdown'!$W$6:$W$174, "&lt;"&amp;ACT1)</f>
        <v>0</v>
      </c>
      <c r="ACT11" s="125">
        <f>SUMIFS('Expenditure Breakdown'!$Q$6:$Q$174, 'Expenditure Breakdown'!$W$6:$W$174, "&gt;="&amp;ACT1,'Expenditure Breakdown'!$W$6:$W$174, "&lt;"&amp;ACU1)</f>
        <v>0</v>
      </c>
      <c r="ACU11" s="125">
        <f>SUMIFS('Expenditure Breakdown'!$Q$6:$Q$174, 'Expenditure Breakdown'!$W$6:$W$174, "&gt;="&amp;ACU1,'Expenditure Breakdown'!$W$6:$W$174, "&lt;"&amp;ACV1)</f>
        <v>0</v>
      </c>
      <c r="ACV11" s="125">
        <f>SUMIFS('Expenditure Breakdown'!$Q$6:$Q$174, 'Expenditure Breakdown'!$W$6:$W$174, "&gt;="&amp;ACV1,'Expenditure Breakdown'!$W$6:$W$174, "&lt;"&amp;ACW1)</f>
        <v>0</v>
      </c>
      <c r="ACW11" s="125">
        <f>SUMIFS('Expenditure Breakdown'!$Q$6:$Q$174, 'Expenditure Breakdown'!$W$6:$W$174, "&gt;="&amp;ACW1,'Expenditure Breakdown'!$W$6:$W$174, "&lt;"&amp;ACX1)</f>
        <v>0</v>
      </c>
      <c r="ACX11" s="125">
        <f>SUMIFS('Expenditure Breakdown'!$Q$6:$Q$174, 'Expenditure Breakdown'!$W$6:$W$174, "&gt;="&amp;ACX1,'Expenditure Breakdown'!$W$6:$W$174, "&lt;"&amp;ACY1)</f>
        <v>0</v>
      </c>
      <c r="ACY11" s="125">
        <f>SUMIFS('Expenditure Breakdown'!$Q$6:$Q$174, 'Expenditure Breakdown'!$W$6:$W$174, "&gt;="&amp;ACY1,'Expenditure Breakdown'!$W$6:$W$174, "&lt;"&amp;ACZ1)</f>
        <v>0</v>
      </c>
      <c r="ACZ11" s="125">
        <f>SUMIFS('Expenditure Breakdown'!$Q$6:$Q$174, 'Expenditure Breakdown'!$W$6:$W$174, "&gt;="&amp;ACZ1,'Expenditure Breakdown'!$W$6:$W$174, "&lt;"&amp;ADA1)</f>
        <v>0</v>
      </c>
      <c r="ADA11" s="125">
        <f>SUMIFS('Expenditure Breakdown'!$Q$6:$Q$174, 'Expenditure Breakdown'!$W$6:$W$174, "&gt;="&amp;ADA1,'Expenditure Breakdown'!$W$6:$W$174, "&lt;"&amp;ADB1)</f>
        <v>0</v>
      </c>
      <c r="ADB11" s="125">
        <f>SUMIFS('Expenditure Breakdown'!$Q$6:$Q$174, 'Expenditure Breakdown'!$W$6:$W$174, "&gt;="&amp;ADB1,'Expenditure Breakdown'!$W$6:$W$174, "&lt;"&amp;ADC1)</f>
        <v>0</v>
      </c>
      <c r="ADC11" s="125">
        <f>SUMIFS('Expenditure Breakdown'!$Q$6:$Q$174, 'Expenditure Breakdown'!$W$6:$W$174, "&gt;="&amp;ADC1,'Expenditure Breakdown'!$W$6:$W$174, "&lt;"&amp;ADD1)</f>
        <v>0</v>
      </c>
      <c r="ADD11" s="125">
        <f>SUMIFS('Expenditure Breakdown'!$Q$6:$Q$174, 'Expenditure Breakdown'!$W$6:$W$174, "&gt;="&amp;ADD1,'Expenditure Breakdown'!$W$6:$W$174, "&lt;"&amp;ADE1)</f>
        <v>0</v>
      </c>
      <c r="ADE11" s="125">
        <f>SUMIFS('Expenditure Breakdown'!$Q$6:$Q$174, 'Expenditure Breakdown'!$W$6:$W$174, "&gt;="&amp;ADE1,'Expenditure Breakdown'!$W$6:$W$174, "&lt;"&amp;ADF1)</f>
        <v>0</v>
      </c>
      <c r="ADF11" s="125">
        <f>SUMIFS('Expenditure Breakdown'!$Q$6:$Q$174, 'Expenditure Breakdown'!$W$6:$W$174, "&gt;="&amp;ADF1,'Expenditure Breakdown'!$W$6:$W$174, "&lt;"&amp;ADG1)</f>
        <v>0</v>
      </c>
      <c r="ADG11" s="125">
        <f>SUMIFS('Expenditure Breakdown'!$Q$6:$Q$174, 'Expenditure Breakdown'!$W$6:$W$174, "&gt;="&amp;ADG1,'Expenditure Breakdown'!$W$6:$W$174, "&lt;"&amp;ADH1)</f>
        <v>0</v>
      </c>
      <c r="ADH11" s="125">
        <f>SUMIFS('Expenditure Breakdown'!$Q$6:$Q$174, 'Expenditure Breakdown'!$W$6:$W$174, "&gt;="&amp;ADH1,'Expenditure Breakdown'!$W$6:$W$174, "&lt;"&amp;ADI1)</f>
        <v>0</v>
      </c>
      <c r="ADI11" s="125">
        <f>SUMIFS('Expenditure Breakdown'!$Q$6:$Q$174, 'Expenditure Breakdown'!$W$6:$W$174, "&gt;="&amp;ADI1,'Expenditure Breakdown'!$W$6:$W$174, "&lt;"&amp;ADJ1)</f>
        <v>0</v>
      </c>
      <c r="ADJ11" s="125">
        <f>SUMIFS('Expenditure Breakdown'!$Q$6:$Q$174, 'Expenditure Breakdown'!$W$6:$W$174, "&gt;="&amp;ADJ1,'Expenditure Breakdown'!$W$6:$W$174, "&lt;"&amp;ADK1)</f>
        <v>0</v>
      </c>
      <c r="ADK11" s="125">
        <f>SUMIFS('Expenditure Breakdown'!$Q$6:$Q$174, 'Expenditure Breakdown'!$W$6:$W$174, "&gt;="&amp;ADK1,'Expenditure Breakdown'!$W$6:$W$174, "&lt;"&amp;ADL1)</f>
        <v>0</v>
      </c>
      <c r="ADL11" s="125">
        <f>SUMIFS('Expenditure Breakdown'!$Q$6:$Q$174, 'Expenditure Breakdown'!$W$6:$W$174, "&gt;="&amp;ADL1,'Expenditure Breakdown'!$W$6:$W$174, "&lt;"&amp;ADM1)</f>
        <v>0</v>
      </c>
      <c r="ADM11" s="125">
        <f>SUMIFS('Expenditure Breakdown'!$Q$6:$Q$174, 'Expenditure Breakdown'!$W$6:$W$174, "&gt;="&amp;ADM1,'Expenditure Breakdown'!$W$6:$W$174, "&lt;"&amp;ADN1)</f>
        <v>0</v>
      </c>
      <c r="ADN11" s="125">
        <f>SUMIFS('Expenditure Breakdown'!$Q$6:$Q$174, 'Expenditure Breakdown'!$W$6:$W$174, "&gt;="&amp;ADN1,'Expenditure Breakdown'!$W$6:$W$174, "&lt;"&amp;ADO1)</f>
        <v>0</v>
      </c>
      <c r="ADO11" s="125">
        <f>SUMIFS('Expenditure Breakdown'!$Q$6:$Q$174, 'Expenditure Breakdown'!$W$6:$W$174, "&gt;="&amp;ADO1,'Expenditure Breakdown'!$W$6:$W$174, "&lt;"&amp;ADP1)</f>
        <v>0</v>
      </c>
      <c r="ADP11" s="125">
        <f>SUMIFS('Expenditure Breakdown'!$Q$6:$Q$174, 'Expenditure Breakdown'!$W$6:$W$174, "&gt;="&amp;ADP1,'Expenditure Breakdown'!$W$6:$W$174, "&lt;"&amp;ADQ1)</f>
        <v>0</v>
      </c>
      <c r="ADQ11" s="125">
        <f>SUMIFS('Expenditure Breakdown'!$Q$6:$Q$174, 'Expenditure Breakdown'!$W$6:$W$174, "&gt;="&amp;ADQ1,'Expenditure Breakdown'!$W$6:$W$174, "&lt;"&amp;ADR1)</f>
        <v>0</v>
      </c>
      <c r="ADR11" s="125">
        <f>SUMIFS('Expenditure Breakdown'!$Q$6:$Q$174, 'Expenditure Breakdown'!$W$6:$W$174, "&gt;="&amp;ADR1,'Expenditure Breakdown'!$W$6:$W$174, "&lt;"&amp;ADS1)</f>
        <v>0</v>
      </c>
      <c r="ADS11" s="125">
        <f>SUMIFS('Expenditure Breakdown'!$Q$6:$Q$174, 'Expenditure Breakdown'!$W$6:$W$174, "&gt;="&amp;ADS1,'Expenditure Breakdown'!$W$6:$W$174, "&lt;"&amp;ADT1)</f>
        <v>0</v>
      </c>
      <c r="ADT11" s="125">
        <f>SUMIFS('Expenditure Breakdown'!$Q$6:$Q$174, 'Expenditure Breakdown'!$W$6:$W$174, "&gt;="&amp;ADT1,'Expenditure Breakdown'!$W$6:$W$174, "&lt;"&amp;ADU1)</f>
        <v>0</v>
      </c>
      <c r="ADU11" s="125">
        <f>SUMIFS('Expenditure Breakdown'!$Q$6:$Q$174, 'Expenditure Breakdown'!$W$6:$W$174, "&gt;="&amp;ADU1,'Expenditure Breakdown'!$W$6:$W$174, "&lt;"&amp;ADV1)</f>
        <v>0</v>
      </c>
      <c r="ADV11" s="125">
        <f>SUMIFS('Expenditure Breakdown'!$Q$6:$Q$174, 'Expenditure Breakdown'!$W$6:$W$174, "&gt;="&amp;ADV1,'Expenditure Breakdown'!$W$6:$W$174, "&lt;"&amp;ADW1)</f>
        <v>0</v>
      </c>
      <c r="ADW11" s="125">
        <f>SUMIFS('Expenditure Breakdown'!$Q$6:$Q$174, 'Expenditure Breakdown'!$W$6:$W$174, "&gt;="&amp;ADW1,'Expenditure Breakdown'!$W$6:$W$174, "&lt;"&amp;ADX1)</f>
        <v>0</v>
      </c>
      <c r="ADX11" s="125">
        <f>SUMIFS('Expenditure Breakdown'!$Q$6:$Q$174, 'Expenditure Breakdown'!$W$6:$W$174, "&gt;="&amp;ADX1,'Expenditure Breakdown'!$W$6:$W$174, "&lt;"&amp;ADY1)</f>
        <v>0</v>
      </c>
      <c r="ADY11" s="125">
        <f>SUMIFS('Expenditure Breakdown'!$Q$6:$Q$174, 'Expenditure Breakdown'!$W$6:$W$174, "&gt;="&amp;ADY1,'Expenditure Breakdown'!$W$6:$W$174, "&lt;"&amp;ADZ1)</f>
        <v>0</v>
      </c>
      <c r="ADZ11" s="125">
        <f>SUMIFS('Expenditure Breakdown'!$Q$6:$Q$174, 'Expenditure Breakdown'!$W$6:$W$174, "&gt;="&amp;ADZ1,'Expenditure Breakdown'!$W$6:$W$174, "&lt;"&amp;AEA1)</f>
        <v>0</v>
      </c>
      <c r="AEA11" s="125">
        <f>SUMIFS('Expenditure Breakdown'!$Q$6:$Q$174, 'Expenditure Breakdown'!$W$6:$W$174, "&gt;="&amp;AEA1,'Expenditure Breakdown'!$W$6:$W$174, "&lt;"&amp;AEB1)</f>
        <v>0</v>
      </c>
      <c r="AEB11" s="125">
        <f>SUMIFS('Expenditure Breakdown'!$Q$6:$Q$174, 'Expenditure Breakdown'!$W$6:$W$174, "&gt;="&amp;AEB1,'Expenditure Breakdown'!$W$6:$W$174, "&lt;"&amp;AEC1)</f>
        <v>0</v>
      </c>
      <c r="AEC11" s="125">
        <f>SUMIFS('Expenditure Breakdown'!$Q$6:$Q$174, 'Expenditure Breakdown'!$W$6:$W$174, "&gt;="&amp;AEC1,'Expenditure Breakdown'!$W$6:$W$174, "&lt;"&amp;AED1)</f>
        <v>0</v>
      </c>
      <c r="AED11" s="125">
        <f>SUMIFS('Expenditure Breakdown'!$Q$6:$Q$174, 'Expenditure Breakdown'!$W$6:$W$174, "&gt;="&amp;AED1,'Expenditure Breakdown'!$W$6:$W$174, "&lt;"&amp;AEE1)</f>
        <v>0</v>
      </c>
      <c r="AEE11" s="125">
        <f>SUMIFS('Expenditure Breakdown'!$Q$6:$Q$174, 'Expenditure Breakdown'!$W$6:$W$174, "&gt;="&amp;AEE1,'Expenditure Breakdown'!$W$6:$W$174, "&lt;"&amp;AEF1)</f>
        <v>0</v>
      </c>
      <c r="AEF11" s="125">
        <f>SUMIFS('Expenditure Breakdown'!$Q$6:$Q$174, 'Expenditure Breakdown'!$W$6:$W$174, "&gt;="&amp;AEF1,'Expenditure Breakdown'!$W$6:$W$174, "&lt;"&amp;AEG1)</f>
        <v>0</v>
      </c>
      <c r="AEG11" s="125">
        <f>SUMIFS('Expenditure Breakdown'!$Q$6:$Q$174, 'Expenditure Breakdown'!$W$6:$W$174, "&gt;="&amp;AEG1,'Expenditure Breakdown'!$W$6:$W$174, "&lt;"&amp;AEH1)</f>
        <v>0</v>
      </c>
      <c r="AEH11" s="125">
        <f>SUMIFS('Expenditure Breakdown'!$Q$6:$Q$174, 'Expenditure Breakdown'!$W$6:$W$174, "&gt;="&amp;AEH1,'Expenditure Breakdown'!$W$6:$W$174, "&lt;"&amp;AEI1)</f>
        <v>0</v>
      </c>
      <c r="AEI11" s="125">
        <f>SUMIFS('Expenditure Breakdown'!$Q$6:$Q$174, 'Expenditure Breakdown'!$W$6:$W$174, "&gt;="&amp;AEI1,'Expenditure Breakdown'!$W$6:$W$174, "&lt;"&amp;AEJ1)</f>
        <v>0</v>
      </c>
      <c r="AEJ11" s="125">
        <f>SUMIFS('Expenditure Breakdown'!$Q$6:$Q$174, 'Expenditure Breakdown'!$W$6:$W$174, "&gt;="&amp;AEJ1,'Expenditure Breakdown'!$W$6:$W$174, "&lt;"&amp;AEK1)</f>
        <v>0</v>
      </c>
      <c r="AEK11" s="125">
        <f>SUMIFS('Expenditure Breakdown'!$Q$6:$Q$174, 'Expenditure Breakdown'!$W$6:$W$174, "&gt;="&amp;AEK1,'Expenditure Breakdown'!$W$6:$W$174, "&lt;"&amp;AEL1)</f>
        <v>0</v>
      </c>
      <c r="AEL11" s="125">
        <f>SUMIFS('Expenditure Breakdown'!$Q$6:$Q$174, 'Expenditure Breakdown'!$W$6:$W$174, "&gt;="&amp;AEL1,'Expenditure Breakdown'!$W$6:$W$174, "&lt;"&amp;AEM1)</f>
        <v>0</v>
      </c>
      <c r="AEM11" s="125">
        <f>SUMIFS('Expenditure Breakdown'!$Q$6:$Q$174, 'Expenditure Breakdown'!$W$6:$W$174, "&gt;="&amp;AEM1,'Expenditure Breakdown'!$W$6:$W$174, "&lt;"&amp;AEN1)</f>
        <v>0</v>
      </c>
      <c r="AEN11" s="125">
        <f>SUMIFS('Expenditure Breakdown'!$Q$6:$Q$174, 'Expenditure Breakdown'!$W$6:$W$174, "&gt;="&amp;AEN1,'Expenditure Breakdown'!$W$6:$W$174, "&lt;"&amp;AEO1)</f>
        <v>0</v>
      </c>
      <c r="AEO11" s="125">
        <f>SUMIFS('Expenditure Breakdown'!$Q$6:$Q$174, 'Expenditure Breakdown'!$W$6:$W$174, "&gt;="&amp;AEO1,'Expenditure Breakdown'!$W$6:$W$174, "&lt;"&amp;AEP1)</f>
        <v>0</v>
      </c>
      <c r="AEP11" s="125">
        <f>SUMIFS('Expenditure Breakdown'!$Q$6:$Q$174, 'Expenditure Breakdown'!$W$6:$W$174, "&gt;="&amp;AEP1,'Expenditure Breakdown'!$W$6:$W$174, "&lt;"&amp;AEQ1)</f>
        <v>0</v>
      </c>
      <c r="AEQ11" s="125">
        <f>SUMIFS('Expenditure Breakdown'!$Q$6:$Q$174, 'Expenditure Breakdown'!$W$6:$W$174, "&gt;="&amp;AEQ1,'Expenditure Breakdown'!$W$6:$W$174, "&lt;"&amp;AER1)</f>
        <v>0</v>
      </c>
      <c r="AER11" s="125">
        <f>SUMIFS('Expenditure Breakdown'!$Q$6:$Q$174, 'Expenditure Breakdown'!$W$6:$W$174, "&gt;="&amp;AER1,'Expenditure Breakdown'!$W$6:$W$174, "&lt;"&amp;AES1)</f>
        <v>0</v>
      </c>
      <c r="AES11" s="125">
        <f>SUMIFS('Expenditure Breakdown'!$Q$6:$Q$174, 'Expenditure Breakdown'!$W$6:$W$174, "&gt;="&amp;AES1,'Expenditure Breakdown'!$W$6:$W$174, "&lt;"&amp;AET1)</f>
        <v>0</v>
      </c>
      <c r="AET11" s="125">
        <f>SUMIFS('Expenditure Breakdown'!$Q$6:$Q$174, 'Expenditure Breakdown'!$W$6:$W$174, "&gt;="&amp;AET1,'Expenditure Breakdown'!$W$6:$W$174, "&lt;"&amp;AEU1)</f>
        <v>0</v>
      </c>
      <c r="AEU11" s="125">
        <f>SUMIFS('Expenditure Breakdown'!$Q$6:$Q$174, 'Expenditure Breakdown'!$W$6:$W$174, "&gt;="&amp;AEU1,'Expenditure Breakdown'!$W$6:$W$174, "&lt;"&amp;AEV1)</f>
        <v>0</v>
      </c>
      <c r="AEV11" s="125">
        <f>SUMIFS('Expenditure Breakdown'!$Q$6:$Q$174, 'Expenditure Breakdown'!$W$6:$W$174, "&gt;="&amp;AEV1,'Expenditure Breakdown'!$W$6:$W$174, "&lt;"&amp;AEW1)</f>
        <v>0</v>
      </c>
      <c r="AEW11" s="125">
        <f>SUMIFS('Expenditure Breakdown'!$Q$6:$Q$174, 'Expenditure Breakdown'!$W$6:$W$174, "&gt;="&amp;AEW1,'Expenditure Breakdown'!$W$6:$W$174, "&lt;"&amp;AEX1)</f>
        <v>0</v>
      </c>
      <c r="AEX11" s="125">
        <f>SUMIFS('Expenditure Breakdown'!$Q$6:$Q$174, 'Expenditure Breakdown'!$W$6:$W$174, "&gt;="&amp;AEX1,'Expenditure Breakdown'!$W$6:$W$174, "&lt;"&amp;AEY1)</f>
        <v>0</v>
      </c>
      <c r="AEY11" s="125">
        <f>SUMIFS('Expenditure Breakdown'!$Q$6:$Q$174, 'Expenditure Breakdown'!$W$6:$W$174, "&gt;="&amp;AEY1,'Expenditure Breakdown'!$W$6:$W$174, "&lt;"&amp;AEZ1)</f>
        <v>0</v>
      </c>
      <c r="AEZ11" s="125">
        <f>SUMIFS('Expenditure Breakdown'!$Q$6:$Q$174, 'Expenditure Breakdown'!$W$6:$W$174, "&gt;="&amp;AEZ1,'Expenditure Breakdown'!$W$6:$W$174, "&lt;"&amp;AFA1)</f>
        <v>0</v>
      </c>
      <c r="AFA11" s="125">
        <f>SUMIFS('Expenditure Breakdown'!$Q$6:$Q$174, 'Expenditure Breakdown'!$W$6:$W$174, "&gt;="&amp;AFA1,'Expenditure Breakdown'!$W$6:$W$174, "&lt;"&amp;AFB1)</f>
        <v>0</v>
      </c>
      <c r="AFB11" s="125">
        <f>SUMIFS('Expenditure Breakdown'!$Q$6:$Q$174, 'Expenditure Breakdown'!$W$6:$W$174, "&gt;="&amp;AFB1,'Expenditure Breakdown'!$W$6:$W$174, "&lt;"&amp;AFC1)</f>
        <v>0</v>
      </c>
      <c r="AFC11" s="125">
        <f>SUMIFS('Expenditure Breakdown'!$Q$6:$Q$174, 'Expenditure Breakdown'!$W$6:$W$174, "&gt;="&amp;AFC1,'Expenditure Breakdown'!$W$6:$W$174, "&lt;"&amp;AFD1)</f>
        <v>0</v>
      </c>
      <c r="AFD11" s="125">
        <f>SUMIFS('Expenditure Breakdown'!$Q$6:$Q$174, 'Expenditure Breakdown'!$W$6:$W$174, "&gt;="&amp;AFD1,'Expenditure Breakdown'!$W$6:$W$174, "&lt;"&amp;AFE1)</f>
        <v>0</v>
      </c>
      <c r="AFE11" s="125">
        <f>SUMIFS('Expenditure Breakdown'!$Q$6:$Q$174, 'Expenditure Breakdown'!$W$6:$W$174, "&gt;="&amp;AFE1,'Expenditure Breakdown'!$W$6:$W$174, "&lt;"&amp;AFF1)</f>
        <v>0</v>
      </c>
      <c r="AFF11" s="125">
        <f>SUMIFS('Expenditure Breakdown'!$Q$6:$Q$174, 'Expenditure Breakdown'!$W$6:$W$174, "&gt;="&amp;AFF1,'Expenditure Breakdown'!$W$6:$W$174, "&lt;"&amp;AFG1)</f>
        <v>0</v>
      </c>
      <c r="AFG11" s="125">
        <f>SUMIFS('Expenditure Breakdown'!$Q$6:$Q$174, 'Expenditure Breakdown'!$W$6:$W$174, "&gt;="&amp;AFG1,'Expenditure Breakdown'!$W$6:$W$174, "&lt;"&amp;AFH1)</f>
        <v>0</v>
      </c>
      <c r="AFH11" s="125">
        <f>SUMIFS('Expenditure Breakdown'!$Q$6:$Q$174, 'Expenditure Breakdown'!$W$6:$W$174, "&gt;="&amp;AFH1,'Expenditure Breakdown'!$W$6:$W$174, "&lt;"&amp;AFI1)</f>
        <v>0</v>
      </c>
      <c r="AFI11" s="125">
        <f>SUMIFS('Expenditure Breakdown'!$Q$6:$Q$174, 'Expenditure Breakdown'!$W$6:$W$174, "&gt;="&amp;AFI1,'Expenditure Breakdown'!$W$6:$W$174, "&lt;"&amp;AFJ1)</f>
        <v>0</v>
      </c>
      <c r="AFJ11" s="125">
        <f>SUMIFS('Expenditure Breakdown'!$Q$6:$Q$174, 'Expenditure Breakdown'!$W$6:$W$174, "&gt;="&amp;AFJ1,'Expenditure Breakdown'!$W$6:$W$174, "&lt;"&amp;AFK1)</f>
        <v>0</v>
      </c>
      <c r="AFK11" s="125">
        <f>SUMIFS('Expenditure Breakdown'!$Q$6:$Q$174, 'Expenditure Breakdown'!$W$6:$W$174, "&gt;="&amp;AFK1,'Expenditure Breakdown'!$W$6:$W$174, "&lt;"&amp;AFL1)</f>
        <v>0</v>
      </c>
      <c r="AFL11" s="125">
        <f>SUMIFS('Expenditure Breakdown'!$Q$6:$Q$174, 'Expenditure Breakdown'!$W$6:$W$174, "&gt;="&amp;AFL1,'Expenditure Breakdown'!$W$6:$W$174, "&lt;"&amp;AFM1)</f>
        <v>0</v>
      </c>
      <c r="AFM11" s="125">
        <f>SUMIFS('Expenditure Breakdown'!$Q$6:$Q$174, 'Expenditure Breakdown'!$W$6:$W$174, "&gt;="&amp;AFM1,'Expenditure Breakdown'!$W$6:$W$174, "&lt;"&amp;AFN1)</f>
        <v>0</v>
      </c>
      <c r="AFN11" s="125">
        <f>SUMIFS('Expenditure Breakdown'!$Q$6:$Q$174, 'Expenditure Breakdown'!$W$6:$W$174, "&gt;="&amp;AFN1,'Expenditure Breakdown'!$W$6:$W$174, "&lt;"&amp;AFO1)</f>
        <v>0</v>
      </c>
      <c r="AFO11" s="125">
        <f>SUMIFS('Expenditure Breakdown'!$Q$6:$Q$174, 'Expenditure Breakdown'!$W$6:$W$174, "&gt;="&amp;AFO1,'Expenditure Breakdown'!$W$6:$W$174, "&lt;"&amp;AFP1)</f>
        <v>0</v>
      </c>
      <c r="AFP11" s="125">
        <f>SUMIFS('Expenditure Breakdown'!$Q$6:$Q$174, 'Expenditure Breakdown'!$W$6:$W$174, "&gt;="&amp;AFP1,'Expenditure Breakdown'!$W$6:$W$174, "&lt;"&amp;AFQ1)</f>
        <v>0</v>
      </c>
      <c r="AFQ11" s="125">
        <f>SUMIFS('Expenditure Breakdown'!$Q$6:$Q$174, 'Expenditure Breakdown'!$W$6:$W$174, "&gt;="&amp;AFQ1,'Expenditure Breakdown'!$W$6:$W$174, "&lt;"&amp;AFR1)</f>
        <v>0</v>
      </c>
      <c r="AFR11" s="125">
        <f>SUMIFS('Expenditure Breakdown'!$Q$6:$Q$174, 'Expenditure Breakdown'!$W$6:$W$174, "&gt;="&amp;AFR1,'Expenditure Breakdown'!$W$6:$W$174, "&lt;"&amp;AFS1)</f>
        <v>0</v>
      </c>
      <c r="AFS11" s="125">
        <f>SUMIFS('Expenditure Breakdown'!$Q$6:$Q$174, 'Expenditure Breakdown'!$W$6:$W$174, "&gt;="&amp;AFS1,'Expenditure Breakdown'!$W$6:$W$174, "&lt;"&amp;AFT1)</f>
        <v>0</v>
      </c>
      <c r="AFT11" s="125">
        <f>SUMIFS('Expenditure Breakdown'!$Q$6:$Q$174, 'Expenditure Breakdown'!$W$6:$W$174, "&gt;="&amp;AFT1,'Expenditure Breakdown'!$W$6:$W$174, "&lt;"&amp;AFU1)</f>
        <v>0</v>
      </c>
      <c r="AFU11" s="125">
        <f>SUMIFS('Expenditure Breakdown'!$Q$6:$Q$174, 'Expenditure Breakdown'!$W$6:$W$174, "&gt;="&amp;AFU1,'Expenditure Breakdown'!$W$6:$W$174, "&lt;"&amp;AFV1)</f>
        <v>0</v>
      </c>
      <c r="AFV11" s="125">
        <f>SUMIFS('Expenditure Breakdown'!$Q$6:$Q$174, 'Expenditure Breakdown'!$W$6:$W$174, "&gt;="&amp;AFV1,'Expenditure Breakdown'!$W$6:$W$174, "&lt;"&amp;AFW1)</f>
        <v>0</v>
      </c>
      <c r="AFW11" s="125">
        <f>SUMIFS('Expenditure Breakdown'!$Q$6:$Q$174, 'Expenditure Breakdown'!$W$6:$W$174, "&gt;="&amp;AFW1,'Expenditure Breakdown'!$W$6:$W$174, "&lt;"&amp;AFX1)</f>
        <v>0</v>
      </c>
      <c r="AFX11" s="125">
        <f>SUMIFS('Expenditure Breakdown'!$Q$6:$Q$174, 'Expenditure Breakdown'!$W$6:$W$174, "&gt;="&amp;AFX1,'Expenditure Breakdown'!$W$6:$W$174, "&lt;"&amp;AFY1)</f>
        <v>0</v>
      </c>
      <c r="AFY11" s="125">
        <f>SUMIFS('Expenditure Breakdown'!$Q$6:$Q$174, 'Expenditure Breakdown'!$W$6:$W$174, "&gt;="&amp;AFY1,'Expenditure Breakdown'!$W$6:$W$174, "&lt;"&amp;AFZ1)</f>
        <v>0</v>
      </c>
      <c r="AFZ11" s="125">
        <f>SUMIFS('Expenditure Breakdown'!$Q$6:$Q$174, 'Expenditure Breakdown'!$W$6:$W$174, "&gt;="&amp;AFZ1,'Expenditure Breakdown'!$W$6:$W$174, "&lt;"&amp;AGA1)</f>
        <v>0</v>
      </c>
      <c r="AGA11" s="125">
        <f>SUMIFS('Expenditure Breakdown'!$Q$6:$Q$174, 'Expenditure Breakdown'!$W$6:$W$174, "&gt;="&amp;AGA1,'Expenditure Breakdown'!$W$6:$W$174, "&lt;"&amp;AGB1)</f>
        <v>0</v>
      </c>
      <c r="AGB11" s="125">
        <f>SUMIFS('Expenditure Breakdown'!$Q$6:$Q$174, 'Expenditure Breakdown'!$W$6:$W$174, "&gt;="&amp;AGB1,'Expenditure Breakdown'!$W$6:$W$174, "&lt;"&amp;AGC1)</f>
        <v>0</v>
      </c>
      <c r="AGC11" s="125">
        <f>SUMIFS('Expenditure Breakdown'!$Q$6:$Q$174, 'Expenditure Breakdown'!$W$6:$W$174, "&gt;="&amp;AGC1,'Expenditure Breakdown'!$W$6:$W$174, "&lt;"&amp;AGD1)</f>
        <v>0</v>
      </c>
      <c r="AGD11" s="125">
        <f>SUMIFS('Expenditure Breakdown'!$Q$6:$Q$174, 'Expenditure Breakdown'!$W$6:$W$174, "&gt;="&amp;AGD1,'Expenditure Breakdown'!$W$6:$W$174, "&lt;"&amp;AGE1)</f>
        <v>0</v>
      </c>
      <c r="AGE11" s="125">
        <f>SUMIFS('Expenditure Breakdown'!$Q$6:$Q$174, 'Expenditure Breakdown'!$W$6:$W$174, "&gt;="&amp;AGE1,'Expenditure Breakdown'!$W$6:$W$174, "&lt;"&amp;AGF1)</f>
        <v>0</v>
      </c>
      <c r="AGF11" s="125">
        <f>SUMIFS('Expenditure Breakdown'!$Q$6:$Q$174, 'Expenditure Breakdown'!$W$6:$W$174, "&gt;="&amp;AGF1,'Expenditure Breakdown'!$W$6:$W$174, "&lt;"&amp;AGG1)</f>
        <v>0</v>
      </c>
      <c r="AGG11" s="125">
        <f>SUMIFS('Expenditure Breakdown'!$Q$6:$Q$174, 'Expenditure Breakdown'!$W$6:$W$174, "&gt;="&amp;AGG1,'Expenditure Breakdown'!$W$6:$W$174, "&lt;"&amp;AGH1)</f>
        <v>0</v>
      </c>
      <c r="AGH11" s="125">
        <f>SUMIFS('Expenditure Breakdown'!$Q$6:$Q$174, 'Expenditure Breakdown'!$W$6:$W$174, "&gt;="&amp;AGH1,'Expenditure Breakdown'!$W$6:$W$174, "&lt;"&amp;AGI1)</f>
        <v>0</v>
      </c>
      <c r="AGI11" s="125">
        <f>SUMIFS('Expenditure Breakdown'!$Q$6:$Q$174, 'Expenditure Breakdown'!$W$6:$W$174, "&gt;="&amp;AGI1,'Expenditure Breakdown'!$W$6:$W$174, "&lt;"&amp;AGJ1)</f>
        <v>0</v>
      </c>
      <c r="AGJ11" s="125">
        <f>SUMIFS('Expenditure Breakdown'!$Q$6:$Q$174, 'Expenditure Breakdown'!$W$6:$W$174, "&gt;="&amp;AGJ1,'Expenditure Breakdown'!$W$6:$W$174, "&lt;"&amp;AGK1)</f>
        <v>0</v>
      </c>
      <c r="AGK11" s="125">
        <f>SUMIFS('Expenditure Breakdown'!$Q$6:$Q$174, 'Expenditure Breakdown'!$W$6:$W$174, "&gt;="&amp;AGK1,'Expenditure Breakdown'!$W$6:$W$174, "&lt;"&amp;AGL1)</f>
        <v>0</v>
      </c>
      <c r="AGL11" s="125">
        <f>SUMIFS('Expenditure Breakdown'!$Q$6:$Q$174, 'Expenditure Breakdown'!$W$6:$W$174, "&gt;="&amp;AGL1,'Expenditure Breakdown'!$W$6:$W$174, "&lt;"&amp;AGM1)</f>
        <v>0</v>
      </c>
      <c r="AGM11" s="125">
        <f>SUMIFS('Expenditure Breakdown'!$Q$6:$Q$174, 'Expenditure Breakdown'!$W$6:$W$174, "&gt;="&amp;AGM1,'Expenditure Breakdown'!$W$6:$W$174, "&lt;"&amp;AGN1)</f>
        <v>0</v>
      </c>
      <c r="AGN11" s="125">
        <f>SUMIFS('Expenditure Breakdown'!$Q$6:$Q$174, 'Expenditure Breakdown'!$W$6:$W$174, "&gt;="&amp;AGN1,'Expenditure Breakdown'!$W$6:$W$174, "&lt;"&amp;AGO1)</f>
        <v>0</v>
      </c>
      <c r="AGO11" s="125">
        <f>SUMIFS('Expenditure Breakdown'!$Q$6:$Q$174, 'Expenditure Breakdown'!$W$6:$W$174, "&gt;="&amp;AGO1,'Expenditure Breakdown'!$W$6:$W$174, "&lt;"&amp;AGP1)</f>
        <v>0</v>
      </c>
      <c r="AGP11" s="125">
        <f>SUMIFS('Expenditure Breakdown'!$Q$6:$Q$174, 'Expenditure Breakdown'!$W$6:$W$174, "&gt;="&amp;AGP1,'Expenditure Breakdown'!$W$6:$W$174, "&lt;"&amp;AGQ1)</f>
        <v>0</v>
      </c>
      <c r="AGQ11" s="125">
        <f>SUMIFS('Expenditure Breakdown'!$Q$6:$Q$174, 'Expenditure Breakdown'!$W$6:$W$174, "&gt;="&amp;AGQ1,'Expenditure Breakdown'!$W$6:$W$174, "&lt;"&amp;AGR1)</f>
        <v>0</v>
      </c>
      <c r="AGR11" s="125">
        <f>SUMIFS('Expenditure Breakdown'!$Q$6:$Q$174, 'Expenditure Breakdown'!$W$6:$W$174, "&gt;="&amp;AGR1,'Expenditure Breakdown'!$W$6:$W$174, "&lt;"&amp;AGS1)</f>
        <v>0</v>
      </c>
      <c r="AGS11" s="125">
        <f>SUMIFS('Expenditure Breakdown'!$Q$6:$Q$174, 'Expenditure Breakdown'!$W$6:$W$174, "&gt;="&amp;AGS1,'Expenditure Breakdown'!$W$6:$W$174, "&lt;"&amp;AGT1)</f>
        <v>0</v>
      </c>
      <c r="AGT11" s="125">
        <f>SUMIFS('Expenditure Breakdown'!$Q$6:$Q$174, 'Expenditure Breakdown'!$W$6:$W$174, "&gt;="&amp;AGT1,'Expenditure Breakdown'!$W$6:$W$174, "&lt;"&amp;AGU1)</f>
        <v>0</v>
      </c>
      <c r="AGU11" s="125">
        <f>SUMIFS('Expenditure Breakdown'!$Q$6:$Q$174, 'Expenditure Breakdown'!$W$6:$W$174, "&gt;="&amp;AGU1,'Expenditure Breakdown'!$W$6:$W$174, "&lt;"&amp;AGV1)</f>
        <v>0</v>
      </c>
      <c r="AGV11" s="125">
        <f>SUMIFS('Expenditure Breakdown'!$Q$6:$Q$174, 'Expenditure Breakdown'!$W$6:$W$174, "&gt;="&amp;AGV1,'Expenditure Breakdown'!$W$6:$W$174, "&lt;"&amp;AGW1)</f>
        <v>0</v>
      </c>
      <c r="AGW11" s="125">
        <f>SUMIFS('Expenditure Breakdown'!$Q$6:$Q$174, 'Expenditure Breakdown'!$W$6:$W$174, "&gt;="&amp;AGW1,'Expenditure Breakdown'!$W$6:$W$174, "&lt;"&amp;AGX1)</f>
        <v>0</v>
      </c>
      <c r="AGX11" s="125">
        <f>SUMIFS('Expenditure Breakdown'!$Q$6:$Q$174, 'Expenditure Breakdown'!$W$6:$W$174, "&gt;="&amp;AGX1,'Expenditure Breakdown'!$W$6:$W$174, "&lt;"&amp;AGY1)</f>
        <v>0</v>
      </c>
      <c r="AGY11" s="125">
        <f>SUMIFS('Expenditure Breakdown'!$Q$6:$Q$174, 'Expenditure Breakdown'!$W$6:$W$174, "&gt;="&amp;AGY1,'Expenditure Breakdown'!$W$6:$W$174, "&lt;"&amp;AGZ1)</f>
        <v>0</v>
      </c>
      <c r="AGZ11" s="125">
        <f>SUMIFS('Expenditure Breakdown'!$Q$6:$Q$174, 'Expenditure Breakdown'!$W$6:$W$174, "&gt;="&amp;AGZ1,'Expenditure Breakdown'!$W$6:$W$174, "&lt;"&amp;AHA1)</f>
        <v>0</v>
      </c>
      <c r="AHA11" s="125">
        <f>SUMIFS('Expenditure Breakdown'!$Q$6:$Q$174, 'Expenditure Breakdown'!$W$6:$W$174, "&gt;="&amp;AHA1,'Expenditure Breakdown'!$W$6:$W$174, "&lt;"&amp;AHB1)</f>
        <v>0</v>
      </c>
      <c r="AHB11" s="125">
        <f>SUMIFS('Expenditure Breakdown'!$Q$6:$Q$174, 'Expenditure Breakdown'!$W$6:$W$174, "&gt;="&amp;AHB1,'Expenditure Breakdown'!$W$6:$W$174, "&lt;"&amp;AHC1)</f>
        <v>0</v>
      </c>
      <c r="AHC11" s="125">
        <f>SUMIFS('Expenditure Breakdown'!$Q$6:$Q$174, 'Expenditure Breakdown'!$W$6:$W$174, "&gt;="&amp;AHC1,'Expenditure Breakdown'!$W$6:$W$174, "&lt;"&amp;AHD1)</f>
        <v>0</v>
      </c>
      <c r="AHD11" s="125">
        <f>SUMIFS('Expenditure Breakdown'!$Q$6:$Q$174, 'Expenditure Breakdown'!$W$6:$W$174, "&gt;="&amp;AHD1,'Expenditure Breakdown'!$W$6:$W$174, "&lt;"&amp;AHE1)</f>
        <v>0</v>
      </c>
      <c r="AHE11" s="125">
        <f>SUMIFS('Expenditure Breakdown'!$Q$6:$Q$174, 'Expenditure Breakdown'!$W$6:$W$174, "&gt;="&amp;AHE1,'Expenditure Breakdown'!$W$6:$W$174, "&lt;"&amp;AHF1)</f>
        <v>0</v>
      </c>
      <c r="AHF11" s="125">
        <f>SUMIFS('Expenditure Breakdown'!$Q$6:$Q$174, 'Expenditure Breakdown'!$W$6:$W$174, "&gt;="&amp;AHF1,'Expenditure Breakdown'!$W$6:$W$174, "&lt;"&amp;AHG1)</f>
        <v>0</v>
      </c>
      <c r="AHG11" s="125">
        <f>SUMIFS('Expenditure Breakdown'!$Q$6:$Q$174, 'Expenditure Breakdown'!$W$6:$W$174, "&gt;="&amp;AHG1,'Expenditure Breakdown'!$W$6:$W$174, "&lt;"&amp;AHH1)</f>
        <v>0</v>
      </c>
      <c r="AHH11" s="125">
        <f>SUMIFS('Expenditure Breakdown'!$Q$6:$Q$174, 'Expenditure Breakdown'!$W$6:$W$174, "&gt;="&amp;AHH1,'Expenditure Breakdown'!$W$6:$W$174, "&lt;"&amp;AHI1)</f>
        <v>0</v>
      </c>
      <c r="AHI11" s="125">
        <f>SUMIFS('Expenditure Breakdown'!$Q$6:$Q$174, 'Expenditure Breakdown'!$W$6:$W$174, "&gt;="&amp;AHI1,'Expenditure Breakdown'!$W$6:$W$174, "&lt;"&amp;AHJ1)</f>
        <v>0</v>
      </c>
      <c r="AHJ11" s="125">
        <f>SUMIFS('Expenditure Breakdown'!$Q$6:$Q$174, 'Expenditure Breakdown'!$W$6:$W$174, "&gt;="&amp;AHJ1,'Expenditure Breakdown'!$W$6:$W$174, "&lt;"&amp;AHK1)</f>
        <v>0</v>
      </c>
      <c r="AHK11" s="125">
        <f>SUMIFS('Expenditure Breakdown'!$Q$6:$Q$174, 'Expenditure Breakdown'!$W$6:$W$174, "&gt;="&amp;AHK1,'Expenditure Breakdown'!$W$6:$W$174, "&lt;"&amp;AHL1)</f>
        <v>0</v>
      </c>
      <c r="AHL11" s="125">
        <f>SUMIFS('Expenditure Breakdown'!$Q$6:$Q$174, 'Expenditure Breakdown'!$W$6:$W$174, "&gt;="&amp;AHL1,'Expenditure Breakdown'!$W$6:$W$174, "&lt;"&amp;AHM1)</f>
        <v>0</v>
      </c>
      <c r="AHM11" s="125">
        <f>SUMIFS('Expenditure Breakdown'!$Q$6:$Q$174, 'Expenditure Breakdown'!$W$6:$W$174, "&gt;="&amp;AHM1,'Expenditure Breakdown'!$W$6:$W$174, "&lt;"&amp;AHN1)</f>
        <v>0</v>
      </c>
      <c r="AHN11" s="125">
        <f>SUMIFS('Expenditure Breakdown'!$Q$6:$Q$174, 'Expenditure Breakdown'!$W$6:$W$174, "&gt;="&amp;AHN1,'Expenditure Breakdown'!$W$6:$W$174, "&lt;"&amp;AHO1)</f>
        <v>0</v>
      </c>
      <c r="AHO11" s="125">
        <f>SUMIFS('Expenditure Breakdown'!$Q$6:$Q$174, 'Expenditure Breakdown'!$W$6:$W$174, "&gt;="&amp;AHO1,'Expenditure Breakdown'!$W$6:$W$174, "&lt;"&amp;AHP1)</f>
        <v>0</v>
      </c>
      <c r="AHP11" s="125">
        <f>SUMIFS('Expenditure Breakdown'!$Q$6:$Q$174, 'Expenditure Breakdown'!$W$6:$W$174, "&gt;="&amp;AHP1,'Expenditure Breakdown'!$W$6:$W$174, "&lt;"&amp;AHQ1)</f>
        <v>0</v>
      </c>
      <c r="AHQ11" s="125">
        <f>SUMIFS('Expenditure Breakdown'!$Q$6:$Q$174, 'Expenditure Breakdown'!$W$6:$W$174, "&gt;="&amp;AHQ1,'Expenditure Breakdown'!$W$6:$W$174, "&lt;"&amp;AHR1)</f>
        <v>0</v>
      </c>
      <c r="AHR11" s="125">
        <f>SUMIFS('Expenditure Breakdown'!$Q$6:$Q$174, 'Expenditure Breakdown'!$W$6:$W$174, "&gt;="&amp;AHR1,'Expenditure Breakdown'!$W$6:$W$174, "&lt;"&amp;AHS1)</f>
        <v>0</v>
      </c>
      <c r="AHS11" s="125">
        <f>SUMIFS('Expenditure Breakdown'!$Q$6:$Q$174, 'Expenditure Breakdown'!$W$6:$W$174, "&gt;="&amp;AHS1,'Expenditure Breakdown'!$W$6:$W$174, "&lt;"&amp;AHT1)</f>
        <v>0</v>
      </c>
      <c r="AHT11" s="125">
        <f>SUMIFS('Expenditure Breakdown'!$Q$6:$Q$174, 'Expenditure Breakdown'!$W$6:$W$174, "&gt;="&amp;AHT1,'Expenditure Breakdown'!$W$6:$W$174, "&lt;"&amp;AHU1)</f>
        <v>0</v>
      </c>
      <c r="AHU11" s="125">
        <f>SUMIFS('Expenditure Breakdown'!$Q$6:$Q$174, 'Expenditure Breakdown'!$W$6:$W$174, "&gt;="&amp;AHU1,'Expenditure Breakdown'!$W$6:$W$174, "&lt;"&amp;AHV1)</f>
        <v>0</v>
      </c>
      <c r="AHV11" s="125">
        <f>SUMIFS('Expenditure Breakdown'!$Q$6:$Q$174, 'Expenditure Breakdown'!$W$6:$W$174, "&gt;="&amp;AHV1,'Expenditure Breakdown'!$W$6:$W$174, "&lt;"&amp;AHW1)</f>
        <v>0</v>
      </c>
      <c r="AHW11" s="125">
        <f>SUMIFS('Expenditure Breakdown'!$Q$6:$Q$174, 'Expenditure Breakdown'!$W$6:$W$174, "&gt;="&amp;AHW1,'Expenditure Breakdown'!$W$6:$W$174, "&lt;"&amp;AHX1)</f>
        <v>0</v>
      </c>
      <c r="AHX11" s="125">
        <f>SUMIFS('Expenditure Breakdown'!$Q$6:$Q$174, 'Expenditure Breakdown'!$W$6:$W$174, "&gt;="&amp;AHX1,'Expenditure Breakdown'!$W$6:$W$174, "&lt;"&amp;AHY1)</f>
        <v>0</v>
      </c>
      <c r="AHY11" s="125">
        <f>SUMIFS('Expenditure Breakdown'!$Q$6:$Q$174, 'Expenditure Breakdown'!$W$6:$W$174, "&gt;="&amp;AHY1,'Expenditure Breakdown'!$W$6:$W$174, "&lt;"&amp;AHZ1)</f>
        <v>0</v>
      </c>
      <c r="AHZ11" s="125">
        <f>SUMIFS('Expenditure Breakdown'!$Q$6:$Q$174, 'Expenditure Breakdown'!$W$6:$W$174, "&gt;="&amp;AHZ1,'Expenditure Breakdown'!$W$6:$W$174, "&lt;"&amp;AIA1)</f>
        <v>0</v>
      </c>
      <c r="AIA11" s="125">
        <f>SUMIFS('Expenditure Breakdown'!$Q$6:$Q$174, 'Expenditure Breakdown'!$W$6:$W$174, "&gt;="&amp;AIA1,'Expenditure Breakdown'!$W$6:$W$174, "&lt;"&amp;AIB1)</f>
        <v>0</v>
      </c>
      <c r="AIB11" s="125">
        <f>SUMIFS('Expenditure Breakdown'!$Q$6:$Q$174, 'Expenditure Breakdown'!$W$6:$W$174, "&gt;="&amp;AIB1,'Expenditure Breakdown'!$W$6:$W$174, "&lt;"&amp;AIC1)</f>
        <v>0</v>
      </c>
      <c r="AIC11" s="125">
        <f>SUMIFS('Expenditure Breakdown'!$Q$6:$Q$174, 'Expenditure Breakdown'!$W$6:$W$174, "&gt;="&amp;AIC1,'Expenditure Breakdown'!$W$6:$W$174, "&lt;"&amp;AID1)</f>
        <v>0</v>
      </c>
      <c r="AID11" s="125">
        <f>SUMIFS('Expenditure Breakdown'!$Q$6:$Q$174, 'Expenditure Breakdown'!$W$6:$W$174, "&gt;="&amp;AID1,'Expenditure Breakdown'!$W$6:$W$174, "&lt;"&amp;AIE1)</f>
        <v>0</v>
      </c>
      <c r="AIE11" s="125">
        <f>SUMIFS('Expenditure Breakdown'!$Q$6:$Q$174, 'Expenditure Breakdown'!$W$6:$W$174, "&gt;="&amp;AIE1,'Expenditure Breakdown'!$W$6:$W$174, "&lt;"&amp;AIF1)</f>
        <v>0</v>
      </c>
      <c r="AIF11" s="125">
        <f>SUMIFS('Expenditure Breakdown'!$Q$6:$Q$174, 'Expenditure Breakdown'!$W$6:$W$174, "&gt;="&amp;AIF1,'Expenditure Breakdown'!$W$6:$W$174, "&lt;"&amp;AIG1)</f>
        <v>0</v>
      </c>
      <c r="AIG11" s="125">
        <f>SUMIFS('Expenditure Breakdown'!$Q$6:$Q$174, 'Expenditure Breakdown'!$W$6:$W$174, "&gt;="&amp;AIG1,'Expenditure Breakdown'!$W$6:$W$174, "&lt;"&amp;AIH1)</f>
        <v>0</v>
      </c>
      <c r="AIH11" s="125">
        <f>SUMIFS('Expenditure Breakdown'!$Q$6:$Q$174, 'Expenditure Breakdown'!$W$6:$W$174, "&gt;="&amp;AIH1,'Expenditure Breakdown'!$W$6:$W$174, "&lt;"&amp;AII1)</f>
        <v>0</v>
      </c>
      <c r="AII11" s="125">
        <f>SUMIFS('Expenditure Breakdown'!$Q$6:$Q$174, 'Expenditure Breakdown'!$W$6:$W$174, "&gt;="&amp;AII1,'Expenditure Breakdown'!$W$6:$W$174, "&lt;"&amp;AIJ1)</f>
        <v>0</v>
      </c>
      <c r="AIJ11" s="125">
        <f>SUMIFS('Expenditure Breakdown'!$Q$6:$Q$174, 'Expenditure Breakdown'!$W$6:$W$174, "&gt;="&amp;AIJ1,'Expenditure Breakdown'!$W$6:$W$174, "&lt;"&amp;AIK1)</f>
        <v>0</v>
      </c>
      <c r="AIK11" s="125">
        <f>SUMIFS('Expenditure Breakdown'!$Q$6:$Q$174, 'Expenditure Breakdown'!$W$6:$W$174, "&gt;="&amp;AIK1,'Expenditure Breakdown'!$W$6:$W$174, "&lt;"&amp;AIL1)</f>
        <v>0</v>
      </c>
      <c r="AIL11" s="125">
        <f>SUMIFS('Expenditure Breakdown'!$Q$6:$Q$174, 'Expenditure Breakdown'!$W$6:$W$174, "&gt;="&amp;AIL1,'Expenditure Breakdown'!$W$6:$W$174, "&lt;"&amp;AIM1)</f>
        <v>0</v>
      </c>
      <c r="AIM11" s="125">
        <f>SUMIFS('Expenditure Breakdown'!$Q$6:$Q$174, 'Expenditure Breakdown'!$W$6:$W$174, "&gt;="&amp;AIM1,'Expenditure Breakdown'!$W$6:$W$174, "&lt;"&amp;AIN1)</f>
        <v>0</v>
      </c>
      <c r="AIN11" s="125">
        <f>SUMIFS('Expenditure Breakdown'!$Q$6:$Q$174, 'Expenditure Breakdown'!$W$6:$W$174, "&gt;="&amp;AIN1,'Expenditure Breakdown'!$W$6:$W$174, "&lt;"&amp;AIO1)</f>
        <v>0</v>
      </c>
      <c r="AIO11" s="125">
        <f>SUMIFS('Expenditure Breakdown'!$Q$6:$Q$174, 'Expenditure Breakdown'!$W$6:$W$174, "&gt;="&amp;AIO1,'Expenditure Breakdown'!$W$6:$W$174, "&lt;"&amp;AIP1)</f>
        <v>0</v>
      </c>
      <c r="AIP11" s="125">
        <f>SUMIFS('Expenditure Breakdown'!$Q$6:$Q$174, 'Expenditure Breakdown'!$W$6:$W$174, "&gt;="&amp;AIP1,'Expenditure Breakdown'!$W$6:$W$174, "&lt;"&amp;AIQ1)</f>
        <v>0</v>
      </c>
      <c r="AIQ11" s="125">
        <f>SUMIFS('Expenditure Breakdown'!$Q$6:$Q$174, 'Expenditure Breakdown'!$W$6:$W$174, "&gt;="&amp;AIQ1,'Expenditure Breakdown'!$W$6:$W$174, "&lt;"&amp;AIR1)</f>
        <v>0</v>
      </c>
      <c r="AIR11" s="125">
        <f>SUMIFS('Expenditure Breakdown'!$Q$6:$Q$174, 'Expenditure Breakdown'!$W$6:$W$174, "&gt;="&amp;AIR1,'Expenditure Breakdown'!$W$6:$W$174, "&lt;"&amp;AIS1)</f>
        <v>0</v>
      </c>
      <c r="AIS11" s="125">
        <f>SUMIFS('Expenditure Breakdown'!$Q$6:$Q$174, 'Expenditure Breakdown'!$W$6:$W$174, "&gt;="&amp;AIS1,'Expenditure Breakdown'!$W$6:$W$174, "&lt;"&amp;AIT1)</f>
        <v>0</v>
      </c>
      <c r="AIT11" s="125">
        <f>SUMIFS('Expenditure Breakdown'!$Q$6:$Q$174, 'Expenditure Breakdown'!$W$6:$W$174, "&gt;="&amp;AIT1,'Expenditure Breakdown'!$W$6:$W$174, "&lt;"&amp;AIU1)</f>
        <v>0</v>
      </c>
      <c r="AIU11" s="125">
        <f>SUMIFS('Expenditure Breakdown'!$Q$6:$Q$174, 'Expenditure Breakdown'!$W$6:$W$174, "&gt;="&amp;AIU1,'Expenditure Breakdown'!$W$6:$W$174, "&lt;"&amp;AIV1)</f>
        <v>0</v>
      </c>
      <c r="AIV11" s="125">
        <f>SUMIFS('Expenditure Breakdown'!$Q$6:$Q$174, 'Expenditure Breakdown'!$W$6:$W$174, "&gt;="&amp;AIV1,'Expenditure Breakdown'!$W$6:$W$174, "&lt;"&amp;AIW1)</f>
        <v>0</v>
      </c>
      <c r="AIW11" s="125">
        <f>SUMIFS('Expenditure Breakdown'!$Q$6:$Q$174, 'Expenditure Breakdown'!$W$6:$W$174, "&gt;="&amp;AIW1,'Expenditure Breakdown'!$W$6:$W$174, "&lt;"&amp;AIX1)</f>
        <v>0</v>
      </c>
      <c r="AIX11" s="125">
        <f>SUMIFS('Expenditure Breakdown'!$Q$6:$Q$174, 'Expenditure Breakdown'!$W$6:$W$174, "&gt;="&amp;AIX1,'Expenditure Breakdown'!$W$6:$W$174, "&lt;"&amp;AIY1)</f>
        <v>0</v>
      </c>
      <c r="AIY11" s="125">
        <f>SUMIFS('Expenditure Breakdown'!$Q$6:$Q$174, 'Expenditure Breakdown'!$W$6:$W$174, "&gt;="&amp;AIY1,'Expenditure Breakdown'!$W$6:$W$174, "&lt;"&amp;AIZ1)</f>
        <v>0</v>
      </c>
      <c r="AIZ11" s="125">
        <f>SUMIFS('Expenditure Breakdown'!$Q$6:$Q$174, 'Expenditure Breakdown'!$W$6:$W$174, "&gt;="&amp;AIZ1,'Expenditure Breakdown'!$W$6:$W$174, "&lt;"&amp;AJA1)</f>
        <v>0</v>
      </c>
      <c r="AJA11" s="125">
        <f>SUMIFS('Expenditure Breakdown'!$Q$6:$Q$174, 'Expenditure Breakdown'!$W$6:$W$174, "&gt;="&amp;AJA1,'Expenditure Breakdown'!$W$6:$W$174, "&lt;"&amp;AJB1)</f>
        <v>0</v>
      </c>
      <c r="AJB11" s="125">
        <f>SUMIFS('Expenditure Breakdown'!$Q$6:$Q$174, 'Expenditure Breakdown'!$W$6:$W$174, "&gt;="&amp;AJB1,'Expenditure Breakdown'!$W$6:$W$174, "&lt;"&amp;AJC1)</f>
        <v>0</v>
      </c>
      <c r="AJC11" s="125">
        <f>SUMIFS('Expenditure Breakdown'!$Q$6:$Q$174, 'Expenditure Breakdown'!$W$6:$W$174, "&gt;="&amp;AJC1,'Expenditure Breakdown'!$W$6:$W$174, "&lt;"&amp;AJD1)</f>
        <v>0</v>
      </c>
      <c r="AJD11" s="125">
        <f>SUMIFS('Expenditure Breakdown'!$Q$6:$Q$174, 'Expenditure Breakdown'!$W$6:$W$174, "&gt;="&amp;AJD1,'Expenditure Breakdown'!$W$6:$W$174, "&lt;"&amp;AJE1)</f>
        <v>0</v>
      </c>
      <c r="AJE11" s="125">
        <f>SUMIFS('Expenditure Breakdown'!$Q$6:$Q$174, 'Expenditure Breakdown'!$W$6:$W$174, "&gt;="&amp;AJE1,'Expenditure Breakdown'!$W$6:$W$174, "&lt;"&amp;AJF1)</f>
        <v>0</v>
      </c>
      <c r="AJF11" s="125">
        <f>SUMIFS('Expenditure Breakdown'!$Q$6:$Q$174, 'Expenditure Breakdown'!$W$6:$W$174, "&gt;="&amp;AJF1,'Expenditure Breakdown'!$W$6:$W$174, "&lt;"&amp;AJG1)</f>
        <v>0</v>
      </c>
      <c r="AJG11" s="125">
        <f>SUMIFS('Expenditure Breakdown'!$Q$6:$Q$174, 'Expenditure Breakdown'!$W$6:$W$174, "&gt;="&amp;AJG1,'Expenditure Breakdown'!$W$6:$W$174, "&lt;"&amp;AJH1)</f>
        <v>0</v>
      </c>
      <c r="AJH11" s="125">
        <f>SUMIFS('Expenditure Breakdown'!$Q$6:$Q$174, 'Expenditure Breakdown'!$W$6:$W$174, "&gt;="&amp;AJH1,'Expenditure Breakdown'!$W$6:$W$174, "&lt;"&amp;AJI1)</f>
        <v>0</v>
      </c>
      <c r="AJI11" s="125">
        <f>SUMIFS('Expenditure Breakdown'!$Q$6:$Q$174, 'Expenditure Breakdown'!$W$6:$W$174, "&gt;="&amp;AJI1,'Expenditure Breakdown'!$W$6:$W$174, "&lt;"&amp;AJJ1)</f>
        <v>0</v>
      </c>
      <c r="AJJ11" s="125">
        <f>SUMIFS('Expenditure Breakdown'!$Q$6:$Q$174, 'Expenditure Breakdown'!$W$6:$W$174, "&gt;="&amp;AJJ1,'Expenditure Breakdown'!$W$6:$W$174, "&lt;"&amp;AJK1)</f>
        <v>0</v>
      </c>
      <c r="AJK11" s="125">
        <f>SUMIFS('Expenditure Breakdown'!$Q$6:$Q$174, 'Expenditure Breakdown'!$W$6:$W$174, "&gt;="&amp;AJK1,'Expenditure Breakdown'!$W$6:$W$174, "&lt;"&amp;AJL1)</f>
        <v>0</v>
      </c>
      <c r="AJL11" s="125">
        <f>SUMIFS('Expenditure Breakdown'!$Q$6:$Q$174, 'Expenditure Breakdown'!$W$6:$W$174, "&gt;="&amp;AJL1,'Expenditure Breakdown'!$W$6:$W$174, "&lt;"&amp;AJM1)</f>
        <v>0</v>
      </c>
      <c r="AJM11" s="125">
        <f>SUMIFS('Expenditure Breakdown'!$Q$6:$Q$174, 'Expenditure Breakdown'!$W$6:$W$174, "&gt;="&amp;AJM1,'Expenditure Breakdown'!$W$6:$W$174, "&lt;"&amp;AJN1)</f>
        <v>0</v>
      </c>
      <c r="AJN11" s="125">
        <f>SUMIFS('Expenditure Breakdown'!$Q$6:$Q$174, 'Expenditure Breakdown'!$W$6:$W$174, "&gt;="&amp;AJN1,'Expenditure Breakdown'!$W$6:$W$174, "&lt;"&amp;AJO1)</f>
        <v>0</v>
      </c>
      <c r="AJO11" s="125">
        <f>SUMIFS('Expenditure Breakdown'!$Q$6:$Q$174, 'Expenditure Breakdown'!$W$6:$W$174, "&gt;="&amp;AJO1,'Expenditure Breakdown'!$W$6:$W$174, "&lt;"&amp;AJP1)</f>
        <v>0</v>
      </c>
      <c r="AJP11" s="125">
        <f>SUMIFS('Expenditure Breakdown'!$Q$6:$Q$174, 'Expenditure Breakdown'!$W$6:$W$174, "&gt;="&amp;AJP1,'Expenditure Breakdown'!$W$6:$W$174, "&lt;"&amp;AJQ1)</f>
        <v>0</v>
      </c>
      <c r="AJQ11" s="125">
        <f>SUMIFS('Expenditure Breakdown'!$Q$6:$Q$174, 'Expenditure Breakdown'!$W$6:$W$174, "&gt;="&amp;AJQ1,'Expenditure Breakdown'!$W$6:$W$174, "&lt;"&amp;AJR1)</f>
        <v>0</v>
      </c>
      <c r="AJR11" s="125">
        <f>SUMIFS('Expenditure Breakdown'!$Q$6:$Q$174, 'Expenditure Breakdown'!$W$6:$W$174, "&gt;="&amp;AJR1,'Expenditure Breakdown'!$W$6:$W$174, "&lt;"&amp;AJS1)</f>
        <v>0</v>
      </c>
      <c r="AJS11" s="125">
        <f>SUMIFS('Expenditure Breakdown'!$Q$6:$Q$174, 'Expenditure Breakdown'!$W$6:$W$174, "&gt;="&amp;AJS1,'Expenditure Breakdown'!$W$6:$W$174, "&lt;"&amp;AJT1)</f>
        <v>0</v>
      </c>
      <c r="AJT11" s="125">
        <f>SUMIFS('Expenditure Breakdown'!$Q$6:$Q$174, 'Expenditure Breakdown'!$W$6:$W$174, "&gt;="&amp;AJT1,'Expenditure Breakdown'!$W$6:$W$174, "&lt;"&amp;AJU1)</f>
        <v>0</v>
      </c>
      <c r="AJU11" s="125">
        <f>SUMIFS('Expenditure Breakdown'!$Q$6:$Q$174, 'Expenditure Breakdown'!$W$6:$W$174, "&gt;="&amp;AJU1,'Expenditure Breakdown'!$W$6:$W$174, "&lt;"&amp;AJV1)</f>
        <v>0</v>
      </c>
      <c r="AJV11" s="125">
        <f>SUMIFS('Expenditure Breakdown'!$Q$6:$Q$174, 'Expenditure Breakdown'!$W$6:$W$174, "&gt;="&amp;AJV1,'Expenditure Breakdown'!$W$6:$W$174, "&lt;"&amp;AJW1)</f>
        <v>0</v>
      </c>
      <c r="AJW11" s="125">
        <f>SUMIFS('Expenditure Breakdown'!$Q$6:$Q$174, 'Expenditure Breakdown'!$W$6:$W$174, "&gt;="&amp;AJW1,'Expenditure Breakdown'!$W$6:$W$174, "&lt;"&amp;AJX1)</f>
        <v>0</v>
      </c>
      <c r="AJX11" s="125">
        <f>SUMIFS('Expenditure Breakdown'!$Q$6:$Q$174, 'Expenditure Breakdown'!$W$6:$W$174, "&gt;="&amp;AJX1,'Expenditure Breakdown'!$W$6:$W$174, "&lt;"&amp;AJY1)</f>
        <v>0</v>
      </c>
      <c r="AJY11" s="125">
        <f>SUMIFS('Expenditure Breakdown'!$Q$6:$Q$174, 'Expenditure Breakdown'!$W$6:$W$174, "&gt;="&amp;AJY1,'Expenditure Breakdown'!$W$6:$W$174, "&lt;"&amp;AJZ1)</f>
        <v>0</v>
      </c>
      <c r="AJZ11" s="125">
        <f>SUMIFS('Expenditure Breakdown'!$Q$6:$Q$174, 'Expenditure Breakdown'!$W$6:$W$174, "&gt;="&amp;AJZ1,'Expenditure Breakdown'!$W$6:$W$174, "&lt;"&amp;AKA1)</f>
        <v>0</v>
      </c>
      <c r="AKA11" s="125">
        <f>SUMIFS('Expenditure Breakdown'!$Q$6:$Q$174, 'Expenditure Breakdown'!$W$6:$W$174, "&gt;="&amp;AKA1,'Expenditure Breakdown'!$W$6:$W$174, "&lt;"&amp;AKB1)</f>
        <v>0</v>
      </c>
      <c r="AKB11" s="125">
        <f>SUMIFS('Expenditure Breakdown'!$Q$6:$Q$174, 'Expenditure Breakdown'!$W$6:$W$174, "&gt;="&amp;AKB1,'Expenditure Breakdown'!$W$6:$W$174, "&lt;"&amp;AKC1)</f>
        <v>0</v>
      </c>
      <c r="AKC11" s="125">
        <f>SUMIFS('Expenditure Breakdown'!$Q$6:$Q$174, 'Expenditure Breakdown'!$W$6:$W$174, "&gt;="&amp;AKC1,'Expenditure Breakdown'!$W$6:$W$174, "&lt;"&amp;AKD1)</f>
        <v>0</v>
      </c>
      <c r="AKD11" s="125">
        <f>SUMIFS('Expenditure Breakdown'!$Q$6:$Q$174, 'Expenditure Breakdown'!$W$6:$W$174, "&gt;="&amp;AKD1,'Expenditure Breakdown'!$W$6:$W$174, "&lt;"&amp;AKE1)</f>
        <v>0</v>
      </c>
      <c r="AKE11" s="125">
        <f>SUMIFS('Expenditure Breakdown'!$Q$6:$Q$174, 'Expenditure Breakdown'!$W$6:$W$174, "&gt;="&amp;AKE1,'Expenditure Breakdown'!$W$6:$W$174, "&lt;"&amp;AKF1)</f>
        <v>0</v>
      </c>
      <c r="AKF11" s="125">
        <f>SUMIFS('Expenditure Breakdown'!$Q$6:$Q$174, 'Expenditure Breakdown'!$W$6:$W$174, "&gt;="&amp;AKF1,'Expenditure Breakdown'!$W$6:$W$174, "&lt;"&amp;AKG1)</f>
        <v>0</v>
      </c>
      <c r="AKG11" s="125">
        <f>SUMIFS('Expenditure Breakdown'!$Q$6:$Q$174, 'Expenditure Breakdown'!$W$6:$W$174, "&gt;="&amp;AKG1,'Expenditure Breakdown'!$W$6:$W$174, "&lt;"&amp;AKH1)</f>
        <v>0</v>
      </c>
      <c r="AKH11" s="125">
        <f>SUMIFS('Expenditure Breakdown'!$Q$6:$Q$174, 'Expenditure Breakdown'!$W$6:$W$174, "&gt;="&amp;AKH1,'Expenditure Breakdown'!$W$6:$W$174, "&lt;"&amp;AKI1)</f>
        <v>0</v>
      </c>
      <c r="AKI11" s="125">
        <f>SUMIFS('Expenditure Breakdown'!$Q$6:$Q$174, 'Expenditure Breakdown'!$W$6:$W$174, "&gt;="&amp;AKI1,'Expenditure Breakdown'!$W$6:$W$174, "&lt;"&amp;AKJ1)</f>
        <v>0</v>
      </c>
      <c r="AKJ11" s="125">
        <f>SUMIFS('Expenditure Breakdown'!$Q$6:$Q$174, 'Expenditure Breakdown'!$W$6:$W$174, "&gt;="&amp;AKJ1,'Expenditure Breakdown'!$W$6:$W$174, "&lt;"&amp;AKK1)</f>
        <v>0</v>
      </c>
      <c r="AKK11" s="125">
        <f>SUMIFS('Expenditure Breakdown'!$Q$6:$Q$174, 'Expenditure Breakdown'!$W$6:$W$174, "&gt;="&amp;AKK1,'Expenditure Breakdown'!$W$6:$W$174, "&lt;"&amp;AKL1)</f>
        <v>0</v>
      </c>
      <c r="AKL11" s="125">
        <f>SUMIFS('Expenditure Breakdown'!$Q$6:$Q$174, 'Expenditure Breakdown'!$W$6:$W$174, "&gt;="&amp;AKL1,'Expenditure Breakdown'!$W$6:$W$174, "&lt;"&amp;AKM1)</f>
        <v>0</v>
      </c>
      <c r="AKM11" s="125">
        <f>SUMIFS('Expenditure Breakdown'!$Q$6:$Q$174, 'Expenditure Breakdown'!$W$6:$W$174, "&gt;="&amp;AKM1,'Expenditure Breakdown'!$W$6:$W$174, "&lt;"&amp;AKN1)</f>
        <v>0</v>
      </c>
      <c r="AKN11" s="125">
        <f>SUMIFS('Expenditure Breakdown'!$Q$6:$Q$174, 'Expenditure Breakdown'!$W$6:$W$174, "&gt;="&amp;AKN1,'Expenditure Breakdown'!$W$6:$W$174, "&lt;"&amp;AKO1)</f>
        <v>0</v>
      </c>
      <c r="AKO11" s="125">
        <f>SUMIFS('Expenditure Breakdown'!$Q$6:$Q$174, 'Expenditure Breakdown'!$W$6:$W$174, "&gt;="&amp;AKO1,'Expenditure Breakdown'!$W$6:$W$174, "&lt;"&amp;AKP1)</f>
        <v>0</v>
      </c>
      <c r="AKP11" s="125">
        <f>SUMIFS('Expenditure Breakdown'!$Q$6:$Q$174, 'Expenditure Breakdown'!$W$6:$W$174, "&gt;="&amp;AKP1,'Expenditure Breakdown'!$W$6:$W$174, "&lt;"&amp;AKQ1)</f>
        <v>0</v>
      </c>
      <c r="AKQ11" s="125">
        <f>SUMIFS('Expenditure Breakdown'!$Q$6:$Q$174, 'Expenditure Breakdown'!$W$6:$W$174, "&gt;="&amp;AKQ1,'Expenditure Breakdown'!$W$6:$W$174, "&lt;"&amp;AKR1)</f>
        <v>0</v>
      </c>
      <c r="AKR11" s="125">
        <f>SUMIFS('Expenditure Breakdown'!$Q$6:$Q$174, 'Expenditure Breakdown'!$W$6:$W$174, "&gt;="&amp;AKR1,'Expenditure Breakdown'!$W$6:$W$174, "&lt;"&amp;AKS1)</f>
        <v>0</v>
      </c>
      <c r="AKS11" s="125">
        <f>SUMIFS('Expenditure Breakdown'!$Q$6:$Q$174, 'Expenditure Breakdown'!$W$6:$W$174, "&gt;="&amp;AKS1,'Expenditure Breakdown'!$W$6:$W$174, "&lt;"&amp;AKT1)</f>
        <v>0</v>
      </c>
      <c r="AKT11" s="125">
        <f>SUMIFS('Expenditure Breakdown'!$Q$6:$Q$174, 'Expenditure Breakdown'!$W$6:$W$174, "&gt;="&amp;AKT1,'Expenditure Breakdown'!$W$6:$W$174, "&lt;"&amp;AKU1)</f>
        <v>0</v>
      </c>
      <c r="AKU11" s="125">
        <f>SUMIFS('Expenditure Breakdown'!$Q$6:$Q$174, 'Expenditure Breakdown'!$W$6:$W$174, "&gt;="&amp;AKU1,'Expenditure Breakdown'!$W$6:$W$174, "&lt;"&amp;AKV1)</f>
        <v>0</v>
      </c>
      <c r="AKV11" s="125">
        <f>SUMIFS('Expenditure Breakdown'!$Q$6:$Q$174, 'Expenditure Breakdown'!$W$6:$W$174, "&gt;="&amp;AKV1,'Expenditure Breakdown'!$W$6:$W$174, "&lt;"&amp;AKW1)</f>
        <v>0</v>
      </c>
      <c r="AKW11" s="125">
        <f>SUMIFS('Expenditure Breakdown'!$Q$6:$Q$174, 'Expenditure Breakdown'!$W$6:$W$174, "&gt;="&amp;AKW1,'Expenditure Breakdown'!$W$6:$W$174, "&lt;"&amp;AKX1)</f>
        <v>0</v>
      </c>
      <c r="AKX11" s="125">
        <f>SUMIFS('Expenditure Breakdown'!$Q$6:$Q$174, 'Expenditure Breakdown'!$W$6:$W$174, "&gt;="&amp;AKX1,'Expenditure Breakdown'!$W$6:$W$174, "&lt;"&amp;AKY1)</f>
        <v>0</v>
      </c>
      <c r="AKY11" s="125">
        <f>SUMIFS('Expenditure Breakdown'!$Q$6:$Q$174, 'Expenditure Breakdown'!$W$6:$W$174, "&gt;="&amp;AKY1,'Expenditure Breakdown'!$W$6:$W$174, "&lt;"&amp;AKZ1)</f>
        <v>0</v>
      </c>
      <c r="AKZ11" s="125">
        <f>SUMIFS('Expenditure Breakdown'!$Q$6:$Q$174, 'Expenditure Breakdown'!$W$6:$W$174, "&gt;="&amp;AKZ1,'Expenditure Breakdown'!$W$6:$W$174, "&lt;"&amp;ALA1)</f>
        <v>0</v>
      </c>
      <c r="ALA11" s="125">
        <f>SUMIFS('Expenditure Breakdown'!$Q$6:$Q$174, 'Expenditure Breakdown'!$W$6:$W$174, "&gt;="&amp;ALA1,'Expenditure Breakdown'!$W$6:$W$174, "&lt;"&amp;ALB1)</f>
        <v>0</v>
      </c>
      <c r="ALB11" s="125">
        <f>SUMIFS('Expenditure Breakdown'!$Q$6:$Q$174, 'Expenditure Breakdown'!$W$6:$W$174, "&gt;="&amp;ALB1,'Expenditure Breakdown'!$W$6:$W$174, "&lt;"&amp;ALC1)</f>
        <v>0</v>
      </c>
      <c r="ALC11" s="125">
        <f>SUMIFS('Expenditure Breakdown'!$Q$6:$Q$174, 'Expenditure Breakdown'!$W$6:$W$174, "&gt;="&amp;ALC1,'Expenditure Breakdown'!$W$6:$W$174, "&lt;"&amp;ALD1)</f>
        <v>0</v>
      </c>
      <c r="ALD11" s="125">
        <f>SUMIFS('Expenditure Breakdown'!$Q$6:$Q$174, 'Expenditure Breakdown'!$W$6:$W$174, "&gt;="&amp;ALD1,'Expenditure Breakdown'!$W$6:$W$174, "&lt;"&amp;ALE1)</f>
        <v>0</v>
      </c>
      <c r="ALE11" s="125">
        <f>SUMIFS('Expenditure Breakdown'!$Q$6:$Q$174, 'Expenditure Breakdown'!$W$6:$W$174, "&gt;="&amp;ALE1,'Expenditure Breakdown'!$W$6:$W$174, "&lt;"&amp;ALF1)</f>
        <v>0</v>
      </c>
      <c r="ALF11" s="125">
        <f>SUMIFS('Expenditure Breakdown'!$Q$6:$Q$174, 'Expenditure Breakdown'!$W$6:$W$174, "&gt;="&amp;ALF1,'Expenditure Breakdown'!$W$6:$W$174, "&lt;"&amp;ALG1)</f>
        <v>0</v>
      </c>
      <c r="ALG11" s="125">
        <f>SUMIFS('Expenditure Breakdown'!$Q$6:$Q$174, 'Expenditure Breakdown'!$W$6:$W$174, "&gt;="&amp;ALG1,'Expenditure Breakdown'!$W$6:$W$174, "&lt;"&amp;ALH1)</f>
        <v>0</v>
      </c>
      <c r="ALH11" s="125">
        <f>SUMIFS('Expenditure Breakdown'!$Q$6:$Q$174, 'Expenditure Breakdown'!$W$6:$W$174, "&gt;="&amp;ALH1,'Expenditure Breakdown'!$W$6:$W$174, "&lt;"&amp;ALI1)</f>
        <v>0</v>
      </c>
      <c r="ALI11" s="125">
        <f>SUMIFS('Expenditure Breakdown'!$Q$6:$Q$174, 'Expenditure Breakdown'!$W$6:$W$174, "&gt;="&amp;ALI1,'Expenditure Breakdown'!$W$6:$W$174, "&lt;"&amp;ALJ1)</f>
        <v>0</v>
      </c>
      <c r="ALJ11" s="125">
        <f>SUMIFS('Expenditure Breakdown'!$Q$6:$Q$174, 'Expenditure Breakdown'!$W$6:$W$174, "&gt;="&amp;ALJ1,'Expenditure Breakdown'!$W$6:$W$174, "&lt;"&amp;ALK1)</f>
        <v>0</v>
      </c>
      <c r="ALK11" s="125">
        <f>SUMIFS('Expenditure Breakdown'!$Q$6:$Q$174, 'Expenditure Breakdown'!$W$6:$W$174, "&gt;="&amp;ALK1,'Expenditure Breakdown'!$W$6:$W$174, "&lt;"&amp;ALL1)</f>
        <v>0</v>
      </c>
      <c r="ALL11" s="125">
        <f>SUMIFS('Expenditure Breakdown'!$Q$6:$Q$174, 'Expenditure Breakdown'!$W$6:$W$174, "&gt;="&amp;ALL1,'Expenditure Breakdown'!$W$6:$W$174, "&lt;"&amp;ALM1)</f>
        <v>0</v>
      </c>
      <c r="ALM11" s="125">
        <f>SUMIFS('Expenditure Breakdown'!$Q$6:$Q$174, 'Expenditure Breakdown'!$W$6:$W$174, "&gt;="&amp;ALM1,'Expenditure Breakdown'!$W$6:$W$174, "&lt;"&amp;ALN1)</f>
        <v>0</v>
      </c>
      <c r="ALN11" s="125">
        <f>SUMIFS('Expenditure Breakdown'!$Q$6:$Q$174, 'Expenditure Breakdown'!$W$6:$W$174, "&gt;="&amp;ALN1,'Expenditure Breakdown'!$W$6:$W$174, "&lt;"&amp;ALO1)</f>
        <v>0</v>
      </c>
      <c r="ALO11" s="125">
        <f>SUMIFS('Expenditure Breakdown'!$Q$6:$Q$174, 'Expenditure Breakdown'!$W$6:$W$174, "&gt;="&amp;ALO1,'Expenditure Breakdown'!$W$6:$W$174, "&lt;"&amp;ALP1)</f>
        <v>0</v>
      </c>
      <c r="ALP11" s="125">
        <f>SUMIFS('Expenditure Breakdown'!$Q$6:$Q$174, 'Expenditure Breakdown'!$W$6:$W$174, "&gt;="&amp;ALP1,'Expenditure Breakdown'!$W$6:$W$174, "&lt;"&amp;ALQ1)</f>
        <v>0</v>
      </c>
      <c r="ALQ11" s="125">
        <f>SUMIFS('Expenditure Breakdown'!$Q$6:$Q$174, 'Expenditure Breakdown'!$W$6:$W$174, "&gt;="&amp;ALQ1,'Expenditure Breakdown'!$W$6:$W$174, "&lt;"&amp;ALR1)</f>
        <v>0</v>
      </c>
      <c r="ALR11" s="125">
        <f>SUMIFS('Expenditure Breakdown'!$Q$6:$Q$174, 'Expenditure Breakdown'!$W$6:$W$174, "&gt;="&amp;ALR1,'Expenditure Breakdown'!$W$6:$W$174, "&lt;"&amp;ALS1)</f>
        <v>0</v>
      </c>
      <c r="ALS11" s="125">
        <f>SUMIFS('Expenditure Breakdown'!$Q$6:$Q$174, 'Expenditure Breakdown'!$W$6:$W$174, "&gt;="&amp;ALS1,'Expenditure Breakdown'!$W$6:$W$174, "&lt;"&amp;ALT1)</f>
        <v>0</v>
      </c>
      <c r="ALT11" s="125">
        <f>SUMIFS('Expenditure Breakdown'!$Q$6:$Q$174, 'Expenditure Breakdown'!$W$6:$W$174, "&gt;="&amp;ALT1,'Expenditure Breakdown'!$W$6:$W$174, "&lt;"&amp;ALU1)</f>
        <v>0</v>
      </c>
      <c r="ALU11" s="125">
        <f>SUMIFS('Expenditure Breakdown'!$Q$6:$Q$174, 'Expenditure Breakdown'!$W$6:$W$174, "&gt;="&amp;ALU1,'Expenditure Breakdown'!$W$6:$W$174, "&lt;"&amp;ALV1)</f>
        <v>0</v>
      </c>
      <c r="ALV11" s="125">
        <f>SUMIFS('Expenditure Breakdown'!$Q$6:$Q$174, 'Expenditure Breakdown'!$W$6:$W$174, "&gt;="&amp;ALV1,'Expenditure Breakdown'!$W$6:$W$174, "&lt;"&amp;ALW1)</f>
        <v>0</v>
      </c>
      <c r="ALW11" s="125">
        <f>SUMIFS('Expenditure Breakdown'!$Q$6:$Q$174, 'Expenditure Breakdown'!$W$6:$W$174, "&gt;="&amp;ALW1,'Expenditure Breakdown'!$W$6:$W$174, "&lt;"&amp;ALX1)</f>
        <v>0</v>
      </c>
      <c r="ALX11" s="125">
        <f>SUMIFS('Expenditure Breakdown'!$Q$6:$Q$174, 'Expenditure Breakdown'!$W$6:$W$174, "&gt;="&amp;ALX1,'Expenditure Breakdown'!$W$6:$W$174, "&lt;"&amp;ALY1)</f>
        <v>0</v>
      </c>
      <c r="ALY11" s="125">
        <f>SUMIFS('Expenditure Breakdown'!$Q$6:$Q$174, 'Expenditure Breakdown'!$W$6:$W$174, "&gt;="&amp;ALY1,'Expenditure Breakdown'!$W$6:$W$174, "&lt;"&amp;ALZ1)</f>
        <v>0</v>
      </c>
      <c r="ALZ11" s="125">
        <f>SUMIFS('Expenditure Breakdown'!$Q$6:$Q$174, 'Expenditure Breakdown'!$W$6:$W$174, "&gt;="&amp;ALZ1,'Expenditure Breakdown'!$W$6:$W$174, "&lt;"&amp;AMA1)</f>
        <v>0</v>
      </c>
      <c r="AMA11" s="125">
        <f>SUMIFS('Expenditure Breakdown'!$Q$6:$Q$174, 'Expenditure Breakdown'!$W$6:$W$174, "&gt;="&amp;AMA1,'Expenditure Breakdown'!$W$6:$W$174, "&lt;"&amp;AMB1)</f>
        <v>0</v>
      </c>
      <c r="AMB11" s="125">
        <f>SUMIFS('Expenditure Breakdown'!$Q$6:$Q$174, 'Expenditure Breakdown'!$W$6:$W$174, "&gt;="&amp;AMB1,'Expenditure Breakdown'!$W$6:$W$174, "&lt;"&amp;AMC1)</f>
        <v>0</v>
      </c>
      <c r="AMC11" s="125">
        <f>SUMIFS('Expenditure Breakdown'!$Q$6:$Q$174, 'Expenditure Breakdown'!$W$6:$W$174, "&gt;="&amp;AMC1,'Expenditure Breakdown'!$W$6:$W$174, "&lt;"&amp;AMD1)</f>
        <v>0</v>
      </c>
      <c r="AMD11" s="125">
        <f>SUMIFS('Expenditure Breakdown'!$Q$6:$Q$174, 'Expenditure Breakdown'!$W$6:$W$174, "&gt;="&amp;AMD1,'Expenditure Breakdown'!$W$6:$W$174, "&lt;"&amp;AME1)</f>
        <v>0</v>
      </c>
      <c r="AME11" s="125">
        <f>SUMIFS('Expenditure Breakdown'!$Q$6:$Q$174, 'Expenditure Breakdown'!$W$6:$W$174, "&gt;="&amp;AME1,'Expenditure Breakdown'!$W$6:$W$174, "&lt;"&amp;AMF1)</f>
        <v>0</v>
      </c>
      <c r="AMF11" s="125">
        <f>SUMIFS('Expenditure Breakdown'!$Q$6:$Q$174, 'Expenditure Breakdown'!$W$6:$W$174, "&gt;="&amp;AMF1,'Expenditure Breakdown'!$W$6:$W$174, "&lt;"&amp;AMG1)</f>
        <v>0</v>
      </c>
      <c r="AMG11" s="125">
        <f>SUMIFS('Expenditure Breakdown'!$Q$6:$Q$174, 'Expenditure Breakdown'!$W$6:$W$174, "&gt;="&amp;AMG1,'Expenditure Breakdown'!$W$6:$W$174, "&lt;"&amp;AMH1)</f>
        <v>0</v>
      </c>
      <c r="AMH11" s="125">
        <f>SUMIFS('Expenditure Breakdown'!$Q$6:$Q$174, 'Expenditure Breakdown'!$W$6:$W$174, "&gt;="&amp;AMH1,'Expenditure Breakdown'!$W$6:$W$174, "&lt;"&amp;AMI1)</f>
        <v>0</v>
      </c>
      <c r="AMI11" s="125">
        <f>SUMIFS('Expenditure Breakdown'!$Q$6:$Q$174, 'Expenditure Breakdown'!$W$6:$W$174, "&gt;="&amp;AMI1,'Expenditure Breakdown'!$W$6:$W$174, "&lt;"&amp;AMJ1)</f>
        <v>0</v>
      </c>
      <c r="AMJ11" s="125">
        <f>SUMIFS('Expenditure Breakdown'!$Q$6:$Q$174, 'Expenditure Breakdown'!$W$6:$W$174, "&gt;="&amp;AMJ1,'Expenditure Breakdown'!$W$6:$W$174, "&lt;"&amp;AMK1)</f>
        <v>0</v>
      </c>
      <c r="AMK11" s="125">
        <f>SUMIFS('Expenditure Breakdown'!$Q$6:$Q$174, 'Expenditure Breakdown'!$W$6:$W$174, "&gt;="&amp;AMK1,'Expenditure Breakdown'!$W$6:$W$174, "&lt;"&amp;AML1)</f>
        <v>0</v>
      </c>
      <c r="AML11" s="125">
        <f>SUMIFS('Expenditure Breakdown'!$Q$6:$Q$174, 'Expenditure Breakdown'!$W$6:$W$174, "&gt;="&amp;AML1,'Expenditure Breakdown'!$W$6:$W$174, "&lt;"&amp;AMM1)</f>
        <v>0</v>
      </c>
      <c r="AMM11" s="125">
        <f>SUMIFS('Expenditure Breakdown'!$Q$6:$Q$174, 'Expenditure Breakdown'!$W$6:$W$174, "&gt;="&amp;AMM1,'Expenditure Breakdown'!$W$6:$W$174, "&lt;"&amp;AMN1)</f>
        <v>0</v>
      </c>
      <c r="AMN11" s="125">
        <f>SUMIFS('Expenditure Breakdown'!$Q$6:$Q$174, 'Expenditure Breakdown'!$W$6:$W$174, "&gt;="&amp;AMN1,'Expenditure Breakdown'!$W$6:$W$174, "&lt;"&amp;AMO1)</f>
        <v>0</v>
      </c>
      <c r="AMO11" s="125">
        <f>SUMIFS('Expenditure Breakdown'!$Q$6:$Q$174, 'Expenditure Breakdown'!$W$6:$W$174, "&gt;="&amp;AMO1,'Expenditure Breakdown'!$W$6:$W$174, "&lt;"&amp;AMP1)</f>
        <v>0</v>
      </c>
      <c r="AMP11" s="125">
        <f>SUMIFS('Expenditure Breakdown'!$Q$6:$Q$174, 'Expenditure Breakdown'!$W$6:$W$174, "&gt;="&amp;AMP1,'Expenditure Breakdown'!$W$6:$W$174, "&lt;"&amp;AMQ1)</f>
        <v>0</v>
      </c>
      <c r="AMQ11" s="125">
        <f>SUMIFS('Expenditure Breakdown'!$Q$6:$Q$174, 'Expenditure Breakdown'!$W$6:$W$174, "&gt;="&amp;AMQ1,'Expenditure Breakdown'!$W$6:$W$174, "&lt;"&amp;AMR1)</f>
        <v>0</v>
      </c>
      <c r="AMR11" s="125">
        <f>SUMIFS('Expenditure Breakdown'!$Q$6:$Q$174, 'Expenditure Breakdown'!$W$6:$W$174, "&gt;="&amp;AMR1,'Expenditure Breakdown'!$W$6:$W$174, "&lt;"&amp;AMS1)</f>
        <v>0</v>
      </c>
      <c r="AMS11" s="125">
        <f>SUMIFS('Expenditure Breakdown'!$Q$6:$Q$174, 'Expenditure Breakdown'!$W$6:$W$174, "&gt;="&amp;AMS1,'Expenditure Breakdown'!$W$6:$W$174, "&lt;"&amp;AMT1)</f>
        <v>0</v>
      </c>
      <c r="AMT11" s="125">
        <f>SUMIFS('Expenditure Breakdown'!$Q$6:$Q$174, 'Expenditure Breakdown'!$W$6:$W$174, "&gt;="&amp;AMT1,'Expenditure Breakdown'!$W$6:$W$174, "&lt;"&amp;AMU1)</f>
        <v>0</v>
      </c>
      <c r="AMU11" s="125">
        <f>SUMIFS('Expenditure Breakdown'!$Q$6:$Q$174, 'Expenditure Breakdown'!$W$6:$W$174, "&gt;="&amp;AMU1,'Expenditure Breakdown'!$W$6:$W$174, "&lt;"&amp;AMV1)</f>
        <v>0</v>
      </c>
      <c r="AMV11" s="125">
        <f>SUMIFS('Expenditure Breakdown'!$Q$6:$Q$174, 'Expenditure Breakdown'!$W$6:$W$174, "&gt;="&amp;AMV1,'Expenditure Breakdown'!$W$6:$W$174, "&lt;"&amp;AMW1)</f>
        <v>0</v>
      </c>
      <c r="AMW11" s="125">
        <f>SUMIFS('Expenditure Breakdown'!$Q$6:$Q$174, 'Expenditure Breakdown'!$W$6:$W$174, "&gt;="&amp;AMW1,'Expenditure Breakdown'!$W$6:$W$174, "&lt;"&amp;AMX1)</f>
        <v>0</v>
      </c>
      <c r="AMX11" s="125">
        <f>SUMIFS('Expenditure Breakdown'!$Q$6:$Q$174, 'Expenditure Breakdown'!$W$6:$W$174, "&gt;="&amp;AMX1,'Expenditure Breakdown'!$W$6:$W$174, "&lt;"&amp;AMY1)</f>
        <v>0</v>
      </c>
      <c r="AMY11" s="125">
        <f>SUMIFS('Expenditure Breakdown'!$Q$6:$Q$174, 'Expenditure Breakdown'!$W$6:$W$174, "&gt;="&amp;AMY1,'Expenditure Breakdown'!$W$6:$W$174, "&lt;"&amp;AMZ1)</f>
        <v>0</v>
      </c>
      <c r="AMZ11" s="125">
        <f>SUMIFS('Expenditure Breakdown'!$Q$6:$Q$174, 'Expenditure Breakdown'!$W$6:$W$174, "&gt;="&amp;AMZ1,'Expenditure Breakdown'!$W$6:$W$174, "&lt;"&amp;ANA1)</f>
        <v>0</v>
      </c>
      <c r="ANA11" s="125">
        <f>SUMIFS('Expenditure Breakdown'!$Q$6:$Q$174, 'Expenditure Breakdown'!$W$6:$W$174, "&gt;="&amp;ANA1,'Expenditure Breakdown'!$W$6:$W$174, "&lt;"&amp;ANB1)</f>
        <v>0</v>
      </c>
      <c r="ANB11" s="125">
        <f>SUMIFS('Expenditure Breakdown'!$Q$6:$Q$174, 'Expenditure Breakdown'!$W$6:$W$174, "&gt;="&amp;ANB1,'Expenditure Breakdown'!$W$6:$W$174, "&lt;"&amp;ANC1)</f>
        <v>0</v>
      </c>
      <c r="ANC11" s="125">
        <f>SUMIFS('Expenditure Breakdown'!$Q$6:$Q$174, 'Expenditure Breakdown'!$W$6:$W$174, "&gt;="&amp;ANC1,'Expenditure Breakdown'!$W$6:$W$174, "&lt;"&amp;AND1)</f>
        <v>0</v>
      </c>
      <c r="AND11" s="125">
        <f>SUMIFS('Expenditure Breakdown'!$Q$6:$Q$174, 'Expenditure Breakdown'!$W$6:$W$174, "&gt;="&amp;AND1,'Expenditure Breakdown'!$W$6:$W$174, "&lt;"&amp;ANE1)</f>
        <v>0</v>
      </c>
      <c r="ANE11" s="125">
        <f>SUMIFS('Expenditure Breakdown'!$Q$6:$Q$174, 'Expenditure Breakdown'!$W$6:$W$174, "&gt;="&amp;ANE1,'Expenditure Breakdown'!$W$6:$W$174, "&lt;"&amp;ANF1)</f>
        <v>0</v>
      </c>
      <c r="ANF11" s="125">
        <f>SUMIFS('Expenditure Breakdown'!$Q$6:$Q$174, 'Expenditure Breakdown'!$W$6:$W$174, "&gt;="&amp;ANF1,'Expenditure Breakdown'!$W$6:$W$174, "&lt;"&amp;ANG1)</f>
        <v>0</v>
      </c>
      <c r="ANG11" s="125">
        <f>SUMIFS('Expenditure Breakdown'!$Q$6:$Q$174, 'Expenditure Breakdown'!$W$6:$W$174, "&gt;="&amp;ANG1,'Expenditure Breakdown'!$W$6:$W$174, "&lt;"&amp;ANH1)</f>
        <v>0</v>
      </c>
      <c r="ANH11" s="125">
        <f>SUMIFS('Expenditure Breakdown'!$Q$6:$Q$174, 'Expenditure Breakdown'!$W$6:$W$174, "&gt;="&amp;ANH1,'Expenditure Breakdown'!$W$6:$W$174, "&lt;"&amp;ANI1)</f>
        <v>0</v>
      </c>
      <c r="ANI11" s="125">
        <f>SUMIFS('Expenditure Breakdown'!$Q$6:$Q$174, 'Expenditure Breakdown'!$W$6:$W$174, "&gt;="&amp;ANI1,'Expenditure Breakdown'!$W$6:$W$174, "&lt;"&amp;ANJ1)</f>
        <v>0</v>
      </c>
      <c r="ANJ11" s="125">
        <f>SUMIFS('Expenditure Breakdown'!$Q$6:$Q$174, 'Expenditure Breakdown'!$W$6:$W$174, "&gt;="&amp;ANJ1,'Expenditure Breakdown'!$W$6:$W$174, "&lt;"&amp;ANK1)</f>
        <v>0</v>
      </c>
      <c r="ANK11" s="125">
        <f>SUMIFS('Expenditure Breakdown'!$Q$6:$Q$174, 'Expenditure Breakdown'!$W$6:$W$174, "&gt;="&amp;ANK1,'Expenditure Breakdown'!$W$6:$W$174, "&lt;"&amp;ANL1)</f>
        <v>0</v>
      </c>
      <c r="ANL11" s="125">
        <f>SUMIFS('Expenditure Breakdown'!$Q$6:$Q$174, 'Expenditure Breakdown'!$W$6:$W$174, "&gt;="&amp;ANL1,'Expenditure Breakdown'!$W$6:$W$174, "&lt;"&amp;ANM1)</f>
        <v>0</v>
      </c>
      <c r="ANM11" s="125">
        <f>SUMIFS('Expenditure Breakdown'!$Q$6:$Q$174, 'Expenditure Breakdown'!$W$6:$W$174, "&gt;="&amp;ANM1,'Expenditure Breakdown'!$W$6:$W$174, "&lt;"&amp;ANN1)</f>
        <v>0</v>
      </c>
      <c r="ANN11" s="125">
        <f>SUMIFS('Expenditure Breakdown'!$Q$6:$Q$174, 'Expenditure Breakdown'!$W$6:$W$174, "&gt;="&amp;ANN1,'Expenditure Breakdown'!$W$6:$W$174, "&lt;"&amp;ANO1)</f>
        <v>0</v>
      </c>
      <c r="ANO11" s="125">
        <f>SUMIFS('Expenditure Breakdown'!$Q$6:$Q$174, 'Expenditure Breakdown'!$W$6:$W$174, "&gt;="&amp;ANO1,'Expenditure Breakdown'!$W$6:$W$174, "&lt;"&amp;ANP1)</f>
        <v>0</v>
      </c>
      <c r="ANP11" s="125">
        <f>SUMIFS('Expenditure Breakdown'!$Q$6:$Q$174, 'Expenditure Breakdown'!$W$6:$W$174, "&gt;="&amp;ANP1,'Expenditure Breakdown'!$W$6:$W$174, "&lt;"&amp;ANQ1)</f>
        <v>0</v>
      </c>
      <c r="ANQ11" s="125">
        <f>SUMIFS('Expenditure Breakdown'!$Q$6:$Q$174, 'Expenditure Breakdown'!$W$6:$W$174, "&gt;="&amp;ANQ1,'Expenditure Breakdown'!$W$6:$W$174, "&lt;"&amp;ANR1)</f>
        <v>0</v>
      </c>
      <c r="ANR11" s="125">
        <f>SUMIFS('Expenditure Breakdown'!$Q$6:$Q$174, 'Expenditure Breakdown'!$W$6:$W$174, "&gt;="&amp;ANR1,'Expenditure Breakdown'!$W$6:$W$174, "&lt;"&amp;ANS1)</f>
        <v>0</v>
      </c>
      <c r="ANS11" s="125">
        <f>SUMIFS('Expenditure Breakdown'!$Q$6:$Q$174, 'Expenditure Breakdown'!$W$6:$W$174, "&gt;="&amp;ANS1,'Expenditure Breakdown'!$W$6:$W$174, "&lt;"&amp;ANT1)</f>
        <v>0</v>
      </c>
      <c r="ANT11" s="125">
        <f>SUMIFS('Expenditure Breakdown'!$Q$6:$Q$174, 'Expenditure Breakdown'!$W$6:$W$174, "&gt;="&amp;ANT1,'Expenditure Breakdown'!$W$6:$W$174, "&lt;"&amp;ANU1)</f>
        <v>0</v>
      </c>
      <c r="ANU11" s="125">
        <f>SUMIFS('Expenditure Breakdown'!$Q$6:$Q$174, 'Expenditure Breakdown'!$W$6:$W$174, "&gt;="&amp;ANU1,'Expenditure Breakdown'!$W$6:$W$174, "&lt;"&amp;ANV1)</f>
        <v>0</v>
      </c>
      <c r="ANV11" s="125">
        <f>SUMIFS('Expenditure Breakdown'!$Q$6:$Q$174, 'Expenditure Breakdown'!$W$6:$W$174, "&gt;="&amp;ANV1,'Expenditure Breakdown'!$W$6:$W$174, "&lt;"&amp;ANW1)</f>
        <v>0</v>
      </c>
      <c r="ANW11" s="125">
        <f>SUMIFS('Expenditure Breakdown'!$Q$6:$Q$174, 'Expenditure Breakdown'!$W$6:$W$174, "&gt;="&amp;ANW1,'Expenditure Breakdown'!$W$6:$W$174, "&lt;"&amp;ANX1)</f>
        <v>0</v>
      </c>
      <c r="ANX11" s="125">
        <f>SUMIFS('Expenditure Breakdown'!$Q$6:$Q$174, 'Expenditure Breakdown'!$W$6:$W$174, "&gt;="&amp;ANX1,'Expenditure Breakdown'!$W$6:$W$174, "&lt;"&amp;ANY1)</f>
        <v>0</v>
      </c>
      <c r="ANY11" s="125">
        <f>SUMIFS('Expenditure Breakdown'!$Q$6:$Q$174, 'Expenditure Breakdown'!$W$6:$W$174, "&gt;="&amp;ANY1,'Expenditure Breakdown'!$W$6:$W$174, "&lt;"&amp;ANZ1)</f>
        <v>0</v>
      </c>
      <c r="ANZ11" s="125">
        <f>SUMIFS('Expenditure Breakdown'!$Q$6:$Q$174, 'Expenditure Breakdown'!$W$6:$W$174, "&gt;="&amp;ANZ1,'Expenditure Breakdown'!$W$6:$W$174, "&lt;"&amp;AOA1)</f>
        <v>0</v>
      </c>
      <c r="AOA11" s="125">
        <f>SUMIFS('Expenditure Breakdown'!$Q$6:$Q$174, 'Expenditure Breakdown'!$W$6:$W$174, "&gt;="&amp;AOA1,'Expenditure Breakdown'!$W$6:$W$174, "&lt;"&amp;AOB1)</f>
        <v>0</v>
      </c>
      <c r="AOB11" s="125">
        <f>SUMIFS('Expenditure Breakdown'!$Q$6:$Q$174, 'Expenditure Breakdown'!$W$6:$W$174, "&gt;="&amp;AOB1,'Expenditure Breakdown'!$W$6:$W$174, "&lt;"&amp;AOC1)</f>
        <v>0</v>
      </c>
      <c r="AOC11" s="125">
        <f>SUMIFS('Expenditure Breakdown'!$Q$6:$Q$174, 'Expenditure Breakdown'!$W$6:$W$174, "&gt;="&amp;AOC1,'Expenditure Breakdown'!$W$6:$W$174, "&lt;"&amp;AOD1)</f>
        <v>0</v>
      </c>
      <c r="AOD11" s="125">
        <f>SUMIFS('Expenditure Breakdown'!$Q$6:$Q$174, 'Expenditure Breakdown'!$W$6:$W$174, "&gt;="&amp;AOD1,'Expenditure Breakdown'!$W$6:$W$174, "&lt;"&amp;AOE1)</f>
        <v>0</v>
      </c>
      <c r="AOE11" s="125">
        <f>SUMIFS('Expenditure Breakdown'!$Q$6:$Q$174, 'Expenditure Breakdown'!$W$6:$W$174, "&gt;="&amp;AOE1,'Expenditure Breakdown'!$W$6:$W$174, "&lt;"&amp;AOF1)</f>
        <v>0</v>
      </c>
      <c r="AOF11" s="125">
        <f>SUMIFS('Expenditure Breakdown'!$Q$6:$Q$174, 'Expenditure Breakdown'!$W$6:$W$174, "&gt;="&amp;AOF1,'Expenditure Breakdown'!$W$6:$W$174, "&lt;"&amp;AOG1)</f>
        <v>0</v>
      </c>
      <c r="AOG11" s="125">
        <f>SUMIFS('Expenditure Breakdown'!$Q$6:$Q$174, 'Expenditure Breakdown'!$W$6:$W$174, "&gt;="&amp;AOG1,'Expenditure Breakdown'!$W$6:$W$174, "&lt;"&amp;AOH1)</f>
        <v>0</v>
      </c>
      <c r="AOH11" s="125">
        <f>SUMIFS('Expenditure Breakdown'!$Q$6:$Q$174, 'Expenditure Breakdown'!$W$6:$W$174, "&gt;="&amp;AOH1,'Expenditure Breakdown'!$W$6:$W$174, "&lt;"&amp;AOI1)</f>
        <v>0</v>
      </c>
      <c r="AOI11" s="125">
        <f>SUMIFS('Expenditure Breakdown'!$Q$6:$Q$174, 'Expenditure Breakdown'!$W$6:$W$174, "&gt;="&amp;AOI1,'Expenditure Breakdown'!$W$6:$W$174, "&lt;"&amp;AOJ1)</f>
        <v>0</v>
      </c>
      <c r="AOJ11" s="125">
        <f>SUMIFS('Expenditure Breakdown'!$Q$6:$Q$174, 'Expenditure Breakdown'!$W$6:$W$174, "&gt;="&amp;AOJ1,'Expenditure Breakdown'!$W$6:$W$174, "&lt;"&amp;AOK1)</f>
        <v>0</v>
      </c>
      <c r="AOK11" s="125">
        <f>SUMIFS('Expenditure Breakdown'!$Q$6:$Q$174, 'Expenditure Breakdown'!$W$6:$W$174, "&gt;="&amp;AOK1,'Expenditure Breakdown'!$W$6:$W$174, "&lt;"&amp;AOL1)</f>
        <v>0</v>
      </c>
      <c r="AOL11" s="125">
        <f>SUMIFS('Expenditure Breakdown'!$Q$6:$Q$174, 'Expenditure Breakdown'!$W$6:$W$174, "&gt;="&amp;AOL1,'Expenditure Breakdown'!$W$6:$W$174, "&lt;"&amp;AOM1)</f>
        <v>0</v>
      </c>
      <c r="AOM11" s="125">
        <f>SUMIFS('Expenditure Breakdown'!$Q$6:$Q$174, 'Expenditure Breakdown'!$W$6:$W$174, "&gt;="&amp;AOM1,'Expenditure Breakdown'!$W$6:$W$174, "&lt;"&amp;AON1)</f>
        <v>0</v>
      </c>
      <c r="AON11" s="125">
        <f>SUMIFS('Expenditure Breakdown'!$Q$6:$Q$174, 'Expenditure Breakdown'!$W$6:$W$174, "&gt;="&amp;AON1,'Expenditure Breakdown'!$W$6:$W$174, "&lt;"&amp;AOO1)</f>
        <v>0</v>
      </c>
      <c r="AOO11" s="125">
        <f>SUMIFS('Expenditure Breakdown'!$Q$6:$Q$174, 'Expenditure Breakdown'!$W$6:$W$174, "&gt;="&amp;AOO1,'Expenditure Breakdown'!$W$6:$W$174, "&lt;"&amp;AOP1)</f>
        <v>0</v>
      </c>
      <c r="AOP11" s="125">
        <f>SUMIFS('Expenditure Breakdown'!$Q$6:$Q$174, 'Expenditure Breakdown'!$W$6:$W$174, "&gt;="&amp;AOP1,'Expenditure Breakdown'!$W$6:$W$174, "&lt;"&amp;AOQ1)</f>
        <v>0</v>
      </c>
      <c r="AOQ11" s="125">
        <f>SUMIFS('Expenditure Breakdown'!$Q$6:$Q$174, 'Expenditure Breakdown'!$W$6:$W$174, "&gt;="&amp;AOQ1,'Expenditure Breakdown'!$W$6:$W$174, "&lt;"&amp;AOR1)</f>
        <v>0</v>
      </c>
      <c r="AOR11" s="125">
        <f>SUMIFS('Expenditure Breakdown'!$Q$6:$Q$174, 'Expenditure Breakdown'!$W$6:$W$174, "&gt;="&amp;AOR1,'Expenditure Breakdown'!$W$6:$W$174, "&lt;"&amp;AOS1)</f>
        <v>0</v>
      </c>
      <c r="AOS11" s="125">
        <f>SUMIFS('Expenditure Breakdown'!$Q$6:$Q$174, 'Expenditure Breakdown'!$W$6:$W$174, "&gt;="&amp;AOS1,'Expenditure Breakdown'!$W$6:$W$174, "&lt;"&amp;AOT1)</f>
        <v>0</v>
      </c>
      <c r="AOT11" s="125">
        <f>SUMIFS('Expenditure Breakdown'!$Q$6:$Q$174, 'Expenditure Breakdown'!$W$6:$W$174, "&gt;="&amp;AOT1,'Expenditure Breakdown'!$W$6:$W$174, "&lt;"&amp;AOU1)</f>
        <v>0</v>
      </c>
      <c r="AOU11" s="125">
        <f>SUMIFS('Expenditure Breakdown'!$Q$6:$Q$174, 'Expenditure Breakdown'!$W$6:$W$174, "&gt;="&amp;AOU1,'Expenditure Breakdown'!$W$6:$W$174, "&lt;"&amp;AOV1)</f>
        <v>0</v>
      </c>
      <c r="AOV11" s="125">
        <f>SUMIFS('Expenditure Breakdown'!$Q$6:$Q$174, 'Expenditure Breakdown'!$W$6:$W$174, "&gt;="&amp;AOV1,'Expenditure Breakdown'!$W$6:$W$174, "&lt;"&amp;AOW1)</f>
        <v>0</v>
      </c>
      <c r="AOW11" s="125">
        <f>SUMIFS('Expenditure Breakdown'!$Q$6:$Q$174, 'Expenditure Breakdown'!$W$6:$W$174, "&gt;="&amp;AOW1,'Expenditure Breakdown'!$W$6:$W$174, "&lt;"&amp;AOX1)</f>
        <v>0</v>
      </c>
      <c r="AOX11" s="125">
        <f>SUMIFS('Expenditure Breakdown'!$Q$6:$Q$174, 'Expenditure Breakdown'!$W$6:$W$174, "&gt;="&amp;AOX1,'Expenditure Breakdown'!$W$6:$W$174, "&lt;"&amp;AOY1)</f>
        <v>0</v>
      </c>
      <c r="AOY11" s="125">
        <f>SUMIFS('Expenditure Breakdown'!$Q$6:$Q$174, 'Expenditure Breakdown'!$W$6:$W$174, "&gt;="&amp;AOY1,'Expenditure Breakdown'!$W$6:$W$174, "&lt;"&amp;AOZ1)</f>
        <v>0</v>
      </c>
      <c r="AOZ11" s="125">
        <f>SUMIFS('Expenditure Breakdown'!$Q$6:$Q$174, 'Expenditure Breakdown'!$W$6:$W$174, "&gt;="&amp;AOZ1,'Expenditure Breakdown'!$W$6:$W$174, "&lt;"&amp;APA1)</f>
        <v>0</v>
      </c>
      <c r="APA11" s="125">
        <f>SUMIFS('Expenditure Breakdown'!$Q$6:$Q$174, 'Expenditure Breakdown'!$W$6:$W$174, "&gt;="&amp;APA1,'Expenditure Breakdown'!$W$6:$W$174, "&lt;"&amp;APB1)</f>
        <v>0</v>
      </c>
      <c r="APB11" s="125">
        <f>SUMIFS('Expenditure Breakdown'!$Q$6:$Q$174, 'Expenditure Breakdown'!$W$6:$W$174, "&gt;="&amp;APB1,'Expenditure Breakdown'!$W$6:$W$174, "&lt;"&amp;APC1)</f>
        <v>0</v>
      </c>
      <c r="APC11" s="125">
        <f>SUMIFS('Expenditure Breakdown'!$Q$6:$Q$174, 'Expenditure Breakdown'!$W$6:$W$174, "&gt;="&amp;APC1,'Expenditure Breakdown'!$W$6:$W$174, "&lt;"&amp;APD1)</f>
        <v>0</v>
      </c>
      <c r="APD11" s="125">
        <f>SUMIFS('Expenditure Breakdown'!$Q$6:$Q$174, 'Expenditure Breakdown'!$W$6:$W$174, "&gt;="&amp;APD1,'Expenditure Breakdown'!$W$6:$W$174, "&lt;"&amp;APE1)</f>
        <v>0</v>
      </c>
      <c r="APE11" s="125">
        <f>SUMIFS('Expenditure Breakdown'!$Q$6:$Q$174, 'Expenditure Breakdown'!$W$6:$W$174, "&gt;="&amp;APE1,'Expenditure Breakdown'!$W$6:$W$174, "&lt;"&amp;APF1)</f>
        <v>0</v>
      </c>
      <c r="APF11" s="125">
        <f>SUMIFS('Expenditure Breakdown'!$Q$6:$Q$174, 'Expenditure Breakdown'!$W$6:$W$174, "&gt;="&amp;APF1,'Expenditure Breakdown'!$W$6:$W$174, "&lt;"&amp;APG1)</f>
        <v>0</v>
      </c>
      <c r="APG11" s="125">
        <f>SUMIFS('Expenditure Breakdown'!$Q$6:$Q$174, 'Expenditure Breakdown'!$W$6:$W$174, "&gt;="&amp;APG1,'Expenditure Breakdown'!$W$6:$W$174, "&lt;"&amp;APH1)</f>
        <v>0</v>
      </c>
      <c r="APH11" s="125">
        <f>SUMIFS('Expenditure Breakdown'!$Q$6:$Q$174, 'Expenditure Breakdown'!$W$6:$W$174, "&gt;="&amp;APH1,'Expenditure Breakdown'!$W$6:$W$174, "&lt;"&amp;API1)</f>
        <v>0</v>
      </c>
      <c r="API11" s="125">
        <f>SUMIFS('Expenditure Breakdown'!$Q$6:$Q$174, 'Expenditure Breakdown'!$W$6:$W$174, "&gt;="&amp;API1,'Expenditure Breakdown'!$W$6:$W$174, "&lt;"&amp;APJ1)</f>
        <v>0</v>
      </c>
      <c r="APJ11" s="125">
        <f>SUMIFS('Expenditure Breakdown'!$Q$6:$Q$174, 'Expenditure Breakdown'!$W$6:$W$174, "&gt;="&amp;APJ1,'Expenditure Breakdown'!$W$6:$W$174, "&lt;"&amp;APK1)</f>
        <v>0</v>
      </c>
      <c r="APK11" s="125">
        <f>SUMIFS('Expenditure Breakdown'!$Q$6:$Q$174, 'Expenditure Breakdown'!$W$6:$W$174, "&gt;="&amp;APK1,'Expenditure Breakdown'!$W$6:$W$174, "&lt;"&amp;APL1)</f>
        <v>0</v>
      </c>
      <c r="APL11" s="125">
        <f>SUMIFS('Expenditure Breakdown'!$Q$6:$Q$174, 'Expenditure Breakdown'!$W$6:$W$174, "&gt;="&amp;APL1,'Expenditure Breakdown'!$W$6:$W$174, "&lt;"&amp;APM1)</f>
        <v>0</v>
      </c>
      <c r="APM11" s="125">
        <f>SUMIFS('Expenditure Breakdown'!$Q$6:$Q$174, 'Expenditure Breakdown'!$W$6:$W$174, "&gt;="&amp;APM1,'Expenditure Breakdown'!$W$6:$W$174, "&lt;"&amp;APN1)</f>
        <v>0</v>
      </c>
      <c r="APN11" s="125">
        <f>SUMIFS('Expenditure Breakdown'!$Q$6:$Q$174, 'Expenditure Breakdown'!$W$6:$W$174, "&gt;="&amp;APN1,'Expenditure Breakdown'!$W$6:$W$174, "&lt;"&amp;APO1)</f>
        <v>0</v>
      </c>
      <c r="APO11" s="125">
        <f>SUMIFS('Expenditure Breakdown'!$Q$6:$Q$174, 'Expenditure Breakdown'!$W$6:$W$174, "&gt;="&amp;APO1,'Expenditure Breakdown'!$W$6:$W$174, "&lt;"&amp;APP1)</f>
        <v>0</v>
      </c>
      <c r="APP11" s="125">
        <f>SUMIFS('Expenditure Breakdown'!$Q$6:$Q$174, 'Expenditure Breakdown'!$W$6:$W$174, "&gt;="&amp;APP1,'Expenditure Breakdown'!$W$6:$W$174, "&lt;"&amp;APQ1)</f>
        <v>0</v>
      </c>
      <c r="APQ11" s="125">
        <f>SUMIFS('Expenditure Breakdown'!$Q$6:$Q$174, 'Expenditure Breakdown'!$W$6:$W$174, "&gt;="&amp;APQ1,'Expenditure Breakdown'!$W$6:$W$174, "&lt;"&amp;APR1)</f>
        <v>0</v>
      </c>
      <c r="APR11" s="125">
        <f>SUMIFS('Expenditure Breakdown'!$Q$6:$Q$174, 'Expenditure Breakdown'!$W$6:$W$174, "&gt;="&amp;APR1,'Expenditure Breakdown'!$W$6:$W$174, "&lt;"&amp;APS1)</f>
        <v>0</v>
      </c>
      <c r="APS11" s="125">
        <f>SUMIFS('Expenditure Breakdown'!$Q$6:$Q$174, 'Expenditure Breakdown'!$W$6:$W$174, "&gt;="&amp;APS1,'Expenditure Breakdown'!$W$6:$W$174, "&lt;"&amp;APT1)</f>
        <v>0</v>
      </c>
      <c r="APT11" s="125">
        <f>SUMIFS('Expenditure Breakdown'!$Q$6:$Q$174, 'Expenditure Breakdown'!$W$6:$W$174, "&gt;="&amp;APT1,'Expenditure Breakdown'!$W$6:$W$174, "&lt;"&amp;APU1)</f>
        <v>0</v>
      </c>
      <c r="APU11" s="125">
        <f>SUMIFS('Expenditure Breakdown'!$Q$6:$Q$174, 'Expenditure Breakdown'!$W$6:$W$174, "&gt;="&amp;APU1,'Expenditure Breakdown'!$W$6:$W$174, "&lt;"&amp;APV1)</f>
        <v>0</v>
      </c>
      <c r="APV11" s="125">
        <f>SUMIFS('Expenditure Breakdown'!$Q$6:$Q$174, 'Expenditure Breakdown'!$W$6:$W$174, "&gt;="&amp;APV1,'Expenditure Breakdown'!$W$6:$W$174, "&lt;"&amp;APW1)</f>
        <v>0</v>
      </c>
      <c r="APW11" s="125">
        <f>SUMIFS('Expenditure Breakdown'!$Q$6:$Q$174, 'Expenditure Breakdown'!$W$6:$W$174, "&gt;="&amp;APW1,'Expenditure Breakdown'!$W$6:$W$174, "&lt;"&amp;APX1)</f>
        <v>0</v>
      </c>
      <c r="APX11" s="125">
        <f>SUMIFS('Expenditure Breakdown'!$Q$6:$Q$174, 'Expenditure Breakdown'!$W$6:$W$174, "&gt;="&amp;APX1,'Expenditure Breakdown'!$W$6:$W$174, "&lt;"&amp;APY1)</f>
        <v>0</v>
      </c>
      <c r="APY11" s="125">
        <f>SUMIFS('Expenditure Breakdown'!$Q$6:$Q$174, 'Expenditure Breakdown'!$W$6:$W$174, "&gt;="&amp;APY1,'Expenditure Breakdown'!$W$6:$W$174, "&lt;"&amp;APZ1)</f>
        <v>0</v>
      </c>
      <c r="APZ11" s="125">
        <f>SUMIFS('Expenditure Breakdown'!$Q$6:$Q$174, 'Expenditure Breakdown'!$W$6:$W$174, "&gt;="&amp;APZ1,'Expenditure Breakdown'!$W$6:$W$174, "&lt;"&amp;AQA1)</f>
        <v>0</v>
      </c>
      <c r="AQA11" s="125">
        <f>SUMIFS('Expenditure Breakdown'!$Q$6:$Q$174, 'Expenditure Breakdown'!$W$6:$W$174, "&gt;="&amp;AQA1,'Expenditure Breakdown'!$W$6:$W$174, "&lt;"&amp;AQB1)</f>
        <v>0</v>
      </c>
      <c r="AQB11" s="125">
        <f>SUMIFS('Expenditure Breakdown'!$Q$6:$Q$174, 'Expenditure Breakdown'!$W$6:$W$174, "&gt;="&amp;AQB1,'Expenditure Breakdown'!$W$6:$W$174, "&lt;"&amp;AQC1)</f>
        <v>0</v>
      </c>
      <c r="AQC11" s="125">
        <f>SUMIFS('Expenditure Breakdown'!$Q$6:$Q$174, 'Expenditure Breakdown'!$W$6:$W$174, "&gt;="&amp;AQC1,'Expenditure Breakdown'!$W$6:$W$174, "&lt;"&amp;AQD1)</f>
        <v>0</v>
      </c>
      <c r="AQD11" s="125">
        <f>SUMIFS('Expenditure Breakdown'!$Q$6:$Q$174, 'Expenditure Breakdown'!$W$6:$W$174, "&gt;="&amp;AQD1,'Expenditure Breakdown'!$W$6:$W$174, "&lt;"&amp;AQE1)</f>
        <v>0</v>
      </c>
      <c r="AQE11" s="125">
        <f>SUMIFS('Expenditure Breakdown'!$Q$6:$Q$174, 'Expenditure Breakdown'!$W$6:$W$174, "&gt;="&amp;AQE1,'Expenditure Breakdown'!$W$6:$W$174, "&lt;"&amp;AQF1)</f>
        <v>0</v>
      </c>
      <c r="AQF11" s="125">
        <f>SUMIFS('Expenditure Breakdown'!$Q$6:$Q$174, 'Expenditure Breakdown'!$W$6:$W$174, "&gt;="&amp;AQF1,'Expenditure Breakdown'!$W$6:$W$174, "&lt;"&amp;AQG1)</f>
        <v>0</v>
      </c>
      <c r="AQG11" s="125">
        <f>SUMIFS('Expenditure Breakdown'!$Q$6:$Q$174, 'Expenditure Breakdown'!$W$6:$W$174, "&gt;="&amp;AQG1,'Expenditure Breakdown'!$W$6:$W$174, "&lt;"&amp;AQH1)</f>
        <v>0</v>
      </c>
      <c r="AQH11" s="125">
        <f>SUMIFS('Expenditure Breakdown'!$Q$6:$Q$174, 'Expenditure Breakdown'!$W$6:$W$174, "&gt;="&amp;AQH1,'Expenditure Breakdown'!$W$6:$W$174, "&lt;"&amp;AQI1)</f>
        <v>0</v>
      </c>
      <c r="AQI11" s="125">
        <f>SUMIFS('Expenditure Breakdown'!$Q$6:$Q$174, 'Expenditure Breakdown'!$W$6:$W$174, "&gt;="&amp;AQI1,'Expenditure Breakdown'!$W$6:$W$174, "&lt;"&amp;AQJ1)</f>
        <v>0</v>
      </c>
      <c r="AQJ11" s="125">
        <f>SUMIFS('Expenditure Breakdown'!$Q$6:$Q$174, 'Expenditure Breakdown'!$W$6:$W$174, "&gt;="&amp;AQJ1,'Expenditure Breakdown'!$W$6:$W$174, "&lt;"&amp;AQK1)</f>
        <v>0</v>
      </c>
      <c r="AQK11" s="125">
        <f>SUMIFS('Expenditure Breakdown'!$Q$6:$Q$174, 'Expenditure Breakdown'!$W$6:$W$174, "&gt;="&amp;AQK1,'Expenditure Breakdown'!$W$6:$W$174, "&lt;"&amp;AQL1)</f>
        <v>0</v>
      </c>
      <c r="AQL11" s="125">
        <f>SUMIFS('Expenditure Breakdown'!$Q$6:$Q$174, 'Expenditure Breakdown'!$W$6:$W$174, "&gt;="&amp;AQL1,'Expenditure Breakdown'!$W$6:$W$174, "&lt;"&amp;AQM1)</f>
        <v>0</v>
      </c>
      <c r="AQM11" s="125">
        <f>SUMIFS('Expenditure Breakdown'!$Q$6:$Q$174, 'Expenditure Breakdown'!$W$6:$W$174, "&gt;="&amp;AQM1,'Expenditure Breakdown'!$W$6:$W$174, "&lt;"&amp;AQN1)</f>
        <v>0</v>
      </c>
      <c r="AQN11" s="125">
        <f>SUMIFS('Expenditure Breakdown'!$Q$6:$Q$174, 'Expenditure Breakdown'!$W$6:$W$174, "&gt;="&amp;AQN1,'Expenditure Breakdown'!$W$6:$W$174, "&lt;"&amp;AQO1)</f>
        <v>0</v>
      </c>
      <c r="AQO11" s="125">
        <f>SUMIFS('Expenditure Breakdown'!$Q$6:$Q$174, 'Expenditure Breakdown'!$W$6:$W$174, "&gt;="&amp;AQO1,'Expenditure Breakdown'!$W$6:$W$174, "&lt;"&amp;AQP1)</f>
        <v>0</v>
      </c>
      <c r="AQP11" s="125">
        <f>SUMIFS('Expenditure Breakdown'!$Q$6:$Q$174, 'Expenditure Breakdown'!$W$6:$W$174, "&gt;="&amp;AQP1,'Expenditure Breakdown'!$W$6:$W$174, "&lt;"&amp;AQQ1)</f>
        <v>0</v>
      </c>
      <c r="AQQ11" s="125">
        <f>SUMIFS('Expenditure Breakdown'!$Q$6:$Q$174, 'Expenditure Breakdown'!$W$6:$W$174, "&gt;="&amp;AQQ1,'Expenditure Breakdown'!$W$6:$W$174, "&lt;"&amp;AQR1)</f>
        <v>0</v>
      </c>
      <c r="AQR11" s="125">
        <f>SUMIFS('Expenditure Breakdown'!$Q$6:$Q$174, 'Expenditure Breakdown'!$W$6:$W$174, "&gt;="&amp;AQR1,'Expenditure Breakdown'!$W$6:$W$174, "&lt;"&amp;AQS1)</f>
        <v>0</v>
      </c>
      <c r="AQS11" s="125">
        <f>SUMIFS('Expenditure Breakdown'!$Q$6:$Q$174, 'Expenditure Breakdown'!$W$6:$W$174, "&gt;="&amp;AQS1,'Expenditure Breakdown'!$W$6:$W$174, "&lt;"&amp;AQT1)</f>
        <v>0</v>
      </c>
      <c r="AQT11" s="125">
        <f>SUMIFS('Expenditure Breakdown'!$Q$6:$Q$174, 'Expenditure Breakdown'!$W$6:$W$174, "&gt;="&amp;AQT1,'Expenditure Breakdown'!$W$6:$W$174, "&lt;"&amp;AQU1)</f>
        <v>0</v>
      </c>
      <c r="AQU11" s="125">
        <f>SUMIFS('Expenditure Breakdown'!$Q$6:$Q$174, 'Expenditure Breakdown'!$W$6:$W$174, "&gt;="&amp;AQU1,'Expenditure Breakdown'!$W$6:$W$174, "&lt;"&amp;AQV1)</f>
        <v>0</v>
      </c>
      <c r="AQV11" s="125">
        <f>SUMIFS('Expenditure Breakdown'!$Q$6:$Q$174, 'Expenditure Breakdown'!$W$6:$W$174, "&gt;="&amp;AQV1,'Expenditure Breakdown'!$W$6:$W$174, "&lt;"&amp;AQW1)</f>
        <v>0</v>
      </c>
      <c r="AQW11" s="125">
        <f>SUMIFS('Expenditure Breakdown'!$Q$6:$Q$174, 'Expenditure Breakdown'!$W$6:$W$174, "&gt;="&amp;AQW1,'Expenditure Breakdown'!$W$6:$W$174, "&lt;"&amp;AQX1)</f>
        <v>0</v>
      </c>
      <c r="AQX11" s="125">
        <f>SUMIFS('Expenditure Breakdown'!$Q$6:$Q$174, 'Expenditure Breakdown'!$W$6:$W$174, "&gt;="&amp;AQX1,'Expenditure Breakdown'!$W$6:$W$174, "&lt;"&amp;AQY1)</f>
        <v>0</v>
      </c>
      <c r="AQY11" s="125">
        <f>SUMIFS('Expenditure Breakdown'!$Q$6:$Q$174, 'Expenditure Breakdown'!$W$6:$W$174, "&gt;="&amp;AQY1,'Expenditure Breakdown'!$W$6:$W$174, "&lt;"&amp;AQZ1)</f>
        <v>0</v>
      </c>
      <c r="AQZ11" s="125">
        <f>SUMIFS('Expenditure Breakdown'!$Q$6:$Q$174, 'Expenditure Breakdown'!$W$6:$W$174, "&gt;="&amp;AQZ1,'Expenditure Breakdown'!$W$6:$W$174, "&lt;"&amp;ARA1)</f>
        <v>0</v>
      </c>
      <c r="ARA11" s="125">
        <f>SUMIFS('Expenditure Breakdown'!$Q$6:$Q$174, 'Expenditure Breakdown'!$W$6:$W$174, "&gt;="&amp;ARA1,'Expenditure Breakdown'!$W$6:$W$174, "&lt;"&amp;ARB1)</f>
        <v>0</v>
      </c>
      <c r="ARB11" s="125">
        <f>SUMIFS('Expenditure Breakdown'!$Q$6:$Q$174, 'Expenditure Breakdown'!$W$6:$W$174, "&gt;="&amp;ARB1,'Expenditure Breakdown'!$W$6:$W$174, "&lt;"&amp;ARC1)</f>
        <v>0</v>
      </c>
      <c r="ARC11" s="125">
        <f>SUMIFS('Expenditure Breakdown'!$Q$6:$Q$174, 'Expenditure Breakdown'!$W$6:$W$174, "&gt;="&amp;ARC1,'Expenditure Breakdown'!$W$6:$W$174, "&lt;"&amp;ARD1)</f>
        <v>0</v>
      </c>
      <c r="ARD11" s="125">
        <f>SUMIFS('Expenditure Breakdown'!$Q$6:$Q$174, 'Expenditure Breakdown'!$W$6:$W$174, "&gt;="&amp;ARD1,'Expenditure Breakdown'!$W$6:$W$174, "&lt;"&amp;ARE1)</f>
        <v>0</v>
      </c>
      <c r="ARE11" s="125">
        <f>SUMIFS('Expenditure Breakdown'!$Q$6:$Q$174, 'Expenditure Breakdown'!$W$6:$W$174, "&gt;="&amp;ARE1,'Expenditure Breakdown'!$W$6:$W$174, "&lt;"&amp;ARF1)</f>
        <v>0</v>
      </c>
      <c r="ARF11" s="125">
        <f>SUMIFS('Expenditure Breakdown'!$Q$6:$Q$174, 'Expenditure Breakdown'!$W$6:$W$174, "&gt;="&amp;ARF1,'Expenditure Breakdown'!$W$6:$W$174, "&lt;"&amp;ARG1)</f>
        <v>0</v>
      </c>
      <c r="ARG11" s="125">
        <f>SUMIFS('Expenditure Breakdown'!$Q$6:$Q$174, 'Expenditure Breakdown'!$W$6:$W$174, "&gt;="&amp;ARG1,'Expenditure Breakdown'!$W$6:$W$174, "&lt;"&amp;ARH1)</f>
        <v>0</v>
      </c>
      <c r="ARH11" s="125">
        <f>SUMIFS('Expenditure Breakdown'!$Q$6:$Q$174, 'Expenditure Breakdown'!$W$6:$W$174, "&gt;="&amp;ARH1,'Expenditure Breakdown'!$W$6:$W$174, "&lt;"&amp;ARI1)</f>
        <v>0</v>
      </c>
      <c r="ARI11" s="125">
        <f>SUMIFS('Expenditure Breakdown'!$Q$6:$Q$174, 'Expenditure Breakdown'!$W$6:$W$174, "&gt;="&amp;ARI1,'Expenditure Breakdown'!$W$6:$W$174, "&lt;"&amp;ARJ1)</f>
        <v>0</v>
      </c>
      <c r="ARJ11" s="125">
        <f>SUMIFS('Expenditure Breakdown'!$Q$6:$Q$174, 'Expenditure Breakdown'!$W$6:$W$174, "&gt;="&amp;ARJ1,'Expenditure Breakdown'!$W$6:$W$174, "&lt;"&amp;ARK1)</f>
        <v>0</v>
      </c>
      <c r="ARK11" s="125">
        <f>SUMIFS('Expenditure Breakdown'!$Q$6:$Q$174, 'Expenditure Breakdown'!$W$6:$W$174, "&gt;="&amp;ARK1,'Expenditure Breakdown'!$W$6:$W$174, "&lt;"&amp;ARL1)</f>
        <v>0</v>
      </c>
      <c r="ARL11" s="125">
        <f>SUMIFS('Expenditure Breakdown'!$Q$6:$Q$174, 'Expenditure Breakdown'!$W$6:$W$174, "&gt;="&amp;ARL1,'Expenditure Breakdown'!$W$6:$W$174, "&lt;"&amp;ARM1)</f>
        <v>0</v>
      </c>
      <c r="ARM11" s="125">
        <f>SUMIFS('Expenditure Breakdown'!$Q$6:$Q$174, 'Expenditure Breakdown'!$W$6:$W$174, "&gt;="&amp;ARM1,'Expenditure Breakdown'!$W$6:$W$174, "&lt;"&amp;ARN1)</f>
        <v>0</v>
      </c>
      <c r="ARN11" s="125">
        <f>SUMIFS('Expenditure Breakdown'!$Q$6:$Q$174, 'Expenditure Breakdown'!$W$6:$W$174, "&gt;="&amp;ARN1,'Expenditure Breakdown'!$W$6:$W$174, "&lt;"&amp;ARO1)</f>
        <v>0</v>
      </c>
      <c r="ARO11" s="125">
        <f>SUMIFS('Expenditure Breakdown'!$Q$6:$Q$174, 'Expenditure Breakdown'!$W$6:$W$174, "&gt;="&amp;ARO1,'Expenditure Breakdown'!$W$6:$W$174, "&lt;"&amp;ARP1)</f>
        <v>0</v>
      </c>
      <c r="ARP11" s="125">
        <f>SUMIFS('Expenditure Breakdown'!$Q$6:$Q$174, 'Expenditure Breakdown'!$W$6:$W$174, "&gt;="&amp;ARP1,'Expenditure Breakdown'!$W$6:$W$174, "&lt;"&amp;ARQ1)</f>
        <v>0</v>
      </c>
      <c r="ARQ11" s="125">
        <f>SUMIFS('Expenditure Breakdown'!$Q$6:$Q$174, 'Expenditure Breakdown'!$W$6:$W$174, "&gt;="&amp;ARQ1,'Expenditure Breakdown'!$W$6:$W$174, "&lt;"&amp;ARR1)</f>
        <v>0</v>
      </c>
      <c r="ARR11" s="125">
        <f>SUMIFS('Expenditure Breakdown'!$Q$6:$Q$174, 'Expenditure Breakdown'!$W$6:$W$174, "&gt;="&amp;ARR1,'Expenditure Breakdown'!$W$6:$W$174, "&lt;"&amp;ARS1)</f>
        <v>0</v>
      </c>
      <c r="ARS11" s="125">
        <f>SUMIFS('Expenditure Breakdown'!$Q$6:$Q$174, 'Expenditure Breakdown'!$W$6:$W$174, "&gt;="&amp;ARS1,'Expenditure Breakdown'!$W$6:$W$174, "&lt;"&amp;ART1)</f>
        <v>0</v>
      </c>
      <c r="ART11" s="125">
        <f>SUMIFS('Expenditure Breakdown'!$Q$6:$Q$174, 'Expenditure Breakdown'!$W$6:$W$174, "&gt;="&amp;ART1,'Expenditure Breakdown'!$W$6:$W$174, "&lt;"&amp;ARU1)</f>
        <v>0</v>
      </c>
      <c r="ARU11" s="125">
        <f>SUMIFS('Expenditure Breakdown'!$Q$6:$Q$174, 'Expenditure Breakdown'!$W$6:$W$174, "&gt;="&amp;ARU1,'Expenditure Breakdown'!$W$6:$W$174, "&lt;"&amp;ARV1)</f>
        <v>0</v>
      </c>
      <c r="ARV11" s="125">
        <f>SUMIFS('Expenditure Breakdown'!$Q$6:$Q$174, 'Expenditure Breakdown'!$W$6:$W$174, "&gt;="&amp;ARV1,'Expenditure Breakdown'!$W$6:$W$174, "&lt;"&amp;ARW1)</f>
        <v>0</v>
      </c>
      <c r="ARW11" s="125">
        <f>SUMIFS('Expenditure Breakdown'!$Q$6:$Q$174, 'Expenditure Breakdown'!$W$6:$W$174, "&gt;="&amp;ARW1,'Expenditure Breakdown'!$W$6:$W$174, "&lt;"&amp;ARX1)</f>
        <v>0</v>
      </c>
      <c r="ARX11" s="125">
        <f>SUMIFS('Expenditure Breakdown'!$Q$6:$Q$174, 'Expenditure Breakdown'!$W$6:$W$174, "&gt;="&amp;ARX1,'Expenditure Breakdown'!$W$6:$W$174, "&lt;"&amp;ARY1)</f>
        <v>0</v>
      </c>
      <c r="ARY11" s="125">
        <f>SUMIFS('Expenditure Breakdown'!$Q$6:$Q$174, 'Expenditure Breakdown'!$W$6:$W$174, "&gt;="&amp;ARY1,'Expenditure Breakdown'!$W$6:$W$174, "&lt;"&amp;ARZ1)</f>
        <v>0</v>
      </c>
      <c r="ARZ11" s="125">
        <f>SUMIFS('Expenditure Breakdown'!$Q$6:$Q$174, 'Expenditure Breakdown'!$W$6:$W$174, "&gt;="&amp;ARZ1,'Expenditure Breakdown'!$W$6:$W$174, "&lt;"&amp;ASA1)</f>
        <v>0</v>
      </c>
      <c r="ASA11" s="125">
        <f>SUMIFS('Expenditure Breakdown'!$Q$6:$Q$174, 'Expenditure Breakdown'!$W$6:$W$174, "&gt;="&amp;ASA1,'Expenditure Breakdown'!$W$6:$W$174, "&lt;"&amp;ASB1)</f>
        <v>0</v>
      </c>
      <c r="ASB11" s="125">
        <f>SUMIFS('Expenditure Breakdown'!$Q$6:$Q$174, 'Expenditure Breakdown'!$W$6:$W$174, "&gt;="&amp;ASB1,'Expenditure Breakdown'!$W$6:$W$174, "&lt;"&amp;ASC1)</f>
        <v>0</v>
      </c>
      <c r="ASC11" s="125">
        <f>SUMIFS('Expenditure Breakdown'!$Q$6:$Q$174, 'Expenditure Breakdown'!$W$6:$W$174, "&gt;="&amp;ASC1,'Expenditure Breakdown'!$W$6:$W$174, "&lt;"&amp;ASD1)</f>
        <v>0</v>
      </c>
      <c r="ASD11" s="125">
        <f>SUMIFS('Expenditure Breakdown'!$Q$6:$Q$174, 'Expenditure Breakdown'!$W$6:$W$174, "&gt;="&amp;ASD1,'Expenditure Breakdown'!$W$6:$W$174, "&lt;"&amp;ASE1)</f>
        <v>0</v>
      </c>
      <c r="ASE11" s="125">
        <f>SUMIFS('Expenditure Breakdown'!$Q$6:$Q$174, 'Expenditure Breakdown'!$W$6:$W$174, "&gt;="&amp;ASE1,'Expenditure Breakdown'!$W$6:$W$174, "&lt;"&amp;ASF1)</f>
        <v>0</v>
      </c>
      <c r="ASF11" s="125">
        <f>SUMIFS('Expenditure Breakdown'!$Q$6:$Q$174, 'Expenditure Breakdown'!$W$6:$W$174, "&gt;="&amp;ASF1,'Expenditure Breakdown'!$W$6:$W$174, "&lt;"&amp;ASG1)</f>
        <v>0</v>
      </c>
      <c r="ASG11" s="125">
        <f>SUMIFS('Expenditure Breakdown'!$Q$6:$Q$174, 'Expenditure Breakdown'!$W$6:$W$174, "&gt;="&amp;ASG1,'Expenditure Breakdown'!$W$6:$W$174, "&lt;"&amp;ASH1)</f>
        <v>0</v>
      </c>
      <c r="ASH11" s="125">
        <f>SUMIFS('Expenditure Breakdown'!$Q$6:$Q$174, 'Expenditure Breakdown'!$W$6:$W$174, "&gt;="&amp;ASH1,'Expenditure Breakdown'!$W$6:$W$174, "&lt;"&amp;ASI1)</f>
        <v>0</v>
      </c>
      <c r="ASI11" s="125">
        <f>SUMIFS('Expenditure Breakdown'!$Q$6:$Q$174, 'Expenditure Breakdown'!$W$6:$W$174, "&gt;="&amp;ASI1,'Expenditure Breakdown'!$W$6:$W$174, "&lt;"&amp;ASJ1)</f>
        <v>0</v>
      </c>
      <c r="ASJ11" s="125">
        <f>SUMIFS('Expenditure Breakdown'!$Q$6:$Q$174, 'Expenditure Breakdown'!$W$6:$W$174, "&gt;="&amp;ASJ1,'Expenditure Breakdown'!$W$6:$W$174, "&lt;"&amp;ASK1)</f>
        <v>0</v>
      </c>
      <c r="ASK11" s="125">
        <f>SUMIFS('Expenditure Breakdown'!$Q$6:$Q$174, 'Expenditure Breakdown'!$W$6:$W$174, "&gt;="&amp;ASK1,'Expenditure Breakdown'!$W$6:$W$174, "&lt;"&amp;ASL1)</f>
        <v>0</v>
      </c>
      <c r="ASL11" s="125">
        <f>SUMIFS('Expenditure Breakdown'!$Q$6:$Q$174, 'Expenditure Breakdown'!$W$6:$W$174, "&gt;="&amp;ASL1,'Expenditure Breakdown'!$W$6:$W$174, "&lt;"&amp;ASM1)</f>
        <v>0</v>
      </c>
      <c r="ASM11" s="125">
        <f>SUMIFS('Expenditure Breakdown'!$Q$6:$Q$174, 'Expenditure Breakdown'!$W$6:$W$174, "&gt;="&amp;ASM1,'Expenditure Breakdown'!$W$6:$W$174, "&lt;"&amp;ASN1)</f>
        <v>0</v>
      </c>
      <c r="ASN11" s="125">
        <f>SUMIFS('Expenditure Breakdown'!$Q$6:$Q$174, 'Expenditure Breakdown'!$W$6:$W$174, "&gt;="&amp;ASN1,'Expenditure Breakdown'!$W$6:$W$174, "&lt;"&amp;ASO1)</f>
        <v>0</v>
      </c>
      <c r="ASO11" s="125">
        <f>SUMIFS('Expenditure Breakdown'!$Q$6:$Q$174, 'Expenditure Breakdown'!$W$6:$W$174, "&gt;="&amp;ASO1,'Expenditure Breakdown'!$W$6:$W$174, "&lt;"&amp;ASP1)</f>
        <v>0</v>
      </c>
      <c r="ASP11" s="125">
        <f>SUMIFS('Expenditure Breakdown'!$Q$6:$Q$174, 'Expenditure Breakdown'!$W$6:$W$174, "&gt;="&amp;ASP1,'Expenditure Breakdown'!$W$6:$W$174, "&lt;"&amp;ASQ1)</f>
        <v>0</v>
      </c>
      <c r="ASQ11" s="125">
        <f>SUMIFS('Expenditure Breakdown'!$Q$6:$Q$174, 'Expenditure Breakdown'!$W$6:$W$174, "&gt;="&amp;ASQ1,'Expenditure Breakdown'!$W$6:$W$174, "&lt;"&amp;ASR1)</f>
        <v>0</v>
      </c>
      <c r="ASR11" s="125">
        <f>SUMIFS('Expenditure Breakdown'!$Q$6:$Q$174, 'Expenditure Breakdown'!$W$6:$W$174, "&gt;="&amp;ASR1,'Expenditure Breakdown'!$W$6:$W$174, "&lt;"&amp;ASS1)</f>
        <v>0</v>
      </c>
      <c r="ASS11" s="125">
        <f>SUMIFS('Expenditure Breakdown'!$Q$6:$Q$174, 'Expenditure Breakdown'!$W$6:$W$174, "&gt;="&amp;ASS1,'Expenditure Breakdown'!$W$6:$W$174, "&lt;"&amp;AST1)</f>
        <v>0</v>
      </c>
      <c r="AST11" s="125">
        <f>SUMIFS('Expenditure Breakdown'!$Q$6:$Q$174, 'Expenditure Breakdown'!$W$6:$W$174, "&gt;="&amp;AST1,'Expenditure Breakdown'!$W$6:$W$174, "&lt;"&amp;ASU1)</f>
        <v>0</v>
      </c>
      <c r="ASU11" s="125">
        <f>SUMIFS('Expenditure Breakdown'!$Q$6:$Q$174, 'Expenditure Breakdown'!$W$6:$W$174, "&gt;="&amp;ASU1,'Expenditure Breakdown'!$W$6:$W$174, "&lt;"&amp;ASV1)</f>
        <v>0</v>
      </c>
      <c r="ASV11" s="125">
        <f>SUMIFS('Expenditure Breakdown'!$Q$6:$Q$174, 'Expenditure Breakdown'!$W$6:$W$174, "&gt;="&amp;ASV1,'Expenditure Breakdown'!$W$6:$W$174, "&lt;"&amp;ASW1)</f>
        <v>0</v>
      </c>
      <c r="ASW11" s="125">
        <f>SUMIFS('Expenditure Breakdown'!$Q$6:$Q$174, 'Expenditure Breakdown'!$W$6:$W$174, "&gt;="&amp;ASW1,'Expenditure Breakdown'!$W$6:$W$174, "&lt;"&amp;ASX1)</f>
        <v>0</v>
      </c>
      <c r="ASX11" s="125">
        <f>SUMIFS('Expenditure Breakdown'!$Q$6:$Q$174, 'Expenditure Breakdown'!$W$6:$W$174, "&gt;="&amp;ASX1,'Expenditure Breakdown'!$W$6:$W$174, "&lt;"&amp;ASY1)</f>
        <v>0</v>
      </c>
      <c r="ASY11" s="125">
        <f>SUMIFS('Expenditure Breakdown'!$Q$6:$Q$174, 'Expenditure Breakdown'!$W$6:$W$174, "&gt;="&amp;ASY1,'Expenditure Breakdown'!$W$6:$W$174, "&lt;"&amp;ASZ1)</f>
        <v>0</v>
      </c>
      <c r="ASZ11" s="125">
        <f>SUMIFS('Expenditure Breakdown'!$Q$6:$Q$174, 'Expenditure Breakdown'!$W$6:$W$174, "&gt;="&amp;ASZ1,'Expenditure Breakdown'!$W$6:$W$174, "&lt;"&amp;ATA1)</f>
        <v>0</v>
      </c>
      <c r="ATA11" s="125">
        <f>SUMIFS('Expenditure Breakdown'!$Q$6:$Q$174, 'Expenditure Breakdown'!$W$6:$W$174, "&gt;="&amp;ATA1,'Expenditure Breakdown'!$W$6:$W$174, "&lt;"&amp;ATB1)</f>
        <v>0</v>
      </c>
      <c r="ATB11" s="125">
        <f>SUMIFS('Expenditure Breakdown'!$Q$6:$Q$174, 'Expenditure Breakdown'!$W$6:$W$174, "&gt;="&amp;ATB1,'Expenditure Breakdown'!$W$6:$W$174, "&lt;"&amp;ATC1)</f>
        <v>0</v>
      </c>
      <c r="ATC11" s="125">
        <f>SUMIFS('Expenditure Breakdown'!$Q$6:$Q$174, 'Expenditure Breakdown'!$W$6:$W$174, "&gt;="&amp;ATC1,'Expenditure Breakdown'!$W$6:$W$174, "&lt;"&amp;ATD1)</f>
        <v>0</v>
      </c>
      <c r="ATD11" s="125">
        <f>SUMIFS('Expenditure Breakdown'!$Q$6:$Q$174, 'Expenditure Breakdown'!$W$6:$W$174, "&gt;="&amp;ATD1,'Expenditure Breakdown'!$W$6:$W$174, "&lt;"&amp;ATE1)</f>
        <v>0</v>
      </c>
      <c r="ATE11" s="125">
        <f>SUMIFS('Expenditure Breakdown'!$Q$6:$Q$174, 'Expenditure Breakdown'!$W$6:$W$174, "&gt;="&amp;ATE1,'Expenditure Breakdown'!$W$6:$W$174, "&lt;"&amp;ATF1)</f>
        <v>0</v>
      </c>
      <c r="ATF11" s="125">
        <f>SUMIFS('Expenditure Breakdown'!$Q$6:$Q$174, 'Expenditure Breakdown'!$W$6:$W$174, "&gt;="&amp;ATF1,'Expenditure Breakdown'!$W$6:$W$174, "&lt;"&amp;ATG1)</f>
        <v>0</v>
      </c>
      <c r="ATG11" s="125">
        <f>SUMIFS('Expenditure Breakdown'!$Q$6:$Q$174, 'Expenditure Breakdown'!$W$6:$W$174, "&gt;="&amp;ATG1,'Expenditure Breakdown'!$W$6:$W$174, "&lt;"&amp;ATH1)</f>
        <v>0</v>
      </c>
      <c r="ATH11" s="125">
        <f>SUMIFS('Expenditure Breakdown'!$Q$6:$Q$174, 'Expenditure Breakdown'!$W$6:$W$174, "&gt;="&amp;ATH1,'Expenditure Breakdown'!$W$6:$W$174, "&lt;"&amp;ATI1)</f>
        <v>0</v>
      </c>
      <c r="ATI11" s="125">
        <f>SUMIFS('Expenditure Breakdown'!$Q$6:$Q$174, 'Expenditure Breakdown'!$W$6:$W$174, "&gt;="&amp;ATI1,'Expenditure Breakdown'!$W$6:$W$174, "&lt;"&amp;ATJ1)</f>
        <v>0</v>
      </c>
      <c r="ATJ11" s="125">
        <f>SUMIFS('Expenditure Breakdown'!$Q$6:$Q$174, 'Expenditure Breakdown'!$W$6:$W$174, "&gt;="&amp;ATJ1,'Expenditure Breakdown'!$W$6:$W$174, "&lt;"&amp;ATK1)</f>
        <v>0</v>
      </c>
      <c r="ATK11" s="125">
        <f>SUMIFS('Expenditure Breakdown'!$Q$6:$Q$174, 'Expenditure Breakdown'!$W$6:$W$174, "&gt;="&amp;ATK1,'Expenditure Breakdown'!$W$6:$W$174, "&lt;"&amp;ATL1)</f>
        <v>0</v>
      </c>
      <c r="ATL11" s="125">
        <f>SUMIFS('Expenditure Breakdown'!$Q$6:$Q$174, 'Expenditure Breakdown'!$W$6:$W$174, "&gt;="&amp;ATL1,'Expenditure Breakdown'!$W$6:$W$174, "&lt;"&amp;ATM1)</f>
        <v>0</v>
      </c>
      <c r="ATM11" s="125">
        <f>SUMIFS('Expenditure Breakdown'!$Q$6:$Q$174, 'Expenditure Breakdown'!$W$6:$W$174, "&gt;="&amp;ATM1,'Expenditure Breakdown'!$W$6:$W$174, "&lt;"&amp;ATN1)</f>
        <v>0</v>
      </c>
      <c r="ATN11" s="125">
        <f>SUMIFS('Expenditure Breakdown'!$Q$6:$Q$174, 'Expenditure Breakdown'!$W$6:$W$174, "&gt;="&amp;ATN1,'Expenditure Breakdown'!$W$6:$W$174, "&lt;"&amp;ATO1)</f>
        <v>0</v>
      </c>
      <c r="ATO11" s="125">
        <f>SUMIFS('Expenditure Breakdown'!$Q$6:$Q$174, 'Expenditure Breakdown'!$W$6:$W$174, "&gt;="&amp;ATO1,'Expenditure Breakdown'!$W$6:$W$174, "&lt;"&amp;ATP1)</f>
        <v>0</v>
      </c>
      <c r="ATP11" s="125">
        <f>SUMIFS('Expenditure Breakdown'!$Q$6:$Q$174, 'Expenditure Breakdown'!$W$6:$W$174, "&gt;="&amp;ATP1,'Expenditure Breakdown'!$W$6:$W$174, "&lt;"&amp;ATQ1)</f>
        <v>0</v>
      </c>
      <c r="ATQ11" s="125">
        <f>SUMIFS('Expenditure Breakdown'!$Q$6:$Q$174, 'Expenditure Breakdown'!$W$6:$W$174, "&gt;="&amp;ATQ1,'Expenditure Breakdown'!$W$6:$W$174, "&lt;"&amp;ATR1)</f>
        <v>0</v>
      </c>
      <c r="ATR11" s="125">
        <f>SUMIFS('Expenditure Breakdown'!$Q$6:$Q$174, 'Expenditure Breakdown'!$W$6:$W$174, "&gt;="&amp;ATR1,'Expenditure Breakdown'!$W$6:$W$174, "&lt;"&amp;ATS1)</f>
        <v>0</v>
      </c>
      <c r="ATS11" s="125">
        <f>SUMIFS('Expenditure Breakdown'!$Q$6:$Q$174, 'Expenditure Breakdown'!$W$6:$W$174, "&gt;="&amp;ATS1,'Expenditure Breakdown'!$W$6:$W$174, "&lt;"&amp;ATT1)</f>
        <v>0</v>
      </c>
      <c r="ATT11" s="125">
        <f>SUMIFS('Expenditure Breakdown'!$Q$6:$Q$174, 'Expenditure Breakdown'!$W$6:$W$174, "&gt;="&amp;ATT1,'Expenditure Breakdown'!$W$6:$W$174, "&lt;"&amp;ATU1)</f>
        <v>0</v>
      </c>
      <c r="ATU11" s="125">
        <f>SUMIFS('Expenditure Breakdown'!$Q$6:$Q$174, 'Expenditure Breakdown'!$W$6:$W$174, "&gt;="&amp;ATU1,'Expenditure Breakdown'!$W$6:$W$174, "&lt;"&amp;ATV1)</f>
        <v>0</v>
      </c>
      <c r="ATV11" s="125">
        <f>SUMIFS('Expenditure Breakdown'!$Q$6:$Q$174, 'Expenditure Breakdown'!$W$6:$W$174, "&gt;="&amp;ATV1,'Expenditure Breakdown'!$W$6:$W$174, "&lt;"&amp;ATW1)</f>
        <v>0</v>
      </c>
      <c r="ATW11" s="125">
        <f>SUMIFS('Expenditure Breakdown'!$Q$6:$Q$174, 'Expenditure Breakdown'!$W$6:$W$174, "&gt;="&amp;ATW1,'Expenditure Breakdown'!$W$6:$W$174, "&lt;"&amp;ATX1)</f>
        <v>0</v>
      </c>
      <c r="ATX11" s="125">
        <f>SUMIFS('Expenditure Breakdown'!$Q$6:$Q$174, 'Expenditure Breakdown'!$W$6:$W$174, "&gt;="&amp;ATX1,'Expenditure Breakdown'!$W$6:$W$174, "&lt;"&amp;ATY1)</f>
        <v>0</v>
      </c>
      <c r="ATY11" s="125">
        <f>SUMIFS('Expenditure Breakdown'!$Q$6:$Q$174, 'Expenditure Breakdown'!$W$6:$W$174, "&gt;="&amp;ATY1,'Expenditure Breakdown'!$W$6:$W$174, "&lt;"&amp;ATZ1)</f>
        <v>0</v>
      </c>
      <c r="ATZ11" s="125">
        <f>SUMIFS('Expenditure Breakdown'!$Q$6:$Q$174, 'Expenditure Breakdown'!$W$6:$W$174, "&gt;="&amp;ATZ1,'Expenditure Breakdown'!$W$6:$W$174, "&lt;"&amp;AUA1)</f>
        <v>0</v>
      </c>
      <c r="AUA11" s="125">
        <f>SUMIFS('Expenditure Breakdown'!$Q$6:$Q$174, 'Expenditure Breakdown'!$W$6:$W$174, "&gt;="&amp;AUA1,'Expenditure Breakdown'!$W$6:$W$174, "&lt;"&amp;AUB1)</f>
        <v>0</v>
      </c>
      <c r="AUB11" s="125">
        <f>SUMIFS('Expenditure Breakdown'!$Q$6:$Q$174, 'Expenditure Breakdown'!$W$6:$W$174, "&gt;="&amp;AUB1,'Expenditure Breakdown'!$W$6:$W$174, "&lt;"&amp;AUC1)</f>
        <v>0</v>
      </c>
      <c r="AUC11" s="125">
        <f>SUMIFS('Expenditure Breakdown'!$Q$6:$Q$174, 'Expenditure Breakdown'!$W$6:$W$174, "&gt;="&amp;AUC1,'Expenditure Breakdown'!$W$6:$W$174, "&lt;"&amp;AUD1)</f>
        <v>0</v>
      </c>
      <c r="AUD11" s="125">
        <f>SUMIFS('Expenditure Breakdown'!$Q$6:$Q$174, 'Expenditure Breakdown'!$W$6:$W$174, "&gt;="&amp;AUD1,'Expenditure Breakdown'!$W$6:$W$174, "&lt;"&amp;AUE1)</f>
        <v>0</v>
      </c>
      <c r="AUE11" s="125">
        <f>SUMIFS('Expenditure Breakdown'!$Q$6:$Q$174, 'Expenditure Breakdown'!$W$6:$W$174, "&gt;="&amp;AUE1,'Expenditure Breakdown'!$W$6:$W$174, "&lt;"&amp;AUF1)</f>
        <v>0</v>
      </c>
      <c r="AUF11" s="125">
        <f>SUMIFS('Expenditure Breakdown'!$Q$6:$Q$174, 'Expenditure Breakdown'!$W$6:$W$174, "&gt;="&amp;AUF1,'Expenditure Breakdown'!$W$6:$W$174, "&lt;"&amp;AUG1)</f>
        <v>0</v>
      </c>
      <c r="AUG11" s="125">
        <f>SUMIFS('Expenditure Breakdown'!$Q$6:$Q$174, 'Expenditure Breakdown'!$W$6:$W$174, "&gt;="&amp;AUG1,'Expenditure Breakdown'!$W$6:$W$174, "&lt;"&amp;AUH1)</f>
        <v>0</v>
      </c>
      <c r="AUH11" s="125">
        <f>SUMIFS('Expenditure Breakdown'!$Q$6:$Q$174, 'Expenditure Breakdown'!$W$6:$W$174, "&gt;="&amp;AUH1,'Expenditure Breakdown'!$W$6:$W$174, "&lt;"&amp;AUI1)</f>
        <v>0</v>
      </c>
      <c r="AUI11" s="125">
        <f>SUMIFS('Expenditure Breakdown'!$Q$6:$Q$174, 'Expenditure Breakdown'!$W$6:$W$174, "&gt;="&amp;AUI1,'Expenditure Breakdown'!$W$6:$W$174, "&lt;"&amp;AUJ1)</f>
        <v>0</v>
      </c>
      <c r="AUJ11" s="125">
        <f>SUMIFS('Expenditure Breakdown'!$Q$6:$Q$174, 'Expenditure Breakdown'!$W$6:$W$174, "&gt;="&amp;AUJ1,'Expenditure Breakdown'!$W$6:$W$174, "&lt;"&amp;AUK1)</f>
        <v>0</v>
      </c>
      <c r="AUK11" s="125">
        <f>SUMIFS('Expenditure Breakdown'!$Q$6:$Q$174, 'Expenditure Breakdown'!$W$6:$W$174, "&gt;="&amp;AUK1,'Expenditure Breakdown'!$W$6:$W$174, "&lt;"&amp;AUL1)</f>
        <v>0</v>
      </c>
      <c r="AUL11" s="125">
        <f>SUMIFS('Expenditure Breakdown'!$Q$6:$Q$174, 'Expenditure Breakdown'!$W$6:$W$174, "&gt;="&amp;AUL1,'Expenditure Breakdown'!$W$6:$W$174, "&lt;"&amp;AUM1)</f>
        <v>0</v>
      </c>
      <c r="AUM11" s="125">
        <f>SUMIFS('Expenditure Breakdown'!$Q$6:$Q$174, 'Expenditure Breakdown'!$W$6:$W$174, "&gt;="&amp;AUM1,'Expenditure Breakdown'!$W$6:$W$174, "&lt;"&amp;AUN1)</f>
        <v>0</v>
      </c>
      <c r="AUN11" s="125">
        <f>SUMIFS('Expenditure Breakdown'!$Q$6:$Q$174, 'Expenditure Breakdown'!$W$6:$W$174, "&gt;="&amp;AUN1,'Expenditure Breakdown'!$W$6:$W$174, "&lt;"&amp;AUO1)</f>
        <v>0</v>
      </c>
      <c r="AUO11" s="125">
        <f>SUMIFS('Expenditure Breakdown'!$Q$6:$Q$174, 'Expenditure Breakdown'!$W$6:$W$174, "&gt;="&amp;AUO1,'Expenditure Breakdown'!$W$6:$W$174, "&lt;"&amp;AUP1)</f>
        <v>0</v>
      </c>
      <c r="AUP11" s="125">
        <f>SUMIFS('Expenditure Breakdown'!$Q$6:$Q$174, 'Expenditure Breakdown'!$W$6:$W$174, "&gt;="&amp;AUP1,'Expenditure Breakdown'!$W$6:$W$174, "&lt;"&amp;AUQ1)</f>
        <v>0</v>
      </c>
      <c r="AUQ11" s="125">
        <f>SUMIFS('Expenditure Breakdown'!$Q$6:$Q$174, 'Expenditure Breakdown'!$W$6:$W$174, "&gt;="&amp;AUQ1,'Expenditure Breakdown'!$W$6:$W$174, "&lt;"&amp;AUR1)</f>
        <v>0</v>
      </c>
      <c r="AUR11" s="125">
        <f>SUMIFS('Expenditure Breakdown'!$Q$6:$Q$174, 'Expenditure Breakdown'!$W$6:$W$174, "&gt;="&amp;AUR1,'Expenditure Breakdown'!$W$6:$W$174, "&lt;"&amp;AUS1)</f>
        <v>0</v>
      </c>
      <c r="AUS11" s="125">
        <f>SUMIFS('Expenditure Breakdown'!$Q$6:$Q$174, 'Expenditure Breakdown'!$W$6:$W$174, "&gt;="&amp;AUS1,'Expenditure Breakdown'!$W$6:$W$174, "&lt;"&amp;AUT1)</f>
        <v>0</v>
      </c>
      <c r="AUT11" s="125">
        <f>SUMIFS('Expenditure Breakdown'!$Q$6:$Q$174, 'Expenditure Breakdown'!$W$6:$W$174, "&gt;="&amp;AUT1,'Expenditure Breakdown'!$W$6:$W$174, "&lt;"&amp;AUU1)</f>
        <v>0</v>
      </c>
      <c r="AUU11" s="125">
        <f>SUMIFS('Expenditure Breakdown'!$Q$6:$Q$174, 'Expenditure Breakdown'!$W$6:$W$174, "&gt;="&amp;AUU1,'Expenditure Breakdown'!$W$6:$W$174, "&lt;"&amp;AUV1)</f>
        <v>0</v>
      </c>
      <c r="AUV11" s="125">
        <f>SUMIFS('Expenditure Breakdown'!$Q$6:$Q$174, 'Expenditure Breakdown'!$W$6:$W$174, "&gt;="&amp;AUV1,'Expenditure Breakdown'!$W$6:$W$174, "&lt;"&amp;AUW1)</f>
        <v>0</v>
      </c>
      <c r="AUW11" s="125">
        <f>SUMIFS('Expenditure Breakdown'!$Q$6:$Q$174, 'Expenditure Breakdown'!$W$6:$W$174, "&gt;="&amp;AUW1,'Expenditure Breakdown'!$W$6:$W$174, "&lt;"&amp;AUX1)</f>
        <v>0</v>
      </c>
      <c r="AUX11" s="125">
        <f>SUMIFS('Expenditure Breakdown'!$Q$6:$Q$174, 'Expenditure Breakdown'!$W$6:$W$174, "&gt;="&amp;AUX1,'Expenditure Breakdown'!$W$6:$W$174, "&lt;"&amp;AUY1)</f>
        <v>0</v>
      </c>
      <c r="AUY11" s="125">
        <f>SUMIFS('Expenditure Breakdown'!$Q$6:$Q$174, 'Expenditure Breakdown'!$W$6:$W$174, "&gt;="&amp;AUY1,'Expenditure Breakdown'!$W$6:$W$174, "&lt;"&amp;AUZ1)</f>
        <v>0</v>
      </c>
      <c r="AUZ11" s="125">
        <f>SUMIFS('Expenditure Breakdown'!$Q$6:$Q$174, 'Expenditure Breakdown'!$W$6:$W$174, "&gt;="&amp;AUZ1,'Expenditure Breakdown'!$W$6:$W$174, "&lt;"&amp;AVA1)</f>
        <v>0</v>
      </c>
      <c r="AVA11" s="125">
        <f>SUMIFS('Expenditure Breakdown'!$Q$6:$Q$174, 'Expenditure Breakdown'!$W$6:$W$174, "&gt;="&amp;AVA1,'Expenditure Breakdown'!$W$6:$W$174, "&lt;"&amp;AVB1)</f>
        <v>0</v>
      </c>
      <c r="AVB11" s="125">
        <f>SUMIFS('Expenditure Breakdown'!$Q$6:$Q$174, 'Expenditure Breakdown'!$W$6:$W$174, "&gt;="&amp;AVB1,'Expenditure Breakdown'!$W$6:$W$174, "&lt;"&amp;AVC1)</f>
        <v>0</v>
      </c>
      <c r="AVC11" s="125">
        <f>SUMIFS('Expenditure Breakdown'!$Q$6:$Q$174, 'Expenditure Breakdown'!$W$6:$W$174, "&gt;="&amp;AVC1,'Expenditure Breakdown'!$W$6:$W$174, "&lt;"&amp;AVD1)</f>
        <v>0</v>
      </c>
      <c r="AVD11" s="125">
        <f>SUMIFS('Expenditure Breakdown'!$Q$6:$Q$174, 'Expenditure Breakdown'!$W$6:$W$174, "&gt;="&amp;AVD1,'Expenditure Breakdown'!$W$6:$W$174, "&lt;"&amp;AVE1)</f>
        <v>0</v>
      </c>
      <c r="AVE11" s="125">
        <f>SUMIFS('Expenditure Breakdown'!$Q$6:$Q$174, 'Expenditure Breakdown'!$W$6:$W$174, "&gt;="&amp;AVE1,'Expenditure Breakdown'!$W$6:$W$174, "&lt;"&amp;AVF1)</f>
        <v>0</v>
      </c>
      <c r="AVF11" s="125">
        <f>SUMIFS('Expenditure Breakdown'!$Q$6:$Q$174, 'Expenditure Breakdown'!$W$6:$W$174, "&gt;="&amp;AVF1,'Expenditure Breakdown'!$W$6:$W$174, "&lt;"&amp;AVG1)</f>
        <v>0</v>
      </c>
      <c r="AVG11" s="125">
        <f>SUMIFS('Expenditure Breakdown'!$Q$6:$Q$174, 'Expenditure Breakdown'!$W$6:$W$174, "&gt;="&amp;AVG1,'Expenditure Breakdown'!$W$6:$W$174, "&lt;"&amp;AVH1)</f>
        <v>0</v>
      </c>
      <c r="AVH11" s="125">
        <f>SUMIFS('Expenditure Breakdown'!$Q$6:$Q$174, 'Expenditure Breakdown'!$W$6:$W$174, "&gt;="&amp;AVH1,'Expenditure Breakdown'!$W$6:$W$174, "&lt;"&amp;AVI1)</f>
        <v>0</v>
      </c>
      <c r="AVI11" s="125">
        <f>SUMIFS('Expenditure Breakdown'!$Q$6:$Q$174, 'Expenditure Breakdown'!$W$6:$W$174, "&gt;="&amp;AVI1,'Expenditure Breakdown'!$W$6:$W$174, "&lt;"&amp;AVJ1)</f>
        <v>0</v>
      </c>
      <c r="AVJ11" s="125">
        <f>SUMIFS('Expenditure Breakdown'!$Q$6:$Q$174, 'Expenditure Breakdown'!$W$6:$W$174, "&gt;="&amp;AVJ1,'Expenditure Breakdown'!$W$6:$W$174, "&lt;"&amp;AVK1)</f>
        <v>0</v>
      </c>
      <c r="AVK11" s="125">
        <f>SUMIFS('Expenditure Breakdown'!$Q$6:$Q$174, 'Expenditure Breakdown'!$W$6:$W$174, "&gt;="&amp;AVK1,'Expenditure Breakdown'!$W$6:$W$174, "&lt;"&amp;AVL1)</f>
        <v>0</v>
      </c>
      <c r="AVL11" s="125">
        <f>SUMIFS('Expenditure Breakdown'!$Q$6:$Q$174, 'Expenditure Breakdown'!$W$6:$W$174, "&gt;="&amp;AVL1,'Expenditure Breakdown'!$W$6:$W$174, "&lt;"&amp;AVM1)</f>
        <v>0</v>
      </c>
      <c r="AVM11" s="125">
        <f>SUMIFS('Expenditure Breakdown'!$Q$6:$Q$174, 'Expenditure Breakdown'!$W$6:$W$174, "&gt;="&amp;AVM1,'Expenditure Breakdown'!$W$6:$W$174, "&lt;"&amp;AVN1)</f>
        <v>0</v>
      </c>
      <c r="AVN11" s="125">
        <f>SUMIFS('Expenditure Breakdown'!$Q$6:$Q$174, 'Expenditure Breakdown'!$W$6:$W$174, "&gt;="&amp;AVN1,'Expenditure Breakdown'!$W$6:$W$174, "&lt;"&amp;AVO1)</f>
        <v>0</v>
      </c>
      <c r="AVO11" s="125">
        <f>SUMIFS('Expenditure Breakdown'!$Q$6:$Q$174, 'Expenditure Breakdown'!$W$6:$W$174, "&gt;="&amp;AVO1,'Expenditure Breakdown'!$W$6:$W$174, "&lt;"&amp;AVP1)</f>
        <v>0</v>
      </c>
      <c r="AVP11" s="125">
        <f>SUMIFS('Expenditure Breakdown'!$Q$6:$Q$174, 'Expenditure Breakdown'!$W$6:$W$174, "&gt;="&amp;AVP1,'Expenditure Breakdown'!$W$6:$W$174, "&lt;"&amp;AVQ1)</f>
        <v>0</v>
      </c>
      <c r="AVQ11" s="125">
        <f>SUMIFS('Expenditure Breakdown'!$Q$6:$Q$174, 'Expenditure Breakdown'!$W$6:$W$174, "&gt;="&amp;AVQ1,'Expenditure Breakdown'!$W$6:$W$174, "&lt;"&amp;AVR1)</f>
        <v>0</v>
      </c>
      <c r="AVR11" s="125">
        <f>SUMIFS('Expenditure Breakdown'!$Q$6:$Q$174, 'Expenditure Breakdown'!$W$6:$W$174, "&gt;="&amp;AVR1,'Expenditure Breakdown'!$W$6:$W$174, "&lt;"&amp;AVS1)</f>
        <v>0</v>
      </c>
      <c r="AVS11" s="125">
        <f>SUMIFS('Expenditure Breakdown'!$Q$6:$Q$174, 'Expenditure Breakdown'!$W$6:$W$174, "&gt;="&amp;AVS1,'Expenditure Breakdown'!$W$6:$W$174, "&lt;"&amp;AVT1)</f>
        <v>0</v>
      </c>
      <c r="AVT11" s="125">
        <f>SUMIFS('Expenditure Breakdown'!$Q$6:$Q$174, 'Expenditure Breakdown'!$W$6:$W$174, "&gt;="&amp;AVT1,'Expenditure Breakdown'!$W$6:$W$174, "&lt;"&amp;AVU1)</f>
        <v>0</v>
      </c>
      <c r="AVU11" s="125">
        <f>SUMIFS('Expenditure Breakdown'!$Q$6:$Q$174, 'Expenditure Breakdown'!$W$6:$W$174, "&gt;="&amp;AVU1,'Expenditure Breakdown'!$W$6:$W$174, "&lt;"&amp;AVV1)</f>
        <v>0</v>
      </c>
      <c r="AVV11" s="125">
        <f>SUMIFS('Expenditure Breakdown'!$Q$6:$Q$174, 'Expenditure Breakdown'!$W$6:$W$174, "&gt;="&amp;AVV1,'Expenditure Breakdown'!$W$6:$W$174, "&lt;"&amp;AVW1)</f>
        <v>0</v>
      </c>
      <c r="AVW11" s="125">
        <f>SUMIFS('Expenditure Breakdown'!$Q$6:$Q$174, 'Expenditure Breakdown'!$W$6:$W$174, "&gt;="&amp;AVW1,'Expenditure Breakdown'!$W$6:$W$174, "&lt;"&amp;AVX1)</f>
        <v>0</v>
      </c>
      <c r="AVX11" s="125">
        <f>SUMIFS('Expenditure Breakdown'!$Q$6:$Q$174, 'Expenditure Breakdown'!$W$6:$W$174, "&gt;="&amp;AVX1,'Expenditure Breakdown'!$W$6:$W$174, "&lt;"&amp;AVY1)</f>
        <v>0</v>
      </c>
      <c r="AVY11" s="125">
        <f>SUMIFS('Expenditure Breakdown'!$Q$6:$Q$174, 'Expenditure Breakdown'!$W$6:$W$174, "&gt;="&amp;AVY1,'Expenditure Breakdown'!$W$6:$W$174, "&lt;"&amp;AVZ1)</f>
        <v>0</v>
      </c>
      <c r="AVZ11" s="125">
        <f>SUMIFS('Expenditure Breakdown'!$Q$6:$Q$174, 'Expenditure Breakdown'!$W$6:$W$174, "&gt;="&amp;AVZ1,'Expenditure Breakdown'!$W$6:$W$174, "&lt;"&amp;AWA1)</f>
        <v>0</v>
      </c>
      <c r="AWA11" s="125">
        <f>SUMIFS('Expenditure Breakdown'!$Q$6:$Q$174, 'Expenditure Breakdown'!$W$6:$W$174, "&gt;="&amp;AWA1,'Expenditure Breakdown'!$W$6:$W$174, "&lt;"&amp;AWB1)</f>
        <v>0</v>
      </c>
      <c r="AWB11" s="125">
        <f>SUMIFS('Expenditure Breakdown'!$Q$6:$Q$174, 'Expenditure Breakdown'!$W$6:$W$174, "&gt;="&amp;AWB1,'Expenditure Breakdown'!$W$6:$W$174, "&lt;"&amp;AWC1)</f>
        <v>0</v>
      </c>
      <c r="AWC11" s="125">
        <f>SUMIFS('Expenditure Breakdown'!$Q$6:$Q$174, 'Expenditure Breakdown'!$W$6:$W$174, "&gt;="&amp;AWC1,'Expenditure Breakdown'!$W$6:$W$174, "&lt;"&amp;AWD1)</f>
        <v>0</v>
      </c>
      <c r="AWD11" s="125">
        <f>SUMIFS('Expenditure Breakdown'!$Q$6:$Q$174, 'Expenditure Breakdown'!$W$6:$W$174, "&gt;="&amp;AWD1,'Expenditure Breakdown'!$W$6:$W$174, "&lt;"&amp;AWE1)</f>
        <v>0</v>
      </c>
      <c r="AWE11" s="125">
        <f>SUMIFS('Expenditure Breakdown'!$Q$6:$Q$174, 'Expenditure Breakdown'!$W$6:$W$174, "&gt;="&amp;AWE1,'Expenditure Breakdown'!$W$6:$W$174, "&lt;"&amp;AWF1)</f>
        <v>0</v>
      </c>
      <c r="AWF11" s="125">
        <f>SUMIFS('Expenditure Breakdown'!$Q$6:$Q$174, 'Expenditure Breakdown'!$W$6:$W$174, "&gt;="&amp;AWF1,'Expenditure Breakdown'!$W$6:$W$174, "&lt;"&amp;AWG1)</f>
        <v>0</v>
      </c>
      <c r="AWG11" s="125">
        <f>SUMIFS('Expenditure Breakdown'!$Q$6:$Q$174, 'Expenditure Breakdown'!$W$6:$W$174, "&gt;="&amp;AWG1,'Expenditure Breakdown'!$W$6:$W$174, "&lt;"&amp;AWH1)</f>
        <v>0</v>
      </c>
      <c r="AWH11" s="125">
        <f>SUMIFS('Expenditure Breakdown'!$Q$6:$Q$174, 'Expenditure Breakdown'!$W$6:$W$174, "&gt;="&amp;AWH1,'Expenditure Breakdown'!$W$6:$W$174, "&lt;"&amp;AWI1)</f>
        <v>0</v>
      </c>
      <c r="AWI11" s="125">
        <f>SUMIFS('Expenditure Breakdown'!$Q$6:$Q$174, 'Expenditure Breakdown'!$W$6:$W$174, "&gt;="&amp;AWI1,'Expenditure Breakdown'!$W$6:$W$174, "&lt;"&amp;AWJ1)</f>
        <v>0</v>
      </c>
      <c r="AWJ11" s="125">
        <f>SUMIFS('Expenditure Breakdown'!$Q$6:$Q$174, 'Expenditure Breakdown'!$W$6:$W$174, "&gt;="&amp;AWJ1,'Expenditure Breakdown'!$W$6:$W$174, "&lt;"&amp;AWK1)</f>
        <v>0</v>
      </c>
      <c r="AWK11" s="125">
        <f>SUMIFS('Expenditure Breakdown'!$Q$6:$Q$174, 'Expenditure Breakdown'!$W$6:$W$174, "&gt;="&amp;AWK1,'Expenditure Breakdown'!$W$6:$W$174, "&lt;"&amp;AWL1)</f>
        <v>0</v>
      </c>
      <c r="AWL11" s="125">
        <f>SUMIFS('Expenditure Breakdown'!$Q$6:$Q$174, 'Expenditure Breakdown'!$W$6:$W$174, "&gt;="&amp;AWL1,'Expenditure Breakdown'!$W$6:$W$174, "&lt;"&amp;AWM1)</f>
        <v>0</v>
      </c>
      <c r="AWM11" s="125">
        <f>SUMIFS('Expenditure Breakdown'!$Q$6:$Q$174, 'Expenditure Breakdown'!$W$6:$W$174, "&gt;="&amp;AWM1,'Expenditure Breakdown'!$W$6:$W$174, "&lt;"&amp;AWN1)</f>
        <v>0</v>
      </c>
      <c r="AWN11" s="125">
        <f>SUMIFS('Expenditure Breakdown'!$Q$6:$Q$174, 'Expenditure Breakdown'!$W$6:$W$174, "&gt;="&amp;AWN1,'Expenditure Breakdown'!$W$6:$W$174, "&lt;"&amp;AWO1)</f>
        <v>0</v>
      </c>
      <c r="AWO11" s="125">
        <f>SUMIFS('Expenditure Breakdown'!$Q$6:$Q$174, 'Expenditure Breakdown'!$W$6:$W$174, "&gt;="&amp;AWO1,'Expenditure Breakdown'!$W$6:$W$174, "&lt;"&amp;AWP1)</f>
        <v>0</v>
      </c>
      <c r="AWP11" s="125">
        <f>SUMIFS('Expenditure Breakdown'!$Q$6:$Q$174, 'Expenditure Breakdown'!$W$6:$W$174, "&gt;="&amp;AWP1,'Expenditure Breakdown'!$W$6:$W$174, "&lt;"&amp;AWQ1)</f>
        <v>0</v>
      </c>
      <c r="AWQ11" s="125">
        <f>SUMIFS('Expenditure Breakdown'!$Q$6:$Q$174, 'Expenditure Breakdown'!$W$6:$W$174, "&gt;="&amp;AWQ1,'Expenditure Breakdown'!$W$6:$W$174, "&lt;"&amp;AWR1)</f>
        <v>0</v>
      </c>
      <c r="AWR11" s="125">
        <f>SUMIFS('Expenditure Breakdown'!$Q$6:$Q$174, 'Expenditure Breakdown'!$W$6:$W$174, "&gt;="&amp;AWR1,'Expenditure Breakdown'!$W$6:$W$174, "&lt;"&amp;AWS1)</f>
        <v>0</v>
      </c>
      <c r="AWS11" s="125">
        <f>SUMIFS('Expenditure Breakdown'!$Q$6:$Q$174, 'Expenditure Breakdown'!$W$6:$W$174, "&gt;="&amp;AWS1,'Expenditure Breakdown'!$W$6:$W$174, "&lt;"&amp;AWT1)</f>
        <v>0</v>
      </c>
      <c r="AWT11" s="125">
        <f>SUMIFS('Expenditure Breakdown'!$Q$6:$Q$174, 'Expenditure Breakdown'!$W$6:$W$174, "&gt;="&amp;AWT1,'Expenditure Breakdown'!$W$6:$W$174, "&lt;"&amp;AWU1)</f>
        <v>0</v>
      </c>
      <c r="AWU11" s="125">
        <f>SUMIFS('Expenditure Breakdown'!$Q$6:$Q$174, 'Expenditure Breakdown'!$W$6:$W$174, "&gt;="&amp;AWU1,'Expenditure Breakdown'!$W$6:$W$174, "&lt;"&amp;AWV1)</f>
        <v>0</v>
      </c>
      <c r="AWV11" s="125">
        <f>SUMIFS('Expenditure Breakdown'!$Q$6:$Q$174, 'Expenditure Breakdown'!$W$6:$W$174, "&gt;="&amp;AWV1,'Expenditure Breakdown'!$W$6:$W$174, "&lt;"&amp;AWW1)</f>
        <v>0</v>
      </c>
      <c r="AWW11" s="125">
        <f>SUMIFS('Expenditure Breakdown'!$Q$6:$Q$174, 'Expenditure Breakdown'!$W$6:$W$174, "&gt;="&amp;AWW1,'Expenditure Breakdown'!$W$6:$W$174, "&lt;"&amp;AWX1)</f>
        <v>0</v>
      </c>
      <c r="AWX11" s="125">
        <f>SUMIFS('Expenditure Breakdown'!$Q$6:$Q$174, 'Expenditure Breakdown'!$W$6:$W$174, "&gt;="&amp;AWX1,'Expenditure Breakdown'!$W$6:$W$174, "&lt;"&amp;AWY1)</f>
        <v>0</v>
      </c>
      <c r="AWY11" s="125">
        <f>SUMIFS('Expenditure Breakdown'!$Q$6:$Q$174, 'Expenditure Breakdown'!$W$6:$W$174, "&gt;="&amp;AWY1,'Expenditure Breakdown'!$W$6:$W$174, "&lt;"&amp;AWZ1)</f>
        <v>0</v>
      </c>
      <c r="AWZ11" s="125">
        <f>SUMIFS('Expenditure Breakdown'!$Q$6:$Q$174, 'Expenditure Breakdown'!$W$6:$W$174, "&gt;="&amp;AWZ1,'Expenditure Breakdown'!$W$6:$W$174, "&lt;"&amp;AXA1)</f>
        <v>0</v>
      </c>
      <c r="AXA11" s="125">
        <f>SUMIFS('Expenditure Breakdown'!$Q$6:$Q$174, 'Expenditure Breakdown'!$W$6:$W$174, "&gt;="&amp;AXA1,'Expenditure Breakdown'!$W$6:$W$174, "&lt;"&amp;AXB1)</f>
        <v>0</v>
      </c>
      <c r="AXB11" s="125">
        <f>SUMIFS('Expenditure Breakdown'!$Q$6:$Q$174, 'Expenditure Breakdown'!$W$6:$W$174, "&gt;="&amp;AXB1,'Expenditure Breakdown'!$W$6:$W$174, "&lt;"&amp;AXC1)</f>
        <v>0</v>
      </c>
      <c r="AXC11" s="125">
        <f>SUMIFS('Expenditure Breakdown'!$Q$6:$Q$174, 'Expenditure Breakdown'!$W$6:$W$174, "&gt;="&amp;AXC1,'Expenditure Breakdown'!$W$6:$W$174, "&lt;"&amp;AXD1)</f>
        <v>0</v>
      </c>
      <c r="AXD11" s="125">
        <f>SUMIFS('Expenditure Breakdown'!$Q$6:$Q$174, 'Expenditure Breakdown'!$W$6:$W$174, "&gt;="&amp;AXD1,'Expenditure Breakdown'!$W$6:$W$174, "&lt;"&amp;AXE1)</f>
        <v>0</v>
      </c>
      <c r="AXE11" s="125">
        <f>SUMIFS('Expenditure Breakdown'!$Q$6:$Q$174, 'Expenditure Breakdown'!$W$6:$W$174, "&gt;="&amp;AXE1,'Expenditure Breakdown'!$W$6:$W$174, "&lt;"&amp;AXF1)</f>
        <v>0</v>
      </c>
      <c r="AXF11" s="125">
        <f>SUMIFS('Expenditure Breakdown'!$Q$6:$Q$174, 'Expenditure Breakdown'!$W$6:$W$174, "&gt;="&amp;AXF1,'Expenditure Breakdown'!$W$6:$W$174, "&lt;"&amp;AXG1)</f>
        <v>0</v>
      </c>
      <c r="AXG11" s="125">
        <f>SUMIFS('Expenditure Breakdown'!$Q$6:$Q$174, 'Expenditure Breakdown'!$W$6:$W$174, "&gt;="&amp;AXG1,'Expenditure Breakdown'!$W$6:$W$174, "&lt;"&amp;AXH1)</f>
        <v>0</v>
      </c>
      <c r="AXH11" s="125">
        <f>SUMIFS('Expenditure Breakdown'!$Q$6:$Q$174, 'Expenditure Breakdown'!$W$6:$W$174, "&gt;="&amp;AXH1,'Expenditure Breakdown'!$W$6:$W$174, "&lt;"&amp;AXI1)</f>
        <v>0</v>
      </c>
      <c r="AXI11" s="125">
        <f>SUMIFS('Expenditure Breakdown'!$Q$6:$Q$174, 'Expenditure Breakdown'!$W$6:$W$174, "&gt;="&amp;AXI1,'Expenditure Breakdown'!$W$6:$W$174, "&lt;"&amp;AXJ1)</f>
        <v>0</v>
      </c>
      <c r="AXJ11" s="125">
        <f>SUMIFS('Expenditure Breakdown'!$Q$6:$Q$174, 'Expenditure Breakdown'!$W$6:$W$174, "&gt;="&amp;AXJ1,'Expenditure Breakdown'!$W$6:$W$174, "&lt;"&amp;AXK1)</f>
        <v>0</v>
      </c>
      <c r="AXK11" s="125">
        <f>SUMIFS('Expenditure Breakdown'!$Q$6:$Q$174, 'Expenditure Breakdown'!$W$6:$W$174, "&gt;="&amp;AXK1,'Expenditure Breakdown'!$W$6:$W$174, "&lt;"&amp;AXL1)</f>
        <v>0</v>
      </c>
      <c r="AXL11" s="125">
        <f>SUMIFS('Expenditure Breakdown'!$Q$6:$Q$174, 'Expenditure Breakdown'!$W$6:$W$174, "&gt;="&amp;AXL1,'Expenditure Breakdown'!$W$6:$W$174, "&lt;"&amp;AXM1)</f>
        <v>0</v>
      </c>
      <c r="AXM11" s="125">
        <f>SUMIFS('Expenditure Breakdown'!$Q$6:$Q$174, 'Expenditure Breakdown'!$W$6:$W$174, "&gt;="&amp;AXM1,'Expenditure Breakdown'!$W$6:$W$174, "&lt;"&amp;AXN1)</f>
        <v>0</v>
      </c>
      <c r="AXN11" s="125">
        <f>SUMIFS('Expenditure Breakdown'!$Q$6:$Q$174, 'Expenditure Breakdown'!$W$6:$W$174, "&gt;="&amp;AXN1,'Expenditure Breakdown'!$W$6:$W$174, "&lt;"&amp;AXO1)</f>
        <v>0</v>
      </c>
      <c r="AXO11" s="125">
        <f>SUMIFS('Expenditure Breakdown'!$Q$6:$Q$174, 'Expenditure Breakdown'!$W$6:$W$174, "&gt;="&amp;AXO1,'Expenditure Breakdown'!$W$6:$W$174, "&lt;"&amp;AXP1)</f>
        <v>0</v>
      </c>
      <c r="AXP11" s="125">
        <f>SUMIFS('Expenditure Breakdown'!$Q$6:$Q$174, 'Expenditure Breakdown'!$W$6:$W$174, "&gt;="&amp;AXP1,'Expenditure Breakdown'!$W$6:$W$174, "&lt;"&amp;AXQ1)</f>
        <v>0</v>
      </c>
      <c r="AXQ11" s="125">
        <f>SUMIFS('Expenditure Breakdown'!$Q$6:$Q$174, 'Expenditure Breakdown'!$W$6:$W$174, "&gt;="&amp;AXQ1,'Expenditure Breakdown'!$W$6:$W$174, "&lt;"&amp;AXR1)</f>
        <v>0</v>
      </c>
      <c r="AXR11" s="125">
        <f>SUMIFS('Expenditure Breakdown'!$Q$6:$Q$174, 'Expenditure Breakdown'!$W$6:$W$174, "&gt;="&amp;AXR1,'Expenditure Breakdown'!$W$6:$W$174, "&lt;"&amp;AXS1)</f>
        <v>0</v>
      </c>
      <c r="AXS11" s="125">
        <f>SUMIFS('Expenditure Breakdown'!$Q$6:$Q$174, 'Expenditure Breakdown'!$W$6:$W$174, "&gt;="&amp;AXS1,'Expenditure Breakdown'!$W$6:$W$174, "&lt;"&amp;AXT1)</f>
        <v>0</v>
      </c>
      <c r="AXT11" s="125">
        <f>SUMIFS('Expenditure Breakdown'!$Q$6:$Q$174, 'Expenditure Breakdown'!$W$6:$W$174, "&gt;="&amp;AXT1,'Expenditure Breakdown'!$W$6:$W$174, "&lt;"&amp;AXU1)</f>
        <v>0</v>
      </c>
      <c r="AXU11" s="125">
        <f>SUMIFS('Expenditure Breakdown'!$Q$6:$Q$174, 'Expenditure Breakdown'!$W$6:$W$174, "&gt;="&amp;AXU1,'Expenditure Breakdown'!$W$6:$W$174, "&lt;"&amp;AXV1)</f>
        <v>0</v>
      </c>
      <c r="AXV11" s="125">
        <f>SUMIFS('Expenditure Breakdown'!$Q$6:$Q$174, 'Expenditure Breakdown'!$W$6:$W$174, "&gt;="&amp;AXV1,'Expenditure Breakdown'!$W$6:$W$174, "&lt;"&amp;AXW1)</f>
        <v>0</v>
      </c>
      <c r="AXW11" s="125">
        <f>SUMIFS('Expenditure Breakdown'!$Q$6:$Q$174, 'Expenditure Breakdown'!$W$6:$W$174, "&gt;="&amp;AXW1,'Expenditure Breakdown'!$W$6:$W$174, "&lt;"&amp;AXX1)</f>
        <v>0</v>
      </c>
      <c r="AXX11" s="125">
        <f>SUMIFS('Expenditure Breakdown'!$Q$6:$Q$174, 'Expenditure Breakdown'!$W$6:$W$174, "&gt;="&amp;AXX1,'Expenditure Breakdown'!$W$6:$W$174, "&lt;"&amp;AXY1)</f>
        <v>0</v>
      </c>
      <c r="AXY11" s="125">
        <f>SUMIFS('Expenditure Breakdown'!$Q$6:$Q$174, 'Expenditure Breakdown'!$W$6:$W$174, "&gt;="&amp;AXY1,'Expenditure Breakdown'!$W$6:$W$174, "&lt;"&amp;AXZ1)</f>
        <v>0</v>
      </c>
      <c r="AXZ11" s="125">
        <f>SUMIFS('Expenditure Breakdown'!$Q$6:$Q$174, 'Expenditure Breakdown'!$W$6:$W$174, "&gt;="&amp;AXZ1,'Expenditure Breakdown'!$W$6:$W$174, "&lt;"&amp;AYA1)</f>
        <v>0</v>
      </c>
      <c r="AYA11" s="125">
        <f>SUMIFS('Expenditure Breakdown'!$Q$6:$Q$174, 'Expenditure Breakdown'!$W$6:$W$174, "&gt;="&amp;AYA1,'Expenditure Breakdown'!$W$6:$W$174, "&lt;"&amp;AYB1)</f>
        <v>0</v>
      </c>
      <c r="AYB11" s="125">
        <f>SUMIFS('Expenditure Breakdown'!$Q$6:$Q$174, 'Expenditure Breakdown'!$W$6:$W$174, "&gt;="&amp;AYB1,'Expenditure Breakdown'!$W$6:$W$174, "&lt;"&amp;AYC1)</f>
        <v>0</v>
      </c>
      <c r="AYC11" s="125">
        <f>SUMIFS('Expenditure Breakdown'!$Q$6:$Q$174, 'Expenditure Breakdown'!$W$6:$W$174, "&gt;="&amp;AYC1,'Expenditure Breakdown'!$W$6:$W$174, "&lt;"&amp;AYD1)</f>
        <v>0</v>
      </c>
      <c r="AYD11" s="125">
        <f>SUMIFS('Expenditure Breakdown'!$Q$6:$Q$174, 'Expenditure Breakdown'!$W$6:$W$174, "&gt;="&amp;AYD1,'Expenditure Breakdown'!$W$6:$W$174, "&lt;"&amp;AYE1)</f>
        <v>0</v>
      </c>
      <c r="AYE11" s="125">
        <f>SUMIFS('Expenditure Breakdown'!$Q$6:$Q$174, 'Expenditure Breakdown'!$W$6:$W$174, "&gt;="&amp;AYE1,'Expenditure Breakdown'!$W$6:$W$174, "&lt;"&amp;AYF1)</f>
        <v>0</v>
      </c>
      <c r="AYF11" s="125">
        <f>SUMIFS('Expenditure Breakdown'!$Q$6:$Q$174, 'Expenditure Breakdown'!$W$6:$W$174, "&gt;="&amp;AYF1,'Expenditure Breakdown'!$W$6:$W$174, "&lt;"&amp;AYG1)</f>
        <v>0</v>
      </c>
      <c r="AYG11" s="125">
        <f>SUMIFS('Expenditure Breakdown'!$Q$6:$Q$174, 'Expenditure Breakdown'!$W$6:$W$174, "&gt;="&amp;AYG1,'Expenditure Breakdown'!$W$6:$W$174, "&lt;"&amp;AYH1)</f>
        <v>0</v>
      </c>
      <c r="AYH11" s="125">
        <f>SUMIFS('Expenditure Breakdown'!$Q$6:$Q$174, 'Expenditure Breakdown'!$W$6:$W$174, "&gt;="&amp;AYH1,'Expenditure Breakdown'!$W$6:$W$174, "&lt;"&amp;AYI1)</f>
        <v>0</v>
      </c>
      <c r="AYI11" s="125">
        <f>SUMIFS('Expenditure Breakdown'!$Q$6:$Q$174, 'Expenditure Breakdown'!$W$6:$W$174, "&gt;="&amp;AYI1,'Expenditure Breakdown'!$W$6:$W$174, "&lt;"&amp;AYJ1)</f>
        <v>0</v>
      </c>
      <c r="AYJ11" s="125">
        <f>SUMIFS('Expenditure Breakdown'!$Q$6:$Q$174, 'Expenditure Breakdown'!$W$6:$W$174, "&gt;="&amp;AYJ1,'Expenditure Breakdown'!$W$6:$W$174, "&lt;"&amp;AYK1)</f>
        <v>0</v>
      </c>
      <c r="AYK11" s="125">
        <f>SUMIFS('Expenditure Breakdown'!$Q$6:$Q$174, 'Expenditure Breakdown'!$W$6:$W$174, "&gt;="&amp;AYK1,'Expenditure Breakdown'!$W$6:$W$174, "&lt;"&amp;AYL1)</f>
        <v>0</v>
      </c>
      <c r="AYL11" s="125">
        <f>SUMIFS('Expenditure Breakdown'!$Q$6:$Q$174, 'Expenditure Breakdown'!$W$6:$W$174, "&gt;="&amp;AYL1,'Expenditure Breakdown'!$W$6:$W$174, "&lt;"&amp;AYM1)</f>
        <v>0</v>
      </c>
      <c r="AYM11" s="125">
        <f>SUMIFS('Expenditure Breakdown'!$Q$6:$Q$174, 'Expenditure Breakdown'!$W$6:$W$174, "&gt;="&amp;AYM1,'Expenditure Breakdown'!$W$6:$W$174, "&lt;"&amp;AYN1)</f>
        <v>0</v>
      </c>
      <c r="AYN11" s="125">
        <f>SUMIFS('Expenditure Breakdown'!$Q$6:$Q$174, 'Expenditure Breakdown'!$W$6:$W$174, "&gt;="&amp;AYN1,'Expenditure Breakdown'!$W$6:$W$174, "&lt;"&amp;AYO1)</f>
        <v>0</v>
      </c>
      <c r="AYO11" s="125">
        <f>SUMIFS('Expenditure Breakdown'!$Q$6:$Q$174, 'Expenditure Breakdown'!$W$6:$W$174, "&gt;="&amp;AYO1,'Expenditure Breakdown'!$W$6:$W$174, "&lt;"&amp;AYP1)</f>
        <v>0</v>
      </c>
      <c r="AYP11" s="125">
        <f>SUMIFS('Expenditure Breakdown'!$Q$6:$Q$174, 'Expenditure Breakdown'!$W$6:$W$174, "&gt;="&amp;AYP1,'Expenditure Breakdown'!$W$6:$W$174, "&lt;"&amp;AYQ1)</f>
        <v>0</v>
      </c>
      <c r="AYQ11" s="125">
        <f>SUMIFS('Expenditure Breakdown'!$Q$6:$Q$174, 'Expenditure Breakdown'!$W$6:$W$174, "&gt;="&amp;AYQ1,'Expenditure Breakdown'!$W$6:$W$174, "&lt;"&amp;AYR1)</f>
        <v>0</v>
      </c>
      <c r="AYR11" s="125">
        <f>SUMIFS('Expenditure Breakdown'!$Q$6:$Q$174, 'Expenditure Breakdown'!$W$6:$W$174, "&gt;="&amp;AYR1,'Expenditure Breakdown'!$W$6:$W$174, "&lt;"&amp;AYS1)</f>
        <v>0</v>
      </c>
      <c r="AYS11" s="125">
        <f>SUMIFS('Expenditure Breakdown'!$Q$6:$Q$174, 'Expenditure Breakdown'!$W$6:$W$174, "&gt;="&amp;AYS1,'Expenditure Breakdown'!$W$6:$W$174, "&lt;"&amp;AYT1)</f>
        <v>0</v>
      </c>
      <c r="AYT11" s="125">
        <f>SUMIFS('Expenditure Breakdown'!$Q$6:$Q$174, 'Expenditure Breakdown'!$W$6:$W$174, "&gt;="&amp;AYT1,'Expenditure Breakdown'!$W$6:$W$174, "&lt;"&amp;AYU1)</f>
        <v>0</v>
      </c>
      <c r="AYU11" s="125">
        <f>SUMIFS('Expenditure Breakdown'!$Q$6:$Q$174, 'Expenditure Breakdown'!$W$6:$W$174, "&gt;="&amp;AYU1,'Expenditure Breakdown'!$W$6:$W$174, "&lt;"&amp;AYV1)</f>
        <v>0</v>
      </c>
      <c r="AYV11" s="125">
        <f>SUMIFS('Expenditure Breakdown'!$Q$6:$Q$174, 'Expenditure Breakdown'!$W$6:$W$174, "&gt;="&amp;AYV1,'Expenditure Breakdown'!$W$6:$W$174, "&lt;"&amp;AYW1)</f>
        <v>0</v>
      </c>
      <c r="AYW11" s="125">
        <f>SUMIFS('Expenditure Breakdown'!$Q$6:$Q$174, 'Expenditure Breakdown'!$W$6:$W$174, "&gt;="&amp;AYW1,'Expenditure Breakdown'!$W$6:$W$174, "&lt;"&amp;AYX1)</f>
        <v>0</v>
      </c>
      <c r="AYX11" s="125">
        <f>SUMIFS('Expenditure Breakdown'!$Q$6:$Q$174, 'Expenditure Breakdown'!$W$6:$W$174, "&gt;="&amp;AYX1,'Expenditure Breakdown'!$W$6:$W$174, "&lt;"&amp;AYY1)</f>
        <v>0</v>
      </c>
      <c r="AYY11" s="125">
        <f>SUMIFS('Expenditure Breakdown'!$Q$6:$Q$174, 'Expenditure Breakdown'!$W$6:$W$174, "&gt;="&amp;AYY1,'Expenditure Breakdown'!$W$6:$W$174, "&lt;"&amp;AYZ1)</f>
        <v>0</v>
      </c>
      <c r="AYZ11" s="125">
        <f>SUMIFS('Expenditure Breakdown'!$Q$6:$Q$174, 'Expenditure Breakdown'!$W$6:$W$174, "&gt;="&amp;AYZ1,'Expenditure Breakdown'!$W$6:$W$174, "&lt;"&amp;AZA1)</f>
        <v>0</v>
      </c>
      <c r="AZA11" s="125">
        <f>SUMIFS('Expenditure Breakdown'!$Q$6:$Q$174, 'Expenditure Breakdown'!$W$6:$W$174, "&gt;="&amp;AZA1,'Expenditure Breakdown'!$W$6:$W$174, "&lt;"&amp;AZB1)</f>
        <v>0</v>
      </c>
      <c r="AZB11" s="125">
        <f>SUMIFS('Expenditure Breakdown'!$Q$6:$Q$174, 'Expenditure Breakdown'!$W$6:$W$174, "&gt;="&amp;AZB1,'Expenditure Breakdown'!$W$6:$W$174, "&lt;"&amp;AZC1)</f>
        <v>0</v>
      </c>
      <c r="AZC11" s="125">
        <f>SUMIFS('Expenditure Breakdown'!$Q$6:$Q$174, 'Expenditure Breakdown'!$W$6:$W$174, "&gt;="&amp;AZC1,'Expenditure Breakdown'!$W$6:$W$174, "&lt;"&amp;AZD1)</f>
        <v>0</v>
      </c>
      <c r="AZD11" s="125">
        <f>SUMIFS('Expenditure Breakdown'!$Q$6:$Q$174, 'Expenditure Breakdown'!$W$6:$W$174, "&gt;="&amp;AZD1,'Expenditure Breakdown'!$W$6:$W$174, "&lt;"&amp;AZE1)</f>
        <v>0</v>
      </c>
      <c r="AZE11" s="125">
        <f>SUMIFS('Expenditure Breakdown'!$Q$6:$Q$174, 'Expenditure Breakdown'!$W$6:$W$174, "&gt;="&amp;AZE1,'Expenditure Breakdown'!$W$6:$W$174, "&lt;"&amp;AZF1)</f>
        <v>0</v>
      </c>
      <c r="AZF11" s="125">
        <f>SUMIFS('Expenditure Breakdown'!$Q$6:$Q$174, 'Expenditure Breakdown'!$W$6:$W$174, "&gt;="&amp;AZF1,'Expenditure Breakdown'!$W$6:$W$174, "&lt;"&amp;AZG1)</f>
        <v>0</v>
      </c>
      <c r="AZG11" s="125">
        <f>SUMIFS('Expenditure Breakdown'!$Q$6:$Q$174, 'Expenditure Breakdown'!$W$6:$W$174, "&gt;="&amp;AZG1,'Expenditure Breakdown'!$W$6:$W$174, "&lt;"&amp;AZH1)</f>
        <v>0</v>
      </c>
      <c r="AZH11" s="102"/>
      <c r="AZI11" s="113"/>
      <c r="AZJ11" s="113"/>
    </row>
    <row r="12" spans="1:1837" s="114" customFormat="1">
      <c r="A12" s="777"/>
      <c r="B12" s="123" t="s">
        <v>504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110">H12+I11</f>
        <v>0</v>
      </c>
      <c r="J12" s="125">
        <f t="shared" si="110"/>
        <v>0</v>
      </c>
      <c r="K12" s="125">
        <f t="shared" si="110"/>
        <v>0</v>
      </c>
      <c r="L12" s="125">
        <f t="shared" si="110"/>
        <v>0</v>
      </c>
      <c r="M12" s="125">
        <f t="shared" si="110"/>
        <v>0</v>
      </c>
      <c r="N12" s="125">
        <f t="shared" si="110"/>
        <v>0</v>
      </c>
      <c r="O12" s="125">
        <f t="shared" si="110"/>
        <v>0</v>
      </c>
      <c r="P12" s="125">
        <f t="shared" si="110"/>
        <v>0</v>
      </c>
      <c r="Q12" s="125">
        <f t="shared" si="110"/>
        <v>0</v>
      </c>
      <c r="R12" s="125">
        <f t="shared" si="110"/>
        <v>0</v>
      </c>
      <c r="S12" s="125">
        <f t="shared" si="110"/>
        <v>0</v>
      </c>
      <c r="T12" s="125">
        <f t="shared" si="110"/>
        <v>0</v>
      </c>
      <c r="U12" s="125">
        <f t="shared" si="110"/>
        <v>138000</v>
      </c>
      <c r="V12" s="125">
        <f t="shared" si="110"/>
        <v>138000</v>
      </c>
      <c r="W12" s="125">
        <f t="shared" si="110"/>
        <v>138023.79999999999</v>
      </c>
      <c r="X12" s="125">
        <f t="shared" si="110"/>
        <v>139687.9</v>
      </c>
      <c r="Y12" s="125">
        <f t="shared" si="110"/>
        <v>139687.9</v>
      </c>
      <c r="Z12" s="125">
        <f t="shared" si="110"/>
        <v>508337.97</v>
      </c>
      <c r="AA12" s="125">
        <f t="shared" si="110"/>
        <v>509698.17</v>
      </c>
      <c r="AB12" s="125">
        <f t="shared" si="110"/>
        <v>669329.94042606791</v>
      </c>
      <c r="AC12" s="125">
        <f t="shared" si="110"/>
        <v>758098.17</v>
      </c>
      <c r="AD12" s="125">
        <f>AC12+AD11</f>
        <v>758098.17</v>
      </c>
      <c r="AE12" s="125">
        <f t="shared" si="110"/>
        <v>801578.93</v>
      </c>
      <c r="AF12" s="125">
        <f t="shared" si="110"/>
        <v>854363.51</v>
      </c>
      <c r="AG12" s="125">
        <f t="shared" si="110"/>
        <v>854363.51</v>
      </c>
      <c r="AH12" s="125">
        <f t="shared" si="110"/>
        <v>854363.51</v>
      </c>
      <c r="AI12" s="125">
        <f t="shared" si="110"/>
        <v>1065032.5031992022</v>
      </c>
      <c r="AJ12" s="125">
        <f t="shared" si="110"/>
        <v>1065232.4231992022</v>
      </c>
      <c r="AK12" s="125">
        <f t="shared" si="110"/>
        <v>1065232.4231992022</v>
      </c>
      <c r="AL12" s="125">
        <f t="shared" si="110"/>
        <v>1085957.4231992022</v>
      </c>
      <c r="AM12" s="125">
        <f t="shared" si="110"/>
        <v>1371576.1763984044</v>
      </c>
      <c r="AN12" s="125">
        <f t="shared" si="110"/>
        <v>1377826.1763984044</v>
      </c>
      <c r="AO12" s="125">
        <f t="shared" si="110"/>
        <v>1377826.1763984044</v>
      </c>
      <c r="AP12" s="125">
        <f t="shared" si="110"/>
        <v>1377826.1763984044</v>
      </c>
      <c r="AQ12" s="125">
        <f t="shared" si="110"/>
        <v>1377826.1763984044</v>
      </c>
      <c r="AR12" s="125">
        <f t="shared" si="110"/>
        <v>1377826.1763984044</v>
      </c>
      <c r="AS12" s="125">
        <f t="shared" si="110"/>
        <v>1377826.1763984044</v>
      </c>
      <c r="AT12" s="125">
        <f t="shared" si="110"/>
        <v>1377826.1763984044</v>
      </c>
      <c r="AU12" s="125">
        <f t="shared" si="110"/>
        <v>1377826.1763984044</v>
      </c>
      <c r="AV12" s="125">
        <f t="shared" si="110"/>
        <v>1377826.1763984044</v>
      </c>
      <c r="AW12" s="125">
        <f t="shared" si="110"/>
        <v>1377826.1763984044</v>
      </c>
      <c r="AX12" s="125">
        <f t="shared" si="110"/>
        <v>1377826.1763984044</v>
      </c>
      <c r="AY12" s="125">
        <f t="shared" si="110"/>
        <v>1377826.1763984044</v>
      </c>
      <c r="AZ12" s="125">
        <f t="shared" si="110"/>
        <v>1377826.1763984044</v>
      </c>
      <c r="BA12" s="125">
        <f t="shared" si="110"/>
        <v>1377826.1763984044</v>
      </c>
      <c r="BB12" s="125">
        <f t="shared" si="110"/>
        <v>1377826.1763984044</v>
      </c>
      <c r="BC12" s="125">
        <f t="shared" si="110"/>
        <v>1377826.1763984044</v>
      </c>
      <c r="BD12" s="125">
        <f t="shared" si="110"/>
        <v>1377826.1763984044</v>
      </c>
      <c r="BE12" s="125">
        <f t="shared" si="110"/>
        <v>1377826.1763984044</v>
      </c>
      <c r="BF12" s="125">
        <f t="shared" si="110"/>
        <v>1377826.1763984044</v>
      </c>
      <c r="BG12" s="125">
        <f t="shared" si="110"/>
        <v>1377826.1763984044</v>
      </c>
      <c r="BH12" s="125">
        <f t="shared" si="110"/>
        <v>1377826.1763984044</v>
      </c>
      <c r="BI12" s="125">
        <f t="shared" si="110"/>
        <v>1377826.1763984044</v>
      </c>
      <c r="BJ12" s="125">
        <f t="shared" si="110"/>
        <v>1377826.1763984044</v>
      </c>
      <c r="BK12" s="125">
        <f t="shared" si="110"/>
        <v>1377826.1763984044</v>
      </c>
      <c r="BL12" s="125">
        <f t="shared" si="110"/>
        <v>1377826.1763984044</v>
      </c>
      <c r="BM12" s="125">
        <f t="shared" si="110"/>
        <v>1377826.1763984044</v>
      </c>
      <c r="BN12" s="125">
        <f t="shared" si="110"/>
        <v>1377826.1763984044</v>
      </c>
      <c r="BO12" s="125">
        <f t="shared" si="110"/>
        <v>1377826.1763984044</v>
      </c>
      <c r="BP12" s="125">
        <f t="shared" si="110"/>
        <v>1377826.1763984044</v>
      </c>
      <c r="BQ12" s="125">
        <f t="shared" si="110"/>
        <v>1377826.1763984044</v>
      </c>
      <c r="BR12" s="125">
        <f t="shared" si="110"/>
        <v>1377826.1763984044</v>
      </c>
      <c r="BS12" s="125">
        <f t="shared" si="110"/>
        <v>1377826.1763984044</v>
      </c>
      <c r="BT12" s="125">
        <f t="shared" si="110"/>
        <v>1377826.1763984044</v>
      </c>
      <c r="BU12" s="125">
        <f t="shared" ref="BU12:EF12" si="111">BT12+BU11</f>
        <v>1377826.1763984044</v>
      </c>
      <c r="BV12" s="125">
        <f t="shared" si="111"/>
        <v>1377826.1763984044</v>
      </c>
      <c r="BW12" s="125">
        <f t="shared" si="111"/>
        <v>1377826.1763984044</v>
      </c>
      <c r="BX12" s="125">
        <f t="shared" si="111"/>
        <v>1377826.1763984044</v>
      </c>
      <c r="BY12" s="125">
        <f t="shared" si="111"/>
        <v>1377826.1763984044</v>
      </c>
      <c r="BZ12" s="125">
        <f t="shared" si="111"/>
        <v>1377826.1763984044</v>
      </c>
      <c r="CA12" s="125">
        <f t="shared" si="111"/>
        <v>1377826.1763984044</v>
      </c>
      <c r="CB12" s="125">
        <f t="shared" si="111"/>
        <v>1377826.1763984044</v>
      </c>
      <c r="CC12" s="125">
        <f t="shared" si="111"/>
        <v>1377826.1763984044</v>
      </c>
      <c r="CD12" s="125">
        <f t="shared" si="111"/>
        <v>1377826.1763984044</v>
      </c>
      <c r="CE12" s="125">
        <f t="shared" si="111"/>
        <v>1377826.1763984044</v>
      </c>
      <c r="CF12" s="125">
        <f t="shared" si="111"/>
        <v>1377826.1763984044</v>
      </c>
      <c r="CG12" s="125">
        <f t="shared" si="111"/>
        <v>1377826.1763984044</v>
      </c>
      <c r="CH12" s="125">
        <f t="shared" si="111"/>
        <v>1377826.1763984044</v>
      </c>
      <c r="CI12" s="125">
        <f t="shared" si="111"/>
        <v>1377826.1763984044</v>
      </c>
      <c r="CJ12" s="125">
        <f t="shared" si="111"/>
        <v>1377826.1763984044</v>
      </c>
      <c r="CK12" s="125">
        <f t="shared" si="111"/>
        <v>1377826.1763984044</v>
      </c>
      <c r="CL12" s="125">
        <f t="shared" si="111"/>
        <v>1377826.1763984044</v>
      </c>
      <c r="CM12" s="125">
        <f t="shared" si="111"/>
        <v>1377826.1763984044</v>
      </c>
      <c r="CN12" s="125">
        <f t="shared" si="111"/>
        <v>1377826.1763984044</v>
      </c>
      <c r="CO12" s="125">
        <f t="shared" si="111"/>
        <v>1377826.1763984044</v>
      </c>
      <c r="CP12" s="125">
        <f t="shared" si="111"/>
        <v>1377826.1763984044</v>
      </c>
      <c r="CQ12" s="125">
        <f t="shared" si="111"/>
        <v>1377826.1763984044</v>
      </c>
      <c r="CR12" s="125">
        <f t="shared" si="111"/>
        <v>1377826.1763984044</v>
      </c>
      <c r="CS12" s="125">
        <f t="shared" si="111"/>
        <v>1377826.1763984044</v>
      </c>
      <c r="CT12" s="125">
        <f t="shared" si="111"/>
        <v>1377826.1763984044</v>
      </c>
      <c r="CU12" s="125">
        <f t="shared" si="111"/>
        <v>1377826.1763984044</v>
      </c>
      <c r="CV12" s="125">
        <f t="shared" si="111"/>
        <v>1377826.1763984044</v>
      </c>
      <c r="CW12" s="125">
        <f t="shared" si="111"/>
        <v>1377826.1763984044</v>
      </c>
      <c r="CX12" s="125">
        <f t="shared" si="111"/>
        <v>1377826.1763984044</v>
      </c>
      <c r="CY12" s="125">
        <f t="shared" si="111"/>
        <v>1377826.1763984044</v>
      </c>
      <c r="CZ12" s="125">
        <f t="shared" si="111"/>
        <v>1377826.1763984044</v>
      </c>
      <c r="DA12" s="125">
        <f t="shared" si="111"/>
        <v>1377826.1763984044</v>
      </c>
      <c r="DB12" s="125">
        <f t="shared" si="111"/>
        <v>1377826.1763984044</v>
      </c>
      <c r="DC12" s="125">
        <f t="shared" si="111"/>
        <v>1377826.1763984044</v>
      </c>
      <c r="DD12" s="125">
        <f t="shared" si="111"/>
        <v>1377826.1763984044</v>
      </c>
      <c r="DE12" s="125">
        <f t="shared" si="111"/>
        <v>1377826.1763984044</v>
      </c>
      <c r="DF12" s="125">
        <f t="shared" si="111"/>
        <v>1377826.1763984044</v>
      </c>
      <c r="DG12" s="125">
        <f t="shared" si="111"/>
        <v>1377826.1763984044</v>
      </c>
      <c r="DH12" s="125">
        <f t="shared" si="111"/>
        <v>1377826.1763984044</v>
      </c>
      <c r="DI12" s="125">
        <f t="shared" si="111"/>
        <v>1377826.1763984044</v>
      </c>
      <c r="DJ12" s="125">
        <f t="shared" si="111"/>
        <v>1377826.1763984044</v>
      </c>
      <c r="DK12" s="125">
        <f t="shared" si="111"/>
        <v>1377826.1763984044</v>
      </c>
      <c r="DL12" s="125">
        <f t="shared" si="111"/>
        <v>1377826.1763984044</v>
      </c>
      <c r="DM12" s="125">
        <f t="shared" si="111"/>
        <v>1377826.1763984044</v>
      </c>
      <c r="DN12" s="125">
        <f t="shared" si="111"/>
        <v>1377826.1763984044</v>
      </c>
      <c r="DO12" s="125">
        <f t="shared" si="111"/>
        <v>1377826.1763984044</v>
      </c>
      <c r="DP12" s="125">
        <f t="shared" si="111"/>
        <v>1377826.1763984044</v>
      </c>
      <c r="DQ12" s="125">
        <f t="shared" si="111"/>
        <v>1377826.1763984044</v>
      </c>
      <c r="DR12" s="125">
        <f t="shared" si="111"/>
        <v>1377826.1763984044</v>
      </c>
      <c r="DS12" s="125">
        <f t="shared" si="111"/>
        <v>1377826.1763984044</v>
      </c>
      <c r="DT12" s="125">
        <f t="shared" si="111"/>
        <v>1377826.1763984044</v>
      </c>
      <c r="DU12" s="125">
        <f t="shared" si="111"/>
        <v>1377826.1763984044</v>
      </c>
      <c r="DV12" s="125">
        <f t="shared" si="111"/>
        <v>1377826.1763984044</v>
      </c>
      <c r="DW12" s="125">
        <f t="shared" si="111"/>
        <v>1377826.1763984044</v>
      </c>
      <c r="DX12" s="125">
        <f t="shared" si="111"/>
        <v>1377826.1763984044</v>
      </c>
      <c r="DY12" s="125">
        <f t="shared" si="111"/>
        <v>1377826.1763984044</v>
      </c>
      <c r="DZ12" s="125">
        <f t="shared" si="111"/>
        <v>1377826.1763984044</v>
      </c>
      <c r="EA12" s="125">
        <f t="shared" si="111"/>
        <v>1377826.1763984044</v>
      </c>
      <c r="EB12" s="125">
        <f t="shared" si="111"/>
        <v>1377826.1763984044</v>
      </c>
      <c r="EC12" s="125">
        <f t="shared" si="111"/>
        <v>1377826.1763984044</v>
      </c>
      <c r="ED12" s="125">
        <f t="shared" si="111"/>
        <v>1377826.1763984044</v>
      </c>
      <c r="EE12" s="125">
        <f t="shared" si="111"/>
        <v>1377826.1763984044</v>
      </c>
      <c r="EF12" s="125">
        <f t="shared" si="111"/>
        <v>1377826.1763984044</v>
      </c>
      <c r="EG12" s="125">
        <f t="shared" ref="EG12:GR12" si="112">EF12+EG11</f>
        <v>1377826.1763984044</v>
      </c>
      <c r="EH12" s="125">
        <f t="shared" si="112"/>
        <v>1377826.1763984044</v>
      </c>
      <c r="EI12" s="125">
        <f t="shared" si="112"/>
        <v>1377826.1763984044</v>
      </c>
      <c r="EJ12" s="125">
        <f t="shared" si="112"/>
        <v>1377826.1763984044</v>
      </c>
      <c r="EK12" s="125">
        <f t="shared" si="112"/>
        <v>1377826.1763984044</v>
      </c>
      <c r="EL12" s="125">
        <f t="shared" si="112"/>
        <v>1377826.1763984044</v>
      </c>
      <c r="EM12" s="125">
        <f t="shared" si="112"/>
        <v>1377826.1763984044</v>
      </c>
      <c r="EN12" s="125">
        <f t="shared" si="112"/>
        <v>1377826.1763984044</v>
      </c>
      <c r="EO12" s="125">
        <f t="shared" si="112"/>
        <v>1377826.1763984044</v>
      </c>
      <c r="EP12" s="125">
        <f t="shared" si="112"/>
        <v>1377826.1763984044</v>
      </c>
      <c r="EQ12" s="125">
        <f t="shared" si="112"/>
        <v>1377826.1763984044</v>
      </c>
      <c r="ER12" s="125">
        <f t="shared" si="112"/>
        <v>1377826.1763984044</v>
      </c>
      <c r="ES12" s="125">
        <f t="shared" si="112"/>
        <v>1377826.1763984044</v>
      </c>
      <c r="ET12" s="125">
        <f t="shared" si="112"/>
        <v>1377826.1763984044</v>
      </c>
      <c r="EU12" s="125">
        <f t="shared" si="112"/>
        <v>1377826.1763984044</v>
      </c>
      <c r="EV12" s="125">
        <f t="shared" si="112"/>
        <v>1377826.1763984044</v>
      </c>
      <c r="EW12" s="125">
        <f t="shared" si="112"/>
        <v>1377826.1763984044</v>
      </c>
      <c r="EX12" s="125">
        <f t="shared" si="112"/>
        <v>1377826.1763984044</v>
      </c>
      <c r="EY12" s="125">
        <f t="shared" si="112"/>
        <v>1377826.1763984044</v>
      </c>
      <c r="EZ12" s="125">
        <f t="shared" si="112"/>
        <v>1377826.1763984044</v>
      </c>
      <c r="FA12" s="125">
        <f t="shared" si="112"/>
        <v>1377826.1763984044</v>
      </c>
      <c r="FB12" s="125">
        <f t="shared" si="112"/>
        <v>1377826.1763984044</v>
      </c>
      <c r="FC12" s="125">
        <f t="shared" si="112"/>
        <v>1377826.1763984044</v>
      </c>
      <c r="FD12" s="125">
        <f t="shared" si="112"/>
        <v>1377826.1763984044</v>
      </c>
      <c r="FE12" s="125">
        <f t="shared" si="112"/>
        <v>1377826.1763984044</v>
      </c>
      <c r="FF12" s="125">
        <f t="shared" si="112"/>
        <v>1377826.1763984044</v>
      </c>
      <c r="FG12" s="125">
        <f t="shared" si="112"/>
        <v>1377826.1763984044</v>
      </c>
      <c r="FH12" s="125">
        <f t="shared" si="112"/>
        <v>1377826.1763984044</v>
      </c>
      <c r="FI12" s="125">
        <f t="shared" si="112"/>
        <v>1377826.1763984044</v>
      </c>
      <c r="FJ12" s="125">
        <f t="shared" si="112"/>
        <v>1377826.1763984044</v>
      </c>
      <c r="FK12" s="125">
        <f t="shared" si="112"/>
        <v>1377826.1763984044</v>
      </c>
      <c r="FL12" s="125">
        <f t="shared" si="112"/>
        <v>1377826.1763984044</v>
      </c>
      <c r="FM12" s="125">
        <f t="shared" si="112"/>
        <v>1377826.1763984044</v>
      </c>
      <c r="FN12" s="125">
        <f t="shared" si="112"/>
        <v>1377826.1763984044</v>
      </c>
      <c r="FO12" s="125">
        <f t="shared" si="112"/>
        <v>1377826.1763984044</v>
      </c>
      <c r="FP12" s="125">
        <f t="shared" si="112"/>
        <v>1377826.1763984044</v>
      </c>
      <c r="FQ12" s="125">
        <f t="shared" si="112"/>
        <v>1377826.1763984044</v>
      </c>
      <c r="FR12" s="125">
        <f t="shared" si="112"/>
        <v>1377826.1763984044</v>
      </c>
      <c r="FS12" s="125">
        <f t="shared" si="112"/>
        <v>1377826.1763984044</v>
      </c>
      <c r="FT12" s="125">
        <f t="shared" si="112"/>
        <v>1377826.1763984044</v>
      </c>
      <c r="FU12" s="125">
        <f t="shared" si="112"/>
        <v>1377826.1763984044</v>
      </c>
      <c r="FV12" s="125">
        <f t="shared" si="112"/>
        <v>1377826.1763984044</v>
      </c>
      <c r="FW12" s="125">
        <f t="shared" si="112"/>
        <v>1377826.1763984044</v>
      </c>
      <c r="FX12" s="125">
        <f t="shared" si="112"/>
        <v>1377826.1763984044</v>
      </c>
      <c r="FY12" s="125">
        <f t="shared" si="112"/>
        <v>1377826.1763984044</v>
      </c>
      <c r="FZ12" s="125">
        <f t="shared" si="112"/>
        <v>1377826.1763984044</v>
      </c>
      <c r="GA12" s="125">
        <f t="shared" si="112"/>
        <v>1377826.1763984044</v>
      </c>
      <c r="GB12" s="125">
        <f t="shared" si="112"/>
        <v>1377826.1763984044</v>
      </c>
      <c r="GC12" s="125">
        <f t="shared" si="112"/>
        <v>1377826.1763984044</v>
      </c>
      <c r="GD12" s="125">
        <f t="shared" si="112"/>
        <v>1377826.1763984044</v>
      </c>
      <c r="GE12" s="125">
        <f t="shared" si="112"/>
        <v>1377826.1763984044</v>
      </c>
      <c r="GF12" s="125">
        <f t="shared" si="112"/>
        <v>1377826.1763984044</v>
      </c>
      <c r="GG12" s="125">
        <f t="shared" si="112"/>
        <v>1377826.1763984044</v>
      </c>
      <c r="GH12" s="125">
        <f t="shared" si="112"/>
        <v>1377826.1763984044</v>
      </c>
      <c r="GI12" s="125">
        <f t="shared" si="112"/>
        <v>1377826.1763984044</v>
      </c>
      <c r="GJ12" s="125">
        <f t="shared" si="112"/>
        <v>1377826.1763984044</v>
      </c>
      <c r="GK12" s="125">
        <f t="shared" si="112"/>
        <v>1377826.1763984044</v>
      </c>
      <c r="GL12" s="125">
        <f t="shared" si="112"/>
        <v>1377826.1763984044</v>
      </c>
      <c r="GM12" s="125">
        <f t="shared" si="112"/>
        <v>1377826.1763984044</v>
      </c>
      <c r="GN12" s="125">
        <f t="shared" si="112"/>
        <v>1377826.1763984044</v>
      </c>
      <c r="GO12" s="125">
        <f t="shared" si="112"/>
        <v>1377826.1763984044</v>
      </c>
      <c r="GP12" s="125">
        <f t="shared" si="112"/>
        <v>1377826.1763984044</v>
      </c>
      <c r="GQ12" s="125">
        <f t="shared" si="112"/>
        <v>1377826.1763984044</v>
      </c>
      <c r="GR12" s="125">
        <f t="shared" si="112"/>
        <v>1377826.1763984044</v>
      </c>
      <c r="GS12" s="125">
        <f t="shared" ref="GS12:JD12" si="113">GR12+GS11</f>
        <v>1377826.1763984044</v>
      </c>
      <c r="GT12" s="125">
        <f t="shared" si="113"/>
        <v>1377826.1763984044</v>
      </c>
      <c r="GU12" s="125">
        <f t="shared" si="113"/>
        <v>1377826.1763984044</v>
      </c>
      <c r="GV12" s="125">
        <f t="shared" si="113"/>
        <v>1377826.1763984044</v>
      </c>
      <c r="GW12" s="125">
        <f t="shared" si="113"/>
        <v>1377826.1763984044</v>
      </c>
      <c r="GX12" s="125">
        <f t="shared" si="113"/>
        <v>1377826.1763984044</v>
      </c>
      <c r="GY12" s="125">
        <f t="shared" si="113"/>
        <v>1377826.1763984044</v>
      </c>
      <c r="GZ12" s="125">
        <f t="shared" si="113"/>
        <v>1377826.1763984044</v>
      </c>
      <c r="HA12" s="125">
        <f t="shared" si="113"/>
        <v>1377826.1763984044</v>
      </c>
      <c r="HB12" s="125">
        <f t="shared" si="113"/>
        <v>1377826.1763984044</v>
      </c>
      <c r="HC12" s="125">
        <f t="shared" si="113"/>
        <v>1377826.1763984044</v>
      </c>
      <c r="HD12" s="125">
        <f t="shared" si="113"/>
        <v>1377826.1763984044</v>
      </c>
      <c r="HE12" s="125">
        <f t="shared" si="113"/>
        <v>1377826.1763984044</v>
      </c>
      <c r="HF12" s="125">
        <f t="shared" si="113"/>
        <v>1377826.1763984044</v>
      </c>
      <c r="HG12" s="125">
        <f t="shared" si="113"/>
        <v>1377826.1763984044</v>
      </c>
      <c r="HH12" s="125">
        <f t="shared" si="113"/>
        <v>1377826.1763984044</v>
      </c>
      <c r="HI12" s="125">
        <f t="shared" si="113"/>
        <v>1377826.1763984044</v>
      </c>
      <c r="HJ12" s="125">
        <f t="shared" si="113"/>
        <v>1377826.1763984044</v>
      </c>
      <c r="HK12" s="125">
        <f t="shared" si="113"/>
        <v>1377826.1763984044</v>
      </c>
      <c r="HL12" s="125">
        <f t="shared" si="113"/>
        <v>1377826.1763984044</v>
      </c>
      <c r="HM12" s="125">
        <f t="shared" si="113"/>
        <v>1377826.1763984044</v>
      </c>
      <c r="HN12" s="125">
        <f t="shared" si="113"/>
        <v>1377826.1763984044</v>
      </c>
      <c r="HO12" s="125">
        <f t="shared" si="113"/>
        <v>1377826.1763984044</v>
      </c>
      <c r="HP12" s="125">
        <f t="shared" si="113"/>
        <v>1377826.1763984044</v>
      </c>
      <c r="HQ12" s="125">
        <f t="shared" si="113"/>
        <v>1377826.1763984044</v>
      </c>
      <c r="HR12" s="125">
        <f t="shared" si="113"/>
        <v>1377826.1763984044</v>
      </c>
      <c r="HS12" s="125">
        <f t="shared" si="113"/>
        <v>1377826.1763984044</v>
      </c>
      <c r="HT12" s="125">
        <f t="shared" si="113"/>
        <v>1377826.1763984044</v>
      </c>
      <c r="HU12" s="125">
        <f t="shared" si="113"/>
        <v>1377826.1763984044</v>
      </c>
      <c r="HV12" s="125">
        <f t="shared" si="113"/>
        <v>1377826.1763984044</v>
      </c>
      <c r="HW12" s="125">
        <f t="shared" si="113"/>
        <v>1377826.1763984044</v>
      </c>
      <c r="HX12" s="125">
        <f t="shared" si="113"/>
        <v>1377826.1763984044</v>
      </c>
      <c r="HY12" s="125">
        <f t="shared" si="113"/>
        <v>1377826.1763984044</v>
      </c>
      <c r="HZ12" s="125">
        <f t="shared" si="113"/>
        <v>1377826.1763984044</v>
      </c>
      <c r="IA12" s="125">
        <f t="shared" si="113"/>
        <v>1377826.1763984044</v>
      </c>
      <c r="IB12" s="125">
        <f t="shared" si="113"/>
        <v>1377826.1763984044</v>
      </c>
      <c r="IC12" s="125">
        <f t="shared" si="113"/>
        <v>1377826.1763984044</v>
      </c>
      <c r="ID12" s="125">
        <f t="shared" si="113"/>
        <v>1377826.1763984044</v>
      </c>
      <c r="IE12" s="125">
        <f t="shared" si="113"/>
        <v>1377826.1763984044</v>
      </c>
      <c r="IF12" s="125">
        <f t="shared" si="113"/>
        <v>1377826.1763984044</v>
      </c>
      <c r="IG12" s="125">
        <f t="shared" si="113"/>
        <v>1377826.1763984044</v>
      </c>
      <c r="IH12" s="125">
        <f t="shared" si="113"/>
        <v>1377826.1763984044</v>
      </c>
      <c r="II12" s="125">
        <f t="shared" si="113"/>
        <v>1377826.1763984044</v>
      </c>
      <c r="IJ12" s="125">
        <f t="shared" si="113"/>
        <v>1377826.1763984044</v>
      </c>
      <c r="IK12" s="125">
        <f t="shared" si="113"/>
        <v>1377826.1763984044</v>
      </c>
      <c r="IL12" s="125">
        <f t="shared" si="113"/>
        <v>1377826.1763984044</v>
      </c>
      <c r="IM12" s="125">
        <f t="shared" si="113"/>
        <v>1377826.1763984044</v>
      </c>
      <c r="IN12" s="125">
        <f t="shared" si="113"/>
        <v>1377826.1763984044</v>
      </c>
      <c r="IO12" s="125">
        <f t="shared" si="113"/>
        <v>1377826.1763984044</v>
      </c>
      <c r="IP12" s="125">
        <f t="shared" si="113"/>
        <v>1377826.1763984044</v>
      </c>
      <c r="IQ12" s="125">
        <f t="shared" si="113"/>
        <v>1377826.1763984044</v>
      </c>
      <c r="IR12" s="125">
        <f t="shared" si="113"/>
        <v>1377826.1763984044</v>
      </c>
      <c r="IS12" s="125">
        <f t="shared" si="113"/>
        <v>1377826.1763984044</v>
      </c>
      <c r="IT12" s="125">
        <f t="shared" si="113"/>
        <v>1377826.1763984044</v>
      </c>
      <c r="IU12" s="125">
        <f t="shared" si="113"/>
        <v>1377826.1763984044</v>
      </c>
      <c r="IV12" s="125">
        <f t="shared" si="113"/>
        <v>1377826.1763984044</v>
      </c>
      <c r="IW12" s="125">
        <f t="shared" si="113"/>
        <v>1377826.1763984044</v>
      </c>
      <c r="IX12" s="125">
        <f t="shared" si="113"/>
        <v>1377826.1763984044</v>
      </c>
      <c r="IY12" s="125">
        <f t="shared" si="113"/>
        <v>1377826.1763984044</v>
      </c>
      <c r="IZ12" s="125">
        <f t="shared" si="113"/>
        <v>1377826.1763984044</v>
      </c>
      <c r="JA12" s="125">
        <f t="shared" si="113"/>
        <v>1377826.1763984044</v>
      </c>
      <c r="JB12" s="125">
        <f t="shared" si="113"/>
        <v>1377826.1763984044</v>
      </c>
      <c r="JC12" s="125">
        <f t="shared" si="113"/>
        <v>1377826.1763984044</v>
      </c>
      <c r="JD12" s="125">
        <f t="shared" si="113"/>
        <v>1377826.1763984044</v>
      </c>
      <c r="JE12" s="125">
        <f t="shared" ref="JE12:LP12" si="114">JD12+JE11</f>
        <v>1377826.1763984044</v>
      </c>
      <c r="JF12" s="125">
        <f t="shared" si="114"/>
        <v>1377826.1763984044</v>
      </c>
      <c r="JG12" s="125">
        <f t="shared" si="114"/>
        <v>1377826.1763984044</v>
      </c>
      <c r="JH12" s="125">
        <f t="shared" si="114"/>
        <v>1377826.1763984044</v>
      </c>
      <c r="JI12" s="125">
        <f t="shared" si="114"/>
        <v>1377826.1763984044</v>
      </c>
      <c r="JJ12" s="125">
        <f t="shared" si="114"/>
        <v>1377826.1763984044</v>
      </c>
      <c r="JK12" s="125">
        <f t="shared" si="114"/>
        <v>1377826.1763984044</v>
      </c>
      <c r="JL12" s="125">
        <f t="shared" si="114"/>
        <v>1377826.1763984044</v>
      </c>
      <c r="JM12" s="125">
        <f t="shared" si="114"/>
        <v>1377826.1763984044</v>
      </c>
      <c r="JN12" s="125">
        <f t="shared" si="114"/>
        <v>1377826.1763984044</v>
      </c>
      <c r="JO12" s="125">
        <f t="shared" si="114"/>
        <v>1377826.1763984044</v>
      </c>
      <c r="JP12" s="125">
        <f t="shared" si="114"/>
        <v>1377826.1763984044</v>
      </c>
      <c r="JQ12" s="125">
        <f t="shared" si="114"/>
        <v>1377826.1763984044</v>
      </c>
      <c r="JR12" s="125">
        <f t="shared" si="114"/>
        <v>1377826.1763984044</v>
      </c>
      <c r="JS12" s="125">
        <f t="shared" si="114"/>
        <v>1377826.1763984044</v>
      </c>
      <c r="JT12" s="125">
        <f t="shared" si="114"/>
        <v>1377826.1763984044</v>
      </c>
      <c r="JU12" s="125">
        <f t="shared" si="114"/>
        <v>1377826.1763984044</v>
      </c>
      <c r="JV12" s="125">
        <f t="shared" si="114"/>
        <v>1377826.1763984044</v>
      </c>
      <c r="JW12" s="125">
        <f t="shared" si="114"/>
        <v>1377826.1763984044</v>
      </c>
      <c r="JX12" s="125">
        <f t="shared" si="114"/>
        <v>1377826.1763984044</v>
      </c>
      <c r="JY12" s="125">
        <f t="shared" si="114"/>
        <v>1377826.1763984044</v>
      </c>
      <c r="JZ12" s="125">
        <f t="shared" si="114"/>
        <v>1377826.1763984044</v>
      </c>
      <c r="KA12" s="125">
        <f t="shared" si="114"/>
        <v>1377826.1763984044</v>
      </c>
      <c r="KB12" s="125">
        <f t="shared" si="114"/>
        <v>1377826.1763984044</v>
      </c>
      <c r="KC12" s="125">
        <f t="shared" si="114"/>
        <v>1377826.1763984044</v>
      </c>
      <c r="KD12" s="125">
        <f t="shared" si="114"/>
        <v>1377826.1763984044</v>
      </c>
      <c r="KE12" s="125">
        <f t="shared" si="114"/>
        <v>1377826.1763984044</v>
      </c>
      <c r="KF12" s="125">
        <f t="shared" si="114"/>
        <v>1377826.1763984044</v>
      </c>
      <c r="KG12" s="125">
        <f t="shared" si="114"/>
        <v>1377826.1763984044</v>
      </c>
      <c r="KH12" s="125">
        <f t="shared" si="114"/>
        <v>1377826.1763984044</v>
      </c>
      <c r="KI12" s="125">
        <f t="shared" si="114"/>
        <v>1377826.1763984044</v>
      </c>
      <c r="KJ12" s="125">
        <f t="shared" si="114"/>
        <v>1377826.1763984044</v>
      </c>
      <c r="KK12" s="125">
        <f t="shared" si="114"/>
        <v>1377826.1763984044</v>
      </c>
      <c r="KL12" s="125">
        <f t="shared" si="114"/>
        <v>1377826.1763984044</v>
      </c>
      <c r="KM12" s="125">
        <f t="shared" si="114"/>
        <v>1377826.1763984044</v>
      </c>
      <c r="KN12" s="125">
        <f t="shared" si="114"/>
        <v>1377826.1763984044</v>
      </c>
      <c r="KO12" s="125">
        <f t="shared" si="114"/>
        <v>1377826.1763984044</v>
      </c>
      <c r="KP12" s="125">
        <f t="shared" si="114"/>
        <v>1377826.1763984044</v>
      </c>
      <c r="KQ12" s="125">
        <f t="shared" si="114"/>
        <v>1377826.1763984044</v>
      </c>
      <c r="KR12" s="125">
        <f t="shared" si="114"/>
        <v>1377826.1763984044</v>
      </c>
      <c r="KS12" s="125">
        <f t="shared" si="114"/>
        <v>1377826.1763984044</v>
      </c>
      <c r="KT12" s="125">
        <f t="shared" si="114"/>
        <v>1377826.1763984044</v>
      </c>
      <c r="KU12" s="125">
        <f t="shared" si="114"/>
        <v>1377826.1763984044</v>
      </c>
      <c r="KV12" s="125">
        <f t="shared" si="114"/>
        <v>1377826.1763984044</v>
      </c>
      <c r="KW12" s="125">
        <f t="shared" si="114"/>
        <v>1377826.1763984044</v>
      </c>
      <c r="KX12" s="125">
        <f t="shared" si="114"/>
        <v>1377826.1763984044</v>
      </c>
      <c r="KY12" s="125">
        <f t="shared" si="114"/>
        <v>1377826.1763984044</v>
      </c>
      <c r="KZ12" s="125">
        <f t="shared" si="114"/>
        <v>1377826.1763984044</v>
      </c>
      <c r="LA12" s="125">
        <f t="shared" si="114"/>
        <v>1377826.1763984044</v>
      </c>
      <c r="LB12" s="125">
        <f t="shared" si="114"/>
        <v>1377826.1763984044</v>
      </c>
      <c r="LC12" s="125">
        <f t="shared" si="114"/>
        <v>1377826.1763984044</v>
      </c>
      <c r="LD12" s="125">
        <f t="shared" si="114"/>
        <v>1377826.1763984044</v>
      </c>
      <c r="LE12" s="125">
        <f t="shared" si="114"/>
        <v>1377826.1763984044</v>
      </c>
      <c r="LF12" s="125">
        <f t="shared" si="114"/>
        <v>1377826.1763984044</v>
      </c>
      <c r="LG12" s="125">
        <f t="shared" si="114"/>
        <v>1377826.1763984044</v>
      </c>
      <c r="LH12" s="125">
        <f t="shared" si="114"/>
        <v>1377826.1763984044</v>
      </c>
      <c r="LI12" s="125">
        <f t="shared" si="114"/>
        <v>1377826.1763984044</v>
      </c>
      <c r="LJ12" s="125">
        <f t="shared" si="114"/>
        <v>1377826.1763984044</v>
      </c>
      <c r="LK12" s="125">
        <f t="shared" si="114"/>
        <v>1377826.1763984044</v>
      </c>
      <c r="LL12" s="125">
        <f t="shared" si="114"/>
        <v>1377826.1763984044</v>
      </c>
      <c r="LM12" s="125">
        <f t="shared" si="114"/>
        <v>1377826.1763984044</v>
      </c>
      <c r="LN12" s="125">
        <f t="shared" si="114"/>
        <v>1377826.1763984044</v>
      </c>
      <c r="LO12" s="125">
        <f t="shared" si="114"/>
        <v>1377826.1763984044</v>
      </c>
      <c r="LP12" s="125">
        <f t="shared" si="114"/>
        <v>1377826.1763984044</v>
      </c>
      <c r="LQ12" s="125">
        <f t="shared" ref="LQ12:OB12" si="115">LP12+LQ11</f>
        <v>1377826.1763984044</v>
      </c>
      <c r="LR12" s="125">
        <f t="shared" si="115"/>
        <v>1377826.1763984044</v>
      </c>
      <c r="LS12" s="125">
        <f t="shared" si="115"/>
        <v>1377826.1763984044</v>
      </c>
      <c r="LT12" s="125">
        <f t="shared" si="115"/>
        <v>1377826.1763984044</v>
      </c>
      <c r="LU12" s="125">
        <f t="shared" si="115"/>
        <v>1377826.1763984044</v>
      </c>
      <c r="LV12" s="125">
        <f t="shared" si="115"/>
        <v>1377826.1763984044</v>
      </c>
      <c r="LW12" s="125">
        <f t="shared" si="115"/>
        <v>1377826.1763984044</v>
      </c>
      <c r="LX12" s="125">
        <f t="shared" si="115"/>
        <v>1377826.1763984044</v>
      </c>
      <c r="LY12" s="125">
        <f t="shared" si="115"/>
        <v>1377826.1763984044</v>
      </c>
      <c r="LZ12" s="125">
        <f t="shared" si="115"/>
        <v>1377826.1763984044</v>
      </c>
      <c r="MA12" s="125">
        <f t="shared" si="115"/>
        <v>1377826.1763984044</v>
      </c>
      <c r="MB12" s="125">
        <f t="shared" si="115"/>
        <v>1377826.1763984044</v>
      </c>
      <c r="MC12" s="125">
        <f t="shared" si="115"/>
        <v>1377826.1763984044</v>
      </c>
      <c r="MD12" s="125">
        <f t="shared" si="115"/>
        <v>1377826.1763984044</v>
      </c>
      <c r="ME12" s="125">
        <f t="shared" si="115"/>
        <v>1377826.1763984044</v>
      </c>
      <c r="MF12" s="125">
        <f t="shared" si="115"/>
        <v>1377826.1763984044</v>
      </c>
      <c r="MG12" s="125">
        <f t="shared" si="115"/>
        <v>1377826.1763984044</v>
      </c>
      <c r="MH12" s="125">
        <f t="shared" si="115"/>
        <v>1377826.1763984044</v>
      </c>
      <c r="MI12" s="125">
        <f t="shared" si="115"/>
        <v>1377826.1763984044</v>
      </c>
      <c r="MJ12" s="125">
        <f t="shared" si="115"/>
        <v>1377826.1763984044</v>
      </c>
      <c r="MK12" s="125">
        <f t="shared" si="115"/>
        <v>1377826.1763984044</v>
      </c>
      <c r="ML12" s="125">
        <f t="shared" si="115"/>
        <v>1377826.1763984044</v>
      </c>
      <c r="MM12" s="125">
        <f t="shared" si="115"/>
        <v>1377826.1763984044</v>
      </c>
      <c r="MN12" s="125">
        <f t="shared" si="115"/>
        <v>1377826.1763984044</v>
      </c>
      <c r="MO12" s="125">
        <f t="shared" si="115"/>
        <v>1377826.1763984044</v>
      </c>
      <c r="MP12" s="125">
        <f t="shared" si="115"/>
        <v>1377826.1763984044</v>
      </c>
      <c r="MQ12" s="125">
        <f t="shared" si="115"/>
        <v>1377826.1763984044</v>
      </c>
      <c r="MR12" s="125">
        <f t="shared" si="115"/>
        <v>1377826.1763984044</v>
      </c>
      <c r="MS12" s="125">
        <f t="shared" si="115"/>
        <v>1377826.1763984044</v>
      </c>
      <c r="MT12" s="125">
        <f t="shared" si="115"/>
        <v>1377826.1763984044</v>
      </c>
      <c r="MU12" s="125">
        <f t="shared" si="115"/>
        <v>1377826.1763984044</v>
      </c>
      <c r="MV12" s="125">
        <f t="shared" si="115"/>
        <v>1377826.1763984044</v>
      </c>
      <c r="MW12" s="125">
        <f t="shared" si="115"/>
        <v>1377826.1763984044</v>
      </c>
      <c r="MX12" s="125">
        <f t="shared" si="115"/>
        <v>1377826.1763984044</v>
      </c>
      <c r="MY12" s="125">
        <f t="shared" si="115"/>
        <v>1377826.1763984044</v>
      </c>
      <c r="MZ12" s="125">
        <f t="shared" si="115"/>
        <v>1377826.1763984044</v>
      </c>
      <c r="NA12" s="125">
        <f t="shared" si="115"/>
        <v>1377826.1763984044</v>
      </c>
      <c r="NB12" s="125">
        <f t="shared" si="115"/>
        <v>1377826.1763984044</v>
      </c>
      <c r="NC12" s="125">
        <f t="shared" si="115"/>
        <v>1377826.1763984044</v>
      </c>
      <c r="ND12" s="125">
        <f t="shared" si="115"/>
        <v>1377826.1763984044</v>
      </c>
      <c r="NE12" s="125">
        <f t="shared" si="115"/>
        <v>1377826.1763984044</v>
      </c>
      <c r="NF12" s="125">
        <f t="shared" si="115"/>
        <v>1377826.1763984044</v>
      </c>
      <c r="NG12" s="125">
        <f t="shared" si="115"/>
        <v>1377826.1763984044</v>
      </c>
      <c r="NH12" s="125">
        <f t="shared" si="115"/>
        <v>1377826.1763984044</v>
      </c>
      <c r="NI12" s="125">
        <f t="shared" si="115"/>
        <v>1377826.1763984044</v>
      </c>
      <c r="NJ12" s="125">
        <f t="shared" si="115"/>
        <v>1377826.1763984044</v>
      </c>
      <c r="NK12" s="125">
        <f t="shared" si="115"/>
        <v>1377826.1763984044</v>
      </c>
      <c r="NL12" s="125">
        <f t="shared" si="115"/>
        <v>1377826.1763984044</v>
      </c>
      <c r="NM12" s="125">
        <f t="shared" si="115"/>
        <v>1377826.1763984044</v>
      </c>
      <c r="NN12" s="125">
        <f t="shared" si="115"/>
        <v>1377826.1763984044</v>
      </c>
      <c r="NO12" s="125">
        <f t="shared" si="115"/>
        <v>1377826.1763984044</v>
      </c>
      <c r="NP12" s="125">
        <f t="shared" si="115"/>
        <v>1377826.1763984044</v>
      </c>
      <c r="NQ12" s="125">
        <f t="shared" si="115"/>
        <v>1377826.1763984044</v>
      </c>
      <c r="NR12" s="125">
        <f t="shared" si="115"/>
        <v>1377826.1763984044</v>
      </c>
      <c r="NS12" s="125">
        <f t="shared" si="115"/>
        <v>1377826.1763984044</v>
      </c>
      <c r="NT12" s="125">
        <f t="shared" si="115"/>
        <v>1377826.1763984044</v>
      </c>
      <c r="NU12" s="125">
        <f t="shared" si="115"/>
        <v>1377826.1763984044</v>
      </c>
      <c r="NV12" s="125">
        <f t="shared" si="115"/>
        <v>1377826.1763984044</v>
      </c>
      <c r="NW12" s="125">
        <f t="shared" si="115"/>
        <v>1377826.1763984044</v>
      </c>
      <c r="NX12" s="125">
        <f t="shared" si="115"/>
        <v>1377826.1763984044</v>
      </c>
      <c r="NY12" s="125">
        <f t="shared" si="115"/>
        <v>1377826.1763984044</v>
      </c>
      <c r="NZ12" s="125">
        <f t="shared" si="115"/>
        <v>1377826.1763984044</v>
      </c>
      <c r="OA12" s="125">
        <f t="shared" si="115"/>
        <v>1377826.1763984044</v>
      </c>
      <c r="OB12" s="125">
        <f t="shared" si="115"/>
        <v>1377826.1763984044</v>
      </c>
      <c r="OC12" s="125">
        <f t="shared" ref="OC12:QN12" si="116">OB12+OC11</f>
        <v>1377826.1763984044</v>
      </c>
      <c r="OD12" s="125">
        <f t="shared" si="116"/>
        <v>1377826.1763984044</v>
      </c>
      <c r="OE12" s="125">
        <f t="shared" si="116"/>
        <v>1377826.1763984044</v>
      </c>
      <c r="OF12" s="125">
        <f t="shared" si="116"/>
        <v>1377826.1763984044</v>
      </c>
      <c r="OG12" s="125">
        <f t="shared" si="116"/>
        <v>1377826.1763984044</v>
      </c>
      <c r="OH12" s="125">
        <f t="shared" si="116"/>
        <v>1377826.1763984044</v>
      </c>
      <c r="OI12" s="125">
        <f t="shared" si="116"/>
        <v>1377826.1763984044</v>
      </c>
      <c r="OJ12" s="125">
        <f t="shared" si="116"/>
        <v>1377826.1763984044</v>
      </c>
      <c r="OK12" s="125">
        <f t="shared" si="116"/>
        <v>1377826.1763984044</v>
      </c>
      <c r="OL12" s="125">
        <f t="shared" si="116"/>
        <v>1377826.1763984044</v>
      </c>
      <c r="OM12" s="125">
        <f t="shared" si="116"/>
        <v>1377826.1763984044</v>
      </c>
      <c r="ON12" s="125">
        <f t="shared" si="116"/>
        <v>1377826.1763984044</v>
      </c>
      <c r="OO12" s="125">
        <f t="shared" si="116"/>
        <v>1377826.1763984044</v>
      </c>
      <c r="OP12" s="125">
        <f t="shared" si="116"/>
        <v>1377826.1763984044</v>
      </c>
      <c r="OQ12" s="125">
        <f t="shared" si="116"/>
        <v>1377826.1763984044</v>
      </c>
      <c r="OR12" s="125">
        <f t="shared" si="116"/>
        <v>1377826.1763984044</v>
      </c>
      <c r="OS12" s="125">
        <f t="shared" si="116"/>
        <v>1377826.1763984044</v>
      </c>
      <c r="OT12" s="125">
        <f t="shared" si="116"/>
        <v>1377826.1763984044</v>
      </c>
      <c r="OU12" s="125">
        <f t="shared" si="116"/>
        <v>1377826.1763984044</v>
      </c>
      <c r="OV12" s="125">
        <f t="shared" si="116"/>
        <v>1377826.1763984044</v>
      </c>
      <c r="OW12" s="125">
        <f t="shared" si="116"/>
        <v>1377826.1763984044</v>
      </c>
      <c r="OX12" s="125">
        <f t="shared" si="116"/>
        <v>1377826.1763984044</v>
      </c>
      <c r="OY12" s="125">
        <f t="shared" si="116"/>
        <v>1377826.1763984044</v>
      </c>
      <c r="OZ12" s="125">
        <f t="shared" si="116"/>
        <v>1377826.1763984044</v>
      </c>
      <c r="PA12" s="125">
        <f t="shared" si="116"/>
        <v>1377826.1763984044</v>
      </c>
      <c r="PB12" s="125">
        <f t="shared" si="116"/>
        <v>1377826.1763984044</v>
      </c>
      <c r="PC12" s="125">
        <f t="shared" si="116"/>
        <v>1377826.1763984044</v>
      </c>
      <c r="PD12" s="125">
        <f t="shared" si="116"/>
        <v>1377826.1763984044</v>
      </c>
      <c r="PE12" s="125">
        <f t="shared" si="116"/>
        <v>1377826.1763984044</v>
      </c>
      <c r="PF12" s="125">
        <f t="shared" si="116"/>
        <v>1377826.1763984044</v>
      </c>
      <c r="PG12" s="125">
        <f t="shared" si="116"/>
        <v>1377826.1763984044</v>
      </c>
      <c r="PH12" s="125">
        <f t="shared" si="116"/>
        <v>1377826.1763984044</v>
      </c>
      <c r="PI12" s="125">
        <f t="shared" si="116"/>
        <v>1377826.1763984044</v>
      </c>
      <c r="PJ12" s="125">
        <f t="shared" si="116"/>
        <v>1377826.1763984044</v>
      </c>
      <c r="PK12" s="125">
        <f t="shared" si="116"/>
        <v>1377826.1763984044</v>
      </c>
      <c r="PL12" s="125">
        <f t="shared" si="116"/>
        <v>1377826.1763984044</v>
      </c>
      <c r="PM12" s="125">
        <f t="shared" si="116"/>
        <v>1377826.1763984044</v>
      </c>
      <c r="PN12" s="125">
        <f t="shared" si="116"/>
        <v>1377826.1763984044</v>
      </c>
      <c r="PO12" s="125">
        <f t="shared" si="116"/>
        <v>1377826.1763984044</v>
      </c>
      <c r="PP12" s="125">
        <f t="shared" si="116"/>
        <v>1377826.1763984044</v>
      </c>
      <c r="PQ12" s="125">
        <f t="shared" si="116"/>
        <v>1377826.1763984044</v>
      </c>
      <c r="PR12" s="125">
        <f t="shared" si="116"/>
        <v>1377826.1763984044</v>
      </c>
      <c r="PS12" s="125">
        <f t="shared" si="116"/>
        <v>1377826.1763984044</v>
      </c>
      <c r="PT12" s="125">
        <f t="shared" si="116"/>
        <v>1377826.1763984044</v>
      </c>
      <c r="PU12" s="125">
        <f t="shared" si="116"/>
        <v>1377826.1763984044</v>
      </c>
      <c r="PV12" s="125">
        <f t="shared" si="116"/>
        <v>1377826.1763984044</v>
      </c>
      <c r="PW12" s="125">
        <f t="shared" si="116"/>
        <v>1377826.1763984044</v>
      </c>
      <c r="PX12" s="125">
        <f t="shared" si="116"/>
        <v>1377826.1763984044</v>
      </c>
      <c r="PY12" s="125">
        <f t="shared" si="116"/>
        <v>1377826.1763984044</v>
      </c>
      <c r="PZ12" s="125">
        <f t="shared" si="116"/>
        <v>1377826.1763984044</v>
      </c>
      <c r="QA12" s="125">
        <f t="shared" si="116"/>
        <v>1377826.1763984044</v>
      </c>
      <c r="QB12" s="125">
        <f t="shared" si="116"/>
        <v>1377826.1763984044</v>
      </c>
      <c r="QC12" s="125">
        <f t="shared" si="116"/>
        <v>1377826.1763984044</v>
      </c>
      <c r="QD12" s="125">
        <f t="shared" si="116"/>
        <v>1377826.1763984044</v>
      </c>
      <c r="QE12" s="125">
        <f t="shared" si="116"/>
        <v>1377826.1763984044</v>
      </c>
      <c r="QF12" s="125">
        <f t="shared" si="116"/>
        <v>1377826.1763984044</v>
      </c>
      <c r="QG12" s="125">
        <f t="shared" si="116"/>
        <v>1377826.1763984044</v>
      </c>
      <c r="QH12" s="125">
        <f t="shared" si="116"/>
        <v>1377826.1763984044</v>
      </c>
      <c r="QI12" s="125">
        <f t="shared" si="116"/>
        <v>1377826.1763984044</v>
      </c>
      <c r="QJ12" s="125">
        <f t="shared" si="116"/>
        <v>1377826.1763984044</v>
      </c>
      <c r="QK12" s="125">
        <f t="shared" si="116"/>
        <v>1377826.1763984044</v>
      </c>
      <c r="QL12" s="125">
        <f t="shared" si="116"/>
        <v>1377826.1763984044</v>
      </c>
      <c r="QM12" s="125">
        <f t="shared" si="116"/>
        <v>1377826.1763984044</v>
      </c>
      <c r="QN12" s="125">
        <f t="shared" si="116"/>
        <v>1377826.1763984044</v>
      </c>
      <c r="QO12" s="125">
        <f t="shared" ref="QO12:SZ12" si="117">QN12+QO11</f>
        <v>1377826.1763984044</v>
      </c>
      <c r="QP12" s="125">
        <f t="shared" si="117"/>
        <v>1377826.1763984044</v>
      </c>
      <c r="QQ12" s="125">
        <f t="shared" si="117"/>
        <v>1377826.1763984044</v>
      </c>
      <c r="QR12" s="125">
        <f t="shared" si="117"/>
        <v>1377826.1763984044</v>
      </c>
      <c r="QS12" s="125">
        <f t="shared" si="117"/>
        <v>1377826.1763984044</v>
      </c>
      <c r="QT12" s="125">
        <f t="shared" si="117"/>
        <v>1377826.1763984044</v>
      </c>
      <c r="QU12" s="125">
        <f t="shared" si="117"/>
        <v>1377826.1763984044</v>
      </c>
      <c r="QV12" s="125">
        <f t="shared" si="117"/>
        <v>1377826.1763984044</v>
      </c>
      <c r="QW12" s="125">
        <f t="shared" si="117"/>
        <v>1377826.1763984044</v>
      </c>
      <c r="QX12" s="125">
        <f t="shared" si="117"/>
        <v>1377826.1763984044</v>
      </c>
      <c r="QY12" s="125">
        <f t="shared" si="117"/>
        <v>1377826.1763984044</v>
      </c>
      <c r="QZ12" s="125">
        <f t="shared" si="117"/>
        <v>1377826.1763984044</v>
      </c>
      <c r="RA12" s="125">
        <f t="shared" si="117"/>
        <v>1377826.1763984044</v>
      </c>
      <c r="RB12" s="125">
        <f t="shared" si="117"/>
        <v>1377826.1763984044</v>
      </c>
      <c r="RC12" s="125">
        <f t="shared" si="117"/>
        <v>1377826.1763984044</v>
      </c>
      <c r="RD12" s="125">
        <f t="shared" si="117"/>
        <v>1377826.1763984044</v>
      </c>
      <c r="RE12" s="125">
        <f t="shared" si="117"/>
        <v>1377826.1763984044</v>
      </c>
      <c r="RF12" s="125">
        <f t="shared" si="117"/>
        <v>1377826.1763984044</v>
      </c>
      <c r="RG12" s="125">
        <f t="shared" si="117"/>
        <v>1377826.1763984044</v>
      </c>
      <c r="RH12" s="125">
        <f t="shared" si="117"/>
        <v>1377826.1763984044</v>
      </c>
      <c r="RI12" s="125">
        <f t="shared" si="117"/>
        <v>1377826.1763984044</v>
      </c>
      <c r="RJ12" s="125">
        <f t="shared" si="117"/>
        <v>1377826.1763984044</v>
      </c>
      <c r="RK12" s="125">
        <f t="shared" si="117"/>
        <v>1377826.1763984044</v>
      </c>
      <c r="RL12" s="125">
        <f t="shared" si="117"/>
        <v>1377826.1763984044</v>
      </c>
      <c r="RM12" s="125">
        <f t="shared" si="117"/>
        <v>1377826.1763984044</v>
      </c>
      <c r="RN12" s="125">
        <f t="shared" si="117"/>
        <v>1377826.1763984044</v>
      </c>
      <c r="RO12" s="125">
        <f t="shared" si="117"/>
        <v>1377826.1763984044</v>
      </c>
      <c r="RP12" s="125">
        <f t="shared" si="117"/>
        <v>1377826.1763984044</v>
      </c>
      <c r="RQ12" s="125">
        <f t="shared" si="117"/>
        <v>1377826.1763984044</v>
      </c>
      <c r="RR12" s="125">
        <f t="shared" si="117"/>
        <v>1377826.1763984044</v>
      </c>
      <c r="RS12" s="125">
        <f t="shared" si="117"/>
        <v>1377826.1763984044</v>
      </c>
      <c r="RT12" s="125">
        <f t="shared" si="117"/>
        <v>1377826.1763984044</v>
      </c>
      <c r="RU12" s="125">
        <f t="shared" si="117"/>
        <v>1377826.1763984044</v>
      </c>
      <c r="RV12" s="125">
        <f t="shared" si="117"/>
        <v>1377826.1763984044</v>
      </c>
      <c r="RW12" s="125">
        <f t="shared" si="117"/>
        <v>1377826.1763984044</v>
      </c>
      <c r="RX12" s="125">
        <f t="shared" si="117"/>
        <v>1377826.1763984044</v>
      </c>
      <c r="RY12" s="125">
        <f t="shared" si="117"/>
        <v>1377826.1763984044</v>
      </c>
      <c r="RZ12" s="125">
        <f t="shared" si="117"/>
        <v>1377826.1763984044</v>
      </c>
      <c r="SA12" s="125">
        <f t="shared" si="117"/>
        <v>1377826.1763984044</v>
      </c>
      <c r="SB12" s="125">
        <f t="shared" si="117"/>
        <v>1377826.1763984044</v>
      </c>
      <c r="SC12" s="125">
        <f t="shared" si="117"/>
        <v>1377826.1763984044</v>
      </c>
      <c r="SD12" s="125">
        <f t="shared" si="117"/>
        <v>1377826.1763984044</v>
      </c>
      <c r="SE12" s="125">
        <f t="shared" si="117"/>
        <v>1377826.1763984044</v>
      </c>
      <c r="SF12" s="125">
        <f t="shared" si="117"/>
        <v>1377826.1763984044</v>
      </c>
      <c r="SG12" s="125">
        <f t="shared" si="117"/>
        <v>1377826.1763984044</v>
      </c>
      <c r="SH12" s="125">
        <f t="shared" si="117"/>
        <v>1377826.1763984044</v>
      </c>
      <c r="SI12" s="125">
        <f t="shared" si="117"/>
        <v>1377826.1763984044</v>
      </c>
      <c r="SJ12" s="125">
        <f t="shared" si="117"/>
        <v>1377826.1763984044</v>
      </c>
      <c r="SK12" s="125">
        <f t="shared" si="117"/>
        <v>1377826.1763984044</v>
      </c>
      <c r="SL12" s="125">
        <f t="shared" si="117"/>
        <v>1377826.1763984044</v>
      </c>
      <c r="SM12" s="125">
        <f t="shared" si="117"/>
        <v>1377826.1763984044</v>
      </c>
      <c r="SN12" s="125">
        <f t="shared" si="117"/>
        <v>1377826.1763984044</v>
      </c>
      <c r="SO12" s="125">
        <f t="shared" si="117"/>
        <v>1377826.1763984044</v>
      </c>
      <c r="SP12" s="125">
        <f t="shared" si="117"/>
        <v>1377826.1763984044</v>
      </c>
      <c r="SQ12" s="125">
        <f t="shared" si="117"/>
        <v>1377826.1763984044</v>
      </c>
      <c r="SR12" s="125">
        <f t="shared" si="117"/>
        <v>1377826.1763984044</v>
      </c>
      <c r="SS12" s="125">
        <f t="shared" si="117"/>
        <v>1377826.1763984044</v>
      </c>
      <c r="ST12" s="125">
        <f t="shared" si="117"/>
        <v>1377826.1763984044</v>
      </c>
      <c r="SU12" s="125">
        <f t="shared" si="117"/>
        <v>1377826.1763984044</v>
      </c>
      <c r="SV12" s="125">
        <f t="shared" si="117"/>
        <v>1377826.1763984044</v>
      </c>
      <c r="SW12" s="125">
        <f t="shared" si="117"/>
        <v>1377826.1763984044</v>
      </c>
      <c r="SX12" s="125">
        <f t="shared" si="117"/>
        <v>1377826.1763984044</v>
      </c>
      <c r="SY12" s="125">
        <f t="shared" si="117"/>
        <v>1377826.1763984044</v>
      </c>
      <c r="SZ12" s="125">
        <f t="shared" si="117"/>
        <v>1377826.1763984044</v>
      </c>
      <c r="TA12" s="125">
        <f t="shared" ref="TA12:VL12" si="118">SZ12+TA11</f>
        <v>1377826.1763984044</v>
      </c>
      <c r="TB12" s="125">
        <f t="shared" si="118"/>
        <v>1377826.1763984044</v>
      </c>
      <c r="TC12" s="125">
        <f t="shared" si="118"/>
        <v>1377826.1763984044</v>
      </c>
      <c r="TD12" s="125">
        <f t="shared" si="118"/>
        <v>1377826.1763984044</v>
      </c>
      <c r="TE12" s="125">
        <f t="shared" si="118"/>
        <v>1377826.1763984044</v>
      </c>
      <c r="TF12" s="125">
        <f t="shared" si="118"/>
        <v>1377826.1763984044</v>
      </c>
      <c r="TG12" s="125">
        <f t="shared" si="118"/>
        <v>1377826.1763984044</v>
      </c>
      <c r="TH12" s="125">
        <f t="shared" si="118"/>
        <v>1377826.1763984044</v>
      </c>
      <c r="TI12" s="125">
        <f t="shared" si="118"/>
        <v>1377826.1763984044</v>
      </c>
      <c r="TJ12" s="125">
        <f t="shared" si="118"/>
        <v>1377826.1763984044</v>
      </c>
      <c r="TK12" s="125">
        <f t="shared" si="118"/>
        <v>1377826.1763984044</v>
      </c>
      <c r="TL12" s="125">
        <f t="shared" si="118"/>
        <v>1377826.1763984044</v>
      </c>
      <c r="TM12" s="125">
        <f t="shared" si="118"/>
        <v>1377826.1763984044</v>
      </c>
      <c r="TN12" s="125">
        <f t="shared" si="118"/>
        <v>1377826.1763984044</v>
      </c>
      <c r="TO12" s="125">
        <f t="shared" si="118"/>
        <v>1377826.1763984044</v>
      </c>
      <c r="TP12" s="125">
        <f t="shared" si="118"/>
        <v>1377826.1763984044</v>
      </c>
      <c r="TQ12" s="125">
        <f t="shared" si="118"/>
        <v>1377826.1763984044</v>
      </c>
      <c r="TR12" s="125">
        <f t="shared" si="118"/>
        <v>1377826.1763984044</v>
      </c>
      <c r="TS12" s="125">
        <f t="shared" si="118"/>
        <v>1377826.1763984044</v>
      </c>
      <c r="TT12" s="125">
        <f t="shared" si="118"/>
        <v>1377826.1763984044</v>
      </c>
      <c r="TU12" s="125">
        <f t="shared" si="118"/>
        <v>1377826.1763984044</v>
      </c>
      <c r="TV12" s="125">
        <f t="shared" si="118"/>
        <v>1377826.1763984044</v>
      </c>
      <c r="TW12" s="125">
        <f t="shared" si="118"/>
        <v>1377826.1763984044</v>
      </c>
      <c r="TX12" s="125">
        <f t="shared" si="118"/>
        <v>1377826.1763984044</v>
      </c>
      <c r="TY12" s="125">
        <f t="shared" si="118"/>
        <v>1377826.1763984044</v>
      </c>
      <c r="TZ12" s="125">
        <f t="shared" si="118"/>
        <v>1377826.1763984044</v>
      </c>
      <c r="UA12" s="125">
        <f t="shared" si="118"/>
        <v>1377826.1763984044</v>
      </c>
      <c r="UB12" s="125">
        <f t="shared" si="118"/>
        <v>1377826.1763984044</v>
      </c>
      <c r="UC12" s="125">
        <f t="shared" si="118"/>
        <v>1377826.1763984044</v>
      </c>
      <c r="UD12" s="125">
        <f t="shared" si="118"/>
        <v>1377826.1763984044</v>
      </c>
      <c r="UE12" s="125">
        <f t="shared" si="118"/>
        <v>1377826.1763984044</v>
      </c>
      <c r="UF12" s="125">
        <f t="shared" si="118"/>
        <v>1377826.1763984044</v>
      </c>
      <c r="UG12" s="125">
        <f t="shared" si="118"/>
        <v>1377826.1763984044</v>
      </c>
      <c r="UH12" s="125">
        <f t="shared" si="118"/>
        <v>1377826.1763984044</v>
      </c>
      <c r="UI12" s="125">
        <f t="shared" si="118"/>
        <v>1377826.1763984044</v>
      </c>
      <c r="UJ12" s="125">
        <f t="shared" si="118"/>
        <v>1377826.1763984044</v>
      </c>
      <c r="UK12" s="125">
        <f t="shared" si="118"/>
        <v>1377826.1763984044</v>
      </c>
      <c r="UL12" s="125">
        <f t="shared" si="118"/>
        <v>1377826.1763984044</v>
      </c>
      <c r="UM12" s="125">
        <f t="shared" si="118"/>
        <v>1377826.1763984044</v>
      </c>
      <c r="UN12" s="125">
        <f t="shared" si="118"/>
        <v>1377826.1763984044</v>
      </c>
      <c r="UO12" s="125">
        <f t="shared" si="118"/>
        <v>1377826.1763984044</v>
      </c>
      <c r="UP12" s="125">
        <f t="shared" si="118"/>
        <v>1377826.1763984044</v>
      </c>
      <c r="UQ12" s="125">
        <f t="shared" si="118"/>
        <v>1377826.1763984044</v>
      </c>
      <c r="UR12" s="125">
        <f t="shared" si="118"/>
        <v>1377826.1763984044</v>
      </c>
      <c r="US12" s="125">
        <f t="shared" si="118"/>
        <v>1377826.1763984044</v>
      </c>
      <c r="UT12" s="125">
        <f t="shared" si="118"/>
        <v>1377826.1763984044</v>
      </c>
      <c r="UU12" s="125">
        <f t="shared" si="118"/>
        <v>1377826.1763984044</v>
      </c>
      <c r="UV12" s="125">
        <f t="shared" si="118"/>
        <v>1377826.1763984044</v>
      </c>
      <c r="UW12" s="125">
        <f t="shared" si="118"/>
        <v>1377826.1763984044</v>
      </c>
      <c r="UX12" s="125">
        <f t="shared" si="118"/>
        <v>1377826.1763984044</v>
      </c>
      <c r="UY12" s="125">
        <f t="shared" si="118"/>
        <v>1377826.1763984044</v>
      </c>
      <c r="UZ12" s="125">
        <f t="shared" si="118"/>
        <v>1377826.1763984044</v>
      </c>
      <c r="VA12" s="125">
        <f t="shared" si="118"/>
        <v>1377826.1763984044</v>
      </c>
      <c r="VB12" s="125">
        <f t="shared" si="118"/>
        <v>1377826.1763984044</v>
      </c>
      <c r="VC12" s="125">
        <f t="shared" si="118"/>
        <v>1377826.1763984044</v>
      </c>
      <c r="VD12" s="125">
        <f t="shared" si="118"/>
        <v>1377826.1763984044</v>
      </c>
      <c r="VE12" s="125">
        <f t="shared" si="118"/>
        <v>1377826.1763984044</v>
      </c>
      <c r="VF12" s="125">
        <f t="shared" si="118"/>
        <v>1377826.1763984044</v>
      </c>
      <c r="VG12" s="125">
        <f t="shared" si="118"/>
        <v>1377826.1763984044</v>
      </c>
      <c r="VH12" s="125">
        <f t="shared" si="118"/>
        <v>1377826.1763984044</v>
      </c>
      <c r="VI12" s="125">
        <f t="shared" si="118"/>
        <v>1377826.1763984044</v>
      </c>
      <c r="VJ12" s="125">
        <f t="shared" si="118"/>
        <v>1377826.1763984044</v>
      </c>
      <c r="VK12" s="125">
        <f t="shared" si="118"/>
        <v>1377826.1763984044</v>
      </c>
      <c r="VL12" s="125">
        <f t="shared" si="118"/>
        <v>1377826.1763984044</v>
      </c>
      <c r="VM12" s="125">
        <f t="shared" ref="VM12:XX12" si="119">VL12+VM11</f>
        <v>1377826.1763984044</v>
      </c>
      <c r="VN12" s="125">
        <f t="shared" si="119"/>
        <v>1377826.1763984044</v>
      </c>
      <c r="VO12" s="125">
        <f t="shared" si="119"/>
        <v>1377826.1763984044</v>
      </c>
      <c r="VP12" s="125">
        <f t="shared" si="119"/>
        <v>1377826.1763984044</v>
      </c>
      <c r="VQ12" s="125">
        <f t="shared" si="119"/>
        <v>1377826.1763984044</v>
      </c>
      <c r="VR12" s="125">
        <f t="shared" si="119"/>
        <v>1377826.1763984044</v>
      </c>
      <c r="VS12" s="125">
        <f t="shared" si="119"/>
        <v>1377826.1763984044</v>
      </c>
      <c r="VT12" s="125">
        <f t="shared" si="119"/>
        <v>1377826.1763984044</v>
      </c>
      <c r="VU12" s="125">
        <f t="shared" si="119"/>
        <v>1377826.1763984044</v>
      </c>
      <c r="VV12" s="125">
        <f t="shared" si="119"/>
        <v>1377826.1763984044</v>
      </c>
      <c r="VW12" s="125">
        <f t="shared" si="119"/>
        <v>1377826.1763984044</v>
      </c>
      <c r="VX12" s="125">
        <f t="shared" si="119"/>
        <v>1377826.1763984044</v>
      </c>
      <c r="VY12" s="125">
        <f t="shared" si="119"/>
        <v>1377826.1763984044</v>
      </c>
      <c r="VZ12" s="125">
        <f t="shared" si="119"/>
        <v>1377826.1763984044</v>
      </c>
      <c r="WA12" s="125">
        <f t="shared" si="119"/>
        <v>1377826.1763984044</v>
      </c>
      <c r="WB12" s="125">
        <f t="shared" si="119"/>
        <v>1377826.1763984044</v>
      </c>
      <c r="WC12" s="125">
        <f t="shared" si="119"/>
        <v>1377826.1763984044</v>
      </c>
      <c r="WD12" s="125">
        <f t="shared" si="119"/>
        <v>1377826.1763984044</v>
      </c>
      <c r="WE12" s="125">
        <f t="shared" si="119"/>
        <v>1377826.1763984044</v>
      </c>
      <c r="WF12" s="125">
        <f t="shared" si="119"/>
        <v>1377826.1763984044</v>
      </c>
      <c r="WG12" s="125">
        <f t="shared" si="119"/>
        <v>1377826.1763984044</v>
      </c>
      <c r="WH12" s="125">
        <f t="shared" si="119"/>
        <v>1377826.1763984044</v>
      </c>
      <c r="WI12" s="125">
        <f t="shared" si="119"/>
        <v>1377826.1763984044</v>
      </c>
      <c r="WJ12" s="125">
        <f t="shared" si="119"/>
        <v>1377826.1763984044</v>
      </c>
      <c r="WK12" s="125">
        <f t="shared" si="119"/>
        <v>1377826.1763984044</v>
      </c>
      <c r="WL12" s="125">
        <f t="shared" si="119"/>
        <v>1377826.1763984044</v>
      </c>
      <c r="WM12" s="125">
        <f t="shared" si="119"/>
        <v>1377826.1763984044</v>
      </c>
      <c r="WN12" s="125">
        <f t="shared" si="119"/>
        <v>1377826.1763984044</v>
      </c>
      <c r="WO12" s="125">
        <f t="shared" si="119"/>
        <v>1377826.1763984044</v>
      </c>
      <c r="WP12" s="125">
        <f t="shared" si="119"/>
        <v>1377826.1763984044</v>
      </c>
      <c r="WQ12" s="125">
        <f t="shared" si="119"/>
        <v>1377826.1763984044</v>
      </c>
      <c r="WR12" s="125">
        <f t="shared" si="119"/>
        <v>1377826.1763984044</v>
      </c>
      <c r="WS12" s="125">
        <f t="shared" si="119"/>
        <v>1377826.1763984044</v>
      </c>
      <c r="WT12" s="125">
        <f t="shared" si="119"/>
        <v>1377826.1763984044</v>
      </c>
      <c r="WU12" s="125">
        <f t="shared" si="119"/>
        <v>1377826.1763984044</v>
      </c>
      <c r="WV12" s="125">
        <f t="shared" si="119"/>
        <v>1377826.1763984044</v>
      </c>
      <c r="WW12" s="125">
        <f t="shared" si="119"/>
        <v>1377826.1763984044</v>
      </c>
      <c r="WX12" s="125">
        <f t="shared" si="119"/>
        <v>1377826.1763984044</v>
      </c>
      <c r="WY12" s="125">
        <f t="shared" si="119"/>
        <v>1377826.1763984044</v>
      </c>
      <c r="WZ12" s="125">
        <f t="shared" si="119"/>
        <v>1377826.1763984044</v>
      </c>
      <c r="XA12" s="125">
        <f t="shared" si="119"/>
        <v>1377826.1763984044</v>
      </c>
      <c r="XB12" s="125">
        <f t="shared" si="119"/>
        <v>1377826.1763984044</v>
      </c>
      <c r="XC12" s="125">
        <f t="shared" si="119"/>
        <v>1377826.1763984044</v>
      </c>
      <c r="XD12" s="125">
        <f t="shared" si="119"/>
        <v>1377826.1763984044</v>
      </c>
      <c r="XE12" s="125">
        <f t="shared" si="119"/>
        <v>1377826.1763984044</v>
      </c>
      <c r="XF12" s="125">
        <f t="shared" si="119"/>
        <v>1377826.1763984044</v>
      </c>
      <c r="XG12" s="125">
        <f t="shared" si="119"/>
        <v>1377826.1763984044</v>
      </c>
      <c r="XH12" s="125">
        <f t="shared" si="119"/>
        <v>1377826.1763984044</v>
      </c>
      <c r="XI12" s="125">
        <f t="shared" si="119"/>
        <v>1377826.1763984044</v>
      </c>
      <c r="XJ12" s="125">
        <f t="shared" si="119"/>
        <v>1377826.1763984044</v>
      </c>
      <c r="XK12" s="125">
        <f t="shared" si="119"/>
        <v>1377826.1763984044</v>
      </c>
      <c r="XL12" s="125">
        <f t="shared" si="119"/>
        <v>1377826.1763984044</v>
      </c>
      <c r="XM12" s="125">
        <f t="shared" si="119"/>
        <v>1377826.1763984044</v>
      </c>
      <c r="XN12" s="125">
        <f t="shared" si="119"/>
        <v>1377826.1763984044</v>
      </c>
      <c r="XO12" s="125">
        <f t="shared" si="119"/>
        <v>1377826.1763984044</v>
      </c>
      <c r="XP12" s="125">
        <f t="shared" si="119"/>
        <v>1377826.1763984044</v>
      </c>
      <c r="XQ12" s="125">
        <f t="shared" si="119"/>
        <v>1377826.1763984044</v>
      </c>
      <c r="XR12" s="125">
        <f t="shared" si="119"/>
        <v>1377826.1763984044</v>
      </c>
      <c r="XS12" s="125">
        <f t="shared" si="119"/>
        <v>1377826.1763984044</v>
      </c>
      <c r="XT12" s="125">
        <f t="shared" si="119"/>
        <v>1377826.1763984044</v>
      </c>
      <c r="XU12" s="125">
        <f t="shared" si="119"/>
        <v>1377826.1763984044</v>
      </c>
      <c r="XV12" s="125">
        <f t="shared" si="119"/>
        <v>1377826.1763984044</v>
      </c>
      <c r="XW12" s="125">
        <f t="shared" si="119"/>
        <v>1377826.1763984044</v>
      </c>
      <c r="XX12" s="125">
        <f t="shared" si="119"/>
        <v>1377826.1763984044</v>
      </c>
      <c r="XY12" s="125">
        <f t="shared" ref="XY12:AAJ12" si="120">XX12+XY11</f>
        <v>1377826.1763984044</v>
      </c>
      <c r="XZ12" s="125">
        <f t="shared" si="120"/>
        <v>1377826.1763984044</v>
      </c>
      <c r="YA12" s="125">
        <f t="shared" si="120"/>
        <v>1377826.1763984044</v>
      </c>
      <c r="YB12" s="125">
        <f t="shared" si="120"/>
        <v>1377826.1763984044</v>
      </c>
      <c r="YC12" s="125">
        <f t="shared" si="120"/>
        <v>1377826.1763984044</v>
      </c>
      <c r="YD12" s="125">
        <f t="shared" si="120"/>
        <v>1377826.1763984044</v>
      </c>
      <c r="YE12" s="125">
        <f t="shared" si="120"/>
        <v>1377826.1763984044</v>
      </c>
      <c r="YF12" s="125">
        <f t="shared" si="120"/>
        <v>1377826.1763984044</v>
      </c>
      <c r="YG12" s="125">
        <f t="shared" si="120"/>
        <v>1377826.1763984044</v>
      </c>
      <c r="YH12" s="125">
        <f t="shared" si="120"/>
        <v>1377826.1763984044</v>
      </c>
      <c r="YI12" s="125">
        <f t="shared" si="120"/>
        <v>1377826.1763984044</v>
      </c>
      <c r="YJ12" s="125">
        <f t="shared" si="120"/>
        <v>1377826.1763984044</v>
      </c>
      <c r="YK12" s="125">
        <f t="shared" si="120"/>
        <v>1377826.1763984044</v>
      </c>
      <c r="YL12" s="125">
        <f t="shared" si="120"/>
        <v>1377826.1763984044</v>
      </c>
      <c r="YM12" s="125">
        <f t="shared" si="120"/>
        <v>1377826.1763984044</v>
      </c>
      <c r="YN12" s="125">
        <f t="shared" si="120"/>
        <v>1377826.1763984044</v>
      </c>
      <c r="YO12" s="125">
        <f t="shared" si="120"/>
        <v>1377826.1763984044</v>
      </c>
      <c r="YP12" s="125">
        <f t="shared" si="120"/>
        <v>1377826.1763984044</v>
      </c>
      <c r="YQ12" s="125">
        <f t="shared" si="120"/>
        <v>1377826.1763984044</v>
      </c>
      <c r="YR12" s="125">
        <f t="shared" si="120"/>
        <v>1377826.1763984044</v>
      </c>
      <c r="YS12" s="125">
        <f t="shared" si="120"/>
        <v>1377826.1763984044</v>
      </c>
      <c r="YT12" s="125">
        <f t="shared" si="120"/>
        <v>1377826.1763984044</v>
      </c>
      <c r="YU12" s="125">
        <f t="shared" si="120"/>
        <v>1377826.1763984044</v>
      </c>
      <c r="YV12" s="125">
        <f t="shared" si="120"/>
        <v>1377826.1763984044</v>
      </c>
      <c r="YW12" s="125">
        <f t="shared" si="120"/>
        <v>1377826.1763984044</v>
      </c>
      <c r="YX12" s="125">
        <f t="shared" si="120"/>
        <v>1377826.1763984044</v>
      </c>
      <c r="YY12" s="125">
        <f t="shared" si="120"/>
        <v>1377826.1763984044</v>
      </c>
      <c r="YZ12" s="125">
        <f t="shared" si="120"/>
        <v>1377826.1763984044</v>
      </c>
      <c r="ZA12" s="125">
        <f t="shared" si="120"/>
        <v>1377826.1763984044</v>
      </c>
      <c r="ZB12" s="125">
        <f t="shared" si="120"/>
        <v>1377826.1763984044</v>
      </c>
      <c r="ZC12" s="125">
        <f t="shared" si="120"/>
        <v>1377826.1763984044</v>
      </c>
      <c r="ZD12" s="125">
        <f t="shared" si="120"/>
        <v>1377826.1763984044</v>
      </c>
      <c r="ZE12" s="125">
        <f t="shared" si="120"/>
        <v>1377826.1763984044</v>
      </c>
      <c r="ZF12" s="125">
        <f t="shared" si="120"/>
        <v>1377826.1763984044</v>
      </c>
      <c r="ZG12" s="125">
        <f t="shared" si="120"/>
        <v>1377826.1763984044</v>
      </c>
      <c r="ZH12" s="125">
        <f t="shared" si="120"/>
        <v>1377826.1763984044</v>
      </c>
      <c r="ZI12" s="125">
        <f t="shared" si="120"/>
        <v>1377826.1763984044</v>
      </c>
      <c r="ZJ12" s="125">
        <f t="shared" si="120"/>
        <v>1377826.1763984044</v>
      </c>
      <c r="ZK12" s="125">
        <f t="shared" si="120"/>
        <v>1377826.1763984044</v>
      </c>
      <c r="ZL12" s="125">
        <f t="shared" si="120"/>
        <v>1377826.1763984044</v>
      </c>
      <c r="ZM12" s="125">
        <f t="shared" si="120"/>
        <v>1377826.1763984044</v>
      </c>
      <c r="ZN12" s="125">
        <f t="shared" si="120"/>
        <v>1377826.1763984044</v>
      </c>
      <c r="ZO12" s="125">
        <f t="shared" si="120"/>
        <v>1377826.1763984044</v>
      </c>
      <c r="ZP12" s="125">
        <f t="shared" si="120"/>
        <v>1377826.1763984044</v>
      </c>
      <c r="ZQ12" s="125">
        <f t="shared" si="120"/>
        <v>1377826.1763984044</v>
      </c>
      <c r="ZR12" s="125">
        <f t="shared" si="120"/>
        <v>1377826.1763984044</v>
      </c>
      <c r="ZS12" s="125">
        <f t="shared" si="120"/>
        <v>1377826.1763984044</v>
      </c>
      <c r="ZT12" s="125">
        <f t="shared" si="120"/>
        <v>1377826.1763984044</v>
      </c>
      <c r="ZU12" s="125">
        <f t="shared" si="120"/>
        <v>1377826.1763984044</v>
      </c>
      <c r="ZV12" s="125">
        <f t="shared" si="120"/>
        <v>1377826.1763984044</v>
      </c>
      <c r="ZW12" s="125">
        <f t="shared" si="120"/>
        <v>1377826.1763984044</v>
      </c>
      <c r="ZX12" s="125">
        <f t="shared" si="120"/>
        <v>1377826.1763984044</v>
      </c>
      <c r="ZY12" s="125">
        <f t="shared" si="120"/>
        <v>1377826.1763984044</v>
      </c>
      <c r="ZZ12" s="125">
        <f t="shared" si="120"/>
        <v>1377826.1763984044</v>
      </c>
      <c r="AAA12" s="125">
        <f t="shared" si="120"/>
        <v>1377826.1763984044</v>
      </c>
      <c r="AAB12" s="125">
        <f t="shared" si="120"/>
        <v>1377826.1763984044</v>
      </c>
      <c r="AAC12" s="125">
        <f t="shared" si="120"/>
        <v>1377826.1763984044</v>
      </c>
      <c r="AAD12" s="125">
        <f t="shared" si="120"/>
        <v>1377826.1763984044</v>
      </c>
      <c r="AAE12" s="125">
        <f t="shared" si="120"/>
        <v>1377826.1763984044</v>
      </c>
      <c r="AAF12" s="125">
        <f t="shared" si="120"/>
        <v>1377826.1763984044</v>
      </c>
      <c r="AAG12" s="125">
        <f t="shared" si="120"/>
        <v>1377826.1763984044</v>
      </c>
      <c r="AAH12" s="125">
        <f t="shared" si="120"/>
        <v>1377826.1763984044</v>
      </c>
      <c r="AAI12" s="125">
        <f t="shared" si="120"/>
        <v>1377826.1763984044</v>
      </c>
      <c r="AAJ12" s="125">
        <f t="shared" si="120"/>
        <v>1377826.1763984044</v>
      </c>
      <c r="AAK12" s="125">
        <f t="shared" ref="AAK12:ACV12" si="121">AAJ12+AAK11</f>
        <v>1377826.1763984044</v>
      </c>
      <c r="AAL12" s="125">
        <f t="shared" si="121"/>
        <v>1377826.1763984044</v>
      </c>
      <c r="AAM12" s="125">
        <f t="shared" si="121"/>
        <v>1377826.1763984044</v>
      </c>
      <c r="AAN12" s="125">
        <f t="shared" si="121"/>
        <v>1377826.1763984044</v>
      </c>
      <c r="AAO12" s="125">
        <f t="shared" si="121"/>
        <v>1377826.1763984044</v>
      </c>
      <c r="AAP12" s="125">
        <f t="shared" si="121"/>
        <v>1377826.1763984044</v>
      </c>
      <c r="AAQ12" s="125">
        <f t="shared" si="121"/>
        <v>1377826.1763984044</v>
      </c>
      <c r="AAR12" s="125">
        <f t="shared" si="121"/>
        <v>1377826.1763984044</v>
      </c>
      <c r="AAS12" s="125">
        <f t="shared" si="121"/>
        <v>1377826.1763984044</v>
      </c>
      <c r="AAT12" s="125">
        <f t="shared" si="121"/>
        <v>1377826.1763984044</v>
      </c>
      <c r="AAU12" s="125">
        <f t="shared" si="121"/>
        <v>1377826.1763984044</v>
      </c>
      <c r="AAV12" s="125">
        <f t="shared" si="121"/>
        <v>1377826.1763984044</v>
      </c>
      <c r="AAW12" s="125">
        <f t="shared" si="121"/>
        <v>1377826.1763984044</v>
      </c>
      <c r="AAX12" s="125">
        <f t="shared" si="121"/>
        <v>1377826.1763984044</v>
      </c>
      <c r="AAY12" s="125">
        <f t="shared" si="121"/>
        <v>1377826.1763984044</v>
      </c>
      <c r="AAZ12" s="125">
        <f t="shared" si="121"/>
        <v>1377826.1763984044</v>
      </c>
      <c r="ABA12" s="125">
        <f t="shared" si="121"/>
        <v>1377826.1763984044</v>
      </c>
      <c r="ABB12" s="125">
        <f t="shared" si="121"/>
        <v>1377826.1763984044</v>
      </c>
      <c r="ABC12" s="125">
        <f t="shared" si="121"/>
        <v>1377826.1763984044</v>
      </c>
      <c r="ABD12" s="125">
        <f t="shared" si="121"/>
        <v>1377826.1763984044</v>
      </c>
      <c r="ABE12" s="125">
        <f t="shared" si="121"/>
        <v>1377826.1763984044</v>
      </c>
      <c r="ABF12" s="125">
        <f t="shared" si="121"/>
        <v>1377826.1763984044</v>
      </c>
      <c r="ABG12" s="125">
        <f t="shared" si="121"/>
        <v>1377826.1763984044</v>
      </c>
      <c r="ABH12" s="125">
        <f t="shared" si="121"/>
        <v>1377826.1763984044</v>
      </c>
      <c r="ABI12" s="125">
        <f t="shared" si="121"/>
        <v>1377826.1763984044</v>
      </c>
      <c r="ABJ12" s="125">
        <f t="shared" si="121"/>
        <v>1377826.1763984044</v>
      </c>
      <c r="ABK12" s="125">
        <f t="shared" si="121"/>
        <v>1377826.1763984044</v>
      </c>
      <c r="ABL12" s="125">
        <f t="shared" si="121"/>
        <v>1377826.1763984044</v>
      </c>
      <c r="ABM12" s="125">
        <f t="shared" si="121"/>
        <v>1377826.1763984044</v>
      </c>
      <c r="ABN12" s="125">
        <f t="shared" si="121"/>
        <v>1377826.1763984044</v>
      </c>
      <c r="ABO12" s="125">
        <f t="shared" si="121"/>
        <v>1377826.1763984044</v>
      </c>
      <c r="ABP12" s="125">
        <f t="shared" si="121"/>
        <v>1377826.1763984044</v>
      </c>
      <c r="ABQ12" s="125">
        <f t="shared" si="121"/>
        <v>1377826.1763984044</v>
      </c>
      <c r="ABR12" s="125">
        <f t="shared" si="121"/>
        <v>1377826.1763984044</v>
      </c>
      <c r="ABS12" s="125">
        <f t="shared" si="121"/>
        <v>1377826.1763984044</v>
      </c>
      <c r="ABT12" s="125">
        <f t="shared" si="121"/>
        <v>1377826.1763984044</v>
      </c>
      <c r="ABU12" s="125">
        <f t="shared" si="121"/>
        <v>1377826.1763984044</v>
      </c>
      <c r="ABV12" s="125">
        <f t="shared" si="121"/>
        <v>1377826.1763984044</v>
      </c>
      <c r="ABW12" s="125">
        <f t="shared" si="121"/>
        <v>1377826.1763984044</v>
      </c>
      <c r="ABX12" s="125">
        <f t="shared" si="121"/>
        <v>1377826.1763984044</v>
      </c>
      <c r="ABY12" s="125">
        <f t="shared" si="121"/>
        <v>1377826.1763984044</v>
      </c>
      <c r="ABZ12" s="125">
        <f t="shared" si="121"/>
        <v>1377826.1763984044</v>
      </c>
      <c r="ACA12" s="125">
        <f t="shared" si="121"/>
        <v>1377826.1763984044</v>
      </c>
      <c r="ACB12" s="125">
        <f t="shared" si="121"/>
        <v>1377826.1763984044</v>
      </c>
      <c r="ACC12" s="125">
        <f t="shared" si="121"/>
        <v>1377826.1763984044</v>
      </c>
      <c r="ACD12" s="125">
        <f t="shared" si="121"/>
        <v>1377826.1763984044</v>
      </c>
      <c r="ACE12" s="125">
        <f t="shared" si="121"/>
        <v>1377826.1763984044</v>
      </c>
      <c r="ACF12" s="125">
        <f t="shared" si="121"/>
        <v>1377826.1763984044</v>
      </c>
      <c r="ACG12" s="125">
        <f t="shared" si="121"/>
        <v>1377826.1763984044</v>
      </c>
      <c r="ACH12" s="125">
        <f t="shared" si="121"/>
        <v>1377826.1763984044</v>
      </c>
      <c r="ACI12" s="125">
        <f t="shared" si="121"/>
        <v>1377826.1763984044</v>
      </c>
      <c r="ACJ12" s="125">
        <f t="shared" si="121"/>
        <v>1377826.1763984044</v>
      </c>
      <c r="ACK12" s="125">
        <f t="shared" si="121"/>
        <v>1377826.1763984044</v>
      </c>
      <c r="ACL12" s="125">
        <f t="shared" si="121"/>
        <v>1377826.1763984044</v>
      </c>
      <c r="ACM12" s="125">
        <f t="shared" si="121"/>
        <v>1377826.1763984044</v>
      </c>
      <c r="ACN12" s="125">
        <f t="shared" si="121"/>
        <v>1377826.1763984044</v>
      </c>
      <c r="ACO12" s="125">
        <f t="shared" si="121"/>
        <v>1377826.1763984044</v>
      </c>
      <c r="ACP12" s="125">
        <f t="shared" si="121"/>
        <v>1377826.1763984044</v>
      </c>
      <c r="ACQ12" s="125">
        <f t="shared" si="121"/>
        <v>1377826.1763984044</v>
      </c>
      <c r="ACR12" s="125">
        <f t="shared" si="121"/>
        <v>1377826.1763984044</v>
      </c>
      <c r="ACS12" s="125">
        <f t="shared" si="121"/>
        <v>1377826.1763984044</v>
      </c>
      <c r="ACT12" s="125">
        <f t="shared" si="121"/>
        <v>1377826.1763984044</v>
      </c>
      <c r="ACU12" s="125">
        <f t="shared" si="121"/>
        <v>1377826.1763984044</v>
      </c>
      <c r="ACV12" s="125">
        <f t="shared" si="121"/>
        <v>1377826.1763984044</v>
      </c>
      <c r="ACW12" s="125">
        <f t="shared" ref="ACW12:AFH12" si="122">ACV12+ACW11</f>
        <v>1377826.1763984044</v>
      </c>
      <c r="ACX12" s="125">
        <f t="shared" si="122"/>
        <v>1377826.1763984044</v>
      </c>
      <c r="ACY12" s="125">
        <f t="shared" si="122"/>
        <v>1377826.1763984044</v>
      </c>
      <c r="ACZ12" s="125">
        <f t="shared" si="122"/>
        <v>1377826.1763984044</v>
      </c>
      <c r="ADA12" s="125">
        <f t="shared" si="122"/>
        <v>1377826.1763984044</v>
      </c>
      <c r="ADB12" s="125">
        <f t="shared" si="122"/>
        <v>1377826.1763984044</v>
      </c>
      <c r="ADC12" s="125">
        <f t="shared" si="122"/>
        <v>1377826.1763984044</v>
      </c>
      <c r="ADD12" s="125">
        <f t="shared" si="122"/>
        <v>1377826.1763984044</v>
      </c>
      <c r="ADE12" s="125">
        <f t="shared" si="122"/>
        <v>1377826.1763984044</v>
      </c>
      <c r="ADF12" s="125">
        <f t="shared" si="122"/>
        <v>1377826.1763984044</v>
      </c>
      <c r="ADG12" s="125">
        <f t="shared" si="122"/>
        <v>1377826.1763984044</v>
      </c>
      <c r="ADH12" s="125">
        <f t="shared" si="122"/>
        <v>1377826.1763984044</v>
      </c>
      <c r="ADI12" s="125">
        <f t="shared" si="122"/>
        <v>1377826.1763984044</v>
      </c>
      <c r="ADJ12" s="125">
        <f t="shared" si="122"/>
        <v>1377826.1763984044</v>
      </c>
      <c r="ADK12" s="125">
        <f t="shared" si="122"/>
        <v>1377826.1763984044</v>
      </c>
      <c r="ADL12" s="125">
        <f t="shared" si="122"/>
        <v>1377826.1763984044</v>
      </c>
      <c r="ADM12" s="125">
        <f t="shared" si="122"/>
        <v>1377826.1763984044</v>
      </c>
      <c r="ADN12" s="125">
        <f t="shared" si="122"/>
        <v>1377826.1763984044</v>
      </c>
      <c r="ADO12" s="125">
        <f t="shared" si="122"/>
        <v>1377826.1763984044</v>
      </c>
      <c r="ADP12" s="125">
        <f t="shared" si="122"/>
        <v>1377826.1763984044</v>
      </c>
      <c r="ADQ12" s="125">
        <f t="shared" si="122"/>
        <v>1377826.1763984044</v>
      </c>
      <c r="ADR12" s="125">
        <f t="shared" si="122"/>
        <v>1377826.1763984044</v>
      </c>
      <c r="ADS12" s="125">
        <f t="shared" si="122"/>
        <v>1377826.1763984044</v>
      </c>
      <c r="ADT12" s="125">
        <f t="shared" si="122"/>
        <v>1377826.1763984044</v>
      </c>
      <c r="ADU12" s="125">
        <f t="shared" si="122"/>
        <v>1377826.1763984044</v>
      </c>
      <c r="ADV12" s="125">
        <f t="shared" si="122"/>
        <v>1377826.1763984044</v>
      </c>
      <c r="ADW12" s="125">
        <f t="shared" si="122"/>
        <v>1377826.1763984044</v>
      </c>
      <c r="ADX12" s="125">
        <f t="shared" si="122"/>
        <v>1377826.1763984044</v>
      </c>
      <c r="ADY12" s="125">
        <f t="shared" si="122"/>
        <v>1377826.1763984044</v>
      </c>
      <c r="ADZ12" s="125">
        <f t="shared" si="122"/>
        <v>1377826.1763984044</v>
      </c>
      <c r="AEA12" s="125">
        <f t="shared" si="122"/>
        <v>1377826.1763984044</v>
      </c>
      <c r="AEB12" s="125">
        <f t="shared" si="122"/>
        <v>1377826.1763984044</v>
      </c>
      <c r="AEC12" s="125">
        <f t="shared" si="122"/>
        <v>1377826.1763984044</v>
      </c>
      <c r="AED12" s="125">
        <f t="shared" si="122"/>
        <v>1377826.1763984044</v>
      </c>
      <c r="AEE12" s="125">
        <f t="shared" si="122"/>
        <v>1377826.1763984044</v>
      </c>
      <c r="AEF12" s="125">
        <f t="shared" si="122"/>
        <v>1377826.1763984044</v>
      </c>
      <c r="AEG12" s="125">
        <f t="shared" si="122"/>
        <v>1377826.1763984044</v>
      </c>
      <c r="AEH12" s="125">
        <f t="shared" si="122"/>
        <v>1377826.1763984044</v>
      </c>
      <c r="AEI12" s="125">
        <f t="shared" si="122"/>
        <v>1377826.1763984044</v>
      </c>
      <c r="AEJ12" s="125">
        <f t="shared" si="122"/>
        <v>1377826.1763984044</v>
      </c>
      <c r="AEK12" s="125">
        <f t="shared" si="122"/>
        <v>1377826.1763984044</v>
      </c>
      <c r="AEL12" s="125">
        <f t="shared" si="122"/>
        <v>1377826.1763984044</v>
      </c>
      <c r="AEM12" s="125">
        <f t="shared" si="122"/>
        <v>1377826.1763984044</v>
      </c>
      <c r="AEN12" s="125">
        <f t="shared" si="122"/>
        <v>1377826.1763984044</v>
      </c>
      <c r="AEO12" s="125">
        <f t="shared" si="122"/>
        <v>1377826.1763984044</v>
      </c>
      <c r="AEP12" s="125">
        <f t="shared" si="122"/>
        <v>1377826.1763984044</v>
      </c>
      <c r="AEQ12" s="125">
        <f t="shared" si="122"/>
        <v>1377826.1763984044</v>
      </c>
      <c r="AER12" s="125">
        <f t="shared" si="122"/>
        <v>1377826.1763984044</v>
      </c>
      <c r="AES12" s="125">
        <f t="shared" si="122"/>
        <v>1377826.1763984044</v>
      </c>
      <c r="AET12" s="125">
        <f t="shared" si="122"/>
        <v>1377826.1763984044</v>
      </c>
      <c r="AEU12" s="125">
        <f t="shared" si="122"/>
        <v>1377826.1763984044</v>
      </c>
      <c r="AEV12" s="125">
        <f t="shared" si="122"/>
        <v>1377826.1763984044</v>
      </c>
      <c r="AEW12" s="125">
        <f t="shared" si="122"/>
        <v>1377826.1763984044</v>
      </c>
      <c r="AEX12" s="125">
        <f t="shared" si="122"/>
        <v>1377826.1763984044</v>
      </c>
      <c r="AEY12" s="125">
        <f t="shared" si="122"/>
        <v>1377826.1763984044</v>
      </c>
      <c r="AEZ12" s="125">
        <f t="shared" si="122"/>
        <v>1377826.1763984044</v>
      </c>
      <c r="AFA12" s="125">
        <f t="shared" si="122"/>
        <v>1377826.1763984044</v>
      </c>
      <c r="AFB12" s="125">
        <f t="shared" si="122"/>
        <v>1377826.1763984044</v>
      </c>
      <c r="AFC12" s="125">
        <f t="shared" si="122"/>
        <v>1377826.1763984044</v>
      </c>
      <c r="AFD12" s="125">
        <f t="shared" si="122"/>
        <v>1377826.1763984044</v>
      </c>
      <c r="AFE12" s="125">
        <f t="shared" si="122"/>
        <v>1377826.1763984044</v>
      </c>
      <c r="AFF12" s="125">
        <f t="shared" si="122"/>
        <v>1377826.1763984044</v>
      </c>
      <c r="AFG12" s="125">
        <f t="shared" si="122"/>
        <v>1377826.1763984044</v>
      </c>
      <c r="AFH12" s="125">
        <f t="shared" si="122"/>
        <v>1377826.1763984044</v>
      </c>
      <c r="AFI12" s="125">
        <f t="shared" ref="AFI12:AHT12" si="123">AFH12+AFI11</f>
        <v>1377826.1763984044</v>
      </c>
      <c r="AFJ12" s="125">
        <f t="shared" si="123"/>
        <v>1377826.1763984044</v>
      </c>
      <c r="AFK12" s="125">
        <f t="shared" si="123"/>
        <v>1377826.1763984044</v>
      </c>
      <c r="AFL12" s="125">
        <f t="shared" si="123"/>
        <v>1377826.1763984044</v>
      </c>
      <c r="AFM12" s="125">
        <f t="shared" si="123"/>
        <v>1377826.1763984044</v>
      </c>
      <c r="AFN12" s="125">
        <f t="shared" si="123"/>
        <v>1377826.1763984044</v>
      </c>
      <c r="AFO12" s="125">
        <f t="shared" si="123"/>
        <v>1377826.1763984044</v>
      </c>
      <c r="AFP12" s="125">
        <f t="shared" si="123"/>
        <v>1377826.1763984044</v>
      </c>
      <c r="AFQ12" s="125">
        <f t="shared" si="123"/>
        <v>1377826.1763984044</v>
      </c>
      <c r="AFR12" s="125">
        <f t="shared" si="123"/>
        <v>1377826.1763984044</v>
      </c>
      <c r="AFS12" s="125">
        <f t="shared" si="123"/>
        <v>1377826.1763984044</v>
      </c>
      <c r="AFT12" s="125">
        <f t="shared" si="123"/>
        <v>1377826.1763984044</v>
      </c>
      <c r="AFU12" s="125">
        <f t="shared" si="123"/>
        <v>1377826.1763984044</v>
      </c>
      <c r="AFV12" s="125">
        <f t="shared" si="123"/>
        <v>1377826.1763984044</v>
      </c>
      <c r="AFW12" s="125">
        <f t="shared" si="123"/>
        <v>1377826.1763984044</v>
      </c>
      <c r="AFX12" s="125">
        <f t="shared" si="123"/>
        <v>1377826.1763984044</v>
      </c>
      <c r="AFY12" s="125">
        <f t="shared" si="123"/>
        <v>1377826.1763984044</v>
      </c>
      <c r="AFZ12" s="125">
        <f t="shared" si="123"/>
        <v>1377826.1763984044</v>
      </c>
      <c r="AGA12" s="125">
        <f t="shared" si="123"/>
        <v>1377826.1763984044</v>
      </c>
      <c r="AGB12" s="125">
        <f t="shared" si="123"/>
        <v>1377826.1763984044</v>
      </c>
      <c r="AGC12" s="125">
        <f t="shared" si="123"/>
        <v>1377826.1763984044</v>
      </c>
      <c r="AGD12" s="125">
        <f t="shared" si="123"/>
        <v>1377826.1763984044</v>
      </c>
      <c r="AGE12" s="125">
        <f t="shared" si="123"/>
        <v>1377826.1763984044</v>
      </c>
      <c r="AGF12" s="125">
        <f t="shared" si="123"/>
        <v>1377826.1763984044</v>
      </c>
      <c r="AGG12" s="125">
        <f t="shared" si="123"/>
        <v>1377826.1763984044</v>
      </c>
      <c r="AGH12" s="125">
        <f t="shared" si="123"/>
        <v>1377826.1763984044</v>
      </c>
      <c r="AGI12" s="125">
        <f t="shared" si="123"/>
        <v>1377826.1763984044</v>
      </c>
      <c r="AGJ12" s="125">
        <f t="shared" si="123"/>
        <v>1377826.1763984044</v>
      </c>
      <c r="AGK12" s="125">
        <f t="shared" si="123"/>
        <v>1377826.1763984044</v>
      </c>
      <c r="AGL12" s="125">
        <f t="shared" si="123"/>
        <v>1377826.1763984044</v>
      </c>
      <c r="AGM12" s="125">
        <f t="shared" si="123"/>
        <v>1377826.1763984044</v>
      </c>
      <c r="AGN12" s="125">
        <f t="shared" si="123"/>
        <v>1377826.1763984044</v>
      </c>
      <c r="AGO12" s="125">
        <f t="shared" si="123"/>
        <v>1377826.1763984044</v>
      </c>
      <c r="AGP12" s="125">
        <f t="shared" si="123"/>
        <v>1377826.1763984044</v>
      </c>
      <c r="AGQ12" s="125">
        <f t="shared" si="123"/>
        <v>1377826.1763984044</v>
      </c>
      <c r="AGR12" s="125">
        <f t="shared" si="123"/>
        <v>1377826.1763984044</v>
      </c>
      <c r="AGS12" s="125">
        <f t="shared" si="123"/>
        <v>1377826.1763984044</v>
      </c>
      <c r="AGT12" s="125">
        <f t="shared" si="123"/>
        <v>1377826.1763984044</v>
      </c>
      <c r="AGU12" s="125">
        <f t="shared" si="123"/>
        <v>1377826.1763984044</v>
      </c>
      <c r="AGV12" s="125">
        <f t="shared" si="123"/>
        <v>1377826.1763984044</v>
      </c>
      <c r="AGW12" s="125">
        <f t="shared" si="123"/>
        <v>1377826.1763984044</v>
      </c>
      <c r="AGX12" s="125">
        <f t="shared" si="123"/>
        <v>1377826.1763984044</v>
      </c>
      <c r="AGY12" s="125">
        <f t="shared" si="123"/>
        <v>1377826.1763984044</v>
      </c>
      <c r="AGZ12" s="125">
        <f t="shared" si="123"/>
        <v>1377826.1763984044</v>
      </c>
      <c r="AHA12" s="125">
        <f t="shared" si="123"/>
        <v>1377826.1763984044</v>
      </c>
      <c r="AHB12" s="125">
        <f t="shared" si="123"/>
        <v>1377826.1763984044</v>
      </c>
      <c r="AHC12" s="125">
        <f t="shared" si="123"/>
        <v>1377826.1763984044</v>
      </c>
      <c r="AHD12" s="125">
        <f t="shared" si="123"/>
        <v>1377826.1763984044</v>
      </c>
      <c r="AHE12" s="125">
        <f t="shared" si="123"/>
        <v>1377826.1763984044</v>
      </c>
      <c r="AHF12" s="125">
        <f t="shared" si="123"/>
        <v>1377826.1763984044</v>
      </c>
      <c r="AHG12" s="125">
        <f t="shared" si="123"/>
        <v>1377826.1763984044</v>
      </c>
      <c r="AHH12" s="125">
        <f t="shared" si="123"/>
        <v>1377826.1763984044</v>
      </c>
      <c r="AHI12" s="125">
        <f t="shared" si="123"/>
        <v>1377826.1763984044</v>
      </c>
      <c r="AHJ12" s="125">
        <f t="shared" si="123"/>
        <v>1377826.1763984044</v>
      </c>
      <c r="AHK12" s="125">
        <f t="shared" si="123"/>
        <v>1377826.1763984044</v>
      </c>
      <c r="AHL12" s="125">
        <f t="shared" si="123"/>
        <v>1377826.1763984044</v>
      </c>
      <c r="AHM12" s="125">
        <f t="shared" si="123"/>
        <v>1377826.1763984044</v>
      </c>
      <c r="AHN12" s="125">
        <f t="shared" si="123"/>
        <v>1377826.1763984044</v>
      </c>
      <c r="AHO12" s="125">
        <f t="shared" si="123"/>
        <v>1377826.1763984044</v>
      </c>
      <c r="AHP12" s="125">
        <f t="shared" si="123"/>
        <v>1377826.1763984044</v>
      </c>
      <c r="AHQ12" s="125">
        <f t="shared" si="123"/>
        <v>1377826.1763984044</v>
      </c>
      <c r="AHR12" s="125">
        <f t="shared" si="123"/>
        <v>1377826.1763984044</v>
      </c>
      <c r="AHS12" s="125">
        <f t="shared" si="123"/>
        <v>1377826.1763984044</v>
      </c>
      <c r="AHT12" s="125">
        <f t="shared" si="123"/>
        <v>1377826.1763984044</v>
      </c>
      <c r="AHU12" s="125">
        <f t="shared" ref="AHU12:AKF12" si="124">AHT12+AHU11</f>
        <v>1377826.1763984044</v>
      </c>
      <c r="AHV12" s="125">
        <f t="shared" si="124"/>
        <v>1377826.1763984044</v>
      </c>
      <c r="AHW12" s="125">
        <f t="shared" si="124"/>
        <v>1377826.1763984044</v>
      </c>
      <c r="AHX12" s="125">
        <f t="shared" si="124"/>
        <v>1377826.1763984044</v>
      </c>
      <c r="AHY12" s="125">
        <f t="shared" si="124"/>
        <v>1377826.1763984044</v>
      </c>
      <c r="AHZ12" s="125">
        <f t="shared" si="124"/>
        <v>1377826.1763984044</v>
      </c>
      <c r="AIA12" s="125">
        <f t="shared" si="124"/>
        <v>1377826.1763984044</v>
      </c>
      <c r="AIB12" s="125">
        <f t="shared" si="124"/>
        <v>1377826.1763984044</v>
      </c>
      <c r="AIC12" s="125">
        <f t="shared" si="124"/>
        <v>1377826.1763984044</v>
      </c>
      <c r="AID12" s="125">
        <f t="shared" si="124"/>
        <v>1377826.1763984044</v>
      </c>
      <c r="AIE12" s="125">
        <f t="shared" si="124"/>
        <v>1377826.1763984044</v>
      </c>
      <c r="AIF12" s="125">
        <f t="shared" si="124"/>
        <v>1377826.1763984044</v>
      </c>
      <c r="AIG12" s="125">
        <f t="shared" si="124"/>
        <v>1377826.1763984044</v>
      </c>
      <c r="AIH12" s="125">
        <f t="shared" si="124"/>
        <v>1377826.1763984044</v>
      </c>
      <c r="AII12" s="125">
        <f t="shared" si="124"/>
        <v>1377826.1763984044</v>
      </c>
      <c r="AIJ12" s="125">
        <f t="shared" si="124"/>
        <v>1377826.1763984044</v>
      </c>
      <c r="AIK12" s="125">
        <f t="shared" si="124"/>
        <v>1377826.1763984044</v>
      </c>
      <c r="AIL12" s="125">
        <f t="shared" si="124"/>
        <v>1377826.1763984044</v>
      </c>
      <c r="AIM12" s="125">
        <f t="shared" si="124"/>
        <v>1377826.1763984044</v>
      </c>
      <c r="AIN12" s="125">
        <f t="shared" si="124"/>
        <v>1377826.1763984044</v>
      </c>
      <c r="AIO12" s="125">
        <f t="shared" si="124"/>
        <v>1377826.1763984044</v>
      </c>
      <c r="AIP12" s="125">
        <f t="shared" si="124"/>
        <v>1377826.1763984044</v>
      </c>
      <c r="AIQ12" s="125">
        <f t="shared" si="124"/>
        <v>1377826.1763984044</v>
      </c>
      <c r="AIR12" s="125">
        <f t="shared" si="124"/>
        <v>1377826.1763984044</v>
      </c>
      <c r="AIS12" s="125">
        <f t="shared" si="124"/>
        <v>1377826.1763984044</v>
      </c>
      <c r="AIT12" s="125">
        <f t="shared" si="124"/>
        <v>1377826.1763984044</v>
      </c>
      <c r="AIU12" s="125">
        <f t="shared" si="124"/>
        <v>1377826.1763984044</v>
      </c>
      <c r="AIV12" s="125">
        <f t="shared" si="124"/>
        <v>1377826.1763984044</v>
      </c>
      <c r="AIW12" s="125">
        <f t="shared" si="124"/>
        <v>1377826.1763984044</v>
      </c>
      <c r="AIX12" s="125">
        <f t="shared" si="124"/>
        <v>1377826.1763984044</v>
      </c>
      <c r="AIY12" s="125">
        <f t="shared" si="124"/>
        <v>1377826.1763984044</v>
      </c>
      <c r="AIZ12" s="125">
        <f t="shared" si="124"/>
        <v>1377826.1763984044</v>
      </c>
      <c r="AJA12" s="125">
        <f t="shared" si="124"/>
        <v>1377826.1763984044</v>
      </c>
      <c r="AJB12" s="125">
        <f t="shared" si="124"/>
        <v>1377826.1763984044</v>
      </c>
      <c r="AJC12" s="125">
        <f t="shared" si="124"/>
        <v>1377826.1763984044</v>
      </c>
      <c r="AJD12" s="125">
        <f t="shared" si="124"/>
        <v>1377826.1763984044</v>
      </c>
      <c r="AJE12" s="125">
        <f t="shared" si="124"/>
        <v>1377826.1763984044</v>
      </c>
      <c r="AJF12" s="125">
        <f t="shared" si="124"/>
        <v>1377826.1763984044</v>
      </c>
      <c r="AJG12" s="125">
        <f t="shared" si="124"/>
        <v>1377826.1763984044</v>
      </c>
      <c r="AJH12" s="125">
        <f t="shared" si="124"/>
        <v>1377826.1763984044</v>
      </c>
      <c r="AJI12" s="125">
        <f t="shared" si="124"/>
        <v>1377826.1763984044</v>
      </c>
      <c r="AJJ12" s="125">
        <f t="shared" si="124"/>
        <v>1377826.1763984044</v>
      </c>
      <c r="AJK12" s="125">
        <f t="shared" si="124"/>
        <v>1377826.1763984044</v>
      </c>
      <c r="AJL12" s="125">
        <f t="shared" si="124"/>
        <v>1377826.1763984044</v>
      </c>
      <c r="AJM12" s="125">
        <f t="shared" si="124"/>
        <v>1377826.1763984044</v>
      </c>
      <c r="AJN12" s="125">
        <f t="shared" si="124"/>
        <v>1377826.1763984044</v>
      </c>
      <c r="AJO12" s="125">
        <f t="shared" si="124"/>
        <v>1377826.1763984044</v>
      </c>
      <c r="AJP12" s="125">
        <f t="shared" si="124"/>
        <v>1377826.1763984044</v>
      </c>
      <c r="AJQ12" s="125">
        <f t="shared" si="124"/>
        <v>1377826.1763984044</v>
      </c>
      <c r="AJR12" s="125">
        <f t="shared" si="124"/>
        <v>1377826.1763984044</v>
      </c>
      <c r="AJS12" s="125">
        <f t="shared" si="124"/>
        <v>1377826.1763984044</v>
      </c>
      <c r="AJT12" s="125">
        <f t="shared" si="124"/>
        <v>1377826.1763984044</v>
      </c>
      <c r="AJU12" s="125">
        <f t="shared" si="124"/>
        <v>1377826.1763984044</v>
      </c>
      <c r="AJV12" s="125">
        <f t="shared" si="124"/>
        <v>1377826.1763984044</v>
      </c>
      <c r="AJW12" s="125">
        <f t="shared" si="124"/>
        <v>1377826.1763984044</v>
      </c>
      <c r="AJX12" s="125">
        <f t="shared" si="124"/>
        <v>1377826.1763984044</v>
      </c>
      <c r="AJY12" s="125">
        <f t="shared" si="124"/>
        <v>1377826.1763984044</v>
      </c>
      <c r="AJZ12" s="125">
        <f t="shared" si="124"/>
        <v>1377826.1763984044</v>
      </c>
      <c r="AKA12" s="125">
        <f t="shared" si="124"/>
        <v>1377826.1763984044</v>
      </c>
      <c r="AKB12" s="125">
        <f t="shared" si="124"/>
        <v>1377826.1763984044</v>
      </c>
      <c r="AKC12" s="125">
        <f t="shared" si="124"/>
        <v>1377826.1763984044</v>
      </c>
      <c r="AKD12" s="125">
        <f t="shared" si="124"/>
        <v>1377826.1763984044</v>
      </c>
      <c r="AKE12" s="125">
        <f t="shared" si="124"/>
        <v>1377826.1763984044</v>
      </c>
      <c r="AKF12" s="125">
        <f t="shared" si="124"/>
        <v>1377826.1763984044</v>
      </c>
      <c r="AKG12" s="125">
        <f t="shared" ref="AKG12:AMR12" si="125">AKF12+AKG11</f>
        <v>1377826.1763984044</v>
      </c>
      <c r="AKH12" s="125">
        <f t="shared" si="125"/>
        <v>1377826.1763984044</v>
      </c>
      <c r="AKI12" s="125">
        <f t="shared" si="125"/>
        <v>1377826.1763984044</v>
      </c>
      <c r="AKJ12" s="125">
        <f t="shared" si="125"/>
        <v>1377826.1763984044</v>
      </c>
      <c r="AKK12" s="125">
        <f t="shared" si="125"/>
        <v>1377826.1763984044</v>
      </c>
      <c r="AKL12" s="125">
        <f t="shared" si="125"/>
        <v>1377826.1763984044</v>
      </c>
      <c r="AKM12" s="125">
        <f t="shared" si="125"/>
        <v>1377826.1763984044</v>
      </c>
      <c r="AKN12" s="125">
        <f t="shared" si="125"/>
        <v>1377826.1763984044</v>
      </c>
      <c r="AKO12" s="125">
        <f t="shared" si="125"/>
        <v>1377826.1763984044</v>
      </c>
      <c r="AKP12" s="125">
        <f t="shared" si="125"/>
        <v>1377826.1763984044</v>
      </c>
      <c r="AKQ12" s="125">
        <f t="shared" si="125"/>
        <v>1377826.1763984044</v>
      </c>
      <c r="AKR12" s="125">
        <f t="shared" si="125"/>
        <v>1377826.1763984044</v>
      </c>
      <c r="AKS12" s="125">
        <f t="shared" si="125"/>
        <v>1377826.1763984044</v>
      </c>
      <c r="AKT12" s="125">
        <f t="shared" si="125"/>
        <v>1377826.1763984044</v>
      </c>
      <c r="AKU12" s="125">
        <f t="shared" si="125"/>
        <v>1377826.1763984044</v>
      </c>
      <c r="AKV12" s="125">
        <f t="shared" si="125"/>
        <v>1377826.1763984044</v>
      </c>
      <c r="AKW12" s="125">
        <f t="shared" si="125"/>
        <v>1377826.1763984044</v>
      </c>
      <c r="AKX12" s="125">
        <f t="shared" si="125"/>
        <v>1377826.1763984044</v>
      </c>
      <c r="AKY12" s="125">
        <f t="shared" si="125"/>
        <v>1377826.1763984044</v>
      </c>
      <c r="AKZ12" s="125">
        <f t="shared" si="125"/>
        <v>1377826.1763984044</v>
      </c>
      <c r="ALA12" s="125">
        <f t="shared" si="125"/>
        <v>1377826.1763984044</v>
      </c>
      <c r="ALB12" s="125">
        <f t="shared" si="125"/>
        <v>1377826.1763984044</v>
      </c>
      <c r="ALC12" s="125">
        <f t="shared" si="125"/>
        <v>1377826.1763984044</v>
      </c>
      <c r="ALD12" s="125">
        <f t="shared" si="125"/>
        <v>1377826.1763984044</v>
      </c>
      <c r="ALE12" s="125">
        <f t="shared" si="125"/>
        <v>1377826.1763984044</v>
      </c>
      <c r="ALF12" s="125">
        <f t="shared" si="125"/>
        <v>1377826.1763984044</v>
      </c>
      <c r="ALG12" s="125">
        <f t="shared" si="125"/>
        <v>1377826.1763984044</v>
      </c>
      <c r="ALH12" s="125">
        <f t="shared" si="125"/>
        <v>1377826.1763984044</v>
      </c>
      <c r="ALI12" s="125">
        <f t="shared" si="125"/>
        <v>1377826.1763984044</v>
      </c>
      <c r="ALJ12" s="125">
        <f t="shared" si="125"/>
        <v>1377826.1763984044</v>
      </c>
      <c r="ALK12" s="125">
        <f t="shared" si="125"/>
        <v>1377826.1763984044</v>
      </c>
      <c r="ALL12" s="125">
        <f t="shared" si="125"/>
        <v>1377826.1763984044</v>
      </c>
      <c r="ALM12" s="125">
        <f t="shared" si="125"/>
        <v>1377826.1763984044</v>
      </c>
      <c r="ALN12" s="125">
        <f t="shared" si="125"/>
        <v>1377826.1763984044</v>
      </c>
      <c r="ALO12" s="125">
        <f t="shared" si="125"/>
        <v>1377826.1763984044</v>
      </c>
      <c r="ALP12" s="125">
        <f t="shared" si="125"/>
        <v>1377826.1763984044</v>
      </c>
      <c r="ALQ12" s="125">
        <f t="shared" si="125"/>
        <v>1377826.1763984044</v>
      </c>
      <c r="ALR12" s="125">
        <f t="shared" si="125"/>
        <v>1377826.1763984044</v>
      </c>
      <c r="ALS12" s="125">
        <f t="shared" si="125"/>
        <v>1377826.1763984044</v>
      </c>
      <c r="ALT12" s="125">
        <f t="shared" si="125"/>
        <v>1377826.1763984044</v>
      </c>
      <c r="ALU12" s="125">
        <f t="shared" si="125"/>
        <v>1377826.1763984044</v>
      </c>
      <c r="ALV12" s="125">
        <f t="shared" si="125"/>
        <v>1377826.1763984044</v>
      </c>
      <c r="ALW12" s="125">
        <f t="shared" si="125"/>
        <v>1377826.1763984044</v>
      </c>
      <c r="ALX12" s="125">
        <f t="shared" si="125"/>
        <v>1377826.1763984044</v>
      </c>
      <c r="ALY12" s="125">
        <f t="shared" si="125"/>
        <v>1377826.1763984044</v>
      </c>
      <c r="ALZ12" s="125">
        <f t="shared" si="125"/>
        <v>1377826.1763984044</v>
      </c>
      <c r="AMA12" s="125">
        <f t="shared" si="125"/>
        <v>1377826.1763984044</v>
      </c>
      <c r="AMB12" s="125">
        <f t="shared" si="125"/>
        <v>1377826.1763984044</v>
      </c>
      <c r="AMC12" s="125">
        <f t="shared" si="125"/>
        <v>1377826.1763984044</v>
      </c>
      <c r="AMD12" s="125">
        <f t="shared" si="125"/>
        <v>1377826.1763984044</v>
      </c>
      <c r="AME12" s="125">
        <f t="shared" si="125"/>
        <v>1377826.1763984044</v>
      </c>
      <c r="AMF12" s="125">
        <f t="shared" si="125"/>
        <v>1377826.1763984044</v>
      </c>
      <c r="AMG12" s="125">
        <f t="shared" si="125"/>
        <v>1377826.1763984044</v>
      </c>
      <c r="AMH12" s="125">
        <f t="shared" si="125"/>
        <v>1377826.1763984044</v>
      </c>
      <c r="AMI12" s="125">
        <f t="shared" si="125"/>
        <v>1377826.1763984044</v>
      </c>
      <c r="AMJ12" s="125">
        <f t="shared" si="125"/>
        <v>1377826.1763984044</v>
      </c>
      <c r="AMK12" s="125">
        <f t="shared" si="125"/>
        <v>1377826.1763984044</v>
      </c>
      <c r="AML12" s="125">
        <f t="shared" si="125"/>
        <v>1377826.1763984044</v>
      </c>
      <c r="AMM12" s="125">
        <f t="shared" si="125"/>
        <v>1377826.1763984044</v>
      </c>
      <c r="AMN12" s="125">
        <f t="shared" si="125"/>
        <v>1377826.1763984044</v>
      </c>
      <c r="AMO12" s="125">
        <f t="shared" si="125"/>
        <v>1377826.1763984044</v>
      </c>
      <c r="AMP12" s="125">
        <f t="shared" si="125"/>
        <v>1377826.1763984044</v>
      </c>
      <c r="AMQ12" s="125">
        <f t="shared" si="125"/>
        <v>1377826.1763984044</v>
      </c>
      <c r="AMR12" s="125">
        <f t="shared" si="125"/>
        <v>1377826.1763984044</v>
      </c>
      <c r="AMS12" s="125">
        <f t="shared" ref="AMS12:APD12" si="126">AMR12+AMS11</f>
        <v>1377826.1763984044</v>
      </c>
      <c r="AMT12" s="125">
        <f t="shared" si="126"/>
        <v>1377826.1763984044</v>
      </c>
      <c r="AMU12" s="125">
        <f t="shared" si="126"/>
        <v>1377826.1763984044</v>
      </c>
      <c r="AMV12" s="125">
        <f t="shared" si="126"/>
        <v>1377826.1763984044</v>
      </c>
      <c r="AMW12" s="125">
        <f t="shared" si="126"/>
        <v>1377826.1763984044</v>
      </c>
      <c r="AMX12" s="125">
        <f t="shared" si="126"/>
        <v>1377826.1763984044</v>
      </c>
      <c r="AMY12" s="125">
        <f t="shared" si="126"/>
        <v>1377826.1763984044</v>
      </c>
      <c r="AMZ12" s="125">
        <f t="shared" si="126"/>
        <v>1377826.1763984044</v>
      </c>
      <c r="ANA12" s="125">
        <f t="shared" si="126"/>
        <v>1377826.1763984044</v>
      </c>
      <c r="ANB12" s="125">
        <f t="shared" si="126"/>
        <v>1377826.1763984044</v>
      </c>
      <c r="ANC12" s="125">
        <f t="shared" si="126"/>
        <v>1377826.1763984044</v>
      </c>
      <c r="AND12" s="125">
        <f t="shared" si="126"/>
        <v>1377826.1763984044</v>
      </c>
      <c r="ANE12" s="125">
        <f t="shared" si="126"/>
        <v>1377826.1763984044</v>
      </c>
      <c r="ANF12" s="125">
        <f t="shared" si="126"/>
        <v>1377826.1763984044</v>
      </c>
      <c r="ANG12" s="125">
        <f t="shared" si="126"/>
        <v>1377826.1763984044</v>
      </c>
      <c r="ANH12" s="125">
        <f t="shared" si="126"/>
        <v>1377826.1763984044</v>
      </c>
      <c r="ANI12" s="125">
        <f t="shared" si="126"/>
        <v>1377826.1763984044</v>
      </c>
      <c r="ANJ12" s="125">
        <f t="shared" si="126"/>
        <v>1377826.1763984044</v>
      </c>
      <c r="ANK12" s="125">
        <f t="shared" si="126"/>
        <v>1377826.1763984044</v>
      </c>
      <c r="ANL12" s="125">
        <f t="shared" si="126"/>
        <v>1377826.1763984044</v>
      </c>
      <c r="ANM12" s="125">
        <f t="shared" si="126"/>
        <v>1377826.1763984044</v>
      </c>
      <c r="ANN12" s="125">
        <f t="shared" si="126"/>
        <v>1377826.1763984044</v>
      </c>
      <c r="ANO12" s="125">
        <f t="shared" si="126"/>
        <v>1377826.1763984044</v>
      </c>
      <c r="ANP12" s="125">
        <f t="shared" si="126"/>
        <v>1377826.1763984044</v>
      </c>
      <c r="ANQ12" s="125">
        <f t="shared" si="126"/>
        <v>1377826.1763984044</v>
      </c>
      <c r="ANR12" s="125">
        <f t="shared" si="126"/>
        <v>1377826.1763984044</v>
      </c>
      <c r="ANS12" s="125">
        <f t="shared" si="126"/>
        <v>1377826.1763984044</v>
      </c>
      <c r="ANT12" s="125">
        <f t="shared" si="126"/>
        <v>1377826.1763984044</v>
      </c>
      <c r="ANU12" s="125">
        <f t="shared" si="126"/>
        <v>1377826.1763984044</v>
      </c>
      <c r="ANV12" s="125">
        <f t="shared" si="126"/>
        <v>1377826.1763984044</v>
      </c>
      <c r="ANW12" s="125">
        <f t="shared" si="126"/>
        <v>1377826.1763984044</v>
      </c>
      <c r="ANX12" s="125">
        <f t="shared" si="126"/>
        <v>1377826.1763984044</v>
      </c>
      <c r="ANY12" s="125">
        <f t="shared" si="126"/>
        <v>1377826.1763984044</v>
      </c>
      <c r="ANZ12" s="125">
        <f t="shared" si="126"/>
        <v>1377826.1763984044</v>
      </c>
      <c r="AOA12" s="125">
        <f t="shared" si="126"/>
        <v>1377826.1763984044</v>
      </c>
      <c r="AOB12" s="125">
        <f t="shared" si="126"/>
        <v>1377826.1763984044</v>
      </c>
      <c r="AOC12" s="125">
        <f t="shared" si="126"/>
        <v>1377826.1763984044</v>
      </c>
      <c r="AOD12" s="125">
        <f t="shared" si="126"/>
        <v>1377826.1763984044</v>
      </c>
      <c r="AOE12" s="125">
        <f t="shared" si="126"/>
        <v>1377826.1763984044</v>
      </c>
      <c r="AOF12" s="125">
        <f t="shared" si="126"/>
        <v>1377826.1763984044</v>
      </c>
      <c r="AOG12" s="125">
        <f t="shared" si="126"/>
        <v>1377826.1763984044</v>
      </c>
      <c r="AOH12" s="125">
        <f t="shared" si="126"/>
        <v>1377826.1763984044</v>
      </c>
      <c r="AOI12" s="125">
        <f t="shared" si="126"/>
        <v>1377826.1763984044</v>
      </c>
      <c r="AOJ12" s="125">
        <f t="shared" si="126"/>
        <v>1377826.1763984044</v>
      </c>
      <c r="AOK12" s="125">
        <f t="shared" si="126"/>
        <v>1377826.1763984044</v>
      </c>
      <c r="AOL12" s="125">
        <f t="shared" si="126"/>
        <v>1377826.1763984044</v>
      </c>
      <c r="AOM12" s="125">
        <f t="shared" si="126"/>
        <v>1377826.1763984044</v>
      </c>
      <c r="AON12" s="125">
        <f t="shared" si="126"/>
        <v>1377826.1763984044</v>
      </c>
      <c r="AOO12" s="125">
        <f t="shared" si="126"/>
        <v>1377826.1763984044</v>
      </c>
      <c r="AOP12" s="125">
        <f t="shared" si="126"/>
        <v>1377826.1763984044</v>
      </c>
      <c r="AOQ12" s="125">
        <f t="shared" si="126"/>
        <v>1377826.1763984044</v>
      </c>
      <c r="AOR12" s="125">
        <f t="shared" si="126"/>
        <v>1377826.1763984044</v>
      </c>
      <c r="AOS12" s="125">
        <f t="shared" si="126"/>
        <v>1377826.1763984044</v>
      </c>
      <c r="AOT12" s="125">
        <f t="shared" si="126"/>
        <v>1377826.1763984044</v>
      </c>
      <c r="AOU12" s="125">
        <f t="shared" si="126"/>
        <v>1377826.1763984044</v>
      </c>
      <c r="AOV12" s="125">
        <f t="shared" si="126"/>
        <v>1377826.1763984044</v>
      </c>
      <c r="AOW12" s="125">
        <f t="shared" si="126"/>
        <v>1377826.1763984044</v>
      </c>
      <c r="AOX12" s="125">
        <f t="shared" si="126"/>
        <v>1377826.1763984044</v>
      </c>
      <c r="AOY12" s="125">
        <f t="shared" si="126"/>
        <v>1377826.1763984044</v>
      </c>
      <c r="AOZ12" s="125">
        <f t="shared" si="126"/>
        <v>1377826.1763984044</v>
      </c>
      <c r="APA12" s="125">
        <f t="shared" si="126"/>
        <v>1377826.1763984044</v>
      </c>
      <c r="APB12" s="125">
        <f t="shared" si="126"/>
        <v>1377826.1763984044</v>
      </c>
      <c r="APC12" s="125">
        <f t="shared" si="126"/>
        <v>1377826.1763984044</v>
      </c>
      <c r="APD12" s="125">
        <f t="shared" si="126"/>
        <v>1377826.1763984044</v>
      </c>
      <c r="APE12" s="125">
        <f t="shared" ref="APE12:ARP12" si="127">APD12+APE11</f>
        <v>1377826.1763984044</v>
      </c>
      <c r="APF12" s="125">
        <f t="shared" si="127"/>
        <v>1377826.1763984044</v>
      </c>
      <c r="APG12" s="125">
        <f t="shared" si="127"/>
        <v>1377826.1763984044</v>
      </c>
      <c r="APH12" s="125">
        <f t="shared" si="127"/>
        <v>1377826.1763984044</v>
      </c>
      <c r="API12" s="125">
        <f t="shared" si="127"/>
        <v>1377826.1763984044</v>
      </c>
      <c r="APJ12" s="125">
        <f t="shared" si="127"/>
        <v>1377826.1763984044</v>
      </c>
      <c r="APK12" s="125">
        <f t="shared" si="127"/>
        <v>1377826.1763984044</v>
      </c>
      <c r="APL12" s="125">
        <f t="shared" si="127"/>
        <v>1377826.1763984044</v>
      </c>
      <c r="APM12" s="125">
        <f t="shared" si="127"/>
        <v>1377826.1763984044</v>
      </c>
      <c r="APN12" s="125">
        <f t="shared" si="127"/>
        <v>1377826.1763984044</v>
      </c>
      <c r="APO12" s="125">
        <f t="shared" si="127"/>
        <v>1377826.1763984044</v>
      </c>
      <c r="APP12" s="125">
        <f t="shared" si="127"/>
        <v>1377826.1763984044</v>
      </c>
      <c r="APQ12" s="125">
        <f t="shared" si="127"/>
        <v>1377826.1763984044</v>
      </c>
      <c r="APR12" s="125">
        <f t="shared" si="127"/>
        <v>1377826.1763984044</v>
      </c>
      <c r="APS12" s="125">
        <f t="shared" si="127"/>
        <v>1377826.1763984044</v>
      </c>
      <c r="APT12" s="125">
        <f t="shared" si="127"/>
        <v>1377826.1763984044</v>
      </c>
      <c r="APU12" s="125">
        <f t="shared" si="127"/>
        <v>1377826.1763984044</v>
      </c>
      <c r="APV12" s="125">
        <f t="shared" si="127"/>
        <v>1377826.1763984044</v>
      </c>
      <c r="APW12" s="125">
        <f t="shared" si="127"/>
        <v>1377826.1763984044</v>
      </c>
      <c r="APX12" s="125">
        <f t="shared" si="127"/>
        <v>1377826.1763984044</v>
      </c>
      <c r="APY12" s="125">
        <f t="shared" si="127"/>
        <v>1377826.1763984044</v>
      </c>
      <c r="APZ12" s="125">
        <f t="shared" si="127"/>
        <v>1377826.1763984044</v>
      </c>
      <c r="AQA12" s="125">
        <f t="shared" si="127"/>
        <v>1377826.1763984044</v>
      </c>
      <c r="AQB12" s="125">
        <f t="shared" si="127"/>
        <v>1377826.1763984044</v>
      </c>
      <c r="AQC12" s="125">
        <f t="shared" si="127"/>
        <v>1377826.1763984044</v>
      </c>
      <c r="AQD12" s="125">
        <f t="shared" si="127"/>
        <v>1377826.1763984044</v>
      </c>
      <c r="AQE12" s="125">
        <f t="shared" si="127"/>
        <v>1377826.1763984044</v>
      </c>
      <c r="AQF12" s="125">
        <f t="shared" si="127"/>
        <v>1377826.1763984044</v>
      </c>
      <c r="AQG12" s="125">
        <f t="shared" si="127"/>
        <v>1377826.1763984044</v>
      </c>
      <c r="AQH12" s="125">
        <f t="shared" si="127"/>
        <v>1377826.1763984044</v>
      </c>
      <c r="AQI12" s="125">
        <f t="shared" si="127"/>
        <v>1377826.1763984044</v>
      </c>
      <c r="AQJ12" s="125">
        <f t="shared" si="127"/>
        <v>1377826.1763984044</v>
      </c>
      <c r="AQK12" s="125">
        <f t="shared" si="127"/>
        <v>1377826.1763984044</v>
      </c>
      <c r="AQL12" s="125">
        <f t="shared" si="127"/>
        <v>1377826.1763984044</v>
      </c>
      <c r="AQM12" s="125">
        <f t="shared" si="127"/>
        <v>1377826.1763984044</v>
      </c>
      <c r="AQN12" s="125">
        <f t="shared" si="127"/>
        <v>1377826.1763984044</v>
      </c>
      <c r="AQO12" s="125">
        <f t="shared" si="127"/>
        <v>1377826.1763984044</v>
      </c>
      <c r="AQP12" s="125">
        <f t="shared" si="127"/>
        <v>1377826.1763984044</v>
      </c>
      <c r="AQQ12" s="125">
        <f t="shared" si="127"/>
        <v>1377826.1763984044</v>
      </c>
      <c r="AQR12" s="125">
        <f t="shared" si="127"/>
        <v>1377826.1763984044</v>
      </c>
      <c r="AQS12" s="125">
        <f t="shared" si="127"/>
        <v>1377826.1763984044</v>
      </c>
      <c r="AQT12" s="125">
        <f t="shared" si="127"/>
        <v>1377826.1763984044</v>
      </c>
      <c r="AQU12" s="125">
        <f t="shared" si="127"/>
        <v>1377826.1763984044</v>
      </c>
      <c r="AQV12" s="125">
        <f t="shared" si="127"/>
        <v>1377826.1763984044</v>
      </c>
      <c r="AQW12" s="125">
        <f t="shared" si="127"/>
        <v>1377826.1763984044</v>
      </c>
      <c r="AQX12" s="125">
        <f t="shared" si="127"/>
        <v>1377826.1763984044</v>
      </c>
      <c r="AQY12" s="125">
        <f t="shared" si="127"/>
        <v>1377826.1763984044</v>
      </c>
      <c r="AQZ12" s="125">
        <f t="shared" si="127"/>
        <v>1377826.1763984044</v>
      </c>
      <c r="ARA12" s="125">
        <f t="shared" si="127"/>
        <v>1377826.1763984044</v>
      </c>
      <c r="ARB12" s="125">
        <f t="shared" si="127"/>
        <v>1377826.1763984044</v>
      </c>
      <c r="ARC12" s="125">
        <f t="shared" si="127"/>
        <v>1377826.1763984044</v>
      </c>
      <c r="ARD12" s="125">
        <f t="shared" si="127"/>
        <v>1377826.1763984044</v>
      </c>
      <c r="ARE12" s="125">
        <f t="shared" si="127"/>
        <v>1377826.1763984044</v>
      </c>
      <c r="ARF12" s="125">
        <f t="shared" si="127"/>
        <v>1377826.1763984044</v>
      </c>
      <c r="ARG12" s="125">
        <f t="shared" si="127"/>
        <v>1377826.1763984044</v>
      </c>
      <c r="ARH12" s="125">
        <f t="shared" si="127"/>
        <v>1377826.1763984044</v>
      </c>
      <c r="ARI12" s="125">
        <f t="shared" si="127"/>
        <v>1377826.1763984044</v>
      </c>
      <c r="ARJ12" s="125">
        <f t="shared" si="127"/>
        <v>1377826.1763984044</v>
      </c>
      <c r="ARK12" s="125">
        <f t="shared" si="127"/>
        <v>1377826.1763984044</v>
      </c>
      <c r="ARL12" s="125">
        <f t="shared" si="127"/>
        <v>1377826.1763984044</v>
      </c>
      <c r="ARM12" s="125">
        <f t="shared" si="127"/>
        <v>1377826.1763984044</v>
      </c>
      <c r="ARN12" s="125">
        <f t="shared" si="127"/>
        <v>1377826.1763984044</v>
      </c>
      <c r="ARO12" s="125">
        <f t="shared" si="127"/>
        <v>1377826.1763984044</v>
      </c>
      <c r="ARP12" s="125">
        <f t="shared" si="127"/>
        <v>1377826.1763984044</v>
      </c>
      <c r="ARQ12" s="125">
        <f t="shared" ref="ARQ12:AUB12" si="128">ARP12+ARQ11</f>
        <v>1377826.1763984044</v>
      </c>
      <c r="ARR12" s="125">
        <f t="shared" si="128"/>
        <v>1377826.1763984044</v>
      </c>
      <c r="ARS12" s="125">
        <f t="shared" si="128"/>
        <v>1377826.1763984044</v>
      </c>
      <c r="ART12" s="125">
        <f t="shared" si="128"/>
        <v>1377826.1763984044</v>
      </c>
      <c r="ARU12" s="125">
        <f t="shared" si="128"/>
        <v>1377826.1763984044</v>
      </c>
      <c r="ARV12" s="125">
        <f t="shared" si="128"/>
        <v>1377826.1763984044</v>
      </c>
      <c r="ARW12" s="125">
        <f t="shared" si="128"/>
        <v>1377826.1763984044</v>
      </c>
      <c r="ARX12" s="125">
        <f t="shared" si="128"/>
        <v>1377826.1763984044</v>
      </c>
      <c r="ARY12" s="125">
        <f t="shared" si="128"/>
        <v>1377826.1763984044</v>
      </c>
      <c r="ARZ12" s="125">
        <f t="shared" si="128"/>
        <v>1377826.1763984044</v>
      </c>
      <c r="ASA12" s="125">
        <f t="shared" si="128"/>
        <v>1377826.1763984044</v>
      </c>
      <c r="ASB12" s="125">
        <f t="shared" si="128"/>
        <v>1377826.1763984044</v>
      </c>
      <c r="ASC12" s="125">
        <f t="shared" si="128"/>
        <v>1377826.1763984044</v>
      </c>
      <c r="ASD12" s="125">
        <f t="shared" si="128"/>
        <v>1377826.1763984044</v>
      </c>
      <c r="ASE12" s="125">
        <f t="shared" si="128"/>
        <v>1377826.1763984044</v>
      </c>
      <c r="ASF12" s="125">
        <f t="shared" si="128"/>
        <v>1377826.1763984044</v>
      </c>
      <c r="ASG12" s="125">
        <f t="shared" si="128"/>
        <v>1377826.1763984044</v>
      </c>
      <c r="ASH12" s="125">
        <f t="shared" si="128"/>
        <v>1377826.1763984044</v>
      </c>
      <c r="ASI12" s="125">
        <f t="shared" si="128"/>
        <v>1377826.1763984044</v>
      </c>
      <c r="ASJ12" s="125">
        <f t="shared" si="128"/>
        <v>1377826.1763984044</v>
      </c>
      <c r="ASK12" s="125">
        <f t="shared" si="128"/>
        <v>1377826.1763984044</v>
      </c>
      <c r="ASL12" s="125">
        <f t="shared" si="128"/>
        <v>1377826.1763984044</v>
      </c>
      <c r="ASM12" s="125">
        <f t="shared" si="128"/>
        <v>1377826.1763984044</v>
      </c>
      <c r="ASN12" s="125">
        <f t="shared" si="128"/>
        <v>1377826.1763984044</v>
      </c>
      <c r="ASO12" s="125">
        <f t="shared" si="128"/>
        <v>1377826.1763984044</v>
      </c>
      <c r="ASP12" s="125">
        <f t="shared" si="128"/>
        <v>1377826.1763984044</v>
      </c>
      <c r="ASQ12" s="125">
        <f t="shared" si="128"/>
        <v>1377826.1763984044</v>
      </c>
      <c r="ASR12" s="125">
        <f t="shared" si="128"/>
        <v>1377826.1763984044</v>
      </c>
      <c r="ASS12" s="125">
        <f t="shared" si="128"/>
        <v>1377826.1763984044</v>
      </c>
      <c r="AST12" s="125">
        <f t="shared" si="128"/>
        <v>1377826.1763984044</v>
      </c>
      <c r="ASU12" s="125">
        <f t="shared" si="128"/>
        <v>1377826.1763984044</v>
      </c>
      <c r="ASV12" s="125">
        <f t="shared" si="128"/>
        <v>1377826.1763984044</v>
      </c>
      <c r="ASW12" s="125">
        <f t="shared" si="128"/>
        <v>1377826.1763984044</v>
      </c>
      <c r="ASX12" s="125">
        <f t="shared" si="128"/>
        <v>1377826.1763984044</v>
      </c>
      <c r="ASY12" s="125">
        <f t="shared" si="128"/>
        <v>1377826.1763984044</v>
      </c>
      <c r="ASZ12" s="125">
        <f t="shared" si="128"/>
        <v>1377826.1763984044</v>
      </c>
      <c r="ATA12" s="125">
        <f t="shared" si="128"/>
        <v>1377826.1763984044</v>
      </c>
      <c r="ATB12" s="125">
        <f t="shared" si="128"/>
        <v>1377826.1763984044</v>
      </c>
      <c r="ATC12" s="125">
        <f t="shared" si="128"/>
        <v>1377826.1763984044</v>
      </c>
      <c r="ATD12" s="125">
        <f t="shared" si="128"/>
        <v>1377826.1763984044</v>
      </c>
      <c r="ATE12" s="125">
        <f t="shared" si="128"/>
        <v>1377826.1763984044</v>
      </c>
      <c r="ATF12" s="125">
        <f t="shared" si="128"/>
        <v>1377826.1763984044</v>
      </c>
      <c r="ATG12" s="125">
        <f t="shared" si="128"/>
        <v>1377826.1763984044</v>
      </c>
      <c r="ATH12" s="125">
        <f t="shared" si="128"/>
        <v>1377826.1763984044</v>
      </c>
      <c r="ATI12" s="125">
        <f t="shared" si="128"/>
        <v>1377826.1763984044</v>
      </c>
      <c r="ATJ12" s="125">
        <f t="shared" si="128"/>
        <v>1377826.1763984044</v>
      </c>
      <c r="ATK12" s="125">
        <f t="shared" si="128"/>
        <v>1377826.1763984044</v>
      </c>
      <c r="ATL12" s="125">
        <f t="shared" si="128"/>
        <v>1377826.1763984044</v>
      </c>
      <c r="ATM12" s="125">
        <f t="shared" si="128"/>
        <v>1377826.1763984044</v>
      </c>
      <c r="ATN12" s="125">
        <f t="shared" si="128"/>
        <v>1377826.1763984044</v>
      </c>
      <c r="ATO12" s="125">
        <f t="shared" si="128"/>
        <v>1377826.1763984044</v>
      </c>
      <c r="ATP12" s="125">
        <f t="shared" si="128"/>
        <v>1377826.1763984044</v>
      </c>
      <c r="ATQ12" s="125">
        <f t="shared" si="128"/>
        <v>1377826.1763984044</v>
      </c>
      <c r="ATR12" s="125">
        <f t="shared" si="128"/>
        <v>1377826.1763984044</v>
      </c>
      <c r="ATS12" s="125">
        <f t="shared" si="128"/>
        <v>1377826.1763984044</v>
      </c>
      <c r="ATT12" s="125">
        <f t="shared" si="128"/>
        <v>1377826.1763984044</v>
      </c>
      <c r="ATU12" s="125">
        <f t="shared" si="128"/>
        <v>1377826.1763984044</v>
      </c>
      <c r="ATV12" s="125">
        <f t="shared" si="128"/>
        <v>1377826.1763984044</v>
      </c>
      <c r="ATW12" s="125">
        <f t="shared" si="128"/>
        <v>1377826.1763984044</v>
      </c>
      <c r="ATX12" s="125">
        <f t="shared" si="128"/>
        <v>1377826.1763984044</v>
      </c>
      <c r="ATY12" s="125">
        <f t="shared" si="128"/>
        <v>1377826.1763984044</v>
      </c>
      <c r="ATZ12" s="125">
        <f t="shared" si="128"/>
        <v>1377826.1763984044</v>
      </c>
      <c r="AUA12" s="125">
        <f t="shared" si="128"/>
        <v>1377826.1763984044</v>
      </c>
      <c r="AUB12" s="125">
        <f t="shared" si="128"/>
        <v>1377826.1763984044</v>
      </c>
      <c r="AUC12" s="125">
        <f t="shared" ref="AUC12:AWN12" si="129">AUB12+AUC11</f>
        <v>1377826.1763984044</v>
      </c>
      <c r="AUD12" s="125">
        <f t="shared" si="129"/>
        <v>1377826.1763984044</v>
      </c>
      <c r="AUE12" s="125">
        <f t="shared" si="129"/>
        <v>1377826.1763984044</v>
      </c>
      <c r="AUF12" s="125">
        <f t="shared" si="129"/>
        <v>1377826.1763984044</v>
      </c>
      <c r="AUG12" s="125">
        <f t="shared" si="129"/>
        <v>1377826.1763984044</v>
      </c>
      <c r="AUH12" s="125">
        <f t="shared" si="129"/>
        <v>1377826.1763984044</v>
      </c>
      <c r="AUI12" s="125">
        <f t="shared" si="129"/>
        <v>1377826.1763984044</v>
      </c>
      <c r="AUJ12" s="125">
        <f t="shared" si="129"/>
        <v>1377826.1763984044</v>
      </c>
      <c r="AUK12" s="125">
        <f t="shared" si="129"/>
        <v>1377826.1763984044</v>
      </c>
      <c r="AUL12" s="125">
        <f t="shared" si="129"/>
        <v>1377826.1763984044</v>
      </c>
      <c r="AUM12" s="125">
        <f t="shared" si="129"/>
        <v>1377826.1763984044</v>
      </c>
      <c r="AUN12" s="125">
        <f t="shared" si="129"/>
        <v>1377826.1763984044</v>
      </c>
      <c r="AUO12" s="125">
        <f t="shared" si="129"/>
        <v>1377826.1763984044</v>
      </c>
      <c r="AUP12" s="125">
        <f t="shared" si="129"/>
        <v>1377826.1763984044</v>
      </c>
      <c r="AUQ12" s="125">
        <f t="shared" si="129"/>
        <v>1377826.1763984044</v>
      </c>
      <c r="AUR12" s="125">
        <f t="shared" si="129"/>
        <v>1377826.1763984044</v>
      </c>
      <c r="AUS12" s="125">
        <f t="shared" si="129"/>
        <v>1377826.1763984044</v>
      </c>
      <c r="AUT12" s="125">
        <f t="shared" si="129"/>
        <v>1377826.1763984044</v>
      </c>
      <c r="AUU12" s="125">
        <f t="shared" si="129"/>
        <v>1377826.1763984044</v>
      </c>
      <c r="AUV12" s="125">
        <f t="shared" si="129"/>
        <v>1377826.1763984044</v>
      </c>
      <c r="AUW12" s="125">
        <f t="shared" si="129"/>
        <v>1377826.1763984044</v>
      </c>
      <c r="AUX12" s="125">
        <f t="shared" si="129"/>
        <v>1377826.1763984044</v>
      </c>
      <c r="AUY12" s="125">
        <f t="shared" si="129"/>
        <v>1377826.1763984044</v>
      </c>
      <c r="AUZ12" s="125">
        <f t="shared" si="129"/>
        <v>1377826.1763984044</v>
      </c>
      <c r="AVA12" s="125">
        <f t="shared" si="129"/>
        <v>1377826.1763984044</v>
      </c>
      <c r="AVB12" s="125">
        <f t="shared" si="129"/>
        <v>1377826.1763984044</v>
      </c>
      <c r="AVC12" s="125">
        <f t="shared" si="129"/>
        <v>1377826.1763984044</v>
      </c>
      <c r="AVD12" s="125">
        <f t="shared" si="129"/>
        <v>1377826.1763984044</v>
      </c>
      <c r="AVE12" s="125">
        <f t="shared" si="129"/>
        <v>1377826.1763984044</v>
      </c>
      <c r="AVF12" s="125">
        <f t="shared" si="129"/>
        <v>1377826.1763984044</v>
      </c>
      <c r="AVG12" s="125">
        <f t="shared" si="129"/>
        <v>1377826.1763984044</v>
      </c>
      <c r="AVH12" s="125">
        <f t="shared" si="129"/>
        <v>1377826.1763984044</v>
      </c>
      <c r="AVI12" s="125">
        <f t="shared" si="129"/>
        <v>1377826.1763984044</v>
      </c>
      <c r="AVJ12" s="125">
        <f t="shared" si="129"/>
        <v>1377826.1763984044</v>
      </c>
      <c r="AVK12" s="125">
        <f t="shared" si="129"/>
        <v>1377826.1763984044</v>
      </c>
      <c r="AVL12" s="125">
        <f t="shared" si="129"/>
        <v>1377826.1763984044</v>
      </c>
      <c r="AVM12" s="125">
        <f t="shared" si="129"/>
        <v>1377826.1763984044</v>
      </c>
      <c r="AVN12" s="125">
        <f t="shared" si="129"/>
        <v>1377826.1763984044</v>
      </c>
      <c r="AVO12" s="125">
        <f t="shared" si="129"/>
        <v>1377826.1763984044</v>
      </c>
      <c r="AVP12" s="125">
        <f t="shared" si="129"/>
        <v>1377826.1763984044</v>
      </c>
      <c r="AVQ12" s="125">
        <f t="shared" si="129"/>
        <v>1377826.1763984044</v>
      </c>
      <c r="AVR12" s="125">
        <f t="shared" si="129"/>
        <v>1377826.1763984044</v>
      </c>
      <c r="AVS12" s="125">
        <f t="shared" si="129"/>
        <v>1377826.1763984044</v>
      </c>
      <c r="AVT12" s="125">
        <f t="shared" si="129"/>
        <v>1377826.1763984044</v>
      </c>
      <c r="AVU12" s="125">
        <f t="shared" si="129"/>
        <v>1377826.1763984044</v>
      </c>
      <c r="AVV12" s="125">
        <f t="shared" si="129"/>
        <v>1377826.1763984044</v>
      </c>
      <c r="AVW12" s="125">
        <f t="shared" si="129"/>
        <v>1377826.1763984044</v>
      </c>
      <c r="AVX12" s="125">
        <f t="shared" si="129"/>
        <v>1377826.1763984044</v>
      </c>
      <c r="AVY12" s="125">
        <f t="shared" si="129"/>
        <v>1377826.1763984044</v>
      </c>
      <c r="AVZ12" s="125">
        <f t="shared" si="129"/>
        <v>1377826.1763984044</v>
      </c>
      <c r="AWA12" s="125">
        <f t="shared" si="129"/>
        <v>1377826.1763984044</v>
      </c>
      <c r="AWB12" s="125">
        <f t="shared" si="129"/>
        <v>1377826.1763984044</v>
      </c>
      <c r="AWC12" s="125">
        <f t="shared" si="129"/>
        <v>1377826.1763984044</v>
      </c>
      <c r="AWD12" s="125">
        <f t="shared" si="129"/>
        <v>1377826.1763984044</v>
      </c>
      <c r="AWE12" s="125">
        <f t="shared" si="129"/>
        <v>1377826.1763984044</v>
      </c>
      <c r="AWF12" s="125">
        <f t="shared" si="129"/>
        <v>1377826.1763984044</v>
      </c>
      <c r="AWG12" s="125">
        <f t="shared" si="129"/>
        <v>1377826.1763984044</v>
      </c>
      <c r="AWH12" s="125">
        <f t="shared" si="129"/>
        <v>1377826.1763984044</v>
      </c>
      <c r="AWI12" s="125">
        <f t="shared" si="129"/>
        <v>1377826.1763984044</v>
      </c>
      <c r="AWJ12" s="125">
        <f t="shared" si="129"/>
        <v>1377826.1763984044</v>
      </c>
      <c r="AWK12" s="125">
        <f t="shared" si="129"/>
        <v>1377826.1763984044</v>
      </c>
      <c r="AWL12" s="125">
        <f t="shared" si="129"/>
        <v>1377826.1763984044</v>
      </c>
      <c r="AWM12" s="125">
        <f t="shared" si="129"/>
        <v>1377826.1763984044</v>
      </c>
      <c r="AWN12" s="125">
        <f t="shared" si="129"/>
        <v>1377826.1763984044</v>
      </c>
      <c r="AWO12" s="125">
        <f t="shared" ref="AWO12:AYZ12" si="130">AWN12+AWO11</f>
        <v>1377826.1763984044</v>
      </c>
      <c r="AWP12" s="125">
        <f t="shared" si="130"/>
        <v>1377826.1763984044</v>
      </c>
      <c r="AWQ12" s="125">
        <f t="shared" si="130"/>
        <v>1377826.1763984044</v>
      </c>
      <c r="AWR12" s="125">
        <f t="shared" si="130"/>
        <v>1377826.1763984044</v>
      </c>
      <c r="AWS12" s="125">
        <f t="shared" si="130"/>
        <v>1377826.1763984044</v>
      </c>
      <c r="AWT12" s="125">
        <f t="shared" si="130"/>
        <v>1377826.1763984044</v>
      </c>
      <c r="AWU12" s="125">
        <f t="shared" si="130"/>
        <v>1377826.1763984044</v>
      </c>
      <c r="AWV12" s="125">
        <f t="shared" si="130"/>
        <v>1377826.1763984044</v>
      </c>
      <c r="AWW12" s="125">
        <f t="shared" si="130"/>
        <v>1377826.1763984044</v>
      </c>
      <c r="AWX12" s="125">
        <f t="shared" si="130"/>
        <v>1377826.1763984044</v>
      </c>
      <c r="AWY12" s="125">
        <f t="shared" si="130"/>
        <v>1377826.1763984044</v>
      </c>
      <c r="AWZ12" s="125">
        <f t="shared" si="130"/>
        <v>1377826.1763984044</v>
      </c>
      <c r="AXA12" s="125">
        <f t="shared" si="130"/>
        <v>1377826.1763984044</v>
      </c>
      <c r="AXB12" s="125">
        <f t="shared" si="130"/>
        <v>1377826.1763984044</v>
      </c>
      <c r="AXC12" s="125">
        <f t="shared" si="130"/>
        <v>1377826.1763984044</v>
      </c>
      <c r="AXD12" s="125">
        <f t="shared" si="130"/>
        <v>1377826.1763984044</v>
      </c>
      <c r="AXE12" s="125">
        <f t="shared" si="130"/>
        <v>1377826.1763984044</v>
      </c>
      <c r="AXF12" s="125">
        <f t="shared" si="130"/>
        <v>1377826.1763984044</v>
      </c>
      <c r="AXG12" s="125">
        <f t="shared" si="130"/>
        <v>1377826.1763984044</v>
      </c>
      <c r="AXH12" s="125">
        <f t="shared" si="130"/>
        <v>1377826.1763984044</v>
      </c>
      <c r="AXI12" s="125">
        <f t="shared" si="130"/>
        <v>1377826.1763984044</v>
      </c>
      <c r="AXJ12" s="125">
        <f t="shared" si="130"/>
        <v>1377826.1763984044</v>
      </c>
      <c r="AXK12" s="125">
        <f t="shared" si="130"/>
        <v>1377826.1763984044</v>
      </c>
      <c r="AXL12" s="125">
        <f t="shared" si="130"/>
        <v>1377826.1763984044</v>
      </c>
      <c r="AXM12" s="125">
        <f t="shared" si="130"/>
        <v>1377826.1763984044</v>
      </c>
      <c r="AXN12" s="125">
        <f t="shared" si="130"/>
        <v>1377826.1763984044</v>
      </c>
      <c r="AXO12" s="125">
        <f t="shared" si="130"/>
        <v>1377826.1763984044</v>
      </c>
      <c r="AXP12" s="125">
        <f t="shared" si="130"/>
        <v>1377826.1763984044</v>
      </c>
      <c r="AXQ12" s="125">
        <f t="shared" si="130"/>
        <v>1377826.1763984044</v>
      </c>
      <c r="AXR12" s="125">
        <f t="shared" si="130"/>
        <v>1377826.1763984044</v>
      </c>
      <c r="AXS12" s="125">
        <f t="shared" si="130"/>
        <v>1377826.1763984044</v>
      </c>
      <c r="AXT12" s="125">
        <f t="shared" si="130"/>
        <v>1377826.1763984044</v>
      </c>
      <c r="AXU12" s="125">
        <f t="shared" si="130"/>
        <v>1377826.1763984044</v>
      </c>
      <c r="AXV12" s="125">
        <f t="shared" si="130"/>
        <v>1377826.1763984044</v>
      </c>
      <c r="AXW12" s="125">
        <f t="shared" si="130"/>
        <v>1377826.1763984044</v>
      </c>
      <c r="AXX12" s="125">
        <f t="shared" si="130"/>
        <v>1377826.1763984044</v>
      </c>
      <c r="AXY12" s="125">
        <f t="shared" si="130"/>
        <v>1377826.1763984044</v>
      </c>
      <c r="AXZ12" s="125">
        <f t="shared" si="130"/>
        <v>1377826.1763984044</v>
      </c>
      <c r="AYA12" s="125">
        <f t="shared" si="130"/>
        <v>1377826.1763984044</v>
      </c>
      <c r="AYB12" s="125">
        <f t="shared" si="130"/>
        <v>1377826.1763984044</v>
      </c>
      <c r="AYC12" s="125">
        <f t="shared" si="130"/>
        <v>1377826.1763984044</v>
      </c>
      <c r="AYD12" s="125">
        <f t="shared" si="130"/>
        <v>1377826.1763984044</v>
      </c>
      <c r="AYE12" s="125">
        <f t="shared" si="130"/>
        <v>1377826.1763984044</v>
      </c>
      <c r="AYF12" s="125">
        <f t="shared" si="130"/>
        <v>1377826.1763984044</v>
      </c>
      <c r="AYG12" s="125">
        <f t="shared" si="130"/>
        <v>1377826.1763984044</v>
      </c>
      <c r="AYH12" s="125">
        <f t="shared" si="130"/>
        <v>1377826.1763984044</v>
      </c>
      <c r="AYI12" s="125">
        <f t="shared" si="130"/>
        <v>1377826.1763984044</v>
      </c>
      <c r="AYJ12" s="125">
        <f t="shared" si="130"/>
        <v>1377826.1763984044</v>
      </c>
      <c r="AYK12" s="125">
        <f t="shared" si="130"/>
        <v>1377826.1763984044</v>
      </c>
      <c r="AYL12" s="125">
        <f t="shared" si="130"/>
        <v>1377826.1763984044</v>
      </c>
      <c r="AYM12" s="125">
        <f t="shared" si="130"/>
        <v>1377826.1763984044</v>
      </c>
      <c r="AYN12" s="125">
        <f t="shared" si="130"/>
        <v>1377826.1763984044</v>
      </c>
      <c r="AYO12" s="125">
        <f t="shared" si="130"/>
        <v>1377826.1763984044</v>
      </c>
      <c r="AYP12" s="125">
        <f t="shared" si="130"/>
        <v>1377826.1763984044</v>
      </c>
      <c r="AYQ12" s="125">
        <f t="shared" si="130"/>
        <v>1377826.1763984044</v>
      </c>
      <c r="AYR12" s="125">
        <f t="shared" si="130"/>
        <v>1377826.1763984044</v>
      </c>
      <c r="AYS12" s="125">
        <f t="shared" si="130"/>
        <v>1377826.1763984044</v>
      </c>
      <c r="AYT12" s="125">
        <f t="shared" si="130"/>
        <v>1377826.1763984044</v>
      </c>
      <c r="AYU12" s="125">
        <f t="shared" si="130"/>
        <v>1377826.1763984044</v>
      </c>
      <c r="AYV12" s="125">
        <f t="shared" si="130"/>
        <v>1377826.1763984044</v>
      </c>
      <c r="AYW12" s="125">
        <f t="shared" si="130"/>
        <v>1377826.1763984044</v>
      </c>
      <c r="AYX12" s="125">
        <f t="shared" si="130"/>
        <v>1377826.1763984044</v>
      </c>
      <c r="AYY12" s="125">
        <f t="shared" si="130"/>
        <v>1377826.1763984044</v>
      </c>
      <c r="AYZ12" s="125">
        <f t="shared" si="130"/>
        <v>1377826.1763984044</v>
      </c>
      <c r="AZA12" s="125">
        <f t="shared" ref="AZA12:AZG12" si="131">AYZ12+AZA11</f>
        <v>1377826.1763984044</v>
      </c>
      <c r="AZB12" s="125">
        <f t="shared" si="131"/>
        <v>1377826.1763984044</v>
      </c>
      <c r="AZC12" s="125">
        <f t="shared" si="131"/>
        <v>1377826.1763984044</v>
      </c>
      <c r="AZD12" s="125">
        <f t="shared" si="131"/>
        <v>1377826.1763984044</v>
      </c>
      <c r="AZE12" s="125">
        <f t="shared" si="131"/>
        <v>1377826.1763984044</v>
      </c>
      <c r="AZF12" s="125">
        <f t="shared" si="131"/>
        <v>1377826.1763984044</v>
      </c>
      <c r="AZG12" s="125">
        <f t="shared" si="131"/>
        <v>1377826.1763984044</v>
      </c>
      <c r="AZH12" s="102"/>
      <c r="AZI12" s="113"/>
    </row>
    <row r="13" spans="1:1837" s="102" customFormat="1">
      <c r="A13" s="77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19"/>
      <c r="KN13" s="119"/>
      <c r="KO13" s="119"/>
      <c r="KP13" s="11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19"/>
      <c r="LD13" s="119"/>
      <c r="LE13" s="119"/>
      <c r="LF13" s="11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19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19"/>
      <c r="MJ13" s="119"/>
      <c r="MK13" s="119"/>
      <c r="ML13" s="11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19"/>
      <c r="MZ13" s="119"/>
      <c r="NA13" s="119"/>
      <c r="NB13" s="11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19"/>
      <c r="NP13" s="119"/>
      <c r="NQ13" s="119"/>
      <c r="NR13" s="11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19"/>
      <c r="OF13" s="119"/>
      <c r="OG13" s="119"/>
      <c r="OH13" s="11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19"/>
      <c r="OV13" s="119"/>
      <c r="OW13" s="119"/>
      <c r="OX13" s="11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19"/>
      <c r="PL13" s="119"/>
      <c r="PM13" s="119"/>
      <c r="PN13" s="11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19"/>
      <c r="QB13" s="119"/>
      <c r="QC13" s="119"/>
      <c r="QD13" s="11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19"/>
      <c r="QR13" s="119"/>
      <c r="QS13" s="119"/>
      <c r="QT13" s="11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19"/>
      <c r="RH13" s="119"/>
      <c r="RI13" s="119"/>
      <c r="RJ13" s="11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19"/>
      <c r="RX13" s="119"/>
      <c r="RY13" s="119"/>
      <c r="RZ13" s="11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19"/>
      <c r="SN13" s="119"/>
      <c r="SO13" s="119"/>
      <c r="SP13" s="11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19"/>
      <c r="TD13" s="119"/>
      <c r="TE13" s="119"/>
      <c r="TF13" s="11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19"/>
      <c r="TT13" s="119"/>
      <c r="TU13" s="119"/>
      <c r="TV13" s="11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19"/>
      <c r="UJ13" s="119"/>
      <c r="UK13" s="119"/>
      <c r="UL13" s="11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19"/>
      <c r="UZ13" s="119"/>
      <c r="VA13" s="119"/>
      <c r="VB13" s="11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19"/>
      <c r="VP13" s="119"/>
      <c r="VQ13" s="119"/>
      <c r="VR13" s="11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19"/>
      <c r="WF13" s="119"/>
      <c r="WG13" s="119"/>
      <c r="WH13" s="11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19"/>
      <c r="WV13" s="119"/>
      <c r="WW13" s="119"/>
      <c r="WX13" s="11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19"/>
      <c r="XL13" s="119"/>
      <c r="XM13" s="119"/>
      <c r="XN13" s="11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19"/>
      <c r="YB13" s="119"/>
      <c r="YC13" s="119"/>
      <c r="YD13" s="11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19"/>
      <c r="YR13" s="119"/>
      <c r="YS13" s="119"/>
      <c r="YT13" s="11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19"/>
      <c r="ZH13" s="119"/>
      <c r="ZI13" s="119"/>
      <c r="ZJ13" s="11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19"/>
      <c r="ZX13" s="119"/>
      <c r="ZY13" s="119"/>
      <c r="ZZ13" s="11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19"/>
      <c r="AAN13" s="119"/>
      <c r="AAO13" s="119"/>
      <c r="AAP13" s="11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19"/>
      <c r="ABD13" s="119"/>
      <c r="ABE13" s="119"/>
      <c r="ABF13" s="11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19"/>
      <c r="ABT13" s="119"/>
      <c r="ABU13" s="119"/>
      <c r="ABV13" s="11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19"/>
      <c r="ACJ13" s="119"/>
      <c r="ACK13" s="119"/>
      <c r="ACL13" s="11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19"/>
      <c r="ACZ13" s="119"/>
      <c r="ADA13" s="119"/>
      <c r="ADB13" s="11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19"/>
      <c r="ADP13" s="119"/>
      <c r="ADQ13" s="119"/>
      <c r="ADR13" s="11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19"/>
      <c r="AEF13" s="119"/>
      <c r="AEG13" s="119"/>
      <c r="AEH13" s="11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19"/>
      <c r="AEV13" s="119"/>
      <c r="AEW13" s="119"/>
      <c r="AEX13" s="11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19"/>
      <c r="AFL13" s="119"/>
      <c r="AFM13" s="119"/>
      <c r="AFN13" s="11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19"/>
      <c r="AGB13" s="119"/>
      <c r="AGC13" s="119"/>
      <c r="AGD13" s="11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19"/>
      <c r="AGR13" s="119"/>
      <c r="AGS13" s="119"/>
      <c r="AGT13" s="11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19"/>
      <c r="AHH13" s="119"/>
      <c r="AHI13" s="119"/>
      <c r="AHJ13" s="11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19"/>
      <c r="AHX13" s="119"/>
      <c r="AHY13" s="119"/>
      <c r="AHZ13" s="11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19"/>
      <c r="AIN13" s="119"/>
      <c r="AIO13" s="119"/>
      <c r="AIP13" s="11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19"/>
      <c r="AJD13" s="119"/>
      <c r="AJE13" s="119"/>
      <c r="AJF13" s="11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19"/>
      <c r="AJT13" s="119"/>
      <c r="AJU13" s="119"/>
      <c r="AJV13" s="11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19"/>
      <c r="AKJ13" s="119"/>
      <c r="AKK13" s="119"/>
      <c r="AKL13" s="11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19"/>
      <c r="AKZ13" s="119"/>
      <c r="ALA13" s="119"/>
      <c r="ALB13" s="11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19"/>
      <c r="ALP13" s="119"/>
      <c r="ALQ13" s="119"/>
      <c r="ALR13" s="11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19"/>
      <c r="AMF13" s="119"/>
      <c r="AMG13" s="119"/>
      <c r="AMH13" s="11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19"/>
      <c r="AMV13" s="119"/>
      <c r="AMW13" s="119"/>
      <c r="AMX13" s="11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19"/>
      <c r="ANL13" s="119"/>
      <c r="ANM13" s="119"/>
      <c r="ANN13" s="11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19"/>
      <c r="AOB13" s="119"/>
      <c r="AOC13" s="119"/>
      <c r="AOD13" s="11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19"/>
      <c r="AOR13" s="119"/>
      <c r="AOS13" s="119"/>
      <c r="AOT13" s="11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19"/>
      <c r="APH13" s="119"/>
      <c r="API13" s="119"/>
      <c r="APJ13" s="11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19"/>
      <c r="APX13" s="119"/>
      <c r="APY13" s="119"/>
      <c r="APZ13" s="11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19"/>
      <c r="AQN13" s="119"/>
      <c r="AQO13" s="119"/>
      <c r="AQP13" s="11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19"/>
      <c r="ARD13" s="119"/>
      <c r="ARE13" s="119"/>
      <c r="ARF13" s="11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19"/>
      <c r="ART13" s="119"/>
      <c r="ARU13" s="119"/>
      <c r="ARV13" s="11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19"/>
      <c r="ASJ13" s="119"/>
      <c r="ASK13" s="119"/>
      <c r="ASL13" s="11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19"/>
      <c r="ASZ13" s="119"/>
      <c r="ATA13" s="119"/>
      <c r="ATB13" s="11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19"/>
      <c r="ATP13" s="119"/>
      <c r="ATQ13" s="119"/>
      <c r="ATR13" s="11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19"/>
      <c r="AUF13" s="119"/>
      <c r="AUG13" s="119"/>
      <c r="AUH13" s="11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19"/>
      <c r="AUV13" s="119"/>
      <c r="AUW13" s="119"/>
      <c r="AUX13" s="11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19"/>
      <c r="AVL13" s="119"/>
      <c r="AVM13" s="119"/>
      <c r="AVN13" s="11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19"/>
      <c r="AWB13" s="119"/>
      <c r="AWC13" s="119"/>
      <c r="AWD13" s="11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19"/>
      <c r="AWR13" s="119"/>
      <c r="AWS13" s="119"/>
      <c r="AWT13" s="11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19"/>
      <c r="AXH13" s="119"/>
      <c r="AXI13" s="119"/>
      <c r="AXJ13" s="11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19"/>
      <c r="AXX13" s="119"/>
      <c r="AXY13" s="119"/>
      <c r="AXZ13" s="11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19"/>
      <c r="AYN13" s="119"/>
      <c r="AYO13" s="119"/>
      <c r="AYP13" s="11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19"/>
      <c r="AZD13" s="119"/>
      <c r="AZE13" s="119"/>
      <c r="AZF13" s="119"/>
      <c r="AZG13" s="119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777"/>
      <c r="B14" s="115" t="s">
        <v>505</v>
      </c>
      <c r="C14" s="116"/>
      <c r="D14" s="116"/>
      <c r="E14" s="117"/>
      <c r="F14" s="118">
        <f>F10-F12</f>
        <v>0</v>
      </c>
      <c r="G14" s="118">
        <f>G10-G12</f>
        <v>0</v>
      </c>
      <c r="H14" s="118">
        <f>H10-H12</f>
        <v>0</v>
      </c>
      <c r="I14" s="118">
        <f t="shared" ref="I14:BT14" si="132">I10-I12</f>
        <v>0</v>
      </c>
      <c r="J14" s="118">
        <f t="shared" si="132"/>
        <v>0</v>
      </c>
      <c r="K14" s="118">
        <f t="shared" si="132"/>
        <v>0</v>
      </c>
      <c r="L14" s="118">
        <f t="shared" si="132"/>
        <v>0</v>
      </c>
      <c r="M14" s="118">
        <f t="shared" si="132"/>
        <v>0</v>
      </c>
      <c r="N14" s="118">
        <f t="shared" si="132"/>
        <v>0</v>
      </c>
      <c r="O14" s="118">
        <f t="shared" si="132"/>
        <v>0</v>
      </c>
      <c r="P14" s="118">
        <f t="shared" si="132"/>
        <v>0</v>
      </c>
      <c r="Q14" s="118">
        <f t="shared" si="132"/>
        <v>0</v>
      </c>
      <c r="R14" s="118">
        <f t="shared" si="132"/>
        <v>0</v>
      </c>
      <c r="S14" s="118">
        <f t="shared" si="132"/>
        <v>0</v>
      </c>
      <c r="T14" s="118">
        <f t="shared" si="132"/>
        <v>0</v>
      </c>
      <c r="U14" s="118">
        <f t="shared" si="132"/>
        <v>-138000</v>
      </c>
      <c r="V14" s="118">
        <f t="shared" si="132"/>
        <v>-138000</v>
      </c>
      <c r="W14" s="118">
        <f t="shared" si="132"/>
        <v>-138023.79999999999</v>
      </c>
      <c r="X14" s="118">
        <f t="shared" si="132"/>
        <v>-139687.9</v>
      </c>
      <c r="Y14" s="118">
        <f t="shared" si="132"/>
        <v>-139687.9</v>
      </c>
      <c r="Z14" s="118">
        <f t="shared" si="132"/>
        <v>42844.099999999977</v>
      </c>
      <c r="AA14" s="118">
        <f t="shared" si="132"/>
        <v>41483.899999999965</v>
      </c>
      <c r="AB14" s="118">
        <f t="shared" si="132"/>
        <v>-118147.87042606797</v>
      </c>
      <c r="AC14" s="118">
        <f t="shared" si="132"/>
        <v>-206916.10000000009</v>
      </c>
      <c r="AD14" s="118">
        <f t="shared" si="132"/>
        <v>-206916.10000000009</v>
      </c>
      <c r="AE14" s="118">
        <f t="shared" si="132"/>
        <v>-250396.8600000001</v>
      </c>
      <c r="AF14" s="118">
        <f t="shared" si="132"/>
        <v>-303181.44000000006</v>
      </c>
      <c r="AG14" s="118">
        <f t="shared" si="132"/>
        <v>-303181.44000000006</v>
      </c>
      <c r="AH14" s="118">
        <f t="shared" si="132"/>
        <v>-303181.44000000006</v>
      </c>
      <c r="AI14" s="118">
        <f t="shared" si="132"/>
        <v>-513850.43319920229</v>
      </c>
      <c r="AJ14" s="118">
        <f t="shared" si="132"/>
        <v>-514050.35319920222</v>
      </c>
      <c r="AK14" s="118">
        <f t="shared" si="132"/>
        <v>-514050.35319920222</v>
      </c>
      <c r="AL14" s="118">
        <f t="shared" si="132"/>
        <v>-534775.35319920222</v>
      </c>
      <c r="AM14" s="118">
        <f t="shared" si="132"/>
        <v>629010.61360159563</v>
      </c>
      <c r="AN14" s="118">
        <f t="shared" si="132"/>
        <v>622760.61360159563</v>
      </c>
      <c r="AO14" s="118">
        <f t="shared" si="132"/>
        <v>622760.61360159563</v>
      </c>
      <c r="AP14" s="118">
        <f t="shared" si="132"/>
        <v>622760.61360159563</v>
      </c>
      <c r="AQ14" s="118">
        <f t="shared" si="132"/>
        <v>622760.61360159563</v>
      </c>
      <c r="AR14" s="118">
        <f t="shared" si="132"/>
        <v>663588.9436015957</v>
      </c>
      <c r="AS14" s="118">
        <f t="shared" si="132"/>
        <v>663588.9436015957</v>
      </c>
      <c r="AT14" s="118">
        <f t="shared" si="132"/>
        <v>663588.9436015957</v>
      </c>
      <c r="AU14" s="118">
        <f t="shared" si="132"/>
        <v>663588.9436015957</v>
      </c>
      <c r="AV14" s="118">
        <f t="shared" si="132"/>
        <v>663588.9436015957</v>
      </c>
      <c r="AW14" s="118">
        <f t="shared" si="132"/>
        <v>663588.9436015957</v>
      </c>
      <c r="AX14" s="118">
        <f t="shared" si="132"/>
        <v>663588.9436015957</v>
      </c>
      <c r="AY14" s="118">
        <f t="shared" si="132"/>
        <v>663588.9436015957</v>
      </c>
      <c r="AZ14" s="118">
        <f t="shared" si="132"/>
        <v>663588.9436015957</v>
      </c>
      <c r="BA14" s="118">
        <f t="shared" si="132"/>
        <v>663588.9436015957</v>
      </c>
      <c r="BB14" s="118">
        <f t="shared" si="132"/>
        <v>663588.9436015957</v>
      </c>
      <c r="BC14" s="118">
        <f t="shared" si="132"/>
        <v>663588.9436015957</v>
      </c>
      <c r="BD14" s="118">
        <f t="shared" si="132"/>
        <v>663588.9436015957</v>
      </c>
      <c r="BE14" s="118">
        <f t="shared" si="132"/>
        <v>663588.9436015957</v>
      </c>
      <c r="BF14" s="118">
        <f t="shared" si="132"/>
        <v>663588.9436015957</v>
      </c>
      <c r="BG14" s="118">
        <f t="shared" si="132"/>
        <v>663588.9436015957</v>
      </c>
      <c r="BH14" s="118">
        <f t="shared" si="132"/>
        <v>663588.9436015957</v>
      </c>
      <c r="BI14" s="118">
        <f t="shared" si="132"/>
        <v>663588.9436015957</v>
      </c>
      <c r="BJ14" s="118">
        <f t="shared" si="132"/>
        <v>663588.9436015957</v>
      </c>
      <c r="BK14" s="118">
        <f t="shared" si="132"/>
        <v>663588.9436015957</v>
      </c>
      <c r="BL14" s="118">
        <f t="shared" si="132"/>
        <v>663588.9436015957</v>
      </c>
      <c r="BM14" s="118">
        <f t="shared" si="132"/>
        <v>663588.9436015957</v>
      </c>
      <c r="BN14" s="118">
        <f t="shared" si="132"/>
        <v>663588.9436015957</v>
      </c>
      <c r="BO14" s="118">
        <f t="shared" si="132"/>
        <v>663588.9436015957</v>
      </c>
      <c r="BP14" s="118">
        <f t="shared" si="132"/>
        <v>663588.9436015957</v>
      </c>
      <c r="BQ14" s="118">
        <f t="shared" si="132"/>
        <v>663588.9436015957</v>
      </c>
      <c r="BR14" s="118">
        <f t="shared" si="132"/>
        <v>663588.9436015957</v>
      </c>
      <c r="BS14" s="118">
        <f t="shared" si="132"/>
        <v>663588.9436015957</v>
      </c>
      <c r="BT14" s="118">
        <f t="shared" si="132"/>
        <v>663588.9436015957</v>
      </c>
      <c r="BU14" s="118">
        <f t="shared" ref="BU14:EF14" si="133">BU10-BU12</f>
        <v>663588.9436015957</v>
      </c>
      <c r="BV14" s="118">
        <f t="shared" si="133"/>
        <v>663588.9436015957</v>
      </c>
      <c r="BW14" s="118">
        <f t="shared" si="133"/>
        <v>663588.9436015957</v>
      </c>
      <c r="BX14" s="118">
        <f t="shared" si="133"/>
        <v>663588.9436015957</v>
      </c>
      <c r="BY14" s="118">
        <f t="shared" si="133"/>
        <v>663588.9436015957</v>
      </c>
      <c r="BZ14" s="118">
        <f t="shared" si="133"/>
        <v>663588.9436015957</v>
      </c>
      <c r="CA14" s="118">
        <f t="shared" si="133"/>
        <v>663588.9436015957</v>
      </c>
      <c r="CB14" s="118">
        <f t="shared" si="133"/>
        <v>663588.9436015957</v>
      </c>
      <c r="CC14" s="118">
        <f t="shared" si="133"/>
        <v>663588.9436015957</v>
      </c>
      <c r="CD14" s="118">
        <f t="shared" si="133"/>
        <v>663588.9436015957</v>
      </c>
      <c r="CE14" s="118">
        <f t="shared" si="133"/>
        <v>663588.9436015957</v>
      </c>
      <c r="CF14" s="118">
        <f t="shared" si="133"/>
        <v>663588.9436015957</v>
      </c>
      <c r="CG14" s="118">
        <f t="shared" si="133"/>
        <v>663588.9436015957</v>
      </c>
      <c r="CH14" s="118">
        <f t="shared" si="133"/>
        <v>663588.9436015957</v>
      </c>
      <c r="CI14" s="118">
        <f t="shared" si="133"/>
        <v>663588.9436015957</v>
      </c>
      <c r="CJ14" s="118">
        <f t="shared" si="133"/>
        <v>663588.9436015957</v>
      </c>
      <c r="CK14" s="118">
        <f t="shared" si="133"/>
        <v>663588.9436015957</v>
      </c>
      <c r="CL14" s="118">
        <f t="shared" si="133"/>
        <v>663588.9436015957</v>
      </c>
      <c r="CM14" s="118">
        <f t="shared" si="133"/>
        <v>663588.9436015957</v>
      </c>
      <c r="CN14" s="118">
        <f t="shared" si="133"/>
        <v>663588.9436015957</v>
      </c>
      <c r="CO14" s="118">
        <f t="shared" si="133"/>
        <v>663588.9436015957</v>
      </c>
      <c r="CP14" s="118">
        <f t="shared" si="133"/>
        <v>663588.9436015957</v>
      </c>
      <c r="CQ14" s="118">
        <f t="shared" si="133"/>
        <v>663588.9436015957</v>
      </c>
      <c r="CR14" s="118">
        <f t="shared" si="133"/>
        <v>663588.9436015957</v>
      </c>
      <c r="CS14" s="118">
        <f t="shared" si="133"/>
        <v>663588.9436015957</v>
      </c>
      <c r="CT14" s="118">
        <f t="shared" si="133"/>
        <v>663588.9436015957</v>
      </c>
      <c r="CU14" s="118">
        <f t="shared" si="133"/>
        <v>663588.9436015957</v>
      </c>
      <c r="CV14" s="118">
        <f t="shared" si="133"/>
        <v>663588.9436015957</v>
      </c>
      <c r="CW14" s="118">
        <f t="shared" si="133"/>
        <v>663588.9436015957</v>
      </c>
      <c r="CX14" s="118">
        <f t="shared" si="133"/>
        <v>663588.9436015957</v>
      </c>
      <c r="CY14" s="118">
        <f t="shared" si="133"/>
        <v>663588.9436015957</v>
      </c>
      <c r="CZ14" s="118">
        <f t="shared" si="133"/>
        <v>663588.9436015957</v>
      </c>
      <c r="DA14" s="118">
        <f t="shared" si="133"/>
        <v>663588.9436015957</v>
      </c>
      <c r="DB14" s="118">
        <f t="shared" si="133"/>
        <v>663588.9436015957</v>
      </c>
      <c r="DC14" s="118">
        <f t="shared" si="133"/>
        <v>663588.9436015957</v>
      </c>
      <c r="DD14" s="118">
        <f t="shared" si="133"/>
        <v>663588.9436015957</v>
      </c>
      <c r="DE14" s="118">
        <f t="shared" si="133"/>
        <v>663588.9436015957</v>
      </c>
      <c r="DF14" s="118">
        <f t="shared" si="133"/>
        <v>663588.9436015957</v>
      </c>
      <c r="DG14" s="118">
        <f t="shared" si="133"/>
        <v>663588.9436015957</v>
      </c>
      <c r="DH14" s="118">
        <f t="shared" si="133"/>
        <v>663588.9436015957</v>
      </c>
      <c r="DI14" s="118">
        <f t="shared" si="133"/>
        <v>663588.9436015957</v>
      </c>
      <c r="DJ14" s="118">
        <f t="shared" si="133"/>
        <v>663588.9436015957</v>
      </c>
      <c r="DK14" s="118">
        <f t="shared" si="133"/>
        <v>663588.9436015957</v>
      </c>
      <c r="DL14" s="118">
        <f t="shared" si="133"/>
        <v>663588.9436015957</v>
      </c>
      <c r="DM14" s="118">
        <f t="shared" si="133"/>
        <v>663588.9436015957</v>
      </c>
      <c r="DN14" s="118">
        <f t="shared" si="133"/>
        <v>663588.9436015957</v>
      </c>
      <c r="DO14" s="118">
        <f t="shared" si="133"/>
        <v>663588.9436015957</v>
      </c>
      <c r="DP14" s="118">
        <f t="shared" si="133"/>
        <v>663588.9436015957</v>
      </c>
      <c r="DQ14" s="118">
        <f t="shared" si="133"/>
        <v>663588.9436015957</v>
      </c>
      <c r="DR14" s="118">
        <f t="shared" si="133"/>
        <v>663588.9436015957</v>
      </c>
      <c r="DS14" s="118">
        <f t="shared" si="133"/>
        <v>663588.9436015957</v>
      </c>
      <c r="DT14" s="118">
        <f t="shared" si="133"/>
        <v>663588.9436015957</v>
      </c>
      <c r="DU14" s="118">
        <f t="shared" si="133"/>
        <v>663588.9436015957</v>
      </c>
      <c r="DV14" s="118">
        <f t="shared" si="133"/>
        <v>663588.9436015957</v>
      </c>
      <c r="DW14" s="118">
        <f t="shared" si="133"/>
        <v>663588.9436015957</v>
      </c>
      <c r="DX14" s="118">
        <f t="shared" si="133"/>
        <v>663588.9436015957</v>
      </c>
      <c r="DY14" s="118">
        <f t="shared" si="133"/>
        <v>663588.9436015957</v>
      </c>
      <c r="DZ14" s="118">
        <f t="shared" si="133"/>
        <v>663588.9436015957</v>
      </c>
      <c r="EA14" s="118">
        <f t="shared" si="133"/>
        <v>663588.9436015957</v>
      </c>
      <c r="EB14" s="118">
        <f t="shared" si="133"/>
        <v>663588.9436015957</v>
      </c>
      <c r="EC14" s="118">
        <f t="shared" si="133"/>
        <v>663588.9436015957</v>
      </c>
      <c r="ED14" s="118">
        <f t="shared" si="133"/>
        <v>663588.9436015957</v>
      </c>
      <c r="EE14" s="118">
        <f t="shared" si="133"/>
        <v>663588.9436015957</v>
      </c>
      <c r="EF14" s="118">
        <f t="shared" si="133"/>
        <v>663588.9436015957</v>
      </c>
      <c r="EG14" s="118">
        <f t="shared" ref="EG14:GR14" si="134">EG10-EG12</f>
        <v>663588.9436015957</v>
      </c>
      <c r="EH14" s="118">
        <f t="shared" si="134"/>
        <v>663588.9436015957</v>
      </c>
      <c r="EI14" s="118">
        <f t="shared" si="134"/>
        <v>663588.9436015957</v>
      </c>
      <c r="EJ14" s="118">
        <f t="shared" si="134"/>
        <v>663588.9436015957</v>
      </c>
      <c r="EK14" s="118">
        <f t="shared" si="134"/>
        <v>663588.9436015957</v>
      </c>
      <c r="EL14" s="118">
        <f t="shared" si="134"/>
        <v>663588.9436015957</v>
      </c>
      <c r="EM14" s="118">
        <f t="shared" si="134"/>
        <v>663588.9436015957</v>
      </c>
      <c r="EN14" s="118">
        <f t="shared" si="134"/>
        <v>663588.9436015957</v>
      </c>
      <c r="EO14" s="118">
        <f t="shared" si="134"/>
        <v>663588.9436015957</v>
      </c>
      <c r="EP14" s="118">
        <f t="shared" si="134"/>
        <v>663588.9436015957</v>
      </c>
      <c r="EQ14" s="118">
        <f t="shared" si="134"/>
        <v>663588.9436015957</v>
      </c>
      <c r="ER14" s="118">
        <f t="shared" si="134"/>
        <v>663588.9436015957</v>
      </c>
      <c r="ES14" s="118">
        <f t="shared" si="134"/>
        <v>663588.9436015957</v>
      </c>
      <c r="ET14" s="118">
        <f t="shared" si="134"/>
        <v>663588.9436015957</v>
      </c>
      <c r="EU14" s="118">
        <f t="shared" si="134"/>
        <v>663588.9436015957</v>
      </c>
      <c r="EV14" s="118">
        <f t="shared" si="134"/>
        <v>663588.9436015957</v>
      </c>
      <c r="EW14" s="118">
        <f t="shared" si="134"/>
        <v>663588.9436015957</v>
      </c>
      <c r="EX14" s="118">
        <f t="shared" si="134"/>
        <v>663588.9436015957</v>
      </c>
      <c r="EY14" s="118">
        <f t="shared" si="134"/>
        <v>663588.9436015957</v>
      </c>
      <c r="EZ14" s="118">
        <f t="shared" si="134"/>
        <v>663588.9436015957</v>
      </c>
      <c r="FA14" s="118">
        <f t="shared" si="134"/>
        <v>663588.9436015957</v>
      </c>
      <c r="FB14" s="118">
        <f t="shared" si="134"/>
        <v>663588.9436015957</v>
      </c>
      <c r="FC14" s="118">
        <f t="shared" si="134"/>
        <v>663588.9436015957</v>
      </c>
      <c r="FD14" s="118">
        <f t="shared" si="134"/>
        <v>663588.9436015957</v>
      </c>
      <c r="FE14" s="118">
        <f t="shared" si="134"/>
        <v>663588.9436015957</v>
      </c>
      <c r="FF14" s="118">
        <f t="shared" si="134"/>
        <v>663588.9436015957</v>
      </c>
      <c r="FG14" s="118">
        <f t="shared" si="134"/>
        <v>663588.9436015957</v>
      </c>
      <c r="FH14" s="118">
        <f t="shared" si="134"/>
        <v>663588.9436015957</v>
      </c>
      <c r="FI14" s="118">
        <f t="shared" si="134"/>
        <v>663588.9436015957</v>
      </c>
      <c r="FJ14" s="118">
        <f t="shared" si="134"/>
        <v>663588.9436015957</v>
      </c>
      <c r="FK14" s="118">
        <f t="shared" si="134"/>
        <v>663588.9436015957</v>
      </c>
      <c r="FL14" s="118">
        <f t="shared" si="134"/>
        <v>663588.9436015957</v>
      </c>
      <c r="FM14" s="118">
        <f t="shared" si="134"/>
        <v>663588.9436015957</v>
      </c>
      <c r="FN14" s="118">
        <f t="shared" si="134"/>
        <v>663588.9436015957</v>
      </c>
      <c r="FO14" s="118">
        <f t="shared" si="134"/>
        <v>663588.9436015957</v>
      </c>
      <c r="FP14" s="118">
        <f t="shared" si="134"/>
        <v>663588.9436015957</v>
      </c>
      <c r="FQ14" s="118">
        <f t="shared" si="134"/>
        <v>663588.9436015957</v>
      </c>
      <c r="FR14" s="118">
        <f t="shared" si="134"/>
        <v>663588.9436015957</v>
      </c>
      <c r="FS14" s="118">
        <f t="shared" si="134"/>
        <v>663588.9436015957</v>
      </c>
      <c r="FT14" s="118">
        <f t="shared" si="134"/>
        <v>663588.9436015957</v>
      </c>
      <c r="FU14" s="118">
        <f t="shared" si="134"/>
        <v>663588.9436015957</v>
      </c>
      <c r="FV14" s="118">
        <f t="shared" si="134"/>
        <v>663588.9436015957</v>
      </c>
      <c r="FW14" s="118">
        <f t="shared" si="134"/>
        <v>663588.9436015957</v>
      </c>
      <c r="FX14" s="118">
        <f t="shared" si="134"/>
        <v>663588.9436015957</v>
      </c>
      <c r="FY14" s="118">
        <f t="shared" si="134"/>
        <v>663588.9436015957</v>
      </c>
      <c r="FZ14" s="118">
        <f t="shared" si="134"/>
        <v>663588.9436015957</v>
      </c>
      <c r="GA14" s="118">
        <f t="shared" si="134"/>
        <v>663588.9436015957</v>
      </c>
      <c r="GB14" s="118">
        <f t="shared" si="134"/>
        <v>663588.9436015957</v>
      </c>
      <c r="GC14" s="118">
        <f t="shared" si="134"/>
        <v>663588.9436015957</v>
      </c>
      <c r="GD14" s="118">
        <f t="shared" si="134"/>
        <v>663588.9436015957</v>
      </c>
      <c r="GE14" s="118">
        <f t="shared" si="134"/>
        <v>663588.9436015957</v>
      </c>
      <c r="GF14" s="118">
        <f t="shared" si="134"/>
        <v>663588.9436015957</v>
      </c>
      <c r="GG14" s="118">
        <f t="shared" si="134"/>
        <v>663588.9436015957</v>
      </c>
      <c r="GH14" s="118">
        <f t="shared" si="134"/>
        <v>663588.9436015957</v>
      </c>
      <c r="GI14" s="118">
        <f t="shared" si="134"/>
        <v>663588.9436015957</v>
      </c>
      <c r="GJ14" s="118">
        <f t="shared" si="134"/>
        <v>663588.9436015957</v>
      </c>
      <c r="GK14" s="118">
        <f t="shared" si="134"/>
        <v>663588.9436015957</v>
      </c>
      <c r="GL14" s="118">
        <f t="shared" si="134"/>
        <v>663588.9436015957</v>
      </c>
      <c r="GM14" s="118">
        <f t="shared" si="134"/>
        <v>663588.9436015957</v>
      </c>
      <c r="GN14" s="118">
        <f t="shared" si="134"/>
        <v>663588.9436015957</v>
      </c>
      <c r="GO14" s="118">
        <f t="shared" si="134"/>
        <v>663588.9436015957</v>
      </c>
      <c r="GP14" s="118">
        <f t="shared" si="134"/>
        <v>663588.9436015957</v>
      </c>
      <c r="GQ14" s="118">
        <f t="shared" si="134"/>
        <v>663588.9436015957</v>
      </c>
      <c r="GR14" s="118">
        <f t="shared" si="134"/>
        <v>663588.9436015957</v>
      </c>
      <c r="GS14" s="118">
        <f t="shared" ref="GS14:JD14" si="135">GS10-GS12</f>
        <v>663588.9436015957</v>
      </c>
      <c r="GT14" s="118">
        <f t="shared" si="135"/>
        <v>663588.9436015957</v>
      </c>
      <c r="GU14" s="118">
        <f t="shared" si="135"/>
        <v>663588.9436015957</v>
      </c>
      <c r="GV14" s="118">
        <f t="shared" si="135"/>
        <v>663588.9436015957</v>
      </c>
      <c r="GW14" s="118">
        <f t="shared" si="135"/>
        <v>663588.9436015957</v>
      </c>
      <c r="GX14" s="118">
        <f t="shared" si="135"/>
        <v>663588.9436015957</v>
      </c>
      <c r="GY14" s="118">
        <f t="shared" si="135"/>
        <v>663588.9436015957</v>
      </c>
      <c r="GZ14" s="118">
        <f t="shared" si="135"/>
        <v>663588.9436015957</v>
      </c>
      <c r="HA14" s="118">
        <f t="shared" si="135"/>
        <v>663588.9436015957</v>
      </c>
      <c r="HB14" s="118">
        <f t="shared" si="135"/>
        <v>663588.9436015957</v>
      </c>
      <c r="HC14" s="118">
        <f t="shared" si="135"/>
        <v>663588.9436015957</v>
      </c>
      <c r="HD14" s="118">
        <f t="shared" si="135"/>
        <v>663588.9436015957</v>
      </c>
      <c r="HE14" s="118">
        <f t="shared" si="135"/>
        <v>663588.9436015957</v>
      </c>
      <c r="HF14" s="118">
        <f t="shared" si="135"/>
        <v>663588.9436015957</v>
      </c>
      <c r="HG14" s="118">
        <f t="shared" si="135"/>
        <v>663588.9436015957</v>
      </c>
      <c r="HH14" s="118">
        <f t="shared" si="135"/>
        <v>663588.9436015957</v>
      </c>
      <c r="HI14" s="118">
        <f t="shared" si="135"/>
        <v>663588.9436015957</v>
      </c>
      <c r="HJ14" s="118">
        <f t="shared" si="135"/>
        <v>663588.9436015957</v>
      </c>
      <c r="HK14" s="118">
        <f t="shared" si="135"/>
        <v>663588.9436015957</v>
      </c>
      <c r="HL14" s="118">
        <f t="shared" si="135"/>
        <v>663588.9436015957</v>
      </c>
      <c r="HM14" s="118">
        <f t="shared" si="135"/>
        <v>663588.9436015957</v>
      </c>
      <c r="HN14" s="118">
        <f t="shared" si="135"/>
        <v>663588.9436015957</v>
      </c>
      <c r="HO14" s="118">
        <f t="shared" si="135"/>
        <v>663588.9436015957</v>
      </c>
      <c r="HP14" s="118">
        <f t="shared" si="135"/>
        <v>663588.9436015957</v>
      </c>
      <c r="HQ14" s="118">
        <f t="shared" si="135"/>
        <v>663588.9436015957</v>
      </c>
      <c r="HR14" s="118">
        <f t="shared" si="135"/>
        <v>663588.9436015957</v>
      </c>
      <c r="HS14" s="118">
        <f t="shared" si="135"/>
        <v>663588.9436015957</v>
      </c>
      <c r="HT14" s="118">
        <f t="shared" si="135"/>
        <v>663588.9436015957</v>
      </c>
      <c r="HU14" s="118">
        <f t="shared" si="135"/>
        <v>663588.9436015957</v>
      </c>
      <c r="HV14" s="118">
        <f t="shared" si="135"/>
        <v>663588.9436015957</v>
      </c>
      <c r="HW14" s="118">
        <f t="shared" si="135"/>
        <v>663588.9436015957</v>
      </c>
      <c r="HX14" s="118">
        <f t="shared" si="135"/>
        <v>663588.9436015957</v>
      </c>
      <c r="HY14" s="118">
        <f t="shared" si="135"/>
        <v>663588.9436015957</v>
      </c>
      <c r="HZ14" s="118">
        <f t="shared" si="135"/>
        <v>663588.9436015957</v>
      </c>
      <c r="IA14" s="118">
        <f t="shared" si="135"/>
        <v>663588.9436015957</v>
      </c>
      <c r="IB14" s="118">
        <f t="shared" si="135"/>
        <v>663588.9436015957</v>
      </c>
      <c r="IC14" s="118">
        <f t="shared" si="135"/>
        <v>663588.9436015957</v>
      </c>
      <c r="ID14" s="118">
        <f t="shared" si="135"/>
        <v>663588.9436015957</v>
      </c>
      <c r="IE14" s="118">
        <f t="shared" si="135"/>
        <v>663588.9436015957</v>
      </c>
      <c r="IF14" s="118">
        <f t="shared" si="135"/>
        <v>663588.9436015957</v>
      </c>
      <c r="IG14" s="118">
        <f t="shared" si="135"/>
        <v>663588.9436015957</v>
      </c>
      <c r="IH14" s="118">
        <f t="shared" si="135"/>
        <v>663588.9436015957</v>
      </c>
      <c r="II14" s="118">
        <f t="shared" si="135"/>
        <v>663588.9436015957</v>
      </c>
      <c r="IJ14" s="118">
        <f t="shared" si="135"/>
        <v>663588.9436015957</v>
      </c>
      <c r="IK14" s="118">
        <f t="shared" si="135"/>
        <v>663588.9436015957</v>
      </c>
      <c r="IL14" s="118">
        <f t="shared" si="135"/>
        <v>663588.9436015957</v>
      </c>
      <c r="IM14" s="118">
        <f t="shared" si="135"/>
        <v>663588.9436015957</v>
      </c>
      <c r="IN14" s="118">
        <f t="shared" si="135"/>
        <v>663588.9436015957</v>
      </c>
      <c r="IO14" s="118">
        <f t="shared" si="135"/>
        <v>663588.9436015957</v>
      </c>
      <c r="IP14" s="118">
        <f t="shared" si="135"/>
        <v>663588.9436015957</v>
      </c>
      <c r="IQ14" s="118">
        <f t="shared" si="135"/>
        <v>663588.9436015957</v>
      </c>
      <c r="IR14" s="118">
        <f t="shared" si="135"/>
        <v>663588.9436015957</v>
      </c>
      <c r="IS14" s="118">
        <f t="shared" si="135"/>
        <v>663588.9436015957</v>
      </c>
      <c r="IT14" s="118">
        <f t="shared" si="135"/>
        <v>663588.9436015957</v>
      </c>
      <c r="IU14" s="118">
        <f t="shared" si="135"/>
        <v>663588.9436015957</v>
      </c>
      <c r="IV14" s="118">
        <f t="shared" si="135"/>
        <v>663588.9436015957</v>
      </c>
      <c r="IW14" s="118">
        <f t="shared" si="135"/>
        <v>663588.9436015957</v>
      </c>
      <c r="IX14" s="118">
        <f t="shared" si="135"/>
        <v>663588.9436015957</v>
      </c>
      <c r="IY14" s="118">
        <f t="shared" si="135"/>
        <v>663588.9436015957</v>
      </c>
      <c r="IZ14" s="118">
        <f t="shared" si="135"/>
        <v>663588.9436015957</v>
      </c>
      <c r="JA14" s="118">
        <f t="shared" si="135"/>
        <v>663588.9436015957</v>
      </c>
      <c r="JB14" s="118">
        <f t="shared" si="135"/>
        <v>663588.9436015957</v>
      </c>
      <c r="JC14" s="118">
        <f t="shared" si="135"/>
        <v>663588.9436015957</v>
      </c>
      <c r="JD14" s="118">
        <f t="shared" si="135"/>
        <v>663588.9436015957</v>
      </c>
      <c r="JE14" s="118">
        <f t="shared" ref="JE14:LP14" si="136">JE10-JE12</f>
        <v>663588.9436015957</v>
      </c>
      <c r="JF14" s="118">
        <f t="shared" si="136"/>
        <v>663588.9436015957</v>
      </c>
      <c r="JG14" s="118">
        <f t="shared" si="136"/>
        <v>663588.9436015957</v>
      </c>
      <c r="JH14" s="118">
        <f t="shared" si="136"/>
        <v>663588.9436015957</v>
      </c>
      <c r="JI14" s="118">
        <f t="shared" si="136"/>
        <v>663588.9436015957</v>
      </c>
      <c r="JJ14" s="118">
        <f t="shared" si="136"/>
        <v>663588.9436015957</v>
      </c>
      <c r="JK14" s="118">
        <f t="shared" si="136"/>
        <v>663588.9436015957</v>
      </c>
      <c r="JL14" s="118">
        <f t="shared" si="136"/>
        <v>663588.9436015957</v>
      </c>
      <c r="JM14" s="118">
        <f t="shared" si="136"/>
        <v>663588.9436015957</v>
      </c>
      <c r="JN14" s="118">
        <f t="shared" si="136"/>
        <v>663588.9436015957</v>
      </c>
      <c r="JO14" s="118">
        <f t="shared" si="136"/>
        <v>663588.9436015957</v>
      </c>
      <c r="JP14" s="118">
        <f t="shared" si="136"/>
        <v>663588.9436015957</v>
      </c>
      <c r="JQ14" s="118">
        <f t="shared" si="136"/>
        <v>663588.9436015957</v>
      </c>
      <c r="JR14" s="118">
        <f t="shared" si="136"/>
        <v>663588.9436015957</v>
      </c>
      <c r="JS14" s="118">
        <f t="shared" si="136"/>
        <v>663588.9436015957</v>
      </c>
      <c r="JT14" s="118">
        <f t="shared" si="136"/>
        <v>663588.9436015957</v>
      </c>
      <c r="JU14" s="118">
        <f t="shared" si="136"/>
        <v>663588.9436015957</v>
      </c>
      <c r="JV14" s="118">
        <f t="shared" si="136"/>
        <v>663588.9436015957</v>
      </c>
      <c r="JW14" s="118">
        <f t="shared" si="136"/>
        <v>663588.9436015957</v>
      </c>
      <c r="JX14" s="118">
        <f t="shared" si="136"/>
        <v>663588.9436015957</v>
      </c>
      <c r="JY14" s="118">
        <f t="shared" si="136"/>
        <v>663588.9436015957</v>
      </c>
      <c r="JZ14" s="118">
        <f t="shared" si="136"/>
        <v>663588.9436015957</v>
      </c>
      <c r="KA14" s="118">
        <f t="shared" si="136"/>
        <v>663588.9436015957</v>
      </c>
      <c r="KB14" s="118">
        <f t="shared" si="136"/>
        <v>663588.9436015957</v>
      </c>
      <c r="KC14" s="118">
        <f t="shared" si="136"/>
        <v>663588.9436015957</v>
      </c>
      <c r="KD14" s="118">
        <f t="shared" si="136"/>
        <v>663588.9436015957</v>
      </c>
      <c r="KE14" s="118">
        <f t="shared" si="136"/>
        <v>663588.9436015957</v>
      </c>
      <c r="KF14" s="118">
        <f t="shared" si="136"/>
        <v>663588.9436015957</v>
      </c>
      <c r="KG14" s="118">
        <f t="shared" si="136"/>
        <v>663588.9436015957</v>
      </c>
      <c r="KH14" s="118">
        <f t="shared" si="136"/>
        <v>663588.9436015957</v>
      </c>
      <c r="KI14" s="118">
        <f t="shared" si="136"/>
        <v>663588.9436015957</v>
      </c>
      <c r="KJ14" s="118">
        <f t="shared" si="136"/>
        <v>663588.9436015957</v>
      </c>
      <c r="KK14" s="118">
        <f t="shared" si="136"/>
        <v>663588.9436015957</v>
      </c>
      <c r="KL14" s="118">
        <f t="shared" si="136"/>
        <v>663588.9436015957</v>
      </c>
      <c r="KM14" s="118">
        <f t="shared" si="136"/>
        <v>663588.9436015957</v>
      </c>
      <c r="KN14" s="118">
        <f t="shared" si="136"/>
        <v>663588.9436015957</v>
      </c>
      <c r="KO14" s="118">
        <f t="shared" si="136"/>
        <v>663588.9436015957</v>
      </c>
      <c r="KP14" s="118">
        <f t="shared" si="136"/>
        <v>663588.9436015957</v>
      </c>
      <c r="KQ14" s="118">
        <f t="shared" si="136"/>
        <v>663588.9436015957</v>
      </c>
      <c r="KR14" s="118">
        <f t="shared" si="136"/>
        <v>663588.9436015957</v>
      </c>
      <c r="KS14" s="118">
        <f t="shared" si="136"/>
        <v>663588.9436015957</v>
      </c>
      <c r="KT14" s="118">
        <f t="shared" si="136"/>
        <v>663588.9436015957</v>
      </c>
      <c r="KU14" s="118">
        <f t="shared" si="136"/>
        <v>663588.9436015957</v>
      </c>
      <c r="KV14" s="118">
        <f t="shared" si="136"/>
        <v>663588.9436015957</v>
      </c>
      <c r="KW14" s="118">
        <f t="shared" si="136"/>
        <v>663588.9436015957</v>
      </c>
      <c r="KX14" s="118">
        <f t="shared" si="136"/>
        <v>663588.9436015957</v>
      </c>
      <c r="KY14" s="118">
        <f t="shared" si="136"/>
        <v>663588.9436015957</v>
      </c>
      <c r="KZ14" s="118">
        <f t="shared" si="136"/>
        <v>663588.9436015957</v>
      </c>
      <c r="LA14" s="118">
        <f t="shared" si="136"/>
        <v>663588.9436015957</v>
      </c>
      <c r="LB14" s="118">
        <f t="shared" si="136"/>
        <v>663588.9436015957</v>
      </c>
      <c r="LC14" s="118">
        <f t="shared" si="136"/>
        <v>663588.9436015957</v>
      </c>
      <c r="LD14" s="118">
        <f t="shared" si="136"/>
        <v>663588.9436015957</v>
      </c>
      <c r="LE14" s="118">
        <f t="shared" si="136"/>
        <v>663588.9436015957</v>
      </c>
      <c r="LF14" s="118">
        <f t="shared" si="136"/>
        <v>663588.9436015957</v>
      </c>
      <c r="LG14" s="118">
        <f t="shared" si="136"/>
        <v>663588.9436015957</v>
      </c>
      <c r="LH14" s="118">
        <f t="shared" si="136"/>
        <v>663588.9436015957</v>
      </c>
      <c r="LI14" s="118">
        <f t="shared" si="136"/>
        <v>663588.9436015957</v>
      </c>
      <c r="LJ14" s="118">
        <f t="shared" si="136"/>
        <v>663588.9436015957</v>
      </c>
      <c r="LK14" s="118">
        <f t="shared" si="136"/>
        <v>663588.9436015957</v>
      </c>
      <c r="LL14" s="118">
        <f t="shared" si="136"/>
        <v>663588.9436015957</v>
      </c>
      <c r="LM14" s="118">
        <f t="shared" si="136"/>
        <v>663588.9436015957</v>
      </c>
      <c r="LN14" s="118">
        <f t="shared" si="136"/>
        <v>663588.9436015957</v>
      </c>
      <c r="LO14" s="118">
        <f t="shared" si="136"/>
        <v>663588.9436015957</v>
      </c>
      <c r="LP14" s="118">
        <f t="shared" si="136"/>
        <v>663588.9436015957</v>
      </c>
      <c r="LQ14" s="118">
        <f t="shared" ref="LQ14:OB14" si="137">LQ10-LQ12</f>
        <v>663588.9436015957</v>
      </c>
      <c r="LR14" s="118">
        <f t="shared" si="137"/>
        <v>663588.9436015957</v>
      </c>
      <c r="LS14" s="118">
        <f t="shared" si="137"/>
        <v>663588.9436015957</v>
      </c>
      <c r="LT14" s="118">
        <f t="shared" si="137"/>
        <v>663588.9436015957</v>
      </c>
      <c r="LU14" s="118">
        <f t="shared" si="137"/>
        <v>663588.9436015957</v>
      </c>
      <c r="LV14" s="118">
        <f t="shared" si="137"/>
        <v>663588.9436015957</v>
      </c>
      <c r="LW14" s="118">
        <f t="shared" si="137"/>
        <v>663588.9436015957</v>
      </c>
      <c r="LX14" s="118">
        <f t="shared" si="137"/>
        <v>663588.9436015957</v>
      </c>
      <c r="LY14" s="118">
        <f t="shared" si="137"/>
        <v>663588.9436015957</v>
      </c>
      <c r="LZ14" s="118">
        <f t="shared" si="137"/>
        <v>663588.9436015957</v>
      </c>
      <c r="MA14" s="118">
        <f t="shared" si="137"/>
        <v>663588.9436015957</v>
      </c>
      <c r="MB14" s="118">
        <f t="shared" si="137"/>
        <v>663588.9436015957</v>
      </c>
      <c r="MC14" s="118">
        <f t="shared" si="137"/>
        <v>663588.9436015957</v>
      </c>
      <c r="MD14" s="118">
        <f t="shared" si="137"/>
        <v>663588.9436015957</v>
      </c>
      <c r="ME14" s="118">
        <f t="shared" si="137"/>
        <v>663588.9436015957</v>
      </c>
      <c r="MF14" s="118">
        <f t="shared" si="137"/>
        <v>663588.9436015957</v>
      </c>
      <c r="MG14" s="118">
        <f t="shared" si="137"/>
        <v>663588.9436015957</v>
      </c>
      <c r="MH14" s="118">
        <f t="shared" si="137"/>
        <v>663588.9436015957</v>
      </c>
      <c r="MI14" s="118">
        <f t="shared" si="137"/>
        <v>663588.9436015957</v>
      </c>
      <c r="MJ14" s="118">
        <f t="shared" si="137"/>
        <v>663588.9436015957</v>
      </c>
      <c r="MK14" s="118">
        <f t="shared" si="137"/>
        <v>663588.9436015957</v>
      </c>
      <c r="ML14" s="118">
        <f t="shared" si="137"/>
        <v>663588.9436015957</v>
      </c>
      <c r="MM14" s="118">
        <f t="shared" si="137"/>
        <v>663588.9436015957</v>
      </c>
      <c r="MN14" s="118">
        <f t="shared" si="137"/>
        <v>663588.9436015957</v>
      </c>
      <c r="MO14" s="118">
        <f t="shared" si="137"/>
        <v>663588.9436015957</v>
      </c>
      <c r="MP14" s="118">
        <f t="shared" si="137"/>
        <v>663588.9436015957</v>
      </c>
      <c r="MQ14" s="118">
        <f t="shared" si="137"/>
        <v>663588.9436015957</v>
      </c>
      <c r="MR14" s="118">
        <f t="shared" si="137"/>
        <v>663588.9436015957</v>
      </c>
      <c r="MS14" s="118">
        <f t="shared" si="137"/>
        <v>663588.9436015957</v>
      </c>
      <c r="MT14" s="118">
        <f t="shared" si="137"/>
        <v>663588.9436015957</v>
      </c>
      <c r="MU14" s="118">
        <f t="shared" si="137"/>
        <v>663588.9436015957</v>
      </c>
      <c r="MV14" s="118">
        <f t="shared" si="137"/>
        <v>663588.9436015957</v>
      </c>
      <c r="MW14" s="118">
        <f t="shared" si="137"/>
        <v>663588.9436015957</v>
      </c>
      <c r="MX14" s="118">
        <f t="shared" si="137"/>
        <v>663588.9436015957</v>
      </c>
      <c r="MY14" s="118">
        <f t="shared" si="137"/>
        <v>663588.9436015957</v>
      </c>
      <c r="MZ14" s="118">
        <f t="shared" si="137"/>
        <v>663588.9436015957</v>
      </c>
      <c r="NA14" s="118">
        <f t="shared" si="137"/>
        <v>663588.9436015957</v>
      </c>
      <c r="NB14" s="118">
        <f t="shared" si="137"/>
        <v>663588.9436015957</v>
      </c>
      <c r="NC14" s="118">
        <f t="shared" si="137"/>
        <v>663588.9436015957</v>
      </c>
      <c r="ND14" s="118">
        <f t="shared" si="137"/>
        <v>663588.9436015957</v>
      </c>
      <c r="NE14" s="118">
        <f t="shared" si="137"/>
        <v>663588.9436015957</v>
      </c>
      <c r="NF14" s="118">
        <f t="shared" si="137"/>
        <v>663588.9436015957</v>
      </c>
      <c r="NG14" s="118">
        <f t="shared" si="137"/>
        <v>663588.9436015957</v>
      </c>
      <c r="NH14" s="118">
        <f t="shared" si="137"/>
        <v>663588.9436015957</v>
      </c>
      <c r="NI14" s="118">
        <f t="shared" si="137"/>
        <v>663588.9436015957</v>
      </c>
      <c r="NJ14" s="118">
        <f t="shared" si="137"/>
        <v>663588.9436015957</v>
      </c>
      <c r="NK14" s="118">
        <f t="shared" si="137"/>
        <v>663588.9436015957</v>
      </c>
      <c r="NL14" s="118">
        <f t="shared" si="137"/>
        <v>663588.9436015957</v>
      </c>
      <c r="NM14" s="118">
        <f t="shared" si="137"/>
        <v>663588.9436015957</v>
      </c>
      <c r="NN14" s="118">
        <f t="shared" si="137"/>
        <v>663588.9436015957</v>
      </c>
      <c r="NO14" s="118">
        <f t="shared" si="137"/>
        <v>663588.9436015957</v>
      </c>
      <c r="NP14" s="118">
        <f t="shared" si="137"/>
        <v>663588.9436015957</v>
      </c>
      <c r="NQ14" s="118">
        <f t="shared" si="137"/>
        <v>663588.9436015957</v>
      </c>
      <c r="NR14" s="118">
        <f t="shared" si="137"/>
        <v>663588.9436015957</v>
      </c>
      <c r="NS14" s="118">
        <f t="shared" si="137"/>
        <v>663588.9436015957</v>
      </c>
      <c r="NT14" s="118">
        <f t="shared" si="137"/>
        <v>663588.9436015957</v>
      </c>
      <c r="NU14" s="118">
        <f t="shared" si="137"/>
        <v>663588.9436015957</v>
      </c>
      <c r="NV14" s="118">
        <f t="shared" si="137"/>
        <v>663588.9436015957</v>
      </c>
      <c r="NW14" s="118">
        <f t="shared" si="137"/>
        <v>663588.9436015957</v>
      </c>
      <c r="NX14" s="118">
        <f t="shared" si="137"/>
        <v>663588.9436015957</v>
      </c>
      <c r="NY14" s="118">
        <f t="shared" si="137"/>
        <v>663588.9436015957</v>
      </c>
      <c r="NZ14" s="118">
        <f t="shared" si="137"/>
        <v>663588.9436015957</v>
      </c>
      <c r="OA14" s="118">
        <f t="shared" si="137"/>
        <v>663588.9436015957</v>
      </c>
      <c r="OB14" s="118">
        <f t="shared" si="137"/>
        <v>663588.9436015957</v>
      </c>
      <c r="OC14" s="118">
        <f t="shared" ref="OC14:QN14" si="138">OC10-OC12</f>
        <v>663588.9436015957</v>
      </c>
      <c r="OD14" s="118">
        <f t="shared" si="138"/>
        <v>663588.9436015957</v>
      </c>
      <c r="OE14" s="118">
        <f t="shared" si="138"/>
        <v>663588.9436015957</v>
      </c>
      <c r="OF14" s="118">
        <f t="shared" si="138"/>
        <v>663588.9436015957</v>
      </c>
      <c r="OG14" s="118">
        <f t="shared" si="138"/>
        <v>663588.9436015957</v>
      </c>
      <c r="OH14" s="118">
        <f t="shared" si="138"/>
        <v>663588.9436015957</v>
      </c>
      <c r="OI14" s="118">
        <f t="shared" si="138"/>
        <v>663588.9436015957</v>
      </c>
      <c r="OJ14" s="118">
        <f t="shared" si="138"/>
        <v>663588.9436015957</v>
      </c>
      <c r="OK14" s="118">
        <f t="shared" si="138"/>
        <v>663588.9436015957</v>
      </c>
      <c r="OL14" s="118">
        <f t="shared" si="138"/>
        <v>663588.9436015957</v>
      </c>
      <c r="OM14" s="118">
        <f t="shared" si="138"/>
        <v>663588.9436015957</v>
      </c>
      <c r="ON14" s="118">
        <f t="shared" si="138"/>
        <v>663588.9436015957</v>
      </c>
      <c r="OO14" s="118">
        <f t="shared" si="138"/>
        <v>663588.9436015957</v>
      </c>
      <c r="OP14" s="118">
        <f t="shared" si="138"/>
        <v>663588.9436015957</v>
      </c>
      <c r="OQ14" s="118">
        <f t="shared" si="138"/>
        <v>663588.9436015957</v>
      </c>
      <c r="OR14" s="118">
        <f t="shared" si="138"/>
        <v>663588.9436015957</v>
      </c>
      <c r="OS14" s="118">
        <f t="shared" si="138"/>
        <v>663588.9436015957</v>
      </c>
      <c r="OT14" s="118">
        <f t="shared" si="138"/>
        <v>663588.9436015957</v>
      </c>
      <c r="OU14" s="118">
        <f t="shared" si="138"/>
        <v>663588.9436015957</v>
      </c>
      <c r="OV14" s="118">
        <f t="shared" si="138"/>
        <v>663588.9436015957</v>
      </c>
      <c r="OW14" s="118">
        <f t="shared" si="138"/>
        <v>663588.9436015957</v>
      </c>
      <c r="OX14" s="118">
        <f t="shared" si="138"/>
        <v>663588.9436015957</v>
      </c>
      <c r="OY14" s="118">
        <f t="shared" si="138"/>
        <v>663588.9436015957</v>
      </c>
      <c r="OZ14" s="118">
        <f t="shared" si="138"/>
        <v>663588.9436015957</v>
      </c>
      <c r="PA14" s="118">
        <f t="shared" si="138"/>
        <v>663588.9436015957</v>
      </c>
      <c r="PB14" s="118">
        <f t="shared" si="138"/>
        <v>663588.9436015957</v>
      </c>
      <c r="PC14" s="118">
        <f t="shared" si="138"/>
        <v>663588.9436015957</v>
      </c>
      <c r="PD14" s="118">
        <f t="shared" si="138"/>
        <v>663588.9436015957</v>
      </c>
      <c r="PE14" s="118">
        <f t="shared" si="138"/>
        <v>663588.9436015957</v>
      </c>
      <c r="PF14" s="118">
        <f t="shared" si="138"/>
        <v>663588.9436015957</v>
      </c>
      <c r="PG14" s="118">
        <f t="shared" si="138"/>
        <v>663588.9436015957</v>
      </c>
      <c r="PH14" s="118">
        <f t="shared" si="138"/>
        <v>663588.9436015957</v>
      </c>
      <c r="PI14" s="118">
        <f t="shared" si="138"/>
        <v>663588.9436015957</v>
      </c>
      <c r="PJ14" s="118">
        <f t="shared" si="138"/>
        <v>663588.9436015957</v>
      </c>
      <c r="PK14" s="118">
        <f t="shared" si="138"/>
        <v>663588.9436015957</v>
      </c>
      <c r="PL14" s="118">
        <f t="shared" si="138"/>
        <v>663588.9436015957</v>
      </c>
      <c r="PM14" s="118">
        <f t="shared" si="138"/>
        <v>663588.9436015957</v>
      </c>
      <c r="PN14" s="118">
        <f t="shared" si="138"/>
        <v>663588.9436015957</v>
      </c>
      <c r="PO14" s="118">
        <f t="shared" si="138"/>
        <v>663588.9436015957</v>
      </c>
      <c r="PP14" s="118">
        <f t="shared" si="138"/>
        <v>663588.9436015957</v>
      </c>
      <c r="PQ14" s="118">
        <f t="shared" si="138"/>
        <v>663588.9436015957</v>
      </c>
      <c r="PR14" s="118">
        <f t="shared" si="138"/>
        <v>663588.9436015957</v>
      </c>
      <c r="PS14" s="118">
        <f t="shared" si="138"/>
        <v>663588.9436015957</v>
      </c>
      <c r="PT14" s="118">
        <f t="shared" si="138"/>
        <v>663588.9436015957</v>
      </c>
      <c r="PU14" s="118">
        <f t="shared" si="138"/>
        <v>663588.9436015957</v>
      </c>
      <c r="PV14" s="118">
        <f t="shared" si="138"/>
        <v>663588.9436015957</v>
      </c>
      <c r="PW14" s="118">
        <f t="shared" si="138"/>
        <v>663588.9436015957</v>
      </c>
      <c r="PX14" s="118">
        <f t="shared" si="138"/>
        <v>663588.9436015957</v>
      </c>
      <c r="PY14" s="118">
        <f t="shared" si="138"/>
        <v>663588.9436015957</v>
      </c>
      <c r="PZ14" s="118">
        <f t="shared" si="138"/>
        <v>663588.9436015957</v>
      </c>
      <c r="QA14" s="118">
        <f t="shared" si="138"/>
        <v>663588.9436015957</v>
      </c>
      <c r="QB14" s="118">
        <f t="shared" si="138"/>
        <v>663588.9436015957</v>
      </c>
      <c r="QC14" s="118">
        <f t="shared" si="138"/>
        <v>663588.9436015957</v>
      </c>
      <c r="QD14" s="118">
        <f t="shared" si="138"/>
        <v>663588.9436015957</v>
      </c>
      <c r="QE14" s="118">
        <f t="shared" si="138"/>
        <v>663588.9436015957</v>
      </c>
      <c r="QF14" s="118">
        <f t="shared" si="138"/>
        <v>663588.9436015957</v>
      </c>
      <c r="QG14" s="118">
        <f t="shared" si="138"/>
        <v>663588.9436015957</v>
      </c>
      <c r="QH14" s="118">
        <f t="shared" si="138"/>
        <v>663588.9436015957</v>
      </c>
      <c r="QI14" s="118">
        <f t="shared" si="138"/>
        <v>663588.9436015957</v>
      </c>
      <c r="QJ14" s="118">
        <f t="shared" si="138"/>
        <v>663588.9436015957</v>
      </c>
      <c r="QK14" s="118">
        <f t="shared" si="138"/>
        <v>663588.9436015957</v>
      </c>
      <c r="QL14" s="118">
        <f t="shared" si="138"/>
        <v>663588.9436015957</v>
      </c>
      <c r="QM14" s="118">
        <f t="shared" si="138"/>
        <v>663588.9436015957</v>
      </c>
      <c r="QN14" s="118">
        <f t="shared" si="138"/>
        <v>663588.9436015957</v>
      </c>
      <c r="QO14" s="118">
        <f t="shared" ref="QO14:SZ14" si="139">QO10-QO12</f>
        <v>663588.9436015957</v>
      </c>
      <c r="QP14" s="118">
        <f t="shared" si="139"/>
        <v>663588.9436015957</v>
      </c>
      <c r="QQ14" s="118">
        <f t="shared" si="139"/>
        <v>663588.9436015957</v>
      </c>
      <c r="QR14" s="118">
        <f t="shared" si="139"/>
        <v>663588.9436015957</v>
      </c>
      <c r="QS14" s="118">
        <f t="shared" si="139"/>
        <v>663588.9436015957</v>
      </c>
      <c r="QT14" s="118">
        <f t="shared" si="139"/>
        <v>663588.9436015957</v>
      </c>
      <c r="QU14" s="118">
        <f t="shared" si="139"/>
        <v>663588.9436015957</v>
      </c>
      <c r="QV14" s="118">
        <f t="shared" si="139"/>
        <v>663588.9436015957</v>
      </c>
      <c r="QW14" s="118">
        <f t="shared" si="139"/>
        <v>663588.9436015957</v>
      </c>
      <c r="QX14" s="118">
        <f t="shared" si="139"/>
        <v>663588.9436015957</v>
      </c>
      <c r="QY14" s="118">
        <f t="shared" si="139"/>
        <v>663588.9436015957</v>
      </c>
      <c r="QZ14" s="118">
        <f t="shared" si="139"/>
        <v>663588.9436015957</v>
      </c>
      <c r="RA14" s="118">
        <f t="shared" si="139"/>
        <v>663588.9436015957</v>
      </c>
      <c r="RB14" s="118">
        <f t="shared" si="139"/>
        <v>663588.9436015957</v>
      </c>
      <c r="RC14" s="118">
        <f t="shared" si="139"/>
        <v>663588.9436015957</v>
      </c>
      <c r="RD14" s="118">
        <f t="shared" si="139"/>
        <v>663588.9436015957</v>
      </c>
      <c r="RE14" s="118">
        <f t="shared" si="139"/>
        <v>663588.9436015957</v>
      </c>
      <c r="RF14" s="118">
        <f t="shared" si="139"/>
        <v>663588.9436015957</v>
      </c>
      <c r="RG14" s="118">
        <f t="shared" si="139"/>
        <v>663588.9436015957</v>
      </c>
      <c r="RH14" s="118">
        <f t="shared" si="139"/>
        <v>663588.9436015957</v>
      </c>
      <c r="RI14" s="118">
        <f t="shared" si="139"/>
        <v>663588.9436015957</v>
      </c>
      <c r="RJ14" s="118">
        <f t="shared" si="139"/>
        <v>663588.9436015957</v>
      </c>
      <c r="RK14" s="118">
        <f t="shared" si="139"/>
        <v>663588.9436015957</v>
      </c>
      <c r="RL14" s="118">
        <f t="shared" si="139"/>
        <v>663588.9436015957</v>
      </c>
      <c r="RM14" s="118">
        <f t="shared" si="139"/>
        <v>663588.9436015957</v>
      </c>
      <c r="RN14" s="118">
        <f t="shared" si="139"/>
        <v>663588.9436015957</v>
      </c>
      <c r="RO14" s="118">
        <f t="shared" si="139"/>
        <v>663588.9436015957</v>
      </c>
      <c r="RP14" s="118">
        <f t="shared" si="139"/>
        <v>663588.9436015957</v>
      </c>
      <c r="RQ14" s="118">
        <f t="shared" si="139"/>
        <v>663588.9436015957</v>
      </c>
      <c r="RR14" s="118">
        <f t="shared" si="139"/>
        <v>663588.9436015957</v>
      </c>
      <c r="RS14" s="118">
        <f t="shared" si="139"/>
        <v>663588.9436015957</v>
      </c>
      <c r="RT14" s="118">
        <f t="shared" si="139"/>
        <v>663588.9436015957</v>
      </c>
      <c r="RU14" s="118">
        <f t="shared" si="139"/>
        <v>663588.9436015957</v>
      </c>
      <c r="RV14" s="118">
        <f t="shared" si="139"/>
        <v>663588.9436015957</v>
      </c>
      <c r="RW14" s="118">
        <f t="shared" si="139"/>
        <v>663588.9436015957</v>
      </c>
      <c r="RX14" s="118">
        <f t="shared" si="139"/>
        <v>663588.9436015957</v>
      </c>
      <c r="RY14" s="118">
        <f t="shared" si="139"/>
        <v>663588.9436015957</v>
      </c>
      <c r="RZ14" s="118">
        <f t="shared" si="139"/>
        <v>663588.9436015957</v>
      </c>
      <c r="SA14" s="118">
        <f t="shared" si="139"/>
        <v>663588.9436015957</v>
      </c>
      <c r="SB14" s="118">
        <f t="shared" si="139"/>
        <v>663588.9436015957</v>
      </c>
      <c r="SC14" s="118">
        <f t="shared" si="139"/>
        <v>663588.9436015957</v>
      </c>
      <c r="SD14" s="118">
        <f t="shared" si="139"/>
        <v>663588.9436015957</v>
      </c>
      <c r="SE14" s="118">
        <f t="shared" si="139"/>
        <v>663588.9436015957</v>
      </c>
      <c r="SF14" s="118">
        <f t="shared" si="139"/>
        <v>663588.9436015957</v>
      </c>
      <c r="SG14" s="118">
        <f t="shared" si="139"/>
        <v>663588.9436015957</v>
      </c>
      <c r="SH14" s="118">
        <f t="shared" si="139"/>
        <v>663588.9436015957</v>
      </c>
      <c r="SI14" s="118">
        <f t="shared" si="139"/>
        <v>663588.9436015957</v>
      </c>
      <c r="SJ14" s="118">
        <f t="shared" si="139"/>
        <v>663588.9436015957</v>
      </c>
      <c r="SK14" s="118">
        <f t="shared" si="139"/>
        <v>663588.9436015957</v>
      </c>
      <c r="SL14" s="118">
        <f t="shared" si="139"/>
        <v>663588.9436015957</v>
      </c>
      <c r="SM14" s="118">
        <f t="shared" si="139"/>
        <v>663588.9436015957</v>
      </c>
      <c r="SN14" s="118">
        <f t="shared" si="139"/>
        <v>663588.9436015957</v>
      </c>
      <c r="SO14" s="118">
        <f t="shared" si="139"/>
        <v>663588.9436015957</v>
      </c>
      <c r="SP14" s="118">
        <f t="shared" si="139"/>
        <v>663588.9436015957</v>
      </c>
      <c r="SQ14" s="118">
        <f t="shared" si="139"/>
        <v>663588.9436015957</v>
      </c>
      <c r="SR14" s="118">
        <f t="shared" si="139"/>
        <v>663588.9436015957</v>
      </c>
      <c r="SS14" s="118">
        <f t="shared" si="139"/>
        <v>663588.9436015957</v>
      </c>
      <c r="ST14" s="118">
        <f t="shared" si="139"/>
        <v>663588.9436015957</v>
      </c>
      <c r="SU14" s="118">
        <f t="shared" si="139"/>
        <v>663588.9436015957</v>
      </c>
      <c r="SV14" s="118">
        <f t="shared" si="139"/>
        <v>663588.9436015957</v>
      </c>
      <c r="SW14" s="118">
        <f t="shared" si="139"/>
        <v>663588.9436015957</v>
      </c>
      <c r="SX14" s="118">
        <f t="shared" si="139"/>
        <v>663588.9436015957</v>
      </c>
      <c r="SY14" s="118">
        <f t="shared" si="139"/>
        <v>663588.9436015957</v>
      </c>
      <c r="SZ14" s="118">
        <f t="shared" si="139"/>
        <v>663588.9436015957</v>
      </c>
      <c r="TA14" s="118">
        <f t="shared" ref="TA14:VL14" si="140">TA10-TA12</f>
        <v>663588.9436015957</v>
      </c>
      <c r="TB14" s="118">
        <f t="shared" si="140"/>
        <v>663588.9436015957</v>
      </c>
      <c r="TC14" s="118">
        <f t="shared" si="140"/>
        <v>663588.9436015957</v>
      </c>
      <c r="TD14" s="118">
        <f t="shared" si="140"/>
        <v>663588.9436015957</v>
      </c>
      <c r="TE14" s="118">
        <f t="shared" si="140"/>
        <v>663588.9436015957</v>
      </c>
      <c r="TF14" s="118">
        <f t="shared" si="140"/>
        <v>663588.9436015957</v>
      </c>
      <c r="TG14" s="118">
        <f t="shared" si="140"/>
        <v>663588.9436015957</v>
      </c>
      <c r="TH14" s="118">
        <f t="shared" si="140"/>
        <v>663588.9436015957</v>
      </c>
      <c r="TI14" s="118">
        <f t="shared" si="140"/>
        <v>663588.9436015957</v>
      </c>
      <c r="TJ14" s="118">
        <f t="shared" si="140"/>
        <v>663588.9436015957</v>
      </c>
      <c r="TK14" s="118">
        <f t="shared" si="140"/>
        <v>663588.9436015957</v>
      </c>
      <c r="TL14" s="118">
        <f t="shared" si="140"/>
        <v>663588.9436015957</v>
      </c>
      <c r="TM14" s="118">
        <f t="shared" si="140"/>
        <v>663588.9436015957</v>
      </c>
      <c r="TN14" s="118">
        <f t="shared" si="140"/>
        <v>663588.9436015957</v>
      </c>
      <c r="TO14" s="118">
        <f t="shared" si="140"/>
        <v>663588.9436015957</v>
      </c>
      <c r="TP14" s="118">
        <f t="shared" si="140"/>
        <v>663588.9436015957</v>
      </c>
      <c r="TQ14" s="118">
        <f t="shared" si="140"/>
        <v>663588.9436015957</v>
      </c>
      <c r="TR14" s="118">
        <f t="shared" si="140"/>
        <v>663588.9436015957</v>
      </c>
      <c r="TS14" s="118">
        <f t="shared" si="140"/>
        <v>663588.9436015957</v>
      </c>
      <c r="TT14" s="118">
        <f t="shared" si="140"/>
        <v>663588.9436015957</v>
      </c>
      <c r="TU14" s="118">
        <f t="shared" si="140"/>
        <v>663588.9436015957</v>
      </c>
      <c r="TV14" s="118">
        <f t="shared" si="140"/>
        <v>663588.9436015957</v>
      </c>
      <c r="TW14" s="118">
        <f t="shared" si="140"/>
        <v>663588.9436015957</v>
      </c>
      <c r="TX14" s="118">
        <f t="shared" si="140"/>
        <v>663588.9436015957</v>
      </c>
      <c r="TY14" s="118">
        <f t="shared" si="140"/>
        <v>663588.9436015957</v>
      </c>
      <c r="TZ14" s="118">
        <f t="shared" si="140"/>
        <v>663588.9436015957</v>
      </c>
      <c r="UA14" s="118">
        <f t="shared" si="140"/>
        <v>663588.9436015957</v>
      </c>
      <c r="UB14" s="118">
        <f t="shared" si="140"/>
        <v>663588.9436015957</v>
      </c>
      <c r="UC14" s="118">
        <f t="shared" si="140"/>
        <v>663588.9436015957</v>
      </c>
      <c r="UD14" s="118">
        <f t="shared" si="140"/>
        <v>663588.9436015957</v>
      </c>
      <c r="UE14" s="118">
        <f t="shared" si="140"/>
        <v>663588.9436015957</v>
      </c>
      <c r="UF14" s="118">
        <f t="shared" si="140"/>
        <v>663588.9436015957</v>
      </c>
      <c r="UG14" s="118">
        <f t="shared" si="140"/>
        <v>663588.9436015957</v>
      </c>
      <c r="UH14" s="118">
        <f t="shared" si="140"/>
        <v>663588.9436015957</v>
      </c>
      <c r="UI14" s="118">
        <f t="shared" si="140"/>
        <v>663588.9436015957</v>
      </c>
      <c r="UJ14" s="118">
        <f t="shared" si="140"/>
        <v>663588.9436015957</v>
      </c>
      <c r="UK14" s="118">
        <f t="shared" si="140"/>
        <v>663588.9436015957</v>
      </c>
      <c r="UL14" s="118">
        <f t="shared" si="140"/>
        <v>663588.9436015957</v>
      </c>
      <c r="UM14" s="118">
        <f t="shared" si="140"/>
        <v>663588.9436015957</v>
      </c>
      <c r="UN14" s="118">
        <f t="shared" si="140"/>
        <v>663588.9436015957</v>
      </c>
      <c r="UO14" s="118">
        <f t="shared" si="140"/>
        <v>663588.9436015957</v>
      </c>
      <c r="UP14" s="118">
        <f t="shared" si="140"/>
        <v>663588.9436015957</v>
      </c>
      <c r="UQ14" s="118">
        <f t="shared" si="140"/>
        <v>663588.9436015957</v>
      </c>
      <c r="UR14" s="118">
        <f t="shared" si="140"/>
        <v>663588.9436015957</v>
      </c>
      <c r="US14" s="118">
        <f t="shared" si="140"/>
        <v>663588.9436015957</v>
      </c>
      <c r="UT14" s="118">
        <f t="shared" si="140"/>
        <v>663588.9436015957</v>
      </c>
      <c r="UU14" s="118">
        <f t="shared" si="140"/>
        <v>663588.9436015957</v>
      </c>
      <c r="UV14" s="118">
        <f t="shared" si="140"/>
        <v>663588.9436015957</v>
      </c>
      <c r="UW14" s="118">
        <f t="shared" si="140"/>
        <v>663588.9436015957</v>
      </c>
      <c r="UX14" s="118">
        <f t="shared" si="140"/>
        <v>663588.9436015957</v>
      </c>
      <c r="UY14" s="118">
        <f t="shared" si="140"/>
        <v>663588.9436015957</v>
      </c>
      <c r="UZ14" s="118">
        <f t="shared" si="140"/>
        <v>663588.9436015957</v>
      </c>
      <c r="VA14" s="118">
        <f t="shared" si="140"/>
        <v>663588.9436015957</v>
      </c>
      <c r="VB14" s="118">
        <f t="shared" si="140"/>
        <v>663588.9436015957</v>
      </c>
      <c r="VC14" s="118">
        <f t="shared" si="140"/>
        <v>663588.9436015957</v>
      </c>
      <c r="VD14" s="118">
        <f t="shared" si="140"/>
        <v>663588.9436015957</v>
      </c>
      <c r="VE14" s="118">
        <f t="shared" si="140"/>
        <v>663588.9436015957</v>
      </c>
      <c r="VF14" s="118">
        <f t="shared" si="140"/>
        <v>663588.9436015957</v>
      </c>
      <c r="VG14" s="118">
        <f t="shared" si="140"/>
        <v>663588.9436015957</v>
      </c>
      <c r="VH14" s="118">
        <f t="shared" si="140"/>
        <v>663588.9436015957</v>
      </c>
      <c r="VI14" s="118">
        <f t="shared" si="140"/>
        <v>663588.9436015957</v>
      </c>
      <c r="VJ14" s="118">
        <f t="shared" si="140"/>
        <v>663588.9436015957</v>
      </c>
      <c r="VK14" s="118">
        <f t="shared" si="140"/>
        <v>663588.9436015957</v>
      </c>
      <c r="VL14" s="118">
        <f t="shared" si="140"/>
        <v>663588.9436015957</v>
      </c>
      <c r="VM14" s="118">
        <f t="shared" ref="VM14:XX14" si="141">VM10-VM12</f>
        <v>663588.9436015957</v>
      </c>
      <c r="VN14" s="118">
        <f t="shared" si="141"/>
        <v>663588.9436015957</v>
      </c>
      <c r="VO14" s="118">
        <f t="shared" si="141"/>
        <v>663588.9436015957</v>
      </c>
      <c r="VP14" s="118">
        <f t="shared" si="141"/>
        <v>663588.9436015957</v>
      </c>
      <c r="VQ14" s="118">
        <f t="shared" si="141"/>
        <v>663588.9436015957</v>
      </c>
      <c r="VR14" s="118">
        <f t="shared" si="141"/>
        <v>663588.9436015957</v>
      </c>
      <c r="VS14" s="118">
        <f t="shared" si="141"/>
        <v>663588.9436015957</v>
      </c>
      <c r="VT14" s="118">
        <f t="shared" si="141"/>
        <v>663588.9436015957</v>
      </c>
      <c r="VU14" s="118">
        <f t="shared" si="141"/>
        <v>663588.9436015957</v>
      </c>
      <c r="VV14" s="118">
        <f t="shared" si="141"/>
        <v>663588.9436015957</v>
      </c>
      <c r="VW14" s="118">
        <f t="shared" si="141"/>
        <v>663588.9436015957</v>
      </c>
      <c r="VX14" s="118">
        <f t="shared" si="141"/>
        <v>663588.9436015957</v>
      </c>
      <c r="VY14" s="118">
        <f t="shared" si="141"/>
        <v>663588.9436015957</v>
      </c>
      <c r="VZ14" s="118">
        <f t="shared" si="141"/>
        <v>663588.9436015957</v>
      </c>
      <c r="WA14" s="118">
        <f t="shared" si="141"/>
        <v>663588.9436015957</v>
      </c>
      <c r="WB14" s="118">
        <f t="shared" si="141"/>
        <v>663588.9436015957</v>
      </c>
      <c r="WC14" s="118">
        <f t="shared" si="141"/>
        <v>663588.9436015957</v>
      </c>
      <c r="WD14" s="118">
        <f t="shared" si="141"/>
        <v>663588.9436015957</v>
      </c>
      <c r="WE14" s="118">
        <f t="shared" si="141"/>
        <v>663588.9436015957</v>
      </c>
      <c r="WF14" s="118">
        <f t="shared" si="141"/>
        <v>663588.9436015957</v>
      </c>
      <c r="WG14" s="118">
        <f t="shared" si="141"/>
        <v>663588.9436015957</v>
      </c>
      <c r="WH14" s="118">
        <f t="shared" si="141"/>
        <v>663588.9436015957</v>
      </c>
      <c r="WI14" s="118">
        <f t="shared" si="141"/>
        <v>663588.9436015957</v>
      </c>
      <c r="WJ14" s="118">
        <f t="shared" si="141"/>
        <v>663588.9436015957</v>
      </c>
      <c r="WK14" s="118">
        <f t="shared" si="141"/>
        <v>663588.9436015957</v>
      </c>
      <c r="WL14" s="118">
        <f t="shared" si="141"/>
        <v>663588.9436015957</v>
      </c>
      <c r="WM14" s="118">
        <f t="shared" si="141"/>
        <v>663588.9436015957</v>
      </c>
      <c r="WN14" s="118">
        <f t="shared" si="141"/>
        <v>663588.9436015957</v>
      </c>
      <c r="WO14" s="118">
        <f t="shared" si="141"/>
        <v>663588.9436015957</v>
      </c>
      <c r="WP14" s="118">
        <f t="shared" si="141"/>
        <v>663588.9436015957</v>
      </c>
      <c r="WQ14" s="118">
        <f t="shared" si="141"/>
        <v>663588.9436015957</v>
      </c>
      <c r="WR14" s="118">
        <f t="shared" si="141"/>
        <v>663588.9436015957</v>
      </c>
      <c r="WS14" s="118">
        <f t="shared" si="141"/>
        <v>663588.9436015957</v>
      </c>
      <c r="WT14" s="118">
        <f t="shared" si="141"/>
        <v>663588.9436015957</v>
      </c>
      <c r="WU14" s="118">
        <f t="shared" si="141"/>
        <v>663588.9436015957</v>
      </c>
      <c r="WV14" s="118">
        <f t="shared" si="141"/>
        <v>663588.9436015957</v>
      </c>
      <c r="WW14" s="118">
        <f t="shared" si="141"/>
        <v>663588.9436015957</v>
      </c>
      <c r="WX14" s="118">
        <f t="shared" si="141"/>
        <v>663588.9436015957</v>
      </c>
      <c r="WY14" s="118">
        <f t="shared" si="141"/>
        <v>663588.9436015957</v>
      </c>
      <c r="WZ14" s="118">
        <f t="shared" si="141"/>
        <v>663588.9436015957</v>
      </c>
      <c r="XA14" s="118">
        <f t="shared" si="141"/>
        <v>663588.9436015957</v>
      </c>
      <c r="XB14" s="118">
        <f t="shared" si="141"/>
        <v>663588.9436015957</v>
      </c>
      <c r="XC14" s="118">
        <f t="shared" si="141"/>
        <v>663588.9436015957</v>
      </c>
      <c r="XD14" s="118">
        <f t="shared" si="141"/>
        <v>663588.9436015957</v>
      </c>
      <c r="XE14" s="118">
        <f t="shared" si="141"/>
        <v>663588.9436015957</v>
      </c>
      <c r="XF14" s="118">
        <f t="shared" si="141"/>
        <v>663588.9436015957</v>
      </c>
      <c r="XG14" s="118">
        <f t="shared" si="141"/>
        <v>663588.9436015957</v>
      </c>
      <c r="XH14" s="118">
        <f t="shared" si="141"/>
        <v>663588.9436015957</v>
      </c>
      <c r="XI14" s="118">
        <f t="shared" si="141"/>
        <v>663588.9436015957</v>
      </c>
      <c r="XJ14" s="118">
        <f t="shared" si="141"/>
        <v>663588.9436015957</v>
      </c>
      <c r="XK14" s="118">
        <f t="shared" si="141"/>
        <v>663588.9436015957</v>
      </c>
      <c r="XL14" s="118">
        <f t="shared" si="141"/>
        <v>663588.9436015957</v>
      </c>
      <c r="XM14" s="118">
        <f t="shared" si="141"/>
        <v>663588.9436015957</v>
      </c>
      <c r="XN14" s="118">
        <f t="shared" si="141"/>
        <v>663588.9436015957</v>
      </c>
      <c r="XO14" s="118">
        <f t="shared" si="141"/>
        <v>663588.9436015957</v>
      </c>
      <c r="XP14" s="118">
        <f t="shared" si="141"/>
        <v>663588.9436015957</v>
      </c>
      <c r="XQ14" s="118">
        <f t="shared" si="141"/>
        <v>663588.9436015957</v>
      </c>
      <c r="XR14" s="118">
        <f t="shared" si="141"/>
        <v>663588.9436015957</v>
      </c>
      <c r="XS14" s="118">
        <f t="shared" si="141"/>
        <v>663588.9436015957</v>
      </c>
      <c r="XT14" s="118">
        <f t="shared" si="141"/>
        <v>663588.9436015957</v>
      </c>
      <c r="XU14" s="118">
        <f t="shared" si="141"/>
        <v>663588.9436015957</v>
      </c>
      <c r="XV14" s="118">
        <f t="shared" si="141"/>
        <v>663588.9436015957</v>
      </c>
      <c r="XW14" s="118">
        <f t="shared" si="141"/>
        <v>663588.9436015957</v>
      </c>
      <c r="XX14" s="118">
        <f t="shared" si="141"/>
        <v>663588.9436015957</v>
      </c>
      <c r="XY14" s="118">
        <f t="shared" ref="XY14:AAJ14" si="142">XY10-XY12</f>
        <v>663588.9436015957</v>
      </c>
      <c r="XZ14" s="118">
        <f t="shared" si="142"/>
        <v>663588.9436015957</v>
      </c>
      <c r="YA14" s="118">
        <f t="shared" si="142"/>
        <v>663588.9436015957</v>
      </c>
      <c r="YB14" s="118">
        <f t="shared" si="142"/>
        <v>663588.9436015957</v>
      </c>
      <c r="YC14" s="118">
        <f t="shared" si="142"/>
        <v>663588.9436015957</v>
      </c>
      <c r="YD14" s="118">
        <f t="shared" si="142"/>
        <v>663588.9436015957</v>
      </c>
      <c r="YE14" s="118">
        <f t="shared" si="142"/>
        <v>663588.9436015957</v>
      </c>
      <c r="YF14" s="118">
        <f t="shared" si="142"/>
        <v>663588.9436015957</v>
      </c>
      <c r="YG14" s="118">
        <f t="shared" si="142"/>
        <v>663588.9436015957</v>
      </c>
      <c r="YH14" s="118">
        <f t="shared" si="142"/>
        <v>663588.9436015957</v>
      </c>
      <c r="YI14" s="118">
        <f t="shared" si="142"/>
        <v>663588.9436015957</v>
      </c>
      <c r="YJ14" s="118">
        <f t="shared" si="142"/>
        <v>663588.9436015957</v>
      </c>
      <c r="YK14" s="118">
        <f t="shared" si="142"/>
        <v>663588.9436015957</v>
      </c>
      <c r="YL14" s="118">
        <f t="shared" si="142"/>
        <v>663588.9436015957</v>
      </c>
      <c r="YM14" s="118">
        <f t="shared" si="142"/>
        <v>663588.9436015957</v>
      </c>
      <c r="YN14" s="118">
        <f t="shared" si="142"/>
        <v>663588.9436015957</v>
      </c>
      <c r="YO14" s="118">
        <f t="shared" si="142"/>
        <v>663588.9436015957</v>
      </c>
      <c r="YP14" s="118">
        <f t="shared" si="142"/>
        <v>663588.9436015957</v>
      </c>
      <c r="YQ14" s="118">
        <f t="shared" si="142"/>
        <v>663588.9436015957</v>
      </c>
      <c r="YR14" s="118">
        <f t="shared" si="142"/>
        <v>663588.9436015957</v>
      </c>
      <c r="YS14" s="118">
        <f t="shared" si="142"/>
        <v>663588.9436015957</v>
      </c>
      <c r="YT14" s="118">
        <f t="shared" si="142"/>
        <v>663588.9436015957</v>
      </c>
      <c r="YU14" s="118">
        <f t="shared" si="142"/>
        <v>663588.9436015957</v>
      </c>
      <c r="YV14" s="118">
        <f t="shared" si="142"/>
        <v>663588.9436015957</v>
      </c>
      <c r="YW14" s="118">
        <f t="shared" si="142"/>
        <v>663588.9436015957</v>
      </c>
      <c r="YX14" s="118">
        <f t="shared" si="142"/>
        <v>663588.9436015957</v>
      </c>
      <c r="YY14" s="118">
        <f t="shared" si="142"/>
        <v>663588.9436015957</v>
      </c>
      <c r="YZ14" s="118">
        <f t="shared" si="142"/>
        <v>663588.9436015957</v>
      </c>
      <c r="ZA14" s="118">
        <f t="shared" si="142"/>
        <v>663588.9436015957</v>
      </c>
      <c r="ZB14" s="118">
        <f t="shared" si="142"/>
        <v>663588.9436015957</v>
      </c>
      <c r="ZC14" s="118">
        <f t="shared" si="142"/>
        <v>663588.9436015957</v>
      </c>
      <c r="ZD14" s="118">
        <f t="shared" si="142"/>
        <v>663588.9436015957</v>
      </c>
      <c r="ZE14" s="118">
        <f t="shared" si="142"/>
        <v>663588.9436015957</v>
      </c>
      <c r="ZF14" s="118">
        <f t="shared" si="142"/>
        <v>663588.9436015957</v>
      </c>
      <c r="ZG14" s="118">
        <f t="shared" si="142"/>
        <v>663588.9436015957</v>
      </c>
      <c r="ZH14" s="118">
        <f t="shared" si="142"/>
        <v>663588.9436015957</v>
      </c>
      <c r="ZI14" s="118">
        <f t="shared" si="142"/>
        <v>663588.9436015957</v>
      </c>
      <c r="ZJ14" s="118">
        <f t="shared" si="142"/>
        <v>663588.9436015957</v>
      </c>
      <c r="ZK14" s="118">
        <f t="shared" si="142"/>
        <v>663588.9436015957</v>
      </c>
      <c r="ZL14" s="118">
        <f t="shared" si="142"/>
        <v>663588.9436015957</v>
      </c>
      <c r="ZM14" s="118">
        <f t="shared" si="142"/>
        <v>663588.9436015957</v>
      </c>
      <c r="ZN14" s="118">
        <f t="shared" si="142"/>
        <v>663588.9436015957</v>
      </c>
      <c r="ZO14" s="118">
        <f t="shared" si="142"/>
        <v>663588.9436015957</v>
      </c>
      <c r="ZP14" s="118">
        <f t="shared" si="142"/>
        <v>663588.9436015957</v>
      </c>
      <c r="ZQ14" s="118">
        <f t="shared" si="142"/>
        <v>663588.9436015957</v>
      </c>
      <c r="ZR14" s="118">
        <f t="shared" si="142"/>
        <v>663588.9436015957</v>
      </c>
      <c r="ZS14" s="118">
        <f t="shared" si="142"/>
        <v>663588.9436015957</v>
      </c>
      <c r="ZT14" s="118">
        <f t="shared" si="142"/>
        <v>663588.9436015957</v>
      </c>
      <c r="ZU14" s="118">
        <f t="shared" si="142"/>
        <v>663588.9436015957</v>
      </c>
      <c r="ZV14" s="118">
        <f t="shared" si="142"/>
        <v>663588.9436015957</v>
      </c>
      <c r="ZW14" s="118">
        <f t="shared" si="142"/>
        <v>663588.9436015957</v>
      </c>
      <c r="ZX14" s="118">
        <f t="shared" si="142"/>
        <v>663588.9436015957</v>
      </c>
      <c r="ZY14" s="118">
        <f t="shared" si="142"/>
        <v>663588.9436015957</v>
      </c>
      <c r="ZZ14" s="118">
        <f t="shared" si="142"/>
        <v>663588.9436015957</v>
      </c>
      <c r="AAA14" s="118">
        <f t="shared" si="142"/>
        <v>663588.9436015957</v>
      </c>
      <c r="AAB14" s="118">
        <f t="shared" si="142"/>
        <v>663588.9436015957</v>
      </c>
      <c r="AAC14" s="118">
        <f t="shared" si="142"/>
        <v>663588.9436015957</v>
      </c>
      <c r="AAD14" s="118">
        <f t="shared" si="142"/>
        <v>663588.9436015957</v>
      </c>
      <c r="AAE14" s="118">
        <f t="shared" si="142"/>
        <v>663588.9436015957</v>
      </c>
      <c r="AAF14" s="118">
        <f t="shared" si="142"/>
        <v>663588.9436015957</v>
      </c>
      <c r="AAG14" s="118">
        <f t="shared" si="142"/>
        <v>663588.9436015957</v>
      </c>
      <c r="AAH14" s="118">
        <f t="shared" si="142"/>
        <v>663588.9436015957</v>
      </c>
      <c r="AAI14" s="118">
        <f t="shared" si="142"/>
        <v>663588.9436015957</v>
      </c>
      <c r="AAJ14" s="118">
        <f t="shared" si="142"/>
        <v>663588.9436015957</v>
      </c>
      <c r="AAK14" s="118">
        <f t="shared" ref="AAK14:ACV14" si="143">AAK10-AAK12</f>
        <v>663588.9436015957</v>
      </c>
      <c r="AAL14" s="118">
        <f t="shared" si="143"/>
        <v>663588.9436015957</v>
      </c>
      <c r="AAM14" s="118">
        <f t="shared" si="143"/>
        <v>663588.9436015957</v>
      </c>
      <c r="AAN14" s="118">
        <f t="shared" si="143"/>
        <v>663588.9436015957</v>
      </c>
      <c r="AAO14" s="118">
        <f t="shared" si="143"/>
        <v>663588.9436015957</v>
      </c>
      <c r="AAP14" s="118">
        <f t="shared" si="143"/>
        <v>663588.9436015957</v>
      </c>
      <c r="AAQ14" s="118">
        <f t="shared" si="143"/>
        <v>663588.9436015957</v>
      </c>
      <c r="AAR14" s="118">
        <f t="shared" si="143"/>
        <v>663588.9436015957</v>
      </c>
      <c r="AAS14" s="118">
        <f t="shared" si="143"/>
        <v>663588.9436015957</v>
      </c>
      <c r="AAT14" s="118">
        <f t="shared" si="143"/>
        <v>663588.9436015957</v>
      </c>
      <c r="AAU14" s="118">
        <f t="shared" si="143"/>
        <v>663588.9436015957</v>
      </c>
      <c r="AAV14" s="118">
        <f t="shared" si="143"/>
        <v>663588.9436015957</v>
      </c>
      <c r="AAW14" s="118">
        <f t="shared" si="143"/>
        <v>663588.9436015957</v>
      </c>
      <c r="AAX14" s="118">
        <f t="shared" si="143"/>
        <v>663588.9436015957</v>
      </c>
      <c r="AAY14" s="118">
        <f t="shared" si="143"/>
        <v>663588.9436015957</v>
      </c>
      <c r="AAZ14" s="118">
        <f t="shared" si="143"/>
        <v>663588.9436015957</v>
      </c>
      <c r="ABA14" s="118">
        <f t="shared" si="143"/>
        <v>663588.9436015957</v>
      </c>
      <c r="ABB14" s="118">
        <f t="shared" si="143"/>
        <v>663588.9436015957</v>
      </c>
      <c r="ABC14" s="118">
        <f t="shared" si="143"/>
        <v>663588.9436015957</v>
      </c>
      <c r="ABD14" s="118">
        <f t="shared" si="143"/>
        <v>663588.9436015957</v>
      </c>
      <c r="ABE14" s="118">
        <f t="shared" si="143"/>
        <v>663588.9436015957</v>
      </c>
      <c r="ABF14" s="118">
        <f t="shared" si="143"/>
        <v>663588.9436015957</v>
      </c>
      <c r="ABG14" s="118">
        <f t="shared" si="143"/>
        <v>663588.9436015957</v>
      </c>
      <c r="ABH14" s="118">
        <f t="shared" si="143"/>
        <v>663588.9436015957</v>
      </c>
      <c r="ABI14" s="118">
        <f t="shared" si="143"/>
        <v>663588.9436015957</v>
      </c>
      <c r="ABJ14" s="118">
        <f t="shared" si="143"/>
        <v>663588.9436015957</v>
      </c>
      <c r="ABK14" s="118">
        <f t="shared" si="143"/>
        <v>663588.9436015957</v>
      </c>
      <c r="ABL14" s="118">
        <f t="shared" si="143"/>
        <v>663588.9436015957</v>
      </c>
      <c r="ABM14" s="118">
        <f t="shared" si="143"/>
        <v>663588.9436015957</v>
      </c>
      <c r="ABN14" s="118">
        <f t="shared" si="143"/>
        <v>663588.9436015957</v>
      </c>
      <c r="ABO14" s="118">
        <f t="shared" si="143"/>
        <v>663588.9436015957</v>
      </c>
      <c r="ABP14" s="118">
        <f t="shared" si="143"/>
        <v>663588.9436015957</v>
      </c>
      <c r="ABQ14" s="118">
        <f t="shared" si="143"/>
        <v>663588.9436015957</v>
      </c>
      <c r="ABR14" s="118">
        <f t="shared" si="143"/>
        <v>663588.9436015957</v>
      </c>
      <c r="ABS14" s="118">
        <f t="shared" si="143"/>
        <v>663588.9436015957</v>
      </c>
      <c r="ABT14" s="118">
        <f t="shared" si="143"/>
        <v>663588.9436015957</v>
      </c>
      <c r="ABU14" s="118">
        <f t="shared" si="143"/>
        <v>663588.9436015957</v>
      </c>
      <c r="ABV14" s="118">
        <f t="shared" si="143"/>
        <v>663588.9436015957</v>
      </c>
      <c r="ABW14" s="118">
        <f t="shared" si="143"/>
        <v>663588.9436015957</v>
      </c>
      <c r="ABX14" s="118">
        <f t="shared" si="143"/>
        <v>663588.9436015957</v>
      </c>
      <c r="ABY14" s="118">
        <f t="shared" si="143"/>
        <v>663588.9436015957</v>
      </c>
      <c r="ABZ14" s="118">
        <f t="shared" si="143"/>
        <v>663588.9436015957</v>
      </c>
      <c r="ACA14" s="118">
        <f t="shared" si="143"/>
        <v>663588.9436015957</v>
      </c>
      <c r="ACB14" s="118">
        <f t="shared" si="143"/>
        <v>663588.9436015957</v>
      </c>
      <c r="ACC14" s="118">
        <f t="shared" si="143"/>
        <v>663588.9436015957</v>
      </c>
      <c r="ACD14" s="118">
        <f t="shared" si="143"/>
        <v>663588.9436015957</v>
      </c>
      <c r="ACE14" s="118">
        <f t="shared" si="143"/>
        <v>663588.9436015957</v>
      </c>
      <c r="ACF14" s="118">
        <f t="shared" si="143"/>
        <v>663588.9436015957</v>
      </c>
      <c r="ACG14" s="118">
        <f t="shared" si="143"/>
        <v>663588.9436015957</v>
      </c>
      <c r="ACH14" s="118">
        <f t="shared" si="143"/>
        <v>663588.9436015957</v>
      </c>
      <c r="ACI14" s="118">
        <f t="shared" si="143"/>
        <v>663588.9436015957</v>
      </c>
      <c r="ACJ14" s="118">
        <f t="shared" si="143"/>
        <v>663588.9436015957</v>
      </c>
      <c r="ACK14" s="118">
        <f t="shared" si="143"/>
        <v>663588.9436015957</v>
      </c>
      <c r="ACL14" s="118">
        <f t="shared" si="143"/>
        <v>663588.9436015957</v>
      </c>
      <c r="ACM14" s="118">
        <f t="shared" si="143"/>
        <v>663588.9436015957</v>
      </c>
      <c r="ACN14" s="118">
        <f t="shared" si="143"/>
        <v>663588.9436015957</v>
      </c>
      <c r="ACO14" s="118">
        <f t="shared" si="143"/>
        <v>663588.9436015957</v>
      </c>
      <c r="ACP14" s="118">
        <f t="shared" si="143"/>
        <v>663588.9436015957</v>
      </c>
      <c r="ACQ14" s="118">
        <f t="shared" si="143"/>
        <v>663588.9436015957</v>
      </c>
      <c r="ACR14" s="118">
        <f t="shared" si="143"/>
        <v>663588.9436015957</v>
      </c>
      <c r="ACS14" s="118">
        <f t="shared" si="143"/>
        <v>663588.9436015957</v>
      </c>
      <c r="ACT14" s="118">
        <f t="shared" si="143"/>
        <v>663588.9436015957</v>
      </c>
      <c r="ACU14" s="118">
        <f t="shared" si="143"/>
        <v>663588.9436015957</v>
      </c>
      <c r="ACV14" s="118">
        <f t="shared" si="143"/>
        <v>663588.9436015957</v>
      </c>
      <c r="ACW14" s="118">
        <f t="shared" ref="ACW14:AFH14" si="144">ACW10-ACW12</f>
        <v>663588.9436015957</v>
      </c>
      <c r="ACX14" s="118">
        <f t="shared" si="144"/>
        <v>663588.9436015957</v>
      </c>
      <c r="ACY14" s="118">
        <f t="shared" si="144"/>
        <v>663588.9436015957</v>
      </c>
      <c r="ACZ14" s="118">
        <f t="shared" si="144"/>
        <v>663588.9436015957</v>
      </c>
      <c r="ADA14" s="118">
        <f t="shared" si="144"/>
        <v>663588.9436015957</v>
      </c>
      <c r="ADB14" s="118">
        <f t="shared" si="144"/>
        <v>663588.9436015957</v>
      </c>
      <c r="ADC14" s="118">
        <f t="shared" si="144"/>
        <v>663588.9436015957</v>
      </c>
      <c r="ADD14" s="118">
        <f t="shared" si="144"/>
        <v>663588.9436015957</v>
      </c>
      <c r="ADE14" s="118">
        <f t="shared" si="144"/>
        <v>663588.9436015957</v>
      </c>
      <c r="ADF14" s="118">
        <f t="shared" si="144"/>
        <v>663588.9436015957</v>
      </c>
      <c r="ADG14" s="118">
        <f t="shared" si="144"/>
        <v>663588.9436015957</v>
      </c>
      <c r="ADH14" s="118">
        <f t="shared" si="144"/>
        <v>663588.9436015957</v>
      </c>
      <c r="ADI14" s="118">
        <f t="shared" si="144"/>
        <v>663588.9436015957</v>
      </c>
      <c r="ADJ14" s="118">
        <f t="shared" si="144"/>
        <v>663588.9436015957</v>
      </c>
      <c r="ADK14" s="118">
        <f t="shared" si="144"/>
        <v>663588.9436015957</v>
      </c>
      <c r="ADL14" s="118">
        <f t="shared" si="144"/>
        <v>663588.9436015957</v>
      </c>
      <c r="ADM14" s="118">
        <f t="shared" si="144"/>
        <v>663588.9436015957</v>
      </c>
      <c r="ADN14" s="118">
        <f t="shared" si="144"/>
        <v>663588.9436015957</v>
      </c>
      <c r="ADO14" s="118">
        <f t="shared" si="144"/>
        <v>663588.9436015957</v>
      </c>
      <c r="ADP14" s="118">
        <f t="shared" si="144"/>
        <v>663588.9436015957</v>
      </c>
      <c r="ADQ14" s="118">
        <f t="shared" si="144"/>
        <v>663588.9436015957</v>
      </c>
      <c r="ADR14" s="118">
        <f t="shared" si="144"/>
        <v>663588.9436015957</v>
      </c>
      <c r="ADS14" s="118">
        <f t="shared" si="144"/>
        <v>663588.9436015957</v>
      </c>
      <c r="ADT14" s="118">
        <f t="shared" si="144"/>
        <v>663588.9436015957</v>
      </c>
      <c r="ADU14" s="118">
        <f t="shared" si="144"/>
        <v>663588.9436015957</v>
      </c>
      <c r="ADV14" s="118">
        <f t="shared" si="144"/>
        <v>663588.9436015957</v>
      </c>
      <c r="ADW14" s="118">
        <f t="shared" si="144"/>
        <v>663588.9436015957</v>
      </c>
      <c r="ADX14" s="118">
        <f t="shared" si="144"/>
        <v>663588.9436015957</v>
      </c>
      <c r="ADY14" s="118">
        <f t="shared" si="144"/>
        <v>663588.9436015957</v>
      </c>
      <c r="ADZ14" s="118">
        <f t="shared" si="144"/>
        <v>663588.9436015957</v>
      </c>
      <c r="AEA14" s="118">
        <f t="shared" si="144"/>
        <v>663588.9436015957</v>
      </c>
      <c r="AEB14" s="118">
        <f t="shared" si="144"/>
        <v>663588.9436015957</v>
      </c>
      <c r="AEC14" s="118">
        <f t="shared" si="144"/>
        <v>663588.9436015957</v>
      </c>
      <c r="AED14" s="118">
        <f t="shared" si="144"/>
        <v>663588.9436015957</v>
      </c>
      <c r="AEE14" s="118">
        <f t="shared" si="144"/>
        <v>663588.9436015957</v>
      </c>
      <c r="AEF14" s="118">
        <f t="shared" si="144"/>
        <v>663588.9436015957</v>
      </c>
      <c r="AEG14" s="118">
        <f t="shared" si="144"/>
        <v>663588.9436015957</v>
      </c>
      <c r="AEH14" s="118">
        <f t="shared" si="144"/>
        <v>663588.9436015957</v>
      </c>
      <c r="AEI14" s="118">
        <f t="shared" si="144"/>
        <v>663588.9436015957</v>
      </c>
      <c r="AEJ14" s="118">
        <f t="shared" si="144"/>
        <v>663588.9436015957</v>
      </c>
      <c r="AEK14" s="118">
        <f t="shared" si="144"/>
        <v>663588.9436015957</v>
      </c>
      <c r="AEL14" s="118">
        <f t="shared" si="144"/>
        <v>663588.9436015957</v>
      </c>
      <c r="AEM14" s="118">
        <f t="shared" si="144"/>
        <v>663588.9436015957</v>
      </c>
      <c r="AEN14" s="118">
        <f t="shared" si="144"/>
        <v>663588.9436015957</v>
      </c>
      <c r="AEO14" s="118">
        <f t="shared" si="144"/>
        <v>663588.9436015957</v>
      </c>
      <c r="AEP14" s="118">
        <f t="shared" si="144"/>
        <v>663588.9436015957</v>
      </c>
      <c r="AEQ14" s="118">
        <f t="shared" si="144"/>
        <v>663588.9436015957</v>
      </c>
      <c r="AER14" s="118">
        <f t="shared" si="144"/>
        <v>663588.9436015957</v>
      </c>
      <c r="AES14" s="118">
        <f t="shared" si="144"/>
        <v>663588.9436015957</v>
      </c>
      <c r="AET14" s="118">
        <f t="shared" si="144"/>
        <v>663588.9436015957</v>
      </c>
      <c r="AEU14" s="118">
        <f t="shared" si="144"/>
        <v>663588.9436015957</v>
      </c>
      <c r="AEV14" s="118">
        <f t="shared" si="144"/>
        <v>663588.9436015957</v>
      </c>
      <c r="AEW14" s="118">
        <f t="shared" si="144"/>
        <v>663588.9436015957</v>
      </c>
      <c r="AEX14" s="118">
        <f t="shared" si="144"/>
        <v>663588.9436015957</v>
      </c>
      <c r="AEY14" s="118">
        <f t="shared" si="144"/>
        <v>663588.9436015957</v>
      </c>
      <c r="AEZ14" s="118">
        <f t="shared" si="144"/>
        <v>663588.9436015957</v>
      </c>
      <c r="AFA14" s="118">
        <f t="shared" si="144"/>
        <v>663588.9436015957</v>
      </c>
      <c r="AFB14" s="118">
        <f t="shared" si="144"/>
        <v>663588.9436015957</v>
      </c>
      <c r="AFC14" s="118">
        <f t="shared" si="144"/>
        <v>663588.9436015957</v>
      </c>
      <c r="AFD14" s="118">
        <f t="shared" si="144"/>
        <v>663588.9436015957</v>
      </c>
      <c r="AFE14" s="118">
        <f t="shared" si="144"/>
        <v>663588.9436015957</v>
      </c>
      <c r="AFF14" s="118">
        <f t="shared" si="144"/>
        <v>663588.9436015957</v>
      </c>
      <c r="AFG14" s="118">
        <f t="shared" si="144"/>
        <v>663588.9436015957</v>
      </c>
      <c r="AFH14" s="118">
        <f t="shared" si="144"/>
        <v>663588.9436015957</v>
      </c>
      <c r="AFI14" s="118">
        <f t="shared" ref="AFI14:AHT14" si="145">AFI10-AFI12</f>
        <v>663588.9436015957</v>
      </c>
      <c r="AFJ14" s="118">
        <f t="shared" si="145"/>
        <v>663588.9436015957</v>
      </c>
      <c r="AFK14" s="118">
        <f t="shared" si="145"/>
        <v>663588.9436015957</v>
      </c>
      <c r="AFL14" s="118">
        <f t="shared" si="145"/>
        <v>663588.9436015957</v>
      </c>
      <c r="AFM14" s="118">
        <f t="shared" si="145"/>
        <v>663588.9436015957</v>
      </c>
      <c r="AFN14" s="118">
        <f t="shared" si="145"/>
        <v>663588.9436015957</v>
      </c>
      <c r="AFO14" s="118">
        <f t="shared" si="145"/>
        <v>663588.9436015957</v>
      </c>
      <c r="AFP14" s="118">
        <f t="shared" si="145"/>
        <v>663588.9436015957</v>
      </c>
      <c r="AFQ14" s="118">
        <f t="shared" si="145"/>
        <v>663588.9436015957</v>
      </c>
      <c r="AFR14" s="118">
        <f t="shared" si="145"/>
        <v>663588.9436015957</v>
      </c>
      <c r="AFS14" s="118">
        <f t="shared" si="145"/>
        <v>663588.9436015957</v>
      </c>
      <c r="AFT14" s="118">
        <f t="shared" si="145"/>
        <v>663588.9436015957</v>
      </c>
      <c r="AFU14" s="118">
        <f t="shared" si="145"/>
        <v>663588.9436015957</v>
      </c>
      <c r="AFV14" s="118">
        <f t="shared" si="145"/>
        <v>663588.9436015957</v>
      </c>
      <c r="AFW14" s="118">
        <f t="shared" si="145"/>
        <v>663588.9436015957</v>
      </c>
      <c r="AFX14" s="118">
        <f t="shared" si="145"/>
        <v>663588.9436015957</v>
      </c>
      <c r="AFY14" s="118">
        <f t="shared" si="145"/>
        <v>663588.9436015957</v>
      </c>
      <c r="AFZ14" s="118">
        <f t="shared" si="145"/>
        <v>663588.9436015957</v>
      </c>
      <c r="AGA14" s="118">
        <f t="shared" si="145"/>
        <v>663588.9436015957</v>
      </c>
      <c r="AGB14" s="118">
        <f t="shared" si="145"/>
        <v>663588.9436015957</v>
      </c>
      <c r="AGC14" s="118">
        <f t="shared" si="145"/>
        <v>663588.9436015957</v>
      </c>
      <c r="AGD14" s="118">
        <f t="shared" si="145"/>
        <v>663588.9436015957</v>
      </c>
      <c r="AGE14" s="118">
        <f t="shared" si="145"/>
        <v>663588.9436015957</v>
      </c>
      <c r="AGF14" s="118">
        <f t="shared" si="145"/>
        <v>663588.9436015957</v>
      </c>
      <c r="AGG14" s="118">
        <f t="shared" si="145"/>
        <v>663588.9436015957</v>
      </c>
      <c r="AGH14" s="118">
        <f t="shared" si="145"/>
        <v>663588.9436015957</v>
      </c>
      <c r="AGI14" s="118">
        <f t="shared" si="145"/>
        <v>663588.9436015957</v>
      </c>
      <c r="AGJ14" s="118">
        <f t="shared" si="145"/>
        <v>663588.9436015957</v>
      </c>
      <c r="AGK14" s="118">
        <f t="shared" si="145"/>
        <v>663588.9436015957</v>
      </c>
      <c r="AGL14" s="118">
        <f t="shared" si="145"/>
        <v>663588.9436015957</v>
      </c>
      <c r="AGM14" s="118">
        <f t="shared" si="145"/>
        <v>663588.9436015957</v>
      </c>
      <c r="AGN14" s="118">
        <f t="shared" si="145"/>
        <v>663588.9436015957</v>
      </c>
      <c r="AGO14" s="118">
        <f t="shared" si="145"/>
        <v>663588.9436015957</v>
      </c>
      <c r="AGP14" s="118">
        <f t="shared" si="145"/>
        <v>663588.9436015957</v>
      </c>
      <c r="AGQ14" s="118">
        <f t="shared" si="145"/>
        <v>663588.9436015957</v>
      </c>
      <c r="AGR14" s="118">
        <f t="shared" si="145"/>
        <v>663588.9436015957</v>
      </c>
      <c r="AGS14" s="118">
        <f t="shared" si="145"/>
        <v>663588.9436015957</v>
      </c>
      <c r="AGT14" s="118">
        <f t="shared" si="145"/>
        <v>663588.9436015957</v>
      </c>
      <c r="AGU14" s="118">
        <f t="shared" si="145"/>
        <v>663588.9436015957</v>
      </c>
      <c r="AGV14" s="118">
        <f t="shared" si="145"/>
        <v>663588.9436015957</v>
      </c>
      <c r="AGW14" s="118">
        <f t="shared" si="145"/>
        <v>663588.9436015957</v>
      </c>
      <c r="AGX14" s="118">
        <f t="shared" si="145"/>
        <v>663588.9436015957</v>
      </c>
      <c r="AGY14" s="118">
        <f t="shared" si="145"/>
        <v>663588.9436015957</v>
      </c>
      <c r="AGZ14" s="118">
        <f t="shared" si="145"/>
        <v>663588.9436015957</v>
      </c>
      <c r="AHA14" s="118">
        <f t="shared" si="145"/>
        <v>663588.9436015957</v>
      </c>
      <c r="AHB14" s="118">
        <f t="shared" si="145"/>
        <v>663588.9436015957</v>
      </c>
      <c r="AHC14" s="118">
        <f t="shared" si="145"/>
        <v>663588.9436015957</v>
      </c>
      <c r="AHD14" s="118">
        <f t="shared" si="145"/>
        <v>663588.9436015957</v>
      </c>
      <c r="AHE14" s="118">
        <f t="shared" si="145"/>
        <v>663588.9436015957</v>
      </c>
      <c r="AHF14" s="118">
        <f t="shared" si="145"/>
        <v>663588.9436015957</v>
      </c>
      <c r="AHG14" s="118">
        <f t="shared" si="145"/>
        <v>663588.9436015957</v>
      </c>
      <c r="AHH14" s="118">
        <f t="shared" si="145"/>
        <v>663588.9436015957</v>
      </c>
      <c r="AHI14" s="118">
        <f t="shared" si="145"/>
        <v>663588.9436015957</v>
      </c>
      <c r="AHJ14" s="118">
        <f t="shared" si="145"/>
        <v>663588.9436015957</v>
      </c>
      <c r="AHK14" s="118">
        <f t="shared" si="145"/>
        <v>663588.9436015957</v>
      </c>
      <c r="AHL14" s="118">
        <f t="shared" si="145"/>
        <v>663588.9436015957</v>
      </c>
      <c r="AHM14" s="118">
        <f t="shared" si="145"/>
        <v>663588.9436015957</v>
      </c>
      <c r="AHN14" s="118">
        <f t="shared" si="145"/>
        <v>663588.9436015957</v>
      </c>
      <c r="AHO14" s="118">
        <f t="shared" si="145"/>
        <v>663588.9436015957</v>
      </c>
      <c r="AHP14" s="118">
        <f t="shared" si="145"/>
        <v>663588.9436015957</v>
      </c>
      <c r="AHQ14" s="118">
        <f t="shared" si="145"/>
        <v>663588.9436015957</v>
      </c>
      <c r="AHR14" s="118">
        <f t="shared" si="145"/>
        <v>663588.9436015957</v>
      </c>
      <c r="AHS14" s="118">
        <f t="shared" si="145"/>
        <v>663588.9436015957</v>
      </c>
      <c r="AHT14" s="118">
        <f t="shared" si="145"/>
        <v>663588.9436015957</v>
      </c>
      <c r="AHU14" s="118">
        <f t="shared" ref="AHU14:AKF14" si="146">AHU10-AHU12</f>
        <v>663588.9436015957</v>
      </c>
      <c r="AHV14" s="118">
        <f t="shared" si="146"/>
        <v>663588.9436015957</v>
      </c>
      <c r="AHW14" s="118">
        <f t="shared" si="146"/>
        <v>663588.9436015957</v>
      </c>
      <c r="AHX14" s="118">
        <f t="shared" si="146"/>
        <v>663588.9436015957</v>
      </c>
      <c r="AHY14" s="118">
        <f t="shared" si="146"/>
        <v>663588.9436015957</v>
      </c>
      <c r="AHZ14" s="118">
        <f t="shared" si="146"/>
        <v>663588.9436015957</v>
      </c>
      <c r="AIA14" s="118">
        <f t="shared" si="146"/>
        <v>663588.9436015957</v>
      </c>
      <c r="AIB14" s="118">
        <f t="shared" si="146"/>
        <v>663588.9436015957</v>
      </c>
      <c r="AIC14" s="118">
        <f t="shared" si="146"/>
        <v>663588.9436015957</v>
      </c>
      <c r="AID14" s="118">
        <f t="shared" si="146"/>
        <v>663588.9436015957</v>
      </c>
      <c r="AIE14" s="118">
        <f t="shared" si="146"/>
        <v>663588.9436015957</v>
      </c>
      <c r="AIF14" s="118">
        <f t="shared" si="146"/>
        <v>663588.9436015957</v>
      </c>
      <c r="AIG14" s="118">
        <f t="shared" si="146"/>
        <v>663588.9436015957</v>
      </c>
      <c r="AIH14" s="118">
        <f t="shared" si="146"/>
        <v>663588.9436015957</v>
      </c>
      <c r="AII14" s="118">
        <f t="shared" si="146"/>
        <v>663588.9436015957</v>
      </c>
      <c r="AIJ14" s="118">
        <f t="shared" si="146"/>
        <v>663588.9436015957</v>
      </c>
      <c r="AIK14" s="118">
        <f t="shared" si="146"/>
        <v>663588.9436015957</v>
      </c>
      <c r="AIL14" s="118">
        <f t="shared" si="146"/>
        <v>663588.9436015957</v>
      </c>
      <c r="AIM14" s="118">
        <f t="shared" si="146"/>
        <v>663588.9436015957</v>
      </c>
      <c r="AIN14" s="118">
        <f t="shared" si="146"/>
        <v>663588.9436015957</v>
      </c>
      <c r="AIO14" s="118">
        <f t="shared" si="146"/>
        <v>663588.9436015957</v>
      </c>
      <c r="AIP14" s="118">
        <f t="shared" si="146"/>
        <v>663588.9436015957</v>
      </c>
      <c r="AIQ14" s="118">
        <f t="shared" si="146"/>
        <v>663588.9436015957</v>
      </c>
      <c r="AIR14" s="118">
        <f t="shared" si="146"/>
        <v>663588.9436015957</v>
      </c>
      <c r="AIS14" s="118">
        <f t="shared" si="146"/>
        <v>663588.9436015957</v>
      </c>
      <c r="AIT14" s="118">
        <f t="shared" si="146"/>
        <v>663588.9436015957</v>
      </c>
      <c r="AIU14" s="118">
        <f t="shared" si="146"/>
        <v>663588.9436015957</v>
      </c>
      <c r="AIV14" s="118">
        <f t="shared" si="146"/>
        <v>663588.9436015957</v>
      </c>
      <c r="AIW14" s="118">
        <f t="shared" si="146"/>
        <v>663588.9436015957</v>
      </c>
      <c r="AIX14" s="118">
        <f t="shared" si="146"/>
        <v>663588.9436015957</v>
      </c>
      <c r="AIY14" s="118">
        <f t="shared" si="146"/>
        <v>663588.9436015957</v>
      </c>
      <c r="AIZ14" s="118">
        <f t="shared" si="146"/>
        <v>663588.9436015957</v>
      </c>
      <c r="AJA14" s="118">
        <f t="shared" si="146"/>
        <v>663588.9436015957</v>
      </c>
      <c r="AJB14" s="118">
        <f t="shared" si="146"/>
        <v>663588.9436015957</v>
      </c>
      <c r="AJC14" s="118">
        <f t="shared" si="146"/>
        <v>663588.9436015957</v>
      </c>
      <c r="AJD14" s="118">
        <f t="shared" si="146"/>
        <v>663588.9436015957</v>
      </c>
      <c r="AJE14" s="118">
        <f t="shared" si="146"/>
        <v>663588.9436015957</v>
      </c>
      <c r="AJF14" s="118">
        <f t="shared" si="146"/>
        <v>663588.9436015957</v>
      </c>
      <c r="AJG14" s="118">
        <f t="shared" si="146"/>
        <v>663588.9436015957</v>
      </c>
      <c r="AJH14" s="118">
        <f t="shared" si="146"/>
        <v>663588.9436015957</v>
      </c>
      <c r="AJI14" s="118">
        <f t="shared" si="146"/>
        <v>663588.9436015957</v>
      </c>
      <c r="AJJ14" s="118">
        <f t="shared" si="146"/>
        <v>663588.9436015957</v>
      </c>
      <c r="AJK14" s="118">
        <f t="shared" si="146"/>
        <v>663588.9436015957</v>
      </c>
      <c r="AJL14" s="118">
        <f t="shared" si="146"/>
        <v>663588.9436015957</v>
      </c>
      <c r="AJM14" s="118">
        <f t="shared" si="146"/>
        <v>663588.9436015957</v>
      </c>
      <c r="AJN14" s="118">
        <f t="shared" si="146"/>
        <v>663588.9436015957</v>
      </c>
      <c r="AJO14" s="118">
        <f t="shared" si="146"/>
        <v>663588.9436015957</v>
      </c>
      <c r="AJP14" s="118">
        <f t="shared" si="146"/>
        <v>663588.9436015957</v>
      </c>
      <c r="AJQ14" s="118">
        <f t="shared" si="146"/>
        <v>663588.9436015957</v>
      </c>
      <c r="AJR14" s="118">
        <f t="shared" si="146"/>
        <v>663588.9436015957</v>
      </c>
      <c r="AJS14" s="118">
        <f t="shared" si="146"/>
        <v>663588.9436015957</v>
      </c>
      <c r="AJT14" s="118">
        <f t="shared" si="146"/>
        <v>663588.9436015957</v>
      </c>
      <c r="AJU14" s="118">
        <f t="shared" si="146"/>
        <v>663588.9436015957</v>
      </c>
      <c r="AJV14" s="118">
        <f t="shared" si="146"/>
        <v>663588.9436015957</v>
      </c>
      <c r="AJW14" s="118">
        <f t="shared" si="146"/>
        <v>663588.9436015957</v>
      </c>
      <c r="AJX14" s="118">
        <f t="shared" si="146"/>
        <v>663588.9436015957</v>
      </c>
      <c r="AJY14" s="118">
        <f t="shared" si="146"/>
        <v>663588.9436015957</v>
      </c>
      <c r="AJZ14" s="118">
        <f t="shared" si="146"/>
        <v>663588.9436015957</v>
      </c>
      <c r="AKA14" s="118">
        <f t="shared" si="146"/>
        <v>663588.9436015957</v>
      </c>
      <c r="AKB14" s="118">
        <f t="shared" si="146"/>
        <v>663588.9436015957</v>
      </c>
      <c r="AKC14" s="118">
        <f t="shared" si="146"/>
        <v>663588.9436015957</v>
      </c>
      <c r="AKD14" s="118">
        <f t="shared" si="146"/>
        <v>663588.9436015957</v>
      </c>
      <c r="AKE14" s="118">
        <f t="shared" si="146"/>
        <v>663588.9436015957</v>
      </c>
      <c r="AKF14" s="118">
        <f t="shared" si="146"/>
        <v>663588.9436015957</v>
      </c>
      <c r="AKG14" s="118">
        <f t="shared" ref="AKG14:AMR14" si="147">AKG10-AKG12</f>
        <v>663588.9436015957</v>
      </c>
      <c r="AKH14" s="118">
        <f t="shared" si="147"/>
        <v>663588.9436015957</v>
      </c>
      <c r="AKI14" s="118">
        <f t="shared" si="147"/>
        <v>663588.9436015957</v>
      </c>
      <c r="AKJ14" s="118">
        <f t="shared" si="147"/>
        <v>663588.9436015957</v>
      </c>
      <c r="AKK14" s="118">
        <f t="shared" si="147"/>
        <v>663588.9436015957</v>
      </c>
      <c r="AKL14" s="118">
        <f t="shared" si="147"/>
        <v>663588.9436015957</v>
      </c>
      <c r="AKM14" s="118">
        <f t="shared" si="147"/>
        <v>663588.9436015957</v>
      </c>
      <c r="AKN14" s="118">
        <f t="shared" si="147"/>
        <v>663588.9436015957</v>
      </c>
      <c r="AKO14" s="118">
        <f t="shared" si="147"/>
        <v>663588.9436015957</v>
      </c>
      <c r="AKP14" s="118">
        <f t="shared" si="147"/>
        <v>663588.9436015957</v>
      </c>
      <c r="AKQ14" s="118">
        <f t="shared" si="147"/>
        <v>663588.9436015957</v>
      </c>
      <c r="AKR14" s="118">
        <f t="shared" si="147"/>
        <v>663588.9436015957</v>
      </c>
      <c r="AKS14" s="118">
        <f t="shared" si="147"/>
        <v>663588.9436015957</v>
      </c>
      <c r="AKT14" s="118">
        <f t="shared" si="147"/>
        <v>663588.9436015957</v>
      </c>
      <c r="AKU14" s="118">
        <f t="shared" si="147"/>
        <v>663588.9436015957</v>
      </c>
      <c r="AKV14" s="118">
        <f t="shared" si="147"/>
        <v>663588.9436015957</v>
      </c>
      <c r="AKW14" s="118">
        <f t="shared" si="147"/>
        <v>663588.9436015957</v>
      </c>
      <c r="AKX14" s="118">
        <f t="shared" si="147"/>
        <v>663588.9436015957</v>
      </c>
      <c r="AKY14" s="118">
        <f t="shared" si="147"/>
        <v>663588.9436015957</v>
      </c>
      <c r="AKZ14" s="118">
        <f t="shared" si="147"/>
        <v>663588.9436015957</v>
      </c>
      <c r="ALA14" s="118">
        <f t="shared" si="147"/>
        <v>663588.9436015957</v>
      </c>
      <c r="ALB14" s="118">
        <f t="shared" si="147"/>
        <v>663588.9436015957</v>
      </c>
      <c r="ALC14" s="118">
        <f t="shared" si="147"/>
        <v>663588.9436015957</v>
      </c>
      <c r="ALD14" s="118">
        <f t="shared" si="147"/>
        <v>663588.9436015957</v>
      </c>
      <c r="ALE14" s="118">
        <f t="shared" si="147"/>
        <v>663588.9436015957</v>
      </c>
      <c r="ALF14" s="118">
        <f t="shared" si="147"/>
        <v>663588.9436015957</v>
      </c>
      <c r="ALG14" s="118">
        <f t="shared" si="147"/>
        <v>663588.9436015957</v>
      </c>
      <c r="ALH14" s="118">
        <f t="shared" si="147"/>
        <v>663588.9436015957</v>
      </c>
      <c r="ALI14" s="118">
        <f t="shared" si="147"/>
        <v>663588.9436015957</v>
      </c>
      <c r="ALJ14" s="118">
        <f t="shared" si="147"/>
        <v>663588.9436015957</v>
      </c>
      <c r="ALK14" s="118">
        <f t="shared" si="147"/>
        <v>663588.9436015957</v>
      </c>
      <c r="ALL14" s="118">
        <f t="shared" si="147"/>
        <v>663588.9436015957</v>
      </c>
      <c r="ALM14" s="118">
        <f t="shared" si="147"/>
        <v>663588.9436015957</v>
      </c>
      <c r="ALN14" s="118">
        <f t="shared" si="147"/>
        <v>663588.9436015957</v>
      </c>
      <c r="ALO14" s="118">
        <f t="shared" si="147"/>
        <v>663588.9436015957</v>
      </c>
      <c r="ALP14" s="118">
        <f t="shared" si="147"/>
        <v>663588.9436015957</v>
      </c>
      <c r="ALQ14" s="118">
        <f t="shared" si="147"/>
        <v>663588.9436015957</v>
      </c>
      <c r="ALR14" s="118">
        <f t="shared" si="147"/>
        <v>663588.9436015957</v>
      </c>
      <c r="ALS14" s="118">
        <f t="shared" si="147"/>
        <v>663588.9436015957</v>
      </c>
      <c r="ALT14" s="118">
        <f t="shared" si="147"/>
        <v>663588.9436015957</v>
      </c>
      <c r="ALU14" s="118">
        <f t="shared" si="147"/>
        <v>663588.9436015957</v>
      </c>
      <c r="ALV14" s="118">
        <f t="shared" si="147"/>
        <v>663588.9436015957</v>
      </c>
      <c r="ALW14" s="118">
        <f t="shared" si="147"/>
        <v>663588.9436015957</v>
      </c>
      <c r="ALX14" s="118">
        <f t="shared" si="147"/>
        <v>663588.9436015957</v>
      </c>
      <c r="ALY14" s="118">
        <f t="shared" si="147"/>
        <v>663588.9436015957</v>
      </c>
      <c r="ALZ14" s="118">
        <f t="shared" si="147"/>
        <v>663588.9436015957</v>
      </c>
      <c r="AMA14" s="118">
        <f t="shared" si="147"/>
        <v>663588.9436015957</v>
      </c>
      <c r="AMB14" s="118">
        <f t="shared" si="147"/>
        <v>663588.9436015957</v>
      </c>
      <c r="AMC14" s="118">
        <f t="shared" si="147"/>
        <v>663588.9436015957</v>
      </c>
      <c r="AMD14" s="118">
        <f t="shared" si="147"/>
        <v>663588.9436015957</v>
      </c>
      <c r="AME14" s="118">
        <f t="shared" si="147"/>
        <v>663588.9436015957</v>
      </c>
      <c r="AMF14" s="118">
        <f t="shared" si="147"/>
        <v>663588.9436015957</v>
      </c>
      <c r="AMG14" s="118">
        <f t="shared" si="147"/>
        <v>663588.9436015957</v>
      </c>
      <c r="AMH14" s="118">
        <f t="shared" si="147"/>
        <v>663588.9436015957</v>
      </c>
      <c r="AMI14" s="118">
        <f t="shared" si="147"/>
        <v>663588.9436015957</v>
      </c>
      <c r="AMJ14" s="118">
        <f t="shared" si="147"/>
        <v>663588.9436015957</v>
      </c>
      <c r="AMK14" s="118">
        <f t="shared" si="147"/>
        <v>663588.9436015957</v>
      </c>
      <c r="AML14" s="118">
        <f t="shared" si="147"/>
        <v>663588.9436015957</v>
      </c>
      <c r="AMM14" s="118">
        <f t="shared" si="147"/>
        <v>663588.9436015957</v>
      </c>
      <c r="AMN14" s="118">
        <f t="shared" si="147"/>
        <v>663588.9436015957</v>
      </c>
      <c r="AMO14" s="118">
        <f t="shared" si="147"/>
        <v>663588.9436015957</v>
      </c>
      <c r="AMP14" s="118">
        <f t="shared" si="147"/>
        <v>663588.9436015957</v>
      </c>
      <c r="AMQ14" s="118">
        <f t="shared" si="147"/>
        <v>663588.9436015957</v>
      </c>
      <c r="AMR14" s="118">
        <f t="shared" si="147"/>
        <v>663588.9436015957</v>
      </c>
      <c r="AMS14" s="118">
        <f t="shared" ref="AMS14:APD14" si="148">AMS10-AMS12</f>
        <v>663588.9436015957</v>
      </c>
      <c r="AMT14" s="118">
        <f t="shared" si="148"/>
        <v>663588.9436015957</v>
      </c>
      <c r="AMU14" s="118">
        <f t="shared" si="148"/>
        <v>663588.9436015957</v>
      </c>
      <c r="AMV14" s="118">
        <f t="shared" si="148"/>
        <v>663588.9436015957</v>
      </c>
      <c r="AMW14" s="118">
        <f t="shared" si="148"/>
        <v>663588.9436015957</v>
      </c>
      <c r="AMX14" s="118">
        <f t="shared" si="148"/>
        <v>663588.9436015957</v>
      </c>
      <c r="AMY14" s="118">
        <f t="shared" si="148"/>
        <v>663588.9436015957</v>
      </c>
      <c r="AMZ14" s="118">
        <f t="shared" si="148"/>
        <v>663588.9436015957</v>
      </c>
      <c r="ANA14" s="118">
        <f t="shared" si="148"/>
        <v>663588.9436015957</v>
      </c>
      <c r="ANB14" s="118">
        <f t="shared" si="148"/>
        <v>663588.9436015957</v>
      </c>
      <c r="ANC14" s="118">
        <f t="shared" si="148"/>
        <v>663588.9436015957</v>
      </c>
      <c r="AND14" s="118">
        <f t="shared" si="148"/>
        <v>663588.9436015957</v>
      </c>
      <c r="ANE14" s="118">
        <f t="shared" si="148"/>
        <v>663588.9436015957</v>
      </c>
      <c r="ANF14" s="118">
        <f t="shared" si="148"/>
        <v>663588.9436015957</v>
      </c>
      <c r="ANG14" s="118">
        <f t="shared" si="148"/>
        <v>663588.9436015957</v>
      </c>
      <c r="ANH14" s="118">
        <f t="shared" si="148"/>
        <v>663588.9436015957</v>
      </c>
      <c r="ANI14" s="118">
        <f t="shared" si="148"/>
        <v>663588.9436015957</v>
      </c>
      <c r="ANJ14" s="118">
        <f t="shared" si="148"/>
        <v>663588.9436015957</v>
      </c>
      <c r="ANK14" s="118">
        <f t="shared" si="148"/>
        <v>663588.9436015957</v>
      </c>
      <c r="ANL14" s="118">
        <f t="shared" si="148"/>
        <v>663588.9436015957</v>
      </c>
      <c r="ANM14" s="118">
        <f t="shared" si="148"/>
        <v>663588.9436015957</v>
      </c>
      <c r="ANN14" s="118">
        <f t="shared" si="148"/>
        <v>663588.9436015957</v>
      </c>
      <c r="ANO14" s="118">
        <f t="shared" si="148"/>
        <v>663588.9436015957</v>
      </c>
      <c r="ANP14" s="118">
        <f t="shared" si="148"/>
        <v>663588.9436015957</v>
      </c>
      <c r="ANQ14" s="118">
        <f t="shared" si="148"/>
        <v>663588.9436015957</v>
      </c>
      <c r="ANR14" s="118">
        <f t="shared" si="148"/>
        <v>663588.9436015957</v>
      </c>
      <c r="ANS14" s="118">
        <f t="shared" si="148"/>
        <v>663588.9436015957</v>
      </c>
      <c r="ANT14" s="118">
        <f t="shared" si="148"/>
        <v>663588.9436015957</v>
      </c>
      <c r="ANU14" s="118">
        <f t="shared" si="148"/>
        <v>663588.9436015957</v>
      </c>
      <c r="ANV14" s="118">
        <f t="shared" si="148"/>
        <v>663588.9436015957</v>
      </c>
      <c r="ANW14" s="118">
        <f t="shared" si="148"/>
        <v>663588.9436015957</v>
      </c>
      <c r="ANX14" s="118">
        <f t="shared" si="148"/>
        <v>663588.9436015957</v>
      </c>
      <c r="ANY14" s="118">
        <f t="shared" si="148"/>
        <v>663588.9436015957</v>
      </c>
      <c r="ANZ14" s="118">
        <f t="shared" si="148"/>
        <v>663588.9436015957</v>
      </c>
      <c r="AOA14" s="118">
        <f t="shared" si="148"/>
        <v>663588.9436015957</v>
      </c>
      <c r="AOB14" s="118">
        <f t="shared" si="148"/>
        <v>663588.9436015957</v>
      </c>
      <c r="AOC14" s="118">
        <f t="shared" si="148"/>
        <v>663588.9436015957</v>
      </c>
      <c r="AOD14" s="118">
        <f t="shared" si="148"/>
        <v>663588.9436015957</v>
      </c>
      <c r="AOE14" s="118">
        <f t="shared" si="148"/>
        <v>663588.9436015957</v>
      </c>
      <c r="AOF14" s="118">
        <f t="shared" si="148"/>
        <v>663588.9436015957</v>
      </c>
      <c r="AOG14" s="118">
        <f t="shared" si="148"/>
        <v>663588.9436015957</v>
      </c>
      <c r="AOH14" s="118">
        <f t="shared" si="148"/>
        <v>663588.9436015957</v>
      </c>
      <c r="AOI14" s="118">
        <f t="shared" si="148"/>
        <v>663588.9436015957</v>
      </c>
      <c r="AOJ14" s="118">
        <f t="shared" si="148"/>
        <v>663588.9436015957</v>
      </c>
      <c r="AOK14" s="118">
        <f t="shared" si="148"/>
        <v>663588.9436015957</v>
      </c>
      <c r="AOL14" s="118">
        <f t="shared" si="148"/>
        <v>663588.9436015957</v>
      </c>
      <c r="AOM14" s="118">
        <f t="shared" si="148"/>
        <v>663588.9436015957</v>
      </c>
      <c r="AON14" s="118">
        <f t="shared" si="148"/>
        <v>663588.9436015957</v>
      </c>
      <c r="AOO14" s="118">
        <f t="shared" si="148"/>
        <v>663588.9436015957</v>
      </c>
      <c r="AOP14" s="118">
        <f t="shared" si="148"/>
        <v>663588.9436015957</v>
      </c>
      <c r="AOQ14" s="118">
        <f t="shared" si="148"/>
        <v>663588.9436015957</v>
      </c>
      <c r="AOR14" s="118">
        <f t="shared" si="148"/>
        <v>663588.9436015957</v>
      </c>
      <c r="AOS14" s="118">
        <f t="shared" si="148"/>
        <v>663588.9436015957</v>
      </c>
      <c r="AOT14" s="118">
        <f t="shared" si="148"/>
        <v>663588.9436015957</v>
      </c>
      <c r="AOU14" s="118">
        <f t="shared" si="148"/>
        <v>663588.9436015957</v>
      </c>
      <c r="AOV14" s="118">
        <f t="shared" si="148"/>
        <v>663588.9436015957</v>
      </c>
      <c r="AOW14" s="118">
        <f t="shared" si="148"/>
        <v>663588.9436015957</v>
      </c>
      <c r="AOX14" s="118">
        <f t="shared" si="148"/>
        <v>663588.9436015957</v>
      </c>
      <c r="AOY14" s="118">
        <f t="shared" si="148"/>
        <v>663588.9436015957</v>
      </c>
      <c r="AOZ14" s="118">
        <f t="shared" si="148"/>
        <v>663588.9436015957</v>
      </c>
      <c r="APA14" s="118">
        <f t="shared" si="148"/>
        <v>663588.9436015957</v>
      </c>
      <c r="APB14" s="118">
        <f t="shared" si="148"/>
        <v>663588.9436015957</v>
      </c>
      <c r="APC14" s="118">
        <f t="shared" si="148"/>
        <v>663588.9436015957</v>
      </c>
      <c r="APD14" s="118">
        <f t="shared" si="148"/>
        <v>663588.9436015957</v>
      </c>
      <c r="APE14" s="118">
        <f t="shared" ref="APE14:ARP14" si="149">APE10-APE12</f>
        <v>663588.9436015957</v>
      </c>
      <c r="APF14" s="118">
        <f t="shared" si="149"/>
        <v>663588.9436015957</v>
      </c>
      <c r="APG14" s="118">
        <f t="shared" si="149"/>
        <v>663588.9436015957</v>
      </c>
      <c r="APH14" s="118">
        <f t="shared" si="149"/>
        <v>663588.9436015957</v>
      </c>
      <c r="API14" s="118">
        <f t="shared" si="149"/>
        <v>663588.9436015957</v>
      </c>
      <c r="APJ14" s="118">
        <f t="shared" si="149"/>
        <v>663588.9436015957</v>
      </c>
      <c r="APK14" s="118">
        <f t="shared" si="149"/>
        <v>663588.9436015957</v>
      </c>
      <c r="APL14" s="118">
        <f t="shared" si="149"/>
        <v>663588.9436015957</v>
      </c>
      <c r="APM14" s="118">
        <f t="shared" si="149"/>
        <v>663588.9436015957</v>
      </c>
      <c r="APN14" s="118">
        <f t="shared" si="149"/>
        <v>663588.9436015957</v>
      </c>
      <c r="APO14" s="118">
        <f t="shared" si="149"/>
        <v>663588.9436015957</v>
      </c>
      <c r="APP14" s="118">
        <f t="shared" si="149"/>
        <v>663588.9436015957</v>
      </c>
      <c r="APQ14" s="118">
        <f t="shared" si="149"/>
        <v>663588.9436015957</v>
      </c>
      <c r="APR14" s="118">
        <f t="shared" si="149"/>
        <v>663588.9436015957</v>
      </c>
      <c r="APS14" s="118">
        <f t="shared" si="149"/>
        <v>663588.9436015957</v>
      </c>
      <c r="APT14" s="118">
        <f t="shared" si="149"/>
        <v>663588.9436015957</v>
      </c>
      <c r="APU14" s="118">
        <f t="shared" si="149"/>
        <v>663588.9436015957</v>
      </c>
      <c r="APV14" s="118">
        <f t="shared" si="149"/>
        <v>663588.9436015957</v>
      </c>
      <c r="APW14" s="118">
        <f t="shared" si="149"/>
        <v>663588.9436015957</v>
      </c>
      <c r="APX14" s="118">
        <f t="shared" si="149"/>
        <v>663588.9436015957</v>
      </c>
      <c r="APY14" s="118">
        <f t="shared" si="149"/>
        <v>663588.9436015957</v>
      </c>
      <c r="APZ14" s="118">
        <f t="shared" si="149"/>
        <v>663588.9436015957</v>
      </c>
      <c r="AQA14" s="118">
        <f t="shared" si="149"/>
        <v>663588.9436015957</v>
      </c>
      <c r="AQB14" s="118">
        <f t="shared" si="149"/>
        <v>663588.9436015957</v>
      </c>
      <c r="AQC14" s="118">
        <f t="shared" si="149"/>
        <v>663588.9436015957</v>
      </c>
      <c r="AQD14" s="118">
        <f t="shared" si="149"/>
        <v>663588.9436015957</v>
      </c>
      <c r="AQE14" s="118">
        <f t="shared" si="149"/>
        <v>663588.9436015957</v>
      </c>
      <c r="AQF14" s="118">
        <f t="shared" si="149"/>
        <v>663588.9436015957</v>
      </c>
      <c r="AQG14" s="118">
        <f t="shared" si="149"/>
        <v>663588.9436015957</v>
      </c>
      <c r="AQH14" s="118">
        <f t="shared" si="149"/>
        <v>663588.9436015957</v>
      </c>
      <c r="AQI14" s="118">
        <f t="shared" si="149"/>
        <v>663588.9436015957</v>
      </c>
      <c r="AQJ14" s="118">
        <f t="shared" si="149"/>
        <v>663588.9436015957</v>
      </c>
      <c r="AQK14" s="118">
        <f t="shared" si="149"/>
        <v>663588.9436015957</v>
      </c>
      <c r="AQL14" s="118">
        <f t="shared" si="149"/>
        <v>663588.9436015957</v>
      </c>
      <c r="AQM14" s="118">
        <f t="shared" si="149"/>
        <v>663588.9436015957</v>
      </c>
      <c r="AQN14" s="118">
        <f t="shared" si="149"/>
        <v>663588.9436015957</v>
      </c>
      <c r="AQO14" s="118">
        <f t="shared" si="149"/>
        <v>663588.9436015957</v>
      </c>
      <c r="AQP14" s="118">
        <f t="shared" si="149"/>
        <v>663588.9436015957</v>
      </c>
      <c r="AQQ14" s="118">
        <f t="shared" si="149"/>
        <v>663588.9436015957</v>
      </c>
      <c r="AQR14" s="118">
        <f t="shared" si="149"/>
        <v>663588.9436015957</v>
      </c>
      <c r="AQS14" s="118">
        <f t="shared" si="149"/>
        <v>663588.9436015957</v>
      </c>
      <c r="AQT14" s="118">
        <f t="shared" si="149"/>
        <v>663588.9436015957</v>
      </c>
      <c r="AQU14" s="118">
        <f t="shared" si="149"/>
        <v>663588.9436015957</v>
      </c>
      <c r="AQV14" s="118">
        <f t="shared" si="149"/>
        <v>663588.9436015957</v>
      </c>
      <c r="AQW14" s="118">
        <f t="shared" si="149"/>
        <v>663588.9436015957</v>
      </c>
      <c r="AQX14" s="118">
        <f t="shared" si="149"/>
        <v>663588.9436015957</v>
      </c>
      <c r="AQY14" s="118">
        <f t="shared" si="149"/>
        <v>663588.9436015957</v>
      </c>
      <c r="AQZ14" s="118">
        <f t="shared" si="149"/>
        <v>663588.9436015957</v>
      </c>
      <c r="ARA14" s="118">
        <f t="shared" si="149"/>
        <v>663588.9436015957</v>
      </c>
      <c r="ARB14" s="118">
        <f t="shared" si="149"/>
        <v>663588.9436015957</v>
      </c>
      <c r="ARC14" s="118">
        <f t="shared" si="149"/>
        <v>663588.9436015957</v>
      </c>
      <c r="ARD14" s="118">
        <f t="shared" si="149"/>
        <v>663588.9436015957</v>
      </c>
      <c r="ARE14" s="118">
        <f t="shared" si="149"/>
        <v>663588.9436015957</v>
      </c>
      <c r="ARF14" s="118">
        <f t="shared" si="149"/>
        <v>663588.9436015957</v>
      </c>
      <c r="ARG14" s="118">
        <f t="shared" si="149"/>
        <v>663588.9436015957</v>
      </c>
      <c r="ARH14" s="118">
        <f t="shared" si="149"/>
        <v>663588.9436015957</v>
      </c>
      <c r="ARI14" s="118">
        <f t="shared" si="149"/>
        <v>663588.9436015957</v>
      </c>
      <c r="ARJ14" s="118">
        <f t="shared" si="149"/>
        <v>663588.9436015957</v>
      </c>
      <c r="ARK14" s="118">
        <f t="shared" si="149"/>
        <v>663588.9436015957</v>
      </c>
      <c r="ARL14" s="118">
        <f t="shared" si="149"/>
        <v>663588.9436015957</v>
      </c>
      <c r="ARM14" s="118">
        <f t="shared" si="149"/>
        <v>663588.9436015957</v>
      </c>
      <c r="ARN14" s="118">
        <f t="shared" si="149"/>
        <v>663588.9436015957</v>
      </c>
      <c r="ARO14" s="118">
        <f t="shared" si="149"/>
        <v>663588.9436015957</v>
      </c>
      <c r="ARP14" s="118">
        <f t="shared" si="149"/>
        <v>663588.9436015957</v>
      </c>
      <c r="ARQ14" s="118">
        <f t="shared" ref="ARQ14:AUB14" si="150">ARQ10-ARQ12</f>
        <v>663588.9436015957</v>
      </c>
      <c r="ARR14" s="118">
        <f t="shared" si="150"/>
        <v>663588.9436015957</v>
      </c>
      <c r="ARS14" s="118">
        <f t="shared" si="150"/>
        <v>663588.9436015957</v>
      </c>
      <c r="ART14" s="118">
        <f t="shared" si="150"/>
        <v>663588.9436015957</v>
      </c>
      <c r="ARU14" s="118">
        <f t="shared" si="150"/>
        <v>663588.9436015957</v>
      </c>
      <c r="ARV14" s="118">
        <f t="shared" si="150"/>
        <v>663588.9436015957</v>
      </c>
      <c r="ARW14" s="118">
        <f t="shared" si="150"/>
        <v>663588.9436015957</v>
      </c>
      <c r="ARX14" s="118">
        <f t="shared" si="150"/>
        <v>663588.9436015957</v>
      </c>
      <c r="ARY14" s="118">
        <f t="shared" si="150"/>
        <v>663588.9436015957</v>
      </c>
      <c r="ARZ14" s="118">
        <f t="shared" si="150"/>
        <v>663588.9436015957</v>
      </c>
      <c r="ASA14" s="118">
        <f t="shared" si="150"/>
        <v>663588.9436015957</v>
      </c>
      <c r="ASB14" s="118">
        <f t="shared" si="150"/>
        <v>663588.9436015957</v>
      </c>
      <c r="ASC14" s="118">
        <f t="shared" si="150"/>
        <v>663588.9436015957</v>
      </c>
      <c r="ASD14" s="118">
        <f t="shared" si="150"/>
        <v>663588.9436015957</v>
      </c>
      <c r="ASE14" s="118">
        <f t="shared" si="150"/>
        <v>663588.9436015957</v>
      </c>
      <c r="ASF14" s="118">
        <f t="shared" si="150"/>
        <v>663588.9436015957</v>
      </c>
      <c r="ASG14" s="118">
        <f t="shared" si="150"/>
        <v>663588.9436015957</v>
      </c>
      <c r="ASH14" s="118">
        <f t="shared" si="150"/>
        <v>663588.9436015957</v>
      </c>
      <c r="ASI14" s="118">
        <f t="shared" si="150"/>
        <v>663588.9436015957</v>
      </c>
      <c r="ASJ14" s="118">
        <f t="shared" si="150"/>
        <v>663588.9436015957</v>
      </c>
      <c r="ASK14" s="118">
        <f t="shared" si="150"/>
        <v>663588.9436015957</v>
      </c>
      <c r="ASL14" s="118">
        <f t="shared" si="150"/>
        <v>663588.9436015957</v>
      </c>
      <c r="ASM14" s="118">
        <f t="shared" si="150"/>
        <v>663588.9436015957</v>
      </c>
      <c r="ASN14" s="118">
        <f t="shared" si="150"/>
        <v>663588.9436015957</v>
      </c>
      <c r="ASO14" s="118">
        <f t="shared" si="150"/>
        <v>663588.9436015957</v>
      </c>
      <c r="ASP14" s="118">
        <f t="shared" si="150"/>
        <v>663588.9436015957</v>
      </c>
      <c r="ASQ14" s="118">
        <f t="shared" si="150"/>
        <v>663588.9436015957</v>
      </c>
      <c r="ASR14" s="118">
        <f t="shared" si="150"/>
        <v>663588.9436015957</v>
      </c>
      <c r="ASS14" s="118">
        <f t="shared" si="150"/>
        <v>663588.9436015957</v>
      </c>
      <c r="AST14" s="118">
        <f t="shared" si="150"/>
        <v>663588.9436015957</v>
      </c>
      <c r="ASU14" s="118">
        <f t="shared" si="150"/>
        <v>663588.9436015957</v>
      </c>
      <c r="ASV14" s="118">
        <f t="shared" si="150"/>
        <v>663588.9436015957</v>
      </c>
      <c r="ASW14" s="118">
        <f t="shared" si="150"/>
        <v>663588.9436015957</v>
      </c>
      <c r="ASX14" s="118">
        <f t="shared" si="150"/>
        <v>663588.9436015957</v>
      </c>
      <c r="ASY14" s="118">
        <f t="shared" si="150"/>
        <v>663588.9436015957</v>
      </c>
      <c r="ASZ14" s="118">
        <f t="shared" si="150"/>
        <v>663588.9436015957</v>
      </c>
      <c r="ATA14" s="118">
        <f t="shared" si="150"/>
        <v>663588.9436015957</v>
      </c>
      <c r="ATB14" s="118">
        <f t="shared" si="150"/>
        <v>663588.9436015957</v>
      </c>
      <c r="ATC14" s="118">
        <f t="shared" si="150"/>
        <v>663588.9436015957</v>
      </c>
      <c r="ATD14" s="118">
        <f t="shared" si="150"/>
        <v>663588.9436015957</v>
      </c>
      <c r="ATE14" s="118">
        <f t="shared" si="150"/>
        <v>663588.9436015957</v>
      </c>
      <c r="ATF14" s="118">
        <f t="shared" si="150"/>
        <v>663588.9436015957</v>
      </c>
      <c r="ATG14" s="118">
        <f t="shared" si="150"/>
        <v>663588.9436015957</v>
      </c>
      <c r="ATH14" s="118">
        <f t="shared" si="150"/>
        <v>663588.9436015957</v>
      </c>
      <c r="ATI14" s="118">
        <f t="shared" si="150"/>
        <v>663588.9436015957</v>
      </c>
      <c r="ATJ14" s="118">
        <f t="shared" si="150"/>
        <v>663588.9436015957</v>
      </c>
      <c r="ATK14" s="118">
        <f t="shared" si="150"/>
        <v>663588.9436015957</v>
      </c>
      <c r="ATL14" s="118">
        <f t="shared" si="150"/>
        <v>663588.9436015957</v>
      </c>
      <c r="ATM14" s="118">
        <f t="shared" si="150"/>
        <v>663588.9436015957</v>
      </c>
      <c r="ATN14" s="118">
        <f t="shared" si="150"/>
        <v>663588.9436015957</v>
      </c>
      <c r="ATO14" s="118">
        <f t="shared" si="150"/>
        <v>663588.9436015957</v>
      </c>
      <c r="ATP14" s="118">
        <f t="shared" si="150"/>
        <v>663588.9436015957</v>
      </c>
      <c r="ATQ14" s="118">
        <f t="shared" si="150"/>
        <v>663588.9436015957</v>
      </c>
      <c r="ATR14" s="118">
        <f t="shared" si="150"/>
        <v>663588.9436015957</v>
      </c>
      <c r="ATS14" s="118">
        <f t="shared" si="150"/>
        <v>663588.9436015957</v>
      </c>
      <c r="ATT14" s="118">
        <f t="shared" si="150"/>
        <v>663588.9436015957</v>
      </c>
      <c r="ATU14" s="118">
        <f t="shared" si="150"/>
        <v>663588.9436015957</v>
      </c>
      <c r="ATV14" s="118">
        <f t="shared" si="150"/>
        <v>663588.9436015957</v>
      </c>
      <c r="ATW14" s="118">
        <f t="shared" si="150"/>
        <v>663588.9436015957</v>
      </c>
      <c r="ATX14" s="118">
        <f t="shared" si="150"/>
        <v>663588.9436015957</v>
      </c>
      <c r="ATY14" s="118">
        <f t="shared" si="150"/>
        <v>663588.9436015957</v>
      </c>
      <c r="ATZ14" s="118">
        <f t="shared" si="150"/>
        <v>663588.9436015957</v>
      </c>
      <c r="AUA14" s="118">
        <f t="shared" si="150"/>
        <v>663588.9436015957</v>
      </c>
      <c r="AUB14" s="118">
        <f t="shared" si="150"/>
        <v>663588.9436015957</v>
      </c>
      <c r="AUC14" s="118">
        <f t="shared" ref="AUC14:AWN14" si="151">AUC10-AUC12</f>
        <v>663588.9436015957</v>
      </c>
      <c r="AUD14" s="118">
        <f t="shared" si="151"/>
        <v>663588.9436015957</v>
      </c>
      <c r="AUE14" s="118">
        <f t="shared" si="151"/>
        <v>663588.9436015957</v>
      </c>
      <c r="AUF14" s="118">
        <f t="shared" si="151"/>
        <v>663588.9436015957</v>
      </c>
      <c r="AUG14" s="118">
        <f t="shared" si="151"/>
        <v>663588.9436015957</v>
      </c>
      <c r="AUH14" s="118">
        <f t="shared" si="151"/>
        <v>663588.9436015957</v>
      </c>
      <c r="AUI14" s="118">
        <f t="shared" si="151"/>
        <v>663588.9436015957</v>
      </c>
      <c r="AUJ14" s="118">
        <f t="shared" si="151"/>
        <v>663588.9436015957</v>
      </c>
      <c r="AUK14" s="118">
        <f t="shared" si="151"/>
        <v>663588.9436015957</v>
      </c>
      <c r="AUL14" s="118">
        <f t="shared" si="151"/>
        <v>663588.9436015957</v>
      </c>
      <c r="AUM14" s="118">
        <f t="shared" si="151"/>
        <v>663588.9436015957</v>
      </c>
      <c r="AUN14" s="118">
        <f t="shared" si="151"/>
        <v>663588.9436015957</v>
      </c>
      <c r="AUO14" s="118">
        <f t="shared" si="151"/>
        <v>663588.9436015957</v>
      </c>
      <c r="AUP14" s="118">
        <f t="shared" si="151"/>
        <v>663588.9436015957</v>
      </c>
      <c r="AUQ14" s="118">
        <f t="shared" si="151"/>
        <v>663588.9436015957</v>
      </c>
      <c r="AUR14" s="118">
        <f t="shared" si="151"/>
        <v>663588.9436015957</v>
      </c>
      <c r="AUS14" s="118">
        <f t="shared" si="151"/>
        <v>663588.9436015957</v>
      </c>
      <c r="AUT14" s="118">
        <f t="shared" si="151"/>
        <v>663588.9436015957</v>
      </c>
      <c r="AUU14" s="118">
        <f t="shared" si="151"/>
        <v>663588.9436015957</v>
      </c>
      <c r="AUV14" s="118">
        <f t="shared" si="151"/>
        <v>663588.9436015957</v>
      </c>
      <c r="AUW14" s="118">
        <f t="shared" si="151"/>
        <v>663588.9436015957</v>
      </c>
      <c r="AUX14" s="118">
        <f t="shared" si="151"/>
        <v>663588.9436015957</v>
      </c>
      <c r="AUY14" s="118">
        <f t="shared" si="151"/>
        <v>663588.9436015957</v>
      </c>
      <c r="AUZ14" s="118">
        <f t="shared" si="151"/>
        <v>663588.9436015957</v>
      </c>
      <c r="AVA14" s="118">
        <f t="shared" si="151"/>
        <v>663588.9436015957</v>
      </c>
      <c r="AVB14" s="118">
        <f t="shared" si="151"/>
        <v>663588.9436015957</v>
      </c>
      <c r="AVC14" s="118">
        <f t="shared" si="151"/>
        <v>663588.9436015957</v>
      </c>
      <c r="AVD14" s="118">
        <f t="shared" si="151"/>
        <v>663588.9436015957</v>
      </c>
      <c r="AVE14" s="118">
        <f t="shared" si="151"/>
        <v>663588.9436015957</v>
      </c>
      <c r="AVF14" s="118">
        <f t="shared" si="151"/>
        <v>663588.9436015957</v>
      </c>
      <c r="AVG14" s="118">
        <f t="shared" si="151"/>
        <v>663588.9436015957</v>
      </c>
      <c r="AVH14" s="118">
        <f t="shared" si="151"/>
        <v>663588.9436015957</v>
      </c>
      <c r="AVI14" s="118">
        <f t="shared" si="151"/>
        <v>663588.9436015957</v>
      </c>
      <c r="AVJ14" s="118">
        <f t="shared" si="151"/>
        <v>663588.9436015957</v>
      </c>
      <c r="AVK14" s="118">
        <f t="shared" si="151"/>
        <v>663588.9436015957</v>
      </c>
      <c r="AVL14" s="118">
        <f t="shared" si="151"/>
        <v>663588.9436015957</v>
      </c>
      <c r="AVM14" s="118">
        <f t="shared" si="151"/>
        <v>663588.9436015957</v>
      </c>
      <c r="AVN14" s="118">
        <f t="shared" si="151"/>
        <v>663588.9436015957</v>
      </c>
      <c r="AVO14" s="118">
        <f t="shared" si="151"/>
        <v>663588.9436015957</v>
      </c>
      <c r="AVP14" s="118">
        <f t="shared" si="151"/>
        <v>663588.9436015957</v>
      </c>
      <c r="AVQ14" s="118">
        <f t="shared" si="151"/>
        <v>663588.9436015957</v>
      </c>
      <c r="AVR14" s="118">
        <f t="shared" si="151"/>
        <v>663588.9436015957</v>
      </c>
      <c r="AVS14" s="118">
        <f t="shared" si="151"/>
        <v>663588.9436015957</v>
      </c>
      <c r="AVT14" s="118">
        <f t="shared" si="151"/>
        <v>663588.9436015957</v>
      </c>
      <c r="AVU14" s="118">
        <f t="shared" si="151"/>
        <v>663588.9436015957</v>
      </c>
      <c r="AVV14" s="118">
        <f t="shared" si="151"/>
        <v>663588.9436015957</v>
      </c>
      <c r="AVW14" s="118">
        <f t="shared" si="151"/>
        <v>663588.9436015957</v>
      </c>
      <c r="AVX14" s="118">
        <f t="shared" si="151"/>
        <v>663588.9436015957</v>
      </c>
      <c r="AVY14" s="118">
        <f t="shared" si="151"/>
        <v>663588.9436015957</v>
      </c>
      <c r="AVZ14" s="118">
        <f t="shared" si="151"/>
        <v>663588.9436015957</v>
      </c>
      <c r="AWA14" s="118">
        <f t="shared" si="151"/>
        <v>663588.9436015957</v>
      </c>
      <c r="AWB14" s="118">
        <f t="shared" si="151"/>
        <v>663588.9436015957</v>
      </c>
      <c r="AWC14" s="118">
        <f t="shared" si="151"/>
        <v>663588.9436015957</v>
      </c>
      <c r="AWD14" s="118">
        <f t="shared" si="151"/>
        <v>663588.9436015957</v>
      </c>
      <c r="AWE14" s="118">
        <f t="shared" si="151"/>
        <v>663588.9436015957</v>
      </c>
      <c r="AWF14" s="118">
        <f t="shared" si="151"/>
        <v>663588.9436015957</v>
      </c>
      <c r="AWG14" s="118">
        <f t="shared" si="151"/>
        <v>663588.9436015957</v>
      </c>
      <c r="AWH14" s="118">
        <f t="shared" si="151"/>
        <v>663588.9436015957</v>
      </c>
      <c r="AWI14" s="118">
        <f t="shared" si="151"/>
        <v>663588.9436015957</v>
      </c>
      <c r="AWJ14" s="118">
        <f t="shared" si="151"/>
        <v>663588.9436015957</v>
      </c>
      <c r="AWK14" s="118">
        <f t="shared" si="151"/>
        <v>663588.9436015957</v>
      </c>
      <c r="AWL14" s="118">
        <f t="shared" si="151"/>
        <v>663588.9436015957</v>
      </c>
      <c r="AWM14" s="118">
        <f t="shared" si="151"/>
        <v>663588.9436015957</v>
      </c>
      <c r="AWN14" s="118">
        <f t="shared" si="151"/>
        <v>663588.9436015957</v>
      </c>
      <c r="AWO14" s="118">
        <f t="shared" ref="AWO14:AYZ14" si="152">AWO10-AWO12</f>
        <v>663588.9436015957</v>
      </c>
      <c r="AWP14" s="118">
        <f t="shared" si="152"/>
        <v>663588.9436015957</v>
      </c>
      <c r="AWQ14" s="118">
        <f t="shared" si="152"/>
        <v>663588.9436015957</v>
      </c>
      <c r="AWR14" s="118">
        <f t="shared" si="152"/>
        <v>663588.9436015957</v>
      </c>
      <c r="AWS14" s="118">
        <f t="shared" si="152"/>
        <v>663588.9436015957</v>
      </c>
      <c r="AWT14" s="118">
        <f t="shared" si="152"/>
        <v>663588.9436015957</v>
      </c>
      <c r="AWU14" s="118">
        <f t="shared" si="152"/>
        <v>663588.9436015957</v>
      </c>
      <c r="AWV14" s="118">
        <f t="shared" si="152"/>
        <v>663588.9436015957</v>
      </c>
      <c r="AWW14" s="118">
        <f t="shared" si="152"/>
        <v>663588.9436015957</v>
      </c>
      <c r="AWX14" s="118">
        <f t="shared" si="152"/>
        <v>663588.9436015957</v>
      </c>
      <c r="AWY14" s="118">
        <f t="shared" si="152"/>
        <v>663588.9436015957</v>
      </c>
      <c r="AWZ14" s="118">
        <f t="shared" si="152"/>
        <v>663588.9436015957</v>
      </c>
      <c r="AXA14" s="118">
        <f t="shared" si="152"/>
        <v>663588.9436015957</v>
      </c>
      <c r="AXB14" s="118">
        <f t="shared" si="152"/>
        <v>663588.9436015957</v>
      </c>
      <c r="AXC14" s="118">
        <f t="shared" si="152"/>
        <v>663588.9436015957</v>
      </c>
      <c r="AXD14" s="118">
        <f t="shared" si="152"/>
        <v>663588.9436015957</v>
      </c>
      <c r="AXE14" s="118">
        <f t="shared" si="152"/>
        <v>663588.9436015957</v>
      </c>
      <c r="AXF14" s="118">
        <f t="shared" si="152"/>
        <v>663588.9436015957</v>
      </c>
      <c r="AXG14" s="118">
        <f t="shared" si="152"/>
        <v>663588.9436015957</v>
      </c>
      <c r="AXH14" s="118">
        <f t="shared" si="152"/>
        <v>663588.9436015957</v>
      </c>
      <c r="AXI14" s="118">
        <f t="shared" si="152"/>
        <v>663588.9436015957</v>
      </c>
      <c r="AXJ14" s="118">
        <f t="shared" si="152"/>
        <v>663588.9436015957</v>
      </c>
      <c r="AXK14" s="118">
        <f t="shared" si="152"/>
        <v>663588.9436015957</v>
      </c>
      <c r="AXL14" s="118">
        <f t="shared" si="152"/>
        <v>663588.9436015957</v>
      </c>
      <c r="AXM14" s="118">
        <f t="shared" si="152"/>
        <v>663588.9436015957</v>
      </c>
      <c r="AXN14" s="118">
        <f t="shared" si="152"/>
        <v>663588.9436015957</v>
      </c>
      <c r="AXO14" s="118">
        <f t="shared" si="152"/>
        <v>663588.9436015957</v>
      </c>
      <c r="AXP14" s="118">
        <f t="shared" si="152"/>
        <v>663588.9436015957</v>
      </c>
      <c r="AXQ14" s="118">
        <f t="shared" si="152"/>
        <v>663588.9436015957</v>
      </c>
      <c r="AXR14" s="118">
        <f t="shared" si="152"/>
        <v>663588.9436015957</v>
      </c>
      <c r="AXS14" s="118">
        <f t="shared" si="152"/>
        <v>663588.9436015957</v>
      </c>
      <c r="AXT14" s="118">
        <f t="shared" si="152"/>
        <v>663588.9436015957</v>
      </c>
      <c r="AXU14" s="118">
        <f t="shared" si="152"/>
        <v>663588.9436015957</v>
      </c>
      <c r="AXV14" s="118">
        <f t="shared" si="152"/>
        <v>663588.9436015957</v>
      </c>
      <c r="AXW14" s="118">
        <f t="shared" si="152"/>
        <v>663588.9436015957</v>
      </c>
      <c r="AXX14" s="118">
        <f t="shared" si="152"/>
        <v>663588.9436015957</v>
      </c>
      <c r="AXY14" s="118">
        <f t="shared" si="152"/>
        <v>663588.9436015957</v>
      </c>
      <c r="AXZ14" s="118">
        <f t="shared" si="152"/>
        <v>663588.9436015957</v>
      </c>
      <c r="AYA14" s="118">
        <f t="shared" si="152"/>
        <v>663588.9436015957</v>
      </c>
      <c r="AYB14" s="118">
        <f t="shared" si="152"/>
        <v>663588.9436015957</v>
      </c>
      <c r="AYC14" s="118">
        <f t="shared" si="152"/>
        <v>663588.9436015957</v>
      </c>
      <c r="AYD14" s="118">
        <f t="shared" si="152"/>
        <v>663588.9436015957</v>
      </c>
      <c r="AYE14" s="118">
        <f t="shared" si="152"/>
        <v>663588.9436015957</v>
      </c>
      <c r="AYF14" s="118">
        <f t="shared" si="152"/>
        <v>663588.9436015957</v>
      </c>
      <c r="AYG14" s="118">
        <f t="shared" si="152"/>
        <v>663588.9436015957</v>
      </c>
      <c r="AYH14" s="118">
        <f t="shared" si="152"/>
        <v>663588.9436015957</v>
      </c>
      <c r="AYI14" s="118">
        <f t="shared" si="152"/>
        <v>663588.9436015957</v>
      </c>
      <c r="AYJ14" s="118">
        <f t="shared" si="152"/>
        <v>663588.9436015957</v>
      </c>
      <c r="AYK14" s="118">
        <f t="shared" si="152"/>
        <v>663588.9436015957</v>
      </c>
      <c r="AYL14" s="118">
        <f t="shared" si="152"/>
        <v>663588.9436015957</v>
      </c>
      <c r="AYM14" s="118">
        <f t="shared" si="152"/>
        <v>663588.9436015957</v>
      </c>
      <c r="AYN14" s="118">
        <f t="shared" si="152"/>
        <v>663588.9436015957</v>
      </c>
      <c r="AYO14" s="118">
        <f t="shared" si="152"/>
        <v>663588.9436015957</v>
      </c>
      <c r="AYP14" s="118">
        <f t="shared" si="152"/>
        <v>663588.9436015957</v>
      </c>
      <c r="AYQ14" s="118">
        <f t="shared" si="152"/>
        <v>663588.9436015957</v>
      </c>
      <c r="AYR14" s="118">
        <f t="shared" si="152"/>
        <v>663588.9436015957</v>
      </c>
      <c r="AYS14" s="118">
        <f t="shared" si="152"/>
        <v>663588.9436015957</v>
      </c>
      <c r="AYT14" s="118">
        <f t="shared" si="152"/>
        <v>663588.9436015957</v>
      </c>
      <c r="AYU14" s="118">
        <f t="shared" si="152"/>
        <v>663588.9436015957</v>
      </c>
      <c r="AYV14" s="118">
        <f t="shared" si="152"/>
        <v>663588.9436015957</v>
      </c>
      <c r="AYW14" s="118">
        <f t="shared" si="152"/>
        <v>663588.9436015957</v>
      </c>
      <c r="AYX14" s="118">
        <f t="shared" si="152"/>
        <v>663588.9436015957</v>
      </c>
      <c r="AYY14" s="118">
        <f t="shared" si="152"/>
        <v>663588.9436015957</v>
      </c>
      <c r="AYZ14" s="118">
        <f t="shared" si="152"/>
        <v>663588.9436015957</v>
      </c>
      <c r="AZA14" s="118">
        <f t="shared" ref="AZA14:AZG14" si="153">AZA10-AZA12</f>
        <v>663588.9436015957</v>
      </c>
      <c r="AZB14" s="118">
        <f t="shared" si="153"/>
        <v>663588.9436015957</v>
      </c>
      <c r="AZC14" s="118">
        <f t="shared" si="153"/>
        <v>663588.9436015957</v>
      </c>
      <c r="AZD14" s="118">
        <f t="shared" si="153"/>
        <v>663588.9436015957</v>
      </c>
      <c r="AZE14" s="118">
        <f t="shared" si="153"/>
        <v>663588.9436015957</v>
      </c>
      <c r="AZF14" s="118">
        <f t="shared" si="153"/>
        <v>663588.9436015957</v>
      </c>
      <c r="AZG14" s="118">
        <f t="shared" si="153"/>
        <v>663588.9436015957</v>
      </c>
    </row>
    <row r="15" spans="1:1837" s="102" customFormat="1"/>
    <row r="16" spans="1:1837" s="102" customFormat="1">
      <c r="C16" s="104" t="s">
        <v>320</v>
      </c>
      <c r="D16" s="104" t="s">
        <v>320</v>
      </c>
    </row>
    <row r="17" spans="1:1359">
      <c r="A17" s="778"/>
      <c r="B17" s="106" t="s">
        <v>506</v>
      </c>
      <c r="C17" s="275">
        <f>C3-D17</f>
        <v>-150000.00790019031</v>
      </c>
      <c r="D17" s="107">
        <f>SUM(F17:AZG17)</f>
        <v>2041415.1179001904</v>
      </c>
      <c r="E17" s="117"/>
      <c r="F17" s="125">
        <f>SUMIFS('Expenditure Breakdown'!$U$6:$U$174, 'Expenditure Breakdown'!$T$6:$T$174, "&gt;="&amp;F1,'Expenditure Breakdown'!$T$6:$T$174, "&lt;"&amp;G1)</f>
        <v>0</v>
      </c>
      <c r="G17" s="125">
        <f>SUMIFS('Expenditure Breakdown'!$U$6:$U$174, 'Expenditure Breakdown'!$T$6:$T$174, "&gt;="&amp;G1,'Expenditure Breakdown'!$T$6:$T$174, "&lt;"&amp;H1)</f>
        <v>0</v>
      </c>
      <c r="H17" s="125">
        <f>SUMIFS('Expenditure Breakdown'!$U$6:$U$174, 'Expenditure Breakdown'!$T$6:$T$174, "&gt;="&amp;H1,'Expenditure Breakdown'!$T$6:$T$174, "&lt;"&amp;I1)</f>
        <v>0</v>
      </c>
      <c r="I17" s="125">
        <f>SUMIFS('Expenditure Breakdown'!$U$6:$U$174, 'Expenditure Breakdown'!$T$6:$T$174, "&gt;="&amp;I1,'Expenditure Breakdown'!$T$6:$T$174, "&lt;"&amp;J1)</f>
        <v>0</v>
      </c>
      <c r="J17" s="125">
        <f>SUMIFS('Expenditure Breakdown'!$U$6:$U$174, 'Expenditure Breakdown'!$T$6:$T$174, "&gt;="&amp;J1,'Expenditure Breakdown'!$T$6:$T$174, "&lt;"&amp;K1)</f>
        <v>0</v>
      </c>
      <c r="K17" s="125">
        <f>SUMIFS('Expenditure Breakdown'!$U$6:$U$174, 'Expenditure Breakdown'!$T$6:$T$174, "&gt;="&amp;K1,'Expenditure Breakdown'!$T$6:$T$174, "&lt;"&amp;L1)</f>
        <v>0</v>
      </c>
      <c r="L17" s="125">
        <f>SUMIFS('Expenditure Breakdown'!$U$6:$U$174, 'Expenditure Breakdown'!$T$6:$T$174, "&gt;="&amp;L1,'Expenditure Breakdown'!$T$6:$T$174, "&lt;"&amp;M1)</f>
        <v>0</v>
      </c>
      <c r="M17" s="125">
        <f>SUMIFS('Expenditure Breakdown'!$U$6:$U$174, 'Expenditure Breakdown'!$T$6:$T$174, "&gt;="&amp;M1,'Expenditure Breakdown'!$T$6:$T$174, "&lt;"&amp;N1)</f>
        <v>0</v>
      </c>
      <c r="N17" s="125">
        <f>SUMIFS('Expenditure Breakdown'!$U$6:$U$174, 'Expenditure Breakdown'!$T$6:$T$174, "&gt;="&amp;N1,'Expenditure Breakdown'!$T$6:$T$174, "&lt;"&amp;O1)</f>
        <v>0</v>
      </c>
      <c r="O17" s="125">
        <f>SUMIFS('Expenditure Breakdown'!$U$6:$U$174, 'Expenditure Breakdown'!$T$6:$T$174, "&gt;="&amp;O1,'Expenditure Breakdown'!$T$6:$T$174, "&lt;"&amp;P1)</f>
        <v>0</v>
      </c>
      <c r="P17" s="125">
        <f>SUMIFS('Expenditure Breakdown'!$U$6:$U$174, 'Expenditure Breakdown'!$T$6:$T$174, "&gt;="&amp;P1,'Expenditure Breakdown'!$T$6:$T$174, "&lt;"&amp;Q1)</f>
        <v>0</v>
      </c>
      <c r="Q17" s="125">
        <f>SUMIFS('Expenditure Breakdown'!$U$6:$U$174, 'Expenditure Breakdown'!$T$6:$T$174, "&gt;="&amp;Q1,'Expenditure Breakdown'!$T$6:$T$174, "&lt;"&amp;R1)</f>
        <v>0</v>
      </c>
      <c r="R17" s="125">
        <f>SUMIFS('Expenditure Breakdown'!$U$6:$U$174, 'Expenditure Breakdown'!$T$6:$T$174, "&gt;="&amp;R1,'Expenditure Breakdown'!$T$6:$T$174, "&lt;"&amp;S1)</f>
        <v>0</v>
      </c>
      <c r="S17" s="125">
        <f>SUMIFS('Expenditure Breakdown'!$U$6:$U$174, 'Expenditure Breakdown'!$T$6:$T$174, "&gt;="&amp;S1,'Expenditure Breakdown'!$T$6:$T$174, "&lt;"&amp;T1)</f>
        <v>0</v>
      </c>
      <c r="T17" s="125">
        <f>SUMIFS('Expenditure Breakdown'!$U$6:$U$174, 'Expenditure Breakdown'!$T$6:$T$174, "&gt;="&amp;T1,'Expenditure Breakdown'!$T$6:$T$174, "&lt;"&amp;U1)</f>
        <v>0</v>
      </c>
      <c r="U17" s="125">
        <f>SUMIFS('Expenditure Breakdown'!$U$6:$U$174, 'Expenditure Breakdown'!$T$6:$T$174, "&gt;="&amp;U1,'Expenditure Breakdown'!$T$6:$T$174, "&lt;"&amp;V1)</f>
        <v>0</v>
      </c>
      <c r="V17" s="125">
        <f>SUMIFS('Expenditure Breakdown'!$U$6:$U$174, 'Expenditure Breakdown'!$T$6:$T$174, "&gt;="&amp;V1,'Expenditure Breakdown'!$T$6:$T$174, "&lt;"&amp;W1)</f>
        <v>654686.889623233</v>
      </c>
      <c r="W17" s="125">
        <f>SUMIFS('Expenditure Breakdown'!$U$6:$U$174, 'Expenditure Breakdown'!$T$6:$T$174, "&gt;="&amp;W1,'Expenditure Breakdown'!$T$6:$T$174, "&lt;"&amp;X1)</f>
        <v>0</v>
      </c>
      <c r="X17" s="125">
        <f>SUMIFS('Expenditure Breakdown'!$U$6:$U$174, 'Expenditure Breakdown'!$T$6:$T$174, "&gt;="&amp;X1,'Expenditure Breakdown'!$T$6:$T$174, "&lt;"&amp;Y1)</f>
        <v>0</v>
      </c>
      <c r="Y17" s="125">
        <f>SUMIFS('Expenditure Breakdown'!$U$6:$U$174, 'Expenditure Breakdown'!$T$6:$T$174, "&gt;="&amp;Y1,'Expenditure Breakdown'!$T$6:$T$174, "&lt;"&amp;Z1)</f>
        <v>0</v>
      </c>
      <c r="Z17" s="125">
        <f>SUMIFS('Expenditure Breakdown'!$U$6:$U$174, 'Expenditure Breakdown'!$T$6:$T$174, "&gt;="&amp;Z1,'Expenditure Breakdown'!$T$6:$T$174, "&lt;"&amp;AA1)</f>
        <v>141198.12616185792</v>
      </c>
      <c r="AA17" s="125">
        <f>SUMIFS('Expenditure Breakdown'!$U$6:$U$174, 'Expenditure Breakdown'!$T$6:$T$174, "&gt;="&amp;AA1,'Expenditure Breakdown'!$T$6:$T$174, "&lt;"&amp;AB1)</f>
        <v>0</v>
      </c>
      <c r="AB17" s="125">
        <f>SUMIFS('Expenditure Breakdown'!$U$6:$U$174, 'Expenditure Breakdown'!$T$6:$T$174, "&gt;="&amp;AB1,'Expenditure Breakdown'!$T$6:$T$174, "&lt;"&amp;AC1)</f>
        <v>0</v>
      </c>
      <c r="AC17" s="125">
        <f>SUMIFS('Expenditure Breakdown'!$U$6:$U$174, 'Expenditure Breakdown'!$T$6:$T$174, "&gt;="&amp;AC1,'Expenditure Breakdown'!$T$6:$T$174, "&lt;"&amp;AD1)</f>
        <v>0</v>
      </c>
      <c r="AD17" s="125">
        <f>SUMIFS('Expenditure Breakdown'!$U$6:$U$174, 'Expenditure Breakdown'!$T$6:$T$174, "&gt;="&amp;AD1,'Expenditure Breakdown'!$T$6:$T$174, "&lt;"&amp;AE1)</f>
        <v>0</v>
      </c>
      <c r="AE17" s="125">
        <f>SUMIFS('Expenditure Breakdown'!$U$6:$U$174, 'Expenditure Breakdown'!$T$6:$T$174, "&gt;="&amp;AE1,'Expenditure Breakdown'!$T$6:$T$174, "&lt;"&amp;AF1)</f>
        <v>468027.4722865948</v>
      </c>
      <c r="AF17" s="125">
        <f>SUMIFS('Expenditure Breakdown'!$U$6:$U$174, 'Expenditure Breakdown'!$T$6:$T$174, "&gt;="&amp;AF1,'Expenditure Breakdown'!$T$6:$T$174, "&lt;"&amp;AG1)</f>
        <v>0</v>
      </c>
      <c r="AG17" s="125">
        <f>SUMIFS('Expenditure Breakdown'!$U$6:$U$174, 'Expenditure Breakdown'!$T$6:$T$174, "&gt;="&amp;AG1,'Expenditure Breakdown'!$T$6:$T$174, "&lt;"&amp;AH1)</f>
        <v>0</v>
      </c>
      <c r="AH17" s="125">
        <f>SUMIFS('Expenditure Breakdown'!$U$6:$U$174, 'Expenditure Breakdown'!$T$6:$T$174, "&gt;="&amp;AH1,'Expenditure Breakdown'!$T$6:$T$174, "&lt;"&amp;AI1)</f>
        <v>0</v>
      </c>
      <c r="AI17" s="125">
        <f>SUMIFS('Expenditure Breakdown'!$U$6:$U$174, 'Expenditure Breakdown'!$T$6:$T$174, "&gt;="&amp;AI1,'Expenditure Breakdown'!$T$6:$T$174, "&lt;"&amp;AJ1)</f>
        <v>380167.51474567561</v>
      </c>
      <c r="AJ17" s="125">
        <f>SUMIFS('Expenditure Breakdown'!$U$6:$U$174, 'Expenditure Breakdown'!$T$6:$T$174, "&gt;="&amp;AJ1,'Expenditure Breakdown'!$T$6:$T$174, "&lt;"&amp;AK1)</f>
        <v>0</v>
      </c>
      <c r="AK17" s="125">
        <f>SUMIFS('Expenditure Breakdown'!$U$6:$U$174, 'Expenditure Breakdown'!$T$6:$T$174, "&gt;="&amp;AK1,'Expenditure Breakdown'!$T$6:$T$174, "&lt;"&amp;AL1)</f>
        <v>0</v>
      </c>
      <c r="AL17" s="125">
        <f>SUMIFS('Expenditure Breakdown'!$U$6:$U$174, 'Expenditure Breakdown'!$T$6:$T$174, "&gt;="&amp;AL1,'Expenditure Breakdown'!$T$6:$T$174, "&lt;"&amp;AM1)</f>
        <v>0</v>
      </c>
      <c r="AM17" s="125">
        <f>SUMIFS('Expenditure Breakdown'!$U$6:$U$174, 'Expenditure Breakdown'!$T$6:$T$174, "&gt;="&amp;AM1,'Expenditure Breakdown'!$T$6:$T$174, "&lt;"&amp;AN1)</f>
        <v>397335.11508282932</v>
      </c>
      <c r="AN17" s="125">
        <f>SUMIFS('Expenditure Breakdown'!$U$6:$U$174, 'Expenditure Breakdown'!$T$6:$T$174, "&gt;="&amp;AN1,'Expenditure Breakdown'!$T$6:$T$174, "&lt;"&amp;AO1)</f>
        <v>0</v>
      </c>
      <c r="AO17" s="125">
        <f>SUMIFS('Expenditure Breakdown'!$U$6:$U$174, 'Expenditure Breakdown'!$T$6:$T$174, "&gt;="&amp;AO1,'Expenditure Breakdown'!$T$6:$T$174, "&lt;"&amp;AP1)</f>
        <v>0</v>
      </c>
      <c r="AP17" s="125">
        <f>SUMIFS('Expenditure Breakdown'!$U$6:$U$174, 'Expenditure Breakdown'!$T$6:$T$174, "&gt;="&amp;AP1,'Expenditure Breakdown'!$T$6:$T$174, "&lt;"&amp;AQ1)</f>
        <v>0</v>
      </c>
      <c r="AQ17" s="125">
        <f>SUMIFS('Expenditure Breakdown'!$U$6:$U$174, 'Expenditure Breakdown'!$T$6:$T$174, "&gt;="&amp;AQ1,'Expenditure Breakdown'!$T$6:$T$174, "&lt;"&amp;AR1)</f>
        <v>0</v>
      </c>
      <c r="AR17" s="125">
        <f>SUMIFS('Expenditure Breakdown'!$U$6:$U$174, 'Expenditure Breakdown'!$T$6:$T$174, "&gt;="&amp;AR1,'Expenditure Breakdown'!$T$6:$T$174, "&lt;"&amp;AS1)</f>
        <v>0</v>
      </c>
      <c r="AS17" s="125">
        <f>SUMIFS('Expenditure Breakdown'!$U$6:$U$174, 'Expenditure Breakdown'!$T$6:$T$174, "&gt;="&amp;AS1,'Expenditure Breakdown'!$T$6:$T$174, "&lt;"&amp;AT1)</f>
        <v>0</v>
      </c>
      <c r="AT17" s="125">
        <f>SUMIFS('Expenditure Breakdown'!$U$6:$U$174, 'Expenditure Breakdown'!$T$6:$T$174, "&gt;="&amp;AT1,'Expenditure Breakdown'!$T$6:$T$174, "&lt;"&amp;AU1)</f>
        <v>0</v>
      </c>
      <c r="AU17" s="125">
        <f>SUMIFS('Expenditure Breakdown'!$U$6:$U$174, 'Expenditure Breakdown'!$T$6:$T$174, "&gt;="&amp;AU1,'Expenditure Breakdown'!$T$6:$T$174, "&lt;"&amp;AV1)</f>
        <v>0</v>
      </c>
      <c r="AV17" s="125">
        <f>SUMIFS('Expenditure Breakdown'!$U$6:$U$174, 'Expenditure Breakdown'!$T$6:$T$174, "&gt;="&amp;AV1,'Expenditure Breakdown'!$T$6:$T$174, "&lt;"&amp;AW1)</f>
        <v>0</v>
      </c>
      <c r="AW17" s="125">
        <f>SUMIFS('Expenditure Breakdown'!$U$6:$U$174, 'Expenditure Breakdown'!$T$6:$T$174, "&gt;="&amp;AW1,'Expenditure Breakdown'!$T$6:$T$174, "&lt;"&amp;AX1)</f>
        <v>0</v>
      </c>
      <c r="AX17" s="125">
        <f>SUMIFS('Expenditure Breakdown'!$U$6:$U$174, 'Expenditure Breakdown'!$T$6:$T$174, "&gt;="&amp;AX1,'Expenditure Breakdown'!$T$6:$T$174, "&lt;"&amp;AY1)</f>
        <v>0</v>
      </c>
      <c r="AY17" s="125">
        <f>SUMIFS('Expenditure Breakdown'!$U$6:$U$174, 'Expenditure Breakdown'!$T$6:$T$174, "&gt;="&amp;AY1,'Expenditure Breakdown'!$T$6:$T$174, "&lt;"&amp;AZ1)</f>
        <v>0</v>
      </c>
      <c r="AZ17" s="125">
        <f>SUMIFS('Expenditure Breakdown'!$U$6:$U$174, 'Expenditure Breakdown'!$T$6:$T$174, "&gt;="&amp;AZ1,'Expenditure Breakdown'!$T$6:$T$174, "&lt;"&amp;BA1)</f>
        <v>0</v>
      </c>
      <c r="BA17" s="125">
        <f>SUMIFS('Expenditure Breakdown'!$U$6:$U$174, 'Expenditure Breakdown'!$T$6:$T$174, "&gt;="&amp;BA1,'Expenditure Breakdown'!$T$6:$T$174, "&lt;"&amp;BB1)</f>
        <v>0</v>
      </c>
      <c r="BB17" s="125">
        <f>SUMIFS('Expenditure Breakdown'!$U$6:$U$174, 'Expenditure Breakdown'!$T$6:$T$174, "&gt;="&amp;BB1,'Expenditure Breakdown'!$T$6:$T$174, "&lt;"&amp;BC1)</f>
        <v>0</v>
      </c>
      <c r="BC17" s="125">
        <f>SUMIFS('Expenditure Breakdown'!$U$6:$U$174, 'Expenditure Breakdown'!$T$6:$T$174, "&gt;="&amp;BC1,'Expenditure Breakdown'!$T$6:$T$174, "&lt;"&amp;BD1)</f>
        <v>0</v>
      </c>
      <c r="BD17" s="125">
        <f>SUMIFS('Expenditure Breakdown'!$U$6:$U$174, 'Expenditure Breakdown'!$T$6:$T$174, "&gt;="&amp;BD1,'Expenditure Breakdown'!$T$6:$T$174, "&lt;"&amp;BE1)</f>
        <v>0</v>
      </c>
      <c r="BE17" s="125">
        <f>SUMIFS('Expenditure Breakdown'!$U$6:$U$174, 'Expenditure Breakdown'!$T$6:$T$174, "&gt;="&amp;BE1,'Expenditure Breakdown'!$T$6:$T$174, "&lt;"&amp;BF1)</f>
        <v>0</v>
      </c>
      <c r="BF17" s="125">
        <f>SUMIFS('Expenditure Breakdown'!$U$6:$U$174, 'Expenditure Breakdown'!$T$6:$T$174, "&gt;="&amp;BF1,'Expenditure Breakdown'!$T$6:$T$174, "&lt;"&amp;BG1)</f>
        <v>0</v>
      </c>
      <c r="BG17" s="125">
        <f>SUMIFS('Expenditure Breakdown'!$U$6:$U$174, 'Expenditure Breakdown'!$T$6:$T$174, "&gt;="&amp;BG1,'Expenditure Breakdown'!$T$6:$T$174, "&lt;"&amp;BH1)</f>
        <v>0</v>
      </c>
      <c r="BH17" s="125">
        <f>SUMIFS('Expenditure Breakdown'!$U$6:$U$174, 'Expenditure Breakdown'!$T$6:$T$174, "&gt;="&amp;BH1,'Expenditure Breakdown'!$T$6:$T$174, "&lt;"&amp;BI1)</f>
        <v>0</v>
      </c>
      <c r="BI17" s="125">
        <f>SUMIFS('Expenditure Breakdown'!$U$6:$U$174, 'Expenditure Breakdown'!$T$6:$T$174, "&gt;="&amp;BI1,'Expenditure Breakdown'!$T$6:$T$174, "&lt;"&amp;BJ1)</f>
        <v>0</v>
      </c>
      <c r="BJ17" s="125">
        <f>SUMIFS('Expenditure Breakdown'!$U$6:$U$174, 'Expenditure Breakdown'!$T$6:$T$174, "&gt;="&amp;BJ1,'Expenditure Breakdown'!$T$6:$T$174, "&lt;"&amp;BK1)</f>
        <v>0</v>
      </c>
      <c r="BK17" s="125">
        <f>SUMIFS('Expenditure Breakdown'!$U$6:$U$174, 'Expenditure Breakdown'!$T$6:$T$174, "&gt;="&amp;BK1,'Expenditure Breakdown'!$T$6:$T$174, "&lt;"&amp;BL1)</f>
        <v>0</v>
      </c>
      <c r="BL17" s="125">
        <f>SUMIFS('Expenditure Breakdown'!$U$6:$U$174, 'Expenditure Breakdown'!$T$6:$T$174, "&gt;="&amp;BL1,'Expenditure Breakdown'!$T$6:$T$174, "&lt;"&amp;BM1)</f>
        <v>0</v>
      </c>
      <c r="BM17" s="125">
        <f>SUMIFS('Expenditure Breakdown'!$U$6:$U$174, 'Expenditure Breakdown'!$T$6:$T$174, "&gt;="&amp;BM1,'Expenditure Breakdown'!$T$6:$T$174, "&lt;"&amp;BN1)</f>
        <v>0</v>
      </c>
      <c r="BN17" s="125">
        <f>SUMIFS('Expenditure Breakdown'!$U$6:$U$174, 'Expenditure Breakdown'!$T$6:$T$174, "&gt;="&amp;BN1,'Expenditure Breakdown'!$T$6:$T$174, "&lt;"&amp;BO1)</f>
        <v>0</v>
      </c>
      <c r="BO17" s="125">
        <f>SUMIFS('Expenditure Breakdown'!$U$6:$U$174, 'Expenditure Breakdown'!$T$6:$T$174, "&gt;="&amp;BO1,'Expenditure Breakdown'!$T$6:$T$174, "&lt;"&amp;BP1)</f>
        <v>0</v>
      </c>
      <c r="BP17" s="125">
        <f>SUMIFS('Expenditure Breakdown'!$U$6:$U$174, 'Expenditure Breakdown'!$T$6:$T$174, "&gt;="&amp;BP1,'Expenditure Breakdown'!$T$6:$T$174, "&lt;"&amp;BQ1)</f>
        <v>0</v>
      </c>
      <c r="BQ17" s="125">
        <f>SUMIFS('Expenditure Breakdown'!$U$6:$U$174, 'Expenditure Breakdown'!$T$6:$T$174, "&gt;="&amp;BQ1,'Expenditure Breakdown'!$T$6:$T$174, "&lt;"&amp;BR1)</f>
        <v>0</v>
      </c>
      <c r="BR17" s="125">
        <f>SUMIFS('Expenditure Breakdown'!$U$6:$U$174, 'Expenditure Breakdown'!$T$6:$T$174, "&gt;="&amp;BR1,'Expenditure Breakdown'!$T$6:$T$174, "&lt;"&amp;BS1)</f>
        <v>0</v>
      </c>
      <c r="BS17" s="125">
        <f>SUMIFS('Expenditure Breakdown'!$U$6:$U$174, 'Expenditure Breakdown'!$T$6:$T$174, "&gt;="&amp;BS1,'Expenditure Breakdown'!$T$6:$T$174, "&lt;"&amp;BT1)</f>
        <v>0</v>
      </c>
      <c r="BT17" s="125">
        <f>SUMIFS('Expenditure Breakdown'!$U$6:$U$174, 'Expenditure Breakdown'!$T$6:$T$174, "&gt;="&amp;BT1,'Expenditure Breakdown'!$T$6:$T$174, "&lt;"&amp;BU1)</f>
        <v>0</v>
      </c>
      <c r="BU17" s="125">
        <f>SUMIFS('Expenditure Breakdown'!$U$6:$U$174, 'Expenditure Breakdown'!$T$6:$T$174, "&gt;="&amp;BU1,'Expenditure Breakdown'!$T$6:$T$174, "&lt;"&amp;BV1)</f>
        <v>0</v>
      </c>
      <c r="BV17" s="125">
        <f>SUMIFS('Expenditure Breakdown'!$U$6:$U$174, 'Expenditure Breakdown'!$T$6:$T$174, "&gt;="&amp;BV1,'Expenditure Breakdown'!$T$6:$T$174, "&lt;"&amp;BW1)</f>
        <v>0</v>
      </c>
      <c r="BW17" s="125">
        <f>SUMIFS('Expenditure Breakdown'!$U$6:$U$174, 'Expenditure Breakdown'!$T$6:$T$174, "&gt;="&amp;BW1,'Expenditure Breakdown'!$T$6:$T$174, "&lt;"&amp;BX1)</f>
        <v>0</v>
      </c>
      <c r="BX17" s="125">
        <f>SUMIFS('Expenditure Breakdown'!$U$6:$U$174, 'Expenditure Breakdown'!$T$6:$T$174, "&gt;="&amp;BX1,'Expenditure Breakdown'!$T$6:$T$174, "&lt;"&amp;BY1)</f>
        <v>0</v>
      </c>
      <c r="BY17" s="125">
        <f>SUMIFS('Expenditure Breakdown'!$U$6:$U$174, 'Expenditure Breakdown'!$T$6:$T$174, "&gt;="&amp;BY1,'Expenditure Breakdown'!$T$6:$T$174, "&lt;"&amp;BZ1)</f>
        <v>0</v>
      </c>
      <c r="BZ17" s="125">
        <f>SUMIFS('Expenditure Breakdown'!$U$6:$U$174, 'Expenditure Breakdown'!$T$6:$T$174, "&gt;="&amp;BZ1,'Expenditure Breakdown'!$T$6:$T$174, "&lt;"&amp;CA1)</f>
        <v>0</v>
      </c>
      <c r="CA17" s="125">
        <f>SUMIFS('Expenditure Breakdown'!$U$6:$U$174, 'Expenditure Breakdown'!$T$6:$T$174, "&gt;="&amp;CA1,'Expenditure Breakdown'!$T$6:$T$174, "&lt;"&amp;CB1)</f>
        <v>0</v>
      </c>
      <c r="CB17" s="125">
        <f>SUMIFS('Expenditure Breakdown'!$U$6:$U$174, 'Expenditure Breakdown'!$T$6:$T$174, "&gt;="&amp;CB1,'Expenditure Breakdown'!$T$6:$T$174, "&lt;"&amp;CC1)</f>
        <v>0</v>
      </c>
      <c r="CC17" s="125">
        <f>SUMIFS('Expenditure Breakdown'!$U$6:$U$174, 'Expenditure Breakdown'!$T$6:$T$174, "&gt;="&amp;CC1,'Expenditure Breakdown'!$T$6:$T$174, "&lt;"&amp;CD1)</f>
        <v>0</v>
      </c>
      <c r="CD17" s="125">
        <f>SUMIFS('Expenditure Breakdown'!$U$6:$U$174, 'Expenditure Breakdown'!$T$6:$T$174, "&gt;="&amp;CD1,'Expenditure Breakdown'!$T$6:$T$174, "&lt;"&amp;CE1)</f>
        <v>0</v>
      </c>
      <c r="CE17" s="125">
        <f>SUMIFS('Expenditure Breakdown'!$U$6:$U$174, 'Expenditure Breakdown'!$T$6:$T$174, "&gt;="&amp;CE1,'Expenditure Breakdown'!$T$6:$T$174, "&lt;"&amp;CF1)</f>
        <v>0</v>
      </c>
      <c r="CF17" s="125">
        <f>SUMIFS('Expenditure Breakdown'!$U$6:$U$174, 'Expenditure Breakdown'!$T$6:$T$174, "&gt;="&amp;CF1,'Expenditure Breakdown'!$T$6:$T$174, "&lt;"&amp;CG1)</f>
        <v>0</v>
      </c>
      <c r="CG17" s="125">
        <f>SUMIFS('Expenditure Breakdown'!$U$6:$U$174, 'Expenditure Breakdown'!$T$6:$T$174, "&gt;="&amp;CG1,'Expenditure Breakdown'!$T$6:$T$174, "&lt;"&amp;CH1)</f>
        <v>0</v>
      </c>
      <c r="CH17" s="125">
        <f>SUMIFS('Expenditure Breakdown'!$U$6:$U$174, 'Expenditure Breakdown'!$T$6:$T$174, "&gt;="&amp;CH1,'Expenditure Breakdown'!$T$6:$T$174, "&lt;"&amp;CI1)</f>
        <v>0</v>
      </c>
      <c r="CI17" s="125">
        <f>SUMIFS('Expenditure Breakdown'!$U$6:$U$174, 'Expenditure Breakdown'!$T$6:$T$174, "&gt;="&amp;CI1,'Expenditure Breakdown'!$T$6:$T$174, "&lt;"&amp;CJ1)</f>
        <v>0</v>
      </c>
      <c r="CJ17" s="125">
        <f>SUMIFS('Expenditure Breakdown'!$U$6:$U$174, 'Expenditure Breakdown'!$T$6:$T$174, "&gt;="&amp;CJ1,'Expenditure Breakdown'!$T$6:$T$174, "&lt;"&amp;CK1)</f>
        <v>0</v>
      </c>
      <c r="CK17" s="125">
        <f>SUMIFS('Expenditure Breakdown'!$U$6:$U$174, 'Expenditure Breakdown'!$T$6:$T$174, "&gt;="&amp;CK1,'Expenditure Breakdown'!$T$6:$T$174, "&lt;"&amp;CL1)</f>
        <v>0</v>
      </c>
      <c r="CL17" s="125">
        <f>SUMIFS('Expenditure Breakdown'!$U$6:$U$174, 'Expenditure Breakdown'!$T$6:$T$174, "&gt;="&amp;CL1,'Expenditure Breakdown'!$T$6:$T$174, "&lt;"&amp;CM1)</f>
        <v>0</v>
      </c>
      <c r="CM17" s="125">
        <f>SUMIFS('Expenditure Breakdown'!$U$6:$U$174, 'Expenditure Breakdown'!$T$6:$T$174, "&gt;="&amp;CM1,'Expenditure Breakdown'!$T$6:$T$174, "&lt;"&amp;CN1)</f>
        <v>0</v>
      </c>
      <c r="CN17" s="125">
        <f>SUMIFS('Expenditure Breakdown'!$U$6:$U$174, 'Expenditure Breakdown'!$T$6:$T$174, "&gt;="&amp;CN1,'Expenditure Breakdown'!$T$6:$T$174, "&lt;"&amp;CO1)</f>
        <v>0</v>
      </c>
      <c r="CO17" s="125">
        <f>SUMIFS('Expenditure Breakdown'!$U$6:$U$174, 'Expenditure Breakdown'!$T$6:$T$174, "&gt;="&amp;CO1,'Expenditure Breakdown'!$T$6:$T$174, "&lt;"&amp;CP1)</f>
        <v>0</v>
      </c>
      <c r="CP17" s="125">
        <f>SUMIFS('Expenditure Breakdown'!$U$6:$U$174, 'Expenditure Breakdown'!$T$6:$T$174, "&gt;="&amp;CP1,'Expenditure Breakdown'!$T$6:$T$174, "&lt;"&amp;CQ1)</f>
        <v>0</v>
      </c>
      <c r="CQ17" s="125">
        <f>SUMIFS('Expenditure Breakdown'!$U$6:$U$174, 'Expenditure Breakdown'!$T$6:$T$174, "&gt;="&amp;CQ1,'Expenditure Breakdown'!$T$6:$T$174, "&lt;"&amp;CR1)</f>
        <v>0</v>
      </c>
      <c r="CR17" s="125">
        <f>SUMIFS('Expenditure Breakdown'!$U$6:$U$174, 'Expenditure Breakdown'!$T$6:$T$174, "&gt;="&amp;CR1,'Expenditure Breakdown'!$T$6:$T$174, "&lt;"&amp;CS1)</f>
        <v>0</v>
      </c>
      <c r="CS17" s="125">
        <f>SUMIFS('Expenditure Breakdown'!$U$6:$U$174, 'Expenditure Breakdown'!$T$6:$T$174, "&gt;="&amp;CS1,'Expenditure Breakdown'!$T$6:$T$174, "&lt;"&amp;CT1)</f>
        <v>0</v>
      </c>
      <c r="CT17" s="125">
        <f>SUMIFS('Expenditure Breakdown'!$U$6:$U$174, 'Expenditure Breakdown'!$T$6:$T$174, "&gt;="&amp;CT1,'Expenditure Breakdown'!$T$6:$T$174, "&lt;"&amp;CU1)</f>
        <v>0</v>
      </c>
      <c r="CU17" s="125">
        <f>SUMIFS('Expenditure Breakdown'!$U$6:$U$174, 'Expenditure Breakdown'!$T$6:$T$174, "&gt;="&amp;CU1,'Expenditure Breakdown'!$T$6:$T$174, "&lt;"&amp;CV1)</f>
        <v>0</v>
      </c>
      <c r="CV17" s="125">
        <f>SUMIFS('Expenditure Breakdown'!$U$6:$U$174, 'Expenditure Breakdown'!$T$6:$T$174, "&gt;="&amp;CV1,'Expenditure Breakdown'!$T$6:$T$174, "&lt;"&amp;CW1)</f>
        <v>0</v>
      </c>
      <c r="CW17" s="125">
        <f>SUMIFS('Expenditure Breakdown'!$U$6:$U$174, 'Expenditure Breakdown'!$T$6:$T$174, "&gt;="&amp;CW1,'Expenditure Breakdown'!$T$6:$T$174, "&lt;"&amp;CX1)</f>
        <v>0</v>
      </c>
      <c r="CX17" s="125">
        <f>SUMIFS('Expenditure Breakdown'!$U$6:$U$174, 'Expenditure Breakdown'!$T$6:$T$174, "&gt;="&amp;CX1,'Expenditure Breakdown'!$T$6:$T$174, "&lt;"&amp;CY1)</f>
        <v>0</v>
      </c>
      <c r="CY17" s="125">
        <f>SUMIFS('Expenditure Breakdown'!$U$6:$U$174, 'Expenditure Breakdown'!$T$6:$T$174, "&gt;="&amp;CY1,'Expenditure Breakdown'!$T$6:$T$174, "&lt;"&amp;CZ1)</f>
        <v>0</v>
      </c>
      <c r="CZ17" s="125">
        <f>SUMIFS('Expenditure Breakdown'!$U$6:$U$174, 'Expenditure Breakdown'!$T$6:$T$174, "&gt;="&amp;CZ1,'Expenditure Breakdown'!$T$6:$T$174, "&lt;"&amp;DA1)</f>
        <v>0</v>
      </c>
      <c r="DA17" s="125">
        <f>SUMIFS('Expenditure Breakdown'!$U$6:$U$174, 'Expenditure Breakdown'!$T$6:$T$174, "&gt;="&amp;DA1,'Expenditure Breakdown'!$T$6:$T$174, "&lt;"&amp;DB1)</f>
        <v>0</v>
      </c>
      <c r="DB17" s="125">
        <f>SUMIFS('Expenditure Breakdown'!$U$6:$U$174, 'Expenditure Breakdown'!$T$6:$T$174, "&gt;="&amp;DB1,'Expenditure Breakdown'!$T$6:$T$174, "&lt;"&amp;DC1)</f>
        <v>0</v>
      </c>
      <c r="DC17" s="125">
        <f>SUMIFS('Expenditure Breakdown'!$U$6:$U$174, 'Expenditure Breakdown'!$T$6:$T$174, "&gt;="&amp;DC1,'Expenditure Breakdown'!$T$6:$T$174, "&lt;"&amp;DD1)</f>
        <v>0</v>
      </c>
      <c r="DD17" s="125">
        <f>SUMIFS('Expenditure Breakdown'!$U$6:$U$174, 'Expenditure Breakdown'!$T$6:$T$174, "&gt;="&amp;DD1,'Expenditure Breakdown'!$T$6:$T$174, "&lt;"&amp;DE1)</f>
        <v>0</v>
      </c>
      <c r="DE17" s="125">
        <f>SUMIFS('Expenditure Breakdown'!$U$6:$U$174, 'Expenditure Breakdown'!$T$6:$T$174, "&gt;="&amp;DE1,'Expenditure Breakdown'!$T$6:$T$174, "&lt;"&amp;DF1)</f>
        <v>0</v>
      </c>
      <c r="DF17" s="125">
        <f>SUMIFS('Expenditure Breakdown'!$U$6:$U$174, 'Expenditure Breakdown'!$T$6:$T$174, "&gt;="&amp;DF1,'Expenditure Breakdown'!$T$6:$T$174, "&lt;"&amp;DG1)</f>
        <v>0</v>
      </c>
      <c r="DG17" s="125">
        <f>SUMIFS('Expenditure Breakdown'!$U$6:$U$174, 'Expenditure Breakdown'!$T$6:$T$174, "&gt;="&amp;DG1,'Expenditure Breakdown'!$T$6:$T$174, "&lt;"&amp;DH1)</f>
        <v>0</v>
      </c>
      <c r="DH17" s="125">
        <f>SUMIFS('Expenditure Breakdown'!$U$6:$U$174, 'Expenditure Breakdown'!$T$6:$T$174, "&gt;="&amp;DH1,'Expenditure Breakdown'!$T$6:$T$174, "&lt;"&amp;DI1)</f>
        <v>0</v>
      </c>
      <c r="DI17" s="125">
        <f>SUMIFS('Expenditure Breakdown'!$U$6:$U$174, 'Expenditure Breakdown'!$T$6:$T$174, "&gt;="&amp;DI1,'Expenditure Breakdown'!$T$6:$T$174, "&lt;"&amp;DJ1)</f>
        <v>0</v>
      </c>
      <c r="DJ17" s="125">
        <f>SUMIFS('Expenditure Breakdown'!$U$6:$U$174, 'Expenditure Breakdown'!$T$6:$T$174, "&gt;="&amp;DJ1,'Expenditure Breakdown'!$T$6:$T$174, "&lt;"&amp;DK1)</f>
        <v>0</v>
      </c>
      <c r="DK17" s="125">
        <f>SUMIFS('Expenditure Breakdown'!$U$6:$U$174, 'Expenditure Breakdown'!$T$6:$T$174, "&gt;="&amp;DK1,'Expenditure Breakdown'!$T$6:$T$174, "&lt;"&amp;DL1)</f>
        <v>0</v>
      </c>
      <c r="DL17" s="125">
        <f>SUMIFS('Expenditure Breakdown'!$U$6:$U$174, 'Expenditure Breakdown'!$T$6:$T$174, "&gt;="&amp;DL1,'Expenditure Breakdown'!$T$6:$T$174, "&lt;"&amp;DM1)</f>
        <v>0</v>
      </c>
      <c r="DM17" s="125">
        <f>SUMIFS('Expenditure Breakdown'!$U$6:$U$174, 'Expenditure Breakdown'!$T$6:$T$174, "&gt;="&amp;DM1,'Expenditure Breakdown'!$T$6:$T$174, "&lt;"&amp;DN1)</f>
        <v>0</v>
      </c>
      <c r="DN17" s="125">
        <f>SUMIFS('Expenditure Breakdown'!$U$6:$U$174, 'Expenditure Breakdown'!$T$6:$T$174, "&gt;="&amp;DN1,'Expenditure Breakdown'!$T$6:$T$174, "&lt;"&amp;DO1)</f>
        <v>0</v>
      </c>
      <c r="DO17" s="125">
        <f>SUMIFS('Expenditure Breakdown'!$U$6:$U$174, 'Expenditure Breakdown'!$T$6:$T$174, "&gt;="&amp;DO1,'Expenditure Breakdown'!$T$6:$T$174, "&lt;"&amp;DP1)</f>
        <v>0</v>
      </c>
      <c r="DP17" s="125">
        <f>SUMIFS('Expenditure Breakdown'!$U$6:$U$174, 'Expenditure Breakdown'!$T$6:$T$174, "&gt;="&amp;DP1,'Expenditure Breakdown'!$T$6:$T$174, "&lt;"&amp;DQ1)</f>
        <v>0</v>
      </c>
      <c r="DQ17" s="125">
        <f>SUMIFS('Expenditure Breakdown'!$U$6:$U$174, 'Expenditure Breakdown'!$T$6:$T$174, "&gt;="&amp;DQ1,'Expenditure Breakdown'!$T$6:$T$174, "&lt;"&amp;DR1)</f>
        <v>0</v>
      </c>
      <c r="DR17" s="125">
        <f>SUMIFS('Expenditure Breakdown'!$U$6:$U$174, 'Expenditure Breakdown'!$T$6:$T$174, "&gt;="&amp;DR1,'Expenditure Breakdown'!$T$6:$T$174, "&lt;"&amp;DS1)</f>
        <v>0</v>
      </c>
      <c r="DS17" s="125">
        <f>SUMIFS('Expenditure Breakdown'!$U$6:$U$174, 'Expenditure Breakdown'!$T$6:$T$174, "&gt;="&amp;DS1,'Expenditure Breakdown'!$T$6:$T$174, "&lt;"&amp;DT1)</f>
        <v>0</v>
      </c>
      <c r="DT17" s="125">
        <f>SUMIFS('Expenditure Breakdown'!$U$6:$U$174, 'Expenditure Breakdown'!$T$6:$T$174, "&gt;="&amp;DT1,'Expenditure Breakdown'!$T$6:$T$174, "&lt;"&amp;DU1)</f>
        <v>0</v>
      </c>
      <c r="DU17" s="125">
        <f>SUMIFS('Expenditure Breakdown'!$U$6:$U$174, 'Expenditure Breakdown'!$T$6:$T$174, "&gt;="&amp;DU1,'Expenditure Breakdown'!$T$6:$T$174, "&lt;"&amp;DV1)</f>
        <v>0</v>
      </c>
      <c r="DV17" s="125">
        <f>SUMIFS('Expenditure Breakdown'!$U$6:$U$174, 'Expenditure Breakdown'!$T$6:$T$174, "&gt;="&amp;DV1,'Expenditure Breakdown'!$T$6:$T$174, "&lt;"&amp;DW1)</f>
        <v>0</v>
      </c>
      <c r="DW17" s="125">
        <f>SUMIFS('Expenditure Breakdown'!$U$6:$U$174, 'Expenditure Breakdown'!$T$6:$T$174, "&gt;="&amp;DW1,'Expenditure Breakdown'!$T$6:$T$174, "&lt;"&amp;DX1)</f>
        <v>0</v>
      </c>
      <c r="DX17" s="125">
        <f>SUMIFS('Expenditure Breakdown'!$U$6:$U$174, 'Expenditure Breakdown'!$T$6:$T$174, "&gt;="&amp;DX1,'Expenditure Breakdown'!$T$6:$T$174, "&lt;"&amp;DY1)</f>
        <v>0</v>
      </c>
      <c r="DY17" s="125">
        <f>SUMIFS('Expenditure Breakdown'!$U$6:$U$174, 'Expenditure Breakdown'!$T$6:$T$174, "&gt;="&amp;DY1,'Expenditure Breakdown'!$T$6:$T$174, "&lt;"&amp;DZ1)</f>
        <v>0</v>
      </c>
      <c r="DZ17" s="125">
        <f>SUMIFS('Expenditure Breakdown'!$U$6:$U$174, 'Expenditure Breakdown'!$T$6:$T$174, "&gt;="&amp;DZ1,'Expenditure Breakdown'!$T$6:$T$174, "&lt;"&amp;EA1)</f>
        <v>0</v>
      </c>
      <c r="EA17" s="125">
        <f>SUMIFS('Expenditure Breakdown'!$U$6:$U$174, 'Expenditure Breakdown'!$T$6:$T$174, "&gt;="&amp;EA1,'Expenditure Breakdown'!$T$6:$T$174, "&lt;"&amp;EB1)</f>
        <v>0</v>
      </c>
      <c r="EB17" s="125">
        <f>SUMIFS('Expenditure Breakdown'!$U$6:$U$174, 'Expenditure Breakdown'!$T$6:$T$174, "&gt;="&amp;EB1,'Expenditure Breakdown'!$T$6:$T$174, "&lt;"&amp;EC1)</f>
        <v>0</v>
      </c>
      <c r="EC17" s="125">
        <f>SUMIFS('Expenditure Breakdown'!$U$6:$U$174, 'Expenditure Breakdown'!$T$6:$T$174, "&gt;="&amp;EC1,'Expenditure Breakdown'!$T$6:$T$174, "&lt;"&amp;ED1)</f>
        <v>0</v>
      </c>
      <c r="ED17" s="125">
        <f>SUMIFS('Expenditure Breakdown'!$U$6:$U$174, 'Expenditure Breakdown'!$T$6:$T$174, "&gt;="&amp;ED1,'Expenditure Breakdown'!$T$6:$T$174, "&lt;"&amp;EE1)</f>
        <v>0</v>
      </c>
      <c r="EE17" s="125">
        <f>SUMIFS('Expenditure Breakdown'!$U$6:$U$174, 'Expenditure Breakdown'!$T$6:$T$174, "&gt;="&amp;EE1,'Expenditure Breakdown'!$T$6:$T$174, "&lt;"&amp;EF1)</f>
        <v>0</v>
      </c>
      <c r="EF17" s="125">
        <f>SUMIFS('Expenditure Breakdown'!$U$6:$U$174, 'Expenditure Breakdown'!$T$6:$T$174, "&gt;="&amp;EF1,'Expenditure Breakdown'!$T$6:$T$174, "&lt;"&amp;EG1)</f>
        <v>0</v>
      </c>
      <c r="EG17" s="125">
        <f>SUMIFS('Expenditure Breakdown'!$U$6:$U$174, 'Expenditure Breakdown'!$T$6:$T$174, "&gt;="&amp;EG1,'Expenditure Breakdown'!$T$6:$T$174, "&lt;"&amp;EH1)</f>
        <v>0</v>
      </c>
      <c r="EH17" s="125">
        <f>SUMIFS('Expenditure Breakdown'!$U$6:$U$174, 'Expenditure Breakdown'!$T$6:$T$174, "&gt;="&amp;EH1,'Expenditure Breakdown'!$T$6:$T$174, "&lt;"&amp;EI1)</f>
        <v>0</v>
      </c>
      <c r="EI17" s="125">
        <f>SUMIFS('Expenditure Breakdown'!$U$6:$U$174, 'Expenditure Breakdown'!$T$6:$T$174, "&gt;="&amp;EI1,'Expenditure Breakdown'!$T$6:$T$174, "&lt;"&amp;EJ1)</f>
        <v>0</v>
      </c>
      <c r="EJ17" s="125">
        <f>SUMIFS('Expenditure Breakdown'!$U$6:$U$174, 'Expenditure Breakdown'!$T$6:$T$174, "&gt;="&amp;EJ1,'Expenditure Breakdown'!$T$6:$T$174, "&lt;"&amp;EK1)</f>
        <v>0</v>
      </c>
      <c r="EK17" s="125">
        <f>SUMIFS('Expenditure Breakdown'!$U$6:$U$174, 'Expenditure Breakdown'!$T$6:$T$174, "&gt;="&amp;EK1,'Expenditure Breakdown'!$T$6:$T$174, "&lt;"&amp;EL1)</f>
        <v>0</v>
      </c>
      <c r="EL17" s="125">
        <f>SUMIFS('Expenditure Breakdown'!$U$6:$U$174, 'Expenditure Breakdown'!$T$6:$T$174, "&gt;="&amp;EL1,'Expenditure Breakdown'!$T$6:$T$174, "&lt;"&amp;EM1)</f>
        <v>0</v>
      </c>
      <c r="EM17" s="125">
        <f>SUMIFS('Expenditure Breakdown'!$U$6:$U$174, 'Expenditure Breakdown'!$T$6:$T$174, "&gt;="&amp;EM1,'Expenditure Breakdown'!$T$6:$T$174, "&lt;"&amp;EN1)</f>
        <v>0</v>
      </c>
      <c r="EN17" s="125">
        <f>SUMIFS('Expenditure Breakdown'!$U$6:$U$174, 'Expenditure Breakdown'!$T$6:$T$174, "&gt;="&amp;EN1,'Expenditure Breakdown'!$T$6:$T$174, "&lt;"&amp;EO1)</f>
        <v>0</v>
      </c>
      <c r="EO17" s="125">
        <f>SUMIFS('Expenditure Breakdown'!$U$6:$U$174, 'Expenditure Breakdown'!$T$6:$T$174, "&gt;="&amp;EO1,'Expenditure Breakdown'!$T$6:$T$174, "&lt;"&amp;EP1)</f>
        <v>0</v>
      </c>
      <c r="EP17" s="125">
        <f>SUMIFS('Expenditure Breakdown'!$U$6:$U$174, 'Expenditure Breakdown'!$T$6:$T$174, "&gt;="&amp;EP1,'Expenditure Breakdown'!$T$6:$T$174, "&lt;"&amp;EQ1)</f>
        <v>0</v>
      </c>
      <c r="EQ17" s="125">
        <f>SUMIFS('Expenditure Breakdown'!$U$6:$U$174, 'Expenditure Breakdown'!$T$6:$T$174, "&gt;="&amp;EQ1,'Expenditure Breakdown'!$T$6:$T$174, "&lt;"&amp;ER1)</f>
        <v>0</v>
      </c>
      <c r="ER17" s="125">
        <f>SUMIFS('Expenditure Breakdown'!$U$6:$U$174, 'Expenditure Breakdown'!$T$6:$T$174, "&gt;="&amp;ER1,'Expenditure Breakdown'!$T$6:$T$174, "&lt;"&amp;ES1)</f>
        <v>0</v>
      </c>
      <c r="ES17" s="125">
        <f>SUMIFS('Expenditure Breakdown'!$U$6:$U$174, 'Expenditure Breakdown'!$T$6:$T$174, "&gt;="&amp;ES1,'Expenditure Breakdown'!$T$6:$T$174, "&lt;"&amp;ET1)</f>
        <v>0</v>
      </c>
      <c r="ET17" s="125">
        <f>SUMIFS('Expenditure Breakdown'!$U$6:$U$174, 'Expenditure Breakdown'!$T$6:$T$174, "&gt;="&amp;ET1,'Expenditure Breakdown'!$T$6:$T$174, "&lt;"&amp;EU1)</f>
        <v>0</v>
      </c>
      <c r="EU17" s="125">
        <f>SUMIFS('Expenditure Breakdown'!$U$6:$U$174, 'Expenditure Breakdown'!$T$6:$T$174, "&gt;="&amp;EU1,'Expenditure Breakdown'!$T$6:$T$174, "&lt;"&amp;EV1)</f>
        <v>0</v>
      </c>
      <c r="EV17" s="125">
        <f>SUMIFS('Expenditure Breakdown'!$U$6:$U$174, 'Expenditure Breakdown'!$T$6:$T$174, "&gt;="&amp;EV1,'Expenditure Breakdown'!$T$6:$T$174, "&lt;"&amp;EW1)</f>
        <v>0</v>
      </c>
      <c r="EW17" s="125">
        <f>SUMIFS('Expenditure Breakdown'!$U$6:$U$174, 'Expenditure Breakdown'!$T$6:$T$174, "&gt;="&amp;EW1,'Expenditure Breakdown'!$T$6:$T$174, "&lt;"&amp;EX1)</f>
        <v>0</v>
      </c>
      <c r="EX17" s="125">
        <f>SUMIFS('Expenditure Breakdown'!$U$6:$U$174, 'Expenditure Breakdown'!$T$6:$T$174, "&gt;="&amp;EX1,'Expenditure Breakdown'!$T$6:$T$174, "&lt;"&amp;EY1)</f>
        <v>0</v>
      </c>
      <c r="EY17" s="125">
        <f>SUMIFS('Expenditure Breakdown'!$U$6:$U$174, 'Expenditure Breakdown'!$T$6:$T$174, "&gt;="&amp;EY1,'Expenditure Breakdown'!$T$6:$T$174, "&lt;"&amp;EZ1)</f>
        <v>0</v>
      </c>
      <c r="EZ17" s="125">
        <f>SUMIFS('Expenditure Breakdown'!$U$6:$U$174, 'Expenditure Breakdown'!$T$6:$T$174, "&gt;="&amp;EZ1,'Expenditure Breakdown'!$T$6:$T$174, "&lt;"&amp;FA1)</f>
        <v>0</v>
      </c>
      <c r="FA17" s="125">
        <f>SUMIFS('Expenditure Breakdown'!$U$6:$U$174, 'Expenditure Breakdown'!$T$6:$T$174, "&gt;="&amp;FA1,'Expenditure Breakdown'!$T$6:$T$174, "&lt;"&amp;FB1)</f>
        <v>0</v>
      </c>
      <c r="FB17" s="125">
        <f>SUMIFS('Expenditure Breakdown'!$U$6:$U$174, 'Expenditure Breakdown'!$T$6:$T$174, "&gt;="&amp;FB1,'Expenditure Breakdown'!$T$6:$T$174, "&lt;"&amp;FC1)</f>
        <v>0</v>
      </c>
      <c r="FC17" s="125">
        <f>SUMIFS('Expenditure Breakdown'!$U$6:$U$174, 'Expenditure Breakdown'!$T$6:$T$174, "&gt;="&amp;FC1,'Expenditure Breakdown'!$T$6:$T$174, "&lt;"&amp;FD1)</f>
        <v>0</v>
      </c>
      <c r="FD17" s="125">
        <f>SUMIFS('Expenditure Breakdown'!$U$6:$U$174, 'Expenditure Breakdown'!$T$6:$T$174, "&gt;="&amp;FD1,'Expenditure Breakdown'!$T$6:$T$174, "&lt;"&amp;FE1)</f>
        <v>0</v>
      </c>
      <c r="FE17" s="125">
        <f>SUMIFS('Expenditure Breakdown'!$U$6:$U$174, 'Expenditure Breakdown'!$T$6:$T$174, "&gt;="&amp;FE1,'Expenditure Breakdown'!$T$6:$T$174, "&lt;"&amp;FF1)</f>
        <v>0</v>
      </c>
      <c r="FF17" s="125">
        <f>SUMIFS('Expenditure Breakdown'!$U$6:$U$174, 'Expenditure Breakdown'!$T$6:$T$174, "&gt;="&amp;FF1,'Expenditure Breakdown'!$T$6:$T$174, "&lt;"&amp;FG1)</f>
        <v>0</v>
      </c>
      <c r="FG17" s="125">
        <f>SUMIFS('Expenditure Breakdown'!$U$6:$U$174, 'Expenditure Breakdown'!$T$6:$T$174, "&gt;="&amp;FG1,'Expenditure Breakdown'!$T$6:$T$174, "&lt;"&amp;FH1)</f>
        <v>0</v>
      </c>
      <c r="FH17" s="125">
        <f>SUMIFS('Expenditure Breakdown'!$U$6:$U$174, 'Expenditure Breakdown'!$T$6:$T$174, "&gt;="&amp;FH1,'Expenditure Breakdown'!$T$6:$T$174, "&lt;"&amp;FI1)</f>
        <v>0</v>
      </c>
      <c r="FI17" s="125">
        <f>SUMIFS('Expenditure Breakdown'!$U$6:$U$174, 'Expenditure Breakdown'!$T$6:$T$174, "&gt;="&amp;FI1,'Expenditure Breakdown'!$T$6:$T$174, "&lt;"&amp;FJ1)</f>
        <v>0</v>
      </c>
      <c r="FJ17" s="125">
        <f>SUMIFS('Expenditure Breakdown'!$U$6:$U$174, 'Expenditure Breakdown'!$T$6:$T$174, "&gt;="&amp;FJ1,'Expenditure Breakdown'!$T$6:$T$174, "&lt;"&amp;FK1)</f>
        <v>0</v>
      </c>
      <c r="FK17" s="125">
        <f>SUMIFS('Expenditure Breakdown'!$U$6:$U$174, 'Expenditure Breakdown'!$T$6:$T$174, "&gt;="&amp;FK1,'Expenditure Breakdown'!$T$6:$T$174, "&lt;"&amp;FL1)</f>
        <v>0</v>
      </c>
      <c r="FL17" s="125">
        <f>SUMIFS('Expenditure Breakdown'!$U$6:$U$174, 'Expenditure Breakdown'!$T$6:$T$174, "&gt;="&amp;FL1,'Expenditure Breakdown'!$T$6:$T$174, "&lt;"&amp;FM1)</f>
        <v>0</v>
      </c>
      <c r="FM17" s="125">
        <f>SUMIFS('Expenditure Breakdown'!$U$6:$U$174, 'Expenditure Breakdown'!$T$6:$T$174, "&gt;="&amp;FM1,'Expenditure Breakdown'!$T$6:$T$174, "&lt;"&amp;FN1)</f>
        <v>0</v>
      </c>
      <c r="FN17" s="125">
        <f>SUMIFS('Expenditure Breakdown'!$U$6:$U$174, 'Expenditure Breakdown'!$T$6:$T$174, "&gt;="&amp;FN1,'Expenditure Breakdown'!$T$6:$T$174, "&lt;"&amp;FO1)</f>
        <v>0</v>
      </c>
      <c r="FO17" s="125">
        <f>SUMIFS('Expenditure Breakdown'!$U$6:$U$174, 'Expenditure Breakdown'!$T$6:$T$174, "&gt;="&amp;FO1,'Expenditure Breakdown'!$T$6:$T$174, "&lt;"&amp;FP1)</f>
        <v>0</v>
      </c>
      <c r="FP17" s="125">
        <f>SUMIFS('Expenditure Breakdown'!$U$6:$U$174, 'Expenditure Breakdown'!$T$6:$T$174, "&gt;="&amp;FP1,'Expenditure Breakdown'!$T$6:$T$174, "&lt;"&amp;FQ1)</f>
        <v>0</v>
      </c>
      <c r="FQ17" s="125">
        <f>SUMIFS('Expenditure Breakdown'!$U$6:$U$174, 'Expenditure Breakdown'!$T$6:$T$174, "&gt;="&amp;FQ1,'Expenditure Breakdown'!$T$6:$T$174, "&lt;"&amp;FR1)</f>
        <v>0</v>
      </c>
      <c r="FR17" s="125">
        <f>SUMIFS('Expenditure Breakdown'!$U$6:$U$174, 'Expenditure Breakdown'!$T$6:$T$174, "&gt;="&amp;FR1,'Expenditure Breakdown'!$T$6:$T$174, "&lt;"&amp;FS1)</f>
        <v>0</v>
      </c>
      <c r="FS17" s="125">
        <f>SUMIFS('Expenditure Breakdown'!$U$6:$U$174, 'Expenditure Breakdown'!$T$6:$T$174, "&gt;="&amp;FS1,'Expenditure Breakdown'!$T$6:$T$174, "&lt;"&amp;FT1)</f>
        <v>0</v>
      </c>
      <c r="FT17" s="125">
        <f>SUMIFS('Expenditure Breakdown'!$U$6:$U$174, 'Expenditure Breakdown'!$T$6:$T$174, "&gt;="&amp;FT1,'Expenditure Breakdown'!$T$6:$T$174, "&lt;"&amp;FU1)</f>
        <v>0</v>
      </c>
      <c r="FU17" s="125">
        <f>SUMIFS('Expenditure Breakdown'!$U$6:$U$174, 'Expenditure Breakdown'!$T$6:$T$174, "&gt;="&amp;FU1,'Expenditure Breakdown'!$T$6:$T$174, "&lt;"&amp;FV1)</f>
        <v>0</v>
      </c>
      <c r="FV17" s="125">
        <f>SUMIFS('Expenditure Breakdown'!$U$6:$U$174, 'Expenditure Breakdown'!$T$6:$T$174, "&gt;="&amp;FV1,'Expenditure Breakdown'!$T$6:$T$174, "&lt;"&amp;FW1)</f>
        <v>0</v>
      </c>
      <c r="FW17" s="125">
        <f>SUMIFS('Expenditure Breakdown'!$U$6:$U$174, 'Expenditure Breakdown'!$T$6:$T$174, "&gt;="&amp;FW1,'Expenditure Breakdown'!$T$6:$T$174, "&lt;"&amp;FX1)</f>
        <v>0</v>
      </c>
      <c r="FX17" s="125">
        <f>SUMIFS('Expenditure Breakdown'!$U$6:$U$174, 'Expenditure Breakdown'!$T$6:$T$174, "&gt;="&amp;FX1,'Expenditure Breakdown'!$T$6:$T$174, "&lt;"&amp;FY1)</f>
        <v>0</v>
      </c>
      <c r="FY17" s="125">
        <f>SUMIFS('Expenditure Breakdown'!$U$6:$U$174, 'Expenditure Breakdown'!$T$6:$T$174, "&gt;="&amp;FY1,'Expenditure Breakdown'!$T$6:$T$174, "&lt;"&amp;FZ1)</f>
        <v>0</v>
      </c>
      <c r="FZ17" s="125">
        <f>SUMIFS('Expenditure Breakdown'!$U$6:$U$174, 'Expenditure Breakdown'!$T$6:$T$174, "&gt;="&amp;FZ1,'Expenditure Breakdown'!$T$6:$T$174, "&lt;"&amp;GA1)</f>
        <v>0</v>
      </c>
      <c r="GA17" s="125">
        <f>SUMIFS('Expenditure Breakdown'!$U$6:$U$174, 'Expenditure Breakdown'!$T$6:$T$174, "&gt;="&amp;GA1,'Expenditure Breakdown'!$T$6:$T$174, "&lt;"&amp;GB1)</f>
        <v>0</v>
      </c>
      <c r="GB17" s="125">
        <f>SUMIFS('Expenditure Breakdown'!$U$6:$U$174, 'Expenditure Breakdown'!$T$6:$T$174, "&gt;="&amp;GB1,'Expenditure Breakdown'!$T$6:$T$174, "&lt;"&amp;GC1)</f>
        <v>0</v>
      </c>
      <c r="GC17" s="125">
        <f>SUMIFS('Expenditure Breakdown'!$U$6:$U$174, 'Expenditure Breakdown'!$T$6:$T$174, "&gt;="&amp;GC1,'Expenditure Breakdown'!$T$6:$T$174, "&lt;"&amp;GD1)</f>
        <v>0</v>
      </c>
      <c r="GD17" s="125">
        <f>SUMIFS('Expenditure Breakdown'!$U$6:$U$174, 'Expenditure Breakdown'!$T$6:$T$174, "&gt;="&amp;GD1,'Expenditure Breakdown'!$T$6:$T$174, "&lt;"&amp;GE1)</f>
        <v>0</v>
      </c>
      <c r="GE17" s="125">
        <f>SUMIFS('Expenditure Breakdown'!$U$6:$U$174, 'Expenditure Breakdown'!$T$6:$T$174, "&gt;="&amp;GE1,'Expenditure Breakdown'!$T$6:$T$174, "&lt;"&amp;GF1)</f>
        <v>0</v>
      </c>
      <c r="GF17" s="125">
        <f>SUMIFS('Expenditure Breakdown'!$U$6:$U$174, 'Expenditure Breakdown'!$T$6:$T$174, "&gt;="&amp;GF1,'Expenditure Breakdown'!$T$6:$T$174, "&lt;"&amp;GG1)</f>
        <v>0</v>
      </c>
      <c r="GG17" s="125">
        <f>SUMIFS('Expenditure Breakdown'!$U$6:$U$174, 'Expenditure Breakdown'!$T$6:$T$174, "&gt;="&amp;GG1,'Expenditure Breakdown'!$T$6:$T$174, "&lt;"&amp;GH1)</f>
        <v>0</v>
      </c>
      <c r="GH17" s="125">
        <f>SUMIFS('Expenditure Breakdown'!$U$6:$U$174, 'Expenditure Breakdown'!$T$6:$T$174, "&gt;="&amp;GH1,'Expenditure Breakdown'!$T$6:$T$174, "&lt;"&amp;GI1)</f>
        <v>0</v>
      </c>
      <c r="GI17" s="125">
        <f>SUMIFS('Expenditure Breakdown'!$U$6:$U$174, 'Expenditure Breakdown'!$T$6:$T$174, "&gt;="&amp;GI1,'Expenditure Breakdown'!$T$6:$T$174, "&lt;"&amp;GJ1)</f>
        <v>0</v>
      </c>
      <c r="GJ17" s="125">
        <f>SUMIFS('Expenditure Breakdown'!$U$6:$U$174, 'Expenditure Breakdown'!$T$6:$T$174, "&gt;="&amp;GJ1,'Expenditure Breakdown'!$T$6:$T$174, "&lt;"&amp;GK1)</f>
        <v>0</v>
      </c>
      <c r="GK17" s="125">
        <f>SUMIFS('Expenditure Breakdown'!$U$6:$U$174, 'Expenditure Breakdown'!$T$6:$T$174, "&gt;="&amp;GK1,'Expenditure Breakdown'!$T$6:$T$174, "&lt;"&amp;GL1)</f>
        <v>0</v>
      </c>
      <c r="GL17" s="125">
        <f>SUMIFS('Expenditure Breakdown'!$U$6:$U$174, 'Expenditure Breakdown'!$T$6:$T$174, "&gt;="&amp;GL1,'Expenditure Breakdown'!$T$6:$T$174, "&lt;"&amp;GM1)</f>
        <v>0</v>
      </c>
      <c r="GM17" s="125">
        <f>SUMIFS('Expenditure Breakdown'!$U$6:$U$174, 'Expenditure Breakdown'!$T$6:$T$174, "&gt;="&amp;GM1,'Expenditure Breakdown'!$T$6:$T$174, "&lt;"&amp;GN1)</f>
        <v>0</v>
      </c>
      <c r="GN17" s="125">
        <f>SUMIFS('Expenditure Breakdown'!$U$6:$U$174, 'Expenditure Breakdown'!$T$6:$T$174, "&gt;="&amp;GN1,'Expenditure Breakdown'!$T$6:$T$174, "&lt;"&amp;GO1)</f>
        <v>0</v>
      </c>
      <c r="GO17" s="125">
        <f>SUMIFS('Expenditure Breakdown'!$U$6:$U$174, 'Expenditure Breakdown'!$T$6:$T$174, "&gt;="&amp;GO1,'Expenditure Breakdown'!$T$6:$T$174, "&lt;"&amp;GP1)</f>
        <v>0</v>
      </c>
      <c r="GP17" s="125">
        <f>SUMIFS('Expenditure Breakdown'!$U$6:$U$174, 'Expenditure Breakdown'!$T$6:$T$174, "&gt;="&amp;GP1,'Expenditure Breakdown'!$T$6:$T$174, "&lt;"&amp;GQ1)</f>
        <v>0</v>
      </c>
      <c r="GQ17" s="125">
        <f>SUMIFS('Expenditure Breakdown'!$U$6:$U$174, 'Expenditure Breakdown'!$T$6:$T$174, "&gt;="&amp;GQ1,'Expenditure Breakdown'!$T$6:$T$174, "&lt;"&amp;GR1)</f>
        <v>0</v>
      </c>
      <c r="GR17" s="125">
        <f>SUMIFS('Expenditure Breakdown'!$U$6:$U$174, 'Expenditure Breakdown'!$T$6:$T$174, "&gt;="&amp;GR1,'Expenditure Breakdown'!$T$6:$T$174, "&lt;"&amp;GS1)</f>
        <v>0</v>
      </c>
      <c r="GS17" s="125">
        <f>SUMIFS('Expenditure Breakdown'!$U$6:$U$174, 'Expenditure Breakdown'!$T$6:$T$174, "&gt;="&amp;GS1,'Expenditure Breakdown'!$T$6:$T$174, "&lt;"&amp;GT1)</f>
        <v>0</v>
      </c>
      <c r="GT17" s="125">
        <f>SUMIFS('Expenditure Breakdown'!$U$6:$U$174, 'Expenditure Breakdown'!$T$6:$T$174, "&gt;="&amp;GT1,'Expenditure Breakdown'!$T$6:$T$174, "&lt;"&amp;GU1)</f>
        <v>0</v>
      </c>
      <c r="GU17" s="125">
        <f>SUMIFS('Expenditure Breakdown'!$U$6:$U$174, 'Expenditure Breakdown'!$T$6:$T$174, "&gt;="&amp;GU1,'Expenditure Breakdown'!$T$6:$T$174, "&lt;"&amp;GV1)</f>
        <v>0</v>
      </c>
      <c r="GV17" s="125">
        <f>SUMIFS('Expenditure Breakdown'!$U$6:$U$174, 'Expenditure Breakdown'!$T$6:$T$174, "&gt;="&amp;GV1,'Expenditure Breakdown'!$T$6:$T$174, "&lt;"&amp;GW1)</f>
        <v>0</v>
      </c>
      <c r="GW17" s="125">
        <f>SUMIFS('Expenditure Breakdown'!$U$6:$U$174, 'Expenditure Breakdown'!$T$6:$T$174, "&gt;="&amp;GW1,'Expenditure Breakdown'!$T$6:$T$174, "&lt;"&amp;GX1)</f>
        <v>0</v>
      </c>
      <c r="GX17" s="125">
        <f>SUMIFS('Expenditure Breakdown'!$U$6:$U$174, 'Expenditure Breakdown'!$T$6:$T$174, "&gt;="&amp;GX1,'Expenditure Breakdown'!$T$6:$T$174, "&lt;"&amp;GY1)</f>
        <v>0</v>
      </c>
      <c r="GY17" s="125">
        <f>SUMIFS('Expenditure Breakdown'!$U$6:$U$174, 'Expenditure Breakdown'!$T$6:$T$174, "&gt;="&amp;GY1,'Expenditure Breakdown'!$T$6:$T$174, "&lt;"&amp;GZ1)</f>
        <v>0</v>
      </c>
      <c r="GZ17" s="125">
        <f>SUMIFS('Expenditure Breakdown'!$U$6:$U$174, 'Expenditure Breakdown'!$T$6:$T$174, "&gt;="&amp;GZ1,'Expenditure Breakdown'!$T$6:$T$174, "&lt;"&amp;HA1)</f>
        <v>0</v>
      </c>
      <c r="HA17" s="125">
        <f>SUMIFS('Expenditure Breakdown'!$U$6:$U$174, 'Expenditure Breakdown'!$T$6:$T$174, "&gt;="&amp;HA1,'Expenditure Breakdown'!$T$6:$T$174, "&lt;"&amp;HB1)</f>
        <v>0</v>
      </c>
      <c r="HB17" s="125">
        <f>SUMIFS('Expenditure Breakdown'!$U$6:$U$174, 'Expenditure Breakdown'!$T$6:$T$174, "&gt;="&amp;HB1,'Expenditure Breakdown'!$T$6:$T$174, "&lt;"&amp;HC1)</f>
        <v>0</v>
      </c>
      <c r="HC17" s="125">
        <f>SUMIFS('Expenditure Breakdown'!$U$6:$U$174, 'Expenditure Breakdown'!$T$6:$T$174, "&gt;="&amp;HC1,'Expenditure Breakdown'!$T$6:$T$174, "&lt;"&amp;HD1)</f>
        <v>0</v>
      </c>
      <c r="HD17" s="125">
        <f>SUMIFS('Expenditure Breakdown'!$U$6:$U$174, 'Expenditure Breakdown'!$T$6:$T$174, "&gt;="&amp;HD1,'Expenditure Breakdown'!$T$6:$T$174, "&lt;"&amp;HE1)</f>
        <v>0</v>
      </c>
      <c r="HE17" s="125">
        <f>SUMIFS('Expenditure Breakdown'!$U$6:$U$174, 'Expenditure Breakdown'!$T$6:$T$174, "&gt;="&amp;HE1,'Expenditure Breakdown'!$T$6:$T$174, "&lt;"&amp;HF1)</f>
        <v>0</v>
      </c>
      <c r="HF17" s="125">
        <f>SUMIFS('Expenditure Breakdown'!$U$6:$U$174, 'Expenditure Breakdown'!$T$6:$T$174, "&gt;="&amp;HF1,'Expenditure Breakdown'!$T$6:$T$174, "&lt;"&amp;HG1)</f>
        <v>0</v>
      </c>
      <c r="HG17" s="125">
        <f>SUMIFS('Expenditure Breakdown'!$U$6:$U$174, 'Expenditure Breakdown'!$T$6:$T$174, "&gt;="&amp;HG1,'Expenditure Breakdown'!$T$6:$T$174, "&lt;"&amp;HH1)</f>
        <v>0</v>
      </c>
      <c r="HH17" s="125">
        <f>SUMIFS('Expenditure Breakdown'!$U$6:$U$174, 'Expenditure Breakdown'!$T$6:$T$174, "&gt;="&amp;HH1,'Expenditure Breakdown'!$T$6:$T$174, "&lt;"&amp;HI1)</f>
        <v>0</v>
      </c>
      <c r="HI17" s="125">
        <f>SUMIFS('Expenditure Breakdown'!$U$6:$U$174, 'Expenditure Breakdown'!$T$6:$T$174, "&gt;="&amp;HI1,'Expenditure Breakdown'!$T$6:$T$174, "&lt;"&amp;HJ1)</f>
        <v>0</v>
      </c>
      <c r="HJ17" s="125">
        <f>SUMIFS('Expenditure Breakdown'!$U$6:$U$174, 'Expenditure Breakdown'!$T$6:$T$174, "&gt;="&amp;HJ1,'Expenditure Breakdown'!$T$6:$T$174, "&lt;"&amp;HK1)</f>
        <v>0</v>
      </c>
      <c r="HK17" s="125">
        <f>SUMIFS('Expenditure Breakdown'!$U$6:$U$174, 'Expenditure Breakdown'!$T$6:$T$174, "&gt;="&amp;HK1,'Expenditure Breakdown'!$T$6:$T$174, "&lt;"&amp;HL1)</f>
        <v>0</v>
      </c>
      <c r="HL17" s="125">
        <f>SUMIFS('Expenditure Breakdown'!$U$6:$U$174, 'Expenditure Breakdown'!$T$6:$T$174, "&gt;="&amp;HL1,'Expenditure Breakdown'!$T$6:$T$174, "&lt;"&amp;HM1)</f>
        <v>0</v>
      </c>
      <c r="HM17" s="125">
        <f>SUMIFS('Expenditure Breakdown'!$U$6:$U$174, 'Expenditure Breakdown'!$T$6:$T$174, "&gt;="&amp;HM1,'Expenditure Breakdown'!$T$6:$T$174, "&lt;"&amp;HN1)</f>
        <v>0</v>
      </c>
      <c r="HN17" s="125">
        <f>SUMIFS('Expenditure Breakdown'!$U$6:$U$174, 'Expenditure Breakdown'!$T$6:$T$174, "&gt;="&amp;HN1,'Expenditure Breakdown'!$T$6:$T$174, "&lt;"&amp;HO1)</f>
        <v>0</v>
      </c>
      <c r="HO17" s="125">
        <f>SUMIFS('Expenditure Breakdown'!$U$6:$U$174, 'Expenditure Breakdown'!$T$6:$T$174, "&gt;="&amp;HO1,'Expenditure Breakdown'!$T$6:$T$174, "&lt;"&amp;HP1)</f>
        <v>0</v>
      </c>
      <c r="HP17" s="125">
        <f>SUMIFS('Expenditure Breakdown'!$U$6:$U$174, 'Expenditure Breakdown'!$T$6:$T$174, "&gt;="&amp;HP1,'Expenditure Breakdown'!$T$6:$T$174, "&lt;"&amp;HQ1)</f>
        <v>0</v>
      </c>
      <c r="HQ17" s="125">
        <f>SUMIFS('Expenditure Breakdown'!$U$6:$U$174, 'Expenditure Breakdown'!$T$6:$T$174, "&gt;="&amp;HQ1,'Expenditure Breakdown'!$T$6:$T$174, "&lt;"&amp;HR1)</f>
        <v>0</v>
      </c>
      <c r="HR17" s="125">
        <f>SUMIFS('Expenditure Breakdown'!$U$6:$U$174, 'Expenditure Breakdown'!$T$6:$T$174, "&gt;="&amp;HR1,'Expenditure Breakdown'!$T$6:$T$174, "&lt;"&amp;HS1)</f>
        <v>0</v>
      </c>
      <c r="HS17" s="125">
        <f>SUMIFS('Expenditure Breakdown'!$U$6:$U$174, 'Expenditure Breakdown'!$T$6:$T$174, "&gt;="&amp;HS1,'Expenditure Breakdown'!$T$6:$T$174, "&lt;"&amp;HT1)</f>
        <v>0</v>
      </c>
      <c r="HT17" s="125">
        <f>SUMIFS('Expenditure Breakdown'!$U$6:$U$174, 'Expenditure Breakdown'!$T$6:$T$174, "&gt;="&amp;HT1,'Expenditure Breakdown'!$T$6:$T$174, "&lt;"&amp;HU1)</f>
        <v>0</v>
      </c>
      <c r="HU17" s="125">
        <f>SUMIFS('Expenditure Breakdown'!$U$6:$U$174, 'Expenditure Breakdown'!$T$6:$T$174, "&gt;="&amp;HU1,'Expenditure Breakdown'!$T$6:$T$174, "&lt;"&amp;HV1)</f>
        <v>0</v>
      </c>
      <c r="HV17" s="125">
        <f>SUMIFS('Expenditure Breakdown'!$U$6:$U$174, 'Expenditure Breakdown'!$T$6:$T$174, "&gt;="&amp;HV1,'Expenditure Breakdown'!$T$6:$T$174, "&lt;"&amp;HW1)</f>
        <v>0</v>
      </c>
      <c r="HW17" s="125">
        <f>SUMIFS('Expenditure Breakdown'!$U$6:$U$174, 'Expenditure Breakdown'!$T$6:$T$174, "&gt;="&amp;HW1,'Expenditure Breakdown'!$T$6:$T$174, "&lt;"&amp;HX1)</f>
        <v>0</v>
      </c>
      <c r="HX17" s="125">
        <f>SUMIFS('Expenditure Breakdown'!$U$6:$U$174, 'Expenditure Breakdown'!$T$6:$T$174, "&gt;="&amp;HX1,'Expenditure Breakdown'!$T$6:$T$174, "&lt;"&amp;HY1)</f>
        <v>0</v>
      </c>
      <c r="HY17" s="125">
        <f>SUMIFS('Expenditure Breakdown'!$U$6:$U$174, 'Expenditure Breakdown'!$T$6:$T$174, "&gt;="&amp;HY1,'Expenditure Breakdown'!$T$6:$T$174, "&lt;"&amp;HZ1)</f>
        <v>0</v>
      </c>
      <c r="HZ17" s="125">
        <f>SUMIFS('Expenditure Breakdown'!$U$6:$U$174, 'Expenditure Breakdown'!$T$6:$T$174, "&gt;="&amp;HZ1,'Expenditure Breakdown'!$T$6:$T$174, "&lt;"&amp;IA1)</f>
        <v>0</v>
      </c>
      <c r="IA17" s="125">
        <f>SUMIFS('Expenditure Breakdown'!$U$6:$U$174, 'Expenditure Breakdown'!$T$6:$T$174, "&gt;="&amp;IA1,'Expenditure Breakdown'!$T$6:$T$174, "&lt;"&amp;IB1)</f>
        <v>0</v>
      </c>
      <c r="IB17" s="125">
        <f>SUMIFS('Expenditure Breakdown'!$U$6:$U$174, 'Expenditure Breakdown'!$T$6:$T$174, "&gt;="&amp;IB1,'Expenditure Breakdown'!$T$6:$T$174, "&lt;"&amp;IC1)</f>
        <v>0</v>
      </c>
      <c r="IC17" s="125">
        <f>SUMIFS('Expenditure Breakdown'!$U$6:$U$174, 'Expenditure Breakdown'!$T$6:$T$174, "&gt;="&amp;IC1,'Expenditure Breakdown'!$T$6:$T$174, "&lt;"&amp;ID1)</f>
        <v>0</v>
      </c>
      <c r="ID17" s="125">
        <f>SUMIFS('Expenditure Breakdown'!$U$6:$U$174, 'Expenditure Breakdown'!$T$6:$T$174, "&gt;="&amp;ID1,'Expenditure Breakdown'!$T$6:$T$174, "&lt;"&amp;IE1)</f>
        <v>0</v>
      </c>
      <c r="IE17" s="125">
        <f>SUMIFS('Expenditure Breakdown'!$U$6:$U$174, 'Expenditure Breakdown'!$T$6:$T$174, "&gt;="&amp;IE1,'Expenditure Breakdown'!$T$6:$T$174, "&lt;"&amp;IF1)</f>
        <v>0</v>
      </c>
      <c r="IF17" s="125">
        <f>SUMIFS('Expenditure Breakdown'!$U$6:$U$174, 'Expenditure Breakdown'!$T$6:$T$174, "&gt;="&amp;IF1,'Expenditure Breakdown'!$T$6:$T$174, "&lt;"&amp;IG1)</f>
        <v>0</v>
      </c>
      <c r="IG17" s="125">
        <f>SUMIFS('Expenditure Breakdown'!$U$6:$U$174, 'Expenditure Breakdown'!$T$6:$T$174, "&gt;="&amp;IG1,'Expenditure Breakdown'!$T$6:$T$174, "&lt;"&amp;IH1)</f>
        <v>0</v>
      </c>
      <c r="IH17" s="125">
        <f>SUMIFS('Expenditure Breakdown'!$U$6:$U$174, 'Expenditure Breakdown'!$T$6:$T$174, "&gt;="&amp;IH1,'Expenditure Breakdown'!$T$6:$T$174, "&lt;"&amp;II1)</f>
        <v>0</v>
      </c>
      <c r="II17" s="125">
        <f>SUMIFS('Expenditure Breakdown'!$U$6:$U$174, 'Expenditure Breakdown'!$T$6:$T$174, "&gt;="&amp;II1,'Expenditure Breakdown'!$T$6:$T$174, "&lt;"&amp;IJ1)</f>
        <v>0</v>
      </c>
      <c r="IJ17" s="125">
        <f>SUMIFS('Expenditure Breakdown'!$U$6:$U$174, 'Expenditure Breakdown'!$T$6:$T$174, "&gt;="&amp;IJ1,'Expenditure Breakdown'!$T$6:$T$174, "&lt;"&amp;IK1)</f>
        <v>0</v>
      </c>
      <c r="IK17" s="125">
        <f>SUMIFS('Expenditure Breakdown'!$U$6:$U$174, 'Expenditure Breakdown'!$T$6:$T$174, "&gt;="&amp;IK1,'Expenditure Breakdown'!$T$6:$T$174, "&lt;"&amp;IL1)</f>
        <v>0</v>
      </c>
      <c r="IL17" s="125">
        <f>SUMIFS('Expenditure Breakdown'!$U$6:$U$174, 'Expenditure Breakdown'!$T$6:$T$174, "&gt;="&amp;IL1,'Expenditure Breakdown'!$T$6:$T$174, "&lt;"&amp;IM1)</f>
        <v>0</v>
      </c>
      <c r="IM17" s="125">
        <f>SUMIFS('Expenditure Breakdown'!$U$6:$U$174, 'Expenditure Breakdown'!$T$6:$T$174, "&gt;="&amp;IM1,'Expenditure Breakdown'!$T$6:$T$174, "&lt;"&amp;IN1)</f>
        <v>0</v>
      </c>
      <c r="IN17" s="125">
        <f>SUMIFS('Expenditure Breakdown'!$U$6:$U$174, 'Expenditure Breakdown'!$T$6:$T$174, "&gt;="&amp;IN1,'Expenditure Breakdown'!$T$6:$T$174, "&lt;"&amp;IO1)</f>
        <v>0</v>
      </c>
      <c r="IO17" s="125">
        <f>SUMIFS('Expenditure Breakdown'!$U$6:$U$174, 'Expenditure Breakdown'!$T$6:$T$174, "&gt;="&amp;IO1,'Expenditure Breakdown'!$T$6:$T$174, "&lt;"&amp;IP1)</f>
        <v>0</v>
      </c>
      <c r="IP17" s="125">
        <f>SUMIFS('Expenditure Breakdown'!$U$6:$U$174, 'Expenditure Breakdown'!$T$6:$T$174, "&gt;="&amp;IP1,'Expenditure Breakdown'!$T$6:$T$174, "&lt;"&amp;IQ1)</f>
        <v>0</v>
      </c>
      <c r="IQ17" s="125">
        <f>SUMIFS('Expenditure Breakdown'!$U$6:$U$174, 'Expenditure Breakdown'!$T$6:$T$174, "&gt;="&amp;IQ1,'Expenditure Breakdown'!$T$6:$T$174, "&lt;"&amp;IR1)</f>
        <v>0</v>
      </c>
      <c r="IR17" s="125">
        <f>SUMIFS('Expenditure Breakdown'!$U$6:$U$174, 'Expenditure Breakdown'!$T$6:$T$174, "&gt;="&amp;IR1,'Expenditure Breakdown'!$T$6:$T$174, "&lt;"&amp;IS1)</f>
        <v>0</v>
      </c>
      <c r="IS17" s="125">
        <f>SUMIFS('Expenditure Breakdown'!$U$6:$U$174, 'Expenditure Breakdown'!$T$6:$T$174, "&gt;="&amp;IS1,'Expenditure Breakdown'!$T$6:$T$174, "&lt;"&amp;IT1)</f>
        <v>0</v>
      </c>
      <c r="IT17" s="125">
        <f>SUMIFS('Expenditure Breakdown'!$U$6:$U$174, 'Expenditure Breakdown'!$T$6:$T$174, "&gt;="&amp;IT1,'Expenditure Breakdown'!$T$6:$T$174, "&lt;"&amp;IU1)</f>
        <v>0</v>
      </c>
      <c r="IU17" s="125">
        <f>SUMIFS('Expenditure Breakdown'!$U$6:$U$174, 'Expenditure Breakdown'!$T$6:$T$174, "&gt;="&amp;IU1,'Expenditure Breakdown'!$T$6:$T$174, "&lt;"&amp;IV1)</f>
        <v>0</v>
      </c>
      <c r="IV17" s="125">
        <f>SUMIFS('Expenditure Breakdown'!$U$6:$U$174, 'Expenditure Breakdown'!$T$6:$T$174, "&gt;="&amp;IV1,'Expenditure Breakdown'!$T$6:$T$174, "&lt;"&amp;IW1)</f>
        <v>0</v>
      </c>
      <c r="IW17" s="125">
        <f>SUMIFS('Expenditure Breakdown'!$U$6:$U$174, 'Expenditure Breakdown'!$T$6:$T$174, "&gt;="&amp;IW1,'Expenditure Breakdown'!$T$6:$T$174, "&lt;"&amp;IX1)</f>
        <v>0</v>
      </c>
      <c r="IX17" s="125">
        <f>SUMIFS('Expenditure Breakdown'!$U$6:$U$174, 'Expenditure Breakdown'!$T$6:$T$174, "&gt;="&amp;IX1,'Expenditure Breakdown'!$T$6:$T$174, "&lt;"&amp;IY1)</f>
        <v>0</v>
      </c>
      <c r="IY17" s="125">
        <f>SUMIFS('Expenditure Breakdown'!$U$6:$U$174, 'Expenditure Breakdown'!$T$6:$T$174, "&gt;="&amp;IY1,'Expenditure Breakdown'!$T$6:$T$174, "&lt;"&amp;IZ1)</f>
        <v>0</v>
      </c>
      <c r="IZ17" s="125">
        <f>SUMIFS('Expenditure Breakdown'!$U$6:$U$174, 'Expenditure Breakdown'!$T$6:$T$174, "&gt;="&amp;IZ1,'Expenditure Breakdown'!$T$6:$T$174, "&lt;"&amp;JA1)</f>
        <v>0</v>
      </c>
      <c r="JA17" s="125">
        <f>SUMIFS('Expenditure Breakdown'!$U$6:$U$174, 'Expenditure Breakdown'!$T$6:$T$174, "&gt;="&amp;JA1,'Expenditure Breakdown'!$T$6:$T$174, "&lt;"&amp;JB1)</f>
        <v>0</v>
      </c>
      <c r="JB17" s="125">
        <f>SUMIFS('Expenditure Breakdown'!$U$6:$U$174, 'Expenditure Breakdown'!$T$6:$T$174, "&gt;="&amp;JB1,'Expenditure Breakdown'!$T$6:$T$174, "&lt;"&amp;JC1)</f>
        <v>0</v>
      </c>
      <c r="JC17" s="125">
        <f>SUMIFS('Expenditure Breakdown'!$U$6:$U$174, 'Expenditure Breakdown'!$T$6:$T$174, "&gt;="&amp;JC1,'Expenditure Breakdown'!$T$6:$T$174, "&lt;"&amp;JD1)</f>
        <v>0</v>
      </c>
      <c r="JD17" s="125">
        <f>SUMIFS('Expenditure Breakdown'!$U$6:$U$174, 'Expenditure Breakdown'!$T$6:$T$174, "&gt;="&amp;JD1,'Expenditure Breakdown'!$T$6:$T$174, "&lt;"&amp;JE1)</f>
        <v>0</v>
      </c>
      <c r="JE17" s="125">
        <f>SUMIFS('Expenditure Breakdown'!$U$6:$U$174, 'Expenditure Breakdown'!$T$6:$T$174, "&gt;="&amp;JE1,'Expenditure Breakdown'!$T$6:$T$174, "&lt;"&amp;JF1)</f>
        <v>0</v>
      </c>
      <c r="JF17" s="125">
        <f>SUMIFS('Expenditure Breakdown'!$U$6:$U$174, 'Expenditure Breakdown'!$T$6:$T$174, "&gt;="&amp;JF1,'Expenditure Breakdown'!$T$6:$T$174, "&lt;"&amp;JG1)</f>
        <v>0</v>
      </c>
      <c r="JG17" s="125">
        <f>SUMIFS('Expenditure Breakdown'!$U$6:$U$174, 'Expenditure Breakdown'!$T$6:$T$174, "&gt;="&amp;JG1,'Expenditure Breakdown'!$T$6:$T$174, "&lt;"&amp;JH1)</f>
        <v>0</v>
      </c>
      <c r="JH17" s="125">
        <f>SUMIFS('Expenditure Breakdown'!$U$6:$U$174, 'Expenditure Breakdown'!$T$6:$T$174, "&gt;="&amp;JH1,'Expenditure Breakdown'!$T$6:$T$174, "&lt;"&amp;JI1)</f>
        <v>0</v>
      </c>
      <c r="JI17" s="125">
        <f>SUMIFS('Expenditure Breakdown'!$U$6:$U$174, 'Expenditure Breakdown'!$T$6:$T$174, "&gt;="&amp;JI1,'Expenditure Breakdown'!$T$6:$T$174, "&lt;"&amp;JJ1)</f>
        <v>0</v>
      </c>
      <c r="JJ17" s="125">
        <f>SUMIFS('Expenditure Breakdown'!$U$6:$U$174, 'Expenditure Breakdown'!$T$6:$T$174, "&gt;="&amp;JJ1,'Expenditure Breakdown'!$T$6:$T$174, "&lt;"&amp;JK1)</f>
        <v>0</v>
      </c>
      <c r="JK17" s="125">
        <f>SUMIFS('Expenditure Breakdown'!$U$6:$U$174, 'Expenditure Breakdown'!$T$6:$T$174, "&gt;="&amp;JK1,'Expenditure Breakdown'!$T$6:$T$174, "&lt;"&amp;JL1)</f>
        <v>0</v>
      </c>
      <c r="JL17" s="125">
        <f>SUMIFS('Expenditure Breakdown'!$U$6:$U$174, 'Expenditure Breakdown'!$T$6:$T$174, "&gt;="&amp;JL1,'Expenditure Breakdown'!$T$6:$T$174, "&lt;"&amp;JM1)</f>
        <v>0</v>
      </c>
      <c r="JM17" s="125">
        <f>SUMIFS('Expenditure Breakdown'!$U$6:$U$174, 'Expenditure Breakdown'!$T$6:$T$174, "&gt;="&amp;JM1,'Expenditure Breakdown'!$T$6:$T$174, "&lt;"&amp;JN1)</f>
        <v>0</v>
      </c>
      <c r="JN17" s="125">
        <f>SUMIFS('Expenditure Breakdown'!$U$6:$U$174, 'Expenditure Breakdown'!$T$6:$T$174, "&gt;="&amp;JN1,'Expenditure Breakdown'!$T$6:$T$174, "&lt;"&amp;JO1)</f>
        <v>0</v>
      </c>
      <c r="JO17" s="125">
        <f>SUMIFS('Expenditure Breakdown'!$U$6:$U$174, 'Expenditure Breakdown'!$T$6:$T$174, "&gt;="&amp;JO1,'Expenditure Breakdown'!$T$6:$T$174, "&lt;"&amp;JP1)</f>
        <v>0</v>
      </c>
      <c r="JP17" s="125">
        <f>SUMIFS('Expenditure Breakdown'!$U$6:$U$174, 'Expenditure Breakdown'!$T$6:$T$174, "&gt;="&amp;JP1,'Expenditure Breakdown'!$T$6:$T$174, "&lt;"&amp;JQ1)</f>
        <v>0</v>
      </c>
      <c r="JQ17" s="125">
        <f>SUMIFS('Expenditure Breakdown'!$U$6:$U$174, 'Expenditure Breakdown'!$T$6:$T$174, "&gt;="&amp;JQ1,'Expenditure Breakdown'!$T$6:$T$174, "&lt;"&amp;JR1)</f>
        <v>0</v>
      </c>
      <c r="JR17" s="125">
        <f>SUMIFS('Expenditure Breakdown'!$U$6:$U$174, 'Expenditure Breakdown'!$T$6:$T$174, "&gt;="&amp;JR1,'Expenditure Breakdown'!$T$6:$T$174, "&lt;"&amp;JS1)</f>
        <v>0</v>
      </c>
      <c r="JS17" s="125">
        <f>SUMIFS('Expenditure Breakdown'!$U$6:$U$174, 'Expenditure Breakdown'!$T$6:$T$174, "&gt;="&amp;JS1,'Expenditure Breakdown'!$T$6:$T$174, "&lt;"&amp;JT1)</f>
        <v>0</v>
      </c>
      <c r="JT17" s="125">
        <f>SUMIFS('Expenditure Breakdown'!$U$6:$U$174, 'Expenditure Breakdown'!$T$6:$T$174, "&gt;="&amp;JT1,'Expenditure Breakdown'!$T$6:$T$174, "&lt;"&amp;JU1)</f>
        <v>0</v>
      </c>
      <c r="JU17" s="125">
        <f>SUMIFS('Expenditure Breakdown'!$U$6:$U$174, 'Expenditure Breakdown'!$T$6:$T$174, "&gt;="&amp;JU1,'Expenditure Breakdown'!$T$6:$T$174, "&lt;"&amp;JV1)</f>
        <v>0</v>
      </c>
      <c r="JV17" s="125">
        <f>SUMIFS('Expenditure Breakdown'!$U$6:$U$174, 'Expenditure Breakdown'!$T$6:$T$174, "&gt;="&amp;JV1,'Expenditure Breakdown'!$T$6:$T$174, "&lt;"&amp;JW1)</f>
        <v>0</v>
      </c>
      <c r="JW17" s="125">
        <f>SUMIFS('Expenditure Breakdown'!$U$6:$U$174, 'Expenditure Breakdown'!$T$6:$T$174, "&gt;="&amp;JW1,'Expenditure Breakdown'!$T$6:$T$174, "&lt;"&amp;JX1)</f>
        <v>0</v>
      </c>
      <c r="JX17" s="125">
        <f>SUMIFS('Expenditure Breakdown'!$U$6:$U$174, 'Expenditure Breakdown'!$T$6:$T$174, "&gt;="&amp;JX1,'Expenditure Breakdown'!$T$6:$T$174, "&lt;"&amp;JY1)</f>
        <v>0</v>
      </c>
      <c r="JY17" s="125">
        <f>SUMIFS('Expenditure Breakdown'!$U$6:$U$174, 'Expenditure Breakdown'!$T$6:$T$174, "&gt;="&amp;JY1,'Expenditure Breakdown'!$T$6:$T$174, "&lt;"&amp;JZ1)</f>
        <v>0</v>
      </c>
      <c r="JZ17" s="125">
        <f>SUMIFS('Expenditure Breakdown'!$U$6:$U$174, 'Expenditure Breakdown'!$T$6:$T$174, "&gt;="&amp;JZ1,'Expenditure Breakdown'!$T$6:$T$174, "&lt;"&amp;KA1)</f>
        <v>0</v>
      </c>
      <c r="KA17" s="125">
        <f>SUMIFS('Expenditure Breakdown'!$U$6:$U$174, 'Expenditure Breakdown'!$T$6:$T$174, "&gt;="&amp;KA1,'Expenditure Breakdown'!$T$6:$T$174, "&lt;"&amp;KB1)</f>
        <v>0</v>
      </c>
      <c r="KB17" s="125">
        <f>SUMIFS('Expenditure Breakdown'!$U$6:$U$174, 'Expenditure Breakdown'!$T$6:$T$174, "&gt;="&amp;KB1,'Expenditure Breakdown'!$T$6:$T$174, "&lt;"&amp;KC1)</f>
        <v>0</v>
      </c>
      <c r="KC17" s="125">
        <f>SUMIFS('Expenditure Breakdown'!$U$6:$U$174, 'Expenditure Breakdown'!$T$6:$T$174, "&gt;="&amp;KC1,'Expenditure Breakdown'!$T$6:$T$174, "&lt;"&amp;KD1)</f>
        <v>0</v>
      </c>
      <c r="KD17" s="125">
        <f>SUMIFS('Expenditure Breakdown'!$U$6:$U$174, 'Expenditure Breakdown'!$T$6:$T$174, "&gt;="&amp;KD1,'Expenditure Breakdown'!$T$6:$T$174, "&lt;"&amp;KE1)</f>
        <v>0</v>
      </c>
      <c r="KE17" s="125">
        <f>SUMIFS('Expenditure Breakdown'!$U$6:$U$174, 'Expenditure Breakdown'!$T$6:$T$174, "&gt;="&amp;KE1,'Expenditure Breakdown'!$T$6:$T$174, "&lt;"&amp;KF1)</f>
        <v>0</v>
      </c>
      <c r="KF17" s="125">
        <f>SUMIFS('Expenditure Breakdown'!$U$6:$U$174, 'Expenditure Breakdown'!$T$6:$T$174, "&gt;="&amp;KF1,'Expenditure Breakdown'!$T$6:$T$174, "&lt;"&amp;KG1)</f>
        <v>0</v>
      </c>
      <c r="KG17" s="125">
        <f>SUMIFS('Expenditure Breakdown'!$U$6:$U$174, 'Expenditure Breakdown'!$T$6:$T$174, "&gt;="&amp;KG1,'Expenditure Breakdown'!$T$6:$T$174, "&lt;"&amp;KH1)</f>
        <v>0</v>
      </c>
      <c r="KH17" s="125">
        <f>SUMIFS('Expenditure Breakdown'!$U$6:$U$174, 'Expenditure Breakdown'!$T$6:$T$174, "&gt;="&amp;KH1,'Expenditure Breakdown'!$T$6:$T$174, "&lt;"&amp;KI1)</f>
        <v>0</v>
      </c>
      <c r="KI17" s="125">
        <f>SUMIFS('Expenditure Breakdown'!$U$6:$U$174, 'Expenditure Breakdown'!$T$6:$T$174, "&gt;="&amp;KI1,'Expenditure Breakdown'!$T$6:$T$174, "&lt;"&amp;KJ1)</f>
        <v>0</v>
      </c>
      <c r="KJ17" s="125">
        <f>SUMIFS('Expenditure Breakdown'!$U$6:$U$174, 'Expenditure Breakdown'!$T$6:$T$174, "&gt;="&amp;KJ1,'Expenditure Breakdown'!$T$6:$T$174, "&lt;"&amp;KK1)</f>
        <v>0</v>
      </c>
      <c r="KK17" s="125">
        <f>SUMIFS('Expenditure Breakdown'!$U$6:$U$174, 'Expenditure Breakdown'!$T$6:$T$174, "&gt;="&amp;KK1,'Expenditure Breakdown'!$T$6:$T$174, "&lt;"&amp;KL1)</f>
        <v>0</v>
      </c>
      <c r="KL17" s="125">
        <f>SUMIFS('Expenditure Breakdown'!$U$6:$U$174, 'Expenditure Breakdown'!$T$6:$T$174, "&gt;="&amp;KL1,'Expenditure Breakdown'!$T$6:$T$174, "&lt;"&amp;KM1)</f>
        <v>0</v>
      </c>
      <c r="KM17" s="125">
        <f>SUMIFS('Expenditure Breakdown'!$U$6:$U$174, 'Expenditure Breakdown'!$T$6:$T$174, "&gt;="&amp;KM1,'Expenditure Breakdown'!$T$6:$T$174, "&lt;"&amp;KN1)</f>
        <v>0</v>
      </c>
      <c r="KN17" s="125">
        <f>SUMIFS('Expenditure Breakdown'!$U$6:$U$174, 'Expenditure Breakdown'!$T$6:$T$174, "&gt;="&amp;KN1,'Expenditure Breakdown'!$T$6:$T$174, "&lt;"&amp;KO1)</f>
        <v>0</v>
      </c>
      <c r="KO17" s="125">
        <f>SUMIFS('Expenditure Breakdown'!$U$6:$U$174, 'Expenditure Breakdown'!$T$6:$T$174, "&gt;="&amp;KO1,'Expenditure Breakdown'!$T$6:$T$174, "&lt;"&amp;KP1)</f>
        <v>0</v>
      </c>
      <c r="KP17" s="125">
        <f>SUMIFS('Expenditure Breakdown'!$U$6:$U$174, 'Expenditure Breakdown'!$T$6:$T$174, "&gt;="&amp;KP1,'Expenditure Breakdown'!$T$6:$T$174, "&lt;"&amp;KQ1)</f>
        <v>0</v>
      </c>
      <c r="KQ17" s="125">
        <f>SUMIFS('Expenditure Breakdown'!$U$6:$U$174, 'Expenditure Breakdown'!$T$6:$T$174, "&gt;="&amp;KQ1,'Expenditure Breakdown'!$T$6:$T$174, "&lt;"&amp;KR1)</f>
        <v>0</v>
      </c>
      <c r="KR17" s="125">
        <f>SUMIFS('Expenditure Breakdown'!$U$6:$U$174, 'Expenditure Breakdown'!$T$6:$T$174, "&gt;="&amp;KR1,'Expenditure Breakdown'!$T$6:$T$174, "&lt;"&amp;KS1)</f>
        <v>0</v>
      </c>
      <c r="KS17" s="125">
        <f>SUMIFS('Expenditure Breakdown'!$U$6:$U$174, 'Expenditure Breakdown'!$T$6:$T$174, "&gt;="&amp;KS1,'Expenditure Breakdown'!$T$6:$T$174, "&lt;"&amp;KT1)</f>
        <v>0</v>
      </c>
      <c r="KT17" s="125">
        <f>SUMIFS('Expenditure Breakdown'!$U$6:$U$174, 'Expenditure Breakdown'!$T$6:$T$174, "&gt;="&amp;KT1,'Expenditure Breakdown'!$T$6:$T$174, "&lt;"&amp;KU1)</f>
        <v>0</v>
      </c>
      <c r="KU17" s="125">
        <f>SUMIFS('Expenditure Breakdown'!$U$6:$U$174, 'Expenditure Breakdown'!$T$6:$T$174, "&gt;="&amp;KU1,'Expenditure Breakdown'!$T$6:$T$174, "&lt;"&amp;KV1)</f>
        <v>0</v>
      </c>
      <c r="KV17" s="125">
        <f>SUMIFS('Expenditure Breakdown'!$U$6:$U$174, 'Expenditure Breakdown'!$T$6:$T$174, "&gt;="&amp;KV1,'Expenditure Breakdown'!$T$6:$T$174, "&lt;"&amp;KW1)</f>
        <v>0</v>
      </c>
      <c r="KW17" s="125">
        <f>SUMIFS('Expenditure Breakdown'!$U$6:$U$174, 'Expenditure Breakdown'!$T$6:$T$174, "&gt;="&amp;KW1,'Expenditure Breakdown'!$T$6:$T$174, "&lt;"&amp;KX1)</f>
        <v>0</v>
      </c>
      <c r="KX17" s="125">
        <f>SUMIFS('Expenditure Breakdown'!$U$6:$U$174, 'Expenditure Breakdown'!$T$6:$T$174, "&gt;="&amp;KX1,'Expenditure Breakdown'!$T$6:$T$174, "&lt;"&amp;KY1)</f>
        <v>0</v>
      </c>
      <c r="KY17" s="125">
        <f>SUMIFS('Expenditure Breakdown'!$U$6:$U$174, 'Expenditure Breakdown'!$T$6:$T$174, "&gt;="&amp;KY1,'Expenditure Breakdown'!$T$6:$T$174, "&lt;"&amp;KZ1)</f>
        <v>0</v>
      </c>
      <c r="KZ17" s="125">
        <f>SUMIFS('Expenditure Breakdown'!$U$6:$U$174, 'Expenditure Breakdown'!$T$6:$T$174, "&gt;="&amp;KZ1,'Expenditure Breakdown'!$T$6:$T$174, "&lt;"&amp;LA1)</f>
        <v>0</v>
      </c>
      <c r="LA17" s="125">
        <f>SUMIFS('Expenditure Breakdown'!$U$6:$U$174, 'Expenditure Breakdown'!$T$6:$T$174, "&gt;="&amp;LA1,'Expenditure Breakdown'!$T$6:$T$174, "&lt;"&amp;LB1)</f>
        <v>0</v>
      </c>
      <c r="LB17" s="125">
        <f>SUMIFS('Expenditure Breakdown'!$U$6:$U$174, 'Expenditure Breakdown'!$T$6:$T$174, "&gt;="&amp;LB1,'Expenditure Breakdown'!$T$6:$T$174, "&lt;"&amp;LC1)</f>
        <v>0</v>
      </c>
      <c r="LC17" s="125">
        <f>SUMIFS('Expenditure Breakdown'!$U$6:$U$174, 'Expenditure Breakdown'!$T$6:$T$174, "&gt;="&amp;LC1,'Expenditure Breakdown'!$T$6:$T$174, "&lt;"&amp;LD1)</f>
        <v>0</v>
      </c>
      <c r="LD17" s="125">
        <f>SUMIFS('Expenditure Breakdown'!$U$6:$U$174, 'Expenditure Breakdown'!$T$6:$T$174, "&gt;="&amp;LD1,'Expenditure Breakdown'!$T$6:$T$174, "&lt;"&amp;LE1)</f>
        <v>0</v>
      </c>
      <c r="LE17" s="125">
        <f>SUMIFS('Expenditure Breakdown'!$U$6:$U$174, 'Expenditure Breakdown'!$T$6:$T$174, "&gt;="&amp;LE1,'Expenditure Breakdown'!$T$6:$T$174, "&lt;"&amp;LF1)</f>
        <v>0</v>
      </c>
      <c r="LF17" s="125">
        <f>SUMIFS('Expenditure Breakdown'!$U$6:$U$174, 'Expenditure Breakdown'!$T$6:$T$174, "&gt;="&amp;LF1,'Expenditure Breakdown'!$T$6:$T$174, "&lt;"&amp;LG1)</f>
        <v>0</v>
      </c>
      <c r="LG17" s="125">
        <f>SUMIFS('Expenditure Breakdown'!$U$6:$U$174, 'Expenditure Breakdown'!$T$6:$T$174, "&gt;="&amp;LG1,'Expenditure Breakdown'!$T$6:$T$174, "&lt;"&amp;LH1)</f>
        <v>0</v>
      </c>
      <c r="LH17" s="125">
        <f>SUMIFS('Expenditure Breakdown'!$U$6:$U$174, 'Expenditure Breakdown'!$T$6:$T$174, "&gt;="&amp;LH1,'Expenditure Breakdown'!$T$6:$T$174, "&lt;"&amp;LI1)</f>
        <v>0</v>
      </c>
      <c r="LI17" s="125">
        <f>SUMIFS('Expenditure Breakdown'!$U$6:$U$174, 'Expenditure Breakdown'!$T$6:$T$174, "&gt;="&amp;LI1,'Expenditure Breakdown'!$T$6:$T$174, "&lt;"&amp;LJ1)</f>
        <v>0</v>
      </c>
      <c r="LJ17" s="125">
        <f>SUMIFS('Expenditure Breakdown'!$U$6:$U$174, 'Expenditure Breakdown'!$T$6:$T$174, "&gt;="&amp;LJ1,'Expenditure Breakdown'!$T$6:$T$174, "&lt;"&amp;LK1)</f>
        <v>0</v>
      </c>
      <c r="LK17" s="125">
        <f>SUMIFS('Expenditure Breakdown'!$U$6:$U$174, 'Expenditure Breakdown'!$T$6:$T$174, "&gt;="&amp;LK1,'Expenditure Breakdown'!$T$6:$T$174, "&lt;"&amp;LL1)</f>
        <v>0</v>
      </c>
      <c r="LL17" s="125">
        <f>SUMIFS('Expenditure Breakdown'!$U$6:$U$174, 'Expenditure Breakdown'!$T$6:$T$174, "&gt;="&amp;LL1,'Expenditure Breakdown'!$T$6:$T$174, "&lt;"&amp;LM1)</f>
        <v>0</v>
      </c>
      <c r="LM17" s="125">
        <f>SUMIFS('Expenditure Breakdown'!$U$6:$U$174, 'Expenditure Breakdown'!$T$6:$T$174, "&gt;="&amp;LM1,'Expenditure Breakdown'!$T$6:$T$174, "&lt;"&amp;LN1)</f>
        <v>0</v>
      </c>
      <c r="LN17" s="125">
        <f>SUMIFS('Expenditure Breakdown'!$U$6:$U$174, 'Expenditure Breakdown'!$T$6:$T$174, "&gt;="&amp;LN1,'Expenditure Breakdown'!$T$6:$T$174, "&lt;"&amp;LO1)</f>
        <v>0</v>
      </c>
      <c r="LO17" s="125">
        <f>SUMIFS('Expenditure Breakdown'!$U$6:$U$174, 'Expenditure Breakdown'!$T$6:$T$174, "&gt;="&amp;LO1,'Expenditure Breakdown'!$T$6:$T$174, "&lt;"&amp;LP1)</f>
        <v>0</v>
      </c>
      <c r="LP17" s="125">
        <f>SUMIFS('Expenditure Breakdown'!$U$6:$U$174, 'Expenditure Breakdown'!$T$6:$T$174, "&gt;="&amp;LP1,'Expenditure Breakdown'!$T$6:$T$174, "&lt;"&amp;LQ1)</f>
        <v>0</v>
      </c>
      <c r="LQ17" s="125">
        <f>SUMIFS('Expenditure Breakdown'!$U$6:$U$174, 'Expenditure Breakdown'!$T$6:$T$174, "&gt;="&amp;LQ1,'Expenditure Breakdown'!$T$6:$T$174, "&lt;"&amp;LR1)</f>
        <v>0</v>
      </c>
      <c r="LR17" s="125">
        <f>SUMIFS('Expenditure Breakdown'!$U$6:$U$174, 'Expenditure Breakdown'!$T$6:$T$174, "&gt;="&amp;LR1,'Expenditure Breakdown'!$T$6:$T$174, "&lt;"&amp;LS1)</f>
        <v>0</v>
      </c>
      <c r="LS17" s="125">
        <f>SUMIFS('Expenditure Breakdown'!$U$6:$U$174, 'Expenditure Breakdown'!$T$6:$T$174, "&gt;="&amp;LS1,'Expenditure Breakdown'!$T$6:$T$174, "&lt;"&amp;LT1)</f>
        <v>0</v>
      </c>
      <c r="LT17" s="125">
        <f>SUMIFS('Expenditure Breakdown'!$U$6:$U$174, 'Expenditure Breakdown'!$T$6:$T$174, "&gt;="&amp;LT1,'Expenditure Breakdown'!$T$6:$T$174, "&lt;"&amp;LU1)</f>
        <v>0</v>
      </c>
      <c r="LU17" s="125">
        <f>SUMIFS('Expenditure Breakdown'!$U$6:$U$174, 'Expenditure Breakdown'!$T$6:$T$174, "&gt;="&amp;LU1,'Expenditure Breakdown'!$T$6:$T$174, "&lt;"&amp;LV1)</f>
        <v>0</v>
      </c>
      <c r="LV17" s="125">
        <f>SUMIFS('Expenditure Breakdown'!$U$6:$U$174, 'Expenditure Breakdown'!$T$6:$T$174, "&gt;="&amp;LV1,'Expenditure Breakdown'!$T$6:$T$174, "&lt;"&amp;LW1)</f>
        <v>0</v>
      </c>
      <c r="LW17" s="125">
        <f>SUMIFS('Expenditure Breakdown'!$U$6:$U$174, 'Expenditure Breakdown'!$T$6:$T$174, "&gt;="&amp;LW1,'Expenditure Breakdown'!$T$6:$T$174, "&lt;"&amp;LX1)</f>
        <v>0</v>
      </c>
      <c r="LX17" s="125">
        <f>SUMIFS('Expenditure Breakdown'!$U$6:$U$174, 'Expenditure Breakdown'!$T$6:$T$174, "&gt;="&amp;LX1,'Expenditure Breakdown'!$T$6:$T$174, "&lt;"&amp;LY1)</f>
        <v>0</v>
      </c>
      <c r="LY17" s="125">
        <f>SUMIFS('Expenditure Breakdown'!$U$6:$U$174, 'Expenditure Breakdown'!$T$6:$T$174, "&gt;="&amp;LY1,'Expenditure Breakdown'!$T$6:$T$174, "&lt;"&amp;LZ1)</f>
        <v>0</v>
      </c>
      <c r="LZ17" s="125">
        <f>SUMIFS('Expenditure Breakdown'!$U$6:$U$174, 'Expenditure Breakdown'!$T$6:$T$174, "&gt;="&amp;LZ1,'Expenditure Breakdown'!$T$6:$T$174, "&lt;"&amp;MA1)</f>
        <v>0</v>
      </c>
      <c r="MA17" s="125">
        <f>SUMIFS('Expenditure Breakdown'!$U$6:$U$174, 'Expenditure Breakdown'!$T$6:$T$174, "&gt;="&amp;MA1,'Expenditure Breakdown'!$T$6:$T$174, "&lt;"&amp;MB1)</f>
        <v>0</v>
      </c>
      <c r="MB17" s="125">
        <f>SUMIFS('Expenditure Breakdown'!$U$6:$U$174, 'Expenditure Breakdown'!$T$6:$T$174, "&gt;="&amp;MB1,'Expenditure Breakdown'!$T$6:$T$174, "&lt;"&amp;MC1)</f>
        <v>0</v>
      </c>
      <c r="MC17" s="125">
        <f>SUMIFS('Expenditure Breakdown'!$U$6:$U$174, 'Expenditure Breakdown'!$T$6:$T$174, "&gt;="&amp;MC1,'Expenditure Breakdown'!$T$6:$T$174, "&lt;"&amp;MD1)</f>
        <v>0</v>
      </c>
      <c r="MD17" s="125">
        <f>SUMIFS('Expenditure Breakdown'!$U$6:$U$174, 'Expenditure Breakdown'!$T$6:$T$174, "&gt;="&amp;MD1,'Expenditure Breakdown'!$T$6:$T$174, "&lt;"&amp;ME1)</f>
        <v>0</v>
      </c>
      <c r="ME17" s="125">
        <f>SUMIFS('Expenditure Breakdown'!$U$6:$U$174, 'Expenditure Breakdown'!$T$6:$T$174, "&gt;="&amp;ME1,'Expenditure Breakdown'!$T$6:$T$174, "&lt;"&amp;MF1)</f>
        <v>0</v>
      </c>
      <c r="MF17" s="125">
        <f>SUMIFS('Expenditure Breakdown'!$U$6:$U$174, 'Expenditure Breakdown'!$T$6:$T$174, "&gt;="&amp;MF1,'Expenditure Breakdown'!$T$6:$T$174, "&lt;"&amp;MG1)</f>
        <v>0</v>
      </c>
      <c r="MG17" s="125">
        <f>SUMIFS('Expenditure Breakdown'!$U$6:$U$174, 'Expenditure Breakdown'!$T$6:$T$174, "&gt;="&amp;MG1,'Expenditure Breakdown'!$T$6:$T$174, "&lt;"&amp;MH1)</f>
        <v>0</v>
      </c>
      <c r="MH17" s="125">
        <f>SUMIFS('Expenditure Breakdown'!$U$6:$U$174, 'Expenditure Breakdown'!$T$6:$T$174, "&gt;="&amp;MH1,'Expenditure Breakdown'!$T$6:$T$174, "&lt;"&amp;MI1)</f>
        <v>0</v>
      </c>
      <c r="MI17" s="125">
        <f>SUMIFS('Expenditure Breakdown'!$U$6:$U$174, 'Expenditure Breakdown'!$T$6:$T$174, "&gt;="&amp;MI1,'Expenditure Breakdown'!$T$6:$T$174, "&lt;"&amp;MJ1)</f>
        <v>0</v>
      </c>
      <c r="MJ17" s="125">
        <f>SUMIFS('Expenditure Breakdown'!$U$6:$U$174, 'Expenditure Breakdown'!$T$6:$T$174, "&gt;="&amp;MJ1,'Expenditure Breakdown'!$T$6:$T$174, "&lt;"&amp;MK1)</f>
        <v>0</v>
      </c>
      <c r="MK17" s="125">
        <f>SUMIFS('Expenditure Breakdown'!$U$6:$U$174, 'Expenditure Breakdown'!$T$6:$T$174, "&gt;="&amp;MK1,'Expenditure Breakdown'!$T$6:$T$174, "&lt;"&amp;ML1)</f>
        <v>0</v>
      </c>
      <c r="ML17" s="125">
        <f>SUMIFS('Expenditure Breakdown'!$U$6:$U$174, 'Expenditure Breakdown'!$T$6:$T$174, "&gt;="&amp;ML1,'Expenditure Breakdown'!$T$6:$T$174, "&lt;"&amp;MM1)</f>
        <v>0</v>
      </c>
      <c r="MM17" s="125">
        <f>SUMIFS('Expenditure Breakdown'!$U$6:$U$174, 'Expenditure Breakdown'!$T$6:$T$174, "&gt;="&amp;MM1,'Expenditure Breakdown'!$T$6:$T$174, "&lt;"&amp;MN1)</f>
        <v>0</v>
      </c>
      <c r="MN17" s="125">
        <f>SUMIFS('Expenditure Breakdown'!$U$6:$U$174, 'Expenditure Breakdown'!$T$6:$T$174, "&gt;="&amp;MN1,'Expenditure Breakdown'!$T$6:$T$174, "&lt;"&amp;MO1)</f>
        <v>0</v>
      </c>
      <c r="MO17" s="125">
        <f>SUMIFS('Expenditure Breakdown'!$U$6:$U$174, 'Expenditure Breakdown'!$T$6:$T$174, "&gt;="&amp;MO1,'Expenditure Breakdown'!$T$6:$T$174, "&lt;"&amp;MP1)</f>
        <v>0</v>
      </c>
      <c r="MP17" s="125">
        <f>SUMIFS('Expenditure Breakdown'!$U$6:$U$174, 'Expenditure Breakdown'!$T$6:$T$174, "&gt;="&amp;MP1,'Expenditure Breakdown'!$T$6:$T$174, "&lt;"&amp;MQ1)</f>
        <v>0</v>
      </c>
      <c r="MQ17" s="125">
        <f>SUMIFS('Expenditure Breakdown'!$U$6:$U$174, 'Expenditure Breakdown'!$T$6:$T$174, "&gt;="&amp;MQ1,'Expenditure Breakdown'!$T$6:$T$174, "&lt;"&amp;MR1)</f>
        <v>0</v>
      </c>
      <c r="MR17" s="125">
        <f>SUMIFS('Expenditure Breakdown'!$U$6:$U$174, 'Expenditure Breakdown'!$T$6:$T$174, "&gt;="&amp;MR1,'Expenditure Breakdown'!$T$6:$T$174, "&lt;"&amp;MS1)</f>
        <v>0</v>
      </c>
      <c r="MS17" s="125">
        <f>SUMIFS('Expenditure Breakdown'!$U$6:$U$174, 'Expenditure Breakdown'!$T$6:$T$174, "&gt;="&amp;MS1,'Expenditure Breakdown'!$T$6:$T$174, "&lt;"&amp;MT1)</f>
        <v>0</v>
      </c>
      <c r="MT17" s="125">
        <f>SUMIFS('Expenditure Breakdown'!$U$6:$U$174, 'Expenditure Breakdown'!$T$6:$T$174, "&gt;="&amp;MT1,'Expenditure Breakdown'!$T$6:$T$174, "&lt;"&amp;MU1)</f>
        <v>0</v>
      </c>
      <c r="MU17" s="125">
        <f>SUMIFS('Expenditure Breakdown'!$U$6:$U$174, 'Expenditure Breakdown'!$T$6:$T$174, "&gt;="&amp;MU1,'Expenditure Breakdown'!$T$6:$T$174, "&lt;"&amp;MV1)</f>
        <v>0</v>
      </c>
      <c r="MV17" s="125">
        <f>SUMIFS('Expenditure Breakdown'!$U$6:$U$174, 'Expenditure Breakdown'!$T$6:$T$174, "&gt;="&amp;MV1,'Expenditure Breakdown'!$T$6:$T$174, "&lt;"&amp;MW1)</f>
        <v>0</v>
      </c>
      <c r="MW17" s="125">
        <f>SUMIFS('Expenditure Breakdown'!$U$6:$U$174, 'Expenditure Breakdown'!$T$6:$T$174, "&gt;="&amp;MW1,'Expenditure Breakdown'!$T$6:$T$174, "&lt;"&amp;MX1)</f>
        <v>0</v>
      </c>
      <c r="MX17" s="125">
        <f>SUMIFS('Expenditure Breakdown'!$U$6:$U$174, 'Expenditure Breakdown'!$T$6:$T$174, "&gt;="&amp;MX1,'Expenditure Breakdown'!$T$6:$T$174, "&lt;"&amp;MY1)</f>
        <v>0</v>
      </c>
      <c r="MY17" s="125">
        <f>SUMIFS('Expenditure Breakdown'!$U$6:$U$174, 'Expenditure Breakdown'!$T$6:$T$174, "&gt;="&amp;MY1,'Expenditure Breakdown'!$T$6:$T$174, "&lt;"&amp;MZ1)</f>
        <v>0</v>
      </c>
      <c r="MZ17" s="125">
        <f>SUMIFS('Expenditure Breakdown'!$U$6:$U$174, 'Expenditure Breakdown'!$T$6:$T$174, "&gt;="&amp;MZ1,'Expenditure Breakdown'!$T$6:$T$174, "&lt;"&amp;NA1)</f>
        <v>0</v>
      </c>
      <c r="NA17" s="125">
        <f>SUMIFS('Expenditure Breakdown'!$U$6:$U$174, 'Expenditure Breakdown'!$T$6:$T$174, "&gt;="&amp;NA1,'Expenditure Breakdown'!$T$6:$T$174, "&lt;"&amp;NB1)</f>
        <v>0</v>
      </c>
      <c r="NB17" s="125">
        <f>SUMIFS('Expenditure Breakdown'!$U$6:$U$174, 'Expenditure Breakdown'!$T$6:$T$174, "&gt;="&amp;NB1,'Expenditure Breakdown'!$T$6:$T$174, "&lt;"&amp;NC1)</f>
        <v>0</v>
      </c>
      <c r="NC17" s="125">
        <f>SUMIFS('Expenditure Breakdown'!$U$6:$U$174, 'Expenditure Breakdown'!$T$6:$T$174, "&gt;="&amp;NC1,'Expenditure Breakdown'!$T$6:$T$174, "&lt;"&amp;ND1)</f>
        <v>0</v>
      </c>
      <c r="ND17" s="125">
        <f>SUMIFS('Expenditure Breakdown'!$U$6:$U$174, 'Expenditure Breakdown'!$T$6:$T$174, "&gt;="&amp;ND1,'Expenditure Breakdown'!$T$6:$T$174, "&lt;"&amp;NE1)</f>
        <v>0</v>
      </c>
      <c r="NE17" s="125">
        <f>SUMIFS('Expenditure Breakdown'!$U$6:$U$174, 'Expenditure Breakdown'!$T$6:$T$174, "&gt;="&amp;NE1,'Expenditure Breakdown'!$T$6:$T$174, "&lt;"&amp;NF1)</f>
        <v>0</v>
      </c>
      <c r="NF17" s="125">
        <f>SUMIFS('Expenditure Breakdown'!$U$6:$U$174, 'Expenditure Breakdown'!$T$6:$T$174, "&gt;="&amp;NF1,'Expenditure Breakdown'!$T$6:$T$174, "&lt;"&amp;NG1)</f>
        <v>0</v>
      </c>
      <c r="NG17" s="125">
        <f>SUMIFS('Expenditure Breakdown'!$U$6:$U$174, 'Expenditure Breakdown'!$T$6:$T$174, "&gt;="&amp;NG1,'Expenditure Breakdown'!$T$6:$T$174, "&lt;"&amp;NH1)</f>
        <v>0</v>
      </c>
      <c r="NH17" s="125">
        <f>SUMIFS('Expenditure Breakdown'!$U$6:$U$174, 'Expenditure Breakdown'!$T$6:$T$174, "&gt;="&amp;NH1,'Expenditure Breakdown'!$T$6:$T$174, "&lt;"&amp;NI1)</f>
        <v>0</v>
      </c>
      <c r="NI17" s="125">
        <f>SUMIFS('Expenditure Breakdown'!$U$6:$U$174, 'Expenditure Breakdown'!$T$6:$T$174, "&gt;="&amp;NI1,'Expenditure Breakdown'!$T$6:$T$174, "&lt;"&amp;NJ1)</f>
        <v>0</v>
      </c>
      <c r="NJ17" s="125">
        <f>SUMIFS('Expenditure Breakdown'!$U$6:$U$174, 'Expenditure Breakdown'!$T$6:$T$174, "&gt;="&amp;NJ1,'Expenditure Breakdown'!$T$6:$T$174, "&lt;"&amp;NK1)</f>
        <v>0</v>
      </c>
      <c r="NK17" s="125">
        <f>SUMIFS('Expenditure Breakdown'!$U$6:$U$174, 'Expenditure Breakdown'!$T$6:$T$174, "&gt;="&amp;NK1,'Expenditure Breakdown'!$T$6:$T$174, "&lt;"&amp;NL1)</f>
        <v>0</v>
      </c>
      <c r="NL17" s="125">
        <f>SUMIFS('Expenditure Breakdown'!$U$6:$U$174, 'Expenditure Breakdown'!$T$6:$T$174, "&gt;="&amp;NL1,'Expenditure Breakdown'!$T$6:$T$174, "&lt;"&amp;NM1)</f>
        <v>0</v>
      </c>
      <c r="NM17" s="125">
        <f>SUMIFS('Expenditure Breakdown'!$U$6:$U$174, 'Expenditure Breakdown'!$T$6:$T$174, "&gt;="&amp;NM1,'Expenditure Breakdown'!$T$6:$T$174, "&lt;"&amp;NN1)</f>
        <v>0</v>
      </c>
      <c r="NN17" s="125">
        <f>SUMIFS('Expenditure Breakdown'!$U$6:$U$174, 'Expenditure Breakdown'!$T$6:$T$174, "&gt;="&amp;NN1,'Expenditure Breakdown'!$T$6:$T$174, "&lt;"&amp;NO1)</f>
        <v>0</v>
      </c>
      <c r="NO17" s="125">
        <f>SUMIFS('Expenditure Breakdown'!$U$6:$U$174, 'Expenditure Breakdown'!$T$6:$T$174, "&gt;="&amp;NO1,'Expenditure Breakdown'!$T$6:$T$174, "&lt;"&amp;NP1)</f>
        <v>0</v>
      </c>
      <c r="NP17" s="125">
        <f>SUMIFS('Expenditure Breakdown'!$U$6:$U$174, 'Expenditure Breakdown'!$T$6:$T$174, "&gt;="&amp;NP1,'Expenditure Breakdown'!$T$6:$T$174, "&lt;"&amp;NQ1)</f>
        <v>0</v>
      </c>
      <c r="NQ17" s="125">
        <f>SUMIFS('Expenditure Breakdown'!$U$6:$U$174, 'Expenditure Breakdown'!$T$6:$T$174, "&gt;="&amp;NQ1,'Expenditure Breakdown'!$T$6:$T$174, "&lt;"&amp;NR1)</f>
        <v>0</v>
      </c>
      <c r="NR17" s="125">
        <f>SUMIFS('Expenditure Breakdown'!$U$6:$U$174, 'Expenditure Breakdown'!$T$6:$T$174, "&gt;="&amp;NR1,'Expenditure Breakdown'!$T$6:$T$174, "&lt;"&amp;NS1)</f>
        <v>0</v>
      </c>
      <c r="NS17" s="125">
        <f>SUMIFS('Expenditure Breakdown'!$U$6:$U$174, 'Expenditure Breakdown'!$T$6:$T$174, "&gt;="&amp;NS1,'Expenditure Breakdown'!$T$6:$T$174, "&lt;"&amp;NT1)</f>
        <v>0</v>
      </c>
      <c r="NT17" s="125">
        <f>SUMIFS('Expenditure Breakdown'!$U$6:$U$174, 'Expenditure Breakdown'!$T$6:$T$174, "&gt;="&amp;NT1,'Expenditure Breakdown'!$T$6:$T$174, "&lt;"&amp;NU1)</f>
        <v>0</v>
      </c>
      <c r="NU17" s="125">
        <f>SUMIFS('Expenditure Breakdown'!$U$6:$U$174, 'Expenditure Breakdown'!$T$6:$T$174, "&gt;="&amp;NU1,'Expenditure Breakdown'!$T$6:$T$174, "&lt;"&amp;NV1)</f>
        <v>0</v>
      </c>
      <c r="NV17" s="125">
        <f>SUMIFS('Expenditure Breakdown'!$U$6:$U$174, 'Expenditure Breakdown'!$T$6:$T$174, "&gt;="&amp;NV1,'Expenditure Breakdown'!$T$6:$T$174, "&lt;"&amp;NW1)</f>
        <v>0</v>
      </c>
      <c r="NW17" s="125">
        <f>SUMIFS('Expenditure Breakdown'!$U$6:$U$174, 'Expenditure Breakdown'!$T$6:$T$174, "&gt;="&amp;NW1,'Expenditure Breakdown'!$T$6:$T$174, "&lt;"&amp;NX1)</f>
        <v>0</v>
      </c>
      <c r="NX17" s="125">
        <f>SUMIFS('Expenditure Breakdown'!$U$6:$U$174, 'Expenditure Breakdown'!$T$6:$T$174, "&gt;="&amp;NX1,'Expenditure Breakdown'!$T$6:$T$174, "&lt;"&amp;NY1)</f>
        <v>0</v>
      </c>
      <c r="NY17" s="125">
        <f>SUMIFS('Expenditure Breakdown'!$U$6:$U$174, 'Expenditure Breakdown'!$T$6:$T$174, "&gt;="&amp;NY1,'Expenditure Breakdown'!$T$6:$T$174, "&lt;"&amp;NZ1)</f>
        <v>0</v>
      </c>
      <c r="NZ17" s="125">
        <f>SUMIFS('Expenditure Breakdown'!$U$6:$U$174, 'Expenditure Breakdown'!$T$6:$T$174, "&gt;="&amp;NZ1,'Expenditure Breakdown'!$T$6:$T$174, "&lt;"&amp;OA1)</f>
        <v>0</v>
      </c>
      <c r="OA17" s="125">
        <f>SUMIFS('Expenditure Breakdown'!$U$6:$U$174, 'Expenditure Breakdown'!$T$6:$T$174, "&gt;="&amp;OA1,'Expenditure Breakdown'!$T$6:$T$174, "&lt;"&amp;OB1)</f>
        <v>0</v>
      </c>
      <c r="OB17" s="125">
        <f>SUMIFS('Expenditure Breakdown'!$U$6:$U$174, 'Expenditure Breakdown'!$T$6:$T$174, "&gt;="&amp;OB1,'Expenditure Breakdown'!$T$6:$T$174, "&lt;"&amp;OC1)</f>
        <v>0</v>
      </c>
      <c r="OC17" s="125">
        <f>SUMIFS('Expenditure Breakdown'!$U$6:$U$174, 'Expenditure Breakdown'!$T$6:$T$174, "&gt;="&amp;OC1,'Expenditure Breakdown'!$T$6:$T$174, "&lt;"&amp;OD1)</f>
        <v>0</v>
      </c>
      <c r="OD17" s="125">
        <f>SUMIFS('Expenditure Breakdown'!$U$6:$U$174, 'Expenditure Breakdown'!$T$6:$T$174, "&gt;="&amp;OD1,'Expenditure Breakdown'!$T$6:$T$174, "&lt;"&amp;OE1)</f>
        <v>0</v>
      </c>
      <c r="OE17" s="125">
        <f>SUMIFS('Expenditure Breakdown'!$U$6:$U$174, 'Expenditure Breakdown'!$T$6:$T$174, "&gt;="&amp;OE1,'Expenditure Breakdown'!$T$6:$T$174, "&lt;"&amp;OF1)</f>
        <v>0</v>
      </c>
      <c r="OF17" s="125">
        <f>SUMIFS('Expenditure Breakdown'!$U$6:$U$174, 'Expenditure Breakdown'!$T$6:$T$174, "&gt;="&amp;OF1,'Expenditure Breakdown'!$T$6:$T$174, "&lt;"&amp;OG1)</f>
        <v>0</v>
      </c>
      <c r="OG17" s="125">
        <f>SUMIFS('Expenditure Breakdown'!$U$6:$U$174, 'Expenditure Breakdown'!$T$6:$T$174, "&gt;="&amp;OG1,'Expenditure Breakdown'!$T$6:$T$174, "&lt;"&amp;OH1)</f>
        <v>0</v>
      </c>
      <c r="OH17" s="125">
        <f>SUMIFS('Expenditure Breakdown'!$U$6:$U$174, 'Expenditure Breakdown'!$T$6:$T$174, "&gt;="&amp;OH1,'Expenditure Breakdown'!$T$6:$T$174, "&lt;"&amp;OI1)</f>
        <v>0</v>
      </c>
      <c r="OI17" s="125">
        <f>SUMIFS('Expenditure Breakdown'!$U$6:$U$174, 'Expenditure Breakdown'!$T$6:$T$174, "&gt;="&amp;OI1,'Expenditure Breakdown'!$T$6:$T$174, "&lt;"&amp;OJ1)</f>
        <v>0</v>
      </c>
      <c r="OJ17" s="125">
        <f>SUMIFS('Expenditure Breakdown'!$U$6:$U$174, 'Expenditure Breakdown'!$T$6:$T$174, "&gt;="&amp;OJ1,'Expenditure Breakdown'!$T$6:$T$174, "&lt;"&amp;OK1)</f>
        <v>0</v>
      </c>
      <c r="OK17" s="125">
        <f>SUMIFS('Expenditure Breakdown'!$U$6:$U$174, 'Expenditure Breakdown'!$T$6:$T$174, "&gt;="&amp;OK1,'Expenditure Breakdown'!$T$6:$T$174, "&lt;"&amp;OL1)</f>
        <v>0</v>
      </c>
      <c r="OL17" s="125">
        <f>SUMIFS('Expenditure Breakdown'!$U$6:$U$174, 'Expenditure Breakdown'!$T$6:$T$174, "&gt;="&amp;OL1,'Expenditure Breakdown'!$T$6:$T$174, "&lt;"&amp;OM1)</f>
        <v>0</v>
      </c>
      <c r="OM17" s="125">
        <f>SUMIFS('Expenditure Breakdown'!$U$6:$U$174, 'Expenditure Breakdown'!$T$6:$T$174, "&gt;="&amp;OM1,'Expenditure Breakdown'!$T$6:$T$174, "&lt;"&amp;ON1)</f>
        <v>0</v>
      </c>
      <c r="ON17" s="125">
        <f>SUMIFS('Expenditure Breakdown'!$U$6:$U$174, 'Expenditure Breakdown'!$T$6:$T$174, "&gt;="&amp;ON1,'Expenditure Breakdown'!$T$6:$T$174, "&lt;"&amp;OO1)</f>
        <v>0</v>
      </c>
      <c r="OO17" s="125">
        <f>SUMIFS('Expenditure Breakdown'!$U$6:$U$174, 'Expenditure Breakdown'!$T$6:$T$174, "&gt;="&amp;OO1,'Expenditure Breakdown'!$T$6:$T$174, "&lt;"&amp;OP1)</f>
        <v>0</v>
      </c>
      <c r="OP17" s="125">
        <f>SUMIFS('Expenditure Breakdown'!$U$6:$U$174, 'Expenditure Breakdown'!$T$6:$T$174, "&gt;="&amp;OP1,'Expenditure Breakdown'!$T$6:$T$174, "&lt;"&amp;OQ1)</f>
        <v>0</v>
      </c>
      <c r="OQ17" s="125">
        <f>SUMIFS('Expenditure Breakdown'!$U$6:$U$174, 'Expenditure Breakdown'!$T$6:$T$174, "&gt;="&amp;OQ1,'Expenditure Breakdown'!$T$6:$T$174, "&lt;"&amp;OR1)</f>
        <v>0</v>
      </c>
      <c r="OR17" s="125">
        <f>SUMIFS('Expenditure Breakdown'!$U$6:$U$174, 'Expenditure Breakdown'!$T$6:$T$174, "&gt;="&amp;OR1,'Expenditure Breakdown'!$T$6:$T$174, "&lt;"&amp;OS1)</f>
        <v>0</v>
      </c>
      <c r="OS17" s="125">
        <f>SUMIFS('Expenditure Breakdown'!$U$6:$U$174, 'Expenditure Breakdown'!$T$6:$T$174, "&gt;="&amp;OS1,'Expenditure Breakdown'!$T$6:$T$174, "&lt;"&amp;OT1)</f>
        <v>0</v>
      </c>
      <c r="OT17" s="125">
        <f>SUMIFS('Expenditure Breakdown'!$U$6:$U$174, 'Expenditure Breakdown'!$T$6:$T$174, "&gt;="&amp;OT1,'Expenditure Breakdown'!$T$6:$T$174, "&lt;"&amp;OU1)</f>
        <v>0</v>
      </c>
      <c r="OU17" s="125">
        <f>SUMIFS('Expenditure Breakdown'!$U$6:$U$174, 'Expenditure Breakdown'!$T$6:$T$174, "&gt;="&amp;OU1,'Expenditure Breakdown'!$T$6:$T$174, "&lt;"&amp;OV1)</f>
        <v>0</v>
      </c>
      <c r="OV17" s="125">
        <f>SUMIFS('Expenditure Breakdown'!$U$6:$U$174, 'Expenditure Breakdown'!$T$6:$T$174, "&gt;="&amp;OV1,'Expenditure Breakdown'!$T$6:$T$174, "&lt;"&amp;OW1)</f>
        <v>0</v>
      </c>
      <c r="OW17" s="125">
        <f>SUMIFS('Expenditure Breakdown'!$U$6:$U$174, 'Expenditure Breakdown'!$T$6:$T$174, "&gt;="&amp;OW1,'Expenditure Breakdown'!$T$6:$T$174, "&lt;"&amp;OX1)</f>
        <v>0</v>
      </c>
      <c r="OX17" s="125">
        <f>SUMIFS('Expenditure Breakdown'!$U$6:$U$174, 'Expenditure Breakdown'!$T$6:$T$174, "&gt;="&amp;OX1,'Expenditure Breakdown'!$T$6:$T$174, "&lt;"&amp;OY1)</f>
        <v>0</v>
      </c>
      <c r="OY17" s="125">
        <f>SUMIFS('Expenditure Breakdown'!$U$6:$U$174, 'Expenditure Breakdown'!$T$6:$T$174, "&gt;="&amp;OY1,'Expenditure Breakdown'!$T$6:$T$174, "&lt;"&amp;OZ1)</f>
        <v>0</v>
      </c>
      <c r="OZ17" s="125">
        <f>SUMIFS('Expenditure Breakdown'!$U$6:$U$174, 'Expenditure Breakdown'!$T$6:$T$174, "&gt;="&amp;OZ1,'Expenditure Breakdown'!$T$6:$T$174, "&lt;"&amp;PA1)</f>
        <v>0</v>
      </c>
      <c r="PA17" s="125">
        <f>SUMIFS('Expenditure Breakdown'!$U$6:$U$174, 'Expenditure Breakdown'!$T$6:$T$174, "&gt;="&amp;PA1,'Expenditure Breakdown'!$T$6:$T$174, "&lt;"&amp;PB1)</f>
        <v>0</v>
      </c>
      <c r="PB17" s="125">
        <f>SUMIFS('Expenditure Breakdown'!$U$6:$U$174, 'Expenditure Breakdown'!$T$6:$T$174, "&gt;="&amp;PB1,'Expenditure Breakdown'!$T$6:$T$174, "&lt;"&amp;PC1)</f>
        <v>0</v>
      </c>
      <c r="PC17" s="125">
        <f>SUMIFS('Expenditure Breakdown'!$U$6:$U$174, 'Expenditure Breakdown'!$T$6:$T$174, "&gt;="&amp;PC1,'Expenditure Breakdown'!$T$6:$T$174, "&lt;"&amp;PD1)</f>
        <v>0</v>
      </c>
      <c r="PD17" s="125">
        <f>SUMIFS('Expenditure Breakdown'!$U$6:$U$174, 'Expenditure Breakdown'!$T$6:$T$174, "&gt;="&amp;PD1,'Expenditure Breakdown'!$T$6:$T$174, "&lt;"&amp;PE1)</f>
        <v>0</v>
      </c>
      <c r="PE17" s="125">
        <f>SUMIFS('Expenditure Breakdown'!$U$6:$U$174, 'Expenditure Breakdown'!$T$6:$T$174, "&gt;="&amp;PE1,'Expenditure Breakdown'!$T$6:$T$174, "&lt;"&amp;PF1)</f>
        <v>0</v>
      </c>
      <c r="PF17" s="125">
        <f>SUMIFS('Expenditure Breakdown'!$U$6:$U$174, 'Expenditure Breakdown'!$T$6:$T$174, "&gt;="&amp;PF1,'Expenditure Breakdown'!$T$6:$T$174, "&lt;"&amp;PG1)</f>
        <v>0</v>
      </c>
      <c r="PG17" s="125">
        <f>SUMIFS('Expenditure Breakdown'!$U$6:$U$174, 'Expenditure Breakdown'!$T$6:$T$174, "&gt;="&amp;PG1,'Expenditure Breakdown'!$T$6:$T$174, "&lt;"&amp;PH1)</f>
        <v>0</v>
      </c>
      <c r="PH17" s="125">
        <f>SUMIFS('Expenditure Breakdown'!$U$6:$U$174, 'Expenditure Breakdown'!$T$6:$T$174, "&gt;="&amp;PH1,'Expenditure Breakdown'!$T$6:$T$174, "&lt;"&amp;PI1)</f>
        <v>0</v>
      </c>
      <c r="PI17" s="125">
        <f>SUMIFS('Expenditure Breakdown'!$U$6:$U$174, 'Expenditure Breakdown'!$T$6:$T$174, "&gt;="&amp;PI1,'Expenditure Breakdown'!$T$6:$T$174, "&lt;"&amp;PJ1)</f>
        <v>0</v>
      </c>
      <c r="PJ17" s="125">
        <f>SUMIFS('Expenditure Breakdown'!$U$6:$U$174, 'Expenditure Breakdown'!$T$6:$T$174, "&gt;="&amp;PJ1,'Expenditure Breakdown'!$T$6:$T$174, "&lt;"&amp;PK1)</f>
        <v>0</v>
      </c>
      <c r="PK17" s="125">
        <f>SUMIFS('Expenditure Breakdown'!$U$6:$U$174, 'Expenditure Breakdown'!$T$6:$T$174, "&gt;="&amp;PK1,'Expenditure Breakdown'!$T$6:$T$174, "&lt;"&amp;PL1)</f>
        <v>0</v>
      </c>
      <c r="PL17" s="125">
        <f>SUMIFS('Expenditure Breakdown'!$U$6:$U$174, 'Expenditure Breakdown'!$T$6:$T$174, "&gt;="&amp;PL1,'Expenditure Breakdown'!$T$6:$T$174, "&lt;"&amp;PM1)</f>
        <v>0</v>
      </c>
      <c r="PM17" s="125">
        <f>SUMIFS('Expenditure Breakdown'!$U$6:$U$174, 'Expenditure Breakdown'!$T$6:$T$174, "&gt;="&amp;PM1,'Expenditure Breakdown'!$T$6:$T$174, "&lt;"&amp;PN1)</f>
        <v>0</v>
      </c>
      <c r="PN17" s="125">
        <f>SUMIFS('Expenditure Breakdown'!$U$6:$U$174, 'Expenditure Breakdown'!$T$6:$T$174, "&gt;="&amp;PN1,'Expenditure Breakdown'!$T$6:$T$174, "&lt;"&amp;PO1)</f>
        <v>0</v>
      </c>
      <c r="PO17" s="125">
        <f>SUMIFS('Expenditure Breakdown'!$U$6:$U$174, 'Expenditure Breakdown'!$T$6:$T$174, "&gt;="&amp;PO1,'Expenditure Breakdown'!$T$6:$T$174, "&lt;"&amp;PP1)</f>
        <v>0</v>
      </c>
      <c r="PP17" s="125">
        <f>SUMIFS('Expenditure Breakdown'!$U$6:$U$174, 'Expenditure Breakdown'!$T$6:$T$174, "&gt;="&amp;PP1,'Expenditure Breakdown'!$T$6:$T$174, "&lt;"&amp;PQ1)</f>
        <v>0</v>
      </c>
      <c r="PQ17" s="125">
        <f>SUMIFS('Expenditure Breakdown'!$U$6:$U$174, 'Expenditure Breakdown'!$T$6:$T$174, "&gt;="&amp;PQ1,'Expenditure Breakdown'!$T$6:$T$174, "&lt;"&amp;PR1)</f>
        <v>0</v>
      </c>
      <c r="PR17" s="125">
        <f>SUMIFS('Expenditure Breakdown'!$U$6:$U$174, 'Expenditure Breakdown'!$T$6:$T$174, "&gt;="&amp;PR1,'Expenditure Breakdown'!$T$6:$T$174, "&lt;"&amp;PS1)</f>
        <v>0</v>
      </c>
      <c r="PS17" s="125">
        <f>SUMIFS('Expenditure Breakdown'!$U$6:$U$174, 'Expenditure Breakdown'!$T$6:$T$174, "&gt;="&amp;PS1,'Expenditure Breakdown'!$T$6:$T$174, "&lt;"&amp;PT1)</f>
        <v>0</v>
      </c>
      <c r="PT17" s="125">
        <f>SUMIFS('Expenditure Breakdown'!$U$6:$U$174, 'Expenditure Breakdown'!$T$6:$T$174, "&gt;="&amp;PT1,'Expenditure Breakdown'!$T$6:$T$174, "&lt;"&amp;PU1)</f>
        <v>0</v>
      </c>
      <c r="PU17" s="125">
        <f>SUMIFS('Expenditure Breakdown'!$U$6:$U$174, 'Expenditure Breakdown'!$T$6:$T$174, "&gt;="&amp;PU1,'Expenditure Breakdown'!$T$6:$T$174, "&lt;"&amp;PV1)</f>
        <v>0</v>
      </c>
      <c r="PV17" s="125">
        <f>SUMIFS('Expenditure Breakdown'!$U$6:$U$174, 'Expenditure Breakdown'!$T$6:$T$174, "&gt;="&amp;PV1,'Expenditure Breakdown'!$T$6:$T$174, "&lt;"&amp;PW1)</f>
        <v>0</v>
      </c>
      <c r="PW17" s="125">
        <f>SUMIFS('Expenditure Breakdown'!$U$6:$U$174, 'Expenditure Breakdown'!$T$6:$T$174, "&gt;="&amp;PW1,'Expenditure Breakdown'!$T$6:$T$174, "&lt;"&amp;PX1)</f>
        <v>0</v>
      </c>
      <c r="PX17" s="125">
        <f>SUMIFS('Expenditure Breakdown'!$U$6:$U$174, 'Expenditure Breakdown'!$T$6:$T$174, "&gt;="&amp;PX1,'Expenditure Breakdown'!$T$6:$T$174, "&lt;"&amp;PY1)</f>
        <v>0</v>
      </c>
      <c r="PY17" s="125">
        <f>SUMIFS('Expenditure Breakdown'!$U$6:$U$174, 'Expenditure Breakdown'!$T$6:$T$174, "&gt;="&amp;PY1,'Expenditure Breakdown'!$T$6:$T$174, "&lt;"&amp;PZ1)</f>
        <v>0</v>
      </c>
      <c r="PZ17" s="125">
        <f>SUMIFS('Expenditure Breakdown'!$U$6:$U$174, 'Expenditure Breakdown'!$T$6:$T$174, "&gt;="&amp;PZ1,'Expenditure Breakdown'!$T$6:$T$174, "&lt;"&amp;QA1)</f>
        <v>0</v>
      </c>
      <c r="QA17" s="125">
        <f>SUMIFS('Expenditure Breakdown'!$U$6:$U$174, 'Expenditure Breakdown'!$T$6:$T$174, "&gt;="&amp;QA1,'Expenditure Breakdown'!$T$6:$T$174, "&lt;"&amp;QB1)</f>
        <v>0</v>
      </c>
      <c r="QB17" s="125">
        <f>SUMIFS('Expenditure Breakdown'!$U$6:$U$174, 'Expenditure Breakdown'!$T$6:$T$174, "&gt;="&amp;QB1,'Expenditure Breakdown'!$T$6:$T$174, "&lt;"&amp;QC1)</f>
        <v>0</v>
      </c>
      <c r="QC17" s="125">
        <f>SUMIFS('Expenditure Breakdown'!$U$6:$U$174, 'Expenditure Breakdown'!$T$6:$T$174, "&gt;="&amp;QC1,'Expenditure Breakdown'!$T$6:$T$174, "&lt;"&amp;QD1)</f>
        <v>0</v>
      </c>
      <c r="QD17" s="125">
        <f>SUMIFS('Expenditure Breakdown'!$U$6:$U$174, 'Expenditure Breakdown'!$T$6:$T$174, "&gt;="&amp;QD1,'Expenditure Breakdown'!$T$6:$T$174, "&lt;"&amp;QE1)</f>
        <v>0</v>
      </c>
      <c r="QE17" s="125">
        <f>SUMIFS('Expenditure Breakdown'!$U$6:$U$174, 'Expenditure Breakdown'!$T$6:$T$174, "&gt;="&amp;QE1,'Expenditure Breakdown'!$T$6:$T$174, "&lt;"&amp;QF1)</f>
        <v>0</v>
      </c>
      <c r="QF17" s="125">
        <f>SUMIFS('Expenditure Breakdown'!$U$6:$U$174, 'Expenditure Breakdown'!$T$6:$T$174, "&gt;="&amp;QF1,'Expenditure Breakdown'!$T$6:$T$174, "&lt;"&amp;QG1)</f>
        <v>0</v>
      </c>
      <c r="QG17" s="125">
        <f>SUMIFS('Expenditure Breakdown'!$U$6:$U$174, 'Expenditure Breakdown'!$T$6:$T$174, "&gt;="&amp;QG1,'Expenditure Breakdown'!$T$6:$T$174, "&lt;"&amp;QH1)</f>
        <v>0</v>
      </c>
      <c r="QH17" s="125">
        <f>SUMIFS('Expenditure Breakdown'!$U$6:$U$174, 'Expenditure Breakdown'!$T$6:$T$174, "&gt;="&amp;QH1,'Expenditure Breakdown'!$T$6:$T$174, "&lt;"&amp;QI1)</f>
        <v>0</v>
      </c>
      <c r="QI17" s="125">
        <f>SUMIFS('Expenditure Breakdown'!$U$6:$U$174, 'Expenditure Breakdown'!$T$6:$T$174, "&gt;="&amp;QI1,'Expenditure Breakdown'!$T$6:$T$174, "&lt;"&amp;QJ1)</f>
        <v>0</v>
      </c>
      <c r="QJ17" s="125">
        <f>SUMIFS('Expenditure Breakdown'!$U$6:$U$174, 'Expenditure Breakdown'!$T$6:$T$174, "&gt;="&amp;QJ1,'Expenditure Breakdown'!$T$6:$T$174, "&lt;"&amp;QK1)</f>
        <v>0</v>
      </c>
      <c r="QK17" s="125">
        <f>SUMIFS('Expenditure Breakdown'!$U$6:$U$174, 'Expenditure Breakdown'!$T$6:$T$174, "&gt;="&amp;QK1,'Expenditure Breakdown'!$T$6:$T$174, "&lt;"&amp;QL1)</f>
        <v>0</v>
      </c>
      <c r="QL17" s="125">
        <f>SUMIFS('Expenditure Breakdown'!$U$6:$U$174, 'Expenditure Breakdown'!$T$6:$T$174, "&gt;="&amp;QL1,'Expenditure Breakdown'!$T$6:$T$174, "&lt;"&amp;QM1)</f>
        <v>0</v>
      </c>
      <c r="QM17" s="125">
        <f>SUMIFS('Expenditure Breakdown'!$U$6:$U$174, 'Expenditure Breakdown'!$T$6:$T$174, "&gt;="&amp;QM1,'Expenditure Breakdown'!$T$6:$T$174, "&lt;"&amp;QN1)</f>
        <v>0</v>
      </c>
      <c r="QN17" s="125">
        <f>SUMIFS('Expenditure Breakdown'!$U$6:$U$174, 'Expenditure Breakdown'!$T$6:$T$174, "&gt;="&amp;QN1,'Expenditure Breakdown'!$T$6:$T$174, "&lt;"&amp;QO1)</f>
        <v>0</v>
      </c>
      <c r="QO17" s="125">
        <f>SUMIFS('Expenditure Breakdown'!$U$6:$U$174, 'Expenditure Breakdown'!$T$6:$T$174, "&gt;="&amp;QO1,'Expenditure Breakdown'!$T$6:$T$174, "&lt;"&amp;QP1)</f>
        <v>0</v>
      </c>
      <c r="QP17" s="125">
        <f>SUMIFS('Expenditure Breakdown'!$U$6:$U$174, 'Expenditure Breakdown'!$T$6:$T$174, "&gt;="&amp;QP1,'Expenditure Breakdown'!$T$6:$T$174, "&lt;"&amp;QQ1)</f>
        <v>0</v>
      </c>
      <c r="QQ17" s="125">
        <f>SUMIFS('Expenditure Breakdown'!$U$6:$U$174, 'Expenditure Breakdown'!$T$6:$T$174, "&gt;="&amp;QQ1,'Expenditure Breakdown'!$T$6:$T$174, "&lt;"&amp;QR1)</f>
        <v>0</v>
      </c>
      <c r="QR17" s="125">
        <f>SUMIFS('Expenditure Breakdown'!$U$6:$U$174, 'Expenditure Breakdown'!$T$6:$T$174, "&gt;="&amp;QR1,'Expenditure Breakdown'!$T$6:$T$174, "&lt;"&amp;QS1)</f>
        <v>0</v>
      </c>
      <c r="QS17" s="125">
        <f>SUMIFS('Expenditure Breakdown'!$U$6:$U$174, 'Expenditure Breakdown'!$T$6:$T$174, "&gt;="&amp;QS1,'Expenditure Breakdown'!$T$6:$T$174, "&lt;"&amp;QT1)</f>
        <v>0</v>
      </c>
      <c r="QT17" s="125">
        <f>SUMIFS('Expenditure Breakdown'!$U$6:$U$174, 'Expenditure Breakdown'!$T$6:$T$174, "&gt;="&amp;QT1,'Expenditure Breakdown'!$T$6:$T$174, "&lt;"&amp;QU1)</f>
        <v>0</v>
      </c>
      <c r="QU17" s="125">
        <f>SUMIFS('Expenditure Breakdown'!$U$6:$U$174, 'Expenditure Breakdown'!$T$6:$T$174, "&gt;="&amp;QU1,'Expenditure Breakdown'!$T$6:$T$174, "&lt;"&amp;QV1)</f>
        <v>0</v>
      </c>
      <c r="QV17" s="125">
        <f>SUMIFS('Expenditure Breakdown'!$U$6:$U$174, 'Expenditure Breakdown'!$T$6:$T$174, "&gt;="&amp;QV1,'Expenditure Breakdown'!$T$6:$T$174, "&lt;"&amp;QW1)</f>
        <v>0</v>
      </c>
      <c r="QW17" s="125">
        <f>SUMIFS('Expenditure Breakdown'!$U$6:$U$174, 'Expenditure Breakdown'!$T$6:$T$174, "&gt;="&amp;QW1,'Expenditure Breakdown'!$T$6:$T$174, "&lt;"&amp;QX1)</f>
        <v>0</v>
      </c>
      <c r="QX17" s="125">
        <f>SUMIFS('Expenditure Breakdown'!$U$6:$U$174, 'Expenditure Breakdown'!$T$6:$T$174, "&gt;="&amp;QX1,'Expenditure Breakdown'!$T$6:$T$174, "&lt;"&amp;QY1)</f>
        <v>0</v>
      </c>
      <c r="QY17" s="125">
        <f>SUMIFS('Expenditure Breakdown'!$U$6:$U$174, 'Expenditure Breakdown'!$T$6:$T$174, "&gt;="&amp;QY1,'Expenditure Breakdown'!$T$6:$T$174, "&lt;"&amp;QZ1)</f>
        <v>0</v>
      </c>
      <c r="QZ17" s="125">
        <f>SUMIFS('Expenditure Breakdown'!$U$6:$U$174, 'Expenditure Breakdown'!$T$6:$T$174, "&gt;="&amp;QZ1,'Expenditure Breakdown'!$T$6:$T$174, "&lt;"&amp;RA1)</f>
        <v>0</v>
      </c>
      <c r="RA17" s="125">
        <f>SUMIFS('Expenditure Breakdown'!$U$6:$U$174, 'Expenditure Breakdown'!$T$6:$T$174, "&gt;="&amp;RA1,'Expenditure Breakdown'!$T$6:$T$174, "&lt;"&amp;RB1)</f>
        <v>0</v>
      </c>
      <c r="RB17" s="125">
        <f>SUMIFS('Expenditure Breakdown'!$U$6:$U$174, 'Expenditure Breakdown'!$T$6:$T$174, "&gt;="&amp;RB1,'Expenditure Breakdown'!$T$6:$T$174, "&lt;"&amp;RC1)</f>
        <v>0</v>
      </c>
      <c r="RC17" s="125">
        <f>SUMIFS('Expenditure Breakdown'!$U$6:$U$174, 'Expenditure Breakdown'!$T$6:$T$174, "&gt;="&amp;RC1,'Expenditure Breakdown'!$T$6:$T$174, "&lt;"&amp;RD1)</f>
        <v>0</v>
      </c>
      <c r="RD17" s="125">
        <f>SUMIFS('Expenditure Breakdown'!$U$6:$U$174, 'Expenditure Breakdown'!$T$6:$T$174, "&gt;="&amp;RD1,'Expenditure Breakdown'!$T$6:$T$174, "&lt;"&amp;RE1)</f>
        <v>0</v>
      </c>
      <c r="RE17" s="125">
        <f>SUMIFS('Expenditure Breakdown'!$U$6:$U$174, 'Expenditure Breakdown'!$T$6:$T$174, "&gt;="&amp;RE1,'Expenditure Breakdown'!$T$6:$T$174, "&lt;"&amp;RF1)</f>
        <v>0</v>
      </c>
      <c r="RF17" s="125">
        <f>SUMIFS('Expenditure Breakdown'!$U$6:$U$174, 'Expenditure Breakdown'!$T$6:$T$174, "&gt;="&amp;RF1,'Expenditure Breakdown'!$T$6:$T$174, "&lt;"&amp;RG1)</f>
        <v>0</v>
      </c>
      <c r="RG17" s="125">
        <f>SUMIFS('Expenditure Breakdown'!$U$6:$U$174, 'Expenditure Breakdown'!$T$6:$T$174, "&gt;="&amp;RG1,'Expenditure Breakdown'!$T$6:$T$174, "&lt;"&amp;RH1)</f>
        <v>0</v>
      </c>
      <c r="RH17" s="125">
        <f>SUMIFS('Expenditure Breakdown'!$U$6:$U$174, 'Expenditure Breakdown'!$T$6:$T$174, "&gt;="&amp;RH1,'Expenditure Breakdown'!$T$6:$T$174, "&lt;"&amp;RI1)</f>
        <v>0</v>
      </c>
      <c r="RI17" s="125">
        <f>SUMIFS('Expenditure Breakdown'!$U$6:$U$174, 'Expenditure Breakdown'!$T$6:$T$174, "&gt;="&amp;RI1,'Expenditure Breakdown'!$T$6:$T$174, "&lt;"&amp;RJ1)</f>
        <v>0</v>
      </c>
      <c r="RJ17" s="125">
        <f>SUMIFS('Expenditure Breakdown'!$U$6:$U$174, 'Expenditure Breakdown'!$T$6:$T$174, "&gt;="&amp;RJ1,'Expenditure Breakdown'!$T$6:$T$174, "&lt;"&amp;RK1)</f>
        <v>0</v>
      </c>
      <c r="RK17" s="125">
        <f>SUMIFS('Expenditure Breakdown'!$U$6:$U$174, 'Expenditure Breakdown'!$T$6:$T$174, "&gt;="&amp;RK1,'Expenditure Breakdown'!$T$6:$T$174, "&lt;"&amp;RL1)</f>
        <v>0</v>
      </c>
      <c r="RL17" s="125">
        <f>SUMIFS('Expenditure Breakdown'!$U$6:$U$174, 'Expenditure Breakdown'!$T$6:$T$174, "&gt;="&amp;RL1,'Expenditure Breakdown'!$T$6:$T$174, "&lt;"&amp;RM1)</f>
        <v>0</v>
      </c>
      <c r="RM17" s="125">
        <f>SUMIFS('Expenditure Breakdown'!$U$6:$U$174, 'Expenditure Breakdown'!$T$6:$T$174, "&gt;="&amp;RM1,'Expenditure Breakdown'!$T$6:$T$174, "&lt;"&amp;RN1)</f>
        <v>0</v>
      </c>
      <c r="RN17" s="125">
        <f>SUMIFS('Expenditure Breakdown'!$U$6:$U$174, 'Expenditure Breakdown'!$T$6:$T$174, "&gt;="&amp;RN1,'Expenditure Breakdown'!$T$6:$T$174, "&lt;"&amp;RO1)</f>
        <v>0</v>
      </c>
      <c r="RO17" s="125">
        <f>SUMIFS('Expenditure Breakdown'!$U$6:$U$174, 'Expenditure Breakdown'!$T$6:$T$174, "&gt;="&amp;RO1,'Expenditure Breakdown'!$T$6:$T$174, "&lt;"&amp;RP1)</f>
        <v>0</v>
      </c>
      <c r="RP17" s="125">
        <f>SUMIFS('Expenditure Breakdown'!$U$6:$U$174, 'Expenditure Breakdown'!$T$6:$T$174, "&gt;="&amp;RP1,'Expenditure Breakdown'!$T$6:$T$174, "&lt;"&amp;RQ1)</f>
        <v>0</v>
      </c>
      <c r="RQ17" s="125">
        <f>SUMIFS('Expenditure Breakdown'!$U$6:$U$174, 'Expenditure Breakdown'!$T$6:$T$174, "&gt;="&amp;RQ1,'Expenditure Breakdown'!$T$6:$T$174, "&lt;"&amp;RR1)</f>
        <v>0</v>
      </c>
      <c r="RR17" s="125">
        <f>SUMIFS('Expenditure Breakdown'!$U$6:$U$174, 'Expenditure Breakdown'!$T$6:$T$174, "&gt;="&amp;RR1,'Expenditure Breakdown'!$T$6:$T$174, "&lt;"&amp;RS1)</f>
        <v>0</v>
      </c>
      <c r="RS17" s="125">
        <f>SUMIFS('Expenditure Breakdown'!$U$6:$U$174, 'Expenditure Breakdown'!$T$6:$T$174, "&gt;="&amp;RS1,'Expenditure Breakdown'!$T$6:$T$174, "&lt;"&amp;RT1)</f>
        <v>0</v>
      </c>
      <c r="RT17" s="125">
        <f>SUMIFS('Expenditure Breakdown'!$U$6:$U$174, 'Expenditure Breakdown'!$T$6:$T$174, "&gt;="&amp;RT1,'Expenditure Breakdown'!$T$6:$T$174, "&lt;"&amp;RU1)</f>
        <v>0</v>
      </c>
      <c r="RU17" s="125">
        <f>SUMIFS('Expenditure Breakdown'!$U$6:$U$174, 'Expenditure Breakdown'!$T$6:$T$174, "&gt;="&amp;RU1,'Expenditure Breakdown'!$T$6:$T$174, "&lt;"&amp;RV1)</f>
        <v>0</v>
      </c>
      <c r="RV17" s="125">
        <f>SUMIFS('Expenditure Breakdown'!$U$6:$U$174, 'Expenditure Breakdown'!$T$6:$T$174, "&gt;="&amp;RV1,'Expenditure Breakdown'!$T$6:$T$174, "&lt;"&amp;RW1)</f>
        <v>0</v>
      </c>
      <c r="RW17" s="125">
        <f>SUMIFS('Expenditure Breakdown'!$U$6:$U$174, 'Expenditure Breakdown'!$T$6:$T$174, "&gt;="&amp;RW1,'Expenditure Breakdown'!$T$6:$T$174, "&lt;"&amp;RX1)</f>
        <v>0</v>
      </c>
      <c r="RX17" s="125">
        <f>SUMIFS('Expenditure Breakdown'!$U$6:$U$174, 'Expenditure Breakdown'!$T$6:$T$174, "&gt;="&amp;RX1,'Expenditure Breakdown'!$T$6:$T$174, "&lt;"&amp;RY1)</f>
        <v>0</v>
      </c>
      <c r="RY17" s="125">
        <f>SUMIFS('Expenditure Breakdown'!$U$6:$U$174, 'Expenditure Breakdown'!$T$6:$T$174, "&gt;="&amp;RY1,'Expenditure Breakdown'!$T$6:$T$174, "&lt;"&amp;RZ1)</f>
        <v>0</v>
      </c>
      <c r="RZ17" s="125">
        <f>SUMIFS('Expenditure Breakdown'!$U$6:$U$174, 'Expenditure Breakdown'!$T$6:$T$174, "&gt;="&amp;RZ1,'Expenditure Breakdown'!$T$6:$T$174, "&lt;"&amp;SA1)</f>
        <v>0</v>
      </c>
      <c r="SA17" s="125">
        <f>SUMIFS('Expenditure Breakdown'!$U$6:$U$174, 'Expenditure Breakdown'!$T$6:$T$174, "&gt;="&amp;SA1,'Expenditure Breakdown'!$T$6:$T$174, "&lt;"&amp;SB1)</f>
        <v>0</v>
      </c>
      <c r="SB17" s="125">
        <f>SUMIFS('Expenditure Breakdown'!$U$6:$U$174, 'Expenditure Breakdown'!$T$6:$T$174, "&gt;="&amp;SB1,'Expenditure Breakdown'!$T$6:$T$174, "&lt;"&amp;SC1)</f>
        <v>0</v>
      </c>
      <c r="SC17" s="125">
        <f>SUMIFS('Expenditure Breakdown'!$U$6:$U$174, 'Expenditure Breakdown'!$T$6:$T$174, "&gt;="&amp;SC1,'Expenditure Breakdown'!$T$6:$T$174, "&lt;"&amp;SD1)</f>
        <v>0</v>
      </c>
      <c r="SD17" s="125">
        <f>SUMIFS('Expenditure Breakdown'!$U$6:$U$174, 'Expenditure Breakdown'!$T$6:$T$174, "&gt;="&amp;SD1,'Expenditure Breakdown'!$T$6:$T$174, "&lt;"&amp;SE1)</f>
        <v>0</v>
      </c>
      <c r="SE17" s="125">
        <f>SUMIFS('Expenditure Breakdown'!$U$6:$U$174, 'Expenditure Breakdown'!$T$6:$T$174, "&gt;="&amp;SE1,'Expenditure Breakdown'!$T$6:$T$174, "&lt;"&amp;SF1)</f>
        <v>0</v>
      </c>
      <c r="SF17" s="125">
        <f>SUMIFS('Expenditure Breakdown'!$U$6:$U$174, 'Expenditure Breakdown'!$T$6:$T$174, "&gt;="&amp;SF1,'Expenditure Breakdown'!$T$6:$T$174, "&lt;"&amp;SG1)</f>
        <v>0</v>
      </c>
      <c r="SG17" s="125">
        <f>SUMIFS('Expenditure Breakdown'!$U$6:$U$174, 'Expenditure Breakdown'!$T$6:$T$174, "&gt;="&amp;SG1,'Expenditure Breakdown'!$T$6:$T$174, "&lt;"&amp;SH1)</f>
        <v>0</v>
      </c>
      <c r="SH17" s="125">
        <f>SUMIFS('Expenditure Breakdown'!$U$6:$U$174, 'Expenditure Breakdown'!$T$6:$T$174, "&gt;="&amp;SH1,'Expenditure Breakdown'!$T$6:$T$174, "&lt;"&amp;SI1)</f>
        <v>0</v>
      </c>
      <c r="SI17" s="125">
        <f>SUMIFS('Expenditure Breakdown'!$U$6:$U$174, 'Expenditure Breakdown'!$T$6:$T$174, "&gt;="&amp;SI1,'Expenditure Breakdown'!$T$6:$T$174, "&lt;"&amp;SJ1)</f>
        <v>0</v>
      </c>
      <c r="SJ17" s="125">
        <f>SUMIFS('Expenditure Breakdown'!$U$6:$U$174, 'Expenditure Breakdown'!$T$6:$T$174, "&gt;="&amp;SJ1,'Expenditure Breakdown'!$T$6:$T$174, "&lt;"&amp;SK1)</f>
        <v>0</v>
      </c>
      <c r="SK17" s="125">
        <f>SUMIFS('Expenditure Breakdown'!$U$6:$U$174, 'Expenditure Breakdown'!$T$6:$T$174, "&gt;="&amp;SK1,'Expenditure Breakdown'!$T$6:$T$174, "&lt;"&amp;SL1)</f>
        <v>0</v>
      </c>
      <c r="SL17" s="125">
        <f>SUMIFS('Expenditure Breakdown'!$U$6:$U$174, 'Expenditure Breakdown'!$T$6:$T$174, "&gt;="&amp;SL1,'Expenditure Breakdown'!$T$6:$T$174, "&lt;"&amp;SM1)</f>
        <v>0</v>
      </c>
      <c r="SM17" s="125">
        <f>SUMIFS('Expenditure Breakdown'!$U$6:$U$174, 'Expenditure Breakdown'!$T$6:$T$174, "&gt;="&amp;SM1,'Expenditure Breakdown'!$T$6:$T$174, "&lt;"&amp;SN1)</f>
        <v>0</v>
      </c>
      <c r="SN17" s="125">
        <f>SUMIFS('Expenditure Breakdown'!$U$6:$U$174, 'Expenditure Breakdown'!$T$6:$T$174, "&gt;="&amp;SN1,'Expenditure Breakdown'!$T$6:$T$174, "&lt;"&amp;SO1)</f>
        <v>0</v>
      </c>
      <c r="SO17" s="125">
        <f>SUMIFS('Expenditure Breakdown'!$U$6:$U$174, 'Expenditure Breakdown'!$T$6:$T$174, "&gt;="&amp;SO1,'Expenditure Breakdown'!$T$6:$T$174, "&lt;"&amp;SP1)</f>
        <v>0</v>
      </c>
      <c r="SP17" s="125">
        <f>SUMIFS('Expenditure Breakdown'!$U$6:$U$174, 'Expenditure Breakdown'!$T$6:$T$174, "&gt;="&amp;SP1,'Expenditure Breakdown'!$T$6:$T$174, "&lt;"&amp;SQ1)</f>
        <v>0</v>
      </c>
      <c r="SQ17" s="125">
        <f>SUMIFS('Expenditure Breakdown'!$U$6:$U$174, 'Expenditure Breakdown'!$T$6:$T$174, "&gt;="&amp;SQ1,'Expenditure Breakdown'!$T$6:$T$174, "&lt;"&amp;SR1)</f>
        <v>0</v>
      </c>
      <c r="SR17" s="125">
        <f>SUMIFS('Expenditure Breakdown'!$U$6:$U$174, 'Expenditure Breakdown'!$T$6:$T$174, "&gt;="&amp;SR1,'Expenditure Breakdown'!$T$6:$T$174, "&lt;"&amp;SS1)</f>
        <v>0</v>
      </c>
      <c r="SS17" s="125">
        <f>SUMIFS('Expenditure Breakdown'!$U$6:$U$174, 'Expenditure Breakdown'!$T$6:$T$174, "&gt;="&amp;SS1,'Expenditure Breakdown'!$T$6:$T$174, "&lt;"&amp;ST1)</f>
        <v>0</v>
      </c>
      <c r="ST17" s="125">
        <f>SUMIFS('Expenditure Breakdown'!$U$6:$U$174, 'Expenditure Breakdown'!$T$6:$T$174, "&gt;="&amp;ST1,'Expenditure Breakdown'!$T$6:$T$174, "&lt;"&amp;SU1)</f>
        <v>0</v>
      </c>
      <c r="SU17" s="125">
        <f>SUMIFS('Expenditure Breakdown'!$U$6:$U$174, 'Expenditure Breakdown'!$T$6:$T$174, "&gt;="&amp;SU1,'Expenditure Breakdown'!$T$6:$T$174, "&lt;"&amp;SV1)</f>
        <v>0</v>
      </c>
      <c r="SV17" s="125">
        <f>SUMIFS('Expenditure Breakdown'!$U$6:$U$174, 'Expenditure Breakdown'!$T$6:$T$174, "&gt;="&amp;SV1,'Expenditure Breakdown'!$T$6:$T$174, "&lt;"&amp;SW1)</f>
        <v>0</v>
      </c>
      <c r="SW17" s="125">
        <f>SUMIFS('Expenditure Breakdown'!$U$6:$U$174, 'Expenditure Breakdown'!$T$6:$T$174, "&gt;="&amp;SW1,'Expenditure Breakdown'!$T$6:$T$174, "&lt;"&amp;SX1)</f>
        <v>0</v>
      </c>
      <c r="SX17" s="125">
        <f>SUMIFS('Expenditure Breakdown'!$U$6:$U$174, 'Expenditure Breakdown'!$T$6:$T$174, "&gt;="&amp;SX1,'Expenditure Breakdown'!$T$6:$T$174, "&lt;"&amp;SY1)</f>
        <v>0</v>
      </c>
      <c r="SY17" s="125">
        <f>SUMIFS('Expenditure Breakdown'!$U$6:$U$174, 'Expenditure Breakdown'!$T$6:$T$174, "&gt;="&amp;SY1,'Expenditure Breakdown'!$T$6:$T$174, "&lt;"&amp;SZ1)</f>
        <v>0</v>
      </c>
      <c r="SZ17" s="125">
        <f>SUMIFS('Expenditure Breakdown'!$U$6:$U$174, 'Expenditure Breakdown'!$T$6:$T$174, "&gt;="&amp;SZ1,'Expenditure Breakdown'!$T$6:$T$174, "&lt;"&amp;TA1)</f>
        <v>0</v>
      </c>
      <c r="TA17" s="125">
        <f>SUMIFS('Expenditure Breakdown'!$U$6:$U$174, 'Expenditure Breakdown'!$T$6:$T$174, "&gt;="&amp;TA1,'Expenditure Breakdown'!$T$6:$T$174, "&lt;"&amp;TB1)</f>
        <v>0</v>
      </c>
      <c r="TB17" s="125">
        <f>SUMIFS('Expenditure Breakdown'!$U$6:$U$174, 'Expenditure Breakdown'!$T$6:$T$174, "&gt;="&amp;TB1,'Expenditure Breakdown'!$T$6:$T$174, "&lt;"&amp;TC1)</f>
        <v>0</v>
      </c>
      <c r="TC17" s="125">
        <f>SUMIFS('Expenditure Breakdown'!$U$6:$U$174, 'Expenditure Breakdown'!$T$6:$T$174, "&gt;="&amp;TC1,'Expenditure Breakdown'!$T$6:$T$174, "&lt;"&amp;TD1)</f>
        <v>0</v>
      </c>
      <c r="TD17" s="125">
        <f>SUMIFS('Expenditure Breakdown'!$U$6:$U$174, 'Expenditure Breakdown'!$T$6:$T$174, "&gt;="&amp;TD1,'Expenditure Breakdown'!$T$6:$T$174, "&lt;"&amp;TE1)</f>
        <v>0</v>
      </c>
      <c r="TE17" s="125">
        <f>SUMIFS('Expenditure Breakdown'!$U$6:$U$174, 'Expenditure Breakdown'!$T$6:$T$174, "&gt;="&amp;TE1,'Expenditure Breakdown'!$T$6:$T$174, "&lt;"&amp;TF1)</f>
        <v>0</v>
      </c>
      <c r="TF17" s="125">
        <f>SUMIFS('Expenditure Breakdown'!$U$6:$U$174, 'Expenditure Breakdown'!$T$6:$T$174, "&gt;="&amp;TF1,'Expenditure Breakdown'!$T$6:$T$174, "&lt;"&amp;TG1)</f>
        <v>0</v>
      </c>
      <c r="TG17" s="125">
        <f>SUMIFS('Expenditure Breakdown'!$U$6:$U$174, 'Expenditure Breakdown'!$T$6:$T$174, "&gt;="&amp;TG1,'Expenditure Breakdown'!$T$6:$T$174, "&lt;"&amp;TH1)</f>
        <v>0</v>
      </c>
      <c r="TH17" s="125">
        <f>SUMIFS('Expenditure Breakdown'!$U$6:$U$174, 'Expenditure Breakdown'!$T$6:$T$174, "&gt;="&amp;TH1,'Expenditure Breakdown'!$T$6:$T$174, "&lt;"&amp;TI1)</f>
        <v>0</v>
      </c>
      <c r="TI17" s="125">
        <f>SUMIFS('Expenditure Breakdown'!$U$6:$U$174, 'Expenditure Breakdown'!$T$6:$T$174, "&gt;="&amp;TI1,'Expenditure Breakdown'!$T$6:$T$174, "&lt;"&amp;TJ1)</f>
        <v>0</v>
      </c>
      <c r="TJ17" s="125">
        <f>SUMIFS('Expenditure Breakdown'!$U$6:$U$174, 'Expenditure Breakdown'!$T$6:$T$174, "&gt;="&amp;TJ1,'Expenditure Breakdown'!$T$6:$T$174, "&lt;"&amp;TK1)</f>
        <v>0</v>
      </c>
      <c r="TK17" s="125">
        <f>SUMIFS('Expenditure Breakdown'!$U$6:$U$174, 'Expenditure Breakdown'!$T$6:$T$174, "&gt;="&amp;TK1,'Expenditure Breakdown'!$T$6:$T$174, "&lt;"&amp;TL1)</f>
        <v>0</v>
      </c>
      <c r="TL17" s="125">
        <f>SUMIFS('Expenditure Breakdown'!$U$6:$U$174, 'Expenditure Breakdown'!$T$6:$T$174, "&gt;="&amp;TL1,'Expenditure Breakdown'!$T$6:$T$174, "&lt;"&amp;TM1)</f>
        <v>0</v>
      </c>
      <c r="TM17" s="125">
        <f>SUMIFS('Expenditure Breakdown'!$U$6:$U$174, 'Expenditure Breakdown'!$T$6:$T$174, "&gt;="&amp;TM1,'Expenditure Breakdown'!$T$6:$T$174, "&lt;"&amp;TN1)</f>
        <v>0</v>
      </c>
      <c r="TN17" s="125">
        <f>SUMIFS('Expenditure Breakdown'!$U$6:$U$174, 'Expenditure Breakdown'!$T$6:$T$174, "&gt;="&amp;TN1,'Expenditure Breakdown'!$T$6:$T$174, "&lt;"&amp;TO1)</f>
        <v>0</v>
      </c>
      <c r="TO17" s="125">
        <f>SUMIFS('Expenditure Breakdown'!$U$6:$U$174, 'Expenditure Breakdown'!$T$6:$T$174, "&gt;="&amp;TO1,'Expenditure Breakdown'!$T$6:$T$174, "&lt;"&amp;TP1)</f>
        <v>0</v>
      </c>
      <c r="TP17" s="125">
        <f>SUMIFS('Expenditure Breakdown'!$U$6:$U$174, 'Expenditure Breakdown'!$T$6:$T$174, "&gt;="&amp;TP1,'Expenditure Breakdown'!$T$6:$T$174, "&lt;"&amp;TQ1)</f>
        <v>0</v>
      </c>
      <c r="TQ17" s="125">
        <f>SUMIFS('Expenditure Breakdown'!$U$6:$U$174, 'Expenditure Breakdown'!$T$6:$T$174, "&gt;="&amp;TQ1,'Expenditure Breakdown'!$T$6:$T$174, "&lt;"&amp;TR1)</f>
        <v>0</v>
      </c>
      <c r="TR17" s="125">
        <f>SUMIFS('Expenditure Breakdown'!$U$6:$U$174, 'Expenditure Breakdown'!$T$6:$T$174, "&gt;="&amp;TR1,'Expenditure Breakdown'!$T$6:$T$174, "&lt;"&amp;TS1)</f>
        <v>0</v>
      </c>
      <c r="TS17" s="125">
        <f>SUMIFS('Expenditure Breakdown'!$U$6:$U$174, 'Expenditure Breakdown'!$T$6:$T$174, "&gt;="&amp;TS1,'Expenditure Breakdown'!$T$6:$T$174, "&lt;"&amp;TT1)</f>
        <v>0</v>
      </c>
      <c r="TT17" s="125">
        <f>SUMIFS('Expenditure Breakdown'!$U$6:$U$174, 'Expenditure Breakdown'!$T$6:$T$174, "&gt;="&amp;TT1,'Expenditure Breakdown'!$T$6:$T$174, "&lt;"&amp;TU1)</f>
        <v>0</v>
      </c>
      <c r="TU17" s="125">
        <f>SUMIFS('Expenditure Breakdown'!$U$6:$U$174, 'Expenditure Breakdown'!$T$6:$T$174, "&gt;="&amp;TU1,'Expenditure Breakdown'!$T$6:$T$174, "&lt;"&amp;TV1)</f>
        <v>0</v>
      </c>
      <c r="TV17" s="125">
        <f>SUMIFS('Expenditure Breakdown'!$U$6:$U$174, 'Expenditure Breakdown'!$T$6:$T$174, "&gt;="&amp;TV1,'Expenditure Breakdown'!$T$6:$T$174, "&lt;"&amp;TW1)</f>
        <v>0</v>
      </c>
      <c r="TW17" s="125">
        <f>SUMIFS('Expenditure Breakdown'!$U$6:$U$174, 'Expenditure Breakdown'!$T$6:$T$174, "&gt;="&amp;TW1,'Expenditure Breakdown'!$T$6:$T$174, "&lt;"&amp;TX1)</f>
        <v>0</v>
      </c>
      <c r="TX17" s="125">
        <f>SUMIFS('Expenditure Breakdown'!$U$6:$U$174, 'Expenditure Breakdown'!$T$6:$T$174, "&gt;="&amp;TX1,'Expenditure Breakdown'!$T$6:$T$174, "&lt;"&amp;TY1)</f>
        <v>0</v>
      </c>
      <c r="TY17" s="125">
        <f>SUMIFS('Expenditure Breakdown'!$U$6:$U$174, 'Expenditure Breakdown'!$T$6:$T$174, "&gt;="&amp;TY1,'Expenditure Breakdown'!$T$6:$T$174, "&lt;"&amp;TZ1)</f>
        <v>0</v>
      </c>
      <c r="TZ17" s="125">
        <f>SUMIFS('Expenditure Breakdown'!$U$6:$U$174, 'Expenditure Breakdown'!$T$6:$T$174, "&gt;="&amp;TZ1,'Expenditure Breakdown'!$T$6:$T$174, "&lt;"&amp;UA1)</f>
        <v>0</v>
      </c>
      <c r="UA17" s="125">
        <f>SUMIFS('Expenditure Breakdown'!$U$6:$U$174, 'Expenditure Breakdown'!$T$6:$T$174, "&gt;="&amp;UA1,'Expenditure Breakdown'!$T$6:$T$174, "&lt;"&amp;UB1)</f>
        <v>0</v>
      </c>
      <c r="UB17" s="125">
        <f>SUMIFS('Expenditure Breakdown'!$U$6:$U$174, 'Expenditure Breakdown'!$T$6:$T$174, "&gt;="&amp;UB1,'Expenditure Breakdown'!$T$6:$T$174, "&lt;"&amp;UC1)</f>
        <v>0</v>
      </c>
      <c r="UC17" s="125">
        <f>SUMIFS('Expenditure Breakdown'!$U$6:$U$174, 'Expenditure Breakdown'!$T$6:$T$174, "&gt;="&amp;UC1,'Expenditure Breakdown'!$T$6:$T$174, "&lt;"&amp;UD1)</f>
        <v>0</v>
      </c>
      <c r="UD17" s="125">
        <f>SUMIFS('Expenditure Breakdown'!$U$6:$U$174, 'Expenditure Breakdown'!$T$6:$T$174, "&gt;="&amp;UD1,'Expenditure Breakdown'!$T$6:$T$174, "&lt;"&amp;UE1)</f>
        <v>0</v>
      </c>
      <c r="UE17" s="125">
        <f>SUMIFS('Expenditure Breakdown'!$U$6:$U$174, 'Expenditure Breakdown'!$T$6:$T$174, "&gt;="&amp;UE1,'Expenditure Breakdown'!$T$6:$T$174, "&lt;"&amp;UF1)</f>
        <v>0</v>
      </c>
      <c r="UF17" s="125">
        <f>SUMIFS('Expenditure Breakdown'!$U$6:$U$174, 'Expenditure Breakdown'!$T$6:$T$174, "&gt;="&amp;UF1,'Expenditure Breakdown'!$T$6:$T$174, "&lt;"&amp;UG1)</f>
        <v>0</v>
      </c>
      <c r="UG17" s="125">
        <f>SUMIFS('Expenditure Breakdown'!$U$6:$U$174, 'Expenditure Breakdown'!$T$6:$T$174, "&gt;="&amp;UG1,'Expenditure Breakdown'!$T$6:$T$174, "&lt;"&amp;UH1)</f>
        <v>0</v>
      </c>
      <c r="UH17" s="125">
        <f>SUMIFS('Expenditure Breakdown'!$U$6:$U$174, 'Expenditure Breakdown'!$T$6:$T$174, "&gt;="&amp;UH1,'Expenditure Breakdown'!$T$6:$T$174, "&lt;"&amp;UI1)</f>
        <v>0</v>
      </c>
      <c r="UI17" s="125">
        <f>SUMIFS('Expenditure Breakdown'!$U$6:$U$174, 'Expenditure Breakdown'!$T$6:$T$174, "&gt;="&amp;UI1,'Expenditure Breakdown'!$T$6:$T$174, "&lt;"&amp;UJ1)</f>
        <v>0</v>
      </c>
      <c r="UJ17" s="125">
        <f>SUMIFS('Expenditure Breakdown'!$U$6:$U$174, 'Expenditure Breakdown'!$T$6:$T$174, "&gt;="&amp;UJ1,'Expenditure Breakdown'!$T$6:$T$174, "&lt;"&amp;UK1)</f>
        <v>0</v>
      </c>
      <c r="UK17" s="125">
        <f>SUMIFS('Expenditure Breakdown'!$U$6:$U$174, 'Expenditure Breakdown'!$T$6:$T$174, "&gt;="&amp;UK1,'Expenditure Breakdown'!$T$6:$T$174, "&lt;"&amp;UL1)</f>
        <v>0</v>
      </c>
      <c r="UL17" s="125">
        <f>SUMIFS('Expenditure Breakdown'!$U$6:$U$174, 'Expenditure Breakdown'!$T$6:$T$174, "&gt;="&amp;UL1,'Expenditure Breakdown'!$T$6:$T$174, "&lt;"&amp;UM1)</f>
        <v>0</v>
      </c>
      <c r="UM17" s="125">
        <f>SUMIFS('Expenditure Breakdown'!$U$6:$U$174, 'Expenditure Breakdown'!$T$6:$T$174, "&gt;="&amp;UM1,'Expenditure Breakdown'!$T$6:$T$174, "&lt;"&amp;UN1)</f>
        <v>0</v>
      </c>
      <c r="UN17" s="125">
        <f>SUMIFS('Expenditure Breakdown'!$U$6:$U$174, 'Expenditure Breakdown'!$T$6:$T$174, "&gt;="&amp;UN1,'Expenditure Breakdown'!$T$6:$T$174, "&lt;"&amp;UO1)</f>
        <v>0</v>
      </c>
      <c r="UO17" s="125">
        <f>SUMIFS('Expenditure Breakdown'!$U$6:$U$174, 'Expenditure Breakdown'!$T$6:$T$174, "&gt;="&amp;UO1,'Expenditure Breakdown'!$T$6:$T$174, "&lt;"&amp;UP1)</f>
        <v>0</v>
      </c>
      <c r="UP17" s="125">
        <f>SUMIFS('Expenditure Breakdown'!$U$6:$U$174, 'Expenditure Breakdown'!$T$6:$T$174, "&gt;="&amp;UP1,'Expenditure Breakdown'!$T$6:$T$174, "&lt;"&amp;UQ1)</f>
        <v>0</v>
      </c>
      <c r="UQ17" s="125">
        <f>SUMIFS('Expenditure Breakdown'!$U$6:$U$174, 'Expenditure Breakdown'!$T$6:$T$174, "&gt;="&amp;UQ1,'Expenditure Breakdown'!$T$6:$T$174, "&lt;"&amp;UR1)</f>
        <v>0</v>
      </c>
      <c r="UR17" s="125">
        <f>SUMIFS('Expenditure Breakdown'!$U$6:$U$174, 'Expenditure Breakdown'!$T$6:$T$174, "&gt;="&amp;UR1,'Expenditure Breakdown'!$T$6:$T$174, "&lt;"&amp;US1)</f>
        <v>0</v>
      </c>
      <c r="US17" s="125">
        <f>SUMIFS('Expenditure Breakdown'!$U$6:$U$174, 'Expenditure Breakdown'!$T$6:$T$174, "&gt;="&amp;US1,'Expenditure Breakdown'!$T$6:$T$174, "&lt;"&amp;UT1)</f>
        <v>0</v>
      </c>
      <c r="UT17" s="125">
        <f>SUMIFS('Expenditure Breakdown'!$U$6:$U$174, 'Expenditure Breakdown'!$T$6:$T$174, "&gt;="&amp;UT1,'Expenditure Breakdown'!$T$6:$T$174, "&lt;"&amp;UU1)</f>
        <v>0</v>
      </c>
      <c r="UU17" s="125">
        <f>SUMIFS('Expenditure Breakdown'!$U$6:$U$174, 'Expenditure Breakdown'!$T$6:$T$174, "&gt;="&amp;UU1,'Expenditure Breakdown'!$T$6:$T$174, "&lt;"&amp;UV1)</f>
        <v>0</v>
      </c>
      <c r="UV17" s="125">
        <f>SUMIFS('Expenditure Breakdown'!$U$6:$U$174, 'Expenditure Breakdown'!$T$6:$T$174, "&gt;="&amp;UV1,'Expenditure Breakdown'!$T$6:$T$174, "&lt;"&amp;UW1)</f>
        <v>0</v>
      </c>
      <c r="UW17" s="125">
        <f>SUMIFS('Expenditure Breakdown'!$U$6:$U$174, 'Expenditure Breakdown'!$T$6:$T$174, "&gt;="&amp;UW1,'Expenditure Breakdown'!$T$6:$T$174, "&lt;"&amp;UX1)</f>
        <v>0</v>
      </c>
      <c r="UX17" s="125">
        <f>SUMIFS('Expenditure Breakdown'!$U$6:$U$174, 'Expenditure Breakdown'!$T$6:$T$174, "&gt;="&amp;UX1,'Expenditure Breakdown'!$T$6:$T$174, "&lt;"&amp;UY1)</f>
        <v>0</v>
      </c>
      <c r="UY17" s="125">
        <f>SUMIFS('Expenditure Breakdown'!$U$6:$U$174, 'Expenditure Breakdown'!$T$6:$T$174, "&gt;="&amp;UY1,'Expenditure Breakdown'!$T$6:$T$174, "&lt;"&amp;UZ1)</f>
        <v>0</v>
      </c>
      <c r="UZ17" s="125">
        <f>SUMIFS('Expenditure Breakdown'!$U$6:$U$174, 'Expenditure Breakdown'!$T$6:$T$174, "&gt;="&amp;UZ1,'Expenditure Breakdown'!$T$6:$T$174, "&lt;"&amp;VA1)</f>
        <v>0</v>
      </c>
      <c r="VA17" s="125">
        <f>SUMIFS('Expenditure Breakdown'!$U$6:$U$174, 'Expenditure Breakdown'!$T$6:$T$174, "&gt;="&amp;VA1,'Expenditure Breakdown'!$T$6:$T$174, "&lt;"&amp;VB1)</f>
        <v>0</v>
      </c>
      <c r="VB17" s="125">
        <f>SUMIFS('Expenditure Breakdown'!$U$6:$U$174, 'Expenditure Breakdown'!$T$6:$T$174, "&gt;="&amp;VB1,'Expenditure Breakdown'!$T$6:$T$174, "&lt;"&amp;VC1)</f>
        <v>0</v>
      </c>
      <c r="VC17" s="125">
        <f>SUMIFS('Expenditure Breakdown'!$U$6:$U$174, 'Expenditure Breakdown'!$T$6:$T$174, "&gt;="&amp;VC1,'Expenditure Breakdown'!$T$6:$T$174, "&lt;"&amp;VD1)</f>
        <v>0</v>
      </c>
      <c r="VD17" s="125">
        <f>SUMIFS('Expenditure Breakdown'!$U$6:$U$174, 'Expenditure Breakdown'!$T$6:$T$174, "&gt;="&amp;VD1,'Expenditure Breakdown'!$T$6:$T$174, "&lt;"&amp;VE1)</f>
        <v>0</v>
      </c>
      <c r="VE17" s="125">
        <f>SUMIFS('Expenditure Breakdown'!$U$6:$U$174, 'Expenditure Breakdown'!$T$6:$T$174, "&gt;="&amp;VE1,'Expenditure Breakdown'!$T$6:$T$174, "&lt;"&amp;VF1)</f>
        <v>0</v>
      </c>
      <c r="VF17" s="125">
        <f>SUMIFS('Expenditure Breakdown'!$U$6:$U$174, 'Expenditure Breakdown'!$T$6:$T$174, "&gt;="&amp;VF1,'Expenditure Breakdown'!$T$6:$T$174, "&lt;"&amp;VG1)</f>
        <v>0</v>
      </c>
      <c r="VG17" s="125">
        <f>SUMIFS('Expenditure Breakdown'!$U$6:$U$174, 'Expenditure Breakdown'!$T$6:$T$174, "&gt;="&amp;VG1,'Expenditure Breakdown'!$T$6:$T$174, "&lt;"&amp;VH1)</f>
        <v>0</v>
      </c>
      <c r="VH17" s="125">
        <f>SUMIFS('Expenditure Breakdown'!$U$6:$U$174, 'Expenditure Breakdown'!$T$6:$T$174, "&gt;="&amp;VH1,'Expenditure Breakdown'!$T$6:$T$174, "&lt;"&amp;VI1)</f>
        <v>0</v>
      </c>
      <c r="VI17" s="125">
        <f>SUMIFS('Expenditure Breakdown'!$U$6:$U$174, 'Expenditure Breakdown'!$T$6:$T$174, "&gt;="&amp;VI1,'Expenditure Breakdown'!$T$6:$T$174, "&lt;"&amp;VJ1)</f>
        <v>0</v>
      </c>
      <c r="VJ17" s="125">
        <f>SUMIFS('Expenditure Breakdown'!$U$6:$U$174, 'Expenditure Breakdown'!$T$6:$T$174, "&gt;="&amp;VJ1,'Expenditure Breakdown'!$T$6:$T$174, "&lt;"&amp;VK1)</f>
        <v>0</v>
      </c>
      <c r="VK17" s="125">
        <f>SUMIFS('Expenditure Breakdown'!$U$6:$U$174, 'Expenditure Breakdown'!$T$6:$T$174, "&gt;="&amp;VK1,'Expenditure Breakdown'!$T$6:$T$174, "&lt;"&amp;VL1)</f>
        <v>0</v>
      </c>
      <c r="VL17" s="125">
        <f>SUMIFS('Expenditure Breakdown'!$U$6:$U$174, 'Expenditure Breakdown'!$T$6:$T$174, "&gt;="&amp;VL1,'Expenditure Breakdown'!$T$6:$T$174, "&lt;"&amp;VM1)</f>
        <v>0</v>
      </c>
      <c r="VM17" s="125">
        <f>SUMIFS('Expenditure Breakdown'!$U$6:$U$174, 'Expenditure Breakdown'!$T$6:$T$174, "&gt;="&amp;VM1,'Expenditure Breakdown'!$T$6:$T$174, "&lt;"&amp;VN1)</f>
        <v>0</v>
      </c>
      <c r="VN17" s="125">
        <f>SUMIFS('Expenditure Breakdown'!$U$6:$U$174, 'Expenditure Breakdown'!$T$6:$T$174, "&gt;="&amp;VN1,'Expenditure Breakdown'!$T$6:$T$174, "&lt;"&amp;VO1)</f>
        <v>0</v>
      </c>
      <c r="VO17" s="125">
        <f>SUMIFS('Expenditure Breakdown'!$U$6:$U$174, 'Expenditure Breakdown'!$T$6:$T$174, "&gt;="&amp;VO1,'Expenditure Breakdown'!$T$6:$T$174, "&lt;"&amp;VP1)</f>
        <v>0</v>
      </c>
      <c r="VP17" s="125">
        <f>SUMIFS('Expenditure Breakdown'!$U$6:$U$174, 'Expenditure Breakdown'!$T$6:$T$174, "&gt;="&amp;VP1,'Expenditure Breakdown'!$T$6:$T$174, "&lt;"&amp;VQ1)</f>
        <v>0</v>
      </c>
      <c r="VQ17" s="125">
        <f>SUMIFS('Expenditure Breakdown'!$U$6:$U$174, 'Expenditure Breakdown'!$T$6:$T$174, "&gt;="&amp;VQ1,'Expenditure Breakdown'!$T$6:$T$174, "&lt;"&amp;VR1)</f>
        <v>0</v>
      </c>
      <c r="VR17" s="125">
        <f>SUMIFS('Expenditure Breakdown'!$U$6:$U$174, 'Expenditure Breakdown'!$T$6:$T$174, "&gt;="&amp;VR1,'Expenditure Breakdown'!$T$6:$T$174, "&lt;"&amp;VS1)</f>
        <v>0</v>
      </c>
      <c r="VS17" s="125">
        <f>SUMIFS('Expenditure Breakdown'!$U$6:$U$174, 'Expenditure Breakdown'!$T$6:$T$174, "&gt;="&amp;VS1,'Expenditure Breakdown'!$T$6:$T$174, "&lt;"&amp;VT1)</f>
        <v>0</v>
      </c>
      <c r="VT17" s="125">
        <f>SUMIFS('Expenditure Breakdown'!$U$6:$U$174, 'Expenditure Breakdown'!$T$6:$T$174, "&gt;="&amp;VT1,'Expenditure Breakdown'!$T$6:$T$174, "&lt;"&amp;VU1)</f>
        <v>0</v>
      </c>
      <c r="VU17" s="125">
        <f>SUMIFS('Expenditure Breakdown'!$U$6:$U$174, 'Expenditure Breakdown'!$T$6:$T$174, "&gt;="&amp;VU1,'Expenditure Breakdown'!$T$6:$T$174, "&lt;"&amp;VV1)</f>
        <v>0</v>
      </c>
      <c r="VV17" s="125">
        <f>SUMIFS('Expenditure Breakdown'!$U$6:$U$174, 'Expenditure Breakdown'!$T$6:$T$174, "&gt;="&amp;VV1,'Expenditure Breakdown'!$T$6:$T$174, "&lt;"&amp;VW1)</f>
        <v>0</v>
      </c>
      <c r="VW17" s="125">
        <f>SUMIFS('Expenditure Breakdown'!$U$6:$U$174, 'Expenditure Breakdown'!$T$6:$T$174, "&gt;="&amp;VW1,'Expenditure Breakdown'!$T$6:$T$174, "&lt;"&amp;VX1)</f>
        <v>0</v>
      </c>
      <c r="VX17" s="125">
        <f>SUMIFS('Expenditure Breakdown'!$U$6:$U$174, 'Expenditure Breakdown'!$T$6:$T$174, "&gt;="&amp;VX1,'Expenditure Breakdown'!$T$6:$T$174, "&lt;"&amp;VY1)</f>
        <v>0</v>
      </c>
      <c r="VY17" s="125">
        <f>SUMIFS('Expenditure Breakdown'!$U$6:$U$174, 'Expenditure Breakdown'!$T$6:$T$174, "&gt;="&amp;VY1,'Expenditure Breakdown'!$T$6:$T$174, "&lt;"&amp;VZ1)</f>
        <v>0</v>
      </c>
      <c r="VZ17" s="125">
        <f>SUMIFS('Expenditure Breakdown'!$U$6:$U$174, 'Expenditure Breakdown'!$T$6:$T$174, "&gt;="&amp;VZ1,'Expenditure Breakdown'!$T$6:$T$174, "&lt;"&amp;WA1)</f>
        <v>0</v>
      </c>
      <c r="WA17" s="125">
        <f>SUMIFS('Expenditure Breakdown'!$U$6:$U$174, 'Expenditure Breakdown'!$T$6:$T$174, "&gt;="&amp;WA1,'Expenditure Breakdown'!$T$6:$T$174, "&lt;"&amp;WB1)</f>
        <v>0</v>
      </c>
      <c r="WB17" s="125">
        <f>SUMIFS('Expenditure Breakdown'!$U$6:$U$174, 'Expenditure Breakdown'!$T$6:$T$174, "&gt;="&amp;WB1,'Expenditure Breakdown'!$T$6:$T$174, "&lt;"&amp;WC1)</f>
        <v>0</v>
      </c>
      <c r="WC17" s="125">
        <f>SUMIFS('Expenditure Breakdown'!$U$6:$U$174, 'Expenditure Breakdown'!$T$6:$T$174, "&gt;="&amp;WC1,'Expenditure Breakdown'!$T$6:$T$174, "&lt;"&amp;WD1)</f>
        <v>0</v>
      </c>
      <c r="WD17" s="125">
        <f>SUMIFS('Expenditure Breakdown'!$U$6:$U$174, 'Expenditure Breakdown'!$T$6:$T$174, "&gt;="&amp;WD1,'Expenditure Breakdown'!$T$6:$T$174, "&lt;"&amp;WE1)</f>
        <v>0</v>
      </c>
      <c r="WE17" s="125">
        <f>SUMIFS('Expenditure Breakdown'!$U$6:$U$174, 'Expenditure Breakdown'!$T$6:$T$174, "&gt;="&amp;WE1,'Expenditure Breakdown'!$T$6:$T$174, "&lt;"&amp;WF1)</f>
        <v>0</v>
      </c>
      <c r="WF17" s="125">
        <f>SUMIFS('Expenditure Breakdown'!$U$6:$U$174, 'Expenditure Breakdown'!$T$6:$T$174, "&gt;="&amp;WF1,'Expenditure Breakdown'!$T$6:$T$174, "&lt;"&amp;WG1)</f>
        <v>0</v>
      </c>
      <c r="WG17" s="125">
        <f>SUMIFS('Expenditure Breakdown'!$U$6:$U$174, 'Expenditure Breakdown'!$T$6:$T$174, "&gt;="&amp;WG1,'Expenditure Breakdown'!$T$6:$T$174, "&lt;"&amp;WH1)</f>
        <v>0</v>
      </c>
      <c r="WH17" s="125">
        <f>SUMIFS('Expenditure Breakdown'!$U$6:$U$174, 'Expenditure Breakdown'!$T$6:$T$174, "&gt;="&amp;WH1,'Expenditure Breakdown'!$T$6:$T$174, "&lt;"&amp;WI1)</f>
        <v>0</v>
      </c>
      <c r="WI17" s="125">
        <f>SUMIFS('Expenditure Breakdown'!$U$6:$U$174, 'Expenditure Breakdown'!$T$6:$T$174, "&gt;="&amp;WI1,'Expenditure Breakdown'!$T$6:$T$174, "&lt;"&amp;WJ1)</f>
        <v>0</v>
      </c>
      <c r="WJ17" s="125">
        <f>SUMIFS('Expenditure Breakdown'!$U$6:$U$174, 'Expenditure Breakdown'!$T$6:$T$174, "&gt;="&amp;WJ1,'Expenditure Breakdown'!$T$6:$T$174, "&lt;"&amp;WK1)</f>
        <v>0</v>
      </c>
      <c r="WK17" s="125">
        <f>SUMIFS('Expenditure Breakdown'!$U$6:$U$174, 'Expenditure Breakdown'!$T$6:$T$174, "&gt;="&amp;WK1,'Expenditure Breakdown'!$T$6:$T$174, "&lt;"&amp;WL1)</f>
        <v>0</v>
      </c>
      <c r="WL17" s="125">
        <f>SUMIFS('Expenditure Breakdown'!$U$6:$U$174, 'Expenditure Breakdown'!$T$6:$T$174, "&gt;="&amp;WL1,'Expenditure Breakdown'!$T$6:$T$174, "&lt;"&amp;WM1)</f>
        <v>0</v>
      </c>
      <c r="WM17" s="125">
        <f>SUMIFS('Expenditure Breakdown'!$U$6:$U$174, 'Expenditure Breakdown'!$T$6:$T$174, "&gt;="&amp;WM1,'Expenditure Breakdown'!$T$6:$T$174, "&lt;"&amp;WN1)</f>
        <v>0</v>
      </c>
      <c r="WN17" s="125">
        <f>SUMIFS('Expenditure Breakdown'!$U$6:$U$174, 'Expenditure Breakdown'!$T$6:$T$174, "&gt;="&amp;WN1,'Expenditure Breakdown'!$T$6:$T$174, "&lt;"&amp;WO1)</f>
        <v>0</v>
      </c>
      <c r="WO17" s="125">
        <f>SUMIFS('Expenditure Breakdown'!$U$6:$U$174, 'Expenditure Breakdown'!$T$6:$T$174, "&gt;="&amp;WO1,'Expenditure Breakdown'!$T$6:$T$174, "&lt;"&amp;WP1)</f>
        <v>0</v>
      </c>
      <c r="WP17" s="125">
        <f>SUMIFS('Expenditure Breakdown'!$U$6:$U$174, 'Expenditure Breakdown'!$T$6:$T$174, "&gt;="&amp;WP1,'Expenditure Breakdown'!$T$6:$T$174, "&lt;"&amp;WQ1)</f>
        <v>0</v>
      </c>
      <c r="WQ17" s="125">
        <f>SUMIFS('Expenditure Breakdown'!$U$6:$U$174, 'Expenditure Breakdown'!$T$6:$T$174, "&gt;="&amp;WQ1,'Expenditure Breakdown'!$T$6:$T$174, "&lt;"&amp;WR1)</f>
        <v>0</v>
      </c>
      <c r="WR17" s="125">
        <f>SUMIFS('Expenditure Breakdown'!$U$6:$U$174, 'Expenditure Breakdown'!$T$6:$T$174, "&gt;="&amp;WR1,'Expenditure Breakdown'!$T$6:$T$174, "&lt;"&amp;WS1)</f>
        <v>0</v>
      </c>
      <c r="WS17" s="125">
        <f>SUMIFS('Expenditure Breakdown'!$U$6:$U$174, 'Expenditure Breakdown'!$T$6:$T$174, "&gt;="&amp;WS1,'Expenditure Breakdown'!$T$6:$T$174, "&lt;"&amp;WT1)</f>
        <v>0</v>
      </c>
      <c r="WT17" s="125">
        <f>SUMIFS('Expenditure Breakdown'!$U$6:$U$174, 'Expenditure Breakdown'!$T$6:$T$174, "&gt;="&amp;WT1,'Expenditure Breakdown'!$T$6:$T$174, "&lt;"&amp;WU1)</f>
        <v>0</v>
      </c>
      <c r="WU17" s="125">
        <f>SUMIFS('Expenditure Breakdown'!$U$6:$U$174, 'Expenditure Breakdown'!$T$6:$T$174, "&gt;="&amp;WU1,'Expenditure Breakdown'!$T$6:$T$174, "&lt;"&amp;WV1)</f>
        <v>0</v>
      </c>
      <c r="WV17" s="125">
        <f>SUMIFS('Expenditure Breakdown'!$U$6:$U$174, 'Expenditure Breakdown'!$T$6:$T$174, "&gt;="&amp;WV1,'Expenditure Breakdown'!$T$6:$T$174, "&lt;"&amp;WW1)</f>
        <v>0</v>
      </c>
      <c r="WW17" s="125">
        <f>SUMIFS('Expenditure Breakdown'!$U$6:$U$174, 'Expenditure Breakdown'!$T$6:$T$174, "&gt;="&amp;WW1,'Expenditure Breakdown'!$T$6:$T$174, "&lt;"&amp;WX1)</f>
        <v>0</v>
      </c>
      <c r="WX17" s="125">
        <f>SUMIFS('Expenditure Breakdown'!$U$6:$U$174, 'Expenditure Breakdown'!$T$6:$T$174, "&gt;="&amp;WX1,'Expenditure Breakdown'!$T$6:$T$174, "&lt;"&amp;WY1)</f>
        <v>0</v>
      </c>
      <c r="WY17" s="125">
        <f>SUMIFS('Expenditure Breakdown'!$U$6:$U$174, 'Expenditure Breakdown'!$T$6:$T$174, "&gt;="&amp;WY1,'Expenditure Breakdown'!$T$6:$T$174, "&lt;"&amp;WZ1)</f>
        <v>0</v>
      </c>
      <c r="WZ17" s="125">
        <f>SUMIFS('Expenditure Breakdown'!$U$6:$U$174, 'Expenditure Breakdown'!$T$6:$T$174, "&gt;="&amp;WZ1,'Expenditure Breakdown'!$T$6:$T$174, "&lt;"&amp;XA1)</f>
        <v>0</v>
      </c>
      <c r="XA17" s="125">
        <f>SUMIFS('Expenditure Breakdown'!$U$6:$U$174, 'Expenditure Breakdown'!$T$6:$T$174, "&gt;="&amp;XA1,'Expenditure Breakdown'!$T$6:$T$174, "&lt;"&amp;XB1)</f>
        <v>0</v>
      </c>
      <c r="XB17" s="125">
        <f>SUMIFS('Expenditure Breakdown'!$U$6:$U$174, 'Expenditure Breakdown'!$T$6:$T$174, "&gt;="&amp;XB1,'Expenditure Breakdown'!$T$6:$T$174, "&lt;"&amp;XC1)</f>
        <v>0</v>
      </c>
      <c r="XC17" s="125">
        <f>SUMIFS('Expenditure Breakdown'!$U$6:$U$174, 'Expenditure Breakdown'!$T$6:$T$174, "&gt;="&amp;XC1,'Expenditure Breakdown'!$T$6:$T$174, "&lt;"&amp;XD1)</f>
        <v>0</v>
      </c>
      <c r="XD17" s="125">
        <f>SUMIFS('Expenditure Breakdown'!$U$6:$U$174, 'Expenditure Breakdown'!$T$6:$T$174, "&gt;="&amp;XD1,'Expenditure Breakdown'!$T$6:$T$174, "&lt;"&amp;XE1)</f>
        <v>0</v>
      </c>
      <c r="XE17" s="125">
        <f>SUMIFS('Expenditure Breakdown'!$U$6:$U$174, 'Expenditure Breakdown'!$T$6:$T$174, "&gt;="&amp;XE1,'Expenditure Breakdown'!$T$6:$T$174, "&lt;"&amp;XF1)</f>
        <v>0</v>
      </c>
      <c r="XF17" s="125">
        <f>SUMIFS('Expenditure Breakdown'!$U$6:$U$174, 'Expenditure Breakdown'!$T$6:$T$174, "&gt;="&amp;XF1,'Expenditure Breakdown'!$T$6:$T$174, "&lt;"&amp;XG1)</f>
        <v>0</v>
      </c>
      <c r="XG17" s="125">
        <f>SUMIFS('Expenditure Breakdown'!$U$6:$U$174, 'Expenditure Breakdown'!$T$6:$T$174, "&gt;="&amp;XG1,'Expenditure Breakdown'!$T$6:$T$174, "&lt;"&amp;XH1)</f>
        <v>0</v>
      </c>
      <c r="XH17" s="125">
        <f>SUMIFS('Expenditure Breakdown'!$U$6:$U$174, 'Expenditure Breakdown'!$T$6:$T$174, "&gt;="&amp;XH1,'Expenditure Breakdown'!$T$6:$T$174, "&lt;"&amp;XI1)</f>
        <v>0</v>
      </c>
      <c r="XI17" s="125">
        <f>SUMIFS('Expenditure Breakdown'!$U$6:$U$174, 'Expenditure Breakdown'!$T$6:$T$174, "&gt;="&amp;XI1,'Expenditure Breakdown'!$T$6:$T$174, "&lt;"&amp;XJ1)</f>
        <v>0</v>
      </c>
      <c r="XJ17" s="125">
        <f>SUMIFS('Expenditure Breakdown'!$U$6:$U$174, 'Expenditure Breakdown'!$T$6:$T$174, "&gt;="&amp;XJ1,'Expenditure Breakdown'!$T$6:$T$174, "&lt;"&amp;XK1)</f>
        <v>0</v>
      </c>
      <c r="XK17" s="125">
        <f>SUMIFS('Expenditure Breakdown'!$U$6:$U$174, 'Expenditure Breakdown'!$T$6:$T$174, "&gt;="&amp;XK1,'Expenditure Breakdown'!$T$6:$T$174, "&lt;"&amp;XL1)</f>
        <v>0</v>
      </c>
      <c r="XL17" s="125">
        <f>SUMIFS('Expenditure Breakdown'!$U$6:$U$174, 'Expenditure Breakdown'!$T$6:$T$174, "&gt;="&amp;XL1,'Expenditure Breakdown'!$T$6:$T$174, "&lt;"&amp;XM1)</f>
        <v>0</v>
      </c>
      <c r="XM17" s="125">
        <f>SUMIFS('Expenditure Breakdown'!$U$6:$U$174, 'Expenditure Breakdown'!$T$6:$T$174, "&gt;="&amp;XM1,'Expenditure Breakdown'!$T$6:$T$174, "&lt;"&amp;XN1)</f>
        <v>0</v>
      </c>
      <c r="XN17" s="125">
        <f>SUMIFS('Expenditure Breakdown'!$U$6:$U$174, 'Expenditure Breakdown'!$T$6:$T$174, "&gt;="&amp;XN1,'Expenditure Breakdown'!$T$6:$T$174, "&lt;"&amp;XO1)</f>
        <v>0</v>
      </c>
      <c r="XO17" s="125">
        <f>SUMIFS('Expenditure Breakdown'!$U$6:$U$174, 'Expenditure Breakdown'!$T$6:$T$174, "&gt;="&amp;XO1,'Expenditure Breakdown'!$T$6:$T$174, "&lt;"&amp;XP1)</f>
        <v>0</v>
      </c>
      <c r="XP17" s="125">
        <f>SUMIFS('Expenditure Breakdown'!$U$6:$U$174, 'Expenditure Breakdown'!$T$6:$T$174, "&gt;="&amp;XP1,'Expenditure Breakdown'!$T$6:$T$174, "&lt;"&amp;XQ1)</f>
        <v>0</v>
      </c>
      <c r="XQ17" s="125">
        <f>SUMIFS('Expenditure Breakdown'!$U$6:$U$174, 'Expenditure Breakdown'!$T$6:$T$174, "&gt;="&amp;XQ1,'Expenditure Breakdown'!$T$6:$T$174, "&lt;"&amp;XR1)</f>
        <v>0</v>
      </c>
      <c r="XR17" s="125">
        <f>SUMIFS('Expenditure Breakdown'!$U$6:$U$174, 'Expenditure Breakdown'!$T$6:$T$174, "&gt;="&amp;XR1,'Expenditure Breakdown'!$T$6:$T$174, "&lt;"&amp;XS1)</f>
        <v>0</v>
      </c>
      <c r="XS17" s="125">
        <f>SUMIFS('Expenditure Breakdown'!$U$6:$U$174, 'Expenditure Breakdown'!$T$6:$T$174, "&gt;="&amp;XS1,'Expenditure Breakdown'!$T$6:$T$174, "&lt;"&amp;XT1)</f>
        <v>0</v>
      </c>
      <c r="XT17" s="125">
        <f>SUMIFS('Expenditure Breakdown'!$U$6:$U$174, 'Expenditure Breakdown'!$T$6:$T$174, "&gt;="&amp;XT1,'Expenditure Breakdown'!$T$6:$T$174, "&lt;"&amp;XU1)</f>
        <v>0</v>
      </c>
      <c r="XU17" s="125">
        <f>SUMIFS('Expenditure Breakdown'!$U$6:$U$174, 'Expenditure Breakdown'!$T$6:$T$174, "&gt;="&amp;XU1,'Expenditure Breakdown'!$T$6:$T$174, "&lt;"&amp;XV1)</f>
        <v>0</v>
      </c>
      <c r="XV17" s="125">
        <f>SUMIFS('Expenditure Breakdown'!$U$6:$U$174, 'Expenditure Breakdown'!$T$6:$T$174, "&gt;="&amp;XV1,'Expenditure Breakdown'!$T$6:$T$174, "&lt;"&amp;XW1)</f>
        <v>0</v>
      </c>
      <c r="XW17" s="125">
        <f>SUMIFS('Expenditure Breakdown'!$U$6:$U$174, 'Expenditure Breakdown'!$T$6:$T$174, "&gt;="&amp;XW1,'Expenditure Breakdown'!$T$6:$T$174, "&lt;"&amp;XX1)</f>
        <v>0</v>
      </c>
      <c r="XX17" s="125">
        <f>SUMIFS('Expenditure Breakdown'!$U$6:$U$174, 'Expenditure Breakdown'!$T$6:$T$174, "&gt;="&amp;XX1,'Expenditure Breakdown'!$T$6:$T$174, "&lt;"&amp;XY1)</f>
        <v>0</v>
      </c>
      <c r="XY17" s="125">
        <f>SUMIFS('Expenditure Breakdown'!$U$6:$U$174, 'Expenditure Breakdown'!$T$6:$T$174, "&gt;="&amp;XY1,'Expenditure Breakdown'!$T$6:$T$174, "&lt;"&amp;XZ1)</f>
        <v>0</v>
      </c>
      <c r="XZ17" s="125">
        <f>SUMIFS('Expenditure Breakdown'!$U$6:$U$174, 'Expenditure Breakdown'!$T$6:$T$174, "&gt;="&amp;XZ1,'Expenditure Breakdown'!$T$6:$T$174, "&lt;"&amp;YA1)</f>
        <v>0</v>
      </c>
      <c r="YA17" s="125">
        <f>SUMIFS('Expenditure Breakdown'!$U$6:$U$174, 'Expenditure Breakdown'!$T$6:$T$174, "&gt;="&amp;YA1,'Expenditure Breakdown'!$T$6:$T$174, "&lt;"&amp;YB1)</f>
        <v>0</v>
      </c>
      <c r="YB17" s="125">
        <f>SUMIFS('Expenditure Breakdown'!$U$6:$U$174, 'Expenditure Breakdown'!$T$6:$T$174, "&gt;="&amp;YB1,'Expenditure Breakdown'!$T$6:$T$174, "&lt;"&amp;YC1)</f>
        <v>0</v>
      </c>
      <c r="YC17" s="125">
        <f>SUMIFS('Expenditure Breakdown'!$U$6:$U$174, 'Expenditure Breakdown'!$T$6:$T$174, "&gt;="&amp;YC1,'Expenditure Breakdown'!$T$6:$T$174, "&lt;"&amp;YD1)</f>
        <v>0</v>
      </c>
      <c r="YD17" s="125">
        <f>SUMIFS('Expenditure Breakdown'!$U$6:$U$174, 'Expenditure Breakdown'!$T$6:$T$174, "&gt;="&amp;YD1,'Expenditure Breakdown'!$T$6:$T$174, "&lt;"&amp;YE1)</f>
        <v>0</v>
      </c>
      <c r="YE17" s="125">
        <f>SUMIFS('Expenditure Breakdown'!$U$6:$U$174, 'Expenditure Breakdown'!$T$6:$T$174, "&gt;="&amp;YE1,'Expenditure Breakdown'!$T$6:$T$174, "&lt;"&amp;YF1)</f>
        <v>0</v>
      </c>
      <c r="YF17" s="125">
        <f>SUMIFS('Expenditure Breakdown'!$U$6:$U$174, 'Expenditure Breakdown'!$T$6:$T$174, "&gt;="&amp;YF1,'Expenditure Breakdown'!$T$6:$T$174, "&lt;"&amp;YG1)</f>
        <v>0</v>
      </c>
      <c r="YG17" s="125">
        <f>SUMIFS('Expenditure Breakdown'!$U$6:$U$174, 'Expenditure Breakdown'!$T$6:$T$174, "&gt;="&amp;YG1,'Expenditure Breakdown'!$T$6:$T$174, "&lt;"&amp;YH1)</f>
        <v>0</v>
      </c>
      <c r="YH17" s="125">
        <f>SUMIFS('Expenditure Breakdown'!$U$6:$U$174, 'Expenditure Breakdown'!$T$6:$T$174, "&gt;="&amp;YH1,'Expenditure Breakdown'!$T$6:$T$174, "&lt;"&amp;YI1)</f>
        <v>0</v>
      </c>
      <c r="YI17" s="125">
        <f>SUMIFS('Expenditure Breakdown'!$U$6:$U$174, 'Expenditure Breakdown'!$T$6:$T$174, "&gt;="&amp;YI1,'Expenditure Breakdown'!$T$6:$T$174, "&lt;"&amp;YJ1)</f>
        <v>0</v>
      </c>
      <c r="YJ17" s="125">
        <f>SUMIFS('Expenditure Breakdown'!$U$6:$U$174, 'Expenditure Breakdown'!$T$6:$T$174, "&gt;="&amp;YJ1,'Expenditure Breakdown'!$T$6:$T$174, "&lt;"&amp;YK1)</f>
        <v>0</v>
      </c>
      <c r="YK17" s="125">
        <f>SUMIFS('Expenditure Breakdown'!$U$6:$U$174, 'Expenditure Breakdown'!$T$6:$T$174, "&gt;="&amp;YK1,'Expenditure Breakdown'!$T$6:$T$174, "&lt;"&amp;YL1)</f>
        <v>0</v>
      </c>
      <c r="YL17" s="125">
        <f>SUMIFS('Expenditure Breakdown'!$U$6:$U$174, 'Expenditure Breakdown'!$T$6:$T$174, "&gt;="&amp;YL1,'Expenditure Breakdown'!$T$6:$T$174, "&lt;"&amp;YM1)</f>
        <v>0</v>
      </c>
      <c r="YM17" s="125">
        <f>SUMIFS('Expenditure Breakdown'!$U$6:$U$174, 'Expenditure Breakdown'!$T$6:$T$174, "&gt;="&amp;YM1,'Expenditure Breakdown'!$T$6:$T$174, "&lt;"&amp;YN1)</f>
        <v>0</v>
      </c>
      <c r="YN17" s="125">
        <f>SUMIFS('Expenditure Breakdown'!$U$6:$U$174, 'Expenditure Breakdown'!$T$6:$T$174, "&gt;="&amp;YN1,'Expenditure Breakdown'!$T$6:$T$174, "&lt;"&amp;YO1)</f>
        <v>0</v>
      </c>
      <c r="YO17" s="125">
        <f>SUMIFS('Expenditure Breakdown'!$U$6:$U$174, 'Expenditure Breakdown'!$T$6:$T$174, "&gt;="&amp;YO1,'Expenditure Breakdown'!$T$6:$T$174, "&lt;"&amp;YP1)</f>
        <v>0</v>
      </c>
      <c r="YP17" s="125">
        <f>SUMIFS('Expenditure Breakdown'!$U$6:$U$174, 'Expenditure Breakdown'!$T$6:$T$174, "&gt;="&amp;YP1,'Expenditure Breakdown'!$T$6:$T$174, "&lt;"&amp;YQ1)</f>
        <v>0</v>
      </c>
      <c r="YQ17" s="125">
        <f>SUMIFS('Expenditure Breakdown'!$U$6:$U$174, 'Expenditure Breakdown'!$T$6:$T$174, "&gt;="&amp;YQ1,'Expenditure Breakdown'!$T$6:$T$174, "&lt;"&amp;YR1)</f>
        <v>0</v>
      </c>
      <c r="YR17" s="125">
        <f>SUMIFS('Expenditure Breakdown'!$U$6:$U$174, 'Expenditure Breakdown'!$T$6:$T$174, "&gt;="&amp;YR1,'Expenditure Breakdown'!$T$6:$T$174, "&lt;"&amp;YS1)</f>
        <v>0</v>
      </c>
      <c r="YS17" s="125">
        <f>SUMIFS('Expenditure Breakdown'!$U$6:$U$174, 'Expenditure Breakdown'!$T$6:$T$174, "&gt;="&amp;YS1,'Expenditure Breakdown'!$T$6:$T$174, "&lt;"&amp;YT1)</f>
        <v>0</v>
      </c>
      <c r="YT17" s="125">
        <f>SUMIFS('Expenditure Breakdown'!$U$6:$U$174, 'Expenditure Breakdown'!$T$6:$T$174, "&gt;="&amp;YT1,'Expenditure Breakdown'!$T$6:$T$174, "&lt;"&amp;YU1)</f>
        <v>0</v>
      </c>
      <c r="YU17" s="125">
        <f>SUMIFS('Expenditure Breakdown'!$U$6:$U$174, 'Expenditure Breakdown'!$T$6:$T$174, "&gt;="&amp;YU1,'Expenditure Breakdown'!$T$6:$T$174, "&lt;"&amp;YV1)</f>
        <v>0</v>
      </c>
      <c r="YV17" s="125">
        <f>SUMIFS('Expenditure Breakdown'!$U$6:$U$174, 'Expenditure Breakdown'!$T$6:$T$174, "&gt;="&amp;YV1,'Expenditure Breakdown'!$T$6:$T$174, "&lt;"&amp;YW1)</f>
        <v>0</v>
      </c>
      <c r="YW17" s="125">
        <f>SUMIFS('Expenditure Breakdown'!$U$6:$U$174, 'Expenditure Breakdown'!$T$6:$T$174, "&gt;="&amp;YW1,'Expenditure Breakdown'!$T$6:$T$174, "&lt;"&amp;YX1)</f>
        <v>0</v>
      </c>
      <c r="YX17" s="125">
        <f>SUMIFS('Expenditure Breakdown'!$U$6:$U$174, 'Expenditure Breakdown'!$T$6:$T$174, "&gt;="&amp;YX1,'Expenditure Breakdown'!$T$6:$T$174, "&lt;"&amp;YY1)</f>
        <v>0</v>
      </c>
      <c r="YY17" s="125">
        <f>SUMIFS('Expenditure Breakdown'!$U$6:$U$174, 'Expenditure Breakdown'!$T$6:$T$174, "&gt;="&amp;YY1,'Expenditure Breakdown'!$T$6:$T$174, "&lt;"&amp;YZ1)</f>
        <v>0</v>
      </c>
      <c r="YZ17" s="125">
        <f>SUMIFS('Expenditure Breakdown'!$U$6:$U$174, 'Expenditure Breakdown'!$T$6:$T$174, "&gt;="&amp;YZ1,'Expenditure Breakdown'!$T$6:$T$174, "&lt;"&amp;ZA1)</f>
        <v>0</v>
      </c>
      <c r="ZA17" s="125">
        <f>SUMIFS('Expenditure Breakdown'!$U$6:$U$174, 'Expenditure Breakdown'!$T$6:$T$174, "&gt;="&amp;ZA1,'Expenditure Breakdown'!$T$6:$T$174, "&lt;"&amp;ZB1)</f>
        <v>0</v>
      </c>
      <c r="ZB17" s="125">
        <f>SUMIFS('Expenditure Breakdown'!$U$6:$U$174, 'Expenditure Breakdown'!$T$6:$T$174, "&gt;="&amp;ZB1,'Expenditure Breakdown'!$T$6:$T$174, "&lt;"&amp;ZC1)</f>
        <v>0</v>
      </c>
      <c r="ZC17" s="125">
        <f>SUMIFS('Expenditure Breakdown'!$U$6:$U$174, 'Expenditure Breakdown'!$T$6:$T$174, "&gt;="&amp;ZC1,'Expenditure Breakdown'!$T$6:$T$174, "&lt;"&amp;ZD1)</f>
        <v>0</v>
      </c>
      <c r="ZD17" s="125">
        <f>SUMIFS('Expenditure Breakdown'!$U$6:$U$174, 'Expenditure Breakdown'!$T$6:$T$174, "&gt;="&amp;ZD1,'Expenditure Breakdown'!$T$6:$T$174, "&lt;"&amp;ZE1)</f>
        <v>0</v>
      </c>
      <c r="ZE17" s="125">
        <f>SUMIFS('Expenditure Breakdown'!$U$6:$U$174, 'Expenditure Breakdown'!$T$6:$T$174, "&gt;="&amp;ZE1,'Expenditure Breakdown'!$T$6:$T$174, "&lt;"&amp;ZF1)</f>
        <v>0</v>
      </c>
      <c r="ZF17" s="125">
        <f>SUMIFS('Expenditure Breakdown'!$U$6:$U$174, 'Expenditure Breakdown'!$T$6:$T$174, "&gt;="&amp;ZF1,'Expenditure Breakdown'!$T$6:$T$174, "&lt;"&amp;ZG1)</f>
        <v>0</v>
      </c>
      <c r="ZG17" s="125">
        <f>SUMIFS('Expenditure Breakdown'!$U$6:$U$174, 'Expenditure Breakdown'!$T$6:$T$174, "&gt;="&amp;ZG1,'Expenditure Breakdown'!$T$6:$T$174, "&lt;"&amp;ZH1)</f>
        <v>0</v>
      </c>
      <c r="ZH17" s="125">
        <f>SUMIFS('Expenditure Breakdown'!$U$6:$U$174, 'Expenditure Breakdown'!$T$6:$T$174, "&gt;="&amp;ZH1,'Expenditure Breakdown'!$T$6:$T$174, "&lt;"&amp;ZI1)</f>
        <v>0</v>
      </c>
      <c r="ZI17" s="125">
        <f>SUMIFS('Expenditure Breakdown'!$U$6:$U$174, 'Expenditure Breakdown'!$T$6:$T$174, "&gt;="&amp;ZI1,'Expenditure Breakdown'!$T$6:$T$174, "&lt;"&amp;ZJ1)</f>
        <v>0</v>
      </c>
      <c r="ZJ17" s="125">
        <f>SUMIFS('Expenditure Breakdown'!$U$6:$U$174, 'Expenditure Breakdown'!$T$6:$T$174, "&gt;="&amp;ZJ1,'Expenditure Breakdown'!$T$6:$T$174, "&lt;"&amp;ZK1)</f>
        <v>0</v>
      </c>
      <c r="ZK17" s="125">
        <f>SUMIFS('Expenditure Breakdown'!$U$6:$U$174, 'Expenditure Breakdown'!$T$6:$T$174, "&gt;="&amp;ZK1,'Expenditure Breakdown'!$T$6:$T$174, "&lt;"&amp;ZL1)</f>
        <v>0</v>
      </c>
      <c r="ZL17" s="125">
        <f>SUMIFS('Expenditure Breakdown'!$U$6:$U$174, 'Expenditure Breakdown'!$T$6:$T$174, "&gt;="&amp;ZL1,'Expenditure Breakdown'!$T$6:$T$174, "&lt;"&amp;ZM1)</f>
        <v>0</v>
      </c>
      <c r="ZM17" s="125">
        <f>SUMIFS('Expenditure Breakdown'!$U$6:$U$174, 'Expenditure Breakdown'!$T$6:$T$174, "&gt;="&amp;ZM1,'Expenditure Breakdown'!$T$6:$T$174, "&lt;"&amp;ZN1)</f>
        <v>0</v>
      </c>
      <c r="ZN17" s="125">
        <f>SUMIFS('Expenditure Breakdown'!$U$6:$U$174, 'Expenditure Breakdown'!$T$6:$T$174, "&gt;="&amp;ZN1,'Expenditure Breakdown'!$T$6:$T$174, "&lt;"&amp;ZO1)</f>
        <v>0</v>
      </c>
      <c r="ZO17" s="125">
        <f>SUMIFS('Expenditure Breakdown'!$U$6:$U$174, 'Expenditure Breakdown'!$T$6:$T$174, "&gt;="&amp;ZO1,'Expenditure Breakdown'!$T$6:$T$174, "&lt;"&amp;ZP1)</f>
        <v>0</v>
      </c>
      <c r="ZP17" s="125">
        <f>SUMIFS('Expenditure Breakdown'!$U$6:$U$174, 'Expenditure Breakdown'!$T$6:$T$174, "&gt;="&amp;ZP1,'Expenditure Breakdown'!$T$6:$T$174, "&lt;"&amp;ZQ1)</f>
        <v>0</v>
      </c>
      <c r="ZQ17" s="125">
        <f>SUMIFS('Expenditure Breakdown'!$U$6:$U$174, 'Expenditure Breakdown'!$T$6:$T$174, "&gt;="&amp;ZQ1,'Expenditure Breakdown'!$T$6:$T$174, "&lt;"&amp;ZR1)</f>
        <v>0</v>
      </c>
      <c r="ZR17" s="125">
        <f>SUMIFS('Expenditure Breakdown'!$U$6:$U$174, 'Expenditure Breakdown'!$T$6:$T$174, "&gt;="&amp;ZR1,'Expenditure Breakdown'!$T$6:$T$174, "&lt;"&amp;ZS1)</f>
        <v>0</v>
      </c>
      <c r="ZS17" s="125">
        <f>SUMIFS('Expenditure Breakdown'!$U$6:$U$174, 'Expenditure Breakdown'!$T$6:$T$174, "&gt;="&amp;ZS1,'Expenditure Breakdown'!$T$6:$T$174, "&lt;"&amp;ZT1)</f>
        <v>0</v>
      </c>
      <c r="ZT17" s="125">
        <f>SUMIFS('Expenditure Breakdown'!$U$6:$U$174, 'Expenditure Breakdown'!$T$6:$T$174, "&gt;="&amp;ZT1,'Expenditure Breakdown'!$T$6:$T$174, "&lt;"&amp;ZU1)</f>
        <v>0</v>
      </c>
      <c r="ZU17" s="125">
        <f>SUMIFS('Expenditure Breakdown'!$U$6:$U$174, 'Expenditure Breakdown'!$T$6:$T$174, "&gt;="&amp;ZU1,'Expenditure Breakdown'!$T$6:$T$174, "&lt;"&amp;ZV1)</f>
        <v>0</v>
      </c>
      <c r="ZV17" s="125">
        <f>SUMIFS('Expenditure Breakdown'!$U$6:$U$174, 'Expenditure Breakdown'!$T$6:$T$174, "&gt;="&amp;ZV1,'Expenditure Breakdown'!$T$6:$T$174, "&lt;"&amp;ZW1)</f>
        <v>0</v>
      </c>
      <c r="ZW17" s="125">
        <f>SUMIFS('Expenditure Breakdown'!$U$6:$U$174, 'Expenditure Breakdown'!$T$6:$T$174, "&gt;="&amp;ZW1,'Expenditure Breakdown'!$T$6:$T$174, "&lt;"&amp;ZX1)</f>
        <v>0</v>
      </c>
      <c r="ZX17" s="125">
        <f>SUMIFS('Expenditure Breakdown'!$U$6:$U$174, 'Expenditure Breakdown'!$T$6:$T$174, "&gt;="&amp;ZX1,'Expenditure Breakdown'!$T$6:$T$174, "&lt;"&amp;ZY1)</f>
        <v>0</v>
      </c>
      <c r="ZY17" s="125">
        <f>SUMIFS('Expenditure Breakdown'!$U$6:$U$174, 'Expenditure Breakdown'!$T$6:$T$174, "&gt;="&amp;ZY1,'Expenditure Breakdown'!$T$6:$T$174, "&lt;"&amp;ZZ1)</f>
        <v>0</v>
      </c>
      <c r="ZZ17" s="125">
        <f>SUMIFS('Expenditure Breakdown'!$U$6:$U$174, 'Expenditure Breakdown'!$T$6:$T$174, "&gt;="&amp;ZZ1,'Expenditure Breakdown'!$T$6:$T$174, "&lt;"&amp;AAA1)</f>
        <v>0</v>
      </c>
      <c r="AAA17" s="125">
        <f>SUMIFS('Expenditure Breakdown'!$U$6:$U$174, 'Expenditure Breakdown'!$T$6:$T$174, "&gt;="&amp;AAA1,'Expenditure Breakdown'!$T$6:$T$174, "&lt;"&amp;AAB1)</f>
        <v>0</v>
      </c>
      <c r="AAB17" s="125">
        <f>SUMIFS('Expenditure Breakdown'!$U$6:$U$174, 'Expenditure Breakdown'!$T$6:$T$174, "&gt;="&amp;AAB1,'Expenditure Breakdown'!$T$6:$T$174, "&lt;"&amp;AAC1)</f>
        <v>0</v>
      </c>
      <c r="AAC17" s="125">
        <f>SUMIFS('Expenditure Breakdown'!$U$6:$U$174, 'Expenditure Breakdown'!$T$6:$T$174, "&gt;="&amp;AAC1,'Expenditure Breakdown'!$T$6:$T$174, "&lt;"&amp;AAD1)</f>
        <v>0</v>
      </c>
      <c r="AAD17" s="125">
        <f>SUMIFS('Expenditure Breakdown'!$U$6:$U$174, 'Expenditure Breakdown'!$T$6:$T$174, "&gt;="&amp;AAD1,'Expenditure Breakdown'!$T$6:$T$174, "&lt;"&amp;AAE1)</f>
        <v>0</v>
      </c>
      <c r="AAE17" s="125">
        <f>SUMIFS('Expenditure Breakdown'!$U$6:$U$174, 'Expenditure Breakdown'!$T$6:$T$174, "&gt;="&amp;AAE1,'Expenditure Breakdown'!$T$6:$T$174, "&lt;"&amp;AAF1)</f>
        <v>0</v>
      </c>
      <c r="AAF17" s="125">
        <f>SUMIFS('Expenditure Breakdown'!$U$6:$U$174, 'Expenditure Breakdown'!$T$6:$T$174, "&gt;="&amp;AAF1,'Expenditure Breakdown'!$T$6:$T$174, "&lt;"&amp;AAG1)</f>
        <v>0</v>
      </c>
      <c r="AAG17" s="125">
        <f>SUMIFS('Expenditure Breakdown'!$U$6:$U$174, 'Expenditure Breakdown'!$T$6:$T$174, "&gt;="&amp;AAG1,'Expenditure Breakdown'!$T$6:$T$174, "&lt;"&amp;AAH1)</f>
        <v>0</v>
      </c>
      <c r="AAH17" s="125">
        <f>SUMIFS('Expenditure Breakdown'!$U$6:$U$174, 'Expenditure Breakdown'!$T$6:$T$174, "&gt;="&amp;AAH1,'Expenditure Breakdown'!$T$6:$T$174, "&lt;"&amp;AAI1)</f>
        <v>0</v>
      </c>
      <c r="AAI17" s="125">
        <f>SUMIFS('Expenditure Breakdown'!$U$6:$U$174, 'Expenditure Breakdown'!$T$6:$T$174, "&gt;="&amp;AAI1,'Expenditure Breakdown'!$T$6:$T$174, "&lt;"&amp;AAJ1)</f>
        <v>0</v>
      </c>
      <c r="AAJ17" s="125">
        <f>SUMIFS('Expenditure Breakdown'!$U$6:$U$174, 'Expenditure Breakdown'!$T$6:$T$174, "&gt;="&amp;AAJ1,'Expenditure Breakdown'!$T$6:$T$174, "&lt;"&amp;AAK1)</f>
        <v>0</v>
      </c>
      <c r="AAK17" s="125">
        <f>SUMIFS('Expenditure Breakdown'!$U$6:$U$174, 'Expenditure Breakdown'!$T$6:$T$174, "&gt;="&amp;AAK1,'Expenditure Breakdown'!$T$6:$T$174, "&lt;"&amp;AAL1)</f>
        <v>0</v>
      </c>
      <c r="AAL17" s="125">
        <f>SUMIFS('Expenditure Breakdown'!$U$6:$U$174, 'Expenditure Breakdown'!$T$6:$T$174, "&gt;="&amp;AAL1,'Expenditure Breakdown'!$T$6:$T$174, "&lt;"&amp;AAM1)</f>
        <v>0</v>
      </c>
      <c r="AAM17" s="125">
        <f>SUMIFS('Expenditure Breakdown'!$U$6:$U$174, 'Expenditure Breakdown'!$T$6:$T$174, "&gt;="&amp;AAM1,'Expenditure Breakdown'!$T$6:$T$174, "&lt;"&amp;AAN1)</f>
        <v>0</v>
      </c>
      <c r="AAN17" s="125">
        <f>SUMIFS('Expenditure Breakdown'!$U$6:$U$174, 'Expenditure Breakdown'!$T$6:$T$174, "&gt;="&amp;AAN1,'Expenditure Breakdown'!$T$6:$T$174, "&lt;"&amp;AAO1)</f>
        <v>0</v>
      </c>
      <c r="AAO17" s="125">
        <f>SUMIFS('Expenditure Breakdown'!$U$6:$U$174, 'Expenditure Breakdown'!$T$6:$T$174, "&gt;="&amp;AAO1,'Expenditure Breakdown'!$T$6:$T$174, "&lt;"&amp;AAP1)</f>
        <v>0</v>
      </c>
      <c r="AAP17" s="125">
        <f>SUMIFS('Expenditure Breakdown'!$U$6:$U$174, 'Expenditure Breakdown'!$T$6:$T$174, "&gt;="&amp;AAP1,'Expenditure Breakdown'!$T$6:$T$174, "&lt;"&amp;AAQ1)</f>
        <v>0</v>
      </c>
      <c r="AAQ17" s="125">
        <f>SUMIFS('Expenditure Breakdown'!$U$6:$U$174, 'Expenditure Breakdown'!$T$6:$T$174, "&gt;="&amp;AAQ1,'Expenditure Breakdown'!$T$6:$T$174, "&lt;"&amp;AAR1)</f>
        <v>0</v>
      </c>
      <c r="AAR17" s="125">
        <f>SUMIFS('Expenditure Breakdown'!$U$6:$U$174, 'Expenditure Breakdown'!$T$6:$T$174, "&gt;="&amp;AAR1,'Expenditure Breakdown'!$T$6:$T$174, "&lt;"&amp;AAS1)</f>
        <v>0</v>
      </c>
      <c r="AAS17" s="125">
        <f>SUMIFS('Expenditure Breakdown'!$U$6:$U$174, 'Expenditure Breakdown'!$T$6:$T$174, "&gt;="&amp;AAS1,'Expenditure Breakdown'!$T$6:$T$174, "&lt;"&amp;AAT1)</f>
        <v>0</v>
      </c>
      <c r="AAT17" s="125">
        <f>SUMIFS('Expenditure Breakdown'!$U$6:$U$174, 'Expenditure Breakdown'!$T$6:$T$174, "&gt;="&amp;AAT1,'Expenditure Breakdown'!$T$6:$T$174, "&lt;"&amp;AAU1)</f>
        <v>0</v>
      </c>
      <c r="AAU17" s="125">
        <f>SUMIFS('Expenditure Breakdown'!$U$6:$U$174, 'Expenditure Breakdown'!$T$6:$T$174, "&gt;="&amp;AAU1,'Expenditure Breakdown'!$T$6:$T$174, "&lt;"&amp;AAV1)</f>
        <v>0</v>
      </c>
      <c r="AAV17" s="125">
        <f>SUMIFS('Expenditure Breakdown'!$U$6:$U$174, 'Expenditure Breakdown'!$T$6:$T$174, "&gt;="&amp;AAV1,'Expenditure Breakdown'!$T$6:$T$174, "&lt;"&amp;AAW1)</f>
        <v>0</v>
      </c>
      <c r="AAW17" s="125">
        <f>SUMIFS('Expenditure Breakdown'!$U$6:$U$174, 'Expenditure Breakdown'!$T$6:$T$174, "&gt;="&amp;AAW1,'Expenditure Breakdown'!$T$6:$T$174, "&lt;"&amp;AAX1)</f>
        <v>0</v>
      </c>
      <c r="AAX17" s="125">
        <f>SUMIFS('Expenditure Breakdown'!$U$6:$U$174, 'Expenditure Breakdown'!$T$6:$T$174, "&gt;="&amp;AAX1,'Expenditure Breakdown'!$T$6:$T$174, "&lt;"&amp;AAY1)</f>
        <v>0</v>
      </c>
      <c r="AAY17" s="125">
        <f>SUMIFS('Expenditure Breakdown'!$U$6:$U$174, 'Expenditure Breakdown'!$T$6:$T$174, "&gt;="&amp;AAY1,'Expenditure Breakdown'!$T$6:$T$174, "&lt;"&amp;AAZ1)</f>
        <v>0</v>
      </c>
      <c r="AAZ17" s="125">
        <f>SUMIFS('Expenditure Breakdown'!$U$6:$U$174, 'Expenditure Breakdown'!$T$6:$T$174, "&gt;="&amp;AAZ1,'Expenditure Breakdown'!$T$6:$T$174, "&lt;"&amp;ABA1)</f>
        <v>0</v>
      </c>
      <c r="ABA17" s="125">
        <f>SUMIFS('Expenditure Breakdown'!$U$6:$U$174, 'Expenditure Breakdown'!$T$6:$T$174, "&gt;="&amp;ABA1,'Expenditure Breakdown'!$T$6:$T$174, "&lt;"&amp;ABB1)</f>
        <v>0</v>
      </c>
      <c r="ABB17" s="125">
        <f>SUMIFS('Expenditure Breakdown'!$U$6:$U$174, 'Expenditure Breakdown'!$T$6:$T$174, "&gt;="&amp;ABB1,'Expenditure Breakdown'!$T$6:$T$174, "&lt;"&amp;ABC1)</f>
        <v>0</v>
      </c>
      <c r="ABC17" s="125">
        <f>SUMIFS('Expenditure Breakdown'!$U$6:$U$174, 'Expenditure Breakdown'!$T$6:$T$174, "&gt;="&amp;ABC1,'Expenditure Breakdown'!$T$6:$T$174, "&lt;"&amp;ABD1)</f>
        <v>0</v>
      </c>
      <c r="ABD17" s="125">
        <f>SUMIFS('Expenditure Breakdown'!$U$6:$U$174, 'Expenditure Breakdown'!$T$6:$T$174, "&gt;="&amp;ABD1,'Expenditure Breakdown'!$T$6:$T$174, "&lt;"&amp;ABE1)</f>
        <v>0</v>
      </c>
      <c r="ABE17" s="125">
        <f>SUMIFS('Expenditure Breakdown'!$U$6:$U$174, 'Expenditure Breakdown'!$T$6:$T$174, "&gt;="&amp;ABE1,'Expenditure Breakdown'!$T$6:$T$174, "&lt;"&amp;ABF1)</f>
        <v>0</v>
      </c>
      <c r="ABF17" s="125">
        <f>SUMIFS('Expenditure Breakdown'!$U$6:$U$174, 'Expenditure Breakdown'!$T$6:$T$174, "&gt;="&amp;ABF1,'Expenditure Breakdown'!$T$6:$T$174, "&lt;"&amp;ABG1)</f>
        <v>0</v>
      </c>
      <c r="ABG17" s="125">
        <f>SUMIFS('Expenditure Breakdown'!$U$6:$U$174, 'Expenditure Breakdown'!$T$6:$T$174, "&gt;="&amp;ABG1,'Expenditure Breakdown'!$T$6:$T$174, "&lt;"&amp;ABH1)</f>
        <v>0</v>
      </c>
      <c r="ABH17" s="125">
        <f>SUMIFS('Expenditure Breakdown'!$U$6:$U$174, 'Expenditure Breakdown'!$T$6:$T$174, "&gt;="&amp;ABH1,'Expenditure Breakdown'!$T$6:$T$174, "&lt;"&amp;ABI1)</f>
        <v>0</v>
      </c>
      <c r="ABI17" s="125">
        <f>SUMIFS('Expenditure Breakdown'!$U$6:$U$174, 'Expenditure Breakdown'!$T$6:$T$174, "&gt;="&amp;ABI1,'Expenditure Breakdown'!$T$6:$T$174, "&lt;"&amp;ABJ1)</f>
        <v>0</v>
      </c>
      <c r="ABJ17" s="125">
        <f>SUMIFS('Expenditure Breakdown'!$U$6:$U$174, 'Expenditure Breakdown'!$T$6:$T$174, "&gt;="&amp;ABJ1,'Expenditure Breakdown'!$T$6:$T$174, "&lt;"&amp;ABK1)</f>
        <v>0</v>
      </c>
      <c r="ABK17" s="125">
        <f>SUMIFS('Expenditure Breakdown'!$U$6:$U$174, 'Expenditure Breakdown'!$T$6:$T$174, "&gt;="&amp;ABK1,'Expenditure Breakdown'!$T$6:$T$174, "&lt;"&amp;ABL1)</f>
        <v>0</v>
      </c>
      <c r="ABL17" s="125">
        <f>SUMIFS('Expenditure Breakdown'!$U$6:$U$174, 'Expenditure Breakdown'!$T$6:$T$174, "&gt;="&amp;ABL1,'Expenditure Breakdown'!$T$6:$T$174, "&lt;"&amp;ABM1)</f>
        <v>0</v>
      </c>
      <c r="ABM17" s="125">
        <f>SUMIFS('Expenditure Breakdown'!$U$6:$U$174, 'Expenditure Breakdown'!$T$6:$T$174, "&gt;="&amp;ABM1,'Expenditure Breakdown'!$T$6:$T$174, "&lt;"&amp;ABN1)</f>
        <v>0</v>
      </c>
      <c r="ABN17" s="125">
        <f>SUMIFS('Expenditure Breakdown'!$U$6:$U$174, 'Expenditure Breakdown'!$T$6:$T$174, "&gt;="&amp;ABN1,'Expenditure Breakdown'!$T$6:$T$174, "&lt;"&amp;ABO1)</f>
        <v>0</v>
      </c>
      <c r="ABO17" s="125">
        <f>SUMIFS('Expenditure Breakdown'!$U$6:$U$174, 'Expenditure Breakdown'!$T$6:$T$174, "&gt;="&amp;ABO1,'Expenditure Breakdown'!$T$6:$T$174, "&lt;"&amp;ABP1)</f>
        <v>0</v>
      </c>
      <c r="ABP17" s="125">
        <f>SUMIFS('Expenditure Breakdown'!$U$6:$U$174, 'Expenditure Breakdown'!$T$6:$T$174, "&gt;="&amp;ABP1,'Expenditure Breakdown'!$T$6:$T$174, "&lt;"&amp;ABQ1)</f>
        <v>0</v>
      </c>
      <c r="ABQ17" s="125">
        <f>SUMIFS('Expenditure Breakdown'!$U$6:$U$174, 'Expenditure Breakdown'!$T$6:$T$174, "&gt;="&amp;ABQ1,'Expenditure Breakdown'!$T$6:$T$174, "&lt;"&amp;ABR1)</f>
        <v>0</v>
      </c>
      <c r="ABR17" s="125">
        <f>SUMIFS('Expenditure Breakdown'!$U$6:$U$174, 'Expenditure Breakdown'!$T$6:$T$174, "&gt;="&amp;ABR1,'Expenditure Breakdown'!$T$6:$T$174, "&lt;"&amp;ABS1)</f>
        <v>0</v>
      </c>
      <c r="ABS17" s="125">
        <f>SUMIFS('Expenditure Breakdown'!$U$6:$U$174, 'Expenditure Breakdown'!$T$6:$T$174, "&gt;="&amp;ABS1,'Expenditure Breakdown'!$T$6:$T$174, "&lt;"&amp;ABT1)</f>
        <v>0</v>
      </c>
      <c r="ABT17" s="125">
        <f>SUMIFS('Expenditure Breakdown'!$U$6:$U$174, 'Expenditure Breakdown'!$T$6:$T$174, "&gt;="&amp;ABT1,'Expenditure Breakdown'!$T$6:$T$174, "&lt;"&amp;ABU1)</f>
        <v>0</v>
      </c>
      <c r="ABU17" s="125">
        <f>SUMIFS('Expenditure Breakdown'!$U$6:$U$174, 'Expenditure Breakdown'!$T$6:$T$174, "&gt;="&amp;ABU1,'Expenditure Breakdown'!$T$6:$T$174, "&lt;"&amp;ABV1)</f>
        <v>0</v>
      </c>
      <c r="ABV17" s="125">
        <f>SUMIFS('Expenditure Breakdown'!$U$6:$U$174, 'Expenditure Breakdown'!$T$6:$T$174, "&gt;="&amp;ABV1,'Expenditure Breakdown'!$T$6:$T$174, "&lt;"&amp;ABW1)</f>
        <v>0</v>
      </c>
      <c r="ABW17" s="125">
        <f>SUMIFS('Expenditure Breakdown'!$U$6:$U$174, 'Expenditure Breakdown'!$T$6:$T$174, "&gt;="&amp;ABW1,'Expenditure Breakdown'!$T$6:$T$174, "&lt;"&amp;ABX1)</f>
        <v>0</v>
      </c>
      <c r="ABX17" s="125">
        <f>SUMIFS('Expenditure Breakdown'!$U$6:$U$174, 'Expenditure Breakdown'!$T$6:$T$174, "&gt;="&amp;ABX1,'Expenditure Breakdown'!$T$6:$T$174, "&lt;"&amp;ABY1)</f>
        <v>0</v>
      </c>
      <c r="ABY17" s="125">
        <f>SUMIFS('Expenditure Breakdown'!$U$6:$U$174, 'Expenditure Breakdown'!$T$6:$T$174, "&gt;="&amp;ABY1,'Expenditure Breakdown'!$T$6:$T$174, "&lt;"&amp;ABZ1)</f>
        <v>0</v>
      </c>
      <c r="ABZ17" s="125">
        <f>SUMIFS('Expenditure Breakdown'!$U$6:$U$174, 'Expenditure Breakdown'!$T$6:$T$174, "&gt;="&amp;ABZ1,'Expenditure Breakdown'!$T$6:$T$174, "&lt;"&amp;ACA1)</f>
        <v>0</v>
      </c>
      <c r="ACA17" s="125">
        <f>SUMIFS('Expenditure Breakdown'!$U$6:$U$174, 'Expenditure Breakdown'!$T$6:$T$174, "&gt;="&amp;ACA1,'Expenditure Breakdown'!$T$6:$T$174, "&lt;"&amp;ACB1)</f>
        <v>0</v>
      </c>
      <c r="ACB17" s="125">
        <f>SUMIFS('Expenditure Breakdown'!$U$6:$U$174, 'Expenditure Breakdown'!$T$6:$T$174, "&gt;="&amp;ACB1,'Expenditure Breakdown'!$T$6:$T$174, "&lt;"&amp;ACC1)</f>
        <v>0</v>
      </c>
      <c r="ACC17" s="125">
        <f>SUMIFS('Expenditure Breakdown'!$U$6:$U$174, 'Expenditure Breakdown'!$T$6:$T$174, "&gt;="&amp;ACC1,'Expenditure Breakdown'!$T$6:$T$174, "&lt;"&amp;ACD1)</f>
        <v>0</v>
      </c>
      <c r="ACD17" s="125">
        <f>SUMIFS('Expenditure Breakdown'!$U$6:$U$174, 'Expenditure Breakdown'!$T$6:$T$174, "&gt;="&amp;ACD1,'Expenditure Breakdown'!$T$6:$T$174, "&lt;"&amp;ACE1)</f>
        <v>0</v>
      </c>
      <c r="ACE17" s="125">
        <f>SUMIFS('Expenditure Breakdown'!$U$6:$U$174, 'Expenditure Breakdown'!$T$6:$T$174, "&gt;="&amp;ACE1,'Expenditure Breakdown'!$T$6:$T$174, "&lt;"&amp;ACF1)</f>
        <v>0</v>
      </c>
      <c r="ACF17" s="125">
        <f>SUMIFS('Expenditure Breakdown'!$U$6:$U$174, 'Expenditure Breakdown'!$T$6:$T$174, "&gt;="&amp;ACF1,'Expenditure Breakdown'!$T$6:$T$174, "&lt;"&amp;ACG1)</f>
        <v>0</v>
      </c>
      <c r="ACG17" s="125">
        <f>SUMIFS('Expenditure Breakdown'!$U$6:$U$174, 'Expenditure Breakdown'!$T$6:$T$174, "&gt;="&amp;ACG1,'Expenditure Breakdown'!$T$6:$T$174, "&lt;"&amp;ACH1)</f>
        <v>0</v>
      </c>
      <c r="ACH17" s="125">
        <f>SUMIFS('Expenditure Breakdown'!$U$6:$U$174, 'Expenditure Breakdown'!$T$6:$T$174, "&gt;="&amp;ACH1,'Expenditure Breakdown'!$T$6:$T$174, "&lt;"&amp;ACI1)</f>
        <v>0</v>
      </c>
      <c r="ACI17" s="125">
        <f>SUMIFS('Expenditure Breakdown'!$U$6:$U$174, 'Expenditure Breakdown'!$T$6:$T$174, "&gt;="&amp;ACI1,'Expenditure Breakdown'!$T$6:$T$174, "&lt;"&amp;ACJ1)</f>
        <v>0</v>
      </c>
      <c r="ACJ17" s="125">
        <f>SUMIFS('Expenditure Breakdown'!$U$6:$U$174, 'Expenditure Breakdown'!$T$6:$T$174, "&gt;="&amp;ACJ1,'Expenditure Breakdown'!$T$6:$T$174, "&lt;"&amp;ACK1)</f>
        <v>0</v>
      </c>
      <c r="ACK17" s="125">
        <f>SUMIFS('Expenditure Breakdown'!$U$6:$U$174, 'Expenditure Breakdown'!$T$6:$T$174, "&gt;="&amp;ACK1,'Expenditure Breakdown'!$T$6:$T$174, "&lt;"&amp;ACL1)</f>
        <v>0</v>
      </c>
      <c r="ACL17" s="125">
        <f>SUMIFS('Expenditure Breakdown'!$U$6:$U$174, 'Expenditure Breakdown'!$T$6:$T$174, "&gt;="&amp;ACL1,'Expenditure Breakdown'!$T$6:$T$174, "&lt;"&amp;ACM1)</f>
        <v>0</v>
      </c>
      <c r="ACM17" s="125">
        <f>SUMIFS('Expenditure Breakdown'!$U$6:$U$174, 'Expenditure Breakdown'!$T$6:$T$174, "&gt;="&amp;ACM1,'Expenditure Breakdown'!$T$6:$T$174, "&lt;"&amp;ACN1)</f>
        <v>0</v>
      </c>
      <c r="ACN17" s="125">
        <f>SUMIFS('Expenditure Breakdown'!$U$6:$U$174, 'Expenditure Breakdown'!$T$6:$T$174, "&gt;="&amp;ACN1,'Expenditure Breakdown'!$T$6:$T$174, "&lt;"&amp;ACO1)</f>
        <v>0</v>
      </c>
      <c r="ACO17" s="125">
        <f>SUMIFS('Expenditure Breakdown'!$U$6:$U$174, 'Expenditure Breakdown'!$T$6:$T$174, "&gt;="&amp;ACO1,'Expenditure Breakdown'!$T$6:$T$174, "&lt;"&amp;ACP1)</f>
        <v>0</v>
      </c>
      <c r="ACP17" s="125">
        <f>SUMIFS('Expenditure Breakdown'!$U$6:$U$174, 'Expenditure Breakdown'!$T$6:$T$174, "&gt;="&amp;ACP1,'Expenditure Breakdown'!$T$6:$T$174, "&lt;"&amp;ACQ1)</f>
        <v>0</v>
      </c>
      <c r="ACQ17" s="125">
        <f>SUMIFS('Expenditure Breakdown'!$U$6:$U$174, 'Expenditure Breakdown'!$T$6:$T$174, "&gt;="&amp;ACQ1,'Expenditure Breakdown'!$T$6:$T$174, "&lt;"&amp;ACR1)</f>
        <v>0</v>
      </c>
      <c r="ACR17" s="125">
        <f>SUMIFS('Expenditure Breakdown'!$U$6:$U$174, 'Expenditure Breakdown'!$T$6:$T$174, "&gt;="&amp;ACR1,'Expenditure Breakdown'!$T$6:$T$174, "&lt;"&amp;ACS1)</f>
        <v>0</v>
      </c>
      <c r="ACS17" s="125">
        <f>SUMIFS('Expenditure Breakdown'!$U$6:$U$174, 'Expenditure Breakdown'!$T$6:$T$174, "&gt;="&amp;ACS1,'Expenditure Breakdown'!$T$6:$T$174, "&lt;"&amp;ACT1)</f>
        <v>0</v>
      </c>
      <c r="ACT17" s="125">
        <f>SUMIFS('Expenditure Breakdown'!$U$6:$U$174, 'Expenditure Breakdown'!$T$6:$T$174, "&gt;="&amp;ACT1,'Expenditure Breakdown'!$T$6:$T$174, "&lt;"&amp;ACU1)</f>
        <v>0</v>
      </c>
      <c r="ACU17" s="125">
        <f>SUMIFS('Expenditure Breakdown'!$U$6:$U$174, 'Expenditure Breakdown'!$T$6:$T$174, "&gt;="&amp;ACU1,'Expenditure Breakdown'!$T$6:$T$174, "&lt;"&amp;ACV1)</f>
        <v>0</v>
      </c>
      <c r="ACV17" s="125">
        <f>SUMIFS('Expenditure Breakdown'!$U$6:$U$174, 'Expenditure Breakdown'!$T$6:$T$174, "&gt;="&amp;ACV1,'Expenditure Breakdown'!$T$6:$T$174, "&lt;"&amp;ACW1)</f>
        <v>0</v>
      </c>
      <c r="ACW17" s="125">
        <f>SUMIFS('Expenditure Breakdown'!$U$6:$U$174, 'Expenditure Breakdown'!$T$6:$T$174, "&gt;="&amp;ACW1,'Expenditure Breakdown'!$T$6:$T$174, "&lt;"&amp;ACX1)</f>
        <v>0</v>
      </c>
      <c r="ACX17" s="125">
        <f>SUMIFS('Expenditure Breakdown'!$U$6:$U$174, 'Expenditure Breakdown'!$T$6:$T$174, "&gt;="&amp;ACX1,'Expenditure Breakdown'!$T$6:$T$174, "&lt;"&amp;ACY1)</f>
        <v>0</v>
      </c>
      <c r="ACY17" s="125">
        <f>SUMIFS('Expenditure Breakdown'!$U$6:$U$174, 'Expenditure Breakdown'!$T$6:$T$174, "&gt;="&amp;ACY1,'Expenditure Breakdown'!$T$6:$T$174, "&lt;"&amp;ACZ1)</f>
        <v>0</v>
      </c>
      <c r="ACZ17" s="125">
        <f>SUMIFS('Expenditure Breakdown'!$U$6:$U$174, 'Expenditure Breakdown'!$T$6:$T$174, "&gt;="&amp;ACZ1,'Expenditure Breakdown'!$T$6:$T$174, "&lt;"&amp;ADA1)</f>
        <v>0</v>
      </c>
      <c r="ADA17" s="125">
        <f>SUMIFS('Expenditure Breakdown'!$U$6:$U$174, 'Expenditure Breakdown'!$T$6:$T$174, "&gt;="&amp;ADA1,'Expenditure Breakdown'!$T$6:$T$174, "&lt;"&amp;ADB1)</f>
        <v>0</v>
      </c>
      <c r="ADB17" s="125">
        <f>SUMIFS('Expenditure Breakdown'!$U$6:$U$174, 'Expenditure Breakdown'!$T$6:$T$174, "&gt;="&amp;ADB1,'Expenditure Breakdown'!$T$6:$T$174, "&lt;"&amp;ADC1)</f>
        <v>0</v>
      </c>
      <c r="ADC17" s="125">
        <f>SUMIFS('Expenditure Breakdown'!$U$6:$U$174, 'Expenditure Breakdown'!$T$6:$T$174, "&gt;="&amp;ADC1,'Expenditure Breakdown'!$T$6:$T$174, "&lt;"&amp;ADD1)</f>
        <v>0</v>
      </c>
      <c r="ADD17" s="125">
        <f>SUMIFS('Expenditure Breakdown'!$U$6:$U$174, 'Expenditure Breakdown'!$T$6:$T$174, "&gt;="&amp;ADD1,'Expenditure Breakdown'!$T$6:$T$174, "&lt;"&amp;ADE1)</f>
        <v>0</v>
      </c>
      <c r="ADE17" s="125">
        <f>SUMIFS('Expenditure Breakdown'!$U$6:$U$174, 'Expenditure Breakdown'!$T$6:$T$174, "&gt;="&amp;ADE1,'Expenditure Breakdown'!$T$6:$T$174, "&lt;"&amp;ADF1)</f>
        <v>0</v>
      </c>
      <c r="ADF17" s="125">
        <f>SUMIFS('Expenditure Breakdown'!$U$6:$U$174, 'Expenditure Breakdown'!$T$6:$T$174, "&gt;="&amp;ADF1,'Expenditure Breakdown'!$T$6:$T$174, "&lt;"&amp;ADG1)</f>
        <v>0</v>
      </c>
      <c r="ADG17" s="125">
        <f>SUMIFS('Expenditure Breakdown'!$U$6:$U$174, 'Expenditure Breakdown'!$T$6:$T$174, "&gt;="&amp;ADG1,'Expenditure Breakdown'!$T$6:$T$174, "&lt;"&amp;ADH1)</f>
        <v>0</v>
      </c>
      <c r="ADH17" s="125">
        <f>SUMIFS('Expenditure Breakdown'!$U$6:$U$174, 'Expenditure Breakdown'!$T$6:$T$174, "&gt;="&amp;ADH1,'Expenditure Breakdown'!$T$6:$T$174, "&lt;"&amp;ADI1)</f>
        <v>0</v>
      </c>
      <c r="ADI17" s="125">
        <f>SUMIFS('Expenditure Breakdown'!$U$6:$U$174, 'Expenditure Breakdown'!$T$6:$T$174, "&gt;="&amp;ADI1,'Expenditure Breakdown'!$T$6:$T$174, "&lt;"&amp;ADJ1)</f>
        <v>0</v>
      </c>
      <c r="ADJ17" s="125">
        <f>SUMIFS('Expenditure Breakdown'!$U$6:$U$174, 'Expenditure Breakdown'!$T$6:$T$174, "&gt;="&amp;ADJ1,'Expenditure Breakdown'!$T$6:$T$174, "&lt;"&amp;ADK1)</f>
        <v>0</v>
      </c>
      <c r="ADK17" s="125">
        <f>SUMIFS('Expenditure Breakdown'!$U$6:$U$174, 'Expenditure Breakdown'!$T$6:$T$174, "&gt;="&amp;ADK1,'Expenditure Breakdown'!$T$6:$T$174, "&lt;"&amp;ADL1)</f>
        <v>0</v>
      </c>
      <c r="ADL17" s="125">
        <f>SUMIFS('Expenditure Breakdown'!$U$6:$U$174, 'Expenditure Breakdown'!$T$6:$T$174, "&gt;="&amp;ADL1,'Expenditure Breakdown'!$T$6:$T$174, "&lt;"&amp;ADM1)</f>
        <v>0</v>
      </c>
      <c r="ADM17" s="125">
        <f>SUMIFS('Expenditure Breakdown'!$U$6:$U$174, 'Expenditure Breakdown'!$T$6:$T$174, "&gt;="&amp;ADM1,'Expenditure Breakdown'!$T$6:$T$174, "&lt;"&amp;ADN1)</f>
        <v>0</v>
      </c>
      <c r="ADN17" s="125">
        <f>SUMIFS('Expenditure Breakdown'!$U$6:$U$174, 'Expenditure Breakdown'!$T$6:$T$174, "&gt;="&amp;ADN1,'Expenditure Breakdown'!$T$6:$T$174, "&lt;"&amp;ADO1)</f>
        <v>0</v>
      </c>
      <c r="ADO17" s="125">
        <f>SUMIFS('Expenditure Breakdown'!$U$6:$U$174, 'Expenditure Breakdown'!$T$6:$T$174, "&gt;="&amp;ADO1,'Expenditure Breakdown'!$T$6:$T$174, "&lt;"&amp;ADP1)</f>
        <v>0</v>
      </c>
      <c r="ADP17" s="125">
        <f>SUMIFS('Expenditure Breakdown'!$U$6:$U$174, 'Expenditure Breakdown'!$T$6:$T$174, "&gt;="&amp;ADP1,'Expenditure Breakdown'!$T$6:$T$174, "&lt;"&amp;ADQ1)</f>
        <v>0</v>
      </c>
      <c r="ADQ17" s="125">
        <f>SUMIFS('Expenditure Breakdown'!$U$6:$U$174, 'Expenditure Breakdown'!$T$6:$T$174, "&gt;="&amp;ADQ1,'Expenditure Breakdown'!$T$6:$T$174, "&lt;"&amp;ADR1)</f>
        <v>0</v>
      </c>
      <c r="ADR17" s="125">
        <f>SUMIFS('Expenditure Breakdown'!$U$6:$U$174, 'Expenditure Breakdown'!$T$6:$T$174, "&gt;="&amp;ADR1,'Expenditure Breakdown'!$T$6:$T$174, "&lt;"&amp;ADS1)</f>
        <v>0</v>
      </c>
      <c r="ADS17" s="125">
        <f>SUMIFS('Expenditure Breakdown'!$U$6:$U$174, 'Expenditure Breakdown'!$T$6:$T$174, "&gt;="&amp;ADS1,'Expenditure Breakdown'!$T$6:$T$174, "&lt;"&amp;ADT1)</f>
        <v>0</v>
      </c>
      <c r="ADT17" s="125">
        <f>SUMIFS('Expenditure Breakdown'!$U$6:$U$174, 'Expenditure Breakdown'!$T$6:$T$174, "&gt;="&amp;ADT1,'Expenditure Breakdown'!$T$6:$T$174, "&lt;"&amp;ADU1)</f>
        <v>0</v>
      </c>
      <c r="ADU17" s="125">
        <f>SUMIFS('Expenditure Breakdown'!$U$6:$U$174, 'Expenditure Breakdown'!$T$6:$T$174, "&gt;="&amp;ADU1,'Expenditure Breakdown'!$T$6:$T$174, "&lt;"&amp;ADV1)</f>
        <v>0</v>
      </c>
      <c r="ADV17" s="125">
        <f>SUMIFS('Expenditure Breakdown'!$U$6:$U$174, 'Expenditure Breakdown'!$T$6:$T$174, "&gt;="&amp;ADV1,'Expenditure Breakdown'!$T$6:$T$174, "&lt;"&amp;ADW1)</f>
        <v>0</v>
      </c>
      <c r="ADW17" s="125">
        <f>SUMIFS('Expenditure Breakdown'!$U$6:$U$174, 'Expenditure Breakdown'!$T$6:$T$174, "&gt;="&amp;ADW1,'Expenditure Breakdown'!$T$6:$T$174, "&lt;"&amp;ADX1)</f>
        <v>0</v>
      </c>
      <c r="ADX17" s="125">
        <f>SUMIFS('Expenditure Breakdown'!$U$6:$U$174, 'Expenditure Breakdown'!$T$6:$T$174, "&gt;="&amp;ADX1,'Expenditure Breakdown'!$T$6:$T$174, "&lt;"&amp;ADY1)</f>
        <v>0</v>
      </c>
      <c r="ADY17" s="125">
        <f>SUMIFS('Expenditure Breakdown'!$U$6:$U$174, 'Expenditure Breakdown'!$T$6:$T$174, "&gt;="&amp;ADY1,'Expenditure Breakdown'!$T$6:$T$174, "&lt;"&amp;ADZ1)</f>
        <v>0</v>
      </c>
      <c r="ADZ17" s="125">
        <f>SUMIFS('Expenditure Breakdown'!$U$6:$U$174, 'Expenditure Breakdown'!$T$6:$T$174, "&gt;="&amp;ADZ1,'Expenditure Breakdown'!$T$6:$T$174, "&lt;"&amp;AEA1)</f>
        <v>0</v>
      </c>
      <c r="AEA17" s="125">
        <f>SUMIFS('Expenditure Breakdown'!$U$6:$U$174, 'Expenditure Breakdown'!$T$6:$T$174, "&gt;="&amp;AEA1,'Expenditure Breakdown'!$T$6:$T$174, "&lt;"&amp;AEB1)</f>
        <v>0</v>
      </c>
      <c r="AEB17" s="125">
        <f>SUMIFS('Expenditure Breakdown'!$U$6:$U$174, 'Expenditure Breakdown'!$T$6:$T$174, "&gt;="&amp;AEB1,'Expenditure Breakdown'!$T$6:$T$174, "&lt;"&amp;AEC1)</f>
        <v>0</v>
      </c>
      <c r="AEC17" s="125">
        <f>SUMIFS('Expenditure Breakdown'!$U$6:$U$174, 'Expenditure Breakdown'!$T$6:$T$174, "&gt;="&amp;AEC1,'Expenditure Breakdown'!$T$6:$T$174, "&lt;"&amp;AED1)</f>
        <v>0</v>
      </c>
      <c r="AED17" s="125">
        <f>SUMIFS('Expenditure Breakdown'!$U$6:$U$174, 'Expenditure Breakdown'!$T$6:$T$174, "&gt;="&amp;AED1,'Expenditure Breakdown'!$T$6:$T$174, "&lt;"&amp;AEE1)</f>
        <v>0</v>
      </c>
      <c r="AEE17" s="125">
        <f>SUMIFS('Expenditure Breakdown'!$U$6:$U$174, 'Expenditure Breakdown'!$T$6:$T$174, "&gt;="&amp;AEE1,'Expenditure Breakdown'!$T$6:$T$174, "&lt;"&amp;AEF1)</f>
        <v>0</v>
      </c>
      <c r="AEF17" s="125">
        <f>SUMIFS('Expenditure Breakdown'!$U$6:$U$174, 'Expenditure Breakdown'!$T$6:$T$174, "&gt;="&amp;AEF1,'Expenditure Breakdown'!$T$6:$T$174, "&lt;"&amp;AEG1)</f>
        <v>0</v>
      </c>
      <c r="AEG17" s="125">
        <f>SUMIFS('Expenditure Breakdown'!$U$6:$U$174, 'Expenditure Breakdown'!$T$6:$T$174, "&gt;="&amp;AEG1,'Expenditure Breakdown'!$T$6:$T$174, "&lt;"&amp;AEH1)</f>
        <v>0</v>
      </c>
      <c r="AEH17" s="125">
        <f>SUMIFS('Expenditure Breakdown'!$U$6:$U$174, 'Expenditure Breakdown'!$T$6:$T$174, "&gt;="&amp;AEH1,'Expenditure Breakdown'!$T$6:$T$174, "&lt;"&amp;AEI1)</f>
        <v>0</v>
      </c>
      <c r="AEI17" s="125">
        <f>SUMIFS('Expenditure Breakdown'!$U$6:$U$174, 'Expenditure Breakdown'!$T$6:$T$174, "&gt;="&amp;AEI1,'Expenditure Breakdown'!$T$6:$T$174, "&lt;"&amp;AEJ1)</f>
        <v>0</v>
      </c>
      <c r="AEJ17" s="125">
        <f>SUMIFS('Expenditure Breakdown'!$U$6:$U$174, 'Expenditure Breakdown'!$T$6:$T$174, "&gt;="&amp;AEJ1,'Expenditure Breakdown'!$T$6:$T$174, "&lt;"&amp;AEK1)</f>
        <v>0</v>
      </c>
      <c r="AEK17" s="125">
        <f>SUMIFS('Expenditure Breakdown'!$U$6:$U$174, 'Expenditure Breakdown'!$T$6:$T$174, "&gt;="&amp;AEK1,'Expenditure Breakdown'!$T$6:$T$174, "&lt;"&amp;AEL1)</f>
        <v>0</v>
      </c>
      <c r="AEL17" s="125">
        <f>SUMIFS('Expenditure Breakdown'!$U$6:$U$174, 'Expenditure Breakdown'!$T$6:$T$174, "&gt;="&amp;AEL1,'Expenditure Breakdown'!$T$6:$T$174, "&lt;"&amp;AEM1)</f>
        <v>0</v>
      </c>
      <c r="AEM17" s="125">
        <f>SUMIFS('Expenditure Breakdown'!$U$6:$U$174, 'Expenditure Breakdown'!$T$6:$T$174, "&gt;="&amp;AEM1,'Expenditure Breakdown'!$T$6:$T$174, "&lt;"&amp;AEN1)</f>
        <v>0</v>
      </c>
      <c r="AEN17" s="125">
        <f>SUMIFS('Expenditure Breakdown'!$U$6:$U$174, 'Expenditure Breakdown'!$T$6:$T$174, "&gt;="&amp;AEN1,'Expenditure Breakdown'!$T$6:$T$174, "&lt;"&amp;AEO1)</f>
        <v>0</v>
      </c>
      <c r="AEO17" s="125">
        <f>SUMIFS('Expenditure Breakdown'!$U$6:$U$174, 'Expenditure Breakdown'!$T$6:$T$174, "&gt;="&amp;AEO1,'Expenditure Breakdown'!$T$6:$T$174, "&lt;"&amp;AEP1)</f>
        <v>0</v>
      </c>
      <c r="AEP17" s="125">
        <f>SUMIFS('Expenditure Breakdown'!$U$6:$U$174, 'Expenditure Breakdown'!$T$6:$T$174, "&gt;="&amp;AEP1,'Expenditure Breakdown'!$T$6:$T$174, "&lt;"&amp;AEQ1)</f>
        <v>0</v>
      </c>
      <c r="AEQ17" s="125">
        <f>SUMIFS('Expenditure Breakdown'!$U$6:$U$174, 'Expenditure Breakdown'!$T$6:$T$174, "&gt;="&amp;AEQ1,'Expenditure Breakdown'!$T$6:$T$174, "&lt;"&amp;AER1)</f>
        <v>0</v>
      </c>
      <c r="AER17" s="125">
        <f>SUMIFS('Expenditure Breakdown'!$U$6:$U$174, 'Expenditure Breakdown'!$T$6:$T$174, "&gt;="&amp;AER1,'Expenditure Breakdown'!$T$6:$T$174, "&lt;"&amp;AES1)</f>
        <v>0</v>
      </c>
      <c r="AES17" s="125">
        <f>SUMIFS('Expenditure Breakdown'!$U$6:$U$174, 'Expenditure Breakdown'!$T$6:$T$174, "&gt;="&amp;AES1,'Expenditure Breakdown'!$T$6:$T$174, "&lt;"&amp;AET1)</f>
        <v>0</v>
      </c>
      <c r="AET17" s="125">
        <f>SUMIFS('Expenditure Breakdown'!$U$6:$U$174, 'Expenditure Breakdown'!$T$6:$T$174, "&gt;="&amp;AET1,'Expenditure Breakdown'!$T$6:$T$174, "&lt;"&amp;AEU1)</f>
        <v>0</v>
      </c>
      <c r="AEU17" s="125">
        <f>SUMIFS('Expenditure Breakdown'!$U$6:$U$174, 'Expenditure Breakdown'!$T$6:$T$174, "&gt;="&amp;AEU1,'Expenditure Breakdown'!$T$6:$T$174, "&lt;"&amp;AEV1)</f>
        <v>0</v>
      </c>
      <c r="AEV17" s="125">
        <f>SUMIFS('Expenditure Breakdown'!$U$6:$U$174, 'Expenditure Breakdown'!$T$6:$T$174, "&gt;="&amp;AEV1,'Expenditure Breakdown'!$T$6:$T$174, "&lt;"&amp;AEW1)</f>
        <v>0</v>
      </c>
      <c r="AEW17" s="125">
        <f>SUMIFS('Expenditure Breakdown'!$U$6:$U$174, 'Expenditure Breakdown'!$T$6:$T$174, "&gt;="&amp;AEW1,'Expenditure Breakdown'!$T$6:$T$174, "&lt;"&amp;AEX1)</f>
        <v>0</v>
      </c>
      <c r="AEX17" s="125">
        <f>SUMIFS('Expenditure Breakdown'!$U$6:$U$174, 'Expenditure Breakdown'!$T$6:$T$174, "&gt;="&amp;AEX1,'Expenditure Breakdown'!$T$6:$T$174, "&lt;"&amp;AEY1)</f>
        <v>0</v>
      </c>
      <c r="AEY17" s="125">
        <f>SUMIFS('Expenditure Breakdown'!$U$6:$U$174, 'Expenditure Breakdown'!$T$6:$T$174, "&gt;="&amp;AEY1,'Expenditure Breakdown'!$T$6:$T$174, "&lt;"&amp;AEZ1)</f>
        <v>0</v>
      </c>
      <c r="AEZ17" s="125">
        <f>SUMIFS('Expenditure Breakdown'!$U$6:$U$174, 'Expenditure Breakdown'!$T$6:$T$174, "&gt;="&amp;AEZ1,'Expenditure Breakdown'!$T$6:$T$174, "&lt;"&amp;AFA1)</f>
        <v>0</v>
      </c>
      <c r="AFA17" s="125">
        <f>SUMIFS('Expenditure Breakdown'!$U$6:$U$174, 'Expenditure Breakdown'!$T$6:$T$174, "&gt;="&amp;AFA1,'Expenditure Breakdown'!$T$6:$T$174, "&lt;"&amp;AFB1)</f>
        <v>0</v>
      </c>
      <c r="AFB17" s="125">
        <f>SUMIFS('Expenditure Breakdown'!$U$6:$U$174, 'Expenditure Breakdown'!$T$6:$T$174, "&gt;="&amp;AFB1,'Expenditure Breakdown'!$T$6:$T$174, "&lt;"&amp;AFC1)</f>
        <v>0</v>
      </c>
      <c r="AFC17" s="125">
        <f>SUMIFS('Expenditure Breakdown'!$U$6:$U$174, 'Expenditure Breakdown'!$T$6:$T$174, "&gt;="&amp;AFC1,'Expenditure Breakdown'!$T$6:$T$174, "&lt;"&amp;AFD1)</f>
        <v>0</v>
      </c>
      <c r="AFD17" s="125">
        <f>SUMIFS('Expenditure Breakdown'!$U$6:$U$174, 'Expenditure Breakdown'!$T$6:$T$174, "&gt;="&amp;AFD1,'Expenditure Breakdown'!$T$6:$T$174, "&lt;"&amp;AFE1)</f>
        <v>0</v>
      </c>
      <c r="AFE17" s="125">
        <f>SUMIFS('Expenditure Breakdown'!$U$6:$U$174, 'Expenditure Breakdown'!$T$6:$T$174, "&gt;="&amp;AFE1,'Expenditure Breakdown'!$T$6:$T$174, "&lt;"&amp;AFF1)</f>
        <v>0</v>
      </c>
      <c r="AFF17" s="125">
        <f>SUMIFS('Expenditure Breakdown'!$U$6:$U$174, 'Expenditure Breakdown'!$T$6:$T$174, "&gt;="&amp;AFF1,'Expenditure Breakdown'!$T$6:$T$174, "&lt;"&amp;AFG1)</f>
        <v>0</v>
      </c>
      <c r="AFG17" s="125">
        <f>SUMIFS('Expenditure Breakdown'!$U$6:$U$174, 'Expenditure Breakdown'!$T$6:$T$174, "&gt;="&amp;AFG1,'Expenditure Breakdown'!$T$6:$T$174, "&lt;"&amp;AFH1)</f>
        <v>0</v>
      </c>
      <c r="AFH17" s="125">
        <f>SUMIFS('Expenditure Breakdown'!$U$6:$U$174, 'Expenditure Breakdown'!$T$6:$T$174, "&gt;="&amp;AFH1,'Expenditure Breakdown'!$T$6:$T$174, "&lt;"&amp;AFI1)</f>
        <v>0</v>
      </c>
      <c r="AFI17" s="125">
        <f>SUMIFS('Expenditure Breakdown'!$U$6:$U$174, 'Expenditure Breakdown'!$T$6:$T$174, "&gt;="&amp;AFI1,'Expenditure Breakdown'!$T$6:$T$174, "&lt;"&amp;AFJ1)</f>
        <v>0</v>
      </c>
      <c r="AFJ17" s="125">
        <f>SUMIFS('Expenditure Breakdown'!$U$6:$U$174, 'Expenditure Breakdown'!$T$6:$T$174, "&gt;="&amp;AFJ1,'Expenditure Breakdown'!$T$6:$T$174, "&lt;"&amp;AFK1)</f>
        <v>0</v>
      </c>
      <c r="AFK17" s="125">
        <f>SUMIFS('Expenditure Breakdown'!$U$6:$U$174, 'Expenditure Breakdown'!$T$6:$T$174, "&gt;="&amp;AFK1,'Expenditure Breakdown'!$T$6:$T$174, "&lt;"&amp;AFL1)</f>
        <v>0</v>
      </c>
      <c r="AFL17" s="125">
        <f>SUMIFS('Expenditure Breakdown'!$U$6:$U$174, 'Expenditure Breakdown'!$T$6:$T$174, "&gt;="&amp;AFL1,'Expenditure Breakdown'!$T$6:$T$174, "&lt;"&amp;AFM1)</f>
        <v>0</v>
      </c>
      <c r="AFM17" s="125">
        <f>SUMIFS('Expenditure Breakdown'!$U$6:$U$174, 'Expenditure Breakdown'!$T$6:$T$174, "&gt;="&amp;AFM1,'Expenditure Breakdown'!$T$6:$T$174, "&lt;"&amp;AFN1)</f>
        <v>0</v>
      </c>
      <c r="AFN17" s="125">
        <f>SUMIFS('Expenditure Breakdown'!$U$6:$U$174, 'Expenditure Breakdown'!$T$6:$T$174, "&gt;="&amp;AFN1,'Expenditure Breakdown'!$T$6:$T$174, "&lt;"&amp;AFO1)</f>
        <v>0</v>
      </c>
      <c r="AFO17" s="125">
        <f>SUMIFS('Expenditure Breakdown'!$U$6:$U$174, 'Expenditure Breakdown'!$T$6:$T$174, "&gt;="&amp;AFO1,'Expenditure Breakdown'!$T$6:$T$174, "&lt;"&amp;AFP1)</f>
        <v>0</v>
      </c>
      <c r="AFP17" s="125">
        <f>SUMIFS('Expenditure Breakdown'!$U$6:$U$174, 'Expenditure Breakdown'!$T$6:$T$174, "&gt;="&amp;AFP1,'Expenditure Breakdown'!$T$6:$T$174, "&lt;"&amp;AFQ1)</f>
        <v>0</v>
      </c>
      <c r="AFQ17" s="125">
        <f>SUMIFS('Expenditure Breakdown'!$U$6:$U$174, 'Expenditure Breakdown'!$T$6:$T$174, "&gt;="&amp;AFQ1,'Expenditure Breakdown'!$T$6:$T$174, "&lt;"&amp;AFR1)</f>
        <v>0</v>
      </c>
      <c r="AFR17" s="125">
        <f>SUMIFS('Expenditure Breakdown'!$U$6:$U$174, 'Expenditure Breakdown'!$T$6:$T$174, "&gt;="&amp;AFR1,'Expenditure Breakdown'!$T$6:$T$174, "&lt;"&amp;AFS1)</f>
        <v>0</v>
      </c>
      <c r="AFS17" s="125">
        <f>SUMIFS('Expenditure Breakdown'!$U$6:$U$174, 'Expenditure Breakdown'!$T$6:$T$174, "&gt;="&amp;AFS1,'Expenditure Breakdown'!$T$6:$T$174, "&lt;"&amp;AFT1)</f>
        <v>0</v>
      </c>
      <c r="AFT17" s="125">
        <f>SUMIFS('Expenditure Breakdown'!$U$6:$U$174, 'Expenditure Breakdown'!$T$6:$T$174, "&gt;="&amp;AFT1,'Expenditure Breakdown'!$T$6:$T$174, "&lt;"&amp;AFU1)</f>
        <v>0</v>
      </c>
      <c r="AFU17" s="125">
        <f>SUMIFS('Expenditure Breakdown'!$U$6:$U$174, 'Expenditure Breakdown'!$T$6:$T$174, "&gt;="&amp;AFU1,'Expenditure Breakdown'!$T$6:$T$174, "&lt;"&amp;AFV1)</f>
        <v>0</v>
      </c>
      <c r="AFV17" s="125">
        <f>SUMIFS('Expenditure Breakdown'!$U$6:$U$174, 'Expenditure Breakdown'!$T$6:$T$174, "&gt;="&amp;AFV1,'Expenditure Breakdown'!$T$6:$T$174, "&lt;"&amp;AFW1)</f>
        <v>0</v>
      </c>
      <c r="AFW17" s="125">
        <f>SUMIFS('Expenditure Breakdown'!$U$6:$U$174, 'Expenditure Breakdown'!$T$6:$T$174, "&gt;="&amp;AFW1,'Expenditure Breakdown'!$T$6:$T$174, "&lt;"&amp;AFX1)</f>
        <v>0</v>
      </c>
      <c r="AFX17" s="125">
        <f>SUMIFS('Expenditure Breakdown'!$U$6:$U$174, 'Expenditure Breakdown'!$T$6:$T$174, "&gt;="&amp;AFX1,'Expenditure Breakdown'!$T$6:$T$174, "&lt;"&amp;AFY1)</f>
        <v>0</v>
      </c>
      <c r="AFY17" s="125">
        <f>SUMIFS('Expenditure Breakdown'!$U$6:$U$174, 'Expenditure Breakdown'!$T$6:$T$174, "&gt;="&amp;AFY1,'Expenditure Breakdown'!$T$6:$T$174, "&lt;"&amp;AFZ1)</f>
        <v>0</v>
      </c>
      <c r="AFZ17" s="125">
        <f>SUMIFS('Expenditure Breakdown'!$U$6:$U$174, 'Expenditure Breakdown'!$T$6:$T$174, "&gt;="&amp;AFZ1,'Expenditure Breakdown'!$T$6:$T$174, "&lt;"&amp;AGA1)</f>
        <v>0</v>
      </c>
      <c r="AGA17" s="125">
        <f>SUMIFS('Expenditure Breakdown'!$U$6:$U$174, 'Expenditure Breakdown'!$T$6:$T$174, "&gt;="&amp;AGA1,'Expenditure Breakdown'!$T$6:$T$174, "&lt;"&amp;AGB1)</f>
        <v>0</v>
      </c>
      <c r="AGB17" s="125">
        <f>SUMIFS('Expenditure Breakdown'!$U$6:$U$174, 'Expenditure Breakdown'!$T$6:$T$174, "&gt;="&amp;AGB1,'Expenditure Breakdown'!$T$6:$T$174, "&lt;"&amp;AGC1)</f>
        <v>0</v>
      </c>
      <c r="AGC17" s="125">
        <f>SUMIFS('Expenditure Breakdown'!$U$6:$U$174, 'Expenditure Breakdown'!$T$6:$T$174, "&gt;="&amp;AGC1,'Expenditure Breakdown'!$T$6:$T$174, "&lt;"&amp;AGD1)</f>
        <v>0</v>
      </c>
      <c r="AGD17" s="125">
        <f>SUMIFS('Expenditure Breakdown'!$U$6:$U$174, 'Expenditure Breakdown'!$T$6:$T$174, "&gt;="&amp;AGD1,'Expenditure Breakdown'!$T$6:$T$174, "&lt;"&amp;AGE1)</f>
        <v>0</v>
      </c>
      <c r="AGE17" s="125">
        <f>SUMIFS('Expenditure Breakdown'!$U$6:$U$174, 'Expenditure Breakdown'!$T$6:$T$174, "&gt;="&amp;AGE1,'Expenditure Breakdown'!$T$6:$T$174, "&lt;"&amp;AGF1)</f>
        <v>0</v>
      </c>
      <c r="AGF17" s="125">
        <f>SUMIFS('Expenditure Breakdown'!$U$6:$U$174, 'Expenditure Breakdown'!$T$6:$T$174, "&gt;="&amp;AGF1,'Expenditure Breakdown'!$T$6:$T$174, "&lt;"&amp;AGG1)</f>
        <v>0</v>
      </c>
      <c r="AGG17" s="125">
        <f>SUMIFS('Expenditure Breakdown'!$U$6:$U$174, 'Expenditure Breakdown'!$T$6:$T$174, "&gt;="&amp;AGG1,'Expenditure Breakdown'!$T$6:$T$174, "&lt;"&amp;AGH1)</f>
        <v>0</v>
      </c>
      <c r="AGH17" s="125">
        <f>SUMIFS('Expenditure Breakdown'!$U$6:$U$174, 'Expenditure Breakdown'!$T$6:$T$174, "&gt;="&amp;AGH1,'Expenditure Breakdown'!$T$6:$T$174, "&lt;"&amp;AGI1)</f>
        <v>0</v>
      </c>
      <c r="AGI17" s="125">
        <f>SUMIFS('Expenditure Breakdown'!$U$6:$U$174, 'Expenditure Breakdown'!$T$6:$T$174, "&gt;="&amp;AGI1,'Expenditure Breakdown'!$T$6:$T$174, "&lt;"&amp;AGJ1)</f>
        <v>0</v>
      </c>
      <c r="AGJ17" s="125">
        <f>SUMIFS('Expenditure Breakdown'!$U$6:$U$174, 'Expenditure Breakdown'!$T$6:$T$174, "&gt;="&amp;AGJ1,'Expenditure Breakdown'!$T$6:$T$174, "&lt;"&amp;AGK1)</f>
        <v>0</v>
      </c>
      <c r="AGK17" s="125">
        <f>SUMIFS('Expenditure Breakdown'!$U$6:$U$174, 'Expenditure Breakdown'!$T$6:$T$174, "&gt;="&amp;AGK1,'Expenditure Breakdown'!$T$6:$T$174, "&lt;"&amp;AGL1)</f>
        <v>0</v>
      </c>
      <c r="AGL17" s="125">
        <f>SUMIFS('Expenditure Breakdown'!$U$6:$U$174, 'Expenditure Breakdown'!$T$6:$T$174, "&gt;="&amp;AGL1,'Expenditure Breakdown'!$T$6:$T$174, "&lt;"&amp;AGM1)</f>
        <v>0</v>
      </c>
      <c r="AGM17" s="125">
        <f>SUMIFS('Expenditure Breakdown'!$U$6:$U$174, 'Expenditure Breakdown'!$T$6:$T$174, "&gt;="&amp;AGM1,'Expenditure Breakdown'!$T$6:$T$174, "&lt;"&amp;AGN1)</f>
        <v>0</v>
      </c>
      <c r="AGN17" s="125">
        <f>SUMIFS('Expenditure Breakdown'!$U$6:$U$174, 'Expenditure Breakdown'!$T$6:$T$174, "&gt;="&amp;AGN1,'Expenditure Breakdown'!$T$6:$T$174, "&lt;"&amp;AGO1)</f>
        <v>0</v>
      </c>
      <c r="AGO17" s="125">
        <f>SUMIFS('Expenditure Breakdown'!$U$6:$U$174, 'Expenditure Breakdown'!$T$6:$T$174, "&gt;="&amp;AGO1,'Expenditure Breakdown'!$T$6:$T$174, "&lt;"&amp;AGP1)</f>
        <v>0</v>
      </c>
      <c r="AGP17" s="125">
        <f>SUMIFS('Expenditure Breakdown'!$U$6:$U$174, 'Expenditure Breakdown'!$T$6:$T$174, "&gt;="&amp;AGP1,'Expenditure Breakdown'!$T$6:$T$174, "&lt;"&amp;AGQ1)</f>
        <v>0</v>
      </c>
      <c r="AGQ17" s="125">
        <f>SUMIFS('Expenditure Breakdown'!$U$6:$U$174, 'Expenditure Breakdown'!$T$6:$T$174, "&gt;="&amp;AGQ1,'Expenditure Breakdown'!$T$6:$T$174, "&lt;"&amp;AGR1)</f>
        <v>0</v>
      </c>
      <c r="AGR17" s="125">
        <f>SUMIFS('Expenditure Breakdown'!$U$6:$U$174, 'Expenditure Breakdown'!$T$6:$T$174, "&gt;="&amp;AGR1,'Expenditure Breakdown'!$T$6:$T$174, "&lt;"&amp;AGS1)</f>
        <v>0</v>
      </c>
      <c r="AGS17" s="125">
        <f>SUMIFS('Expenditure Breakdown'!$U$6:$U$174, 'Expenditure Breakdown'!$T$6:$T$174, "&gt;="&amp;AGS1,'Expenditure Breakdown'!$T$6:$T$174, "&lt;"&amp;AGT1)</f>
        <v>0</v>
      </c>
      <c r="AGT17" s="125">
        <f>SUMIFS('Expenditure Breakdown'!$U$6:$U$174, 'Expenditure Breakdown'!$T$6:$T$174, "&gt;="&amp;AGT1,'Expenditure Breakdown'!$T$6:$T$174, "&lt;"&amp;AGU1)</f>
        <v>0</v>
      </c>
      <c r="AGU17" s="125">
        <f>SUMIFS('Expenditure Breakdown'!$U$6:$U$174, 'Expenditure Breakdown'!$T$6:$T$174, "&gt;="&amp;AGU1,'Expenditure Breakdown'!$T$6:$T$174, "&lt;"&amp;AGV1)</f>
        <v>0</v>
      </c>
      <c r="AGV17" s="125">
        <f>SUMIFS('Expenditure Breakdown'!$U$6:$U$174, 'Expenditure Breakdown'!$T$6:$T$174, "&gt;="&amp;AGV1,'Expenditure Breakdown'!$T$6:$T$174, "&lt;"&amp;AGW1)</f>
        <v>0</v>
      </c>
      <c r="AGW17" s="125">
        <f>SUMIFS('Expenditure Breakdown'!$U$6:$U$174, 'Expenditure Breakdown'!$T$6:$T$174, "&gt;="&amp;AGW1,'Expenditure Breakdown'!$T$6:$T$174, "&lt;"&amp;AGX1)</f>
        <v>0</v>
      </c>
      <c r="AGX17" s="125">
        <f>SUMIFS('Expenditure Breakdown'!$U$6:$U$174, 'Expenditure Breakdown'!$T$6:$T$174, "&gt;="&amp;AGX1,'Expenditure Breakdown'!$T$6:$T$174, "&lt;"&amp;AGY1)</f>
        <v>0</v>
      </c>
      <c r="AGY17" s="125">
        <f>SUMIFS('Expenditure Breakdown'!$U$6:$U$174, 'Expenditure Breakdown'!$T$6:$T$174, "&gt;="&amp;AGY1,'Expenditure Breakdown'!$T$6:$T$174, "&lt;"&amp;AGZ1)</f>
        <v>0</v>
      </c>
      <c r="AGZ17" s="125">
        <f>SUMIFS('Expenditure Breakdown'!$U$6:$U$174, 'Expenditure Breakdown'!$T$6:$T$174, "&gt;="&amp;AGZ1,'Expenditure Breakdown'!$T$6:$T$174, "&lt;"&amp;AHA1)</f>
        <v>0</v>
      </c>
      <c r="AHA17" s="125">
        <f>SUMIFS('Expenditure Breakdown'!$U$6:$U$174, 'Expenditure Breakdown'!$T$6:$T$174, "&gt;="&amp;AHA1,'Expenditure Breakdown'!$T$6:$T$174, "&lt;"&amp;AHB1)</f>
        <v>0</v>
      </c>
      <c r="AHB17" s="125">
        <f>SUMIFS('Expenditure Breakdown'!$U$6:$U$174, 'Expenditure Breakdown'!$T$6:$T$174, "&gt;="&amp;AHB1,'Expenditure Breakdown'!$T$6:$T$174, "&lt;"&amp;AHC1)</f>
        <v>0</v>
      </c>
      <c r="AHC17" s="125">
        <f>SUMIFS('Expenditure Breakdown'!$U$6:$U$174, 'Expenditure Breakdown'!$T$6:$T$174, "&gt;="&amp;AHC1,'Expenditure Breakdown'!$T$6:$T$174, "&lt;"&amp;AHD1)</f>
        <v>0</v>
      </c>
      <c r="AHD17" s="125">
        <f>SUMIFS('Expenditure Breakdown'!$U$6:$U$174, 'Expenditure Breakdown'!$T$6:$T$174, "&gt;="&amp;AHD1,'Expenditure Breakdown'!$T$6:$T$174, "&lt;"&amp;AHE1)</f>
        <v>0</v>
      </c>
      <c r="AHE17" s="125">
        <f>SUMIFS('Expenditure Breakdown'!$U$6:$U$174, 'Expenditure Breakdown'!$T$6:$T$174, "&gt;="&amp;AHE1,'Expenditure Breakdown'!$T$6:$T$174, "&lt;"&amp;AHF1)</f>
        <v>0</v>
      </c>
      <c r="AHF17" s="125">
        <f>SUMIFS('Expenditure Breakdown'!$U$6:$U$174, 'Expenditure Breakdown'!$T$6:$T$174, "&gt;="&amp;AHF1,'Expenditure Breakdown'!$T$6:$T$174, "&lt;"&amp;AHG1)</f>
        <v>0</v>
      </c>
      <c r="AHG17" s="125">
        <f>SUMIFS('Expenditure Breakdown'!$U$6:$U$174, 'Expenditure Breakdown'!$T$6:$T$174, "&gt;="&amp;AHG1,'Expenditure Breakdown'!$T$6:$T$174, "&lt;"&amp;AHH1)</f>
        <v>0</v>
      </c>
      <c r="AHH17" s="125">
        <f>SUMIFS('Expenditure Breakdown'!$U$6:$U$174, 'Expenditure Breakdown'!$T$6:$T$174, "&gt;="&amp;AHH1,'Expenditure Breakdown'!$T$6:$T$174, "&lt;"&amp;AHI1)</f>
        <v>0</v>
      </c>
      <c r="AHI17" s="125">
        <f>SUMIFS('Expenditure Breakdown'!$U$6:$U$174, 'Expenditure Breakdown'!$T$6:$T$174, "&gt;="&amp;AHI1,'Expenditure Breakdown'!$T$6:$T$174, "&lt;"&amp;AHJ1)</f>
        <v>0</v>
      </c>
      <c r="AHJ17" s="125">
        <f>SUMIFS('Expenditure Breakdown'!$U$6:$U$174, 'Expenditure Breakdown'!$T$6:$T$174, "&gt;="&amp;AHJ1,'Expenditure Breakdown'!$T$6:$T$174, "&lt;"&amp;AHK1)</f>
        <v>0</v>
      </c>
      <c r="AHK17" s="125">
        <f>SUMIFS('Expenditure Breakdown'!$U$6:$U$174, 'Expenditure Breakdown'!$T$6:$T$174, "&gt;="&amp;AHK1,'Expenditure Breakdown'!$T$6:$T$174, "&lt;"&amp;AHL1)</f>
        <v>0</v>
      </c>
      <c r="AHL17" s="125">
        <f>SUMIFS('Expenditure Breakdown'!$U$6:$U$174, 'Expenditure Breakdown'!$T$6:$T$174, "&gt;="&amp;AHL1,'Expenditure Breakdown'!$T$6:$T$174, "&lt;"&amp;AHM1)</f>
        <v>0</v>
      </c>
      <c r="AHM17" s="125">
        <f>SUMIFS('Expenditure Breakdown'!$U$6:$U$174, 'Expenditure Breakdown'!$T$6:$T$174, "&gt;="&amp;AHM1,'Expenditure Breakdown'!$T$6:$T$174, "&lt;"&amp;AHN1)</f>
        <v>0</v>
      </c>
      <c r="AHN17" s="125">
        <f>SUMIFS('Expenditure Breakdown'!$U$6:$U$174, 'Expenditure Breakdown'!$T$6:$T$174, "&gt;="&amp;AHN1,'Expenditure Breakdown'!$T$6:$T$174, "&lt;"&amp;AHO1)</f>
        <v>0</v>
      </c>
      <c r="AHO17" s="125">
        <f>SUMIFS('Expenditure Breakdown'!$U$6:$U$174, 'Expenditure Breakdown'!$T$6:$T$174, "&gt;="&amp;AHO1,'Expenditure Breakdown'!$T$6:$T$174, "&lt;"&amp;AHP1)</f>
        <v>0</v>
      </c>
      <c r="AHP17" s="125">
        <f>SUMIFS('Expenditure Breakdown'!$U$6:$U$174, 'Expenditure Breakdown'!$T$6:$T$174, "&gt;="&amp;AHP1,'Expenditure Breakdown'!$T$6:$T$174, "&lt;"&amp;AHQ1)</f>
        <v>0</v>
      </c>
      <c r="AHQ17" s="125">
        <f>SUMIFS('Expenditure Breakdown'!$U$6:$U$174, 'Expenditure Breakdown'!$T$6:$T$174, "&gt;="&amp;AHQ1,'Expenditure Breakdown'!$T$6:$T$174, "&lt;"&amp;AHR1)</f>
        <v>0</v>
      </c>
      <c r="AHR17" s="125">
        <f>SUMIFS('Expenditure Breakdown'!$U$6:$U$174, 'Expenditure Breakdown'!$T$6:$T$174, "&gt;="&amp;AHR1,'Expenditure Breakdown'!$T$6:$T$174, "&lt;"&amp;AHS1)</f>
        <v>0</v>
      </c>
      <c r="AHS17" s="125">
        <f>SUMIFS('Expenditure Breakdown'!$U$6:$U$174, 'Expenditure Breakdown'!$T$6:$T$174, "&gt;="&amp;AHS1,'Expenditure Breakdown'!$T$6:$T$174, "&lt;"&amp;AHT1)</f>
        <v>0</v>
      </c>
      <c r="AHT17" s="125">
        <f>SUMIFS('Expenditure Breakdown'!$U$6:$U$174, 'Expenditure Breakdown'!$T$6:$T$174, "&gt;="&amp;AHT1,'Expenditure Breakdown'!$T$6:$T$174, "&lt;"&amp;AHU1)</f>
        <v>0</v>
      </c>
      <c r="AHU17" s="125">
        <f>SUMIFS('Expenditure Breakdown'!$U$6:$U$174, 'Expenditure Breakdown'!$T$6:$T$174, "&gt;="&amp;AHU1,'Expenditure Breakdown'!$T$6:$T$174, "&lt;"&amp;AHV1)</f>
        <v>0</v>
      </c>
      <c r="AHV17" s="125">
        <f>SUMIFS('Expenditure Breakdown'!$U$6:$U$174, 'Expenditure Breakdown'!$T$6:$T$174, "&gt;="&amp;AHV1,'Expenditure Breakdown'!$T$6:$T$174, "&lt;"&amp;AHW1)</f>
        <v>0</v>
      </c>
      <c r="AHW17" s="125">
        <f>SUMIFS('Expenditure Breakdown'!$U$6:$U$174, 'Expenditure Breakdown'!$T$6:$T$174, "&gt;="&amp;AHW1,'Expenditure Breakdown'!$T$6:$T$174, "&lt;"&amp;AHX1)</f>
        <v>0</v>
      </c>
      <c r="AHX17" s="125">
        <f>SUMIFS('Expenditure Breakdown'!$U$6:$U$174, 'Expenditure Breakdown'!$T$6:$T$174, "&gt;="&amp;AHX1,'Expenditure Breakdown'!$T$6:$T$174, "&lt;"&amp;AHY1)</f>
        <v>0</v>
      </c>
      <c r="AHY17" s="125">
        <f>SUMIFS('Expenditure Breakdown'!$U$6:$U$174, 'Expenditure Breakdown'!$T$6:$T$174, "&gt;="&amp;AHY1,'Expenditure Breakdown'!$T$6:$T$174, "&lt;"&amp;AHZ1)</f>
        <v>0</v>
      </c>
      <c r="AHZ17" s="125">
        <f>SUMIFS('Expenditure Breakdown'!$U$6:$U$174, 'Expenditure Breakdown'!$T$6:$T$174, "&gt;="&amp;AHZ1,'Expenditure Breakdown'!$T$6:$T$174, "&lt;"&amp;AIA1)</f>
        <v>0</v>
      </c>
      <c r="AIA17" s="125">
        <f>SUMIFS('Expenditure Breakdown'!$U$6:$U$174, 'Expenditure Breakdown'!$T$6:$T$174, "&gt;="&amp;AIA1,'Expenditure Breakdown'!$T$6:$T$174, "&lt;"&amp;AIB1)</f>
        <v>0</v>
      </c>
      <c r="AIB17" s="125">
        <f>SUMIFS('Expenditure Breakdown'!$U$6:$U$174, 'Expenditure Breakdown'!$T$6:$T$174, "&gt;="&amp;AIB1,'Expenditure Breakdown'!$T$6:$T$174, "&lt;"&amp;AIC1)</f>
        <v>0</v>
      </c>
      <c r="AIC17" s="125">
        <f>SUMIFS('Expenditure Breakdown'!$U$6:$U$174, 'Expenditure Breakdown'!$T$6:$T$174, "&gt;="&amp;AIC1,'Expenditure Breakdown'!$T$6:$T$174, "&lt;"&amp;AID1)</f>
        <v>0</v>
      </c>
      <c r="AID17" s="125">
        <f>SUMIFS('Expenditure Breakdown'!$U$6:$U$174, 'Expenditure Breakdown'!$T$6:$T$174, "&gt;="&amp;AID1,'Expenditure Breakdown'!$T$6:$T$174, "&lt;"&amp;AIE1)</f>
        <v>0</v>
      </c>
      <c r="AIE17" s="125">
        <f>SUMIFS('Expenditure Breakdown'!$U$6:$U$174, 'Expenditure Breakdown'!$T$6:$T$174, "&gt;="&amp;AIE1,'Expenditure Breakdown'!$T$6:$T$174, "&lt;"&amp;AIF1)</f>
        <v>0</v>
      </c>
      <c r="AIF17" s="125">
        <f>SUMIFS('Expenditure Breakdown'!$U$6:$U$174, 'Expenditure Breakdown'!$T$6:$T$174, "&gt;="&amp;AIF1,'Expenditure Breakdown'!$T$6:$T$174, "&lt;"&amp;AIG1)</f>
        <v>0</v>
      </c>
      <c r="AIG17" s="125">
        <f>SUMIFS('Expenditure Breakdown'!$U$6:$U$174, 'Expenditure Breakdown'!$T$6:$T$174, "&gt;="&amp;AIG1,'Expenditure Breakdown'!$T$6:$T$174, "&lt;"&amp;AIH1)</f>
        <v>0</v>
      </c>
      <c r="AIH17" s="125">
        <f>SUMIFS('Expenditure Breakdown'!$U$6:$U$174, 'Expenditure Breakdown'!$T$6:$T$174, "&gt;="&amp;AIH1,'Expenditure Breakdown'!$T$6:$T$174, "&lt;"&amp;AII1)</f>
        <v>0</v>
      </c>
      <c r="AII17" s="125">
        <f>SUMIFS('Expenditure Breakdown'!$U$6:$U$174, 'Expenditure Breakdown'!$T$6:$T$174, "&gt;="&amp;AII1,'Expenditure Breakdown'!$T$6:$T$174, "&lt;"&amp;AIJ1)</f>
        <v>0</v>
      </c>
      <c r="AIJ17" s="125">
        <f>SUMIFS('Expenditure Breakdown'!$U$6:$U$174, 'Expenditure Breakdown'!$T$6:$T$174, "&gt;="&amp;AIJ1,'Expenditure Breakdown'!$T$6:$T$174, "&lt;"&amp;AIK1)</f>
        <v>0</v>
      </c>
      <c r="AIK17" s="125">
        <f>SUMIFS('Expenditure Breakdown'!$U$6:$U$174, 'Expenditure Breakdown'!$T$6:$T$174, "&gt;="&amp;AIK1,'Expenditure Breakdown'!$T$6:$T$174, "&lt;"&amp;AIL1)</f>
        <v>0</v>
      </c>
      <c r="AIL17" s="125">
        <f>SUMIFS('Expenditure Breakdown'!$U$6:$U$174, 'Expenditure Breakdown'!$T$6:$T$174, "&gt;="&amp;AIL1,'Expenditure Breakdown'!$T$6:$T$174, "&lt;"&amp;AIM1)</f>
        <v>0</v>
      </c>
      <c r="AIM17" s="125">
        <f>SUMIFS('Expenditure Breakdown'!$U$6:$U$174, 'Expenditure Breakdown'!$T$6:$T$174, "&gt;="&amp;AIM1,'Expenditure Breakdown'!$T$6:$T$174, "&lt;"&amp;AIN1)</f>
        <v>0</v>
      </c>
      <c r="AIN17" s="125">
        <f>SUMIFS('Expenditure Breakdown'!$U$6:$U$174, 'Expenditure Breakdown'!$T$6:$T$174, "&gt;="&amp;AIN1,'Expenditure Breakdown'!$T$6:$T$174, "&lt;"&amp;AIO1)</f>
        <v>0</v>
      </c>
      <c r="AIO17" s="125">
        <f>SUMIFS('Expenditure Breakdown'!$U$6:$U$174, 'Expenditure Breakdown'!$T$6:$T$174, "&gt;="&amp;AIO1,'Expenditure Breakdown'!$T$6:$T$174, "&lt;"&amp;AIP1)</f>
        <v>0</v>
      </c>
      <c r="AIP17" s="125">
        <f>SUMIFS('Expenditure Breakdown'!$U$6:$U$174, 'Expenditure Breakdown'!$T$6:$T$174, "&gt;="&amp;AIP1,'Expenditure Breakdown'!$T$6:$T$174, "&lt;"&amp;AIQ1)</f>
        <v>0</v>
      </c>
      <c r="AIQ17" s="125">
        <f>SUMIFS('Expenditure Breakdown'!$U$6:$U$174, 'Expenditure Breakdown'!$T$6:$T$174, "&gt;="&amp;AIQ1,'Expenditure Breakdown'!$T$6:$T$174, "&lt;"&amp;AIR1)</f>
        <v>0</v>
      </c>
      <c r="AIR17" s="125">
        <f>SUMIFS('Expenditure Breakdown'!$U$6:$U$174, 'Expenditure Breakdown'!$T$6:$T$174, "&gt;="&amp;AIR1,'Expenditure Breakdown'!$T$6:$T$174, "&lt;"&amp;AIS1)</f>
        <v>0</v>
      </c>
      <c r="AIS17" s="125">
        <f>SUMIFS('Expenditure Breakdown'!$U$6:$U$174, 'Expenditure Breakdown'!$T$6:$T$174, "&gt;="&amp;AIS1,'Expenditure Breakdown'!$T$6:$T$174, "&lt;"&amp;AIT1)</f>
        <v>0</v>
      </c>
      <c r="AIT17" s="125">
        <f>SUMIFS('Expenditure Breakdown'!$U$6:$U$174, 'Expenditure Breakdown'!$T$6:$T$174, "&gt;="&amp;AIT1,'Expenditure Breakdown'!$T$6:$T$174, "&lt;"&amp;AIU1)</f>
        <v>0</v>
      </c>
      <c r="AIU17" s="125">
        <f>SUMIFS('Expenditure Breakdown'!$U$6:$U$174, 'Expenditure Breakdown'!$T$6:$T$174, "&gt;="&amp;AIU1,'Expenditure Breakdown'!$T$6:$T$174, "&lt;"&amp;AIV1)</f>
        <v>0</v>
      </c>
      <c r="AIV17" s="125">
        <f>SUMIFS('Expenditure Breakdown'!$U$6:$U$174, 'Expenditure Breakdown'!$T$6:$T$174, "&gt;="&amp;AIV1,'Expenditure Breakdown'!$T$6:$T$174, "&lt;"&amp;AIW1)</f>
        <v>0</v>
      </c>
      <c r="AIW17" s="125">
        <f>SUMIFS('Expenditure Breakdown'!$U$6:$U$174, 'Expenditure Breakdown'!$T$6:$T$174, "&gt;="&amp;AIW1,'Expenditure Breakdown'!$T$6:$T$174, "&lt;"&amp;AIX1)</f>
        <v>0</v>
      </c>
      <c r="AIX17" s="125">
        <f>SUMIFS('Expenditure Breakdown'!$U$6:$U$174, 'Expenditure Breakdown'!$T$6:$T$174, "&gt;="&amp;AIX1,'Expenditure Breakdown'!$T$6:$T$174, "&lt;"&amp;AIY1)</f>
        <v>0</v>
      </c>
      <c r="AIY17" s="125">
        <f>SUMIFS('Expenditure Breakdown'!$U$6:$U$174, 'Expenditure Breakdown'!$T$6:$T$174, "&gt;="&amp;AIY1,'Expenditure Breakdown'!$T$6:$T$174, "&lt;"&amp;AIZ1)</f>
        <v>0</v>
      </c>
      <c r="AIZ17" s="125">
        <f>SUMIFS('Expenditure Breakdown'!$U$6:$U$174, 'Expenditure Breakdown'!$T$6:$T$174, "&gt;="&amp;AIZ1,'Expenditure Breakdown'!$T$6:$T$174, "&lt;"&amp;AJA1)</f>
        <v>0</v>
      </c>
      <c r="AJA17" s="125">
        <f>SUMIFS('Expenditure Breakdown'!$U$6:$U$174, 'Expenditure Breakdown'!$T$6:$T$174, "&gt;="&amp;AJA1,'Expenditure Breakdown'!$T$6:$T$174, "&lt;"&amp;AJB1)</f>
        <v>0</v>
      </c>
      <c r="AJB17" s="125">
        <f>SUMIFS('Expenditure Breakdown'!$U$6:$U$174, 'Expenditure Breakdown'!$T$6:$T$174, "&gt;="&amp;AJB1,'Expenditure Breakdown'!$T$6:$T$174, "&lt;"&amp;AJC1)</f>
        <v>0</v>
      </c>
      <c r="AJC17" s="125">
        <f>SUMIFS('Expenditure Breakdown'!$U$6:$U$174, 'Expenditure Breakdown'!$T$6:$T$174, "&gt;="&amp;AJC1,'Expenditure Breakdown'!$T$6:$T$174, "&lt;"&amp;AJD1)</f>
        <v>0</v>
      </c>
      <c r="AJD17" s="125">
        <f>SUMIFS('Expenditure Breakdown'!$U$6:$U$174, 'Expenditure Breakdown'!$T$6:$T$174, "&gt;="&amp;AJD1,'Expenditure Breakdown'!$T$6:$T$174, "&lt;"&amp;AJE1)</f>
        <v>0</v>
      </c>
      <c r="AJE17" s="125">
        <f>SUMIFS('Expenditure Breakdown'!$U$6:$U$174, 'Expenditure Breakdown'!$T$6:$T$174, "&gt;="&amp;AJE1,'Expenditure Breakdown'!$T$6:$T$174, "&lt;"&amp;AJF1)</f>
        <v>0</v>
      </c>
      <c r="AJF17" s="125">
        <f>SUMIFS('Expenditure Breakdown'!$U$6:$U$174, 'Expenditure Breakdown'!$T$6:$T$174, "&gt;="&amp;AJF1,'Expenditure Breakdown'!$T$6:$T$174, "&lt;"&amp;AJG1)</f>
        <v>0</v>
      </c>
      <c r="AJG17" s="125">
        <f>SUMIFS('Expenditure Breakdown'!$U$6:$U$174, 'Expenditure Breakdown'!$T$6:$T$174, "&gt;="&amp;AJG1,'Expenditure Breakdown'!$T$6:$T$174, "&lt;"&amp;AJH1)</f>
        <v>0</v>
      </c>
      <c r="AJH17" s="125">
        <f>SUMIFS('Expenditure Breakdown'!$U$6:$U$174, 'Expenditure Breakdown'!$T$6:$T$174, "&gt;="&amp;AJH1,'Expenditure Breakdown'!$T$6:$T$174, "&lt;"&amp;AJI1)</f>
        <v>0</v>
      </c>
      <c r="AJI17" s="125">
        <f>SUMIFS('Expenditure Breakdown'!$U$6:$U$174, 'Expenditure Breakdown'!$T$6:$T$174, "&gt;="&amp;AJI1,'Expenditure Breakdown'!$T$6:$T$174, "&lt;"&amp;AJJ1)</f>
        <v>0</v>
      </c>
      <c r="AJJ17" s="125">
        <f>SUMIFS('Expenditure Breakdown'!$U$6:$U$174, 'Expenditure Breakdown'!$T$6:$T$174, "&gt;="&amp;AJJ1,'Expenditure Breakdown'!$T$6:$T$174, "&lt;"&amp;AJK1)</f>
        <v>0</v>
      </c>
      <c r="AJK17" s="125">
        <f>SUMIFS('Expenditure Breakdown'!$U$6:$U$174, 'Expenditure Breakdown'!$T$6:$T$174, "&gt;="&amp;AJK1,'Expenditure Breakdown'!$T$6:$T$174, "&lt;"&amp;AJL1)</f>
        <v>0</v>
      </c>
      <c r="AJL17" s="125">
        <f>SUMIFS('Expenditure Breakdown'!$U$6:$U$174, 'Expenditure Breakdown'!$T$6:$T$174, "&gt;="&amp;AJL1,'Expenditure Breakdown'!$T$6:$T$174, "&lt;"&amp;AJM1)</f>
        <v>0</v>
      </c>
      <c r="AJM17" s="125">
        <f>SUMIFS('Expenditure Breakdown'!$U$6:$U$174, 'Expenditure Breakdown'!$T$6:$T$174, "&gt;="&amp;AJM1,'Expenditure Breakdown'!$T$6:$T$174, "&lt;"&amp;AJN1)</f>
        <v>0</v>
      </c>
      <c r="AJN17" s="125">
        <f>SUMIFS('Expenditure Breakdown'!$U$6:$U$174, 'Expenditure Breakdown'!$T$6:$T$174, "&gt;="&amp;AJN1,'Expenditure Breakdown'!$T$6:$T$174, "&lt;"&amp;AJO1)</f>
        <v>0</v>
      </c>
      <c r="AJO17" s="125">
        <f>SUMIFS('Expenditure Breakdown'!$U$6:$U$174, 'Expenditure Breakdown'!$T$6:$T$174, "&gt;="&amp;AJO1,'Expenditure Breakdown'!$T$6:$T$174, "&lt;"&amp;AJP1)</f>
        <v>0</v>
      </c>
      <c r="AJP17" s="125">
        <f>SUMIFS('Expenditure Breakdown'!$U$6:$U$174, 'Expenditure Breakdown'!$T$6:$T$174, "&gt;="&amp;AJP1,'Expenditure Breakdown'!$T$6:$T$174, "&lt;"&amp;AJQ1)</f>
        <v>0</v>
      </c>
      <c r="AJQ17" s="125">
        <f>SUMIFS('Expenditure Breakdown'!$U$6:$U$174, 'Expenditure Breakdown'!$T$6:$T$174, "&gt;="&amp;AJQ1,'Expenditure Breakdown'!$T$6:$T$174, "&lt;"&amp;AJR1)</f>
        <v>0</v>
      </c>
      <c r="AJR17" s="125">
        <f>SUMIFS('Expenditure Breakdown'!$U$6:$U$174, 'Expenditure Breakdown'!$T$6:$T$174, "&gt;="&amp;AJR1,'Expenditure Breakdown'!$T$6:$T$174, "&lt;"&amp;AJS1)</f>
        <v>0</v>
      </c>
      <c r="AJS17" s="125">
        <f>SUMIFS('Expenditure Breakdown'!$U$6:$U$174, 'Expenditure Breakdown'!$T$6:$T$174, "&gt;="&amp;AJS1,'Expenditure Breakdown'!$T$6:$T$174, "&lt;"&amp;AJT1)</f>
        <v>0</v>
      </c>
      <c r="AJT17" s="125">
        <f>SUMIFS('Expenditure Breakdown'!$U$6:$U$174, 'Expenditure Breakdown'!$T$6:$T$174, "&gt;="&amp;AJT1,'Expenditure Breakdown'!$T$6:$T$174, "&lt;"&amp;AJU1)</f>
        <v>0</v>
      </c>
      <c r="AJU17" s="125">
        <f>SUMIFS('Expenditure Breakdown'!$U$6:$U$174, 'Expenditure Breakdown'!$T$6:$T$174, "&gt;="&amp;AJU1,'Expenditure Breakdown'!$T$6:$T$174, "&lt;"&amp;AJV1)</f>
        <v>0</v>
      </c>
      <c r="AJV17" s="125">
        <f>SUMIFS('Expenditure Breakdown'!$U$6:$U$174, 'Expenditure Breakdown'!$T$6:$T$174, "&gt;="&amp;AJV1,'Expenditure Breakdown'!$T$6:$T$174, "&lt;"&amp;AJW1)</f>
        <v>0</v>
      </c>
      <c r="AJW17" s="125">
        <f>SUMIFS('Expenditure Breakdown'!$U$6:$U$174, 'Expenditure Breakdown'!$T$6:$T$174, "&gt;="&amp;AJW1,'Expenditure Breakdown'!$T$6:$T$174, "&lt;"&amp;AJX1)</f>
        <v>0</v>
      </c>
      <c r="AJX17" s="125">
        <f>SUMIFS('Expenditure Breakdown'!$U$6:$U$174, 'Expenditure Breakdown'!$T$6:$T$174, "&gt;="&amp;AJX1,'Expenditure Breakdown'!$T$6:$T$174, "&lt;"&amp;AJY1)</f>
        <v>0</v>
      </c>
      <c r="AJY17" s="125">
        <f>SUMIFS('Expenditure Breakdown'!$U$6:$U$174, 'Expenditure Breakdown'!$T$6:$T$174, "&gt;="&amp;AJY1,'Expenditure Breakdown'!$T$6:$T$174, "&lt;"&amp;AJZ1)</f>
        <v>0</v>
      </c>
      <c r="AJZ17" s="125">
        <f>SUMIFS('Expenditure Breakdown'!$U$6:$U$174, 'Expenditure Breakdown'!$T$6:$T$174, "&gt;="&amp;AJZ1,'Expenditure Breakdown'!$T$6:$T$174, "&lt;"&amp;AKA1)</f>
        <v>0</v>
      </c>
      <c r="AKA17" s="125">
        <f>SUMIFS('Expenditure Breakdown'!$U$6:$U$174, 'Expenditure Breakdown'!$T$6:$T$174, "&gt;="&amp;AKA1,'Expenditure Breakdown'!$T$6:$T$174, "&lt;"&amp;AKB1)</f>
        <v>0</v>
      </c>
      <c r="AKB17" s="125">
        <f>SUMIFS('Expenditure Breakdown'!$U$6:$U$174, 'Expenditure Breakdown'!$T$6:$T$174, "&gt;="&amp;AKB1,'Expenditure Breakdown'!$T$6:$T$174, "&lt;"&amp;AKC1)</f>
        <v>0</v>
      </c>
      <c r="AKC17" s="125">
        <f>SUMIFS('Expenditure Breakdown'!$U$6:$U$174, 'Expenditure Breakdown'!$T$6:$T$174, "&gt;="&amp;AKC1,'Expenditure Breakdown'!$T$6:$T$174, "&lt;"&amp;AKD1)</f>
        <v>0</v>
      </c>
      <c r="AKD17" s="125">
        <f>SUMIFS('Expenditure Breakdown'!$U$6:$U$174, 'Expenditure Breakdown'!$T$6:$T$174, "&gt;="&amp;AKD1,'Expenditure Breakdown'!$T$6:$T$174, "&lt;"&amp;AKE1)</f>
        <v>0</v>
      </c>
      <c r="AKE17" s="125">
        <f>SUMIFS('Expenditure Breakdown'!$U$6:$U$174, 'Expenditure Breakdown'!$T$6:$T$174, "&gt;="&amp;AKE1,'Expenditure Breakdown'!$T$6:$T$174, "&lt;"&amp;AKF1)</f>
        <v>0</v>
      </c>
      <c r="AKF17" s="125">
        <f>SUMIFS('Expenditure Breakdown'!$U$6:$U$174, 'Expenditure Breakdown'!$T$6:$T$174, "&gt;="&amp;AKF1,'Expenditure Breakdown'!$T$6:$T$174, "&lt;"&amp;AKG1)</f>
        <v>0</v>
      </c>
      <c r="AKG17" s="125">
        <f>SUMIFS('Expenditure Breakdown'!$U$6:$U$174, 'Expenditure Breakdown'!$T$6:$T$174, "&gt;="&amp;AKG1,'Expenditure Breakdown'!$T$6:$T$174, "&lt;"&amp;AKH1)</f>
        <v>0</v>
      </c>
      <c r="AKH17" s="125">
        <f>SUMIFS('Expenditure Breakdown'!$U$6:$U$174, 'Expenditure Breakdown'!$T$6:$T$174, "&gt;="&amp;AKH1,'Expenditure Breakdown'!$T$6:$T$174, "&lt;"&amp;AKI1)</f>
        <v>0</v>
      </c>
      <c r="AKI17" s="125">
        <f>SUMIFS('Expenditure Breakdown'!$U$6:$U$174, 'Expenditure Breakdown'!$T$6:$T$174, "&gt;="&amp;AKI1,'Expenditure Breakdown'!$T$6:$T$174, "&lt;"&amp;AKJ1)</f>
        <v>0</v>
      </c>
      <c r="AKJ17" s="125">
        <f>SUMIFS('Expenditure Breakdown'!$U$6:$U$174, 'Expenditure Breakdown'!$T$6:$T$174, "&gt;="&amp;AKJ1,'Expenditure Breakdown'!$T$6:$T$174, "&lt;"&amp;AKK1)</f>
        <v>0</v>
      </c>
      <c r="AKK17" s="125">
        <f>SUMIFS('Expenditure Breakdown'!$U$6:$U$174, 'Expenditure Breakdown'!$T$6:$T$174, "&gt;="&amp;AKK1,'Expenditure Breakdown'!$T$6:$T$174, "&lt;"&amp;AKL1)</f>
        <v>0</v>
      </c>
      <c r="AKL17" s="125">
        <f>SUMIFS('Expenditure Breakdown'!$U$6:$U$174, 'Expenditure Breakdown'!$T$6:$T$174, "&gt;="&amp;AKL1,'Expenditure Breakdown'!$T$6:$T$174, "&lt;"&amp;AKM1)</f>
        <v>0</v>
      </c>
      <c r="AKM17" s="125">
        <f>SUMIFS('Expenditure Breakdown'!$U$6:$U$174, 'Expenditure Breakdown'!$T$6:$T$174, "&gt;="&amp;AKM1,'Expenditure Breakdown'!$T$6:$T$174, "&lt;"&amp;AKN1)</f>
        <v>0</v>
      </c>
      <c r="AKN17" s="125">
        <f>SUMIFS('Expenditure Breakdown'!$U$6:$U$174, 'Expenditure Breakdown'!$T$6:$T$174, "&gt;="&amp;AKN1,'Expenditure Breakdown'!$T$6:$T$174, "&lt;"&amp;AKO1)</f>
        <v>0</v>
      </c>
      <c r="AKO17" s="125">
        <f>SUMIFS('Expenditure Breakdown'!$U$6:$U$174, 'Expenditure Breakdown'!$T$6:$T$174, "&gt;="&amp;AKO1,'Expenditure Breakdown'!$T$6:$T$174, "&lt;"&amp;AKP1)</f>
        <v>0</v>
      </c>
      <c r="AKP17" s="125">
        <f>SUMIFS('Expenditure Breakdown'!$U$6:$U$174, 'Expenditure Breakdown'!$T$6:$T$174, "&gt;="&amp;AKP1,'Expenditure Breakdown'!$T$6:$T$174, "&lt;"&amp;AKQ1)</f>
        <v>0</v>
      </c>
      <c r="AKQ17" s="125">
        <f>SUMIFS('Expenditure Breakdown'!$U$6:$U$174, 'Expenditure Breakdown'!$T$6:$T$174, "&gt;="&amp;AKQ1,'Expenditure Breakdown'!$T$6:$T$174, "&lt;"&amp;AKR1)</f>
        <v>0</v>
      </c>
      <c r="AKR17" s="125">
        <f>SUMIFS('Expenditure Breakdown'!$U$6:$U$174, 'Expenditure Breakdown'!$T$6:$T$174, "&gt;="&amp;AKR1,'Expenditure Breakdown'!$T$6:$T$174, "&lt;"&amp;AKS1)</f>
        <v>0</v>
      </c>
      <c r="AKS17" s="125">
        <f>SUMIFS('Expenditure Breakdown'!$U$6:$U$174, 'Expenditure Breakdown'!$T$6:$T$174, "&gt;="&amp;AKS1,'Expenditure Breakdown'!$T$6:$T$174, "&lt;"&amp;AKT1)</f>
        <v>0</v>
      </c>
      <c r="AKT17" s="125">
        <f>SUMIFS('Expenditure Breakdown'!$U$6:$U$174, 'Expenditure Breakdown'!$T$6:$T$174, "&gt;="&amp;AKT1,'Expenditure Breakdown'!$T$6:$T$174, "&lt;"&amp;AKU1)</f>
        <v>0</v>
      </c>
      <c r="AKU17" s="125">
        <f>SUMIFS('Expenditure Breakdown'!$U$6:$U$174, 'Expenditure Breakdown'!$T$6:$T$174, "&gt;="&amp;AKU1,'Expenditure Breakdown'!$T$6:$T$174, "&lt;"&amp;AKV1)</f>
        <v>0</v>
      </c>
      <c r="AKV17" s="125">
        <f>SUMIFS('Expenditure Breakdown'!$U$6:$U$174, 'Expenditure Breakdown'!$T$6:$T$174, "&gt;="&amp;AKV1,'Expenditure Breakdown'!$T$6:$T$174, "&lt;"&amp;AKW1)</f>
        <v>0</v>
      </c>
      <c r="AKW17" s="125">
        <f>SUMIFS('Expenditure Breakdown'!$U$6:$U$174, 'Expenditure Breakdown'!$T$6:$T$174, "&gt;="&amp;AKW1,'Expenditure Breakdown'!$T$6:$T$174, "&lt;"&amp;AKX1)</f>
        <v>0</v>
      </c>
      <c r="AKX17" s="125">
        <f>SUMIFS('Expenditure Breakdown'!$U$6:$U$174, 'Expenditure Breakdown'!$T$6:$T$174, "&gt;="&amp;AKX1,'Expenditure Breakdown'!$T$6:$T$174, "&lt;"&amp;AKY1)</f>
        <v>0</v>
      </c>
      <c r="AKY17" s="125">
        <f>SUMIFS('Expenditure Breakdown'!$U$6:$U$174, 'Expenditure Breakdown'!$T$6:$T$174, "&gt;="&amp;AKY1,'Expenditure Breakdown'!$T$6:$T$174, "&lt;"&amp;AKZ1)</f>
        <v>0</v>
      </c>
      <c r="AKZ17" s="125">
        <f>SUMIFS('Expenditure Breakdown'!$U$6:$U$174, 'Expenditure Breakdown'!$T$6:$T$174, "&gt;="&amp;AKZ1,'Expenditure Breakdown'!$T$6:$T$174, "&lt;"&amp;ALA1)</f>
        <v>0</v>
      </c>
      <c r="ALA17" s="125">
        <f>SUMIFS('Expenditure Breakdown'!$U$6:$U$174, 'Expenditure Breakdown'!$T$6:$T$174, "&gt;="&amp;ALA1,'Expenditure Breakdown'!$T$6:$T$174, "&lt;"&amp;ALB1)</f>
        <v>0</v>
      </c>
      <c r="ALB17" s="125">
        <f>SUMIFS('Expenditure Breakdown'!$U$6:$U$174, 'Expenditure Breakdown'!$T$6:$T$174, "&gt;="&amp;ALB1,'Expenditure Breakdown'!$T$6:$T$174, "&lt;"&amp;ALC1)</f>
        <v>0</v>
      </c>
      <c r="ALC17" s="125">
        <f>SUMIFS('Expenditure Breakdown'!$U$6:$U$174, 'Expenditure Breakdown'!$T$6:$T$174, "&gt;="&amp;ALC1,'Expenditure Breakdown'!$T$6:$T$174, "&lt;"&amp;ALD1)</f>
        <v>0</v>
      </c>
      <c r="ALD17" s="125">
        <f>SUMIFS('Expenditure Breakdown'!$U$6:$U$174, 'Expenditure Breakdown'!$T$6:$T$174, "&gt;="&amp;ALD1,'Expenditure Breakdown'!$T$6:$T$174, "&lt;"&amp;ALE1)</f>
        <v>0</v>
      </c>
      <c r="ALE17" s="125">
        <f>SUMIFS('Expenditure Breakdown'!$U$6:$U$174, 'Expenditure Breakdown'!$T$6:$T$174, "&gt;="&amp;ALE1,'Expenditure Breakdown'!$T$6:$T$174, "&lt;"&amp;ALF1)</f>
        <v>0</v>
      </c>
      <c r="ALF17" s="125">
        <f>SUMIFS('Expenditure Breakdown'!$U$6:$U$174, 'Expenditure Breakdown'!$T$6:$T$174, "&gt;="&amp;ALF1,'Expenditure Breakdown'!$T$6:$T$174, "&lt;"&amp;ALG1)</f>
        <v>0</v>
      </c>
      <c r="ALG17" s="125">
        <f>SUMIFS('Expenditure Breakdown'!$U$6:$U$174, 'Expenditure Breakdown'!$T$6:$T$174, "&gt;="&amp;ALG1,'Expenditure Breakdown'!$T$6:$T$174, "&lt;"&amp;ALH1)</f>
        <v>0</v>
      </c>
      <c r="ALH17" s="125">
        <f>SUMIFS('Expenditure Breakdown'!$U$6:$U$174, 'Expenditure Breakdown'!$T$6:$T$174, "&gt;="&amp;ALH1,'Expenditure Breakdown'!$T$6:$T$174, "&lt;"&amp;ALI1)</f>
        <v>0</v>
      </c>
      <c r="ALI17" s="125">
        <f>SUMIFS('Expenditure Breakdown'!$U$6:$U$174, 'Expenditure Breakdown'!$T$6:$T$174, "&gt;="&amp;ALI1,'Expenditure Breakdown'!$T$6:$T$174, "&lt;"&amp;ALJ1)</f>
        <v>0</v>
      </c>
      <c r="ALJ17" s="125">
        <f>SUMIFS('Expenditure Breakdown'!$U$6:$U$174, 'Expenditure Breakdown'!$T$6:$T$174, "&gt;="&amp;ALJ1,'Expenditure Breakdown'!$T$6:$T$174, "&lt;"&amp;ALK1)</f>
        <v>0</v>
      </c>
      <c r="ALK17" s="125">
        <f>SUMIFS('Expenditure Breakdown'!$U$6:$U$174, 'Expenditure Breakdown'!$T$6:$T$174, "&gt;="&amp;ALK1,'Expenditure Breakdown'!$T$6:$T$174, "&lt;"&amp;ALL1)</f>
        <v>0</v>
      </c>
      <c r="ALL17" s="125">
        <f>SUMIFS('Expenditure Breakdown'!$U$6:$U$174, 'Expenditure Breakdown'!$T$6:$T$174, "&gt;="&amp;ALL1,'Expenditure Breakdown'!$T$6:$T$174, "&lt;"&amp;ALM1)</f>
        <v>0</v>
      </c>
      <c r="ALM17" s="125">
        <f>SUMIFS('Expenditure Breakdown'!$U$6:$U$174, 'Expenditure Breakdown'!$T$6:$T$174, "&gt;="&amp;ALM1,'Expenditure Breakdown'!$T$6:$T$174, "&lt;"&amp;ALN1)</f>
        <v>0</v>
      </c>
      <c r="ALN17" s="125">
        <f>SUMIFS('Expenditure Breakdown'!$U$6:$U$174, 'Expenditure Breakdown'!$T$6:$T$174, "&gt;="&amp;ALN1,'Expenditure Breakdown'!$T$6:$T$174, "&lt;"&amp;ALO1)</f>
        <v>0</v>
      </c>
      <c r="ALO17" s="125">
        <f>SUMIFS('Expenditure Breakdown'!$U$6:$U$174, 'Expenditure Breakdown'!$T$6:$T$174, "&gt;="&amp;ALO1,'Expenditure Breakdown'!$T$6:$T$174, "&lt;"&amp;ALP1)</f>
        <v>0</v>
      </c>
      <c r="ALP17" s="125">
        <f>SUMIFS('Expenditure Breakdown'!$U$6:$U$174, 'Expenditure Breakdown'!$T$6:$T$174, "&gt;="&amp;ALP1,'Expenditure Breakdown'!$T$6:$T$174, "&lt;"&amp;ALQ1)</f>
        <v>0</v>
      </c>
      <c r="ALQ17" s="125">
        <f>SUMIFS('Expenditure Breakdown'!$U$6:$U$174, 'Expenditure Breakdown'!$T$6:$T$174, "&gt;="&amp;ALQ1,'Expenditure Breakdown'!$T$6:$T$174, "&lt;"&amp;ALR1)</f>
        <v>0</v>
      </c>
      <c r="ALR17" s="125">
        <f>SUMIFS('Expenditure Breakdown'!$U$6:$U$174, 'Expenditure Breakdown'!$T$6:$T$174, "&gt;="&amp;ALR1,'Expenditure Breakdown'!$T$6:$T$174, "&lt;"&amp;ALS1)</f>
        <v>0</v>
      </c>
      <c r="ALS17" s="125">
        <f>SUMIFS('Expenditure Breakdown'!$U$6:$U$174, 'Expenditure Breakdown'!$T$6:$T$174, "&gt;="&amp;ALS1,'Expenditure Breakdown'!$T$6:$T$174, "&lt;"&amp;ALT1)</f>
        <v>0</v>
      </c>
      <c r="ALT17" s="125">
        <f>SUMIFS('Expenditure Breakdown'!$U$6:$U$174, 'Expenditure Breakdown'!$T$6:$T$174, "&gt;="&amp;ALT1,'Expenditure Breakdown'!$T$6:$T$174, "&lt;"&amp;ALU1)</f>
        <v>0</v>
      </c>
      <c r="ALU17" s="125">
        <f>SUMIFS('Expenditure Breakdown'!$U$6:$U$174, 'Expenditure Breakdown'!$T$6:$T$174, "&gt;="&amp;ALU1,'Expenditure Breakdown'!$T$6:$T$174, "&lt;"&amp;ALV1)</f>
        <v>0</v>
      </c>
      <c r="ALV17" s="125">
        <f>SUMIFS('Expenditure Breakdown'!$U$6:$U$174, 'Expenditure Breakdown'!$T$6:$T$174, "&gt;="&amp;ALV1,'Expenditure Breakdown'!$T$6:$T$174, "&lt;"&amp;ALW1)</f>
        <v>0</v>
      </c>
      <c r="ALW17" s="125">
        <f>SUMIFS('Expenditure Breakdown'!$U$6:$U$174, 'Expenditure Breakdown'!$T$6:$T$174, "&gt;="&amp;ALW1,'Expenditure Breakdown'!$T$6:$T$174, "&lt;"&amp;ALX1)</f>
        <v>0</v>
      </c>
      <c r="ALX17" s="125">
        <f>SUMIFS('Expenditure Breakdown'!$U$6:$U$174, 'Expenditure Breakdown'!$T$6:$T$174, "&gt;="&amp;ALX1,'Expenditure Breakdown'!$T$6:$T$174, "&lt;"&amp;ALY1)</f>
        <v>0</v>
      </c>
      <c r="ALY17" s="125">
        <f>SUMIFS('Expenditure Breakdown'!$U$6:$U$174, 'Expenditure Breakdown'!$T$6:$T$174, "&gt;="&amp;ALY1,'Expenditure Breakdown'!$T$6:$T$174, "&lt;"&amp;ALZ1)</f>
        <v>0</v>
      </c>
      <c r="ALZ17" s="125">
        <f>SUMIFS('Expenditure Breakdown'!$U$6:$U$174, 'Expenditure Breakdown'!$T$6:$T$174, "&gt;="&amp;ALZ1,'Expenditure Breakdown'!$T$6:$T$174, "&lt;"&amp;AMA1)</f>
        <v>0</v>
      </c>
      <c r="AMA17" s="125">
        <f>SUMIFS('Expenditure Breakdown'!$U$6:$U$174, 'Expenditure Breakdown'!$T$6:$T$174, "&gt;="&amp;AMA1,'Expenditure Breakdown'!$T$6:$T$174, "&lt;"&amp;AMB1)</f>
        <v>0</v>
      </c>
      <c r="AMB17" s="125">
        <f>SUMIFS('Expenditure Breakdown'!$U$6:$U$174, 'Expenditure Breakdown'!$T$6:$T$174, "&gt;="&amp;AMB1,'Expenditure Breakdown'!$T$6:$T$174, "&lt;"&amp;AMC1)</f>
        <v>0</v>
      </c>
      <c r="AMC17" s="125">
        <f>SUMIFS('Expenditure Breakdown'!$U$6:$U$174, 'Expenditure Breakdown'!$T$6:$T$174, "&gt;="&amp;AMC1,'Expenditure Breakdown'!$T$6:$T$174, "&lt;"&amp;AMD1)</f>
        <v>0</v>
      </c>
      <c r="AMD17" s="125">
        <f>SUMIFS('Expenditure Breakdown'!$U$6:$U$174, 'Expenditure Breakdown'!$T$6:$T$174, "&gt;="&amp;AMD1,'Expenditure Breakdown'!$T$6:$T$174, "&lt;"&amp;AME1)</f>
        <v>0</v>
      </c>
      <c r="AME17" s="125">
        <f>SUMIFS('Expenditure Breakdown'!$U$6:$U$174, 'Expenditure Breakdown'!$T$6:$T$174, "&gt;="&amp;AME1,'Expenditure Breakdown'!$T$6:$T$174, "&lt;"&amp;AMF1)</f>
        <v>0</v>
      </c>
      <c r="AMF17" s="125">
        <f>SUMIFS('Expenditure Breakdown'!$U$6:$U$174, 'Expenditure Breakdown'!$T$6:$T$174, "&gt;="&amp;AMF1,'Expenditure Breakdown'!$T$6:$T$174, "&lt;"&amp;AMG1)</f>
        <v>0</v>
      </c>
      <c r="AMG17" s="125">
        <f>SUMIFS('Expenditure Breakdown'!$U$6:$U$174, 'Expenditure Breakdown'!$T$6:$T$174, "&gt;="&amp;AMG1,'Expenditure Breakdown'!$T$6:$T$174, "&lt;"&amp;AMH1)</f>
        <v>0</v>
      </c>
      <c r="AMH17" s="125">
        <f>SUMIFS('Expenditure Breakdown'!$U$6:$U$174, 'Expenditure Breakdown'!$T$6:$T$174, "&gt;="&amp;AMH1,'Expenditure Breakdown'!$T$6:$T$174, "&lt;"&amp;AMI1)</f>
        <v>0</v>
      </c>
      <c r="AMI17" s="125">
        <f>SUMIFS('Expenditure Breakdown'!$U$6:$U$174, 'Expenditure Breakdown'!$T$6:$T$174, "&gt;="&amp;AMI1,'Expenditure Breakdown'!$T$6:$T$174, "&lt;"&amp;AMJ1)</f>
        <v>0</v>
      </c>
      <c r="AMJ17" s="125">
        <f>SUMIFS('Expenditure Breakdown'!$U$6:$U$174, 'Expenditure Breakdown'!$T$6:$T$174, "&gt;="&amp;AMJ1,'Expenditure Breakdown'!$T$6:$T$174, "&lt;"&amp;AMK1)</f>
        <v>0</v>
      </c>
      <c r="AMK17" s="125">
        <f>SUMIFS('Expenditure Breakdown'!$U$6:$U$174, 'Expenditure Breakdown'!$T$6:$T$174, "&gt;="&amp;AMK1,'Expenditure Breakdown'!$T$6:$T$174, "&lt;"&amp;AML1)</f>
        <v>0</v>
      </c>
      <c r="AML17" s="125">
        <f>SUMIFS('Expenditure Breakdown'!$U$6:$U$174, 'Expenditure Breakdown'!$T$6:$T$174, "&gt;="&amp;AML1,'Expenditure Breakdown'!$T$6:$T$174, "&lt;"&amp;AMM1)</f>
        <v>0</v>
      </c>
      <c r="AMM17" s="125">
        <f>SUMIFS('Expenditure Breakdown'!$U$6:$U$174, 'Expenditure Breakdown'!$T$6:$T$174, "&gt;="&amp;AMM1,'Expenditure Breakdown'!$T$6:$T$174, "&lt;"&amp;AMN1)</f>
        <v>0</v>
      </c>
      <c r="AMN17" s="125">
        <f>SUMIFS('Expenditure Breakdown'!$U$6:$U$174, 'Expenditure Breakdown'!$T$6:$T$174, "&gt;="&amp;AMN1,'Expenditure Breakdown'!$T$6:$T$174, "&lt;"&amp;AMO1)</f>
        <v>0</v>
      </c>
      <c r="AMO17" s="125">
        <f>SUMIFS('Expenditure Breakdown'!$U$6:$U$174, 'Expenditure Breakdown'!$T$6:$T$174, "&gt;="&amp;AMO1,'Expenditure Breakdown'!$T$6:$T$174, "&lt;"&amp;AMP1)</f>
        <v>0</v>
      </c>
      <c r="AMP17" s="125">
        <f>SUMIFS('Expenditure Breakdown'!$U$6:$U$174, 'Expenditure Breakdown'!$T$6:$T$174, "&gt;="&amp;AMP1,'Expenditure Breakdown'!$T$6:$T$174, "&lt;"&amp;AMQ1)</f>
        <v>0</v>
      </c>
      <c r="AMQ17" s="125">
        <f>SUMIFS('Expenditure Breakdown'!$U$6:$U$174, 'Expenditure Breakdown'!$T$6:$T$174, "&gt;="&amp;AMQ1,'Expenditure Breakdown'!$T$6:$T$174, "&lt;"&amp;AMR1)</f>
        <v>0</v>
      </c>
      <c r="AMR17" s="125">
        <f>SUMIFS('Expenditure Breakdown'!$U$6:$U$174, 'Expenditure Breakdown'!$T$6:$T$174, "&gt;="&amp;AMR1,'Expenditure Breakdown'!$T$6:$T$174, "&lt;"&amp;AMS1)</f>
        <v>0</v>
      </c>
      <c r="AMS17" s="125">
        <f>SUMIFS('Expenditure Breakdown'!$U$6:$U$174, 'Expenditure Breakdown'!$T$6:$T$174, "&gt;="&amp;AMS1,'Expenditure Breakdown'!$T$6:$T$174, "&lt;"&amp;AMT1)</f>
        <v>0</v>
      </c>
      <c r="AMT17" s="125">
        <f>SUMIFS('Expenditure Breakdown'!$U$6:$U$174, 'Expenditure Breakdown'!$T$6:$T$174, "&gt;="&amp;AMT1,'Expenditure Breakdown'!$T$6:$T$174, "&lt;"&amp;AMU1)</f>
        <v>0</v>
      </c>
      <c r="AMU17" s="125">
        <f>SUMIFS('Expenditure Breakdown'!$U$6:$U$174, 'Expenditure Breakdown'!$T$6:$T$174, "&gt;="&amp;AMU1,'Expenditure Breakdown'!$T$6:$T$174, "&lt;"&amp;AMV1)</f>
        <v>0</v>
      </c>
      <c r="AMV17" s="125">
        <f>SUMIFS('Expenditure Breakdown'!$U$6:$U$174, 'Expenditure Breakdown'!$T$6:$T$174, "&gt;="&amp;AMV1,'Expenditure Breakdown'!$T$6:$T$174, "&lt;"&amp;AMW1)</f>
        <v>0</v>
      </c>
      <c r="AMW17" s="125">
        <f>SUMIFS('Expenditure Breakdown'!$U$6:$U$174, 'Expenditure Breakdown'!$T$6:$T$174, "&gt;="&amp;AMW1,'Expenditure Breakdown'!$T$6:$T$174, "&lt;"&amp;AMX1)</f>
        <v>0</v>
      </c>
      <c r="AMX17" s="125">
        <f>SUMIFS('Expenditure Breakdown'!$U$6:$U$174, 'Expenditure Breakdown'!$T$6:$T$174, "&gt;="&amp;AMX1,'Expenditure Breakdown'!$T$6:$T$174, "&lt;"&amp;AMY1)</f>
        <v>0</v>
      </c>
      <c r="AMY17" s="125">
        <f>SUMIFS('Expenditure Breakdown'!$U$6:$U$174, 'Expenditure Breakdown'!$T$6:$T$174, "&gt;="&amp;AMY1,'Expenditure Breakdown'!$T$6:$T$174, "&lt;"&amp;AMZ1)</f>
        <v>0</v>
      </c>
      <c r="AMZ17" s="125">
        <f>SUMIFS('Expenditure Breakdown'!$U$6:$U$174, 'Expenditure Breakdown'!$T$6:$T$174, "&gt;="&amp;AMZ1,'Expenditure Breakdown'!$T$6:$T$174, "&lt;"&amp;ANA1)</f>
        <v>0</v>
      </c>
      <c r="ANA17" s="125">
        <f>SUMIFS('Expenditure Breakdown'!$U$6:$U$174, 'Expenditure Breakdown'!$T$6:$T$174, "&gt;="&amp;ANA1,'Expenditure Breakdown'!$T$6:$T$174, "&lt;"&amp;ANB1)</f>
        <v>0</v>
      </c>
      <c r="ANB17" s="125">
        <f>SUMIFS('Expenditure Breakdown'!$U$6:$U$174, 'Expenditure Breakdown'!$T$6:$T$174, "&gt;="&amp;ANB1,'Expenditure Breakdown'!$T$6:$T$174, "&lt;"&amp;ANC1)</f>
        <v>0</v>
      </c>
      <c r="ANC17" s="125">
        <f>SUMIFS('Expenditure Breakdown'!$U$6:$U$174, 'Expenditure Breakdown'!$T$6:$T$174, "&gt;="&amp;ANC1,'Expenditure Breakdown'!$T$6:$T$174, "&lt;"&amp;AND1)</f>
        <v>0</v>
      </c>
      <c r="AND17" s="125">
        <f>SUMIFS('Expenditure Breakdown'!$U$6:$U$174, 'Expenditure Breakdown'!$T$6:$T$174, "&gt;="&amp;AND1,'Expenditure Breakdown'!$T$6:$T$174, "&lt;"&amp;ANE1)</f>
        <v>0</v>
      </c>
      <c r="ANE17" s="125">
        <f>SUMIFS('Expenditure Breakdown'!$U$6:$U$174, 'Expenditure Breakdown'!$T$6:$T$174, "&gt;="&amp;ANE1,'Expenditure Breakdown'!$T$6:$T$174, "&lt;"&amp;ANF1)</f>
        <v>0</v>
      </c>
      <c r="ANF17" s="125">
        <f>SUMIFS('Expenditure Breakdown'!$U$6:$U$174, 'Expenditure Breakdown'!$T$6:$T$174, "&gt;="&amp;ANF1,'Expenditure Breakdown'!$T$6:$T$174, "&lt;"&amp;ANG1)</f>
        <v>0</v>
      </c>
      <c r="ANG17" s="125">
        <f>SUMIFS('Expenditure Breakdown'!$U$6:$U$174, 'Expenditure Breakdown'!$T$6:$T$174, "&gt;="&amp;ANG1,'Expenditure Breakdown'!$T$6:$T$174, "&lt;"&amp;ANH1)</f>
        <v>0</v>
      </c>
      <c r="ANH17" s="125">
        <f>SUMIFS('Expenditure Breakdown'!$U$6:$U$174, 'Expenditure Breakdown'!$T$6:$T$174, "&gt;="&amp;ANH1,'Expenditure Breakdown'!$T$6:$T$174, "&lt;"&amp;ANI1)</f>
        <v>0</v>
      </c>
      <c r="ANI17" s="125">
        <f>SUMIFS('Expenditure Breakdown'!$U$6:$U$174, 'Expenditure Breakdown'!$T$6:$T$174, "&gt;="&amp;ANI1,'Expenditure Breakdown'!$T$6:$T$174, "&lt;"&amp;ANJ1)</f>
        <v>0</v>
      </c>
      <c r="ANJ17" s="125">
        <f>SUMIFS('Expenditure Breakdown'!$U$6:$U$174, 'Expenditure Breakdown'!$T$6:$T$174, "&gt;="&amp;ANJ1,'Expenditure Breakdown'!$T$6:$T$174, "&lt;"&amp;ANK1)</f>
        <v>0</v>
      </c>
      <c r="ANK17" s="125">
        <f>SUMIFS('Expenditure Breakdown'!$U$6:$U$174, 'Expenditure Breakdown'!$T$6:$T$174, "&gt;="&amp;ANK1,'Expenditure Breakdown'!$T$6:$T$174, "&lt;"&amp;ANL1)</f>
        <v>0</v>
      </c>
      <c r="ANL17" s="125">
        <f>SUMIFS('Expenditure Breakdown'!$U$6:$U$174, 'Expenditure Breakdown'!$T$6:$T$174, "&gt;="&amp;ANL1,'Expenditure Breakdown'!$T$6:$T$174, "&lt;"&amp;ANM1)</f>
        <v>0</v>
      </c>
      <c r="ANM17" s="125">
        <f>SUMIFS('Expenditure Breakdown'!$U$6:$U$174, 'Expenditure Breakdown'!$T$6:$T$174, "&gt;="&amp;ANM1,'Expenditure Breakdown'!$T$6:$T$174, "&lt;"&amp;ANN1)</f>
        <v>0</v>
      </c>
      <c r="ANN17" s="125">
        <f>SUMIFS('Expenditure Breakdown'!$U$6:$U$174, 'Expenditure Breakdown'!$T$6:$T$174, "&gt;="&amp;ANN1,'Expenditure Breakdown'!$T$6:$T$174, "&lt;"&amp;ANO1)</f>
        <v>0</v>
      </c>
      <c r="ANO17" s="125">
        <f>SUMIFS('Expenditure Breakdown'!$U$6:$U$174, 'Expenditure Breakdown'!$T$6:$T$174, "&gt;="&amp;ANO1,'Expenditure Breakdown'!$T$6:$T$174, "&lt;"&amp;ANP1)</f>
        <v>0</v>
      </c>
      <c r="ANP17" s="125">
        <f>SUMIFS('Expenditure Breakdown'!$U$6:$U$174, 'Expenditure Breakdown'!$T$6:$T$174, "&gt;="&amp;ANP1,'Expenditure Breakdown'!$T$6:$T$174, "&lt;"&amp;ANQ1)</f>
        <v>0</v>
      </c>
      <c r="ANQ17" s="125">
        <f>SUMIFS('Expenditure Breakdown'!$U$6:$U$174, 'Expenditure Breakdown'!$T$6:$T$174, "&gt;="&amp;ANQ1,'Expenditure Breakdown'!$T$6:$T$174, "&lt;"&amp;ANR1)</f>
        <v>0</v>
      </c>
      <c r="ANR17" s="125">
        <f>SUMIFS('Expenditure Breakdown'!$U$6:$U$174, 'Expenditure Breakdown'!$T$6:$T$174, "&gt;="&amp;ANR1,'Expenditure Breakdown'!$T$6:$T$174, "&lt;"&amp;ANS1)</f>
        <v>0</v>
      </c>
      <c r="ANS17" s="125">
        <f>SUMIFS('Expenditure Breakdown'!$U$6:$U$174, 'Expenditure Breakdown'!$T$6:$T$174, "&gt;="&amp;ANS1,'Expenditure Breakdown'!$T$6:$T$174, "&lt;"&amp;ANT1)</f>
        <v>0</v>
      </c>
      <c r="ANT17" s="125">
        <f>SUMIFS('Expenditure Breakdown'!$U$6:$U$174, 'Expenditure Breakdown'!$T$6:$T$174, "&gt;="&amp;ANT1,'Expenditure Breakdown'!$T$6:$T$174, "&lt;"&amp;ANU1)</f>
        <v>0</v>
      </c>
      <c r="ANU17" s="125">
        <f>SUMIFS('Expenditure Breakdown'!$U$6:$U$174, 'Expenditure Breakdown'!$T$6:$T$174, "&gt;="&amp;ANU1,'Expenditure Breakdown'!$T$6:$T$174, "&lt;"&amp;ANV1)</f>
        <v>0</v>
      </c>
      <c r="ANV17" s="125">
        <f>SUMIFS('Expenditure Breakdown'!$U$6:$U$174, 'Expenditure Breakdown'!$T$6:$T$174, "&gt;="&amp;ANV1,'Expenditure Breakdown'!$T$6:$T$174, "&lt;"&amp;ANW1)</f>
        <v>0</v>
      </c>
      <c r="ANW17" s="125">
        <f>SUMIFS('Expenditure Breakdown'!$U$6:$U$174, 'Expenditure Breakdown'!$T$6:$T$174, "&gt;="&amp;ANW1,'Expenditure Breakdown'!$T$6:$T$174, "&lt;"&amp;ANX1)</f>
        <v>0</v>
      </c>
      <c r="ANX17" s="125">
        <f>SUMIFS('Expenditure Breakdown'!$U$6:$U$174, 'Expenditure Breakdown'!$T$6:$T$174, "&gt;="&amp;ANX1,'Expenditure Breakdown'!$T$6:$T$174, "&lt;"&amp;ANY1)</f>
        <v>0</v>
      </c>
      <c r="ANY17" s="125">
        <f>SUMIFS('Expenditure Breakdown'!$U$6:$U$174, 'Expenditure Breakdown'!$T$6:$T$174, "&gt;="&amp;ANY1,'Expenditure Breakdown'!$T$6:$T$174, "&lt;"&amp;ANZ1)</f>
        <v>0</v>
      </c>
      <c r="ANZ17" s="125">
        <f>SUMIFS('Expenditure Breakdown'!$U$6:$U$174, 'Expenditure Breakdown'!$T$6:$T$174, "&gt;="&amp;ANZ1,'Expenditure Breakdown'!$T$6:$T$174, "&lt;"&amp;AOA1)</f>
        <v>0</v>
      </c>
      <c r="AOA17" s="125">
        <f>SUMIFS('Expenditure Breakdown'!$U$6:$U$174, 'Expenditure Breakdown'!$T$6:$T$174, "&gt;="&amp;AOA1,'Expenditure Breakdown'!$T$6:$T$174, "&lt;"&amp;AOB1)</f>
        <v>0</v>
      </c>
      <c r="AOB17" s="125">
        <f>SUMIFS('Expenditure Breakdown'!$U$6:$U$174, 'Expenditure Breakdown'!$T$6:$T$174, "&gt;="&amp;AOB1,'Expenditure Breakdown'!$T$6:$T$174, "&lt;"&amp;AOC1)</f>
        <v>0</v>
      </c>
      <c r="AOC17" s="125">
        <f>SUMIFS('Expenditure Breakdown'!$U$6:$U$174, 'Expenditure Breakdown'!$T$6:$T$174, "&gt;="&amp;AOC1,'Expenditure Breakdown'!$T$6:$T$174, "&lt;"&amp;AOD1)</f>
        <v>0</v>
      </c>
      <c r="AOD17" s="125">
        <f>SUMIFS('Expenditure Breakdown'!$U$6:$U$174, 'Expenditure Breakdown'!$T$6:$T$174, "&gt;="&amp;AOD1,'Expenditure Breakdown'!$T$6:$T$174, "&lt;"&amp;AOE1)</f>
        <v>0</v>
      </c>
      <c r="AOE17" s="125">
        <f>SUMIFS('Expenditure Breakdown'!$U$6:$U$174, 'Expenditure Breakdown'!$T$6:$T$174, "&gt;="&amp;AOE1,'Expenditure Breakdown'!$T$6:$T$174, "&lt;"&amp;AOF1)</f>
        <v>0</v>
      </c>
      <c r="AOF17" s="125">
        <f>SUMIFS('Expenditure Breakdown'!$U$6:$U$174, 'Expenditure Breakdown'!$T$6:$T$174, "&gt;="&amp;AOF1,'Expenditure Breakdown'!$T$6:$T$174, "&lt;"&amp;AOG1)</f>
        <v>0</v>
      </c>
      <c r="AOG17" s="125">
        <f>SUMIFS('Expenditure Breakdown'!$U$6:$U$174, 'Expenditure Breakdown'!$T$6:$T$174, "&gt;="&amp;AOG1,'Expenditure Breakdown'!$T$6:$T$174, "&lt;"&amp;AOH1)</f>
        <v>0</v>
      </c>
      <c r="AOH17" s="125">
        <f>SUMIFS('Expenditure Breakdown'!$U$6:$U$174, 'Expenditure Breakdown'!$T$6:$T$174, "&gt;="&amp;AOH1,'Expenditure Breakdown'!$T$6:$T$174, "&lt;"&amp;AOI1)</f>
        <v>0</v>
      </c>
      <c r="AOI17" s="125">
        <f>SUMIFS('Expenditure Breakdown'!$U$6:$U$174, 'Expenditure Breakdown'!$T$6:$T$174, "&gt;="&amp;AOI1,'Expenditure Breakdown'!$T$6:$T$174, "&lt;"&amp;AOJ1)</f>
        <v>0</v>
      </c>
      <c r="AOJ17" s="125">
        <f>SUMIFS('Expenditure Breakdown'!$U$6:$U$174, 'Expenditure Breakdown'!$T$6:$T$174, "&gt;="&amp;AOJ1,'Expenditure Breakdown'!$T$6:$T$174, "&lt;"&amp;AOK1)</f>
        <v>0</v>
      </c>
      <c r="AOK17" s="125">
        <f>SUMIFS('Expenditure Breakdown'!$U$6:$U$174, 'Expenditure Breakdown'!$T$6:$T$174, "&gt;="&amp;AOK1,'Expenditure Breakdown'!$T$6:$T$174, "&lt;"&amp;AOL1)</f>
        <v>0</v>
      </c>
      <c r="AOL17" s="125">
        <f>SUMIFS('Expenditure Breakdown'!$U$6:$U$174, 'Expenditure Breakdown'!$T$6:$T$174, "&gt;="&amp;AOL1,'Expenditure Breakdown'!$T$6:$T$174, "&lt;"&amp;AOM1)</f>
        <v>0</v>
      </c>
      <c r="AOM17" s="125">
        <f>SUMIFS('Expenditure Breakdown'!$U$6:$U$174, 'Expenditure Breakdown'!$T$6:$T$174, "&gt;="&amp;AOM1,'Expenditure Breakdown'!$T$6:$T$174, "&lt;"&amp;AON1)</f>
        <v>0</v>
      </c>
      <c r="AON17" s="125">
        <f>SUMIFS('Expenditure Breakdown'!$U$6:$U$174, 'Expenditure Breakdown'!$T$6:$T$174, "&gt;="&amp;AON1,'Expenditure Breakdown'!$T$6:$T$174, "&lt;"&amp;AOO1)</f>
        <v>0</v>
      </c>
      <c r="AOO17" s="125">
        <f>SUMIFS('Expenditure Breakdown'!$U$6:$U$174, 'Expenditure Breakdown'!$T$6:$T$174, "&gt;="&amp;AOO1,'Expenditure Breakdown'!$T$6:$T$174, "&lt;"&amp;AOP1)</f>
        <v>0</v>
      </c>
      <c r="AOP17" s="125">
        <f>SUMIFS('Expenditure Breakdown'!$U$6:$U$174, 'Expenditure Breakdown'!$T$6:$T$174, "&gt;="&amp;AOP1,'Expenditure Breakdown'!$T$6:$T$174, "&lt;"&amp;AOQ1)</f>
        <v>0</v>
      </c>
      <c r="AOQ17" s="125">
        <f>SUMIFS('Expenditure Breakdown'!$U$6:$U$174, 'Expenditure Breakdown'!$T$6:$T$174, "&gt;="&amp;AOQ1,'Expenditure Breakdown'!$T$6:$T$174, "&lt;"&amp;AOR1)</f>
        <v>0</v>
      </c>
      <c r="AOR17" s="125">
        <f>SUMIFS('Expenditure Breakdown'!$U$6:$U$174, 'Expenditure Breakdown'!$T$6:$T$174, "&gt;="&amp;AOR1,'Expenditure Breakdown'!$T$6:$T$174, "&lt;"&amp;AOS1)</f>
        <v>0</v>
      </c>
      <c r="AOS17" s="125">
        <f>SUMIFS('Expenditure Breakdown'!$U$6:$U$174, 'Expenditure Breakdown'!$T$6:$T$174, "&gt;="&amp;AOS1,'Expenditure Breakdown'!$T$6:$T$174, "&lt;"&amp;AOT1)</f>
        <v>0</v>
      </c>
      <c r="AOT17" s="125">
        <f>SUMIFS('Expenditure Breakdown'!$U$6:$U$174, 'Expenditure Breakdown'!$T$6:$T$174, "&gt;="&amp;AOT1,'Expenditure Breakdown'!$T$6:$T$174, "&lt;"&amp;AOU1)</f>
        <v>0</v>
      </c>
      <c r="AOU17" s="125">
        <f>SUMIFS('Expenditure Breakdown'!$U$6:$U$174, 'Expenditure Breakdown'!$T$6:$T$174, "&gt;="&amp;AOU1,'Expenditure Breakdown'!$T$6:$T$174, "&lt;"&amp;AOV1)</f>
        <v>0</v>
      </c>
      <c r="AOV17" s="125">
        <f>SUMIFS('Expenditure Breakdown'!$U$6:$U$174, 'Expenditure Breakdown'!$T$6:$T$174, "&gt;="&amp;AOV1,'Expenditure Breakdown'!$T$6:$T$174, "&lt;"&amp;AOW1)</f>
        <v>0</v>
      </c>
      <c r="AOW17" s="125">
        <f>SUMIFS('Expenditure Breakdown'!$U$6:$U$174, 'Expenditure Breakdown'!$T$6:$T$174, "&gt;="&amp;AOW1,'Expenditure Breakdown'!$T$6:$T$174, "&lt;"&amp;AOX1)</f>
        <v>0</v>
      </c>
      <c r="AOX17" s="125">
        <f>SUMIFS('Expenditure Breakdown'!$U$6:$U$174, 'Expenditure Breakdown'!$T$6:$T$174, "&gt;="&amp;AOX1,'Expenditure Breakdown'!$T$6:$T$174, "&lt;"&amp;AOY1)</f>
        <v>0</v>
      </c>
      <c r="AOY17" s="125">
        <f>SUMIFS('Expenditure Breakdown'!$U$6:$U$174, 'Expenditure Breakdown'!$T$6:$T$174, "&gt;="&amp;AOY1,'Expenditure Breakdown'!$T$6:$T$174, "&lt;"&amp;AOZ1)</f>
        <v>0</v>
      </c>
      <c r="AOZ17" s="125">
        <f>SUMIFS('Expenditure Breakdown'!$U$6:$U$174, 'Expenditure Breakdown'!$T$6:$T$174, "&gt;="&amp;AOZ1,'Expenditure Breakdown'!$T$6:$T$174, "&lt;"&amp;APA1)</f>
        <v>0</v>
      </c>
      <c r="APA17" s="125">
        <f>SUMIFS('Expenditure Breakdown'!$U$6:$U$174, 'Expenditure Breakdown'!$T$6:$T$174, "&gt;="&amp;APA1,'Expenditure Breakdown'!$T$6:$T$174, "&lt;"&amp;APB1)</f>
        <v>0</v>
      </c>
      <c r="APB17" s="125">
        <f>SUMIFS('Expenditure Breakdown'!$U$6:$U$174, 'Expenditure Breakdown'!$T$6:$T$174, "&gt;="&amp;APB1,'Expenditure Breakdown'!$T$6:$T$174, "&lt;"&amp;APC1)</f>
        <v>0</v>
      </c>
      <c r="APC17" s="125">
        <f>SUMIFS('Expenditure Breakdown'!$U$6:$U$174, 'Expenditure Breakdown'!$T$6:$T$174, "&gt;="&amp;APC1,'Expenditure Breakdown'!$T$6:$T$174, "&lt;"&amp;APD1)</f>
        <v>0</v>
      </c>
      <c r="APD17" s="125">
        <f>SUMIFS('Expenditure Breakdown'!$U$6:$U$174, 'Expenditure Breakdown'!$T$6:$T$174, "&gt;="&amp;APD1,'Expenditure Breakdown'!$T$6:$T$174, "&lt;"&amp;APE1)</f>
        <v>0</v>
      </c>
      <c r="APE17" s="125">
        <f>SUMIFS('Expenditure Breakdown'!$U$6:$U$174, 'Expenditure Breakdown'!$T$6:$T$174, "&gt;="&amp;APE1,'Expenditure Breakdown'!$T$6:$T$174, "&lt;"&amp;APF1)</f>
        <v>0</v>
      </c>
      <c r="APF17" s="125">
        <f>SUMIFS('Expenditure Breakdown'!$U$6:$U$174, 'Expenditure Breakdown'!$T$6:$T$174, "&gt;="&amp;APF1,'Expenditure Breakdown'!$T$6:$T$174, "&lt;"&amp;APG1)</f>
        <v>0</v>
      </c>
      <c r="APG17" s="125">
        <f>SUMIFS('Expenditure Breakdown'!$U$6:$U$174, 'Expenditure Breakdown'!$T$6:$T$174, "&gt;="&amp;APG1,'Expenditure Breakdown'!$T$6:$T$174, "&lt;"&amp;APH1)</f>
        <v>0</v>
      </c>
      <c r="APH17" s="125">
        <f>SUMIFS('Expenditure Breakdown'!$U$6:$U$174, 'Expenditure Breakdown'!$T$6:$T$174, "&gt;="&amp;APH1,'Expenditure Breakdown'!$T$6:$T$174, "&lt;"&amp;API1)</f>
        <v>0</v>
      </c>
      <c r="API17" s="125">
        <f>SUMIFS('Expenditure Breakdown'!$U$6:$U$174, 'Expenditure Breakdown'!$T$6:$T$174, "&gt;="&amp;API1,'Expenditure Breakdown'!$T$6:$T$174, "&lt;"&amp;APJ1)</f>
        <v>0</v>
      </c>
      <c r="APJ17" s="125">
        <f>SUMIFS('Expenditure Breakdown'!$U$6:$U$174, 'Expenditure Breakdown'!$T$6:$T$174, "&gt;="&amp;APJ1,'Expenditure Breakdown'!$T$6:$T$174, "&lt;"&amp;APK1)</f>
        <v>0</v>
      </c>
      <c r="APK17" s="125">
        <f>SUMIFS('Expenditure Breakdown'!$U$6:$U$174, 'Expenditure Breakdown'!$T$6:$T$174, "&gt;="&amp;APK1,'Expenditure Breakdown'!$T$6:$T$174, "&lt;"&amp;APL1)</f>
        <v>0</v>
      </c>
      <c r="APL17" s="125">
        <f>SUMIFS('Expenditure Breakdown'!$U$6:$U$174, 'Expenditure Breakdown'!$T$6:$T$174, "&gt;="&amp;APL1,'Expenditure Breakdown'!$T$6:$T$174, "&lt;"&amp;APM1)</f>
        <v>0</v>
      </c>
      <c r="APM17" s="125">
        <f>SUMIFS('Expenditure Breakdown'!$U$6:$U$174, 'Expenditure Breakdown'!$T$6:$T$174, "&gt;="&amp;APM1,'Expenditure Breakdown'!$T$6:$T$174, "&lt;"&amp;APN1)</f>
        <v>0</v>
      </c>
      <c r="APN17" s="125">
        <f>SUMIFS('Expenditure Breakdown'!$U$6:$U$174, 'Expenditure Breakdown'!$T$6:$T$174, "&gt;="&amp;APN1,'Expenditure Breakdown'!$T$6:$T$174, "&lt;"&amp;APO1)</f>
        <v>0</v>
      </c>
      <c r="APO17" s="125">
        <f>SUMIFS('Expenditure Breakdown'!$U$6:$U$174, 'Expenditure Breakdown'!$T$6:$T$174, "&gt;="&amp;APO1,'Expenditure Breakdown'!$T$6:$T$174, "&lt;"&amp;APP1)</f>
        <v>0</v>
      </c>
      <c r="APP17" s="125">
        <f>SUMIFS('Expenditure Breakdown'!$U$6:$U$174, 'Expenditure Breakdown'!$T$6:$T$174, "&gt;="&amp;APP1,'Expenditure Breakdown'!$T$6:$T$174, "&lt;"&amp;APQ1)</f>
        <v>0</v>
      </c>
      <c r="APQ17" s="125">
        <f>SUMIFS('Expenditure Breakdown'!$U$6:$U$174, 'Expenditure Breakdown'!$T$6:$T$174, "&gt;="&amp;APQ1,'Expenditure Breakdown'!$T$6:$T$174, "&lt;"&amp;APR1)</f>
        <v>0</v>
      </c>
      <c r="APR17" s="125">
        <f>SUMIFS('Expenditure Breakdown'!$U$6:$U$174, 'Expenditure Breakdown'!$T$6:$T$174, "&gt;="&amp;APR1,'Expenditure Breakdown'!$T$6:$T$174, "&lt;"&amp;APS1)</f>
        <v>0</v>
      </c>
      <c r="APS17" s="125">
        <f>SUMIFS('Expenditure Breakdown'!$U$6:$U$174, 'Expenditure Breakdown'!$T$6:$T$174, "&gt;="&amp;APS1,'Expenditure Breakdown'!$T$6:$T$174, "&lt;"&amp;APT1)</f>
        <v>0</v>
      </c>
      <c r="APT17" s="125">
        <f>SUMIFS('Expenditure Breakdown'!$U$6:$U$174, 'Expenditure Breakdown'!$T$6:$T$174, "&gt;="&amp;APT1,'Expenditure Breakdown'!$T$6:$T$174, "&lt;"&amp;APU1)</f>
        <v>0</v>
      </c>
      <c r="APU17" s="125">
        <f>SUMIFS('Expenditure Breakdown'!$U$6:$U$174, 'Expenditure Breakdown'!$T$6:$T$174, "&gt;="&amp;APU1,'Expenditure Breakdown'!$T$6:$T$174, "&lt;"&amp;APV1)</f>
        <v>0</v>
      </c>
      <c r="APV17" s="125">
        <f>SUMIFS('Expenditure Breakdown'!$U$6:$U$174, 'Expenditure Breakdown'!$T$6:$T$174, "&gt;="&amp;APV1,'Expenditure Breakdown'!$T$6:$T$174, "&lt;"&amp;APW1)</f>
        <v>0</v>
      </c>
      <c r="APW17" s="125">
        <f>SUMIFS('Expenditure Breakdown'!$U$6:$U$174, 'Expenditure Breakdown'!$T$6:$T$174, "&gt;="&amp;APW1,'Expenditure Breakdown'!$T$6:$T$174, "&lt;"&amp;APX1)</f>
        <v>0</v>
      </c>
      <c r="APX17" s="125">
        <f>SUMIFS('Expenditure Breakdown'!$U$6:$U$174, 'Expenditure Breakdown'!$T$6:$T$174, "&gt;="&amp;APX1,'Expenditure Breakdown'!$T$6:$T$174, "&lt;"&amp;APY1)</f>
        <v>0</v>
      </c>
      <c r="APY17" s="125">
        <f>SUMIFS('Expenditure Breakdown'!$U$6:$U$174, 'Expenditure Breakdown'!$T$6:$T$174, "&gt;="&amp;APY1,'Expenditure Breakdown'!$T$6:$T$174, "&lt;"&amp;APZ1)</f>
        <v>0</v>
      </c>
      <c r="APZ17" s="125">
        <f>SUMIFS('Expenditure Breakdown'!$U$6:$U$174, 'Expenditure Breakdown'!$T$6:$T$174, "&gt;="&amp;APZ1,'Expenditure Breakdown'!$T$6:$T$174, "&lt;"&amp;AQA1)</f>
        <v>0</v>
      </c>
      <c r="AQA17" s="125">
        <f>SUMIFS('Expenditure Breakdown'!$U$6:$U$174, 'Expenditure Breakdown'!$T$6:$T$174, "&gt;="&amp;AQA1,'Expenditure Breakdown'!$T$6:$T$174, "&lt;"&amp;AQB1)</f>
        <v>0</v>
      </c>
      <c r="AQB17" s="125">
        <f>SUMIFS('Expenditure Breakdown'!$U$6:$U$174, 'Expenditure Breakdown'!$T$6:$T$174, "&gt;="&amp;AQB1,'Expenditure Breakdown'!$T$6:$T$174, "&lt;"&amp;AQC1)</f>
        <v>0</v>
      </c>
      <c r="AQC17" s="125">
        <f>SUMIFS('Expenditure Breakdown'!$U$6:$U$174, 'Expenditure Breakdown'!$T$6:$T$174, "&gt;="&amp;AQC1,'Expenditure Breakdown'!$T$6:$T$174, "&lt;"&amp;AQD1)</f>
        <v>0</v>
      </c>
      <c r="AQD17" s="125">
        <f>SUMIFS('Expenditure Breakdown'!$U$6:$U$174, 'Expenditure Breakdown'!$T$6:$T$174, "&gt;="&amp;AQD1,'Expenditure Breakdown'!$T$6:$T$174, "&lt;"&amp;AQE1)</f>
        <v>0</v>
      </c>
      <c r="AQE17" s="125">
        <f>SUMIFS('Expenditure Breakdown'!$U$6:$U$174, 'Expenditure Breakdown'!$T$6:$T$174, "&gt;="&amp;AQE1,'Expenditure Breakdown'!$T$6:$T$174, "&lt;"&amp;AQF1)</f>
        <v>0</v>
      </c>
      <c r="AQF17" s="125">
        <f>SUMIFS('Expenditure Breakdown'!$U$6:$U$174, 'Expenditure Breakdown'!$T$6:$T$174, "&gt;="&amp;AQF1,'Expenditure Breakdown'!$T$6:$T$174, "&lt;"&amp;AQG1)</f>
        <v>0</v>
      </c>
      <c r="AQG17" s="125">
        <f>SUMIFS('Expenditure Breakdown'!$U$6:$U$174, 'Expenditure Breakdown'!$T$6:$T$174, "&gt;="&amp;AQG1,'Expenditure Breakdown'!$T$6:$T$174, "&lt;"&amp;AQH1)</f>
        <v>0</v>
      </c>
      <c r="AQH17" s="125">
        <f>SUMIFS('Expenditure Breakdown'!$U$6:$U$174, 'Expenditure Breakdown'!$T$6:$T$174, "&gt;="&amp;AQH1,'Expenditure Breakdown'!$T$6:$T$174, "&lt;"&amp;AQI1)</f>
        <v>0</v>
      </c>
      <c r="AQI17" s="125">
        <f>SUMIFS('Expenditure Breakdown'!$U$6:$U$174, 'Expenditure Breakdown'!$T$6:$T$174, "&gt;="&amp;AQI1,'Expenditure Breakdown'!$T$6:$T$174, "&lt;"&amp;AQJ1)</f>
        <v>0</v>
      </c>
      <c r="AQJ17" s="125">
        <f>SUMIFS('Expenditure Breakdown'!$U$6:$U$174, 'Expenditure Breakdown'!$T$6:$T$174, "&gt;="&amp;AQJ1,'Expenditure Breakdown'!$T$6:$T$174, "&lt;"&amp;AQK1)</f>
        <v>0</v>
      </c>
      <c r="AQK17" s="125">
        <f>SUMIFS('Expenditure Breakdown'!$U$6:$U$174, 'Expenditure Breakdown'!$T$6:$T$174, "&gt;="&amp;AQK1,'Expenditure Breakdown'!$T$6:$T$174, "&lt;"&amp;AQL1)</f>
        <v>0</v>
      </c>
      <c r="AQL17" s="125">
        <f>SUMIFS('Expenditure Breakdown'!$U$6:$U$174, 'Expenditure Breakdown'!$T$6:$T$174, "&gt;="&amp;AQL1,'Expenditure Breakdown'!$T$6:$T$174, "&lt;"&amp;AQM1)</f>
        <v>0</v>
      </c>
      <c r="AQM17" s="125">
        <f>SUMIFS('Expenditure Breakdown'!$U$6:$U$174, 'Expenditure Breakdown'!$T$6:$T$174, "&gt;="&amp;AQM1,'Expenditure Breakdown'!$T$6:$T$174, "&lt;"&amp;AQN1)</f>
        <v>0</v>
      </c>
      <c r="AQN17" s="125">
        <f>SUMIFS('Expenditure Breakdown'!$U$6:$U$174, 'Expenditure Breakdown'!$T$6:$T$174, "&gt;="&amp;AQN1,'Expenditure Breakdown'!$T$6:$T$174, "&lt;"&amp;AQO1)</f>
        <v>0</v>
      </c>
      <c r="AQO17" s="125">
        <f>SUMIFS('Expenditure Breakdown'!$U$6:$U$174, 'Expenditure Breakdown'!$T$6:$T$174, "&gt;="&amp;AQO1,'Expenditure Breakdown'!$T$6:$T$174, "&lt;"&amp;AQP1)</f>
        <v>0</v>
      </c>
      <c r="AQP17" s="125">
        <f>SUMIFS('Expenditure Breakdown'!$U$6:$U$174, 'Expenditure Breakdown'!$T$6:$T$174, "&gt;="&amp;AQP1,'Expenditure Breakdown'!$T$6:$T$174, "&lt;"&amp;AQQ1)</f>
        <v>0</v>
      </c>
      <c r="AQQ17" s="125">
        <f>SUMIFS('Expenditure Breakdown'!$U$6:$U$174, 'Expenditure Breakdown'!$T$6:$T$174, "&gt;="&amp;AQQ1,'Expenditure Breakdown'!$T$6:$T$174, "&lt;"&amp;AQR1)</f>
        <v>0</v>
      </c>
      <c r="AQR17" s="125">
        <f>SUMIFS('Expenditure Breakdown'!$U$6:$U$174, 'Expenditure Breakdown'!$T$6:$T$174, "&gt;="&amp;AQR1,'Expenditure Breakdown'!$T$6:$T$174, "&lt;"&amp;AQS1)</f>
        <v>0</v>
      </c>
      <c r="AQS17" s="125">
        <f>SUMIFS('Expenditure Breakdown'!$U$6:$U$174, 'Expenditure Breakdown'!$T$6:$T$174, "&gt;="&amp;AQS1,'Expenditure Breakdown'!$T$6:$T$174, "&lt;"&amp;AQT1)</f>
        <v>0</v>
      </c>
      <c r="AQT17" s="125">
        <f>SUMIFS('Expenditure Breakdown'!$U$6:$U$174, 'Expenditure Breakdown'!$T$6:$T$174, "&gt;="&amp;AQT1,'Expenditure Breakdown'!$T$6:$T$174, "&lt;"&amp;AQU1)</f>
        <v>0</v>
      </c>
      <c r="AQU17" s="125">
        <f>SUMIFS('Expenditure Breakdown'!$U$6:$U$174, 'Expenditure Breakdown'!$T$6:$T$174, "&gt;="&amp;AQU1,'Expenditure Breakdown'!$T$6:$T$174, "&lt;"&amp;AQV1)</f>
        <v>0</v>
      </c>
      <c r="AQV17" s="125">
        <f>SUMIFS('Expenditure Breakdown'!$U$6:$U$174, 'Expenditure Breakdown'!$T$6:$T$174, "&gt;="&amp;AQV1,'Expenditure Breakdown'!$T$6:$T$174, "&lt;"&amp;AQW1)</f>
        <v>0</v>
      </c>
      <c r="AQW17" s="125">
        <f>SUMIFS('Expenditure Breakdown'!$U$6:$U$174, 'Expenditure Breakdown'!$T$6:$T$174, "&gt;="&amp;AQW1,'Expenditure Breakdown'!$T$6:$T$174, "&lt;"&amp;AQX1)</f>
        <v>0</v>
      </c>
      <c r="AQX17" s="125">
        <f>SUMIFS('Expenditure Breakdown'!$U$6:$U$174, 'Expenditure Breakdown'!$T$6:$T$174, "&gt;="&amp;AQX1,'Expenditure Breakdown'!$T$6:$T$174, "&lt;"&amp;AQY1)</f>
        <v>0</v>
      </c>
      <c r="AQY17" s="125">
        <f>SUMIFS('Expenditure Breakdown'!$U$6:$U$174, 'Expenditure Breakdown'!$T$6:$T$174, "&gt;="&amp;AQY1,'Expenditure Breakdown'!$T$6:$T$174, "&lt;"&amp;AQZ1)</f>
        <v>0</v>
      </c>
      <c r="AQZ17" s="125">
        <f>SUMIFS('Expenditure Breakdown'!$U$6:$U$174, 'Expenditure Breakdown'!$T$6:$T$174, "&gt;="&amp;AQZ1,'Expenditure Breakdown'!$T$6:$T$174, "&lt;"&amp;ARA1)</f>
        <v>0</v>
      </c>
      <c r="ARA17" s="125">
        <f>SUMIFS('Expenditure Breakdown'!$U$6:$U$174, 'Expenditure Breakdown'!$T$6:$T$174, "&gt;="&amp;ARA1,'Expenditure Breakdown'!$T$6:$T$174, "&lt;"&amp;ARB1)</f>
        <v>0</v>
      </c>
      <c r="ARB17" s="125">
        <f>SUMIFS('Expenditure Breakdown'!$U$6:$U$174, 'Expenditure Breakdown'!$T$6:$T$174, "&gt;="&amp;ARB1,'Expenditure Breakdown'!$T$6:$T$174, "&lt;"&amp;ARC1)</f>
        <v>0</v>
      </c>
      <c r="ARC17" s="125">
        <f>SUMIFS('Expenditure Breakdown'!$U$6:$U$174, 'Expenditure Breakdown'!$T$6:$T$174, "&gt;="&amp;ARC1,'Expenditure Breakdown'!$T$6:$T$174, "&lt;"&amp;ARD1)</f>
        <v>0</v>
      </c>
      <c r="ARD17" s="125">
        <f>SUMIFS('Expenditure Breakdown'!$U$6:$U$174, 'Expenditure Breakdown'!$T$6:$T$174, "&gt;="&amp;ARD1,'Expenditure Breakdown'!$T$6:$T$174, "&lt;"&amp;ARE1)</f>
        <v>0</v>
      </c>
      <c r="ARE17" s="125">
        <f>SUMIFS('Expenditure Breakdown'!$U$6:$U$174, 'Expenditure Breakdown'!$T$6:$T$174, "&gt;="&amp;ARE1,'Expenditure Breakdown'!$T$6:$T$174, "&lt;"&amp;ARF1)</f>
        <v>0</v>
      </c>
      <c r="ARF17" s="125">
        <f>SUMIFS('Expenditure Breakdown'!$U$6:$U$174, 'Expenditure Breakdown'!$T$6:$T$174, "&gt;="&amp;ARF1,'Expenditure Breakdown'!$T$6:$T$174, "&lt;"&amp;ARG1)</f>
        <v>0</v>
      </c>
      <c r="ARG17" s="125">
        <f>SUMIFS('Expenditure Breakdown'!$U$6:$U$174, 'Expenditure Breakdown'!$T$6:$T$174, "&gt;="&amp;ARG1,'Expenditure Breakdown'!$T$6:$T$174, "&lt;"&amp;ARH1)</f>
        <v>0</v>
      </c>
      <c r="ARH17" s="125">
        <f>SUMIFS('Expenditure Breakdown'!$U$6:$U$174, 'Expenditure Breakdown'!$T$6:$T$174, "&gt;="&amp;ARH1,'Expenditure Breakdown'!$T$6:$T$174, "&lt;"&amp;ARI1)</f>
        <v>0</v>
      </c>
      <c r="ARI17" s="125">
        <f>SUMIFS('Expenditure Breakdown'!$U$6:$U$174, 'Expenditure Breakdown'!$T$6:$T$174, "&gt;="&amp;ARI1,'Expenditure Breakdown'!$T$6:$T$174, "&lt;"&amp;ARJ1)</f>
        <v>0</v>
      </c>
      <c r="ARJ17" s="125">
        <f>SUMIFS('Expenditure Breakdown'!$U$6:$U$174, 'Expenditure Breakdown'!$T$6:$T$174, "&gt;="&amp;ARJ1,'Expenditure Breakdown'!$T$6:$T$174, "&lt;"&amp;ARK1)</f>
        <v>0</v>
      </c>
      <c r="ARK17" s="125">
        <f>SUMIFS('Expenditure Breakdown'!$U$6:$U$174, 'Expenditure Breakdown'!$T$6:$T$174, "&gt;="&amp;ARK1,'Expenditure Breakdown'!$T$6:$T$174, "&lt;"&amp;ARL1)</f>
        <v>0</v>
      </c>
      <c r="ARL17" s="125">
        <f>SUMIFS('Expenditure Breakdown'!$U$6:$U$174, 'Expenditure Breakdown'!$T$6:$T$174, "&gt;="&amp;ARL1,'Expenditure Breakdown'!$T$6:$T$174, "&lt;"&amp;ARM1)</f>
        <v>0</v>
      </c>
      <c r="ARM17" s="125">
        <f>SUMIFS('Expenditure Breakdown'!$U$6:$U$174, 'Expenditure Breakdown'!$T$6:$T$174, "&gt;="&amp;ARM1,'Expenditure Breakdown'!$T$6:$T$174, "&lt;"&amp;ARN1)</f>
        <v>0</v>
      </c>
      <c r="ARN17" s="125">
        <f>SUMIFS('Expenditure Breakdown'!$U$6:$U$174, 'Expenditure Breakdown'!$T$6:$T$174, "&gt;="&amp;ARN1,'Expenditure Breakdown'!$T$6:$T$174, "&lt;"&amp;ARO1)</f>
        <v>0</v>
      </c>
      <c r="ARO17" s="125">
        <f>SUMIFS('Expenditure Breakdown'!$U$6:$U$174, 'Expenditure Breakdown'!$T$6:$T$174, "&gt;="&amp;ARO1,'Expenditure Breakdown'!$T$6:$T$174, "&lt;"&amp;ARP1)</f>
        <v>0</v>
      </c>
      <c r="ARP17" s="125">
        <f>SUMIFS('Expenditure Breakdown'!$U$6:$U$174, 'Expenditure Breakdown'!$T$6:$T$174, "&gt;="&amp;ARP1,'Expenditure Breakdown'!$T$6:$T$174, "&lt;"&amp;ARQ1)</f>
        <v>0</v>
      </c>
      <c r="ARQ17" s="125">
        <f>SUMIFS('Expenditure Breakdown'!$U$6:$U$174, 'Expenditure Breakdown'!$T$6:$T$174, "&gt;="&amp;ARQ1,'Expenditure Breakdown'!$T$6:$T$174, "&lt;"&amp;ARR1)</f>
        <v>0</v>
      </c>
      <c r="ARR17" s="125">
        <f>SUMIFS('Expenditure Breakdown'!$U$6:$U$174, 'Expenditure Breakdown'!$T$6:$T$174, "&gt;="&amp;ARR1,'Expenditure Breakdown'!$T$6:$T$174, "&lt;"&amp;ARS1)</f>
        <v>0</v>
      </c>
      <c r="ARS17" s="125">
        <f>SUMIFS('Expenditure Breakdown'!$U$6:$U$174, 'Expenditure Breakdown'!$T$6:$T$174, "&gt;="&amp;ARS1,'Expenditure Breakdown'!$T$6:$T$174, "&lt;"&amp;ART1)</f>
        <v>0</v>
      </c>
      <c r="ART17" s="125">
        <f>SUMIFS('Expenditure Breakdown'!$U$6:$U$174, 'Expenditure Breakdown'!$T$6:$T$174, "&gt;="&amp;ART1,'Expenditure Breakdown'!$T$6:$T$174, "&lt;"&amp;ARU1)</f>
        <v>0</v>
      </c>
      <c r="ARU17" s="125">
        <f>SUMIFS('Expenditure Breakdown'!$U$6:$U$174, 'Expenditure Breakdown'!$T$6:$T$174, "&gt;="&amp;ARU1,'Expenditure Breakdown'!$T$6:$T$174, "&lt;"&amp;ARV1)</f>
        <v>0</v>
      </c>
      <c r="ARV17" s="125">
        <f>SUMIFS('Expenditure Breakdown'!$U$6:$U$174, 'Expenditure Breakdown'!$T$6:$T$174, "&gt;="&amp;ARV1,'Expenditure Breakdown'!$T$6:$T$174, "&lt;"&amp;ARW1)</f>
        <v>0</v>
      </c>
      <c r="ARW17" s="125">
        <f>SUMIFS('Expenditure Breakdown'!$U$6:$U$174, 'Expenditure Breakdown'!$T$6:$T$174, "&gt;="&amp;ARW1,'Expenditure Breakdown'!$T$6:$T$174, "&lt;"&amp;ARX1)</f>
        <v>0</v>
      </c>
      <c r="ARX17" s="125">
        <f>SUMIFS('Expenditure Breakdown'!$U$6:$U$174, 'Expenditure Breakdown'!$T$6:$T$174, "&gt;="&amp;ARX1,'Expenditure Breakdown'!$T$6:$T$174, "&lt;"&amp;ARY1)</f>
        <v>0</v>
      </c>
      <c r="ARY17" s="125">
        <f>SUMIFS('Expenditure Breakdown'!$U$6:$U$174, 'Expenditure Breakdown'!$T$6:$T$174, "&gt;="&amp;ARY1,'Expenditure Breakdown'!$T$6:$T$174, "&lt;"&amp;ARZ1)</f>
        <v>0</v>
      </c>
      <c r="ARZ17" s="125">
        <f>SUMIFS('Expenditure Breakdown'!$U$6:$U$174, 'Expenditure Breakdown'!$T$6:$T$174, "&gt;="&amp;ARZ1,'Expenditure Breakdown'!$T$6:$T$174, "&lt;"&amp;ASA1)</f>
        <v>0</v>
      </c>
      <c r="ASA17" s="125">
        <f>SUMIFS('Expenditure Breakdown'!$U$6:$U$174, 'Expenditure Breakdown'!$T$6:$T$174, "&gt;="&amp;ASA1,'Expenditure Breakdown'!$T$6:$T$174, "&lt;"&amp;ASB1)</f>
        <v>0</v>
      </c>
      <c r="ASB17" s="125">
        <f>SUMIFS('Expenditure Breakdown'!$U$6:$U$174, 'Expenditure Breakdown'!$T$6:$T$174, "&gt;="&amp;ASB1,'Expenditure Breakdown'!$T$6:$T$174, "&lt;"&amp;ASC1)</f>
        <v>0</v>
      </c>
      <c r="ASC17" s="125">
        <f>SUMIFS('Expenditure Breakdown'!$U$6:$U$174, 'Expenditure Breakdown'!$T$6:$T$174, "&gt;="&amp;ASC1,'Expenditure Breakdown'!$T$6:$T$174, "&lt;"&amp;ASD1)</f>
        <v>0</v>
      </c>
      <c r="ASD17" s="125">
        <f>SUMIFS('Expenditure Breakdown'!$U$6:$U$174, 'Expenditure Breakdown'!$T$6:$T$174, "&gt;="&amp;ASD1,'Expenditure Breakdown'!$T$6:$T$174, "&lt;"&amp;ASE1)</f>
        <v>0</v>
      </c>
      <c r="ASE17" s="125">
        <f>SUMIFS('Expenditure Breakdown'!$U$6:$U$174, 'Expenditure Breakdown'!$T$6:$T$174, "&gt;="&amp;ASE1,'Expenditure Breakdown'!$T$6:$T$174, "&lt;"&amp;ASF1)</f>
        <v>0</v>
      </c>
      <c r="ASF17" s="125">
        <f>SUMIFS('Expenditure Breakdown'!$U$6:$U$174, 'Expenditure Breakdown'!$T$6:$T$174, "&gt;="&amp;ASF1,'Expenditure Breakdown'!$T$6:$T$174, "&lt;"&amp;ASG1)</f>
        <v>0</v>
      </c>
      <c r="ASG17" s="125">
        <f>SUMIFS('Expenditure Breakdown'!$U$6:$U$174, 'Expenditure Breakdown'!$T$6:$T$174, "&gt;="&amp;ASG1,'Expenditure Breakdown'!$T$6:$T$174, "&lt;"&amp;ASH1)</f>
        <v>0</v>
      </c>
      <c r="ASH17" s="125">
        <f>SUMIFS('Expenditure Breakdown'!$U$6:$U$174, 'Expenditure Breakdown'!$T$6:$T$174, "&gt;="&amp;ASH1,'Expenditure Breakdown'!$T$6:$T$174, "&lt;"&amp;ASI1)</f>
        <v>0</v>
      </c>
      <c r="ASI17" s="125">
        <f>SUMIFS('Expenditure Breakdown'!$U$6:$U$174, 'Expenditure Breakdown'!$T$6:$T$174, "&gt;="&amp;ASI1,'Expenditure Breakdown'!$T$6:$T$174, "&lt;"&amp;ASJ1)</f>
        <v>0</v>
      </c>
      <c r="ASJ17" s="125">
        <f>SUMIFS('Expenditure Breakdown'!$U$6:$U$174, 'Expenditure Breakdown'!$T$6:$T$174, "&gt;="&amp;ASJ1,'Expenditure Breakdown'!$T$6:$T$174, "&lt;"&amp;ASK1)</f>
        <v>0</v>
      </c>
      <c r="ASK17" s="125">
        <f>SUMIFS('Expenditure Breakdown'!$U$6:$U$174, 'Expenditure Breakdown'!$T$6:$T$174, "&gt;="&amp;ASK1,'Expenditure Breakdown'!$T$6:$T$174, "&lt;"&amp;ASL1)</f>
        <v>0</v>
      </c>
      <c r="ASL17" s="125">
        <f>SUMIFS('Expenditure Breakdown'!$U$6:$U$174, 'Expenditure Breakdown'!$T$6:$T$174, "&gt;="&amp;ASL1,'Expenditure Breakdown'!$T$6:$T$174, "&lt;"&amp;ASM1)</f>
        <v>0</v>
      </c>
      <c r="ASM17" s="125">
        <f>SUMIFS('Expenditure Breakdown'!$U$6:$U$174, 'Expenditure Breakdown'!$T$6:$T$174, "&gt;="&amp;ASM1,'Expenditure Breakdown'!$T$6:$T$174, "&lt;"&amp;ASN1)</f>
        <v>0</v>
      </c>
      <c r="ASN17" s="125">
        <f>SUMIFS('Expenditure Breakdown'!$U$6:$U$174, 'Expenditure Breakdown'!$T$6:$T$174, "&gt;="&amp;ASN1,'Expenditure Breakdown'!$T$6:$T$174, "&lt;"&amp;ASO1)</f>
        <v>0</v>
      </c>
      <c r="ASO17" s="125">
        <f>SUMIFS('Expenditure Breakdown'!$U$6:$U$174, 'Expenditure Breakdown'!$T$6:$T$174, "&gt;="&amp;ASO1,'Expenditure Breakdown'!$T$6:$T$174, "&lt;"&amp;ASP1)</f>
        <v>0</v>
      </c>
      <c r="ASP17" s="125">
        <f>SUMIFS('Expenditure Breakdown'!$U$6:$U$174, 'Expenditure Breakdown'!$T$6:$T$174, "&gt;="&amp;ASP1,'Expenditure Breakdown'!$T$6:$T$174, "&lt;"&amp;ASQ1)</f>
        <v>0</v>
      </c>
      <c r="ASQ17" s="125">
        <f>SUMIFS('Expenditure Breakdown'!$U$6:$U$174, 'Expenditure Breakdown'!$T$6:$T$174, "&gt;="&amp;ASQ1,'Expenditure Breakdown'!$T$6:$T$174, "&lt;"&amp;ASR1)</f>
        <v>0</v>
      </c>
      <c r="ASR17" s="125">
        <f>SUMIFS('Expenditure Breakdown'!$U$6:$U$174, 'Expenditure Breakdown'!$T$6:$T$174, "&gt;="&amp;ASR1,'Expenditure Breakdown'!$T$6:$T$174, "&lt;"&amp;ASS1)</f>
        <v>0</v>
      </c>
      <c r="ASS17" s="125">
        <f>SUMIFS('Expenditure Breakdown'!$U$6:$U$174, 'Expenditure Breakdown'!$T$6:$T$174, "&gt;="&amp;ASS1,'Expenditure Breakdown'!$T$6:$T$174, "&lt;"&amp;AST1)</f>
        <v>0</v>
      </c>
      <c r="AST17" s="125">
        <f>SUMIFS('Expenditure Breakdown'!$U$6:$U$174, 'Expenditure Breakdown'!$T$6:$T$174, "&gt;="&amp;AST1,'Expenditure Breakdown'!$T$6:$T$174, "&lt;"&amp;ASU1)</f>
        <v>0</v>
      </c>
      <c r="ASU17" s="125">
        <f>SUMIFS('Expenditure Breakdown'!$U$6:$U$174, 'Expenditure Breakdown'!$T$6:$T$174, "&gt;="&amp;ASU1,'Expenditure Breakdown'!$T$6:$T$174, "&lt;"&amp;ASV1)</f>
        <v>0</v>
      </c>
      <c r="ASV17" s="125">
        <f>SUMIFS('Expenditure Breakdown'!$U$6:$U$174, 'Expenditure Breakdown'!$T$6:$T$174, "&gt;="&amp;ASV1,'Expenditure Breakdown'!$T$6:$T$174, "&lt;"&amp;ASW1)</f>
        <v>0</v>
      </c>
      <c r="ASW17" s="125">
        <f>SUMIFS('Expenditure Breakdown'!$U$6:$U$174, 'Expenditure Breakdown'!$T$6:$T$174, "&gt;="&amp;ASW1,'Expenditure Breakdown'!$T$6:$T$174, "&lt;"&amp;ASX1)</f>
        <v>0</v>
      </c>
      <c r="ASX17" s="125">
        <f>SUMIFS('Expenditure Breakdown'!$U$6:$U$174, 'Expenditure Breakdown'!$T$6:$T$174, "&gt;="&amp;ASX1,'Expenditure Breakdown'!$T$6:$T$174, "&lt;"&amp;ASY1)</f>
        <v>0</v>
      </c>
      <c r="ASY17" s="125">
        <f>SUMIFS('Expenditure Breakdown'!$U$6:$U$174, 'Expenditure Breakdown'!$T$6:$T$174, "&gt;="&amp;ASY1,'Expenditure Breakdown'!$T$6:$T$174, "&lt;"&amp;ASZ1)</f>
        <v>0</v>
      </c>
      <c r="ASZ17" s="125">
        <f>SUMIFS('Expenditure Breakdown'!$U$6:$U$174, 'Expenditure Breakdown'!$T$6:$T$174, "&gt;="&amp;ASZ1,'Expenditure Breakdown'!$T$6:$T$174, "&lt;"&amp;ATA1)</f>
        <v>0</v>
      </c>
      <c r="ATA17" s="125">
        <f>SUMIFS('Expenditure Breakdown'!$U$6:$U$174, 'Expenditure Breakdown'!$T$6:$T$174, "&gt;="&amp;ATA1,'Expenditure Breakdown'!$T$6:$T$174, "&lt;"&amp;ATB1)</f>
        <v>0</v>
      </c>
      <c r="ATB17" s="125">
        <f>SUMIFS('Expenditure Breakdown'!$U$6:$U$174, 'Expenditure Breakdown'!$T$6:$T$174, "&gt;="&amp;ATB1,'Expenditure Breakdown'!$T$6:$T$174, "&lt;"&amp;ATC1)</f>
        <v>0</v>
      </c>
      <c r="ATC17" s="125">
        <f>SUMIFS('Expenditure Breakdown'!$U$6:$U$174, 'Expenditure Breakdown'!$T$6:$T$174, "&gt;="&amp;ATC1,'Expenditure Breakdown'!$T$6:$T$174, "&lt;"&amp;ATD1)</f>
        <v>0</v>
      </c>
      <c r="ATD17" s="125">
        <f>SUMIFS('Expenditure Breakdown'!$U$6:$U$174, 'Expenditure Breakdown'!$T$6:$T$174, "&gt;="&amp;ATD1,'Expenditure Breakdown'!$T$6:$T$174, "&lt;"&amp;ATE1)</f>
        <v>0</v>
      </c>
      <c r="ATE17" s="125">
        <f>SUMIFS('Expenditure Breakdown'!$U$6:$U$174, 'Expenditure Breakdown'!$T$6:$T$174, "&gt;="&amp;ATE1,'Expenditure Breakdown'!$T$6:$T$174, "&lt;"&amp;ATF1)</f>
        <v>0</v>
      </c>
      <c r="ATF17" s="125">
        <f>SUMIFS('Expenditure Breakdown'!$U$6:$U$174, 'Expenditure Breakdown'!$T$6:$T$174, "&gt;="&amp;ATF1,'Expenditure Breakdown'!$T$6:$T$174, "&lt;"&amp;ATG1)</f>
        <v>0</v>
      </c>
      <c r="ATG17" s="125">
        <f>SUMIFS('Expenditure Breakdown'!$U$6:$U$174, 'Expenditure Breakdown'!$T$6:$T$174, "&gt;="&amp;ATG1,'Expenditure Breakdown'!$T$6:$T$174, "&lt;"&amp;ATH1)</f>
        <v>0</v>
      </c>
      <c r="ATH17" s="125">
        <f>SUMIFS('Expenditure Breakdown'!$U$6:$U$174, 'Expenditure Breakdown'!$T$6:$T$174, "&gt;="&amp;ATH1,'Expenditure Breakdown'!$T$6:$T$174, "&lt;"&amp;ATI1)</f>
        <v>0</v>
      </c>
      <c r="ATI17" s="125">
        <f>SUMIFS('Expenditure Breakdown'!$U$6:$U$174, 'Expenditure Breakdown'!$T$6:$T$174, "&gt;="&amp;ATI1,'Expenditure Breakdown'!$T$6:$T$174, "&lt;"&amp;ATJ1)</f>
        <v>0</v>
      </c>
      <c r="ATJ17" s="125">
        <f>SUMIFS('Expenditure Breakdown'!$U$6:$U$174, 'Expenditure Breakdown'!$T$6:$T$174, "&gt;="&amp;ATJ1,'Expenditure Breakdown'!$T$6:$T$174, "&lt;"&amp;ATK1)</f>
        <v>0</v>
      </c>
      <c r="ATK17" s="125">
        <f>SUMIFS('Expenditure Breakdown'!$U$6:$U$174, 'Expenditure Breakdown'!$T$6:$T$174, "&gt;="&amp;ATK1,'Expenditure Breakdown'!$T$6:$T$174, "&lt;"&amp;ATL1)</f>
        <v>0</v>
      </c>
      <c r="ATL17" s="125">
        <f>SUMIFS('Expenditure Breakdown'!$U$6:$U$174, 'Expenditure Breakdown'!$T$6:$T$174, "&gt;="&amp;ATL1,'Expenditure Breakdown'!$T$6:$T$174, "&lt;"&amp;ATM1)</f>
        <v>0</v>
      </c>
      <c r="ATM17" s="125">
        <f>SUMIFS('Expenditure Breakdown'!$U$6:$U$174, 'Expenditure Breakdown'!$T$6:$T$174, "&gt;="&amp;ATM1,'Expenditure Breakdown'!$T$6:$T$174, "&lt;"&amp;ATN1)</f>
        <v>0</v>
      </c>
      <c r="ATN17" s="125">
        <f>SUMIFS('Expenditure Breakdown'!$U$6:$U$174, 'Expenditure Breakdown'!$T$6:$T$174, "&gt;="&amp;ATN1,'Expenditure Breakdown'!$T$6:$T$174, "&lt;"&amp;ATO1)</f>
        <v>0</v>
      </c>
      <c r="ATO17" s="125">
        <f>SUMIFS('Expenditure Breakdown'!$U$6:$U$174, 'Expenditure Breakdown'!$T$6:$T$174, "&gt;="&amp;ATO1,'Expenditure Breakdown'!$T$6:$T$174, "&lt;"&amp;ATP1)</f>
        <v>0</v>
      </c>
      <c r="ATP17" s="125">
        <f>SUMIFS('Expenditure Breakdown'!$U$6:$U$174, 'Expenditure Breakdown'!$T$6:$T$174, "&gt;="&amp;ATP1,'Expenditure Breakdown'!$T$6:$T$174, "&lt;"&amp;ATQ1)</f>
        <v>0</v>
      </c>
      <c r="ATQ17" s="125">
        <f>SUMIFS('Expenditure Breakdown'!$U$6:$U$174, 'Expenditure Breakdown'!$T$6:$T$174, "&gt;="&amp;ATQ1,'Expenditure Breakdown'!$T$6:$T$174, "&lt;"&amp;ATR1)</f>
        <v>0</v>
      </c>
      <c r="ATR17" s="125">
        <f>SUMIFS('Expenditure Breakdown'!$U$6:$U$174, 'Expenditure Breakdown'!$T$6:$T$174, "&gt;="&amp;ATR1,'Expenditure Breakdown'!$T$6:$T$174, "&lt;"&amp;ATS1)</f>
        <v>0</v>
      </c>
      <c r="ATS17" s="125">
        <f>SUMIFS('Expenditure Breakdown'!$U$6:$U$174, 'Expenditure Breakdown'!$T$6:$T$174, "&gt;="&amp;ATS1,'Expenditure Breakdown'!$T$6:$T$174, "&lt;"&amp;ATT1)</f>
        <v>0</v>
      </c>
      <c r="ATT17" s="125">
        <f>SUMIFS('Expenditure Breakdown'!$U$6:$U$174, 'Expenditure Breakdown'!$T$6:$T$174, "&gt;="&amp;ATT1,'Expenditure Breakdown'!$T$6:$T$174, "&lt;"&amp;ATU1)</f>
        <v>0</v>
      </c>
      <c r="ATU17" s="125">
        <f>SUMIFS('Expenditure Breakdown'!$U$6:$U$174, 'Expenditure Breakdown'!$T$6:$T$174, "&gt;="&amp;ATU1,'Expenditure Breakdown'!$T$6:$T$174, "&lt;"&amp;ATV1)</f>
        <v>0</v>
      </c>
      <c r="ATV17" s="125">
        <f>SUMIFS('Expenditure Breakdown'!$U$6:$U$174, 'Expenditure Breakdown'!$T$6:$T$174, "&gt;="&amp;ATV1,'Expenditure Breakdown'!$T$6:$T$174, "&lt;"&amp;ATW1)</f>
        <v>0</v>
      </c>
      <c r="ATW17" s="125">
        <f>SUMIFS('Expenditure Breakdown'!$U$6:$U$174, 'Expenditure Breakdown'!$T$6:$T$174, "&gt;="&amp;ATW1,'Expenditure Breakdown'!$T$6:$T$174, "&lt;"&amp;ATX1)</f>
        <v>0</v>
      </c>
      <c r="ATX17" s="125">
        <f>SUMIFS('Expenditure Breakdown'!$U$6:$U$174, 'Expenditure Breakdown'!$T$6:$T$174, "&gt;="&amp;ATX1,'Expenditure Breakdown'!$T$6:$T$174, "&lt;"&amp;ATY1)</f>
        <v>0</v>
      </c>
      <c r="ATY17" s="125">
        <f>SUMIFS('Expenditure Breakdown'!$U$6:$U$174, 'Expenditure Breakdown'!$T$6:$T$174, "&gt;="&amp;ATY1,'Expenditure Breakdown'!$T$6:$T$174, "&lt;"&amp;ATZ1)</f>
        <v>0</v>
      </c>
      <c r="ATZ17" s="125">
        <f>SUMIFS('Expenditure Breakdown'!$U$6:$U$174, 'Expenditure Breakdown'!$T$6:$T$174, "&gt;="&amp;ATZ1,'Expenditure Breakdown'!$T$6:$T$174, "&lt;"&amp;AUA1)</f>
        <v>0</v>
      </c>
      <c r="AUA17" s="125">
        <f>SUMIFS('Expenditure Breakdown'!$U$6:$U$174, 'Expenditure Breakdown'!$T$6:$T$174, "&gt;="&amp;AUA1,'Expenditure Breakdown'!$T$6:$T$174, "&lt;"&amp;AUB1)</f>
        <v>0</v>
      </c>
      <c r="AUB17" s="125">
        <f>SUMIFS('Expenditure Breakdown'!$U$6:$U$174, 'Expenditure Breakdown'!$T$6:$T$174, "&gt;="&amp;AUB1,'Expenditure Breakdown'!$T$6:$T$174, "&lt;"&amp;AUC1)</f>
        <v>0</v>
      </c>
      <c r="AUC17" s="125">
        <f>SUMIFS('Expenditure Breakdown'!$U$6:$U$174, 'Expenditure Breakdown'!$T$6:$T$174, "&gt;="&amp;AUC1,'Expenditure Breakdown'!$T$6:$T$174, "&lt;"&amp;AUD1)</f>
        <v>0</v>
      </c>
      <c r="AUD17" s="125">
        <f>SUMIFS('Expenditure Breakdown'!$U$6:$U$174, 'Expenditure Breakdown'!$T$6:$T$174, "&gt;="&amp;AUD1,'Expenditure Breakdown'!$T$6:$T$174, "&lt;"&amp;AUE1)</f>
        <v>0</v>
      </c>
      <c r="AUE17" s="125">
        <f>SUMIFS('Expenditure Breakdown'!$U$6:$U$174, 'Expenditure Breakdown'!$T$6:$T$174, "&gt;="&amp;AUE1,'Expenditure Breakdown'!$T$6:$T$174, "&lt;"&amp;AUF1)</f>
        <v>0</v>
      </c>
      <c r="AUF17" s="125">
        <f>SUMIFS('Expenditure Breakdown'!$U$6:$U$174, 'Expenditure Breakdown'!$T$6:$T$174, "&gt;="&amp;AUF1,'Expenditure Breakdown'!$T$6:$T$174, "&lt;"&amp;AUG1)</f>
        <v>0</v>
      </c>
      <c r="AUG17" s="125">
        <f>SUMIFS('Expenditure Breakdown'!$U$6:$U$174, 'Expenditure Breakdown'!$T$6:$T$174, "&gt;="&amp;AUG1,'Expenditure Breakdown'!$T$6:$T$174, "&lt;"&amp;AUH1)</f>
        <v>0</v>
      </c>
      <c r="AUH17" s="125">
        <f>SUMIFS('Expenditure Breakdown'!$U$6:$U$174, 'Expenditure Breakdown'!$T$6:$T$174, "&gt;="&amp;AUH1,'Expenditure Breakdown'!$T$6:$T$174, "&lt;"&amp;AUI1)</f>
        <v>0</v>
      </c>
      <c r="AUI17" s="125">
        <f>SUMIFS('Expenditure Breakdown'!$U$6:$U$174, 'Expenditure Breakdown'!$T$6:$T$174, "&gt;="&amp;AUI1,'Expenditure Breakdown'!$T$6:$T$174, "&lt;"&amp;AUJ1)</f>
        <v>0</v>
      </c>
      <c r="AUJ17" s="125">
        <f>SUMIFS('Expenditure Breakdown'!$U$6:$U$174, 'Expenditure Breakdown'!$T$6:$T$174, "&gt;="&amp;AUJ1,'Expenditure Breakdown'!$T$6:$T$174, "&lt;"&amp;AUK1)</f>
        <v>0</v>
      </c>
      <c r="AUK17" s="125">
        <f>SUMIFS('Expenditure Breakdown'!$U$6:$U$174, 'Expenditure Breakdown'!$T$6:$T$174, "&gt;="&amp;AUK1,'Expenditure Breakdown'!$T$6:$T$174, "&lt;"&amp;AUL1)</f>
        <v>0</v>
      </c>
      <c r="AUL17" s="125">
        <f>SUMIFS('Expenditure Breakdown'!$U$6:$U$174, 'Expenditure Breakdown'!$T$6:$T$174, "&gt;="&amp;AUL1,'Expenditure Breakdown'!$T$6:$T$174, "&lt;"&amp;AUM1)</f>
        <v>0</v>
      </c>
      <c r="AUM17" s="125">
        <f>SUMIFS('Expenditure Breakdown'!$U$6:$U$174, 'Expenditure Breakdown'!$T$6:$T$174, "&gt;="&amp;AUM1,'Expenditure Breakdown'!$T$6:$T$174, "&lt;"&amp;AUN1)</f>
        <v>0</v>
      </c>
      <c r="AUN17" s="125">
        <f>SUMIFS('Expenditure Breakdown'!$U$6:$U$174, 'Expenditure Breakdown'!$T$6:$T$174, "&gt;="&amp;AUN1,'Expenditure Breakdown'!$T$6:$T$174, "&lt;"&amp;AUO1)</f>
        <v>0</v>
      </c>
      <c r="AUO17" s="125">
        <f>SUMIFS('Expenditure Breakdown'!$U$6:$U$174, 'Expenditure Breakdown'!$T$6:$T$174, "&gt;="&amp;AUO1,'Expenditure Breakdown'!$T$6:$T$174, "&lt;"&amp;AUP1)</f>
        <v>0</v>
      </c>
      <c r="AUP17" s="125">
        <f>SUMIFS('Expenditure Breakdown'!$U$6:$U$174, 'Expenditure Breakdown'!$T$6:$T$174, "&gt;="&amp;AUP1,'Expenditure Breakdown'!$T$6:$T$174, "&lt;"&amp;AUQ1)</f>
        <v>0</v>
      </c>
      <c r="AUQ17" s="125">
        <f>SUMIFS('Expenditure Breakdown'!$U$6:$U$174, 'Expenditure Breakdown'!$T$6:$T$174, "&gt;="&amp;AUQ1,'Expenditure Breakdown'!$T$6:$T$174, "&lt;"&amp;AUR1)</f>
        <v>0</v>
      </c>
      <c r="AUR17" s="125">
        <f>SUMIFS('Expenditure Breakdown'!$U$6:$U$174, 'Expenditure Breakdown'!$T$6:$T$174, "&gt;="&amp;AUR1,'Expenditure Breakdown'!$T$6:$T$174, "&lt;"&amp;AUS1)</f>
        <v>0</v>
      </c>
      <c r="AUS17" s="125">
        <f>SUMIFS('Expenditure Breakdown'!$U$6:$U$174, 'Expenditure Breakdown'!$T$6:$T$174, "&gt;="&amp;AUS1,'Expenditure Breakdown'!$T$6:$T$174, "&lt;"&amp;AUT1)</f>
        <v>0</v>
      </c>
      <c r="AUT17" s="125">
        <f>SUMIFS('Expenditure Breakdown'!$U$6:$U$174, 'Expenditure Breakdown'!$T$6:$T$174, "&gt;="&amp;AUT1,'Expenditure Breakdown'!$T$6:$T$174, "&lt;"&amp;AUU1)</f>
        <v>0</v>
      </c>
      <c r="AUU17" s="125">
        <f>SUMIFS('Expenditure Breakdown'!$U$6:$U$174, 'Expenditure Breakdown'!$T$6:$T$174, "&gt;="&amp;AUU1,'Expenditure Breakdown'!$T$6:$T$174, "&lt;"&amp;AUV1)</f>
        <v>0</v>
      </c>
      <c r="AUV17" s="125">
        <f>SUMIFS('Expenditure Breakdown'!$U$6:$U$174, 'Expenditure Breakdown'!$T$6:$T$174, "&gt;="&amp;AUV1,'Expenditure Breakdown'!$T$6:$T$174, "&lt;"&amp;AUW1)</f>
        <v>0</v>
      </c>
      <c r="AUW17" s="125">
        <f>SUMIFS('Expenditure Breakdown'!$U$6:$U$174, 'Expenditure Breakdown'!$T$6:$T$174, "&gt;="&amp;AUW1,'Expenditure Breakdown'!$T$6:$T$174, "&lt;"&amp;AUX1)</f>
        <v>0</v>
      </c>
      <c r="AUX17" s="125">
        <f>SUMIFS('Expenditure Breakdown'!$U$6:$U$174, 'Expenditure Breakdown'!$T$6:$T$174, "&gt;="&amp;AUX1,'Expenditure Breakdown'!$T$6:$T$174, "&lt;"&amp;AUY1)</f>
        <v>0</v>
      </c>
      <c r="AUY17" s="125">
        <f>SUMIFS('Expenditure Breakdown'!$U$6:$U$174, 'Expenditure Breakdown'!$T$6:$T$174, "&gt;="&amp;AUY1,'Expenditure Breakdown'!$T$6:$T$174, "&lt;"&amp;AUZ1)</f>
        <v>0</v>
      </c>
      <c r="AUZ17" s="125">
        <f>SUMIFS('Expenditure Breakdown'!$U$6:$U$174, 'Expenditure Breakdown'!$T$6:$T$174, "&gt;="&amp;AUZ1,'Expenditure Breakdown'!$T$6:$T$174, "&lt;"&amp;AVA1)</f>
        <v>0</v>
      </c>
      <c r="AVA17" s="125">
        <f>SUMIFS('Expenditure Breakdown'!$U$6:$U$174, 'Expenditure Breakdown'!$T$6:$T$174, "&gt;="&amp;AVA1,'Expenditure Breakdown'!$T$6:$T$174, "&lt;"&amp;AVB1)</f>
        <v>0</v>
      </c>
      <c r="AVB17" s="125">
        <f>SUMIFS('Expenditure Breakdown'!$U$6:$U$174, 'Expenditure Breakdown'!$T$6:$T$174, "&gt;="&amp;AVB1,'Expenditure Breakdown'!$T$6:$T$174, "&lt;"&amp;AVC1)</f>
        <v>0</v>
      </c>
      <c r="AVC17" s="125">
        <f>SUMIFS('Expenditure Breakdown'!$U$6:$U$174, 'Expenditure Breakdown'!$T$6:$T$174, "&gt;="&amp;AVC1,'Expenditure Breakdown'!$T$6:$T$174, "&lt;"&amp;AVD1)</f>
        <v>0</v>
      </c>
      <c r="AVD17" s="125">
        <f>SUMIFS('Expenditure Breakdown'!$U$6:$U$174, 'Expenditure Breakdown'!$T$6:$T$174, "&gt;="&amp;AVD1,'Expenditure Breakdown'!$T$6:$T$174, "&lt;"&amp;AVE1)</f>
        <v>0</v>
      </c>
      <c r="AVE17" s="125">
        <f>SUMIFS('Expenditure Breakdown'!$U$6:$U$174, 'Expenditure Breakdown'!$T$6:$T$174, "&gt;="&amp;AVE1,'Expenditure Breakdown'!$T$6:$T$174, "&lt;"&amp;AVF1)</f>
        <v>0</v>
      </c>
      <c r="AVF17" s="125">
        <f>SUMIFS('Expenditure Breakdown'!$U$6:$U$174, 'Expenditure Breakdown'!$T$6:$T$174, "&gt;="&amp;AVF1,'Expenditure Breakdown'!$T$6:$T$174, "&lt;"&amp;AVG1)</f>
        <v>0</v>
      </c>
      <c r="AVG17" s="125">
        <f>SUMIFS('Expenditure Breakdown'!$U$6:$U$174, 'Expenditure Breakdown'!$T$6:$T$174, "&gt;="&amp;AVG1,'Expenditure Breakdown'!$T$6:$T$174, "&lt;"&amp;AVH1)</f>
        <v>0</v>
      </c>
      <c r="AVH17" s="125">
        <f>SUMIFS('Expenditure Breakdown'!$U$6:$U$174, 'Expenditure Breakdown'!$T$6:$T$174, "&gt;="&amp;AVH1,'Expenditure Breakdown'!$T$6:$T$174, "&lt;"&amp;AVI1)</f>
        <v>0</v>
      </c>
      <c r="AVI17" s="125">
        <f>SUMIFS('Expenditure Breakdown'!$U$6:$U$174, 'Expenditure Breakdown'!$T$6:$T$174, "&gt;="&amp;AVI1,'Expenditure Breakdown'!$T$6:$T$174, "&lt;"&amp;AVJ1)</f>
        <v>0</v>
      </c>
      <c r="AVJ17" s="125">
        <f>SUMIFS('Expenditure Breakdown'!$U$6:$U$174, 'Expenditure Breakdown'!$T$6:$T$174, "&gt;="&amp;AVJ1,'Expenditure Breakdown'!$T$6:$T$174, "&lt;"&amp;AVK1)</f>
        <v>0</v>
      </c>
      <c r="AVK17" s="125">
        <f>SUMIFS('Expenditure Breakdown'!$U$6:$U$174, 'Expenditure Breakdown'!$T$6:$T$174, "&gt;="&amp;AVK1,'Expenditure Breakdown'!$T$6:$T$174, "&lt;"&amp;AVL1)</f>
        <v>0</v>
      </c>
      <c r="AVL17" s="125">
        <f>SUMIFS('Expenditure Breakdown'!$U$6:$U$174, 'Expenditure Breakdown'!$T$6:$T$174, "&gt;="&amp;AVL1,'Expenditure Breakdown'!$T$6:$T$174, "&lt;"&amp;AVM1)</f>
        <v>0</v>
      </c>
      <c r="AVM17" s="125">
        <f>SUMIFS('Expenditure Breakdown'!$U$6:$U$174, 'Expenditure Breakdown'!$T$6:$T$174, "&gt;="&amp;AVM1,'Expenditure Breakdown'!$T$6:$T$174, "&lt;"&amp;AVN1)</f>
        <v>0</v>
      </c>
      <c r="AVN17" s="125">
        <f>SUMIFS('Expenditure Breakdown'!$U$6:$U$174, 'Expenditure Breakdown'!$T$6:$T$174, "&gt;="&amp;AVN1,'Expenditure Breakdown'!$T$6:$T$174, "&lt;"&amp;AVO1)</f>
        <v>0</v>
      </c>
      <c r="AVO17" s="125">
        <f>SUMIFS('Expenditure Breakdown'!$U$6:$U$174, 'Expenditure Breakdown'!$T$6:$T$174, "&gt;="&amp;AVO1,'Expenditure Breakdown'!$T$6:$T$174, "&lt;"&amp;AVP1)</f>
        <v>0</v>
      </c>
      <c r="AVP17" s="125">
        <f>SUMIFS('Expenditure Breakdown'!$U$6:$U$174, 'Expenditure Breakdown'!$T$6:$T$174, "&gt;="&amp;AVP1,'Expenditure Breakdown'!$T$6:$T$174, "&lt;"&amp;AVQ1)</f>
        <v>0</v>
      </c>
      <c r="AVQ17" s="125">
        <f>SUMIFS('Expenditure Breakdown'!$U$6:$U$174, 'Expenditure Breakdown'!$T$6:$T$174, "&gt;="&amp;AVQ1,'Expenditure Breakdown'!$T$6:$T$174, "&lt;"&amp;AVR1)</f>
        <v>0</v>
      </c>
      <c r="AVR17" s="125">
        <f>SUMIFS('Expenditure Breakdown'!$U$6:$U$174, 'Expenditure Breakdown'!$T$6:$T$174, "&gt;="&amp;AVR1,'Expenditure Breakdown'!$T$6:$T$174, "&lt;"&amp;AVS1)</f>
        <v>0</v>
      </c>
      <c r="AVS17" s="125">
        <f>SUMIFS('Expenditure Breakdown'!$U$6:$U$174, 'Expenditure Breakdown'!$T$6:$T$174, "&gt;="&amp;AVS1,'Expenditure Breakdown'!$T$6:$T$174, "&lt;"&amp;AVT1)</f>
        <v>0</v>
      </c>
      <c r="AVT17" s="125">
        <f>SUMIFS('Expenditure Breakdown'!$U$6:$U$174, 'Expenditure Breakdown'!$T$6:$T$174, "&gt;="&amp;AVT1,'Expenditure Breakdown'!$T$6:$T$174, "&lt;"&amp;AVU1)</f>
        <v>0</v>
      </c>
      <c r="AVU17" s="125">
        <f>SUMIFS('Expenditure Breakdown'!$U$6:$U$174, 'Expenditure Breakdown'!$T$6:$T$174, "&gt;="&amp;AVU1,'Expenditure Breakdown'!$T$6:$T$174, "&lt;"&amp;AVV1)</f>
        <v>0</v>
      </c>
      <c r="AVV17" s="125">
        <f>SUMIFS('Expenditure Breakdown'!$U$6:$U$174, 'Expenditure Breakdown'!$T$6:$T$174, "&gt;="&amp;AVV1,'Expenditure Breakdown'!$T$6:$T$174, "&lt;"&amp;AVW1)</f>
        <v>0</v>
      </c>
      <c r="AVW17" s="125">
        <f>SUMIFS('Expenditure Breakdown'!$U$6:$U$174, 'Expenditure Breakdown'!$T$6:$T$174, "&gt;="&amp;AVW1,'Expenditure Breakdown'!$T$6:$T$174, "&lt;"&amp;AVX1)</f>
        <v>0</v>
      </c>
      <c r="AVX17" s="125">
        <f>SUMIFS('Expenditure Breakdown'!$U$6:$U$174, 'Expenditure Breakdown'!$T$6:$T$174, "&gt;="&amp;AVX1,'Expenditure Breakdown'!$T$6:$T$174, "&lt;"&amp;AVY1)</f>
        <v>0</v>
      </c>
      <c r="AVY17" s="125">
        <f>SUMIFS('Expenditure Breakdown'!$U$6:$U$174, 'Expenditure Breakdown'!$T$6:$T$174, "&gt;="&amp;AVY1,'Expenditure Breakdown'!$T$6:$T$174, "&lt;"&amp;AVZ1)</f>
        <v>0</v>
      </c>
      <c r="AVZ17" s="125">
        <f>SUMIFS('Expenditure Breakdown'!$U$6:$U$174, 'Expenditure Breakdown'!$T$6:$T$174, "&gt;="&amp;AVZ1,'Expenditure Breakdown'!$T$6:$T$174, "&lt;"&amp;AWA1)</f>
        <v>0</v>
      </c>
      <c r="AWA17" s="125">
        <f>SUMIFS('Expenditure Breakdown'!$U$6:$U$174, 'Expenditure Breakdown'!$T$6:$T$174, "&gt;="&amp;AWA1,'Expenditure Breakdown'!$T$6:$T$174, "&lt;"&amp;AWB1)</f>
        <v>0</v>
      </c>
      <c r="AWB17" s="125">
        <f>SUMIFS('Expenditure Breakdown'!$U$6:$U$174, 'Expenditure Breakdown'!$T$6:$T$174, "&gt;="&amp;AWB1,'Expenditure Breakdown'!$T$6:$T$174, "&lt;"&amp;AWC1)</f>
        <v>0</v>
      </c>
      <c r="AWC17" s="125">
        <f>SUMIFS('Expenditure Breakdown'!$U$6:$U$174, 'Expenditure Breakdown'!$T$6:$T$174, "&gt;="&amp;AWC1,'Expenditure Breakdown'!$T$6:$T$174, "&lt;"&amp;AWD1)</f>
        <v>0</v>
      </c>
      <c r="AWD17" s="125">
        <f>SUMIFS('Expenditure Breakdown'!$U$6:$U$174, 'Expenditure Breakdown'!$T$6:$T$174, "&gt;="&amp;AWD1,'Expenditure Breakdown'!$T$6:$T$174, "&lt;"&amp;AWE1)</f>
        <v>0</v>
      </c>
      <c r="AWE17" s="125">
        <f>SUMIFS('Expenditure Breakdown'!$U$6:$U$174, 'Expenditure Breakdown'!$T$6:$T$174, "&gt;="&amp;AWE1,'Expenditure Breakdown'!$T$6:$T$174, "&lt;"&amp;AWF1)</f>
        <v>0</v>
      </c>
      <c r="AWF17" s="125">
        <f>SUMIFS('Expenditure Breakdown'!$U$6:$U$174, 'Expenditure Breakdown'!$T$6:$T$174, "&gt;="&amp;AWF1,'Expenditure Breakdown'!$T$6:$T$174, "&lt;"&amp;AWG1)</f>
        <v>0</v>
      </c>
      <c r="AWG17" s="125">
        <f>SUMIFS('Expenditure Breakdown'!$U$6:$U$174, 'Expenditure Breakdown'!$T$6:$T$174, "&gt;="&amp;AWG1,'Expenditure Breakdown'!$T$6:$T$174, "&lt;"&amp;AWH1)</f>
        <v>0</v>
      </c>
      <c r="AWH17" s="125">
        <f>SUMIFS('Expenditure Breakdown'!$U$6:$U$174, 'Expenditure Breakdown'!$T$6:$T$174, "&gt;="&amp;AWH1,'Expenditure Breakdown'!$T$6:$T$174, "&lt;"&amp;AWI1)</f>
        <v>0</v>
      </c>
      <c r="AWI17" s="125">
        <f>SUMIFS('Expenditure Breakdown'!$U$6:$U$174, 'Expenditure Breakdown'!$T$6:$T$174, "&gt;="&amp;AWI1,'Expenditure Breakdown'!$T$6:$T$174, "&lt;"&amp;AWJ1)</f>
        <v>0</v>
      </c>
      <c r="AWJ17" s="125">
        <f>SUMIFS('Expenditure Breakdown'!$U$6:$U$174, 'Expenditure Breakdown'!$T$6:$T$174, "&gt;="&amp;AWJ1,'Expenditure Breakdown'!$T$6:$T$174, "&lt;"&amp;AWK1)</f>
        <v>0</v>
      </c>
      <c r="AWK17" s="125">
        <f>SUMIFS('Expenditure Breakdown'!$U$6:$U$174, 'Expenditure Breakdown'!$T$6:$T$174, "&gt;="&amp;AWK1,'Expenditure Breakdown'!$T$6:$T$174, "&lt;"&amp;AWL1)</f>
        <v>0</v>
      </c>
      <c r="AWL17" s="125">
        <f>SUMIFS('Expenditure Breakdown'!$U$6:$U$174, 'Expenditure Breakdown'!$T$6:$T$174, "&gt;="&amp;AWL1,'Expenditure Breakdown'!$T$6:$T$174, "&lt;"&amp;AWM1)</f>
        <v>0</v>
      </c>
      <c r="AWM17" s="125">
        <f>SUMIFS('Expenditure Breakdown'!$U$6:$U$174, 'Expenditure Breakdown'!$T$6:$T$174, "&gt;="&amp;AWM1,'Expenditure Breakdown'!$T$6:$T$174, "&lt;"&amp;AWN1)</f>
        <v>0</v>
      </c>
      <c r="AWN17" s="125">
        <f>SUMIFS('Expenditure Breakdown'!$U$6:$U$174, 'Expenditure Breakdown'!$T$6:$T$174, "&gt;="&amp;AWN1,'Expenditure Breakdown'!$T$6:$T$174, "&lt;"&amp;AWO1)</f>
        <v>0</v>
      </c>
      <c r="AWO17" s="125">
        <f>SUMIFS('Expenditure Breakdown'!$U$6:$U$174, 'Expenditure Breakdown'!$T$6:$T$174, "&gt;="&amp;AWO1,'Expenditure Breakdown'!$T$6:$T$174, "&lt;"&amp;AWP1)</f>
        <v>0</v>
      </c>
      <c r="AWP17" s="125">
        <f>SUMIFS('Expenditure Breakdown'!$U$6:$U$174, 'Expenditure Breakdown'!$T$6:$T$174, "&gt;="&amp;AWP1,'Expenditure Breakdown'!$T$6:$T$174, "&lt;"&amp;AWQ1)</f>
        <v>0</v>
      </c>
      <c r="AWQ17" s="125">
        <f>SUMIFS('Expenditure Breakdown'!$U$6:$U$174, 'Expenditure Breakdown'!$T$6:$T$174, "&gt;="&amp;AWQ1,'Expenditure Breakdown'!$T$6:$T$174, "&lt;"&amp;AWR1)</f>
        <v>0</v>
      </c>
      <c r="AWR17" s="125">
        <f>SUMIFS('Expenditure Breakdown'!$U$6:$U$174, 'Expenditure Breakdown'!$T$6:$T$174, "&gt;="&amp;AWR1,'Expenditure Breakdown'!$T$6:$T$174, "&lt;"&amp;AWS1)</f>
        <v>0</v>
      </c>
      <c r="AWS17" s="125">
        <f>SUMIFS('Expenditure Breakdown'!$U$6:$U$174, 'Expenditure Breakdown'!$T$6:$T$174, "&gt;="&amp;AWS1,'Expenditure Breakdown'!$T$6:$T$174, "&lt;"&amp;AWT1)</f>
        <v>0</v>
      </c>
      <c r="AWT17" s="125">
        <f>SUMIFS('Expenditure Breakdown'!$U$6:$U$174, 'Expenditure Breakdown'!$T$6:$T$174, "&gt;="&amp;AWT1,'Expenditure Breakdown'!$T$6:$T$174, "&lt;"&amp;AWU1)</f>
        <v>0</v>
      </c>
      <c r="AWU17" s="125">
        <f>SUMIFS('Expenditure Breakdown'!$U$6:$U$174, 'Expenditure Breakdown'!$T$6:$T$174, "&gt;="&amp;AWU1,'Expenditure Breakdown'!$T$6:$T$174, "&lt;"&amp;AWV1)</f>
        <v>0</v>
      </c>
      <c r="AWV17" s="125">
        <f>SUMIFS('Expenditure Breakdown'!$U$6:$U$174, 'Expenditure Breakdown'!$T$6:$T$174, "&gt;="&amp;AWV1,'Expenditure Breakdown'!$T$6:$T$174, "&lt;"&amp;AWW1)</f>
        <v>0</v>
      </c>
      <c r="AWW17" s="125">
        <f>SUMIFS('Expenditure Breakdown'!$U$6:$U$174, 'Expenditure Breakdown'!$T$6:$T$174, "&gt;="&amp;AWW1,'Expenditure Breakdown'!$T$6:$T$174, "&lt;"&amp;AWX1)</f>
        <v>0</v>
      </c>
      <c r="AWX17" s="125">
        <f>SUMIFS('Expenditure Breakdown'!$U$6:$U$174, 'Expenditure Breakdown'!$T$6:$T$174, "&gt;="&amp;AWX1,'Expenditure Breakdown'!$T$6:$T$174, "&lt;"&amp;AWY1)</f>
        <v>0</v>
      </c>
      <c r="AWY17" s="125">
        <f>SUMIFS('Expenditure Breakdown'!$U$6:$U$174, 'Expenditure Breakdown'!$T$6:$T$174, "&gt;="&amp;AWY1,'Expenditure Breakdown'!$T$6:$T$174, "&lt;"&amp;AWZ1)</f>
        <v>0</v>
      </c>
      <c r="AWZ17" s="125">
        <f>SUMIFS('Expenditure Breakdown'!$U$6:$U$174, 'Expenditure Breakdown'!$T$6:$T$174, "&gt;="&amp;AWZ1,'Expenditure Breakdown'!$T$6:$T$174, "&lt;"&amp;AXA1)</f>
        <v>0</v>
      </c>
      <c r="AXA17" s="125">
        <f>SUMIFS('Expenditure Breakdown'!$U$6:$U$174, 'Expenditure Breakdown'!$T$6:$T$174, "&gt;="&amp;AXA1,'Expenditure Breakdown'!$T$6:$T$174, "&lt;"&amp;AXB1)</f>
        <v>0</v>
      </c>
      <c r="AXB17" s="125">
        <f>SUMIFS('Expenditure Breakdown'!$U$6:$U$174, 'Expenditure Breakdown'!$T$6:$T$174, "&gt;="&amp;AXB1,'Expenditure Breakdown'!$T$6:$T$174, "&lt;"&amp;AXC1)</f>
        <v>0</v>
      </c>
      <c r="AXC17" s="125">
        <f>SUMIFS('Expenditure Breakdown'!$U$6:$U$174, 'Expenditure Breakdown'!$T$6:$T$174, "&gt;="&amp;AXC1,'Expenditure Breakdown'!$T$6:$T$174, "&lt;"&amp;AXD1)</f>
        <v>0</v>
      </c>
      <c r="AXD17" s="125">
        <f>SUMIFS('Expenditure Breakdown'!$U$6:$U$174, 'Expenditure Breakdown'!$T$6:$T$174, "&gt;="&amp;AXD1,'Expenditure Breakdown'!$T$6:$T$174, "&lt;"&amp;AXE1)</f>
        <v>0</v>
      </c>
      <c r="AXE17" s="125">
        <f>SUMIFS('Expenditure Breakdown'!$U$6:$U$174, 'Expenditure Breakdown'!$T$6:$T$174, "&gt;="&amp;AXE1,'Expenditure Breakdown'!$T$6:$T$174, "&lt;"&amp;AXF1)</f>
        <v>0</v>
      </c>
      <c r="AXF17" s="125">
        <f>SUMIFS('Expenditure Breakdown'!$U$6:$U$174, 'Expenditure Breakdown'!$T$6:$T$174, "&gt;="&amp;AXF1,'Expenditure Breakdown'!$T$6:$T$174, "&lt;"&amp;AXG1)</f>
        <v>0</v>
      </c>
      <c r="AXG17" s="125">
        <f>SUMIFS('Expenditure Breakdown'!$U$6:$U$174, 'Expenditure Breakdown'!$T$6:$T$174, "&gt;="&amp;AXG1,'Expenditure Breakdown'!$T$6:$T$174, "&lt;"&amp;AXH1)</f>
        <v>0</v>
      </c>
      <c r="AXH17" s="125">
        <f>SUMIFS('Expenditure Breakdown'!$U$6:$U$174, 'Expenditure Breakdown'!$T$6:$T$174, "&gt;="&amp;AXH1,'Expenditure Breakdown'!$T$6:$T$174, "&lt;"&amp;AXI1)</f>
        <v>0</v>
      </c>
      <c r="AXI17" s="125">
        <f>SUMIFS('Expenditure Breakdown'!$U$6:$U$174, 'Expenditure Breakdown'!$T$6:$T$174, "&gt;="&amp;AXI1,'Expenditure Breakdown'!$T$6:$T$174, "&lt;"&amp;AXJ1)</f>
        <v>0</v>
      </c>
      <c r="AXJ17" s="125">
        <f>SUMIFS('Expenditure Breakdown'!$U$6:$U$174, 'Expenditure Breakdown'!$T$6:$T$174, "&gt;="&amp;AXJ1,'Expenditure Breakdown'!$T$6:$T$174, "&lt;"&amp;AXK1)</f>
        <v>0</v>
      </c>
      <c r="AXK17" s="125">
        <f>SUMIFS('Expenditure Breakdown'!$U$6:$U$174, 'Expenditure Breakdown'!$T$6:$T$174, "&gt;="&amp;AXK1,'Expenditure Breakdown'!$T$6:$T$174, "&lt;"&amp;AXL1)</f>
        <v>0</v>
      </c>
      <c r="AXL17" s="125">
        <f>SUMIFS('Expenditure Breakdown'!$U$6:$U$174, 'Expenditure Breakdown'!$T$6:$T$174, "&gt;="&amp;AXL1,'Expenditure Breakdown'!$T$6:$T$174, "&lt;"&amp;AXM1)</f>
        <v>0</v>
      </c>
      <c r="AXM17" s="125">
        <f>SUMIFS('Expenditure Breakdown'!$U$6:$U$174, 'Expenditure Breakdown'!$T$6:$T$174, "&gt;="&amp;AXM1,'Expenditure Breakdown'!$T$6:$T$174, "&lt;"&amp;AXN1)</f>
        <v>0</v>
      </c>
      <c r="AXN17" s="125">
        <f>SUMIFS('Expenditure Breakdown'!$U$6:$U$174, 'Expenditure Breakdown'!$T$6:$T$174, "&gt;="&amp;AXN1,'Expenditure Breakdown'!$T$6:$T$174, "&lt;"&amp;AXO1)</f>
        <v>0</v>
      </c>
      <c r="AXO17" s="125">
        <f>SUMIFS('Expenditure Breakdown'!$U$6:$U$174, 'Expenditure Breakdown'!$T$6:$T$174, "&gt;="&amp;AXO1,'Expenditure Breakdown'!$T$6:$T$174, "&lt;"&amp;AXP1)</f>
        <v>0</v>
      </c>
      <c r="AXP17" s="125">
        <f>SUMIFS('Expenditure Breakdown'!$U$6:$U$174, 'Expenditure Breakdown'!$T$6:$T$174, "&gt;="&amp;AXP1,'Expenditure Breakdown'!$T$6:$T$174, "&lt;"&amp;AXQ1)</f>
        <v>0</v>
      </c>
      <c r="AXQ17" s="125">
        <f>SUMIFS('Expenditure Breakdown'!$U$6:$U$174, 'Expenditure Breakdown'!$T$6:$T$174, "&gt;="&amp;AXQ1,'Expenditure Breakdown'!$T$6:$T$174, "&lt;"&amp;AXR1)</f>
        <v>0</v>
      </c>
      <c r="AXR17" s="125">
        <f>SUMIFS('Expenditure Breakdown'!$U$6:$U$174, 'Expenditure Breakdown'!$T$6:$T$174, "&gt;="&amp;AXR1,'Expenditure Breakdown'!$T$6:$T$174, "&lt;"&amp;AXS1)</f>
        <v>0</v>
      </c>
      <c r="AXS17" s="125">
        <f>SUMIFS('Expenditure Breakdown'!$U$6:$U$174, 'Expenditure Breakdown'!$T$6:$T$174, "&gt;="&amp;AXS1,'Expenditure Breakdown'!$T$6:$T$174, "&lt;"&amp;AXT1)</f>
        <v>0</v>
      </c>
      <c r="AXT17" s="125">
        <f>SUMIFS('Expenditure Breakdown'!$U$6:$U$174, 'Expenditure Breakdown'!$T$6:$T$174, "&gt;="&amp;AXT1,'Expenditure Breakdown'!$T$6:$T$174, "&lt;"&amp;AXU1)</f>
        <v>0</v>
      </c>
      <c r="AXU17" s="125">
        <f>SUMIFS('Expenditure Breakdown'!$U$6:$U$174, 'Expenditure Breakdown'!$T$6:$T$174, "&gt;="&amp;AXU1,'Expenditure Breakdown'!$T$6:$T$174, "&lt;"&amp;AXV1)</f>
        <v>0</v>
      </c>
      <c r="AXV17" s="125">
        <f>SUMIFS('Expenditure Breakdown'!$U$6:$U$174, 'Expenditure Breakdown'!$T$6:$T$174, "&gt;="&amp;AXV1,'Expenditure Breakdown'!$T$6:$T$174, "&lt;"&amp;AXW1)</f>
        <v>0</v>
      </c>
      <c r="AXW17" s="125">
        <f>SUMIFS('Expenditure Breakdown'!$U$6:$U$174, 'Expenditure Breakdown'!$T$6:$T$174, "&gt;="&amp;AXW1,'Expenditure Breakdown'!$T$6:$T$174, "&lt;"&amp;AXX1)</f>
        <v>0</v>
      </c>
      <c r="AXX17" s="125">
        <f>SUMIFS('Expenditure Breakdown'!$U$6:$U$174, 'Expenditure Breakdown'!$T$6:$T$174, "&gt;="&amp;AXX1,'Expenditure Breakdown'!$T$6:$T$174, "&lt;"&amp;AXY1)</f>
        <v>0</v>
      </c>
      <c r="AXY17" s="125">
        <f>SUMIFS('Expenditure Breakdown'!$U$6:$U$174, 'Expenditure Breakdown'!$T$6:$T$174, "&gt;="&amp;AXY1,'Expenditure Breakdown'!$T$6:$T$174, "&lt;"&amp;AXZ1)</f>
        <v>0</v>
      </c>
      <c r="AXZ17" s="125">
        <f>SUMIFS('Expenditure Breakdown'!$U$6:$U$174, 'Expenditure Breakdown'!$T$6:$T$174, "&gt;="&amp;AXZ1,'Expenditure Breakdown'!$T$6:$T$174, "&lt;"&amp;AYA1)</f>
        <v>0</v>
      </c>
      <c r="AYA17" s="125">
        <f>SUMIFS('Expenditure Breakdown'!$U$6:$U$174, 'Expenditure Breakdown'!$T$6:$T$174, "&gt;="&amp;AYA1,'Expenditure Breakdown'!$T$6:$T$174, "&lt;"&amp;AYB1)</f>
        <v>0</v>
      </c>
      <c r="AYB17" s="125">
        <f>SUMIFS('Expenditure Breakdown'!$U$6:$U$174, 'Expenditure Breakdown'!$T$6:$T$174, "&gt;="&amp;AYB1,'Expenditure Breakdown'!$T$6:$T$174, "&lt;"&amp;AYC1)</f>
        <v>0</v>
      </c>
      <c r="AYC17" s="125">
        <f>SUMIFS('Expenditure Breakdown'!$U$6:$U$174, 'Expenditure Breakdown'!$T$6:$T$174, "&gt;="&amp;AYC1,'Expenditure Breakdown'!$T$6:$T$174, "&lt;"&amp;AYD1)</f>
        <v>0</v>
      </c>
      <c r="AYD17" s="125">
        <f>SUMIFS('Expenditure Breakdown'!$U$6:$U$174, 'Expenditure Breakdown'!$T$6:$T$174, "&gt;="&amp;AYD1,'Expenditure Breakdown'!$T$6:$T$174, "&lt;"&amp;AYE1)</f>
        <v>0</v>
      </c>
      <c r="AYE17" s="125">
        <f>SUMIFS('Expenditure Breakdown'!$U$6:$U$174, 'Expenditure Breakdown'!$T$6:$T$174, "&gt;="&amp;AYE1,'Expenditure Breakdown'!$T$6:$T$174, "&lt;"&amp;AYF1)</f>
        <v>0</v>
      </c>
      <c r="AYF17" s="125">
        <f>SUMIFS('Expenditure Breakdown'!$U$6:$U$174, 'Expenditure Breakdown'!$T$6:$T$174, "&gt;="&amp;AYF1,'Expenditure Breakdown'!$T$6:$T$174, "&lt;"&amp;AYG1)</f>
        <v>0</v>
      </c>
      <c r="AYG17" s="125">
        <f>SUMIFS('Expenditure Breakdown'!$U$6:$U$174, 'Expenditure Breakdown'!$T$6:$T$174, "&gt;="&amp;AYG1,'Expenditure Breakdown'!$T$6:$T$174, "&lt;"&amp;AYH1)</f>
        <v>0</v>
      </c>
      <c r="AYH17" s="125">
        <f>SUMIFS('Expenditure Breakdown'!$U$6:$U$174, 'Expenditure Breakdown'!$T$6:$T$174, "&gt;="&amp;AYH1,'Expenditure Breakdown'!$T$6:$T$174, "&lt;"&amp;AYI1)</f>
        <v>0</v>
      </c>
      <c r="AYI17" s="125">
        <f>SUMIFS('Expenditure Breakdown'!$U$6:$U$174, 'Expenditure Breakdown'!$T$6:$T$174, "&gt;="&amp;AYI1,'Expenditure Breakdown'!$T$6:$T$174, "&lt;"&amp;AYJ1)</f>
        <v>0</v>
      </c>
      <c r="AYJ17" s="125">
        <f>SUMIFS('Expenditure Breakdown'!$U$6:$U$174, 'Expenditure Breakdown'!$T$6:$T$174, "&gt;="&amp;AYJ1,'Expenditure Breakdown'!$T$6:$T$174, "&lt;"&amp;AYK1)</f>
        <v>0</v>
      </c>
      <c r="AYK17" s="125">
        <f>SUMIFS('Expenditure Breakdown'!$U$6:$U$174, 'Expenditure Breakdown'!$T$6:$T$174, "&gt;="&amp;AYK1,'Expenditure Breakdown'!$T$6:$T$174, "&lt;"&amp;AYL1)</f>
        <v>0</v>
      </c>
      <c r="AYL17" s="125">
        <f>SUMIFS('Expenditure Breakdown'!$U$6:$U$174, 'Expenditure Breakdown'!$T$6:$T$174, "&gt;="&amp;AYL1,'Expenditure Breakdown'!$T$6:$T$174, "&lt;"&amp;AYM1)</f>
        <v>0</v>
      </c>
      <c r="AYM17" s="125">
        <f>SUMIFS('Expenditure Breakdown'!$U$6:$U$174, 'Expenditure Breakdown'!$T$6:$T$174, "&gt;="&amp;AYM1,'Expenditure Breakdown'!$T$6:$T$174, "&lt;"&amp;AYN1)</f>
        <v>0</v>
      </c>
      <c r="AYN17" s="125">
        <f>SUMIFS('Expenditure Breakdown'!$U$6:$U$174, 'Expenditure Breakdown'!$T$6:$T$174, "&gt;="&amp;AYN1,'Expenditure Breakdown'!$T$6:$T$174, "&lt;"&amp;AYO1)</f>
        <v>0</v>
      </c>
      <c r="AYO17" s="125">
        <f>SUMIFS('Expenditure Breakdown'!$U$6:$U$174, 'Expenditure Breakdown'!$T$6:$T$174, "&gt;="&amp;AYO1,'Expenditure Breakdown'!$T$6:$T$174, "&lt;"&amp;AYP1)</f>
        <v>0</v>
      </c>
      <c r="AYP17" s="125">
        <f>SUMIFS('Expenditure Breakdown'!$U$6:$U$174, 'Expenditure Breakdown'!$T$6:$T$174, "&gt;="&amp;AYP1,'Expenditure Breakdown'!$T$6:$T$174, "&lt;"&amp;AYQ1)</f>
        <v>0</v>
      </c>
      <c r="AYQ17" s="125">
        <f>SUMIFS('Expenditure Breakdown'!$U$6:$U$174, 'Expenditure Breakdown'!$T$6:$T$174, "&gt;="&amp;AYQ1,'Expenditure Breakdown'!$T$6:$T$174, "&lt;"&amp;AYR1)</f>
        <v>0</v>
      </c>
      <c r="AYR17" s="125">
        <f>SUMIFS('Expenditure Breakdown'!$U$6:$U$174, 'Expenditure Breakdown'!$T$6:$T$174, "&gt;="&amp;AYR1,'Expenditure Breakdown'!$T$6:$T$174, "&lt;"&amp;AYS1)</f>
        <v>0</v>
      </c>
      <c r="AYS17" s="125">
        <f>SUMIFS('Expenditure Breakdown'!$U$6:$U$174, 'Expenditure Breakdown'!$T$6:$T$174, "&gt;="&amp;AYS1,'Expenditure Breakdown'!$T$6:$T$174, "&lt;"&amp;AYT1)</f>
        <v>0</v>
      </c>
      <c r="AYT17" s="125">
        <f>SUMIFS('Expenditure Breakdown'!$U$6:$U$174, 'Expenditure Breakdown'!$T$6:$T$174, "&gt;="&amp;AYT1,'Expenditure Breakdown'!$T$6:$T$174, "&lt;"&amp;AYU1)</f>
        <v>0</v>
      </c>
      <c r="AYU17" s="125">
        <f>SUMIFS('Expenditure Breakdown'!$U$6:$U$174, 'Expenditure Breakdown'!$T$6:$T$174, "&gt;="&amp;AYU1,'Expenditure Breakdown'!$T$6:$T$174, "&lt;"&amp;AYV1)</f>
        <v>0</v>
      </c>
      <c r="AYV17" s="125">
        <f>SUMIFS('Expenditure Breakdown'!$U$6:$U$174, 'Expenditure Breakdown'!$T$6:$T$174, "&gt;="&amp;AYV1,'Expenditure Breakdown'!$T$6:$T$174, "&lt;"&amp;AYW1)</f>
        <v>0</v>
      </c>
      <c r="AYW17" s="125">
        <f>SUMIFS('Expenditure Breakdown'!$U$6:$U$174, 'Expenditure Breakdown'!$T$6:$T$174, "&gt;="&amp;AYW1,'Expenditure Breakdown'!$T$6:$T$174, "&lt;"&amp;AYX1)</f>
        <v>0</v>
      </c>
      <c r="AYX17" s="125">
        <f>SUMIFS('Expenditure Breakdown'!$U$6:$U$174, 'Expenditure Breakdown'!$T$6:$T$174, "&gt;="&amp;AYX1,'Expenditure Breakdown'!$T$6:$T$174, "&lt;"&amp;AYY1)</f>
        <v>0</v>
      </c>
      <c r="AYY17" s="125">
        <f>SUMIFS('Expenditure Breakdown'!$U$6:$U$174, 'Expenditure Breakdown'!$T$6:$T$174, "&gt;="&amp;AYY1,'Expenditure Breakdown'!$T$6:$T$174, "&lt;"&amp;AYZ1)</f>
        <v>0</v>
      </c>
      <c r="AYZ17" s="125">
        <f>SUMIFS('Expenditure Breakdown'!$U$6:$U$174, 'Expenditure Breakdown'!$T$6:$T$174, "&gt;="&amp;AYZ1,'Expenditure Breakdown'!$T$6:$T$174, "&lt;"&amp;AZA1)</f>
        <v>0</v>
      </c>
      <c r="AZA17" s="125">
        <f>SUMIFS('Expenditure Breakdown'!$U$6:$U$174, 'Expenditure Breakdown'!$T$6:$T$174, "&gt;="&amp;AZA1,'Expenditure Breakdown'!$T$6:$T$174, "&lt;"&amp;AZB1)</f>
        <v>0</v>
      </c>
      <c r="AZB17" s="125">
        <f>SUMIFS('Expenditure Breakdown'!$U$6:$U$174, 'Expenditure Breakdown'!$T$6:$T$174, "&gt;="&amp;AZB1,'Expenditure Breakdown'!$T$6:$T$174, "&lt;"&amp;AZC1)</f>
        <v>0</v>
      </c>
      <c r="AZC17" s="125">
        <f>SUMIFS('Expenditure Breakdown'!$U$6:$U$174, 'Expenditure Breakdown'!$T$6:$T$174, "&gt;="&amp;AZC1,'Expenditure Breakdown'!$T$6:$T$174, "&lt;"&amp;AZD1)</f>
        <v>0</v>
      </c>
      <c r="AZD17" s="125">
        <f>SUMIFS('Expenditure Breakdown'!$U$6:$U$174, 'Expenditure Breakdown'!$T$6:$T$174, "&gt;="&amp;AZD1,'Expenditure Breakdown'!$T$6:$T$174, "&lt;"&amp;AZE1)</f>
        <v>0</v>
      </c>
      <c r="AZE17" s="125">
        <f>SUMIFS('Expenditure Breakdown'!$U$6:$U$174, 'Expenditure Breakdown'!$T$6:$T$174, "&gt;="&amp;AZE1,'Expenditure Breakdown'!$T$6:$T$174, "&lt;"&amp;AZF1)</f>
        <v>0</v>
      </c>
      <c r="AZF17" s="125">
        <f>SUMIFS('Expenditure Breakdown'!$U$6:$U$174, 'Expenditure Breakdown'!$T$6:$T$174, "&gt;="&amp;AZF1,'Expenditure Breakdown'!$T$6:$T$174, "&lt;"&amp;AZG1)</f>
        <v>0</v>
      </c>
      <c r="AZG17" s="125">
        <f>SUMIFS('Expenditure Breakdown'!$U$6:$U$174, 'Expenditure Breakdown'!$T$6:$T$174, "&gt;="&amp;AZG1,'Expenditure Breakdown'!$T$6:$T$174, "&lt;"&amp;AZH1)</f>
        <v>0</v>
      </c>
    </row>
    <row r="18" spans="1:1359">
      <c r="A18" s="778"/>
      <c r="B18" s="106" t="s">
        <v>507</v>
      </c>
      <c r="C18" s="275">
        <f>D17-D18</f>
        <v>0</v>
      </c>
      <c r="D18" s="107">
        <f>MAX(F18:AZG18)</f>
        <v>2041415.1179001904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154">H18+I17</f>
        <v>0</v>
      </c>
      <c r="J18" s="125">
        <f t="shared" si="154"/>
        <v>0</v>
      </c>
      <c r="K18" s="125">
        <f t="shared" si="154"/>
        <v>0</v>
      </c>
      <c r="L18" s="125">
        <f t="shared" si="154"/>
        <v>0</v>
      </c>
      <c r="M18" s="125">
        <f t="shared" si="154"/>
        <v>0</v>
      </c>
      <c r="N18" s="125">
        <f t="shared" si="154"/>
        <v>0</v>
      </c>
      <c r="O18" s="125">
        <f t="shared" si="154"/>
        <v>0</v>
      </c>
      <c r="P18" s="125">
        <f t="shared" si="154"/>
        <v>0</v>
      </c>
      <c r="Q18" s="125">
        <f t="shared" si="154"/>
        <v>0</v>
      </c>
      <c r="R18" s="125">
        <f t="shared" si="154"/>
        <v>0</v>
      </c>
      <c r="S18" s="125">
        <f t="shared" si="154"/>
        <v>0</v>
      </c>
      <c r="T18" s="125">
        <f t="shared" si="154"/>
        <v>0</v>
      </c>
      <c r="U18" s="125">
        <f t="shared" si="154"/>
        <v>0</v>
      </c>
      <c r="V18" s="125">
        <f t="shared" si="154"/>
        <v>654686.889623233</v>
      </c>
      <c r="W18" s="125">
        <f t="shared" si="154"/>
        <v>654686.889623233</v>
      </c>
      <c r="X18" s="125">
        <f t="shared" si="154"/>
        <v>654686.889623233</v>
      </c>
      <c r="Y18" s="125">
        <f t="shared" si="154"/>
        <v>654686.889623233</v>
      </c>
      <c r="Z18" s="125">
        <f t="shared" si="154"/>
        <v>795885.01578509086</v>
      </c>
      <c r="AA18" s="125">
        <f t="shared" si="154"/>
        <v>795885.01578509086</v>
      </c>
      <c r="AB18" s="125">
        <f t="shared" si="154"/>
        <v>795885.01578509086</v>
      </c>
      <c r="AC18" s="125">
        <f t="shared" si="154"/>
        <v>795885.01578509086</v>
      </c>
      <c r="AD18" s="125">
        <f>AC18+AD17</f>
        <v>795885.01578509086</v>
      </c>
      <c r="AE18" s="125">
        <f t="shared" si="154"/>
        <v>1263912.4880716857</v>
      </c>
      <c r="AF18" s="125">
        <f t="shared" si="154"/>
        <v>1263912.4880716857</v>
      </c>
      <c r="AG18" s="125">
        <f t="shared" si="154"/>
        <v>1263912.4880716857</v>
      </c>
      <c r="AH18" s="125">
        <f t="shared" si="154"/>
        <v>1263912.4880716857</v>
      </c>
      <c r="AI18" s="125">
        <f t="shared" si="154"/>
        <v>1644080.0028173611</v>
      </c>
      <c r="AJ18" s="125">
        <f t="shared" si="154"/>
        <v>1644080.0028173611</v>
      </c>
      <c r="AK18" s="125">
        <f t="shared" si="154"/>
        <v>1644080.0028173611</v>
      </c>
      <c r="AL18" s="125">
        <f t="shared" si="154"/>
        <v>1644080.0028173611</v>
      </c>
      <c r="AM18" s="125">
        <f t="shared" si="154"/>
        <v>2041415.1179001904</v>
      </c>
      <c r="AN18" s="125">
        <f t="shared" si="154"/>
        <v>2041415.1179001904</v>
      </c>
      <c r="AO18" s="125">
        <f t="shared" si="154"/>
        <v>2041415.1179001904</v>
      </c>
      <c r="AP18" s="125">
        <f t="shared" si="154"/>
        <v>2041415.1179001904</v>
      </c>
      <c r="AQ18" s="125">
        <f t="shared" si="154"/>
        <v>2041415.1179001904</v>
      </c>
      <c r="AR18" s="125">
        <f t="shared" si="154"/>
        <v>2041415.1179001904</v>
      </c>
      <c r="AS18" s="125">
        <f t="shared" si="154"/>
        <v>2041415.1179001904</v>
      </c>
      <c r="AT18" s="125">
        <f t="shared" si="154"/>
        <v>2041415.1179001904</v>
      </c>
      <c r="AU18" s="125">
        <f t="shared" si="154"/>
        <v>2041415.1179001904</v>
      </c>
      <c r="AV18" s="125">
        <f t="shared" si="154"/>
        <v>2041415.1179001904</v>
      </c>
      <c r="AW18" s="125">
        <f t="shared" si="154"/>
        <v>2041415.1179001904</v>
      </c>
      <c r="AX18" s="125">
        <f t="shared" si="154"/>
        <v>2041415.1179001904</v>
      </c>
      <c r="AY18" s="125">
        <f t="shared" si="154"/>
        <v>2041415.1179001904</v>
      </c>
      <c r="AZ18" s="125">
        <f t="shared" si="154"/>
        <v>2041415.1179001904</v>
      </c>
      <c r="BA18" s="125">
        <f t="shared" si="154"/>
        <v>2041415.1179001904</v>
      </c>
      <c r="BB18" s="125">
        <f t="shared" si="154"/>
        <v>2041415.1179001904</v>
      </c>
      <c r="BC18" s="125">
        <f t="shared" si="154"/>
        <v>2041415.1179001904</v>
      </c>
      <c r="BD18" s="125">
        <f t="shared" si="154"/>
        <v>2041415.1179001904</v>
      </c>
      <c r="BE18" s="125">
        <f t="shared" si="154"/>
        <v>2041415.1179001904</v>
      </c>
      <c r="BF18" s="125">
        <f t="shared" si="154"/>
        <v>2041415.1179001904</v>
      </c>
      <c r="BG18" s="125">
        <f t="shared" si="154"/>
        <v>2041415.1179001904</v>
      </c>
      <c r="BH18" s="125">
        <f t="shared" si="154"/>
        <v>2041415.1179001904</v>
      </c>
      <c r="BI18" s="125">
        <f t="shared" si="154"/>
        <v>2041415.1179001904</v>
      </c>
      <c r="BJ18" s="125">
        <f t="shared" si="154"/>
        <v>2041415.1179001904</v>
      </c>
      <c r="BK18" s="125">
        <f t="shared" si="154"/>
        <v>2041415.1179001904</v>
      </c>
      <c r="BL18" s="125">
        <f t="shared" si="154"/>
        <v>2041415.1179001904</v>
      </c>
      <c r="BM18" s="125">
        <f t="shared" si="154"/>
        <v>2041415.1179001904</v>
      </c>
      <c r="BN18" s="125">
        <f t="shared" si="154"/>
        <v>2041415.1179001904</v>
      </c>
      <c r="BO18" s="125">
        <f t="shared" si="154"/>
        <v>2041415.1179001904</v>
      </c>
      <c r="BP18" s="125">
        <f t="shared" si="154"/>
        <v>2041415.1179001904</v>
      </c>
      <c r="BQ18" s="125">
        <f t="shared" si="154"/>
        <v>2041415.1179001904</v>
      </c>
      <c r="BR18" s="125">
        <f t="shared" si="154"/>
        <v>2041415.1179001904</v>
      </c>
      <c r="BS18" s="125">
        <f t="shared" si="154"/>
        <v>2041415.1179001904</v>
      </c>
      <c r="BT18" s="125">
        <f t="shared" si="154"/>
        <v>2041415.1179001904</v>
      </c>
      <c r="BU18" s="125">
        <f t="shared" ref="BU18:EF18" si="155">BT18+BU17</f>
        <v>2041415.1179001904</v>
      </c>
      <c r="BV18" s="125">
        <f t="shared" si="155"/>
        <v>2041415.1179001904</v>
      </c>
      <c r="BW18" s="125">
        <f t="shared" si="155"/>
        <v>2041415.1179001904</v>
      </c>
      <c r="BX18" s="125">
        <f t="shared" si="155"/>
        <v>2041415.1179001904</v>
      </c>
      <c r="BY18" s="125">
        <f t="shared" si="155"/>
        <v>2041415.1179001904</v>
      </c>
      <c r="BZ18" s="125">
        <f t="shared" si="155"/>
        <v>2041415.1179001904</v>
      </c>
      <c r="CA18" s="125">
        <f t="shared" si="155"/>
        <v>2041415.1179001904</v>
      </c>
      <c r="CB18" s="125">
        <f t="shared" si="155"/>
        <v>2041415.1179001904</v>
      </c>
      <c r="CC18" s="125">
        <f t="shared" si="155"/>
        <v>2041415.1179001904</v>
      </c>
      <c r="CD18" s="125">
        <f t="shared" si="155"/>
        <v>2041415.1179001904</v>
      </c>
      <c r="CE18" s="125">
        <f t="shared" si="155"/>
        <v>2041415.1179001904</v>
      </c>
      <c r="CF18" s="125">
        <f t="shared" si="155"/>
        <v>2041415.1179001904</v>
      </c>
      <c r="CG18" s="125">
        <f t="shared" si="155"/>
        <v>2041415.1179001904</v>
      </c>
      <c r="CH18" s="125">
        <f t="shared" si="155"/>
        <v>2041415.1179001904</v>
      </c>
      <c r="CI18" s="125">
        <f t="shared" si="155"/>
        <v>2041415.1179001904</v>
      </c>
      <c r="CJ18" s="125">
        <f t="shared" si="155"/>
        <v>2041415.1179001904</v>
      </c>
      <c r="CK18" s="125">
        <f t="shared" si="155"/>
        <v>2041415.1179001904</v>
      </c>
      <c r="CL18" s="125">
        <f t="shared" si="155"/>
        <v>2041415.1179001904</v>
      </c>
      <c r="CM18" s="125">
        <f t="shared" si="155"/>
        <v>2041415.1179001904</v>
      </c>
      <c r="CN18" s="125">
        <f t="shared" si="155"/>
        <v>2041415.1179001904</v>
      </c>
      <c r="CO18" s="125">
        <f t="shared" si="155"/>
        <v>2041415.1179001904</v>
      </c>
      <c r="CP18" s="125">
        <f t="shared" si="155"/>
        <v>2041415.1179001904</v>
      </c>
      <c r="CQ18" s="125">
        <f t="shared" si="155"/>
        <v>2041415.1179001904</v>
      </c>
      <c r="CR18" s="125">
        <f t="shared" si="155"/>
        <v>2041415.1179001904</v>
      </c>
      <c r="CS18" s="125">
        <f t="shared" si="155"/>
        <v>2041415.1179001904</v>
      </c>
      <c r="CT18" s="125">
        <f t="shared" si="155"/>
        <v>2041415.1179001904</v>
      </c>
      <c r="CU18" s="125">
        <f t="shared" si="155"/>
        <v>2041415.1179001904</v>
      </c>
      <c r="CV18" s="125">
        <f t="shared" si="155"/>
        <v>2041415.1179001904</v>
      </c>
      <c r="CW18" s="125">
        <f t="shared" si="155"/>
        <v>2041415.1179001904</v>
      </c>
      <c r="CX18" s="125">
        <f t="shared" si="155"/>
        <v>2041415.1179001904</v>
      </c>
      <c r="CY18" s="125">
        <f t="shared" si="155"/>
        <v>2041415.1179001904</v>
      </c>
      <c r="CZ18" s="125">
        <f t="shared" si="155"/>
        <v>2041415.1179001904</v>
      </c>
      <c r="DA18" s="125">
        <f t="shared" si="155"/>
        <v>2041415.1179001904</v>
      </c>
      <c r="DB18" s="125">
        <f t="shared" si="155"/>
        <v>2041415.1179001904</v>
      </c>
      <c r="DC18" s="125">
        <f t="shared" si="155"/>
        <v>2041415.1179001904</v>
      </c>
      <c r="DD18" s="125">
        <f t="shared" si="155"/>
        <v>2041415.1179001904</v>
      </c>
      <c r="DE18" s="125">
        <f t="shared" si="155"/>
        <v>2041415.1179001904</v>
      </c>
      <c r="DF18" s="125">
        <f t="shared" si="155"/>
        <v>2041415.1179001904</v>
      </c>
      <c r="DG18" s="125">
        <f t="shared" si="155"/>
        <v>2041415.1179001904</v>
      </c>
      <c r="DH18" s="125">
        <f t="shared" si="155"/>
        <v>2041415.1179001904</v>
      </c>
      <c r="DI18" s="125">
        <f t="shared" si="155"/>
        <v>2041415.1179001904</v>
      </c>
      <c r="DJ18" s="125">
        <f t="shared" si="155"/>
        <v>2041415.1179001904</v>
      </c>
      <c r="DK18" s="125">
        <f t="shared" si="155"/>
        <v>2041415.1179001904</v>
      </c>
      <c r="DL18" s="125">
        <f t="shared" si="155"/>
        <v>2041415.1179001904</v>
      </c>
      <c r="DM18" s="125">
        <f t="shared" si="155"/>
        <v>2041415.1179001904</v>
      </c>
      <c r="DN18" s="125">
        <f t="shared" si="155"/>
        <v>2041415.1179001904</v>
      </c>
      <c r="DO18" s="125">
        <f t="shared" si="155"/>
        <v>2041415.1179001904</v>
      </c>
      <c r="DP18" s="125">
        <f t="shared" si="155"/>
        <v>2041415.1179001904</v>
      </c>
      <c r="DQ18" s="125">
        <f t="shared" si="155"/>
        <v>2041415.1179001904</v>
      </c>
      <c r="DR18" s="125">
        <f t="shared" si="155"/>
        <v>2041415.1179001904</v>
      </c>
      <c r="DS18" s="125">
        <f t="shared" si="155"/>
        <v>2041415.1179001904</v>
      </c>
      <c r="DT18" s="125">
        <f t="shared" si="155"/>
        <v>2041415.1179001904</v>
      </c>
      <c r="DU18" s="125">
        <f t="shared" si="155"/>
        <v>2041415.1179001904</v>
      </c>
      <c r="DV18" s="125">
        <f t="shared" si="155"/>
        <v>2041415.1179001904</v>
      </c>
      <c r="DW18" s="125">
        <f t="shared" si="155"/>
        <v>2041415.1179001904</v>
      </c>
      <c r="DX18" s="125">
        <f t="shared" si="155"/>
        <v>2041415.1179001904</v>
      </c>
      <c r="DY18" s="125">
        <f t="shared" si="155"/>
        <v>2041415.1179001904</v>
      </c>
      <c r="DZ18" s="125">
        <f t="shared" si="155"/>
        <v>2041415.1179001904</v>
      </c>
      <c r="EA18" s="125">
        <f t="shared" si="155"/>
        <v>2041415.1179001904</v>
      </c>
      <c r="EB18" s="125">
        <f t="shared" si="155"/>
        <v>2041415.1179001904</v>
      </c>
      <c r="EC18" s="125">
        <f t="shared" si="155"/>
        <v>2041415.1179001904</v>
      </c>
      <c r="ED18" s="125">
        <f t="shared" si="155"/>
        <v>2041415.1179001904</v>
      </c>
      <c r="EE18" s="125">
        <f t="shared" si="155"/>
        <v>2041415.1179001904</v>
      </c>
      <c r="EF18" s="125">
        <f t="shared" si="155"/>
        <v>2041415.1179001904</v>
      </c>
      <c r="EG18" s="125">
        <f t="shared" ref="EG18:GR18" si="156">EF18+EG17</f>
        <v>2041415.1179001904</v>
      </c>
      <c r="EH18" s="125">
        <f t="shared" si="156"/>
        <v>2041415.1179001904</v>
      </c>
      <c r="EI18" s="125">
        <f t="shared" si="156"/>
        <v>2041415.1179001904</v>
      </c>
      <c r="EJ18" s="125">
        <f t="shared" si="156"/>
        <v>2041415.1179001904</v>
      </c>
      <c r="EK18" s="125">
        <f t="shared" si="156"/>
        <v>2041415.1179001904</v>
      </c>
      <c r="EL18" s="125">
        <f t="shared" si="156"/>
        <v>2041415.1179001904</v>
      </c>
      <c r="EM18" s="125">
        <f t="shared" si="156"/>
        <v>2041415.1179001904</v>
      </c>
      <c r="EN18" s="125">
        <f t="shared" si="156"/>
        <v>2041415.1179001904</v>
      </c>
      <c r="EO18" s="125">
        <f t="shared" si="156"/>
        <v>2041415.1179001904</v>
      </c>
      <c r="EP18" s="125">
        <f t="shared" si="156"/>
        <v>2041415.1179001904</v>
      </c>
      <c r="EQ18" s="125">
        <f t="shared" si="156"/>
        <v>2041415.1179001904</v>
      </c>
      <c r="ER18" s="125">
        <f t="shared" si="156"/>
        <v>2041415.1179001904</v>
      </c>
      <c r="ES18" s="125">
        <f t="shared" si="156"/>
        <v>2041415.1179001904</v>
      </c>
      <c r="ET18" s="125">
        <f t="shared" si="156"/>
        <v>2041415.1179001904</v>
      </c>
      <c r="EU18" s="125">
        <f t="shared" si="156"/>
        <v>2041415.1179001904</v>
      </c>
      <c r="EV18" s="125">
        <f t="shared" si="156"/>
        <v>2041415.1179001904</v>
      </c>
      <c r="EW18" s="125">
        <f t="shared" si="156"/>
        <v>2041415.1179001904</v>
      </c>
      <c r="EX18" s="125">
        <f t="shared" si="156"/>
        <v>2041415.1179001904</v>
      </c>
      <c r="EY18" s="125">
        <f t="shared" si="156"/>
        <v>2041415.1179001904</v>
      </c>
      <c r="EZ18" s="125">
        <f t="shared" si="156"/>
        <v>2041415.1179001904</v>
      </c>
      <c r="FA18" s="125">
        <f t="shared" si="156"/>
        <v>2041415.1179001904</v>
      </c>
      <c r="FB18" s="125">
        <f t="shared" si="156"/>
        <v>2041415.1179001904</v>
      </c>
      <c r="FC18" s="125">
        <f t="shared" si="156"/>
        <v>2041415.1179001904</v>
      </c>
      <c r="FD18" s="125">
        <f t="shared" si="156"/>
        <v>2041415.1179001904</v>
      </c>
      <c r="FE18" s="125">
        <f t="shared" si="156"/>
        <v>2041415.1179001904</v>
      </c>
      <c r="FF18" s="125">
        <f t="shared" si="156"/>
        <v>2041415.1179001904</v>
      </c>
      <c r="FG18" s="125">
        <f t="shared" si="156"/>
        <v>2041415.1179001904</v>
      </c>
      <c r="FH18" s="125">
        <f t="shared" si="156"/>
        <v>2041415.1179001904</v>
      </c>
      <c r="FI18" s="125">
        <f t="shared" si="156"/>
        <v>2041415.1179001904</v>
      </c>
      <c r="FJ18" s="125">
        <f t="shared" si="156"/>
        <v>2041415.1179001904</v>
      </c>
      <c r="FK18" s="125">
        <f t="shared" si="156"/>
        <v>2041415.1179001904</v>
      </c>
      <c r="FL18" s="125">
        <f t="shared" si="156"/>
        <v>2041415.1179001904</v>
      </c>
      <c r="FM18" s="125">
        <f t="shared" si="156"/>
        <v>2041415.1179001904</v>
      </c>
      <c r="FN18" s="125">
        <f t="shared" si="156"/>
        <v>2041415.1179001904</v>
      </c>
      <c r="FO18" s="125">
        <f t="shared" si="156"/>
        <v>2041415.1179001904</v>
      </c>
      <c r="FP18" s="125">
        <f t="shared" si="156"/>
        <v>2041415.1179001904</v>
      </c>
      <c r="FQ18" s="125">
        <f t="shared" si="156"/>
        <v>2041415.1179001904</v>
      </c>
      <c r="FR18" s="125">
        <f t="shared" si="156"/>
        <v>2041415.1179001904</v>
      </c>
      <c r="FS18" s="125">
        <f t="shared" si="156"/>
        <v>2041415.1179001904</v>
      </c>
      <c r="FT18" s="125">
        <f t="shared" si="156"/>
        <v>2041415.1179001904</v>
      </c>
      <c r="FU18" s="125">
        <f t="shared" si="156"/>
        <v>2041415.1179001904</v>
      </c>
      <c r="FV18" s="125">
        <f t="shared" si="156"/>
        <v>2041415.1179001904</v>
      </c>
      <c r="FW18" s="125">
        <f t="shared" si="156"/>
        <v>2041415.1179001904</v>
      </c>
      <c r="FX18" s="125">
        <f t="shared" si="156"/>
        <v>2041415.1179001904</v>
      </c>
      <c r="FY18" s="125">
        <f t="shared" si="156"/>
        <v>2041415.1179001904</v>
      </c>
      <c r="FZ18" s="125">
        <f t="shared" si="156"/>
        <v>2041415.1179001904</v>
      </c>
      <c r="GA18" s="125">
        <f t="shared" si="156"/>
        <v>2041415.1179001904</v>
      </c>
      <c r="GB18" s="125">
        <f t="shared" si="156"/>
        <v>2041415.1179001904</v>
      </c>
      <c r="GC18" s="125">
        <f t="shared" si="156"/>
        <v>2041415.1179001904</v>
      </c>
      <c r="GD18" s="125">
        <f t="shared" si="156"/>
        <v>2041415.1179001904</v>
      </c>
      <c r="GE18" s="125">
        <f t="shared" si="156"/>
        <v>2041415.1179001904</v>
      </c>
      <c r="GF18" s="125">
        <f t="shared" si="156"/>
        <v>2041415.1179001904</v>
      </c>
      <c r="GG18" s="125">
        <f t="shared" si="156"/>
        <v>2041415.1179001904</v>
      </c>
      <c r="GH18" s="125">
        <f t="shared" si="156"/>
        <v>2041415.1179001904</v>
      </c>
      <c r="GI18" s="125">
        <f t="shared" si="156"/>
        <v>2041415.1179001904</v>
      </c>
      <c r="GJ18" s="125">
        <f t="shared" si="156"/>
        <v>2041415.1179001904</v>
      </c>
      <c r="GK18" s="125">
        <f t="shared" si="156"/>
        <v>2041415.1179001904</v>
      </c>
      <c r="GL18" s="125">
        <f t="shared" si="156"/>
        <v>2041415.1179001904</v>
      </c>
      <c r="GM18" s="125">
        <f t="shared" si="156"/>
        <v>2041415.1179001904</v>
      </c>
      <c r="GN18" s="125">
        <f t="shared" si="156"/>
        <v>2041415.1179001904</v>
      </c>
      <c r="GO18" s="125">
        <f t="shared" si="156"/>
        <v>2041415.1179001904</v>
      </c>
      <c r="GP18" s="125">
        <f t="shared" si="156"/>
        <v>2041415.1179001904</v>
      </c>
      <c r="GQ18" s="125">
        <f t="shared" si="156"/>
        <v>2041415.1179001904</v>
      </c>
      <c r="GR18" s="125">
        <f t="shared" si="156"/>
        <v>2041415.1179001904</v>
      </c>
      <c r="GS18" s="125">
        <f t="shared" ref="GS18:JD18" si="157">GR18+GS17</f>
        <v>2041415.1179001904</v>
      </c>
      <c r="GT18" s="125">
        <f t="shared" si="157"/>
        <v>2041415.1179001904</v>
      </c>
      <c r="GU18" s="125">
        <f t="shared" si="157"/>
        <v>2041415.1179001904</v>
      </c>
      <c r="GV18" s="125">
        <f t="shared" si="157"/>
        <v>2041415.1179001904</v>
      </c>
      <c r="GW18" s="125">
        <f t="shared" si="157"/>
        <v>2041415.1179001904</v>
      </c>
      <c r="GX18" s="125">
        <f t="shared" si="157"/>
        <v>2041415.1179001904</v>
      </c>
      <c r="GY18" s="125">
        <f t="shared" si="157"/>
        <v>2041415.1179001904</v>
      </c>
      <c r="GZ18" s="125">
        <f t="shared" si="157"/>
        <v>2041415.1179001904</v>
      </c>
      <c r="HA18" s="125">
        <f t="shared" si="157"/>
        <v>2041415.1179001904</v>
      </c>
      <c r="HB18" s="125">
        <f t="shared" si="157"/>
        <v>2041415.1179001904</v>
      </c>
      <c r="HC18" s="125">
        <f t="shared" si="157"/>
        <v>2041415.1179001904</v>
      </c>
      <c r="HD18" s="125">
        <f t="shared" si="157"/>
        <v>2041415.1179001904</v>
      </c>
      <c r="HE18" s="125">
        <f t="shared" si="157"/>
        <v>2041415.1179001904</v>
      </c>
      <c r="HF18" s="125">
        <f t="shared" si="157"/>
        <v>2041415.1179001904</v>
      </c>
      <c r="HG18" s="125">
        <f t="shared" si="157"/>
        <v>2041415.1179001904</v>
      </c>
      <c r="HH18" s="125">
        <f t="shared" si="157"/>
        <v>2041415.1179001904</v>
      </c>
      <c r="HI18" s="125">
        <f t="shared" si="157"/>
        <v>2041415.1179001904</v>
      </c>
      <c r="HJ18" s="125">
        <f t="shared" si="157"/>
        <v>2041415.1179001904</v>
      </c>
      <c r="HK18" s="125">
        <f t="shared" si="157"/>
        <v>2041415.1179001904</v>
      </c>
      <c r="HL18" s="125">
        <f t="shared" si="157"/>
        <v>2041415.1179001904</v>
      </c>
      <c r="HM18" s="125">
        <f t="shared" si="157"/>
        <v>2041415.1179001904</v>
      </c>
      <c r="HN18" s="125">
        <f t="shared" si="157"/>
        <v>2041415.1179001904</v>
      </c>
      <c r="HO18" s="125">
        <f t="shared" si="157"/>
        <v>2041415.1179001904</v>
      </c>
      <c r="HP18" s="125">
        <f t="shared" si="157"/>
        <v>2041415.1179001904</v>
      </c>
      <c r="HQ18" s="125">
        <f t="shared" si="157"/>
        <v>2041415.1179001904</v>
      </c>
      <c r="HR18" s="125">
        <f t="shared" si="157"/>
        <v>2041415.1179001904</v>
      </c>
      <c r="HS18" s="125">
        <f t="shared" si="157"/>
        <v>2041415.1179001904</v>
      </c>
      <c r="HT18" s="125">
        <f t="shared" si="157"/>
        <v>2041415.1179001904</v>
      </c>
      <c r="HU18" s="125">
        <f t="shared" si="157"/>
        <v>2041415.1179001904</v>
      </c>
      <c r="HV18" s="125">
        <f t="shared" si="157"/>
        <v>2041415.1179001904</v>
      </c>
      <c r="HW18" s="125">
        <f t="shared" si="157"/>
        <v>2041415.1179001904</v>
      </c>
      <c r="HX18" s="125">
        <f t="shared" si="157"/>
        <v>2041415.1179001904</v>
      </c>
      <c r="HY18" s="125">
        <f t="shared" si="157"/>
        <v>2041415.1179001904</v>
      </c>
      <c r="HZ18" s="125">
        <f t="shared" si="157"/>
        <v>2041415.1179001904</v>
      </c>
      <c r="IA18" s="125">
        <f t="shared" si="157"/>
        <v>2041415.1179001904</v>
      </c>
      <c r="IB18" s="125">
        <f t="shared" si="157"/>
        <v>2041415.1179001904</v>
      </c>
      <c r="IC18" s="125">
        <f t="shared" si="157"/>
        <v>2041415.1179001904</v>
      </c>
      <c r="ID18" s="125">
        <f t="shared" si="157"/>
        <v>2041415.1179001904</v>
      </c>
      <c r="IE18" s="125">
        <f t="shared" si="157"/>
        <v>2041415.1179001904</v>
      </c>
      <c r="IF18" s="125">
        <f t="shared" si="157"/>
        <v>2041415.1179001904</v>
      </c>
      <c r="IG18" s="125">
        <f t="shared" si="157"/>
        <v>2041415.1179001904</v>
      </c>
      <c r="IH18" s="125">
        <f t="shared" si="157"/>
        <v>2041415.1179001904</v>
      </c>
      <c r="II18" s="125">
        <f t="shared" si="157"/>
        <v>2041415.1179001904</v>
      </c>
      <c r="IJ18" s="125">
        <f t="shared" si="157"/>
        <v>2041415.1179001904</v>
      </c>
      <c r="IK18" s="125">
        <f t="shared" si="157"/>
        <v>2041415.1179001904</v>
      </c>
      <c r="IL18" s="125">
        <f t="shared" si="157"/>
        <v>2041415.1179001904</v>
      </c>
      <c r="IM18" s="125">
        <f t="shared" si="157"/>
        <v>2041415.1179001904</v>
      </c>
      <c r="IN18" s="125">
        <f t="shared" si="157"/>
        <v>2041415.1179001904</v>
      </c>
      <c r="IO18" s="125">
        <f t="shared" si="157"/>
        <v>2041415.1179001904</v>
      </c>
      <c r="IP18" s="125">
        <f t="shared" si="157"/>
        <v>2041415.1179001904</v>
      </c>
      <c r="IQ18" s="125">
        <f t="shared" si="157"/>
        <v>2041415.1179001904</v>
      </c>
      <c r="IR18" s="125">
        <f t="shared" si="157"/>
        <v>2041415.1179001904</v>
      </c>
      <c r="IS18" s="125">
        <f t="shared" si="157"/>
        <v>2041415.1179001904</v>
      </c>
      <c r="IT18" s="125">
        <f t="shared" si="157"/>
        <v>2041415.1179001904</v>
      </c>
      <c r="IU18" s="125">
        <f t="shared" si="157"/>
        <v>2041415.1179001904</v>
      </c>
      <c r="IV18" s="125">
        <f t="shared" si="157"/>
        <v>2041415.1179001904</v>
      </c>
      <c r="IW18" s="125">
        <f t="shared" si="157"/>
        <v>2041415.1179001904</v>
      </c>
      <c r="IX18" s="125">
        <f t="shared" si="157"/>
        <v>2041415.1179001904</v>
      </c>
      <c r="IY18" s="125">
        <f t="shared" si="157"/>
        <v>2041415.1179001904</v>
      </c>
      <c r="IZ18" s="125">
        <f t="shared" si="157"/>
        <v>2041415.1179001904</v>
      </c>
      <c r="JA18" s="125">
        <f t="shared" si="157"/>
        <v>2041415.1179001904</v>
      </c>
      <c r="JB18" s="125">
        <f t="shared" si="157"/>
        <v>2041415.1179001904</v>
      </c>
      <c r="JC18" s="125">
        <f t="shared" si="157"/>
        <v>2041415.1179001904</v>
      </c>
      <c r="JD18" s="125">
        <f t="shared" si="157"/>
        <v>2041415.1179001904</v>
      </c>
      <c r="JE18" s="125">
        <f t="shared" ref="JE18:LP18" si="158">JD18+JE17</f>
        <v>2041415.1179001904</v>
      </c>
      <c r="JF18" s="125">
        <f t="shared" si="158"/>
        <v>2041415.1179001904</v>
      </c>
      <c r="JG18" s="125">
        <f t="shared" si="158"/>
        <v>2041415.1179001904</v>
      </c>
      <c r="JH18" s="125">
        <f t="shared" si="158"/>
        <v>2041415.1179001904</v>
      </c>
      <c r="JI18" s="125">
        <f t="shared" si="158"/>
        <v>2041415.1179001904</v>
      </c>
      <c r="JJ18" s="125">
        <f t="shared" si="158"/>
        <v>2041415.1179001904</v>
      </c>
      <c r="JK18" s="125">
        <f t="shared" si="158"/>
        <v>2041415.1179001904</v>
      </c>
      <c r="JL18" s="125">
        <f t="shared" si="158"/>
        <v>2041415.1179001904</v>
      </c>
      <c r="JM18" s="125">
        <f t="shared" si="158"/>
        <v>2041415.1179001904</v>
      </c>
      <c r="JN18" s="125">
        <f t="shared" si="158"/>
        <v>2041415.1179001904</v>
      </c>
      <c r="JO18" s="125">
        <f t="shared" si="158"/>
        <v>2041415.1179001904</v>
      </c>
      <c r="JP18" s="125">
        <f t="shared" si="158"/>
        <v>2041415.1179001904</v>
      </c>
      <c r="JQ18" s="125">
        <f t="shared" si="158"/>
        <v>2041415.1179001904</v>
      </c>
      <c r="JR18" s="125">
        <f t="shared" si="158"/>
        <v>2041415.1179001904</v>
      </c>
      <c r="JS18" s="125">
        <f t="shared" si="158"/>
        <v>2041415.1179001904</v>
      </c>
      <c r="JT18" s="125">
        <f t="shared" si="158"/>
        <v>2041415.1179001904</v>
      </c>
      <c r="JU18" s="125">
        <f t="shared" si="158"/>
        <v>2041415.1179001904</v>
      </c>
      <c r="JV18" s="125">
        <f t="shared" si="158"/>
        <v>2041415.1179001904</v>
      </c>
      <c r="JW18" s="125">
        <f t="shared" si="158"/>
        <v>2041415.1179001904</v>
      </c>
      <c r="JX18" s="125">
        <f t="shared" si="158"/>
        <v>2041415.1179001904</v>
      </c>
      <c r="JY18" s="125">
        <f t="shared" si="158"/>
        <v>2041415.1179001904</v>
      </c>
      <c r="JZ18" s="125">
        <f t="shared" si="158"/>
        <v>2041415.1179001904</v>
      </c>
      <c r="KA18" s="125">
        <f t="shared" si="158"/>
        <v>2041415.1179001904</v>
      </c>
      <c r="KB18" s="125">
        <f t="shared" si="158"/>
        <v>2041415.1179001904</v>
      </c>
      <c r="KC18" s="125">
        <f t="shared" si="158"/>
        <v>2041415.1179001904</v>
      </c>
      <c r="KD18" s="125">
        <f t="shared" si="158"/>
        <v>2041415.1179001904</v>
      </c>
      <c r="KE18" s="125">
        <f t="shared" si="158"/>
        <v>2041415.1179001904</v>
      </c>
      <c r="KF18" s="125">
        <f t="shared" si="158"/>
        <v>2041415.1179001904</v>
      </c>
      <c r="KG18" s="125">
        <f t="shared" si="158"/>
        <v>2041415.1179001904</v>
      </c>
      <c r="KH18" s="125">
        <f t="shared" si="158"/>
        <v>2041415.1179001904</v>
      </c>
      <c r="KI18" s="125">
        <f t="shared" si="158"/>
        <v>2041415.1179001904</v>
      </c>
      <c r="KJ18" s="125">
        <f t="shared" si="158"/>
        <v>2041415.1179001904</v>
      </c>
      <c r="KK18" s="125">
        <f t="shared" si="158"/>
        <v>2041415.1179001904</v>
      </c>
      <c r="KL18" s="125">
        <f t="shared" si="158"/>
        <v>2041415.1179001904</v>
      </c>
      <c r="KM18" s="125">
        <f t="shared" si="158"/>
        <v>2041415.1179001904</v>
      </c>
      <c r="KN18" s="125">
        <f t="shared" si="158"/>
        <v>2041415.1179001904</v>
      </c>
      <c r="KO18" s="125">
        <f t="shared" si="158"/>
        <v>2041415.1179001904</v>
      </c>
      <c r="KP18" s="125">
        <f t="shared" si="158"/>
        <v>2041415.1179001904</v>
      </c>
      <c r="KQ18" s="125">
        <f t="shared" si="158"/>
        <v>2041415.1179001904</v>
      </c>
      <c r="KR18" s="125">
        <f t="shared" si="158"/>
        <v>2041415.1179001904</v>
      </c>
      <c r="KS18" s="125">
        <f t="shared" si="158"/>
        <v>2041415.1179001904</v>
      </c>
      <c r="KT18" s="125">
        <f t="shared" si="158"/>
        <v>2041415.1179001904</v>
      </c>
      <c r="KU18" s="125">
        <f t="shared" si="158"/>
        <v>2041415.1179001904</v>
      </c>
      <c r="KV18" s="125">
        <f t="shared" si="158"/>
        <v>2041415.1179001904</v>
      </c>
      <c r="KW18" s="125">
        <f t="shared" si="158"/>
        <v>2041415.1179001904</v>
      </c>
      <c r="KX18" s="125">
        <f t="shared" si="158"/>
        <v>2041415.1179001904</v>
      </c>
      <c r="KY18" s="125">
        <f t="shared" si="158"/>
        <v>2041415.1179001904</v>
      </c>
      <c r="KZ18" s="125">
        <f t="shared" si="158"/>
        <v>2041415.1179001904</v>
      </c>
      <c r="LA18" s="125">
        <f t="shared" si="158"/>
        <v>2041415.1179001904</v>
      </c>
      <c r="LB18" s="125">
        <f t="shared" si="158"/>
        <v>2041415.1179001904</v>
      </c>
      <c r="LC18" s="125">
        <f t="shared" si="158"/>
        <v>2041415.1179001904</v>
      </c>
      <c r="LD18" s="125">
        <f t="shared" si="158"/>
        <v>2041415.1179001904</v>
      </c>
      <c r="LE18" s="125">
        <f t="shared" si="158"/>
        <v>2041415.1179001904</v>
      </c>
      <c r="LF18" s="125">
        <f t="shared" si="158"/>
        <v>2041415.1179001904</v>
      </c>
      <c r="LG18" s="125">
        <f t="shared" si="158"/>
        <v>2041415.1179001904</v>
      </c>
      <c r="LH18" s="125">
        <f t="shared" si="158"/>
        <v>2041415.1179001904</v>
      </c>
      <c r="LI18" s="125">
        <f t="shared" si="158"/>
        <v>2041415.1179001904</v>
      </c>
      <c r="LJ18" s="125">
        <f t="shared" si="158"/>
        <v>2041415.1179001904</v>
      </c>
      <c r="LK18" s="125">
        <f t="shared" si="158"/>
        <v>2041415.1179001904</v>
      </c>
      <c r="LL18" s="125">
        <f t="shared" si="158"/>
        <v>2041415.1179001904</v>
      </c>
      <c r="LM18" s="125">
        <f t="shared" si="158"/>
        <v>2041415.1179001904</v>
      </c>
      <c r="LN18" s="125">
        <f t="shared" si="158"/>
        <v>2041415.1179001904</v>
      </c>
      <c r="LO18" s="125">
        <f t="shared" si="158"/>
        <v>2041415.1179001904</v>
      </c>
      <c r="LP18" s="125">
        <f t="shared" si="158"/>
        <v>2041415.1179001904</v>
      </c>
      <c r="LQ18" s="125">
        <f t="shared" ref="LQ18:OB18" si="159">LP18+LQ17</f>
        <v>2041415.1179001904</v>
      </c>
      <c r="LR18" s="125">
        <f t="shared" si="159"/>
        <v>2041415.1179001904</v>
      </c>
      <c r="LS18" s="125">
        <f t="shared" si="159"/>
        <v>2041415.1179001904</v>
      </c>
      <c r="LT18" s="125">
        <f t="shared" si="159"/>
        <v>2041415.1179001904</v>
      </c>
      <c r="LU18" s="125">
        <f t="shared" si="159"/>
        <v>2041415.1179001904</v>
      </c>
      <c r="LV18" s="125">
        <f t="shared" si="159"/>
        <v>2041415.1179001904</v>
      </c>
      <c r="LW18" s="125">
        <f t="shared" si="159"/>
        <v>2041415.1179001904</v>
      </c>
      <c r="LX18" s="125">
        <f t="shared" si="159"/>
        <v>2041415.1179001904</v>
      </c>
      <c r="LY18" s="125">
        <f t="shared" si="159"/>
        <v>2041415.1179001904</v>
      </c>
      <c r="LZ18" s="125">
        <f t="shared" si="159"/>
        <v>2041415.1179001904</v>
      </c>
      <c r="MA18" s="125">
        <f t="shared" si="159"/>
        <v>2041415.1179001904</v>
      </c>
      <c r="MB18" s="125">
        <f t="shared" si="159"/>
        <v>2041415.1179001904</v>
      </c>
      <c r="MC18" s="125">
        <f t="shared" si="159"/>
        <v>2041415.1179001904</v>
      </c>
      <c r="MD18" s="125">
        <f t="shared" si="159"/>
        <v>2041415.1179001904</v>
      </c>
      <c r="ME18" s="125">
        <f t="shared" si="159"/>
        <v>2041415.1179001904</v>
      </c>
      <c r="MF18" s="125">
        <f t="shared" si="159"/>
        <v>2041415.1179001904</v>
      </c>
      <c r="MG18" s="125">
        <f t="shared" si="159"/>
        <v>2041415.1179001904</v>
      </c>
      <c r="MH18" s="125">
        <f t="shared" si="159"/>
        <v>2041415.1179001904</v>
      </c>
      <c r="MI18" s="125">
        <f t="shared" si="159"/>
        <v>2041415.1179001904</v>
      </c>
      <c r="MJ18" s="125">
        <f t="shared" si="159"/>
        <v>2041415.1179001904</v>
      </c>
      <c r="MK18" s="125">
        <f t="shared" si="159"/>
        <v>2041415.1179001904</v>
      </c>
      <c r="ML18" s="125">
        <f t="shared" si="159"/>
        <v>2041415.1179001904</v>
      </c>
      <c r="MM18" s="125">
        <f t="shared" si="159"/>
        <v>2041415.1179001904</v>
      </c>
      <c r="MN18" s="125">
        <f t="shared" si="159"/>
        <v>2041415.1179001904</v>
      </c>
      <c r="MO18" s="125">
        <f t="shared" si="159"/>
        <v>2041415.1179001904</v>
      </c>
      <c r="MP18" s="125">
        <f t="shared" si="159"/>
        <v>2041415.1179001904</v>
      </c>
      <c r="MQ18" s="125">
        <f t="shared" si="159"/>
        <v>2041415.1179001904</v>
      </c>
      <c r="MR18" s="125">
        <f t="shared" si="159"/>
        <v>2041415.1179001904</v>
      </c>
      <c r="MS18" s="125">
        <f t="shared" si="159"/>
        <v>2041415.1179001904</v>
      </c>
      <c r="MT18" s="125">
        <f t="shared" si="159"/>
        <v>2041415.1179001904</v>
      </c>
      <c r="MU18" s="125">
        <f t="shared" si="159"/>
        <v>2041415.1179001904</v>
      </c>
      <c r="MV18" s="125">
        <f t="shared" si="159"/>
        <v>2041415.1179001904</v>
      </c>
      <c r="MW18" s="125">
        <f t="shared" si="159"/>
        <v>2041415.1179001904</v>
      </c>
      <c r="MX18" s="125">
        <f t="shared" si="159"/>
        <v>2041415.1179001904</v>
      </c>
      <c r="MY18" s="125">
        <f t="shared" si="159"/>
        <v>2041415.1179001904</v>
      </c>
      <c r="MZ18" s="125">
        <f t="shared" si="159"/>
        <v>2041415.1179001904</v>
      </c>
      <c r="NA18" s="125">
        <f t="shared" si="159"/>
        <v>2041415.1179001904</v>
      </c>
      <c r="NB18" s="125">
        <f t="shared" si="159"/>
        <v>2041415.1179001904</v>
      </c>
      <c r="NC18" s="125">
        <f t="shared" si="159"/>
        <v>2041415.1179001904</v>
      </c>
      <c r="ND18" s="125">
        <f t="shared" si="159"/>
        <v>2041415.1179001904</v>
      </c>
      <c r="NE18" s="125">
        <f t="shared" si="159"/>
        <v>2041415.1179001904</v>
      </c>
      <c r="NF18" s="125">
        <f t="shared" si="159"/>
        <v>2041415.1179001904</v>
      </c>
      <c r="NG18" s="125">
        <f t="shared" si="159"/>
        <v>2041415.1179001904</v>
      </c>
      <c r="NH18" s="125">
        <f t="shared" si="159"/>
        <v>2041415.1179001904</v>
      </c>
      <c r="NI18" s="125">
        <f t="shared" si="159"/>
        <v>2041415.1179001904</v>
      </c>
      <c r="NJ18" s="125">
        <f t="shared" si="159"/>
        <v>2041415.1179001904</v>
      </c>
      <c r="NK18" s="125">
        <f t="shared" si="159"/>
        <v>2041415.1179001904</v>
      </c>
      <c r="NL18" s="125">
        <f t="shared" si="159"/>
        <v>2041415.1179001904</v>
      </c>
      <c r="NM18" s="125">
        <f t="shared" si="159"/>
        <v>2041415.1179001904</v>
      </c>
      <c r="NN18" s="125">
        <f t="shared" si="159"/>
        <v>2041415.1179001904</v>
      </c>
      <c r="NO18" s="125">
        <f t="shared" si="159"/>
        <v>2041415.1179001904</v>
      </c>
      <c r="NP18" s="125">
        <f t="shared" si="159"/>
        <v>2041415.1179001904</v>
      </c>
      <c r="NQ18" s="125">
        <f t="shared" si="159"/>
        <v>2041415.1179001904</v>
      </c>
      <c r="NR18" s="125">
        <f t="shared" si="159"/>
        <v>2041415.1179001904</v>
      </c>
      <c r="NS18" s="125">
        <f t="shared" si="159"/>
        <v>2041415.1179001904</v>
      </c>
      <c r="NT18" s="125">
        <f t="shared" si="159"/>
        <v>2041415.1179001904</v>
      </c>
      <c r="NU18" s="125">
        <f t="shared" si="159"/>
        <v>2041415.1179001904</v>
      </c>
      <c r="NV18" s="125">
        <f t="shared" si="159"/>
        <v>2041415.1179001904</v>
      </c>
      <c r="NW18" s="125">
        <f t="shared" si="159"/>
        <v>2041415.1179001904</v>
      </c>
      <c r="NX18" s="125">
        <f t="shared" si="159"/>
        <v>2041415.1179001904</v>
      </c>
      <c r="NY18" s="125">
        <f t="shared" si="159"/>
        <v>2041415.1179001904</v>
      </c>
      <c r="NZ18" s="125">
        <f t="shared" si="159"/>
        <v>2041415.1179001904</v>
      </c>
      <c r="OA18" s="125">
        <f t="shared" si="159"/>
        <v>2041415.1179001904</v>
      </c>
      <c r="OB18" s="125">
        <f t="shared" si="159"/>
        <v>2041415.1179001904</v>
      </c>
      <c r="OC18" s="125">
        <f t="shared" ref="OC18:QN18" si="160">OB18+OC17</f>
        <v>2041415.1179001904</v>
      </c>
      <c r="OD18" s="125">
        <f t="shared" si="160"/>
        <v>2041415.1179001904</v>
      </c>
      <c r="OE18" s="125">
        <f t="shared" si="160"/>
        <v>2041415.1179001904</v>
      </c>
      <c r="OF18" s="125">
        <f t="shared" si="160"/>
        <v>2041415.1179001904</v>
      </c>
      <c r="OG18" s="125">
        <f t="shared" si="160"/>
        <v>2041415.1179001904</v>
      </c>
      <c r="OH18" s="125">
        <f t="shared" si="160"/>
        <v>2041415.1179001904</v>
      </c>
      <c r="OI18" s="125">
        <f t="shared" si="160"/>
        <v>2041415.1179001904</v>
      </c>
      <c r="OJ18" s="125">
        <f t="shared" si="160"/>
        <v>2041415.1179001904</v>
      </c>
      <c r="OK18" s="125">
        <f t="shared" si="160"/>
        <v>2041415.1179001904</v>
      </c>
      <c r="OL18" s="125">
        <f t="shared" si="160"/>
        <v>2041415.1179001904</v>
      </c>
      <c r="OM18" s="125">
        <f t="shared" si="160"/>
        <v>2041415.1179001904</v>
      </c>
      <c r="ON18" s="125">
        <f t="shared" si="160"/>
        <v>2041415.1179001904</v>
      </c>
      <c r="OO18" s="125">
        <f t="shared" si="160"/>
        <v>2041415.1179001904</v>
      </c>
      <c r="OP18" s="125">
        <f t="shared" si="160"/>
        <v>2041415.1179001904</v>
      </c>
      <c r="OQ18" s="125">
        <f t="shared" si="160"/>
        <v>2041415.1179001904</v>
      </c>
      <c r="OR18" s="125">
        <f t="shared" si="160"/>
        <v>2041415.1179001904</v>
      </c>
      <c r="OS18" s="125">
        <f t="shared" si="160"/>
        <v>2041415.1179001904</v>
      </c>
      <c r="OT18" s="125">
        <f t="shared" si="160"/>
        <v>2041415.1179001904</v>
      </c>
      <c r="OU18" s="125">
        <f t="shared" si="160"/>
        <v>2041415.1179001904</v>
      </c>
      <c r="OV18" s="125">
        <f t="shared" si="160"/>
        <v>2041415.1179001904</v>
      </c>
      <c r="OW18" s="125">
        <f t="shared" si="160"/>
        <v>2041415.1179001904</v>
      </c>
      <c r="OX18" s="125">
        <f t="shared" si="160"/>
        <v>2041415.1179001904</v>
      </c>
      <c r="OY18" s="125">
        <f t="shared" si="160"/>
        <v>2041415.1179001904</v>
      </c>
      <c r="OZ18" s="125">
        <f t="shared" si="160"/>
        <v>2041415.1179001904</v>
      </c>
      <c r="PA18" s="125">
        <f t="shared" si="160"/>
        <v>2041415.1179001904</v>
      </c>
      <c r="PB18" s="125">
        <f t="shared" si="160"/>
        <v>2041415.1179001904</v>
      </c>
      <c r="PC18" s="125">
        <f t="shared" si="160"/>
        <v>2041415.1179001904</v>
      </c>
      <c r="PD18" s="125">
        <f t="shared" si="160"/>
        <v>2041415.1179001904</v>
      </c>
      <c r="PE18" s="125">
        <f t="shared" si="160"/>
        <v>2041415.1179001904</v>
      </c>
      <c r="PF18" s="125">
        <f t="shared" si="160"/>
        <v>2041415.1179001904</v>
      </c>
      <c r="PG18" s="125">
        <f t="shared" si="160"/>
        <v>2041415.1179001904</v>
      </c>
      <c r="PH18" s="125">
        <f t="shared" si="160"/>
        <v>2041415.1179001904</v>
      </c>
      <c r="PI18" s="125">
        <f t="shared" si="160"/>
        <v>2041415.1179001904</v>
      </c>
      <c r="PJ18" s="125">
        <f t="shared" si="160"/>
        <v>2041415.1179001904</v>
      </c>
      <c r="PK18" s="125">
        <f t="shared" si="160"/>
        <v>2041415.1179001904</v>
      </c>
      <c r="PL18" s="125">
        <f t="shared" si="160"/>
        <v>2041415.1179001904</v>
      </c>
      <c r="PM18" s="125">
        <f t="shared" si="160"/>
        <v>2041415.1179001904</v>
      </c>
      <c r="PN18" s="125">
        <f t="shared" si="160"/>
        <v>2041415.1179001904</v>
      </c>
      <c r="PO18" s="125">
        <f t="shared" si="160"/>
        <v>2041415.1179001904</v>
      </c>
      <c r="PP18" s="125">
        <f t="shared" si="160"/>
        <v>2041415.1179001904</v>
      </c>
      <c r="PQ18" s="125">
        <f t="shared" si="160"/>
        <v>2041415.1179001904</v>
      </c>
      <c r="PR18" s="125">
        <f t="shared" si="160"/>
        <v>2041415.1179001904</v>
      </c>
      <c r="PS18" s="125">
        <f t="shared" si="160"/>
        <v>2041415.1179001904</v>
      </c>
      <c r="PT18" s="125">
        <f t="shared" si="160"/>
        <v>2041415.1179001904</v>
      </c>
      <c r="PU18" s="125">
        <f t="shared" si="160"/>
        <v>2041415.1179001904</v>
      </c>
      <c r="PV18" s="125">
        <f t="shared" si="160"/>
        <v>2041415.1179001904</v>
      </c>
      <c r="PW18" s="125">
        <f t="shared" si="160"/>
        <v>2041415.1179001904</v>
      </c>
      <c r="PX18" s="125">
        <f t="shared" si="160"/>
        <v>2041415.1179001904</v>
      </c>
      <c r="PY18" s="125">
        <f t="shared" si="160"/>
        <v>2041415.1179001904</v>
      </c>
      <c r="PZ18" s="125">
        <f t="shared" si="160"/>
        <v>2041415.1179001904</v>
      </c>
      <c r="QA18" s="125">
        <f t="shared" si="160"/>
        <v>2041415.1179001904</v>
      </c>
      <c r="QB18" s="125">
        <f t="shared" si="160"/>
        <v>2041415.1179001904</v>
      </c>
      <c r="QC18" s="125">
        <f t="shared" si="160"/>
        <v>2041415.1179001904</v>
      </c>
      <c r="QD18" s="125">
        <f t="shared" si="160"/>
        <v>2041415.1179001904</v>
      </c>
      <c r="QE18" s="125">
        <f t="shared" si="160"/>
        <v>2041415.1179001904</v>
      </c>
      <c r="QF18" s="125">
        <f t="shared" si="160"/>
        <v>2041415.1179001904</v>
      </c>
      <c r="QG18" s="125">
        <f t="shared" si="160"/>
        <v>2041415.1179001904</v>
      </c>
      <c r="QH18" s="125">
        <f t="shared" si="160"/>
        <v>2041415.1179001904</v>
      </c>
      <c r="QI18" s="125">
        <f t="shared" si="160"/>
        <v>2041415.1179001904</v>
      </c>
      <c r="QJ18" s="125">
        <f t="shared" si="160"/>
        <v>2041415.1179001904</v>
      </c>
      <c r="QK18" s="125">
        <f t="shared" si="160"/>
        <v>2041415.1179001904</v>
      </c>
      <c r="QL18" s="125">
        <f t="shared" si="160"/>
        <v>2041415.1179001904</v>
      </c>
      <c r="QM18" s="125">
        <f t="shared" si="160"/>
        <v>2041415.1179001904</v>
      </c>
      <c r="QN18" s="125">
        <f t="shared" si="160"/>
        <v>2041415.1179001904</v>
      </c>
      <c r="QO18" s="125">
        <f t="shared" ref="QO18:SZ18" si="161">QN18+QO17</f>
        <v>2041415.1179001904</v>
      </c>
      <c r="QP18" s="125">
        <f t="shared" si="161"/>
        <v>2041415.1179001904</v>
      </c>
      <c r="QQ18" s="125">
        <f t="shared" si="161"/>
        <v>2041415.1179001904</v>
      </c>
      <c r="QR18" s="125">
        <f t="shared" si="161"/>
        <v>2041415.1179001904</v>
      </c>
      <c r="QS18" s="125">
        <f t="shared" si="161"/>
        <v>2041415.1179001904</v>
      </c>
      <c r="QT18" s="125">
        <f t="shared" si="161"/>
        <v>2041415.1179001904</v>
      </c>
      <c r="QU18" s="125">
        <f t="shared" si="161"/>
        <v>2041415.1179001904</v>
      </c>
      <c r="QV18" s="125">
        <f t="shared" si="161"/>
        <v>2041415.1179001904</v>
      </c>
      <c r="QW18" s="125">
        <f t="shared" si="161"/>
        <v>2041415.1179001904</v>
      </c>
      <c r="QX18" s="125">
        <f t="shared" si="161"/>
        <v>2041415.1179001904</v>
      </c>
      <c r="QY18" s="125">
        <f t="shared" si="161"/>
        <v>2041415.1179001904</v>
      </c>
      <c r="QZ18" s="125">
        <f t="shared" si="161"/>
        <v>2041415.1179001904</v>
      </c>
      <c r="RA18" s="125">
        <f t="shared" si="161"/>
        <v>2041415.1179001904</v>
      </c>
      <c r="RB18" s="125">
        <f t="shared" si="161"/>
        <v>2041415.1179001904</v>
      </c>
      <c r="RC18" s="125">
        <f t="shared" si="161"/>
        <v>2041415.1179001904</v>
      </c>
      <c r="RD18" s="125">
        <f t="shared" si="161"/>
        <v>2041415.1179001904</v>
      </c>
      <c r="RE18" s="125">
        <f t="shared" si="161"/>
        <v>2041415.1179001904</v>
      </c>
      <c r="RF18" s="125">
        <f t="shared" si="161"/>
        <v>2041415.1179001904</v>
      </c>
      <c r="RG18" s="125">
        <f t="shared" si="161"/>
        <v>2041415.1179001904</v>
      </c>
      <c r="RH18" s="125">
        <f t="shared" si="161"/>
        <v>2041415.1179001904</v>
      </c>
      <c r="RI18" s="125">
        <f t="shared" si="161"/>
        <v>2041415.1179001904</v>
      </c>
      <c r="RJ18" s="125">
        <f t="shared" si="161"/>
        <v>2041415.1179001904</v>
      </c>
      <c r="RK18" s="125">
        <f t="shared" si="161"/>
        <v>2041415.1179001904</v>
      </c>
      <c r="RL18" s="125">
        <f t="shared" si="161"/>
        <v>2041415.1179001904</v>
      </c>
      <c r="RM18" s="125">
        <f t="shared" si="161"/>
        <v>2041415.1179001904</v>
      </c>
      <c r="RN18" s="125">
        <f t="shared" si="161"/>
        <v>2041415.1179001904</v>
      </c>
      <c r="RO18" s="125">
        <f t="shared" si="161"/>
        <v>2041415.1179001904</v>
      </c>
      <c r="RP18" s="125">
        <f t="shared" si="161"/>
        <v>2041415.1179001904</v>
      </c>
      <c r="RQ18" s="125">
        <f t="shared" si="161"/>
        <v>2041415.1179001904</v>
      </c>
      <c r="RR18" s="125">
        <f t="shared" si="161"/>
        <v>2041415.1179001904</v>
      </c>
      <c r="RS18" s="125">
        <f t="shared" si="161"/>
        <v>2041415.1179001904</v>
      </c>
      <c r="RT18" s="125">
        <f t="shared" si="161"/>
        <v>2041415.1179001904</v>
      </c>
      <c r="RU18" s="125">
        <f t="shared" si="161"/>
        <v>2041415.1179001904</v>
      </c>
      <c r="RV18" s="125">
        <f t="shared" si="161"/>
        <v>2041415.1179001904</v>
      </c>
      <c r="RW18" s="125">
        <f t="shared" si="161"/>
        <v>2041415.1179001904</v>
      </c>
      <c r="RX18" s="125">
        <f t="shared" si="161"/>
        <v>2041415.1179001904</v>
      </c>
      <c r="RY18" s="125">
        <f t="shared" si="161"/>
        <v>2041415.1179001904</v>
      </c>
      <c r="RZ18" s="125">
        <f t="shared" si="161"/>
        <v>2041415.1179001904</v>
      </c>
      <c r="SA18" s="125">
        <f t="shared" si="161"/>
        <v>2041415.1179001904</v>
      </c>
      <c r="SB18" s="125">
        <f t="shared" si="161"/>
        <v>2041415.1179001904</v>
      </c>
      <c r="SC18" s="125">
        <f t="shared" si="161"/>
        <v>2041415.1179001904</v>
      </c>
      <c r="SD18" s="125">
        <f t="shared" si="161"/>
        <v>2041415.1179001904</v>
      </c>
      <c r="SE18" s="125">
        <f t="shared" si="161"/>
        <v>2041415.1179001904</v>
      </c>
      <c r="SF18" s="125">
        <f t="shared" si="161"/>
        <v>2041415.1179001904</v>
      </c>
      <c r="SG18" s="125">
        <f t="shared" si="161"/>
        <v>2041415.1179001904</v>
      </c>
      <c r="SH18" s="125">
        <f t="shared" si="161"/>
        <v>2041415.1179001904</v>
      </c>
      <c r="SI18" s="125">
        <f t="shared" si="161"/>
        <v>2041415.1179001904</v>
      </c>
      <c r="SJ18" s="125">
        <f t="shared" si="161"/>
        <v>2041415.1179001904</v>
      </c>
      <c r="SK18" s="125">
        <f t="shared" si="161"/>
        <v>2041415.1179001904</v>
      </c>
      <c r="SL18" s="125">
        <f t="shared" si="161"/>
        <v>2041415.1179001904</v>
      </c>
      <c r="SM18" s="125">
        <f t="shared" si="161"/>
        <v>2041415.1179001904</v>
      </c>
      <c r="SN18" s="125">
        <f t="shared" si="161"/>
        <v>2041415.1179001904</v>
      </c>
      <c r="SO18" s="125">
        <f t="shared" si="161"/>
        <v>2041415.1179001904</v>
      </c>
      <c r="SP18" s="125">
        <f t="shared" si="161"/>
        <v>2041415.1179001904</v>
      </c>
      <c r="SQ18" s="125">
        <f t="shared" si="161"/>
        <v>2041415.1179001904</v>
      </c>
      <c r="SR18" s="125">
        <f t="shared" si="161"/>
        <v>2041415.1179001904</v>
      </c>
      <c r="SS18" s="125">
        <f t="shared" si="161"/>
        <v>2041415.1179001904</v>
      </c>
      <c r="ST18" s="125">
        <f t="shared" si="161"/>
        <v>2041415.1179001904</v>
      </c>
      <c r="SU18" s="125">
        <f t="shared" si="161"/>
        <v>2041415.1179001904</v>
      </c>
      <c r="SV18" s="125">
        <f t="shared" si="161"/>
        <v>2041415.1179001904</v>
      </c>
      <c r="SW18" s="125">
        <f t="shared" si="161"/>
        <v>2041415.1179001904</v>
      </c>
      <c r="SX18" s="125">
        <f t="shared" si="161"/>
        <v>2041415.1179001904</v>
      </c>
      <c r="SY18" s="125">
        <f t="shared" si="161"/>
        <v>2041415.1179001904</v>
      </c>
      <c r="SZ18" s="125">
        <f t="shared" si="161"/>
        <v>2041415.1179001904</v>
      </c>
      <c r="TA18" s="125">
        <f t="shared" ref="TA18:VL18" si="162">SZ18+TA17</f>
        <v>2041415.1179001904</v>
      </c>
      <c r="TB18" s="125">
        <f t="shared" si="162"/>
        <v>2041415.1179001904</v>
      </c>
      <c r="TC18" s="125">
        <f t="shared" si="162"/>
        <v>2041415.1179001904</v>
      </c>
      <c r="TD18" s="125">
        <f t="shared" si="162"/>
        <v>2041415.1179001904</v>
      </c>
      <c r="TE18" s="125">
        <f t="shared" si="162"/>
        <v>2041415.1179001904</v>
      </c>
      <c r="TF18" s="125">
        <f t="shared" si="162"/>
        <v>2041415.1179001904</v>
      </c>
      <c r="TG18" s="125">
        <f t="shared" si="162"/>
        <v>2041415.1179001904</v>
      </c>
      <c r="TH18" s="125">
        <f t="shared" si="162"/>
        <v>2041415.1179001904</v>
      </c>
      <c r="TI18" s="125">
        <f t="shared" si="162"/>
        <v>2041415.1179001904</v>
      </c>
      <c r="TJ18" s="125">
        <f t="shared" si="162"/>
        <v>2041415.1179001904</v>
      </c>
      <c r="TK18" s="125">
        <f t="shared" si="162"/>
        <v>2041415.1179001904</v>
      </c>
      <c r="TL18" s="125">
        <f t="shared" si="162"/>
        <v>2041415.1179001904</v>
      </c>
      <c r="TM18" s="125">
        <f t="shared" si="162"/>
        <v>2041415.1179001904</v>
      </c>
      <c r="TN18" s="125">
        <f t="shared" si="162"/>
        <v>2041415.1179001904</v>
      </c>
      <c r="TO18" s="125">
        <f t="shared" si="162"/>
        <v>2041415.1179001904</v>
      </c>
      <c r="TP18" s="125">
        <f t="shared" si="162"/>
        <v>2041415.1179001904</v>
      </c>
      <c r="TQ18" s="125">
        <f t="shared" si="162"/>
        <v>2041415.1179001904</v>
      </c>
      <c r="TR18" s="125">
        <f t="shared" si="162"/>
        <v>2041415.1179001904</v>
      </c>
      <c r="TS18" s="125">
        <f t="shared" si="162"/>
        <v>2041415.1179001904</v>
      </c>
      <c r="TT18" s="125">
        <f t="shared" si="162"/>
        <v>2041415.1179001904</v>
      </c>
      <c r="TU18" s="125">
        <f t="shared" si="162"/>
        <v>2041415.1179001904</v>
      </c>
      <c r="TV18" s="125">
        <f t="shared" si="162"/>
        <v>2041415.1179001904</v>
      </c>
      <c r="TW18" s="125">
        <f t="shared" si="162"/>
        <v>2041415.1179001904</v>
      </c>
      <c r="TX18" s="125">
        <f t="shared" si="162"/>
        <v>2041415.1179001904</v>
      </c>
      <c r="TY18" s="125">
        <f t="shared" si="162"/>
        <v>2041415.1179001904</v>
      </c>
      <c r="TZ18" s="125">
        <f t="shared" si="162"/>
        <v>2041415.1179001904</v>
      </c>
      <c r="UA18" s="125">
        <f t="shared" si="162"/>
        <v>2041415.1179001904</v>
      </c>
      <c r="UB18" s="125">
        <f t="shared" si="162"/>
        <v>2041415.1179001904</v>
      </c>
      <c r="UC18" s="125">
        <f t="shared" si="162"/>
        <v>2041415.1179001904</v>
      </c>
      <c r="UD18" s="125">
        <f t="shared" si="162"/>
        <v>2041415.1179001904</v>
      </c>
      <c r="UE18" s="125">
        <f t="shared" si="162"/>
        <v>2041415.1179001904</v>
      </c>
      <c r="UF18" s="125">
        <f t="shared" si="162"/>
        <v>2041415.1179001904</v>
      </c>
      <c r="UG18" s="125">
        <f t="shared" si="162"/>
        <v>2041415.1179001904</v>
      </c>
      <c r="UH18" s="125">
        <f t="shared" si="162"/>
        <v>2041415.1179001904</v>
      </c>
      <c r="UI18" s="125">
        <f t="shared" si="162"/>
        <v>2041415.1179001904</v>
      </c>
      <c r="UJ18" s="125">
        <f t="shared" si="162"/>
        <v>2041415.1179001904</v>
      </c>
      <c r="UK18" s="125">
        <f t="shared" si="162"/>
        <v>2041415.1179001904</v>
      </c>
      <c r="UL18" s="125">
        <f t="shared" si="162"/>
        <v>2041415.1179001904</v>
      </c>
      <c r="UM18" s="125">
        <f t="shared" si="162"/>
        <v>2041415.1179001904</v>
      </c>
      <c r="UN18" s="125">
        <f t="shared" si="162"/>
        <v>2041415.1179001904</v>
      </c>
      <c r="UO18" s="125">
        <f t="shared" si="162"/>
        <v>2041415.1179001904</v>
      </c>
      <c r="UP18" s="125">
        <f t="shared" si="162"/>
        <v>2041415.1179001904</v>
      </c>
      <c r="UQ18" s="125">
        <f t="shared" si="162"/>
        <v>2041415.1179001904</v>
      </c>
      <c r="UR18" s="125">
        <f t="shared" si="162"/>
        <v>2041415.1179001904</v>
      </c>
      <c r="US18" s="125">
        <f t="shared" si="162"/>
        <v>2041415.1179001904</v>
      </c>
      <c r="UT18" s="125">
        <f t="shared" si="162"/>
        <v>2041415.1179001904</v>
      </c>
      <c r="UU18" s="125">
        <f t="shared" si="162"/>
        <v>2041415.1179001904</v>
      </c>
      <c r="UV18" s="125">
        <f t="shared" si="162"/>
        <v>2041415.1179001904</v>
      </c>
      <c r="UW18" s="125">
        <f t="shared" si="162"/>
        <v>2041415.1179001904</v>
      </c>
      <c r="UX18" s="125">
        <f t="shared" si="162"/>
        <v>2041415.1179001904</v>
      </c>
      <c r="UY18" s="125">
        <f t="shared" si="162"/>
        <v>2041415.1179001904</v>
      </c>
      <c r="UZ18" s="125">
        <f t="shared" si="162"/>
        <v>2041415.1179001904</v>
      </c>
      <c r="VA18" s="125">
        <f t="shared" si="162"/>
        <v>2041415.1179001904</v>
      </c>
      <c r="VB18" s="125">
        <f t="shared" si="162"/>
        <v>2041415.1179001904</v>
      </c>
      <c r="VC18" s="125">
        <f t="shared" si="162"/>
        <v>2041415.1179001904</v>
      </c>
      <c r="VD18" s="125">
        <f t="shared" si="162"/>
        <v>2041415.1179001904</v>
      </c>
      <c r="VE18" s="125">
        <f t="shared" si="162"/>
        <v>2041415.1179001904</v>
      </c>
      <c r="VF18" s="125">
        <f t="shared" si="162"/>
        <v>2041415.1179001904</v>
      </c>
      <c r="VG18" s="125">
        <f t="shared" si="162"/>
        <v>2041415.1179001904</v>
      </c>
      <c r="VH18" s="125">
        <f t="shared" si="162"/>
        <v>2041415.1179001904</v>
      </c>
      <c r="VI18" s="125">
        <f t="shared" si="162"/>
        <v>2041415.1179001904</v>
      </c>
      <c r="VJ18" s="125">
        <f t="shared" si="162"/>
        <v>2041415.1179001904</v>
      </c>
      <c r="VK18" s="125">
        <f t="shared" si="162"/>
        <v>2041415.1179001904</v>
      </c>
      <c r="VL18" s="125">
        <f t="shared" si="162"/>
        <v>2041415.1179001904</v>
      </c>
      <c r="VM18" s="125">
        <f t="shared" ref="VM18:XX18" si="163">VL18+VM17</f>
        <v>2041415.1179001904</v>
      </c>
      <c r="VN18" s="125">
        <f t="shared" si="163"/>
        <v>2041415.1179001904</v>
      </c>
      <c r="VO18" s="125">
        <f t="shared" si="163"/>
        <v>2041415.1179001904</v>
      </c>
      <c r="VP18" s="125">
        <f t="shared" si="163"/>
        <v>2041415.1179001904</v>
      </c>
      <c r="VQ18" s="125">
        <f t="shared" si="163"/>
        <v>2041415.1179001904</v>
      </c>
      <c r="VR18" s="125">
        <f t="shared" si="163"/>
        <v>2041415.1179001904</v>
      </c>
      <c r="VS18" s="125">
        <f t="shared" si="163"/>
        <v>2041415.1179001904</v>
      </c>
      <c r="VT18" s="125">
        <f t="shared" si="163"/>
        <v>2041415.1179001904</v>
      </c>
      <c r="VU18" s="125">
        <f t="shared" si="163"/>
        <v>2041415.1179001904</v>
      </c>
      <c r="VV18" s="125">
        <f t="shared" si="163"/>
        <v>2041415.1179001904</v>
      </c>
      <c r="VW18" s="125">
        <f t="shared" si="163"/>
        <v>2041415.1179001904</v>
      </c>
      <c r="VX18" s="125">
        <f t="shared" si="163"/>
        <v>2041415.1179001904</v>
      </c>
      <c r="VY18" s="125">
        <f t="shared" si="163"/>
        <v>2041415.1179001904</v>
      </c>
      <c r="VZ18" s="125">
        <f t="shared" si="163"/>
        <v>2041415.1179001904</v>
      </c>
      <c r="WA18" s="125">
        <f t="shared" si="163"/>
        <v>2041415.1179001904</v>
      </c>
      <c r="WB18" s="125">
        <f t="shared" si="163"/>
        <v>2041415.1179001904</v>
      </c>
      <c r="WC18" s="125">
        <f t="shared" si="163"/>
        <v>2041415.1179001904</v>
      </c>
      <c r="WD18" s="125">
        <f t="shared" si="163"/>
        <v>2041415.1179001904</v>
      </c>
      <c r="WE18" s="125">
        <f t="shared" si="163"/>
        <v>2041415.1179001904</v>
      </c>
      <c r="WF18" s="125">
        <f t="shared" si="163"/>
        <v>2041415.1179001904</v>
      </c>
      <c r="WG18" s="125">
        <f t="shared" si="163"/>
        <v>2041415.1179001904</v>
      </c>
      <c r="WH18" s="125">
        <f t="shared" si="163"/>
        <v>2041415.1179001904</v>
      </c>
      <c r="WI18" s="125">
        <f t="shared" si="163"/>
        <v>2041415.1179001904</v>
      </c>
      <c r="WJ18" s="125">
        <f t="shared" si="163"/>
        <v>2041415.1179001904</v>
      </c>
      <c r="WK18" s="125">
        <f t="shared" si="163"/>
        <v>2041415.1179001904</v>
      </c>
      <c r="WL18" s="125">
        <f t="shared" si="163"/>
        <v>2041415.1179001904</v>
      </c>
      <c r="WM18" s="125">
        <f t="shared" si="163"/>
        <v>2041415.1179001904</v>
      </c>
      <c r="WN18" s="125">
        <f t="shared" si="163"/>
        <v>2041415.1179001904</v>
      </c>
      <c r="WO18" s="125">
        <f t="shared" si="163"/>
        <v>2041415.1179001904</v>
      </c>
      <c r="WP18" s="125">
        <f t="shared" si="163"/>
        <v>2041415.1179001904</v>
      </c>
      <c r="WQ18" s="125">
        <f t="shared" si="163"/>
        <v>2041415.1179001904</v>
      </c>
      <c r="WR18" s="125">
        <f t="shared" si="163"/>
        <v>2041415.1179001904</v>
      </c>
      <c r="WS18" s="125">
        <f t="shared" si="163"/>
        <v>2041415.1179001904</v>
      </c>
      <c r="WT18" s="125">
        <f t="shared" si="163"/>
        <v>2041415.1179001904</v>
      </c>
      <c r="WU18" s="125">
        <f t="shared" si="163"/>
        <v>2041415.1179001904</v>
      </c>
      <c r="WV18" s="125">
        <f t="shared" si="163"/>
        <v>2041415.1179001904</v>
      </c>
      <c r="WW18" s="125">
        <f t="shared" si="163"/>
        <v>2041415.1179001904</v>
      </c>
      <c r="WX18" s="125">
        <f t="shared" si="163"/>
        <v>2041415.1179001904</v>
      </c>
      <c r="WY18" s="125">
        <f t="shared" si="163"/>
        <v>2041415.1179001904</v>
      </c>
      <c r="WZ18" s="125">
        <f t="shared" si="163"/>
        <v>2041415.1179001904</v>
      </c>
      <c r="XA18" s="125">
        <f t="shared" si="163"/>
        <v>2041415.1179001904</v>
      </c>
      <c r="XB18" s="125">
        <f t="shared" si="163"/>
        <v>2041415.1179001904</v>
      </c>
      <c r="XC18" s="125">
        <f t="shared" si="163"/>
        <v>2041415.1179001904</v>
      </c>
      <c r="XD18" s="125">
        <f t="shared" si="163"/>
        <v>2041415.1179001904</v>
      </c>
      <c r="XE18" s="125">
        <f t="shared" si="163"/>
        <v>2041415.1179001904</v>
      </c>
      <c r="XF18" s="125">
        <f t="shared" si="163"/>
        <v>2041415.1179001904</v>
      </c>
      <c r="XG18" s="125">
        <f t="shared" si="163"/>
        <v>2041415.1179001904</v>
      </c>
      <c r="XH18" s="125">
        <f t="shared" si="163"/>
        <v>2041415.1179001904</v>
      </c>
      <c r="XI18" s="125">
        <f t="shared" si="163"/>
        <v>2041415.1179001904</v>
      </c>
      <c r="XJ18" s="125">
        <f t="shared" si="163"/>
        <v>2041415.1179001904</v>
      </c>
      <c r="XK18" s="125">
        <f t="shared" si="163"/>
        <v>2041415.1179001904</v>
      </c>
      <c r="XL18" s="125">
        <f t="shared" si="163"/>
        <v>2041415.1179001904</v>
      </c>
      <c r="XM18" s="125">
        <f t="shared" si="163"/>
        <v>2041415.1179001904</v>
      </c>
      <c r="XN18" s="125">
        <f t="shared" si="163"/>
        <v>2041415.1179001904</v>
      </c>
      <c r="XO18" s="125">
        <f t="shared" si="163"/>
        <v>2041415.1179001904</v>
      </c>
      <c r="XP18" s="125">
        <f t="shared" si="163"/>
        <v>2041415.1179001904</v>
      </c>
      <c r="XQ18" s="125">
        <f t="shared" si="163"/>
        <v>2041415.1179001904</v>
      </c>
      <c r="XR18" s="125">
        <f t="shared" si="163"/>
        <v>2041415.1179001904</v>
      </c>
      <c r="XS18" s="125">
        <f t="shared" si="163"/>
        <v>2041415.1179001904</v>
      </c>
      <c r="XT18" s="125">
        <f t="shared" si="163"/>
        <v>2041415.1179001904</v>
      </c>
      <c r="XU18" s="125">
        <f t="shared" si="163"/>
        <v>2041415.1179001904</v>
      </c>
      <c r="XV18" s="125">
        <f t="shared" si="163"/>
        <v>2041415.1179001904</v>
      </c>
      <c r="XW18" s="125">
        <f t="shared" si="163"/>
        <v>2041415.1179001904</v>
      </c>
      <c r="XX18" s="125">
        <f t="shared" si="163"/>
        <v>2041415.1179001904</v>
      </c>
      <c r="XY18" s="125">
        <f t="shared" ref="XY18:AAJ18" si="164">XX18+XY17</f>
        <v>2041415.1179001904</v>
      </c>
      <c r="XZ18" s="125">
        <f t="shared" si="164"/>
        <v>2041415.1179001904</v>
      </c>
      <c r="YA18" s="125">
        <f t="shared" si="164"/>
        <v>2041415.1179001904</v>
      </c>
      <c r="YB18" s="125">
        <f t="shared" si="164"/>
        <v>2041415.1179001904</v>
      </c>
      <c r="YC18" s="125">
        <f t="shared" si="164"/>
        <v>2041415.1179001904</v>
      </c>
      <c r="YD18" s="125">
        <f t="shared" si="164"/>
        <v>2041415.1179001904</v>
      </c>
      <c r="YE18" s="125">
        <f t="shared" si="164"/>
        <v>2041415.1179001904</v>
      </c>
      <c r="YF18" s="125">
        <f t="shared" si="164"/>
        <v>2041415.1179001904</v>
      </c>
      <c r="YG18" s="125">
        <f t="shared" si="164"/>
        <v>2041415.1179001904</v>
      </c>
      <c r="YH18" s="125">
        <f t="shared" si="164"/>
        <v>2041415.1179001904</v>
      </c>
      <c r="YI18" s="125">
        <f t="shared" si="164"/>
        <v>2041415.1179001904</v>
      </c>
      <c r="YJ18" s="125">
        <f t="shared" si="164"/>
        <v>2041415.1179001904</v>
      </c>
      <c r="YK18" s="125">
        <f t="shared" si="164"/>
        <v>2041415.1179001904</v>
      </c>
      <c r="YL18" s="125">
        <f t="shared" si="164"/>
        <v>2041415.1179001904</v>
      </c>
      <c r="YM18" s="125">
        <f t="shared" si="164"/>
        <v>2041415.1179001904</v>
      </c>
      <c r="YN18" s="125">
        <f t="shared" si="164"/>
        <v>2041415.1179001904</v>
      </c>
      <c r="YO18" s="125">
        <f t="shared" si="164"/>
        <v>2041415.1179001904</v>
      </c>
      <c r="YP18" s="125">
        <f t="shared" si="164"/>
        <v>2041415.1179001904</v>
      </c>
      <c r="YQ18" s="125">
        <f t="shared" si="164"/>
        <v>2041415.1179001904</v>
      </c>
      <c r="YR18" s="125">
        <f t="shared" si="164"/>
        <v>2041415.1179001904</v>
      </c>
      <c r="YS18" s="125">
        <f t="shared" si="164"/>
        <v>2041415.1179001904</v>
      </c>
      <c r="YT18" s="125">
        <f t="shared" si="164"/>
        <v>2041415.1179001904</v>
      </c>
      <c r="YU18" s="125">
        <f t="shared" si="164"/>
        <v>2041415.1179001904</v>
      </c>
      <c r="YV18" s="125">
        <f t="shared" si="164"/>
        <v>2041415.1179001904</v>
      </c>
      <c r="YW18" s="125">
        <f t="shared" si="164"/>
        <v>2041415.1179001904</v>
      </c>
      <c r="YX18" s="125">
        <f t="shared" si="164"/>
        <v>2041415.1179001904</v>
      </c>
      <c r="YY18" s="125">
        <f t="shared" si="164"/>
        <v>2041415.1179001904</v>
      </c>
      <c r="YZ18" s="125">
        <f t="shared" si="164"/>
        <v>2041415.1179001904</v>
      </c>
      <c r="ZA18" s="125">
        <f t="shared" si="164"/>
        <v>2041415.1179001904</v>
      </c>
      <c r="ZB18" s="125">
        <f t="shared" si="164"/>
        <v>2041415.1179001904</v>
      </c>
      <c r="ZC18" s="125">
        <f t="shared" si="164"/>
        <v>2041415.1179001904</v>
      </c>
      <c r="ZD18" s="125">
        <f t="shared" si="164"/>
        <v>2041415.1179001904</v>
      </c>
      <c r="ZE18" s="125">
        <f t="shared" si="164"/>
        <v>2041415.1179001904</v>
      </c>
      <c r="ZF18" s="125">
        <f t="shared" si="164"/>
        <v>2041415.1179001904</v>
      </c>
      <c r="ZG18" s="125">
        <f t="shared" si="164"/>
        <v>2041415.1179001904</v>
      </c>
      <c r="ZH18" s="125">
        <f t="shared" si="164"/>
        <v>2041415.1179001904</v>
      </c>
      <c r="ZI18" s="125">
        <f t="shared" si="164"/>
        <v>2041415.1179001904</v>
      </c>
      <c r="ZJ18" s="125">
        <f t="shared" si="164"/>
        <v>2041415.1179001904</v>
      </c>
      <c r="ZK18" s="125">
        <f t="shared" si="164"/>
        <v>2041415.1179001904</v>
      </c>
      <c r="ZL18" s="125">
        <f t="shared" si="164"/>
        <v>2041415.1179001904</v>
      </c>
      <c r="ZM18" s="125">
        <f t="shared" si="164"/>
        <v>2041415.1179001904</v>
      </c>
      <c r="ZN18" s="125">
        <f t="shared" si="164"/>
        <v>2041415.1179001904</v>
      </c>
      <c r="ZO18" s="125">
        <f t="shared" si="164"/>
        <v>2041415.1179001904</v>
      </c>
      <c r="ZP18" s="125">
        <f t="shared" si="164"/>
        <v>2041415.1179001904</v>
      </c>
      <c r="ZQ18" s="125">
        <f t="shared" si="164"/>
        <v>2041415.1179001904</v>
      </c>
      <c r="ZR18" s="125">
        <f t="shared" si="164"/>
        <v>2041415.1179001904</v>
      </c>
      <c r="ZS18" s="125">
        <f t="shared" si="164"/>
        <v>2041415.1179001904</v>
      </c>
      <c r="ZT18" s="125">
        <f t="shared" si="164"/>
        <v>2041415.1179001904</v>
      </c>
      <c r="ZU18" s="125">
        <f t="shared" si="164"/>
        <v>2041415.1179001904</v>
      </c>
      <c r="ZV18" s="125">
        <f t="shared" si="164"/>
        <v>2041415.1179001904</v>
      </c>
      <c r="ZW18" s="125">
        <f t="shared" si="164"/>
        <v>2041415.1179001904</v>
      </c>
      <c r="ZX18" s="125">
        <f t="shared" si="164"/>
        <v>2041415.1179001904</v>
      </c>
      <c r="ZY18" s="125">
        <f t="shared" si="164"/>
        <v>2041415.1179001904</v>
      </c>
      <c r="ZZ18" s="125">
        <f t="shared" si="164"/>
        <v>2041415.1179001904</v>
      </c>
      <c r="AAA18" s="125">
        <f t="shared" si="164"/>
        <v>2041415.1179001904</v>
      </c>
      <c r="AAB18" s="125">
        <f t="shared" si="164"/>
        <v>2041415.1179001904</v>
      </c>
      <c r="AAC18" s="125">
        <f t="shared" si="164"/>
        <v>2041415.1179001904</v>
      </c>
      <c r="AAD18" s="125">
        <f t="shared" si="164"/>
        <v>2041415.1179001904</v>
      </c>
      <c r="AAE18" s="125">
        <f t="shared" si="164"/>
        <v>2041415.1179001904</v>
      </c>
      <c r="AAF18" s="125">
        <f t="shared" si="164"/>
        <v>2041415.1179001904</v>
      </c>
      <c r="AAG18" s="125">
        <f t="shared" si="164"/>
        <v>2041415.1179001904</v>
      </c>
      <c r="AAH18" s="125">
        <f t="shared" si="164"/>
        <v>2041415.1179001904</v>
      </c>
      <c r="AAI18" s="125">
        <f t="shared" si="164"/>
        <v>2041415.1179001904</v>
      </c>
      <c r="AAJ18" s="125">
        <f t="shared" si="164"/>
        <v>2041415.1179001904</v>
      </c>
      <c r="AAK18" s="125">
        <f t="shared" ref="AAK18:ACV18" si="165">AAJ18+AAK17</f>
        <v>2041415.1179001904</v>
      </c>
      <c r="AAL18" s="125">
        <f t="shared" si="165"/>
        <v>2041415.1179001904</v>
      </c>
      <c r="AAM18" s="125">
        <f t="shared" si="165"/>
        <v>2041415.1179001904</v>
      </c>
      <c r="AAN18" s="125">
        <f t="shared" si="165"/>
        <v>2041415.1179001904</v>
      </c>
      <c r="AAO18" s="125">
        <f t="shared" si="165"/>
        <v>2041415.1179001904</v>
      </c>
      <c r="AAP18" s="125">
        <f t="shared" si="165"/>
        <v>2041415.1179001904</v>
      </c>
      <c r="AAQ18" s="125">
        <f t="shared" si="165"/>
        <v>2041415.1179001904</v>
      </c>
      <c r="AAR18" s="125">
        <f t="shared" si="165"/>
        <v>2041415.1179001904</v>
      </c>
      <c r="AAS18" s="125">
        <f t="shared" si="165"/>
        <v>2041415.1179001904</v>
      </c>
      <c r="AAT18" s="125">
        <f t="shared" si="165"/>
        <v>2041415.1179001904</v>
      </c>
      <c r="AAU18" s="125">
        <f t="shared" si="165"/>
        <v>2041415.1179001904</v>
      </c>
      <c r="AAV18" s="125">
        <f t="shared" si="165"/>
        <v>2041415.1179001904</v>
      </c>
      <c r="AAW18" s="125">
        <f t="shared" si="165"/>
        <v>2041415.1179001904</v>
      </c>
      <c r="AAX18" s="125">
        <f t="shared" si="165"/>
        <v>2041415.1179001904</v>
      </c>
      <c r="AAY18" s="125">
        <f t="shared" si="165"/>
        <v>2041415.1179001904</v>
      </c>
      <c r="AAZ18" s="125">
        <f t="shared" si="165"/>
        <v>2041415.1179001904</v>
      </c>
      <c r="ABA18" s="125">
        <f t="shared" si="165"/>
        <v>2041415.1179001904</v>
      </c>
      <c r="ABB18" s="125">
        <f t="shared" si="165"/>
        <v>2041415.1179001904</v>
      </c>
      <c r="ABC18" s="125">
        <f t="shared" si="165"/>
        <v>2041415.1179001904</v>
      </c>
      <c r="ABD18" s="125">
        <f t="shared" si="165"/>
        <v>2041415.1179001904</v>
      </c>
      <c r="ABE18" s="125">
        <f t="shared" si="165"/>
        <v>2041415.1179001904</v>
      </c>
      <c r="ABF18" s="125">
        <f t="shared" si="165"/>
        <v>2041415.1179001904</v>
      </c>
      <c r="ABG18" s="125">
        <f t="shared" si="165"/>
        <v>2041415.1179001904</v>
      </c>
      <c r="ABH18" s="125">
        <f t="shared" si="165"/>
        <v>2041415.1179001904</v>
      </c>
      <c r="ABI18" s="125">
        <f t="shared" si="165"/>
        <v>2041415.1179001904</v>
      </c>
      <c r="ABJ18" s="125">
        <f t="shared" si="165"/>
        <v>2041415.1179001904</v>
      </c>
      <c r="ABK18" s="125">
        <f t="shared" si="165"/>
        <v>2041415.1179001904</v>
      </c>
      <c r="ABL18" s="125">
        <f t="shared" si="165"/>
        <v>2041415.1179001904</v>
      </c>
      <c r="ABM18" s="125">
        <f t="shared" si="165"/>
        <v>2041415.1179001904</v>
      </c>
      <c r="ABN18" s="125">
        <f t="shared" si="165"/>
        <v>2041415.1179001904</v>
      </c>
      <c r="ABO18" s="125">
        <f t="shared" si="165"/>
        <v>2041415.1179001904</v>
      </c>
      <c r="ABP18" s="125">
        <f t="shared" si="165"/>
        <v>2041415.1179001904</v>
      </c>
      <c r="ABQ18" s="125">
        <f t="shared" si="165"/>
        <v>2041415.1179001904</v>
      </c>
      <c r="ABR18" s="125">
        <f t="shared" si="165"/>
        <v>2041415.1179001904</v>
      </c>
      <c r="ABS18" s="125">
        <f t="shared" si="165"/>
        <v>2041415.1179001904</v>
      </c>
      <c r="ABT18" s="125">
        <f t="shared" si="165"/>
        <v>2041415.1179001904</v>
      </c>
      <c r="ABU18" s="125">
        <f t="shared" si="165"/>
        <v>2041415.1179001904</v>
      </c>
      <c r="ABV18" s="125">
        <f t="shared" si="165"/>
        <v>2041415.1179001904</v>
      </c>
      <c r="ABW18" s="125">
        <f t="shared" si="165"/>
        <v>2041415.1179001904</v>
      </c>
      <c r="ABX18" s="125">
        <f t="shared" si="165"/>
        <v>2041415.1179001904</v>
      </c>
      <c r="ABY18" s="125">
        <f t="shared" si="165"/>
        <v>2041415.1179001904</v>
      </c>
      <c r="ABZ18" s="125">
        <f t="shared" si="165"/>
        <v>2041415.1179001904</v>
      </c>
      <c r="ACA18" s="125">
        <f t="shared" si="165"/>
        <v>2041415.1179001904</v>
      </c>
      <c r="ACB18" s="125">
        <f t="shared" si="165"/>
        <v>2041415.1179001904</v>
      </c>
      <c r="ACC18" s="125">
        <f t="shared" si="165"/>
        <v>2041415.1179001904</v>
      </c>
      <c r="ACD18" s="125">
        <f t="shared" si="165"/>
        <v>2041415.1179001904</v>
      </c>
      <c r="ACE18" s="125">
        <f t="shared" si="165"/>
        <v>2041415.1179001904</v>
      </c>
      <c r="ACF18" s="125">
        <f t="shared" si="165"/>
        <v>2041415.1179001904</v>
      </c>
      <c r="ACG18" s="125">
        <f t="shared" si="165"/>
        <v>2041415.1179001904</v>
      </c>
      <c r="ACH18" s="125">
        <f t="shared" si="165"/>
        <v>2041415.1179001904</v>
      </c>
      <c r="ACI18" s="125">
        <f t="shared" si="165"/>
        <v>2041415.1179001904</v>
      </c>
      <c r="ACJ18" s="125">
        <f t="shared" si="165"/>
        <v>2041415.1179001904</v>
      </c>
      <c r="ACK18" s="125">
        <f t="shared" si="165"/>
        <v>2041415.1179001904</v>
      </c>
      <c r="ACL18" s="125">
        <f t="shared" si="165"/>
        <v>2041415.1179001904</v>
      </c>
      <c r="ACM18" s="125">
        <f t="shared" si="165"/>
        <v>2041415.1179001904</v>
      </c>
      <c r="ACN18" s="125">
        <f t="shared" si="165"/>
        <v>2041415.1179001904</v>
      </c>
      <c r="ACO18" s="125">
        <f t="shared" si="165"/>
        <v>2041415.1179001904</v>
      </c>
      <c r="ACP18" s="125">
        <f t="shared" si="165"/>
        <v>2041415.1179001904</v>
      </c>
      <c r="ACQ18" s="125">
        <f t="shared" si="165"/>
        <v>2041415.1179001904</v>
      </c>
      <c r="ACR18" s="125">
        <f t="shared" si="165"/>
        <v>2041415.1179001904</v>
      </c>
      <c r="ACS18" s="125">
        <f t="shared" si="165"/>
        <v>2041415.1179001904</v>
      </c>
      <c r="ACT18" s="125">
        <f t="shared" si="165"/>
        <v>2041415.1179001904</v>
      </c>
      <c r="ACU18" s="125">
        <f t="shared" si="165"/>
        <v>2041415.1179001904</v>
      </c>
      <c r="ACV18" s="125">
        <f t="shared" si="165"/>
        <v>2041415.1179001904</v>
      </c>
      <c r="ACW18" s="125">
        <f t="shared" ref="ACW18:AFH18" si="166">ACV18+ACW17</f>
        <v>2041415.1179001904</v>
      </c>
      <c r="ACX18" s="125">
        <f t="shared" si="166"/>
        <v>2041415.1179001904</v>
      </c>
      <c r="ACY18" s="125">
        <f t="shared" si="166"/>
        <v>2041415.1179001904</v>
      </c>
      <c r="ACZ18" s="125">
        <f t="shared" si="166"/>
        <v>2041415.1179001904</v>
      </c>
      <c r="ADA18" s="125">
        <f t="shared" si="166"/>
        <v>2041415.1179001904</v>
      </c>
      <c r="ADB18" s="125">
        <f t="shared" si="166"/>
        <v>2041415.1179001904</v>
      </c>
      <c r="ADC18" s="125">
        <f t="shared" si="166"/>
        <v>2041415.1179001904</v>
      </c>
      <c r="ADD18" s="125">
        <f t="shared" si="166"/>
        <v>2041415.1179001904</v>
      </c>
      <c r="ADE18" s="125">
        <f t="shared" si="166"/>
        <v>2041415.1179001904</v>
      </c>
      <c r="ADF18" s="125">
        <f t="shared" si="166"/>
        <v>2041415.1179001904</v>
      </c>
      <c r="ADG18" s="125">
        <f t="shared" si="166"/>
        <v>2041415.1179001904</v>
      </c>
      <c r="ADH18" s="125">
        <f t="shared" si="166"/>
        <v>2041415.1179001904</v>
      </c>
      <c r="ADI18" s="125">
        <f t="shared" si="166"/>
        <v>2041415.1179001904</v>
      </c>
      <c r="ADJ18" s="125">
        <f t="shared" si="166"/>
        <v>2041415.1179001904</v>
      </c>
      <c r="ADK18" s="125">
        <f t="shared" si="166"/>
        <v>2041415.1179001904</v>
      </c>
      <c r="ADL18" s="125">
        <f t="shared" si="166"/>
        <v>2041415.1179001904</v>
      </c>
      <c r="ADM18" s="125">
        <f t="shared" si="166"/>
        <v>2041415.1179001904</v>
      </c>
      <c r="ADN18" s="125">
        <f t="shared" si="166"/>
        <v>2041415.1179001904</v>
      </c>
      <c r="ADO18" s="125">
        <f t="shared" si="166"/>
        <v>2041415.1179001904</v>
      </c>
      <c r="ADP18" s="125">
        <f t="shared" si="166"/>
        <v>2041415.1179001904</v>
      </c>
      <c r="ADQ18" s="125">
        <f t="shared" si="166"/>
        <v>2041415.1179001904</v>
      </c>
      <c r="ADR18" s="125">
        <f t="shared" si="166"/>
        <v>2041415.1179001904</v>
      </c>
      <c r="ADS18" s="125">
        <f t="shared" si="166"/>
        <v>2041415.1179001904</v>
      </c>
      <c r="ADT18" s="125">
        <f t="shared" si="166"/>
        <v>2041415.1179001904</v>
      </c>
      <c r="ADU18" s="125">
        <f t="shared" si="166"/>
        <v>2041415.1179001904</v>
      </c>
      <c r="ADV18" s="125">
        <f t="shared" si="166"/>
        <v>2041415.1179001904</v>
      </c>
      <c r="ADW18" s="125">
        <f t="shared" si="166"/>
        <v>2041415.1179001904</v>
      </c>
      <c r="ADX18" s="125">
        <f t="shared" si="166"/>
        <v>2041415.1179001904</v>
      </c>
      <c r="ADY18" s="125">
        <f t="shared" si="166"/>
        <v>2041415.1179001904</v>
      </c>
      <c r="ADZ18" s="125">
        <f t="shared" si="166"/>
        <v>2041415.1179001904</v>
      </c>
      <c r="AEA18" s="125">
        <f t="shared" si="166"/>
        <v>2041415.1179001904</v>
      </c>
      <c r="AEB18" s="125">
        <f t="shared" si="166"/>
        <v>2041415.1179001904</v>
      </c>
      <c r="AEC18" s="125">
        <f t="shared" si="166"/>
        <v>2041415.1179001904</v>
      </c>
      <c r="AED18" s="125">
        <f t="shared" si="166"/>
        <v>2041415.1179001904</v>
      </c>
      <c r="AEE18" s="125">
        <f t="shared" si="166"/>
        <v>2041415.1179001904</v>
      </c>
      <c r="AEF18" s="125">
        <f t="shared" si="166"/>
        <v>2041415.1179001904</v>
      </c>
      <c r="AEG18" s="125">
        <f t="shared" si="166"/>
        <v>2041415.1179001904</v>
      </c>
      <c r="AEH18" s="125">
        <f t="shared" si="166"/>
        <v>2041415.1179001904</v>
      </c>
      <c r="AEI18" s="125">
        <f t="shared" si="166"/>
        <v>2041415.1179001904</v>
      </c>
      <c r="AEJ18" s="125">
        <f t="shared" si="166"/>
        <v>2041415.1179001904</v>
      </c>
      <c r="AEK18" s="125">
        <f t="shared" si="166"/>
        <v>2041415.1179001904</v>
      </c>
      <c r="AEL18" s="125">
        <f t="shared" si="166"/>
        <v>2041415.1179001904</v>
      </c>
      <c r="AEM18" s="125">
        <f t="shared" si="166"/>
        <v>2041415.1179001904</v>
      </c>
      <c r="AEN18" s="125">
        <f t="shared" si="166"/>
        <v>2041415.1179001904</v>
      </c>
      <c r="AEO18" s="125">
        <f t="shared" si="166"/>
        <v>2041415.1179001904</v>
      </c>
      <c r="AEP18" s="125">
        <f t="shared" si="166"/>
        <v>2041415.1179001904</v>
      </c>
      <c r="AEQ18" s="125">
        <f t="shared" si="166"/>
        <v>2041415.1179001904</v>
      </c>
      <c r="AER18" s="125">
        <f t="shared" si="166"/>
        <v>2041415.1179001904</v>
      </c>
      <c r="AES18" s="125">
        <f t="shared" si="166"/>
        <v>2041415.1179001904</v>
      </c>
      <c r="AET18" s="125">
        <f t="shared" si="166"/>
        <v>2041415.1179001904</v>
      </c>
      <c r="AEU18" s="125">
        <f t="shared" si="166"/>
        <v>2041415.1179001904</v>
      </c>
      <c r="AEV18" s="125">
        <f t="shared" si="166"/>
        <v>2041415.1179001904</v>
      </c>
      <c r="AEW18" s="125">
        <f t="shared" si="166"/>
        <v>2041415.1179001904</v>
      </c>
      <c r="AEX18" s="125">
        <f t="shared" si="166"/>
        <v>2041415.1179001904</v>
      </c>
      <c r="AEY18" s="125">
        <f t="shared" si="166"/>
        <v>2041415.1179001904</v>
      </c>
      <c r="AEZ18" s="125">
        <f t="shared" si="166"/>
        <v>2041415.1179001904</v>
      </c>
      <c r="AFA18" s="125">
        <f t="shared" si="166"/>
        <v>2041415.1179001904</v>
      </c>
      <c r="AFB18" s="125">
        <f t="shared" si="166"/>
        <v>2041415.1179001904</v>
      </c>
      <c r="AFC18" s="125">
        <f t="shared" si="166"/>
        <v>2041415.1179001904</v>
      </c>
      <c r="AFD18" s="125">
        <f t="shared" si="166"/>
        <v>2041415.1179001904</v>
      </c>
      <c r="AFE18" s="125">
        <f t="shared" si="166"/>
        <v>2041415.1179001904</v>
      </c>
      <c r="AFF18" s="125">
        <f t="shared" si="166"/>
        <v>2041415.1179001904</v>
      </c>
      <c r="AFG18" s="125">
        <f t="shared" si="166"/>
        <v>2041415.1179001904</v>
      </c>
      <c r="AFH18" s="125">
        <f t="shared" si="166"/>
        <v>2041415.1179001904</v>
      </c>
      <c r="AFI18" s="125">
        <f t="shared" ref="AFI18:AHT18" si="167">AFH18+AFI17</f>
        <v>2041415.1179001904</v>
      </c>
      <c r="AFJ18" s="125">
        <f t="shared" si="167"/>
        <v>2041415.1179001904</v>
      </c>
      <c r="AFK18" s="125">
        <f t="shared" si="167"/>
        <v>2041415.1179001904</v>
      </c>
      <c r="AFL18" s="125">
        <f t="shared" si="167"/>
        <v>2041415.1179001904</v>
      </c>
      <c r="AFM18" s="125">
        <f t="shared" si="167"/>
        <v>2041415.1179001904</v>
      </c>
      <c r="AFN18" s="125">
        <f t="shared" si="167"/>
        <v>2041415.1179001904</v>
      </c>
      <c r="AFO18" s="125">
        <f t="shared" si="167"/>
        <v>2041415.1179001904</v>
      </c>
      <c r="AFP18" s="125">
        <f t="shared" si="167"/>
        <v>2041415.1179001904</v>
      </c>
      <c r="AFQ18" s="125">
        <f t="shared" si="167"/>
        <v>2041415.1179001904</v>
      </c>
      <c r="AFR18" s="125">
        <f t="shared" si="167"/>
        <v>2041415.1179001904</v>
      </c>
      <c r="AFS18" s="125">
        <f t="shared" si="167"/>
        <v>2041415.1179001904</v>
      </c>
      <c r="AFT18" s="125">
        <f t="shared" si="167"/>
        <v>2041415.1179001904</v>
      </c>
      <c r="AFU18" s="125">
        <f t="shared" si="167"/>
        <v>2041415.1179001904</v>
      </c>
      <c r="AFV18" s="125">
        <f t="shared" si="167"/>
        <v>2041415.1179001904</v>
      </c>
      <c r="AFW18" s="125">
        <f t="shared" si="167"/>
        <v>2041415.1179001904</v>
      </c>
      <c r="AFX18" s="125">
        <f t="shared" si="167"/>
        <v>2041415.1179001904</v>
      </c>
      <c r="AFY18" s="125">
        <f t="shared" si="167"/>
        <v>2041415.1179001904</v>
      </c>
      <c r="AFZ18" s="125">
        <f t="shared" si="167"/>
        <v>2041415.1179001904</v>
      </c>
      <c r="AGA18" s="125">
        <f t="shared" si="167"/>
        <v>2041415.1179001904</v>
      </c>
      <c r="AGB18" s="125">
        <f t="shared" si="167"/>
        <v>2041415.1179001904</v>
      </c>
      <c r="AGC18" s="125">
        <f t="shared" si="167"/>
        <v>2041415.1179001904</v>
      </c>
      <c r="AGD18" s="125">
        <f t="shared" si="167"/>
        <v>2041415.1179001904</v>
      </c>
      <c r="AGE18" s="125">
        <f t="shared" si="167"/>
        <v>2041415.1179001904</v>
      </c>
      <c r="AGF18" s="125">
        <f t="shared" si="167"/>
        <v>2041415.1179001904</v>
      </c>
      <c r="AGG18" s="125">
        <f t="shared" si="167"/>
        <v>2041415.1179001904</v>
      </c>
      <c r="AGH18" s="125">
        <f t="shared" si="167"/>
        <v>2041415.1179001904</v>
      </c>
      <c r="AGI18" s="125">
        <f t="shared" si="167"/>
        <v>2041415.1179001904</v>
      </c>
      <c r="AGJ18" s="125">
        <f t="shared" si="167"/>
        <v>2041415.1179001904</v>
      </c>
      <c r="AGK18" s="125">
        <f t="shared" si="167"/>
        <v>2041415.1179001904</v>
      </c>
      <c r="AGL18" s="125">
        <f t="shared" si="167"/>
        <v>2041415.1179001904</v>
      </c>
      <c r="AGM18" s="125">
        <f t="shared" si="167"/>
        <v>2041415.1179001904</v>
      </c>
      <c r="AGN18" s="125">
        <f t="shared" si="167"/>
        <v>2041415.1179001904</v>
      </c>
      <c r="AGO18" s="125">
        <f t="shared" si="167"/>
        <v>2041415.1179001904</v>
      </c>
      <c r="AGP18" s="125">
        <f t="shared" si="167"/>
        <v>2041415.1179001904</v>
      </c>
      <c r="AGQ18" s="125">
        <f t="shared" si="167"/>
        <v>2041415.1179001904</v>
      </c>
      <c r="AGR18" s="125">
        <f t="shared" si="167"/>
        <v>2041415.1179001904</v>
      </c>
      <c r="AGS18" s="125">
        <f t="shared" si="167"/>
        <v>2041415.1179001904</v>
      </c>
      <c r="AGT18" s="125">
        <f t="shared" si="167"/>
        <v>2041415.1179001904</v>
      </c>
      <c r="AGU18" s="125">
        <f t="shared" si="167"/>
        <v>2041415.1179001904</v>
      </c>
      <c r="AGV18" s="125">
        <f t="shared" si="167"/>
        <v>2041415.1179001904</v>
      </c>
      <c r="AGW18" s="125">
        <f t="shared" si="167"/>
        <v>2041415.1179001904</v>
      </c>
      <c r="AGX18" s="125">
        <f t="shared" si="167"/>
        <v>2041415.1179001904</v>
      </c>
      <c r="AGY18" s="125">
        <f t="shared" si="167"/>
        <v>2041415.1179001904</v>
      </c>
      <c r="AGZ18" s="125">
        <f t="shared" si="167"/>
        <v>2041415.1179001904</v>
      </c>
      <c r="AHA18" s="125">
        <f t="shared" si="167"/>
        <v>2041415.1179001904</v>
      </c>
      <c r="AHB18" s="125">
        <f t="shared" si="167"/>
        <v>2041415.1179001904</v>
      </c>
      <c r="AHC18" s="125">
        <f t="shared" si="167"/>
        <v>2041415.1179001904</v>
      </c>
      <c r="AHD18" s="125">
        <f t="shared" si="167"/>
        <v>2041415.1179001904</v>
      </c>
      <c r="AHE18" s="125">
        <f t="shared" si="167"/>
        <v>2041415.1179001904</v>
      </c>
      <c r="AHF18" s="125">
        <f t="shared" si="167"/>
        <v>2041415.1179001904</v>
      </c>
      <c r="AHG18" s="125">
        <f t="shared" si="167"/>
        <v>2041415.1179001904</v>
      </c>
      <c r="AHH18" s="125">
        <f t="shared" si="167"/>
        <v>2041415.1179001904</v>
      </c>
      <c r="AHI18" s="125">
        <f t="shared" si="167"/>
        <v>2041415.1179001904</v>
      </c>
      <c r="AHJ18" s="125">
        <f t="shared" si="167"/>
        <v>2041415.1179001904</v>
      </c>
      <c r="AHK18" s="125">
        <f t="shared" si="167"/>
        <v>2041415.1179001904</v>
      </c>
      <c r="AHL18" s="125">
        <f t="shared" si="167"/>
        <v>2041415.1179001904</v>
      </c>
      <c r="AHM18" s="125">
        <f t="shared" si="167"/>
        <v>2041415.1179001904</v>
      </c>
      <c r="AHN18" s="125">
        <f t="shared" si="167"/>
        <v>2041415.1179001904</v>
      </c>
      <c r="AHO18" s="125">
        <f t="shared" si="167"/>
        <v>2041415.1179001904</v>
      </c>
      <c r="AHP18" s="125">
        <f t="shared" si="167"/>
        <v>2041415.1179001904</v>
      </c>
      <c r="AHQ18" s="125">
        <f t="shared" si="167"/>
        <v>2041415.1179001904</v>
      </c>
      <c r="AHR18" s="125">
        <f t="shared" si="167"/>
        <v>2041415.1179001904</v>
      </c>
      <c r="AHS18" s="125">
        <f t="shared" si="167"/>
        <v>2041415.1179001904</v>
      </c>
      <c r="AHT18" s="125">
        <f t="shared" si="167"/>
        <v>2041415.1179001904</v>
      </c>
      <c r="AHU18" s="125">
        <f t="shared" ref="AHU18:AKF18" si="168">AHT18+AHU17</f>
        <v>2041415.1179001904</v>
      </c>
      <c r="AHV18" s="125">
        <f t="shared" si="168"/>
        <v>2041415.1179001904</v>
      </c>
      <c r="AHW18" s="125">
        <f t="shared" si="168"/>
        <v>2041415.1179001904</v>
      </c>
      <c r="AHX18" s="125">
        <f t="shared" si="168"/>
        <v>2041415.1179001904</v>
      </c>
      <c r="AHY18" s="125">
        <f t="shared" si="168"/>
        <v>2041415.1179001904</v>
      </c>
      <c r="AHZ18" s="125">
        <f t="shared" si="168"/>
        <v>2041415.1179001904</v>
      </c>
      <c r="AIA18" s="125">
        <f t="shared" si="168"/>
        <v>2041415.1179001904</v>
      </c>
      <c r="AIB18" s="125">
        <f t="shared" si="168"/>
        <v>2041415.1179001904</v>
      </c>
      <c r="AIC18" s="125">
        <f t="shared" si="168"/>
        <v>2041415.1179001904</v>
      </c>
      <c r="AID18" s="125">
        <f t="shared" si="168"/>
        <v>2041415.1179001904</v>
      </c>
      <c r="AIE18" s="125">
        <f t="shared" si="168"/>
        <v>2041415.1179001904</v>
      </c>
      <c r="AIF18" s="125">
        <f t="shared" si="168"/>
        <v>2041415.1179001904</v>
      </c>
      <c r="AIG18" s="125">
        <f t="shared" si="168"/>
        <v>2041415.1179001904</v>
      </c>
      <c r="AIH18" s="125">
        <f t="shared" si="168"/>
        <v>2041415.1179001904</v>
      </c>
      <c r="AII18" s="125">
        <f t="shared" si="168"/>
        <v>2041415.1179001904</v>
      </c>
      <c r="AIJ18" s="125">
        <f t="shared" si="168"/>
        <v>2041415.1179001904</v>
      </c>
      <c r="AIK18" s="125">
        <f t="shared" si="168"/>
        <v>2041415.1179001904</v>
      </c>
      <c r="AIL18" s="125">
        <f t="shared" si="168"/>
        <v>2041415.1179001904</v>
      </c>
      <c r="AIM18" s="125">
        <f t="shared" si="168"/>
        <v>2041415.1179001904</v>
      </c>
      <c r="AIN18" s="125">
        <f t="shared" si="168"/>
        <v>2041415.1179001904</v>
      </c>
      <c r="AIO18" s="125">
        <f t="shared" si="168"/>
        <v>2041415.1179001904</v>
      </c>
      <c r="AIP18" s="125">
        <f t="shared" si="168"/>
        <v>2041415.1179001904</v>
      </c>
      <c r="AIQ18" s="125">
        <f t="shared" si="168"/>
        <v>2041415.1179001904</v>
      </c>
      <c r="AIR18" s="125">
        <f t="shared" si="168"/>
        <v>2041415.1179001904</v>
      </c>
      <c r="AIS18" s="125">
        <f t="shared" si="168"/>
        <v>2041415.1179001904</v>
      </c>
      <c r="AIT18" s="125">
        <f t="shared" si="168"/>
        <v>2041415.1179001904</v>
      </c>
      <c r="AIU18" s="125">
        <f t="shared" si="168"/>
        <v>2041415.1179001904</v>
      </c>
      <c r="AIV18" s="125">
        <f t="shared" si="168"/>
        <v>2041415.1179001904</v>
      </c>
      <c r="AIW18" s="125">
        <f t="shared" si="168"/>
        <v>2041415.1179001904</v>
      </c>
      <c r="AIX18" s="125">
        <f t="shared" si="168"/>
        <v>2041415.1179001904</v>
      </c>
      <c r="AIY18" s="125">
        <f t="shared" si="168"/>
        <v>2041415.1179001904</v>
      </c>
      <c r="AIZ18" s="125">
        <f t="shared" si="168"/>
        <v>2041415.1179001904</v>
      </c>
      <c r="AJA18" s="125">
        <f t="shared" si="168"/>
        <v>2041415.1179001904</v>
      </c>
      <c r="AJB18" s="125">
        <f t="shared" si="168"/>
        <v>2041415.1179001904</v>
      </c>
      <c r="AJC18" s="125">
        <f t="shared" si="168"/>
        <v>2041415.1179001904</v>
      </c>
      <c r="AJD18" s="125">
        <f t="shared" si="168"/>
        <v>2041415.1179001904</v>
      </c>
      <c r="AJE18" s="125">
        <f t="shared" si="168"/>
        <v>2041415.1179001904</v>
      </c>
      <c r="AJF18" s="125">
        <f t="shared" si="168"/>
        <v>2041415.1179001904</v>
      </c>
      <c r="AJG18" s="125">
        <f t="shared" si="168"/>
        <v>2041415.1179001904</v>
      </c>
      <c r="AJH18" s="125">
        <f t="shared" si="168"/>
        <v>2041415.1179001904</v>
      </c>
      <c r="AJI18" s="125">
        <f t="shared" si="168"/>
        <v>2041415.1179001904</v>
      </c>
      <c r="AJJ18" s="125">
        <f t="shared" si="168"/>
        <v>2041415.1179001904</v>
      </c>
      <c r="AJK18" s="125">
        <f t="shared" si="168"/>
        <v>2041415.1179001904</v>
      </c>
      <c r="AJL18" s="125">
        <f t="shared" si="168"/>
        <v>2041415.1179001904</v>
      </c>
      <c r="AJM18" s="125">
        <f t="shared" si="168"/>
        <v>2041415.1179001904</v>
      </c>
      <c r="AJN18" s="125">
        <f t="shared" si="168"/>
        <v>2041415.1179001904</v>
      </c>
      <c r="AJO18" s="125">
        <f t="shared" si="168"/>
        <v>2041415.1179001904</v>
      </c>
      <c r="AJP18" s="125">
        <f t="shared" si="168"/>
        <v>2041415.1179001904</v>
      </c>
      <c r="AJQ18" s="125">
        <f t="shared" si="168"/>
        <v>2041415.1179001904</v>
      </c>
      <c r="AJR18" s="125">
        <f t="shared" si="168"/>
        <v>2041415.1179001904</v>
      </c>
      <c r="AJS18" s="125">
        <f t="shared" si="168"/>
        <v>2041415.1179001904</v>
      </c>
      <c r="AJT18" s="125">
        <f t="shared" si="168"/>
        <v>2041415.1179001904</v>
      </c>
      <c r="AJU18" s="125">
        <f t="shared" si="168"/>
        <v>2041415.1179001904</v>
      </c>
      <c r="AJV18" s="125">
        <f t="shared" si="168"/>
        <v>2041415.1179001904</v>
      </c>
      <c r="AJW18" s="125">
        <f t="shared" si="168"/>
        <v>2041415.1179001904</v>
      </c>
      <c r="AJX18" s="125">
        <f t="shared" si="168"/>
        <v>2041415.1179001904</v>
      </c>
      <c r="AJY18" s="125">
        <f t="shared" si="168"/>
        <v>2041415.1179001904</v>
      </c>
      <c r="AJZ18" s="125">
        <f t="shared" si="168"/>
        <v>2041415.1179001904</v>
      </c>
      <c r="AKA18" s="125">
        <f t="shared" si="168"/>
        <v>2041415.1179001904</v>
      </c>
      <c r="AKB18" s="125">
        <f t="shared" si="168"/>
        <v>2041415.1179001904</v>
      </c>
      <c r="AKC18" s="125">
        <f t="shared" si="168"/>
        <v>2041415.1179001904</v>
      </c>
      <c r="AKD18" s="125">
        <f t="shared" si="168"/>
        <v>2041415.1179001904</v>
      </c>
      <c r="AKE18" s="125">
        <f t="shared" si="168"/>
        <v>2041415.1179001904</v>
      </c>
      <c r="AKF18" s="125">
        <f t="shared" si="168"/>
        <v>2041415.1179001904</v>
      </c>
      <c r="AKG18" s="125">
        <f t="shared" ref="AKG18:AMR18" si="169">AKF18+AKG17</f>
        <v>2041415.1179001904</v>
      </c>
      <c r="AKH18" s="125">
        <f t="shared" si="169"/>
        <v>2041415.1179001904</v>
      </c>
      <c r="AKI18" s="125">
        <f t="shared" si="169"/>
        <v>2041415.1179001904</v>
      </c>
      <c r="AKJ18" s="125">
        <f t="shared" si="169"/>
        <v>2041415.1179001904</v>
      </c>
      <c r="AKK18" s="125">
        <f t="shared" si="169"/>
        <v>2041415.1179001904</v>
      </c>
      <c r="AKL18" s="125">
        <f t="shared" si="169"/>
        <v>2041415.1179001904</v>
      </c>
      <c r="AKM18" s="125">
        <f t="shared" si="169"/>
        <v>2041415.1179001904</v>
      </c>
      <c r="AKN18" s="125">
        <f t="shared" si="169"/>
        <v>2041415.1179001904</v>
      </c>
      <c r="AKO18" s="125">
        <f t="shared" si="169"/>
        <v>2041415.1179001904</v>
      </c>
      <c r="AKP18" s="125">
        <f t="shared" si="169"/>
        <v>2041415.1179001904</v>
      </c>
      <c r="AKQ18" s="125">
        <f t="shared" si="169"/>
        <v>2041415.1179001904</v>
      </c>
      <c r="AKR18" s="125">
        <f t="shared" si="169"/>
        <v>2041415.1179001904</v>
      </c>
      <c r="AKS18" s="125">
        <f t="shared" si="169"/>
        <v>2041415.1179001904</v>
      </c>
      <c r="AKT18" s="125">
        <f t="shared" si="169"/>
        <v>2041415.1179001904</v>
      </c>
      <c r="AKU18" s="125">
        <f t="shared" si="169"/>
        <v>2041415.1179001904</v>
      </c>
      <c r="AKV18" s="125">
        <f t="shared" si="169"/>
        <v>2041415.1179001904</v>
      </c>
      <c r="AKW18" s="125">
        <f t="shared" si="169"/>
        <v>2041415.1179001904</v>
      </c>
      <c r="AKX18" s="125">
        <f t="shared" si="169"/>
        <v>2041415.1179001904</v>
      </c>
      <c r="AKY18" s="125">
        <f t="shared" si="169"/>
        <v>2041415.1179001904</v>
      </c>
      <c r="AKZ18" s="125">
        <f t="shared" si="169"/>
        <v>2041415.1179001904</v>
      </c>
      <c r="ALA18" s="125">
        <f t="shared" si="169"/>
        <v>2041415.1179001904</v>
      </c>
      <c r="ALB18" s="125">
        <f t="shared" si="169"/>
        <v>2041415.1179001904</v>
      </c>
      <c r="ALC18" s="125">
        <f t="shared" si="169"/>
        <v>2041415.1179001904</v>
      </c>
      <c r="ALD18" s="125">
        <f t="shared" si="169"/>
        <v>2041415.1179001904</v>
      </c>
      <c r="ALE18" s="125">
        <f t="shared" si="169"/>
        <v>2041415.1179001904</v>
      </c>
      <c r="ALF18" s="125">
        <f t="shared" si="169"/>
        <v>2041415.1179001904</v>
      </c>
      <c r="ALG18" s="125">
        <f t="shared" si="169"/>
        <v>2041415.1179001904</v>
      </c>
      <c r="ALH18" s="125">
        <f t="shared" si="169"/>
        <v>2041415.1179001904</v>
      </c>
      <c r="ALI18" s="125">
        <f t="shared" si="169"/>
        <v>2041415.1179001904</v>
      </c>
      <c r="ALJ18" s="125">
        <f t="shared" si="169"/>
        <v>2041415.1179001904</v>
      </c>
      <c r="ALK18" s="125">
        <f t="shared" si="169"/>
        <v>2041415.1179001904</v>
      </c>
      <c r="ALL18" s="125">
        <f t="shared" si="169"/>
        <v>2041415.1179001904</v>
      </c>
      <c r="ALM18" s="125">
        <f t="shared" si="169"/>
        <v>2041415.1179001904</v>
      </c>
      <c r="ALN18" s="125">
        <f t="shared" si="169"/>
        <v>2041415.1179001904</v>
      </c>
      <c r="ALO18" s="125">
        <f t="shared" si="169"/>
        <v>2041415.1179001904</v>
      </c>
      <c r="ALP18" s="125">
        <f t="shared" si="169"/>
        <v>2041415.1179001904</v>
      </c>
      <c r="ALQ18" s="125">
        <f t="shared" si="169"/>
        <v>2041415.1179001904</v>
      </c>
      <c r="ALR18" s="125">
        <f t="shared" si="169"/>
        <v>2041415.1179001904</v>
      </c>
      <c r="ALS18" s="125">
        <f t="shared" si="169"/>
        <v>2041415.1179001904</v>
      </c>
      <c r="ALT18" s="125">
        <f t="shared" si="169"/>
        <v>2041415.1179001904</v>
      </c>
      <c r="ALU18" s="125">
        <f t="shared" si="169"/>
        <v>2041415.1179001904</v>
      </c>
      <c r="ALV18" s="125">
        <f t="shared" si="169"/>
        <v>2041415.1179001904</v>
      </c>
      <c r="ALW18" s="125">
        <f t="shared" si="169"/>
        <v>2041415.1179001904</v>
      </c>
      <c r="ALX18" s="125">
        <f t="shared" si="169"/>
        <v>2041415.1179001904</v>
      </c>
      <c r="ALY18" s="125">
        <f t="shared" si="169"/>
        <v>2041415.1179001904</v>
      </c>
      <c r="ALZ18" s="125">
        <f t="shared" si="169"/>
        <v>2041415.1179001904</v>
      </c>
      <c r="AMA18" s="125">
        <f t="shared" si="169"/>
        <v>2041415.1179001904</v>
      </c>
      <c r="AMB18" s="125">
        <f t="shared" si="169"/>
        <v>2041415.1179001904</v>
      </c>
      <c r="AMC18" s="125">
        <f t="shared" si="169"/>
        <v>2041415.1179001904</v>
      </c>
      <c r="AMD18" s="125">
        <f t="shared" si="169"/>
        <v>2041415.1179001904</v>
      </c>
      <c r="AME18" s="125">
        <f t="shared" si="169"/>
        <v>2041415.1179001904</v>
      </c>
      <c r="AMF18" s="125">
        <f t="shared" si="169"/>
        <v>2041415.1179001904</v>
      </c>
      <c r="AMG18" s="125">
        <f t="shared" si="169"/>
        <v>2041415.1179001904</v>
      </c>
      <c r="AMH18" s="125">
        <f t="shared" si="169"/>
        <v>2041415.1179001904</v>
      </c>
      <c r="AMI18" s="125">
        <f t="shared" si="169"/>
        <v>2041415.1179001904</v>
      </c>
      <c r="AMJ18" s="125">
        <f t="shared" si="169"/>
        <v>2041415.1179001904</v>
      </c>
      <c r="AMK18" s="125">
        <f t="shared" si="169"/>
        <v>2041415.1179001904</v>
      </c>
      <c r="AML18" s="125">
        <f t="shared" si="169"/>
        <v>2041415.1179001904</v>
      </c>
      <c r="AMM18" s="125">
        <f t="shared" si="169"/>
        <v>2041415.1179001904</v>
      </c>
      <c r="AMN18" s="125">
        <f t="shared" si="169"/>
        <v>2041415.1179001904</v>
      </c>
      <c r="AMO18" s="125">
        <f t="shared" si="169"/>
        <v>2041415.1179001904</v>
      </c>
      <c r="AMP18" s="125">
        <f t="shared" si="169"/>
        <v>2041415.1179001904</v>
      </c>
      <c r="AMQ18" s="125">
        <f t="shared" si="169"/>
        <v>2041415.1179001904</v>
      </c>
      <c r="AMR18" s="125">
        <f t="shared" si="169"/>
        <v>2041415.1179001904</v>
      </c>
      <c r="AMS18" s="125">
        <f t="shared" ref="AMS18:APD18" si="170">AMR18+AMS17</f>
        <v>2041415.1179001904</v>
      </c>
      <c r="AMT18" s="125">
        <f t="shared" si="170"/>
        <v>2041415.1179001904</v>
      </c>
      <c r="AMU18" s="125">
        <f t="shared" si="170"/>
        <v>2041415.1179001904</v>
      </c>
      <c r="AMV18" s="125">
        <f t="shared" si="170"/>
        <v>2041415.1179001904</v>
      </c>
      <c r="AMW18" s="125">
        <f t="shared" si="170"/>
        <v>2041415.1179001904</v>
      </c>
      <c r="AMX18" s="125">
        <f t="shared" si="170"/>
        <v>2041415.1179001904</v>
      </c>
      <c r="AMY18" s="125">
        <f t="shared" si="170"/>
        <v>2041415.1179001904</v>
      </c>
      <c r="AMZ18" s="125">
        <f t="shared" si="170"/>
        <v>2041415.1179001904</v>
      </c>
      <c r="ANA18" s="125">
        <f t="shared" si="170"/>
        <v>2041415.1179001904</v>
      </c>
      <c r="ANB18" s="125">
        <f t="shared" si="170"/>
        <v>2041415.1179001904</v>
      </c>
      <c r="ANC18" s="125">
        <f t="shared" si="170"/>
        <v>2041415.1179001904</v>
      </c>
      <c r="AND18" s="125">
        <f t="shared" si="170"/>
        <v>2041415.1179001904</v>
      </c>
      <c r="ANE18" s="125">
        <f t="shared" si="170"/>
        <v>2041415.1179001904</v>
      </c>
      <c r="ANF18" s="125">
        <f t="shared" si="170"/>
        <v>2041415.1179001904</v>
      </c>
      <c r="ANG18" s="125">
        <f t="shared" si="170"/>
        <v>2041415.1179001904</v>
      </c>
      <c r="ANH18" s="125">
        <f t="shared" si="170"/>
        <v>2041415.1179001904</v>
      </c>
      <c r="ANI18" s="125">
        <f t="shared" si="170"/>
        <v>2041415.1179001904</v>
      </c>
      <c r="ANJ18" s="125">
        <f t="shared" si="170"/>
        <v>2041415.1179001904</v>
      </c>
      <c r="ANK18" s="125">
        <f t="shared" si="170"/>
        <v>2041415.1179001904</v>
      </c>
      <c r="ANL18" s="125">
        <f t="shared" si="170"/>
        <v>2041415.1179001904</v>
      </c>
      <c r="ANM18" s="125">
        <f t="shared" si="170"/>
        <v>2041415.1179001904</v>
      </c>
      <c r="ANN18" s="125">
        <f t="shared" si="170"/>
        <v>2041415.1179001904</v>
      </c>
      <c r="ANO18" s="125">
        <f t="shared" si="170"/>
        <v>2041415.1179001904</v>
      </c>
      <c r="ANP18" s="125">
        <f t="shared" si="170"/>
        <v>2041415.1179001904</v>
      </c>
      <c r="ANQ18" s="125">
        <f t="shared" si="170"/>
        <v>2041415.1179001904</v>
      </c>
      <c r="ANR18" s="125">
        <f t="shared" si="170"/>
        <v>2041415.1179001904</v>
      </c>
      <c r="ANS18" s="125">
        <f t="shared" si="170"/>
        <v>2041415.1179001904</v>
      </c>
      <c r="ANT18" s="125">
        <f t="shared" si="170"/>
        <v>2041415.1179001904</v>
      </c>
      <c r="ANU18" s="125">
        <f t="shared" si="170"/>
        <v>2041415.1179001904</v>
      </c>
      <c r="ANV18" s="125">
        <f t="shared" si="170"/>
        <v>2041415.1179001904</v>
      </c>
      <c r="ANW18" s="125">
        <f t="shared" si="170"/>
        <v>2041415.1179001904</v>
      </c>
      <c r="ANX18" s="125">
        <f t="shared" si="170"/>
        <v>2041415.1179001904</v>
      </c>
      <c r="ANY18" s="125">
        <f t="shared" si="170"/>
        <v>2041415.1179001904</v>
      </c>
      <c r="ANZ18" s="125">
        <f t="shared" si="170"/>
        <v>2041415.1179001904</v>
      </c>
      <c r="AOA18" s="125">
        <f t="shared" si="170"/>
        <v>2041415.1179001904</v>
      </c>
      <c r="AOB18" s="125">
        <f t="shared" si="170"/>
        <v>2041415.1179001904</v>
      </c>
      <c r="AOC18" s="125">
        <f t="shared" si="170"/>
        <v>2041415.1179001904</v>
      </c>
      <c r="AOD18" s="125">
        <f t="shared" si="170"/>
        <v>2041415.1179001904</v>
      </c>
      <c r="AOE18" s="125">
        <f t="shared" si="170"/>
        <v>2041415.1179001904</v>
      </c>
      <c r="AOF18" s="125">
        <f t="shared" si="170"/>
        <v>2041415.1179001904</v>
      </c>
      <c r="AOG18" s="125">
        <f t="shared" si="170"/>
        <v>2041415.1179001904</v>
      </c>
      <c r="AOH18" s="125">
        <f t="shared" si="170"/>
        <v>2041415.1179001904</v>
      </c>
      <c r="AOI18" s="125">
        <f t="shared" si="170"/>
        <v>2041415.1179001904</v>
      </c>
      <c r="AOJ18" s="125">
        <f t="shared" si="170"/>
        <v>2041415.1179001904</v>
      </c>
      <c r="AOK18" s="125">
        <f t="shared" si="170"/>
        <v>2041415.1179001904</v>
      </c>
      <c r="AOL18" s="125">
        <f t="shared" si="170"/>
        <v>2041415.1179001904</v>
      </c>
      <c r="AOM18" s="125">
        <f t="shared" si="170"/>
        <v>2041415.1179001904</v>
      </c>
      <c r="AON18" s="125">
        <f t="shared" si="170"/>
        <v>2041415.1179001904</v>
      </c>
      <c r="AOO18" s="125">
        <f t="shared" si="170"/>
        <v>2041415.1179001904</v>
      </c>
      <c r="AOP18" s="125">
        <f t="shared" si="170"/>
        <v>2041415.1179001904</v>
      </c>
      <c r="AOQ18" s="125">
        <f t="shared" si="170"/>
        <v>2041415.1179001904</v>
      </c>
      <c r="AOR18" s="125">
        <f t="shared" si="170"/>
        <v>2041415.1179001904</v>
      </c>
      <c r="AOS18" s="125">
        <f t="shared" si="170"/>
        <v>2041415.1179001904</v>
      </c>
      <c r="AOT18" s="125">
        <f t="shared" si="170"/>
        <v>2041415.1179001904</v>
      </c>
      <c r="AOU18" s="125">
        <f t="shared" si="170"/>
        <v>2041415.1179001904</v>
      </c>
      <c r="AOV18" s="125">
        <f t="shared" si="170"/>
        <v>2041415.1179001904</v>
      </c>
      <c r="AOW18" s="125">
        <f t="shared" si="170"/>
        <v>2041415.1179001904</v>
      </c>
      <c r="AOX18" s="125">
        <f t="shared" si="170"/>
        <v>2041415.1179001904</v>
      </c>
      <c r="AOY18" s="125">
        <f t="shared" si="170"/>
        <v>2041415.1179001904</v>
      </c>
      <c r="AOZ18" s="125">
        <f t="shared" si="170"/>
        <v>2041415.1179001904</v>
      </c>
      <c r="APA18" s="125">
        <f t="shared" si="170"/>
        <v>2041415.1179001904</v>
      </c>
      <c r="APB18" s="125">
        <f t="shared" si="170"/>
        <v>2041415.1179001904</v>
      </c>
      <c r="APC18" s="125">
        <f t="shared" si="170"/>
        <v>2041415.1179001904</v>
      </c>
      <c r="APD18" s="125">
        <f t="shared" si="170"/>
        <v>2041415.1179001904</v>
      </c>
      <c r="APE18" s="125">
        <f t="shared" ref="APE18:ARP18" si="171">APD18+APE17</f>
        <v>2041415.1179001904</v>
      </c>
      <c r="APF18" s="125">
        <f t="shared" si="171"/>
        <v>2041415.1179001904</v>
      </c>
      <c r="APG18" s="125">
        <f t="shared" si="171"/>
        <v>2041415.1179001904</v>
      </c>
      <c r="APH18" s="125">
        <f t="shared" si="171"/>
        <v>2041415.1179001904</v>
      </c>
      <c r="API18" s="125">
        <f t="shared" si="171"/>
        <v>2041415.1179001904</v>
      </c>
      <c r="APJ18" s="125">
        <f t="shared" si="171"/>
        <v>2041415.1179001904</v>
      </c>
      <c r="APK18" s="125">
        <f t="shared" si="171"/>
        <v>2041415.1179001904</v>
      </c>
      <c r="APL18" s="125">
        <f t="shared" si="171"/>
        <v>2041415.1179001904</v>
      </c>
      <c r="APM18" s="125">
        <f t="shared" si="171"/>
        <v>2041415.1179001904</v>
      </c>
      <c r="APN18" s="125">
        <f t="shared" si="171"/>
        <v>2041415.1179001904</v>
      </c>
      <c r="APO18" s="125">
        <f t="shared" si="171"/>
        <v>2041415.1179001904</v>
      </c>
      <c r="APP18" s="125">
        <f t="shared" si="171"/>
        <v>2041415.1179001904</v>
      </c>
      <c r="APQ18" s="125">
        <f t="shared" si="171"/>
        <v>2041415.1179001904</v>
      </c>
      <c r="APR18" s="125">
        <f t="shared" si="171"/>
        <v>2041415.1179001904</v>
      </c>
      <c r="APS18" s="125">
        <f t="shared" si="171"/>
        <v>2041415.1179001904</v>
      </c>
      <c r="APT18" s="125">
        <f t="shared" si="171"/>
        <v>2041415.1179001904</v>
      </c>
      <c r="APU18" s="125">
        <f t="shared" si="171"/>
        <v>2041415.1179001904</v>
      </c>
      <c r="APV18" s="125">
        <f t="shared" si="171"/>
        <v>2041415.1179001904</v>
      </c>
      <c r="APW18" s="125">
        <f t="shared" si="171"/>
        <v>2041415.1179001904</v>
      </c>
      <c r="APX18" s="125">
        <f t="shared" si="171"/>
        <v>2041415.1179001904</v>
      </c>
      <c r="APY18" s="125">
        <f t="shared" si="171"/>
        <v>2041415.1179001904</v>
      </c>
      <c r="APZ18" s="125">
        <f t="shared" si="171"/>
        <v>2041415.1179001904</v>
      </c>
      <c r="AQA18" s="125">
        <f t="shared" si="171"/>
        <v>2041415.1179001904</v>
      </c>
      <c r="AQB18" s="125">
        <f t="shared" si="171"/>
        <v>2041415.1179001904</v>
      </c>
      <c r="AQC18" s="125">
        <f t="shared" si="171"/>
        <v>2041415.1179001904</v>
      </c>
      <c r="AQD18" s="125">
        <f t="shared" si="171"/>
        <v>2041415.1179001904</v>
      </c>
      <c r="AQE18" s="125">
        <f t="shared" si="171"/>
        <v>2041415.1179001904</v>
      </c>
      <c r="AQF18" s="125">
        <f t="shared" si="171"/>
        <v>2041415.1179001904</v>
      </c>
      <c r="AQG18" s="125">
        <f t="shared" si="171"/>
        <v>2041415.1179001904</v>
      </c>
      <c r="AQH18" s="125">
        <f t="shared" si="171"/>
        <v>2041415.1179001904</v>
      </c>
      <c r="AQI18" s="125">
        <f t="shared" si="171"/>
        <v>2041415.1179001904</v>
      </c>
      <c r="AQJ18" s="125">
        <f t="shared" si="171"/>
        <v>2041415.1179001904</v>
      </c>
      <c r="AQK18" s="125">
        <f t="shared" si="171"/>
        <v>2041415.1179001904</v>
      </c>
      <c r="AQL18" s="125">
        <f t="shared" si="171"/>
        <v>2041415.1179001904</v>
      </c>
      <c r="AQM18" s="125">
        <f t="shared" si="171"/>
        <v>2041415.1179001904</v>
      </c>
      <c r="AQN18" s="125">
        <f t="shared" si="171"/>
        <v>2041415.1179001904</v>
      </c>
      <c r="AQO18" s="125">
        <f t="shared" si="171"/>
        <v>2041415.1179001904</v>
      </c>
      <c r="AQP18" s="125">
        <f t="shared" si="171"/>
        <v>2041415.1179001904</v>
      </c>
      <c r="AQQ18" s="125">
        <f t="shared" si="171"/>
        <v>2041415.1179001904</v>
      </c>
      <c r="AQR18" s="125">
        <f t="shared" si="171"/>
        <v>2041415.1179001904</v>
      </c>
      <c r="AQS18" s="125">
        <f t="shared" si="171"/>
        <v>2041415.1179001904</v>
      </c>
      <c r="AQT18" s="125">
        <f t="shared" si="171"/>
        <v>2041415.1179001904</v>
      </c>
      <c r="AQU18" s="125">
        <f t="shared" si="171"/>
        <v>2041415.1179001904</v>
      </c>
      <c r="AQV18" s="125">
        <f t="shared" si="171"/>
        <v>2041415.1179001904</v>
      </c>
      <c r="AQW18" s="125">
        <f t="shared" si="171"/>
        <v>2041415.1179001904</v>
      </c>
      <c r="AQX18" s="125">
        <f t="shared" si="171"/>
        <v>2041415.1179001904</v>
      </c>
      <c r="AQY18" s="125">
        <f t="shared" si="171"/>
        <v>2041415.1179001904</v>
      </c>
      <c r="AQZ18" s="125">
        <f t="shared" si="171"/>
        <v>2041415.1179001904</v>
      </c>
      <c r="ARA18" s="125">
        <f t="shared" si="171"/>
        <v>2041415.1179001904</v>
      </c>
      <c r="ARB18" s="125">
        <f t="shared" si="171"/>
        <v>2041415.1179001904</v>
      </c>
      <c r="ARC18" s="125">
        <f t="shared" si="171"/>
        <v>2041415.1179001904</v>
      </c>
      <c r="ARD18" s="125">
        <f t="shared" si="171"/>
        <v>2041415.1179001904</v>
      </c>
      <c r="ARE18" s="125">
        <f t="shared" si="171"/>
        <v>2041415.1179001904</v>
      </c>
      <c r="ARF18" s="125">
        <f t="shared" si="171"/>
        <v>2041415.1179001904</v>
      </c>
      <c r="ARG18" s="125">
        <f t="shared" si="171"/>
        <v>2041415.1179001904</v>
      </c>
      <c r="ARH18" s="125">
        <f t="shared" si="171"/>
        <v>2041415.1179001904</v>
      </c>
      <c r="ARI18" s="125">
        <f t="shared" si="171"/>
        <v>2041415.1179001904</v>
      </c>
      <c r="ARJ18" s="125">
        <f t="shared" si="171"/>
        <v>2041415.1179001904</v>
      </c>
      <c r="ARK18" s="125">
        <f t="shared" si="171"/>
        <v>2041415.1179001904</v>
      </c>
      <c r="ARL18" s="125">
        <f t="shared" si="171"/>
        <v>2041415.1179001904</v>
      </c>
      <c r="ARM18" s="125">
        <f t="shared" si="171"/>
        <v>2041415.1179001904</v>
      </c>
      <c r="ARN18" s="125">
        <f t="shared" si="171"/>
        <v>2041415.1179001904</v>
      </c>
      <c r="ARO18" s="125">
        <f t="shared" si="171"/>
        <v>2041415.1179001904</v>
      </c>
      <c r="ARP18" s="125">
        <f t="shared" si="171"/>
        <v>2041415.1179001904</v>
      </c>
      <c r="ARQ18" s="125">
        <f t="shared" ref="ARQ18:AUB18" si="172">ARP18+ARQ17</f>
        <v>2041415.1179001904</v>
      </c>
      <c r="ARR18" s="125">
        <f t="shared" si="172"/>
        <v>2041415.1179001904</v>
      </c>
      <c r="ARS18" s="125">
        <f t="shared" si="172"/>
        <v>2041415.1179001904</v>
      </c>
      <c r="ART18" s="125">
        <f t="shared" si="172"/>
        <v>2041415.1179001904</v>
      </c>
      <c r="ARU18" s="125">
        <f t="shared" si="172"/>
        <v>2041415.1179001904</v>
      </c>
      <c r="ARV18" s="125">
        <f t="shared" si="172"/>
        <v>2041415.1179001904</v>
      </c>
      <c r="ARW18" s="125">
        <f t="shared" si="172"/>
        <v>2041415.1179001904</v>
      </c>
      <c r="ARX18" s="125">
        <f t="shared" si="172"/>
        <v>2041415.1179001904</v>
      </c>
      <c r="ARY18" s="125">
        <f t="shared" si="172"/>
        <v>2041415.1179001904</v>
      </c>
      <c r="ARZ18" s="125">
        <f t="shared" si="172"/>
        <v>2041415.1179001904</v>
      </c>
      <c r="ASA18" s="125">
        <f t="shared" si="172"/>
        <v>2041415.1179001904</v>
      </c>
      <c r="ASB18" s="125">
        <f t="shared" si="172"/>
        <v>2041415.1179001904</v>
      </c>
      <c r="ASC18" s="125">
        <f t="shared" si="172"/>
        <v>2041415.1179001904</v>
      </c>
      <c r="ASD18" s="125">
        <f t="shared" si="172"/>
        <v>2041415.1179001904</v>
      </c>
      <c r="ASE18" s="125">
        <f t="shared" si="172"/>
        <v>2041415.1179001904</v>
      </c>
      <c r="ASF18" s="125">
        <f t="shared" si="172"/>
        <v>2041415.1179001904</v>
      </c>
      <c r="ASG18" s="125">
        <f t="shared" si="172"/>
        <v>2041415.1179001904</v>
      </c>
      <c r="ASH18" s="125">
        <f t="shared" si="172"/>
        <v>2041415.1179001904</v>
      </c>
      <c r="ASI18" s="125">
        <f t="shared" si="172"/>
        <v>2041415.1179001904</v>
      </c>
      <c r="ASJ18" s="125">
        <f t="shared" si="172"/>
        <v>2041415.1179001904</v>
      </c>
      <c r="ASK18" s="125">
        <f t="shared" si="172"/>
        <v>2041415.1179001904</v>
      </c>
      <c r="ASL18" s="125">
        <f t="shared" si="172"/>
        <v>2041415.1179001904</v>
      </c>
      <c r="ASM18" s="125">
        <f t="shared" si="172"/>
        <v>2041415.1179001904</v>
      </c>
      <c r="ASN18" s="125">
        <f t="shared" si="172"/>
        <v>2041415.1179001904</v>
      </c>
      <c r="ASO18" s="125">
        <f t="shared" si="172"/>
        <v>2041415.1179001904</v>
      </c>
      <c r="ASP18" s="125">
        <f t="shared" si="172"/>
        <v>2041415.1179001904</v>
      </c>
      <c r="ASQ18" s="125">
        <f t="shared" si="172"/>
        <v>2041415.1179001904</v>
      </c>
      <c r="ASR18" s="125">
        <f t="shared" si="172"/>
        <v>2041415.1179001904</v>
      </c>
      <c r="ASS18" s="125">
        <f t="shared" si="172"/>
        <v>2041415.1179001904</v>
      </c>
      <c r="AST18" s="125">
        <f t="shared" si="172"/>
        <v>2041415.1179001904</v>
      </c>
      <c r="ASU18" s="125">
        <f t="shared" si="172"/>
        <v>2041415.1179001904</v>
      </c>
      <c r="ASV18" s="125">
        <f t="shared" si="172"/>
        <v>2041415.1179001904</v>
      </c>
      <c r="ASW18" s="125">
        <f t="shared" si="172"/>
        <v>2041415.1179001904</v>
      </c>
      <c r="ASX18" s="125">
        <f t="shared" si="172"/>
        <v>2041415.1179001904</v>
      </c>
      <c r="ASY18" s="125">
        <f t="shared" si="172"/>
        <v>2041415.1179001904</v>
      </c>
      <c r="ASZ18" s="125">
        <f t="shared" si="172"/>
        <v>2041415.1179001904</v>
      </c>
      <c r="ATA18" s="125">
        <f t="shared" si="172"/>
        <v>2041415.1179001904</v>
      </c>
      <c r="ATB18" s="125">
        <f t="shared" si="172"/>
        <v>2041415.1179001904</v>
      </c>
      <c r="ATC18" s="125">
        <f t="shared" si="172"/>
        <v>2041415.1179001904</v>
      </c>
      <c r="ATD18" s="125">
        <f t="shared" si="172"/>
        <v>2041415.1179001904</v>
      </c>
      <c r="ATE18" s="125">
        <f t="shared" si="172"/>
        <v>2041415.1179001904</v>
      </c>
      <c r="ATF18" s="125">
        <f t="shared" si="172"/>
        <v>2041415.1179001904</v>
      </c>
      <c r="ATG18" s="125">
        <f t="shared" si="172"/>
        <v>2041415.1179001904</v>
      </c>
      <c r="ATH18" s="125">
        <f t="shared" si="172"/>
        <v>2041415.1179001904</v>
      </c>
      <c r="ATI18" s="125">
        <f t="shared" si="172"/>
        <v>2041415.1179001904</v>
      </c>
      <c r="ATJ18" s="125">
        <f t="shared" si="172"/>
        <v>2041415.1179001904</v>
      </c>
      <c r="ATK18" s="125">
        <f t="shared" si="172"/>
        <v>2041415.1179001904</v>
      </c>
      <c r="ATL18" s="125">
        <f t="shared" si="172"/>
        <v>2041415.1179001904</v>
      </c>
      <c r="ATM18" s="125">
        <f t="shared" si="172"/>
        <v>2041415.1179001904</v>
      </c>
      <c r="ATN18" s="125">
        <f t="shared" si="172"/>
        <v>2041415.1179001904</v>
      </c>
      <c r="ATO18" s="125">
        <f t="shared" si="172"/>
        <v>2041415.1179001904</v>
      </c>
      <c r="ATP18" s="125">
        <f t="shared" si="172"/>
        <v>2041415.1179001904</v>
      </c>
      <c r="ATQ18" s="125">
        <f t="shared" si="172"/>
        <v>2041415.1179001904</v>
      </c>
      <c r="ATR18" s="125">
        <f t="shared" si="172"/>
        <v>2041415.1179001904</v>
      </c>
      <c r="ATS18" s="125">
        <f t="shared" si="172"/>
        <v>2041415.1179001904</v>
      </c>
      <c r="ATT18" s="125">
        <f t="shared" si="172"/>
        <v>2041415.1179001904</v>
      </c>
      <c r="ATU18" s="125">
        <f t="shared" si="172"/>
        <v>2041415.1179001904</v>
      </c>
      <c r="ATV18" s="125">
        <f t="shared" si="172"/>
        <v>2041415.1179001904</v>
      </c>
      <c r="ATW18" s="125">
        <f t="shared" si="172"/>
        <v>2041415.1179001904</v>
      </c>
      <c r="ATX18" s="125">
        <f t="shared" si="172"/>
        <v>2041415.1179001904</v>
      </c>
      <c r="ATY18" s="125">
        <f t="shared" si="172"/>
        <v>2041415.1179001904</v>
      </c>
      <c r="ATZ18" s="125">
        <f t="shared" si="172"/>
        <v>2041415.1179001904</v>
      </c>
      <c r="AUA18" s="125">
        <f t="shared" si="172"/>
        <v>2041415.1179001904</v>
      </c>
      <c r="AUB18" s="125">
        <f t="shared" si="172"/>
        <v>2041415.1179001904</v>
      </c>
      <c r="AUC18" s="125">
        <f t="shared" ref="AUC18:AWN18" si="173">AUB18+AUC17</f>
        <v>2041415.1179001904</v>
      </c>
      <c r="AUD18" s="125">
        <f t="shared" si="173"/>
        <v>2041415.1179001904</v>
      </c>
      <c r="AUE18" s="125">
        <f t="shared" si="173"/>
        <v>2041415.1179001904</v>
      </c>
      <c r="AUF18" s="125">
        <f t="shared" si="173"/>
        <v>2041415.1179001904</v>
      </c>
      <c r="AUG18" s="125">
        <f t="shared" si="173"/>
        <v>2041415.1179001904</v>
      </c>
      <c r="AUH18" s="125">
        <f t="shared" si="173"/>
        <v>2041415.1179001904</v>
      </c>
      <c r="AUI18" s="125">
        <f t="shared" si="173"/>
        <v>2041415.1179001904</v>
      </c>
      <c r="AUJ18" s="125">
        <f t="shared" si="173"/>
        <v>2041415.1179001904</v>
      </c>
      <c r="AUK18" s="125">
        <f t="shared" si="173"/>
        <v>2041415.1179001904</v>
      </c>
      <c r="AUL18" s="125">
        <f t="shared" si="173"/>
        <v>2041415.1179001904</v>
      </c>
      <c r="AUM18" s="125">
        <f t="shared" si="173"/>
        <v>2041415.1179001904</v>
      </c>
      <c r="AUN18" s="125">
        <f t="shared" si="173"/>
        <v>2041415.1179001904</v>
      </c>
      <c r="AUO18" s="125">
        <f t="shared" si="173"/>
        <v>2041415.1179001904</v>
      </c>
      <c r="AUP18" s="125">
        <f t="shared" si="173"/>
        <v>2041415.1179001904</v>
      </c>
      <c r="AUQ18" s="125">
        <f t="shared" si="173"/>
        <v>2041415.1179001904</v>
      </c>
      <c r="AUR18" s="125">
        <f t="shared" si="173"/>
        <v>2041415.1179001904</v>
      </c>
      <c r="AUS18" s="125">
        <f t="shared" si="173"/>
        <v>2041415.1179001904</v>
      </c>
      <c r="AUT18" s="125">
        <f t="shared" si="173"/>
        <v>2041415.1179001904</v>
      </c>
      <c r="AUU18" s="125">
        <f t="shared" si="173"/>
        <v>2041415.1179001904</v>
      </c>
      <c r="AUV18" s="125">
        <f t="shared" si="173"/>
        <v>2041415.1179001904</v>
      </c>
      <c r="AUW18" s="125">
        <f t="shared" si="173"/>
        <v>2041415.1179001904</v>
      </c>
      <c r="AUX18" s="125">
        <f t="shared" si="173"/>
        <v>2041415.1179001904</v>
      </c>
      <c r="AUY18" s="125">
        <f t="shared" si="173"/>
        <v>2041415.1179001904</v>
      </c>
      <c r="AUZ18" s="125">
        <f t="shared" si="173"/>
        <v>2041415.1179001904</v>
      </c>
      <c r="AVA18" s="125">
        <f t="shared" si="173"/>
        <v>2041415.1179001904</v>
      </c>
      <c r="AVB18" s="125">
        <f t="shared" si="173"/>
        <v>2041415.1179001904</v>
      </c>
      <c r="AVC18" s="125">
        <f t="shared" si="173"/>
        <v>2041415.1179001904</v>
      </c>
      <c r="AVD18" s="125">
        <f t="shared" si="173"/>
        <v>2041415.1179001904</v>
      </c>
      <c r="AVE18" s="125">
        <f t="shared" si="173"/>
        <v>2041415.1179001904</v>
      </c>
      <c r="AVF18" s="125">
        <f t="shared" si="173"/>
        <v>2041415.1179001904</v>
      </c>
      <c r="AVG18" s="125">
        <f t="shared" si="173"/>
        <v>2041415.1179001904</v>
      </c>
      <c r="AVH18" s="125">
        <f t="shared" si="173"/>
        <v>2041415.1179001904</v>
      </c>
      <c r="AVI18" s="125">
        <f t="shared" si="173"/>
        <v>2041415.1179001904</v>
      </c>
      <c r="AVJ18" s="125">
        <f t="shared" si="173"/>
        <v>2041415.1179001904</v>
      </c>
      <c r="AVK18" s="125">
        <f t="shared" si="173"/>
        <v>2041415.1179001904</v>
      </c>
      <c r="AVL18" s="125">
        <f t="shared" si="173"/>
        <v>2041415.1179001904</v>
      </c>
      <c r="AVM18" s="125">
        <f t="shared" si="173"/>
        <v>2041415.1179001904</v>
      </c>
      <c r="AVN18" s="125">
        <f t="shared" si="173"/>
        <v>2041415.1179001904</v>
      </c>
      <c r="AVO18" s="125">
        <f t="shared" si="173"/>
        <v>2041415.1179001904</v>
      </c>
      <c r="AVP18" s="125">
        <f t="shared" si="173"/>
        <v>2041415.1179001904</v>
      </c>
      <c r="AVQ18" s="125">
        <f t="shared" si="173"/>
        <v>2041415.1179001904</v>
      </c>
      <c r="AVR18" s="125">
        <f t="shared" si="173"/>
        <v>2041415.1179001904</v>
      </c>
      <c r="AVS18" s="125">
        <f t="shared" si="173"/>
        <v>2041415.1179001904</v>
      </c>
      <c r="AVT18" s="125">
        <f t="shared" si="173"/>
        <v>2041415.1179001904</v>
      </c>
      <c r="AVU18" s="125">
        <f t="shared" si="173"/>
        <v>2041415.1179001904</v>
      </c>
      <c r="AVV18" s="125">
        <f t="shared" si="173"/>
        <v>2041415.1179001904</v>
      </c>
      <c r="AVW18" s="125">
        <f t="shared" si="173"/>
        <v>2041415.1179001904</v>
      </c>
      <c r="AVX18" s="125">
        <f t="shared" si="173"/>
        <v>2041415.1179001904</v>
      </c>
      <c r="AVY18" s="125">
        <f t="shared" si="173"/>
        <v>2041415.1179001904</v>
      </c>
      <c r="AVZ18" s="125">
        <f t="shared" si="173"/>
        <v>2041415.1179001904</v>
      </c>
      <c r="AWA18" s="125">
        <f t="shared" si="173"/>
        <v>2041415.1179001904</v>
      </c>
      <c r="AWB18" s="125">
        <f t="shared" si="173"/>
        <v>2041415.1179001904</v>
      </c>
      <c r="AWC18" s="125">
        <f t="shared" si="173"/>
        <v>2041415.1179001904</v>
      </c>
      <c r="AWD18" s="125">
        <f t="shared" si="173"/>
        <v>2041415.1179001904</v>
      </c>
      <c r="AWE18" s="125">
        <f t="shared" si="173"/>
        <v>2041415.1179001904</v>
      </c>
      <c r="AWF18" s="125">
        <f t="shared" si="173"/>
        <v>2041415.1179001904</v>
      </c>
      <c r="AWG18" s="125">
        <f t="shared" si="173"/>
        <v>2041415.1179001904</v>
      </c>
      <c r="AWH18" s="125">
        <f t="shared" si="173"/>
        <v>2041415.1179001904</v>
      </c>
      <c r="AWI18" s="125">
        <f t="shared" si="173"/>
        <v>2041415.1179001904</v>
      </c>
      <c r="AWJ18" s="125">
        <f t="shared" si="173"/>
        <v>2041415.1179001904</v>
      </c>
      <c r="AWK18" s="125">
        <f t="shared" si="173"/>
        <v>2041415.1179001904</v>
      </c>
      <c r="AWL18" s="125">
        <f t="shared" si="173"/>
        <v>2041415.1179001904</v>
      </c>
      <c r="AWM18" s="125">
        <f t="shared" si="173"/>
        <v>2041415.1179001904</v>
      </c>
      <c r="AWN18" s="125">
        <f t="shared" si="173"/>
        <v>2041415.1179001904</v>
      </c>
      <c r="AWO18" s="125">
        <f t="shared" ref="AWO18:AYZ18" si="174">AWN18+AWO17</f>
        <v>2041415.1179001904</v>
      </c>
      <c r="AWP18" s="125">
        <f t="shared" si="174"/>
        <v>2041415.1179001904</v>
      </c>
      <c r="AWQ18" s="125">
        <f t="shared" si="174"/>
        <v>2041415.1179001904</v>
      </c>
      <c r="AWR18" s="125">
        <f t="shared" si="174"/>
        <v>2041415.1179001904</v>
      </c>
      <c r="AWS18" s="125">
        <f t="shared" si="174"/>
        <v>2041415.1179001904</v>
      </c>
      <c r="AWT18" s="125">
        <f t="shared" si="174"/>
        <v>2041415.1179001904</v>
      </c>
      <c r="AWU18" s="125">
        <f t="shared" si="174"/>
        <v>2041415.1179001904</v>
      </c>
      <c r="AWV18" s="125">
        <f t="shared" si="174"/>
        <v>2041415.1179001904</v>
      </c>
      <c r="AWW18" s="125">
        <f t="shared" si="174"/>
        <v>2041415.1179001904</v>
      </c>
      <c r="AWX18" s="125">
        <f t="shared" si="174"/>
        <v>2041415.1179001904</v>
      </c>
      <c r="AWY18" s="125">
        <f t="shared" si="174"/>
        <v>2041415.1179001904</v>
      </c>
      <c r="AWZ18" s="125">
        <f t="shared" si="174"/>
        <v>2041415.1179001904</v>
      </c>
      <c r="AXA18" s="125">
        <f t="shared" si="174"/>
        <v>2041415.1179001904</v>
      </c>
      <c r="AXB18" s="125">
        <f t="shared" si="174"/>
        <v>2041415.1179001904</v>
      </c>
      <c r="AXC18" s="125">
        <f t="shared" si="174"/>
        <v>2041415.1179001904</v>
      </c>
      <c r="AXD18" s="125">
        <f t="shared" si="174"/>
        <v>2041415.1179001904</v>
      </c>
      <c r="AXE18" s="125">
        <f t="shared" si="174"/>
        <v>2041415.1179001904</v>
      </c>
      <c r="AXF18" s="125">
        <f t="shared" si="174"/>
        <v>2041415.1179001904</v>
      </c>
      <c r="AXG18" s="125">
        <f t="shared" si="174"/>
        <v>2041415.1179001904</v>
      </c>
      <c r="AXH18" s="125">
        <f t="shared" si="174"/>
        <v>2041415.1179001904</v>
      </c>
      <c r="AXI18" s="125">
        <f t="shared" si="174"/>
        <v>2041415.1179001904</v>
      </c>
      <c r="AXJ18" s="125">
        <f t="shared" si="174"/>
        <v>2041415.1179001904</v>
      </c>
      <c r="AXK18" s="125">
        <f t="shared" si="174"/>
        <v>2041415.1179001904</v>
      </c>
      <c r="AXL18" s="125">
        <f t="shared" si="174"/>
        <v>2041415.1179001904</v>
      </c>
      <c r="AXM18" s="125">
        <f t="shared" si="174"/>
        <v>2041415.1179001904</v>
      </c>
      <c r="AXN18" s="125">
        <f t="shared" si="174"/>
        <v>2041415.1179001904</v>
      </c>
      <c r="AXO18" s="125">
        <f t="shared" si="174"/>
        <v>2041415.1179001904</v>
      </c>
      <c r="AXP18" s="125">
        <f t="shared" si="174"/>
        <v>2041415.1179001904</v>
      </c>
      <c r="AXQ18" s="125">
        <f t="shared" si="174"/>
        <v>2041415.1179001904</v>
      </c>
      <c r="AXR18" s="125">
        <f t="shared" si="174"/>
        <v>2041415.1179001904</v>
      </c>
      <c r="AXS18" s="125">
        <f t="shared" si="174"/>
        <v>2041415.1179001904</v>
      </c>
      <c r="AXT18" s="125">
        <f t="shared" si="174"/>
        <v>2041415.1179001904</v>
      </c>
      <c r="AXU18" s="125">
        <f t="shared" si="174"/>
        <v>2041415.1179001904</v>
      </c>
      <c r="AXV18" s="125">
        <f t="shared" si="174"/>
        <v>2041415.1179001904</v>
      </c>
      <c r="AXW18" s="125">
        <f t="shared" si="174"/>
        <v>2041415.1179001904</v>
      </c>
      <c r="AXX18" s="125">
        <f t="shared" si="174"/>
        <v>2041415.1179001904</v>
      </c>
      <c r="AXY18" s="125">
        <f t="shared" si="174"/>
        <v>2041415.1179001904</v>
      </c>
      <c r="AXZ18" s="125">
        <f t="shared" si="174"/>
        <v>2041415.1179001904</v>
      </c>
      <c r="AYA18" s="125">
        <f t="shared" si="174"/>
        <v>2041415.1179001904</v>
      </c>
      <c r="AYB18" s="125">
        <f t="shared" si="174"/>
        <v>2041415.1179001904</v>
      </c>
      <c r="AYC18" s="125">
        <f t="shared" si="174"/>
        <v>2041415.1179001904</v>
      </c>
      <c r="AYD18" s="125">
        <f t="shared" si="174"/>
        <v>2041415.1179001904</v>
      </c>
      <c r="AYE18" s="125">
        <f t="shared" si="174"/>
        <v>2041415.1179001904</v>
      </c>
      <c r="AYF18" s="125">
        <f t="shared" si="174"/>
        <v>2041415.1179001904</v>
      </c>
      <c r="AYG18" s="125">
        <f t="shared" si="174"/>
        <v>2041415.1179001904</v>
      </c>
      <c r="AYH18" s="125">
        <f t="shared" si="174"/>
        <v>2041415.1179001904</v>
      </c>
      <c r="AYI18" s="125">
        <f t="shared" si="174"/>
        <v>2041415.1179001904</v>
      </c>
      <c r="AYJ18" s="125">
        <f t="shared" si="174"/>
        <v>2041415.1179001904</v>
      </c>
      <c r="AYK18" s="125">
        <f t="shared" si="174"/>
        <v>2041415.1179001904</v>
      </c>
      <c r="AYL18" s="125">
        <f t="shared" si="174"/>
        <v>2041415.1179001904</v>
      </c>
      <c r="AYM18" s="125">
        <f t="shared" si="174"/>
        <v>2041415.1179001904</v>
      </c>
      <c r="AYN18" s="125">
        <f t="shared" si="174"/>
        <v>2041415.1179001904</v>
      </c>
      <c r="AYO18" s="125">
        <f t="shared" si="174"/>
        <v>2041415.1179001904</v>
      </c>
      <c r="AYP18" s="125">
        <f t="shared" si="174"/>
        <v>2041415.1179001904</v>
      </c>
      <c r="AYQ18" s="125">
        <f t="shared" si="174"/>
        <v>2041415.1179001904</v>
      </c>
      <c r="AYR18" s="125">
        <f t="shared" si="174"/>
        <v>2041415.1179001904</v>
      </c>
      <c r="AYS18" s="125">
        <f t="shared" si="174"/>
        <v>2041415.1179001904</v>
      </c>
      <c r="AYT18" s="125">
        <f t="shared" si="174"/>
        <v>2041415.1179001904</v>
      </c>
      <c r="AYU18" s="125">
        <f t="shared" si="174"/>
        <v>2041415.1179001904</v>
      </c>
      <c r="AYV18" s="125">
        <f t="shared" si="174"/>
        <v>2041415.1179001904</v>
      </c>
      <c r="AYW18" s="125">
        <f t="shared" si="174"/>
        <v>2041415.1179001904</v>
      </c>
      <c r="AYX18" s="125">
        <f t="shared" si="174"/>
        <v>2041415.1179001904</v>
      </c>
      <c r="AYY18" s="125">
        <f t="shared" si="174"/>
        <v>2041415.1179001904</v>
      </c>
      <c r="AYZ18" s="125">
        <f t="shared" si="174"/>
        <v>2041415.1179001904</v>
      </c>
      <c r="AZA18" s="125">
        <f t="shared" ref="AZA18:AZG18" si="175">AYZ18+AZA17</f>
        <v>2041415.1179001904</v>
      </c>
      <c r="AZB18" s="125">
        <f t="shared" si="175"/>
        <v>2041415.1179001904</v>
      </c>
      <c r="AZC18" s="125">
        <f t="shared" si="175"/>
        <v>2041415.1179001904</v>
      </c>
      <c r="AZD18" s="125">
        <f t="shared" si="175"/>
        <v>2041415.1179001904</v>
      </c>
      <c r="AZE18" s="125">
        <f t="shared" si="175"/>
        <v>2041415.1179001904</v>
      </c>
      <c r="AZF18" s="125">
        <f t="shared" si="175"/>
        <v>2041415.1179001904</v>
      </c>
      <c r="AZG18" s="125">
        <f t="shared" si="175"/>
        <v>2041415.1179001904</v>
      </c>
    </row>
    <row r="19" spans="1:1359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6" sqref="J6"/>
    </sheetView>
  </sheetViews>
  <sheetFormatPr defaultColWidth="12.5703125" defaultRowHeight="15"/>
  <cols>
    <col min="1" max="1" width="39.42578125" style="269" bestFit="1" customWidth="1"/>
    <col min="2" max="2" width="17.28515625" style="270" bestFit="1" customWidth="1"/>
    <col min="3" max="5" width="13.140625" style="269" bestFit="1" customWidth="1"/>
    <col min="6" max="6" width="4.85546875" style="269" bestFit="1" customWidth="1"/>
    <col min="7" max="8" width="13.140625" style="269" bestFit="1" customWidth="1"/>
    <col min="9" max="9" width="14.85546875" style="269" bestFit="1" customWidth="1"/>
    <col min="10" max="10" width="14.5703125" style="269" bestFit="1" customWidth="1"/>
    <col min="11" max="11" width="15" style="269" bestFit="1" customWidth="1"/>
    <col min="12" max="12" width="6.425781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570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2" t="s">
        <v>508</v>
      </c>
      <c r="B3" s="542" t="s">
        <v>509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2" t="s">
        <v>510</v>
      </c>
      <c r="B4" t="s">
        <v>511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512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511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324</v>
      </c>
      <c r="B6" s="272"/>
      <c r="C6" s="272"/>
      <c r="D6" s="272"/>
      <c r="E6" s="272"/>
      <c r="F6" s="272"/>
      <c r="G6" s="272"/>
      <c r="H6" s="272"/>
      <c r="I6" s="272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330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340</v>
      </c>
      <c r="B8" s="272"/>
      <c r="C8" s="272">
        <v>476366.74731635937</v>
      </c>
      <c r="D8" s="272">
        <v>88776.801766252494</v>
      </c>
      <c r="E8" s="272">
        <v>0</v>
      </c>
      <c r="F8" s="272"/>
      <c r="G8" s="272"/>
      <c r="H8" s="272"/>
      <c r="I8" s="272">
        <v>565143.54908261192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368</v>
      </c>
      <c r="B9" s="272">
        <v>0</v>
      </c>
      <c r="C9" s="272">
        <v>15771.428571428572</v>
      </c>
      <c r="D9" s="272"/>
      <c r="E9" s="272">
        <v>42295.856572042438</v>
      </c>
      <c r="F9" s="272">
        <v>0</v>
      </c>
      <c r="G9" s="272">
        <v>5018.4304047500709</v>
      </c>
      <c r="H9" s="272"/>
      <c r="I9" s="272">
        <v>63085.71554822108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393</v>
      </c>
      <c r="B10" s="272"/>
      <c r="C10" s="272"/>
      <c r="D10" s="272">
        <v>19015.842631878702</v>
      </c>
      <c r="E10" s="272"/>
      <c r="F10" s="272">
        <v>0</v>
      </c>
      <c r="G10" s="272">
        <v>13841.301053331765</v>
      </c>
      <c r="H10" s="272"/>
      <c r="I10" s="272">
        <v>32857.143685210467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407</v>
      </c>
      <c r="B11" s="272">
        <v>0</v>
      </c>
      <c r="C11" s="272">
        <v>6428.5714285714275</v>
      </c>
      <c r="D11" s="272"/>
      <c r="E11" s="272">
        <v>11571.428571428571</v>
      </c>
      <c r="F11" s="272">
        <v>0</v>
      </c>
      <c r="G11" s="272">
        <v>7714.2857142857129</v>
      </c>
      <c r="H11" s="272"/>
      <c r="I11" s="272">
        <v>25714.285714285714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412</v>
      </c>
      <c r="B12" s="272"/>
      <c r="C12" s="272"/>
      <c r="D12" s="272">
        <v>31832.328601314879</v>
      </c>
      <c r="E12" s="272">
        <v>53378.258435017051</v>
      </c>
      <c r="F12" s="272">
        <v>0</v>
      </c>
      <c r="G12" s="272">
        <v>125017.29874861483</v>
      </c>
      <c r="H12" s="272">
        <v>352753.31886649336</v>
      </c>
      <c r="I12" s="272">
        <v>562981.20465144014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431</v>
      </c>
      <c r="B13" s="272">
        <v>0</v>
      </c>
      <c r="C13" s="272">
        <v>137801.94702999236</v>
      </c>
      <c r="D13" s="272"/>
      <c r="E13" s="272">
        <v>248043.50465398625</v>
      </c>
      <c r="F13" s="272">
        <v>0</v>
      </c>
      <c r="G13" s="272">
        <v>165362.33643599082</v>
      </c>
      <c r="H13" s="272"/>
      <c r="I13" s="272">
        <v>551207.78811996942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439</v>
      </c>
      <c r="B14" s="272">
        <v>0</v>
      </c>
      <c r="C14" s="272">
        <v>18265.617283950618</v>
      </c>
      <c r="D14" s="272"/>
      <c r="E14" s="272">
        <v>32878.111111111109</v>
      </c>
      <c r="F14" s="272">
        <v>0</v>
      </c>
      <c r="G14" s="272">
        <v>21918.736392357318</v>
      </c>
      <c r="H14" s="272"/>
      <c r="I14" s="272">
        <v>73062.464787419041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443</v>
      </c>
      <c r="B15" s="272">
        <v>0</v>
      </c>
      <c r="C15" s="272"/>
      <c r="D15" s="272"/>
      <c r="E15" s="272">
        <v>78841.596507639537</v>
      </c>
      <c r="F15" s="272">
        <v>0</v>
      </c>
      <c r="G15" s="272">
        <v>22825.070159027127</v>
      </c>
      <c r="H15" s="272"/>
      <c r="I15" s="272">
        <v>101666.66666666666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455</v>
      </c>
      <c r="B16" s="272"/>
      <c r="C16" s="272"/>
      <c r="D16" s="272"/>
      <c r="E16" s="272"/>
      <c r="F16" s="272"/>
      <c r="G16" s="272">
        <v>15923.525883838385</v>
      </c>
      <c r="H16" s="272"/>
      <c r="I16" s="272">
        <v>15923.525883838385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460</v>
      </c>
      <c r="B17" s="272"/>
      <c r="C17" s="272">
        <v>52.57799293069003</v>
      </c>
      <c r="D17" s="272">
        <v>1573.153162411812</v>
      </c>
      <c r="E17" s="272">
        <v>1018.7164353698093</v>
      </c>
      <c r="F17" s="272">
        <v>0</v>
      </c>
      <c r="G17" s="272">
        <v>2546.5299534795404</v>
      </c>
      <c r="H17" s="272">
        <v>3753.4662163359603</v>
      </c>
      <c r="I17" s="272">
        <v>8944.4437605278126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464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452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409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512</v>
      </c>
      <c r="B21" s="272">
        <v>0</v>
      </c>
      <c r="C21" s="272">
        <v>654686.889623233</v>
      </c>
      <c r="D21" s="272">
        <v>141198.12616185792</v>
      </c>
      <c r="E21" s="272">
        <v>468027.4722865948</v>
      </c>
      <c r="F21" s="272">
        <v>0</v>
      </c>
      <c r="G21" s="272">
        <v>380167.51474567555</v>
      </c>
      <c r="H21" s="272">
        <v>356506.7850828293</v>
      </c>
      <c r="I21" s="272">
        <v>2000586.7879001903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>
        <f>'Revenue Tracking'!F4</f>
        <v>2041415.1199999999</v>
      </c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 s="272">
        <f>I23-I21</f>
        <v>40828.332099809544</v>
      </c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G21" sqref="G21"/>
    </sheetView>
  </sheetViews>
  <sheetFormatPr defaultColWidth="8.42578125" defaultRowHeight="15"/>
  <cols>
    <col min="1" max="1" width="21.85546875" bestFit="1" customWidth="1"/>
    <col min="2" max="2" width="17.28515625" style="308" bestFit="1" customWidth="1"/>
    <col min="3" max="3" width="13.140625" style="308" bestFit="1" customWidth="1"/>
    <col min="4" max="4" width="12" style="308" bestFit="1" customWidth="1"/>
    <col min="5" max="5" width="13.140625" style="308" bestFit="1" customWidth="1"/>
    <col min="6" max="6" width="5" style="308" bestFit="1" customWidth="1"/>
    <col min="7" max="8" width="13.140625" style="308" bestFit="1" customWidth="1"/>
    <col min="9" max="9" width="14.85546875" style="308" bestFit="1" customWidth="1"/>
    <col min="10" max="10" width="14.5703125" bestFit="1" customWidth="1"/>
    <col min="11" max="11" width="15" bestFit="1" customWidth="1"/>
    <col min="12" max="12" width="10.28515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9">
      <c r="A3" s="542" t="s">
        <v>513</v>
      </c>
      <c r="B3" s="542" t="s">
        <v>509</v>
      </c>
      <c r="C3"/>
      <c r="D3"/>
      <c r="E3"/>
      <c r="F3"/>
      <c r="G3"/>
      <c r="H3"/>
      <c r="I3"/>
    </row>
    <row r="4" spans="1:9">
      <c r="A4" s="542" t="s">
        <v>510</v>
      </c>
      <c r="B4" t="s">
        <v>511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512</v>
      </c>
    </row>
    <row r="5" spans="1:9">
      <c r="A5" s="345" t="s">
        <v>511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324</v>
      </c>
      <c r="B6" s="347"/>
      <c r="C6" s="347"/>
      <c r="D6" s="347"/>
      <c r="E6" s="347"/>
      <c r="F6" s="347"/>
      <c r="G6" s="347"/>
      <c r="H6" s="347"/>
      <c r="I6" s="347"/>
    </row>
    <row r="7" spans="1:9">
      <c r="A7" s="345" t="s">
        <v>330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340</v>
      </c>
      <c r="B8" s="347"/>
      <c r="C8" s="347">
        <v>349400.07</v>
      </c>
      <c r="D8" s="347">
        <v>25537.14</v>
      </c>
      <c r="E8" s="347">
        <v>17378</v>
      </c>
      <c r="F8" s="347"/>
      <c r="G8" s="347"/>
      <c r="H8" s="347"/>
      <c r="I8" s="347">
        <v>392315.21</v>
      </c>
    </row>
    <row r="9" spans="1:9">
      <c r="A9" s="345" t="s">
        <v>368</v>
      </c>
      <c r="B9" s="347"/>
      <c r="C9" s="347">
        <v>10599.944417022305</v>
      </c>
      <c r="D9" s="347"/>
      <c r="E9" s="347">
        <v>136579.89995064016</v>
      </c>
      <c r="F9" s="347"/>
      <c r="G9" s="347">
        <v>-43280.066699573232</v>
      </c>
      <c r="H9" s="347"/>
      <c r="I9" s="347">
        <v>103899.77766808924</v>
      </c>
    </row>
    <row r="10" spans="1:9">
      <c r="A10" s="345" t="s">
        <v>393</v>
      </c>
      <c r="B10" s="347"/>
      <c r="C10" s="347"/>
      <c r="D10" s="347">
        <v>20607.719999999998</v>
      </c>
      <c r="E10" s="347"/>
      <c r="F10" s="347"/>
      <c r="G10" s="347">
        <v>11169</v>
      </c>
      <c r="H10" s="347"/>
      <c r="I10" s="347">
        <v>31776.719999999998</v>
      </c>
    </row>
    <row r="11" spans="1:9">
      <c r="A11" s="345" t="s">
        <v>407</v>
      </c>
      <c r="B11" s="347"/>
      <c r="C11" s="347">
        <v>4320.6295178080054</v>
      </c>
      <c r="D11" s="347"/>
      <c r="E11" s="347">
        <v>7777.1331320544105</v>
      </c>
      <c r="F11" s="347"/>
      <c r="G11" s="347">
        <v>5184.7554213696067</v>
      </c>
      <c r="H11" s="347"/>
      <c r="I11" s="347">
        <v>17282.518071232022</v>
      </c>
    </row>
    <row r="12" spans="1:9">
      <c r="A12" s="345" t="s">
        <v>412</v>
      </c>
      <c r="B12" s="347"/>
      <c r="C12" s="347"/>
      <c r="D12" s="347">
        <v>20467.400000000001</v>
      </c>
      <c r="E12" s="347">
        <v>34320.9</v>
      </c>
      <c r="F12" s="347"/>
      <c r="G12" s="347">
        <v>90120</v>
      </c>
      <c r="H12" s="347">
        <v>167898.76</v>
      </c>
      <c r="I12" s="347">
        <v>312807.06</v>
      </c>
    </row>
    <row r="13" spans="1:9">
      <c r="A13" s="345" t="s">
        <v>431</v>
      </c>
      <c r="B13" s="347"/>
      <c r="C13" s="347">
        <v>115936.89206118148</v>
      </c>
      <c r="D13" s="347"/>
      <c r="E13" s="347">
        <v>208686.40571012665</v>
      </c>
      <c r="F13" s="347"/>
      <c r="G13" s="347">
        <v>139124.27047341777</v>
      </c>
      <c r="H13" s="347"/>
      <c r="I13" s="347">
        <v>463747.56824472587</v>
      </c>
    </row>
    <row r="14" spans="1:9">
      <c r="A14" s="345" t="s">
        <v>439</v>
      </c>
      <c r="B14" s="347">
        <v>0</v>
      </c>
      <c r="C14" s="347">
        <v>7142.534003988214</v>
      </c>
      <c r="D14" s="347"/>
      <c r="E14" s="347">
        <v>12856.561207178787</v>
      </c>
      <c r="F14" s="347"/>
      <c r="G14" s="347">
        <v>8571.0272031905715</v>
      </c>
      <c r="H14" s="347"/>
      <c r="I14" s="347">
        <v>28570.122414357575</v>
      </c>
    </row>
    <row r="15" spans="1:9">
      <c r="A15" s="345" t="s">
        <v>443</v>
      </c>
      <c r="B15" s="347">
        <v>0</v>
      </c>
      <c r="C15" s="347"/>
      <c r="D15" s="347"/>
      <c r="E15" s="347">
        <v>20725</v>
      </c>
      <c r="F15" s="347"/>
      <c r="G15" s="347">
        <v>6000</v>
      </c>
      <c r="H15" s="347"/>
      <c r="I15" s="347">
        <v>26725</v>
      </c>
    </row>
    <row r="16" spans="1:9">
      <c r="A16" s="345" t="s">
        <v>455</v>
      </c>
      <c r="B16" s="347"/>
      <c r="C16" s="347"/>
      <c r="D16" s="347"/>
      <c r="E16" s="347"/>
      <c r="F16" s="347"/>
      <c r="G16" s="347">
        <v>0</v>
      </c>
      <c r="H16" s="347"/>
      <c r="I16" s="347">
        <v>0</v>
      </c>
    </row>
    <row r="17" spans="1:9">
      <c r="A17" s="345" t="s">
        <v>460</v>
      </c>
      <c r="B17" s="347"/>
      <c r="C17" s="347">
        <v>23.8</v>
      </c>
      <c r="D17" s="347">
        <v>142.80000000000001</v>
      </c>
      <c r="E17" s="347">
        <v>85.68</v>
      </c>
      <c r="F17" s="347"/>
      <c r="G17" s="347">
        <v>199.92</v>
      </c>
      <c r="H17" s="347">
        <v>250</v>
      </c>
      <c r="I17" s="347">
        <v>702.2</v>
      </c>
    </row>
    <row r="18" spans="1:9">
      <c r="A18" s="345" t="s">
        <v>464</v>
      </c>
      <c r="B18" s="347"/>
      <c r="C18" s="347"/>
      <c r="D18" s="347"/>
      <c r="E18" s="347"/>
      <c r="F18" s="347"/>
      <c r="G18" s="347"/>
      <c r="H18" s="347">
        <v>0</v>
      </c>
      <c r="I18" s="347">
        <v>0</v>
      </c>
    </row>
    <row r="19" spans="1:9">
      <c r="A19" s="345" t="s">
        <v>452</v>
      </c>
      <c r="B19" s="347">
        <v>0</v>
      </c>
      <c r="C19" s="347"/>
      <c r="D19" s="347"/>
      <c r="E19" s="347"/>
      <c r="F19" s="347"/>
      <c r="G19" s="347"/>
      <c r="H19" s="347"/>
      <c r="I19" s="347">
        <v>0</v>
      </c>
    </row>
    <row r="20" spans="1:9">
      <c r="A20" s="345" t="s">
        <v>409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512</v>
      </c>
      <c r="B21" s="347">
        <v>0</v>
      </c>
      <c r="C21" s="347">
        <v>487423.87</v>
      </c>
      <c r="D21" s="347">
        <v>66755.060000000012</v>
      </c>
      <c r="E21" s="347">
        <v>438409.58</v>
      </c>
      <c r="F21" s="347"/>
      <c r="G21" s="347">
        <v>217088.90639840474</v>
      </c>
      <c r="H21" s="347">
        <v>168148.76</v>
      </c>
      <c r="I21" s="347">
        <v>1377826.1763984046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F20" sqref="F20"/>
    </sheetView>
  </sheetViews>
  <sheetFormatPr defaultColWidth="9.42578125" defaultRowHeight="12.75"/>
  <cols>
    <col min="1" max="2" width="9.42578125" style="9"/>
    <col min="3" max="3" width="13.42578125" style="9" bestFit="1" customWidth="1"/>
    <col min="4" max="5" width="9.42578125" style="9"/>
    <col min="6" max="6" width="12.57031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5" thickBot="1"/>
    <row r="2" spans="3:8" ht="13.5" thickBot="1">
      <c r="C2" s="19" t="s">
        <v>514</v>
      </c>
      <c r="F2" s="19" t="s">
        <v>515</v>
      </c>
    </row>
    <row r="3" spans="3:8">
      <c r="C3" s="15">
        <v>45658</v>
      </c>
      <c r="D3" s="9" t="s">
        <v>516</v>
      </c>
      <c r="F3" s="17" t="s">
        <v>517</v>
      </c>
    </row>
    <row r="4" spans="3:8">
      <c r="C4" s="15">
        <v>45737</v>
      </c>
      <c r="D4" s="9" t="s">
        <v>518</v>
      </c>
      <c r="F4" s="17" t="s">
        <v>519</v>
      </c>
    </row>
    <row r="5" spans="3:8">
      <c r="C5" s="15">
        <v>45765</v>
      </c>
      <c r="D5" s="9" t="s">
        <v>520</v>
      </c>
      <c r="F5" s="17" t="s">
        <v>521</v>
      </c>
    </row>
    <row r="6" spans="3:8" ht="13.5" thickBot="1">
      <c r="C6" s="15">
        <v>45768</v>
      </c>
      <c r="D6" s="9" t="s">
        <v>522</v>
      </c>
      <c r="F6" s="18" t="s">
        <v>109</v>
      </c>
    </row>
    <row r="7" spans="3:8">
      <c r="C7" s="15">
        <v>45774</v>
      </c>
      <c r="D7" s="9" t="s">
        <v>523</v>
      </c>
    </row>
    <row r="8" spans="3:8">
      <c r="C8" s="15">
        <v>45765</v>
      </c>
      <c r="D8" s="9" t="s">
        <v>524</v>
      </c>
    </row>
    <row r="9" spans="3:8">
      <c r="C9" s="15">
        <v>45778</v>
      </c>
      <c r="D9" s="9" t="s">
        <v>525</v>
      </c>
    </row>
    <row r="10" spans="3:8">
      <c r="C10" s="15">
        <v>45824</v>
      </c>
      <c r="D10" s="9" t="s">
        <v>526</v>
      </c>
    </row>
    <row r="11" spans="3:8">
      <c r="C11" s="15">
        <v>45878</v>
      </c>
      <c r="D11" s="9" t="s">
        <v>527</v>
      </c>
    </row>
    <row r="12" spans="3:8">
      <c r="C12" s="15">
        <v>45924</v>
      </c>
      <c r="D12" s="9" t="s">
        <v>528</v>
      </c>
    </row>
    <row r="13" spans="3:8">
      <c r="C13" s="15">
        <v>46007</v>
      </c>
      <c r="D13" s="9" t="s">
        <v>529</v>
      </c>
      <c r="F13" s="20"/>
      <c r="H13" s="9" t="s">
        <v>530</v>
      </c>
    </row>
    <row r="14" spans="3:8">
      <c r="C14" s="15">
        <v>46016</v>
      </c>
      <c r="D14" s="9" t="s">
        <v>531</v>
      </c>
    </row>
    <row r="15" spans="3:8">
      <c r="C15" s="15">
        <v>46017</v>
      </c>
      <c r="D15" s="9" t="s">
        <v>532</v>
      </c>
    </row>
    <row r="16" spans="3:8">
      <c r="C16" s="15">
        <v>46006</v>
      </c>
      <c r="D16" s="9" t="s">
        <v>533</v>
      </c>
    </row>
    <row r="17" spans="3:4">
      <c r="C17" s="15">
        <v>46007</v>
      </c>
      <c r="D17" s="9" t="s">
        <v>533</v>
      </c>
    </row>
    <row r="18" spans="3:4">
      <c r="C18" s="15">
        <v>46008</v>
      </c>
      <c r="D18" s="9" t="s">
        <v>533</v>
      </c>
    </row>
    <row r="19" spans="3:4">
      <c r="C19" s="15">
        <v>46009</v>
      </c>
      <c r="D19" s="9" t="s">
        <v>533</v>
      </c>
    </row>
    <row r="20" spans="3:4">
      <c r="C20" s="15">
        <v>46010</v>
      </c>
      <c r="D20" s="9" t="s">
        <v>533</v>
      </c>
    </row>
    <row r="21" spans="3:4">
      <c r="C21" s="15">
        <v>46011</v>
      </c>
      <c r="D21" s="9" t="s">
        <v>533</v>
      </c>
    </row>
    <row r="22" spans="3:4">
      <c r="C22" s="15">
        <v>46012</v>
      </c>
      <c r="D22" s="9" t="s">
        <v>533</v>
      </c>
    </row>
    <row r="23" spans="3:4">
      <c r="C23" s="15">
        <v>46013</v>
      </c>
      <c r="D23" s="9" t="s">
        <v>533</v>
      </c>
    </row>
    <row r="24" spans="3:4">
      <c r="C24" s="15">
        <v>46014</v>
      </c>
      <c r="D24" s="9" t="s">
        <v>533</v>
      </c>
    </row>
    <row r="25" spans="3:4">
      <c r="C25" s="15">
        <v>46015</v>
      </c>
      <c r="D25" s="9" t="s">
        <v>533</v>
      </c>
    </row>
    <row r="26" spans="3:4">
      <c r="C26" s="15">
        <v>46016</v>
      </c>
      <c r="D26" s="9" t="s">
        <v>533</v>
      </c>
    </row>
    <row r="27" spans="3:4">
      <c r="C27" s="15">
        <v>46017</v>
      </c>
      <c r="D27" s="9" t="s">
        <v>533</v>
      </c>
    </row>
    <row r="28" spans="3:4">
      <c r="C28" s="15">
        <v>46018</v>
      </c>
      <c r="D28" s="9" t="s">
        <v>533</v>
      </c>
    </row>
    <row r="29" spans="3:4">
      <c r="C29" s="15">
        <v>46019</v>
      </c>
      <c r="D29" s="9" t="s">
        <v>533</v>
      </c>
    </row>
    <row r="30" spans="3:4">
      <c r="C30" s="15">
        <v>46020</v>
      </c>
      <c r="D30" s="9" t="s">
        <v>533</v>
      </c>
    </row>
    <row r="31" spans="3:4">
      <c r="C31" s="15">
        <v>46021</v>
      </c>
      <c r="D31" s="9" t="s">
        <v>533</v>
      </c>
    </row>
    <row r="32" spans="3:4">
      <c r="C32" s="15">
        <v>46022</v>
      </c>
      <c r="D32" s="9" t="s">
        <v>533</v>
      </c>
    </row>
    <row r="33" spans="3:4">
      <c r="C33" s="15">
        <v>46023</v>
      </c>
      <c r="D33" s="9" t="s">
        <v>533</v>
      </c>
    </row>
    <row r="34" spans="3:4">
      <c r="C34" s="15">
        <v>46024</v>
      </c>
      <c r="D34" s="9" t="s">
        <v>533</v>
      </c>
    </row>
    <row r="35" spans="3:4">
      <c r="C35" s="15">
        <v>46025</v>
      </c>
      <c r="D35" s="9" t="s">
        <v>533</v>
      </c>
    </row>
    <row r="36" spans="3:4">
      <c r="C36" s="15">
        <v>46026</v>
      </c>
      <c r="D36" s="9" t="s">
        <v>533</v>
      </c>
    </row>
    <row r="37" spans="3:4">
      <c r="C37" s="15">
        <v>46027</v>
      </c>
      <c r="D37" s="9" t="s">
        <v>533</v>
      </c>
    </row>
    <row r="38" spans="3:4">
      <c r="C38" s="15">
        <v>46028</v>
      </c>
      <c r="D38" s="9" t="s">
        <v>533</v>
      </c>
    </row>
    <row r="39" spans="3:4">
      <c r="C39" s="15">
        <v>46029</v>
      </c>
      <c r="D39" s="9" t="s">
        <v>533</v>
      </c>
    </row>
    <row r="40" spans="3:4">
      <c r="C40" s="15">
        <v>46030</v>
      </c>
      <c r="D40" s="9" t="s">
        <v>533</v>
      </c>
    </row>
    <row r="41" spans="3:4">
      <c r="C41" s="15">
        <v>46031</v>
      </c>
      <c r="D41" s="9" t="s">
        <v>533</v>
      </c>
    </row>
    <row r="42" spans="3:4">
      <c r="C42" s="15">
        <v>46032</v>
      </c>
      <c r="D42" s="9" t="s">
        <v>533</v>
      </c>
    </row>
    <row r="43" spans="3:4">
      <c r="C43" s="15">
        <v>46033</v>
      </c>
      <c r="D43" s="9" t="s">
        <v>533</v>
      </c>
    </row>
    <row r="44" spans="3:4">
      <c r="C44" s="15">
        <v>46034</v>
      </c>
      <c r="D44" s="9" t="s">
        <v>533</v>
      </c>
    </row>
    <row r="45" spans="3:4">
      <c r="C45" s="15">
        <v>46035</v>
      </c>
      <c r="D45" s="9" t="s">
        <v>533</v>
      </c>
    </row>
    <row r="46" spans="3:4">
      <c r="C46" s="15">
        <v>46036</v>
      </c>
      <c r="D46" s="9" t="s">
        <v>533</v>
      </c>
    </row>
    <row r="47" spans="3:4">
      <c r="C47" s="15">
        <v>46037</v>
      </c>
      <c r="D47" s="9" t="s">
        <v>533</v>
      </c>
    </row>
    <row r="48" spans="3:4">
      <c r="C48" s="15">
        <v>46038</v>
      </c>
      <c r="D48" s="9" t="s">
        <v>533</v>
      </c>
    </row>
    <row r="49" spans="3:4">
      <c r="C49" s="15">
        <v>46102</v>
      </c>
      <c r="D49" s="9" t="s">
        <v>518</v>
      </c>
    </row>
    <row r="50" spans="3:4">
      <c r="C50" s="15">
        <v>46115</v>
      </c>
      <c r="D50" s="9" t="s">
        <v>520</v>
      </c>
    </row>
    <row r="51" spans="3:4">
      <c r="C51" s="15">
        <v>46118</v>
      </c>
      <c r="D51" s="9" t="s">
        <v>522</v>
      </c>
    </row>
    <row r="52" spans="3:4">
      <c r="C52" s="15">
        <v>46139</v>
      </c>
      <c r="D52" s="9" t="s">
        <v>523</v>
      </c>
    </row>
    <row r="53" spans="3:4">
      <c r="C53" s="15">
        <v>46143</v>
      </c>
      <c r="D53" s="9" t="s">
        <v>525</v>
      </c>
    </row>
    <row r="54" spans="3:4">
      <c r="C54" s="15">
        <v>46189</v>
      </c>
      <c r="D54" s="9" t="s">
        <v>526</v>
      </c>
    </row>
    <row r="55" spans="3:4">
      <c r="C55" s="15">
        <v>46243</v>
      </c>
      <c r="D55" s="9" t="s">
        <v>527</v>
      </c>
    </row>
    <row r="56" spans="3:4">
      <c r="C56" s="15">
        <v>46244</v>
      </c>
      <c r="D56" s="9" t="s">
        <v>534</v>
      </c>
    </row>
    <row r="57" spans="3:4">
      <c r="C57" s="15">
        <v>46289</v>
      </c>
      <c r="D57" s="9" t="s">
        <v>528</v>
      </c>
    </row>
    <row r="58" spans="3:4">
      <c r="C58" s="15">
        <v>46372</v>
      </c>
      <c r="D58" s="9" t="s">
        <v>529</v>
      </c>
    </row>
    <row r="59" spans="3:4">
      <c r="C59" s="15">
        <v>46381</v>
      </c>
      <c r="D59" s="9" t="s">
        <v>531</v>
      </c>
    </row>
    <row r="60" spans="3:4" ht="13.5" thickBot="1">
      <c r="C60" s="16">
        <v>46382</v>
      </c>
      <c r="D60" s="9" t="s">
        <v>532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33C91957-85DE-40F4-87F7-F22CAAFA6D17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2026-02-23T10:10:40Z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