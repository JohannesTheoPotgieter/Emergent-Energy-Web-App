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40" documentId="13_ncr:1_{3B35231D-DA94-4AE5-8A0D-043E43CA6186}" xr6:coauthVersionLast="47" xr6:coauthVersionMax="47" xr10:uidLastSave="{BCF4A8AA-4A93-411B-B4E5-DDBA3695B3E2}"/>
  <bookViews>
    <workbookView xWindow="6705" yWindow="-16320" windowWidth="29040" windowHeight="15720" tabRatio="636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2" l="1"/>
  <c r="W131" i="18"/>
  <c r="W22" i="18"/>
  <c r="Q30" i="18"/>
  <c r="P80" i="18" s="1"/>
  <c r="P79" i="18" s="1"/>
  <c r="W87" i="18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9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J22" i="3" l="1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H25" i="3" l="1"/>
  <c r="F6" i="5"/>
  <c r="F7" i="5" s="1"/>
  <c r="C5" i="6"/>
  <c r="D6" i="5"/>
  <c r="K40" i="2"/>
  <c r="I41" i="2" s="1"/>
  <c r="I44" i="2" s="1"/>
  <c r="G6" i="5" l="1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<sst xmlns="http://schemas.openxmlformats.org/spreadsheetml/2006/main" count="884" uniqueCount="502">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</sst>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2340069.2274999996</c:v>
                </c:pt>
                <c:pt idx="54">
                  <c:v>2586138.8574999995</c:v>
                </c:pt>
                <c:pt idx="55">
                  <c:v>2590418.8574999995</c:v>
                </c:pt>
                <c:pt idx="56">
                  <c:v>2922948.8810772276</c:v>
                </c:pt>
                <c:pt idx="57">
                  <c:v>3143154.4345586807</c:v>
                </c:pt>
                <c:pt idx="58">
                  <c:v>3143454.4345586807</c:v>
                </c:pt>
                <c:pt idx="59">
                  <c:v>3143454.4345586807</c:v>
                </c:pt>
                <c:pt idx="60">
                  <c:v>3183969.3433799963</c:v>
                </c:pt>
                <c:pt idx="61">
                  <c:v>3183969.3433799963</c:v>
                </c:pt>
                <c:pt idx="62">
                  <c:v>3198418.8433799963</c:v>
                </c:pt>
                <c:pt idx="63">
                  <c:v>3198718.8433799963</c:v>
                </c:pt>
                <c:pt idx="64">
                  <c:v>3198718.8433799963</c:v>
                </c:pt>
                <c:pt idx="65">
                  <c:v>3198718.8433799963</c:v>
                </c:pt>
                <c:pt idx="66">
                  <c:v>3198718.8433799963</c:v>
                </c:pt>
                <c:pt idx="67">
                  <c:v>3198718.8433799963</c:v>
                </c:pt>
                <c:pt idx="68">
                  <c:v>3198718.8433799963</c:v>
                </c:pt>
                <c:pt idx="69">
                  <c:v>3198718.8433799963</c:v>
                </c:pt>
                <c:pt idx="70">
                  <c:v>3198718.8433799963</c:v>
                </c:pt>
                <c:pt idx="71">
                  <c:v>3198718.8433799963</c:v>
                </c:pt>
                <c:pt idx="72">
                  <c:v>3198718.8433799963</c:v>
                </c:pt>
                <c:pt idx="73">
                  <c:v>3198718.8433799963</c:v>
                </c:pt>
                <c:pt idx="74">
                  <c:v>3198718.8433799963</c:v>
                </c:pt>
                <c:pt idx="75">
                  <c:v>3198718.8433799963</c:v>
                </c:pt>
                <c:pt idx="76">
                  <c:v>3198718.8433799963</c:v>
                </c:pt>
                <c:pt idx="77">
                  <c:v>3198718.8433799963</c:v>
                </c:pt>
                <c:pt idx="78">
                  <c:v>3198718.8433799963</c:v>
                </c:pt>
                <c:pt idx="79">
                  <c:v>3198718.8433799963</c:v>
                </c:pt>
                <c:pt idx="80">
                  <c:v>3198718.8433799963</c:v>
                </c:pt>
                <c:pt idx="81">
                  <c:v>3198718.8433799963</c:v>
                </c:pt>
                <c:pt idx="82">
                  <c:v>3198718.8433799963</c:v>
                </c:pt>
                <c:pt idx="83">
                  <c:v>3198718.8433799963</c:v>
                </c:pt>
                <c:pt idx="84">
                  <c:v>3198718.8433799963</c:v>
                </c:pt>
                <c:pt idx="85">
                  <c:v>3198718.8433799963</c:v>
                </c:pt>
                <c:pt idx="86">
                  <c:v>3198718.8433799963</c:v>
                </c:pt>
                <c:pt idx="87">
                  <c:v>3198718.8433799963</c:v>
                </c:pt>
                <c:pt idx="88">
                  <c:v>3198718.8433799963</c:v>
                </c:pt>
                <c:pt idx="89">
                  <c:v>3198718.8433799963</c:v>
                </c:pt>
                <c:pt idx="90">
                  <c:v>3198718.8433799963</c:v>
                </c:pt>
                <c:pt idx="91">
                  <c:v>3198718.8433799963</c:v>
                </c:pt>
                <c:pt idx="92">
                  <c:v>3198718.8433799963</c:v>
                </c:pt>
                <c:pt idx="93">
                  <c:v>3198718.8433799963</c:v>
                </c:pt>
                <c:pt idx="94">
                  <c:v>3198718.8433799963</c:v>
                </c:pt>
                <c:pt idx="95">
                  <c:v>3198718.8433799963</c:v>
                </c:pt>
                <c:pt idx="96">
                  <c:v>3198718.8433799963</c:v>
                </c:pt>
                <c:pt idx="97">
                  <c:v>3198718.8433799963</c:v>
                </c:pt>
                <c:pt idx="98">
                  <c:v>3198718.8433799963</c:v>
                </c:pt>
                <c:pt idx="99">
                  <c:v>3198718.8433799963</c:v>
                </c:pt>
                <c:pt idx="100">
                  <c:v>3198718.8433799963</c:v>
                </c:pt>
                <c:pt idx="101">
                  <c:v>3198718.8433799963</c:v>
                </c:pt>
                <c:pt idx="102">
                  <c:v>3198718.8433799963</c:v>
                </c:pt>
                <c:pt idx="103">
                  <c:v>3198718.8433799963</c:v>
                </c:pt>
                <c:pt idx="104">
                  <c:v>3198718.8433799963</c:v>
                </c:pt>
                <c:pt idx="105">
                  <c:v>3198718.8433799963</c:v>
                </c:pt>
                <c:pt idx="106">
                  <c:v>3198718.8433799963</c:v>
                </c:pt>
                <c:pt idx="107">
                  <c:v>3198718.8433799963</c:v>
                </c:pt>
                <c:pt idx="108">
                  <c:v>3198718.8433799963</c:v>
                </c:pt>
                <c:pt idx="109">
                  <c:v>3198718.8433799963</c:v>
                </c:pt>
                <c:pt idx="110">
                  <c:v>3198718.8433799963</c:v>
                </c:pt>
                <c:pt idx="111">
                  <c:v>3198718.8433799963</c:v>
                </c:pt>
                <c:pt idx="112">
                  <c:v>3198718.8433799963</c:v>
                </c:pt>
                <c:pt idx="113">
                  <c:v>3198718.8433799963</c:v>
                </c:pt>
                <c:pt idx="114">
                  <c:v>3198718.8433799963</c:v>
                </c:pt>
                <c:pt idx="115">
                  <c:v>3198718.8433799963</c:v>
                </c:pt>
                <c:pt idx="116">
                  <c:v>3198718.8433799963</c:v>
                </c:pt>
                <c:pt idx="117">
                  <c:v>3198718.8433799963</c:v>
                </c:pt>
                <c:pt idx="118">
                  <c:v>3198718.8433799963</c:v>
                </c:pt>
                <c:pt idx="119">
                  <c:v>3198718.8433799963</c:v>
                </c:pt>
                <c:pt idx="120">
                  <c:v>3198718.8433799963</c:v>
                </c:pt>
                <c:pt idx="121">
                  <c:v>3198718.8433799963</c:v>
                </c:pt>
                <c:pt idx="122">
                  <c:v>3198718.8433799963</c:v>
                </c:pt>
                <c:pt idx="123">
                  <c:v>3198718.8433799963</c:v>
                </c:pt>
                <c:pt idx="124">
                  <c:v>3198718.8433799963</c:v>
                </c:pt>
                <c:pt idx="125">
                  <c:v>3198718.8433799963</c:v>
                </c:pt>
                <c:pt idx="126">
                  <c:v>3198718.8433799963</c:v>
                </c:pt>
                <c:pt idx="127">
                  <c:v>3198718.8433799963</c:v>
                </c:pt>
                <c:pt idx="128">
                  <c:v>3198718.8433799963</c:v>
                </c:pt>
                <c:pt idx="129">
                  <c:v>3198718.8433799963</c:v>
                </c:pt>
                <c:pt idx="130">
                  <c:v>3198718.8433799963</c:v>
                </c:pt>
                <c:pt idx="131">
                  <c:v>3198718.8433799963</c:v>
                </c:pt>
                <c:pt idx="132">
                  <c:v>3198718.8433799963</c:v>
                </c:pt>
                <c:pt idx="133">
                  <c:v>3198718.8433799963</c:v>
                </c:pt>
                <c:pt idx="134">
                  <c:v>3198718.8433799963</c:v>
                </c:pt>
                <c:pt idx="135">
                  <c:v>3198718.8433799963</c:v>
                </c:pt>
                <c:pt idx="136">
                  <c:v>3198718.8433799963</c:v>
                </c:pt>
                <c:pt idx="137">
                  <c:v>3198718.8433799963</c:v>
                </c:pt>
                <c:pt idx="138">
                  <c:v>3198718.8433799963</c:v>
                </c:pt>
                <c:pt idx="139">
                  <c:v>3198718.8433799963</c:v>
                </c:pt>
                <c:pt idx="140">
                  <c:v>3198718.8433799963</c:v>
                </c:pt>
                <c:pt idx="141">
                  <c:v>3198718.8433799963</c:v>
                </c:pt>
                <c:pt idx="142">
                  <c:v>3198718.8433799963</c:v>
                </c:pt>
                <c:pt idx="143">
                  <c:v>3198718.8433799963</c:v>
                </c:pt>
                <c:pt idx="144">
                  <c:v>3198718.8433799963</c:v>
                </c:pt>
                <c:pt idx="145">
                  <c:v>3198718.8433799963</c:v>
                </c:pt>
                <c:pt idx="146">
                  <c:v>3198718.8433799963</c:v>
                </c:pt>
                <c:pt idx="147">
                  <c:v>3198718.8433799963</c:v>
                </c:pt>
                <c:pt idx="148">
                  <c:v>3198718.8433799963</c:v>
                </c:pt>
                <c:pt idx="149">
                  <c:v>3198718.8433799963</c:v>
                </c:pt>
                <c:pt idx="150">
                  <c:v>3198718.8433799963</c:v>
                </c:pt>
                <c:pt idx="151">
                  <c:v>3198718.8433799963</c:v>
                </c:pt>
                <c:pt idx="152">
                  <c:v>3198718.8433799963</c:v>
                </c:pt>
                <c:pt idx="153">
                  <c:v>3198718.8433799963</c:v>
                </c:pt>
                <c:pt idx="154">
                  <c:v>3198718.8433799963</c:v>
                </c:pt>
                <c:pt idx="155">
                  <c:v>3198718.8433799963</c:v>
                </c:pt>
                <c:pt idx="156">
                  <c:v>3198718.8433799963</c:v>
                </c:pt>
                <c:pt idx="157">
                  <c:v>3198718.8433799963</c:v>
                </c:pt>
                <c:pt idx="158">
                  <c:v>3198718.8433799963</c:v>
                </c:pt>
                <c:pt idx="159">
                  <c:v>3198718.8433799963</c:v>
                </c:pt>
                <c:pt idx="160">
                  <c:v>3198718.8433799963</c:v>
                </c:pt>
                <c:pt idx="161">
                  <c:v>3198718.8433799963</c:v>
                </c:pt>
                <c:pt idx="162">
                  <c:v>3198718.8433799963</c:v>
                </c:pt>
                <c:pt idx="163">
                  <c:v>3198718.8433799963</c:v>
                </c:pt>
                <c:pt idx="164">
                  <c:v>3198718.8433799963</c:v>
                </c:pt>
                <c:pt idx="165">
                  <c:v>3198718.8433799963</c:v>
                </c:pt>
                <c:pt idx="166">
                  <c:v>3198718.8433799963</c:v>
                </c:pt>
                <c:pt idx="167">
                  <c:v>3198718.8433799963</c:v>
                </c:pt>
                <c:pt idx="168">
                  <c:v>3198718.8433799963</c:v>
                </c:pt>
                <c:pt idx="169">
                  <c:v>3198718.8433799963</c:v>
                </c:pt>
                <c:pt idx="170">
                  <c:v>3198718.8433799963</c:v>
                </c:pt>
                <c:pt idx="171">
                  <c:v>3198718.8433799963</c:v>
                </c:pt>
                <c:pt idx="172">
                  <c:v>3198718.8433799963</c:v>
                </c:pt>
                <c:pt idx="173">
                  <c:v>3198718.8433799963</c:v>
                </c:pt>
                <c:pt idx="174">
                  <c:v>3198718.8433799963</c:v>
                </c:pt>
                <c:pt idx="175">
                  <c:v>3198718.8433799963</c:v>
                </c:pt>
                <c:pt idx="176">
                  <c:v>3198718.8433799963</c:v>
                </c:pt>
                <c:pt idx="177">
                  <c:v>3198718.8433799963</c:v>
                </c:pt>
                <c:pt idx="178">
                  <c:v>3198718.8433799963</c:v>
                </c:pt>
                <c:pt idx="179">
                  <c:v>3198718.8433799963</c:v>
                </c:pt>
                <c:pt idx="180">
                  <c:v>3198718.8433799963</c:v>
                </c:pt>
                <c:pt idx="181">
                  <c:v>3198718.8433799963</c:v>
                </c:pt>
                <c:pt idx="182">
                  <c:v>3198718.8433799963</c:v>
                </c:pt>
                <c:pt idx="183">
                  <c:v>3198718.8433799963</c:v>
                </c:pt>
                <c:pt idx="184">
                  <c:v>3198718.8433799963</c:v>
                </c:pt>
                <c:pt idx="185">
                  <c:v>3198718.8433799963</c:v>
                </c:pt>
                <c:pt idx="186">
                  <c:v>3198718.8433799963</c:v>
                </c:pt>
                <c:pt idx="187">
                  <c:v>3198718.8433799963</c:v>
                </c:pt>
                <c:pt idx="188">
                  <c:v>3198718.8433799963</c:v>
                </c:pt>
                <c:pt idx="189">
                  <c:v>3198718.8433799963</c:v>
                </c:pt>
                <c:pt idx="190">
                  <c:v>3198718.8433799963</c:v>
                </c:pt>
                <c:pt idx="191">
                  <c:v>3198718.8433799963</c:v>
                </c:pt>
                <c:pt idx="192">
                  <c:v>3198718.8433799963</c:v>
                </c:pt>
                <c:pt idx="193">
                  <c:v>3198718.8433799963</c:v>
                </c:pt>
                <c:pt idx="194">
                  <c:v>3198718.8433799963</c:v>
                </c:pt>
                <c:pt idx="195">
                  <c:v>3198718.8433799963</c:v>
                </c:pt>
                <c:pt idx="196">
                  <c:v>3198718.8433799963</c:v>
                </c:pt>
                <c:pt idx="197">
                  <c:v>3198718.8433799963</c:v>
                </c:pt>
                <c:pt idx="198">
                  <c:v>3198718.8433799963</c:v>
                </c:pt>
                <c:pt idx="199">
                  <c:v>3198718.8433799963</c:v>
                </c:pt>
                <c:pt idx="200">
                  <c:v>3198718.8433799963</c:v>
                </c:pt>
                <c:pt idx="201">
                  <c:v>3198718.8433799963</c:v>
                </c:pt>
                <c:pt idx="202">
                  <c:v>3198718.8433799963</c:v>
                </c:pt>
                <c:pt idx="203">
                  <c:v>3198718.8433799963</c:v>
                </c:pt>
                <c:pt idx="204">
                  <c:v>3198718.8433799963</c:v>
                </c:pt>
                <c:pt idx="205">
                  <c:v>3198718.8433799963</c:v>
                </c:pt>
                <c:pt idx="206">
                  <c:v>3198718.8433799963</c:v>
                </c:pt>
                <c:pt idx="207">
                  <c:v>3198718.8433799963</c:v>
                </c:pt>
                <c:pt idx="208">
                  <c:v>3198718.8433799963</c:v>
                </c:pt>
                <c:pt idx="209">
                  <c:v>3198718.8433799963</c:v>
                </c:pt>
                <c:pt idx="210">
                  <c:v>3198718.8433799963</c:v>
                </c:pt>
                <c:pt idx="211">
                  <c:v>3198718.8433799963</c:v>
                </c:pt>
                <c:pt idx="212">
                  <c:v>3198718.8433799963</c:v>
                </c:pt>
                <c:pt idx="213">
                  <c:v>3198718.8433799963</c:v>
                </c:pt>
                <c:pt idx="214">
                  <c:v>3198718.8433799963</c:v>
                </c:pt>
                <c:pt idx="215">
                  <c:v>3198718.8433799963</c:v>
                </c:pt>
                <c:pt idx="216">
                  <c:v>3198718.8433799963</c:v>
                </c:pt>
                <c:pt idx="217">
                  <c:v>3198718.8433799963</c:v>
                </c:pt>
                <c:pt idx="218">
                  <c:v>3198718.8433799963</c:v>
                </c:pt>
                <c:pt idx="219">
                  <c:v>3198718.8433799963</c:v>
                </c:pt>
                <c:pt idx="220">
                  <c:v>3198718.8433799963</c:v>
                </c:pt>
                <c:pt idx="221">
                  <c:v>3198718.8433799963</c:v>
                </c:pt>
                <c:pt idx="222">
                  <c:v>3198718.8433799963</c:v>
                </c:pt>
                <c:pt idx="223">
                  <c:v>3198718.8433799963</c:v>
                </c:pt>
                <c:pt idx="224">
                  <c:v>3198718.8433799963</c:v>
                </c:pt>
                <c:pt idx="225">
                  <c:v>3198718.8433799963</c:v>
                </c:pt>
                <c:pt idx="226">
                  <c:v>3198718.8433799963</c:v>
                </c:pt>
                <c:pt idx="227">
                  <c:v>3198718.8433799963</c:v>
                </c:pt>
                <c:pt idx="228">
                  <c:v>3198718.8433799963</c:v>
                </c:pt>
                <c:pt idx="229">
                  <c:v>3198718.8433799963</c:v>
                </c:pt>
                <c:pt idx="230">
                  <c:v>3198718.8433799963</c:v>
                </c:pt>
                <c:pt idx="231">
                  <c:v>3198718.8433799963</c:v>
                </c:pt>
                <c:pt idx="232">
                  <c:v>3198718.8433799963</c:v>
                </c:pt>
                <c:pt idx="233">
                  <c:v>3198718.8433799963</c:v>
                </c:pt>
                <c:pt idx="234">
                  <c:v>3198718.8433799963</c:v>
                </c:pt>
                <c:pt idx="235">
                  <c:v>3198718.8433799963</c:v>
                </c:pt>
                <c:pt idx="236">
                  <c:v>3198718.8433799963</c:v>
                </c:pt>
                <c:pt idx="237">
                  <c:v>3198718.8433799963</c:v>
                </c:pt>
                <c:pt idx="238">
                  <c:v>3198718.8433799963</c:v>
                </c:pt>
                <c:pt idx="239">
                  <c:v>3198718.8433799963</c:v>
                </c:pt>
                <c:pt idx="240">
                  <c:v>3198718.8433799963</c:v>
                </c:pt>
                <c:pt idx="241">
                  <c:v>3198718.8433799963</c:v>
                </c:pt>
                <c:pt idx="242">
                  <c:v>3198718.8433799963</c:v>
                </c:pt>
                <c:pt idx="243">
                  <c:v>3198718.8433799963</c:v>
                </c:pt>
                <c:pt idx="244">
                  <c:v>3198718.8433799963</c:v>
                </c:pt>
                <c:pt idx="245">
                  <c:v>3198718.8433799963</c:v>
                </c:pt>
                <c:pt idx="246">
                  <c:v>3198718.8433799963</c:v>
                </c:pt>
                <c:pt idx="247">
                  <c:v>3198718.8433799963</c:v>
                </c:pt>
                <c:pt idx="248">
                  <c:v>3198718.8433799963</c:v>
                </c:pt>
                <c:pt idx="249">
                  <c:v>3198718.8433799963</c:v>
                </c:pt>
                <c:pt idx="250">
                  <c:v>3198718.8433799963</c:v>
                </c:pt>
                <c:pt idx="251">
                  <c:v>3198718.8433799963</c:v>
                </c:pt>
                <c:pt idx="252">
                  <c:v>3198718.8433799963</c:v>
                </c:pt>
                <c:pt idx="253">
                  <c:v>3198718.8433799963</c:v>
                </c:pt>
                <c:pt idx="254">
                  <c:v>3198718.8433799963</c:v>
                </c:pt>
                <c:pt idx="255">
                  <c:v>3198718.8433799963</c:v>
                </c:pt>
                <c:pt idx="256">
                  <c:v>3198718.8433799963</c:v>
                </c:pt>
                <c:pt idx="257">
                  <c:v>3198718.8433799963</c:v>
                </c:pt>
                <c:pt idx="258">
                  <c:v>3198718.8433799963</c:v>
                </c:pt>
                <c:pt idx="259">
                  <c:v>3198718.8433799963</c:v>
                </c:pt>
                <c:pt idx="260">
                  <c:v>3198718.8433799963</c:v>
                </c:pt>
                <c:pt idx="261">
                  <c:v>3198718.8433799963</c:v>
                </c:pt>
                <c:pt idx="262">
                  <c:v>3198718.8433799963</c:v>
                </c:pt>
                <c:pt idx="263">
                  <c:v>3198718.8433799963</c:v>
                </c:pt>
                <c:pt idx="264">
                  <c:v>3198718.8433799963</c:v>
                </c:pt>
                <c:pt idx="265">
                  <c:v>3198718.8433799963</c:v>
                </c:pt>
                <c:pt idx="266">
                  <c:v>3198718.8433799963</c:v>
                </c:pt>
                <c:pt idx="267">
                  <c:v>3198718.8433799963</c:v>
                </c:pt>
                <c:pt idx="268">
                  <c:v>3198718.8433799963</c:v>
                </c:pt>
                <c:pt idx="269">
                  <c:v>3198718.8433799963</c:v>
                </c:pt>
                <c:pt idx="270">
                  <c:v>3198718.8433799963</c:v>
                </c:pt>
                <c:pt idx="271">
                  <c:v>3198718.8433799963</c:v>
                </c:pt>
                <c:pt idx="272">
                  <c:v>3198718.8433799963</c:v>
                </c:pt>
                <c:pt idx="273">
                  <c:v>3198718.8433799963</c:v>
                </c:pt>
                <c:pt idx="274">
                  <c:v>3198718.8433799963</c:v>
                </c:pt>
                <c:pt idx="275">
                  <c:v>3198718.8433799963</c:v>
                </c:pt>
                <c:pt idx="276">
                  <c:v>3198718.8433799963</c:v>
                </c:pt>
                <c:pt idx="277">
                  <c:v>3198718.8433799963</c:v>
                </c:pt>
                <c:pt idx="278">
                  <c:v>3198718.8433799963</c:v>
                </c:pt>
                <c:pt idx="279">
                  <c:v>3198718.8433799963</c:v>
                </c:pt>
                <c:pt idx="280">
                  <c:v>3198718.8433799963</c:v>
                </c:pt>
                <c:pt idx="281">
                  <c:v>3198718.8433799963</c:v>
                </c:pt>
                <c:pt idx="282">
                  <c:v>3198718.8433799963</c:v>
                </c:pt>
                <c:pt idx="283">
                  <c:v>3198718.8433799963</c:v>
                </c:pt>
                <c:pt idx="284">
                  <c:v>3198718.8433799963</c:v>
                </c:pt>
                <c:pt idx="285">
                  <c:v>3198718.8433799963</c:v>
                </c:pt>
                <c:pt idx="286">
                  <c:v>3198718.8433799963</c:v>
                </c:pt>
                <c:pt idx="287">
                  <c:v>3198718.8433799963</c:v>
                </c:pt>
                <c:pt idx="288">
                  <c:v>3198718.8433799963</c:v>
                </c:pt>
                <c:pt idx="289">
                  <c:v>3198718.8433799963</c:v>
                </c:pt>
                <c:pt idx="290">
                  <c:v>3198718.8433799963</c:v>
                </c:pt>
                <c:pt idx="291">
                  <c:v>3198718.8433799963</c:v>
                </c:pt>
                <c:pt idx="292">
                  <c:v>3198718.8433799963</c:v>
                </c:pt>
                <c:pt idx="293">
                  <c:v>3198718.8433799963</c:v>
                </c:pt>
                <c:pt idx="294">
                  <c:v>3198718.8433799963</c:v>
                </c:pt>
                <c:pt idx="295">
                  <c:v>3198718.8433799963</c:v>
                </c:pt>
                <c:pt idx="296">
                  <c:v>3198718.8433799963</c:v>
                </c:pt>
                <c:pt idx="297">
                  <c:v>3198718.8433799963</c:v>
                </c:pt>
                <c:pt idx="298">
                  <c:v>3198718.8433799963</c:v>
                </c:pt>
                <c:pt idx="299">
                  <c:v>3198718.8433799963</c:v>
                </c:pt>
                <c:pt idx="300">
                  <c:v>3198718.8433799963</c:v>
                </c:pt>
                <c:pt idx="301">
                  <c:v>3198718.8433799963</c:v>
                </c:pt>
                <c:pt idx="302">
                  <c:v>3198718.8433799963</c:v>
                </c:pt>
                <c:pt idx="303">
                  <c:v>3198718.8433799963</c:v>
                </c:pt>
                <c:pt idx="304">
                  <c:v>3198718.8433799963</c:v>
                </c:pt>
                <c:pt idx="305">
                  <c:v>3198718.8433799963</c:v>
                </c:pt>
                <c:pt idx="306">
                  <c:v>3198718.8433799963</c:v>
                </c:pt>
                <c:pt idx="307">
                  <c:v>3198718.8433799963</c:v>
                </c:pt>
                <c:pt idx="308">
                  <c:v>3198718.8433799963</c:v>
                </c:pt>
                <c:pt idx="309">
                  <c:v>3198718.8433799963</c:v>
                </c:pt>
                <c:pt idx="310">
                  <c:v>3198718.8433799963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-494577.77749999962</c:v>
                </c:pt>
                <c:pt idx="54">
                  <c:v>-740647.40749999951</c:v>
                </c:pt>
                <c:pt idx="55">
                  <c:v>-744927.40749999951</c:v>
                </c:pt>
                <c:pt idx="56">
                  <c:v>264718.16892277217</c:v>
                </c:pt>
                <c:pt idx="57">
                  <c:v>44512.615441319067</c:v>
                </c:pt>
                <c:pt idx="58">
                  <c:v>211984.56544131925</c:v>
                </c:pt>
                <c:pt idx="59">
                  <c:v>211984.56544131925</c:v>
                </c:pt>
                <c:pt idx="60">
                  <c:v>171469.65662000375</c:v>
                </c:pt>
                <c:pt idx="61">
                  <c:v>171469.65662000375</c:v>
                </c:pt>
                <c:pt idx="62">
                  <c:v>157020.15662000375</c:v>
                </c:pt>
                <c:pt idx="63">
                  <c:v>156720.15662000375</c:v>
                </c:pt>
                <c:pt idx="64">
                  <c:v>156720.15662000375</c:v>
                </c:pt>
                <c:pt idx="65">
                  <c:v>156720.15662000375</c:v>
                </c:pt>
                <c:pt idx="66">
                  <c:v>156720.15662000375</c:v>
                </c:pt>
                <c:pt idx="67">
                  <c:v>156720.15662000375</c:v>
                </c:pt>
                <c:pt idx="68">
                  <c:v>156720.15662000375</c:v>
                </c:pt>
                <c:pt idx="69">
                  <c:v>156720.15662000375</c:v>
                </c:pt>
                <c:pt idx="70">
                  <c:v>156720.15662000375</c:v>
                </c:pt>
                <c:pt idx="71">
                  <c:v>156720.15662000375</c:v>
                </c:pt>
                <c:pt idx="72">
                  <c:v>156720.15662000375</c:v>
                </c:pt>
                <c:pt idx="73">
                  <c:v>156720.15662000375</c:v>
                </c:pt>
                <c:pt idx="74">
                  <c:v>156720.15662000375</c:v>
                </c:pt>
                <c:pt idx="75">
                  <c:v>156720.15662000375</c:v>
                </c:pt>
                <c:pt idx="76">
                  <c:v>156720.15662000375</c:v>
                </c:pt>
                <c:pt idx="77">
                  <c:v>156720.15662000375</c:v>
                </c:pt>
                <c:pt idx="78">
                  <c:v>156720.15662000375</c:v>
                </c:pt>
                <c:pt idx="79">
                  <c:v>156720.15662000375</c:v>
                </c:pt>
                <c:pt idx="80">
                  <c:v>156720.15662000375</c:v>
                </c:pt>
                <c:pt idx="81">
                  <c:v>156720.15662000375</c:v>
                </c:pt>
                <c:pt idx="82">
                  <c:v>156720.15662000375</c:v>
                </c:pt>
                <c:pt idx="83">
                  <c:v>156720.15662000375</c:v>
                </c:pt>
                <c:pt idx="84">
                  <c:v>156720.15662000375</c:v>
                </c:pt>
                <c:pt idx="85">
                  <c:v>156720.15662000375</c:v>
                </c:pt>
                <c:pt idx="86">
                  <c:v>156720.15662000375</c:v>
                </c:pt>
                <c:pt idx="87">
                  <c:v>156720.15662000375</c:v>
                </c:pt>
                <c:pt idx="88">
                  <c:v>156720.15662000375</c:v>
                </c:pt>
                <c:pt idx="89">
                  <c:v>156720.15662000375</c:v>
                </c:pt>
                <c:pt idx="90">
                  <c:v>156720.15662000375</c:v>
                </c:pt>
                <c:pt idx="91">
                  <c:v>156720.15662000375</c:v>
                </c:pt>
                <c:pt idx="92">
                  <c:v>156720.15662000375</c:v>
                </c:pt>
                <c:pt idx="93">
                  <c:v>156720.15662000375</c:v>
                </c:pt>
                <c:pt idx="94">
                  <c:v>156720.15662000375</c:v>
                </c:pt>
                <c:pt idx="95">
                  <c:v>156720.15662000375</c:v>
                </c:pt>
                <c:pt idx="96">
                  <c:v>156720.15662000375</c:v>
                </c:pt>
                <c:pt idx="97">
                  <c:v>156720.15662000375</c:v>
                </c:pt>
                <c:pt idx="98">
                  <c:v>156720.15662000375</c:v>
                </c:pt>
                <c:pt idx="99">
                  <c:v>156720.15662000375</c:v>
                </c:pt>
                <c:pt idx="100">
                  <c:v>156720.15662000375</c:v>
                </c:pt>
                <c:pt idx="101">
                  <c:v>156720.15662000375</c:v>
                </c:pt>
                <c:pt idx="102">
                  <c:v>156720.15662000375</c:v>
                </c:pt>
                <c:pt idx="103">
                  <c:v>156720.15662000375</c:v>
                </c:pt>
                <c:pt idx="104">
                  <c:v>156720.15662000375</c:v>
                </c:pt>
                <c:pt idx="105">
                  <c:v>156720.15662000375</c:v>
                </c:pt>
                <c:pt idx="106">
                  <c:v>156720.15662000375</c:v>
                </c:pt>
                <c:pt idx="107">
                  <c:v>156720.15662000375</c:v>
                </c:pt>
                <c:pt idx="108">
                  <c:v>156720.15662000375</c:v>
                </c:pt>
                <c:pt idx="109">
                  <c:v>156720.15662000375</c:v>
                </c:pt>
                <c:pt idx="110">
                  <c:v>156720.15662000375</c:v>
                </c:pt>
                <c:pt idx="111">
                  <c:v>156720.15662000375</c:v>
                </c:pt>
                <c:pt idx="112">
                  <c:v>156720.15662000375</c:v>
                </c:pt>
                <c:pt idx="113">
                  <c:v>156720.15662000375</c:v>
                </c:pt>
                <c:pt idx="114">
                  <c:v>156720.15662000375</c:v>
                </c:pt>
                <c:pt idx="115">
                  <c:v>156720.15662000375</c:v>
                </c:pt>
                <c:pt idx="116">
                  <c:v>156720.15662000375</c:v>
                </c:pt>
                <c:pt idx="117">
                  <c:v>156720.15662000375</c:v>
                </c:pt>
                <c:pt idx="118">
                  <c:v>156720.15662000375</c:v>
                </c:pt>
                <c:pt idx="119">
                  <c:v>156720.15662000375</c:v>
                </c:pt>
                <c:pt idx="120">
                  <c:v>156720.15662000375</c:v>
                </c:pt>
                <c:pt idx="121">
                  <c:v>156720.15662000375</c:v>
                </c:pt>
                <c:pt idx="122">
                  <c:v>156720.15662000375</c:v>
                </c:pt>
                <c:pt idx="123">
                  <c:v>156720.15662000375</c:v>
                </c:pt>
                <c:pt idx="124">
                  <c:v>156720.15662000375</c:v>
                </c:pt>
                <c:pt idx="125">
                  <c:v>156720.15662000375</c:v>
                </c:pt>
                <c:pt idx="126">
                  <c:v>156720.15662000375</c:v>
                </c:pt>
                <c:pt idx="127">
                  <c:v>156720.15662000375</c:v>
                </c:pt>
                <c:pt idx="128">
                  <c:v>156720.15662000375</c:v>
                </c:pt>
                <c:pt idx="129">
                  <c:v>156720.15662000375</c:v>
                </c:pt>
                <c:pt idx="130">
                  <c:v>156720.15662000375</c:v>
                </c:pt>
                <c:pt idx="131">
                  <c:v>156720.15662000375</c:v>
                </c:pt>
                <c:pt idx="132">
                  <c:v>156720.15662000375</c:v>
                </c:pt>
                <c:pt idx="133">
                  <c:v>156720.15662000375</c:v>
                </c:pt>
                <c:pt idx="134">
                  <c:v>156720.15662000375</c:v>
                </c:pt>
                <c:pt idx="135">
                  <c:v>156720.15662000375</c:v>
                </c:pt>
                <c:pt idx="136">
                  <c:v>156720.15662000375</c:v>
                </c:pt>
                <c:pt idx="137">
                  <c:v>156720.15662000375</c:v>
                </c:pt>
                <c:pt idx="138">
                  <c:v>156720.15662000375</c:v>
                </c:pt>
                <c:pt idx="139">
                  <c:v>156720.15662000375</c:v>
                </c:pt>
                <c:pt idx="140">
                  <c:v>156720.15662000375</c:v>
                </c:pt>
                <c:pt idx="141">
                  <c:v>156720.15662000375</c:v>
                </c:pt>
                <c:pt idx="142">
                  <c:v>156720.15662000375</c:v>
                </c:pt>
                <c:pt idx="143">
                  <c:v>156720.15662000375</c:v>
                </c:pt>
                <c:pt idx="144">
                  <c:v>156720.15662000375</c:v>
                </c:pt>
                <c:pt idx="145">
                  <c:v>156720.15662000375</c:v>
                </c:pt>
                <c:pt idx="146">
                  <c:v>156720.15662000375</c:v>
                </c:pt>
                <c:pt idx="147">
                  <c:v>156720.15662000375</c:v>
                </c:pt>
                <c:pt idx="148">
                  <c:v>156720.15662000375</c:v>
                </c:pt>
                <c:pt idx="149">
                  <c:v>156720.15662000375</c:v>
                </c:pt>
                <c:pt idx="150">
                  <c:v>156720.15662000375</c:v>
                </c:pt>
                <c:pt idx="151">
                  <c:v>156720.15662000375</c:v>
                </c:pt>
                <c:pt idx="152">
                  <c:v>156720.15662000375</c:v>
                </c:pt>
                <c:pt idx="153">
                  <c:v>156720.15662000375</c:v>
                </c:pt>
                <c:pt idx="154">
                  <c:v>156720.15662000375</c:v>
                </c:pt>
                <c:pt idx="155">
                  <c:v>156720.15662000375</c:v>
                </c:pt>
                <c:pt idx="156">
                  <c:v>156720.15662000375</c:v>
                </c:pt>
                <c:pt idx="157">
                  <c:v>156720.15662000375</c:v>
                </c:pt>
                <c:pt idx="158">
                  <c:v>156720.15662000375</c:v>
                </c:pt>
                <c:pt idx="159">
                  <c:v>156720.15662000375</c:v>
                </c:pt>
                <c:pt idx="160">
                  <c:v>156720.15662000375</c:v>
                </c:pt>
                <c:pt idx="161">
                  <c:v>156720.15662000375</c:v>
                </c:pt>
                <c:pt idx="162">
                  <c:v>156720.15662000375</c:v>
                </c:pt>
                <c:pt idx="163">
                  <c:v>156720.15662000375</c:v>
                </c:pt>
                <c:pt idx="164">
                  <c:v>156720.15662000375</c:v>
                </c:pt>
                <c:pt idx="165">
                  <c:v>156720.15662000375</c:v>
                </c:pt>
                <c:pt idx="166">
                  <c:v>156720.15662000375</c:v>
                </c:pt>
                <c:pt idx="167">
                  <c:v>156720.15662000375</c:v>
                </c:pt>
                <c:pt idx="168">
                  <c:v>156720.15662000375</c:v>
                </c:pt>
                <c:pt idx="169">
                  <c:v>156720.15662000375</c:v>
                </c:pt>
                <c:pt idx="170">
                  <c:v>156720.15662000375</c:v>
                </c:pt>
                <c:pt idx="171">
                  <c:v>156720.15662000375</c:v>
                </c:pt>
                <c:pt idx="172">
                  <c:v>156720.15662000375</c:v>
                </c:pt>
                <c:pt idx="173">
                  <c:v>156720.15662000375</c:v>
                </c:pt>
                <c:pt idx="174">
                  <c:v>156720.15662000375</c:v>
                </c:pt>
                <c:pt idx="175">
                  <c:v>156720.15662000375</c:v>
                </c:pt>
                <c:pt idx="176">
                  <c:v>156720.15662000375</c:v>
                </c:pt>
                <c:pt idx="177">
                  <c:v>156720.15662000375</c:v>
                </c:pt>
                <c:pt idx="178">
                  <c:v>156720.15662000375</c:v>
                </c:pt>
                <c:pt idx="179">
                  <c:v>156720.15662000375</c:v>
                </c:pt>
                <c:pt idx="180">
                  <c:v>156720.15662000375</c:v>
                </c:pt>
                <c:pt idx="181">
                  <c:v>156720.15662000375</c:v>
                </c:pt>
                <c:pt idx="182">
                  <c:v>156720.15662000375</c:v>
                </c:pt>
                <c:pt idx="183">
                  <c:v>156720.15662000375</c:v>
                </c:pt>
                <c:pt idx="184">
                  <c:v>156720.15662000375</c:v>
                </c:pt>
                <c:pt idx="185">
                  <c:v>156720.15662000375</c:v>
                </c:pt>
                <c:pt idx="186">
                  <c:v>156720.15662000375</c:v>
                </c:pt>
                <c:pt idx="187">
                  <c:v>156720.15662000375</c:v>
                </c:pt>
                <c:pt idx="188">
                  <c:v>156720.15662000375</c:v>
                </c:pt>
                <c:pt idx="189">
                  <c:v>156720.15662000375</c:v>
                </c:pt>
                <c:pt idx="190">
                  <c:v>156720.15662000375</c:v>
                </c:pt>
                <c:pt idx="191">
                  <c:v>156720.15662000375</c:v>
                </c:pt>
                <c:pt idx="192">
                  <c:v>156720.15662000375</c:v>
                </c:pt>
                <c:pt idx="193">
                  <c:v>156720.15662000375</c:v>
                </c:pt>
                <c:pt idx="194">
                  <c:v>156720.15662000375</c:v>
                </c:pt>
                <c:pt idx="195">
                  <c:v>156720.15662000375</c:v>
                </c:pt>
                <c:pt idx="196">
                  <c:v>156720.15662000375</c:v>
                </c:pt>
                <c:pt idx="197">
                  <c:v>156720.15662000375</c:v>
                </c:pt>
                <c:pt idx="198">
                  <c:v>156720.15662000375</c:v>
                </c:pt>
                <c:pt idx="199">
                  <c:v>156720.15662000375</c:v>
                </c:pt>
                <c:pt idx="200">
                  <c:v>156720.15662000375</c:v>
                </c:pt>
                <c:pt idx="201">
                  <c:v>156720.15662000375</c:v>
                </c:pt>
                <c:pt idx="202">
                  <c:v>156720.15662000375</c:v>
                </c:pt>
                <c:pt idx="203">
                  <c:v>156720.15662000375</c:v>
                </c:pt>
                <c:pt idx="204">
                  <c:v>156720.15662000375</c:v>
                </c:pt>
                <c:pt idx="205">
                  <c:v>156720.15662000375</c:v>
                </c:pt>
                <c:pt idx="206">
                  <c:v>156720.15662000375</c:v>
                </c:pt>
                <c:pt idx="207">
                  <c:v>156720.15662000375</c:v>
                </c:pt>
                <c:pt idx="208">
                  <c:v>156720.15662000375</c:v>
                </c:pt>
                <c:pt idx="209">
                  <c:v>156720.15662000375</c:v>
                </c:pt>
                <c:pt idx="210">
                  <c:v>156720.15662000375</c:v>
                </c:pt>
                <c:pt idx="211">
                  <c:v>156720.15662000375</c:v>
                </c:pt>
                <c:pt idx="212">
                  <c:v>156720.15662000375</c:v>
                </c:pt>
                <c:pt idx="213">
                  <c:v>156720.15662000375</c:v>
                </c:pt>
                <c:pt idx="214">
                  <c:v>156720.15662000375</c:v>
                </c:pt>
                <c:pt idx="215">
                  <c:v>156720.15662000375</c:v>
                </c:pt>
                <c:pt idx="216">
                  <c:v>156720.15662000375</c:v>
                </c:pt>
                <c:pt idx="217">
                  <c:v>156720.15662000375</c:v>
                </c:pt>
                <c:pt idx="218">
                  <c:v>156720.15662000375</c:v>
                </c:pt>
                <c:pt idx="219">
                  <c:v>156720.15662000375</c:v>
                </c:pt>
                <c:pt idx="220">
                  <c:v>156720.15662000375</c:v>
                </c:pt>
                <c:pt idx="221">
                  <c:v>156720.15662000375</c:v>
                </c:pt>
                <c:pt idx="222">
                  <c:v>156720.15662000375</c:v>
                </c:pt>
                <c:pt idx="223">
                  <c:v>156720.15662000375</c:v>
                </c:pt>
                <c:pt idx="224">
                  <c:v>156720.15662000375</c:v>
                </c:pt>
                <c:pt idx="225">
                  <c:v>156720.15662000375</c:v>
                </c:pt>
                <c:pt idx="226">
                  <c:v>156720.15662000375</c:v>
                </c:pt>
                <c:pt idx="227">
                  <c:v>156720.15662000375</c:v>
                </c:pt>
                <c:pt idx="228">
                  <c:v>156720.15662000375</c:v>
                </c:pt>
                <c:pt idx="229">
                  <c:v>156720.15662000375</c:v>
                </c:pt>
                <c:pt idx="230">
                  <c:v>156720.15662000375</c:v>
                </c:pt>
                <c:pt idx="231">
                  <c:v>156720.15662000375</c:v>
                </c:pt>
                <c:pt idx="232">
                  <c:v>156720.15662000375</c:v>
                </c:pt>
                <c:pt idx="233">
                  <c:v>156720.15662000375</c:v>
                </c:pt>
                <c:pt idx="234">
                  <c:v>156720.15662000375</c:v>
                </c:pt>
                <c:pt idx="235">
                  <c:v>156720.15662000375</c:v>
                </c:pt>
                <c:pt idx="236">
                  <c:v>156720.15662000375</c:v>
                </c:pt>
                <c:pt idx="237">
                  <c:v>156720.15662000375</c:v>
                </c:pt>
                <c:pt idx="238">
                  <c:v>156720.15662000375</c:v>
                </c:pt>
                <c:pt idx="239">
                  <c:v>156720.15662000375</c:v>
                </c:pt>
                <c:pt idx="240">
                  <c:v>156720.15662000375</c:v>
                </c:pt>
                <c:pt idx="241">
                  <c:v>156720.15662000375</c:v>
                </c:pt>
                <c:pt idx="242">
                  <c:v>156720.15662000375</c:v>
                </c:pt>
                <c:pt idx="243">
                  <c:v>156720.15662000375</c:v>
                </c:pt>
                <c:pt idx="244">
                  <c:v>156720.15662000375</c:v>
                </c:pt>
                <c:pt idx="245">
                  <c:v>156720.15662000375</c:v>
                </c:pt>
                <c:pt idx="246">
                  <c:v>156720.15662000375</c:v>
                </c:pt>
                <c:pt idx="247">
                  <c:v>156720.15662000375</c:v>
                </c:pt>
                <c:pt idx="248">
                  <c:v>156720.15662000375</c:v>
                </c:pt>
                <c:pt idx="249">
                  <c:v>156720.15662000375</c:v>
                </c:pt>
                <c:pt idx="250">
                  <c:v>156720.15662000375</c:v>
                </c:pt>
                <c:pt idx="251">
                  <c:v>156720.15662000375</c:v>
                </c:pt>
                <c:pt idx="252">
                  <c:v>156720.15662000375</c:v>
                </c:pt>
                <c:pt idx="253">
                  <c:v>156720.15662000375</c:v>
                </c:pt>
                <c:pt idx="254">
                  <c:v>156720.15662000375</c:v>
                </c:pt>
                <c:pt idx="255">
                  <c:v>156720.15662000375</c:v>
                </c:pt>
                <c:pt idx="256">
                  <c:v>156720.15662000375</c:v>
                </c:pt>
                <c:pt idx="257">
                  <c:v>156720.15662000375</c:v>
                </c:pt>
                <c:pt idx="258">
                  <c:v>156720.15662000375</c:v>
                </c:pt>
                <c:pt idx="259">
                  <c:v>156720.15662000375</c:v>
                </c:pt>
                <c:pt idx="260">
                  <c:v>156720.15662000375</c:v>
                </c:pt>
                <c:pt idx="261">
                  <c:v>156720.15662000375</c:v>
                </c:pt>
                <c:pt idx="262">
                  <c:v>156720.15662000375</c:v>
                </c:pt>
                <c:pt idx="263">
                  <c:v>156720.15662000375</c:v>
                </c:pt>
                <c:pt idx="264">
                  <c:v>156720.15662000375</c:v>
                </c:pt>
                <c:pt idx="265">
                  <c:v>156720.15662000375</c:v>
                </c:pt>
                <c:pt idx="266">
                  <c:v>156720.15662000375</c:v>
                </c:pt>
                <c:pt idx="267">
                  <c:v>156720.15662000375</c:v>
                </c:pt>
                <c:pt idx="268">
                  <c:v>156720.15662000375</c:v>
                </c:pt>
                <c:pt idx="269">
                  <c:v>156720.15662000375</c:v>
                </c:pt>
                <c:pt idx="270">
                  <c:v>156720.15662000375</c:v>
                </c:pt>
                <c:pt idx="271">
                  <c:v>156720.15662000375</c:v>
                </c:pt>
                <c:pt idx="272">
                  <c:v>156720.15662000375</c:v>
                </c:pt>
                <c:pt idx="273">
                  <c:v>156720.15662000375</c:v>
                </c:pt>
                <c:pt idx="274">
                  <c:v>156720.15662000375</c:v>
                </c:pt>
                <c:pt idx="275">
                  <c:v>156720.15662000375</c:v>
                </c:pt>
                <c:pt idx="276">
                  <c:v>156720.15662000375</c:v>
                </c:pt>
                <c:pt idx="277">
                  <c:v>156720.15662000375</c:v>
                </c:pt>
                <c:pt idx="278">
                  <c:v>156720.15662000375</c:v>
                </c:pt>
                <c:pt idx="279">
                  <c:v>156720.15662000375</c:v>
                </c:pt>
                <c:pt idx="280">
                  <c:v>156720.15662000375</c:v>
                </c:pt>
                <c:pt idx="281">
                  <c:v>156720.15662000375</c:v>
                </c:pt>
                <c:pt idx="282">
                  <c:v>156720.15662000375</c:v>
                </c:pt>
                <c:pt idx="283">
                  <c:v>156720.15662000375</c:v>
                </c:pt>
                <c:pt idx="284">
                  <c:v>156720.15662000375</c:v>
                </c:pt>
                <c:pt idx="285">
                  <c:v>156720.15662000375</c:v>
                </c:pt>
                <c:pt idx="286">
                  <c:v>156720.15662000375</c:v>
                </c:pt>
                <c:pt idx="287">
                  <c:v>156720.15662000375</c:v>
                </c:pt>
                <c:pt idx="288">
                  <c:v>156720.15662000375</c:v>
                </c:pt>
                <c:pt idx="289">
                  <c:v>156720.15662000375</c:v>
                </c:pt>
                <c:pt idx="290">
                  <c:v>156720.15662000375</c:v>
                </c:pt>
                <c:pt idx="291">
                  <c:v>156720.15662000375</c:v>
                </c:pt>
                <c:pt idx="292">
                  <c:v>156720.15662000375</c:v>
                </c:pt>
                <c:pt idx="293">
                  <c:v>156720.15662000375</c:v>
                </c:pt>
                <c:pt idx="294">
                  <c:v>156720.15662000375</c:v>
                </c:pt>
                <c:pt idx="295">
                  <c:v>156720.15662000375</c:v>
                </c:pt>
                <c:pt idx="296">
                  <c:v>156720.15662000375</c:v>
                </c:pt>
                <c:pt idx="297">
                  <c:v>156720.15662000375</c:v>
                </c:pt>
                <c:pt idx="298">
                  <c:v>156720.15662000375</c:v>
                </c:pt>
                <c:pt idx="299">
                  <c:v>156720.15662000375</c:v>
                </c:pt>
                <c:pt idx="300">
                  <c:v>156720.15662000375</c:v>
                </c:pt>
                <c:pt idx="301">
                  <c:v>156720.15662000375</c:v>
                </c:pt>
                <c:pt idx="302">
                  <c:v>156720.15662000375</c:v>
                </c:pt>
                <c:pt idx="303">
                  <c:v>156720.15662000375</c:v>
                </c:pt>
                <c:pt idx="304">
                  <c:v>156720.15662000375</c:v>
                </c:pt>
                <c:pt idx="305">
                  <c:v>156720.15662000375</c:v>
                </c:pt>
                <c:pt idx="306">
                  <c:v>156720.15662000375</c:v>
                </c:pt>
                <c:pt idx="307">
                  <c:v>156720.15662000375</c:v>
                </c:pt>
                <c:pt idx="308">
                  <c:v>156720.15662000375</c:v>
                </c:pt>
                <c:pt idx="309">
                  <c:v>156720.15662000375</c:v>
                </c:pt>
                <c:pt idx="310">
                  <c:v>156720.15662000375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4.1328125" style="65" bestFit="1" customWidth="1"/>
    <col min="3" max="3" width="19" style="24" customWidth="1"/>
    <col min="4" max="4" width="13.1328125" style="70" customWidth="1"/>
    <col min="5" max="5" width="17.1328125" style="24" customWidth="1"/>
    <col min="6" max="6" width="18.1328125" style="24" customWidth="1"/>
    <col min="7" max="7" width="5.59765625" style="24" bestFit="1" customWidth="1"/>
    <col min="8" max="8" width="20.1328125" style="24" bestFit="1" customWidth="1"/>
    <col min="9" max="9" width="3.1328125" style="24" customWidth="1"/>
    <col min="10" max="10" width="47.1328125" style="24" bestFit="1" customWidth="1"/>
    <col min="11" max="11" width="6.132812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2" t="s">
        <v>57</v>
      </c>
      <c r="E47" s="712"/>
      <c r="F47" s="713"/>
      <c r="G47" s="67"/>
      <c r="I47" s="68"/>
      <c r="J47" s="68"/>
    </row>
    <row r="48" spans="1:49" ht="13.9" thickBot="1">
      <c r="C48" s="69">
        <v>44014</v>
      </c>
      <c r="D48" s="714"/>
      <c r="E48" s="714"/>
      <c r="F48" s="71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86328125" customWidth="1"/>
    <col min="3" max="3" width="9.1328125" bestFit="1" customWidth="1"/>
    <col min="4" max="4" width="12.1328125" bestFit="1" customWidth="1"/>
    <col min="5" max="5" width="10.1328125" customWidth="1"/>
    <col min="6" max="6" width="33.86328125" customWidth="1"/>
  </cols>
  <sheetData>
    <row r="1" spans="2:10" ht="14.65" thickBot="1"/>
    <row r="2" spans="2:10" ht="15" thickTop="1" thickBot="1">
      <c r="B2" s="716" t="s">
        <v>58</v>
      </c>
      <c r="C2" s="717"/>
      <c r="D2" s="717"/>
      <c r="E2" s="717"/>
      <c r="F2" s="71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6" t="s">
        <v>69</v>
      </c>
      <c r="C16" s="717"/>
      <c r="D16" s="717"/>
      <c r="E16" s="717"/>
      <c r="F16" s="718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8" zoomScaleNormal="100" workbookViewId="0">
      <selection activeCell="J61" sqref="J61"/>
    </sheetView>
  </sheetViews>
  <sheetFormatPr defaultColWidth="8.1328125" defaultRowHeight="13.5"/>
  <cols>
    <col min="1" max="1" width="1.1328125" style="110" customWidth="1"/>
    <col min="2" max="2" width="6.1328125" style="169" bestFit="1" customWidth="1"/>
    <col min="3" max="3" width="50.59765625" style="24" bestFit="1" customWidth="1"/>
    <col min="4" max="4" width="3.1328125" style="110" customWidth="1"/>
    <col min="5" max="5" width="14.59765625" style="24" customWidth="1"/>
    <col min="6" max="6" width="10.1328125" style="166" customWidth="1"/>
    <col min="7" max="7" width="13.59765625" style="64" customWidth="1"/>
    <col min="8" max="8" width="5" style="110" customWidth="1"/>
    <col min="9" max="9" width="13.1328125" style="110" customWidth="1"/>
    <col min="10" max="10" width="11.1328125" style="111" customWidth="1"/>
    <col min="11" max="11" width="14.59765625" style="110" customWidth="1"/>
    <col min="12" max="12" width="2.1328125" style="110" customWidth="1"/>
    <col min="13" max="13" width="12.59765625" style="110" customWidth="1"/>
    <col min="14" max="14" width="10.1328125" style="110" bestFit="1" customWidth="1"/>
    <col min="15" max="15" width="39.1328125" style="110" bestFit="1" customWidth="1"/>
    <col min="16" max="16" width="1.1328125" style="110" customWidth="1"/>
    <col min="17" max="17" width="5.59765625" style="3" customWidth="1"/>
    <col min="18" max="25" width="8.1328125" style="110"/>
    <col min="26" max="16384" width="8.13281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46064</v>
      </c>
      <c r="O1" s="403">
        <f ca="1">TODAY()</f>
        <v>46064</v>
      </c>
      <c r="Q1" s="3"/>
    </row>
    <row r="2" spans="2:28" ht="13.9">
      <c r="B2" s="174"/>
      <c r="C2" s="175" t="s">
        <v>0</v>
      </c>
      <c r="D2" s="176"/>
      <c r="E2" s="722" t="s">
        <v>73</v>
      </c>
      <c r="F2" s="723"/>
      <c r="G2" s="723"/>
      <c r="H2" s="724"/>
      <c r="N2" s="404">
        <v>0</v>
      </c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 ht="13.9">
      <c r="B4" s="177"/>
      <c r="C4" s="178" t="s">
        <v>75</v>
      </c>
      <c r="D4" s="176"/>
      <c r="E4" s="725" t="s">
        <v>76</v>
      </c>
      <c r="F4" s="726"/>
      <c r="G4" s="726"/>
      <c r="H4" s="727"/>
      <c r="J4" s="111"/>
      <c r="Q4" s="3"/>
    </row>
    <row r="5" spans="2:28" s="110" customFormat="1" ht="13.9">
      <c r="B5" s="177"/>
      <c r="C5" s="178" t="s">
        <v>77</v>
      </c>
      <c r="D5" s="176"/>
      <c r="E5" s="725" t="s">
        <v>78</v>
      </c>
      <c r="F5" s="726"/>
      <c r="G5" s="726"/>
      <c r="H5" s="727"/>
      <c r="J5" s="111"/>
      <c r="Q5" s="3"/>
    </row>
    <row r="6" spans="2:28" ht="13.9">
      <c r="B6" s="182"/>
      <c r="C6" s="183" t="s">
        <v>79</v>
      </c>
      <c r="D6" s="176"/>
      <c r="E6" s="728">
        <v>3355439</v>
      </c>
      <c r="F6" s="729"/>
      <c r="G6" s="729"/>
      <c r="H6" s="730"/>
    </row>
    <row r="7" spans="2:28" s="110" customFormat="1" ht="13.9">
      <c r="B7" s="165"/>
      <c r="C7" s="697" t="s">
        <v>80</v>
      </c>
      <c r="D7" s="698"/>
      <c r="E7" s="699" t="s">
        <v>501</v>
      </c>
      <c r="F7" s="166"/>
      <c r="G7" s="184"/>
      <c r="J7" s="111"/>
      <c r="Q7" s="3"/>
    </row>
    <row r="8" spans="2:28" ht="30" customHeight="1">
      <c r="B8" s="719" t="s">
        <v>81</v>
      </c>
      <c r="C8" s="720" t="s">
        <v>82</v>
      </c>
      <c r="D8" s="213"/>
      <c r="E8" s="721" t="s">
        <v>83</v>
      </c>
      <c r="F8" s="235" t="s">
        <v>84</v>
      </c>
      <c r="G8" s="721" t="s">
        <v>85</v>
      </c>
      <c r="H8" s="236"/>
      <c r="I8" s="721" t="s">
        <v>86</v>
      </c>
      <c r="J8" s="235" t="s">
        <v>84</v>
      </c>
      <c r="K8" s="721" t="s">
        <v>87</v>
      </c>
      <c r="M8" s="410" t="s">
        <v>60</v>
      </c>
      <c r="N8" s="679" t="s">
        <v>88</v>
      </c>
      <c r="O8" s="731" t="s">
        <v>89</v>
      </c>
      <c r="Z8" s="110"/>
      <c r="AA8" s="110"/>
      <c r="AB8" s="110"/>
    </row>
    <row r="9" spans="2:28" ht="13.9">
      <c r="B9" s="719"/>
      <c r="C9" s="720"/>
      <c r="D9" s="213"/>
      <c r="E9" s="721"/>
      <c r="F9" s="124">
        <f>G41-E19</f>
        <v>44</v>
      </c>
      <c r="G9" s="721"/>
      <c r="H9" s="236"/>
      <c r="I9" s="721"/>
      <c r="J9" s="125">
        <f>K41-I19</f>
        <v>245</v>
      </c>
      <c r="K9" s="721"/>
      <c r="M9" s="360">
        <f>AVERAGE(M11,M18,M21,M28,M35,M39,M46,M43)</f>
        <v>0.74264705882352944</v>
      </c>
      <c r="N9" s="360">
        <f ca="1">AVERAGE(N11,N18,N21,N28,N35,N39,N46,N43)</f>
        <v>0.7530616907200437</v>
      </c>
      <c r="O9" s="732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90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91</v>
      </c>
      <c r="C12" s="247" t="s">
        <v>92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93</v>
      </c>
      <c r="C13" s="247" t="s">
        <v>94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95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96</v>
      </c>
      <c r="C15" s="247" t="s">
        <v>97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98</v>
      </c>
      <c r="C16" s="247" t="s">
        <v>99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100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101</v>
      </c>
      <c r="C19" s="247" t="s">
        <v>102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103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104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105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106</v>
      </c>
      <c r="C22" s="247" t="s">
        <v>107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108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109</v>
      </c>
      <c r="C23" s="247" t="s">
        <v>110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111</v>
      </c>
      <c r="C24" s="247" t="s">
        <v>112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113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114</v>
      </c>
      <c r="C26" s="247" t="s">
        <v>115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116</v>
      </c>
      <c r="C29" s="247" t="s">
        <v>117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116</v>
      </c>
      <c r="C30" s="247" t="s">
        <v>118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119</v>
      </c>
      <c r="C31" s="247" t="s">
        <v>120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121</v>
      </c>
      <c r="C32" s="247" t="s">
        <v>122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121</v>
      </c>
      <c r="C33" s="241" t="s">
        <v>123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124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125</v>
      </c>
      <c r="C36" s="247" t="s">
        <v>126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127</v>
      </c>
      <c r="C37" s="247" t="s">
        <v>128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129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130</v>
      </c>
      <c r="C40" s="241" t="s">
        <v>129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131</v>
      </c>
      <c r="C41" s="241" t="s">
        <v>132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133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134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135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16</v>
      </c>
      <c r="K46" s="244">
        <f>MAX(K47:K52)</f>
        <v>46079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8.3317055172114421E-2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136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0.5</v>
      </c>
      <c r="O47" s="120"/>
      <c r="Y47" s="24"/>
    </row>
    <row r="48" spans="2:28" ht="13.9">
      <c r="B48" s="246">
        <v>8.1999999999999993</v>
      </c>
      <c r="C48" s="241" t="s">
        <v>137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5</v>
      </c>
      <c r="K48" s="251">
        <f>WORKDAY.INTL(I48,J48,1,Data!$C$3:$C$39)</f>
        <v>46070</v>
      </c>
      <c r="M48" s="252">
        <v>0</v>
      </c>
      <c r="N48" s="252">
        <v>0</v>
      </c>
      <c r="O48" s="120"/>
      <c r="Y48" s="24"/>
    </row>
    <row r="49" spans="2:28" ht="13.9">
      <c r="B49" s="246">
        <v>8.3000000000000007</v>
      </c>
      <c r="C49" s="241" t="s">
        <v>138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46070</v>
      </c>
      <c r="J49" s="249">
        <v>5</v>
      </c>
      <c r="K49" s="251">
        <f>WORKDAY.INTL(I49,J49,1,Data!$C$3:$C$39)</f>
        <v>46077</v>
      </c>
      <c r="M49" s="252">
        <v>0</v>
      </c>
      <c r="N49" s="252">
        <v>0</v>
      </c>
      <c r="O49" s="120"/>
      <c r="Y49" s="24"/>
    </row>
    <row r="50" spans="2:28" ht="13.9">
      <c r="B50" s="246">
        <v>8.4</v>
      </c>
      <c r="C50" s="241" t="s">
        <v>139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 ht="13.9">
      <c r="B51" s="246">
        <v>8.5</v>
      </c>
      <c r="C51" s="241" t="s">
        <v>140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46076</v>
      </c>
      <c r="J51" s="249">
        <v>1</v>
      </c>
      <c r="K51" s="251">
        <f>WORKDAY.INTL(I51,J51,1,Data!$C$3:$C$39)</f>
        <v>46077</v>
      </c>
      <c r="M51" s="252">
        <v>0</v>
      </c>
      <c r="N51" s="252">
        <v>0</v>
      </c>
      <c r="O51" s="120"/>
      <c r="Y51" s="24"/>
    </row>
    <row r="52" spans="2:28" ht="13.9">
      <c r="B52" s="246">
        <v>8.6</v>
      </c>
      <c r="C52" s="241" t="s">
        <v>141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46072</v>
      </c>
      <c r="J52" s="249">
        <v>5</v>
      </c>
      <c r="K52" s="251">
        <f>WORKDAY.INTL(I52,J52,1,Data!$C$3:$C$39)</f>
        <v>46079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142</v>
      </c>
    </row>
    <row r="56" spans="2:28">
      <c r="B56" s="165"/>
      <c r="C56" s="110"/>
      <c r="E56" s="110"/>
      <c r="G56" s="111"/>
      <c r="O56" s="110" t="s">
        <v>143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Normal="100" workbookViewId="0">
      <selection activeCell="Q23" sqref="Q23"/>
    </sheetView>
  </sheetViews>
  <sheetFormatPr defaultColWidth="8.1328125" defaultRowHeight="14.25"/>
  <cols>
    <col min="1" max="1" width="5.59765625" style="91" customWidth="1"/>
    <col min="2" max="2" width="5.597656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1.1328125" style="127" customWidth="1"/>
    <col min="10" max="10" width="3.1328125" style="91" customWidth="1"/>
    <col min="11" max="11" width="1.1328125" style="173" customWidth="1"/>
    <col min="12" max="12" width="29.1328125" style="91" customWidth="1"/>
    <col min="13" max="13" width="1.1328125" style="127" customWidth="1"/>
    <col min="14" max="14" width="29.1328125" style="127" customWidth="1"/>
    <col min="15" max="15" width="1.1328125" style="91" customWidth="1"/>
    <col min="16" max="16" width="18.86328125" style="127" bestFit="1" customWidth="1"/>
    <col min="17" max="17" width="15.1328125" style="127" bestFit="1" customWidth="1"/>
    <col min="18" max="18" width="18.1328125" style="127" customWidth="1"/>
    <col min="19" max="19" width="16.1328125" style="127" bestFit="1" customWidth="1"/>
    <col min="20" max="20" width="18.86328125" style="127" bestFit="1" customWidth="1"/>
    <col min="21" max="21" width="15.1328125" style="91" bestFit="1" customWidth="1"/>
    <col min="22" max="23" width="8.1328125" style="91"/>
    <col min="24" max="24" width="5.59765625" style="91" bestFit="1" customWidth="1"/>
    <col min="25" max="25" width="14.1328125" style="91" bestFit="1" customWidth="1"/>
    <col min="26" max="26" width="8.1328125" style="91"/>
    <col min="27" max="27" width="14.1328125" style="91" bestFit="1" customWidth="1"/>
    <col min="28" max="28" width="8.1328125" style="127"/>
    <col min="29" max="29" width="12.59765625" style="127" bestFit="1" customWidth="1"/>
    <col min="30" max="16384" width="8.13281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144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145</v>
      </c>
      <c r="F3" s="123" t="s">
        <v>146</v>
      </c>
      <c r="J3" s="139"/>
      <c r="L3" s="408" t="s">
        <v>147</v>
      </c>
      <c r="N3" s="408" t="s">
        <v>148</v>
      </c>
      <c r="P3" s="684" t="s">
        <v>149</v>
      </c>
      <c r="Q3" s="684" t="s">
        <v>150</v>
      </c>
      <c r="R3" s="684" t="s">
        <v>151</v>
      </c>
      <c r="S3" s="684" t="s">
        <v>152</v>
      </c>
      <c r="T3" s="684" t="s">
        <v>153</v>
      </c>
      <c r="U3" s="684" t="s">
        <v>154</v>
      </c>
    </row>
    <row r="4" spans="1:21" s="91" customFormat="1" ht="13.15">
      <c r="B4" s="350">
        <v>1</v>
      </c>
      <c r="C4" s="351" t="s">
        <v>155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156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710308.84148041403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515577.77999999997</v>
      </c>
    </row>
    <row r="5" spans="1:21" s="91" customFormat="1" ht="15" customHeight="1">
      <c r="B5" s="350">
        <v>2</v>
      </c>
      <c r="C5" s="351" t="s">
        <v>157</v>
      </c>
      <c r="D5" s="352">
        <f>+'Expenditure Tracking'!F5</f>
        <v>3002994.7436639969</v>
      </c>
      <c r="E5" s="353"/>
      <c r="F5" s="352">
        <f>+'Expenditure Tracking'!H5</f>
        <v>3198718.8433799967</v>
      </c>
      <c r="G5" s="710" t="s">
        <v>158</v>
      </c>
      <c r="H5" s="710" t="s">
        <v>159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160</v>
      </c>
      <c r="D6" s="352">
        <f>+D4-D5</f>
        <v>352444.25633600308</v>
      </c>
      <c r="E6" s="353"/>
      <c r="F6" s="352">
        <f>+F4-F5</f>
        <v>156720.15662000375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161</v>
      </c>
    </row>
    <row r="7" spans="1:21" s="91" customFormat="1" ht="15" customHeight="1" thickBot="1">
      <c r="B7" s="350">
        <v>4</v>
      </c>
      <c r="C7" s="351" t="s">
        <v>162</v>
      </c>
      <c r="D7" s="354">
        <f>+D6/D4</f>
        <v>0.10503670498435617</v>
      </c>
      <c r="E7" s="353"/>
      <c r="F7" s="354">
        <f>+F6/F4</f>
        <v>4.6706304784561344E-2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163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81</v>
      </c>
      <c r="C12" s="130" t="s">
        <v>164</v>
      </c>
      <c r="D12" s="131"/>
      <c r="E12" s="129" t="s">
        <v>165</v>
      </c>
      <c r="F12" s="129" t="s">
        <v>166</v>
      </c>
      <c r="H12" s="355" t="s">
        <v>167</v>
      </c>
      <c r="J12" s="139"/>
      <c r="L12" s="164" t="s">
        <v>168</v>
      </c>
      <c r="M12" s="132"/>
      <c r="N12" s="164" t="s">
        <v>169</v>
      </c>
      <c r="O12" s="127"/>
      <c r="P12" s="164" t="s">
        <v>170</v>
      </c>
      <c r="R12" s="377" t="s">
        <v>171</v>
      </c>
    </row>
    <row r="13" spans="1:21" s="91" customFormat="1" ht="13.15">
      <c r="B13" s="350">
        <v>1</v>
      </c>
      <c r="C13" s="735" t="s">
        <v>172</v>
      </c>
      <c r="D13" s="736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173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735" t="s">
        <v>174</v>
      </c>
      <c r="D14" s="736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173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735" t="s">
        <v>175</v>
      </c>
      <c r="D15" s="736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173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733" t="s">
        <v>176</v>
      </c>
      <c r="D16" s="734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173</v>
      </c>
      <c r="M16" s="127"/>
      <c r="N16" s="136">
        <v>45778</v>
      </c>
      <c r="O16" s="127"/>
      <c r="P16" s="137">
        <f>'Project Plan'!K39+7</f>
        <v>46070</v>
      </c>
      <c r="R16" s="378"/>
    </row>
    <row r="17" spans="2:18" s="91" customFormat="1" ht="12.75">
      <c r="B17" s="350">
        <v>5</v>
      </c>
      <c r="C17" s="733" t="s">
        <v>177</v>
      </c>
      <c r="D17" s="734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173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2.75">
      <c r="B18" s="350">
        <v>6</v>
      </c>
      <c r="C18" s="733" t="s">
        <v>54</v>
      </c>
      <c r="D18" s="734"/>
      <c r="E18" s="133">
        <v>0.05</v>
      </c>
      <c r="F18" s="134">
        <f t="shared" si="0"/>
        <v>167771.95000000001</v>
      </c>
      <c r="G18" s="353"/>
      <c r="H18" s="136">
        <f>'Project Plan'!K51+7</f>
        <v>46084</v>
      </c>
      <c r="J18" s="139"/>
      <c r="L18" s="367" t="s">
        <v>173</v>
      </c>
      <c r="M18" s="135"/>
      <c r="N18" s="136">
        <v>45778</v>
      </c>
      <c r="O18" s="127"/>
      <c r="P18" s="137">
        <f>'Project Plan'!K51+7</f>
        <v>46084</v>
      </c>
      <c r="R18" s="378"/>
    </row>
    <row r="19" spans="2:18" s="91" customFormat="1" ht="12.75">
      <c r="B19" s="350">
        <v>7</v>
      </c>
      <c r="C19" s="735" t="s">
        <v>178</v>
      </c>
      <c r="D19" s="736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179</v>
      </c>
      <c r="C23" s="143" t="s">
        <v>180</v>
      </c>
      <c r="D23" s="143"/>
      <c r="F23" s="144"/>
    </row>
    <row r="24" spans="2:18" s="91" customFormat="1" ht="12.75">
      <c r="C24" s="145" t="s">
        <v>181</v>
      </c>
      <c r="D24" s="146"/>
      <c r="F24" s="147"/>
    </row>
    <row r="25" spans="2:18" s="91" customFormat="1" ht="12.75">
      <c r="C25" s="145" t="s">
        <v>182</v>
      </c>
      <c r="D25" s="146"/>
    </row>
    <row r="26" spans="2:18" s="91" customFormat="1" ht="12.75">
      <c r="C26" s="148" t="s">
        <v>183</v>
      </c>
      <c r="D26" s="149"/>
    </row>
    <row r="27" spans="2:18" s="91" customFormat="1" ht="12.75">
      <c r="C27" s="150" t="s">
        <v>184</v>
      </c>
      <c r="D27" s="146"/>
      <c r="L27" s="114">
        <f>F15*1.15</f>
        <v>578813.22749999992</v>
      </c>
    </row>
    <row r="28" spans="2:18" s="91" customFormat="1" ht="12.75">
      <c r="B28" s="115"/>
      <c r="C28" s="150" t="s">
        <v>185</v>
      </c>
      <c r="D28" s="146"/>
    </row>
    <row r="29" spans="2:18" s="91" customFormat="1" ht="12.75">
      <c r="B29" s="115"/>
      <c r="C29" s="91" t="s">
        <v>186</v>
      </c>
    </row>
    <row r="30" spans="2:18" s="91" customFormat="1" ht="27.75" customHeight="1">
      <c r="B30" s="115"/>
      <c r="C30" s="151" t="s">
        <v>187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81</v>
      </c>
      <c r="C40" s="130" t="s">
        <v>164</v>
      </c>
      <c r="D40" s="131"/>
      <c r="E40" s="129" t="s">
        <v>165</v>
      </c>
      <c r="F40" s="129" t="s">
        <v>166</v>
      </c>
    </row>
    <row r="41" spans="2:6" s="91" customFormat="1" ht="12.75" hidden="1" customHeight="1">
      <c r="B41" s="152">
        <v>1</v>
      </c>
      <c r="C41" s="153" t="s">
        <v>188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174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175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189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190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328125" style="73" bestFit="1" customWidth="1"/>
    <col min="4" max="5" width="9.1328125" style="73"/>
    <col min="6" max="6" width="12.59765625" style="73" bestFit="1" customWidth="1"/>
    <col min="7" max="7" width="1.132812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191</v>
      </c>
      <c r="F2" s="82" t="s">
        <v>192</v>
      </c>
    </row>
    <row r="3" spans="3:8">
      <c r="C3" s="79">
        <v>45658</v>
      </c>
      <c r="D3" s="73" t="s">
        <v>193</v>
      </c>
      <c r="F3" s="80" t="s">
        <v>194</v>
      </c>
    </row>
    <row r="4" spans="3:8">
      <c r="C4" s="79">
        <v>45737</v>
      </c>
      <c r="D4" s="73" t="s">
        <v>195</v>
      </c>
      <c r="F4" s="80" t="s">
        <v>196</v>
      </c>
    </row>
    <row r="5" spans="3:8">
      <c r="C5" s="79">
        <v>45765</v>
      </c>
      <c r="D5" s="73" t="s">
        <v>197</v>
      </c>
      <c r="F5" s="80" t="s">
        <v>198</v>
      </c>
    </row>
    <row r="6" spans="3:8" ht="13.15" thickBot="1">
      <c r="C6" s="79">
        <v>45768</v>
      </c>
      <c r="D6" s="73" t="s">
        <v>199</v>
      </c>
      <c r="F6" s="81" t="s">
        <v>200</v>
      </c>
    </row>
    <row r="7" spans="3:8">
      <c r="C7" s="79">
        <v>45774</v>
      </c>
      <c r="D7" s="73" t="s">
        <v>201</v>
      </c>
    </row>
    <row r="8" spans="3:8">
      <c r="C8" s="79">
        <v>45765</v>
      </c>
      <c r="D8" s="73" t="s">
        <v>202</v>
      </c>
    </row>
    <row r="9" spans="3:8">
      <c r="C9" s="79">
        <v>45778</v>
      </c>
      <c r="D9" s="73" t="s">
        <v>203</v>
      </c>
    </row>
    <row r="10" spans="3:8">
      <c r="C10" s="79">
        <v>45824</v>
      </c>
      <c r="D10" s="73" t="s">
        <v>204</v>
      </c>
    </row>
    <row r="11" spans="3:8">
      <c r="C11" s="79">
        <v>45878</v>
      </c>
      <c r="D11" s="73" t="s">
        <v>205</v>
      </c>
    </row>
    <row r="12" spans="3:8">
      <c r="C12" s="79">
        <v>45924</v>
      </c>
      <c r="D12" s="73" t="s">
        <v>206</v>
      </c>
    </row>
    <row r="13" spans="3:8">
      <c r="C13" s="79">
        <v>46007</v>
      </c>
      <c r="D13" s="73" t="s">
        <v>207</v>
      </c>
      <c r="H13" s="73" t="s">
        <v>208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209</v>
      </c>
    </row>
    <row r="40" spans="3:4">
      <c r="C40" s="693">
        <v>46034</v>
      </c>
      <c r="D40" s="73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328125" defaultRowHeight="13.5"/>
  <cols>
    <col min="1" max="1" width="1.1328125" style="24" customWidth="1"/>
    <col min="2" max="2" width="8.1328125" style="64"/>
    <col min="3" max="3" width="2.1328125" style="64" customWidth="1"/>
    <col min="4" max="4" width="21.1328125" style="24" customWidth="1"/>
    <col min="5" max="5" width="1.1328125" style="24" customWidth="1"/>
    <col min="6" max="6" width="19.59765625" style="24" customWidth="1"/>
    <col min="7" max="7" width="1.1328125" style="24" customWidth="1"/>
    <col min="8" max="8" width="18.1328125" style="24" customWidth="1"/>
    <col min="9" max="9" width="3.1328125" style="24" customWidth="1"/>
    <col min="10" max="10" width="21.59765625" style="24" customWidth="1"/>
    <col min="11" max="11" width="2" style="24" customWidth="1"/>
    <col min="12" max="12" width="53.1328125" style="24" customWidth="1"/>
    <col min="13" max="16384" width="8.1328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211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737"/>
      <c r="C4" s="737"/>
      <c r="D4" s="737"/>
      <c r="E4" s="412"/>
      <c r="F4" s="218" t="s">
        <v>145</v>
      </c>
      <c r="G4" s="213"/>
      <c r="H4" s="218" t="s">
        <v>146</v>
      </c>
      <c r="I4" s="213"/>
      <c r="J4" s="219" t="s">
        <v>212</v>
      </c>
      <c r="K4" s="110"/>
      <c r="L4" s="110"/>
    </row>
    <row r="5" spans="1:12" ht="14.25" thickBot="1">
      <c r="A5" s="213"/>
      <c r="B5" s="738" t="s">
        <v>213</v>
      </c>
      <c r="C5" s="738"/>
      <c r="D5" s="738"/>
      <c r="E5" s="412"/>
      <c r="F5" s="220">
        <f>SUM(F9:F23)</f>
        <v>3002994.7436639969</v>
      </c>
      <c r="G5" s="215"/>
      <c r="H5" s="220">
        <f>SUM(H9:H23)</f>
        <v>3198718.8433799967</v>
      </c>
      <c r="I5" s="213"/>
      <c r="J5" s="221">
        <f>SUM(J9:J23)</f>
        <v>-195724.0997159995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81</v>
      </c>
      <c r="C7" s="224"/>
      <c r="D7" s="223" t="s">
        <v>214</v>
      </c>
      <c r="E7" s="224"/>
      <c r="F7" s="225" t="s">
        <v>215</v>
      </c>
      <c r="G7" s="226"/>
      <c r="H7" s="225" t="s">
        <v>216</v>
      </c>
      <c r="I7" s="226"/>
      <c r="J7" s="225" t="s">
        <v>217</v>
      </c>
      <c r="K7" s="170"/>
      <c r="L7" s="113" t="s">
        <v>218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285374.08999999997</v>
      </c>
      <c r="I16" s="87"/>
      <c r="J16" s="230">
        <f t="shared" si="0"/>
        <v>-285374.08999999997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219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P1" zoomScale="70" zoomScaleNormal="70" workbookViewId="0">
      <pane ySplit="4" topLeftCell="A164" activePane="bottomLeft" state="frozen"/>
      <selection activeCell="X33" sqref="X33"/>
      <selection pane="bottomLeft" activeCell="U152" sqref="U152"/>
    </sheetView>
  </sheetViews>
  <sheetFormatPr defaultColWidth="9.1328125" defaultRowHeight="13.5"/>
  <cols>
    <col min="1" max="1" width="2.1328125" style="110" hidden="1" customWidth="1"/>
    <col min="2" max="2" width="6.1328125" style="24" hidden="1" customWidth="1"/>
    <col min="3" max="3" width="20.1328125" style="24" hidden="1" customWidth="1"/>
    <col min="4" max="4" width="51.59765625" style="24" hidden="1" customWidth="1"/>
    <col min="5" max="5" width="11.86328125" style="70" hidden="1" customWidth="1"/>
    <col min="6" max="6" width="16.59765625" style="473" hidden="1" customWidth="1"/>
    <col min="7" max="7" width="17.1328125" style="24" hidden="1" customWidth="1"/>
    <col min="8" max="8" width="17.1328125" style="110" hidden="1" customWidth="1"/>
    <col min="9" max="9" width="22.1328125" style="348" hidden="1" customWidth="1"/>
    <col min="10" max="10" width="22.1328125" style="348" bestFit="1" customWidth="1"/>
    <col min="11" max="12" width="5.59765625" style="110" customWidth="1"/>
    <col min="13" max="13" width="25.59765625" style="110" customWidth="1"/>
    <col min="14" max="14" width="48.1328125" style="110" customWidth="1"/>
    <col min="15" max="15" width="15.59765625" style="110" customWidth="1"/>
    <col min="16" max="17" width="17.1328125" style="110" customWidth="1"/>
    <col min="18" max="18" width="47.3984375" style="110" bestFit="1" customWidth="1"/>
    <col min="19" max="19" width="39" style="110" bestFit="1" customWidth="1"/>
    <col min="20" max="23" width="17.1328125" style="110" customWidth="1"/>
    <col min="24" max="24" width="21.1328125" style="110" customWidth="1"/>
    <col min="25" max="25" width="29.1328125" style="110" bestFit="1" customWidth="1"/>
    <col min="26" max="26" width="24.86328125" style="110" bestFit="1" customWidth="1"/>
    <col min="27" max="76" width="17.132812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48" t="s">
        <v>220</v>
      </c>
      <c r="C2" s="749"/>
      <c r="D2" s="749"/>
      <c r="E2" s="749"/>
      <c r="F2" s="749"/>
      <c r="G2" s="749"/>
      <c r="H2" s="678"/>
      <c r="I2" s="256">
        <f>SUM(I6:I170)</f>
        <v>3002994.7436639969</v>
      </c>
      <c r="J2" s="256">
        <f>SUM(J6:J170)</f>
        <v>3355439.0188350095</v>
      </c>
      <c r="L2" s="750" t="s">
        <v>221</v>
      </c>
      <c r="M2" s="751"/>
      <c r="N2" s="751"/>
      <c r="O2" s="751"/>
      <c r="P2" s="751"/>
      <c r="Q2" s="751"/>
      <c r="R2" s="755" t="s">
        <v>222</v>
      </c>
      <c r="S2" s="756"/>
      <c r="T2" s="756"/>
      <c r="U2" s="756"/>
      <c r="V2" s="756"/>
      <c r="W2" s="757"/>
      <c r="X2" s="477">
        <f>SUM(X6:X170)</f>
        <v>3198718.8433799967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223</v>
      </c>
      <c r="C4" s="258" t="s">
        <v>224</v>
      </c>
      <c r="D4" s="258" t="s">
        <v>225</v>
      </c>
      <c r="E4" s="258" t="s">
        <v>226</v>
      </c>
      <c r="F4" s="464" t="s">
        <v>227</v>
      </c>
      <c r="G4" s="259" t="s">
        <v>228</v>
      </c>
      <c r="H4" s="370" t="s">
        <v>229</v>
      </c>
      <c r="I4" s="260" t="s">
        <v>230</v>
      </c>
      <c r="J4" s="260" t="str">
        <f>IF(J2-'Revenue Tracking'!D4&gt;=0, "Total Revenue", "ERROR on REV" )</f>
        <v>Total Revenue</v>
      </c>
      <c r="K4" s="163"/>
      <c r="L4" s="257" t="s">
        <v>223</v>
      </c>
      <c r="M4" s="258" t="s">
        <v>231</v>
      </c>
      <c r="N4" s="258" t="s">
        <v>225</v>
      </c>
      <c r="O4" s="258" t="s">
        <v>226</v>
      </c>
      <c r="P4" s="464" t="s">
        <v>227</v>
      </c>
      <c r="Q4" s="372" t="s">
        <v>232</v>
      </c>
      <c r="R4" s="620" t="s">
        <v>233</v>
      </c>
      <c r="S4" s="621" t="s">
        <v>168</v>
      </c>
      <c r="T4" s="370" t="s">
        <v>169</v>
      </c>
      <c r="U4" s="371" t="s">
        <v>234</v>
      </c>
      <c r="V4" s="372" t="s">
        <v>235</v>
      </c>
      <c r="W4" s="370" t="s">
        <v>229</v>
      </c>
      <c r="X4" s="479" t="s">
        <v>230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236</v>
      </c>
      <c r="D6" s="280" t="s">
        <v>237</v>
      </c>
      <c r="E6" s="281"/>
      <c r="F6" s="436"/>
      <c r="G6" s="390">
        <f>D171</f>
        <v>777559.09</v>
      </c>
      <c r="H6" s="533">
        <v>45867</v>
      </c>
      <c r="I6" s="752">
        <f>SUM(G6:G11)</f>
        <v>777559.09</v>
      </c>
      <c r="J6" s="752">
        <f>F171</f>
        <v>883589.875</v>
      </c>
      <c r="K6" s="387"/>
      <c r="L6" s="279">
        <v>1</v>
      </c>
      <c r="M6" s="416" t="s">
        <v>238</v>
      </c>
      <c r="N6" s="280" t="s">
        <v>239</v>
      </c>
      <c r="O6" s="548">
        <v>597</v>
      </c>
      <c r="P6" s="436">
        <f>1.99*620</f>
        <v>1233.8</v>
      </c>
      <c r="Q6" s="390">
        <v>281646.11</v>
      </c>
      <c r="R6" s="586" t="s">
        <v>240</v>
      </c>
      <c r="S6" s="623" t="s">
        <v>241</v>
      </c>
      <c r="T6" s="664">
        <v>45838</v>
      </c>
      <c r="U6" s="668">
        <v>883589.875</v>
      </c>
      <c r="V6" s="742">
        <f>J6-SUM(U6:U11)</f>
        <v>0</v>
      </c>
      <c r="W6" s="533">
        <v>45867</v>
      </c>
      <c r="X6" s="739">
        <f>SUM(Q6:Q11)</f>
        <v>745481.4</v>
      </c>
      <c r="Y6" s="481"/>
    </row>
    <row r="7" spans="1:76" ht="15" customHeight="1">
      <c r="B7" s="309">
        <v>1</v>
      </c>
      <c r="C7" s="417"/>
      <c r="D7" s="388" t="s">
        <v>242</v>
      </c>
      <c r="E7" s="389"/>
      <c r="F7" s="458"/>
      <c r="G7" s="313"/>
      <c r="H7" s="534">
        <v>45883</v>
      </c>
      <c r="I7" s="753"/>
      <c r="J7" s="753"/>
      <c r="K7" s="286"/>
      <c r="L7" s="309">
        <v>1</v>
      </c>
      <c r="M7" s="311" t="s">
        <v>238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241</v>
      </c>
      <c r="T7" s="664">
        <v>45838</v>
      </c>
      <c r="U7" s="660">
        <v>0</v>
      </c>
      <c r="V7" s="743"/>
      <c r="W7" s="534">
        <v>45883</v>
      </c>
      <c r="X7" s="740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3"/>
      <c r="J8" s="753"/>
      <c r="K8" s="286"/>
      <c r="L8" s="309">
        <v>1</v>
      </c>
      <c r="M8" s="311" t="s">
        <v>238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43"/>
      <c r="W8" s="571"/>
      <c r="X8" s="740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3"/>
      <c r="J9" s="753"/>
      <c r="K9" s="286"/>
      <c r="L9" s="309">
        <v>1</v>
      </c>
      <c r="M9" s="311" t="s">
        <v>238</v>
      </c>
      <c r="N9" s="484"/>
      <c r="O9" s="550"/>
      <c r="P9" s="443"/>
      <c r="Q9" s="385">
        <v>4601.3999999999996</v>
      </c>
      <c r="R9" s="588"/>
      <c r="S9" s="625" t="s">
        <v>243</v>
      </c>
      <c r="T9" s="683">
        <v>45930</v>
      </c>
      <c r="U9" s="662">
        <v>0</v>
      </c>
      <c r="V9" s="743"/>
      <c r="W9" s="694">
        <v>45980</v>
      </c>
      <c r="X9" s="740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3"/>
      <c r="J10" s="753"/>
      <c r="K10" s="286"/>
      <c r="L10" s="309">
        <v>1</v>
      </c>
      <c r="M10" s="311" t="s">
        <v>238</v>
      </c>
      <c r="N10" s="484" t="s">
        <v>244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245</v>
      </c>
      <c r="T10" s="643">
        <v>45991</v>
      </c>
      <c r="U10" s="662">
        <v>0</v>
      </c>
      <c r="V10" s="743"/>
      <c r="W10" s="535">
        <v>46045</v>
      </c>
      <c r="X10" s="740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4"/>
      <c r="J11" s="754"/>
      <c r="K11" s="287"/>
      <c r="L11" s="314">
        <v>1</v>
      </c>
      <c r="M11" s="418" t="s">
        <v>238</v>
      </c>
      <c r="N11" s="418" t="s">
        <v>246</v>
      </c>
      <c r="O11" s="551"/>
      <c r="P11" s="459"/>
      <c r="Q11" s="328">
        <v>600</v>
      </c>
      <c r="R11" s="589"/>
      <c r="S11" s="626" t="s">
        <v>245</v>
      </c>
      <c r="T11" s="695">
        <f>T10</f>
        <v>45991</v>
      </c>
      <c r="U11" s="669">
        <v>0</v>
      </c>
      <c r="V11" s="744"/>
      <c r="W11" s="707">
        <f>W10</f>
        <v>46045</v>
      </c>
      <c r="X11" s="741"/>
      <c r="Y11" s="604" t="s">
        <v>247</v>
      </c>
      <c r="Z11" s="605" t="s">
        <v>248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249</v>
      </c>
      <c r="Z12" s="607">
        <f>G54</f>
        <v>392189.72608695651</v>
      </c>
    </row>
    <row r="13" spans="1:76" ht="14.25" customHeight="1">
      <c r="B13" s="291">
        <v>2</v>
      </c>
      <c r="C13" s="317" t="s">
        <v>250</v>
      </c>
      <c r="D13" s="317" t="s">
        <v>251</v>
      </c>
      <c r="E13" s="363"/>
      <c r="F13" s="456"/>
      <c r="G13" s="294">
        <f>D172</f>
        <v>210000</v>
      </c>
      <c r="H13" s="536">
        <f>H6</f>
        <v>45867</v>
      </c>
      <c r="I13" s="758">
        <f>SUM(G13:G19)</f>
        <v>210000</v>
      </c>
      <c r="J13" s="758">
        <f>F172</f>
        <v>238636.36363636365</v>
      </c>
      <c r="K13" s="295"/>
      <c r="L13" s="291">
        <v>2</v>
      </c>
      <c r="M13" s="419" t="s">
        <v>252</v>
      </c>
      <c r="N13" s="317" t="s">
        <v>253</v>
      </c>
      <c r="O13" s="553">
        <v>3</v>
      </c>
      <c r="P13" s="456">
        <v>68870.349999999991</v>
      </c>
      <c r="Q13" s="294">
        <f>O13*P13</f>
        <v>206611.05</v>
      </c>
      <c r="R13" s="591" t="s">
        <v>240</v>
      </c>
      <c r="S13" s="628" t="s">
        <v>241</v>
      </c>
      <c r="T13" s="665">
        <v>45838</v>
      </c>
      <c r="U13" s="670">
        <v>238636.36363636365</v>
      </c>
      <c r="V13" s="745">
        <f>J13-SUM(U13:U19)</f>
        <v>0</v>
      </c>
      <c r="W13" s="536">
        <f>W6</f>
        <v>45867</v>
      </c>
      <c r="X13" s="761">
        <f>SUM(Q13:Q19)</f>
        <v>206611.05</v>
      </c>
      <c r="Y13" s="606" t="s">
        <v>254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59"/>
      <c r="J14" s="759"/>
      <c r="K14" s="299"/>
      <c r="L14" s="296">
        <v>2</v>
      </c>
      <c r="M14" s="425" t="s">
        <v>252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46"/>
      <c r="W14" s="576"/>
      <c r="X14" s="762"/>
      <c r="Y14" s="606" t="s">
        <v>255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59"/>
      <c r="J15" s="759"/>
      <c r="K15" s="299"/>
      <c r="L15" s="296">
        <v>2</v>
      </c>
      <c r="M15" s="425" t="s">
        <v>252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46"/>
      <c r="W15" s="576"/>
      <c r="X15" s="762"/>
      <c r="Y15" s="606" t="s">
        <v>256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59"/>
      <c r="J16" s="759"/>
      <c r="K16" s="299"/>
      <c r="L16" s="296">
        <v>2</v>
      </c>
      <c r="M16" s="425" t="s">
        <v>252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46"/>
      <c r="W16" s="576"/>
      <c r="X16" s="762"/>
      <c r="Y16" s="606" t="s">
        <v>257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59"/>
      <c r="J17" s="759"/>
      <c r="K17" s="299"/>
      <c r="L17" s="296">
        <v>2</v>
      </c>
      <c r="M17" s="425" t="s">
        <v>252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46"/>
      <c r="W17" s="576"/>
      <c r="X17" s="762"/>
      <c r="Y17" s="606" t="s">
        <v>258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59"/>
      <c r="J18" s="759"/>
      <c r="K18" s="299"/>
      <c r="L18" s="296">
        <v>2</v>
      </c>
      <c r="M18" s="425" t="s">
        <v>252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46"/>
      <c r="W18" s="576"/>
      <c r="X18" s="762"/>
      <c r="Y18" s="606" t="s">
        <v>259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0"/>
      <c r="J19" s="760"/>
      <c r="K19" s="304"/>
      <c r="L19" s="394">
        <v>2</v>
      </c>
      <c r="M19" s="420" t="s">
        <v>252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47"/>
      <c r="W19" s="577"/>
      <c r="X19" s="763"/>
      <c r="Y19" s="606" t="s">
        <v>260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261</v>
      </c>
      <c r="D21" s="325" t="s">
        <v>262</v>
      </c>
      <c r="E21" s="281"/>
      <c r="F21" s="436"/>
      <c r="G21" s="282">
        <f>D173</f>
        <v>300883.17</v>
      </c>
      <c r="H21" s="674">
        <v>45867</v>
      </c>
      <c r="I21" s="752">
        <f>SUM(G21:G26)</f>
        <v>300883.17</v>
      </c>
      <c r="J21" s="752">
        <f>F173</f>
        <v>341912.69318181818</v>
      </c>
      <c r="K21" s="283"/>
      <c r="L21" s="279">
        <v>3</v>
      </c>
      <c r="M21" s="421" t="s">
        <v>263</v>
      </c>
      <c r="N21" s="325" t="s">
        <v>264</v>
      </c>
      <c r="O21" s="548"/>
      <c r="P21" s="436"/>
      <c r="Q21" s="282">
        <v>66124.800000000003</v>
      </c>
      <c r="R21" s="594" t="s">
        <v>265</v>
      </c>
      <c r="S21" s="631" t="s">
        <v>266</v>
      </c>
      <c r="T21" s="658">
        <v>45838</v>
      </c>
      <c r="U21" s="659">
        <v>341912.69318181818</v>
      </c>
      <c r="V21" s="742">
        <f>J21-SUM(U21:U26)</f>
        <v>0</v>
      </c>
      <c r="W21" s="674">
        <v>45867</v>
      </c>
      <c r="X21" s="739">
        <f>SUM(Q21:Q26)</f>
        <v>67376.800000000003</v>
      </c>
      <c r="Y21" s="606" t="s">
        <v>267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3"/>
      <c r="J22" s="753"/>
      <c r="K22" s="286"/>
      <c r="L22" s="309">
        <v>3</v>
      </c>
      <c r="M22" s="422" t="s">
        <v>263</v>
      </c>
      <c r="N22" s="326" t="s">
        <v>268</v>
      </c>
      <c r="O22" s="549"/>
      <c r="P22" s="458"/>
      <c r="Q22" s="313">
        <v>1252</v>
      </c>
      <c r="R22" s="587" t="s">
        <v>269</v>
      </c>
      <c r="S22" s="624"/>
      <c r="T22" s="517">
        <v>46081</v>
      </c>
      <c r="U22" s="660">
        <v>0</v>
      </c>
      <c r="V22" s="743"/>
      <c r="W22" s="571">
        <f>T22+30</f>
        <v>46111</v>
      </c>
      <c r="X22" s="740"/>
      <c r="Y22" s="606" t="s">
        <v>190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3"/>
      <c r="J23" s="753"/>
      <c r="K23" s="286"/>
      <c r="L23" s="309">
        <v>3</v>
      </c>
      <c r="M23" s="422" t="s">
        <v>263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43"/>
      <c r="W23" s="571"/>
      <c r="X23" s="740"/>
      <c r="Y23" s="606" t="s">
        <v>270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3"/>
      <c r="J24" s="753"/>
      <c r="K24" s="286"/>
      <c r="L24" s="309">
        <v>3</v>
      </c>
      <c r="M24" s="422" t="s">
        <v>263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43"/>
      <c r="W24" s="571"/>
      <c r="X24" s="740"/>
      <c r="Y24" s="611" t="s">
        <v>271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3"/>
      <c r="J25" s="753"/>
      <c r="K25" s="286"/>
      <c r="L25" s="309">
        <v>3</v>
      </c>
      <c r="M25" s="422" t="s">
        <v>263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43"/>
      <c r="W25" s="571"/>
      <c r="X25" s="740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4"/>
      <c r="J26" s="754"/>
      <c r="K26" s="287"/>
      <c r="L26" s="314">
        <v>3</v>
      </c>
      <c r="M26" s="423" t="s">
        <v>263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44"/>
      <c r="W26" s="571"/>
      <c r="X26" s="741"/>
      <c r="Y26" s="612" t="s">
        <v>272</v>
      </c>
      <c r="Z26" s="613" t="s">
        <v>273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254</v>
      </c>
      <c r="D28" s="292" t="s">
        <v>274</v>
      </c>
      <c r="E28" s="363">
        <f>G28/14*1.15</f>
        <v>9962.4499999999989</v>
      </c>
      <c r="F28" s="456"/>
      <c r="G28" s="294">
        <v>121282</v>
      </c>
      <c r="H28" s="536">
        <v>45867</v>
      </c>
      <c r="I28" s="758">
        <f>SUM(G28:G43)</f>
        <v>304127.7</v>
      </c>
      <c r="J28" s="758">
        <f>F174</f>
        <v>345599.65909090912</v>
      </c>
      <c r="K28" s="295"/>
      <c r="L28" s="291">
        <v>4</v>
      </c>
      <c r="M28" s="424" t="s">
        <v>275</v>
      </c>
      <c r="N28" s="292" t="s">
        <v>276</v>
      </c>
      <c r="O28" s="545">
        <v>8000</v>
      </c>
      <c r="P28" s="456">
        <v>13.4</v>
      </c>
      <c r="Q28" s="294">
        <f>O28*P28</f>
        <v>107200</v>
      </c>
      <c r="R28" s="591" t="s">
        <v>240</v>
      </c>
      <c r="S28" s="628" t="s">
        <v>277</v>
      </c>
      <c r="T28" s="665">
        <v>45838</v>
      </c>
      <c r="U28" s="670">
        <v>126768.58884351132</v>
      </c>
      <c r="V28" s="745">
        <f>J28-SUM(U28:U43)</f>
        <v>-4.7398754395544529E-4</v>
      </c>
      <c r="W28" s="536">
        <v>45867</v>
      </c>
      <c r="X28" s="761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278</v>
      </c>
      <c r="E29" s="393"/>
      <c r="F29" s="452"/>
      <c r="G29" s="640">
        <f>D174-G28</f>
        <v>182845.7</v>
      </c>
      <c r="H29" s="536">
        <v>45867</v>
      </c>
      <c r="I29" s="759"/>
      <c r="J29" s="759"/>
      <c r="K29" s="299"/>
      <c r="L29" s="296">
        <v>4</v>
      </c>
      <c r="M29" s="425" t="s">
        <v>275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46"/>
      <c r="W29" s="576"/>
      <c r="X29" s="762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59"/>
      <c r="J30" s="759"/>
      <c r="K30" s="299"/>
      <c r="L30" s="296">
        <v>4</v>
      </c>
      <c r="M30" s="425" t="s">
        <v>275</v>
      </c>
      <c r="N30" s="407" t="s">
        <v>279</v>
      </c>
      <c r="O30" s="546">
        <v>6000</v>
      </c>
      <c r="P30" s="452">
        <v>14</v>
      </c>
      <c r="Q30" s="298">
        <f>88500-4500</f>
        <v>84000</v>
      </c>
      <c r="R30" s="770" t="s">
        <v>280</v>
      </c>
      <c r="S30" s="629" t="s">
        <v>281</v>
      </c>
      <c r="T30" s="651">
        <v>46053</v>
      </c>
      <c r="U30" s="711">
        <v>0</v>
      </c>
      <c r="V30" s="746"/>
      <c r="W30" s="576">
        <v>46079</v>
      </c>
      <c r="X30" s="762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59"/>
      <c r="J31" s="759"/>
      <c r="K31" s="299"/>
      <c r="L31" s="296">
        <v>4</v>
      </c>
      <c r="M31" s="425" t="s">
        <v>275</v>
      </c>
      <c r="N31" s="407" t="s">
        <v>282</v>
      </c>
      <c r="O31" s="554">
        <v>1</v>
      </c>
      <c r="P31" s="452"/>
      <c r="Q31" s="298">
        <v>4500</v>
      </c>
      <c r="R31" s="771"/>
      <c r="S31" s="629" t="s">
        <v>281</v>
      </c>
      <c r="T31" s="651">
        <v>46053</v>
      </c>
      <c r="U31" s="711">
        <v>0</v>
      </c>
      <c r="V31" s="746"/>
      <c r="W31" s="576">
        <v>46079</v>
      </c>
      <c r="X31" s="762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59"/>
      <c r="J32" s="759"/>
      <c r="K32" s="299"/>
      <c r="L32" s="296">
        <v>4</v>
      </c>
      <c r="M32" s="425" t="s">
        <v>275</v>
      </c>
      <c r="N32" s="407" t="s">
        <v>283</v>
      </c>
      <c r="O32" s="565">
        <v>185051.28917090109</v>
      </c>
      <c r="P32" s="566">
        <v>0.1</v>
      </c>
      <c r="Q32" s="298">
        <f>$O$32*P32</f>
        <v>18505.128917090111</v>
      </c>
      <c r="R32" s="767" t="s">
        <v>284</v>
      </c>
      <c r="S32" s="629" t="s">
        <v>285</v>
      </c>
      <c r="T32" s="651">
        <f t="shared" si="0"/>
        <v>45808</v>
      </c>
      <c r="U32" s="661">
        <v>21883.107045730838</v>
      </c>
      <c r="V32" s="746"/>
      <c r="W32" s="537">
        <f>W93</f>
        <v>45792</v>
      </c>
      <c r="X32" s="762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59"/>
      <c r="J33" s="759"/>
      <c r="K33" s="299"/>
      <c r="L33" s="296">
        <v>4</v>
      </c>
      <c r="M33" s="425" t="s">
        <v>275</v>
      </c>
      <c r="N33" s="407" t="s">
        <v>100</v>
      </c>
      <c r="O33" s="554"/>
      <c r="P33" s="566">
        <v>0.15</v>
      </c>
      <c r="Q33" s="298">
        <f t="shared" ref="Q33:Q37" si="2">$O$32*P33</f>
        <v>27757.693375635161</v>
      </c>
      <c r="R33" s="768"/>
      <c r="S33" s="629" t="s">
        <v>285</v>
      </c>
      <c r="T33" s="651">
        <f>IF(W33&gt;1,EOMONTH(W33,0),"")</f>
        <v>45808</v>
      </c>
      <c r="U33" s="661">
        <v>32824.66056859625</v>
      </c>
      <c r="V33" s="746"/>
      <c r="W33" s="537">
        <f>W94</f>
        <v>45792</v>
      </c>
      <c r="X33" s="762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59"/>
      <c r="J34" s="759"/>
      <c r="K34" s="299"/>
      <c r="L34" s="296">
        <v>4</v>
      </c>
      <c r="M34" s="425" t="s">
        <v>275</v>
      </c>
      <c r="N34" s="407" t="s">
        <v>286</v>
      </c>
      <c r="O34" s="554"/>
      <c r="P34" s="566">
        <v>0.2</v>
      </c>
      <c r="Q34" s="298">
        <f t="shared" si="2"/>
        <v>37010.257834180222</v>
      </c>
      <c r="R34" s="768"/>
      <c r="S34" s="629" t="s">
        <v>287</v>
      </c>
      <c r="T34" s="651">
        <v>45869</v>
      </c>
      <c r="U34" s="661">
        <v>43766.214163932236</v>
      </c>
      <c r="V34" s="746"/>
      <c r="W34" s="537">
        <f>W95</f>
        <v>46037</v>
      </c>
      <c r="X34" s="762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59"/>
      <c r="J35" s="759"/>
      <c r="K35" s="299"/>
      <c r="L35" s="296">
        <v>4</v>
      </c>
      <c r="M35" s="425" t="s">
        <v>275</v>
      </c>
      <c r="N35" s="407" t="s">
        <v>288</v>
      </c>
      <c r="O35" s="554"/>
      <c r="P35" s="566">
        <v>0.14000000000000001</v>
      </c>
      <c r="Q35" s="298">
        <v>25907.18</v>
      </c>
      <c r="R35" s="768"/>
      <c r="S35" s="629" t="str">
        <f>S96</f>
        <v>Thula Moya IN04775</v>
      </c>
      <c r="T35" s="651">
        <v>45869</v>
      </c>
      <c r="U35" s="661">
        <v>30636.349342489171</v>
      </c>
      <c r="V35" s="746"/>
      <c r="W35" s="537">
        <f>W96</f>
        <v>45848</v>
      </c>
      <c r="X35" s="762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59"/>
      <c r="J36" s="759"/>
      <c r="K36" s="299"/>
      <c r="L36" s="296">
        <v>4</v>
      </c>
      <c r="M36" s="425" t="s">
        <v>275</v>
      </c>
      <c r="N36" s="407" t="s">
        <v>288</v>
      </c>
      <c r="O36" s="554"/>
      <c r="P36" s="566">
        <v>0.11</v>
      </c>
      <c r="Q36" s="298">
        <f>O32*P36</f>
        <v>20355.641808799119</v>
      </c>
      <c r="R36" s="768"/>
      <c r="S36" s="629" t="s">
        <v>289</v>
      </c>
      <c r="T36" s="651">
        <v>45900</v>
      </c>
      <c r="U36" s="661">
        <v>24071.559966602163</v>
      </c>
      <c r="V36" s="746"/>
      <c r="W36" s="537">
        <f>W97</f>
        <v>45911</v>
      </c>
      <c r="X36" s="762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59"/>
      <c r="J37" s="759"/>
      <c r="K37" s="299"/>
      <c r="L37" s="296">
        <v>4</v>
      </c>
      <c r="M37" s="425" t="s">
        <v>275</v>
      </c>
      <c r="N37" s="407" t="s">
        <v>176</v>
      </c>
      <c r="O37" s="554"/>
      <c r="P37" s="566">
        <v>0.1</v>
      </c>
      <c r="Q37" s="298">
        <f t="shared" si="2"/>
        <v>18505.128917090111</v>
      </c>
      <c r="R37" s="768"/>
      <c r="S37" s="629" t="s">
        <v>290</v>
      </c>
      <c r="T37" s="651">
        <v>45900</v>
      </c>
      <c r="U37" s="661">
        <v>21883.118151456514</v>
      </c>
      <c r="V37" s="746"/>
      <c r="W37" s="576">
        <f t="shared" ref="W37:W40" si="4">W98</f>
        <v>46070</v>
      </c>
      <c r="X37" s="762"/>
      <c r="Y37" s="614" t="s">
        <v>267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59"/>
      <c r="J38" s="759"/>
      <c r="K38" s="299"/>
      <c r="L38" s="296">
        <v>4</v>
      </c>
      <c r="M38" s="425" t="s">
        <v>275</v>
      </c>
      <c r="N38" s="407" t="s">
        <v>291</v>
      </c>
      <c r="O38" s="554"/>
      <c r="P38" s="566">
        <v>0.1</v>
      </c>
      <c r="Q38" s="298">
        <v>18505.11</v>
      </c>
      <c r="R38" s="768"/>
      <c r="S38" s="629" t="s">
        <v>292</v>
      </c>
      <c r="T38" s="651">
        <v>45900</v>
      </c>
      <c r="U38" s="661">
        <v>21883.095781176376</v>
      </c>
      <c r="V38" s="746"/>
      <c r="W38" s="576">
        <f t="shared" si="4"/>
        <v>46077</v>
      </c>
      <c r="X38" s="762"/>
      <c r="Y38" s="614" t="s">
        <v>267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59"/>
      <c r="J39" s="759"/>
      <c r="K39" s="299"/>
      <c r="L39" s="296">
        <v>4</v>
      </c>
      <c r="M39" s="425" t="s">
        <v>275</v>
      </c>
      <c r="N39" s="407" t="s">
        <v>293</v>
      </c>
      <c r="O39" s="554"/>
      <c r="P39" s="566">
        <v>0.05</v>
      </c>
      <c r="Q39" s="298">
        <v>9252.5</v>
      </c>
      <c r="R39" s="768"/>
      <c r="S39" s="629" t="s">
        <v>294</v>
      </c>
      <c r="T39" s="651">
        <v>45900</v>
      </c>
      <c r="U39" s="661">
        <v>10941.482850700935</v>
      </c>
      <c r="V39" s="746"/>
      <c r="W39" s="576">
        <f t="shared" si="4"/>
        <v>46077</v>
      </c>
      <c r="X39" s="762"/>
      <c r="Y39" s="614" t="s">
        <v>190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59"/>
      <c r="J40" s="759"/>
      <c r="K40" s="299"/>
      <c r="L40" s="296">
        <v>4</v>
      </c>
      <c r="M40" s="425" t="s">
        <v>275</v>
      </c>
      <c r="N40" s="407" t="s">
        <v>295</v>
      </c>
      <c r="O40" s="554"/>
      <c r="P40" s="566">
        <v>0.05</v>
      </c>
      <c r="Q40" s="298">
        <v>9252.5</v>
      </c>
      <c r="R40" s="769"/>
      <c r="S40" s="629" t="s">
        <v>296</v>
      </c>
      <c r="T40" s="651">
        <v>45900</v>
      </c>
      <c r="U40" s="661">
        <v>10941.482850700935</v>
      </c>
      <c r="V40" s="746"/>
      <c r="W40" s="576">
        <f t="shared" si="4"/>
        <v>46100</v>
      </c>
      <c r="X40" s="762"/>
      <c r="Y40" s="617" t="s">
        <v>271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59"/>
      <c r="J41" s="759"/>
      <c r="K41" s="299"/>
      <c r="L41" s="296">
        <v>4</v>
      </c>
      <c r="M41" s="425" t="s">
        <v>275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46"/>
      <c r="W41" s="576"/>
      <c r="X41" s="762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59"/>
      <c r="J42" s="759"/>
      <c r="K42" s="299"/>
      <c r="L42" s="296">
        <v>4</v>
      </c>
      <c r="M42" s="425" t="s">
        <v>275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46"/>
      <c r="W42" s="576"/>
      <c r="X42" s="762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0"/>
      <c r="J43" s="760"/>
      <c r="K43" s="304"/>
      <c r="L43" s="300">
        <v>4</v>
      </c>
      <c r="M43" s="426" t="s">
        <v>275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47"/>
      <c r="W43" s="577"/>
      <c r="X43" s="763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297</v>
      </c>
      <c r="D45" s="325" t="s">
        <v>298</v>
      </c>
      <c r="E45" s="281"/>
      <c r="F45" s="436"/>
      <c r="G45" s="282">
        <f>D176-G46</f>
        <v>34000</v>
      </c>
      <c r="H45" s="534">
        <v>45855</v>
      </c>
      <c r="I45" s="752">
        <f>SUM(G45:G52)</f>
        <v>49000</v>
      </c>
      <c r="J45" s="752">
        <f>F176</f>
        <v>55681.818181818184</v>
      </c>
      <c r="K45" s="283"/>
      <c r="L45" s="279">
        <v>5</v>
      </c>
      <c r="M45" s="421" t="s">
        <v>299</v>
      </c>
      <c r="N45" s="325" t="s">
        <v>300</v>
      </c>
      <c r="O45" s="548"/>
      <c r="P45" s="436"/>
      <c r="Q45" s="282">
        <v>8598.35</v>
      </c>
      <c r="R45" s="594" t="s">
        <v>240</v>
      </c>
      <c r="S45" s="631" t="s">
        <v>301</v>
      </c>
      <c r="T45" s="657">
        <v>45808</v>
      </c>
      <c r="U45" s="659">
        <v>12277.093379226768</v>
      </c>
      <c r="V45" s="742">
        <f>J45-SUM(U45:U52)</f>
        <v>-4.47725009144051E-3</v>
      </c>
      <c r="W45" s="534">
        <v>45855</v>
      </c>
      <c r="X45" s="739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302</v>
      </c>
      <c r="E46" s="450"/>
      <c r="F46" s="451"/>
      <c r="G46" s="313">
        <v>15000</v>
      </c>
      <c r="H46" s="534">
        <v>45806</v>
      </c>
      <c r="I46" s="753"/>
      <c r="J46" s="753"/>
      <c r="K46" s="286"/>
      <c r="L46" s="284">
        <v>5</v>
      </c>
      <c r="M46" s="427" t="s">
        <v>299</v>
      </c>
      <c r="N46" s="285" t="s">
        <v>303</v>
      </c>
      <c r="O46" s="556"/>
      <c r="P46" s="451"/>
      <c r="Q46" s="313">
        <v>13695</v>
      </c>
      <c r="R46" s="587" t="s">
        <v>304</v>
      </c>
      <c r="S46" s="624" t="s">
        <v>305</v>
      </c>
      <c r="T46" s="642">
        <v>45777</v>
      </c>
      <c r="U46" s="646">
        <v>19114.237373104399</v>
      </c>
      <c r="V46" s="743"/>
      <c r="W46" s="534">
        <v>45806</v>
      </c>
      <c r="X46" s="740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3"/>
      <c r="J47" s="753"/>
      <c r="K47" s="286"/>
      <c r="L47" s="284">
        <v>5</v>
      </c>
      <c r="M47" s="427" t="s">
        <v>299</v>
      </c>
      <c r="N47" s="285"/>
      <c r="O47" s="556"/>
      <c r="P47" s="451"/>
      <c r="Q47" s="313">
        <v>214.28</v>
      </c>
      <c r="R47" s="587"/>
      <c r="S47" s="624" t="s">
        <v>306</v>
      </c>
      <c r="T47" s="642">
        <v>45838</v>
      </c>
      <c r="U47" s="660">
        <v>332.10278694680039</v>
      </c>
      <c r="V47" s="743"/>
      <c r="W47" s="674">
        <v>45867</v>
      </c>
      <c r="X47" s="740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3"/>
      <c r="J48" s="753"/>
      <c r="K48" s="286"/>
      <c r="L48" s="284">
        <v>5</v>
      </c>
      <c r="M48" s="427" t="s">
        <v>299</v>
      </c>
      <c r="N48" s="311" t="s">
        <v>307</v>
      </c>
      <c r="O48" s="549"/>
      <c r="P48" s="458"/>
      <c r="Q48" s="313">
        <v>11169</v>
      </c>
      <c r="R48" s="587"/>
      <c r="S48" s="624" t="s">
        <v>308</v>
      </c>
      <c r="T48" s="642">
        <v>45838</v>
      </c>
      <c r="U48" s="660">
        <v>20789.453069856329</v>
      </c>
      <c r="V48" s="743"/>
      <c r="W48" s="534">
        <v>45838</v>
      </c>
      <c r="X48" s="740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3"/>
      <c r="J49" s="753"/>
      <c r="K49" s="286"/>
      <c r="L49" s="309">
        <v>5</v>
      </c>
      <c r="M49" s="427" t="s">
        <v>299</v>
      </c>
      <c r="N49" s="311" t="s">
        <v>309</v>
      </c>
      <c r="O49" s="549"/>
      <c r="P49" s="458"/>
      <c r="Q49" s="313">
        <v>2250.5</v>
      </c>
      <c r="R49" s="587" t="s">
        <v>310</v>
      </c>
      <c r="S49" s="624" t="s">
        <v>311</v>
      </c>
      <c r="T49" s="656">
        <v>45808</v>
      </c>
      <c r="U49" s="660">
        <v>3168.9360499339805</v>
      </c>
      <c r="V49" s="743"/>
      <c r="W49" s="534">
        <v>45799</v>
      </c>
      <c r="X49" s="740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3"/>
      <c r="J50" s="753"/>
      <c r="K50" s="286"/>
      <c r="L50" s="309">
        <v>5</v>
      </c>
      <c r="M50" s="427" t="s">
        <v>299</v>
      </c>
      <c r="N50" s="386" t="s">
        <v>312</v>
      </c>
      <c r="O50" s="550"/>
      <c r="P50" s="443"/>
      <c r="Q50" s="385">
        <v>7197.5</v>
      </c>
      <c r="R50" s="588" t="s">
        <v>313</v>
      </c>
      <c r="S50" s="625" t="s">
        <v>314</v>
      </c>
      <c r="T50" s="643">
        <v>46081</v>
      </c>
      <c r="U50" s="502">
        <v>0</v>
      </c>
      <c r="V50" s="743"/>
      <c r="W50" s="572">
        <v>46111</v>
      </c>
      <c r="X50" s="740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3"/>
      <c r="J51" s="753"/>
      <c r="K51" s="286"/>
      <c r="L51" s="309">
        <v>5</v>
      </c>
      <c r="M51" s="427" t="s">
        <v>299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43"/>
      <c r="W51" s="572"/>
      <c r="X51" s="740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4"/>
      <c r="J52" s="754"/>
      <c r="K52" s="287"/>
      <c r="L52" s="314">
        <v>5</v>
      </c>
      <c r="M52" s="423" t="s">
        <v>299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44"/>
      <c r="W52" s="573"/>
      <c r="X52" s="741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249</v>
      </c>
      <c r="D54" s="293" t="s">
        <v>315</v>
      </c>
      <c r="E54" s="474"/>
      <c r="F54" s="456"/>
      <c r="G54" s="294">
        <f>D175</f>
        <v>392189.72608695651</v>
      </c>
      <c r="H54" s="655">
        <v>45866</v>
      </c>
      <c r="I54" s="758">
        <f>SUM(G54:G71)</f>
        <v>392189.72608695651</v>
      </c>
      <c r="J54" s="758">
        <f>F175</f>
        <v>445670.14328063239</v>
      </c>
      <c r="K54" s="295"/>
      <c r="L54" s="291">
        <v>6</v>
      </c>
      <c r="M54" s="430" t="s">
        <v>316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45">
        <f>J54-SUM(U54:U71)</f>
        <v>-4.5099278213456273E-4</v>
      </c>
      <c r="W54" s="575"/>
      <c r="X54" s="761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59"/>
      <c r="J55" s="759"/>
      <c r="K55" s="299"/>
      <c r="L55" s="296">
        <v>6</v>
      </c>
      <c r="M55" s="428" t="s">
        <v>316</v>
      </c>
      <c r="N55" s="442" t="s">
        <v>317</v>
      </c>
      <c r="O55" s="554"/>
      <c r="P55" s="452"/>
      <c r="Q55" s="319">
        <v>117330.71</v>
      </c>
      <c r="R55" s="592" t="s">
        <v>318</v>
      </c>
      <c r="S55" s="629" t="s">
        <v>319</v>
      </c>
      <c r="T55" s="651">
        <v>45838</v>
      </c>
      <c r="U55" s="661">
        <v>248633.70594693569</v>
      </c>
      <c r="V55" s="746"/>
      <c r="W55" s="655">
        <v>45867</v>
      </c>
      <c r="X55" s="762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59"/>
      <c r="J56" s="759"/>
      <c r="K56" s="299"/>
      <c r="L56" s="296">
        <v>6</v>
      </c>
      <c r="M56" s="428" t="s">
        <v>316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46"/>
      <c r="W56" s="576"/>
      <c r="X56" s="762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59"/>
      <c r="J57" s="759"/>
      <c r="K57" s="299"/>
      <c r="L57" s="296">
        <v>6</v>
      </c>
      <c r="M57" s="428" t="s">
        <v>316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46"/>
      <c r="W57" s="576"/>
      <c r="X57" s="762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59"/>
      <c r="J58" s="759"/>
      <c r="K58" s="299"/>
      <c r="L58" s="296">
        <v>6</v>
      </c>
      <c r="M58" s="428" t="s">
        <v>316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46"/>
      <c r="W58" s="576"/>
      <c r="X58" s="762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59"/>
      <c r="J59" s="759"/>
      <c r="K59" s="299"/>
      <c r="L59" s="296">
        <v>6</v>
      </c>
      <c r="M59" s="428" t="s">
        <v>316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46"/>
      <c r="W59" s="576"/>
      <c r="X59" s="762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59"/>
      <c r="J60" s="759"/>
      <c r="K60" s="299"/>
      <c r="L60" s="296">
        <v>6</v>
      </c>
      <c r="M60" s="428" t="s">
        <v>316</v>
      </c>
      <c r="N60" s="407" t="s">
        <v>283</v>
      </c>
      <c r="O60" s="565">
        <v>92394.534402792444</v>
      </c>
      <c r="P60" s="566">
        <v>0.1</v>
      </c>
      <c r="Q60" s="298">
        <f>$O$60*P60</f>
        <v>9239.4534402792451</v>
      </c>
      <c r="R60" s="767" t="s">
        <v>284</v>
      </c>
      <c r="S60" s="629" t="s">
        <v>285</v>
      </c>
      <c r="T60" s="651">
        <f t="shared" si="0"/>
        <v>45808</v>
      </c>
      <c r="U60" s="661">
        <v>19912.532561219716</v>
      </c>
      <c r="V60" s="746"/>
      <c r="W60" s="537">
        <f>W93</f>
        <v>45792</v>
      </c>
      <c r="X60" s="762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59"/>
      <c r="J61" s="759"/>
      <c r="K61" s="299"/>
      <c r="L61" s="296">
        <v>6</v>
      </c>
      <c r="M61" s="429" t="s">
        <v>316</v>
      </c>
      <c r="N61" s="407" t="s">
        <v>100</v>
      </c>
      <c r="O61" s="554"/>
      <c r="P61" s="566">
        <v>0.15</v>
      </c>
      <c r="Q61" s="298">
        <f t="shared" ref="Q61:Q62" si="6">$O$60*P61</f>
        <v>13859.180160418866</v>
      </c>
      <c r="R61" s="768"/>
      <c r="S61" s="629" t="s">
        <v>285</v>
      </c>
      <c r="T61" s="651">
        <f t="shared" si="0"/>
        <v>45808</v>
      </c>
      <c r="U61" s="661">
        <v>29868.798841829572</v>
      </c>
      <c r="V61" s="746"/>
      <c r="W61" s="655">
        <f>W94</f>
        <v>45792</v>
      </c>
      <c r="X61" s="762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59"/>
      <c r="J62" s="759"/>
      <c r="K62" s="299"/>
      <c r="L62" s="296">
        <v>6</v>
      </c>
      <c r="M62" s="429" t="s">
        <v>316</v>
      </c>
      <c r="N62" s="407" t="s">
        <v>286</v>
      </c>
      <c r="O62" s="554"/>
      <c r="P62" s="566">
        <v>0.2</v>
      </c>
      <c r="Q62" s="298">
        <f t="shared" si="6"/>
        <v>18478.90688055849</v>
      </c>
      <c r="R62" s="768"/>
      <c r="S62" s="629" t="s">
        <v>287</v>
      </c>
      <c r="T62" s="651">
        <v>45869</v>
      </c>
      <c r="U62" s="661">
        <v>39268.030368539163</v>
      </c>
      <c r="V62" s="746"/>
      <c r="W62" s="537">
        <f>W95</f>
        <v>46037</v>
      </c>
      <c r="X62" s="762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59"/>
      <c r="J63" s="759"/>
      <c r="K63" s="299"/>
      <c r="L63" s="296">
        <v>6</v>
      </c>
      <c r="M63" s="429" t="s">
        <v>316</v>
      </c>
      <c r="N63" s="407" t="s">
        <v>288</v>
      </c>
      <c r="O63" s="554"/>
      <c r="P63" s="566">
        <v>0.14000000000000001</v>
      </c>
      <c r="Q63" s="298">
        <v>12935.23</v>
      </c>
      <c r="R63" s="768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46"/>
      <c r="W63" s="537">
        <f>W96</f>
        <v>45848</v>
      </c>
      <c r="X63" s="762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59"/>
      <c r="J64" s="759"/>
      <c r="K64" s="299"/>
      <c r="L64" s="296">
        <v>6</v>
      </c>
      <c r="M64" s="429" t="s">
        <v>316</v>
      </c>
      <c r="N64" s="407" t="s">
        <v>288</v>
      </c>
      <c r="O64" s="554"/>
      <c r="P64" s="566">
        <v>0.11</v>
      </c>
      <c r="Q64" s="298">
        <f>O60*P64</f>
        <v>10163.398784307168</v>
      </c>
      <c r="R64" s="768"/>
      <c r="S64" s="629" t="s">
        <v>289</v>
      </c>
      <c r="T64" s="651">
        <v>45900</v>
      </c>
      <c r="U64" s="661">
        <v>21597.586003902306</v>
      </c>
      <c r="V64" s="746"/>
      <c r="W64" s="537">
        <f>W97</f>
        <v>45911</v>
      </c>
      <c r="X64" s="762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59"/>
      <c r="J65" s="759"/>
      <c r="K65" s="299"/>
      <c r="L65" s="296">
        <v>6</v>
      </c>
      <c r="M65" s="429" t="s">
        <v>316</v>
      </c>
      <c r="N65" s="407" t="s">
        <v>176</v>
      </c>
      <c r="O65" s="554"/>
      <c r="P65" s="566">
        <v>0.1</v>
      </c>
      <c r="Q65" s="298">
        <v>9239.4599999999991</v>
      </c>
      <c r="R65" s="768"/>
      <c r="S65" s="629" t="s">
        <v>290</v>
      </c>
      <c r="T65" s="651">
        <v>45900</v>
      </c>
      <c r="U65" s="661">
        <v>19634.037579449192</v>
      </c>
      <c r="V65" s="746"/>
      <c r="W65" s="576">
        <f t="shared" ref="W65:W68" si="8">W98</f>
        <v>46070</v>
      </c>
      <c r="X65" s="762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59"/>
      <c r="J66" s="759"/>
      <c r="K66" s="299"/>
      <c r="L66" s="296">
        <v>6</v>
      </c>
      <c r="M66" s="429" t="s">
        <v>316</v>
      </c>
      <c r="N66" s="407" t="s">
        <v>291</v>
      </c>
      <c r="O66" s="554"/>
      <c r="P66" s="566">
        <v>0.1</v>
      </c>
      <c r="Q66" s="298">
        <v>9239.41</v>
      </c>
      <c r="R66" s="768"/>
      <c r="S66" s="633" t="s">
        <v>292</v>
      </c>
      <c r="T66" s="651">
        <v>45900</v>
      </c>
      <c r="U66" s="676">
        <v>19633.931328447623</v>
      </c>
      <c r="V66" s="746"/>
      <c r="W66" s="576">
        <f t="shared" si="8"/>
        <v>46077</v>
      </c>
      <c r="X66" s="762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59"/>
      <c r="J67" s="759"/>
      <c r="K67" s="299"/>
      <c r="L67" s="296">
        <v>6</v>
      </c>
      <c r="M67" s="429" t="s">
        <v>316</v>
      </c>
      <c r="N67" s="407" t="s">
        <v>293</v>
      </c>
      <c r="O67" s="554"/>
      <c r="P67" s="566">
        <v>0.05</v>
      </c>
      <c r="Q67" s="298">
        <v>4619.7</v>
      </c>
      <c r="R67" s="768"/>
      <c r="S67" s="633" t="s">
        <v>294</v>
      </c>
      <c r="T67" s="651">
        <v>45900</v>
      </c>
      <c r="U67" s="676">
        <v>9816.9550391236535</v>
      </c>
      <c r="V67" s="746"/>
      <c r="W67" s="576">
        <f t="shared" si="8"/>
        <v>46077</v>
      </c>
      <c r="X67" s="762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59"/>
      <c r="J68" s="759"/>
      <c r="K68" s="299"/>
      <c r="L68" s="296">
        <v>6</v>
      </c>
      <c r="M68" s="429" t="s">
        <v>316</v>
      </c>
      <c r="N68" s="407" t="s">
        <v>295</v>
      </c>
      <c r="O68" s="554"/>
      <c r="P68" s="566">
        <v>0.05</v>
      </c>
      <c r="Q68" s="298">
        <v>4619.7</v>
      </c>
      <c r="R68" s="769"/>
      <c r="S68" s="633" t="s">
        <v>296</v>
      </c>
      <c r="T68" s="651">
        <v>45900</v>
      </c>
      <c r="U68" s="676">
        <v>9816.9550391236535</v>
      </c>
      <c r="V68" s="746"/>
      <c r="W68" s="576">
        <f t="shared" si="8"/>
        <v>46100</v>
      </c>
      <c r="X68" s="762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59"/>
      <c r="J69" s="759"/>
      <c r="K69" s="299"/>
      <c r="L69" s="296">
        <v>6</v>
      </c>
      <c r="M69" s="429" t="s">
        <v>316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46"/>
      <c r="W69" s="579"/>
      <c r="X69" s="762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59"/>
      <c r="J70" s="759"/>
      <c r="K70" s="299"/>
      <c r="L70" s="296">
        <v>6</v>
      </c>
      <c r="M70" s="429" t="s">
        <v>316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46"/>
      <c r="W70" s="579"/>
      <c r="X70" s="762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0"/>
      <c r="J71" s="760"/>
      <c r="K71" s="304"/>
      <c r="L71" s="300">
        <v>6</v>
      </c>
      <c r="M71" s="431" t="s">
        <v>316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47"/>
      <c r="W71" s="577"/>
      <c r="X71" s="763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320</v>
      </c>
      <c r="D73" s="380"/>
      <c r="E73" s="461"/>
      <c r="F73" s="467"/>
      <c r="G73" s="381"/>
      <c r="H73" s="581"/>
      <c r="I73" s="752">
        <f>SUM(G73:G80)</f>
        <v>0</v>
      </c>
      <c r="J73" s="752">
        <v>0</v>
      </c>
      <c r="K73" s="283"/>
      <c r="L73" s="379">
        <v>7</v>
      </c>
      <c r="M73" s="307" t="s">
        <v>321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64">
        <f>J73-SUM(U73:U80)</f>
        <v>0</v>
      </c>
      <c r="W73" s="581"/>
      <c r="X73" s="739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3"/>
      <c r="J74" s="753"/>
      <c r="K74" s="286"/>
      <c r="L74" s="382">
        <v>7</v>
      </c>
      <c r="M74" s="383" t="s">
        <v>321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65"/>
      <c r="W74" s="572"/>
      <c r="X74" s="740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3"/>
      <c r="J75" s="753"/>
      <c r="K75" s="286"/>
      <c r="L75" s="382">
        <v>7</v>
      </c>
      <c r="M75" s="383" t="s">
        <v>321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65"/>
      <c r="W75" s="572"/>
      <c r="X75" s="740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3"/>
      <c r="J76" s="753"/>
      <c r="K76" s="286"/>
      <c r="L76" s="382">
        <v>7</v>
      </c>
      <c r="M76" s="383" t="s">
        <v>321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65"/>
      <c r="W76" s="572"/>
      <c r="X76" s="740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3"/>
      <c r="J77" s="753"/>
      <c r="K77" s="286"/>
      <c r="L77" s="382">
        <v>7</v>
      </c>
      <c r="M77" s="383" t="s">
        <v>321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65"/>
      <c r="W77" s="572"/>
      <c r="X77" s="740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3"/>
      <c r="J78" s="753"/>
      <c r="K78" s="286"/>
      <c r="L78" s="382">
        <v>7</v>
      </c>
      <c r="M78" s="383" t="s">
        <v>321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65"/>
      <c r="W78" s="572"/>
      <c r="X78" s="740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3"/>
      <c r="J79" s="753"/>
      <c r="K79" s="286"/>
      <c r="L79" s="382">
        <v>7</v>
      </c>
      <c r="M79" s="383" t="s">
        <v>321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65"/>
      <c r="W79" s="572"/>
      <c r="X79" s="740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4"/>
      <c r="J80" s="754"/>
      <c r="K80" s="287"/>
      <c r="L80" s="314">
        <v>7</v>
      </c>
      <c r="M80" s="335" t="s">
        <v>321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66"/>
      <c r="W80" s="573"/>
      <c r="X80" s="741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322</v>
      </c>
      <c r="D82" s="331"/>
      <c r="E82" s="462"/>
      <c r="F82" s="415"/>
      <c r="G82" s="332"/>
      <c r="H82" s="575"/>
      <c r="I82" s="758">
        <f>D178</f>
        <v>0</v>
      </c>
      <c r="J82" s="758">
        <f>F178</f>
        <v>0</v>
      </c>
      <c r="K82" s="295"/>
      <c r="L82" s="330">
        <v>8</v>
      </c>
      <c r="M82" s="424" t="s">
        <v>323</v>
      </c>
      <c r="N82" s="331" t="s">
        <v>324</v>
      </c>
      <c r="O82" s="560"/>
      <c r="P82" s="415"/>
      <c r="Q82" s="332">
        <v>245754.52</v>
      </c>
      <c r="R82" s="591" t="s">
        <v>325</v>
      </c>
      <c r="S82" s="628" t="s">
        <v>326</v>
      </c>
      <c r="T82" s="696">
        <v>45991</v>
      </c>
      <c r="U82" s="505"/>
      <c r="V82" s="778">
        <f>J82-SUM(U82:U90)</f>
        <v>0</v>
      </c>
      <c r="W82" s="536">
        <v>46058</v>
      </c>
      <c r="X82" s="761">
        <f>SUM(Q82:Q90)</f>
        <v>285374.08999999997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59"/>
      <c r="J83" s="759"/>
      <c r="K83" s="299"/>
      <c r="L83" s="320">
        <v>8</v>
      </c>
      <c r="M83" s="432" t="s">
        <v>323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79"/>
      <c r="W83" s="576"/>
      <c r="X83" s="762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59"/>
      <c r="J84" s="759"/>
      <c r="K84" s="299"/>
      <c r="L84" s="320">
        <v>8</v>
      </c>
      <c r="M84" s="432" t="s">
        <v>323</v>
      </c>
      <c r="N84" s="333" t="s">
        <v>327</v>
      </c>
      <c r="O84" s="414"/>
      <c r="P84" s="460">
        <v>18219.57</v>
      </c>
      <c r="Q84" s="322">
        <f>P84</f>
        <v>18219.57</v>
      </c>
      <c r="R84" s="592"/>
      <c r="S84" s="629" t="s">
        <v>328</v>
      </c>
      <c r="T84" s="666">
        <v>45838</v>
      </c>
      <c r="U84" s="506"/>
      <c r="V84" s="779"/>
      <c r="W84" s="537">
        <v>45834</v>
      </c>
      <c r="X84" s="762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59"/>
      <c r="J85" s="759"/>
      <c r="K85" s="299"/>
      <c r="L85" s="320">
        <v>8</v>
      </c>
      <c r="M85" s="432" t="s">
        <v>323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79"/>
      <c r="W85" s="576"/>
      <c r="X85" s="762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59"/>
      <c r="J86" s="759"/>
      <c r="K86" s="299"/>
      <c r="L86" s="320">
        <v>8</v>
      </c>
      <c r="M86" s="432" t="s">
        <v>323</v>
      </c>
      <c r="N86" s="333" t="s">
        <v>329</v>
      </c>
      <c r="O86" s="557"/>
      <c r="P86" s="460"/>
      <c r="Q86" s="322">
        <f>21400*0.8</f>
        <v>17120</v>
      </c>
      <c r="R86" s="767" t="s">
        <v>330</v>
      </c>
      <c r="S86" s="629" t="s">
        <v>331</v>
      </c>
      <c r="T86" s="651">
        <v>46053</v>
      </c>
      <c r="U86" s="506"/>
      <c r="V86" s="779"/>
      <c r="W86" s="537">
        <v>46051</v>
      </c>
      <c r="X86" s="762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59"/>
      <c r="J87" s="759"/>
      <c r="K87" s="299"/>
      <c r="L87" s="320">
        <v>8</v>
      </c>
      <c r="M87" s="432" t="s">
        <v>323</v>
      </c>
      <c r="N87" s="333" t="s">
        <v>332</v>
      </c>
      <c r="O87" s="557"/>
      <c r="P87" s="460"/>
      <c r="Q87" s="322">
        <f>21400*0.2</f>
        <v>4280</v>
      </c>
      <c r="R87" s="769"/>
      <c r="S87" s="629" t="s">
        <v>331</v>
      </c>
      <c r="T87" s="651">
        <v>46053</v>
      </c>
      <c r="U87" s="506"/>
      <c r="V87" s="779"/>
      <c r="W87" s="576">
        <f>W86+14</f>
        <v>46065</v>
      </c>
      <c r="X87" s="762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59"/>
      <c r="J88" s="759"/>
      <c r="K88" s="299"/>
      <c r="L88" s="320">
        <v>8</v>
      </c>
      <c r="M88" s="432" t="s">
        <v>323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79"/>
      <c r="W88" s="576"/>
      <c r="X88" s="762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59"/>
      <c r="J89" s="759"/>
      <c r="K89" s="299"/>
      <c r="L89" s="320">
        <v>8</v>
      </c>
      <c r="M89" s="432" t="s">
        <v>323</v>
      </c>
      <c r="N89" s="333"/>
      <c r="O89" s="557"/>
      <c r="P89" s="460"/>
      <c r="Q89" s="322"/>
      <c r="R89" s="596"/>
      <c r="S89" s="633"/>
      <c r="T89" s="525" t="str">
        <f t="shared" si="9"/>
        <v/>
      </c>
      <c r="U89" s="511"/>
      <c r="V89" s="779"/>
      <c r="W89" s="579"/>
      <c r="X89" s="762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0"/>
      <c r="J90" s="760"/>
      <c r="K90" s="304"/>
      <c r="L90" s="300">
        <v>8</v>
      </c>
      <c r="M90" s="431" t="s">
        <v>323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0"/>
      <c r="W90" s="577"/>
      <c r="X90" s="763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334</v>
      </c>
      <c r="D92" s="325" t="s">
        <v>335</v>
      </c>
      <c r="E92" s="312"/>
      <c r="F92" s="436"/>
      <c r="G92" s="619">
        <f>D184</f>
        <v>92522.5</v>
      </c>
      <c r="H92" s="534">
        <v>45791</v>
      </c>
      <c r="I92" s="795">
        <f>SUM(G92:G104)</f>
        <v>288452.5</v>
      </c>
      <c r="J92" s="752">
        <f>F184+F185</f>
        <v>339355.8823529412</v>
      </c>
      <c r="K92" s="286"/>
      <c r="L92" s="309">
        <v>9</v>
      </c>
      <c r="M92" s="422" t="s">
        <v>336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42">
        <f>J92-SUM(U92:U104)</f>
        <v>7.944770622998476E-4</v>
      </c>
      <c r="W92" s="578"/>
      <c r="X92" s="772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337</v>
      </c>
      <c r="E93" s="312"/>
      <c r="F93" s="458"/>
      <c r="G93" s="619">
        <f>D185</f>
        <v>195930</v>
      </c>
      <c r="H93" s="534">
        <v>45792</v>
      </c>
      <c r="I93" s="796"/>
      <c r="J93" s="753"/>
      <c r="K93" s="286"/>
      <c r="L93" s="309">
        <v>9</v>
      </c>
      <c r="M93" s="422" t="s">
        <v>336</v>
      </c>
      <c r="N93" s="326" t="s">
        <v>283</v>
      </c>
      <c r="O93" s="568">
        <v>483120.24660138012</v>
      </c>
      <c r="P93" s="569">
        <v>0.1</v>
      </c>
      <c r="Q93" s="313">
        <f>$O$93*P93</f>
        <v>48312.024660138013</v>
      </c>
      <c r="R93" s="784" t="s">
        <v>284</v>
      </c>
      <c r="S93" s="624" t="s">
        <v>285</v>
      </c>
      <c r="T93" s="642">
        <f t="shared" si="9"/>
        <v>45808</v>
      </c>
      <c r="U93" s="660">
        <v>33935.588235294119</v>
      </c>
      <c r="V93" s="743"/>
      <c r="W93" s="534">
        <v>45792</v>
      </c>
      <c r="X93" s="773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96"/>
      <c r="J94" s="753"/>
      <c r="K94" s="286"/>
      <c r="L94" s="382">
        <v>9</v>
      </c>
      <c r="M94" s="500" t="s">
        <v>336</v>
      </c>
      <c r="N94" s="384" t="s">
        <v>100</v>
      </c>
      <c r="O94" s="550"/>
      <c r="P94" s="567">
        <v>0.15</v>
      </c>
      <c r="Q94" s="313">
        <f t="shared" ref="Q94:Q101" si="10">$O$93*P94</f>
        <v>72468.036990207009</v>
      </c>
      <c r="R94" s="785"/>
      <c r="S94" s="625" t="s">
        <v>285</v>
      </c>
      <c r="T94" s="642">
        <f t="shared" si="9"/>
        <v>45808</v>
      </c>
      <c r="U94" s="662">
        <v>50903.382352941167</v>
      </c>
      <c r="V94" s="743"/>
      <c r="W94" s="653">
        <v>45792</v>
      </c>
      <c r="X94" s="773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96"/>
      <c r="J95" s="753"/>
      <c r="K95" s="286"/>
      <c r="L95" s="382">
        <v>9</v>
      </c>
      <c r="M95" s="500" t="s">
        <v>336</v>
      </c>
      <c r="N95" s="384" t="s">
        <v>286</v>
      </c>
      <c r="O95" s="550"/>
      <c r="P95" s="567">
        <v>0.2</v>
      </c>
      <c r="Q95" s="313">
        <f t="shared" si="10"/>
        <v>96624.049320276026</v>
      </c>
      <c r="R95" s="785"/>
      <c r="S95" s="625" t="s">
        <v>287</v>
      </c>
      <c r="T95" s="642">
        <v>45869</v>
      </c>
      <c r="U95" s="662">
        <v>67871.177106169795</v>
      </c>
      <c r="V95" s="743"/>
      <c r="W95" s="535">
        <v>46037</v>
      </c>
      <c r="X95" s="773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96"/>
      <c r="J96" s="753"/>
      <c r="K96" s="286"/>
      <c r="L96" s="382">
        <v>9</v>
      </c>
      <c r="M96" s="500" t="s">
        <v>336</v>
      </c>
      <c r="N96" s="384" t="s">
        <v>288</v>
      </c>
      <c r="O96" s="550"/>
      <c r="P96" s="567">
        <v>0.14000000000000001</v>
      </c>
      <c r="Q96" s="313">
        <v>67636.83</v>
      </c>
      <c r="R96" s="785"/>
      <c r="S96" s="625" t="s">
        <v>338</v>
      </c>
      <c r="T96" s="642">
        <f t="shared" si="9"/>
        <v>45869</v>
      </c>
      <c r="U96" s="662">
        <v>47509.820796411062</v>
      </c>
      <c r="V96" s="743"/>
      <c r="W96" s="535">
        <v>45848</v>
      </c>
      <c r="X96" s="773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96"/>
      <c r="J97" s="753"/>
      <c r="K97" s="286"/>
      <c r="L97" s="382">
        <v>9</v>
      </c>
      <c r="M97" s="500" t="s">
        <v>336</v>
      </c>
      <c r="N97" s="384" t="s">
        <v>288</v>
      </c>
      <c r="O97" s="550"/>
      <c r="P97" s="567">
        <v>0.11</v>
      </c>
      <c r="Q97" s="313">
        <f>O93*P97</f>
        <v>53143.227126151811</v>
      </c>
      <c r="R97" s="785"/>
      <c r="S97" s="625" t="s">
        <v>289</v>
      </c>
      <c r="T97" s="642">
        <v>45900</v>
      </c>
      <c r="U97" s="662">
        <v>37329.147408393386</v>
      </c>
      <c r="V97" s="743"/>
      <c r="W97" s="535">
        <v>45911</v>
      </c>
      <c r="X97" s="773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96"/>
      <c r="J98" s="753"/>
      <c r="K98" s="286"/>
      <c r="L98" s="382">
        <v>9</v>
      </c>
      <c r="M98" s="500" t="s">
        <v>336</v>
      </c>
      <c r="N98" s="384" t="s">
        <v>176</v>
      </c>
      <c r="O98" s="550"/>
      <c r="P98" s="567">
        <v>0.1</v>
      </c>
      <c r="Q98" s="313">
        <f t="shared" si="10"/>
        <v>48312.024660138013</v>
      </c>
      <c r="R98" s="785"/>
      <c r="S98" s="625"/>
      <c r="T98" s="517">
        <f t="shared" si="9"/>
        <v>46081</v>
      </c>
      <c r="U98" s="502">
        <f t="shared" ref="U98:U104" si="11">(Q98/$X$92*$J$92)</f>
        <v>33935.588553084897</v>
      </c>
      <c r="V98" s="743"/>
      <c r="W98" s="572">
        <f>'Project Plan'!K39+7</f>
        <v>46070</v>
      </c>
      <c r="X98" s="773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96"/>
      <c r="J99" s="753"/>
      <c r="K99" s="286"/>
      <c r="L99" s="382">
        <v>9</v>
      </c>
      <c r="M99" s="500" t="s">
        <v>336</v>
      </c>
      <c r="N99" s="384" t="s">
        <v>291</v>
      </c>
      <c r="O99" s="550"/>
      <c r="P99" s="567">
        <v>0.1</v>
      </c>
      <c r="Q99" s="313">
        <f t="shared" si="10"/>
        <v>48312.024660138013</v>
      </c>
      <c r="R99" s="785"/>
      <c r="S99" s="625"/>
      <c r="T99" s="517">
        <f t="shared" si="9"/>
        <v>46081</v>
      </c>
      <c r="U99" s="502">
        <f t="shared" si="11"/>
        <v>33935.588553084897</v>
      </c>
      <c r="V99" s="743"/>
      <c r="W99" s="572">
        <f>'Project Plan'!K48+7</f>
        <v>46077</v>
      </c>
      <c r="X99" s="773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96"/>
      <c r="J100" s="753"/>
      <c r="K100" s="286"/>
      <c r="L100" s="382">
        <v>9</v>
      </c>
      <c r="M100" s="500" t="s">
        <v>336</v>
      </c>
      <c r="N100" s="384" t="s">
        <v>293</v>
      </c>
      <c r="O100" s="550"/>
      <c r="P100" s="567">
        <v>0.05</v>
      </c>
      <c r="Q100" s="313">
        <f t="shared" si="10"/>
        <v>24156.012330069007</v>
      </c>
      <c r="R100" s="785"/>
      <c r="S100" s="625"/>
      <c r="T100" s="517">
        <f t="shared" si="9"/>
        <v>46081</v>
      </c>
      <c r="U100" s="502">
        <f t="shared" si="11"/>
        <v>16967.794276542449</v>
      </c>
      <c r="V100" s="743"/>
      <c r="W100" s="572">
        <f>'Project Plan'!K48+7</f>
        <v>46077</v>
      </c>
      <c r="X100" s="773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96"/>
      <c r="J101" s="753"/>
      <c r="K101" s="286"/>
      <c r="L101" s="382">
        <v>9</v>
      </c>
      <c r="M101" s="500" t="s">
        <v>336</v>
      </c>
      <c r="N101" s="384" t="s">
        <v>295</v>
      </c>
      <c r="O101" s="550"/>
      <c r="P101" s="567">
        <v>0.05</v>
      </c>
      <c r="Q101" s="313">
        <f t="shared" si="10"/>
        <v>24156.012330069007</v>
      </c>
      <c r="R101" s="786"/>
      <c r="S101" s="625"/>
      <c r="T101" s="517">
        <f t="shared" si="9"/>
        <v>46112</v>
      </c>
      <c r="U101" s="502">
        <f t="shared" si="11"/>
        <v>16967.794276542449</v>
      </c>
      <c r="V101" s="743"/>
      <c r="W101" s="572">
        <f>'Project Plan'!K48+30</f>
        <v>46100</v>
      </c>
      <c r="X101" s="773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96"/>
      <c r="J102" s="753"/>
      <c r="K102" s="286"/>
      <c r="L102" s="382">
        <v>9</v>
      </c>
      <c r="M102" s="500" t="s">
        <v>336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43"/>
      <c r="W102" s="572"/>
      <c r="X102" s="773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96"/>
      <c r="J103" s="753"/>
      <c r="K103" s="286"/>
      <c r="L103" s="382">
        <v>9</v>
      </c>
      <c r="M103" s="500" t="s">
        <v>336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43"/>
      <c r="W103" s="572"/>
      <c r="X103" s="773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97"/>
      <c r="J104" s="754"/>
      <c r="K104" s="362"/>
      <c r="L104" s="314">
        <v>9</v>
      </c>
      <c r="M104" s="440" t="s">
        <v>336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44"/>
      <c r="W104" s="573"/>
      <c r="X104" s="774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339</v>
      </c>
      <c r="D106" s="268" t="s">
        <v>257</v>
      </c>
      <c r="E106" s="269"/>
      <c r="F106" s="469"/>
      <c r="G106" s="336">
        <f>D188</f>
        <v>8500</v>
      </c>
      <c r="H106" s="540">
        <v>45847</v>
      </c>
      <c r="I106" s="787">
        <f>SUM(G106:G125)</f>
        <v>58027.933333333342</v>
      </c>
      <c r="J106" s="787">
        <f>F188+F191+F192+F190</f>
        <v>68268.156862745105</v>
      </c>
      <c r="K106" s="337"/>
      <c r="L106" s="267">
        <v>10</v>
      </c>
      <c r="M106" s="433" t="s">
        <v>340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75">
        <f>J106-SUM(U106:U125)</f>
        <v>4.4754566042684019E-3</v>
      </c>
      <c r="W106" s="582"/>
      <c r="X106" s="791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258</v>
      </c>
      <c r="E107" s="340"/>
      <c r="F107" s="470"/>
      <c r="G107" s="341">
        <f>D192</f>
        <v>25764.600000000002</v>
      </c>
      <c r="H107" s="540">
        <v>45848</v>
      </c>
      <c r="I107" s="793"/>
      <c r="J107" s="793"/>
      <c r="K107" s="270"/>
      <c r="L107" s="338">
        <v>10</v>
      </c>
      <c r="M107" s="434" t="s">
        <v>340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76"/>
      <c r="W107" s="583"/>
      <c r="X107" s="794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93"/>
      <c r="J108" s="793"/>
      <c r="K108" s="270"/>
      <c r="L108" s="338">
        <v>10</v>
      </c>
      <c r="M108" s="434" t="s">
        <v>340</v>
      </c>
      <c r="N108" s="339" t="s">
        <v>341</v>
      </c>
      <c r="O108" s="563"/>
      <c r="P108" s="470"/>
      <c r="Q108" s="341">
        <v>4600</v>
      </c>
      <c r="R108" s="601"/>
      <c r="S108" s="637" t="s">
        <v>342</v>
      </c>
      <c r="T108" s="667">
        <v>45838</v>
      </c>
      <c r="U108" s="672">
        <f>2916.70385553528+1340.94</f>
        <v>4257.6438555352797</v>
      </c>
      <c r="V108" s="776"/>
      <c r="W108" s="540">
        <v>45849</v>
      </c>
      <c r="X108" s="794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93"/>
      <c r="J109" s="793"/>
      <c r="K109" s="270"/>
      <c r="L109" s="338">
        <v>10</v>
      </c>
      <c r="M109" s="434" t="s">
        <v>340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76"/>
      <c r="W109" s="583"/>
      <c r="X109" s="794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93"/>
      <c r="J110" s="793"/>
      <c r="K110" s="270"/>
      <c r="L110" s="338">
        <v>10</v>
      </c>
      <c r="M110" s="434" t="s">
        <v>340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76"/>
      <c r="W110" s="583"/>
      <c r="X110" s="794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93"/>
      <c r="J111" s="793"/>
      <c r="K111" s="270"/>
      <c r="L111" s="338">
        <v>10</v>
      </c>
      <c r="M111" s="434" t="s">
        <v>340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76"/>
      <c r="W111" s="583"/>
      <c r="X111" s="794"/>
      <c r="Y111" s="481"/>
    </row>
    <row r="112" spans="1:25" ht="14.25" customHeight="1">
      <c r="B112" s="338">
        <v>10</v>
      </c>
      <c r="C112" s="339"/>
      <c r="D112" s="339" t="s">
        <v>343</v>
      </c>
      <c r="E112" s="340"/>
      <c r="F112" s="470"/>
      <c r="G112" s="341">
        <f>D191</f>
        <v>19200</v>
      </c>
      <c r="H112" s="540">
        <v>45853</v>
      </c>
      <c r="I112" s="793"/>
      <c r="J112" s="793"/>
      <c r="K112" s="270"/>
      <c r="L112" s="338">
        <v>10</v>
      </c>
      <c r="M112" s="434" t="s">
        <v>340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76"/>
      <c r="W112" s="583"/>
      <c r="X112" s="794"/>
      <c r="Y112" s="481"/>
    </row>
    <row r="113" spans="1:25" ht="14.25" customHeight="1">
      <c r="B113" s="338">
        <v>10</v>
      </c>
      <c r="C113" s="339"/>
      <c r="D113" s="339" t="s">
        <v>259</v>
      </c>
      <c r="E113" s="340"/>
      <c r="F113" s="470"/>
      <c r="G113" s="341">
        <f>D190</f>
        <v>4563.333333333333</v>
      </c>
      <c r="H113" s="540">
        <v>45854</v>
      </c>
      <c r="I113" s="793"/>
      <c r="J113" s="793"/>
      <c r="K113" s="270"/>
      <c r="L113" s="338">
        <v>10</v>
      </c>
      <c r="M113" s="434" t="s">
        <v>340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76"/>
      <c r="W113" s="583"/>
      <c r="X113" s="794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93"/>
      <c r="J114" s="793"/>
      <c r="K114" s="270"/>
      <c r="L114" s="338">
        <v>10</v>
      </c>
      <c r="M114" s="434" t="s">
        <v>340</v>
      </c>
      <c r="N114" s="339" t="s">
        <v>283</v>
      </c>
      <c r="O114" s="618">
        <v>49733.929824926352</v>
      </c>
      <c r="P114" s="570">
        <v>0.1</v>
      </c>
      <c r="Q114" s="341">
        <f>$O$114*P114</f>
        <v>4973.3929824926354</v>
      </c>
      <c r="R114" s="781" t="s">
        <v>284</v>
      </c>
      <c r="S114" s="638" t="s">
        <v>285</v>
      </c>
      <c r="T114" s="652">
        <f t="shared" si="9"/>
        <v>45808</v>
      </c>
      <c r="U114" s="663">
        <v>2617.0823062792065</v>
      </c>
      <c r="V114" s="776"/>
      <c r="W114" s="541">
        <f t="shared" ref="W114:W122" si="14">W93</f>
        <v>45792</v>
      </c>
      <c r="X114" s="794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93"/>
      <c r="J115" s="793"/>
      <c r="K115" s="270"/>
      <c r="L115" s="338">
        <v>10</v>
      </c>
      <c r="M115" s="434" t="s">
        <v>340</v>
      </c>
      <c r="N115" s="339" t="s">
        <v>100</v>
      </c>
      <c r="O115" s="563"/>
      <c r="P115" s="570">
        <v>0.15</v>
      </c>
      <c r="Q115" s="341">
        <f t="shared" ref="Q115:Q122" si="15">$O$114*P115</f>
        <v>7460.0894737389526</v>
      </c>
      <c r="R115" s="782"/>
      <c r="S115" s="638" t="s">
        <v>285</v>
      </c>
      <c r="T115" s="652">
        <f t="shared" si="9"/>
        <v>45808</v>
      </c>
      <c r="U115" s="663">
        <v>3925.6234594188095</v>
      </c>
      <c r="V115" s="776"/>
      <c r="W115" s="654">
        <f t="shared" si="14"/>
        <v>45792</v>
      </c>
      <c r="X115" s="794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93"/>
      <c r="J116" s="793"/>
      <c r="K116" s="270"/>
      <c r="L116" s="338">
        <v>10</v>
      </c>
      <c r="M116" s="434" t="s">
        <v>340</v>
      </c>
      <c r="N116" s="339" t="s">
        <v>286</v>
      </c>
      <c r="O116" s="563"/>
      <c r="P116" s="570">
        <v>0.2</v>
      </c>
      <c r="Q116" s="341">
        <f t="shared" si="15"/>
        <v>9946.7859649852708</v>
      </c>
      <c r="R116" s="782"/>
      <c r="S116" s="638" t="s">
        <v>287</v>
      </c>
      <c r="T116" s="652">
        <v>45869</v>
      </c>
      <c r="U116" s="663">
        <v>6306.9193525095388</v>
      </c>
      <c r="V116" s="776"/>
      <c r="W116" s="541">
        <f t="shared" si="14"/>
        <v>46037</v>
      </c>
      <c r="X116" s="794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93"/>
      <c r="J117" s="793"/>
      <c r="K117" s="270"/>
      <c r="L117" s="338">
        <v>10</v>
      </c>
      <c r="M117" s="434" t="s">
        <v>340</v>
      </c>
      <c r="N117" s="339" t="s">
        <v>288</v>
      </c>
      <c r="O117" s="563"/>
      <c r="P117" s="570">
        <v>0.14000000000000001</v>
      </c>
      <c r="Q117" s="341">
        <v>6962.75</v>
      </c>
      <c r="R117" s="782"/>
      <c r="S117" s="638" t="s">
        <v>338</v>
      </c>
      <c r="T117" s="673">
        <v>45869</v>
      </c>
      <c r="U117" s="663">
        <v>4414.8434354846222</v>
      </c>
      <c r="V117" s="776"/>
      <c r="W117" s="541">
        <f t="shared" si="14"/>
        <v>45848</v>
      </c>
      <c r="X117" s="794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93"/>
      <c r="J118" s="793"/>
      <c r="K118" s="270"/>
      <c r="L118" s="338">
        <v>10</v>
      </c>
      <c r="M118" s="434" t="s">
        <v>340</v>
      </c>
      <c r="N118" s="339" t="s">
        <v>288</v>
      </c>
      <c r="O118" s="563"/>
      <c r="P118" s="570">
        <v>0.11</v>
      </c>
      <c r="Q118" s="341">
        <f>O114*P118</f>
        <v>5470.7322807418986</v>
      </c>
      <c r="R118" s="782"/>
      <c r="S118" s="638" t="s">
        <v>289</v>
      </c>
      <c r="T118" s="652">
        <v>45900</v>
      </c>
      <c r="U118" s="663">
        <v>6873.7404798262696</v>
      </c>
      <c r="V118" s="776"/>
      <c r="W118" s="541">
        <f>W97</f>
        <v>45911</v>
      </c>
      <c r="X118" s="794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93"/>
      <c r="J119" s="793"/>
      <c r="K119" s="270"/>
      <c r="L119" s="338">
        <v>10</v>
      </c>
      <c r="M119" s="434" t="s">
        <v>340</v>
      </c>
      <c r="N119" s="339" t="s">
        <v>176</v>
      </c>
      <c r="O119" s="563"/>
      <c r="P119" s="570">
        <v>0.1</v>
      </c>
      <c r="Q119" s="341">
        <v>4973.41</v>
      </c>
      <c r="R119" s="782"/>
      <c r="S119" s="638" t="s">
        <v>290</v>
      </c>
      <c r="T119" s="652">
        <v>45900</v>
      </c>
      <c r="U119" s="663">
        <v>6248.8763634283951</v>
      </c>
      <c r="V119" s="776"/>
      <c r="W119" s="584">
        <f t="shared" si="14"/>
        <v>46070</v>
      </c>
      <c r="X119" s="794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93"/>
      <c r="J120" s="793"/>
      <c r="K120" s="270"/>
      <c r="L120" s="338">
        <v>10</v>
      </c>
      <c r="M120" s="434" t="s">
        <v>340</v>
      </c>
      <c r="N120" s="339" t="s">
        <v>291</v>
      </c>
      <c r="O120" s="563"/>
      <c r="P120" s="570">
        <v>0.1</v>
      </c>
      <c r="Q120" s="341">
        <v>4973.3</v>
      </c>
      <c r="R120" s="782"/>
      <c r="S120" s="638" t="s">
        <v>292</v>
      </c>
      <c r="T120" s="652">
        <v>45900</v>
      </c>
      <c r="U120" s="663">
        <v>6248.7381531461197</v>
      </c>
      <c r="V120" s="776"/>
      <c r="W120" s="584">
        <f t="shared" si="14"/>
        <v>46077</v>
      </c>
      <c r="X120" s="794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93"/>
      <c r="J121" s="793"/>
      <c r="K121" s="270"/>
      <c r="L121" s="338">
        <v>10</v>
      </c>
      <c r="M121" s="434" t="s">
        <v>340</v>
      </c>
      <c r="N121" s="339" t="s">
        <v>293</v>
      </c>
      <c r="O121" s="563"/>
      <c r="P121" s="570">
        <v>0.05</v>
      </c>
      <c r="Q121" s="341">
        <f t="shared" si="15"/>
        <v>2486.6964912463177</v>
      </c>
      <c r="R121" s="782"/>
      <c r="S121" s="638" t="s">
        <v>294</v>
      </c>
      <c r="T121" s="652">
        <v>45900</v>
      </c>
      <c r="U121" s="663">
        <v>3124.4274908301227</v>
      </c>
      <c r="V121" s="776"/>
      <c r="W121" s="584">
        <f t="shared" si="14"/>
        <v>46077</v>
      </c>
      <c r="X121" s="794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93"/>
      <c r="J122" s="793"/>
      <c r="K122" s="270"/>
      <c r="L122" s="338">
        <v>10</v>
      </c>
      <c r="M122" s="434" t="s">
        <v>340</v>
      </c>
      <c r="N122" s="339" t="s">
        <v>295</v>
      </c>
      <c r="O122" s="563"/>
      <c r="P122" s="570">
        <v>0.05</v>
      </c>
      <c r="Q122" s="341">
        <f t="shared" si="15"/>
        <v>2486.6964912463177</v>
      </c>
      <c r="R122" s="783"/>
      <c r="S122" s="638" t="s">
        <v>296</v>
      </c>
      <c r="T122" s="652">
        <v>45900</v>
      </c>
      <c r="U122" s="663">
        <v>3124.4274908301227</v>
      </c>
      <c r="V122" s="776"/>
      <c r="W122" s="584">
        <f t="shared" si="14"/>
        <v>46100</v>
      </c>
      <c r="X122" s="794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93"/>
      <c r="J123" s="793"/>
      <c r="K123" s="270"/>
      <c r="L123" s="338">
        <v>10</v>
      </c>
      <c r="M123" s="434" t="s">
        <v>340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76"/>
      <c r="W123" s="584"/>
      <c r="X123" s="794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93"/>
      <c r="J124" s="793"/>
      <c r="K124" s="270"/>
      <c r="L124" s="338">
        <v>10</v>
      </c>
      <c r="M124" s="434" t="s">
        <v>340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76"/>
      <c r="W124" s="584"/>
      <c r="X124" s="794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88"/>
      <c r="J125" s="788"/>
      <c r="K125" s="273"/>
      <c r="L125" s="271">
        <v>10</v>
      </c>
      <c r="M125" s="435" t="s">
        <v>340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77"/>
      <c r="W125" s="585"/>
      <c r="X125" s="792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344</v>
      </c>
      <c r="D127" s="349" t="s">
        <v>345</v>
      </c>
      <c r="E127" s="281"/>
      <c r="F127" s="436"/>
      <c r="G127" s="282">
        <v>11000</v>
      </c>
      <c r="H127" s="535">
        <v>45831</v>
      </c>
      <c r="I127" s="752">
        <f>SUM(G127:G131)</f>
        <v>116504.5</v>
      </c>
      <c r="J127" s="752">
        <f>F187</f>
        <v>137064.11764705883</v>
      </c>
      <c r="K127" s="283"/>
      <c r="L127" s="279">
        <v>11</v>
      </c>
      <c r="M127" s="349" t="s">
        <v>346</v>
      </c>
      <c r="N127" s="349" t="s">
        <v>345</v>
      </c>
      <c r="O127" s="281"/>
      <c r="P127" s="436"/>
      <c r="Q127" s="282">
        <v>10160.799999999999</v>
      </c>
      <c r="R127" s="594"/>
      <c r="S127" s="631" t="s">
        <v>347</v>
      </c>
      <c r="T127" s="658">
        <v>45869</v>
      </c>
      <c r="U127" s="659">
        <v>48966.662532817616</v>
      </c>
      <c r="V127" s="742">
        <f>J127-SUM(U127:U131)</f>
        <v>-2.8580339858308434E-3</v>
      </c>
      <c r="W127" s="578">
        <f>'Project Plan'!K39+14</f>
        <v>46077</v>
      </c>
      <c r="X127" s="739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348</v>
      </c>
      <c r="E128" s="312"/>
      <c r="F128" s="458"/>
      <c r="G128" s="313">
        <v>18504.5</v>
      </c>
      <c r="H128" s="535">
        <v>45832</v>
      </c>
      <c r="I128" s="753"/>
      <c r="J128" s="753"/>
      <c r="K128" s="286"/>
      <c r="L128" s="309">
        <v>11</v>
      </c>
      <c r="M128" s="388" t="s">
        <v>346</v>
      </c>
      <c r="N128" s="311" t="s">
        <v>348</v>
      </c>
      <c r="O128" s="312"/>
      <c r="P128" s="458"/>
      <c r="Q128" s="313">
        <v>8212.24</v>
      </c>
      <c r="R128" s="587" t="s">
        <v>349</v>
      </c>
      <c r="S128" s="624" t="s">
        <v>350</v>
      </c>
      <c r="T128" s="648">
        <v>45777</v>
      </c>
      <c r="U128" s="646">
        <v>37133.627521617753</v>
      </c>
      <c r="V128" s="743"/>
      <c r="W128" s="649">
        <v>45757</v>
      </c>
      <c r="X128" s="740"/>
      <c r="Y128" s="481"/>
    </row>
    <row r="129" spans="1:25" ht="15" customHeight="1">
      <c r="B129" s="309">
        <v>11</v>
      </c>
      <c r="C129" s="311"/>
      <c r="D129" s="311" t="s">
        <v>351</v>
      </c>
      <c r="E129" s="312"/>
      <c r="F129" s="458"/>
      <c r="G129" s="313">
        <v>80000</v>
      </c>
      <c r="H129" s="535">
        <v>45833</v>
      </c>
      <c r="I129" s="753"/>
      <c r="J129" s="753"/>
      <c r="K129" s="286"/>
      <c r="L129" s="309">
        <v>11</v>
      </c>
      <c r="M129" s="388" t="s">
        <v>346</v>
      </c>
      <c r="N129" s="311" t="s">
        <v>351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43"/>
      <c r="W129" s="571"/>
      <c r="X129" s="740"/>
      <c r="Y129" s="481"/>
    </row>
    <row r="130" spans="1:25" ht="15" customHeight="1">
      <c r="B130" s="309">
        <v>11</v>
      </c>
      <c r="C130" s="386"/>
      <c r="D130" s="386" t="s">
        <v>352</v>
      </c>
      <c r="E130" s="405"/>
      <c r="F130" s="443"/>
      <c r="G130" s="385">
        <v>7000</v>
      </c>
      <c r="H130" s="535">
        <v>45834</v>
      </c>
      <c r="I130" s="753"/>
      <c r="J130" s="753"/>
      <c r="K130" s="286"/>
      <c r="L130" s="309">
        <v>11</v>
      </c>
      <c r="M130" s="388" t="s">
        <v>346</v>
      </c>
      <c r="N130" s="386" t="s">
        <v>352</v>
      </c>
      <c r="O130" s="405"/>
      <c r="P130" s="443"/>
      <c r="Q130" s="385">
        <v>5100</v>
      </c>
      <c r="R130" s="588" t="s">
        <v>353</v>
      </c>
      <c r="S130" s="625" t="s">
        <v>354</v>
      </c>
      <c r="T130" s="643">
        <v>45777</v>
      </c>
      <c r="U130" s="647">
        <v>23060.88233664025</v>
      </c>
      <c r="V130" s="743"/>
      <c r="W130" s="535">
        <v>45834</v>
      </c>
      <c r="X130" s="740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4"/>
      <c r="J131" s="754"/>
      <c r="K131" s="287"/>
      <c r="L131" s="314">
        <v>11</v>
      </c>
      <c r="M131" s="418" t="s">
        <v>346</v>
      </c>
      <c r="N131" s="315" t="s">
        <v>355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44"/>
      <c r="W131" s="573">
        <f>T131+30</f>
        <v>46111</v>
      </c>
      <c r="X131" s="741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356</v>
      </c>
      <c r="D133" s="268" t="s">
        <v>357</v>
      </c>
      <c r="E133" s="269"/>
      <c r="F133" s="469"/>
      <c r="G133" s="336">
        <v>64471.513750794897</v>
      </c>
      <c r="H133" s="535">
        <v>45837</v>
      </c>
      <c r="I133" s="787">
        <f>SUM(G133:G134)</f>
        <v>77365.816500953879</v>
      </c>
      <c r="J133" s="787">
        <v>0</v>
      </c>
      <c r="K133" s="789"/>
      <c r="L133" s="267">
        <v>12</v>
      </c>
      <c r="M133" s="268" t="s">
        <v>358</v>
      </c>
      <c r="N133" s="268" t="s">
        <v>357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91">
        <f>SUM(Q133:Q134)</f>
        <v>0</v>
      </c>
      <c r="Y133" s="481"/>
    </row>
    <row r="134" spans="1:25" ht="15" customHeight="1" thickBot="1">
      <c r="B134" s="271">
        <v>12</v>
      </c>
      <c r="C134" s="342" t="s">
        <v>356</v>
      </c>
      <c r="D134" s="342" t="s">
        <v>359</v>
      </c>
      <c r="E134" s="343"/>
      <c r="F134" s="471"/>
      <c r="G134" s="272">
        <v>12894.30275015898</v>
      </c>
      <c r="H134" s="535">
        <v>45838</v>
      </c>
      <c r="I134" s="788"/>
      <c r="J134" s="788"/>
      <c r="K134" s="790"/>
      <c r="L134" s="271">
        <v>12</v>
      </c>
      <c r="M134" s="342" t="s">
        <v>358</v>
      </c>
      <c r="N134" s="342" t="s">
        <v>359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92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360</v>
      </c>
      <c r="D136" s="349" t="s">
        <v>361</v>
      </c>
      <c r="E136" s="281"/>
      <c r="F136" s="436"/>
      <c r="G136" s="282">
        <v>31209.307742753626</v>
      </c>
      <c r="H136" s="578">
        <v>45961</v>
      </c>
      <c r="I136" s="752">
        <f>SUM(G136:G140)</f>
        <v>122409.30774275362</v>
      </c>
      <c r="J136" s="752">
        <f>F186</f>
        <v>139101.48607131094</v>
      </c>
      <c r="K136" s="283"/>
      <c r="L136" s="279">
        <v>13</v>
      </c>
      <c r="M136" s="349" t="s">
        <v>362</v>
      </c>
      <c r="N136" s="349" t="s">
        <v>363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42">
        <f>J136-SUM(U136:U141)</f>
        <v>0</v>
      </c>
      <c r="W136" s="578">
        <v>46053</v>
      </c>
      <c r="X136" s="739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364</v>
      </c>
      <c r="E137" s="312"/>
      <c r="F137" s="458"/>
      <c r="G137" s="313">
        <v>16000</v>
      </c>
      <c r="H137" s="571">
        <v>45961</v>
      </c>
      <c r="I137" s="753"/>
      <c r="J137" s="753"/>
      <c r="K137" s="286"/>
      <c r="L137" s="309">
        <v>13</v>
      </c>
      <c r="M137" s="388" t="s">
        <v>362</v>
      </c>
      <c r="N137" s="311" t="s">
        <v>364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43"/>
      <c r="W137" s="571">
        <v>45961</v>
      </c>
      <c r="X137" s="740"/>
      <c r="Y137" s="481"/>
    </row>
    <row r="138" spans="1:25" ht="15.75" customHeight="1">
      <c r="B138" s="309">
        <v>13</v>
      </c>
      <c r="C138" s="311"/>
      <c r="D138" s="311" t="s">
        <v>365</v>
      </c>
      <c r="E138" s="312"/>
      <c r="F138" s="458"/>
      <c r="G138" s="313">
        <v>40800</v>
      </c>
      <c r="H138" s="571">
        <v>45961</v>
      </c>
      <c r="I138" s="753"/>
      <c r="J138" s="753"/>
      <c r="K138" s="286"/>
      <c r="L138" s="309">
        <v>13</v>
      </c>
      <c r="M138" s="388" t="s">
        <v>362</v>
      </c>
      <c r="N138" s="311" t="s">
        <v>365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43"/>
      <c r="W138" s="571">
        <v>45961</v>
      </c>
      <c r="X138" s="740"/>
      <c r="Y138" s="481"/>
    </row>
    <row r="139" spans="1:25" ht="15.75" customHeight="1">
      <c r="B139" s="309">
        <v>13</v>
      </c>
      <c r="C139" s="311"/>
      <c r="D139" s="311" t="s">
        <v>366</v>
      </c>
      <c r="E139" s="312"/>
      <c r="F139" s="458"/>
      <c r="G139" s="313">
        <v>20800</v>
      </c>
      <c r="H139" s="571">
        <v>45961</v>
      </c>
      <c r="I139" s="753"/>
      <c r="J139" s="753"/>
      <c r="K139" s="286"/>
      <c r="L139" s="309">
        <v>13</v>
      </c>
      <c r="M139" s="388" t="s">
        <v>362</v>
      </c>
      <c r="N139" s="311" t="s">
        <v>366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43"/>
      <c r="W139" s="571">
        <v>45961</v>
      </c>
      <c r="X139" s="740"/>
      <c r="Y139" s="481"/>
    </row>
    <row r="140" spans="1:25" ht="15.75" customHeight="1">
      <c r="B140" s="309">
        <v>13</v>
      </c>
      <c r="C140" s="311"/>
      <c r="D140" s="311" t="s">
        <v>367</v>
      </c>
      <c r="E140" s="312"/>
      <c r="F140" s="458"/>
      <c r="G140" s="313">
        <v>13600</v>
      </c>
      <c r="H140" s="571">
        <v>45961</v>
      </c>
      <c r="I140" s="753"/>
      <c r="J140" s="753"/>
      <c r="K140" s="286"/>
      <c r="L140" s="309">
        <v>13</v>
      </c>
      <c r="M140" s="388" t="s">
        <v>362</v>
      </c>
      <c r="N140" s="311" t="s">
        <v>367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43"/>
      <c r="W140" s="571">
        <v>45961</v>
      </c>
      <c r="X140" s="740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4"/>
      <c r="J141" s="754"/>
      <c r="K141" s="362"/>
      <c r="L141" s="314">
        <v>13</v>
      </c>
      <c r="M141" s="418" t="s">
        <v>362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44"/>
      <c r="W141" s="573"/>
      <c r="X141" s="741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368</v>
      </c>
      <c r="D143" s="268" t="s">
        <v>369</v>
      </c>
      <c r="E143" s="269"/>
      <c r="F143" s="469"/>
      <c r="G143" s="336">
        <v>6475</v>
      </c>
      <c r="H143" s="650">
        <v>45777</v>
      </c>
      <c r="I143" s="787">
        <f>SUM(G143:G155)</f>
        <v>6475</v>
      </c>
      <c r="J143" s="787">
        <f>F197</f>
        <v>7617.6470588235297</v>
      </c>
      <c r="K143" s="337"/>
      <c r="L143" s="267">
        <v>14</v>
      </c>
      <c r="M143" s="433" t="s">
        <v>370</v>
      </c>
      <c r="N143" s="268" t="s">
        <v>371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75">
        <f>J143-SUM(U143:U155)</f>
        <v>2.6487714585528011E-3</v>
      </c>
      <c r="W143" s="650">
        <v>45777</v>
      </c>
      <c r="X143" s="791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93"/>
      <c r="J144" s="793"/>
      <c r="K144" s="270"/>
      <c r="L144" s="338">
        <v>14</v>
      </c>
      <c r="M144" s="434" t="s">
        <v>370</v>
      </c>
      <c r="N144" s="339" t="s">
        <v>371</v>
      </c>
      <c r="O144" s="563"/>
      <c r="P144" s="470"/>
      <c r="Q144" s="341">
        <v>1399.43</v>
      </c>
      <c r="R144" s="602"/>
      <c r="S144" s="638" t="s">
        <v>372</v>
      </c>
      <c r="T144" s="652">
        <v>45808</v>
      </c>
      <c r="U144" s="663">
        <v>3189.8824402454306</v>
      </c>
      <c r="V144" s="776"/>
      <c r="W144" s="541">
        <v>45817</v>
      </c>
      <c r="X144" s="794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93"/>
      <c r="J145" s="793"/>
      <c r="K145" s="270"/>
      <c r="L145" s="338">
        <v>14</v>
      </c>
      <c r="M145" s="434" t="s">
        <v>370</v>
      </c>
      <c r="N145" s="339" t="s">
        <v>371</v>
      </c>
      <c r="O145" s="563"/>
      <c r="P145" s="470"/>
      <c r="Q145" s="341">
        <v>1699.57</v>
      </c>
      <c r="R145" s="602"/>
      <c r="S145" s="638" t="s">
        <v>372</v>
      </c>
      <c r="T145" s="652">
        <v>45838</v>
      </c>
      <c r="U145" s="663">
        <v>2182.6952598463149</v>
      </c>
      <c r="V145" s="776"/>
      <c r="W145" s="541">
        <v>45842</v>
      </c>
      <c r="X145" s="794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93"/>
      <c r="J146" s="793"/>
      <c r="K146" s="270"/>
      <c r="L146" s="338">
        <v>14</v>
      </c>
      <c r="M146" s="434" t="s">
        <v>370</v>
      </c>
      <c r="N146" s="339" t="s">
        <v>371</v>
      </c>
      <c r="O146" s="563"/>
      <c r="P146" s="470"/>
      <c r="Q146" s="341">
        <v>502.18</v>
      </c>
      <c r="R146" s="602"/>
      <c r="S146" s="638" t="s">
        <v>372</v>
      </c>
      <c r="T146" s="652">
        <v>45869</v>
      </c>
      <c r="U146" s="663">
        <v>230.25910219804018</v>
      </c>
      <c r="V146" s="776"/>
      <c r="W146" s="541">
        <v>45876</v>
      </c>
      <c r="X146" s="794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93"/>
      <c r="J147" s="793"/>
      <c r="K147" s="270"/>
      <c r="L147" s="338">
        <v>14</v>
      </c>
      <c r="M147" s="434" t="s">
        <v>370</v>
      </c>
      <c r="N147" s="339" t="s">
        <v>371</v>
      </c>
      <c r="O147" s="563"/>
      <c r="P147" s="470"/>
      <c r="Q147" s="341">
        <v>380.32</v>
      </c>
      <c r="R147" s="602"/>
      <c r="S147" s="638" t="s">
        <v>372</v>
      </c>
      <c r="T147" s="652">
        <v>45900</v>
      </c>
      <c r="U147" s="663">
        <v>625.86812041731798</v>
      </c>
      <c r="V147" s="776"/>
      <c r="W147" s="681">
        <v>45900</v>
      </c>
      <c r="X147" s="794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93"/>
      <c r="J148" s="793"/>
      <c r="K148" s="270"/>
      <c r="L148" s="338">
        <v>14</v>
      </c>
      <c r="M148" s="434" t="s">
        <v>370</v>
      </c>
      <c r="N148" s="339" t="s">
        <v>371</v>
      </c>
      <c r="O148" s="563"/>
      <c r="P148" s="470"/>
      <c r="Q148" s="341">
        <v>0</v>
      </c>
      <c r="R148" s="602"/>
      <c r="S148" s="638" t="s">
        <v>372</v>
      </c>
      <c r="T148" s="680">
        <v>45930</v>
      </c>
      <c r="U148" s="682">
        <f>(Q148/$X$143*$J$143)</f>
        <v>0</v>
      </c>
      <c r="V148" s="776"/>
      <c r="W148" s="681">
        <v>45939</v>
      </c>
      <c r="X148" s="794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93"/>
      <c r="J149" s="793"/>
      <c r="K149" s="270"/>
      <c r="L149" s="338">
        <v>14</v>
      </c>
      <c r="M149" s="434" t="s">
        <v>370</v>
      </c>
      <c r="N149" s="339" t="s">
        <v>371</v>
      </c>
      <c r="O149" s="563"/>
      <c r="P149" s="470"/>
      <c r="Q149" s="341">
        <v>125.19</v>
      </c>
      <c r="R149" s="602"/>
      <c r="S149" s="638" t="s">
        <v>372</v>
      </c>
      <c r="T149" s="680">
        <v>45961</v>
      </c>
      <c r="U149" s="682">
        <v>176.54719824612627</v>
      </c>
      <c r="V149" s="776"/>
      <c r="W149" s="681">
        <v>45967</v>
      </c>
      <c r="X149" s="794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93"/>
      <c r="J150" s="793"/>
      <c r="K150" s="270"/>
      <c r="L150" s="338">
        <v>14</v>
      </c>
      <c r="M150" s="434" t="s">
        <v>370</v>
      </c>
      <c r="N150" s="339" t="s">
        <v>371</v>
      </c>
      <c r="O150" s="563"/>
      <c r="P150" s="470"/>
      <c r="Q150" s="341">
        <v>0</v>
      </c>
      <c r="R150" s="692"/>
      <c r="S150" s="638" t="s">
        <v>372</v>
      </c>
      <c r="T150" s="680">
        <v>45991</v>
      </c>
      <c r="U150" s="682">
        <v>0</v>
      </c>
      <c r="V150" s="776"/>
      <c r="W150" s="681">
        <v>45991</v>
      </c>
      <c r="X150" s="794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93"/>
      <c r="J151" s="793"/>
      <c r="K151" s="270"/>
      <c r="L151" s="338">
        <v>14</v>
      </c>
      <c r="M151" s="434" t="s">
        <v>370</v>
      </c>
      <c r="N151" s="339" t="s">
        <v>371</v>
      </c>
      <c r="O151" s="563"/>
      <c r="P151" s="470"/>
      <c r="Q151" s="341">
        <v>244.66</v>
      </c>
      <c r="R151" s="602"/>
      <c r="S151" s="638" t="s">
        <v>372</v>
      </c>
      <c r="T151" s="680">
        <v>46022</v>
      </c>
      <c r="U151" s="682">
        <v>242.87560130476257</v>
      </c>
      <c r="V151" s="776"/>
      <c r="W151" s="681">
        <v>46030</v>
      </c>
      <c r="X151" s="794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93"/>
      <c r="J152" s="793"/>
      <c r="K152" s="270"/>
      <c r="L152" s="338">
        <v>14</v>
      </c>
      <c r="M152" s="434" t="s">
        <v>370</v>
      </c>
      <c r="N152" s="339" t="s">
        <v>371</v>
      </c>
      <c r="O152" s="563"/>
      <c r="P152" s="470"/>
      <c r="Q152" s="341">
        <v>315.11</v>
      </c>
      <c r="R152" s="602"/>
      <c r="S152" s="638" t="s">
        <v>372</v>
      </c>
      <c r="T152" s="680">
        <v>46053</v>
      </c>
      <c r="U152" s="682">
        <v>325.66942301012125</v>
      </c>
      <c r="V152" s="776"/>
      <c r="W152" s="681">
        <v>46058</v>
      </c>
      <c r="X152" s="794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93"/>
      <c r="J153" s="793"/>
      <c r="K153" s="270"/>
      <c r="L153" s="338">
        <v>14</v>
      </c>
      <c r="M153" s="434" t="s">
        <v>370</v>
      </c>
      <c r="N153" s="339" t="s">
        <v>371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76"/>
      <c r="W153" s="584">
        <v>46086</v>
      </c>
      <c r="X153" s="794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93"/>
      <c r="J154" s="793"/>
      <c r="K154" s="270"/>
      <c r="L154" s="338">
        <v>14</v>
      </c>
      <c r="M154" s="434" t="s">
        <v>370</v>
      </c>
      <c r="N154" s="339" t="s">
        <v>371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76"/>
      <c r="W154" s="584">
        <v>46121</v>
      </c>
      <c r="X154" s="794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88"/>
      <c r="J155" s="788"/>
      <c r="K155" s="273"/>
      <c r="L155" s="271">
        <v>14</v>
      </c>
      <c r="M155" s="435" t="s">
        <v>370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77"/>
      <c r="W155" s="585"/>
      <c r="X155" s="792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373</v>
      </c>
      <c r="D157" s="280" t="s">
        <v>374</v>
      </c>
      <c r="E157" s="281"/>
      <c r="F157" s="436"/>
      <c r="G157" s="282">
        <f>D194</f>
        <v>300000</v>
      </c>
      <c r="H157" s="538">
        <v>45849</v>
      </c>
      <c r="I157" s="752">
        <f>SUM(G157:G169)</f>
        <v>300000</v>
      </c>
      <c r="J157" s="752">
        <f>F194</f>
        <v>352941.17647058825</v>
      </c>
      <c r="K157" s="283"/>
      <c r="L157" s="279">
        <v>15</v>
      </c>
      <c r="M157" s="349" t="s">
        <v>375</v>
      </c>
      <c r="N157" s="280" t="s">
        <v>376</v>
      </c>
      <c r="O157" s="281"/>
      <c r="P157" s="436"/>
      <c r="Q157" s="282">
        <f>503000/2</f>
        <v>251500</v>
      </c>
      <c r="R157" s="594"/>
      <c r="S157" s="631" t="s">
        <v>377</v>
      </c>
      <c r="T157" s="658">
        <v>45838</v>
      </c>
      <c r="U157" s="659">
        <v>168114.97326203209</v>
      </c>
      <c r="V157" s="742">
        <f>J157-SUM(U157:U169)</f>
        <v>-5.3475843742489815E-5</v>
      </c>
      <c r="W157" s="538">
        <v>45849</v>
      </c>
      <c r="X157" s="739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3"/>
      <c r="J158" s="753"/>
      <c r="K158" s="286"/>
      <c r="L158" s="309">
        <v>15</v>
      </c>
      <c r="M158" s="388" t="s">
        <v>375</v>
      </c>
      <c r="N158" s="311" t="s">
        <v>378</v>
      </c>
      <c r="O158" s="549"/>
      <c r="P158" s="458"/>
      <c r="Q158" s="313">
        <v>251500</v>
      </c>
      <c r="R158" s="587"/>
      <c r="S158" s="624" t="s">
        <v>377</v>
      </c>
      <c r="T158" s="642">
        <v>45838</v>
      </c>
      <c r="U158" s="660">
        <v>168114.97326203209</v>
      </c>
      <c r="V158" s="743"/>
      <c r="W158" s="571">
        <f>'Project Plan'!K41+7</f>
        <v>46070</v>
      </c>
      <c r="X158" s="740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3"/>
      <c r="J159" s="753"/>
      <c r="K159" s="286"/>
      <c r="L159" s="309">
        <v>15</v>
      </c>
      <c r="M159" s="388" t="s">
        <v>375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43"/>
      <c r="W159" s="571"/>
      <c r="X159" s="740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3"/>
      <c r="J160" s="753"/>
      <c r="K160" s="286"/>
      <c r="L160" s="309">
        <v>15</v>
      </c>
      <c r="M160" s="388" t="s">
        <v>375</v>
      </c>
      <c r="N160" s="311" t="s">
        <v>379</v>
      </c>
      <c r="O160" s="675">
        <v>0.5</v>
      </c>
      <c r="P160" s="458">
        <v>143138</v>
      </c>
      <c r="Q160" s="313">
        <v>27040.37</v>
      </c>
      <c r="R160" s="587"/>
      <c r="S160" s="624" t="s">
        <v>380</v>
      </c>
      <c r="T160" s="642">
        <v>45930</v>
      </c>
      <c r="U160" s="646">
        <v>5570.41</v>
      </c>
      <c r="V160" s="743"/>
      <c r="W160" s="534">
        <v>45911</v>
      </c>
      <c r="X160" s="740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3"/>
      <c r="J161" s="753"/>
      <c r="K161" s="286"/>
      <c r="L161" s="309">
        <v>15</v>
      </c>
      <c r="M161" s="388" t="s">
        <v>375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380</v>
      </c>
      <c r="T161" s="642">
        <v>45930</v>
      </c>
      <c r="U161" s="646">
        <v>5570.41</v>
      </c>
      <c r="V161" s="743"/>
      <c r="W161" s="649">
        <v>45932</v>
      </c>
      <c r="X161" s="740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3"/>
      <c r="J162" s="753"/>
      <c r="K162" s="286"/>
      <c r="L162" s="309">
        <v>15</v>
      </c>
      <c r="M162" s="388" t="s">
        <v>375</v>
      </c>
      <c r="N162" s="311"/>
      <c r="O162" s="549"/>
      <c r="P162" s="458"/>
      <c r="Q162" s="313">
        <f>O160*P160</f>
        <v>71569</v>
      </c>
      <c r="R162" s="587"/>
      <c r="S162" s="624" t="s">
        <v>380</v>
      </c>
      <c r="T162" s="642">
        <v>45930</v>
      </c>
      <c r="U162" s="646">
        <v>5570.41</v>
      </c>
      <c r="V162" s="743"/>
      <c r="W162" s="534">
        <v>45995</v>
      </c>
      <c r="X162" s="740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3"/>
      <c r="J163" s="753"/>
      <c r="K163" s="286"/>
      <c r="L163" s="309">
        <v>15</v>
      </c>
      <c r="M163" s="388" t="s">
        <v>375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43"/>
      <c r="W163" s="571"/>
      <c r="X163" s="740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3"/>
      <c r="J164" s="753"/>
      <c r="K164" s="286"/>
      <c r="L164" s="309">
        <v>15</v>
      </c>
      <c r="M164" s="388" t="s">
        <v>375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43"/>
      <c r="W164" s="571"/>
      <c r="X164" s="740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3"/>
      <c r="J165" s="753"/>
      <c r="K165" s="286"/>
      <c r="L165" s="309">
        <v>15</v>
      </c>
      <c r="M165" s="388" t="s">
        <v>375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43"/>
      <c r="W165" s="571"/>
      <c r="X165" s="740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3"/>
      <c r="J166" s="753"/>
      <c r="K166" s="286"/>
      <c r="L166" s="309">
        <v>15</v>
      </c>
      <c r="M166" s="388" t="s">
        <v>375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43"/>
      <c r="W166" s="571"/>
      <c r="X166" s="740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3"/>
      <c r="J167" s="753"/>
      <c r="K167" s="286"/>
      <c r="L167" s="309">
        <v>15</v>
      </c>
      <c r="M167" s="388" t="s">
        <v>375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43"/>
      <c r="W167" s="571"/>
      <c r="X167" s="740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3"/>
      <c r="J168" s="753"/>
      <c r="K168" s="286"/>
      <c r="L168" s="309">
        <v>15</v>
      </c>
      <c r="M168" s="388" t="s">
        <v>375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43"/>
      <c r="W168" s="571"/>
      <c r="X168" s="740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4"/>
      <c r="J169" s="754"/>
      <c r="K169" s="287"/>
      <c r="L169" s="314">
        <v>15</v>
      </c>
      <c r="M169" s="418" t="s">
        <v>375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44"/>
      <c r="W169" s="573"/>
      <c r="X169" s="741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381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382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383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278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315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298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384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385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386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387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388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389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390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391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392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393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394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395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396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397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398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399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386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400</v>
      </c>
      <c r="D196" s="641"/>
      <c r="E196" s="543"/>
      <c r="F196" s="641"/>
      <c r="I196" s="254"/>
      <c r="J196" s="254"/>
    </row>
    <row r="197" spans="3:10" s="110" customFormat="1">
      <c r="C197" s="641" t="s">
        <v>401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I73:I80"/>
    <mergeCell ref="J73:J80"/>
    <mergeCell ref="V73:V80"/>
    <mergeCell ref="V45:V52"/>
    <mergeCell ref="V54:V71"/>
    <mergeCell ref="R60:R68"/>
    <mergeCell ref="I45:I52"/>
    <mergeCell ref="J45:J5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9765625" bestFit="1" customWidth="1"/>
    <col min="4" max="4" width="21.1328125" customWidth="1"/>
    <col min="5" max="5" width="4.1328125" customWidth="1"/>
    <col min="6" max="6" width="16.1328125" bestFit="1" customWidth="1"/>
    <col min="7" max="7" width="20.1328125" customWidth="1"/>
    <col min="8" max="316" width="15.1328125" bestFit="1" customWidth="1"/>
    <col min="317" max="317" width="9.1328125" style="189"/>
  </cols>
  <sheetData>
    <row r="1" spans="1:794">
      <c r="D1" s="185" t="s">
        <v>402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8" t="s">
        <v>403</v>
      </c>
      <c r="B2" s="190"/>
      <c r="C2" s="191" t="s">
        <v>235</v>
      </c>
      <c r="D2" s="191" t="s">
        <v>235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3" t="s">
        <v>155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799"/>
      <c r="B4" s="193" t="s">
        <v>404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799"/>
      <c r="B5" s="197" t="s">
        <v>157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799"/>
      <c r="B6" s="197" t="s">
        <v>405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799"/>
      <c r="B7" s="202" t="s">
        <v>406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8" t="s">
        <v>146</v>
      </c>
      <c r="B8" s="190"/>
      <c r="C8" s="191" t="s">
        <v>235</v>
      </c>
      <c r="D8" s="191" t="s">
        <v>235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7" t="s">
        <v>407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1342175.6000000001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799"/>
      <c r="B10" s="207" t="s">
        <v>408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3187667.05</v>
      </c>
      <c r="BK10" s="209">
        <f t="shared" si="21"/>
        <v>3187667.05</v>
      </c>
      <c r="BL10" s="209">
        <f t="shared" si="21"/>
        <v>3355439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799"/>
      <c r="B11" s="210" t="s">
        <v>409</v>
      </c>
      <c r="C11" s="211">
        <f>'Revenue Tracking'!F5</f>
        <v>3198718.8433799967</v>
      </c>
      <c r="D11" s="211">
        <f>SUM(F11:LD11)</f>
        <v>3198718.8433799963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59062.987500000003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4280</v>
      </c>
      <c r="BJ11" s="212">
        <f>SUMIFS('Expenditure Breakdown'!$Q$6:$Q$177, 'Expenditure Breakdown'!$W$6:$W$177, "&gt;="&amp;BJ1,'Expenditure Breakdown'!$W$6:$W$177, "&lt;"&amp;BK1)</f>
        <v>332530.02357722813</v>
      </c>
      <c r="BK11" s="212">
        <f>SUMIFS('Expenditure Breakdown'!$Q$6:$Q$177, 'Expenditure Breakdown'!$W$6:$W$177, "&gt;="&amp;BK1,'Expenditure Breakdown'!$W$6:$W$177, "&lt;"&amp;BL1)</f>
        <v>220205.5534814533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799"/>
      <c r="B12" s="210" t="s">
        <v>410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2340069.2274999996</v>
      </c>
      <c r="BH12" s="212">
        <f t="shared" si="26"/>
        <v>2586138.8574999995</v>
      </c>
      <c r="BI12" s="212">
        <f t="shared" si="26"/>
        <v>2590418.8574999995</v>
      </c>
      <c r="BJ12" s="212">
        <f t="shared" si="26"/>
        <v>2922948.8810772276</v>
      </c>
      <c r="BK12" s="212">
        <f t="shared" si="26"/>
        <v>3143154.4345586807</v>
      </c>
      <c r="BL12" s="212">
        <f t="shared" si="26"/>
        <v>3143454.4345586807</v>
      </c>
      <c r="BM12" s="212">
        <f t="shared" si="26"/>
        <v>3143454.4345586807</v>
      </c>
      <c r="BN12" s="212">
        <f t="shared" si="26"/>
        <v>3183969.3433799963</v>
      </c>
      <c r="BO12" s="212">
        <f t="shared" si="26"/>
        <v>3183969.3433799963</v>
      </c>
      <c r="BP12" s="212">
        <f t="shared" si="26"/>
        <v>3198418.8433799963</v>
      </c>
      <c r="BQ12" s="212">
        <f t="shared" si="26"/>
        <v>3198718.8433799963</v>
      </c>
      <c r="BR12" s="212">
        <f t="shared" si="26"/>
        <v>3198718.8433799963</v>
      </c>
      <c r="BS12" s="212">
        <f t="shared" si="26"/>
        <v>3198718.8433799963</v>
      </c>
      <c r="BT12" s="212">
        <f t="shared" si="26"/>
        <v>3198718.8433799963</v>
      </c>
      <c r="BU12" s="212">
        <f t="shared" ref="BU12:EF12" si="27">BT12+BU11</f>
        <v>3198718.8433799963</v>
      </c>
      <c r="BV12" s="212">
        <f t="shared" si="27"/>
        <v>3198718.8433799963</v>
      </c>
      <c r="BW12" s="212">
        <f t="shared" si="27"/>
        <v>3198718.8433799963</v>
      </c>
      <c r="BX12" s="212">
        <f t="shared" si="27"/>
        <v>3198718.8433799963</v>
      </c>
      <c r="BY12" s="212">
        <f t="shared" si="27"/>
        <v>3198718.8433799963</v>
      </c>
      <c r="BZ12" s="212">
        <f t="shared" si="27"/>
        <v>3198718.8433799963</v>
      </c>
      <c r="CA12" s="212">
        <f t="shared" si="27"/>
        <v>3198718.8433799963</v>
      </c>
      <c r="CB12" s="212">
        <f t="shared" si="27"/>
        <v>3198718.8433799963</v>
      </c>
      <c r="CC12" s="212">
        <f t="shared" si="27"/>
        <v>3198718.8433799963</v>
      </c>
      <c r="CD12" s="212">
        <f t="shared" si="27"/>
        <v>3198718.8433799963</v>
      </c>
      <c r="CE12" s="212">
        <f t="shared" si="27"/>
        <v>3198718.8433799963</v>
      </c>
      <c r="CF12" s="212">
        <f t="shared" si="27"/>
        <v>3198718.8433799963</v>
      </c>
      <c r="CG12" s="212">
        <f t="shared" si="27"/>
        <v>3198718.8433799963</v>
      </c>
      <c r="CH12" s="212">
        <f t="shared" si="27"/>
        <v>3198718.8433799963</v>
      </c>
      <c r="CI12" s="212">
        <f t="shared" si="27"/>
        <v>3198718.8433799963</v>
      </c>
      <c r="CJ12" s="212">
        <f t="shared" si="27"/>
        <v>3198718.8433799963</v>
      </c>
      <c r="CK12" s="212">
        <f t="shared" si="27"/>
        <v>3198718.8433799963</v>
      </c>
      <c r="CL12" s="212">
        <f t="shared" si="27"/>
        <v>3198718.8433799963</v>
      </c>
      <c r="CM12" s="212">
        <f t="shared" si="27"/>
        <v>3198718.8433799963</v>
      </c>
      <c r="CN12" s="212">
        <f t="shared" si="27"/>
        <v>3198718.8433799963</v>
      </c>
      <c r="CO12" s="212">
        <f t="shared" si="27"/>
        <v>3198718.8433799963</v>
      </c>
      <c r="CP12" s="212">
        <f t="shared" si="27"/>
        <v>3198718.8433799963</v>
      </c>
      <c r="CQ12" s="212">
        <f t="shared" si="27"/>
        <v>3198718.8433799963</v>
      </c>
      <c r="CR12" s="212">
        <f t="shared" si="27"/>
        <v>3198718.8433799963</v>
      </c>
      <c r="CS12" s="212">
        <f t="shared" si="27"/>
        <v>3198718.8433799963</v>
      </c>
      <c r="CT12" s="212">
        <f t="shared" si="27"/>
        <v>3198718.8433799963</v>
      </c>
      <c r="CU12" s="212">
        <f t="shared" si="27"/>
        <v>3198718.8433799963</v>
      </c>
      <c r="CV12" s="212">
        <f t="shared" si="27"/>
        <v>3198718.8433799963</v>
      </c>
      <c r="CW12" s="212">
        <f t="shared" si="27"/>
        <v>3198718.8433799963</v>
      </c>
      <c r="CX12" s="212">
        <f t="shared" si="27"/>
        <v>3198718.8433799963</v>
      </c>
      <c r="CY12" s="212">
        <f t="shared" si="27"/>
        <v>3198718.8433799963</v>
      </c>
      <c r="CZ12" s="212">
        <f t="shared" si="27"/>
        <v>3198718.8433799963</v>
      </c>
      <c r="DA12" s="212">
        <f t="shared" si="27"/>
        <v>3198718.8433799963</v>
      </c>
      <c r="DB12" s="212">
        <f t="shared" si="27"/>
        <v>3198718.8433799963</v>
      </c>
      <c r="DC12" s="212">
        <f t="shared" si="27"/>
        <v>3198718.8433799963</v>
      </c>
      <c r="DD12" s="212">
        <f t="shared" si="27"/>
        <v>3198718.8433799963</v>
      </c>
      <c r="DE12" s="212">
        <f t="shared" si="27"/>
        <v>3198718.8433799963</v>
      </c>
      <c r="DF12" s="212">
        <f t="shared" si="27"/>
        <v>3198718.8433799963</v>
      </c>
      <c r="DG12" s="212">
        <f t="shared" si="27"/>
        <v>3198718.8433799963</v>
      </c>
      <c r="DH12" s="212">
        <f t="shared" si="27"/>
        <v>3198718.8433799963</v>
      </c>
      <c r="DI12" s="212">
        <f t="shared" si="27"/>
        <v>3198718.8433799963</v>
      </c>
      <c r="DJ12" s="212">
        <f t="shared" si="27"/>
        <v>3198718.8433799963</v>
      </c>
      <c r="DK12" s="212">
        <f t="shared" si="27"/>
        <v>3198718.8433799963</v>
      </c>
      <c r="DL12" s="212">
        <f t="shared" si="27"/>
        <v>3198718.8433799963</v>
      </c>
      <c r="DM12" s="212">
        <f t="shared" si="27"/>
        <v>3198718.8433799963</v>
      </c>
      <c r="DN12" s="212">
        <f t="shared" si="27"/>
        <v>3198718.8433799963</v>
      </c>
      <c r="DO12" s="212">
        <f t="shared" si="27"/>
        <v>3198718.8433799963</v>
      </c>
      <c r="DP12" s="212">
        <f t="shared" si="27"/>
        <v>3198718.8433799963</v>
      </c>
      <c r="DQ12" s="212">
        <f t="shared" si="27"/>
        <v>3198718.8433799963</v>
      </c>
      <c r="DR12" s="212">
        <f t="shared" si="27"/>
        <v>3198718.8433799963</v>
      </c>
      <c r="DS12" s="212">
        <f t="shared" si="27"/>
        <v>3198718.8433799963</v>
      </c>
      <c r="DT12" s="212">
        <f t="shared" si="27"/>
        <v>3198718.8433799963</v>
      </c>
      <c r="DU12" s="212">
        <f t="shared" si="27"/>
        <v>3198718.8433799963</v>
      </c>
      <c r="DV12" s="212">
        <f t="shared" si="27"/>
        <v>3198718.8433799963</v>
      </c>
      <c r="DW12" s="212">
        <f t="shared" si="27"/>
        <v>3198718.8433799963</v>
      </c>
      <c r="DX12" s="212">
        <f t="shared" si="27"/>
        <v>3198718.8433799963</v>
      </c>
      <c r="DY12" s="212">
        <f t="shared" si="27"/>
        <v>3198718.8433799963</v>
      </c>
      <c r="DZ12" s="212">
        <f t="shared" si="27"/>
        <v>3198718.8433799963</v>
      </c>
      <c r="EA12" s="212">
        <f t="shared" si="27"/>
        <v>3198718.8433799963</v>
      </c>
      <c r="EB12" s="212">
        <f t="shared" si="27"/>
        <v>3198718.8433799963</v>
      </c>
      <c r="EC12" s="212">
        <f t="shared" si="27"/>
        <v>3198718.8433799963</v>
      </c>
      <c r="ED12" s="212">
        <f t="shared" si="27"/>
        <v>3198718.8433799963</v>
      </c>
      <c r="EE12" s="212">
        <f t="shared" si="27"/>
        <v>3198718.8433799963</v>
      </c>
      <c r="EF12" s="212">
        <f t="shared" si="27"/>
        <v>3198718.8433799963</v>
      </c>
      <c r="EG12" s="212">
        <f t="shared" ref="EG12:GR12" si="28">EF12+EG11</f>
        <v>3198718.8433799963</v>
      </c>
      <c r="EH12" s="212">
        <f t="shared" si="28"/>
        <v>3198718.8433799963</v>
      </c>
      <c r="EI12" s="212">
        <f t="shared" si="28"/>
        <v>3198718.8433799963</v>
      </c>
      <c r="EJ12" s="212">
        <f t="shared" si="28"/>
        <v>3198718.8433799963</v>
      </c>
      <c r="EK12" s="212">
        <f t="shared" si="28"/>
        <v>3198718.8433799963</v>
      </c>
      <c r="EL12" s="212">
        <f t="shared" si="28"/>
        <v>3198718.8433799963</v>
      </c>
      <c r="EM12" s="212">
        <f t="shared" si="28"/>
        <v>3198718.8433799963</v>
      </c>
      <c r="EN12" s="212">
        <f t="shared" si="28"/>
        <v>3198718.8433799963</v>
      </c>
      <c r="EO12" s="212">
        <f t="shared" si="28"/>
        <v>3198718.8433799963</v>
      </c>
      <c r="EP12" s="212">
        <f t="shared" si="28"/>
        <v>3198718.8433799963</v>
      </c>
      <c r="EQ12" s="212">
        <f t="shared" si="28"/>
        <v>3198718.8433799963</v>
      </c>
      <c r="ER12" s="212">
        <f t="shared" si="28"/>
        <v>3198718.8433799963</v>
      </c>
      <c r="ES12" s="212">
        <f t="shared" si="28"/>
        <v>3198718.8433799963</v>
      </c>
      <c r="ET12" s="212">
        <f t="shared" si="28"/>
        <v>3198718.8433799963</v>
      </c>
      <c r="EU12" s="212">
        <f t="shared" si="28"/>
        <v>3198718.8433799963</v>
      </c>
      <c r="EV12" s="212">
        <f t="shared" si="28"/>
        <v>3198718.8433799963</v>
      </c>
      <c r="EW12" s="212">
        <f t="shared" si="28"/>
        <v>3198718.8433799963</v>
      </c>
      <c r="EX12" s="212">
        <f t="shared" si="28"/>
        <v>3198718.8433799963</v>
      </c>
      <c r="EY12" s="212">
        <f t="shared" si="28"/>
        <v>3198718.8433799963</v>
      </c>
      <c r="EZ12" s="212">
        <f t="shared" si="28"/>
        <v>3198718.8433799963</v>
      </c>
      <c r="FA12" s="212">
        <f t="shared" si="28"/>
        <v>3198718.8433799963</v>
      </c>
      <c r="FB12" s="212">
        <f t="shared" si="28"/>
        <v>3198718.8433799963</v>
      </c>
      <c r="FC12" s="212">
        <f t="shared" si="28"/>
        <v>3198718.8433799963</v>
      </c>
      <c r="FD12" s="212">
        <f t="shared" si="28"/>
        <v>3198718.8433799963</v>
      </c>
      <c r="FE12" s="212">
        <f t="shared" si="28"/>
        <v>3198718.8433799963</v>
      </c>
      <c r="FF12" s="212">
        <f t="shared" si="28"/>
        <v>3198718.8433799963</v>
      </c>
      <c r="FG12" s="212">
        <f t="shared" si="28"/>
        <v>3198718.8433799963</v>
      </c>
      <c r="FH12" s="212">
        <f t="shared" si="28"/>
        <v>3198718.8433799963</v>
      </c>
      <c r="FI12" s="212">
        <f t="shared" si="28"/>
        <v>3198718.8433799963</v>
      </c>
      <c r="FJ12" s="212">
        <f t="shared" si="28"/>
        <v>3198718.8433799963</v>
      </c>
      <c r="FK12" s="212">
        <f t="shared" si="28"/>
        <v>3198718.8433799963</v>
      </c>
      <c r="FL12" s="212">
        <f t="shared" si="28"/>
        <v>3198718.8433799963</v>
      </c>
      <c r="FM12" s="212">
        <f t="shared" si="28"/>
        <v>3198718.8433799963</v>
      </c>
      <c r="FN12" s="212">
        <f t="shared" si="28"/>
        <v>3198718.8433799963</v>
      </c>
      <c r="FO12" s="212">
        <f t="shared" si="28"/>
        <v>3198718.8433799963</v>
      </c>
      <c r="FP12" s="212">
        <f t="shared" si="28"/>
        <v>3198718.8433799963</v>
      </c>
      <c r="FQ12" s="212">
        <f t="shared" si="28"/>
        <v>3198718.8433799963</v>
      </c>
      <c r="FR12" s="212">
        <f t="shared" si="28"/>
        <v>3198718.8433799963</v>
      </c>
      <c r="FS12" s="212">
        <f t="shared" si="28"/>
        <v>3198718.8433799963</v>
      </c>
      <c r="FT12" s="212">
        <f t="shared" si="28"/>
        <v>3198718.8433799963</v>
      </c>
      <c r="FU12" s="212">
        <f t="shared" si="28"/>
        <v>3198718.8433799963</v>
      </c>
      <c r="FV12" s="212">
        <f t="shared" si="28"/>
        <v>3198718.8433799963</v>
      </c>
      <c r="FW12" s="212">
        <f t="shared" si="28"/>
        <v>3198718.8433799963</v>
      </c>
      <c r="FX12" s="212">
        <f t="shared" si="28"/>
        <v>3198718.8433799963</v>
      </c>
      <c r="FY12" s="212">
        <f t="shared" si="28"/>
        <v>3198718.8433799963</v>
      </c>
      <c r="FZ12" s="212">
        <f t="shared" si="28"/>
        <v>3198718.8433799963</v>
      </c>
      <c r="GA12" s="212">
        <f t="shared" si="28"/>
        <v>3198718.8433799963</v>
      </c>
      <c r="GB12" s="212">
        <f t="shared" si="28"/>
        <v>3198718.8433799963</v>
      </c>
      <c r="GC12" s="212">
        <f t="shared" si="28"/>
        <v>3198718.8433799963</v>
      </c>
      <c r="GD12" s="212">
        <f t="shared" si="28"/>
        <v>3198718.8433799963</v>
      </c>
      <c r="GE12" s="212">
        <f t="shared" si="28"/>
        <v>3198718.8433799963</v>
      </c>
      <c r="GF12" s="212">
        <f t="shared" si="28"/>
        <v>3198718.8433799963</v>
      </c>
      <c r="GG12" s="212">
        <f t="shared" si="28"/>
        <v>3198718.8433799963</v>
      </c>
      <c r="GH12" s="212">
        <f t="shared" si="28"/>
        <v>3198718.8433799963</v>
      </c>
      <c r="GI12" s="212">
        <f t="shared" si="28"/>
        <v>3198718.8433799963</v>
      </c>
      <c r="GJ12" s="212">
        <f t="shared" si="28"/>
        <v>3198718.8433799963</v>
      </c>
      <c r="GK12" s="212">
        <f t="shared" si="28"/>
        <v>3198718.8433799963</v>
      </c>
      <c r="GL12" s="212">
        <f t="shared" si="28"/>
        <v>3198718.8433799963</v>
      </c>
      <c r="GM12" s="212">
        <f t="shared" si="28"/>
        <v>3198718.8433799963</v>
      </c>
      <c r="GN12" s="212">
        <f t="shared" si="28"/>
        <v>3198718.8433799963</v>
      </c>
      <c r="GO12" s="212">
        <f t="shared" si="28"/>
        <v>3198718.8433799963</v>
      </c>
      <c r="GP12" s="212">
        <f t="shared" si="28"/>
        <v>3198718.8433799963</v>
      </c>
      <c r="GQ12" s="212">
        <f t="shared" si="28"/>
        <v>3198718.8433799963</v>
      </c>
      <c r="GR12" s="212">
        <f t="shared" si="28"/>
        <v>3198718.8433799963</v>
      </c>
      <c r="GS12" s="212">
        <f t="shared" ref="GS12:JD12" si="29">GR12+GS11</f>
        <v>3198718.8433799963</v>
      </c>
      <c r="GT12" s="212">
        <f t="shared" si="29"/>
        <v>3198718.8433799963</v>
      </c>
      <c r="GU12" s="212">
        <f t="shared" si="29"/>
        <v>3198718.8433799963</v>
      </c>
      <c r="GV12" s="212">
        <f t="shared" si="29"/>
        <v>3198718.8433799963</v>
      </c>
      <c r="GW12" s="212">
        <f t="shared" si="29"/>
        <v>3198718.8433799963</v>
      </c>
      <c r="GX12" s="212">
        <f t="shared" si="29"/>
        <v>3198718.8433799963</v>
      </c>
      <c r="GY12" s="212">
        <f t="shared" si="29"/>
        <v>3198718.8433799963</v>
      </c>
      <c r="GZ12" s="212">
        <f t="shared" si="29"/>
        <v>3198718.8433799963</v>
      </c>
      <c r="HA12" s="212">
        <f t="shared" si="29"/>
        <v>3198718.8433799963</v>
      </c>
      <c r="HB12" s="212">
        <f t="shared" si="29"/>
        <v>3198718.8433799963</v>
      </c>
      <c r="HC12" s="212">
        <f t="shared" si="29"/>
        <v>3198718.8433799963</v>
      </c>
      <c r="HD12" s="212">
        <f t="shared" si="29"/>
        <v>3198718.8433799963</v>
      </c>
      <c r="HE12" s="212">
        <f t="shared" si="29"/>
        <v>3198718.8433799963</v>
      </c>
      <c r="HF12" s="212">
        <f t="shared" si="29"/>
        <v>3198718.8433799963</v>
      </c>
      <c r="HG12" s="212">
        <f t="shared" si="29"/>
        <v>3198718.8433799963</v>
      </c>
      <c r="HH12" s="212">
        <f t="shared" si="29"/>
        <v>3198718.8433799963</v>
      </c>
      <c r="HI12" s="212">
        <f t="shared" si="29"/>
        <v>3198718.8433799963</v>
      </c>
      <c r="HJ12" s="212">
        <f t="shared" si="29"/>
        <v>3198718.8433799963</v>
      </c>
      <c r="HK12" s="212">
        <f t="shared" si="29"/>
        <v>3198718.8433799963</v>
      </c>
      <c r="HL12" s="212">
        <f t="shared" si="29"/>
        <v>3198718.8433799963</v>
      </c>
      <c r="HM12" s="212">
        <f t="shared" si="29"/>
        <v>3198718.8433799963</v>
      </c>
      <c r="HN12" s="212">
        <f t="shared" si="29"/>
        <v>3198718.8433799963</v>
      </c>
      <c r="HO12" s="212">
        <f t="shared" si="29"/>
        <v>3198718.8433799963</v>
      </c>
      <c r="HP12" s="212">
        <f t="shared" si="29"/>
        <v>3198718.8433799963</v>
      </c>
      <c r="HQ12" s="212">
        <f t="shared" si="29"/>
        <v>3198718.8433799963</v>
      </c>
      <c r="HR12" s="212">
        <f t="shared" si="29"/>
        <v>3198718.8433799963</v>
      </c>
      <c r="HS12" s="212">
        <f t="shared" si="29"/>
        <v>3198718.8433799963</v>
      </c>
      <c r="HT12" s="212">
        <f t="shared" si="29"/>
        <v>3198718.8433799963</v>
      </c>
      <c r="HU12" s="212">
        <f t="shared" si="29"/>
        <v>3198718.8433799963</v>
      </c>
      <c r="HV12" s="212">
        <f t="shared" si="29"/>
        <v>3198718.8433799963</v>
      </c>
      <c r="HW12" s="212">
        <f t="shared" si="29"/>
        <v>3198718.8433799963</v>
      </c>
      <c r="HX12" s="212">
        <f t="shared" si="29"/>
        <v>3198718.8433799963</v>
      </c>
      <c r="HY12" s="212">
        <f t="shared" si="29"/>
        <v>3198718.8433799963</v>
      </c>
      <c r="HZ12" s="212">
        <f t="shared" si="29"/>
        <v>3198718.8433799963</v>
      </c>
      <c r="IA12" s="212">
        <f t="shared" si="29"/>
        <v>3198718.8433799963</v>
      </c>
      <c r="IB12" s="212">
        <f t="shared" si="29"/>
        <v>3198718.8433799963</v>
      </c>
      <c r="IC12" s="212">
        <f t="shared" si="29"/>
        <v>3198718.8433799963</v>
      </c>
      <c r="ID12" s="212">
        <f t="shared" si="29"/>
        <v>3198718.8433799963</v>
      </c>
      <c r="IE12" s="212">
        <f t="shared" si="29"/>
        <v>3198718.8433799963</v>
      </c>
      <c r="IF12" s="212">
        <f t="shared" si="29"/>
        <v>3198718.8433799963</v>
      </c>
      <c r="IG12" s="212">
        <f t="shared" si="29"/>
        <v>3198718.8433799963</v>
      </c>
      <c r="IH12" s="212">
        <f t="shared" si="29"/>
        <v>3198718.8433799963</v>
      </c>
      <c r="II12" s="212">
        <f t="shared" si="29"/>
        <v>3198718.8433799963</v>
      </c>
      <c r="IJ12" s="212">
        <f t="shared" si="29"/>
        <v>3198718.8433799963</v>
      </c>
      <c r="IK12" s="212">
        <f t="shared" si="29"/>
        <v>3198718.8433799963</v>
      </c>
      <c r="IL12" s="212">
        <f t="shared" si="29"/>
        <v>3198718.8433799963</v>
      </c>
      <c r="IM12" s="212">
        <f t="shared" si="29"/>
        <v>3198718.8433799963</v>
      </c>
      <c r="IN12" s="212">
        <f t="shared" si="29"/>
        <v>3198718.8433799963</v>
      </c>
      <c r="IO12" s="212">
        <f t="shared" si="29"/>
        <v>3198718.8433799963</v>
      </c>
      <c r="IP12" s="212">
        <f t="shared" si="29"/>
        <v>3198718.8433799963</v>
      </c>
      <c r="IQ12" s="212">
        <f t="shared" si="29"/>
        <v>3198718.8433799963</v>
      </c>
      <c r="IR12" s="212">
        <f t="shared" si="29"/>
        <v>3198718.8433799963</v>
      </c>
      <c r="IS12" s="212">
        <f t="shared" si="29"/>
        <v>3198718.8433799963</v>
      </c>
      <c r="IT12" s="212">
        <f t="shared" si="29"/>
        <v>3198718.8433799963</v>
      </c>
      <c r="IU12" s="212">
        <f t="shared" si="29"/>
        <v>3198718.8433799963</v>
      </c>
      <c r="IV12" s="212">
        <f t="shared" si="29"/>
        <v>3198718.8433799963</v>
      </c>
      <c r="IW12" s="212">
        <f t="shared" si="29"/>
        <v>3198718.8433799963</v>
      </c>
      <c r="IX12" s="212">
        <f t="shared" si="29"/>
        <v>3198718.8433799963</v>
      </c>
      <c r="IY12" s="212">
        <f t="shared" si="29"/>
        <v>3198718.8433799963</v>
      </c>
      <c r="IZ12" s="212">
        <f t="shared" si="29"/>
        <v>3198718.8433799963</v>
      </c>
      <c r="JA12" s="212">
        <f t="shared" si="29"/>
        <v>3198718.8433799963</v>
      </c>
      <c r="JB12" s="212">
        <f t="shared" si="29"/>
        <v>3198718.8433799963</v>
      </c>
      <c r="JC12" s="212">
        <f t="shared" si="29"/>
        <v>3198718.8433799963</v>
      </c>
      <c r="JD12" s="212">
        <f t="shared" si="29"/>
        <v>3198718.8433799963</v>
      </c>
      <c r="JE12" s="212">
        <f t="shared" ref="JE12:LD12" si="30">JD12+JE11</f>
        <v>3198718.8433799963</v>
      </c>
      <c r="JF12" s="212">
        <f t="shared" si="30"/>
        <v>3198718.8433799963</v>
      </c>
      <c r="JG12" s="212">
        <f t="shared" si="30"/>
        <v>3198718.8433799963</v>
      </c>
      <c r="JH12" s="212">
        <f t="shared" si="30"/>
        <v>3198718.8433799963</v>
      </c>
      <c r="JI12" s="212">
        <f t="shared" si="30"/>
        <v>3198718.8433799963</v>
      </c>
      <c r="JJ12" s="212">
        <f t="shared" si="30"/>
        <v>3198718.8433799963</v>
      </c>
      <c r="JK12" s="212">
        <f t="shared" si="30"/>
        <v>3198718.8433799963</v>
      </c>
      <c r="JL12" s="212">
        <f t="shared" si="30"/>
        <v>3198718.8433799963</v>
      </c>
      <c r="JM12" s="212">
        <f t="shared" si="30"/>
        <v>3198718.8433799963</v>
      </c>
      <c r="JN12" s="212">
        <f t="shared" si="30"/>
        <v>3198718.8433799963</v>
      </c>
      <c r="JO12" s="212">
        <f t="shared" si="30"/>
        <v>3198718.8433799963</v>
      </c>
      <c r="JP12" s="212">
        <f t="shared" si="30"/>
        <v>3198718.8433799963</v>
      </c>
      <c r="JQ12" s="212">
        <f t="shared" si="30"/>
        <v>3198718.8433799963</v>
      </c>
      <c r="JR12" s="212">
        <f t="shared" si="30"/>
        <v>3198718.8433799963</v>
      </c>
      <c r="JS12" s="212">
        <f t="shared" si="30"/>
        <v>3198718.8433799963</v>
      </c>
      <c r="JT12" s="212">
        <f t="shared" si="30"/>
        <v>3198718.8433799963</v>
      </c>
      <c r="JU12" s="212">
        <f t="shared" si="30"/>
        <v>3198718.8433799963</v>
      </c>
      <c r="JV12" s="212">
        <f t="shared" si="30"/>
        <v>3198718.8433799963</v>
      </c>
      <c r="JW12" s="212">
        <f t="shared" si="30"/>
        <v>3198718.8433799963</v>
      </c>
      <c r="JX12" s="212">
        <f t="shared" si="30"/>
        <v>3198718.8433799963</v>
      </c>
      <c r="JY12" s="212">
        <f t="shared" si="30"/>
        <v>3198718.8433799963</v>
      </c>
      <c r="JZ12" s="212">
        <f t="shared" si="30"/>
        <v>3198718.8433799963</v>
      </c>
      <c r="KA12" s="212">
        <f t="shared" si="30"/>
        <v>3198718.8433799963</v>
      </c>
      <c r="KB12" s="212">
        <f t="shared" si="30"/>
        <v>3198718.8433799963</v>
      </c>
      <c r="KC12" s="212">
        <f t="shared" si="30"/>
        <v>3198718.8433799963</v>
      </c>
      <c r="KD12" s="212">
        <f t="shared" si="30"/>
        <v>3198718.8433799963</v>
      </c>
      <c r="KE12" s="212">
        <f t="shared" si="30"/>
        <v>3198718.8433799963</v>
      </c>
      <c r="KF12" s="212">
        <f t="shared" si="30"/>
        <v>3198718.8433799963</v>
      </c>
      <c r="KG12" s="212">
        <f t="shared" si="30"/>
        <v>3198718.8433799963</v>
      </c>
      <c r="KH12" s="212">
        <f t="shared" si="30"/>
        <v>3198718.8433799963</v>
      </c>
      <c r="KI12" s="212">
        <f t="shared" si="30"/>
        <v>3198718.8433799963</v>
      </c>
      <c r="KJ12" s="212">
        <f t="shared" si="30"/>
        <v>3198718.8433799963</v>
      </c>
      <c r="KK12" s="212">
        <f t="shared" si="30"/>
        <v>3198718.8433799963</v>
      </c>
      <c r="KL12" s="212">
        <f t="shared" si="30"/>
        <v>3198718.8433799963</v>
      </c>
      <c r="KM12" s="212">
        <f t="shared" si="30"/>
        <v>3198718.8433799963</v>
      </c>
      <c r="KN12" s="212">
        <f t="shared" si="30"/>
        <v>3198718.8433799963</v>
      </c>
      <c r="KO12" s="212">
        <f t="shared" si="30"/>
        <v>3198718.8433799963</v>
      </c>
      <c r="KP12" s="212">
        <f t="shared" si="30"/>
        <v>3198718.8433799963</v>
      </c>
      <c r="KQ12" s="212">
        <f t="shared" si="30"/>
        <v>3198718.8433799963</v>
      </c>
      <c r="KR12" s="212">
        <f t="shared" si="30"/>
        <v>3198718.8433799963</v>
      </c>
      <c r="KS12" s="212">
        <f t="shared" si="30"/>
        <v>3198718.8433799963</v>
      </c>
      <c r="KT12" s="212">
        <f t="shared" si="30"/>
        <v>3198718.8433799963</v>
      </c>
      <c r="KU12" s="212">
        <f t="shared" si="30"/>
        <v>3198718.8433799963</v>
      </c>
      <c r="KV12" s="212">
        <f t="shared" si="30"/>
        <v>3198718.8433799963</v>
      </c>
      <c r="KW12" s="212">
        <f t="shared" si="30"/>
        <v>3198718.8433799963</v>
      </c>
      <c r="KX12" s="212">
        <f t="shared" si="30"/>
        <v>3198718.8433799963</v>
      </c>
      <c r="KY12" s="212">
        <f t="shared" si="30"/>
        <v>3198718.8433799963</v>
      </c>
      <c r="KZ12" s="212">
        <f t="shared" si="30"/>
        <v>3198718.8433799963</v>
      </c>
      <c r="LA12" s="212">
        <f t="shared" si="30"/>
        <v>3198718.8433799963</v>
      </c>
      <c r="LB12" s="212">
        <f t="shared" si="30"/>
        <v>3198718.8433799963</v>
      </c>
      <c r="LC12" s="212">
        <f t="shared" si="30"/>
        <v>3198718.8433799963</v>
      </c>
      <c r="LD12" s="212">
        <f t="shared" si="30"/>
        <v>3198718.8433799963</v>
      </c>
      <c r="LE12" s="189"/>
      <c r="LF12" s="200"/>
    </row>
    <row r="13" spans="1:794" s="189" customFormat="1">
      <c r="A13" s="799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2" t="s">
        <v>411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-494577.77749999962</v>
      </c>
      <c r="BH14" s="205">
        <f t="shared" si="32"/>
        <v>-740647.40749999951</v>
      </c>
      <c r="BI14" s="205">
        <f t="shared" si="32"/>
        <v>-744927.40749999951</v>
      </c>
      <c r="BJ14" s="205">
        <f t="shared" si="32"/>
        <v>264718.16892277217</v>
      </c>
      <c r="BK14" s="205">
        <f t="shared" si="32"/>
        <v>44512.615441319067</v>
      </c>
      <c r="BL14" s="205">
        <f t="shared" si="32"/>
        <v>211984.56544131925</v>
      </c>
      <c r="BM14" s="205">
        <f t="shared" si="32"/>
        <v>211984.56544131925</v>
      </c>
      <c r="BN14" s="205">
        <f t="shared" si="32"/>
        <v>171469.65662000375</v>
      </c>
      <c r="BO14" s="205">
        <f t="shared" si="32"/>
        <v>171469.65662000375</v>
      </c>
      <c r="BP14" s="205">
        <f t="shared" si="32"/>
        <v>157020.15662000375</v>
      </c>
      <c r="BQ14" s="205">
        <f t="shared" si="32"/>
        <v>156720.15662000375</v>
      </c>
      <c r="BR14" s="205">
        <f t="shared" si="32"/>
        <v>156720.15662000375</v>
      </c>
      <c r="BS14" s="205">
        <f t="shared" si="32"/>
        <v>156720.15662000375</v>
      </c>
      <c r="BT14" s="205">
        <f t="shared" si="32"/>
        <v>156720.15662000375</v>
      </c>
      <c r="BU14" s="205">
        <f t="shared" ref="BU14:EF14" si="33">BU10-BU12</f>
        <v>156720.15662000375</v>
      </c>
      <c r="BV14" s="205">
        <f t="shared" si="33"/>
        <v>156720.15662000375</v>
      </c>
      <c r="BW14" s="205">
        <f t="shared" si="33"/>
        <v>156720.15662000375</v>
      </c>
      <c r="BX14" s="205">
        <f t="shared" si="33"/>
        <v>156720.15662000375</v>
      </c>
      <c r="BY14" s="205">
        <f t="shared" si="33"/>
        <v>156720.15662000375</v>
      </c>
      <c r="BZ14" s="205">
        <f t="shared" si="33"/>
        <v>156720.15662000375</v>
      </c>
      <c r="CA14" s="205">
        <f t="shared" si="33"/>
        <v>156720.15662000375</v>
      </c>
      <c r="CB14" s="205">
        <f t="shared" si="33"/>
        <v>156720.15662000375</v>
      </c>
      <c r="CC14" s="205">
        <f t="shared" si="33"/>
        <v>156720.15662000375</v>
      </c>
      <c r="CD14" s="205">
        <f t="shared" si="33"/>
        <v>156720.15662000375</v>
      </c>
      <c r="CE14" s="205">
        <f t="shared" si="33"/>
        <v>156720.15662000375</v>
      </c>
      <c r="CF14" s="205">
        <f t="shared" si="33"/>
        <v>156720.15662000375</v>
      </c>
      <c r="CG14" s="205">
        <f t="shared" si="33"/>
        <v>156720.15662000375</v>
      </c>
      <c r="CH14" s="205">
        <f t="shared" si="33"/>
        <v>156720.15662000375</v>
      </c>
      <c r="CI14" s="205">
        <f t="shared" si="33"/>
        <v>156720.15662000375</v>
      </c>
      <c r="CJ14" s="205">
        <f t="shared" si="33"/>
        <v>156720.15662000375</v>
      </c>
      <c r="CK14" s="205">
        <f t="shared" si="33"/>
        <v>156720.15662000375</v>
      </c>
      <c r="CL14" s="205">
        <f t="shared" si="33"/>
        <v>156720.15662000375</v>
      </c>
      <c r="CM14" s="205">
        <f t="shared" si="33"/>
        <v>156720.15662000375</v>
      </c>
      <c r="CN14" s="205">
        <f t="shared" si="33"/>
        <v>156720.15662000375</v>
      </c>
      <c r="CO14" s="205">
        <f t="shared" si="33"/>
        <v>156720.15662000375</v>
      </c>
      <c r="CP14" s="205">
        <f t="shared" si="33"/>
        <v>156720.15662000375</v>
      </c>
      <c r="CQ14" s="205">
        <f t="shared" si="33"/>
        <v>156720.15662000375</v>
      </c>
      <c r="CR14" s="205">
        <f t="shared" si="33"/>
        <v>156720.15662000375</v>
      </c>
      <c r="CS14" s="205">
        <f t="shared" si="33"/>
        <v>156720.15662000375</v>
      </c>
      <c r="CT14" s="205">
        <f t="shared" si="33"/>
        <v>156720.15662000375</v>
      </c>
      <c r="CU14" s="205">
        <f t="shared" si="33"/>
        <v>156720.15662000375</v>
      </c>
      <c r="CV14" s="205">
        <f t="shared" si="33"/>
        <v>156720.15662000375</v>
      </c>
      <c r="CW14" s="205">
        <f t="shared" si="33"/>
        <v>156720.15662000375</v>
      </c>
      <c r="CX14" s="205">
        <f t="shared" si="33"/>
        <v>156720.15662000375</v>
      </c>
      <c r="CY14" s="205">
        <f t="shared" si="33"/>
        <v>156720.15662000375</v>
      </c>
      <c r="CZ14" s="205">
        <f t="shared" si="33"/>
        <v>156720.15662000375</v>
      </c>
      <c r="DA14" s="205">
        <f t="shared" si="33"/>
        <v>156720.15662000375</v>
      </c>
      <c r="DB14" s="205">
        <f t="shared" si="33"/>
        <v>156720.15662000375</v>
      </c>
      <c r="DC14" s="205">
        <f t="shared" si="33"/>
        <v>156720.15662000375</v>
      </c>
      <c r="DD14" s="205">
        <f t="shared" si="33"/>
        <v>156720.15662000375</v>
      </c>
      <c r="DE14" s="205">
        <f t="shared" si="33"/>
        <v>156720.15662000375</v>
      </c>
      <c r="DF14" s="205">
        <f t="shared" si="33"/>
        <v>156720.15662000375</v>
      </c>
      <c r="DG14" s="205">
        <f t="shared" si="33"/>
        <v>156720.15662000375</v>
      </c>
      <c r="DH14" s="205">
        <f t="shared" si="33"/>
        <v>156720.15662000375</v>
      </c>
      <c r="DI14" s="205">
        <f t="shared" si="33"/>
        <v>156720.15662000375</v>
      </c>
      <c r="DJ14" s="205">
        <f t="shared" si="33"/>
        <v>156720.15662000375</v>
      </c>
      <c r="DK14" s="205">
        <f t="shared" si="33"/>
        <v>156720.15662000375</v>
      </c>
      <c r="DL14" s="205">
        <f t="shared" si="33"/>
        <v>156720.15662000375</v>
      </c>
      <c r="DM14" s="205">
        <f t="shared" si="33"/>
        <v>156720.15662000375</v>
      </c>
      <c r="DN14" s="205">
        <f t="shared" si="33"/>
        <v>156720.15662000375</v>
      </c>
      <c r="DO14" s="205">
        <f t="shared" si="33"/>
        <v>156720.15662000375</v>
      </c>
      <c r="DP14" s="205">
        <f t="shared" si="33"/>
        <v>156720.15662000375</v>
      </c>
      <c r="DQ14" s="205">
        <f t="shared" si="33"/>
        <v>156720.15662000375</v>
      </c>
      <c r="DR14" s="205">
        <f t="shared" si="33"/>
        <v>156720.15662000375</v>
      </c>
      <c r="DS14" s="205">
        <f t="shared" si="33"/>
        <v>156720.15662000375</v>
      </c>
      <c r="DT14" s="205">
        <f t="shared" si="33"/>
        <v>156720.15662000375</v>
      </c>
      <c r="DU14" s="205">
        <f t="shared" si="33"/>
        <v>156720.15662000375</v>
      </c>
      <c r="DV14" s="205">
        <f t="shared" si="33"/>
        <v>156720.15662000375</v>
      </c>
      <c r="DW14" s="205">
        <f t="shared" si="33"/>
        <v>156720.15662000375</v>
      </c>
      <c r="DX14" s="205">
        <f t="shared" si="33"/>
        <v>156720.15662000375</v>
      </c>
      <c r="DY14" s="205">
        <f t="shared" si="33"/>
        <v>156720.15662000375</v>
      </c>
      <c r="DZ14" s="205">
        <f t="shared" si="33"/>
        <v>156720.15662000375</v>
      </c>
      <c r="EA14" s="205">
        <f t="shared" si="33"/>
        <v>156720.15662000375</v>
      </c>
      <c r="EB14" s="205">
        <f t="shared" si="33"/>
        <v>156720.15662000375</v>
      </c>
      <c r="EC14" s="205">
        <f t="shared" si="33"/>
        <v>156720.15662000375</v>
      </c>
      <c r="ED14" s="205">
        <f t="shared" si="33"/>
        <v>156720.15662000375</v>
      </c>
      <c r="EE14" s="205">
        <f t="shared" si="33"/>
        <v>156720.15662000375</v>
      </c>
      <c r="EF14" s="205">
        <f t="shared" si="33"/>
        <v>156720.15662000375</v>
      </c>
      <c r="EG14" s="205">
        <f t="shared" ref="EG14:GR14" si="34">EG10-EG12</f>
        <v>156720.15662000375</v>
      </c>
      <c r="EH14" s="205">
        <f t="shared" si="34"/>
        <v>156720.15662000375</v>
      </c>
      <c r="EI14" s="205">
        <f t="shared" si="34"/>
        <v>156720.15662000375</v>
      </c>
      <c r="EJ14" s="205">
        <f t="shared" si="34"/>
        <v>156720.15662000375</v>
      </c>
      <c r="EK14" s="205">
        <f t="shared" si="34"/>
        <v>156720.15662000375</v>
      </c>
      <c r="EL14" s="205">
        <f t="shared" si="34"/>
        <v>156720.15662000375</v>
      </c>
      <c r="EM14" s="205">
        <f t="shared" si="34"/>
        <v>156720.15662000375</v>
      </c>
      <c r="EN14" s="205">
        <f t="shared" si="34"/>
        <v>156720.15662000375</v>
      </c>
      <c r="EO14" s="205">
        <f t="shared" si="34"/>
        <v>156720.15662000375</v>
      </c>
      <c r="EP14" s="205">
        <f t="shared" si="34"/>
        <v>156720.15662000375</v>
      </c>
      <c r="EQ14" s="205">
        <f t="shared" si="34"/>
        <v>156720.15662000375</v>
      </c>
      <c r="ER14" s="205">
        <f t="shared" si="34"/>
        <v>156720.15662000375</v>
      </c>
      <c r="ES14" s="205">
        <f t="shared" si="34"/>
        <v>156720.15662000375</v>
      </c>
      <c r="ET14" s="205">
        <f t="shared" si="34"/>
        <v>156720.15662000375</v>
      </c>
      <c r="EU14" s="205">
        <f t="shared" si="34"/>
        <v>156720.15662000375</v>
      </c>
      <c r="EV14" s="205">
        <f t="shared" si="34"/>
        <v>156720.15662000375</v>
      </c>
      <c r="EW14" s="205">
        <f t="shared" si="34"/>
        <v>156720.15662000375</v>
      </c>
      <c r="EX14" s="205">
        <f t="shared" si="34"/>
        <v>156720.15662000375</v>
      </c>
      <c r="EY14" s="205">
        <f t="shared" si="34"/>
        <v>156720.15662000375</v>
      </c>
      <c r="EZ14" s="205">
        <f t="shared" si="34"/>
        <v>156720.15662000375</v>
      </c>
      <c r="FA14" s="205">
        <f t="shared" si="34"/>
        <v>156720.15662000375</v>
      </c>
      <c r="FB14" s="205">
        <f t="shared" si="34"/>
        <v>156720.15662000375</v>
      </c>
      <c r="FC14" s="205">
        <f t="shared" si="34"/>
        <v>156720.15662000375</v>
      </c>
      <c r="FD14" s="205">
        <f t="shared" si="34"/>
        <v>156720.15662000375</v>
      </c>
      <c r="FE14" s="205">
        <f t="shared" si="34"/>
        <v>156720.15662000375</v>
      </c>
      <c r="FF14" s="205">
        <f t="shared" si="34"/>
        <v>156720.15662000375</v>
      </c>
      <c r="FG14" s="205">
        <f t="shared" si="34"/>
        <v>156720.15662000375</v>
      </c>
      <c r="FH14" s="205">
        <f t="shared" si="34"/>
        <v>156720.15662000375</v>
      </c>
      <c r="FI14" s="205">
        <f t="shared" si="34"/>
        <v>156720.15662000375</v>
      </c>
      <c r="FJ14" s="205">
        <f t="shared" si="34"/>
        <v>156720.15662000375</v>
      </c>
      <c r="FK14" s="205">
        <f t="shared" si="34"/>
        <v>156720.15662000375</v>
      </c>
      <c r="FL14" s="205">
        <f t="shared" si="34"/>
        <v>156720.15662000375</v>
      </c>
      <c r="FM14" s="205">
        <f t="shared" si="34"/>
        <v>156720.15662000375</v>
      </c>
      <c r="FN14" s="205">
        <f t="shared" si="34"/>
        <v>156720.15662000375</v>
      </c>
      <c r="FO14" s="205">
        <f t="shared" si="34"/>
        <v>156720.15662000375</v>
      </c>
      <c r="FP14" s="205">
        <f t="shared" si="34"/>
        <v>156720.15662000375</v>
      </c>
      <c r="FQ14" s="205">
        <f t="shared" si="34"/>
        <v>156720.15662000375</v>
      </c>
      <c r="FR14" s="205">
        <f t="shared" si="34"/>
        <v>156720.15662000375</v>
      </c>
      <c r="FS14" s="205">
        <f t="shared" si="34"/>
        <v>156720.15662000375</v>
      </c>
      <c r="FT14" s="205">
        <f t="shared" si="34"/>
        <v>156720.15662000375</v>
      </c>
      <c r="FU14" s="205">
        <f t="shared" si="34"/>
        <v>156720.15662000375</v>
      </c>
      <c r="FV14" s="205">
        <f t="shared" si="34"/>
        <v>156720.15662000375</v>
      </c>
      <c r="FW14" s="205">
        <f t="shared" si="34"/>
        <v>156720.15662000375</v>
      </c>
      <c r="FX14" s="205">
        <f t="shared" si="34"/>
        <v>156720.15662000375</v>
      </c>
      <c r="FY14" s="205">
        <f t="shared" si="34"/>
        <v>156720.15662000375</v>
      </c>
      <c r="FZ14" s="205">
        <f t="shared" si="34"/>
        <v>156720.15662000375</v>
      </c>
      <c r="GA14" s="205">
        <f t="shared" si="34"/>
        <v>156720.15662000375</v>
      </c>
      <c r="GB14" s="205">
        <f t="shared" si="34"/>
        <v>156720.15662000375</v>
      </c>
      <c r="GC14" s="205">
        <f t="shared" si="34"/>
        <v>156720.15662000375</v>
      </c>
      <c r="GD14" s="205">
        <f t="shared" si="34"/>
        <v>156720.15662000375</v>
      </c>
      <c r="GE14" s="205">
        <f t="shared" si="34"/>
        <v>156720.15662000375</v>
      </c>
      <c r="GF14" s="205">
        <f t="shared" si="34"/>
        <v>156720.15662000375</v>
      </c>
      <c r="GG14" s="205">
        <f t="shared" si="34"/>
        <v>156720.15662000375</v>
      </c>
      <c r="GH14" s="205">
        <f t="shared" si="34"/>
        <v>156720.15662000375</v>
      </c>
      <c r="GI14" s="205">
        <f t="shared" si="34"/>
        <v>156720.15662000375</v>
      </c>
      <c r="GJ14" s="205">
        <f t="shared" si="34"/>
        <v>156720.15662000375</v>
      </c>
      <c r="GK14" s="205">
        <f t="shared" si="34"/>
        <v>156720.15662000375</v>
      </c>
      <c r="GL14" s="205">
        <f t="shared" si="34"/>
        <v>156720.15662000375</v>
      </c>
      <c r="GM14" s="205">
        <f t="shared" si="34"/>
        <v>156720.15662000375</v>
      </c>
      <c r="GN14" s="205">
        <f t="shared" si="34"/>
        <v>156720.15662000375</v>
      </c>
      <c r="GO14" s="205">
        <f t="shared" si="34"/>
        <v>156720.15662000375</v>
      </c>
      <c r="GP14" s="205">
        <f t="shared" si="34"/>
        <v>156720.15662000375</v>
      </c>
      <c r="GQ14" s="205">
        <f t="shared" si="34"/>
        <v>156720.15662000375</v>
      </c>
      <c r="GR14" s="205">
        <f t="shared" si="34"/>
        <v>156720.15662000375</v>
      </c>
      <c r="GS14" s="205">
        <f t="shared" ref="GS14:JD14" si="35">GS10-GS12</f>
        <v>156720.15662000375</v>
      </c>
      <c r="GT14" s="205">
        <f t="shared" si="35"/>
        <v>156720.15662000375</v>
      </c>
      <c r="GU14" s="205">
        <f t="shared" si="35"/>
        <v>156720.15662000375</v>
      </c>
      <c r="GV14" s="205">
        <f t="shared" si="35"/>
        <v>156720.15662000375</v>
      </c>
      <c r="GW14" s="205">
        <f t="shared" si="35"/>
        <v>156720.15662000375</v>
      </c>
      <c r="GX14" s="205">
        <f t="shared" si="35"/>
        <v>156720.15662000375</v>
      </c>
      <c r="GY14" s="205">
        <f t="shared" si="35"/>
        <v>156720.15662000375</v>
      </c>
      <c r="GZ14" s="205">
        <f t="shared" si="35"/>
        <v>156720.15662000375</v>
      </c>
      <c r="HA14" s="205">
        <f t="shared" si="35"/>
        <v>156720.15662000375</v>
      </c>
      <c r="HB14" s="205">
        <f t="shared" si="35"/>
        <v>156720.15662000375</v>
      </c>
      <c r="HC14" s="205">
        <f t="shared" si="35"/>
        <v>156720.15662000375</v>
      </c>
      <c r="HD14" s="205">
        <f t="shared" si="35"/>
        <v>156720.15662000375</v>
      </c>
      <c r="HE14" s="205">
        <f t="shared" si="35"/>
        <v>156720.15662000375</v>
      </c>
      <c r="HF14" s="205">
        <f t="shared" si="35"/>
        <v>156720.15662000375</v>
      </c>
      <c r="HG14" s="205">
        <f t="shared" si="35"/>
        <v>156720.15662000375</v>
      </c>
      <c r="HH14" s="205">
        <f t="shared" si="35"/>
        <v>156720.15662000375</v>
      </c>
      <c r="HI14" s="205">
        <f t="shared" si="35"/>
        <v>156720.15662000375</v>
      </c>
      <c r="HJ14" s="205">
        <f t="shared" si="35"/>
        <v>156720.15662000375</v>
      </c>
      <c r="HK14" s="205">
        <f t="shared" si="35"/>
        <v>156720.15662000375</v>
      </c>
      <c r="HL14" s="205">
        <f t="shared" si="35"/>
        <v>156720.15662000375</v>
      </c>
      <c r="HM14" s="205">
        <f t="shared" si="35"/>
        <v>156720.15662000375</v>
      </c>
      <c r="HN14" s="205">
        <f t="shared" si="35"/>
        <v>156720.15662000375</v>
      </c>
      <c r="HO14" s="205">
        <f t="shared" si="35"/>
        <v>156720.15662000375</v>
      </c>
      <c r="HP14" s="205">
        <f t="shared" si="35"/>
        <v>156720.15662000375</v>
      </c>
      <c r="HQ14" s="205">
        <f t="shared" si="35"/>
        <v>156720.15662000375</v>
      </c>
      <c r="HR14" s="205">
        <f t="shared" si="35"/>
        <v>156720.15662000375</v>
      </c>
      <c r="HS14" s="205">
        <f t="shared" si="35"/>
        <v>156720.15662000375</v>
      </c>
      <c r="HT14" s="205">
        <f t="shared" si="35"/>
        <v>156720.15662000375</v>
      </c>
      <c r="HU14" s="205">
        <f t="shared" si="35"/>
        <v>156720.15662000375</v>
      </c>
      <c r="HV14" s="205">
        <f t="shared" si="35"/>
        <v>156720.15662000375</v>
      </c>
      <c r="HW14" s="205">
        <f t="shared" si="35"/>
        <v>156720.15662000375</v>
      </c>
      <c r="HX14" s="205">
        <f t="shared" si="35"/>
        <v>156720.15662000375</v>
      </c>
      <c r="HY14" s="205">
        <f t="shared" si="35"/>
        <v>156720.15662000375</v>
      </c>
      <c r="HZ14" s="205">
        <f t="shared" si="35"/>
        <v>156720.15662000375</v>
      </c>
      <c r="IA14" s="205">
        <f t="shared" si="35"/>
        <v>156720.15662000375</v>
      </c>
      <c r="IB14" s="205">
        <f t="shared" si="35"/>
        <v>156720.15662000375</v>
      </c>
      <c r="IC14" s="205">
        <f t="shared" si="35"/>
        <v>156720.15662000375</v>
      </c>
      <c r="ID14" s="205">
        <f t="shared" si="35"/>
        <v>156720.15662000375</v>
      </c>
      <c r="IE14" s="205">
        <f t="shared" si="35"/>
        <v>156720.15662000375</v>
      </c>
      <c r="IF14" s="205">
        <f t="shared" si="35"/>
        <v>156720.15662000375</v>
      </c>
      <c r="IG14" s="205">
        <f t="shared" si="35"/>
        <v>156720.15662000375</v>
      </c>
      <c r="IH14" s="205">
        <f t="shared" si="35"/>
        <v>156720.15662000375</v>
      </c>
      <c r="II14" s="205">
        <f t="shared" si="35"/>
        <v>156720.15662000375</v>
      </c>
      <c r="IJ14" s="205">
        <f t="shared" si="35"/>
        <v>156720.15662000375</v>
      </c>
      <c r="IK14" s="205">
        <f t="shared" si="35"/>
        <v>156720.15662000375</v>
      </c>
      <c r="IL14" s="205">
        <f t="shared" si="35"/>
        <v>156720.15662000375</v>
      </c>
      <c r="IM14" s="205">
        <f t="shared" si="35"/>
        <v>156720.15662000375</v>
      </c>
      <c r="IN14" s="205">
        <f t="shared" si="35"/>
        <v>156720.15662000375</v>
      </c>
      <c r="IO14" s="205">
        <f t="shared" si="35"/>
        <v>156720.15662000375</v>
      </c>
      <c r="IP14" s="205">
        <f t="shared" si="35"/>
        <v>156720.15662000375</v>
      </c>
      <c r="IQ14" s="205">
        <f t="shared" si="35"/>
        <v>156720.15662000375</v>
      </c>
      <c r="IR14" s="205">
        <f t="shared" si="35"/>
        <v>156720.15662000375</v>
      </c>
      <c r="IS14" s="205">
        <f t="shared" si="35"/>
        <v>156720.15662000375</v>
      </c>
      <c r="IT14" s="205">
        <f t="shared" si="35"/>
        <v>156720.15662000375</v>
      </c>
      <c r="IU14" s="205">
        <f t="shared" si="35"/>
        <v>156720.15662000375</v>
      </c>
      <c r="IV14" s="205">
        <f t="shared" si="35"/>
        <v>156720.15662000375</v>
      </c>
      <c r="IW14" s="205">
        <f t="shared" si="35"/>
        <v>156720.15662000375</v>
      </c>
      <c r="IX14" s="205">
        <f t="shared" si="35"/>
        <v>156720.15662000375</v>
      </c>
      <c r="IY14" s="205">
        <f t="shared" si="35"/>
        <v>156720.15662000375</v>
      </c>
      <c r="IZ14" s="205">
        <f t="shared" si="35"/>
        <v>156720.15662000375</v>
      </c>
      <c r="JA14" s="205">
        <f t="shared" si="35"/>
        <v>156720.15662000375</v>
      </c>
      <c r="JB14" s="205">
        <f t="shared" si="35"/>
        <v>156720.15662000375</v>
      </c>
      <c r="JC14" s="205">
        <f t="shared" si="35"/>
        <v>156720.15662000375</v>
      </c>
      <c r="JD14" s="205">
        <f t="shared" si="35"/>
        <v>156720.15662000375</v>
      </c>
      <c r="JE14" s="205">
        <f t="shared" ref="JE14:LD14" si="36">JE10-JE12</f>
        <v>156720.15662000375</v>
      </c>
      <c r="JF14" s="205">
        <f t="shared" si="36"/>
        <v>156720.15662000375</v>
      </c>
      <c r="JG14" s="205">
        <f t="shared" si="36"/>
        <v>156720.15662000375</v>
      </c>
      <c r="JH14" s="205">
        <f t="shared" si="36"/>
        <v>156720.15662000375</v>
      </c>
      <c r="JI14" s="205">
        <f t="shared" si="36"/>
        <v>156720.15662000375</v>
      </c>
      <c r="JJ14" s="205">
        <f t="shared" si="36"/>
        <v>156720.15662000375</v>
      </c>
      <c r="JK14" s="205">
        <f t="shared" si="36"/>
        <v>156720.15662000375</v>
      </c>
      <c r="JL14" s="205">
        <f t="shared" si="36"/>
        <v>156720.15662000375</v>
      </c>
      <c r="JM14" s="205">
        <f t="shared" si="36"/>
        <v>156720.15662000375</v>
      </c>
      <c r="JN14" s="205">
        <f t="shared" si="36"/>
        <v>156720.15662000375</v>
      </c>
      <c r="JO14" s="205">
        <f t="shared" si="36"/>
        <v>156720.15662000375</v>
      </c>
      <c r="JP14" s="205">
        <f t="shared" si="36"/>
        <v>156720.15662000375</v>
      </c>
      <c r="JQ14" s="205">
        <f t="shared" si="36"/>
        <v>156720.15662000375</v>
      </c>
      <c r="JR14" s="205">
        <f t="shared" si="36"/>
        <v>156720.15662000375</v>
      </c>
      <c r="JS14" s="205">
        <f t="shared" si="36"/>
        <v>156720.15662000375</v>
      </c>
      <c r="JT14" s="205">
        <f t="shared" si="36"/>
        <v>156720.15662000375</v>
      </c>
      <c r="JU14" s="205">
        <f t="shared" si="36"/>
        <v>156720.15662000375</v>
      </c>
      <c r="JV14" s="205">
        <f t="shared" si="36"/>
        <v>156720.15662000375</v>
      </c>
      <c r="JW14" s="205">
        <f t="shared" si="36"/>
        <v>156720.15662000375</v>
      </c>
      <c r="JX14" s="205">
        <f t="shared" si="36"/>
        <v>156720.15662000375</v>
      </c>
      <c r="JY14" s="205">
        <f t="shared" si="36"/>
        <v>156720.15662000375</v>
      </c>
      <c r="JZ14" s="205">
        <f t="shared" si="36"/>
        <v>156720.15662000375</v>
      </c>
      <c r="KA14" s="205">
        <f t="shared" si="36"/>
        <v>156720.15662000375</v>
      </c>
      <c r="KB14" s="205">
        <f t="shared" si="36"/>
        <v>156720.15662000375</v>
      </c>
      <c r="KC14" s="205">
        <f t="shared" si="36"/>
        <v>156720.15662000375</v>
      </c>
      <c r="KD14" s="205">
        <f t="shared" si="36"/>
        <v>156720.15662000375</v>
      </c>
      <c r="KE14" s="205">
        <f t="shared" si="36"/>
        <v>156720.15662000375</v>
      </c>
      <c r="KF14" s="205">
        <f t="shared" si="36"/>
        <v>156720.15662000375</v>
      </c>
      <c r="KG14" s="205">
        <f t="shared" si="36"/>
        <v>156720.15662000375</v>
      </c>
      <c r="KH14" s="205">
        <f t="shared" si="36"/>
        <v>156720.15662000375</v>
      </c>
      <c r="KI14" s="205">
        <f t="shared" si="36"/>
        <v>156720.15662000375</v>
      </c>
      <c r="KJ14" s="205">
        <f t="shared" si="36"/>
        <v>156720.15662000375</v>
      </c>
      <c r="KK14" s="205">
        <f t="shared" si="36"/>
        <v>156720.15662000375</v>
      </c>
      <c r="KL14" s="205">
        <f t="shared" si="36"/>
        <v>156720.15662000375</v>
      </c>
      <c r="KM14" s="205">
        <f t="shared" si="36"/>
        <v>156720.15662000375</v>
      </c>
      <c r="KN14" s="205">
        <f t="shared" si="36"/>
        <v>156720.15662000375</v>
      </c>
      <c r="KO14" s="205">
        <f t="shared" si="36"/>
        <v>156720.15662000375</v>
      </c>
      <c r="KP14" s="205">
        <f t="shared" si="36"/>
        <v>156720.15662000375</v>
      </c>
      <c r="KQ14" s="205">
        <f t="shared" si="36"/>
        <v>156720.15662000375</v>
      </c>
      <c r="KR14" s="205">
        <f t="shared" si="36"/>
        <v>156720.15662000375</v>
      </c>
      <c r="KS14" s="205">
        <f t="shared" si="36"/>
        <v>156720.15662000375</v>
      </c>
      <c r="KT14" s="205">
        <f t="shared" si="36"/>
        <v>156720.15662000375</v>
      </c>
      <c r="KU14" s="205">
        <f t="shared" si="36"/>
        <v>156720.15662000375</v>
      </c>
      <c r="KV14" s="205">
        <f t="shared" si="36"/>
        <v>156720.15662000375</v>
      </c>
      <c r="KW14" s="205">
        <f t="shared" si="36"/>
        <v>156720.15662000375</v>
      </c>
      <c r="KX14" s="205">
        <f t="shared" si="36"/>
        <v>156720.15662000375</v>
      </c>
      <c r="KY14" s="205">
        <f t="shared" si="36"/>
        <v>156720.15662000375</v>
      </c>
      <c r="KZ14" s="205">
        <f t="shared" si="36"/>
        <v>156720.15662000375</v>
      </c>
      <c r="LA14" s="205">
        <f t="shared" si="36"/>
        <v>156720.15662000375</v>
      </c>
      <c r="LB14" s="205">
        <f t="shared" si="36"/>
        <v>156720.15662000375</v>
      </c>
      <c r="LC14" s="205">
        <f t="shared" si="36"/>
        <v>156720.15662000375</v>
      </c>
      <c r="LD14" s="205">
        <f t="shared" si="36"/>
        <v>156720.15662000375</v>
      </c>
    </row>
    <row r="15" spans="1:794" s="189" customFormat="1"/>
    <row r="16" spans="1:794" s="189" customFormat="1">
      <c r="C16" s="191" t="s">
        <v>235</v>
      </c>
      <c r="D16" s="191" t="s">
        <v>235</v>
      </c>
    </row>
    <row r="17" spans="1:316">
      <c r="A17" s="800"/>
      <c r="B17" s="193" t="s">
        <v>412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3" t="s">
        <v>413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328125" defaultRowHeight="14.25"/>
  <cols>
    <col min="1" max="1" width="21.73046875" bestFit="1" customWidth="1"/>
    <col min="2" max="2" width="17.265625" style="406" bestFit="1" customWidth="1"/>
    <col min="3" max="3" width="12" style="406" bestFit="1" customWidth="1"/>
    <col min="4" max="4" width="13.265625" style="406" bestFit="1" customWidth="1"/>
    <col min="5" max="5" width="14.86328125" style="406" bestFit="1" customWidth="1"/>
    <col min="6" max="8" width="13.265625" style="406" bestFit="1" customWidth="1"/>
    <col min="9" max="9" width="11.73046875" style="406" bestFit="1" customWidth="1"/>
    <col min="10" max="10" width="13.265625" bestFit="1" customWidth="1"/>
    <col min="11" max="11" width="11.73046875" bestFit="1" customWidth="1"/>
    <col min="12" max="12" width="4.86328125" bestFit="1" customWidth="1"/>
    <col min="13" max="14" width="13.265625" bestFit="1" customWidth="1"/>
    <col min="15" max="15" width="12" bestFit="1" customWidth="1"/>
    <col min="16" max="16" width="14.86328125" bestFit="1" customWidth="1"/>
    <col min="17" max="18" width="11.59765625" bestFit="1" customWidth="1"/>
    <col min="19" max="19" width="13.1328125" bestFit="1" customWidth="1"/>
  </cols>
  <sheetData>
    <row r="3" spans="1:16">
      <c r="A3" s="445" t="s">
        <v>414</v>
      </c>
      <c r="B3" s="445" t="s">
        <v>415</v>
      </c>
      <c r="C3"/>
      <c r="D3"/>
      <c r="E3"/>
      <c r="F3"/>
      <c r="G3"/>
      <c r="H3"/>
      <c r="I3"/>
    </row>
    <row r="4" spans="1:16">
      <c r="A4" s="445" t="s">
        <v>416</v>
      </c>
      <c r="B4" t="s">
        <v>417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418</v>
      </c>
    </row>
    <row r="5" spans="1:16">
      <c r="A5" s="446" t="s">
        <v>417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238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252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263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275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299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316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323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336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340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346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362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370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375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358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321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418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9765625" defaultRowHeight="14.25"/>
  <cols>
    <col min="1" max="1" width="39.3984375" style="364" bestFit="1" customWidth="1"/>
    <col min="2" max="2" width="17.265625" style="365" bestFit="1" customWidth="1"/>
    <col min="3" max="3" width="12" style="364" bestFit="1" customWidth="1"/>
    <col min="4" max="4" width="13.265625" style="364" bestFit="1" customWidth="1"/>
    <col min="5" max="5" width="14.86328125" style="364" bestFit="1" customWidth="1"/>
    <col min="6" max="7" width="13.265625" style="364" bestFit="1" customWidth="1"/>
    <col min="8" max="8" width="12" style="364" bestFit="1" customWidth="1"/>
    <col min="9" max="11" width="11.73046875" style="364" bestFit="1" customWidth="1"/>
    <col min="12" max="12" width="4.86328125" style="364" bestFit="1" customWidth="1"/>
    <col min="13" max="13" width="10.59765625" style="364" bestFit="1" customWidth="1"/>
    <col min="14" max="14" width="13.265625" style="364" bestFit="1" customWidth="1"/>
    <col min="15" max="15" width="12" style="364" bestFit="1" customWidth="1"/>
    <col min="16" max="16" width="14.86328125" style="364" bestFit="1" customWidth="1"/>
    <col min="17" max="18" width="11.1328125" style="364" bestFit="1" customWidth="1"/>
    <col min="19" max="19" width="13.59765625" style="364" bestFit="1" customWidth="1"/>
    <col min="20" max="16384" width="12.597656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419</v>
      </c>
      <c r="B3" s="445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416</v>
      </c>
      <c r="B4" t="s">
        <v>417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418</v>
      </c>
      <c r="Q4"/>
      <c r="R4"/>
      <c r="S4"/>
      <c r="T4"/>
    </row>
    <row r="5" spans="1:20">
      <c r="A5" s="446" t="s">
        <v>417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238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252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263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275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299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316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323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336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340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346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362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370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375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358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321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418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328125" customWidth="1"/>
    <col min="2" max="2" width="21.1328125" customWidth="1"/>
    <col min="3" max="3" width="28.86328125" customWidth="1"/>
    <col min="4" max="4" width="15.13281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803" t="s">
        <v>420</v>
      </c>
      <c r="C2" s="803"/>
      <c r="D2" s="803"/>
      <c r="E2" s="803"/>
      <c r="H2" s="804" t="s">
        <v>421</v>
      </c>
      <c r="I2" s="805"/>
      <c r="J2" s="805"/>
      <c r="K2" s="805"/>
      <c r="L2" s="805"/>
      <c r="M2" s="805"/>
      <c r="N2" s="805"/>
      <c r="O2" s="806"/>
    </row>
    <row r="3" spans="2:15">
      <c r="B3" s="686"/>
      <c r="H3" s="807"/>
      <c r="I3" s="808"/>
      <c r="J3" s="808"/>
      <c r="K3" s="808"/>
      <c r="L3" s="808"/>
      <c r="M3" s="808"/>
      <c r="N3" s="808"/>
      <c r="O3" s="809"/>
    </row>
    <row r="4" spans="2:15">
      <c r="B4" s="687" t="s">
        <v>422</v>
      </c>
      <c r="C4" s="688" t="str">
        <f>'Project Plan'!E2</f>
        <v>Randfontein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87" t="s">
        <v>423</v>
      </c>
      <c r="C5" s="688" t="s">
        <v>424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87" t="s">
        <v>425</v>
      </c>
      <c r="C6" s="688" t="s">
        <v>426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87" t="s">
        <v>427</v>
      </c>
      <c r="C7" s="688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86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428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4.65" thickBot="1">
      <c r="B10" s="813" t="s">
        <v>429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89" t="s">
        <v>430</v>
      </c>
      <c r="C11" s="801" t="s">
        <v>431</v>
      </c>
      <c r="D11" s="801"/>
      <c r="E11" s="801"/>
    </row>
    <row r="12" spans="2:15">
      <c r="B12" s="689" t="s">
        <v>432</v>
      </c>
      <c r="C12" s="801" t="s">
        <v>431</v>
      </c>
      <c r="D12" s="801"/>
      <c r="E12" s="801"/>
    </row>
    <row r="13" spans="2:15">
      <c r="B13" s="689" t="s">
        <v>433</v>
      </c>
      <c r="C13" s="801" t="s">
        <v>431</v>
      </c>
      <c r="D13" s="801"/>
      <c r="E13" s="801"/>
    </row>
    <row r="14" spans="2:15">
      <c r="B14" s="689" t="s">
        <v>434</v>
      </c>
      <c r="C14" s="801" t="s">
        <v>435</v>
      </c>
      <c r="D14" s="801"/>
      <c r="E14" s="801"/>
    </row>
    <row r="15" spans="2:15">
      <c r="B15" s="689" t="s">
        <v>436</v>
      </c>
      <c r="C15" s="801" t="s">
        <v>437</v>
      </c>
      <c r="D15" s="801"/>
      <c r="E15" s="801"/>
    </row>
    <row r="16" spans="2:15" ht="15" customHeight="1">
      <c r="B16" s="689" t="s">
        <v>438</v>
      </c>
      <c r="C16" s="801" t="s">
        <v>439</v>
      </c>
      <c r="D16" s="801"/>
      <c r="E16" s="801"/>
    </row>
    <row r="17" spans="2:5">
      <c r="B17" s="686"/>
    </row>
    <row r="18" spans="2:5">
      <c r="B18" s="802" t="s">
        <v>440</v>
      </c>
      <c r="C18" s="802"/>
      <c r="D18" s="802"/>
      <c r="E18" s="802"/>
    </row>
    <row r="19" spans="2:5">
      <c r="B19" s="689" t="s">
        <v>441</v>
      </c>
      <c r="C19" s="689" t="s">
        <v>442</v>
      </c>
      <c r="D19" s="689" t="s">
        <v>443</v>
      </c>
      <c r="E19" s="689" t="s">
        <v>62</v>
      </c>
    </row>
    <row r="20" spans="2:5" ht="15" customHeight="1">
      <c r="B20" s="689" t="s">
        <v>444</v>
      </c>
      <c r="C20" s="689" t="s">
        <v>445</v>
      </c>
      <c r="D20" s="690" t="s">
        <v>446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328125" defaultRowHeight="14.25"/>
  <cols>
    <col min="4" max="4" width="9" customWidth="1"/>
  </cols>
  <sheetData>
    <row r="1" spans="1:4">
      <c r="A1" s="108" t="s">
        <v>447</v>
      </c>
    </row>
    <row r="2" spans="1:4">
      <c r="A2" s="815"/>
      <c r="B2" s="815"/>
      <c r="C2" s="815"/>
      <c r="D2" s="71"/>
    </row>
    <row r="3" spans="1:4">
      <c r="A3" s="814" t="s">
        <v>448</v>
      </c>
      <c r="B3" s="814"/>
      <c r="C3" s="814"/>
      <c r="D3" s="109">
        <v>0.32</v>
      </c>
    </row>
    <row r="4" spans="1:4">
      <c r="A4" s="814" t="s">
        <v>389</v>
      </c>
      <c r="B4" s="814"/>
      <c r="C4" s="814"/>
      <c r="D4" s="109">
        <v>0.5</v>
      </c>
    </row>
    <row r="5" spans="1:4">
      <c r="A5" s="814" t="s">
        <v>400</v>
      </c>
      <c r="B5" s="814"/>
      <c r="C5" s="814"/>
      <c r="D5" s="109">
        <v>0.15</v>
      </c>
    </row>
    <row r="6" spans="1:4">
      <c r="A6" s="814" t="s">
        <v>449</v>
      </c>
      <c r="B6" s="814"/>
      <c r="C6" s="814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328125" style="86" customWidth="1"/>
    <col min="3" max="3" width="4.1328125" style="86" customWidth="1"/>
    <col min="4" max="4" width="14.1328125" style="86" bestFit="1" customWidth="1"/>
    <col min="5" max="5" width="3.1328125" style="86" customWidth="1"/>
    <col min="6" max="6" width="15.1328125" style="86" customWidth="1"/>
    <col min="7" max="7" width="2.1328125" style="86" customWidth="1"/>
    <col min="8" max="8" width="16.1328125" style="86" bestFit="1" customWidth="1"/>
    <col min="9" max="9" width="6.132812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3" style="86" customWidth="1"/>
    <col min="14" max="14" width="45.1328125" style="86" customWidth="1"/>
    <col min="15" max="16384" width="9.1328125" style="86"/>
  </cols>
  <sheetData>
    <row r="2" spans="2:14" s="92" customFormat="1" ht="17.649999999999999">
      <c r="B2" s="816" t="s">
        <v>450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0" t="s">
        <v>451</v>
      </c>
      <c r="C4" s="84"/>
      <c r="D4" s="88" t="s">
        <v>452</v>
      </c>
      <c r="E4" s="93"/>
      <c r="F4" s="88" t="s">
        <v>453</v>
      </c>
      <c r="H4" s="88" t="s">
        <v>454</v>
      </c>
      <c r="I4" s="93"/>
      <c r="J4" s="88" t="s">
        <v>455</v>
      </c>
      <c r="L4" s="88" t="s">
        <v>454</v>
      </c>
      <c r="M4" s="88"/>
      <c r="N4" s="88" t="s">
        <v>456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457</v>
      </c>
      <c r="H7" s="97"/>
      <c r="I7" s="93"/>
      <c r="J7" s="105" t="s">
        <v>457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250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250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458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459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460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457</v>
      </c>
      <c r="H15" s="97"/>
      <c r="I15" s="93"/>
      <c r="J15" s="105" t="s">
        <v>457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461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461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460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457</v>
      </c>
      <c r="H21" s="97"/>
      <c r="I21" s="93"/>
      <c r="J21" s="105" t="s">
        <v>457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462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462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460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457</v>
      </c>
      <c r="H27" s="97"/>
      <c r="I27" s="93"/>
      <c r="J27" s="105" t="s">
        <v>457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463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460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457</v>
      </c>
      <c r="H34" s="97"/>
      <c r="I34" s="93"/>
      <c r="J34" s="105" t="s">
        <v>457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464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465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466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467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468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469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470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32812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3.1328125" style="86" customWidth="1"/>
    <col min="7" max="7" width="18.597656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328125" style="86" customWidth="1"/>
    <col min="13" max="13" width="9.1328125" style="86" bestFit="1" customWidth="1"/>
    <col min="14" max="14" width="0.8632812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16" t="s">
        <v>472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0" t="s">
        <v>451</v>
      </c>
      <c r="C4" s="84"/>
      <c r="D4" s="88" t="s">
        <v>452</v>
      </c>
      <c r="E4" s="93"/>
      <c r="F4" s="93"/>
      <c r="G4" s="88" t="s">
        <v>473</v>
      </c>
      <c r="H4" s="94"/>
      <c r="J4" s="88" t="s">
        <v>454</v>
      </c>
      <c r="L4" s="88" t="s">
        <v>474</v>
      </c>
      <c r="M4" s="94"/>
      <c r="O4" s="88" t="s">
        <v>454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249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254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255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256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257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475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259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260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470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451</v>
      </c>
      <c r="C18" s="84"/>
      <c r="D18" s="88" t="s">
        <v>452</v>
      </c>
      <c r="E18" s="93"/>
      <c r="F18" s="93"/>
      <c r="G18" s="88" t="s">
        <v>476</v>
      </c>
      <c r="H18" s="94"/>
      <c r="J18" s="88" t="s">
        <v>454</v>
      </c>
      <c r="L18" s="88" t="s">
        <v>477</v>
      </c>
      <c r="M18" s="94"/>
      <c r="O18" s="88" t="s">
        <v>454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478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479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480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481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259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482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257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470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483</v>
      </c>
      <c r="C32" s="101"/>
      <c r="D32" s="101"/>
    </row>
    <row r="33" spans="2:4" ht="13.15" thickTop="1"/>
    <row r="34" spans="2:4">
      <c r="B34" s="86" t="s">
        <v>452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484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86328125" customWidth="1"/>
    <col min="2" max="2" width="8.1328125" bestFit="1" customWidth="1"/>
    <col min="3" max="3" width="45.1328125" customWidth="1"/>
    <col min="4" max="4" width="34.1328125" customWidth="1"/>
    <col min="5" max="5" width="15.1328125" customWidth="1"/>
    <col min="6" max="6" width="12" bestFit="1" customWidth="1"/>
    <col min="7" max="7" width="9.132812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18" t="str">
        <f>D15</f>
        <v>Randfontein</v>
      </c>
      <c r="C1" s="818"/>
      <c r="D1" s="818"/>
      <c r="E1" s="817" t="s">
        <v>485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486</v>
      </c>
      <c r="C3" s="72" t="s">
        <v>487</v>
      </c>
      <c r="D3" s="72" t="s">
        <v>488</v>
      </c>
      <c r="E3" s="78" t="s">
        <v>489</v>
      </c>
      <c r="F3" s="78" t="s">
        <v>490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2026-02-11T08:01:58Z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