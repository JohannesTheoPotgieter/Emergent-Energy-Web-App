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6" documentId="13_ncr:1_{C6F88FE9-613D-4912-9625-10BBA8C7F6C3}" xr6:coauthVersionLast="47" xr6:coauthVersionMax="47" xr10:uidLastSave="{BC13E21C-4E98-466B-A012-1919AFBD636C}"/>
  <bookViews>
    <workbookView xWindow="-28920" yWindow="720" windowWidth="29040" windowHeight="15720" tabRatio="683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399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2" l="1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J6" i="6"/>
  <c r="G10" i="6"/>
  <c r="K43" i="2" l="1"/>
  <c r="N43" i="2" s="1"/>
  <c r="N41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<sst xmlns="http://schemas.openxmlformats.org/spreadsheetml/2006/main" count="895" uniqueCount="499">
  <si>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</si>
  <si>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</si>
  <si>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</si>
  <si>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</si>
  <si>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</si>
  <si>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</si>
  <si>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</si>
  <si>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</si>
  <si>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</si>
  <si>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</si>
  <si>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</si>
  <si>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</si>
  <si>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</si>
  <si>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</si>
  <si>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</si>
  <si>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</si>
  <si>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</si>
  <si>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</si>
  <si>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</si>
  <si>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</si>
  <si>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</si>
  <si>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</si>
  <si>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</si>
  <si>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</si>
  <si>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</si>
  <si>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</si>
  <si>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</si>
  <si>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</si>
  <si>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</si>
  <si>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</si>
  <si>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</si>
  <si>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</si>
  <si>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</si>
  <si>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</si>
  <si>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</si>
  <si>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</si>
  <si>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</si>
  <si>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</si>
  <si>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</si>
  <si>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</si>
  <si>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</si>
  <si>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</si>
  <si>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</si>
  <si>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</si>
  <si>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</si>
  <si>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</si>
  <si>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</si>
  <si>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</si>
  <si>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</si>
  <si>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</si>
  <si>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</si>
  <si>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</si>
  <si>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</si>
  <si>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</si>
  <si>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</si>
  <si>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</si>
  <si>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</si>
  <si>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</si>
  <si>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</si>
  <si>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</si>
  <si>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</si>
  <si>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</si>
  <si>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</si>
  <si>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</si>
  <si>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</si>
  <si>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</si>
  <si>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</si>
  <si>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</si>
  <si>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</si>
  <si>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</si>
  <si>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</si>
  <si>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</si>
  <si>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</si>
  <si>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</si>
  <si>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</si>
  <si>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</si>
  <si>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</si>
  <si>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</si>
  <si>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</si>
  <si>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</si>
  <si>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</si>
  <si>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</si>
  <si>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</si>
  <si>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</si>
  <si>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</si>
  <si>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</si>
  <si>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</si>
  <si>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</si>
  <si>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</si>
  <si>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</si>
  <si>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</si>
  <si>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</si>
  <si>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</si>
  <si>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</si>
  <si>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</si>
  <si>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</si>
  <si>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</si>
  <si>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</si>
  <si>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</si>
  <si>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</si>
  <si>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</si>
  <si>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</si>
  <si>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</si>
  <si>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</si>
  <si>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</si>
  <si>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</si>
  <si>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</si>
  <si>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</si>
  <si>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</si>
  <si>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</si>
  <si>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</si>
  <si>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</si>
  <si>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</si>
  <si>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</si>
  <si>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</si>
  <si>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</si>
  <si>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</si>
  <si>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</si>
  <si>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</si>
  <si>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</si>
  <si>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</si>
  <si>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</si>
  <si>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</si>
  <si>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</si>
  <si>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</si>
  <si>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</si>
  <si>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</si>
  <si>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</si>
  <si>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</si>
  <si>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</si>
  <si>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</si>
  <si>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</si>
  <si>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</si>
  <si>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</si>
  <si>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</si>
  <si>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</si>
  <si>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</si>
  <si>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</si>
  <si>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</si>
  <si>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</si>
  <si>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</si>
  <si>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</si>
  <si>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</si>
  <si>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Client QC scheduled for Monday 26 Jan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</si>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</sst>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71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1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1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4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470495.67808733974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2761151.0934295841</c:v>
                </c:pt>
                <c:pt idx="55">
                  <c:v>2761151.0934295841</c:v>
                </c:pt>
                <c:pt idx="56">
                  <c:v>2761151.0934295841</c:v>
                </c:pt>
                <c:pt idx="57">
                  <c:v>2856737.9327490302</c:v>
                </c:pt>
                <c:pt idx="58">
                  <c:v>2897100.9327490302</c:v>
                </c:pt>
                <c:pt idx="59">
                  <c:v>2897100.9327490302</c:v>
                </c:pt>
                <c:pt idx="60">
                  <c:v>2897100.9327490302</c:v>
                </c:pt>
                <c:pt idx="61">
                  <c:v>2897100.9327490302</c:v>
                </c:pt>
                <c:pt idx="62">
                  <c:v>2937463.9327490302</c:v>
                </c:pt>
                <c:pt idx="63">
                  <c:v>2937463.9327490302</c:v>
                </c:pt>
                <c:pt idx="64">
                  <c:v>2937463.9327490302</c:v>
                </c:pt>
                <c:pt idx="65">
                  <c:v>2937463.9327490302</c:v>
                </c:pt>
                <c:pt idx="66">
                  <c:v>2937463.9327490302</c:v>
                </c:pt>
                <c:pt idx="67">
                  <c:v>2937463.9327490302</c:v>
                </c:pt>
                <c:pt idx="68">
                  <c:v>2937463.9327490302</c:v>
                </c:pt>
                <c:pt idx="69">
                  <c:v>2937463.9327490302</c:v>
                </c:pt>
                <c:pt idx="70">
                  <c:v>2937463.9327490302</c:v>
                </c:pt>
                <c:pt idx="71">
                  <c:v>2937463.9327490302</c:v>
                </c:pt>
                <c:pt idx="72">
                  <c:v>2937463.9327490302</c:v>
                </c:pt>
                <c:pt idx="73">
                  <c:v>2937463.9327490302</c:v>
                </c:pt>
                <c:pt idx="74">
                  <c:v>2937463.9327490302</c:v>
                </c:pt>
                <c:pt idx="75">
                  <c:v>2937463.9327490302</c:v>
                </c:pt>
                <c:pt idx="76">
                  <c:v>2937463.9327490302</c:v>
                </c:pt>
                <c:pt idx="77">
                  <c:v>2937463.9327490302</c:v>
                </c:pt>
                <c:pt idx="78">
                  <c:v>2937463.9327490302</c:v>
                </c:pt>
                <c:pt idx="79">
                  <c:v>2937463.9327490302</c:v>
                </c:pt>
                <c:pt idx="80">
                  <c:v>2937463.9327490302</c:v>
                </c:pt>
                <c:pt idx="81">
                  <c:v>2937463.9327490302</c:v>
                </c:pt>
                <c:pt idx="82">
                  <c:v>2937463.9327490302</c:v>
                </c:pt>
                <c:pt idx="83">
                  <c:v>2937463.9327490302</c:v>
                </c:pt>
                <c:pt idx="84">
                  <c:v>2937463.9327490302</c:v>
                </c:pt>
                <c:pt idx="85">
                  <c:v>2937463.9327490302</c:v>
                </c:pt>
                <c:pt idx="86">
                  <c:v>2937463.9327490302</c:v>
                </c:pt>
                <c:pt idx="87">
                  <c:v>2937463.9327490302</c:v>
                </c:pt>
                <c:pt idx="88">
                  <c:v>2937463.9327490302</c:v>
                </c:pt>
                <c:pt idx="89">
                  <c:v>2937463.9327490302</c:v>
                </c:pt>
                <c:pt idx="90">
                  <c:v>2937463.9327490302</c:v>
                </c:pt>
                <c:pt idx="91">
                  <c:v>2937463.9327490302</c:v>
                </c:pt>
                <c:pt idx="92">
                  <c:v>2937463.9327490302</c:v>
                </c:pt>
                <c:pt idx="93">
                  <c:v>2937463.9327490302</c:v>
                </c:pt>
                <c:pt idx="94">
                  <c:v>2937463.9327490302</c:v>
                </c:pt>
                <c:pt idx="95">
                  <c:v>2937463.9327490302</c:v>
                </c:pt>
                <c:pt idx="96">
                  <c:v>2937463.9327490302</c:v>
                </c:pt>
                <c:pt idx="97">
                  <c:v>2937463.9327490302</c:v>
                </c:pt>
                <c:pt idx="98">
                  <c:v>2937463.9327490302</c:v>
                </c:pt>
                <c:pt idx="99">
                  <c:v>2937463.9327490302</c:v>
                </c:pt>
                <c:pt idx="100">
                  <c:v>2937463.9327490302</c:v>
                </c:pt>
                <c:pt idx="101">
                  <c:v>2937463.9327490302</c:v>
                </c:pt>
                <c:pt idx="102">
                  <c:v>2937463.9327490302</c:v>
                </c:pt>
                <c:pt idx="103">
                  <c:v>2937463.9327490302</c:v>
                </c:pt>
                <c:pt idx="104">
                  <c:v>2937463.9327490302</c:v>
                </c:pt>
                <c:pt idx="105">
                  <c:v>2937463.9327490302</c:v>
                </c:pt>
                <c:pt idx="106">
                  <c:v>2937463.9327490302</c:v>
                </c:pt>
                <c:pt idx="107">
                  <c:v>2937463.9327490302</c:v>
                </c:pt>
                <c:pt idx="108">
                  <c:v>2937463.9327490302</c:v>
                </c:pt>
                <c:pt idx="109">
                  <c:v>2937463.9327490302</c:v>
                </c:pt>
                <c:pt idx="110">
                  <c:v>2937463.9327490302</c:v>
                </c:pt>
                <c:pt idx="111">
                  <c:v>2937463.9327490302</c:v>
                </c:pt>
                <c:pt idx="112">
                  <c:v>2937463.9327490302</c:v>
                </c:pt>
                <c:pt idx="113">
                  <c:v>2937463.9327490302</c:v>
                </c:pt>
                <c:pt idx="114">
                  <c:v>2937463.9327490302</c:v>
                </c:pt>
                <c:pt idx="115">
                  <c:v>2937463.9327490302</c:v>
                </c:pt>
                <c:pt idx="116">
                  <c:v>2937463.9327490302</c:v>
                </c:pt>
                <c:pt idx="117">
                  <c:v>2937463.9327490302</c:v>
                </c:pt>
                <c:pt idx="118">
                  <c:v>2937463.9327490302</c:v>
                </c:pt>
                <c:pt idx="119">
                  <c:v>2937463.9327490302</c:v>
                </c:pt>
                <c:pt idx="120">
                  <c:v>2937463.9327490302</c:v>
                </c:pt>
                <c:pt idx="121">
                  <c:v>2937463.9327490302</c:v>
                </c:pt>
                <c:pt idx="122">
                  <c:v>2937463.9327490302</c:v>
                </c:pt>
                <c:pt idx="123">
                  <c:v>2937463.9327490302</c:v>
                </c:pt>
                <c:pt idx="124">
                  <c:v>2937463.9327490302</c:v>
                </c:pt>
                <c:pt idx="125">
                  <c:v>2937463.9327490302</c:v>
                </c:pt>
                <c:pt idx="126">
                  <c:v>2937463.9327490302</c:v>
                </c:pt>
                <c:pt idx="127">
                  <c:v>2937463.9327490302</c:v>
                </c:pt>
                <c:pt idx="128">
                  <c:v>2937463.9327490302</c:v>
                </c:pt>
                <c:pt idx="129">
                  <c:v>2937463.9327490302</c:v>
                </c:pt>
                <c:pt idx="130">
                  <c:v>2937463.9327490302</c:v>
                </c:pt>
                <c:pt idx="131">
                  <c:v>2937463.9327490302</c:v>
                </c:pt>
                <c:pt idx="132">
                  <c:v>2937463.9327490302</c:v>
                </c:pt>
                <c:pt idx="133">
                  <c:v>2937463.9327490302</c:v>
                </c:pt>
                <c:pt idx="134">
                  <c:v>2937463.9327490302</c:v>
                </c:pt>
                <c:pt idx="135">
                  <c:v>2937463.9327490302</c:v>
                </c:pt>
                <c:pt idx="136">
                  <c:v>2937463.9327490302</c:v>
                </c:pt>
                <c:pt idx="137">
                  <c:v>2937463.9327490302</c:v>
                </c:pt>
                <c:pt idx="138">
                  <c:v>2937463.9327490302</c:v>
                </c:pt>
                <c:pt idx="139">
                  <c:v>2937463.9327490302</c:v>
                </c:pt>
                <c:pt idx="140">
                  <c:v>2937463.9327490302</c:v>
                </c:pt>
                <c:pt idx="141">
                  <c:v>2937463.9327490302</c:v>
                </c:pt>
                <c:pt idx="142">
                  <c:v>2937463.9327490302</c:v>
                </c:pt>
                <c:pt idx="143">
                  <c:v>2937463.9327490302</c:v>
                </c:pt>
                <c:pt idx="144">
                  <c:v>2937463.9327490302</c:v>
                </c:pt>
                <c:pt idx="145">
                  <c:v>2937463.9327490302</c:v>
                </c:pt>
                <c:pt idx="146">
                  <c:v>2937463.9327490302</c:v>
                </c:pt>
                <c:pt idx="147">
                  <c:v>2937463.9327490302</c:v>
                </c:pt>
                <c:pt idx="148">
                  <c:v>2937463.9327490302</c:v>
                </c:pt>
                <c:pt idx="149">
                  <c:v>2937463.9327490302</c:v>
                </c:pt>
                <c:pt idx="150">
                  <c:v>2937463.9327490302</c:v>
                </c:pt>
                <c:pt idx="151">
                  <c:v>2937463.9327490302</c:v>
                </c:pt>
                <c:pt idx="152">
                  <c:v>2937463.9327490302</c:v>
                </c:pt>
                <c:pt idx="153">
                  <c:v>2937463.9327490302</c:v>
                </c:pt>
                <c:pt idx="154">
                  <c:v>2937463.9327490302</c:v>
                </c:pt>
                <c:pt idx="155">
                  <c:v>2937463.9327490302</c:v>
                </c:pt>
                <c:pt idx="156">
                  <c:v>2937463.9327490302</c:v>
                </c:pt>
                <c:pt idx="157">
                  <c:v>2937463.9327490302</c:v>
                </c:pt>
                <c:pt idx="158">
                  <c:v>2937463.9327490302</c:v>
                </c:pt>
                <c:pt idx="159">
                  <c:v>2937463.9327490302</c:v>
                </c:pt>
                <c:pt idx="160">
                  <c:v>2937463.9327490302</c:v>
                </c:pt>
                <c:pt idx="161">
                  <c:v>2937463.9327490302</c:v>
                </c:pt>
                <c:pt idx="162">
                  <c:v>2937463.9327490302</c:v>
                </c:pt>
                <c:pt idx="163">
                  <c:v>2937463.9327490302</c:v>
                </c:pt>
                <c:pt idx="164">
                  <c:v>2937463.9327490302</c:v>
                </c:pt>
                <c:pt idx="165">
                  <c:v>2937463.9327490302</c:v>
                </c:pt>
                <c:pt idx="166">
                  <c:v>2937463.9327490302</c:v>
                </c:pt>
                <c:pt idx="167">
                  <c:v>2937463.9327490302</c:v>
                </c:pt>
                <c:pt idx="168">
                  <c:v>2937463.9327490302</c:v>
                </c:pt>
                <c:pt idx="169">
                  <c:v>2937463.9327490302</c:v>
                </c:pt>
                <c:pt idx="170">
                  <c:v>2937463.9327490302</c:v>
                </c:pt>
                <c:pt idx="171">
                  <c:v>2937463.9327490302</c:v>
                </c:pt>
                <c:pt idx="172">
                  <c:v>2937463.9327490302</c:v>
                </c:pt>
                <c:pt idx="173">
                  <c:v>2937463.9327490302</c:v>
                </c:pt>
                <c:pt idx="174">
                  <c:v>2937463.9327490302</c:v>
                </c:pt>
                <c:pt idx="175">
                  <c:v>2937463.9327490302</c:v>
                </c:pt>
                <c:pt idx="176">
                  <c:v>2937463.9327490302</c:v>
                </c:pt>
                <c:pt idx="177">
                  <c:v>2937463.9327490302</c:v>
                </c:pt>
                <c:pt idx="178">
                  <c:v>2937463.9327490302</c:v>
                </c:pt>
                <c:pt idx="179">
                  <c:v>2937463.9327490302</c:v>
                </c:pt>
                <c:pt idx="180">
                  <c:v>2937463.9327490302</c:v>
                </c:pt>
                <c:pt idx="181">
                  <c:v>2937463.9327490302</c:v>
                </c:pt>
                <c:pt idx="182">
                  <c:v>2937463.9327490302</c:v>
                </c:pt>
                <c:pt idx="183">
                  <c:v>2937463.9327490302</c:v>
                </c:pt>
                <c:pt idx="184">
                  <c:v>2937463.9327490302</c:v>
                </c:pt>
                <c:pt idx="185">
                  <c:v>2937463.9327490302</c:v>
                </c:pt>
                <c:pt idx="186">
                  <c:v>2937463.9327490302</c:v>
                </c:pt>
                <c:pt idx="187">
                  <c:v>2937463.9327490302</c:v>
                </c:pt>
                <c:pt idx="188">
                  <c:v>2937463.9327490302</c:v>
                </c:pt>
                <c:pt idx="189">
                  <c:v>2937463.9327490302</c:v>
                </c:pt>
                <c:pt idx="190">
                  <c:v>2937463.9327490302</c:v>
                </c:pt>
                <c:pt idx="191">
                  <c:v>2937463.9327490302</c:v>
                </c:pt>
                <c:pt idx="192">
                  <c:v>2937463.9327490302</c:v>
                </c:pt>
                <c:pt idx="193">
                  <c:v>2937463.9327490302</c:v>
                </c:pt>
                <c:pt idx="194">
                  <c:v>2937463.9327490302</c:v>
                </c:pt>
                <c:pt idx="195">
                  <c:v>2937463.9327490302</c:v>
                </c:pt>
                <c:pt idx="196">
                  <c:v>2937463.9327490302</c:v>
                </c:pt>
                <c:pt idx="197">
                  <c:v>2937463.9327490302</c:v>
                </c:pt>
                <c:pt idx="198">
                  <c:v>2937463.9327490302</c:v>
                </c:pt>
                <c:pt idx="199">
                  <c:v>2937463.9327490302</c:v>
                </c:pt>
                <c:pt idx="200">
                  <c:v>2937463.9327490302</c:v>
                </c:pt>
                <c:pt idx="201">
                  <c:v>2937463.9327490302</c:v>
                </c:pt>
                <c:pt idx="202">
                  <c:v>2937463.9327490302</c:v>
                </c:pt>
                <c:pt idx="203">
                  <c:v>2937463.9327490302</c:v>
                </c:pt>
                <c:pt idx="204">
                  <c:v>2937463.9327490302</c:v>
                </c:pt>
                <c:pt idx="205">
                  <c:v>2937463.9327490302</c:v>
                </c:pt>
                <c:pt idx="206">
                  <c:v>2937463.9327490302</c:v>
                </c:pt>
                <c:pt idx="207">
                  <c:v>2937463.9327490302</c:v>
                </c:pt>
                <c:pt idx="208">
                  <c:v>2937463.9327490302</c:v>
                </c:pt>
                <c:pt idx="209">
                  <c:v>2937463.9327490302</c:v>
                </c:pt>
                <c:pt idx="210">
                  <c:v>2937463.9327490302</c:v>
                </c:pt>
                <c:pt idx="211">
                  <c:v>2937463.9327490302</c:v>
                </c:pt>
                <c:pt idx="212">
                  <c:v>2937463.9327490302</c:v>
                </c:pt>
                <c:pt idx="213">
                  <c:v>2937463.9327490302</c:v>
                </c:pt>
                <c:pt idx="214">
                  <c:v>2937463.9327490302</c:v>
                </c:pt>
                <c:pt idx="215">
                  <c:v>2937463.9327490302</c:v>
                </c:pt>
                <c:pt idx="216">
                  <c:v>2937463.9327490302</c:v>
                </c:pt>
                <c:pt idx="217">
                  <c:v>2937463.9327490302</c:v>
                </c:pt>
                <c:pt idx="218">
                  <c:v>2937463.9327490302</c:v>
                </c:pt>
                <c:pt idx="219">
                  <c:v>2937463.9327490302</c:v>
                </c:pt>
                <c:pt idx="220">
                  <c:v>2937463.9327490302</c:v>
                </c:pt>
                <c:pt idx="221">
                  <c:v>2937463.9327490302</c:v>
                </c:pt>
                <c:pt idx="222">
                  <c:v>2937463.9327490302</c:v>
                </c:pt>
                <c:pt idx="223">
                  <c:v>2937463.9327490302</c:v>
                </c:pt>
                <c:pt idx="224">
                  <c:v>2937463.9327490302</c:v>
                </c:pt>
                <c:pt idx="225">
                  <c:v>2937463.9327490302</c:v>
                </c:pt>
                <c:pt idx="226">
                  <c:v>2937463.9327490302</c:v>
                </c:pt>
                <c:pt idx="227">
                  <c:v>2937463.9327490302</c:v>
                </c:pt>
                <c:pt idx="228">
                  <c:v>2937463.9327490302</c:v>
                </c:pt>
                <c:pt idx="229">
                  <c:v>2937463.9327490302</c:v>
                </c:pt>
                <c:pt idx="230">
                  <c:v>2937463.9327490302</c:v>
                </c:pt>
                <c:pt idx="231">
                  <c:v>2937463.9327490302</c:v>
                </c:pt>
                <c:pt idx="232">
                  <c:v>2937463.9327490302</c:v>
                </c:pt>
                <c:pt idx="233">
                  <c:v>2937463.9327490302</c:v>
                </c:pt>
                <c:pt idx="234">
                  <c:v>2937463.9327490302</c:v>
                </c:pt>
                <c:pt idx="235">
                  <c:v>2937463.9327490302</c:v>
                </c:pt>
                <c:pt idx="236">
                  <c:v>2937463.9327490302</c:v>
                </c:pt>
                <c:pt idx="237">
                  <c:v>2937463.9327490302</c:v>
                </c:pt>
                <c:pt idx="238">
                  <c:v>2937463.9327490302</c:v>
                </c:pt>
                <c:pt idx="239">
                  <c:v>2937463.9327490302</c:v>
                </c:pt>
                <c:pt idx="240">
                  <c:v>2937463.9327490302</c:v>
                </c:pt>
                <c:pt idx="241">
                  <c:v>2937463.9327490302</c:v>
                </c:pt>
                <c:pt idx="242">
                  <c:v>2937463.9327490302</c:v>
                </c:pt>
                <c:pt idx="243">
                  <c:v>2937463.9327490302</c:v>
                </c:pt>
                <c:pt idx="244">
                  <c:v>2937463.9327490302</c:v>
                </c:pt>
                <c:pt idx="245">
                  <c:v>2937463.9327490302</c:v>
                </c:pt>
                <c:pt idx="246">
                  <c:v>2937463.9327490302</c:v>
                </c:pt>
                <c:pt idx="247">
                  <c:v>2937463.9327490302</c:v>
                </c:pt>
                <c:pt idx="248">
                  <c:v>2937463.9327490302</c:v>
                </c:pt>
                <c:pt idx="249">
                  <c:v>2937463.9327490302</c:v>
                </c:pt>
                <c:pt idx="250">
                  <c:v>2937463.9327490302</c:v>
                </c:pt>
                <c:pt idx="251">
                  <c:v>2937463.9327490302</c:v>
                </c:pt>
                <c:pt idx="252">
                  <c:v>2937463.9327490302</c:v>
                </c:pt>
                <c:pt idx="253">
                  <c:v>2937463.9327490302</c:v>
                </c:pt>
                <c:pt idx="254">
                  <c:v>2937463.9327490302</c:v>
                </c:pt>
                <c:pt idx="255">
                  <c:v>2937463.9327490302</c:v>
                </c:pt>
                <c:pt idx="256">
                  <c:v>2937463.9327490302</c:v>
                </c:pt>
                <c:pt idx="257">
                  <c:v>2937463.9327490302</c:v>
                </c:pt>
                <c:pt idx="258">
                  <c:v>2937463.9327490302</c:v>
                </c:pt>
                <c:pt idx="259">
                  <c:v>2937463.9327490302</c:v>
                </c:pt>
                <c:pt idx="260">
                  <c:v>2937463.9327490302</c:v>
                </c:pt>
                <c:pt idx="261">
                  <c:v>2937463.9327490302</c:v>
                </c:pt>
                <c:pt idx="262">
                  <c:v>2937463.9327490302</c:v>
                </c:pt>
                <c:pt idx="263">
                  <c:v>2937463.9327490302</c:v>
                </c:pt>
                <c:pt idx="264">
                  <c:v>2937463.9327490302</c:v>
                </c:pt>
                <c:pt idx="265">
                  <c:v>2937463.9327490302</c:v>
                </c:pt>
                <c:pt idx="266">
                  <c:v>2937463.9327490302</c:v>
                </c:pt>
                <c:pt idx="267">
                  <c:v>2937463.9327490302</c:v>
                </c:pt>
                <c:pt idx="268">
                  <c:v>2937463.9327490302</c:v>
                </c:pt>
                <c:pt idx="269">
                  <c:v>2937463.9327490302</c:v>
                </c:pt>
                <c:pt idx="270">
                  <c:v>2937463.9327490302</c:v>
                </c:pt>
                <c:pt idx="271">
                  <c:v>2937463.9327490302</c:v>
                </c:pt>
                <c:pt idx="272">
                  <c:v>2937463.9327490302</c:v>
                </c:pt>
                <c:pt idx="273">
                  <c:v>2937463.9327490302</c:v>
                </c:pt>
                <c:pt idx="274">
                  <c:v>2937463.9327490302</c:v>
                </c:pt>
                <c:pt idx="275">
                  <c:v>2937463.9327490302</c:v>
                </c:pt>
                <c:pt idx="276">
                  <c:v>2937463.9327490302</c:v>
                </c:pt>
                <c:pt idx="277">
                  <c:v>2937463.9327490302</c:v>
                </c:pt>
                <c:pt idx="278">
                  <c:v>2937463.9327490302</c:v>
                </c:pt>
                <c:pt idx="279">
                  <c:v>2937463.9327490302</c:v>
                </c:pt>
                <c:pt idx="280">
                  <c:v>2937463.9327490302</c:v>
                </c:pt>
                <c:pt idx="281">
                  <c:v>2937463.9327490302</c:v>
                </c:pt>
                <c:pt idx="282">
                  <c:v>2937463.9327490302</c:v>
                </c:pt>
                <c:pt idx="283">
                  <c:v>2937463.9327490302</c:v>
                </c:pt>
                <c:pt idx="284">
                  <c:v>2937463.9327490302</c:v>
                </c:pt>
                <c:pt idx="285">
                  <c:v>2937463.9327490302</c:v>
                </c:pt>
                <c:pt idx="286">
                  <c:v>2937463.9327490302</c:v>
                </c:pt>
                <c:pt idx="287">
                  <c:v>2937463.9327490302</c:v>
                </c:pt>
                <c:pt idx="288">
                  <c:v>2937463.9327490302</c:v>
                </c:pt>
                <c:pt idx="289">
                  <c:v>2937463.9327490302</c:v>
                </c:pt>
                <c:pt idx="290">
                  <c:v>2937463.9327490302</c:v>
                </c:pt>
                <c:pt idx="291">
                  <c:v>2937463.9327490302</c:v>
                </c:pt>
                <c:pt idx="292">
                  <c:v>2937463.9327490302</c:v>
                </c:pt>
                <c:pt idx="293">
                  <c:v>2937463.9327490302</c:v>
                </c:pt>
                <c:pt idx="294">
                  <c:v>2937463.9327490302</c:v>
                </c:pt>
                <c:pt idx="295">
                  <c:v>2937463.9327490302</c:v>
                </c:pt>
                <c:pt idx="296">
                  <c:v>2937463.9327490302</c:v>
                </c:pt>
                <c:pt idx="297">
                  <c:v>2937463.9327490302</c:v>
                </c:pt>
                <c:pt idx="298">
                  <c:v>2937463.9327490302</c:v>
                </c:pt>
                <c:pt idx="299">
                  <c:v>2937463.9327490302</c:v>
                </c:pt>
                <c:pt idx="300">
                  <c:v>2937463.9327490302</c:v>
                </c:pt>
                <c:pt idx="301">
                  <c:v>2937463.9327490302</c:v>
                </c:pt>
                <c:pt idx="302">
                  <c:v>2937463.9327490302</c:v>
                </c:pt>
                <c:pt idx="303">
                  <c:v>2937463.9327490302</c:v>
                </c:pt>
                <c:pt idx="304">
                  <c:v>2937463.9327490302</c:v>
                </c:pt>
                <c:pt idx="305">
                  <c:v>2937463.9327490302</c:v>
                </c:pt>
                <c:pt idx="306">
                  <c:v>2937463.9327490302</c:v>
                </c:pt>
                <c:pt idx="307">
                  <c:v>2937463.9327490302</c:v>
                </c:pt>
                <c:pt idx="308">
                  <c:v>2937463.9327490302</c:v>
                </c:pt>
                <c:pt idx="309">
                  <c:v>2937463.9327490302</c:v>
                </c:pt>
                <c:pt idx="310">
                  <c:v>2937463.9327490302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468949.60657041613</c:v>
                </c:pt>
                <c:pt idx="55">
                  <c:v>468949.60657041613</c:v>
                </c:pt>
                <c:pt idx="56">
                  <c:v>468949.60657041613</c:v>
                </c:pt>
                <c:pt idx="57">
                  <c:v>373362.76725097001</c:v>
                </c:pt>
                <c:pt idx="58">
                  <c:v>503005.06725096982</c:v>
                </c:pt>
                <c:pt idx="59">
                  <c:v>503005.06725096982</c:v>
                </c:pt>
                <c:pt idx="60">
                  <c:v>503005.06725096982</c:v>
                </c:pt>
                <c:pt idx="61">
                  <c:v>503005.06725096982</c:v>
                </c:pt>
                <c:pt idx="62">
                  <c:v>462642.06725096982</c:v>
                </c:pt>
                <c:pt idx="63">
                  <c:v>462642.06725096982</c:v>
                </c:pt>
                <c:pt idx="64">
                  <c:v>462642.06725096982</c:v>
                </c:pt>
                <c:pt idx="65">
                  <c:v>462642.06725096982</c:v>
                </c:pt>
                <c:pt idx="66">
                  <c:v>462642.06725096982</c:v>
                </c:pt>
                <c:pt idx="67">
                  <c:v>462642.06725096982</c:v>
                </c:pt>
                <c:pt idx="68">
                  <c:v>462642.06725096982</c:v>
                </c:pt>
                <c:pt idx="69">
                  <c:v>462642.06725096982</c:v>
                </c:pt>
                <c:pt idx="70">
                  <c:v>462642.06725096982</c:v>
                </c:pt>
                <c:pt idx="71">
                  <c:v>462642.06725096982</c:v>
                </c:pt>
                <c:pt idx="72">
                  <c:v>462642.06725096982</c:v>
                </c:pt>
                <c:pt idx="73">
                  <c:v>462642.06725096982</c:v>
                </c:pt>
                <c:pt idx="74">
                  <c:v>462642.06725096982</c:v>
                </c:pt>
                <c:pt idx="75">
                  <c:v>462642.06725096982</c:v>
                </c:pt>
                <c:pt idx="76">
                  <c:v>462642.06725096982</c:v>
                </c:pt>
                <c:pt idx="77">
                  <c:v>462642.06725096982</c:v>
                </c:pt>
                <c:pt idx="78">
                  <c:v>462642.06725096982</c:v>
                </c:pt>
                <c:pt idx="79">
                  <c:v>462642.06725096982</c:v>
                </c:pt>
                <c:pt idx="80">
                  <c:v>462642.06725096982</c:v>
                </c:pt>
                <c:pt idx="81">
                  <c:v>462642.06725096982</c:v>
                </c:pt>
                <c:pt idx="82">
                  <c:v>462642.06725096982</c:v>
                </c:pt>
                <c:pt idx="83">
                  <c:v>462642.06725096982</c:v>
                </c:pt>
                <c:pt idx="84">
                  <c:v>462642.06725096982</c:v>
                </c:pt>
                <c:pt idx="85">
                  <c:v>462642.06725096982</c:v>
                </c:pt>
                <c:pt idx="86">
                  <c:v>462642.06725096982</c:v>
                </c:pt>
                <c:pt idx="87">
                  <c:v>462642.06725096982</c:v>
                </c:pt>
                <c:pt idx="88">
                  <c:v>462642.06725096982</c:v>
                </c:pt>
                <c:pt idx="89">
                  <c:v>462642.06725096982</c:v>
                </c:pt>
                <c:pt idx="90">
                  <c:v>462642.06725096982</c:v>
                </c:pt>
                <c:pt idx="91">
                  <c:v>462642.06725096982</c:v>
                </c:pt>
                <c:pt idx="92">
                  <c:v>462642.06725096982</c:v>
                </c:pt>
                <c:pt idx="93">
                  <c:v>462642.06725096982</c:v>
                </c:pt>
                <c:pt idx="94">
                  <c:v>462642.06725096982</c:v>
                </c:pt>
                <c:pt idx="95">
                  <c:v>462642.06725096982</c:v>
                </c:pt>
                <c:pt idx="96">
                  <c:v>462642.06725096982</c:v>
                </c:pt>
                <c:pt idx="97">
                  <c:v>462642.06725096982</c:v>
                </c:pt>
                <c:pt idx="98">
                  <c:v>462642.06725096982</c:v>
                </c:pt>
                <c:pt idx="99">
                  <c:v>462642.06725096982</c:v>
                </c:pt>
                <c:pt idx="100">
                  <c:v>462642.06725096982</c:v>
                </c:pt>
                <c:pt idx="101">
                  <c:v>462642.06725096982</c:v>
                </c:pt>
                <c:pt idx="102">
                  <c:v>462642.06725096982</c:v>
                </c:pt>
                <c:pt idx="103">
                  <c:v>462642.06725096982</c:v>
                </c:pt>
                <c:pt idx="104">
                  <c:v>462642.06725096982</c:v>
                </c:pt>
                <c:pt idx="105">
                  <c:v>462642.06725096982</c:v>
                </c:pt>
                <c:pt idx="106">
                  <c:v>462642.06725096982</c:v>
                </c:pt>
                <c:pt idx="107">
                  <c:v>462642.06725096982</c:v>
                </c:pt>
                <c:pt idx="108">
                  <c:v>462642.06725096982</c:v>
                </c:pt>
                <c:pt idx="109">
                  <c:v>462642.06725096982</c:v>
                </c:pt>
                <c:pt idx="110">
                  <c:v>462642.06725096982</c:v>
                </c:pt>
                <c:pt idx="111">
                  <c:v>462642.06725096982</c:v>
                </c:pt>
                <c:pt idx="112">
                  <c:v>462642.06725096982</c:v>
                </c:pt>
                <c:pt idx="113">
                  <c:v>462642.06725096982</c:v>
                </c:pt>
                <c:pt idx="114">
                  <c:v>462642.06725096982</c:v>
                </c:pt>
                <c:pt idx="115">
                  <c:v>462642.06725096982</c:v>
                </c:pt>
                <c:pt idx="116">
                  <c:v>462642.06725096982</c:v>
                </c:pt>
                <c:pt idx="117">
                  <c:v>462642.06725096982</c:v>
                </c:pt>
                <c:pt idx="118">
                  <c:v>462642.06725096982</c:v>
                </c:pt>
                <c:pt idx="119">
                  <c:v>462642.06725096982</c:v>
                </c:pt>
                <c:pt idx="120">
                  <c:v>462642.06725096982</c:v>
                </c:pt>
                <c:pt idx="121">
                  <c:v>462642.06725096982</c:v>
                </c:pt>
                <c:pt idx="122">
                  <c:v>462642.06725096982</c:v>
                </c:pt>
                <c:pt idx="123">
                  <c:v>462642.06725096982</c:v>
                </c:pt>
                <c:pt idx="124">
                  <c:v>462642.06725096982</c:v>
                </c:pt>
                <c:pt idx="125">
                  <c:v>462642.06725096982</c:v>
                </c:pt>
                <c:pt idx="126">
                  <c:v>462642.06725096982</c:v>
                </c:pt>
                <c:pt idx="127">
                  <c:v>462642.06725096982</c:v>
                </c:pt>
                <c:pt idx="128">
                  <c:v>462642.06725096982</c:v>
                </c:pt>
                <c:pt idx="129">
                  <c:v>462642.06725096982</c:v>
                </c:pt>
                <c:pt idx="130">
                  <c:v>462642.06725096982</c:v>
                </c:pt>
                <c:pt idx="131">
                  <c:v>462642.06725096982</c:v>
                </c:pt>
                <c:pt idx="132">
                  <c:v>462642.06725096982</c:v>
                </c:pt>
                <c:pt idx="133">
                  <c:v>462642.06725096982</c:v>
                </c:pt>
                <c:pt idx="134">
                  <c:v>462642.06725096982</c:v>
                </c:pt>
                <c:pt idx="135">
                  <c:v>462642.06725096982</c:v>
                </c:pt>
                <c:pt idx="136">
                  <c:v>462642.06725096982</c:v>
                </c:pt>
                <c:pt idx="137">
                  <c:v>462642.06725096982</c:v>
                </c:pt>
                <c:pt idx="138">
                  <c:v>462642.06725096982</c:v>
                </c:pt>
                <c:pt idx="139">
                  <c:v>462642.06725096982</c:v>
                </c:pt>
                <c:pt idx="140">
                  <c:v>462642.06725096982</c:v>
                </c:pt>
                <c:pt idx="141">
                  <c:v>462642.06725096982</c:v>
                </c:pt>
                <c:pt idx="142">
                  <c:v>462642.06725096982</c:v>
                </c:pt>
                <c:pt idx="143">
                  <c:v>462642.06725096982</c:v>
                </c:pt>
                <c:pt idx="144">
                  <c:v>462642.06725096982</c:v>
                </c:pt>
                <c:pt idx="145">
                  <c:v>462642.06725096982</c:v>
                </c:pt>
                <c:pt idx="146">
                  <c:v>462642.06725096982</c:v>
                </c:pt>
                <c:pt idx="147">
                  <c:v>462642.06725096982</c:v>
                </c:pt>
                <c:pt idx="148">
                  <c:v>462642.06725096982</c:v>
                </c:pt>
                <c:pt idx="149">
                  <c:v>462642.06725096982</c:v>
                </c:pt>
                <c:pt idx="150">
                  <c:v>462642.06725096982</c:v>
                </c:pt>
                <c:pt idx="151">
                  <c:v>462642.06725096982</c:v>
                </c:pt>
                <c:pt idx="152">
                  <c:v>462642.06725096982</c:v>
                </c:pt>
                <c:pt idx="153">
                  <c:v>462642.06725096982</c:v>
                </c:pt>
                <c:pt idx="154">
                  <c:v>462642.06725096982</c:v>
                </c:pt>
                <c:pt idx="155">
                  <c:v>462642.06725096982</c:v>
                </c:pt>
                <c:pt idx="156">
                  <c:v>462642.06725096982</c:v>
                </c:pt>
                <c:pt idx="157">
                  <c:v>462642.06725096982</c:v>
                </c:pt>
                <c:pt idx="158">
                  <c:v>462642.06725096982</c:v>
                </c:pt>
                <c:pt idx="159">
                  <c:v>462642.06725096982</c:v>
                </c:pt>
                <c:pt idx="160">
                  <c:v>462642.06725096982</c:v>
                </c:pt>
                <c:pt idx="161">
                  <c:v>462642.06725096982</c:v>
                </c:pt>
                <c:pt idx="162">
                  <c:v>462642.06725096982</c:v>
                </c:pt>
                <c:pt idx="163">
                  <c:v>462642.06725096982</c:v>
                </c:pt>
                <c:pt idx="164">
                  <c:v>462642.06725096982</c:v>
                </c:pt>
                <c:pt idx="165">
                  <c:v>462642.06725096982</c:v>
                </c:pt>
                <c:pt idx="166">
                  <c:v>462642.06725096982</c:v>
                </c:pt>
                <c:pt idx="167">
                  <c:v>462642.06725096982</c:v>
                </c:pt>
                <c:pt idx="168">
                  <c:v>462642.06725096982</c:v>
                </c:pt>
                <c:pt idx="169">
                  <c:v>462642.06725096982</c:v>
                </c:pt>
                <c:pt idx="170">
                  <c:v>462642.06725096982</c:v>
                </c:pt>
                <c:pt idx="171">
                  <c:v>462642.06725096982</c:v>
                </c:pt>
                <c:pt idx="172">
                  <c:v>462642.06725096982</c:v>
                </c:pt>
                <c:pt idx="173">
                  <c:v>462642.06725096982</c:v>
                </c:pt>
                <c:pt idx="174">
                  <c:v>462642.06725096982</c:v>
                </c:pt>
                <c:pt idx="175">
                  <c:v>462642.06725096982</c:v>
                </c:pt>
                <c:pt idx="176">
                  <c:v>462642.06725096982</c:v>
                </c:pt>
                <c:pt idx="177">
                  <c:v>462642.06725096982</c:v>
                </c:pt>
                <c:pt idx="178">
                  <c:v>462642.06725096982</c:v>
                </c:pt>
                <c:pt idx="179">
                  <c:v>462642.06725096982</c:v>
                </c:pt>
                <c:pt idx="180">
                  <c:v>462642.06725096982</c:v>
                </c:pt>
                <c:pt idx="181">
                  <c:v>462642.06725096982</c:v>
                </c:pt>
                <c:pt idx="182">
                  <c:v>462642.06725096982</c:v>
                </c:pt>
                <c:pt idx="183">
                  <c:v>462642.06725096982</c:v>
                </c:pt>
                <c:pt idx="184">
                  <c:v>462642.06725096982</c:v>
                </c:pt>
                <c:pt idx="185">
                  <c:v>462642.06725096982</c:v>
                </c:pt>
                <c:pt idx="186">
                  <c:v>462642.06725096982</c:v>
                </c:pt>
                <c:pt idx="187">
                  <c:v>462642.06725096982</c:v>
                </c:pt>
                <c:pt idx="188">
                  <c:v>462642.06725096982</c:v>
                </c:pt>
                <c:pt idx="189">
                  <c:v>462642.06725096982</c:v>
                </c:pt>
                <c:pt idx="190">
                  <c:v>462642.06725096982</c:v>
                </c:pt>
                <c:pt idx="191">
                  <c:v>462642.06725096982</c:v>
                </c:pt>
                <c:pt idx="192">
                  <c:v>462642.06725096982</c:v>
                </c:pt>
                <c:pt idx="193">
                  <c:v>462642.06725096982</c:v>
                </c:pt>
                <c:pt idx="194">
                  <c:v>462642.06725096982</c:v>
                </c:pt>
                <c:pt idx="195">
                  <c:v>462642.06725096982</c:v>
                </c:pt>
                <c:pt idx="196">
                  <c:v>462642.06725096982</c:v>
                </c:pt>
                <c:pt idx="197">
                  <c:v>462642.06725096982</c:v>
                </c:pt>
                <c:pt idx="198">
                  <c:v>462642.06725096982</c:v>
                </c:pt>
                <c:pt idx="199">
                  <c:v>462642.06725096982</c:v>
                </c:pt>
                <c:pt idx="200">
                  <c:v>462642.06725096982</c:v>
                </c:pt>
                <c:pt idx="201">
                  <c:v>462642.06725096982</c:v>
                </c:pt>
                <c:pt idx="202">
                  <c:v>462642.06725096982</c:v>
                </c:pt>
                <c:pt idx="203">
                  <c:v>462642.06725096982</c:v>
                </c:pt>
                <c:pt idx="204">
                  <c:v>462642.06725096982</c:v>
                </c:pt>
                <c:pt idx="205">
                  <c:v>462642.06725096982</c:v>
                </c:pt>
                <c:pt idx="206">
                  <c:v>462642.06725096982</c:v>
                </c:pt>
                <c:pt idx="207">
                  <c:v>462642.06725096982</c:v>
                </c:pt>
                <c:pt idx="208">
                  <c:v>462642.06725096982</c:v>
                </c:pt>
                <c:pt idx="209">
                  <c:v>462642.06725096982</c:v>
                </c:pt>
                <c:pt idx="210">
                  <c:v>462642.06725096982</c:v>
                </c:pt>
                <c:pt idx="211">
                  <c:v>462642.06725096982</c:v>
                </c:pt>
                <c:pt idx="212">
                  <c:v>462642.06725096982</c:v>
                </c:pt>
                <c:pt idx="213">
                  <c:v>462642.06725096982</c:v>
                </c:pt>
                <c:pt idx="214">
                  <c:v>462642.06725096982</c:v>
                </c:pt>
                <c:pt idx="215">
                  <c:v>462642.06725096982</c:v>
                </c:pt>
                <c:pt idx="216">
                  <c:v>462642.06725096982</c:v>
                </c:pt>
                <c:pt idx="217">
                  <c:v>462642.06725096982</c:v>
                </c:pt>
                <c:pt idx="218">
                  <c:v>462642.06725096982</c:v>
                </c:pt>
                <c:pt idx="219">
                  <c:v>462642.06725096982</c:v>
                </c:pt>
                <c:pt idx="220">
                  <c:v>462642.06725096982</c:v>
                </c:pt>
                <c:pt idx="221">
                  <c:v>462642.06725096982</c:v>
                </c:pt>
                <c:pt idx="222">
                  <c:v>462642.06725096982</c:v>
                </c:pt>
                <c:pt idx="223">
                  <c:v>462642.06725096982</c:v>
                </c:pt>
                <c:pt idx="224">
                  <c:v>462642.06725096982</c:v>
                </c:pt>
                <c:pt idx="225">
                  <c:v>462642.06725096982</c:v>
                </c:pt>
                <c:pt idx="226">
                  <c:v>462642.06725096982</c:v>
                </c:pt>
                <c:pt idx="227">
                  <c:v>462642.06725096982</c:v>
                </c:pt>
                <c:pt idx="228">
                  <c:v>462642.06725096982</c:v>
                </c:pt>
                <c:pt idx="229">
                  <c:v>462642.06725096982</c:v>
                </c:pt>
                <c:pt idx="230">
                  <c:v>462642.06725096982</c:v>
                </c:pt>
                <c:pt idx="231">
                  <c:v>462642.06725096982</c:v>
                </c:pt>
                <c:pt idx="232">
                  <c:v>462642.06725096982</c:v>
                </c:pt>
                <c:pt idx="233">
                  <c:v>462642.06725096982</c:v>
                </c:pt>
                <c:pt idx="234">
                  <c:v>462642.06725096982</c:v>
                </c:pt>
                <c:pt idx="235">
                  <c:v>462642.06725096982</c:v>
                </c:pt>
                <c:pt idx="236">
                  <c:v>462642.06725096982</c:v>
                </c:pt>
                <c:pt idx="237">
                  <c:v>462642.06725096982</c:v>
                </c:pt>
                <c:pt idx="238">
                  <c:v>462642.06725096982</c:v>
                </c:pt>
                <c:pt idx="239">
                  <c:v>462642.06725096982</c:v>
                </c:pt>
                <c:pt idx="240">
                  <c:v>462642.06725096982</c:v>
                </c:pt>
                <c:pt idx="241">
                  <c:v>462642.06725096982</c:v>
                </c:pt>
                <c:pt idx="242">
                  <c:v>462642.06725096982</c:v>
                </c:pt>
                <c:pt idx="243">
                  <c:v>462642.06725096982</c:v>
                </c:pt>
                <c:pt idx="244">
                  <c:v>462642.06725096982</c:v>
                </c:pt>
                <c:pt idx="245">
                  <c:v>462642.06725096982</c:v>
                </c:pt>
                <c:pt idx="246">
                  <c:v>462642.06725096982</c:v>
                </c:pt>
                <c:pt idx="247">
                  <c:v>462642.06725096982</c:v>
                </c:pt>
                <c:pt idx="248">
                  <c:v>462642.06725096982</c:v>
                </c:pt>
                <c:pt idx="249">
                  <c:v>462642.06725096982</c:v>
                </c:pt>
                <c:pt idx="250">
                  <c:v>462642.06725096982</c:v>
                </c:pt>
                <c:pt idx="251">
                  <c:v>462642.06725096982</c:v>
                </c:pt>
                <c:pt idx="252">
                  <c:v>462642.06725096982</c:v>
                </c:pt>
                <c:pt idx="253">
                  <c:v>462642.06725096982</c:v>
                </c:pt>
                <c:pt idx="254">
                  <c:v>462642.06725096982</c:v>
                </c:pt>
                <c:pt idx="255">
                  <c:v>462642.06725096982</c:v>
                </c:pt>
                <c:pt idx="256">
                  <c:v>462642.06725096982</c:v>
                </c:pt>
                <c:pt idx="257">
                  <c:v>462642.06725096982</c:v>
                </c:pt>
                <c:pt idx="258">
                  <c:v>462642.06725096982</c:v>
                </c:pt>
                <c:pt idx="259">
                  <c:v>462642.06725096982</c:v>
                </c:pt>
                <c:pt idx="260">
                  <c:v>462642.06725096982</c:v>
                </c:pt>
                <c:pt idx="261">
                  <c:v>462642.06725096982</c:v>
                </c:pt>
                <c:pt idx="262">
                  <c:v>462642.06725096982</c:v>
                </c:pt>
                <c:pt idx="263">
                  <c:v>462642.06725096982</c:v>
                </c:pt>
                <c:pt idx="264">
                  <c:v>462642.06725096982</c:v>
                </c:pt>
                <c:pt idx="265">
                  <c:v>462642.06725096982</c:v>
                </c:pt>
                <c:pt idx="266">
                  <c:v>462642.06725096982</c:v>
                </c:pt>
                <c:pt idx="267">
                  <c:v>462642.06725096982</c:v>
                </c:pt>
                <c:pt idx="268">
                  <c:v>462642.06725096982</c:v>
                </c:pt>
                <c:pt idx="269">
                  <c:v>462642.06725096982</c:v>
                </c:pt>
                <c:pt idx="270">
                  <c:v>462642.06725096982</c:v>
                </c:pt>
                <c:pt idx="271">
                  <c:v>462642.06725096982</c:v>
                </c:pt>
                <c:pt idx="272">
                  <c:v>462642.06725096982</c:v>
                </c:pt>
                <c:pt idx="273">
                  <c:v>462642.06725096982</c:v>
                </c:pt>
                <c:pt idx="274">
                  <c:v>462642.06725096982</c:v>
                </c:pt>
                <c:pt idx="275">
                  <c:v>462642.06725096982</c:v>
                </c:pt>
                <c:pt idx="276">
                  <c:v>462642.06725096982</c:v>
                </c:pt>
                <c:pt idx="277">
                  <c:v>462642.06725096982</c:v>
                </c:pt>
                <c:pt idx="278">
                  <c:v>462642.06725096982</c:v>
                </c:pt>
                <c:pt idx="279">
                  <c:v>462642.06725096982</c:v>
                </c:pt>
                <c:pt idx="280">
                  <c:v>462642.06725096982</c:v>
                </c:pt>
                <c:pt idx="281">
                  <c:v>462642.06725096982</c:v>
                </c:pt>
                <c:pt idx="282">
                  <c:v>462642.06725096982</c:v>
                </c:pt>
                <c:pt idx="283">
                  <c:v>462642.06725096982</c:v>
                </c:pt>
                <c:pt idx="284">
                  <c:v>462642.06725096982</c:v>
                </c:pt>
                <c:pt idx="285">
                  <c:v>462642.06725096982</c:v>
                </c:pt>
                <c:pt idx="286">
                  <c:v>462642.06725096982</c:v>
                </c:pt>
                <c:pt idx="287">
                  <c:v>462642.06725096982</c:v>
                </c:pt>
                <c:pt idx="288">
                  <c:v>462642.06725096982</c:v>
                </c:pt>
                <c:pt idx="289">
                  <c:v>462642.06725096982</c:v>
                </c:pt>
                <c:pt idx="290">
                  <c:v>462642.06725096982</c:v>
                </c:pt>
                <c:pt idx="291">
                  <c:v>462642.06725096982</c:v>
                </c:pt>
                <c:pt idx="292">
                  <c:v>462642.06725096982</c:v>
                </c:pt>
                <c:pt idx="293">
                  <c:v>462642.06725096982</c:v>
                </c:pt>
                <c:pt idx="294">
                  <c:v>462642.06725096982</c:v>
                </c:pt>
                <c:pt idx="295">
                  <c:v>462642.06725096982</c:v>
                </c:pt>
                <c:pt idx="296">
                  <c:v>462642.06725096982</c:v>
                </c:pt>
                <c:pt idx="297">
                  <c:v>462642.06725096982</c:v>
                </c:pt>
                <c:pt idx="298">
                  <c:v>462642.06725096982</c:v>
                </c:pt>
                <c:pt idx="299">
                  <c:v>462642.06725096982</c:v>
                </c:pt>
                <c:pt idx="300">
                  <c:v>462642.06725096982</c:v>
                </c:pt>
                <c:pt idx="301">
                  <c:v>462642.06725096982</c:v>
                </c:pt>
                <c:pt idx="302">
                  <c:v>462642.06725096982</c:v>
                </c:pt>
                <c:pt idx="303">
                  <c:v>462642.06725096982</c:v>
                </c:pt>
                <c:pt idx="304">
                  <c:v>462642.06725096982</c:v>
                </c:pt>
                <c:pt idx="305">
                  <c:v>462642.06725096982</c:v>
                </c:pt>
                <c:pt idx="306">
                  <c:v>462642.06725096982</c:v>
                </c:pt>
                <c:pt idx="307">
                  <c:v>462642.06725096982</c:v>
                </c:pt>
                <c:pt idx="308">
                  <c:v>462642.06725096982</c:v>
                </c:pt>
                <c:pt idx="309">
                  <c:v>462642.06725096982</c:v>
                </c:pt>
                <c:pt idx="310">
                  <c:v>462642.06725096982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3400106.1861828193</c:v>
                </c:pt>
                <c:pt idx="58">
                  <c:v>3400106.1861828193</c:v>
                </c:pt>
                <c:pt idx="59">
                  <c:v>3400106.1861828193</c:v>
                </c:pt>
                <c:pt idx="60">
                  <c:v>3400106.1861828193</c:v>
                </c:pt>
                <c:pt idx="61">
                  <c:v>3400106.1861828193</c:v>
                </c:pt>
                <c:pt idx="62">
                  <c:v>3400106.1861828193</c:v>
                </c:pt>
                <c:pt idx="63">
                  <c:v>3400106.1861828193</c:v>
                </c:pt>
                <c:pt idx="64">
                  <c:v>3400106.1861828193</c:v>
                </c:pt>
                <c:pt idx="65">
                  <c:v>3400106.1861828193</c:v>
                </c:pt>
                <c:pt idx="66">
                  <c:v>3400106.1861828193</c:v>
                </c:pt>
                <c:pt idx="67">
                  <c:v>3400106.1861828193</c:v>
                </c:pt>
                <c:pt idx="68">
                  <c:v>3400106.1861828193</c:v>
                </c:pt>
                <c:pt idx="69">
                  <c:v>3400106.1861828193</c:v>
                </c:pt>
                <c:pt idx="70">
                  <c:v>3400106.1861828193</c:v>
                </c:pt>
                <c:pt idx="71">
                  <c:v>3400106.1861828193</c:v>
                </c:pt>
                <c:pt idx="72">
                  <c:v>3400106.1861828193</c:v>
                </c:pt>
                <c:pt idx="73">
                  <c:v>3400106.1861828193</c:v>
                </c:pt>
                <c:pt idx="74">
                  <c:v>3400106.1861828193</c:v>
                </c:pt>
                <c:pt idx="75">
                  <c:v>3400106.1861828193</c:v>
                </c:pt>
                <c:pt idx="76">
                  <c:v>3400106.1861828193</c:v>
                </c:pt>
                <c:pt idx="77">
                  <c:v>3400106.1861828193</c:v>
                </c:pt>
                <c:pt idx="78">
                  <c:v>3400106.1861828193</c:v>
                </c:pt>
                <c:pt idx="79">
                  <c:v>3400106.1861828193</c:v>
                </c:pt>
                <c:pt idx="80">
                  <c:v>3400106.1861828193</c:v>
                </c:pt>
                <c:pt idx="81">
                  <c:v>3400106.1861828193</c:v>
                </c:pt>
                <c:pt idx="82">
                  <c:v>3400106.1861828193</c:v>
                </c:pt>
                <c:pt idx="83">
                  <c:v>3400106.1861828193</c:v>
                </c:pt>
                <c:pt idx="84">
                  <c:v>3400106.1861828193</c:v>
                </c:pt>
                <c:pt idx="85">
                  <c:v>3400106.1861828193</c:v>
                </c:pt>
                <c:pt idx="86">
                  <c:v>3400106.1861828193</c:v>
                </c:pt>
                <c:pt idx="87">
                  <c:v>3400106.1861828193</c:v>
                </c:pt>
                <c:pt idx="88">
                  <c:v>3400106.1861828193</c:v>
                </c:pt>
                <c:pt idx="89">
                  <c:v>3400106.1861828193</c:v>
                </c:pt>
                <c:pt idx="90">
                  <c:v>3400106.1861828193</c:v>
                </c:pt>
                <c:pt idx="91">
                  <c:v>3400106.1861828193</c:v>
                </c:pt>
                <c:pt idx="92">
                  <c:v>3400106.1861828193</c:v>
                </c:pt>
                <c:pt idx="93">
                  <c:v>3400106.1861828193</c:v>
                </c:pt>
                <c:pt idx="94">
                  <c:v>3400106.1861828193</c:v>
                </c:pt>
                <c:pt idx="95">
                  <c:v>3400106.1861828193</c:v>
                </c:pt>
                <c:pt idx="96">
                  <c:v>3400106.1861828193</c:v>
                </c:pt>
                <c:pt idx="97">
                  <c:v>3400106.1861828193</c:v>
                </c:pt>
                <c:pt idx="98">
                  <c:v>3400106.1861828193</c:v>
                </c:pt>
                <c:pt idx="99">
                  <c:v>3400106.1861828193</c:v>
                </c:pt>
                <c:pt idx="100">
                  <c:v>3400106.1861828193</c:v>
                </c:pt>
                <c:pt idx="101">
                  <c:v>3400106.1861828193</c:v>
                </c:pt>
                <c:pt idx="102">
                  <c:v>3400106.1861828193</c:v>
                </c:pt>
                <c:pt idx="103">
                  <c:v>3400106.1861828193</c:v>
                </c:pt>
                <c:pt idx="104">
                  <c:v>3400106.1861828193</c:v>
                </c:pt>
                <c:pt idx="105">
                  <c:v>3400106.1861828193</c:v>
                </c:pt>
                <c:pt idx="106">
                  <c:v>3400106.1861828193</c:v>
                </c:pt>
                <c:pt idx="107">
                  <c:v>3400106.1861828193</c:v>
                </c:pt>
                <c:pt idx="108">
                  <c:v>3400106.1861828193</c:v>
                </c:pt>
                <c:pt idx="109">
                  <c:v>3400106.1861828193</c:v>
                </c:pt>
                <c:pt idx="110">
                  <c:v>3400106.1861828193</c:v>
                </c:pt>
                <c:pt idx="111">
                  <c:v>3400106.1861828193</c:v>
                </c:pt>
                <c:pt idx="112">
                  <c:v>3400106.1861828193</c:v>
                </c:pt>
                <c:pt idx="113">
                  <c:v>3400106.1861828193</c:v>
                </c:pt>
                <c:pt idx="114">
                  <c:v>3400106.1861828193</c:v>
                </c:pt>
                <c:pt idx="115">
                  <c:v>3400106.1861828193</c:v>
                </c:pt>
                <c:pt idx="116">
                  <c:v>3400106.1861828193</c:v>
                </c:pt>
                <c:pt idx="117">
                  <c:v>3400106.1861828193</c:v>
                </c:pt>
                <c:pt idx="118">
                  <c:v>3400106.1861828193</c:v>
                </c:pt>
                <c:pt idx="119">
                  <c:v>3400106.1861828193</c:v>
                </c:pt>
                <c:pt idx="120">
                  <c:v>3400106.1861828193</c:v>
                </c:pt>
                <c:pt idx="121">
                  <c:v>3400106.1861828193</c:v>
                </c:pt>
                <c:pt idx="122">
                  <c:v>3400106.1861828193</c:v>
                </c:pt>
                <c:pt idx="123">
                  <c:v>3400106.1861828193</c:v>
                </c:pt>
                <c:pt idx="124">
                  <c:v>3400106.1861828193</c:v>
                </c:pt>
                <c:pt idx="125">
                  <c:v>3400106.1861828193</c:v>
                </c:pt>
                <c:pt idx="126">
                  <c:v>3400106.1861828193</c:v>
                </c:pt>
                <c:pt idx="127">
                  <c:v>3400106.1861828193</c:v>
                </c:pt>
                <c:pt idx="128">
                  <c:v>3400106.1861828193</c:v>
                </c:pt>
                <c:pt idx="129">
                  <c:v>3400106.1861828193</c:v>
                </c:pt>
                <c:pt idx="130">
                  <c:v>3400106.1861828193</c:v>
                </c:pt>
                <c:pt idx="131">
                  <c:v>3400106.1861828193</c:v>
                </c:pt>
                <c:pt idx="132">
                  <c:v>3400106.1861828193</c:v>
                </c:pt>
                <c:pt idx="133">
                  <c:v>3400106.1861828193</c:v>
                </c:pt>
                <c:pt idx="134">
                  <c:v>3400106.1861828193</c:v>
                </c:pt>
                <c:pt idx="135">
                  <c:v>3400106.1861828193</c:v>
                </c:pt>
                <c:pt idx="136">
                  <c:v>3400106.1861828193</c:v>
                </c:pt>
                <c:pt idx="137">
                  <c:v>3400106.1861828193</c:v>
                </c:pt>
                <c:pt idx="138">
                  <c:v>3400106.1861828193</c:v>
                </c:pt>
                <c:pt idx="139">
                  <c:v>3400106.1861828193</c:v>
                </c:pt>
                <c:pt idx="140">
                  <c:v>3400106.1861828193</c:v>
                </c:pt>
                <c:pt idx="141">
                  <c:v>3400106.1861828193</c:v>
                </c:pt>
                <c:pt idx="142">
                  <c:v>3400106.1861828193</c:v>
                </c:pt>
                <c:pt idx="143">
                  <c:v>3400106.1861828193</c:v>
                </c:pt>
                <c:pt idx="144">
                  <c:v>3400106.1861828193</c:v>
                </c:pt>
                <c:pt idx="145">
                  <c:v>3400106.1861828193</c:v>
                </c:pt>
                <c:pt idx="146">
                  <c:v>3400106.1861828193</c:v>
                </c:pt>
                <c:pt idx="147">
                  <c:v>3400106.1861828193</c:v>
                </c:pt>
                <c:pt idx="148">
                  <c:v>3400106.1861828193</c:v>
                </c:pt>
                <c:pt idx="149">
                  <c:v>3400106.1861828193</c:v>
                </c:pt>
                <c:pt idx="150">
                  <c:v>3400106.1861828193</c:v>
                </c:pt>
                <c:pt idx="151">
                  <c:v>3400106.1861828193</c:v>
                </c:pt>
                <c:pt idx="152">
                  <c:v>3400106.1861828193</c:v>
                </c:pt>
                <c:pt idx="153">
                  <c:v>3400106.1861828193</c:v>
                </c:pt>
                <c:pt idx="154">
                  <c:v>3400106.1861828193</c:v>
                </c:pt>
                <c:pt idx="155">
                  <c:v>3400106.1861828193</c:v>
                </c:pt>
                <c:pt idx="156">
                  <c:v>3400106.1861828193</c:v>
                </c:pt>
                <c:pt idx="157">
                  <c:v>3400106.1861828193</c:v>
                </c:pt>
                <c:pt idx="158">
                  <c:v>3400106.1861828193</c:v>
                </c:pt>
                <c:pt idx="159">
                  <c:v>3400106.1861828193</c:v>
                </c:pt>
                <c:pt idx="160">
                  <c:v>3400106.1861828193</c:v>
                </c:pt>
                <c:pt idx="161">
                  <c:v>3400106.1861828193</c:v>
                </c:pt>
                <c:pt idx="162">
                  <c:v>3400106.1861828193</c:v>
                </c:pt>
                <c:pt idx="163">
                  <c:v>3400106.1861828193</c:v>
                </c:pt>
                <c:pt idx="164">
                  <c:v>3400106.1861828193</c:v>
                </c:pt>
                <c:pt idx="165">
                  <c:v>3400106.1861828193</c:v>
                </c:pt>
                <c:pt idx="166">
                  <c:v>3400106.1861828193</c:v>
                </c:pt>
                <c:pt idx="167">
                  <c:v>3400106.1861828193</c:v>
                </c:pt>
                <c:pt idx="168">
                  <c:v>3400106.1861828193</c:v>
                </c:pt>
                <c:pt idx="169">
                  <c:v>3400106.1861828193</c:v>
                </c:pt>
                <c:pt idx="170">
                  <c:v>3400106.1861828193</c:v>
                </c:pt>
                <c:pt idx="171">
                  <c:v>3400106.1861828193</c:v>
                </c:pt>
                <c:pt idx="172">
                  <c:v>3400106.1861828193</c:v>
                </c:pt>
                <c:pt idx="173">
                  <c:v>3400106.1861828193</c:v>
                </c:pt>
                <c:pt idx="174">
                  <c:v>3400106.1861828193</c:v>
                </c:pt>
                <c:pt idx="175">
                  <c:v>3400106.1861828193</c:v>
                </c:pt>
                <c:pt idx="176">
                  <c:v>3400106.1861828193</c:v>
                </c:pt>
                <c:pt idx="177">
                  <c:v>3400106.1861828193</c:v>
                </c:pt>
                <c:pt idx="178">
                  <c:v>3400106.1861828193</c:v>
                </c:pt>
                <c:pt idx="179">
                  <c:v>3400106.1861828193</c:v>
                </c:pt>
                <c:pt idx="180">
                  <c:v>3400106.1861828193</c:v>
                </c:pt>
                <c:pt idx="181">
                  <c:v>3400106.1861828193</c:v>
                </c:pt>
                <c:pt idx="182">
                  <c:v>3400106.1861828193</c:v>
                </c:pt>
                <c:pt idx="183">
                  <c:v>3400106.1861828193</c:v>
                </c:pt>
                <c:pt idx="184">
                  <c:v>3400106.1861828193</c:v>
                </c:pt>
                <c:pt idx="185">
                  <c:v>3400106.1861828193</c:v>
                </c:pt>
                <c:pt idx="186">
                  <c:v>3400106.1861828193</c:v>
                </c:pt>
                <c:pt idx="187">
                  <c:v>3400106.1861828193</c:v>
                </c:pt>
                <c:pt idx="188">
                  <c:v>3400106.1861828193</c:v>
                </c:pt>
                <c:pt idx="189">
                  <c:v>3400106.1861828193</c:v>
                </c:pt>
                <c:pt idx="190">
                  <c:v>3400106.1861828193</c:v>
                </c:pt>
                <c:pt idx="191">
                  <c:v>3400106.1861828193</c:v>
                </c:pt>
                <c:pt idx="192">
                  <c:v>3400106.1861828193</c:v>
                </c:pt>
                <c:pt idx="193">
                  <c:v>3400106.1861828193</c:v>
                </c:pt>
                <c:pt idx="194">
                  <c:v>3400106.1861828193</c:v>
                </c:pt>
                <c:pt idx="195">
                  <c:v>3400106.1861828193</c:v>
                </c:pt>
                <c:pt idx="196">
                  <c:v>3400106.1861828193</c:v>
                </c:pt>
                <c:pt idx="197">
                  <c:v>3400106.1861828193</c:v>
                </c:pt>
                <c:pt idx="198">
                  <c:v>3400106.1861828193</c:v>
                </c:pt>
                <c:pt idx="199">
                  <c:v>3400106.1861828193</c:v>
                </c:pt>
                <c:pt idx="200">
                  <c:v>3400106.1861828193</c:v>
                </c:pt>
                <c:pt idx="201">
                  <c:v>3400106.1861828193</c:v>
                </c:pt>
                <c:pt idx="202">
                  <c:v>3400106.1861828193</c:v>
                </c:pt>
                <c:pt idx="203">
                  <c:v>3400106.1861828193</c:v>
                </c:pt>
                <c:pt idx="204">
                  <c:v>3400106.1861828193</c:v>
                </c:pt>
                <c:pt idx="205">
                  <c:v>3400106.1861828193</c:v>
                </c:pt>
                <c:pt idx="206">
                  <c:v>3400106.1861828193</c:v>
                </c:pt>
                <c:pt idx="207">
                  <c:v>3400106.1861828193</c:v>
                </c:pt>
                <c:pt idx="208">
                  <c:v>3400106.1861828193</c:v>
                </c:pt>
                <c:pt idx="209">
                  <c:v>3400106.1861828193</c:v>
                </c:pt>
                <c:pt idx="210">
                  <c:v>3400106.1861828193</c:v>
                </c:pt>
                <c:pt idx="211">
                  <c:v>3400106.1861828193</c:v>
                </c:pt>
                <c:pt idx="212">
                  <c:v>3400106.1861828193</c:v>
                </c:pt>
                <c:pt idx="213">
                  <c:v>3400106.1861828193</c:v>
                </c:pt>
                <c:pt idx="214">
                  <c:v>3400106.1861828193</c:v>
                </c:pt>
                <c:pt idx="215">
                  <c:v>3400106.1861828193</c:v>
                </c:pt>
                <c:pt idx="216">
                  <c:v>3400106.1861828193</c:v>
                </c:pt>
                <c:pt idx="217">
                  <c:v>3400106.1861828193</c:v>
                </c:pt>
                <c:pt idx="218">
                  <c:v>3400106.1861828193</c:v>
                </c:pt>
                <c:pt idx="219">
                  <c:v>3400106.1861828193</c:v>
                </c:pt>
                <c:pt idx="220">
                  <c:v>3400106.1861828193</c:v>
                </c:pt>
                <c:pt idx="221">
                  <c:v>3400106.1861828193</c:v>
                </c:pt>
                <c:pt idx="222">
                  <c:v>3400106.1861828193</c:v>
                </c:pt>
                <c:pt idx="223">
                  <c:v>3400106.1861828193</c:v>
                </c:pt>
                <c:pt idx="224">
                  <c:v>3400106.1861828193</c:v>
                </c:pt>
                <c:pt idx="225">
                  <c:v>3400106.1861828193</c:v>
                </c:pt>
                <c:pt idx="226">
                  <c:v>3400106.1861828193</c:v>
                </c:pt>
                <c:pt idx="227">
                  <c:v>3400106.1861828193</c:v>
                </c:pt>
                <c:pt idx="228">
                  <c:v>3400106.1861828193</c:v>
                </c:pt>
                <c:pt idx="229">
                  <c:v>3400106.1861828193</c:v>
                </c:pt>
                <c:pt idx="230">
                  <c:v>3400106.1861828193</c:v>
                </c:pt>
                <c:pt idx="231">
                  <c:v>3400106.1861828193</c:v>
                </c:pt>
                <c:pt idx="232">
                  <c:v>3400106.1861828193</c:v>
                </c:pt>
                <c:pt idx="233">
                  <c:v>3400106.1861828193</c:v>
                </c:pt>
                <c:pt idx="234">
                  <c:v>3400106.1861828193</c:v>
                </c:pt>
                <c:pt idx="235">
                  <c:v>3400106.1861828193</c:v>
                </c:pt>
                <c:pt idx="236">
                  <c:v>3400106.1861828193</c:v>
                </c:pt>
                <c:pt idx="237">
                  <c:v>3400106.1861828193</c:v>
                </c:pt>
                <c:pt idx="238">
                  <c:v>3400106.1861828193</c:v>
                </c:pt>
                <c:pt idx="239">
                  <c:v>3400106.1861828193</c:v>
                </c:pt>
                <c:pt idx="240">
                  <c:v>3400106.1861828193</c:v>
                </c:pt>
                <c:pt idx="241">
                  <c:v>3400106.1861828193</c:v>
                </c:pt>
                <c:pt idx="242">
                  <c:v>3400106.1861828193</c:v>
                </c:pt>
                <c:pt idx="243">
                  <c:v>3400106.1861828193</c:v>
                </c:pt>
                <c:pt idx="244">
                  <c:v>3400106.1861828193</c:v>
                </c:pt>
                <c:pt idx="245">
                  <c:v>3400106.1861828193</c:v>
                </c:pt>
                <c:pt idx="246">
                  <c:v>3400106.1861828193</c:v>
                </c:pt>
                <c:pt idx="247">
                  <c:v>3400106.1861828193</c:v>
                </c:pt>
                <c:pt idx="248">
                  <c:v>3400106.1861828193</c:v>
                </c:pt>
                <c:pt idx="249">
                  <c:v>3400106.1861828193</c:v>
                </c:pt>
                <c:pt idx="250">
                  <c:v>3400106.1861828193</c:v>
                </c:pt>
                <c:pt idx="251">
                  <c:v>3400106.1861828193</c:v>
                </c:pt>
                <c:pt idx="252">
                  <c:v>3400106.1861828193</c:v>
                </c:pt>
                <c:pt idx="253">
                  <c:v>3400106.1861828193</c:v>
                </c:pt>
                <c:pt idx="254">
                  <c:v>3400106.1861828193</c:v>
                </c:pt>
                <c:pt idx="255">
                  <c:v>3400106.1861828193</c:v>
                </c:pt>
                <c:pt idx="256">
                  <c:v>3400106.1861828193</c:v>
                </c:pt>
                <c:pt idx="257">
                  <c:v>3400106.1861828193</c:v>
                </c:pt>
                <c:pt idx="258">
                  <c:v>3400106.1861828193</c:v>
                </c:pt>
                <c:pt idx="259">
                  <c:v>3400106.1861828193</c:v>
                </c:pt>
                <c:pt idx="260">
                  <c:v>3400106.1861828193</c:v>
                </c:pt>
                <c:pt idx="261">
                  <c:v>3400106.1861828193</c:v>
                </c:pt>
                <c:pt idx="262">
                  <c:v>3400106.1861828193</c:v>
                </c:pt>
                <c:pt idx="263">
                  <c:v>3400106.1861828193</c:v>
                </c:pt>
                <c:pt idx="264">
                  <c:v>3400106.1861828193</c:v>
                </c:pt>
                <c:pt idx="265">
                  <c:v>3400106.1861828193</c:v>
                </c:pt>
                <c:pt idx="266">
                  <c:v>3400106.1861828193</c:v>
                </c:pt>
                <c:pt idx="267">
                  <c:v>3400106.1861828193</c:v>
                </c:pt>
                <c:pt idx="268">
                  <c:v>3400106.1861828193</c:v>
                </c:pt>
                <c:pt idx="269">
                  <c:v>3400106.1861828193</c:v>
                </c:pt>
                <c:pt idx="270">
                  <c:v>3400106.1861828193</c:v>
                </c:pt>
                <c:pt idx="271">
                  <c:v>3400106.1861828193</c:v>
                </c:pt>
                <c:pt idx="272">
                  <c:v>3400106.1861828193</c:v>
                </c:pt>
                <c:pt idx="273">
                  <c:v>3400106.1861828193</c:v>
                </c:pt>
                <c:pt idx="274">
                  <c:v>3400106.1861828193</c:v>
                </c:pt>
                <c:pt idx="275">
                  <c:v>3400106.1861828193</c:v>
                </c:pt>
                <c:pt idx="276">
                  <c:v>3400106.1861828193</c:v>
                </c:pt>
                <c:pt idx="277">
                  <c:v>3400106.1861828193</c:v>
                </c:pt>
                <c:pt idx="278">
                  <c:v>3400106.1861828193</c:v>
                </c:pt>
                <c:pt idx="279">
                  <c:v>3400106.1861828193</c:v>
                </c:pt>
                <c:pt idx="280">
                  <c:v>3400106.1861828193</c:v>
                </c:pt>
                <c:pt idx="281">
                  <c:v>3400106.1861828193</c:v>
                </c:pt>
                <c:pt idx="282">
                  <c:v>3400106.1861828193</c:v>
                </c:pt>
                <c:pt idx="283">
                  <c:v>3400106.1861828193</c:v>
                </c:pt>
                <c:pt idx="284">
                  <c:v>3400106.1861828193</c:v>
                </c:pt>
                <c:pt idx="285">
                  <c:v>3400106.1861828193</c:v>
                </c:pt>
                <c:pt idx="286">
                  <c:v>3400106.1861828193</c:v>
                </c:pt>
                <c:pt idx="287">
                  <c:v>3400106.1861828193</c:v>
                </c:pt>
                <c:pt idx="288">
                  <c:v>3400106.1861828193</c:v>
                </c:pt>
                <c:pt idx="289">
                  <c:v>3400106.1861828193</c:v>
                </c:pt>
                <c:pt idx="290">
                  <c:v>3400106.1861828193</c:v>
                </c:pt>
                <c:pt idx="291">
                  <c:v>3400106.1861828193</c:v>
                </c:pt>
                <c:pt idx="292">
                  <c:v>3400106.1861828193</c:v>
                </c:pt>
                <c:pt idx="293">
                  <c:v>3400106.1861828193</c:v>
                </c:pt>
                <c:pt idx="294">
                  <c:v>3400106.1861828193</c:v>
                </c:pt>
                <c:pt idx="295">
                  <c:v>3400106.1861828193</c:v>
                </c:pt>
                <c:pt idx="296">
                  <c:v>3400106.1861828193</c:v>
                </c:pt>
                <c:pt idx="297">
                  <c:v>3400106.1861828193</c:v>
                </c:pt>
                <c:pt idx="298">
                  <c:v>3400106.1861828193</c:v>
                </c:pt>
                <c:pt idx="299">
                  <c:v>3400106.1861828193</c:v>
                </c:pt>
                <c:pt idx="300">
                  <c:v>3400106.1861828193</c:v>
                </c:pt>
                <c:pt idx="301">
                  <c:v>3400106.1861828193</c:v>
                </c:pt>
                <c:pt idx="302">
                  <c:v>3400106.1861828193</c:v>
                </c:pt>
                <c:pt idx="303">
                  <c:v>3400106.1861828193</c:v>
                </c:pt>
                <c:pt idx="304">
                  <c:v>3400106.1861828193</c:v>
                </c:pt>
                <c:pt idx="305">
                  <c:v>3400106.1861828193</c:v>
                </c:pt>
                <c:pt idx="306">
                  <c:v>3400106.1861828193</c:v>
                </c:pt>
                <c:pt idx="307">
                  <c:v>3400106.1861828193</c:v>
                </c:pt>
                <c:pt idx="308">
                  <c:v>3400106.1861828193</c:v>
                </c:pt>
                <c:pt idx="309">
                  <c:v>3400106.1861828193</c:v>
                </c:pt>
                <c:pt idx="310">
                  <c:v>3400106.1861828193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7735648148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2-28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3-28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25T00:00:00"/>
    <m/>
  </r>
  <r>
    <n v="4"/>
    <x v="4"/>
    <s v="End of Defects Period"/>
    <m/>
    <n v="0.05"/>
    <n v="9217.8516411268429"/>
    <m/>
    <s v="Thula Moya IN04850"/>
    <x v="6"/>
    <n v="9520.017977228772"/>
    <m/>
    <d v="2026-03-2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25T00:00:00"/>
    <m/>
  </r>
  <r>
    <n v="6"/>
    <x v="6"/>
    <s v="End of Defects Period"/>
    <m/>
    <n v="0.05"/>
    <n v="4602.3949057138243"/>
    <m/>
    <s v="Thula Moya IN04850"/>
    <x v="6"/>
    <n v="10233.519272974219"/>
    <m/>
    <d v="2026-03-2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6-02-27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25T00:00:00"/>
    <m/>
  </r>
  <r>
    <n v="9"/>
    <x v="9"/>
    <s v="End of Defects Period"/>
    <m/>
    <n v="0.05"/>
    <n v="24065.38629343639"/>
    <m/>
    <s v="Thula Moya IN04850"/>
    <x v="6"/>
    <n v="17211.763870552233"/>
    <m/>
    <d v="2026-03-2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6-02-27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25T00:00:00"/>
    <m/>
  </r>
  <r>
    <n v="10"/>
    <x v="10"/>
    <s v="End of Defects Period"/>
    <m/>
    <n v="0.05"/>
    <n v="2477.367159722945"/>
    <m/>
    <s v="Thula Moya IN04850"/>
    <x v="6"/>
    <n v="3986.7633140973758"/>
    <m/>
    <d v="2026-03-2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250.260000000001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1"/>
    <n v="785.4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45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42578125" bestFit="1" customWidth="1"/>
    <col min="5" max="5" width="10.140625" customWidth="1"/>
    <col min="6" max="6" width="33.5703125" customWidth="1"/>
  </cols>
  <sheetData>
    <row r="1" spans="2:10" ht="15" thickBot="1"/>
    <row r="2" spans="2:10" ht="15.6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9" t="s">
        <v>69</v>
      </c>
      <c r="C16" s="730"/>
      <c r="D16" s="730"/>
      <c r="E16" s="730"/>
      <c r="F16" s="73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opLeftCell="A7" zoomScale="85" zoomScaleNormal="85" workbookViewId="0">
      <selection activeCell="G42" sqref="G42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customWidth="1"/>
    <col min="4" max="4" width="3.42578125" style="112" customWidth="1"/>
    <col min="5" max="5" width="14.5703125" style="24" customWidth="1"/>
    <col min="6" max="6" width="10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2.8554687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46071</v>
      </c>
      <c r="O1" s="405">
        <f ca="1">TODAY()</f>
        <v>46071</v>
      </c>
      <c r="Q1" s="3"/>
    </row>
    <row r="2" spans="2:28" ht="14.25" customHeight="1">
      <c r="B2" s="176"/>
      <c r="C2" s="177" t="s">
        <v>0</v>
      </c>
      <c r="D2" s="178"/>
      <c r="E2" s="732" t="s">
        <v>73</v>
      </c>
      <c r="F2" s="733"/>
      <c r="G2" s="733"/>
      <c r="H2" s="734"/>
      <c r="M2" s="744">
        <v>0</v>
      </c>
      <c r="N2" s="744"/>
      <c r="O2" s="744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44"/>
      <c r="N3" s="744"/>
      <c r="O3" s="744"/>
      <c r="Q3" s="3"/>
    </row>
    <row r="4" spans="2:28" s="112" customFormat="1">
      <c r="B4" s="179"/>
      <c r="C4" s="180" t="s">
        <v>75</v>
      </c>
      <c r="D4" s="178"/>
      <c r="E4" s="735" t="s">
        <v>76</v>
      </c>
      <c r="F4" s="736"/>
      <c r="G4" s="736"/>
      <c r="H4" s="737"/>
      <c r="J4" s="113"/>
      <c r="M4" s="744"/>
      <c r="N4" s="744"/>
      <c r="O4" s="744"/>
      <c r="Q4" s="3"/>
    </row>
    <row r="5" spans="2:28" s="112" customFormat="1">
      <c r="B5" s="179"/>
      <c r="C5" s="180" t="s">
        <v>77</v>
      </c>
      <c r="D5" s="178"/>
      <c r="E5" s="735" t="s">
        <v>78</v>
      </c>
      <c r="F5" s="736"/>
      <c r="G5" s="736"/>
      <c r="H5" s="737"/>
      <c r="J5" s="113"/>
      <c r="M5" s="744"/>
      <c r="N5" s="744"/>
      <c r="O5" s="744"/>
      <c r="Q5" s="3"/>
    </row>
    <row r="6" spans="2:28">
      <c r="B6" s="184"/>
      <c r="C6" s="185" t="s">
        <v>79</v>
      </c>
      <c r="D6" s="178"/>
      <c r="E6" s="738">
        <v>3400106</v>
      </c>
      <c r="F6" s="739"/>
      <c r="G6" s="739"/>
      <c r="H6" s="740"/>
      <c r="M6" s="744"/>
      <c r="N6" s="744"/>
      <c r="O6" s="744"/>
    </row>
    <row r="7" spans="2:28" s="112" customFormat="1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45" t="s">
        <v>82</v>
      </c>
      <c r="C8" s="746" t="s">
        <v>83</v>
      </c>
      <c r="D8" s="215"/>
      <c r="E8" s="743" t="s">
        <v>84</v>
      </c>
      <c r="F8" s="237" t="s">
        <v>85</v>
      </c>
      <c r="G8" s="743" t="s">
        <v>86</v>
      </c>
      <c r="H8" s="238"/>
      <c r="I8" s="743" t="s">
        <v>87</v>
      </c>
      <c r="J8" s="237" t="s">
        <v>85</v>
      </c>
      <c r="K8" s="743" t="s">
        <v>88</v>
      </c>
      <c r="M8" s="411" t="s">
        <v>60</v>
      </c>
      <c r="N8" s="411" t="s">
        <v>60</v>
      </c>
      <c r="O8" s="741" t="s">
        <v>89</v>
      </c>
      <c r="Z8" s="112"/>
      <c r="AA8" s="112"/>
      <c r="AB8" s="112"/>
    </row>
    <row r="9" spans="2:28">
      <c r="B9" s="745"/>
      <c r="C9" s="746"/>
      <c r="D9" s="215"/>
      <c r="E9" s="743"/>
      <c r="F9" s="126">
        <f>G43-E19</f>
        <v>44</v>
      </c>
      <c r="G9" s="743"/>
      <c r="H9" s="238"/>
      <c r="I9" s="743"/>
      <c r="J9" s="127">
        <f>K43-I19</f>
        <v>251</v>
      </c>
      <c r="K9" s="743"/>
      <c r="M9" s="362">
        <f>AVERAGE(M11,M18,M21,M28,M36,M41,M48,M45)</f>
        <v>0.82960526315789473</v>
      </c>
      <c r="N9" s="362">
        <f ca="1">AVERAGE(N11,N18,N21,N28,N36,N41,N48,N45)</f>
        <v>0.93139097744360899</v>
      </c>
      <c r="O9" s="742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0.5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0.5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>
      <c r="B48" s="244">
        <v>8</v>
      </c>
      <c r="C48" s="245" t="s">
        <v>140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17</v>
      </c>
      <c r="K48" s="246">
        <f>MAX(K49:K54)</f>
        <v>46083</v>
      </c>
      <c r="L48" s="114"/>
      <c r="M48" s="361">
        <f>(J49*M49+J50*M50+J51*M51+J52*M52+J53*M53+J54*M54)/SUM(J49:J54)</f>
        <v>0.1368421052631579</v>
      </c>
      <c r="N48" s="361">
        <f ca="1">(J49*N49+J50*N50+J51*N51+J52*N52+J53*N53+J54*N54)/SUM(J49:J54)</f>
        <v>0.45112781954887216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8">
        <v>8.1</v>
      </c>
      <c r="C49" s="243" t="s">
        <v>141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0</v>
      </c>
      <c r="N49" s="254">
        <f ca="1">_xlfn.LET(
  _xlpm.s,VALUE($I49),
  _xlpm.e,VALUE($K49),
  IF(OR(_xlpm.s="",_xlpm.e=""),"", IF(_xlpm.e&lt;=_xlpm.s, IF(TODAY()&gt;=_xlpm.e,1,0), MAX(0,MIN(1,(TODAY()-_xlpm.s)/(_xlpm.e-_xlpm.s)))))
)</f>
        <v>0.5</v>
      </c>
      <c r="O49" s="122"/>
      <c r="Y49" s="24"/>
    </row>
    <row r="50" spans="2:28">
      <c r="B50" s="248">
        <v>8.1999999999999993</v>
      </c>
      <c r="C50" s="243" t="s">
        <v>142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2</v>
      </c>
      <c r="K50" s="253">
        <f>WORKDAY.INTL(I50,J50,1,Data!$C$3:$C$14)</f>
        <v>46072</v>
      </c>
      <c r="M50" s="254">
        <v>0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0.5</v>
      </c>
      <c r="O50" s="122" t="s">
        <v>143</v>
      </c>
      <c r="Y50" s="24"/>
    </row>
    <row r="51" spans="2:28">
      <c r="B51" s="248">
        <v>8.3000000000000007</v>
      </c>
      <c r="C51" s="243" t="s">
        <v>144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0.4</v>
      </c>
      <c r="N51" s="254">
        <f t="shared" ca="1" si="4"/>
        <v>0.7142857142857143</v>
      </c>
      <c r="O51" s="122"/>
      <c r="Y51" s="24"/>
    </row>
    <row r="52" spans="2:28">
      <c r="B52" s="248">
        <v>8.4</v>
      </c>
      <c r="C52" s="243" t="s">
        <v>145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4</v>
      </c>
      <c r="K52" s="253">
        <f>WORKDAY.INTL(I52,J52,1,Data!$C$3:$C$14)</f>
        <v>46072</v>
      </c>
      <c r="M52" s="254">
        <v>0.15</v>
      </c>
      <c r="N52" s="254">
        <f t="shared" ca="1" si="4"/>
        <v>0.75</v>
      </c>
      <c r="O52" s="122"/>
      <c r="Y52" s="24"/>
    </row>
    <row r="53" spans="2:28">
      <c r="B53" s="248">
        <v>8.5</v>
      </c>
      <c r="C53" s="243" t="s">
        <v>146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46077</v>
      </c>
      <c r="J53" s="251">
        <v>1</v>
      </c>
      <c r="K53" s="253">
        <f>WORKDAY.INTL(I53,J53,1,Data!$C$3:$C$14)</f>
        <v>46078</v>
      </c>
      <c r="M53" s="254">
        <v>0</v>
      </c>
      <c r="N53" s="254">
        <f t="shared" ca="1" si="4"/>
        <v>0</v>
      </c>
      <c r="O53" s="122" t="s">
        <v>147</v>
      </c>
      <c r="Y53" s="24"/>
    </row>
    <row r="54" spans="2:28">
      <c r="B54" s="248">
        <v>8.6</v>
      </c>
      <c r="C54" s="243" t="s">
        <v>148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46076</v>
      </c>
      <c r="J54" s="251">
        <v>5</v>
      </c>
      <c r="K54" s="253">
        <f>WORKDAY.INTL(I54,J54,1,Data!$C$3:$C$14)</f>
        <v>46083</v>
      </c>
      <c r="M54" s="254">
        <v>0</v>
      </c>
      <c r="N54" s="254">
        <f t="shared" ca="1" si="4"/>
        <v>0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6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149</v>
      </c>
      <c r="F2" s="83" t="s">
        <v>150</v>
      </c>
    </row>
    <row r="3" spans="3:8">
      <c r="C3" s="79">
        <v>45658</v>
      </c>
      <c r="D3" s="73" t="s">
        <v>151</v>
      </c>
      <c r="F3" s="81" t="s">
        <v>152</v>
      </c>
    </row>
    <row r="4" spans="3:8">
      <c r="C4" s="79">
        <v>45737</v>
      </c>
      <c r="D4" s="73" t="s">
        <v>153</v>
      </c>
      <c r="F4" s="81" t="s">
        <v>154</v>
      </c>
    </row>
    <row r="5" spans="3:8">
      <c r="C5" s="79">
        <v>45765</v>
      </c>
      <c r="D5" s="73" t="s">
        <v>155</v>
      </c>
      <c r="F5" s="81" t="s">
        <v>156</v>
      </c>
    </row>
    <row r="6" spans="3:8" ht="12.95" thickBot="1">
      <c r="C6" s="79">
        <v>45768</v>
      </c>
      <c r="D6" s="73" t="s">
        <v>157</v>
      </c>
      <c r="F6" s="82" t="s">
        <v>158</v>
      </c>
    </row>
    <row r="7" spans="3:8">
      <c r="C7" s="79">
        <v>45774</v>
      </c>
      <c r="D7" s="73" t="s">
        <v>159</v>
      </c>
    </row>
    <row r="8" spans="3:8">
      <c r="C8" s="79">
        <v>45765</v>
      </c>
      <c r="D8" s="73" t="s">
        <v>160</v>
      </c>
    </row>
    <row r="9" spans="3:8">
      <c r="C9" s="79">
        <v>45778</v>
      </c>
      <c r="D9" s="73" t="s">
        <v>161</v>
      </c>
    </row>
    <row r="10" spans="3:8">
      <c r="C10" s="79">
        <v>45824</v>
      </c>
      <c r="D10" s="73" t="s">
        <v>162</v>
      </c>
    </row>
    <row r="11" spans="3:8">
      <c r="C11" s="79">
        <v>45878</v>
      </c>
      <c r="D11" s="73" t="s">
        <v>163</v>
      </c>
    </row>
    <row r="12" spans="3:8">
      <c r="C12" s="79">
        <v>45924</v>
      </c>
      <c r="D12" s="73" t="s">
        <v>164</v>
      </c>
    </row>
    <row r="13" spans="3:8">
      <c r="C13" s="79">
        <v>46007</v>
      </c>
      <c r="D13" s="73" t="s">
        <v>165</v>
      </c>
      <c r="F13" s="85"/>
      <c r="H13" s="73" t="s">
        <v>166</v>
      </c>
    </row>
    <row r="14" spans="3:8">
      <c r="C14" s="79">
        <v>46016</v>
      </c>
      <c r="D14" s="73" t="s">
        <v>167</v>
      </c>
    </row>
    <row r="15" spans="3:8" ht="12.95" thickBot="1">
      <c r="C15" s="80">
        <v>46017</v>
      </c>
      <c r="D15" s="73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169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7"/>
      <c r="C4" s="747"/>
      <c r="D4" s="747"/>
      <c r="E4" s="413"/>
      <c r="F4" s="220" t="s">
        <v>170</v>
      </c>
      <c r="G4" s="215"/>
      <c r="H4" s="220" t="s">
        <v>171</v>
      </c>
      <c r="I4" s="215"/>
      <c r="J4" s="221" t="s">
        <v>172</v>
      </c>
      <c r="K4" s="112"/>
      <c r="L4" s="112"/>
    </row>
    <row r="5" spans="1:12" ht="14.45" thickBot="1">
      <c r="A5" s="215"/>
      <c r="B5" s="748" t="s">
        <v>173</v>
      </c>
      <c r="C5" s="748"/>
      <c r="D5" s="748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82</v>
      </c>
      <c r="C7" s="226"/>
      <c r="D7" s="225" t="s">
        <v>174</v>
      </c>
      <c r="E7" s="226"/>
      <c r="F7" s="227" t="s">
        <v>175</v>
      </c>
      <c r="G7" s="228"/>
      <c r="H7" s="227" t="s">
        <v>176</v>
      </c>
      <c r="I7" s="228"/>
      <c r="J7" s="227" t="s">
        <v>177</v>
      </c>
      <c r="K7" s="172"/>
      <c r="L7" s="115" t="s">
        <v>178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179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42578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42578125" style="129" bestFit="1" customWidth="1"/>
    <col min="17" max="17" width="15.140625" style="129" bestFit="1" customWidth="1"/>
    <col min="18" max="18" width="19.5703125" style="129" customWidth="1"/>
    <col min="19" max="19" width="16.140625" style="93" bestFit="1" customWidth="1"/>
    <col min="20" max="20" width="19.42578125" style="129" bestFit="1" customWidth="1"/>
    <col min="21" max="21" width="15.140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180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2.95">
      <c r="B3" s="117"/>
      <c r="D3" s="125" t="s">
        <v>170</v>
      </c>
      <c r="F3" s="125" t="s">
        <v>171</v>
      </c>
      <c r="J3" s="141"/>
      <c r="L3" s="409" t="s">
        <v>181</v>
      </c>
      <c r="N3" s="409" t="s">
        <v>182</v>
      </c>
      <c r="P3" s="691" t="s">
        <v>183</v>
      </c>
      <c r="Q3" s="691" t="s">
        <v>184</v>
      </c>
      <c r="R3" s="691" t="s">
        <v>185</v>
      </c>
      <c r="S3" s="691" t="s">
        <v>186</v>
      </c>
      <c r="T3" s="691" t="s">
        <v>187</v>
      </c>
      <c r="U3" s="691" t="s">
        <v>188</v>
      </c>
    </row>
    <row r="4" spans="1:21" s="93" customFormat="1" ht="12.95">
      <c r="B4" s="352">
        <v>1</v>
      </c>
      <c r="C4" s="353" t="s">
        <v>189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190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191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192</v>
      </c>
      <c r="H5" s="711" t="s">
        <v>193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194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195</v>
      </c>
    </row>
    <row r="7" spans="1:21" s="93" customFormat="1" ht="15" customHeight="1" thickBot="1">
      <c r="B7" s="352">
        <v>4</v>
      </c>
      <c r="C7" s="353" t="s">
        <v>196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197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1">
      <c r="B12" s="131" t="s">
        <v>82</v>
      </c>
      <c r="C12" s="132" t="s">
        <v>198</v>
      </c>
      <c r="D12" s="133"/>
      <c r="E12" s="131" t="s">
        <v>199</v>
      </c>
      <c r="F12" s="131" t="s">
        <v>200</v>
      </c>
      <c r="H12" s="357" t="s">
        <v>201</v>
      </c>
      <c r="J12" s="141"/>
      <c r="L12" s="166" t="s">
        <v>202</v>
      </c>
      <c r="M12" s="134"/>
      <c r="N12" s="166" t="s">
        <v>203</v>
      </c>
      <c r="O12" s="129"/>
      <c r="P12" s="166" t="s">
        <v>204</v>
      </c>
      <c r="R12" s="379" t="s">
        <v>205</v>
      </c>
    </row>
    <row r="13" spans="1:21" s="93" customFormat="1" ht="12.95">
      <c r="B13" s="352">
        <v>1</v>
      </c>
      <c r="C13" s="751" t="s">
        <v>206</v>
      </c>
      <c r="D13" s="752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207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6">
      <c r="B14" s="154">
        <v>2</v>
      </c>
      <c r="C14" s="751" t="s">
        <v>208</v>
      </c>
      <c r="D14" s="752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207</v>
      </c>
      <c r="N14" s="138">
        <v>45778</v>
      </c>
      <c r="O14" s="129"/>
      <c r="P14" s="138">
        <v>45828</v>
      </c>
      <c r="R14" s="380"/>
    </row>
    <row r="15" spans="1:21" s="93" customFormat="1" ht="12.6">
      <c r="B15" s="352">
        <v>3</v>
      </c>
      <c r="C15" s="751" t="s">
        <v>209</v>
      </c>
      <c r="D15" s="752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207</v>
      </c>
      <c r="N15" s="138">
        <v>45778</v>
      </c>
      <c r="O15" s="129"/>
      <c r="P15" s="138">
        <v>45807</v>
      </c>
      <c r="R15" s="380"/>
    </row>
    <row r="16" spans="1:21" s="93" customFormat="1" ht="12.6">
      <c r="B16" s="352">
        <v>4</v>
      </c>
      <c r="C16" s="749" t="s">
        <v>210</v>
      </c>
      <c r="D16" s="750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207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6">
      <c r="B17" s="352">
        <v>5</v>
      </c>
      <c r="C17" s="749" t="s">
        <v>211</v>
      </c>
      <c r="D17" s="750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207</v>
      </c>
      <c r="N17" s="138">
        <v>45778</v>
      </c>
      <c r="O17" s="129"/>
      <c r="P17" s="703">
        <v>46024</v>
      </c>
      <c r="R17" s="380"/>
    </row>
    <row r="18" spans="2:18" s="93" customFormat="1" ht="12.6">
      <c r="B18" s="352">
        <v>6</v>
      </c>
      <c r="C18" s="749" t="s">
        <v>54</v>
      </c>
      <c r="D18" s="750"/>
      <c r="E18" s="135">
        <v>0.05</v>
      </c>
      <c r="F18" s="136">
        <f t="shared" si="0"/>
        <v>170005.30000000002</v>
      </c>
      <c r="G18" s="355"/>
      <c r="H18" s="138">
        <f>'Project Plan'!K53+7</f>
        <v>46085</v>
      </c>
      <c r="J18" s="141"/>
      <c r="L18" s="369" t="s">
        <v>207</v>
      </c>
      <c r="M18" s="137"/>
      <c r="N18" s="138">
        <v>45778</v>
      </c>
      <c r="O18" s="129"/>
      <c r="P18" s="139">
        <f>'Project Plan'!K53+7</f>
        <v>46085</v>
      </c>
      <c r="R18" s="380" t="s">
        <v>212</v>
      </c>
    </row>
    <row r="19" spans="2:18" s="93" customFormat="1" ht="12.6">
      <c r="B19" s="352">
        <v>7</v>
      </c>
      <c r="C19" s="751" t="s">
        <v>213</v>
      </c>
      <c r="D19" s="75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2.9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214</v>
      </c>
      <c r="C23" s="145" t="s">
        <v>215</v>
      </c>
      <c r="D23" s="145"/>
      <c r="F23" s="146"/>
    </row>
    <row r="24" spans="2:18" s="93" customFormat="1" ht="12.6">
      <c r="C24" s="147" t="s">
        <v>216</v>
      </c>
      <c r="D24" s="148"/>
      <c r="F24" s="149"/>
    </row>
    <row r="25" spans="2:18" s="93" customFormat="1" ht="12.6">
      <c r="C25" s="147" t="s">
        <v>217</v>
      </c>
      <c r="D25" s="148"/>
    </row>
    <row r="26" spans="2:18" s="93" customFormat="1" ht="12.6">
      <c r="C26" s="150" t="s">
        <v>218</v>
      </c>
      <c r="D26" s="151"/>
    </row>
    <row r="27" spans="2:18" s="93" customFormat="1" ht="12.6">
      <c r="C27" s="152" t="s">
        <v>219</v>
      </c>
      <c r="D27" s="148"/>
    </row>
    <row r="28" spans="2:18" s="93" customFormat="1" ht="12.6">
      <c r="B28" s="117"/>
      <c r="C28" s="152" t="s">
        <v>220</v>
      </c>
      <c r="D28" s="148"/>
    </row>
    <row r="29" spans="2:18" s="93" customFormat="1" ht="12.6">
      <c r="B29" s="117"/>
      <c r="C29" s="93" t="s">
        <v>221</v>
      </c>
    </row>
    <row r="30" spans="2:18" s="93" customFormat="1" ht="27.75" customHeight="1">
      <c r="B30" s="117"/>
      <c r="C30" s="153" t="s">
        <v>222</v>
      </c>
      <c r="D30" s="153"/>
      <c r="F30" s="149"/>
    </row>
    <row r="31" spans="2:18" s="93" customFormat="1" ht="12.6">
      <c r="B31" s="117"/>
      <c r="F31" s="146"/>
    </row>
    <row r="32" spans="2:18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abSelected="1" topLeftCell="K1" zoomScale="85" zoomScaleNormal="85" workbookViewId="0">
      <pane ySplit="4" topLeftCell="A5" activePane="bottomLeft" state="frozen"/>
      <selection pane="bottomLeft" activeCell="R143" sqref="R143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85546875" style="70" hidden="1" customWidth="1"/>
    <col min="6" max="6" width="16.5703125" style="474" hidden="1" customWidth="1"/>
    <col min="7" max="7" width="17.140625" style="24" hidden="1" customWidth="1"/>
    <col min="8" max="8" width="16.85546875" style="112" hidden="1" customWidth="1"/>
    <col min="9" max="9" width="22.1406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7.42578125" style="112" bestFit="1" customWidth="1"/>
    <col min="19" max="19" width="37.85546875" style="112" bestFit="1" customWidth="1"/>
    <col min="20" max="20" width="17.140625" style="112" bestFit="1" customWidth="1"/>
    <col min="21" max="21" width="14.85546875" style="112" bestFit="1" customWidth="1"/>
    <col min="22" max="22" width="16.42578125" style="112" customWidth="1"/>
    <col min="23" max="23" width="16.85546875" style="112" bestFit="1" customWidth="1"/>
    <col min="24" max="24" width="21.42578125" style="112" customWidth="1"/>
    <col min="25" max="25" width="29.1406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803" t="s">
        <v>223</v>
      </c>
      <c r="C2" s="804"/>
      <c r="D2" s="804"/>
      <c r="E2" s="804"/>
      <c r="F2" s="804"/>
      <c r="G2" s="804"/>
      <c r="H2" s="688"/>
      <c r="I2" s="258">
        <f>SUM(I6:I172)</f>
        <v>3100368.1219126601</v>
      </c>
      <c r="J2" s="258">
        <f>SUM(J6:J172)</f>
        <v>3400106.1797402808</v>
      </c>
      <c r="L2" s="805" t="s">
        <v>224</v>
      </c>
      <c r="M2" s="806"/>
      <c r="N2" s="806"/>
      <c r="O2" s="806"/>
      <c r="P2" s="806"/>
      <c r="Q2" s="806"/>
      <c r="R2" s="807" t="s">
        <v>225</v>
      </c>
      <c r="S2" s="808"/>
      <c r="T2" s="808"/>
      <c r="U2" s="808"/>
      <c r="V2" s="808"/>
      <c r="W2" s="809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.6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5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Total Revenue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5" t="s">
        <v>230</v>
      </c>
      <c r="Q4" s="374" t="s">
        <v>235</v>
      </c>
      <c r="R4" s="621" t="s">
        <v>236</v>
      </c>
      <c r="S4" s="622" t="s">
        <v>202</v>
      </c>
      <c r="T4" s="372" t="s">
        <v>203</v>
      </c>
      <c r="U4" s="373" t="s">
        <v>237</v>
      </c>
      <c r="V4" s="374" t="s">
        <v>238</v>
      </c>
      <c r="W4" s="372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7"/>
      <c r="G6" s="392">
        <f>D173</f>
        <v>760057.76</v>
      </c>
      <c r="H6" s="534">
        <v>45862</v>
      </c>
      <c r="I6" s="753">
        <f>SUM(G6:G11)</f>
        <v>760057.76</v>
      </c>
      <c r="J6" s="753">
        <f>F173</f>
        <v>863702</v>
      </c>
      <c r="K6" s="389"/>
      <c r="L6" s="281">
        <v>1</v>
      </c>
      <c r="M6" s="417" t="s">
        <v>241</v>
      </c>
      <c r="N6" s="282" t="s">
        <v>242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243</v>
      </c>
      <c r="S6" s="624" t="s">
        <v>244</v>
      </c>
      <c r="T6" s="660">
        <v>45808</v>
      </c>
      <c r="U6" s="662">
        <v>863702</v>
      </c>
      <c r="V6" s="765">
        <f>J6-SUM(U6:U11)</f>
        <v>0</v>
      </c>
      <c r="W6" s="534">
        <v>45862</v>
      </c>
      <c r="X6" s="756">
        <f>SUM(Q6:Q11)</f>
        <v>724840.6</v>
      </c>
      <c r="Y6" s="482"/>
    </row>
    <row r="7" spans="1:76" ht="15" customHeight="1">
      <c r="B7" s="311">
        <v>1</v>
      </c>
      <c r="C7" s="418"/>
      <c r="D7" s="390" t="s">
        <v>245</v>
      </c>
      <c r="E7" s="391"/>
      <c r="F7" s="459"/>
      <c r="G7" s="315"/>
      <c r="H7" s="535">
        <v>45866</v>
      </c>
      <c r="I7" s="754"/>
      <c r="J7" s="754"/>
      <c r="K7" s="288"/>
      <c r="L7" s="311">
        <v>1</v>
      </c>
      <c r="M7" s="313" t="s">
        <v>241</v>
      </c>
      <c r="N7" s="390"/>
      <c r="O7" s="550"/>
      <c r="P7" s="444"/>
      <c r="Q7" s="315">
        <f>720539.2-Q6</f>
        <v>295267.99999999994</v>
      </c>
      <c r="R7" s="588"/>
      <c r="S7" s="625" t="s">
        <v>244</v>
      </c>
      <c r="T7" s="643">
        <v>45808</v>
      </c>
      <c r="U7" s="663">
        <v>0</v>
      </c>
      <c r="V7" s="766"/>
      <c r="W7" s="535">
        <v>45866</v>
      </c>
      <c r="X7" s="757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54"/>
      <c r="J8" s="754"/>
      <c r="K8" s="288"/>
      <c r="L8" s="311">
        <v>1</v>
      </c>
      <c r="M8" s="313" t="s">
        <v>241</v>
      </c>
      <c r="N8" s="485" t="s">
        <v>242</v>
      </c>
      <c r="O8" s="551">
        <v>3</v>
      </c>
      <c r="P8" s="444"/>
      <c r="Q8" s="315">
        <v>3701.4</v>
      </c>
      <c r="R8" s="588"/>
      <c r="S8" s="625" t="s">
        <v>246</v>
      </c>
      <c r="T8" s="643">
        <v>45991</v>
      </c>
      <c r="U8" s="663">
        <v>0</v>
      </c>
      <c r="V8" s="766"/>
      <c r="W8" s="535">
        <v>46045</v>
      </c>
      <c r="X8" s="757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54"/>
      <c r="J9" s="754"/>
      <c r="K9" s="288"/>
      <c r="L9" s="311">
        <v>1</v>
      </c>
      <c r="M9" s="313" t="s">
        <v>241</v>
      </c>
      <c r="N9" s="485" t="s">
        <v>247</v>
      </c>
      <c r="O9" s="551"/>
      <c r="P9" s="444"/>
      <c r="Q9" s="387">
        <v>600</v>
      </c>
      <c r="R9" s="589"/>
      <c r="S9" s="626" t="s">
        <v>246</v>
      </c>
      <c r="T9" s="644">
        <v>45991</v>
      </c>
      <c r="U9" s="664">
        <v>0</v>
      </c>
      <c r="V9" s="766"/>
      <c r="W9" s="536">
        <v>46045</v>
      </c>
      <c r="X9" s="757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54"/>
      <c r="J10" s="754"/>
      <c r="K10" s="288"/>
      <c r="L10" s="311">
        <v>1</v>
      </c>
      <c r="M10" s="313" t="s">
        <v>241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66"/>
      <c r="W10" s="573"/>
      <c r="X10" s="757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55"/>
      <c r="J11" s="755"/>
      <c r="K11" s="289"/>
      <c r="L11" s="316">
        <v>1</v>
      </c>
      <c r="M11" s="419" t="s">
        <v>241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67"/>
      <c r="W11" s="574"/>
      <c r="X11" s="758"/>
      <c r="Y11" s="605" t="s">
        <v>248</v>
      </c>
      <c r="Z11" s="606" t="s">
        <v>249</v>
      </c>
    </row>
    <row r="12" spans="1:76" ht="14.4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250</v>
      </c>
      <c r="Z12" s="608">
        <f>G55</f>
        <v>409690.72608695651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57"/>
      <c r="G13" s="296">
        <f>D174</f>
        <v>210000</v>
      </c>
      <c r="H13" s="537">
        <v>45855</v>
      </c>
      <c r="I13" s="773">
        <f>SUM(G13:G19)</f>
        <v>210000</v>
      </c>
      <c r="J13" s="773">
        <f>F174</f>
        <v>238636.36363636365</v>
      </c>
      <c r="K13" s="297"/>
      <c r="L13" s="293">
        <v>2</v>
      </c>
      <c r="M13" s="420" t="s">
        <v>253</v>
      </c>
      <c r="N13" s="319" t="s">
        <v>254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243</v>
      </c>
      <c r="S13" s="629" t="s">
        <v>255</v>
      </c>
      <c r="T13" s="657">
        <f>IF(W13&gt;1,EOMONTH(W13,-2),"")</f>
        <v>45808</v>
      </c>
      <c r="U13" s="666">
        <v>238636.36363636365</v>
      </c>
      <c r="V13" s="800">
        <f>J13-SUM(U13:U19)</f>
        <v>0</v>
      </c>
      <c r="W13" s="537">
        <v>45855</v>
      </c>
      <c r="X13" s="776">
        <f>SUM(Q13:Q19)</f>
        <v>206611.05000000002</v>
      </c>
      <c r="Y13" s="607" t="s">
        <v>256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4"/>
      <c r="J14" s="774"/>
      <c r="K14" s="301"/>
      <c r="L14" s="298">
        <v>2</v>
      </c>
      <c r="M14" s="426" t="s">
        <v>253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801"/>
      <c r="W14" s="577"/>
      <c r="X14" s="777"/>
      <c r="Y14" s="607" t="s">
        <v>257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4"/>
      <c r="J15" s="774"/>
      <c r="K15" s="301"/>
      <c r="L15" s="298">
        <v>2</v>
      </c>
      <c r="M15" s="426" t="s">
        <v>253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801"/>
      <c r="W15" s="577"/>
      <c r="X15" s="777"/>
      <c r="Y15" s="607" t="s">
        <v>258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4"/>
      <c r="J16" s="774"/>
      <c r="K16" s="301"/>
      <c r="L16" s="298">
        <v>2</v>
      </c>
      <c r="M16" s="426" t="s">
        <v>253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801"/>
      <c r="W16" s="577"/>
      <c r="X16" s="777"/>
      <c r="Y16" s="607" t="s">
        <v>259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4"/>
      <c r="J17" s="774"/>
      <c r="K17" s="301"/>
      <c r="L17" s="298">
        <v>2</v>
      </c>
      <c r="M17" s="426" t="s">
        <v>253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801"/>
      <c r="W17" s="577"/>
      <c r="X17" s="777"/>
      <c r="Y17" s="607" t="s">
        <v>260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4"/>
      <c r="J18" s="774"/>
      <c r="K18" s="301"/>
      <c r="L18" s="298">
        <v>2</v>
      </c>
      <c r="M18" s="426" t="s">
        <v>253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801"/>
      <c r="W18" s="577"/>
      <c r="X18" s="777"/>
      <c r="Y18" s="607" t="s">
        <v>261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5"/>
      <c r="J19" s="775"/>
      <c r="K19" s="306"/>
      <c r="L19" s="396">
        <v>2</v>
      </c>
      <c r="M19" s="421" t="s">
        <v>253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802"/>
      <c r="W19" s="578"/>
      <c r="X19" s="778"/>
      <c r="Y19" s="607" t="s">
        <v>262</v>
      </c>
      <c r="Z19" s="608">
        <v>0</v>
      </c>
    </row>
    <row r="20" spans="1:26" ht="14.4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37"/>
      <c r="G21" s="284">
        <f>D175</f>
        <v>162792</v>
      </c>
      <c r="H21" s="539">
        <v>45835</v>
      </c>
      <c r="I21" s="753">
        <f>SUM(G21:G26)</f>
        <v>162792</v>
      </c>
      <c r="J21" s="753">
        <f>F175</f>
        <v>184990.90909090909</v>
      </c>
      <c r="K21" s="285"/>
      <c r="L21" s="281">
        <v>3</v>
      </c>
      <c r="M21" s="422" t="s">
        <v>265</v>
      </c>
      <c r="N21" s="327" t="s">
        <v>266</v>
      </c>
      <c r="O21" s="549"/>
      <c r="P21" s="437"/>
      <c r="Q21" s="284">
        <v>79861</v>
      </c>
      <c r="R21" s="595" t="s">
        <v>267</v>
      </c>
      <c r="S21" s="632" t="s">
        <v>268</v>
      </c>
      <c r="T21" s="661">
        <f>IF(W21&gt;1,EOMONTH(W21,-1),"")</f>
        <v>45808</v>
      </c>
      <c r="U21" s="669">
        <v>178441.86625409569</v>
      </c>
      <c r="V21" s="765">
        <f>J21-SUM(U21:U26)</f>
        <v>2.8368133935146034E-3</v>
      </c>
      <c r="W21" s="539">
        <v>45835</v>
      </c>
      <c r="X21" s="756">
        <f>SUM(Q21:Q26)</f>
        <v>79861</v>
      </c>
      <c r="Y21" s="607" t="s">
        <v>269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54"/>
      <c r="J22" s="754"/>
      <c r="K22" s="288"/>
      <c r="L22" s="311">
        <v>3</v>
      </c>
      <c r="M22" s="423" t="s">
        <v>265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66"/>
      <c r="W22" s="572"/>
      <c r="X22" s="757"/>
      <c r="Y22" s="607" t="s">
        <v>270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54"/>
      <c r="J23" s="754"/>
      <c r="K23" s="288"/>
      <c r="L23" s="311">
        <v>3</v>
      </c>
      <c r="M23" s="423" t="s">
        <v>265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66"/>
      <c r="W23" s="572"/>
      <c r="X23" s="757"/>
      <c r="Y23" s="607" t="s">
        <v>271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54"/>
      <c r="J24" s="754"/>
      <c r="K24" s="288"/>
      <c r="L24" s="311">
        <v>3</v>
      </c>
      <c r="M24" s="423" t="s">
        <v>265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66"/>
      <c r="W24" s="573"/>
      <c r="X24" s="757"/>
      <c r="Y24" s="612" t="s">
        <v>272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54"/>
      <c r="J25" s="754"/>
      <c r="K25" s="288"/>
      <c r="L25" s="311">
        <v>3</v>
      </c>
      <c r="M25" s="423" t="s">
        <v>265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66"/>
      <c r="W25" s="573"/>
      <c r="X25" s="757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55"/>
      <c r="J26" s="755"/>
      <c r="K26" s="289"/>
      <c r="L26" s="316">
        <v>3</v>
      </c>
      <c r="M26" s="424" t="s">
        <v>265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67"/>
      <c r="W26" s="574"/>
      <c r="X26" s="758"/>
      <c r="Y26" s="613" t="s">
        <v>273</v>
      </c>
      <c r="Z26" s="614" t="s">
        <v>274</v>
      </c>
    </row>
    <row r="27" spans="1:26" ht="14.4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250</v>
      </c>
      <c r="Z27" s="616">
        <v>92047.898114276482</v>
      </c>
    </row>
    <row r="28" spans="1:26" ht="14.25" customHeight="1">
      <c r="B28" s="293">
        <v>4</v>
      </c>
      <c r="C28" s="294" t="s">
        <v>256</v>
      </c>
      <c r="D28" s="294" t="s">
        <v>275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3">
        <f>SUM(G28:G44)</f>
        <v>289337.8</v>
      </c>
      <c r="J28" s="773">
        <f>F176</f>
        <v>328792.95454545453</v>
      </c>
      <c r="K28" s="297"/>
      <c r="L28" s="293">
        <v>4</v>
      </c>
      <c r="M28" s="425" t="s">
        <v>276</v>
      </c>
      <c r="N28" s="294" t="s">
        <v>277</v>
      </c>
      <c r="O28" s="546">
        <v>10000</v>
      </c>
      <c r="P28" s="457">
        <v>13.4</v>
      </c>
      <c r="Q28" s="296">
        <f>O28*P28</f>
        <v>134000</v>
      </c>
      <c r="R28" s="592" t="s">
        <v>243</v>
      </c>
      <c r="S28" s="629" t="s">
        <v>255</v>
      </c>
      <c r="T28" s="657">
        <f>T13</f>
        <v>45808</v>
      </c>
      <c r="U28" s="666">
        <v>138392.59500087905</v>
      </c>
      <c r="V28" s="800">
        <f>J28-SUM(U28:U44)</f>
        <v>0</v>
      </c>
      <c r="W28" s="537">
        <f>W13</f>
        <v>45855</v>
      </c>
      <c r="X28" s="776">
        <f>SUM(Q28:Q44)</f>
        <v>318357.03282253689</v>
      </c>
      <c r="Y28" s="615" t="s">
        <v>256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278</v>
      </c>
      <c r="E29" s="395"/>
      <c r="F29" s="453"/>
      <c r="G29" s="641">
        <f>D176-G28</f>
        <v>170757.8</v>
      </c>
      <c r="H29" s="577"/>
      <c r="I29" s="774"/>
      <c r="J29" s="774"/>
      <c r="K29" s="301"/>
      <c r="L29" s="298">
        <v>4</v>
      </c>
      <c r="M29" s="426" t="s">
        <v>276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801"/>
      <c r="W29" s="577"/>
      <c r="X29" s="777"/>
      <c r="Y29" s="615" t="s">
        <v>257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4"/>
      <c r="J30" s="774"/>
      <c r="K30" s="301"/>
      <c r="L30" s="298">
        <v>4</v>
      </c>
      <c r="M30" s="426" t="s">
        <v>276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801"/>
      <c r="W30" s="577"/>
      <c r="X30" s="777"/>
      <c r="Y30" s="615" t="s">
        <v>258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4"/>
      <c r="J31" s="774"/>
      <c r="K31" s="301"/>
      <c r="L31" s="298">
        <v>4</v>
      </c>
      <c r="M31" s="426" t="s">
        <v>276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801"/>
      <c r="W31" s="577"/>
      <c r="X31" s="777"/>
      <c r="Y31" s="615" t="s">
        <v>259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4"/>
      <c r="J32" s="774"/>
      <c r="K32" s="301"/>
      <c r="L32" s="298">
        <v>4</v>
      </c>
      <c r="M32" s="426" t="s">
        <v>276</v>
      </c>
      <c r="N32" s="408" t="s">
        <v>279</v>
      </c>
      <c r="O32" s="566">
        <v>184357.03282253686</v>
      </c>
      <c r="P32" s="567">
        <v>0.1</v>
      </c>
      <c r="Q32" s="300">
        <f>$O$32*P32</f>
        <v>18435.703282253686</v>
      </c>
      <c r="R32" s="794" t="s">
        <v>280</v>
      </c>
      <c r="S32" s="630" t="s">
        <v>281</v>
      </c>
      <c r="T32" s="652">
        <f t="shared" si="0"/>
        <v>45808</v>
      </c>
      <c r="U32" s="667">
        <v>19040.035954457544</v>
      </c>
      <c r="V32" s="801"/>
      <c r="W32" s="538">
        <f t="shared" ref="W32:W37" si="2">W95</f>
        <v>45792</v>
      </c>
      <c r="X32" s="777"/>
      <c r="Y32" s="615" t="s">
        <v>260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4"/>
      <c r="J33" s="774"/>
      <c r="K33" s="301"/>
      <c r="L33" s="298">
        <v>4</v>
      </c>
      <c r="M33" s="426" t="s">
        <v>276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95"/>
      <c r="S33" s="630" t="s">
        <v>281</v>
      </c>
      <c r="T33" s="652">
        <v>45808</v>
      </c>
      <c r="U33" s="667">
        <v>28560.053931686318</v>
      </c>
      <c r="V33" s="801"/>
      <c r="W33" s="656">
        <f t="shared" si="2"/>
        <v>45792</v>
      </c>
      <c r="X33" s="777"/>
      <c r="Y33" s="615" t="s">
        <v>261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4"/>
      <c r="J34" s="774"/>
      <c r="K34" s="301"/>
      <c r="L34" s="298">
        <v>4</v>
      </c>
      <c r="M34" s="426" t="s">
        <v>276</v>
      </c>
      <c r="N34" s="408" t="s">
        <v>282</v>
      </c>
      <c r="O34" s="555"/>
      <c r="P34" s="678">
        <f>P97</f>
        <v>6.4000000000000001E-2</v>
      </c>
      <c r="Q34" s="300">
        <f t="shared" si="3"/>
        <v>11798.850100642359</v>
      </c>
      <c r="R34" s="795"/>
      <c r="S34" s="630" t="s">
        <v>283</v>
      </c>
      <c r="T34" s="672">
        <f>T97</f>
        <v>45869</v>
      </c>
      <c r="U34" s="667">
        <v>12185.623010852829</v>
      </c>
      <c r="V34" s="801"/>
      <c r="W34" s="538">
        <f t="shared" si="2"/>
        <v>45849</v>
      </c>
      <c r="X34" s="777"/>
      <c r="Y34" s="615" t="s">
        <v>262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4"/>
      <c r="J35" s="774"/>
      <c r="K35" s="301"/>
      <c r="L35" s="298">
        <v>4</v>
      </c>
      <c r="M35" s="426" t="s">
        <v>276</v>
      </c>
      <c r="N35" s="408" t="s">
        <v>282</v>
      </c>
      <c r="O35" s="555"/>
      <c r="P35" s="678">
        <f>P98</f>
        <v>0.13600000000000001</v>
      </c>
      <c r="Q35" s="300">
        <f>O32*P35</f>
        <v>25072.556463865014</v>
      </c>
      <c r="R35" s="795"/>
      <c r="S35" s="630" t="s">
        <v>284</v>
      </c>
      <c r="T35" s="652">
        <v>45869</v>
      </c>
      <c r="U35" s="667">
        <v>25894.448898062263</v>
      </c>
      <c r="V35" s="801"/>
      <c r="W35" s="538">
        <f t="shared" si="2"/>
        <v>45883</v>
      </c>
      <c r="X35" s="777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4"/>
      <c r="J36" s="774"/>
      <c r="K36" s="301"/>
      <c r="L36" s="298">
        <v>4</v>
      </c>
      <c r="M36" s="426" t="s">
        <v>276</v>
      </c>
      <c r="N36" s="408" t="s">
        <v>285</v>
      </c>
      <c r="O36" s="555"/>
      <c r="P36" s="681">
        <f>P99</f>
        <v>0.19750000000000001</v>
      </c>
      <c r="Q36" s="300">
        <f t="shared" si="3"/>
        <v>36410.513982451033</v>
      </c>
      <c r="R36" s="795"/>
      <c r="S36" s="630" t="s">
        <v>283</v>
      </c>
      <c r="T36" s="672">
        <f>T99</f>
        <v>45869</v>
      </c>
      <c r="U36" s="667">
        <v>37604.071010053653</v>
      </c>
      <c r="V36" s="801"/>
      <c r="W36" s="538">
        <f t="shared" si="2"/>
        <v>45849</v>
      </c>
      <c r="X36" s="777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4"/>
      <c r="J37" s="774"/>
      <c r="K37" s="301"/>
      <c r="L37" s="298">
        <v>4</v>
      </c>
      <c r="M37" s="426" t="s">
        <v>276</v>
      </c>
      <c r="N37" s="408" t="s">
        <v>285</v>
      </c>
      <c r="O37" s="555"/>
      <c r="P37" s="681">
        <f>P100</f>
        <v>5.2499999999999998E-2</v>
      </c>
      <c r="Q37" s="300">
        <f>$O$32*P37</f>
        <v>9678.7442231831847</v>
      </c>
      <c r="R37" s="795"/>
      <c r="S37" s="630" t="s">
        <v>286</v>
      </c>
      <c r="T37" s="652">
        <f>T100</f>
        <v>45900</v>
      </c>
      <c r="U37" s="667">
        <v>9996.0188760902111</v>
      </c>
      <c r="V37" s="801"/>
      <c r="W37" s="538">
        <f t="shared" si="2"/>
        <v>46003</v>
      </c>
      <c r="X37" s="777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4"/>
      <c r="J38" s="774"/>
      <c r="K38" s="301"/>
      <c r="L38" s="298">
        <v>4</v>
      </c>
      <c r="M38" s="426" t="s">
        <v>276</v>
      </c>
      <c r="N38" s="408" t="s">
        <v>210</v>
      </c>
      <c r="O38" s="555"/>
      <c r="P38" s="567">
        <v>0.1</v>
      </c>
      <c r="Q38" s="300">
        <f t="shared" si="3"/>
        <v>18435.703282253686</v>
      </c>
      <c r="R38" s="795"/>
      <c r="S38" s="630" t="s">
        <v>287</v>
      </c>
      <c r="T38" s="672">
        <f t="shared" ref="T38" si="4">T101</f>
        <v>45900</v>
      </c>
      <c r="U38" s="667">
        <v>19040.035954457544</v>
      </c>
      <c r="V38" s="801"/>
      <c r="W38" s="701">
        <v>46009</v>
      </c>
      <c r="X38" s="777"/>
      <c r="Y38" s="615" t="s">
        <v>269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4"/>
      <c r="J39" s="774"/>
      <c r="K39" s="301"/>
      <c r="L39" s="298">
        <v>4</v>
      </c>
      <c r="M39" s="426" t="s">
        <v>276</v>
      </c>
      <c r="N39" s="408" t="s">
        <v>288</v>
      </c>
      <c r="O39" s="555"/>
      <c r="P39" s="567">
        <v>0.1</v>
      </c>
      <c r="Q39" s="300">
        <f t="shared" si="3"/>
        <v>18435.703282253686</v>
      </c>
      <c r="R39" s="795"/>
      <c r="S39" s="630" t="s">
        <v>289</v>
      </c>
      <c r="T39" s="672">
        <v>45900</v>
      </c>
      <c r="U39" s="667">
        <v>19040.035954457544</v>
      </c>
      <c r="V39" s="801"/>
      <c r="W39" s="701">
        <v>46009</v>
      </c>
      <c r="X39" s="777"/>
      <c r="Y39" s="615" t="s">
        <v>269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4"/>
      <c r="J40" s="774"/>
      <c r="K40" s="301"/>
      <c r="L40" s="298">
        <v>4</v>
      </c>
      <c r="M40" s="426" t="s">
        <v>276</v>
      </c>
      <c r="N40" s="408" t="s">
        <v>290</v>
      </c>
      <c r="O40" s="555"/>
      <c r="P40" s="567">
        <v>0.05</v>
      </c>
      <c r="Q40" s="300">
        <f t="shared" si="3"/>
        <v>9217.8516411268429</v>
      </c>
      <c r="R40" s="795"/>
      <c r="S40" s="630" t="s">
        <v>291</v>
      </c>
      <c r="T40" s="672">
        <v>45900</v>
      </c>
      <c r="U40" s="667">
        <v>9520.017977228772</v>
      </c>
      <c r="V40" s="801"/>
      <c r="W40" s="577">
        <f t="shared" ref="W40:W41" si="5">W103</f>
        <v>46085</v>
      </c>
      <c r="X40" s="777"/>
      <c r="Y40" s="615" t="s">
        <v>270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4"/>
      <c r="J41" s="774"/>
      <c r="K41" s="301"/>
      <c r="L41" s="298">
        <v>4</v>
      </c>
      <c r="M41" s="426" t="s">
        <v>276</v>
      </c>
      <c r="N41" s="408" t="s">
        <v>292</v>
      </c>
      <c r="O41" s="555"/>
      <c r="P41" s="567">
        <v>0.05</v>
      </c>
      <c r="Q41" s="300">
        <f t="shared" si="3"/>
        <v>9217.8516411268429</v>
      </c>
      <c r="R41" s="796"/>
      <c r="S41" s="630" t="s">
        <v>293</v>
      </c>
      <c r="T41" s="672">
        <v>45900</v>
      </c>
      <c r="U41" s="667">
        <v>9520.017977228772</v>
      </c>
      <c r="V41" s="801"/>
      <c r="W41" s="577">
        <f t="shared" si="5"/>
        <v>46115</v>
      </c>
      <c r="X41" s="777"/>
      <c r="Y41" s="618" t="s">
        <v>272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4"/>
      <c r="J42" s="774"/>
      <c r="K42" s="301"/>
      <c r="L42" s="298">
        <v>4</v>
      </c>
      <c r="M42" s="426" t="s">
        <v>276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801"/>
      <c r="W42" s="577"/>
      <c r="X42" s="777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4"/>
      <c r="J43" s="774"/>
      <c r="K43" s="301"/>
      <c r="L43" s="298">
        <v>4</v>
      </c>
      <c r="M43" s="426" t="s">
        <v>276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7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5"/>
      <c r="J44" s="775"/>
      <c r="K44" s="306"/>
      <c r="L44" s="302">
        <v>4</v>
      </c>
      <c r="M44" s="427" t="s">
        <v>276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802"/>
      <c r="W44" s="578"/>
      <c r="X44" s="778"/>
      <c r="Y44" s="482"/>
    </row>
    <row r="45" spans="1:26" ht="14.45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294</v>
      </c>
      <c r="D46" s="327" t="s">
        <v>295</v>
      </c>
      <c r="E46" s="283"/>
      <c r="F46" s="437"/>
      <c r="G46" s="284">
        <f>D178-G47</f>
        <v>34000</v>
      </c>
      <c r="H46" s="539">
        <f>H13</f>
        <v>45855</v>
      </c>
      <c r="I46" s="753">
        <f>SUM(G46:G53)</f>
        <v>49000</v>
      </c>
      <c r="J46" s="753">
        <f>F178</f>
        <v>55681.818181818184</v>
      </c>
      <c r="K46" s="285"/>
      <c r="L46" s="281">
        <v>5</v>
      </c>
      <c r="M46" s="422" t="s">
        <v>296</v>
      </c>
      <c r="N46" s="327" t="s">
        <v>297</v>
      </c>
      <c r="O46" s="549"/>
      <c r="P46" s="437"/>
      <c r="Q46" s="284">
        <v>8598.35</v>
      </c>
      <c r="R46" s="595" t="s">
        <v>243</v>
      </c>
      <c r="S46" s="632" t="s">
        <v>255</v>
      </c>
      <c r="T46" s="658">
        <f>T13</f>
        <v>45808</v>
      </c>
      <c r="U46" s="669">
        <v>12277.093379226768</v>
      </c>
      <c r="V46" s="765">
        <f>J46-SUM(U46:U53)</f>
        <v>-4.47725009144051E-3</v>
      </c>
      <c r="W46" s="539">
        <f>W13</f>
        <v>45855</v>
      </c>
      <c r="X46" s="756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298</v>
      </c>
      <c r="E47" s="451"/>
      <c r="F47" s="452"/>
      <c r="G47" s="315">
        <v>15000</v>
      </c>
      <c r="H47" s="535">
        <v>45806</v>
      </c>
      <c r="I47" s="754"/>
      <c r="J47" s="754"/>
      <c r="K47" s="288"/>
      <c r="L47" s="286">
        <v>5</v>
      </c>
      <c r="M47" s="428" t="s">
        <v>296</v>
      </c>
      <c r="N47" s="287" t="s">
        <v>299</v>
      </c>
      <c r="O47" s="557"/>
      <c r="P47" s="452"/>
      <c r="Q47" s="315">
        <v>13695</v>
      </c>
      <c r="R47" s="588" t="s">
        <v>300</v>
      </c>
      <c r="S47" s="625" t="s">
        <v>301</v>
      </c>
      <c r="T47" s="643">
        <v>45777</v>
      </c>
      <c r="U47" s="647">
        <v>19114.237373104399</v>
      </c>
      <c r="V47" s="766"/>
      <c r="W47" s="535">
        <v>45806</v>
      </c>
      <c r="X47" s="757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54"/>
      <c r="J48" s="754"/>
      <c r="K48" s="288"/>
      <c r="L48" s="286">
        <v>5</v>
      </c>
      <c r="M48" s="428" t="s">
        <v>296</v>
      </c>
      <c r="N48" s="287"/>
      <c r="O48" s="557"/>
      <c r="P48" s="452"/>
      <c r="Q48" s="315">
        <v>214.28</v>
      </c>
      <c r="R48" s="588"/>
      <c r="S48" s="625" t="s">
        <v>302</v>
      </c>
      <c r="T48" s="643">
        <v>45838</v>
      </c>
      <c r="U48" s="663">
        <v>4039.4627869468004</v>
      </c>
      <c r="V48" s="766"/>
      <c r="W48" s="683">
        <v>45867</v>
      </c>
      <c r="X48" s="757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54"/>
      <c r="J49" s="754"/>
      <c r="K49" s="288"/>
      <c r="L49" s="286">
        <v>5</v>
      </c>
      <c r="M49" s="428" t="s">
        <v>296</v>
      </c>
      <c r="N49" s="313" t="s">
        <v>303</v>
      </c>
      <c r="O49" s="550"/>
      <c r="P49" s="459"/>
      <c r="Q49" s="315">
        <v>11169</v>
      </c>
      <c r="R49" s="588"/>
      <c r="S49" s="625" t="s">
        <v>304</v>
      </c>
      <c r="T49" s="643">
        <v>45838</v>
      </c>
      <c r="U49" s="663">
        <v>17082.093069856328</v>
      </c>
      <c r="V49" s="766"/>
      <c r="W49" s="535">
        <v>45838</v>
      </c>
      <c r="X49" s="757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54"/>
      <c r="J50" s="754"/>
      <c r="K50" s="288"/>
      <c r="L50" s="311">
        <v>5</v>
      </c>
      <c r="M50" s="428" t="s">
        <v>296</v>
      </c>
      <c r="N50" s="313" t="s">
        <v>305</v>
      </c>
      <c r="O50" s="550"/>
      <c r="P50" s="459"/>
      <c r="Q50" s="315">
        <v>2250.5</v>
      </c>
      <c r="R50" s="588" t="s">
        <v>306</v>
      </c>
      <c r="S50" s="625" t="s">
        <v>307</v>
      </c>
      <c r="T50" s="659">
        <v>45808</v>
      </c>
      <c r="U50" s="663">
        <v>3168.9360499339805</v>
      </c>
      <c r="V50" s="766"/>
      <c r="W50" s="535">
        <v>45799</v>
      </c>
      <c r="X50" s="757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54"/>
      <c r="J51" s="754"/>
      <c r="K51" s="288"/>
      <c r="L51" s="311">
        <v>5</v>
      </c>
      <c r="M51" s="428" t="s">
        <v>296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66"/>
      <c r="W51" s="573"/>
      <c r="X51" s="757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54"/>
      <c r="J52" s="754"/>
      <c r="K52" s="288"/>
      <c r="L52" s="311">
        <v>5</v>
      </c>
      <c r="M52" s="428" t="s">
        <v>296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66"/>
      <c r="W52" s="573"/>
      <c r="X52" s="757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55"/>
      <c r="J53" s="755"/>
      <c r="K53" s="289"/>
      <c r="L53" s="316">
        <v>5</v>
      </c>
      <c r="M53" s="424" t="s">
        <v>296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67"/>
      <c r="W53" s="574"/>
      <c r="X53" s="758"/>
      <c r="Y53" s="482"/>
    </row>
    <row r="54" spans="1:25" ht="14.4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250</v>
      </c>
      <c r="D55" s="295" t="s">
        <v>308</v>
      </c>
      <c r="E55" s="475"/>
      <c r="F55" s="457"/>
      <c r="G55" s="296">
        <f>D177</f>
        <v>409690.72608695651</v>
      </c>
      <c r="H55" s="656">
        <v>45866</v>
      </c>
      <c r="I55" s="773">
        <f>SUM(G55:G73)</f>
        <v>409690.72608695651</v>
      </c>
      <c r="J55" s="773">
        <f>F177</f>
        <v>465557.64328063239</v>
      </c>
      <c r="K55" s="297"/>
      <c r="L55" s="293">
        <v>6</v>
      </c>
      <c r="M55" s="431" t="s">
        <v>309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800">
        <f>J55-SUM(U55:U73)</f>
        <v>-2.9507630388252437E-3</v>
      </c>
      <c r="W55" s="576"/>
      <c r="X55" s="776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4"/>
      <c r="J56" s="774"/>
      <c r="K56" s="301"/>
      <c r="L56" s="298">
        <v>6</v>
      </c>
      <c r="M56" s="429" t="s">
        <v>309</v>
      </c>
      <c r="N56" s="443" t="s">
        <v>310</v>
      </c>
      <c r="O56" s="555"/>
      <c r="P56" s="453"/>
      <c r="Q56" s="321">
        <v>117330.71</v>
      </c>
      <c r="R56" s="593" t="s">
        <v>311</v>
      </c>
      <c r="S56" s="630" t="s">
        <v>312</v>
      </c>
      <c r="T56" s="652">
        <v>45838</v>
      </c>
      <c r="U56" s="667">
        <v>260887.23516664887</v>
      </c>
      <c r="V56" s="801"/>
      <c r="W56" s="656">
        <v>45867</v>
      </c>
      <c r="X56" s="777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4"/>
      <c r="J57" s="774"/>
      <c r="K57" s="301"/>
      <c r="L57" s="298">
        <v>6</v>
      </c>
      <c r="M57" s="429" t="s">
        <v>309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801"/>
      <c r="W57" s="577"/>
      <c r="X57" s="777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4"/>
      <c r="J58" s="774"/>
      <c r="K58" s="301"/>
      <c r="L58" s="298">
        <v>6</v>
      </c>
      <c r="M58" s="429" t="s">
        <v>309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801"/>
      <c r="W58" s="577"/>
      <c r="X58" s="777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4"/>
      <c r="J59" s="774"/>
      <c r="K59" s="301"/>
      <c r="L59" s="298">
        <v>6</v>
      </c>
      <c r="M59" s="429" t="s">
        <v>309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801"/>
      <c r="W59" s="577"/>
      <c r="X59" s="777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4"/>
      <c r="J60" s="774"/>
      <c r="K60" s="301"/>
      <c r="L60" s="298">
        <v>6</v>
      </c>
      <c r="M60" s="429" t="s">
        <v>309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801"/>
      <c r="W60" s="577"/>
      <c r="X60" s="777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4"/>
      <c r="J61" s="774"/>
      <c r="K61" s="301"/>
      <c r="L61" s="298">
        <v>6</v>
      </c>
      <c r="M61" s="429" t="s">
        <v>309</v>
      </c>
      <c r="N61" s="408" t="s">
        <v>279</v>
      </c>
      <c r="O61" s="566">
        <v>92047.898114276482</v>
      </c>
      <c r="P61" s="567">
        <v>0.1</v>
      </c>
      <c r="Q61" s="300">
        <v>9204.7999999999993</v>
      </c>
      <c r="R61" s="794" t="s">
        <v>280</v>
      </c>
      <c r="S61" s="630" t="s">
        <v>281</v>
      </c>
      <c r="T61" s="652">
        <f t="shared" si="0"/>
        <v>45808</v>
      </c>
      <c r="U61" s="667">
        <v>20757.86657388409</v>
      </c>
      <c r="V61" s="801"/>
      <c r="W61" s="538">
        <f t="shared" ref="W61:W66" si="8">W95</f>
        <v>45792</v>
      </c>
      <c r="X61" s="777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4"/>
      <c r="J62" s="774"/>
      <c r="K62" s="301"/>
      <c r="L62" s="298">
        <v>6</v>
      </c>
      <c r="M62" s="430" t="s">
        <v>309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95"/>
      <c r="S62" s="630" t="s">
        <v>281</v>
      </c>
      <c r="T62" s="652">
        <v>45808</v>
      </c>
      <c r="U62" s="667">
        <v>31136.765396249157</v>
      </c>
      <c r="V62" s="801"/>
      <c r="W62" s="656">
        <f t="shared" si="8"/>
        <v>45792</v>
      </c>
      <c r="X62" s="777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4"/>
      <c r="J63" s="774"/>
      <c r="K63" s="301"/>
      <c r="L63" s="298">
        <v>6</v>
      </c>
      <c r="M63" s="430" t="s">
        <v>309</v>
      </c>
      <c r="N63" s="408" t="s">
        <v>282</v>
      </c>
      <c r="O63" s="555"/>
      <c r="P63" s="678">
        <f>P97</f>
        <v>6.4000000000000001E-2</v>
      </c>
      <c r="Q63" s="300">
        <f t="shared" si="9"/>
        <v>5891.0654793136946</v>
      </c>
      <c r="R63" s="795"/>
      <c r="S63" s="630" t="s">
        <v>283</v>
      </c>
      <c r="T63" s="682">
        <f>T97</f>
        <v>45869</v>
      </c>
      <c r="U63" s="667">
        <v>13098.904669407002</v>
      </c>
      <c r="V63" s="801"/>
      <c r="W63" s="538">
        <f t="shared" si="8"/>
        <v>45849</v>
      </c>
      <c r="X63" s="777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4"/>
      <c r="J64" s="774"/>
      <c r="K64" s="301"/>
      <c r="L64" s="298">
        <v>6</v>
      </c>
      <c r="M64" s="430" t="s">
        <v>309</v>
      </c>
      <c r="N64" s="408" t="s">
        <v>282</v>
      </c>
      <c r="O64" s="555"/>
      <c r="P64" s="678">
        <f>P98</f>
        <v>0.13600000000000001</v>
      </c>
      <c r="Q64" s="300">
        <f>$O$61*P64</f>
        <v>12518.514143541603</v>
      </c>
      <c r="R64" s="795"/>
      <c r="S64" s="630" t="s">
        <v>284</v>
      </c>
      <c r="T64" s="652">
        <v>45869</v>
      </c>
      <c r="U64" s="667">
        <v>27108.162422489881</v>
      </c>
      <c r="V64" s="801"/>
      <c r="W64" s="538">
        <f t="shared" si="8"/>
        <v>45883</v>
      </c>
      <c r="X64" s="777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4"/>
      <c r="J65" s="774"/>
      <c r="K65" s="301"/>
      <c r="L65" s="298">
        <v>6</v>
      </c>
      <c r="M65" s="430" t="s">
        <v>309</v>
      </c>
      <c r="N65" s="408" t="s">
        <v>285</v>
      </c>
      <c r="O65" s="555"/>
      <c r="P65" s="681">
        <f>P99</f>
        <v>0.19750000000000001</v>
      </c>
      <c r="Q65" s="300">
        <f t="shared" si="9"/>
        <v>18179.459877569607</v>
      </c>
      <c r="R65" s="795"/>
      <c r="S65" s="630" t="s">
        <v>283</v>
      </c>
      <c r="T65" s="652">
        <f>T99</f>
        <v>45869</v>
      </c>
      <c r="U65" s="667">
        <v>40422.401128248166</v>
      </c>
      <c r="V65" s="801"/>
      <c r="W65" s="538">
        <f t="shared" si="8"/>
        <v>45849</v>
      </c>
      <c r="X65" s="777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4"/>
      <c r="J66" s="774"/>
      <c r="K66" s="301"/>
      <c r="L66" s="298">
        <v>6</v>
      </c>
      <c r="M66" s="430" t="s">
        <v>309</v>
      </c>
      <c r="N66" s="408" t="s">
        <v>285</v>
      </c>
      <c r="O66" s="555"/>
      <c r="P66" s="681">
        <f>P100</f>
        <v>5.2499999999999998E-2</v>
      </c>
      <c r="Q66" s="300">
        <f>$O$61*P66</f>
        <v>4832.5146509995147</v>
      </c>
      <c r="R66" s="795"/>
      <c r="S66" s="630" t="s">
        <v>286</v>
      </c>
      <c r="T66" s="652">
        <f>T100</f>
        <v>45900</v>
      </c>
      <c r="U66" s="667">
        <v>10745.195236622931</v>
      </c>
      <c r="V66" s="801"/>
      <c r="W66" s="538">
        <f t="shared" si="8"/>
        <v>46003</v>
      </c>
      <c r="X66" s="777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4"/>
      <c r="J67" s="774"/>
      <c r="K67" s="301"/>
      <c r="L67" s="298">
        <v>6</v>
      </c>
      <c r="M67" s="430" t="s">
        <v>309</v>
      </c>
      <c r="N67" s="408" t="s">
        <v>210</v>
      </c>
      <c r="O67" s="555"/>
      <c r="P67" s="567">
        <v>0.1</v>
      </c>
      <c r="Q67" s="300">
        <f t="shared" si="9"/>
        <v>9204.7898114276486</v>
      </c>
      <c r="R67" s="795"/>
      <c r="S67" s="630" t="s">
        <v>287</v>
      </c>
      <c r="T67" s="672">
        <f t="shared" ref="T67" si="10">T101</f>
        <v>45900</v>
      </c>
      <c r="U67" s="667">
        <v>20467.038545948439</v>
      </c>
      <c r="V67" s="801"/>
      <c r="W67" s="701">
        <v>46009</v>
      </c>
      <c r="X67" s="777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4"/>
      <c r="J68" s="774"/>
      <c r="K68" s="301"/>
      <c r="L68" s="298">
        <v>6</v>
      </c>
      <c r="M68" s="430" t="s">
        <v>309</v>
      </c>
      <c r="N68" s="408" t="s">
        <v>288</v>
      </c>
      <c r="O68" s="555"/>
      <c r="P68" s="567">
        <v>0.1</v>
      </c>
      <c r="Q68" s="300">
        <f t="shared" si="9"/>
        <v>9204.7898114276486</v>
      </c>
      <c r="R68" s="795"/>
      <c r="S68" s="634" t="s">
        <v>289</v>
      </c>
      <c r="T68" s="684">
        <v>45900</v>
      </c>
      <c r="U68" s="686">
        <v>20467.038545948439</v>
      </c>
      <c r="V68" s="801"/>
      <c r="W68" s="701">
        <v>46009</v>
      </c>
      <c r="X68" s="777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4"/>
      <c r="J69" s="774"/>
      <c r="K69" s="301"/>
      <c r="L69" s="298">
        <v>6</v>
      </c>
      <c r="M69" s="430" t="s">
        <v>309</v>
      </c>
      <c r="N69" s="408" t="s">
        <v>290</v>
      </c>
      <c r="O69" s="555"/>
      <c r="P69" s="567">
        <v>0.05</v>
      </c>
      <c r="Q69" s="300">
        <f t="shared" si="9"/>
        <v>4602.3949057138243</v>
      </c>
      <c r="R69" s="795"/>
      <c r="S69" s="634" t="s">
        <v>291</v>
      </c>
      <c r="T69" s="684">
        <v>45900</v>
      </c>
      <c r="U69" s="686">
        <v>10233.519272974219</v>
      </c>
      <c r="V69" s="801"/>
      <c r="W69" s="577">
        <f t="shared" ref="W69:W70" si="11">W103</f>
        <v>46085</v>
      </c>
      <c r="X69" s="777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4"/>
      <c r="J70" s="774"/>
      <c r="K70" s="301"/>
      <c r="L70" s="298">
        <v>6</v>
      </c>
      <c r="M70" s="430" t="s">
        <v>309</v>
      </c>
      <c r="N70" s="408" t="s">
        <v>292</v>
      </c>
      <c r="O70" s="555"/>
      <c r="P70" s="567">
        <v>0.05</v>
      </c>
      <c r="Q70" s="300">
        <f t="shared" si="9"/>
        <v>4602.3949057138243</v>
      </c>
      <c r="R70" s="796"/>
      <c r="S70" s="634" t="s">
        <v>293</v>
      </c>
      <c r="T70" s="684">
        <v>45900</v>
      </c>
      <c r="U70" s="686">
        <v>10233.519272974219</v>
      </c>
      <c r="V70" s="801"/>
      <c r="W70" s="577">
        <f t="shared" si="11"/>
        <v>46115</v>
      </c>
      <c r="X70" s="777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4"/>
      <c r="J71" s="774"/>
      <c r="K71" s="301"/>
      <c r="L71" s="298">
        <v>6</v>
      </c>
      <c r="M71" s="430" t="s">
        <v>309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801"/>
      <c r="W71" s="580"/>
      <c r="X71" s="777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4"/>
      <c r="J72" s="774"/>
      <c r="K72" s="301"/>
      <c r="L72" s="298">
        <v>6</v>
      </c>
      <c r="M72" s="430" t="s">
        <v>309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801"/>
      <c r="W72" s="580"/>
      <c r="X72" s="777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5"/>
      <c r="J73" s="775"/>
      <c r="K73" s="306"/>
      <c r="L73" s="302">
        <v>6</v>
      </c>
      <c r="M73" s="432" t="s">
        <v>309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802"/>
      <c r="W73" s="578"/>
      <c r="X73" s="778"/>
      <c r="Y73" s="482"/>
    </row>
    <row r="74" spans="1:25" ht="14.45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313</v>
      </c>
      <c r="D75" s="382"/>
      <c r="E75" s="462"/>
      <c r="F75" s="468"/>
      <c r="G75" s="383"/>
      <c r="H75" s="582"/>
      <c r="I75" s="753">
        <f>SUM(G75:G82)</f>
        <v>0</v>
      </c>
      <c r="J75" s="753">
        <v>0</v>
      </c>
      <c r="K75" s="285"/>
      <c r="L75" s="381">
        <v>7</v>
      </c>
      <c r="M75" s="309" t="s">
        <v>314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97">
        <f>J75-SUM(U75:U82)</f>
        <v>0</v>
      </c>
      <c r="W75" s="582"/>
      <c r="X75" s="756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54"/>
      <c r="J76" s="754"/>
      <c r="K76" s="288"/>
      <c r="L76" s="384">
        <v>7</v>
      </c>
      <c r="M76" s="385" t="s">
        <v>314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98"/>
      <c r="W76" s="573"/>
      <c r="X76" s="757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54"/>
      <c r="J77" s="754"/>
      <c r="K77" s="288"/>
      <c r="L77" s="384">
        <v>7</v>
      </c>
      <c r="M77" s="385" t="s">
        <v>314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98"/>
      <c r="W77" s="573"/>
      <c r="X77" s="757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54"/>
      <c r="J78" s="754"/>
      <c r="K78" s="288"/>
      <c r="L78" s="384">
        <v>7</v>
      </c>
      <c r="M78" s="385" t="s">
        <v>314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98"/>
      <c r="W78" s="573"/>
      <c r="X78" s="757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54"/>
      <c r="J79" s="754"/>
      <c r="K79" s="288"/>
      <c r="L79" s="384">
        <v>7</v>
      </c>
      <c r="M79" s="385" t="s">
        <v>314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98"/>
      <c r="W79" s="573"/>
      <c r="X79" s="757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54"/>
      <c r="J80" s="754"/>
      <c r="K80" s="288"/>
      <c r="L80" s="384">
        <v>7</v>
      </c>
      <c r="M80" s="385" t="s">
        <v>314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98"/>
      <c r="W80" s="573"/>
      <c r="X80" s="757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54"/>
      <c r="J81" s="754"/>
      <c r="K81" s="288"/>
      <c r="L81" s="384">
        <v>7</v>
      </c>
      <c r="M81" s="385" t="s">
        <v>314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98"/>
      <c r="W81" s="573"/>
      <c r="X81" s="757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55"/>
      <c r="J82" s="755"/>
      <c r="K82" s="289"/>
      <c r="L82" s="316">
        <v>7</v>
      </c>
      <c r="M82" s="337" t="s">
        <v>314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99"/>
      <c r="W82" s="574"/>
      <c r="X82" s="758"/>
      <c r="Y82" s="482"/>
    </row>
    <row r="83" spans="1:25" ht="14.45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315</v>
      </c>
      <c r="D84" s="333"/>
      <c r="E84" s="463"/>
      <c r="F84" s="416"/>
      <c r="G84" s="334"/>
      <c r="H84" s="576"/>
      <c r="I84" s="773">
        <f>D180</f>
        <v>0</v>
      </c>
      <c r="J84" s="773">
        <f>F180</f>
        <v>0</v>
      </c>
      <c r="K84" s="297"/>
      <c r="L84" s="332">
        <v>8</v>
      </c>
      <c r="M84" s="425" t="s">
        <v>316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85">
        <f>J84-SUM(U84:U92)</f>
        <v>0</v>
      </c>
      <c r="W84" s="576"/>
      <c r="X84" s="776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4"/>
      <c r="J85" s="774"/>
      <c r="K85" s="301"/>
      <c r="L85" s="322">
        <v>8</v>
      </c>
      <c r="M85" s="433" t="s">
        <v>316</v>
      </c>
      <c r="N85" s="335" t="s">
        <v>317</v>
      </c>
      <c r="O85" s="558"/>
      <c r="P85" s="461">
        <v>17600</v>
      </c>
      <c r="Q85" s="324">
        <f>P85</f>
        <v>17600</v>
      </c>
      <c r="R85" s="593"/>
      <c r="S85" s="630" t="s">
        <v>318</v>
      </c>
      <c r="T85" s="672">
        <v>45838</v>
      </c>
      <c r="U85" s="507"/>
      <c r="V85" s="786"/>
      <c r="W85" s="656">
        <v>45834</v>
      </c>
      <c r="X85" s="777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4"/>
      <c r="J86" s="774"/>
      <c r="K86" s="301"/>
      <c r="L86" s="322">
        <v>8</v>
      </c>
      <c r="M86" s="433" t="s">
        <v>316</v>
      </c>
      <c r="N86" s="335"/>
      <c r="O86" s="415"/>
      <c r="P86" s="461"/>
      <c r="Q86" s="324"/>
      <c r="R86" s="593"/>
      <c r="S86" s="630"/>
      <c r="T86" s="523"/>
      <c r="U86" s="507"/>
      <c r="V86" s="786"/>
      <c r="W86" s="577"/>
      <c r="X86" s="777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4"/>
      <c r="J87" s="774"/>
      <c r="K87" s="301"/>
      <c r="L87" s="322">
        <v>8</v>
      </c>
      <c r="M87" s="433" t="s">
        <v>316</v>
      </c>
      <c r="N87" s="335" t="s">
        <v>319</v>
      </c>
      <c r="O87" s="558"/>
      <c r="P87" s="461"/>
      <c r="Q87" s="324">
        <v>15930</v>
      </c>
      <c r="R87" s="593" t="s">
        <v>320</v>
      </c>
      <c r="S87" s="630" t="s">
        <v>321</v>
      </c>
      <c r="T87" s="682">
        <v>45930</v>
      </c>
      <c r="U87" s="507"/>
      <c r="V87" s="786"/>
      <c r="W87" s="538">
        <v>45939</v>
      </c>
      <c r="X87" s="777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4"/>
      <c r="J88" s="774"/>
      <c r="K88" s="301"/>
      <c r="L88" s="322">
        <v>8</v>
      </c>
      <c r="M88" s="433" t="s">
        <v>316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86"/>
      <c r="W88" s="577"/>
      <c r="X88" s="777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4"/>
      <c r="J89" s="774"/>
      <c r="K89" s="301"/>
      <c r="L89" s="322">
        <v>8</v>
      </c>
      <c r="M89" s="433" t="s">
        <v>316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86"/>
      <c r="W89" s="577"/>
      <c r="X89" s="777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4"/>
      <c r="J90" s="774"/>
      <c r="K90" s="301"/>
      <c r="L90" s="322">
        <v>8</v>
      </c>
      <c r="M90" s="433" t="s">
        <v>316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86"/>
      <c r="W90" s="577"/>
      <c r="X90" s="777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4"/>
      <c r="J91" s="774"/>
      <c r="K91" s="301"/>
      <c r="L91" s="322">
        <v>8</v>
      </c>
      <c r="M91" s="433" t="s">
        <v>316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86"/>
      <c r="W91" s="580"/>
      <c r="X91" s="777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5"/>
      <c r="J92" s="775"/>
      <c r="K92" s="306"/>
      <c r="L92" s="302">
        <v>8</v>
      </c>
      <c r="M92" s="432" t="s">
        <v>316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87"/>
      <c r="W92" s="578"/>
      <c r="X92" s="778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322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323</v>
      </c>
      <c r="D94" s="327" t="s">
        <v>324</v>
      </c>
      <c r="E94" s="314"/>
      <c r="F94" s="437"/>
      <c r="G94" s="620">
        <f>D186</f>
        <v>90440</v>
      </c>
      <c r="H94" s="535">
        <v>45791</v>
      </c>
      <c r="I94" s="779">
        <f>SUM(G94:G107)</f>
        <v>292600</v>
      </c>
      <c r="J94" s="753">
        <f>F186+F187</f>
        <v>344235.29411764705</v>
      </c>
      <c r="K94" s="288"/>
      <c r="L94" s="311">
        <v>9</v>
      </c>
      <c r="M94" s="423" t="s">
        <v>325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65">
        <f>J94-SUM(U94:U107)</f>
        <v>-6.8659994867630303E-3</v>
      </c>
      <c r="W94" s="579"/>
      <c r="X94" s="782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326</v>
      </c>
      <c r="E95" s="314"/>
      <c r="F95" s="459"/>
      <c r="G95" s="620">
        <f>D187</f>
        <v>202160</v>
      </c>
      <c r="H95" s="535">
        <v>45792</v>
      </c>
      <c r="I95" s="780"/>
      <c r="J95" s="754"/>
      <c r="K95" s="288"/>
      <c r="L95" s="311">
        <v>9</v>
      </c>
      <c r="M95" s="423" t="s">
        <v>325</v>
      </c>
      <c r="N95" s="328" t="s">
        <v>279</v>
      </c>
      <c r="O95" s="569">
        <v>481307.72586872778</v>
      </c>
      <c r="P95" s="570">
        <v>0.1</v>
      </c>
      <c r="Q95" s="315">
        <v>48130.78</v>
      </c>
      <c r="R95" s="791" t="s">
        <v>280</v>
      </c>
      <c r="S95" s="625" t="s">
        <v>281</v>
      </c>
      <c r="T95" s="643">
        <f t="shared" si="12"/>
        <v>45808</v>
      </c>
      <c r="U95" s="663">
        <v>34423.534103420694</v>
      </c>
      <c r="V95" s="766"/>
      <c r="W95" s="535">
        <v>45792</v>
      </c>
      <c r="X95" s="783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780"/>
      <c r="J96" s="754"/>
      <c r="K96" s="288"/>
      <c r="L96" s="384">
        <v>9</v>
      </c>
      <c r="M96" s="501" t="s">
        <v>325</v>
      </c>
      <c r="N96" s="386" t="s">
        <v>100</v>
      </c>
      <c r="O96" s="551"/>
      <c r="P96" s="568">
        <v>0.15</v>
      </c>
      <c r="Q96" s="315">
        <v>72196.160000000003</v>
      </c>
      <c r="R96" s="792"/>
      <c r="S96" s="626" t="s">
        <v>281</v>
      </c>
      <c r="T96" s="644">
        <v>45808</v>
      </c>
      <c r="U96" s="664">
        <v>51635.294003047886</v>
      </c>
      <c r="V96" s="766"/>
      <c r="W96" s="654">
        <v>45792</v>
      </c>
      <c r="X96" s="783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780"/>
      <c r="J97" s="754"/>
      <c r="K97" s="288"/>
      <c r="L97" s="384">
        <v>9</v>
      </c>
      <c r="M97" s="501" t="s">
        <v>325</v>
      </c>
      <c r="N97" s="386" t="s">
        <v>282</v>
      </c>
      <c r="O97" s="551"/>
      <c r="P97" s="674">
        <v>6.4000000000000001E-2</v>
      </c>
      <c r="Q97" s="315">
        <f t="shared" ref="Q97:Q104" si="13">$O$95*P97</f>
        <v>30803.694455598579</v>
      </c>
      <c r="R97" s="792"/>
      <c r="S97" s="626" t="s">
        <v>283</v>
      </c>
      <c r="T97" s="675">
        <v>45869</v>
      </c>
      <c r="U97" s="664">
        <v>22031.058432953894</v>
      </c>
      <c r="V97" s="766"/>
      <c r="W97" s="536">
        <v>45849</v>
      </c>
      <c r="X97" s="783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780"/>
      <c r="J98" s="754"/>
      <c r="K98" s="288"/>
      <c r="L98" s="384">
        <v>9</v>
      </c>
      <c r="M98" s="501" t="s">
        <v>325</v>
      </c>
      <c r="N98" s="386" t="s">
        <v>282</v>
      </c>
      <c r="O98" s="551"/>
      <c r="P98" s="674">
        <v>0.13600000000000001</v>
      </c>
      <c r="Q98" s="315">
        <f>$O$95*P98</f>
        <v>65457.850718146983</v>
      </c>
      <c r="R98" s="792"/>
      <c r="S98" s="626" t="s">
        <v>284</v>
      </c>
      <c r="T98" s="644">
        <v>45869</v>
      </c>
      <c r="U98" s="664">
        <v>46815.999170027026</v>
      </c>
      <c r="V98" s="766"/>
      <c r="W98" s="536">
        <v>45883</v>
      </c>
      <c r="X98" s="783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780"/>
      <c r="J99" s="754"/>
      <c r="K99" s="288"/>
      <c r="L99" s="384">
        <v>9</v>
      </c>
      <c r="M99" s="501" t="s">
        <v>325</v>
      </c>
      <c r="N99" s="386" t="s">
        <v>285</v>
      </c>
      <c r="O99" s="551"/>
      <c r="P99" s="679">
        <v>0.19750000000000001</v>
      </c>
      <c r="Q99" s="315">
        <f t="shared" si="13"/>
        <v>95058.275859073736</v>
      </c>
      <c r="R99" s="792"/>
      <c r="S99" s="626" t="s">
        <v>283</v>
      </c>
      <c r="T99" s="675">
        <v>45869</v>
      </c>
      <c r="U99" s="664">
        <v>67986.469382943644</v>
      </c>
      <c r="V99" s="766"/>
      <c r="W99" s="536">
        <v>45849</v>
      </c>
      <c r="X99" s="783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780"/>
      <c r="J100" s="754"/>
      <c r="K100" s="288"/>
      <c r="L100" s="384">
        <v>9</v>
      </c>
      <c r="M100" s="501" t="s">
        <v>325</v>
      </c>
      <c r="N100" s="386" t="s">
        <v>285</v>
      </c>
      <c r="O100" s="551"/>
      <c r="P100" s="679">
        <v>5.2499999999999998E-2</v>
      </c>
      <c r="Q100" s="315">
        <f>$O$95*P100</f>
        <v>25268.655608108209</v>
      </c>
      <c r="R100" s="792"/>
      <c r="S100" s="626" t="s">
        <v>286</v>
      </c>
      <c r="T100" s="644">
        <v>45900</v>
      </c>
      <c r="U100" s="664">
        <v>18072.352064079845</v>
      </c>
      <c r="V100" s="766"/>
      <c r="W100" s="536">
        <v>46003</v>
      </c>
      <c r="X100" s="783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780"/>
      <c r="J101" s="754"/>
      <c r="K101" s="288"/>
      <c r="L101" s="384">
        <v>9</v>
      </c>
      <c r="M101" s="501" t="s">
        <v>325</v>
      </c>
      <c r="N101" s="386" t="s">
        <v>210</v>
      </c>
      <c r="O101" s="551"/>
      <c r="P101" s="568">
        <v>0.1</v>
      </c>
      <c r="Q101" s="315">
        <v>48130.78</v>
      </c>
      <c r="R101" s="792"/>
      <c r="S101" s="626" t="s">
        <v>287</v>
      </c>
      <c r="T101" s="675">
        <v>45900</v>
      </c>
      <c r="U101" s="664">
        <v>34423.533043034535</v>
      </c>
      <c r="V101" s="766"/>
      <c r="W101" s="702">
        <f>'Project Plan'!K42+9</f>
        <v>46078</v>
      </c>
      <c r="X101" s="783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780"/>
      <c r="J102" s="754"/>
      <c r="K102" s="288"/>
      <c r="L102" s="384">
        <v>9</v>
      </c>
      <c r="M102" s="501" t="s">
        <v>325</v>
      </c>
      <c r="N102" s="386" t="s">
        <v>288</v>
      </c>
      <c r="O102" s="551"/>
      <c r="P102" s="568">
        <v>0.1</v>
      </c>
      <c r="Q102" s="315">
        <v>48130.78</v>
      </c>
      <c r="R102" s="792"/>
      <c r="S102" s="626" t="s">
        <v>289</v>
      </c>
      <c r="T102" s="675">
        <v>45900</v>
      </c>
      <c r="U102" s="664">
        <v>34423.533043034535</v>
      </c>
      <c r="V102" s="766"/>
      <c r="W102" s="702">
        <v>46009</v>
      </c>
      <c r="X102" s="783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780"/>
      <c r="J103" s="754"/>
      <c r="K103" s="288"/>
      <c r="L103" s="384">
        <v>9</v>
      </c>
      <c r="M103" s="501" t="s">
        <v>325</v>
      </c>
      <c r="N103" s="386" t="s">
        <v>290</v>
      </c>
      <c r="O103" s="551"/>
      <c r="P103" s="568">
        <v>0.05</v>
      </c>
      <c r="Q103" s="315">
        <f t="shared" si="13"/>
        <v>24065.38629343639</v>
      </c>
      <c r="R103" s="792"/>
      <c r="S103" s="626" t="s">
        <v>291</v>
      </c>
      <c r="T103" s="675">
        <v>45900</v>
      </c>
      <c r="U103" s="664">
        <v>17211.763870552233</v>
      </c>
      <c r="V103" s="766"/>
      <c r="W103" s="573">
        <f>'Project Plan'!K53+7</f>
        <v>46085</v>
      </c>
      <c r="X103" s="783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780"/>
      <c r="J104" s="754"/>
      <c r="K104" s="288"/>
      <c r="L104" s="384">
        <v>9</v>
      </c>
      <c r="M104" s="501" t="s">
        <v>325</v>
      </c>
      <c r="N104" s="386" t="s">
        <v>292</v>
      </c>
      <c r="O104" s="551"/>
      <c r="P104" s="568">
        <v>0.05</v>
      </c>
      <c r="Q104" s="315">
        <f t="shared" si="13"/>
        <v>24065.38629343639</v>
      </c>
      <c r="R104" s="793"/>
      <c r="S104" s="626" t="s">
        <v>293</v>
      </c>
      <c r="T104" s="675">
        <v>45900</v>
      </c>
      <c r="U104" s="664">
        <v>17211.763870552233</v>
      </c>
      <c r="V104" s="766"/>
      <c r="W104" s="573">
        <f>W103+30</f>
        <v>46115</v>
      </c>
      <c r="X104" s="783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780"/>
      <c r="J105" s="754"/>
      <c r="K105" s="288"/>
      <c r="L105" s="384">
        <v>9</v>
      </c>
      <c r="M105" s="501" t="s">
        <v>325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66"/>
      <c r="W105" s="573"/>
      <c r="X105" s="783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780"/>
      <c r="J106" s="754"/>
      <c r="K106" s="288"/>
      <c r="L106" s="384">
        <v>9</v>
      </c>
      <c r="M106" s="501" t="s">
        <v>325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66"/>
      <c r="W106" s="573"/>
      <c r="X106" s="783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781"/>
      <c r="J107" s="755"/>
      <c r="K107" s="364"/>
      <c r="L107" s="316">
        <v>9</v>
      </c>
      <c r="M107" s="441" t="s">
        <v>325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67"/>
      <c r="W107" s="574"/>
      <c r="X107" s="784"/>
      <c r="Y107" s="482"/>
    </row>
    <row r="108" spans="1:25" ht="14.45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327</v>
      </c>
      <c r="D109" s="270" t="s">
        <v>259</v>
      </c>
      <c r="E109" s="271"/>
      <c r="F109" s="470"/>
      <c r="G109" s="338">
        <f>D190</f>
        <v>8500</v>
      </c>
      <c r="H109" s="541">
        <v>45825</v>
      </c>
      <c r="I109" s="759">
        <f>SUM(G109:G129)</f>
        <v>81453.8</v>
      </c>
      <c r="J109" s="759">
        <f>F190+F193+F194+F192</f>
        <v>95828</v>
      </c>
      <c r="K109" s="339"/>
      <c r="L109" s="269">
        <v>10</v>
      </c>
      <c r="M109" s="434" t="s">
        <v>328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68">
        <f>J109-SUM(U109:U129)</f>
        <v>4.6652181772515178E-3</v>
      </c>
      <c r="W109" s="583"/>
      <c r="X109" s="762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260</v>
      </c>
      <c r="E110" s="342"/>
      <c r="F110" s="471"/>
      <c r="G110" s="343">
        <f>D194</f>
        <v>25313.800000000003</v>
      </c>
      <c r="H110" s="541">
        <v>45826</v>
      </c>
      <c r="I110" s="760"/>
      <c r="J110" s="760"/>
      <c r="K110" s="272"/>
      <c r="L110" s="340">
        <v>10</v>
      </c>
      <c r="M110" s="435" t="s">
        <v>328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69"/>
      <c r="W110" s="584"/>
      <c r="X110" s="763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760"/>
      <c r="J111" s="760"/>
      <c r="K111" s="272"/>
      <c r="L111" s="340">
        <v>10</v>
      </c>
      <c r="M111" s="435" t="s">
        <v>328</v>
      </c>
      <c r="N111" s="341" t="s">
        <v>329</v>
      </c>
      <c r="O111" s="564"/>
      <c r="P111" s="471"/>
      <c r="Q111" s="343">
        <v>10000</v>
      </c>
      <c r="R111" s="602" t="s">
        <v>330</v>
      </c>
      <c r="S111" s="638" t="s">
        <v>331</v>
      </c>
      <c r="T111" s="671">
        <v>45838</v>
      </c>
      <c r="U111" s="673">
        <v>9626.3749997597188</v>
      </c>
      <c r="V111" s="769"/>
      <c r="W111" s="541">
        <v>45827</v>
      </c>
      <c r="X111" s="763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760"/>
      <c r="J112" s="760"/>
      <c r="K112" s="272"/>
      <c r="L112" s="340">
        <v>10</v>
      </c>
      <c r="M112" s="435" t="s">
        <v>328</v>
      </c>
      <c r="N112" s="341" t="s">
        <v>332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69"/>
      <c r="W112" s="584"/>
      <c r="X112" s="763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760"/>
      <c r="J113" s="760"/>
      <c r="K113" s="272"/>
      <c r="L113" s="340">
        <v>10</v>
      </c>
      <c r="M113" s="435" t="s">
        <v>328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69"/>
      <c r="W113" s="584"/>
      <c r="X113" s="763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760"/>
      <c r="J114" s="760"/>
      <c r="K114" s="272"/>
      <c r="L114" s="340">
        <v>10</v>
      </c>
      <c r="M114" s="435" t="s">
        <v>328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69"/>
      <c r="W114" s="584"/>
      <c r="X114" s="763"/>
      <c r="Y114" s="482"/>
    </row>
    <row r="115" spans="2:25" ht="14.25" customHeight="1">
      <c r="B115" s="340">
        <v>10</v>
      </c>
      <c r="C115" s="341"/>
      <c r="D115" s="341" t="s">
        <v>333</v>
      </c>
      <c r="E115" s="342"/>
      <c r="F115" s="471"/>
      <c r="G115" s="343">
        <f>D193</f>
        <v>43200</v>
      </c>
      <c r="H115" s="541">
        <v>45831</v>
      </c>
      <c r="I115" s="760"/>
      <c r="J115" s="760"/>
      <c r="K115" s="272"/>
      <c r="L115" s="340">
        <v>10</v>
      </c>
      <c r="M115" s="435" t="s">
        <v>328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69"/>
      <c r="W115" s="584"/>
      <c r="X115" s="763"/>
      <c r="Y115" s="482"/>
    </row>
    <row r="116" spans="2:25" ht="14.25" customHeight="1">
      <c r="B116" s="340">
        <v>10</v>
      </c>
      <c r="C116" s="341"/>
      <c r="D116" s="341" t="s">
        <v>261</v>
      </c>
      <c r="E116" s="342"/>
      <c r="F116" s="471"/>
      <c r="G116" s="343">
        <f>D192</f>
        <v>4440</v>
      </c>
      <c r="H116" s="541">
        <v>45832</v>
      </c>
      <c r="I116" s="760"/>
      <c r="J116" s="760"/>
      <c r="K116" s="272"/>
      <c r="L116" s="340">
        <v>10</v>
      </c>
      <c r="M116" s="435" t="s">
        <v>328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69"/>
      <c r="W116" s="584"/>
      <c r="X116" s="763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760"/>
      <c r="J117" s="760"/>
      <c r="K117" s="272"/>
      <c r="L117" s="340">
        <v>10</v>
      </c>
      <c r="M117" s="435" t="s">
        <v>328</v>
      </c>
      <c r="N117" s="341" t="s">
        <v>279</v>
      </c>
      <c r="O117" s="619">
        <v>49547.343194458896</v>
      </c>
      <c r="P117" s="571">
        <v>0.1</v>
      </c>
      <c r="Q117" s="343">
        <v>4954.7299999999996</v>
      </c>
      <c r="R117" s="788" t="s">
        <v>280</v>
      </c>
      <c r="S117" s="639" t="s">
        <v>281</v>
      </c>
      <c r="T117" s="653">
        <f t="shared" si="12"/>
        <v>45808</v>
      </c>
      <c r="U117" s="670">
        <v>4769.6089002559465</v>
      </c>
      <c r="V117" s="769"/>
      <c r="W117" s="542">
        <f t="shared" ref="W117:W126" si="16">W95</f>
        <v>45792</v>
      </c>
      <c r="X117" s="763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760"/>
      <c r="J118" s="760"/>
      <c r="K118" s="272"/>
      <c r="L118" s="340">
        <v>10</v>
      </c>
      <c r="M118" s="435" t="s">
        <v>328</v>
      </c>
      <c r="N118" s="341" t="s">
        <v>100</v>
      </c>
      <c r="O118" s="564"/>
      <c r="P118" s="571">
        <v>0.15</v>
      </c>
      <c r="Q118" s="343">
        <v>7432.1</v>
      </c>
      <c r="R118" s="789"/>
      <c r="S118" s="639" t="s">
        <v>281</v>
      </c>
      <c r="T118" s="653">
        <v>45808</v>
      </c>
      <c r="U118" s="670">
        <v>7154.4181635714203</v>
      </c>
      <c r="V118" s="769"/>
      <c r="W118" s="655">
        <f t="shared" si="16"/>
        <v>45792</v>
      </c>
      <c r="X118" s="763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760"/>
      <c r="J119" s="760"/>
      <c r="K119" s="272"/>
      <c r="L119" s="340">
        <v>10</v>
      </c>
      <c r="M119" s="435" t="s">
        <v>328</v>
      </c>
      <c r="N119" s="341" t="s">
        <v>282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89"/>
      <c r="S119" s="639" t="s">
        <v>283</v>
      </c>
      <c r="T119" s="677">
        <f t="shared" ref="T119:T123" si="18">T97</f>
        <v>45869</v>
      </c>
      <c r="U119" s="670">
        <v>3052.5523573225846</v>
      </c>
      <c r="V119" s="769"/>
      <c r="W119" s="542">
        <f t="shared" si="16"/>
        <v>45849</v>
      </c>
      <c r="X119" s="763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760"/>
      <c r="J120" s="760"/>
      <c r="K120" s="272"/>
      <c r="L120" s="340">
        <v>10</v>
      </c>
      <c r="M120" s="435" t="s">
        <v>328</v>
      </c>
      <c r="N120" s="341" t="s">
        <v>282</v>
      </c>
      <c r="O120" s="564"/>
      <c r="P120" s="676">
        <f>P98</f>
        <v>0.13600000000000001</v>
      </c>
      <c r="Q120" s="343">
        <f>$O$117*P120</f>
        <v>6738.43867444641</v>
      </c>
      <c r="R120" s="789"/>
      <c r="S120" s="639" t="s">
        <v>284</v>
      </c>
      <c r="T120" s="653">
        <v>45869</v>
      </c>
      <c r="U120" s="670">
        <v>6486.6737593104926</v>
      </c>
      <c r="V120" s="769"/>
      <c r="W120" s="542">
        <f t="shared" si="16"/>
        <v>45883</v>
      </c>
      <c r="X120" s="763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760"/>
      <c r="J121" s="760"/>
      <c r="K121" s="272"/>
      <c r="L121" s="340">
        <v>10</v>
      </c>
      <c r="M121" s="435" t="s">
        <v>328</v>
      </c>
      <c r="N121" s="341" t="s">
        <v>285</v>
      </c>
      <c r="O121" s="564"/>
      <c r="P121" s="680">
        <f>P99</f>
        <v>0.19750000000000001</v>
      </c>
      <c r="Q121" s="343">
        <f t="shared" si="17"/>
        <v>9785.6002809056317</v>
      </c>
      <c r="R121" s="789"/>
      <c r="S121" s="639" t="s">
        <v>283</v>
      </c>
      <c r="T121" s="677">
        <f t="shared" si="18"/>
        <v>45869</v>
      </c>
      <c r="U121" s="670">
        <v>9419.9857901751639</v>
      </c>
      <c r="V121" s="769"/>
      <c r="W121" s="542">
        <f t="shared" si="16"/>
        <v>45849</v>
      </c>
      <c r="X121" s="763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760"/>
      <c r="J122" s="760"/>
      <c r="K122" s="272"/>
      <c r="L122" s="340">
        <v>10</v>
      </c>
      <c r="M122" s="435" t="s">
        <v>328</v>
      </c>
      <c r="N122" s="341" t="s">
        <v>285</v>
      </c>
      <c r="O122" s="564"/>
      <c r="P122" s="680">
        <f>P100</f>
        <v>5.2499999999999998E-2</v>
      </c>
      <c r="Q122" s="343">
        <f>$O$117*P122</f>
        <v>2601.2355177090917</v>
      </c>
      <c r="R122" s="789"/>
      <c r="S122" s="639" t="s">
        <v>286</v>
      </c>
      <c r="T122" s="653">
        <f t="shared" si="18"/>
        <v>45900</v>
      </c>
      <c r="U122" s="670">
        <v>4186.1014798022443</v>
      </c>
      <c r="V122" s="769"/>
      <c r="W122" s="542">
        <f t="shared" si="16"/>
        <v>46003</v>
      </c>
      <c r="X122" s="763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760"/>
      <c r="J123" s="760"/>
      <c r="K123" s="272"/>
      <c r="L123" s="340">
        <v>10</v>
      </c>
      <c r="M123" s="435" t="s">
        <v>328</v>
      </c>
      <c r="N123" s="341" t="s">
        <v>210</v>
      </c>
      <c r="O123" s="564"/>
      <c r="P123" s="571">
        <v>0.1</v>
      </c>
      <c r="Q123" s="343">
        <f t="shared" si="17"/>
        <v>4954.7343194458899</v>
      </c>
      <c r="R123" s="789"/>
      <c r="S123" s="639" t="s">
        <v>287</v>
      </c>
      <c r="T123" s="677">
        <f t="shared" si="18"/>
        <v>45900</v>
      </c>
      <c r="U123" s="670">
        <v>7973.5266281947515</v>
      </c>
      <c r="V123" s="769"/>
      <c r="W123" s="690">
        <f t="shared" si="16"/>
        <v>46078</v>
      </c>
      <c r="X123" s="763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760"/>
      <c r="J124" s="760"/>
      <c r="K124" s="272"/>
      <c r="L124" s="340">
        <v>10</v>
      </c>
      <c r="M124" s="435" t="s">
        <v>328</v>
      </c>
      <c r="N124" s="341" t="s">
        <v>288</v>
      </c>
      <c r="O124" s="564"/>
      <c r="P124" s="571">
        <v>0.1</v>
      </c>
      <c r="Q124" s="343">
        <f t="shared" si="17"/>
        <v>4954.7343194458899</v>
      </c>
      <c r="R124" s="789"/>
      <c r="S124" s="639" t="s">
        <v>289</v>
      </c>
      <c r="T124" s="677">
        <v>45900</v>
      </c>
      <c r="U124" s="670">
        <v>7973.5266281947515</v>
      </c>
      <c r="V124" s="769"/>
      <c r="W124" s="690">
        <f t="shared" si="16"/>
        <v>46009</v>
      </c>
      <c r="X124" s="763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760"/>
      <c r="J125" s="760"/>
      <c r="K125" s="272"/>
      <c r="L125" s="340">
        <v>10</v>
      </c>
      <c r="M125" s="435" t="s">
        <v>328</v>
      </c>
      <c r="N125" s="341" t="s">
        <v>290</v>
      </c>
      <c r="O125" s="564"/>
      <c r="P125" s="571">
        <v>0.05</v>
      </c>
      <c r="Q125" s="343">
        <f t="shared" si="17"/>
        <v>2477.367159722945</v>
      </c>
      <c r="R125" s="789"/>
      <c r="S125" s="639" t="s">
        <v>291</v>
      </c>
      <c r="T125" s="677">
        <v>45900</v>
      </c>
      <c r="U125" s="670">
        <v>3986.7633140973758</v>
      </c>
      <c r="V125" s="769"/>
      <c r="W125" s="585">
        <f t="shared" si="16"/>
        <v>46085</v>
      </c>
      <c r="X125" s="763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760"/>
      <c r="J126" s="760"/>
      <c r="K126" s="272"/>
      <c r="L126" s="340">
        <v>10</v>
      </c>
      <c r="M126" s="435" t="s">
        <v>328</v>
      </c>
      <c r="N126" s="341" t="s">
        <v>292</v>
      </c>
      <c r="O126" s="564"/>
      <c r="P126" s="571">
        <v>0.05</v>
      </c>
      <c r="Q126" s="343">
        <f t="shared" si="17"/>
        <v>2477.367159722945</v>
      </c>
      <c r="R126" s="790"/>
      <c r="S126" s="639" t="s">
        <v>293</v>
      </c>
      <c r="T126" s="677">
        <v>45900</v>
      </c>
      <c r="U126" s="670">
        <v>3986.7633140973758</v>
      </c>
      <c r="V126" s="769"/>
      <c r="W126" s="585">
        <f t="shared" si="16"/>
        <v>46115</v>
      </c>
      <c r="X126" s="763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760"/>
      <c r="J127" s="760"/>
      <c r="K127" s="272"/>
      <c r="L127" s="340">
        <v>10</v>
      </c>
      <c r="M127" s="435" t="s">
        <v>328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69"/>
      <c r="W127" s="585"/>
      <c r="X127" s="763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760"/>
      <c r="J128" s="760"/>
      <c r="K128" s="272"/>
      <c r="L128" s="340">
        <v>10</v>
      </c>
      <c r="M128" s="435" t="s">
        <v>328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69"/>
      <c r="W128" s="585"/>
      <c r="X128" s="763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761"/>
      <c r="J129" s="761"/>
      <c r="K129" s="275"/>
      <c r="L129" s="273">
        <v>10</v>
      </c>
      <c r="M129" s="436" t="s">
        <v>328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70"/>
      <c r="W129" s="586"/>
      <c r="X129" s="764"/>
      <c r="Y129" s="482"/>
    </row>
    <row r="130" spans="1:25" ht="14.45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334</v>
      </c>
      <c r="D131" s="351" t="s">
        <v>335</v>
      </c>
      <c r="E131" s="283"/>
      <c r="F131" s="437"/>
      <c r="G131" s="284">
        <v>11000</v>
      </c>
      <c r="H131" s="579">
        <v>45911</v>
      </c>
      <c r="I131" s="753">
        <f>SUM(G131:G135)</f>
        <v>116088</v>
      </c>
      <c r="J131" s="753">
        <f>F189</f>
        <v>136574.11764705883</v>
      </c>
      <c r="K131" s="285"/>
      <c r="L131" s="281">
        <v>11</v>
      </c>
      <c r="M131" s="351" t="s">
        <v>336</v>
      </c>
      <c r="N131" s="351" t="s">
        <v>335</v>
      </c>
      <c r="O131" s="283"/>
      <c r="P131" s="437"/>
      <c r="Q131" s="284">
        <v>9941.1</v>
      </c>
      <c r="R131" s="595"/>
      <c r="S131" s="632" t="s">
        <v>337</v>
      </c>
      <c r="T131" s="661">
        <v>45869</v>
      </c>
      <c r="U131" s="669">
        <v>48582.790457950323</v>
      </c>
      <c r="V131" s="765">
        <f>J131-SUM(U131:U135)</f>
        <v>2.3467238061130047E-3</v>
      </c>
      <c r="W131" s="700">
        <v>45988</v>
      </c>
      <c r="X131" s="756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338</v>
      </c>
      <c r="E132" s="314"/>
      <c r="F132" s="459"/>
      <c r="G132" s="315">
        <v>18088</v>
      </c>
      <c r="H132" s="579">
        <v>45912</v>
      </c>
      <c r="I132" s="754"/>
      <c r="J132" s="754"/>
      <c r="K132" s="288"/>
      <c r="L132" s="311">
        <v>11</v>
      </c>
      <c r="M132" s="390" t="s">
        <v>336</v>
      </c>
      <c r="N132" s="313" t="s">
        <v>338</v>
      </c>
      <c r="O132" s="314"/>
      <c r="P132" s="459"/>
      <c r="Q132" s="315">
        <v>8212.24</v>
      </c>
      <c r="R132" s="588" t="s">
        <v>339</v>
      </c>
      <c r="S132" s="625" t="s">
        <v>340</v>
      </c>
      <c r="T132" s="649">
        <v>45777</v>
      </c>
      <c r="U132" s="647">
        <v>37133.627521617753</v>
      </c>
      <c r="V132" s="766"/>
      <c r="W132" s="650">
        <v>45757</v>
      </c>
      <c r="X132" s="757"/>
      <c r="Y132" s="482"/>
    </row>
    <row r="133" spans="1:25" ht="15" customHeight="1">
      <c r="B133" s="311">
        <v>11</v>
      </c>
      <c r="C133" s="313"/>
      <c r="D133" s="313" t="s">
        <v>341</v>
      </c>
      <c r="E133" s="314"/>
      <c r="F133" s="459"/>
      <c r="G133" s="315">
        <v>80000</v>
      </c>
      <c r="H133" s="579">
        <v>45913</v>
      </c>
      <c r="I133" s="754"/>
      <c r="J133" s="754"/>
      <c r="K133" s="288"/>
      <c r="L133" s="311">
        <v>11</v>
      </c>
      <c r="M133" s="390" t="s">
        <v>336</v>
      </c>
      <c r="N133" s="313" t="s">
        <v>342</v>
      </c>
      <c r="O133" s="314"/>
      <c r="P133" s="459"/>
      <c r="Q133" s="315">
        <v>13611.42</v>
      </c>
      <c r="R133" s="588"/>
      <c r="S133" s="625" t="s">
        <v>343</v>
      </c>
      <c r="T133" s="643">
        <v>46053</v>
      </c>
      <c r="U133" s="647">
        <v>0</v>
      </c>
      <c r="V133" s="766"/>
      <c r="W133" s="650">
        <v>46051</v>
      </c>
      <c r="X133" s="757"/>
      <c r="Y133" s="482"/>
    </row>
    <row r="134" spans="1:25" ht="15" customHeight="1">
      <c r="B134" s="311">
        <v>11</v>
      </c>
      <c r="C134" s="388"/>
      <c r="D134" s="388" t="s">
        <v>344</v>
      </c>
      <c r="E134" s="406"/>
      <c r="F134" s="444"/>
      <c r="G134" s="387">
        <v>7000</v>
      </c>
      <c r="H134" s="579">
        <v>45914</v>
      </c>
      <c r="I134" s="754"/>
      <c r="J134" s="754"/>
      <c r="K134" s="288"/>
      <c r="L134" s="311">
        <v>11</v>
      </c>
      <c r="M134" s="390" t="s">
        <v>336</v>
      </c>
      <c r="N134" s="388" t="s">
        <v>345</v>
      </c>
      <c r="O134" s="406"/>
      <c r="P134" s="444"/>
      <c r="Q134" s="387">
        <v>5100</v>
      </c>
      <c r="R134" s="589" t="s">
        <v>346</v>
      </c>
      <c r="S134" s="626" t="s">
        <v>347</v>
      </c>
      <c r="T134" s="644">
        <v>45777</v>
      </c>
      <c r="U134" s="648">
        <v>23060.88233664025</v>
      </c>
      <c r="V134" s="766"/>
      <c r="W134" s="536">
        <v>45834</v>
      </c>
      <c r="X134" s="757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55"/>
      <c r="J135" s="755"/>
      <c r="K135" s="289"/>
      <c r="L135" s="316">
        <v>11</v>
      </c>
      <c r="M135" s="419" t="s">
        <v>336</v>
      </c>
      <c r="N135" s="317" t="s">
        <v>348</v>
      </c>
      <c r="O135" s="552"/>
      <c r="P135" s="460"/>
      <c r="Q135" s="330">
        <v>6000</v>
      </c>
      <c r="R135" s="590"/>
      <c r="S135" s="627" t="s">
        <v>349</v>
      </c>
      <c r="T135" s="708">
        <v>46022</v>
      </c>
      <c r="U135" s="709">
        <v>27796.8149841267</v>
      </c>
      <c r="V135" s="767"/>
      <c r="W135" s="712">
        <v>46051</v>
      </c>
      <c r="X135" s="758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350</v>
      </c>
      <c r="D137" s="270" t="s">
        <v>351</v>
      </c>
      <c r="E137" s="271"/>
      <c r="F137" s="470"/>
      <c r="G137" s="338">
        <v>54830.132529442701</v>
      </c>
      <c r="H137" s="579">
        <v>45917</v>
      </c>
      <c r="I137" s="759">
        <f>SUM(G137:G138)</f>
        <v>65796.159035331249</v>
      </c>
      <c r="J137" s="759">
        <v>0</v>
      </c>
      <c r="K137" s="771"/>
      <c r="L137" s="269">
        <v>12</v>
      </c>
      <c r="M137" s="270" t="s">
        <v>352</v>
      </c>
      <c r="N137" s="270" t="s">
        <v>351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762">
        <f>SUM(Q137:Q138)</f>
        <v>0</v>
      </c>
      <c r="Y137" s="482"/>
    </row>
    <row r="138" spans="1:25" ht="15" customHeight="1" thickBot="1">
      <c r="B138" s="273">
        <v>12</v>
      </c>
      <c r="C138" s="344" t="s">
        <v>350</v>
      </c>
      <c r="D138" s="344" t="s">
        <v>353</v>
      </c>
      <c r="E138" s="345"/>
      <c r="F138" s="472"/>
      <c r="G138" s="274">
        <v>10966.026505888542</v>
      </c>
      <c r="H138" s="579">
        <v>45918</v>
      </c>
      <c r="I138" s="761"/>
      <c r="J138" s="761"/>
      <c r="K138" s="772"/>
      <c r="L138" s="273">
        <v>12</v>
      </c>
      <c r="M138" s="344" t="s">
        <v>352</v>
      </c>
      <c r="N138" s="344" t="s">
        <v>353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764"/>
      <c r="Y138" s="482"/>
    </row>
    <row r="139" spans="1:25" ht="14.4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354</v>
      </c>
      <c r="D140" s="351" t="s">
        <v>355</v>
      </c>
      <c r="E140" s="283"/>
      <c r="F140" s="437"/>
      <c r="G140" s="284">
        <v>29637.751076086955</v>
      </c>
      <c r="H140" s="579">
        <v>45920</v>
      </c>
      <c r="I140" s="753">
        <f>SUM(G140:G144)</f>
        <v>157251.87679037268</v>
      </c>
      <c r="J140" s="753">
        <f>F188</f>
        <v>178695.31453451441</v>
      </c>
      <c r="K140" s="285"/>
      <c r="L140" s="281">
        <v>13</v>
      </c>
      <c r="M140" s="351" t="s">
        <v>356</v>
      </c>
      <c r="N140" s="351" t="s">
        <v>357</v>
      </c>
      <c r="O140" s="549"/>
      <c r="P140" s="437"/>
      <c r="Q140" s="284">
        <v>42501.325000000004</v>
      </c>
      <c r="R140" s="595"/>
      <c r="S140" s="632"/>
      <c r="T140" s="525">
        <v>46081</v>
      </c>
      <c r="U140" s="510">
        <f t="shared" ref="U140:U145" si="19">(Q140/$X$140*$J$140)</f>
        <v>178695.31453451441</v>
      </c>
      <c r="V140" s="765">
        <f>J140-SUM(U140:U145)</f>
        <v>0</v>
      </c>
      <c r="W140" s="579">
        <v>46080</v>
      </c>
      <c r="X140" s="756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358</v>
      </c>
      <c r="E141" s="314"/>
      <c r="F141" s="459"/>
      <c r="G141" s="315">
        <v>20571.428571428572</v>
      </c>
      <c r="H141" s="579">
        <v>45921</v>
      </c>
      <c r="I141" s="754"/>
      <c r="J141" s="754"/>
      <c r="K141" s="288"/>
      <c r="L141" s="311">
        <v>13</v>
      </c>
      <c r="M141" s="390" t="s">
        <v>356</v>
      </c>
      <c r="N141" s="313" t="s">
        <v>358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66"/>
      <c r="W141" s="572"/>
      <c r="X141" s="757"/>
      <c r="Y141" s="482"/>
    </row>
    <row r="142" spans="1:25" ht="15.75" customHeight="1">
      <c r="B142" s="311">
        <v>13</v>
      </c>
      <c r="C142" s="313"/>
      <c r="D142" s="313" t="s">
        <v>359</v>
      </c>
      <c r="E142" s="314"/>
      <c r="F142" s="459"/>
      <c r="G142" s="315">
        <v>61200</v>
      </c>
      <c r="H142" s="579">
        <v>45922</v>
      </c>
      <c r="I142" s="754"/>
      <c r="J142" s="754"/>
      <c r="K142" s="288"/>
      <c r="L142" s="311">
        <v>13</v>
      </c>
      <c r="M142" s="390" t="s">
        <v>356</v>
      </c>
      <c r="N142" s="313" t="s">
        <v>359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66"/>
      <c r="W142" s="572"/>
      <c r="X142" s="757"/>
      <c r="Y142" s="482"/>
    </row>
    <row r="143" spans="1:25" ht="15.75" customHeight="1">
      <c r="B143" s="311">
        <v>13</v>
      </c>
      <c r="C143" s="313"/>
      <c r="D143" s="313" t="s">
        <v>360</v>
      </c>
      <c r="E143" s="314"/>
      <c r="F143" s="459"/>
      <c r="G143" s="315">
        <v>26742.857142857145</v>
      </c>
      <c r="H143" s="579">
        <v>45923</v>
      </c>
      <c r="I143" s="754"/>
      <c r="J143" s="754"/>
      <c r="K143" s="288"/>
      <c r="L143" s="311">
        <v>13</v>
      </c>
      <c r="M143" s="390" t="s">
        <v>356</v>
      </c>
      <c r="N143" s="313" t="s">
        <v>360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66"/>
      <c r="W143" s="572"/>
      <c r="X143" s="757"/>
      <c r="Y143" s="482"/>
    </row>
    <row r="144" spans="1:25" ht="15.75" customHeight="1">
      <c r="B144" s="311">
        <v>13</v>
      </c>
      <c r="C144" s="313"/>
      <c r="D144" s="313" t="s">
        <v>361</v>
      </c>
      <c r="E144" s="314"/>
      <c r="F144" s="459"/>
      <c r="G144" s="315">
        <v>19099.839999999997</v>
      </c>
      <c r="H144" s="579">
        <v>45924</v>
      </c>
      <c r="I144" s="754"/>
      <c r="J144" s="754"/>
      <c r="K144" s="288"/>
      <c r="L144" s="311">
        <v>13</v>
      </c>
      <c r="M144" s="390" t="s">
        <v>356</v>
      </c>
      <c r="N144" s="313" t="s">
        <v>361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66"/>
      <c r="W144" s="572"/>
      <c r="X144" s="757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55"/>
      <c r="J145" s="755"/>
      <c r="K145" s="364"/>
      <c r="L145" s="316">
        <v>13</v>
      </c>
      <c r="M145" s="419" t="s">
        <v>356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67"/>
      <c r="W145" s="574"/>
      <c r="X145" s="758"/>
      <c r="Y145" s="482"/>
    </row>
    <row r="146" spans="1:25" ht="14.4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362</v>
      </c>
      <c r="D147" s="270" t="s">
        <v>363</v>
      </c>
      <c r="E147" s="271"/>
      <c r="F147" s="470"/>
      <c r="G147" s="338">
        <f>D199</f>
        <v>6300</v>
      </c>
      <c r="H147" s="651">
        <v>45777</v>
      </c>
      <c r="I147" s="759">
        <f>SUM(G147:G158)</f>
        <v>6300</v>
      </c>
      <c r="J147" s="759">
        <f>F199</f>
        <v>7411.7647058823532</v>
      </c>
      <c r="K147" s="339"/>
      <c r="L147" s="269">
        <v>14</v>
      </c>
      <c r="M147" s="434" t="s">
        <v>364</v>
      </c>
      <c r="N147" s="270" t="s">
        <v>365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68">
        <f>J147-SUM(U147:U158)</f>
        <v>-4.9879346461239038E-3</v>
      </c>
      <c r="W147" s="651">
        <v>45777</v>
      </c>
      <c r="X147" s="762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760"/>
      <c r="J148" s="760"/>
      <c r="K148" s="272"/>
      <c r="L148" s="340">
        <v>14</v>
      </c>
      <c r="M148" s="435" t="s">
        <v>364</v>
      </c>
      <c r="N148" s="341" t="s">
        <v>365</v>
      </c>
      <c r="O148" s="564"/>
      <c r="P148" s="471"/>
      <c r="Q148" s="343">
        <v>1399.4599999999996</v>
      </c>
      <c r="R148" s="603"/>
      <c r="S148" s="603" t="s">
        <v>366</v>
      </c>
      <c r="T148" s="653">
        <v>45808</v>
      </c>
      <c r="U148" s="670">
        <v>1610.7667778500243</v>
      </c>
      <c r="V148" s="769"/>
      <c r="W148" s="542">
        <v>45817</v>
      </c>
      <c r="X148" s="763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760"/>
      <c r="J149" s="760"/>
      <c r="K149" s="272"/>
      <c r="L149" s="340">
        <v>14</v>
      </c>
      <c r="M149" s="435" t="s">
        <v>364</v>
      </c>
      <c r="N149" s="341" t="s">
        <v>365</v>
      </c>
      <c r="O149" s="564"/>
      <c r="P149" s="471"/>
      <c r="Q149" s="343">
        <v>1531.0800000000002</v>
      </c>
      <c r="R149" s="603"/>
      <c r="S149" s="603" t="s">
        <v>366</v>
      </c>
      <c r="T149" s="653">
        <v>45838</v>
      </c>
      <c r="U149" s="670">
        <v>1904.275906153968</v>
      </c>
      <c r="V149" s="769"/>
      <c r="W149" s="542">
        <v>45842</v>
      </c>
      <c r="X149" s="763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760"/>
      <c r="J150" s="760"/>
      <c r="K150" s="272"/>
      <c r="L150" s="340">
        <v>14</v>
      </c>
      <c r="M150" s="435" t="s">
        <v>364</v>
      </c>
      <c r="N150" s="341" t="s">
        <v>365</v>
      </c>
      <c r="O150" s="564"/>
      <c r="P150" s="471"/>
      <c r="Q150" s="343">
        <v>1925.06</v>
      </c>
      <c r="R150" s="603"/>
      <c r="S150" s="603" t="s">
        <v>366</v>
      </c>
      <c r="T150" s="653">
        <v>45869</v>
      </c>
      <c r="U150" s="670">
        <v>918.77560628161848</v>
      </c>
      <c r="V150" s="769"/>
      <c r="W150" s="542">
        <v>45876</v>
      </c>
      <c r="X150" s="763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760"/>
      <c r="J151" s="760"/>
      <c r="K151" s="272"/>
      <c r="L151" s="340">
        <v>14</v>
      </c>
      <c r="M151" s="435" t="s">
        <v>364</v>
      </c>
      <c r="N151" s="341" t="s">
        <v>365</v>
      </c>
      <c r="O151" s="564"/>
      <c r="P151" s="471"/>
      <c r="Q151" s="343">
        <v>109.06</v>
      </c>
      <c r="R151" s="603"/>
      <c r="S151" s="603" t="s">
        <v>366</v>
      </c>
      <c r="T151" s="653">
        <v>45900</v>
      </c>
      <c r="U151" s="670">
        <v>101.48921094227869</v>
      </c>
      <c r="V151" s="769"/>
      <c r="W151" s="542">
        <v>45905</v>
      </c>
      <c r="X151" s="763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760"/>
      <c r="J152" s="760"/>
      <c r="K152" s="272"/>
      <c r="L152" s="340">
        <v>14</v>
      </c>
      <c r="M152" s="435" t="s">
        <v>364</v>
      </c>
      <c r="N152" s="341" t="s">
        <v>365</v>
      </c>
      <c r="O152" s="564"/>
      <c r="P152" s="471"/>
      <c r="Q152" s="343">
        <v>0</v>
      </c>
      <c r="R152" s="603"/>
      <c r="S152" s="603" t="s">
        <v>366</v>
      </c>
      <c r="T152" s="689">
        <v>45930</v>
      </c>
      <c r="U152" s="516">
        <v>0</v>
      </c>
      <c r="V152" s="769"/>
      <c r="W152" s="690">
        <v>45930</v>
      </c>
      <c r="X152" s="763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760"/>
      <c r="J153" s="760"/>
      <c r="K153" s="272"/>
      <c r="L153" s="340">
        <v>14</v>
      </c>
      <c r="M153" s="435" t="s">
        <v>364</v>
      </c>
      <c r="N153" s="341" t="s">
        <v>365</v>
      </c>
      <c r="O153" s="564"/>
      <c r="P153" s="471"/>
      <c r="Q153" s="343">
        <v>113.76</v>
      </c>
      <c r="R153" s="603"/>
      <c r="S153" s="603" t="s">
        <v>366</v>
      </c>
      <c r="T153" s="689">
        <v>45961</v>
      </c>
      <c r="U153" s="699">
        <v>612.51832955684938</v>
      </c>
      <c r="V153" s="769"/>
      <c r="W153" s="690">
        <v>45967</v>
      </c>
      <c r="X153" s="763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760"/>
      <c r="J154" s="760"/>
      <c r="K154" s="272"/>
      <c r="L154" s="340">
        <v>14</v>
      </c>
      <c r="M154" s="435" t="s">
        <v>364</v>
      </c>
      <c r="N154" s="341" t="s">
        <v>365</v>
      </c>
      <c r="O154" s="564"/>
      <c r="P154" s="471"/>
      <c r="Q154" s="343">
        <v>83.78</v>
      </c>
      <c r="R154" s="603"/>
      <c r="S154" s="603" t="s">
        <v>366</v>
      </c>
      <c r="T154" s="689">
        <v>45991</v>
      </c>
      <c r="U154" s="699">
        <v>76.866224714588185</v>
      </c>
      <c r="V154" s="769"/>
      <c r="W154" s="690">
        <v>45996</v>
      </c>
      <c r="X154" s="763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760"/>
      <c r="J155" s="760"/>
      <c r="K155" s="272"/>
      <c r="L155" s="340">
        <v>14</v>
      </c>
      <c r="M155" s="435" t="s">
        <v>364</v>
      </c>
      <c r="N155" s="341" t="s">
        <v>365</v>
      </c>
      <c r="O155" s="564"/>
      <c r="P155" s="471"/>
      <c r="Q155" s="343">
        <v>88.06</v>
      </c>
      <c r="R155" s="603"/>
      <c r="S155" s="603" t="s">
        <v>366</v>
      </c>
      <c r="T155" s="689">
        <v>46022</v>
      </c>
      <c r="U155" s="699">
        <v>616.27763831767288</v>
      </c>
      <c r="V155" s="769"/>
      <c r="W155" s="690">
        <v>46030</v>
      </c>
      <c r="X155" s="763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760"/>
      <c r="J156" s="760"/>
      <c r="K156" s="272"/>
      <c r="L156" s="340">
        <v>14</v>
      </c>
      <c r="M156" s="435" t="s">
        <v>364</v>
      </c>
      <c r="N156" s="341" t="s">
        <v>365</v>
      </c>
      <c r="O156" s="564"/>
      <c r="P156" s="471"/>
      <c r="Q156" s="343">
        <v>66.16</v>
      </c>
      <c r="R156" s="603"/>
      <c r="S156" s="603" t="s">
        <v>366</v>
      </c>
      <c r="T156" s="689">
        <v>46053</v>
      </c>
      <c r="U156" s="699">
        <f>1570.8/2</f>
        <v>785.4</v>
      </c>
      <c r="V156" s="769"/>
      <c r="W156" s="585">
        <v>46058</v>
      </c>
      <c r="X156" s="763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760"/>
      <c r="J157" s="760"/>
      <c r="K157" s="272"/>
      <c r="L157" s="340">
        <v>14</v>
      </c>
      <c r="M157" s="435" t="s">
        <v>364</v>
      </c>
      <c r="N157" s="341" t="s">
        <v>365</v>
      </c>
      <c r="O157" s="564"/>
      <c r="P157" s="471"/>
      <c r="Q157" s="343">
        <v>100</v>
      </c>
      <c r="R157" s="603"/>
      <c r="S157" s="603" t="s">
        <v>366</v>
      </c>
      <c r="T157" s="532">
        <v>46081</v>
      </c>
      <c r="U157" s="516">
        <f>1570.8/2</f>
        <v>785.4</v>
      </c>
      <c r="V157" s="769"/>
      <c r="W157" s="585"/>
      <c r="X157" s="763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761"/>
      <c r="J158" s="761"/>
      <c r="K158" s="275"/>
      <c r="L158" s="273">
        <v>14</v>
      </c>
      <c r="M158" s="436" t="s">
        <v>364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70"/>
      <c r="W158" s="586"/>
      <c r="X158" s="764"/>
      <c r="Y158" s="482"/>
    </row>
    <row r="159" spans="1:25" ht="14.4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367</v>
      </c>
      <c r="D160" s="282" t="s">
        <v>368</v>
      </c>
      <c r="E160" s="283"/>
      <c r="F160" s="437"/>
      <c r="G160" s="284">
        <f>D196</f>
        <v>500000</v>
      </c>
      <c r="H160" s="539">
        <v>45827</v>
      </c>
      <c r="I160" s="753">
        <f>SUM(G160:G171)</f>
        <v>500000</v>
      </c>
      <c r="J160" s="753">
        <f>F196</f>
        <v>500000</v>
      </c>
      <c r="K160" s="285"/>
      <c r="L160" s="281">
        <v>15</v>
      </c>
      <c r="M160" s="351" t="s">
        <v>369</v>
      </c>
      <c r="N160" s="282" t="s">
        <v>370</v>
      </c>
      <c r="O160" s="283"/>
      <c r="P160" s="437"/>
      <c r="Q160" s="284">
        <f>510000/2</f>
        <v>255000</v>
      </c>
      <c r="R160" s="595"/>
      <c r="S160" s="632" t="s">
        <v>371</v>
      </c>
      <c r="T160" s="661">
        <v>45838</v>
      </c>
      <c r="U160" s="669">
        <v>238317.75700934581</v>
      </c>
      <c r="V160" s="765">
        <f>J160-SUM(U160:U171)</f>
        <v>2.9906542040407658E-3</v>
      </c>
      <c r="W160" s="539">
        <v>45827</v>
      </c>
      <c r="X160" s="756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54"/>
      <c r="J161" s="754"/>
      <c r="K161" s="288"/>
      <c r="L161" s="311">
        <v>15</v>
      </c>
      <c r="M161" s="390" t="s">
        <v>369</v>
      </c>
      <c r="N161" s="313" t="s">
        <v>372</v>
      </c>
      <c r="O161" s="550"/>
      <c r="P161" s="459"/>
      <c r="Q161" s="315">
        <f>510000/2</f>
        <v>255000</v>
      </c>
      <c r="R161" s="588"/>
      <c r="S161" s="625" t="s">
        <v>371</v>
      </c>
      <c r="T161" s="643">
        <v>45838</v>
      </c>
      <c r="U161" s="663">
        <v>250000</v>
      </c>
      <c r="V161" s="766"/>
      <c r="W161" s="535">
        <v>46037</v>
      </c>
      <c r="X161" s="757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54"/>
      <c r="J162" s="754"/>
      <c r="K162" s="288"/>
      <c r="L162" s="311">
        <v>15</v>
      </c>
      <c r="M162" s="390" t="s">
        <v>369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66"/>
      <c r="W162" s="572"/>
      <c r="X162" s="757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54"/>
      <c r="J163" s="754"/>
      <c r="K163" s="288"/>
      <c r="L163" s="311">
        <v>15</v>
      </c>
      <c r="M163" s="390" t="s">
        <v>369</v>
      </c>
      <c r="N163" s="313" t="s">
        <v>373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66"/>
      <c r="W163" s="572"/>
      <c r="X163" s="757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54"/>
      <c r="J164" s="754"/>
      <c r="K164" s="288"/>
      <c r="L164" s="311">
        <v>15</v>
      </c>
      <c r="M164" s="390" t="s">
        <v>369</v>
      </c>
      <c r="N164" s="313" t="s">
        <v>374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375</v>
      </c>
      <c r="T164" s="643">
        <v>45900</v>
      </c>
      <c r="U164" s="663">
        <v>11682.24</v>
      </c>
      <c r="V164" s="766"/>
      <c r="W164" s="535">
        <v>45911</v>
      </c>
      <c r="X164" s="757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54"/>
      <c r="J165" s="754"/>
      <c r="K165" s="288"/>
      <c r="L165" s="311">
        <v>15</v>
      </c>
      <c r="M165" s="390" t="s">
        <v>369</v>
      </c>
      <c r="N165" s="313"/>
      <c r="O165" s="550"/>
      <c r="P165" s="459"/>
      <c r="Q165" s="315">
        <f>O164*P164</f>
        <v>90247.455000000002</v>
      </c>
      <c r="R165" s="588"/>
      <c r="S165" s="625" t="s">
        <v>375</v>
      </c>
      <c r="T165" s="643">
        <v>45900</v>
      </c>
      <c r="U165" s="663">
        <v>0</v>
      </c>
      <c r="V165" s="766"/>
      <c r="W165" s="535">
        <v>46003</v>
      </c>
      <c r="X165" s="757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54"/>
      <c r="J166" s="754"/>
      <c r="K166" s="288"/>
      <c r="L166" s="311">
        <v>15</v>
      </c>
      <c r="M166" s="390" t="s">
        <v>369</v>
      </c>
      <c r="N166" s="313" t="s">
        <v>376</v>
      </c>
      <c r="O166" s="550"/>
      <c r="P166" s="459"/>
      <c r="Q166" s="315">
        <v>6926</v>
      </c>
      <c r="R166" s="588" t="s">
        <v>377</v>
      </c>
      <c r="S166" s="625" t="s">
        <v>378</v>
      </c>
      <c r="T166" s="643">
        <v>45961</v>
      </c>
      <c r="U166" s="502">
        <v>0</v>
      </c>
      <c r="V166" s="766"/>
      <c r="W166" s="650">
        <v>45980</v>
      </c>
      <c r="X166" s="757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54"/>
      <c r="J167" s="754"/>
      <c r="K167" s="288"/>
      <c r="L167" s="311">
        <v>15</v>
      </c>
      <c r="M167" s="390" t="s">
        <v>369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66"/>
      <c r="W167" s="572"/>
      <c r="X167" s="757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54"/>
      <c r="J168" s="754"/>
      <c r="K168" s="288"/>
      <c r="L168" s="311">
        <v>15</v>
      </c>
      <c r="M168" s="390" t="s">
        <v>369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66"/>
      <c r="W168" s="572"/>
      <c r="X168" s="757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54"/>
      <c r="J169" s="754"/>
      <c r="K169" s="288"/>
      <c r="L169" s="311">
        <v>15</v>
      </c>
      <c r="M169" s="390" t="s">
        <v>369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66"/>
      <c r="W169" s="572"/>
      <c r="X169" s="757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54"/>
      <c r="J170" s="754"/>
      <c r="K170" s="288"/>
      <c r="L170" s="311">
        <v>15</v>
      </c>
      <c r="M170" s="390" t="s">
        <v>369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66"/>
      <c r="W170" s="572"/>
      <c r="X170" s="757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55"/>
      <c r="J171" s="755"/>
      <c r="K171" s="289"/>
      <c r="L171" s="316">
        <v>15</v>
      </c>
      <c r="M171" s="419" t="s">
        <v>369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67"/>
      <c r="W171" s="574"/>
      <c r="X171" s="758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379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380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381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278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308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295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382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383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384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385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386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387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388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389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390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391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392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393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394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395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396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397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384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398</v>
      </c>
      <c r="D198" s="642"/>
      <c r="E198" s="544"/>
      <c r="F198" s="642"/>
      <c r="I198" s="256"/>
      <c r="J198" s="256"/>
    </row>
    <row r="199" spans="3:10" s="112" customFormat="1">
      <c r="C199" s="642" t="s">
        <v>399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4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5:I82"/>
    <mergeCell ref="J75:J82"/>
    <mergeCell ref="V75:V82"/>
    <mergeCell ref="V46:V53"/>
    <mergeCell ref="V55:V73"/>
    <mergeCell ref="R61:R70"/>
    <mergeCell ref="I46:I53"/>
    <mergeCell ref="J46:J53"/>
    <mergeCell ref="X46:X53"/>
    <mergeCell ref="I55:I73"/>
    <mergeCell ref="J55:J73"/>
    <mergeCell ref="X55:X73"/>
    <mergeCell ref="R32:R41"/>
    <mergeCell ref="I28:I44"/>
    <mergeCell ref="J28:J44"/>
    <mergeCell ref="X28:X44"/>
    <mergeCell ref="J94:J107"/>
    <mergeCell ref="X94:X107"/>
    <mergeCell ref="V109:V129"/>
    <mergeCell ref="V84:V92"/>
    <mergeCell ref="V94:V107"/>
    <mergeCell ref="R117:R126"/>
    <mergeCell ref="R95:R104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400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0" t="s">
        <v>401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5" t="s">
        <v>189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170005.30000000002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1"/>
      <c r="B4" s="195" t="s">
        <v>402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3400106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11"/>
      <c r="B5" s="199" t="s">
        <v>191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1"/>
      <c r="B6" s="199" t="s">
        <v>403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11"/>
      <c r="B7" s="204" t="s">
        <v>404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470495.67808733974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10" t="s">
        <v>171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9" t="s">
        <v>405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170005.30000000002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1"/>
      <c r="B10" s="209" t="s">
        <v>406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3400106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11"/>
      <c r="B11" s="212" t="s">
        <v>407</v>
      </c>
      <c r="C11" s="213">
        <f>'Revenue Tracking'!F5</f>
        <v>2937563.9327490302</v>
      </c>
      <c r="D11" s="213">
        <f>SUM(F11:LD11)</f>
        <v>2937463.9327490302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95586.839319445891</v>
      </c>
      <c r="BL11" s="214">
        <f>SUMIFS('Expenditure Breakdown'!$Q$6:$Q$179, 'Expenditure Breakdown'!$W$6:$W$179, "&gt;="&amp;BL1,'Expenditure Breakdown'!$W$6:$W$179, "&lt;"&amp;BM1)</f>
        <v>40363.000000000007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40363.000000000007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0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11"/>
      <c r="B12" s="212" t="s">
        <v>408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2761151.0934295841</v>
      </c>
      <c r="BI12" s="214">
        <f t="shared" si="26"/>
        <v>2761151.0934295841</v>
      </c>
      <c r="BJ12" s="214">
        <f t="shared" si="26"/>
        <v>2761151.0934295841</v>
      </c>
      <c r="BK12" s="214">
        <f t="shared" si="26"/>
        <v>2856737.9327490302</v>
      </c>
      <c r="BL12" s="214">
        <f t="shared" si="26"/>
        <v>2897100.9327490302</v>
      </c>
      <c r="BM12" s="214">
        <f t="shared" si="26"/>
        <v>2897100.9327490302</v>
      </c>
      <c r="BN12" s="214">
        <f t="shared" si="26"/>
        <v>2897100.9327490302</v>
      </c>
      <c r="BO12" s="214">
        <f t="shared" si="26"/>
        <v>2897100.9327490302</v>
      </c>
      <c r="BP12" s="214">
        <f t="shared" si="26"/>
        <v>2937463.9327490302</v>
      </c>
      <c r="BQ12" s="214">
        <f t="shared" si="26"/>
        <v>2937463.9327490302</v>
      </c>
      <c r="BR12" s="214">
        <f t="shared" si="26"/>
        <v>2937463.9327490302</v>
      </c>
      <c r="BS12" s="214">
        <f t="shared" si="26"/>
        <v>2937463.9327490302</v>
      </c>
      <c r="BT12" s="214">
        <f t="shared" si="26"/>
        <v>2937463.9327490302</v>
      </c>
      <c r="BU12" s="214">
        <f t="shared" ref="BU12:EF12" si="27">BT12+BU11</f>
        <v>2937463.9327490302</v>
      </c>
      <c r="BV12" s="214">
        <f t="shared" si="27"/>
        <v>2937463.9327490302</v>
      </c>
      <c r="BW12" s="214">
        <f t="shared" si="27"/>
        <v>2937463.9327490302</v>
      </c>
      <c r="BX12" s="214">
        <f t="shared" si="27"/>
        <v>2937463.9327490302</v>
      </c>
      <c r="BY12" s="214">
        <f t="shared" si="27"/>
        <v>2937463.9327490302</v>
      </c>
      <c r="BZ12" s="214">
        <f t="shared" si="27"/>
        <v>2937463.9327490302</v>
      </c>
      <c r="CA12" s="214">
        <f t="shared" si="27"/>
        <v>2937463.9327490302</v>
      </c>
      <c r="CB12" s="214">
        <f t="shared" si="27"/>
        <v>2937463.9327490302</v>
      </c>
      <c r="CC12" s="214">
        <f t="shared" si="27"/>
        <v>2937463.9327490302</v>
      </c>
      <c r="CD12" s="214">
        <f t="shared" si="27"/>
        <v>2937463.9327490302</v>
      </c>
      <c r="CE12" s="214">
        <f t="shared" si="27"/>
        <v>2937463.9327490302</v>
      </c>
      <c r="CF12" s="214">
        <f t="shared" si="27"/>
        <v>2937463.9327490302</v>
      </c>
      <c r="CG12" s="214">
        <f t="shared" si="27"/>
        <v>2937463.9327490302</v>
      </c>
      <c r="CH12" s="214">
        <f t="shared" si="27"/>
        <v>2937463.9327490302</v>
      </c>
      <c r="CI12" s="214">
        <f t="shared" si="27"/>
        <v>2937463.9327490302</v>
      </c>
      <c r="CJ12" s="214">
        <f t="shared" si="27"/>
        <v>2937463.9327490302</v>
      </c>
      <c r="CK12" s="214">
        <f t="shared" si="27"/>
        <v>2937463.9327490302</v>
      </c>
      <c r="CL12" s="214">
        <f t="shared" si="27"/>
        <v>2937463.9327490302</v>
      </c>
      <c r="CM12" s="214">
        <f t="shared" si="27"/>
        <v>2937463.9327490302</v>
      </c>
      <c r="CN12" s="214">
        <f t="shared" si="27"/>
        <v>2937463.9327490302</v>
      </c>
      <c r="CO12" s="214">
        <f t="shared" si="27"/>
        <v>2937463.9327490302</v>
      </c>
      <c r="CP12" s="214">
        <f t="shared" si="27"/>
        <v>2937463.9327490302</v>
      </c>
      <c r="CQ12" s="214">
        <f t="shared" si="27"/>
        <v>2937463.9327490302</v>
      </c>
      <c r="CR12" s="214">
        <f t="shared" si="27"/>
        <v>2937463.9327490302</v>
      </c>
      <c r="CS12" s="214">
        <f t="shared" si="27"/>
        <v>2937463.9327490302</v>
      </c>
      <c r="CT12" s="214">
        <f t="shared" si="27"/>
        <v>2937463.9327490302</v>
      </c>
      <c r="CU12" s="214">
        <f t="shared" si="27"/>
        <v>2937463.9327490302</v>
      </c>
      <c r="CV12" s="214">
        <f t="shared" si="27"/>
        <v>2937463.9327490302</v>
      </c>
      <c r="CW12" s="214">
        <f t="shared" si="27"/>
        <v>2937463.9327490302</v>
      </c>
      <c r="CX12" s="214">
        <f t="shared" si="27"/>
        <v>2937463.9327490302</v>
      </c>
      <c r="CY12" s="214">
        <f t="shared" si="27"/>
        <v>2937463.9327490302</v>
      </c>
      <c r="CZ12" s="214">
        <f t="shared" si="27"/>
        <v>2937463.9327490302</v>
      </c>
      <c r="DA12" s="214">
        <f t="shared" si="27"/>
        <v>2937463.9327490302</v>
      </c>
      <c r="DB12" s="214">
        <f t="shared" si="27"/>
        <v>2937463.9327490302</v>
      </c>
      <c r="DC12" s="214">
        <f t="shared" si="27"/>
        <v>2937463.9327490302</v>
      </c>
      <c r="DD12" s="214">
        <f t="shared" si="27"/>
        <v>2937463.9327490302</v>
      </c>
      <c r="DE12" s="214">
        <f t="shared" si="27"/>
        <v>2937463.9327490302</v>
      </c>
      <c r="DF12" s="214">
        <f t="shared" si="27"/>
        <v>2937463.9327490302</v>
      </c>
      <c r="DG12" s="214">
        <f t="shared" si="27"/>
        <v>2937463.9327490302</v>
      </c>
      <c r="DH12" s="214">
        <f t="shared" si="27"/>
        <v>2937463.9327490302</v>
      </c>
      <c r="DI12" s="214">
        <f t="shared" si="27"/>
        <v>2937463.9327490302</v>
      </c>
      <c r="DJ12" s="214">
        <f t="shared" si="27"/>
        <v>2937463.9327490302</v>
      </c>
      <c r="DK12" s="214">
        <f t="shared" si="27"/>
        <v>2937463.9327490302</v>
      </c>
      <c r="DL12" s="214">
        <f t="shared" si="27"/>
        <v>2937463.9327490302</v>
      </c>
      <c r="DM12" s="214">
        <f t="shared" si="27"/>
        <v>2937463.9327490302</v>
      </c>
      <c r="DN12" s="214">
        <f t="shared" si="27"/>
        <v>2937463.9327490302</v>
      </c>
      <c r="DO12" s="214">
        <f t="shared" si="27"/>
        <v>2937463.9327490302</v>
      </c>
      <c r="DP12" s="214">
        <f t="shared" si="27"/>
        <v>2937463.9327490302</v>
      </c>
      <c r="DQ12" s="214">
        <f t="shared" si="27"/>
        <v>2937463.9327490302</v>
      </c>
      <c r="DR12" s="214">
        <f t="shared" si="27"/>
        <v>2937463.9327490302</v>
      </c>
      <c r="DS12" s="214">
        <f t="shared" si="27"/>
        <v>2937463.9327490302</v>
      </c>
      <c r="DT12" s="214">
        <f t="shared" si="27"/>
        <v>2937463.9327490302</v>
      </c>
      <c r="DU12" s="214">
        <f t="shared" si="27"/>
        <v>2937463.9327490302</v>
      </c>
      <c r="DV12" s="214">
        <f t="shared" si="27"/>
        <v>2937463.9327490302</v>
      </c>
      <c r="DW12" s="214">
        <f t="shared" si="27"/>
        <v>2937463.9327490302</v>
      </c>
      <c r="DX12" s="214">
        <f t="shared" si="27"/>
        <v>2937463.9327490302</v>
      </c>
      <c r="DY12" s="214">
        <f t="shared" si="27"/>
        <v>2937463.9327490302</v>
      </c>
      <c r="DZ12" s="214">
        <f t="shared" si="27"/>
        <v>2937463.9327490302</v>
      </c>
      <c r="EA12" s="214">
        <f t="shared" si="27"/>
        <v>2937463.9327490302</v>
      </c>
      <c r="EB12" s="214">
        <f t="shared" si="27"/>
        <v>2937463.9327490302</v>
      </c>
      <c r="EC12" s="214">
        <f t="shared" si="27"/>
        <v>2937463.9327490302</v>
      </c>
      <c r="ED12" s="214">
        <f t="shared" si="27"/>
        <v>2937463.9327490302</v>
      </c>
      <c r="EE12" s="214">
        <f t="shared" si="27"/>
        <v>2937463.9327490302</v>
      </c>
      <c r="EF12" s="214">
        <f t="shared" si="27"/>
        <v>2937463.9327490302</v>
      </c>
      <c r="EG12" s="214">
        <f t="shared" ref="EG12:GR12" si="28">EF12+EG11</f>
        <v>2937463.9327490302</v>
      </c>
      <c r="EH12" s="214">
        <f t="shared" si="28"/>
        <v>2937463.9327490302</v>
      </c>
      <c r="EI12" s="214">
        <f t="shared" si="28"/>
        <v>2937463.9327490302</v>
      </c>
      <c r="EJ12" s="214">
        <f t="shared" si="28"/>
        <v>2937463.9327490302</v>
      </c>
      <c r="EK12" s="214">
        <f t="shared" si="28"/>
        <v>2937463.9327490302</v>
      </c>
      <c r="EL12" s="214">
        <f t="shared" si="28"/>
        <v>2937463.9327490302</v>
      </c>
      <c r="EM12" s="214">
        <f t="shared" si="28"/>
        <v>2937463.9327490302</v>
      </c>
      <c r="EN12" s="214">
        <f t="shared" si="28"/>
        <v>2937463.9327490302</v>
      </c>
      <c r="EO12" s="214">
        <f t="shared" si="28"/>
        <v>2937463.9327490302</v>
      </c>
      <c r="EP12" s="214">
        <f t="shared" si="28"/>
        <v>2937463.9327490302</v>
      </c>
      <c r="EQ12" s="214">
        <f t="shared" si="28"/>
        <v>2937463.9327490302</v>
      </c>
      <c r="ER12" s="214">
        <f t="shared" si="28"/>
        <v>2937463.9327490302</v>
      </c>
      <c r="ES12" s="214">
        <f t="shared" si="28"/>
        <v>2937463.9327490302</v>
      </c>
      <c r="ET12" s="214">
        <f t="shared" si="28"/>
        <v>2937463.9327490302</v>
      </c>
      <c r="EU12" s="214">
        <f t="shared" si="28"/>
        <v>2937463.9327490302</v>
      </c>
      <c r="EV12" s="214">
        <f t="shared" si="28"/>
        <v>2937463.9327490302</v>
      </c>
      <c r="EW12" s="214">
        <f t="shared" si="28"/>
        <v>2937463.9327490302</v>
      </c>
      <c r="EX12" s="214">
        <f t="shared" si="28"/>
        <v>2937463.9327490302</v>
      </c>
      <c r="EY12" s="214">
        <f t="shared" si="28"/>
        <v>2937463.9327490302</v>
      </c>
      <c r="EZ12" s="214">
        <f t="shared" si="28"/>
        <v>2937463.9327490302</v>
      </c>
      <c r="FA12" s="214">
        <f t="shared" si="28"/>
        <v>2937463.9327490302</v>
      </c>
      <c r="FB12" s="214">
        <f t="shared" si="28"/>
        <v>2937463.9327490302</v>
      </c>
      <c r="FC12" s="214">
        <f t="shared" si="28"/>
        <v>2937463.9327490302</v>
      </c>
      <c r="FD12" s="214">
        <f t="shared" si="28"/>
        <v>2937463.9327490302</v>
      </c>
      <c r="FE12" s="214">
        <f t="shared" si="28"/>
        <v>2937463.9327490302</v>
      </c>
      <c r="FF12" s="214">
        <f t="shared" si="28"/>
        <v>2937463.9327490302</v>
      </c>
      <c r="FG12" s="214">
        <f t="shared" si="28"/>
        <v>2937463.9327490302</v>
      </c>
      <c r="FH12" s="214">
        <f t="shared" si="28"/>
        <v>2937463.9327490302</v>
      </c>
      <c r="FI12" s="214">
        <f t="shared" si="28"/>
        <v>2937463.9327490302</v>
      </c>
      <c r="FJ12" s="214">
        <f t="shared" si="28"/>
        <v>2937463.9327490302</v>
      </c>
      <c r="FK12" s="214">
        <f t="shared" si="28"/>
        <v>2937463.9327490302</v>
      </c>
      <c r="FL12" s="214">
        <f t="shared" si="28"/>
        <v>2937463.9327490302</v>
      </c>
      <c r="FM12" s="214">
        <f t="shared" si="28"/>
        <v>2937463.9327490302</v>
      </c>
      <c r="FN12" s="214">
        <f t="shared" si="28"/>
        <v>2937463.9327490302</v>
      </c>
      <c r="FO12" s="214">
        <f t="shared" si="28"/>
        <v>2937463.9327490302</v>
      </c>
      <c r="FP12" s="214">
        <f t="shared" si="28"/>
        <v>2937463.9327490302</v>
      </c>
      <c r="FQ12" s="214">
        <f t="shared" si="28"/>
        <v>2937463.9327490302</v>
      </c>
      <c r="FR12" s="214">
        <f t="shared" si="28"/>
        <v>2937463.9327490302</v>
      </c>
      <c r="FS12" s="214">
        <f t="shared" si="28"/>
        <v>2937463.9327490302</v>
      </c>
      <c r="FT12" s="214">
        <f t="shared" si="28"/>
        <v>2937463.9327490302</v>
      </c>
      <c r="FU12" s="214">
        <f t="shared" si="28"/>
        <v>2937463.9327490302</v>
      </c>
      <c r="FV12" s="214">
        <f t="shared" si="28"/>
        <v>2937463.9327490302</v>
      </c>
      <c r="FW12" s="214">
        <f t="shared" si="28"/>
        <v>2937463.9327490302</v>
      </c>
      <c r="FX12" s="214">
        <f t="shared" si="28"/>
        <v>2937463.9327490302</v>
      </c>
      <c r="FY12" s="214">
        <f t="shared" si="28"/>
        <v>2937463.9327490302</v>
      </c>
      <c r="FZ12" s="214">
        <f t="shared" si="28"/>
        <v>2937463.9327490302</v>
      </c>
      <c r="GA12" s="214">
        <f t="shared" si="28"/>
        <v>2937463.9327490302</v>
      </c>
      <c r="GB12" s="214">
        <f t="shared" si="28"/>
        <v>2937463.9327490302</v>
      </c>
      <c r="GC12" s="214">
        <f t="shared" si="28"/>
        <v>2937463.9327490302</v>
      </c>
      <c r="GD12" s="214">
        <f t="shared" si="28"/>
        <v>2937463.9327490302</v>
      </c>
      <c r="GE12" s="214">
        <f t="shared" si="28"/>
        <v>2937463.9327490302</v>
      </c>
      <c r="GF12" s="214">
        <f t="shared" si="28"/>
        <v>2937463.9327490302</v>
      </c>
      <c r="GG12" s="214">
        <f t="shared" si="28"/>
        <v>2937463.9327490302</v>
      </c>
      <c r="GH12" s="214">
        <f t="shared" si="28"/>
        <v>2937463.9327490302</v>
      </c>
      <c r="GI12" s="214">
        <f t="shared" si="28"/>
        <v>2937463.9327490302</v>
      </c>
      <c r="GJ12" s="214">
        <f t="shared" si="28"/>
        <v>2937463.9327490302</v>
      </c>
      <c r="GK12" s="214">
        <f t="shared" si="28"/>
        <v>2937463.9327490302</v>
      </c>
      <c r="GL12" s="214">
        <f t="shared" si="28"/>
        <v>2937463.9327490302</v>
      </c>
      <c r="GM12" s="214">
        <f t="shared" si="28"/>
        <v>2937463.9327490302</v>
      </c>
      <c r="GN12" s="214">
        <f t="shared" si="28"/>
        <v>2937463.9327490302</v>
      </c>
      <c r="GO12" s="214">
        <f t="shared" si="28"/>
        <v>2937463.9327490302</v>
      </c>
      <c r="GP12" s="214">
        <f t="shared" si="28"/>
        <v>2937463.9327490302</v>
      </c>
      <c r="GQ12" s="214">
        <f t="shared" si="28"/>
        <v>2937463.9327490302</v>
      </c>
      <c r="GR12" s="214">
        <f t="shared" si="28"/>
        <v>2937463.9327490302</v>
      </c>
      <c r="GS12" s="214">
        <f t="shared" ref="GS12:JD12" si="29">GR12+GS11</f>
        <v>2937463.9327490302</v>
      </c>
      <c r="GT12" s="214">
        <f t="shared" si="29"/>
        <v>2937463.9327490302</v>
      </c>
      <c r="GU12" s="214">
        <f t="shared" si="29"/>
        <v>2937463.9327490302</v>
      </c>
      <c r="GV12" s="214">
        <f t="shared" si="29"/>
        <v>2937463.9327490302</v>
      </c>
      <c r="GW12" s="214">
        <f t="shared" si="29"/>
        <v>2937463.9327490302</v>
      </c>
      <c r="GX12" s="214">
        <f t="shared" si="29"/>
        <v>2937463.9327490302</v>
      </c>
      <c r="GY12" s="214">
        <f t="shared" si="29"/>
        <v>2937463.9327490302</v>
      </c>
      <c r="GZ12" s="214">
        <f t="shared" si="29"/>
        <v>2937463.9327490302</v>
      </c>
      <c r="HA12" s="214">
        <f t="shared" si="29"/>
        <v>2937463.9327490302</v>
      </c>
      <c r="HB12" s="214">
        <f t="shared" si="29"/>
        <v>2937463.9327490302</v>
      </c>
      <c r="HC12" s="214">
        <f t="shared" si="29"/>
        <v>2937463.9327490302</v>
      </c>
      <c r="HD12" s="214">
        <f t="shared" si="29"/>
        <v>2937463.9327490302</v>
      </c>
      <c r="HE12" s="214">
        <f t="shared" si="29"/>
        <v>2937463.9327490302</v>
      </c>
      <c r="HF12" s="214">
        <f t="shared" si="29"/>
        <v>2937463.9327490302</v>
      </c>
      <c r="HG12" s="214">
        <f t="shared" si="29"/>
        <v>2937463.9327490302</v>
      </c>
      <c r="HH12" s="214">
        <f t="shared" si="29"/>
        <v>2937463.9327490302</v>
      </c>
      <c r="HI12" s="214">
        <f t="shared" si="29"/>
        <v>2937463.9327490302</v>
      </c>
      <c r="HJ12" s="214">
        <f t="shared" si="29"/>
        <v>2937463.9327490302</v>
      </c>
      <c r="HK12" s="214">
        <f t="shared" si="29"/>
        <v>2937463.9327490302</v>
      </c>
      <c r="HL12" s="214">
        <f t="shared" si="29"/>
        <v>2937463.9327490302</v>
      </c>
      <c r="HM12" s="214">
        <f t="shared" si="29"/>
        <v>2937463.9327490302</v>
      </c>
      <c r="HN12" s="214">
        <f t="shared" si="29"/>
        <v>2937463.9327490302</v>
      </c>
      <c r="HO12" s="214">
        <f t="shared" si="29"/>
        <v>2937463.9327490302</v>
      </c>
      <c r="HP12" s="214">
        <f t="shared" si="29"/>
        <v>2937463.9327490302</v>
      </c>
      <c r="HQ12" s="214">
        <f t="shared" si="29"/>
        <v>2937463.9327490302</v>
      </c>
      <c r="HR12" s="214">
        <f t="shared" si="29"/>
        <v>2937463.9327490302</v>
      </c>
      <c r="HS12" s="214">
        <f t="shared" si="29"/>
        <v>2937463.9327490302</v>
      </c>
      <c r="HT12" s="214">
        <f t="shared" si="29"/>
        <v>2937463.9327490302</v>
      </c>
      <c r="HU12" s="214">
        <f t="shared" si="29"/>
        <v>2937463.9327490302</v>
      </c>
      <c r="HV12" s="214">
        <f t="shared" si="29"/>
        <v>2937463.9327490302</v>
      </c>
      <c r="HW12" s="214">
        <f t="shared" si="29"/>
        <v>2937463.9327490302</v>
      </c>
      <c r="HX12" s="214">
        <f t="shared" si="29"/>
        <v>2937463.9327490302</v>
      </c>
      <c r="HY12" s="214">
        <f t="shared" si="29"/>
        <v>2937463.9327490302</v>
      </c>
      <c r="HZ12" s="214">
        <f t="shared" si="29"/>
        <v>2937463.9327490302</v>
      </c>
      <c r="IA12" s="214">
        <f t="shared" si="29"/>
        <v>2937463.9327490302</v>
      </c>
      <c r="IB12" s="214">
        <f t="shared" si="29"/>
        <v>2937463.9327490302</v>
      </c>
      <c r="IC12" s="214">
        <f t="shared" si="29"/>
        <v>2937463.9327490302</v>
      </c>
      <c r="ID12" s="214">
        <f t="shared" si="29"/>
        <v>2937463.9327490302</v>
      </c>
      <c r="IE12" s="214">
        <f t="shared" si="29"/>
        <v>2937463.9327490302</v>
      </c>
      <c r="IF12" s="214">
        <f t="shared" si="29"/>
        <v>2937463.9327490302</v>
      </c>
      <c r="IG12" s="214">
        <f t="shared" si="29"/>
        <v>2937463.9327490302</v>
      </c>
      <c r="IH12" s="214">
        <f t="shared" si="29"/>
        <v>2937463.9327490302</v>
      </c>
      <c r="II12" s="214">
        <f t="shared" si="29"/>
        <v>2937463.9327490302</v>
      </c>
      <c r="IJ12" s="214">
        <f t="shared" si="29"/>
        <v>2937463.9327490302</v>
      </c>
      <c r="IK12" s="214">
        <f t="shared" si="29"/>
        <v>2937463.9327490302</v>
      </c>
      <c r="IL12" s="214">
        <f t="shared" si="29"/>
        <v>2937463.9327490302</v>
      </c>
      <c r="IM12" s="214">
        <f t="shared" si="29"/>
        <v>2937463.9327490302</v>
      </c>
      <c r="IN12" s="214">
        <f t="shared" si="29"/>
        <v>2937463.9327490302</v>
      </c>
      <c r="IO12" s="214">
        <f t="shared" si="29"/>
        <v>2937463.9327490302</v>
      </c>
      <c r="IP12" s="214">
        <f t="shared" si="29"/>
        <v>2937463.9327490302</v>
      </c>
      <c r="IQ12" s="214">
        <f t="shared" si="29"/>
        <v>2937463.9327490302</v>
      </c>
      <c r="IR12" s="214">
        <f t="shared" si="29"/>
        <v>2937463.9327490302</v>
      </c>
      <c r="IS12" s="214">
        <f t="shared" si="29"/>
        <v>2937463.9327490302</v>
      </c>
      <c r="IT12" s="214">
        <f t="shared" si="29"/>
        <v>2937463.9327490302</v>
      </c>
      <c r="IU12" s="214">
        <f t="shared" si="29"/>
        <v>2937463.9327490302</v>
      </c>
      <c r="IV12" s="214">
        <f t="shared" si="29"/>
        <v>2937463.9327490302</v>
      </c>
      <c r="IW12" s="214">
        <f t="shared" si="29"/>
        <v>2937463.9327490302</v>
      </c>
      <c r="IX12" s="214">
        <f t="shared" si="29"/>
        <v>2937463.9327490302</v>
      </c>
      <c r="IY12" s="214">
        <f t="shared" si="29"/>
        <v>2937463.9327490302</v>
      </c>
      <c r="IZ12" s="214">
        <f t="shared" si="29"/>
        <v>2937463.9327490302</v>
      </c>
      <c r="JA12" s="214">
        <f t="shared" si="29"/>
        <v>2937463.9327490302</v>
      </c>
      <c r="JB12" s="214">
        <f t="shared" si="29"/>
        <v>2937463.9327490302</v>
      </c>
      <c r="JC12" s="214">
        <f t="shared" si="29"/>
        <v>2937463.9327490302</v>
      </c>
      <c r="JD12" s="214">
        <f t="shared" si="29"/>
        <v>2937463.9327490302</v>
      </c>
      <c r="JE12" s="214">
        <f t="shared" ref="JE12:LD12" si="30">JD12+JE11</f>
        <v>2937463.9327490302</v>
      </c>
      <c r="JF12" s="214">
        <f t="shared" si="30"/>
        <v>2937463.9327490302</v>
      </c>
      <c r="JG12" s="214">
        <f t="shared" si="30"/>
        <v>2937463.9327490302</v>
      </c>
      <c r="JH12" s="214">
        <f t="shared" si="30"/>
        <v>2937463.9327490302</v>
      </c>
      <c r="JI12" s="214">
        <f t="shared" si="30"/>
        <v>2937463.9327490302</v>
      </c>
      <c r="JJ12" s="214">
        <f t="shared" si="30"/>
        <v>2937463.9327490302</v>
      </c>
      <c r="JK12" s="214">
        <f t="shared" si="30"/>
        <v>2937463.9327490302</v>
      </c>
      <c r="JL12" s="214">
        <f t="shared" si="30"/>
        <v>2937463.9327490302</v>
      </c>
      <c r="JM12" s="214">
        <f t="shared" si="30"/>
        <v>2937463.9327490302</v>
      </c>
      <c r="JN12" s="214">
        <f t="shared" si="30"/>
        <v>2937463.9327490302</v>
      </c>
      <c r="JO12" s="214">
        <f t="shared" si="30"/>
        <v>2937463.9327490302</v>
      </c>
      <c r="JP12" s="214">
        <f t="shared" si="30"/>
        <v>2937463.9327490302</v>
      </c>
      <c r="JQ12" s="214">
        <f t="shared" si="30"/>
        <v>2937463.9327490302</v>
      </c>
      <c r="JR12" s="214">
        <f t="shared" si="30"/>
        <v>2937463.9327490302</v>
      </c>
      <c r="JS12" s="214">
        <f t="shared" si="30"/>
        <v>2937463.9327490302</v>
      </c>
      <c r="JT12" s="214">
        <f t="shared" si="30"/>
        <v>2937463.9327490302</v>
      </c>
      <c r="JU12" s="214">
        <f t="shared" si="30"/>
        <v>2937463.9327490302</v>
      </c>
      <c r="JV12" s="214">
        <f t="shared" si="30"/>
        <v>2937463.9327490302</v>
      </c>
      <c r="JW12" s="214">
        <f t="shared" si="30"/>
        <v>2937463.9327490302</v>
      </c>
      <c r="JX12" s="214">
        <f t="shared" si="30"/>
        <v>2937463.9327490302</v>
      </c>
      <c r="JY12" s="214">
        <f t="shared" si="30"/>
        <v>2937463.9327490302</v>
      </c>
      <c r="JZ12" s="214">
        <f t="shared" si="30"/>
        <v>2937463.9327490302</v>
      </c>
      <c r="KA12" s="214">
        <f t="shared" si="30"/>
        <v>2937463.9327490302</v>
      </c>
      <c r="KB12" s="214">
        <f t="shared" si="30"/>
        <v>2937463.9327490302</v>
      </c>
      <c r="KC12" s="214">
        <f t="shared" si="30"/>
        <v>2937463.9327490302</v>
      </c>
      <c r="KD12" s="214">
        <f t="shared" si="30"/>
        <v>2937463.9327490302</v>
      </c>
      <c r="KE12" s="214">
        <f t="shared" si="30"/>
        <v>2937463.9327490302</v>
      </c>
      <c r="KF12" s="214">
        <f t="shared" si="30"/>
        <v>2937463.9327490302</v>
      </c>
      <c r="KG12" s="214">
        <f t="shared" si="30"/>
        <v>2937463.9327490302</v>
      </c>
      <c r="KH12" s="214">
        <f t="shared" si="30"/>
        <v>2937463.9327490302</v>
      </c>
      <c r="KI12" s="214">
        <f t="shared" si="30"/>
        <v>2937463.9327490302</v>
      </c>
      <c r="KJ12" s="214">
        <f t="shared" si="30"/>
        <v>2937463.9327490302</v>
      </c>
      <c r="KK12" s="214">
        <f t="shared" si="30"/>
        <v>2937463.9327490302</v>
      </c>
      <c r="KL12" s="214">
        <f t="shared" si="30"/>
        <v>2937463.9327490302</v>
      </c>
      <c r="KM12" s="214">
        <f t="shared" si="30"/>
        <v>2937463.9327490302</v>
      </c>
      <c r="KN12" s="214">
        <f t="shared" si="30"/>
        <v>2937463.9327490302</v>
      </c>
      <c r="KO12" s="214">
        <f t="shared" si="30"/>
        <v>2937463.9327490302</v>
      </c>
      <c r="KP12" s="214">
        <f t="shared" si="30"/>
        <v>2937463.9327490302</v>
      </c>
      <c r="KQ12" s="214">
        <f t="shared" si="30"/>
        <v>2937463.9327490302</v>
      </c>
      <c r="KR12" s="214">
        <f t="shared" si="30"/>
        <v>2937463.9327490302</v>
      </c>
      <c r="KS12" s="214">
        <f t="shared" si="30"/>
        <v>2937463.9327490302</v>
      </c>
      <c r="KT12" s="214">
        <f t="shared" si="30"/>
        <v>2937463.9327490302</v>
      </c>
      <c r="KU12" s="214">
        <f t="shared" si="30"/>
        <v>2937463.9327490302</v>
      </c>
      <c r="KV12" s="214">
        <f t="shared" si="30"/>
        <v>2937463.9327490302</v>
      </c>
      <c r="KW12" s="214">
        <f t="shared" si="30"/>
        <v>2937463.9327490302</v>
      </c>
      <c r="KX12" s="214">
        <f t="shared" si="30"/>
        <v>2937463.9327490302</v>
      </c>
      <c r="KY12" s="214">
        <f t="shared" si="30"/>
        <v>2937463.9327490302</v>
      </c>
      <c r="KZ12" s="214">
        <f t="shared" si="30"/>
        <v>2937463.9327490302</v>
      </c>
      <c r="LA12" s="214">
        <f t="shared" si="30"/>
        <v>2937463.9327490302</v>
      </c>
      <c r="LB12" s="214">
        <f t="shared" si="30"/>
        <v>2937463.9327490302</v>
      </c>
      <c r="LC12" s="214">
        <f t="shared" si="30"/>
        <v>2937463.9327490302</v>
      </c>
      <c r="LD12" s="214">
        <f t="shared" si="30"/>
        <v>2937463.9327490302</v>
      </c>
      <c r="LE12" s="191"/>
      <c r="LF12" s="202"/>
    </row>
    <row r="13" spans="1:794" s="191" customFormat="1">
      <c r="A13" s="81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4" t="s">
        <v>409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468949.60657041613</v>
      </c>
      <c r="BI14" s="207">
        <f t="shared" si="32"/>
        <v>468949.60657041613</v>
      </c>
      <c r="BJ14" s="207">
        <f t="shared" si="32"/>
        <v>468949.60657041613</v>
      </c>
      <c r="BK14" s="207">
        <f t="shared" si="32"/>
        <v>373362.76725097001</v>
      </c>
      <c r="BL14" s="207">
        <f t="shared" si="32"/>
        <v>503005.06725096982</v>
      </c>
      <c r="BM14" s="207">
        <f t="shared" si="32"/>
        <v>503005.06725096982</v>
      </c>
      <c r="BN14" s="207">
        <f t="shared" si="32"/>
        <v>503005.06725096982</v>
      </c>
      <c r="BO14" s="207">
        <f t="shared" si="32"/>
        <v>503005.06725096982</v>
      </c>
      <c r="BP14" s="207">
        <f t="shared" si="32"/>
        <v>462642.06725096982</v>
      </c>
      <c r="BQ14" s="207">
        <f t="shared" si="32"/>
        <v>462642.06725096982</v>
      </c>
      <c r="BR14" s="207">
        <f t="shared" si="32"/>
        <v>462642.06725096982</v>
      </c>
      <c r="BS14" s="207">
        <f t="shared" si="32"/>
        <v>462642.06725096982</v>
      </c>
      <c r="BT14" s="207">
        <f t="shared" si="32"/>
        <v>462642.06725096982</v>
      </c>
      <c r="BU14" s="207">
        <f t="shared" ref="BU14:EF14" si="33">BU10-BU12</f>
        <v>462642.06725096982</v>
      </c>
      <c r="BV14" s="207">
        <f t="shared" si="33"/>
        <v>462642.06725096982</v>
      </c>
      <c r="BW14" s="207">
        <f t="shared" si="33"/>
        <v>462642.06725096982</v>
      </c>
      <c r="BX14" s="207">
        <f t="shared" si="33"/>
        <v>462642.06725096982</v>
      </c>
      <c r="BY14" s="207">
        <f t="shared" si="33"/>
        <v>462642.06725096982</v>
      </c>
      <c r="BZ14" s="207">
        <f t="shared" si="33"/>
        <v>462642.06725096982</v>
      </c>
      <c r="CA14" s="207">
        <f t="shared" si="33"/>
        <v>462642.06725096982</v>
      </c>
      <c r="CB14" s="207">
        <f t="shared" si="33"/>
        <v>462642.06725096982</v>
      </c>
      <c r="CC14" s="207">
        <f t="shared" si="33"/>
        <v>462642.06725096982</v>
      </c>
      <c r="CD14" s="207">
        <f t="shared" si="33"/>
        <v>462642.06725096982</v>
      </c>
      <c r="CE14" s="207">
        <f t="shared" si="33"/>
        <v>462642.06725096982</v>
      </c>
      <c r="CF14" s="207">
        <f t="shared" si="33"/>
        <v>462642.06725096982</v>
      </c>
      <c r="CG14" s="207">
        <f t="shared" si="33"/>
        <v>462642.06725096982</v>
      </c>
      <c r="CH14" s="207">
        <f t="shared" si="33"/>
        <v>462642.06725096982</v>
      </c>
      <c r="CI14" s="207">
        <f t="shared" si="33"/>
        <v>462642.06725096982</v>
      </c>
      <c r="CJ14" s="207">
        <f t="shared" si="33"/>
        <v>462642.06725096982</v>
      </c>
      <c r="CK14" s="207">
        <f t="shared" si="33"/>
        <v>462642.06725096982</v>
      </c>
      <c r="CL14" s="207">
        <f t="shared" si="33"/>
        <v>462642.06725096982</v>
      </c>
      <c r="CM14" s="207">
        <f t="shared" si="33"/>
        <v>462642.06725096982</v>
      </c>
      <c r="CN14" s="207">
        <f t="shared" si="33"/>
        <v>462642.06725096982</v>
      </c>
      <c r="CO14" s="207">
        <f t="shared" si="33"/>
        <v>462642.06725096982</v>
      </c>
      <c r="CP14" s="207">
        <f t="shared" si="33"/>
        <v>462642.06725096982</v>
      </c>
      <c r="CQ14" s="207">
        <f t="shared" si="33"/>
        <v>462642.06725096982</v>
      </c>
      <c r="CR14" s="207">
        <f t="shared" si="33"/>
        <v>462642.06725096982</v>
      </c>
      <c r="CS14" s="207">
        <f t="shared" si="33"/>
        <v>462642.06725096982</v>
      </c>
      <c r="CT14" s="207">
        <f t="shared" si="33"/>
        <v>462642.06725096982</v>
      </c>
      <c r="CU14" s="207">
        <f t="shared" si="33"/>
        <v>462642.06725096982</v>
      </c>
      <c r="CV14" s="207">
        <f t="shared" si="33"/>
        <v>462642.06725096982</v>
      </c>
      <c r="CW14" s="207">
        <f t="shared" si="33"/>
        <v>462642.06725096982</v>
      </c>
      <c r="CX14" s="207">
        <f t="shared" si="33"/>
        <v>462642.06725096982</v>
      </c>
      <c r="CY14" s="207">
        <f t="shared" si="33"/>
        <v>462642.06725096982</v>
      </c>
      <c r="CZ14" s="207">
        <f t="shared" si="33"/>
        <v>462642.06725096982</v>
      </c>
      <c r="DA14" s="207">
        <f t="shared" si="33"/>
        <v>462642.06725096982</v>
      </c>
      <c r="DB14" s="207">
        <f t="shared" si="33"/>
        <v>462642.06725096982</v>
      </c>
      <c r="DC14" s="207">
        <f t="shared" si="33"/>
        <v>462642.06725096982</v>
      </c>
      <c r="DD14" s="207">
        <f t="shared" si="33"/>
        <v>462642.06725096982</v>
      </c>
      <c r="DE14" s="207">
        <f t="shared" si="33"/>
        <v>462642.06725096982</v>
      </c>
      <c r="DF14" s="207">
        <f t="shared" si="33"/>
        <v>462642.06725096982</v>
      </c>
      <c r="DG14" s="207">
        <f t="shared" si="33"/>
        <v>462642.06725096982</v>
      </c>
      <c r="DH14" s="207">
        <f t="shared" si="33"/>
        <v>462642.06725096982</v>
      </c>
      <c r="DI14" s="207">
        <f t="shared" si="33"/>
        <v>462642.06725096982</v>
      </c>
      <c r="DJ14" s="207">
        <f t="shared" si="33"/>
        <v>462642.06725096982</v>
      </c>
      <c r="DK14" s="207">
        <f t="shared" si="33"/>
        <v>462642.06725096982</v>
      </c>
      <c r="DL14" s="207">
        <f t="shared" si="33"/>
        <v>462642.06725096982</v>
      </c>
      <c r="DM14" s="207">
        <f t="shared" si="33"/>
        <v>462642.06725096982</v>
      </c>
      <c r="DN14" s="207">
        <f t="shared" si="33"/>
        <v>462642.06725096982</v>
      </c>
      <c r="DO14" s="207">
        <f t="shared" si="33"/>
        <v>462642.06725096982</v>
      </c>
      <c r="DP14" s="207">
        <f t="shared" si="33"/>
        <v>462642.06725096982</v>
      </c>
      <c r="DQ14" s="207">
        <f t="shared" si="33"/>
        <v>462642.06725096982</v>
      </c>
      <c r="DR14" s="207">
        <f t="shared" si="33"/>
        <v>462642.06725096982</v>
      </c>
      <c r="DS14" s="207">
        <f t="shared" si="33"/>
        <v>462642.06725096982</v>
      </c>
      <c r="DT14" s="207">
        <f t="shared" si="33"/>
        <v>462642.06725096982</v>
      </c>
      <c r="DU14" s="207">
        <f t="shared" si="33"/>
        <v>462642.06725096982</v>
      </c>
      <c r="DV14" s="207">
        <f t="shared" si="33"/>
        <v>462642.06725096982</v>
      </c>
      <c r="DW14" s="207">
        <f t="shared" si="33"/>
        <v>462642.06725096982</v>
      </c>
      <c r="DX14" s="207">
        <f t="shared" si="33"/>
        <v>462642.06725096982</v>
      </c>
      <c r="DY14" s="207">
        <f t="shared" si="33"/>
        <v>462642.06725096982</v>
      </c>
      <c r="DZ14" s="207">
        <f t="shared" si="33"/>
        <v>462642.06725096982</v>
      </c>
      <c r="EA14" s="207">
        <f t="shared" si="33"/>
        <v>462642.06725096982</v>
      </c>
      <c r="EB14" s="207">
        <f t="shared" si="33"/>
        <v>462642.06725096982</v>
      </c>
      <c r="EC14" s="207">
        <f t="shared" si="33"/>
        <v>462642.06725096982</v>
      </c>
      <c r="ED14" s="207">
        <f t="shared" si="33"/>
        <v>462642.06725096982</v>
      </c>
      <c r="EE14" s="207">
        <f t="shared" si="33"/>
        <v>462642.06725096982</v>
      </c>
      <c r="EF14" s="207">
        <f t="shared" si="33"/>
        <v>462642.06725096982</v>
      </c>
      <c r="EG14" s="207">
        <f t="shared" ref="EG14:GR14" si="34">EG10-EG12</f>
        <v>462642.06725096982</v>
      </c>
      <c r="EH14" s="207">
        <f t="shared" si="34"/>
        <v>462642.06725096982</v>
      </c>
      <c r="EI14" s="207">
        <f t="shared" si="34"/>
        <v>462642.06725096982</v>
      </c>
      <c r="EJ14" s="207">
        <f t="shared" si="34"/>
        <v>462642.06725096982</v>
      </c>
      <c r="EK14" s="207">
        <f t="shared" si="34"/>
        <v>462642.06725096982</v>
      </c>
      <c r="EL14" s="207">
        <f t="shared" si="34"/>
        <v>462642.06725096982</v>
      </c>
      <c r="EM14" s="207">
        <f t="shared" si="34"/>
        <v>462642.06725096982</v>
      </c>
      <c r="EN14" s="207">
        <f t="shared" si="34"/>
        <v>462642.06725096982</v>
      </c>
      <c r="EO14" s="207">
        <f t="shared" si="34"/>
        <v>462642.06725096982</v>
      </c>
      <c r="EP14" s="207">
        <f t="shared" si="34"/>
        <v>462642.06725096982</v>
      </c>
      <c r="EQ14" s="207">
        <f t="shared" si="34"/>
        <v>462642.06725096982</v>
      </c>
      <c r="ER14" s="207">
        <f t="shared" si="34"/>
        <v>462642.06725096982</v>
      </c>
      <c r="ES14" s="207">
        <f t="shared" si="34"/>
        <v>462642.06725096982</v>
      </c>
      <c r="ET14" s="207">
        <f t="shared" si="34"/>
        <v>462642.06725096982</v>
      </c>
      <c r="EU14" s="207">
        <f t="shared" si="34"/>
        <v>462642.06725096982</v>
      </c>
      <c r="EV14" s="207">
        <f t="shared" si="34"/>
        <v>462642.06725096982</v>
      </c>
      <c r="EW14" s="207">
        <f t="shared" si="34"/>
        <v>462642.06725096982</v>
      </c>
      <c r="EX14" s="207">
        <f t="shared" si="34"/>
        <v>462642.06725096982</v>
      </c>
      <c r="EY14" s="207">
        <f t="shared" si="34"/>
        <v>462642.06725096982</v>
      </c>
      <c r="EZ14" s="207">
        <f t="shared" si="34"/>
        <v>462642.06725096982</v>
      </c>
      <c r="FA14" s="207">
        <f t="shared" si="34"/>
        <v>462642.06725096982</v>
      </c>
      <c r="FB14" s="207">
        <f t="shared" si="34"/>
        <v>462642.06725096982</v>
      </c>
      <c r="FC14" s="207">
        <f t="shared" si="34"/>
        <v>462642.06725096982</v>
      </c>
      <c r="FD14" s="207">
        <f t="shared" si="34"/>
        <v>462642.06725096982</v>
      </c>
      <c r="FE14" s="207">
        <f t="shared" si="34"/>
        <v>462642.06725096982</v>
      </c>
      <c r="FF14" s="207">
        <f t="shared" si="34"/>
        <v>462642.06725096982</v>
      </c>
      <c r="FG14" s="207">
        <f t="shared" si="34"/>
        <v>462642.06725096982</v>
      </c>
      <c r="FH14" s="207">
        <f t="shared" si="34"/>
        <v>462642.06725096982</v>
      </c>
      <c r="FI14" s="207">
        <f t="shared" si="34"/>
        <v>462642.06725096982</v>
      </c>
      <c r="FJ14" s="207">
        <f t="shared" si="34"/>
        <v>462642.06725096982</v>
      </c>
      <c r="FK14" s="207">
        <f t="shared" si="34"/>
        <v>462642.06725096982</v>
      </c>
      <c r="FL14" s="207">
        <f t="shared" si="34"/>
        <v>462642.06725096982</v>
      </c>
      <c r="FM14" s="207">
        <f t="shared" si="34"/>
        <v>462642.06725096982</v>
      </c>
      <c r="FN14" s="207">
        <f t="shared" si="34"/>
        <v>462642.06725096982</v>
      </c>
      <c r="FO14" s="207">
        <f t="shared" si="34"/>
        <v>462642.06725096982</v>
      </c>
      <c r="FP14" s="207">
        <f t="shared" si="34"/>
        <v>462642.06725096982</v>
      </c>
      <c r="FQ14" s="207">
        <f t="shared" si="34"/>
        <v>462642.06725096982</v>
      </c>
      <c r="FR14" s="207">
        <f t="shared" si="34"/>
        <v>462642.06725096982</v>
      </c>
      <c r="FS14" s="207">
        <f t="shared" si="34"/>
        <v>462642.06725096982</v>
      </c>
      <c r="FT14" s="207">
        <f t="shared" si="34"/>
        <v>462642.06725096982</v>
      </c>
      <c r="FU14" s="207">
        <f t="shared" si="34"/>
        <v>462642.06725096982</v>
      </c>
      <c r="FV14" s="207">
        <f t="shared" si="34"/>
        <v>462642.06725096982</v>
      </c>
      <c r="FW14" s="207">
        <f t="shared" si="34"/>
        <v>462642.06725096982</v>
      </c>
      <c r="FX14" s="207">
        <f t="shared" si="34"/>
        <v>462642.06725096982</v>
      </c>
      <c r="FY14" s="207">
        <f t="shared" si="34"/>
        <v>462642.06725096982</v>
      </c>
      <c r="FZ14" s="207">
        <f t="shared" si="34"/>
        <v>462642.06725096982</v>
      </c>
      <c r="GA14" s="207">
        <f t="shared" si="34"/>
        <v>462642.06725096982</v>
      </c>
      <c r="GB14" s="207">
        <f t="shared" si="34"/>
        <v>462642.06725096982</v>
      </c>
      <c r="GC14" s="207">
        <f t="shared" si="34"/>
        <v>462642.06725096982</v>
      </c>
      <c r="GD14" s="207">
        <f t="shared" si="34"/>
        <v>462642.06725096982</v>
      </c>
      <c r="GE14" s="207">
        <f t="shared" si="34"/>
        <v>462642.06725096982</v>
      </c>
      <c r="GF14" s="207">
        <f t="shared" si="34"/>
        <v>462642.06725096982</v>
      </c>
      <c r="GG14" s="207">
        <f t="shared" si="34"/>
        <v>462642.06725096982</v>
      </c>
      <c r="GH14" s="207">
        <f t="shared" si="34"/>
        <v>462642.06725096982</v>
      </c>
      <c r="GI14" s="207">
        <f t="shared" si="34"/>
        <v>462642.06725096982</v>
      </c>
      <c r="GJ14" s="207">
        <f t="shared" si="34"/>
        <v>462642.06725096982</v>
      </c>
      <c r="GK14" s="207">
        <f t="shared" si="34"/>
        <v>462642.06725096982</v>
      </c>
      <c r="GL14" s="207">
        <f t="shared" si="34"/>
        <v>462642.06725096982</v>
      </c>
      <c r="GM14" s="207">
        <f t="shared" si="34"/>
        <v>462642.06725096982</v>
      </c>
      <c r="GN14" s="207">
        <f t="shared" si="34"/>
        <v>462642.06725096982</v>
      </c>
      <c r="GO14" s="207">
        <f t="shared" si="34"/>
        <v>462642.06725096982</v>
      </c>
      <c r="GP14" s="207">
        <f t="shared" si="34"/>
        <v>462642.06725096982</v>
      </c>
      <c r="GQ14" s="207">
        <f t="shared" si="34"/>
        <v>462642.06725096982</v>
      </c>
      <c r="GR14" s="207">
        <f t="shared" si="34"/>
        <v>462642.06725096982</v>
      </c>
      <c r="GS14" s="207">
        <f t="shared" ref="GS14:JD14" si="35">GS10-GS12</f>
        <v>462642.06725096982</v>
      </c>
      <c r="GT14" s="207">
        <f t="shared" si="35"/>
        <v>462642.06725096982</v>
      </c>
      <c r="GU14" s="207">
        <f t="shared" si="35"/>
        <v>462642.06725096982</v>
      </c>
      <c r="GV14" s="207">
        <f t="shared" si="35"/>
        <v>462642.06725096982</v>
      </c>
      <c r="GW14" s="207">
        <f t="shared" si="35"/>
        <v>462642.06725096982</v>
      </c>
      <c r="GX14" s="207">
        <f t="shared" si="35"/>
        <v>462642.06725096982</v>
      </c>
      <c r="GY14" s="207">
        <f t="shared" si="35"/>
        <v>462642.06725096982</v>
      </c>
      <c r="GZ14" s="207">
        <f t="shared" si="35"/>
        <v>462642.06725096982</v>
      </c>
      <c r="HA14" s="207">
        <f t="shared" si="35"/>
        <v>462642.06725096982</v>
      </c>
      <c r="HB14" s="207">
        <f t="shared" si="35"/>
        <v>462642.06725096982</v>
      </c>
      <c r="HC14" s="207">
        <f t="shared" si="35"/>
        <v>462642.06725096982</v>
      </c>
      <c r="HD14" s="207">
        <f t="shared" si="35"/>
        <v>462642.06725096982</v>
      </c>
      <c r="HE14" s="207">
        <f t="shared" si="35"/>
        <v>462642.06725096982</v>
      </c>
      <c r="HF14" s="207">
        <f t="shared" si="35"/>
        <v>462642.06725096982</v>
      </c>
      <c r="HG14" s="207">
        <f t="shared" si="35"/>
        <v>462642.06725096982</v>
      </c>
      <c r="HH14" s="207">
        <f t="shared" si="35"/>
        <v>462642.06725096982</v>
      </c>
      <c r="HI14" s="207">
        <f t="shared" si="35"/>
        <v>462642.06725096982</v>
      </c>
      <c r="HJ14" s="207">
        <f t="shared" si="35"/>
        <v>462642.06725096982</v>
      </c>
      <c r="HK14" s="207">
        <f t="shared" si="35"/>
        <v>462642.06725096982</v>
      </c>
      <c r="HL14" s="207">
        <f t="shared" si="35"/>
        <v>462642.06725096982</v>
      </c>
      <c r="HM14" s="207">
        <f t="shared" si="35"/>
        <v>462642.06725096982</v>
      </c>
      <c r="HN14" s="207">
        <f t="shared" si="35"/>
        <v>462642.06725096982</v>
      </c>
      <c r="HO14" s="207">
        <f t="shared" si="35"/>
        <v>462642.06725096982</v>
      </c>
      <c r="HP14" s="207">
        <f t="shared" si="35"/>
        <v>462642.06725096982</v>
      </c>
      <c r="HQ14" s="207">
        <f t="shared" si="35"/>
        <v>462642.06725096982</v>
      </c>
      <c r="HR14" s="207">
        <f t="shared" si="35"/>
        <v>462642.06725096982</v>
      </c>
      <c r="HS14" s="207">
        <f t="shared" si="35"/>
        <v>462642.06725096982</v>
      </c>
      <c r="HT14" s="207">
        <f t="shared" si="35"/>
        <v>462642.06725096982</v>
      </c>
      <c r="HU14" s="207">
        <f t="shared" si="35"/>
        <v>462642.06725096982</v>
      </c>
      <c r="HV14" s="207">
        <f t="shared" si="35"/>
        <v>462642.06725096982</v>
      </c>
      <c r="HW14" s="207">
        <f t="shared" si="35"/>
        <v>462642.06725096982</v>
      </c>
      <c r="HX14" s="207">
        <f t="shared" si="35"/>
        <v>462642.06725096982</v>
      </c>
      <c r="HY14" s="207">
        <f t="shared" si="35"/>
        <v>462642.06725096982</v>
      </c>
      <c r="HZ14" s="207">
        <f t="shared" si="35"/>
        <v>462642.06725096982</v>
      </c>
      <c r="IA14" s="207">
        <f t="shared" si="35"/>
        <v>462642.06725096982</v>
      </c>
      <c r="IB14" s="207">
        <f t="shared" si="35"/>
        <v>462642.06725096982</v>
      </c>
      <c r="IC14" s="207">
        <f t="shared" si="35"/>
        <v>462642.06725096982</v>
      </c>
      <c r="ID14" s="207">
        <f t="shared" si="35"/>
        <v>462642.06725096982</v>
      </c>
      <c r="IE14" s="207">
        <f t="shared" si="35"/>
        <v>462642.06725096982</v>
      </c>
      <c r="IF14" s="207">
        <f t="shared" si="35"/>
        <v>462642.06725096982</v>
      </c>
      <c r="IG14" s="207">
        <f t="shared" si="35"/>
        <v>462642.06725096982</v>
      </c>
      <c r="IH14" s="207">
        <f t="shared" si="35"/>
        <v>462642.06725096982</v>
      </c>
      <c r="II14" s="207">
        <f t="shared" si="35"/>
        <v>462642.06725096982</v>
      </c>
      <c r="IJ14" s="207">
        <f t="shared" si="35"/>
        <v>462642.06725096982</v>
      </c>
      <c r="IK14" s="207">
        <f t="shared" si="35"/>
        <v>462642.06725096982</v>
      </c>
      <c r="IL14" s="207">
        <f t="shared" si="35"/>
        <v>462642.06725096982</v>
      </c>
      <c r="IM14" s="207">
        <f t="shared" si="35"/>
        <v>462642.06725096982</v>
      </c>
      <c r="IN14" s="207">
        <f t="shared" si="35"/>
        <v>462642.06725096982</v>
      </c>
      <c r="IO14" s="207">
        <f t="shared" si="35"/>
        <v>462642.06725096982</v>
      </c>
      <c r="IP14" s="207">
        <f t="shared" si="35"/>
        <v>462642.06725096982</v>
      </c>
      <c r="IQ14" s="207">
        <f t="shared" si="35"/>
        <v>462642.06725096982</v>
      </c>
      <c r="IR14" s="207">
        <f t="shared" si="35"/>
        <v>462642.06725096982</v>
      </c>
      <c r="IS14" s="207">
        <f t="shared" si="35"/>
        <v>462642.06725096982</v>
      </c>
      <c r="IT14" s="207">
        <f t="shared" si="35"/>
        <v>462642.06725096982</v>
      </c>
      <c r="IU14" s="207">
        <f t="shared" si="35"/>
        <v>462642.06725096982</v>
      </c>
      <c r="IV14" s="207">
        <f t="shared" si="35"/>
        <v>462642.06725096982</v>
      </c>
      <c r="IW14" s="207">
        <f t="shared" si="35"/>
        <v>462642.06725096982</v>
      </c>
      <c r="IX14" s="207">
        <f t="shared" si="35"/>
        <v>462642.06725096982</v>
      </c>
      <c r="IY14" s="207">
        <f t="shared" si="35"/>
        <v>462642.06725096982</v>
      </c>
      <c r="IZ14" s="207">
        <f t="shared" si="35"/>
        <v>462642.06725096982</v>
      </c>
      <c r="JA14" s="207">
        <f t="shared" si="35"/>
        <v>462642.06725096982</v>
      </c>
      <c r="JB14" s="207">
        <f t="shared" si="35"/>
        <v>462642.06725096982</v>
      </c>
      <c r="JC14" s="207">
        <f t="shared" si="35"/>
        <v>462642.06725096982</v>
      </c>
      <c r="JD14" s="207">
        <f t="shared" si="35"/>
        <v>462642.06725096982</v>
      </c>
      <c r="JE14" s="207">
        <f t="shared" ref="JE14:LD14" si="36">JE10-JE12</f>
        <v>462642.06725096982</v>
      </c>
      <c r="JF14" s="207">
        <f t="shared" si="36"/>
        <v>462642.06725096982</v>
      </c>
      <c r="JG14" s="207">
        <f t="shared" si="36"/>
        <v>462642.06725096982</v>
      </c>
      <c r="JH14" s="207">
        <f t="shared" si="36"/>
        <v>462642.06725096982</v>
      </c>
      <c r="JI14" s="207">
        <f t="shared" si="36"/>
        <v>462642.06725096982</v>
      </c>
      <c r="JJ14" s="207">
        <f t="shared" si="36"/>
        <v>462642.06725096982</v>
      </c>
      <c r="JK14" s="207">
        <f t="shared" si="36"/>
        <v>462642.06725096982</v>
      </c>
      <c r="JL14" s="207">
        <f t="shared" si="36"/>
        <v>462642.06725096982</v>
      </c>
      <c r="JM14" s="207">
        <f t="shared" si="36"/>
        <v>462642.06725096982</v>
      </c>
      <c r="JN14" s="207">
        <f t="shared" si="36"/>
        <v>462642.06725096982</v>
      </c>
      <c r="JO14" s="207">
        <f t="shared" si="36"/>
        <v>462642.06725096982</v>
      </c>
      <c r="JP14" s="207">
        <f t="shared" si="36"/>
        <v>462642.06725096982</v>
      </c>
      <c r="JQ14" s="207">
        <f t="shared" si="36"/>
        <v>462642.06725096982</v>
      </c>
      <c r="JR14" s="207">
        <f t="shared" si="36"/>
        <v>462642.06725096982</v>
      </c>
      <c r="JS14" s="207">
        <f t="shared" si="36"/>
        <v>462642.06725096982</v>
      </c>
      <c r="JT14" s="207">
        <f t="shared" si="36"/>
        <v>462642.06725096982</v>
      </c>
      <c r="JU14" s="207">
        <f t="shared" si="36"/>
        <v>462642.06725096982</v>
      </c>
      <c r="JV14" s="207">
        <f t="shared" si="36"/>
        <v>462642.06725096982</v>
      </c>
      <c r="JW14" s="207">
        <f t="shared" si="36"/>
        <v>462642.06725096982</v>
      </c>
      <c r="JX14" s="207">
        <f t="shared" si="36"/>
        <v>462642.06725096982</v>
      </c>
      <c r="JY14" s="207">
        <f t="shared" si="36"/>
        <v>462642.06725096982</v>
      </c>
      <c r="JZ14" s="207">
        <f t="shared" si="36"/>
        <v>462642.06725096982</v>
      </c>
      <c r="KA14" s="207">
        <f t="shared" si="36"/>
        <v>462642.06725096982</v>
      </c>
      <c r="KB14" s="207">
        <f t="shared" si="36"/>
        <v>462642.06725096982</v>
      </c>
      <c r="KC14" s="207">
        <f t="shared" si="36"/>
        <v>462642.06725096982</v>
      </c>
      <c r="KD14" s="207">
        <f t="shared" si="36"/>
        <v>462642.06725096982</v>
      </c>
      <c r="KE14" s="207">
        <f t="shared" si="36"/>
        <v>462642.06725096982</v>
      </c>
      <c r="KF14" s="207">
        <f t="shared" si="36"/>
        <v>462642.06725096982</v>
      </c>
      <c r="KG14" s="207">
        <f t="shared" si="36"/>
        <v>462642.06725096982</v>
      </c>
      <c r="KH14" s="207">
        <f t="shared" si="36"/>
        <v>462642.06725096982</v>
      </c>
      <c r="KI14" s="207">
        <f t="shared" si="36"/>
        <v>462642.06725096982</v>
      </c>
      <c r="KJ14" s="207">
        <f t="shared" si="36"/>
        <v>462642.06725096982</v>
      </c>
      <c r="KK14" s="207">
        <f t="shared" si="36"/>
        <v>462642.06725096982</v>
      </c>
      <c r="KL14" s="207">
        <f t="shared" si="36"/>
        <v>462642.06725096982</v>
      </c>
      <c r="KM14" s="207">
        <f t="shared" si="36"/>
        <v>462642.06725096982</v>
      </c>
      <c r="KN14" s="207">
        <f t="shared" si="36"/>
        <v>462642.06725096982</v>
      </c>
      <c r="KO14" s="207">
        <f t="shared" si="36"/>
        <v>462642.06725096982</v>
      </c>
      <c r="KP14" s="207">
        <f t="shared" si="36"/>
        <v>462642.06725096982</v>
      </c>
      <c r="KQ14" s="207">
        <f t="shared" si="36"/>
        <v>462642.06725096982</v>
      </c>
      <c r="KR14" s="207">
        <f t="shared" si="36"/>
        <v>462642.06725096982</v>
      </c>
      <c r="KS14" s="207">
        <f t="shared" si="36"/>
        <v>462642.06725096982</v>
      </c>
      <c r="KT14" s="207">
        <f t="shared" si="36"/>
        <v>462642.06725096982</v>
      </c>
      <c r="KU14" s="207">
        <f t="shared" si="36"/>
        <v>462642.06725096982</v>
      </c>
      <c r="KV14" s="207">
        <f t="shared" si="36"/>
        <v>462642.06725096982</v>
      </c>
      <c r="KW14" s="207">
        <f t="shared" si="36"/>
        <v>462642.06725096982</v>
      </c>
      <c r="KX14" s="207">
        <f t="shared" si="36"/>
        <v>462642.06725096982</v>
      </c>
      <c r="KY14" s="207">
        <f t="shared" si="36"/>
        <v>462642.06725096982</v>
      </c>
      <c r="KZ14" s="207">
        <f t="shared" si="36"/>
        <v>462642.06725096982</v>
      </c>
      <c r="LA14" s="207">
        <f t="shared" si="36"/>
        <v>462642.06725096982</v>
      </c>
      <c r="LB14" s="207">
        <f t="shared" si="36"/>
        <v>462642.06725096982</v>
      </c>
      <c r="LC14" s="207">
        <f t="shared" si="36"/>
        <v>462642.06725096982</v>
      </c>
      <c r="LD14" s="207">
        <f t="shared" si="36"/>
        <v>462642.06725096982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12"/>
      <c r="B17" s="195" t="s">
        <v>410</v>
      </c>
      <c r="C17" s="375">
        <f>C3-D17</f>
        <v>-0.18618281930685043</v>
      </c>
      <c r="D17" s="196">
        <f>SUM(F17:LD17)</f>
        <v>3400106.1861828193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179480.71453451441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0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12"/>
      <c r="B18" s="195" t="s">
        <v>411</v>
      </c>
      <c r="C18" s="375">
        <f>D17-D18</f>
        <v>0</v>
      </c>
      <c r="D18" s="196">
        <f>MAX(F18:LD18)</f>
        <v>3400106.1861828193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3400106.1861828193</v>
      </c>
      <c r="BL18" s="214">
        <f t="shared" si="37"/>
        <v>3400106.1861828193</v>
      </c>
      <c r="BM18" s="214">
        <f t="shared" si="37"/>
        <v>3400106.1861828193</v>
      </c>
      <c r="BN18" s="214">
        <f t="shared" si="37"/>
        <v>3400106.1861828193</v>
      </c>
      <c r="BO18" s="214">
        <f t="shared" si="37"/>
        <v>3400106.1861828193</v>
      </c>
      <c r="BP18" s="214">
        <f t="shared" si="37"/>
        <v>3400106.1861828193</v>
      </c>
      <c r="BQ18" s="214">
        <f t="shared" si="37"/>
        <v>3400106.1861828193</v>
      </c>
      <c r="BR18" s="214">
        <f t="shared" si="37"/>
        <v>3400106.1861828193</v>
      </c>
      <c r="BS18" s="214">
        <f t="shared" si="37"/>
        <v>3400106.1861828193</v>
      </c>
      <c r="BT18" s="214">
        <f t="shared" si="37"/>
        <v>3400106.1861828193</v>
      </c>
      <c r="BU18" s="214">
        <f t="shared" ref="BU18:EF18" si="38">BT18+BU17</f>
        <v>3400106.1861828193</v>
      </c>
      <c r="BV18" s="214">
        <f t="shared" si="38"/>
        <v>3400106.1861828193</v>
      </c>
      <c r="BW18" s="214">
        <f t="shared" si="38"/>
        <v>3400106.1861828193</v>
      </c>
      <c r="BX18" s="214">
        <f t="shared" si="38"/>
        <v>3400106.1861828193</v>
      </c>
      <c r="BY18" s="214">
        <f t="shared" si="38"/>
        <v>3400106.1861828193</v>
      </c>
      <c r="BZ18" s="214">
        <f t="shared" si="38"/>
        <v>3400106.1861828193</v>
      </c>
      <c r="CA18" s="214">
        <f t="shared" si="38"/>
        <v>3400106.1861828193</v>
      </c>
      <c r="CB18" s="214">
        <f t="shared" si="38"/>
        <v>3400106.1861828193</v>
      </c>
      <c r="CC18" s="214">
        <f t="shared" si="38"/>
        <v>3400106.1861828193</v>
      </c>
      <c r="CD18" s="214">
        <f t="shared" si="38"/>
        <v>3400106.1861828193</v>
      </c>
      <c r="CE18" s="214">
        <f t="shared" si="38"/>
        <v>3400106.1861828193</v>
      </c>
      <c r="CF18" s="214">
        <f t="shared" si="38"/>
        <v>3400106.1861828193</v>
      </c>
      <c r="CG18" s="214">
        <f t="shared" si="38"/>
        <v>3400106.1861828193</v>
      </c>
      <c r="CH18" s="214">
        <f t="shared" si="38"/>
        <v>3400106.1861828193</v>
      </c>
      <c r="CI18" s="214">
        <f t="shared" si="38"/>
        <v>3400106.1861828193</v>
      </c>
      <c r="CJ18" s="214">
        <f t="shared" si="38"/>
        <v>3400106.1861828193</v>
      </c>
      <c r="CK18" s="214">
        <f t="shared" si="38"/>
        <v>3400106.1861828193</v>
      </c>
      <c r="CL18" s="214">
        <f t="shared" si="38"/>
        <v>3400106.1861828193</v>
      </c>
      <c r="CM18" s="214">
        <f t="shared" si="38"/>
        <v>3400106.1861828193</v>
      </c>
      <c r="CN18" s="214">
        <f t="shared" si="38"/>
        <v>3400106.1861828193</v>
      </c>
      <c r="CO18" s="214">
        <f t="shared" si="38"/>
        <v>3400106.1861828193</v>
      </c>
      <c r="CP18" s="214">
        <f t="shared" si="38"/>
        <v>3400106.1861828193</v>
      </c>
      <c r="CQ18" s="214">
        <f t="shared" si="38"/>
        <v>3400106.1861828193</v>
      </c>
      <c r="CR18" s="214">
        <f t="shared" si="38"/>
        <v>3400106.1861828193</v>
      </c>
      <c r="CS18" s="214">
        <f t="shared" si="38"/>
        <v>3400106.1861828193</v>
      </c>
      <c r="CT18" s="214">
        <f t="shared" si="38"/>
        <v>3400106.1861828193</v>
      </c>
      <c r="CU18" s="214">
        <f t="shared" si="38"/>
        <v>3400106.1861828193</v>
      </c>
      <c r="CV18" s="214">
        <f t="shared" si="38"/>
        <v>3400106.1861828193</v>
      </c>
      <c r="CW18" s="214">
        <f t="shared" si="38"/>
        <v>3400106.1861828193</v>
      </c>
      <c r="CX18" s="214">
        <f t="shared" si="38"/>
        <v>3400106.1861828193</v>
      </c>
      <c r="CY18" s="214">
        <f t="shared" si="38"/>
        <v>3400106.1861828193</v>
      </c>
      <c r="CZ18" s="214">
        <f t="shared" si="38"/>
        <v>3400106.1861828193</v>
      </c>
      <c r="DA18" s="214">
        <f t="shared" si="38"/>
        <v>3400106.1861828193</v>
      </c>
      <c r="DB18" s="214">
        <f t="shared" si="38"/>
        <v>3400106.1861828193</v>
      </c>
      <c r="DC18" s="214">
        <f t="shared" si="38"/>
        <v>3400106.1861828193</v>
      </c>
      <c r="DD18" s="214">
        <f t="shared" si="38"/>
        <v>3400106.1861828193</v>
      </c>
      <c r="DE18" s="214">
        <f t="shared" si="38"/>
        <v>3400106.1861828193</v>
      </c>
      <c r="DF18" s="214">
        <f t="shared" si="38"/>
        <v>3400106.1861828193</v>
      </c>
      <c r="DG18" s="214">
        <f t="shared" si="38"/>
        <v>3400106.1861828193</v>
      </c>
      <c r="DH18" s="214">
        <f t="shared" si="38"/>
        <v>3400106.1861828193</v>
      </c>
      <c r="DI18" s="214">
        <f t="shared" si="38"/>
        <v>3400106.1861828193</v>
      </c>
      <c r="DJ18" s="214">
        <f t="shared" si="38"/>
        <v>3400106.1861828193</v>
      </c>
      <c r="DK18" s="214">
        <f t="shared" si="38"/>
        <v>3400106.1861828193</v>
      </c>
      <c r="DL18" s="214">
        <f t="shared" si="38"/>
        <v>3400106.1861828193</v>
      </c>
      <c r="DM18" s="214">
        <f t="shared" si="38"/>
        <v>3400106.1861828193</v>
      </c>
      <c r="DN18" s="214">
        <f t="shared" si="38"/>
        <v>3400106.1861828193</v>
      </c>
      <c r="DO18" s="214">
        <f t="shared" si="38"/>
        <v>3400106.1861828193</v>
      </c>
      <c r="DP18" s="214">
        <f t="shared" si="38"/>
        <v>3400106.1861828193</v>
      </c>
      <c r="DQ18" s="214">
        <f t="shared" si="38"/>
        <v>3400106.1861828193</v>
      </c>
      <c r="DR18" s="214">
        <f t="shared" si="38"/>
        <v>3400106.1861828193</v>
      </c>
      <c r="DS18" s="214">
        <f t="shared" si="38"/>
        <v>3400106.1861828193</v>
      </c>
      <c r="DT18" s="214">
        <f t="shared" si="38"/>
        <v>3400106.1861828193</v>
      </c>
      <c r="DU18" s="214">
        <f t="shared" si="38"/>
        <v>3400106.1861828193</v>
      </c>
      <c r="DV18" s="214">
        <f t="shared" si="38"/>
        <v>3400106.1861828193</v>
      </c>
      <c r="DW18" s="214">
        <f t="shared" si="38"/>
        <v>3400106.1861828193</v>
      </c>
      <c r="DX18" s="214">
        <f t="shared" si="38"/>
        <v>3400106.1861828193</v>
      </c>
      <c r="DY18" s="214">
        <f t="shared" si="38"/>
        <v>3400106.1861828193</v>
      </c>
      <c r="DZ18" s="214">
        <f t="shared" si="38"/>
        <v>3400106.1861828193</v>
      </c>
      <c r="EA18" s="214">
        <f t="shared" si="38"/>
        <v>3400106.1861828193</v>
      </c>
      <c r="EB18" s="214">
        <f t="shared" si="38"/>
        <v>3400106.1861828193</v>
      </c>
      <c r="EC18" s="214">
        <f t="shared" si="38"/>
        <v>3400106.1861828193</v>
      </c>
      <c r="ED18" s="214">
        <f t="shared" si="38"/>
        <v>3400106.1861828193</v>
      </c>
      <c r="EE18" s="214">
        <f t="shared" si="38"/>
        <v>3400106.1861828193</v>
      </c>
      <c r="EF18" s="214">
        <f t="shared" si="38"/>
        <v>3400106.1861828193</v>
      </c>
      <c r="EG18" s="214">
        <f t="shared" ref="EG18:GR18" si="39">EF18+EG17</f>
        <v>3400106.1861828193</v>
      </c>
      <c r="EH18" s="214">
        <f t="shared" si="39"/>
        <v>3400106.1861828193</v>
      </c>
      <c r="EI18" s="214">
        <f t="shared" si="39"/>
        <v>3400106.1861828193</v>
      </c>
      <c r="EJ18" s="214">
        <f t="shared" si="39"/>
        <v>3400106.1861828193</v>
      </c>
      <c r="EK18" s="214">
        <f t="shared" si="39"/>
        <v>3400106.1861828193</v>
      </c>
      <c r="EL18" s="214">
        <f t="shared" si="39"/>
        <v>3400106.1861828193</v>
      </c>
      <c r="EM18" s="214">
        <f t="shared" si="39"/>
        <v>3400106.1861828193</v>
      </c>
      <c r="EN18" s="214">
        <f t="shared" si="39"/>
        <v>3400106.1861828193</v>
      </c>
      <c r="EO18" s="214">
        <f t="shared" si="39"/>
        <v>3400106.1861828193</v>
      </c>
      <c r="EP18" s="214">
        <f t="shared" si="39"/>
        <v>3400106.1861828193</v>
      </c>
      <c r="EQ18" s="214">
        <f t="shared" si="39"/>
        <v>3400106.1861828193</v>
      </c>
      <c r="ER18" s="214">
        <f t="shared" si="39"/>
        <v>3400106.1861828193</v>
      </c>
      <c r="ES18" s="214">
        <f t="shared" si="39"/>
        <v>3400106.1861828193</v>
      </c>
      <c r="ET18" s="214">
        <f t="shared" si="39"/>
        <v>3400106.1861828193</v>
      </c>
      <c r="EU18" s="214">
        <f t="shared" si="39"/>
        <v>3400106.1861828193</v>
      </c>
      <c r="EV18" s="214">
        <f t="shared" si="39"/>
        <v>3400106.1861828193</v>
      </c>
      <c r="EW18" s="214">
        <f t="shared" si="39"/>
        <v>3400106.1861828193</v>
      </c>
      <c r="EX18" s="214">
        <f t="shared" si="39"/>
        <v>3400106.1861828193</v>
      </c>
      <c r="EY18" s="214">
        <f t="shared" si="39"/>
        <v>3400106.1861828193</v>
      </c>
      <c r="EZ18" s="214">
        <f t="shared" si="39"/>
        <v>3400106.1861828193</v>
      </c>
      <c r="FA18" s="214">
        <f t="shared" si="39"/>
        <v>3400106.1861828193</v>
      </c>
      <c r="FB18" s="214">
        <f t="shared" si="39"/>
        <v>3400106.1861828193</v>
      </c>
      <c r="FC18" s="214">
        <f t="shared" si="39"/>
        <v>3400106.1861828193</v>
      </c>
      <c r="FD18" s="214">
        <f t="shared" si="39"/>
        <v>3400106.1861828193</v>
      </c>
      <c r="FE18" s="214">
        <f t="shared" si="39"/>
        <v>3400106.1861828193</v>
      </c>
      <c r="FF18" s="214">
        <f t="shared" si="39"/>
        <v>3400106.1861828193</v>
      </c>
      <c r="FG18" s="214">
        <f t="shared" si="39"/>
        <v>3400106.1861828193</v>
      </c>
      <c r="FH18" s="214">
        <f t="shared" si="39"/>
        <v>3400106.1861828193</v>
      </c>
      <c r="FI18" s="214">
        <f t="shared" si="39"/>
        <v>3400106.1861828193</v>
      </c>
      <c r="FJ18" s="214">
        <f t="shared" si="39"/>
        <v>3400106.1861828193</v>
      </c>
      <c r="FK18" s="214">
        <f t="shared" si="39"/>
        <v>3400106.1861828193</v>
      </c>
      <c r="FL18" s="214">
        <f t="shared" si="39"/>
        <v>3400106.1861828193</v>
      </c>
      <c r="FM18" s="214">
        <f t="shared" si="39"/>
        <v>3400106.1861828193</v>
      </c>
      <c r="FN18" s="214">
        <f t="shared" si="39"/>
        <v>3400106.1861828193</v>
      </c>
      <c r="FO18" s="214">
        <f t="shared" si="39"/>
        <v>3400106.1861828193</v>
      </c>
      <c r="FP18" s="214">
        <f t="shared" si="39"/>
        <v>3400106.1861828193</v>
      </c>
      <c r="FQ18" s="214">
        <f t="shared" si="39"/>
        <v>3400106.1861828193</v>
      </c>
      <c r="FR18" s="214">
        <f t="shared" si="39"/>
        <v>3400106.1861828193</v>
      </c>
      <c r="FS18" s="214">
        <f t="shared" si="39"/>
        <v>3400106.1861828193</v>
      </c>
      <c r="FT18" s="214">
        <f t="shared" si="39"/>
        <v>3400106.1861828193</v>
      </c>
      <c r="FU18" s="214">
        <f t="shared" si="39"/>
        <v>3400106.1861828193</v>
      </c>
      <c r="FV18" s="214">
        <f t="shared" si="39"/>
        <v>3400106.1861828193</v>
      </c>
      <c r="FW18" s="214">
        <f t="shared" si="39"/>
        <v>3400106.1861828193</v>
      </c>
      <c r="FX18" s="214">
        <f t="shared" si="39"/>
        <v>3400106.1861828193</v>
      </c>
      <c r="FY18" s="214">
        <f t="shared" si="39"/>
        <v>3400106.1861828193</v>
      </c>
      <c r="FZ18" s="214">
        <f t="shared" si="39"/>
        <v>3400106.1861828193</v>
      </c>
      <c r="GA18" s="214">
        <f t="shared" si="39"/>
        <v>3400106.1861828193</v>
      </c>
      <c r="GB18" s="214">
        <f t="shared" si="39"/>
        <v>3400106.1861828193</v>
      </c>
      <c r="GC18" s="214">
        <f t="shared" si="39"/>
        <v>3400106.1861828193</v>
      </c>
      <c r="GD18" s="214">
        <f t="shared" si="39"/>
        <v>3400106.1861828193</v>
      </c>
      <c r="GE18" s="214">
        <f t="shared" si="39"/>
        <v>3400106.1861828193</v>
      </c>
      <c r="GF18" s="214">
        <f t="shared" si="39"/>
        <v>3400106.1861828193</v>
      </c>
      <c r="GG18" s="214">
        <f t="shared" si="39"/>
        <v>3400106.1861828193</v>
      </c>
      <c r="GH18" s="214">
        <f t="shared" si="39"/>
        <v>3400106.1861828193</v>
      </c>
      <c r="GI18" s="214">
        <f t="shared" si="39"/>
        <v>3400106.1861828193</v>
      </c>
      <c r="GJ18" s="214">
        <f t="shared" si="39"/>
        <v>3400106.1861828193</v>
      </c>
      <c r="GK18" s="214">
        <f t="shared" si="39"/>
        <v>3400106.1861828193</v>
      </c>
      <c r="GL18" s="214">
        <f t="shared" si="39"/>
        <v>3400106.1861828193</v>
      </c>
      <c r="GM18" s="214">
        <f t="shared" si="39"/>
        <v>3400106.1861828193</v>
      </c>
      <c r="GN18" s="214">
        <f t="shared" si="39"/>
        <v>3400106.1861828193</v>
      </c>
      <c r="GO18" s="214">
        <f t="shared" si="39"/>
        <v>3400106.1861828193</v>
      </c>
      <c r="GP18" s="214">
        <f t="shared" si="39"/>
        <v>3400106.1861828193</v>
      </c>
      <c r="GQ18" s="214">
        <f t="shared" si="39"/>
        <v>3400106.1861828193</v>
      </c>
      <c r="GR18" s="214">
        <f t="shared" si="39"/>
        <v>3400106.1861828193</v>
      </c>
      <c r="GS18" s="214">
        <f t="shared" ref="GS18:JD18" si="40">GR18+GS17</f>
        <v>3400106.1861828193</v>
      </c>
      <c r="GT18" s="214">
        <f t="shared" si="40"/>
        <v>3400106.1861828193</v>
      </c>
      <c r="GU18" s="214">
        <f t="shared" si="40"/>
        <v>3400106.1861828193</v>
      </c>
      <c r="GV18" s="214">
        <f t="shared" si="40"/>
        <v>3400106.1861828193</v>
      </c>
      <c r="GW18" s="214">
        <f t="shared" si="40"/>
        <v>3400106.1861828193</v>
      </c>
      <c r="GX18" s="214">
        <f t="shared" si="40"/>
        <v>3400106.1861828193</v>
      </c>
      <c r="GY18" s="214">
        <f t="shared" si="40"/>
        <v>3400106.1861828193</v>
      </c>
      <c r="GZ18" s="214">
        <f t="shared" si="40"/>
        <v>3400106.1861828193</v>
      </c>
      <c r="HA18" s="214">
        <f t="shared" si="40"/>
        <v>3400106.1861828193</v>
      </c>
      <c r="HB18" s="214">
        <f t="shared" si="40"/>
        <v>3400106.1861828193</v>
      </c>
      <c r="HC18" s="214">
        <f t="shared" si="40"/>
        <v>3400106.1861828193</v>
      </c>
      <c r="HD18" s="214">
        <f t="shared" si="40"/>
        <v>3400106.1861828193</v>
      </c>
      <c r="HE18" s="214">
        <f t="shared" si="40"/>
        <v>3400106.1861828193</v>
      </c>
      <c r="HF18" s="214">
        <f t="shared" si="40"/>
        <v>3400106.1861828193</v>
      </c>
      <c r="HG18" s="214">
        <f t="shared" si="40"/>
        <v>3400106.1861828193</v>
      </c>
      <c r="HH18" s="214">
        <f t="shared" si="40"/>
        <v>3400106.1861828193</v>
      </c>
      <c r="HI18" s="214">
        <f t="shared" si="40"/>
        <v>3400106.1861828193</v>
      </c>
      <c r="HJ18" s="214">
        <f t="shared" si="40"/>
        <v>3400106.1861828193</v>
      </c>
      <c r="HK18" s="214">
        <f t="shared" si="40"/>
        <v>3400106.1861828193</v>
      </c>
      <c r="HL18" s="214">
        <f t="shared" si="40"/>
        <v>3400106.1861828193</v>
      </c>
      <c r="HM18" s="214">
        <f t="shared" si="40"/>
        <v>3400106.1861828193</v>
      </c>
      <c r="HN18" s="214">
        <f t="shared" si="40"/>
        <v>3400106.1861828193</v>
      </c>
      <c r="HO18" s="214">
        <f t="shared" si="40"/>
        <v>3400106.1861828193</v>
      </c>
      <c r="HP18" s="214">
        <f t="shared" si="40"/>
        <v>3400106.1861828193</v>
      </c>
      <c r="HQ18" s="214">
        <f t="shared" si="40"/>
        <v>3400106.1861828193</v>
      </c>
      <c r="HR18" s="214">
        <f t="shared" si="40"/>
        <v>3400106.1861828193</v>
      </c>
      <c r="HS18" s="214">
        <f t="shared" si="40"/>
        <v>3400106.1861828193</v>
      </c>
      <c r="HT18" s="214">
        <f t="shared" si="40"/>
        <v>3400106.1861828193</v>
      </c>
      <c r="HU18" s="214">
        <f t="shared" si="40"/>
        <v>3400106.1861828193</v>
      </c>
      <c r="HV18" s="214">
        <f t="shared" si="40"/>
        <v>3400106.1861828193</v>
      </c>
      <c r="HW18" s="214">
        <f t="shared" si="40"/>
        <v>3400106.1861828193</v>
      </c>
      <c r="HX18" s="214">
        <f t="shared" si="40"/>
        <v>3400106.1861828193</v>
      </c>
      <c r="HY18" s="214">
        <f t="shared" si="40"/>
        <v>3400106.1861828193</v>
      </c>
      <c r="HZ18" s="214">
        <f t="shared" si="40"/>
        <v>3400106.1861828193</v>
      </c>
      <c r="IA18" s="214">
        <f t="shared" si="40"/>
        <v>3400106.1861828193</v>
      </c>
      <c r="IB18" s="214">
        <f t="shared" si="40"/>
        <v>3400106.1861828193</v>
      </c>
      <c r="IC18" s="214">
        <f t="shared" si="40"/>
        <v>3400106.1861828193</v>
      </c>
      <c r="ID18" s="214">
        <f t="shared" si="40"/>
        <v>3400106.1861828193</v>
      </c>
      <c r="IE18" s="214">
        <f t="shared" si="40"/>
        <v>3400106.1861828193</v>
      </c>
      <c r="IF18" s="214">
        <f t="shared" si="40"/>
        <v>3400106.1861828193</v>
      </c>
      <c r="IG18" s="214">
        <f t="shared" si="40"/>
        <v>3400106.1861828193</v>
      </c>
      <c r="IH18" s="214">
        <f t="shared" si="40"/>
        <v>3400106.1861828193</v>
      </c>
      <c r="II18" s="214">
        <f t="shared" si="40"/>
        <v>3400106.1861828193</v>
      </c>
      <c r="IJ18" s="214">
        <f t="shared" si="40"/>
        <v>3400106.1861828193</v>
      </c>
      <c r="IK18" s="214">
        <f t="shared" si="40"/>
        <v>3400106.1861828193</v>
      </c>
      <c r="IL18" s="214">
        <f t="shared" si="40"/>
        <v>3400106.1861828193</v>
      </c>
      <c r="IM18" s="214">
        <f t="shared" si="40"/>
        <v>3400106.1861828193</v>
      </c>
      <c r="IN18" s="214">
        <f t="shared" si="40"/>
        <v>3400106.1861828193</v>
      </c>
      <c r="IO18" s="214">
        <f t="shared" si="40"/>
        <v>3400106.1861828193</v>
      </c>
      <c r="IP18" s="214">
        <f t="shared" si="40"/>
        <v>3400106.1861828193</v>
      </c>
      <c r="IQ18" s="214">
        <f t="shared" si="40"/>
        <v>3400106.1861828193</v>
      </c>
      <c r="IR18" s="214">
        <f t="shared" si="40"/>
        <v>3400106.1861828193</v>
      </c>
      <c r="IS18" s="214">
        <f t="shared" si="40"/>
        <v>3400106.1861828193</v>
      </c>
      <c r="IT18" s="214">
        <f t="shared" si="40"/>
        <v>3400106.1861828193</v>
      </c>
      <c r="IU18" s="214">
        <f t="shared" si="40"/>
        <v>3400106.1861828193</v>
      </c>
      <c r="IV18" s="214">
        <f t="shared" si="40"/>
        <v>3400106.1861828193</v>
      </c>
      <c r="IW18" s="214">
        <f t="shared" si="40"/>
        <v>3400106.1861828193</v>
      </c>
      <c r="IX18" s="214">
        <f t="shared" si="40"/>
        <v>3400106.1861828193</v>
      </c>
      <c r="IY18" s="214">
        <f t="shared" si="40"/>
        <v>3400106.1861828193</v>
      </c>
      <c r="IZ18" s="214">
        <f t="shared" si="40"/>
        <v>3400106.1861828193</v>
      </c>
      <c r="JA18" s="214">
        <f t="shared" si="40"/>
        <v>3400106.1861828193</v>
      </c>
      <c r="JB18" s="214">
        <f t="shared" si="40"/>
        <v>3400106.1861828193</v>
      </c>
      <c r="JC18" s="214">
        <f t="shared" si="40"/>
        <v>3400106.1861828193</v>
      </c>
      <c r="JD18" s="214">
        <f t="shared" si="40"/>
        <v>3400106.1861828193</v>
      </c>
      <c r="JE18" s="214">
        <f t="shared" ref="JE18:LD18" si="41">JD18+JE17</f>
        <v>3400106.1861828193</v>
      </c>
      <c r="JF18" s="214">
        <f t="shared" si="41"/>
        <v>3400106.1861828193</v>
      </c>
      <c r="JG18" s="214">
        <f t="shared" si="41"/>
        <v>3400106.1861828193</v>
      </c>
      <c r="JH18" s="214">
        <f t="shared" si="41"/>
        <v>3400106.1861828193</v>
      </c>
      <c r="JI18" s="214">
        <f t="shared" si="41"/>
        <v>3400106.1861828193</v>
      </c>
      <c r="JJ18" s="214">
        <f t="shared" si="41"/>
        <v>3400106.1861828193</v>
      </c>
      <c r="JK18" s="214">
        <f t="shared" si="41"/>
        <v>3400106.1861828193</v>
      </c>
      <c r="JL18" s="214">
        <f t="shared" si="41"/>
        <v>3400106.1861828193</v>
      </c>
      <c r="JM18" s="214">
        <f t="shared" si="41"/>
        <v>3400106.1861828193</v>
      </c>
      <c r="JN18" s="214">
        <f t="shared" si="41"/>
        <v>3400106.1861828193</v>
      </c>
      <c r="JO18" s="214">
        <f t="shared" si="41"/>
        <v>3400106.1861828193</v>
      </c>
      <c r="JP18" s="214">
        <f t="shared" si="41"/>
        <v>3400106.1861828193</v>
      </c>
      <c r="JQ18" s="214">
        <f t="shared" si="41"/>
        <v>3400106.1861828193</v>
      </c>
      <c r="JR18" s="214">
        <f t="shared" si="41"/>
        <v>3400106.1861828193</v>
      </c>
      <c r="JS18" s="214">
        <f t="shared" si="41"/>
        <v>3400106.1861828193</v>
      </c>
      <c r="JT18" s="214">
        <f t="shared" si="41"/>
        <v>3400106.1861828193</v>
      </c>
      <c r="JU18" s="214">
        <f t="shared" si="41"/>
        <v>3400106.1861828193</v>
      </c>
      <c r="JV18" s="214">
        <f t="shared" si="41"/>
        <v>3400106.1861828193</v>
      </c>
      <c r="JW18" s="214">
        <f t="shared" si="41"/>
        <v>3400106.1861828193</v>
      </c>
      <c r="JX18" s="214">
        <f t="shared" si="41"/>
        <v>3400106.1861828193</v>
      </c>
      <c r="JY18" s="214">
        <f t="shared" si="41"/>
        <v>3400106.1861828193</v>
      </c>
      <c r="JZ18" s="214">
        <f t="shared" si="41"/>
        <v>3400106.1861828193</v>
      </c>
      <c r="KA18" s="214">
        <f t="shared" si="41"/>
        <v>3400106.1861828193</v>
      </c>
      <c r="KB18" s="214">
        <f t="shared" si="41"/>
        <v>3400106.1861828193</v>
      </c>
      <c r="KC18" s="214">
        <f t="shared" si="41"/>
        <v>3400106.1861828193</v>
      </c>
      <c r="KD18" s="214">
        <f t="shared" si="41"/>
        <v>3400106.1861828193</v>
      </c>
      <c r="KE18" s="214">
        <f t="shared" si="41"/>
        <v>3400106.1861828193</v>
      </c>
      <c r="KF18" s="214">
        <f t="shared" si="41"/>
        <v>3400106.1861828193</v>
      </c>
      <c r="KG18" s="214">
        <f t="shared" si="41"/>
        <v>3400106.1861828193</v>
      </c>
      <c r="KH18" s="214">
        <f t="shared" si="41"/>
        <v>3400106.1861828193</v>
      </c>
      <c r="KI18" s="214">
        <f t="shared" si="41"/>
        <v>3400106.1861828193</v>
      </c>
      <c r="KJ18" s="214">
        <f t="shared" si="41"/>
        <v>3400106.1861828193</v>
      </c>
      <c r="KK18" s="214">
        <f t="shared" si="41"/>
        <v>3400106.1861828193</v>
      </c>
      <c r="KL18" s="214">
        <f t="shared" si="41"/>
        <v>3400106.1861828193</v>
      </c>
      <c r="KM18" s="214">
        <f t="shared" si="41"/>
        <v>3400106.1861828193</v>
      </c>
      <c r="KN18" s="214">
        <f t="shared" si="41"/>
        <v>3400106.1861828193</v>
      </c>
      <c r="KO18" s="214">
        <f t="shared" si="41"/>
        <v>3400106.1861828193</v>
      </c>
      <c r="KP18" s="214">
        <f t="shared" si="41"/>
        <v>3400106.1861828193</v>
      </c>
      <c r="KQ18" s="214">
        <f t="shared" si="41"/>
        <v>3400106.1861828193</v>
      </c>
      <c r="KR18" s="214">
        <f t="shared" si="41"/>
        <v>3400106.1861828193</v>
      </c>
      <c r="KS18" s="214">
        <f t="shared" si="41"/>
        <v>3400106.1861828193</v>
      </c>
      <c r="KT18" s="214">
        <f t="shared" si="41"/>
        <v>3400106.1861828193</v>
      </c>
      <c r="KU18" s="214">
        <f t="shared" si="41"/>
        <v>3400106.1861828193</v>
      </c>
      <c r="KV18" s="214">
        <f t="shared" si="41"/>
        <v>3400106.1861828193</v>
      </c>
      <c r="KW18" s="214">
        <f t="shared" si="41"/>
        <v>3400106.1861828193</v>
      </c>
      <c r="KX18" s="214">
        <f t="shared" si="41"/>
        <v>3400106.1861828193</v>
      </c>
      <c r="KY18" s="214">
        <f t="shared" si="41"/>
        <v>3400106.1861828193</v>
      </c>
      <c r="KZ18" s="214">
        <f t="shared" si="41"/>
        <v>3400106.1861828193</v>
      </c>
      <c r="LA18" s="214">
        <f t="shared" si="41"/>
        <v>3400106.1861828193</v>
      </c>
      <c r="LB18" s="214">
        <f t="shared" si="41"/>
        <v>3400106.1861828193</v>
      </c>
      <c r="LC18" s="214">
        <f t="shared" si="41"/>
        <v>3400106.1861828193</v>
      </c>
      <c r="LD18" s="214">
        <f t="shared" si="41"/>
        <v>3400106.1861828193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4" width="14.85546875" style="366" bestFit="1" customWidth="1"/>
    <col min="5" max="7" width="13.28515625" style="366" bestFit="1" customWidth="1"/>
    <col min="8" max="8" width="10.5703125" style="366" bestFit="1" customWidth="1"/>
    <col min="9" max="10" width="11.7109375" style="366" bestFit="1" customWidth="1"/>
    <col min="11" max="11" width="12" style="366" bestFit="1" customWidth="1"/>
    <col min="12" max="12" width="4.85546875" style="366" bestFit="1" customWidth="1"/>
    <col min="13" max="13" width="10.5703125" style="366" bestFit="1" customWidth="1"/>
    <col min="14" max="14" width="13.28515625" style="366" bestFit="1" customWidth="1"/>
    <col min="15" max="15" width="14.8554687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412</v>
      </c>
      <c r="B3" s="446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416</v>
      </c>
      <c r="P4"/>
      <c r="Q4"/>
      <c r="R4"/>
      <c r="S4"/>
      <c r="T4"/>
    </row>
    <row r="5" spans="1:20">
      <c r="A5" s="447" t="s">
        <v>415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7" t="s">
        <v>241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863702</v>
      </c>
      <c r="P6"/>
      <c r="Q6"/>
      <c r="R6"/>
      <c r="S6"/>
      <c r="T6"/>
    </row>
    <row r="7" spans="1:20">
      <c r="A7" s="447" t="s">
        <v>253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47" t="s">
        <v>265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>
        <v>184990.90625409569</v>
      </c>
      <c r="P8"/>
      <c r="Q8"/>
      <c r="R8"/>
      <c r="S8"/>
      <c r="T8"/>
    </row>
    <row r="9" spans="1:20">
      <c r="A9" s="447" t="s">
        <v>276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>
        <v>328792.95454545453</v>
      </c>
      <c r="P9"/>
      <c r="Q9"/>
      <c r="R9"/>
      <c r="S9"/>
      <c r="T9"/>
    </row>
    <row r="10" spans="1:20">
      <c r="A10" s="447" t="s">
        <v>296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47" t="s">
        <v>309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>
        <v>465557.64623139537</v>
      </c>
      <c r="P11"/>
      <c r="Q11"/>
      <c r="R11"/>
      <c r="S11"/>
      <c r="T11"/>
    </row>
    <row r="12" spans="1:20">
      <c r="A12" s="447" t="s">
        <v>316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325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>
        <v>344235.30098364654</v>
      </c>
      <c r="P13"/>
      <c r="Q13"/>
      <c r="R13"/>
      <c r="S13"/>
      <c r="T13"/>
    </row>
    <row r="14" spans="1:20">
      <c r="A14" s="447" t="s">
        <v>328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>
        <v>95827.995334781823</v>
      </c>
      <c r="P14"/>
      <c r="Q14"/>
      <c r="R14"/>
      <c r="S14"/>
      <c r="T14"/>
    </row>
    <row r="15" spans="1:20">
      <c r="A15" s="447" t="s">
        <v>336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>
        <v>136574.11530033505</v>
      </c>
      <c r="P15"/>
      <c r="Q15"/>
      <c r="R15"/>
      <c r="S15"/>
      <c r="T15"/>
    </row>
    <row r="16" spans="1:20">
      <c r="A16" s="447" t="s">
        <v>356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178695.31453451441</v>
      </c>
      <c r="O16" s="371">
        <v>178695.31453451441</v>
      </c>
      <c r="P16"/>
      <c r="Q16"/>
      <c r="R16"/>
      <c r="S16"/>
      <c r="T16"/>
    </row>
    <row r="17" spans="1:20">
      <c r="A17" s="447" t="s">
        <v>364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>
        <v>7411.7696938169993</v>
      </c>
      <c r="P17"/>
      <c r="Q17"/>
      <c r="R17"/>
      <c r="S17"/>
      <c r="T17"/>
    </row>
    <row r="18" spans="1:20">
      <c r="A18" s="447" t="s">
        <v>369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>
        <v>499999.9970093458</v>
      </c>
      <c r="P18"/>
      <c r="Q18"/>
      <c r="R18"/>
      <c r="S18"/>
      <c r="T18"/>
    </row>
    <row r="19" spans="1:20">
      <c r="A19" s="447" t="s">
        <v>352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7" t="s">
        <v>314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7" t="s">
        <v>416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179480.71453451441</v>
      </c>
      <c r="O21" s="371">
        <v>3400106.1861828179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4" width="14.85546875" style="407" bestFit="1" customWidth="1"/>
    <col min="5" max="7" width="13.28515625" style="407" bestFit="1" customWidth="1"/>
    <col min="8" max="8" width="12" style="407" bestFit="1" customWidth="1"/>
    <col min="9" max="9" width="11.7109375" style="407" bestFit="1" customWidth="1"/>
    <col min="10" max="11" width="11.7109375" bestFit="1" customWidth="1"/>
    <col min="12" max="12" width="4.85546875" bestFit="1" customWidth="1"/>
    <col min="13" max="14" width="12" bestFit="1" customWidth="1"/>
    <col min="15" max="15" width="14.85546875" bestFit="1" customWidth="1"/>
    <col min="16" max="16" width="17.14062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417</v>
      </c>
      <c r="B3" s="446" t="s">
        <v>413</v>
      </c>
      <c r="C3"/>
      <c r="D3"/>
      <c r="E3"/>
      <c r="F3"/>
      <c r="G3"/>
      <c r="H3"/>
      <c r="I3"/>
    </row>
    <row r="4" spans="1:16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416</v>
      </c>
    </row>
    <row r="5" spans="1:16">
      <c r="A5" s="447" t="s">
        <v>415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241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>
        <v>724840.6</v>
      </c>
    </row>
    <row r="7" spans="1:16">
      <c r="A7" s="447" t="s">
        <v>253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206611.05000000002</v>
      </c>
    </row>
    <row r="8" spans="1:16">
      <c r="A8" s="447" t="s">
        <v>265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79861</v>
      </c>
    </row>
    <row r="9" spans="1:16">
      <c r="A9" s="447" t="s">
        <v>276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>
        <v>318357.03282253689</v>
      </c>
    </row>
    <row r="10" spans="1:16">
      <c r="A10" s="447" t="s">
        <v>296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35927.129999999997</v>
      </c>
    </row>
    <row r="11" spans="1:16">
      <c r="A11" s="447" t="s">
        <v>309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>
        <v>209378.61830284883</v>
      </c>
    </row>
    <row r="12" spans="1:16">
      <c r="A12" s="447" t="s">
        <v>316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>
        <v>33530</v>
      </c>
      <c r="P12" s="449"/>
    </row>
    <row r="13" spans="1:16">
      <c r="A13" s="447" t="s">
        <v>325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>
        <v>481307.74922780029</v>
      </c>
    </row>
    <row r="14" spans="1:16">
      <c r="A14" s="447" t="s">
        <v>328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>
        <v>59547.337395844181</v>
      </c>
    </row>
    <row r="15" spans="1:16">
      <c r="A15" s="447" t="s">
        <v>336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>
        <v>42864.76</v>
      </c>
    </row>
    <row r="16" spans="1:16">
      <c r="A16" s="447" t="s">
        <v>356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42501.325000000004</v>
      </c>
      <c r="O16" s="449">
        <v>42501.325000000004</v>
      </c>
    </row>
    <row r="17" spans="1:15">
      <c r="A17" s="447" t="s">
        <v>364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>
        <v>5416.420000000001</v>
      </c>
    </row>
    <row r="18" spans="1:15">
      <c r="A18" s="447" t="s">
        <v>369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>
        <v>697420.91</v>
      </c>
    </row>
    <row r="19" spans="1:15">
      <c r="A19" s="447" t="s">
        <v>352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314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416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42601.325000000004</v>
      </c>
      <c r="O21" s="449">
        <v>2937563.9327490302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45"/>
  <cols>
    <col min="1" max="1" width="6" customWidth="1"/>
    <col min="2" max="2" width="21.425781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15" t="s">
        <v>418</v>
      </c>
      <c r="C2" s="815"/>
      <c r="D2" s="815"/>
      <c r="E2" s="815"/>
      <c r="H2" s="816" t="s">
        <v>419</v>
      </c>
      <c r="I2" s="817"/>
      <c r="J2" s="817"/>
      <c r="K2" s="817"/>
      <c r="L2" s="817"/>
      <c r="M2" s="817"/>
      <c r="N2" s="817"/>
      <c r="O2" s="818"/>
    </row>
    <row r="3" spans="2:15">
      <c r="B3" s="693"/>
      <c r="H3" s="819"/>
      <c r="I3" s="820"/>
      <c r="J3" s="820"/>
      <c r="K3" s="820"/>
      <c r="L3" s="820"/>
      <c r="M3" s="820"/>
      <c r="N3" s="820"/>
      <c r="O3" s="821"/>
    </row>
    <row r="4" spans="2:15">
      <c r="B4" s="694" t="s">
        <v>420</v>
      </c>
      <c r="C4" s="695" t="str">
        <f>'Project Plan'!E2</f>
        <v>Pimville</v>
      </c>
      <c r="H4" s="819"/>
      <c r="I4" s="820"/>
      <c r="J4" s="820"/>
      <c r="K4" s="820"/>
      <c r="L4" s="820"/>
      <c r="M4" s="820"/>
      <c r="N4" s="820"/>
      <c r="O4" s="821"/>
    </row>
    <row r="5" spans="2:15">
      <c r="B5" s="694" t="s">
        <v>421</v>
      </c>
      <c r="C5" s="695" t="s">
        <v>422</v>
      </c>
      <c r="H5" s="819"/>
      <c r="I5" s="820"/>
      <c r="J5" s="820"/>
      <c r="K5" s="820"/>
      <c r="L5" s="820"/>
      <c r="M5" s="820"/>
      <c r="N5" s="820"/>
      <c r="O5" s="821"/>
    </row>
    <row r="6" spans="2:15">
      <c r="B6" s="694" t="s">
        <v>423</v>
      </c>
      <c r="C6" s="695" t="s">
        <v>424</v>
      </c>
      <c r="H6" s="819"/>
      <c r="I6" s="820"/>
      <c r="J6" s="820"/>
      <c r="K6" s="820"/>
      <c r="L6" s="820"/>
      <c r="M6" s="820"/>
      <c r="N6" s="820"/>
      <c r="O6" s="821"/>
    </row>
    <row r="7" spans="2:15">
      <c r="B7" s="694" t="s">
        <v>425</v>
      </c>
      <c r="C7" s="695" t="s">
        <v>76</v>
      </c>
      <c r="H7" s="819"/>
      <c r="I7" s="820"/>
      <c r="J7" s="820"/>
      <c r="K7" s="820"/>
      <c r="L7" s="820"/>
      <c r="M7" s="820"/>
      <c r="N7" s="820"/>
      <c r="O7" s="821"/>
    </row>
    <row r="8" spans="2:15">
      <c r="B8" s="693"/>
      <c r="H8" s="819"/>
      <c r="I8" s="820"/>
      <c r="J8" s="820"/>
      <c r="K8" s="820"/>
      <c r="L8" s="820"/>
      <c r="M8" s="820"/>
      <c r="N8" s="820"/>
      <c r="O8" s="821"/>
    </row>
    <row r="9" spans="2:15">
      <c r="B9" s="825" t="s">
        <v>426</v>
      </c>
      <c r="C9" s="825"/>
      <c r="D9" s="825"/>
      <c r="E9" s="82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9"/>
      <c r="I9" s="820"/>
      <c r="J9" s="820"/>
      <c r="K9" s="820"/>
      <c r="L9" s="820"/>
      <c r="M9" s="820"/>
      <c r="N9" s="820"/>
      <c r="O9" s="821"/>
    </row>
    <row r="10" spans="2:15" ht="15" thickBot="1">
      <c r="B10" s="825" t="s">
        <v>427</v>
      </c>
      <c r="C10" s="825"/>
      <c r="D10" s="825"/>
      <c r="E10" s="825"/>
      <c r="H10" s="822"/>
      <c r="I10" s="823"/>
      <c r="J10" s="823"/>
      <c r="K10" s="823"/>
      <c r="L10" s="823"/>
      <c r="M10" s="823"/>
      <c r="N10" s="823"/>
      <c r="O10" s="824"/>
    </row>
    <row r="11" spans="2:15">
      <c r="B11" s="696" t="s">
        <v>428</v>
      </c>
      <c r="C11" s="813" t="s">
        <v>429</v>
      </c>
      <c r="D11" s="813"/>
      <c r="E11" s="813"/>
    </row>
    <row r="12" spans="2:15">
      <c r="B12" s="696" t="s">
        <v>430</v>
      </c>
      <c r="C12" s="813" t="s">
        <v>429</v>
      </c>
      <c r="D12" s="813"/>
      <c r="E12" s="813"/>
    </row>
    <row r="13" spans="2:15">
      <c r="B13" s="696" t="s">
        <v>431</v>
      </c>
      <c r="C13" s="813" t="s">
        <v>429</v>
      </c>
      <c r="D13" s="813"/>
      <c r="E13" s="813"/>
    </row>
    <row r="14" spans="2:15">
      <c r="B14" s="696" t="s">
        <v>432</v>
      </c>
      <c r="C14" s="813" t="s">
        <v>433</v>
      </c>
      <c r="D14" s="813"/>
      <c r="E14" s="813"/>
    </row>
    <row r="15" spans="2:15">
      <c r="B15" s="696" t="s">
        <v>434</v>
      </c>
      <c r="C15" s="813" t="s">
        <v>435</v>
      </c>
      <c r="D15" s="813"/>
      <c r="E15" s="813"/>
    </row>
    <row r="16" spans="2:15" ht="15" customHeight="1">
      <c r="B16" s="696" t="s">
        <v>436</v>
      </c>
      <c r="C16" s="813" t="s">
        <v>437</v>
      </c>
      <c r="D16" s="813"/>
      <c r="E16" s="813"/>
    </row>
    <row r="17" spans="2:5">
      <c r="B17" s="693"/>
    </row>
    <row r="18" spans="2:5">
      <c r="B18" s="814" t="s">
        <v>438</v>
      </c>
      <c r="C18" s="814"/>
      <c r="D18" s="814"/>
      <c r="E18" s="814"/>
    </row>
    <row r="19" spans="2:5">
      <c r="B19" s="696" t="s">
        <v>439</v>
      </c>
      <c r="C19" s="696" t="s">
        <v>440</v>
      </c>
      <c r="D19" s="696" t="s">
        <v>441</v>
      </c>
      <c r="E19" s="696" t="s">
        <v>62</v>
      </c>
    </row>
    <row r="20" spans="2:5" ht="15" customHeight="1">
      <c r="B20" s="696" t="s">
        <v>442</v>
      </c>
      <c r="C20" s="696" t="s">
        <v>443</v>
      </c>
      <c r="D20" s="697" t="s">
        <v>444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445</v>
      </c>
    </row>
    <row r="2" spans="1:4">
      <c r="A2" s="827"/>
      <c r="B2" s="827"/>
      <c r="C2" s="827"/>
      <c r="D2" s="71"/>
    </row>
    <row r="3" spans="1:4">
      <c r="A3" s="826" t="s">
        <v>446</v>
      </c>
      <c r="B3" s="826"/>
      <c r="C3" s="826"/>
      <c r="D3" s="111">
        <v>0.32</v>
      </c>
    </row>
    <row r="4" spans="1:4">
      <c r="A4" s="826" t="s">
        <v>387</v>
      </c>
      <c r="B4" s="826"/>
      <c r="C4" s="826"/>
      <c r="D4" s="111">
        <v>0.5</v>
      </c>
    </row>
    <row r="5" spans="1:4">
      <c r="A5" s="826" t="s">
        <v>398</v>
      </c>
      <c r="B5" s="826"/>
      <c r="C5" s="826"/>
      <c r="D5" s="111">
        <v>0.15</v>
      </c>
    </row>
    <row r="6" spans="1:4">
      <c r="A6" s="826" t="s">
        <v>447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8" t="s">
        <v>448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2.95">
      <c r="B4" s="92" t="s">
        <v>449</v>
      </c>
      <c r="C4" s="86"/>
      <c r="D4" s="90" t="s">
        <v>450</v>
      </c>
      <c r="E4" s="95"/>
      <c r="F4" s="90" t="s">
        <v>451</v>
      </c>
      <c r="H4" s="90" t="s">
        <v>452</v>
      </c>
      <c r="I4" s="95"/>
      <c r="J4" s="90" t="s">
        <v>453</v>
      </c>
      <c r="L4" s="90" t="s">
        <v>452</v>
      </c>
      <c r="M4" s="90"/>
      <c r="N4" s="90" t="s">
        <v>454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455</v>
      </c>
      <c r="H7" s="99"/>
      <c r="I7" s="95"/>
      <c r="J7" s="107" t="s">
        <v>455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456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455</v>
      </c>
      <c r="H15" s="99"/>
      <c r="I15" s="95"/>
      <c r="J15" s="107" t="s">
        <v>455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459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455</v>
      </c>
      <c r="H21" s="99"/>
      <c r="I21" s="95"/>
      <c r="J21" s="107" t="s">
        <v>455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460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455</v>
      </c>
      <c r="H27" s="99"/>
      <c r="I27" s="95"/>
      <c r="J27" s="107" t="s">
        <v>455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455</v>
      </c>
      <c r="H34" s="99"/>
      <c r="I34" s="95"/>
      <c r="J34" s="107" t="s">
        <v>455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468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28" t="s">
        <v>470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2.95">
      <c r="B4" s="92" t="s">
        <v>449</v>
      </c>
      <c r="C4" s="86"/>
      <c r="D4" s="90" t="s">
        <v>450</v>
      </c>
      <c r="E4" s="95"/>
      <c r="F4" s="95"/>
      <c r="G4" s="90" t="s">
        <v>471</v>
      </c>
      <c r="H4" s="96"/>
      <c r="J4" s="90" t="s">
        <v>452</v>
      </c>
      <c r="L4" s="90" t="s">
        <v>472</v>
      </c>
      <c r="M4" s="96"/>
      <c r="O4" s="90" t="s">
        <v>452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468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449</v>
      </c>
      <c r="C18" s="86"/>
      <c r="D18" s="90" t="s">
        <v>450</v>
      </c>
      <c r="E18" s="95"/>
      <c r="F18" s="95"/>
      <c r="G18" s="90" t="s">
        <v>474</v>
      </c>
      <c r="H18" s="96"/>
      <c r="J18" s="90" t="s">
        <v>452</v>
      </c>
      <c r="L18" s="90" t="s">
        <v>475</v>
      </c>
      <c r="M18" s="96"/>
      <c r="O18" s="90" t="s">
        <v>452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477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478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479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468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481</v>
      </c>
      <c r="C32" s="103"/>
      <c r="D32" s="103"/>
    </row>
    <row r="33" spans="2:4" ht="12.95" thickTop="1"/>
    <row r="34" spans="2:4">
      <c r="B34" s="88" t="s">
        <v>450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30" t="str">
        <f>D15</f>
        <v>Pimville</v>
      </c>
      <c r="C1" s="830"/>
      <c r="D1" s="830"/>
      <c r="E1" s="829" t="s">
        <v>483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484</v>
      </c>
      <c r="C3" s="72" t="s">
        <v>485</v>
      </c>
      <c r="D3" s="72" t="s">
        <v>486</v>
      </c>
      <c r="E3" s="78" t="s">
        <v>487</v>
      </c>
      <c r="F3" s="78" t="s">
        <v>488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311F1ED0-FC36-4EDD-AF05-75C069DCDB9A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2026-02-18T11:39:46Z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