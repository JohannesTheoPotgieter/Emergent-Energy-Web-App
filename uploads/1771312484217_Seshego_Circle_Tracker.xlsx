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45" documentId="13_ncr:1_{DFC80828-CF83-4F91-9EA8-0A631B151EBD}" xr6:coauthVersionLast="47" xr6:coauthVersionMax="47" xr10:uidLastSave="{933C9F71-120C-4D26-B4D5-2B4620FAE61C}"/>
  <bookViews>
    <workbookView xWindow="-98" yWindow="-98" windowWidth="21795" windowHeight="12975" tabRatio="690" firstSheet="3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9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2" l="1"/>
  <c r="M47" i="2"/>
  <c r="M42" i="2"/>
  <c r="M33" i="2"/>
  <c r="M23" i="2"/>
  <c r="W27" i="18"/>
  <c r="U166" i="18"/>
  <c r="K48" i="2"/>
  <c r="N48" i="2" s="1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5" i="18" l="1"/>
  <c r="Q95" i="18"/>
  <c r="W9" i="18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3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3" i="2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K57" i="2" s="1"/>
  <c r="N57" i="2" s="1"/>
  <c r="I39" i="2"/>
  <c r="K39" i="2" s="1"/>
  <c r="N39" i="2" s="1"/>
  <c r="N44" i="2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 s="1"/>
  <c r="X104" i="18"/>
  <c r="X63" i="18"/>
  <c r="U75" i="18" s="1"/>
  <c r="N54" i="2" l="1"/>
  <c r="N53" i="2" s="1"/>
  <c r="U73" i="18"/>
  <c r="U39" i="18"/>
  <c r="U112" i="18"/>
  <c r="K53" i="2"/>
  <c r="J53" i="2" s="1"/>
  <c r="V94" i="18"/>
  <c r="N27" i="2"/>
  <c r="N23" i="2" s="1"/>
  <c r="K40" i="2"/>
  <c r="N40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N42" i="2" s="1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N33" i="2" l="1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N56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9" i="2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K12" i="6"/>
  <c r="BJ14" i="6"/>
  <c r="BR18" i="6" l="1"/>
  <c r="BS9" i="6"/>
  <c r="BS5" i="6"/>
  <c r="BT1" i="6"/>
  <c r="BS3" i="6"/>
  <c r="BS11" i="6"/>
  <c r="BS17" i="6"/>
  <c r="BR10" i="6"/>
  <c r="BO6" i="6"/>
  <c r="BN7" i="6"/>
  <c r="BR4" i="6"/>
  <c r="BK14" i="6"/>
  <c r="BL12" i="6"/>
  <c r="BS18" i="6" l="1"/>
  <c r="BS4" i="6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<sst xmlns="http://schemas.openxmlformats.org/spreadsheetml/2006/main" count="1035" uniqueCount="600">
  <si>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</si>
  <si>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</si>
  <si>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</si>
  <si>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</si>
  <si>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</si>
  <si>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</si>
  <si>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</si>
  <si>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</si>
  <si>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</si>
  <si>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</si>
  <si>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</si>
  <si>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</si>
  <si>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</si>
  <si>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</si>
  <si>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</si>
  <si>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</si>
  <si>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</si>
  <si>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</si>
  <si>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</si>
  <si>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</si>
  <si>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</si>
  <si>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</si>
  <si>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</si>
  <si>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</si>
  <si>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</si>
  <si>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</si>
  <si>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</si>
  <si>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</si>
  <si>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</si>
  <si>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</si>
  <si>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</si>
  <si>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</si>
  <si>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</si>
  <si>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</si>
  <si>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</si>
  <si>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</si>
  <si>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</si>
  <si>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</si>
  <si>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</si>
  <si>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</si>
  <si>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</si>
  <si>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</si>
  <si>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</si>
  <si>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</si>
  <si>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</si>
  <si>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</si>
  <si>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</si>
  <si>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</si>
  <si>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</si>
  <si>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</si>
  <si>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</si>
  <si>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</si>
  <si>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</si>
  <si>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</si>
  <si>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</si>
  <si>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</si>
  <si>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</si>
  <si>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</si>
  <si>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</si>
  <si>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</si>
  <si>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</si>
  <si>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</si>
  <si>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</si>
  <si>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</si>
  <si>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</si>
  <si>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</si>
  <si>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</si>
  <si>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</si>
  <si>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</si>
  <si>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</si>
  <si>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</si>
  <si>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</si>
  <si>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</si>
  <si>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</si>
  <si>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</si>
  <si>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</si>
  <si>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</si>
  <si>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</si>
  <si>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</si>
  <si>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</si>
  <si>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</si>
  <si>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</si>
  <si>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</si>
  <si>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</si>
  <si>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</si>
  <si>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</si>
  <si>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</si>
  <si>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</si>
  <si>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</si>
  <si>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</si>
  <si>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</si>
  <si>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</si>
  <si>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</si>
  <si>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</si>
  <si>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</si>
  <si>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</si>
  <si>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</si>
  <si>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</si>
  <si>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</si>
  <si>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</si>
  <si>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</si>
  <si>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</si>
  <si>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</si>
  <si>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</si>
  <si>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</si>
  <si>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</si>
  <si>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</si>
  <si>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</si>
  <si>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</si>
  <si>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</si>
  <si>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</si>
  <si>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</si>
  <si>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</si>
  <si>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</si>
  <si>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</si>
  <si>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</si>
  <si>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</si>
  <si>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</si>
  <si>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</si>
  <si>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</si>
  <si>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</si>
  <si>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</si>
  <si>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</si>
  <si>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</si>
  <si>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</si>
  <si>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</si>
  <si>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</si>
  <si>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</si>
  <si>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</si>
  <si>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</si>
  <si>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</si>
  <si>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</si>
  <si>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</si>
  <si>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</si>
  <si>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</si>
  <si>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</si>
  <si>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</si>
  <si>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</si>
  <si>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</si>
  <si>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</si>
  <si>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</si>
  <si>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</si>
  <si>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</si>
  <si>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</si>
  <si>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</si>
  <si>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</si>
  <si>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</si>
  <si>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</si>
  <si>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</si>
  <si>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</si>
  <si>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</si>
  <si>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</si>
  <si>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</si>
  <si>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</si>
  <si>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</si>
  <si>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</si>
  <si>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</si>
  <si>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</si>
  <si>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</si>
  <si>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</si>
  <si>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</si>
  <si>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</si>
  <si>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</si>
  <si>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</si>
  <si>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</si>
  <si>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</si>
  <si>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</si>
  <si>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</si>
  <si>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</si>
  <si>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</si>
  <si>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</si>
  <si>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</si>
  <si>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</si>
  <si>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</si>
  <si>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</si>
  <si>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</si>
  <si>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</si>
  <si>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</si>
  <si>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</si>
  <si>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</si>
  <si>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</si>
  <si>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</si>
  <si>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</si>
  <si>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</si>
  <si>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</si>
  <si>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</si>
  <si>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</si>
  <si>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</si>
  <si>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</si>
  <si>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</si>
  <si>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</si>
  <si>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</si>
  <si>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</si>
  <si>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</si>
  <si>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</si>
  <si>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</si>
  <si>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</si>
  <si>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</si>
  <si>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</si>
  <si>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</si>
  <si>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</si>
  <si>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</si>
  <si>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</si>
  <si>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</si>
  <si>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</si>
  <si>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</si>
  <si>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</si>
  <si>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</si>
  <si>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</si>
  <si>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</si>
  <si>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</si>
  <si>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</si>
  <si>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</si>
  <si>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</si>
  <si>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</si>
  <si>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</si>
  <si>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</si>
  <si>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</si>
  <si>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</si>
  <si>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</si>
  <si>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</si>
  <si>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</si>
  <si>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</si>
  <si>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</si>
  <si>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</si>
  <si>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</si>
  <si>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</si>
  <si>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</si>
  <si>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</si>
  <si>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</si>
  <si>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</si>
  <si>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</si>
  <si>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</si>
  <si>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</si>
  <si>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</si>
  <si>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</si>
  <si>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</si>
  <si>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</si>
  <si>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</si>
  <si>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</si>
  <si>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</si>
  <si>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</si>
  <si>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</si>
  <si>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</si>
  <si>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</si>
  <si>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</si>
  <si>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</si>
  <si>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</si>
  <si>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</si>
  <si>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</si>
  <si>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</si>
  <si>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</si>
  <si>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</si>
  <si>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</si>
  <si>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</si>
  <si>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</si>
  <si>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</si>
  <si>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</si>
  <si>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</si>
  <si>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</si>
  <si>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</si>
  <si>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</si>
  <si>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</si>
  <si>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</si>
  <si>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</si>
  <si>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</si>
  <si>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</si>
  <si>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</si>
  <si>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</si>
  <si>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</si>
  <si>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</si>
  <si>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</si>
  <si>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</si>
  <si>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</si>
  <si>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</si>
  <si>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</si>
  <si>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</si>
  <si>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</si>
  <si>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</si>
  <si>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</si>
  <si>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</si>
  <si>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</si>
  <si>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</si>
  <si>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</si>
  <si>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</si>
  <si>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</si>
  <si>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</si>
  <si>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</si>
  <si>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</si>
  <si>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</si>
  <si>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</si>
  <si>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</si>
  <si>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</si>
  <si>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</si>
  <si>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</si>
  <si>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</si>
  <si>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</si>
  <si>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</si>
  <si>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</si>
  <si>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</si>
  <si>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</si>
  <si>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</si>
  <si>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</si>
  <si>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</si>
  <si>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</si>
  <si>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</si>
  <si>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</si>
  <si>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</si>
  <si>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</si>
  <si>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</si>
  <si>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</si>
  <si>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</si>
  <si>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</si>
  <si>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</si>
  <si>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</si>
  <si>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</si>
  <si>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</si>
  <si>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</si>
  <si>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</si>
  <si>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</si>
  <si>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</si>
  <si>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</si>
  <si>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</si>
  <si>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</si>
  <si>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</si>
  <si>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</si>
  <si>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</si>
  <si>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</si>
  <si>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</si>
  <si>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</si>
  <si>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</si>
  <si>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</si>
  <si>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</si>
  <si>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</si>
  <si>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</si>
  <si>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</si>
  <si>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</si>
  <si>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</si>
  <si>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</si>
  <si>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</si>
  <si>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</si>
  <si>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</si>
  <si>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</si>
  <si>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</si>
  <si>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</si>
  <si>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</si>
  <si>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</si>
  <si>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</si>
  <si>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</si>
  <si>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</si>
  <si>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</si>
  <si>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</si>
  <si>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</si>
  <si>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</si>
  <si>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</si>
  <si>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</si>
  <si>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</si>
  <si>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</si>
  <si>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</si>
  <si>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</si>
  <si>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</si>
  <si>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</si>
  <si>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</si>
  <si>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</si>
  <si>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</si>
  <si>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</si>
  <si>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</si>
  <si>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</si>
  <si>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</si>
  <si>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</si>
  <si>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</si>
  <si>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</si>
  <si>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</si>
  <si>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</si>
  <si>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</si>
  <si>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</si>
  <si>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</si>
  <si>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</si>
  <si>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</si>
  <si>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</si>
  <si>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</si>
  <si>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</si>
  <si>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</si>
  <si>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</si>
  <si>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</si>
  <si>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</si>
  <si>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</si>
  <si>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</si>
  <si>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</si>
  <si>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</si>
  <si>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</si>
  <si>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</si>
  <si>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</si>
  <si>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</si>
  <si>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</si>
  <si>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</si>
  <si>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</si>
  <si>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</si>
  <si>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</si>
  <si>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</si>
  <si>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</si>
  <si>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</si>
  <si>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</si>
  <si>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</si>
  <si>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</si>
  <si>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</si>
  <si>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</si>
  <si>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</si>
  <si>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</si>
  <si>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</si>
  <si>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</si>
  <si>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</si>
  <si>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</si>
  <si>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</si>
  <si>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</si>
  <si>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</si>
  <si>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</si>
  <si>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</si>
  <si>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</si>
  <si>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</si>
  <si>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</si>
  <si>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</si>
  <si>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</si>
  <si>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</si>
  <si>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</si>
  <si>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</si>
  <si>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</si>
  <si>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delivery date pending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</si>
  <si>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</si>
  <si>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</si>
  <si>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</si>
  <si>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</si>
  <si>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</si>
  <si>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</si>
  <si>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</si>
  <si>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</si>
  <si>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</si>
  <si>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</si>
  <si>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</si>
  <si>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</si>
  <si>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</si>
  <si>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</si>
  <si>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</si>
  <si>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</si>
  <si>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</si>
  <si>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</si>
  <si>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</si>
  <si>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</si>
  <si>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</si>
  <si>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</si>
  <si>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</si>
  <si>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</si>
  <si>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</si>
  <si>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</si>
  <si>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</si>
  <si>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</si>
  <si>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</si>
  <si>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possible delay</t>
  </si>
  <si>
    <t>6.3</t>
  </si>
  <si>
    <t>Commissioning - Tie In 2</t>
  </si>
  <si>
    <t>6.4</t>
  </si>
  <si>
    <t>Practical Completion</t>
  </si>
  <si>
    <t>hinges on above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</si>
  <si>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</si>
  <si>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</si>
  <si>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</si>
  <si>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</si>
  <si>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</si>
  <si>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</si>
  <si>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</si>
  <si>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</si>
  <si>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</si>
  <si>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</si>
  <si>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</si>
  <si>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</si>
  <si>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</si>
  <si>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</si>
  <si>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</si>
  <si>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</si>
  <si>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</si>
  <si>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</si>
  <si>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</si>
  <si>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</si>
  <si>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</si>
  <si>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</si>
  <si>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</si>
  <si>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</si>
  <si>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</si>
  <si>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</si>
  <si>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</si>
  <si>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</si>
  <si>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</si>
  <si>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</si>
  <si>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</si>
  <si>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</si>
  <si>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</si>
  <si>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</si>
  <si>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</si>
  <si>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</si>
  <si>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</si>
  <si>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</si>
  <si>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</si>
  <si>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</si>
  <si>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</si>
  <si>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</si>
  <si>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</si>
  <si>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</si>
  <si>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</si>
  <si>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</si>
  <si>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</si>
  <si>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</si>
  <si>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</si>
  <si>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</si>
  <si>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</si>
  <si>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</si>
  <si>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</si>
  <si>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</si>
  <si>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</si>
  <si>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</si>
  <si>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</si>
  <si>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</si>
  <si>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</si>
  <si>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</si>
  <si>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</si>
  <si>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</si>
  <si>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</si>
  <si>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</si>
  <si>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</si>
  <si>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</si>
  <si>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</si>
  <si>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</si>
  <si>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</si>
  <si>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</si>
  <si>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</si>
  <si>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</si>
  <si>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</si>
  <si>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</si>
  <si>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</si>
  <si>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</si>
  <si>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</si>
  <si>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</si>
  <si>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</si>
  <si>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</si>
  <si>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</si>
  <si>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</si>
  <si>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</si>
  <si>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</si>
  <si>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</si>
  <si>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</si>
  <si>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</si>
  <si>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</si>
  <si>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</si>
  <si>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</si>
  <si>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</si>
  <si>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</si>
  <si>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</si>
  <si>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</si>
  <si>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</si>
  <si>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</si>
  <si>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</si>
  <si>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</si>
  <si>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</si>
  <si>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</si>
  <si>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</si>
  <si>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</si>
  <si>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</si>
  <si>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</si>
  <si>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</si>
  <si>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</si>
  <si>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</si>
  <si>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</si>
  <si>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</si>
  <si>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</si>
  <si>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</si>
  <si>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</si>
  <si>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</si>
  <si>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</si>
  <si>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</si>
  <si>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</si>
  <si>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</si>
  <si>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</si>
  <si>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</si>
  <si>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</si>
  <si>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</si>
  <si>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</si>
  <si>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</si>
  <si>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</si>
  <si>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</si>
  <si>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</si>
  <si>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</si>
  <si>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</si>
  <si>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</si>
  <si>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</si>
  <si>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</si>
  <si>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</si>
  <si>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</si>
  <si>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</si>
  <si>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</si>
  <si>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</si>
  <si>
    <t>AC kiosk delay TBC
AC Tie in delay. **RISK**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</si>
</sst>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6649763.1229999997</c:v>
                </c:pt>
                <c:pt idx="56">
                  <c:v>6734913.6379999993</c:v>
                </c:pt>
                <c:pt idx="57">
                  <c:v>6740934.8279999997</c:v>
                </c:pt>
                <c:pt idx="58">
                  <c:v>6911235.8479999993</c:v>
                </c:pt>
                <c:pt idx="59">
                  <c:v>7175187.3779999996</c:v>
                </c:pt>
                <c:pt idx="60">
                  <c:v>7185864.7779999999</c:v>
                </c:pt>
                <c:pt idx="61">
                  <c:v>7185864.7779999999</c:v>
                </c:pt>
                <c:pt idx="62">
                  <c:v>7470904.1923272396</c:v>
                </c:pt>
                <c:pt idx="63">
                  <c:v>7470904.1923272396</c:v>
                </c:pt>
                <c:pt idx="64">
                  <c:v>7470904.1923272396</c:v>
                </c:pt>
                <c:pt idx="65">
                  <c:v>7470904.1923272396</c:v>
                </c:pt>
                <c:pt idx="66">
                  <c:v>7470904.1923272396</c:v>
                </c:pt>
                <c:pt idx="67">
                  <c:v>7470904.1923272396</c:v>
                </c:pt>
                <c:pt idx="68">
                  <c:v>7470904.1923272396</c:v>
                </c:pt>
                <c:pt idx="69">
                  <c:v>7470904.1923272396</c:v>
                </c:pt>
                <c:pt idx="70">
                  <c:v>7470904.1923272396</c:v>
                </c:pt>
                <c:pt idx="71">
                  <c:v>7470904.1923272396</c:v>
                </c:pt>
                <c:pt idx="72">
                  <c:v>7470904.1923272396</c:v>
                </c:pt>
                <c:pt idx="73">
                  <c:v>7470904.1923272396</c:v>
                </c:pt>
                <c:pt idx="74">
                  <c:v>7470904.1923272396</c:v>
                </c:pt>
                <c:pt idx="75">
                  <c:v>7470904.1923272396</c:v>
                </c:pt>
                <c:pt idx="76">
                  <c:v>7470904.1923272396</c:v>
                </c:pt>
                <c:pt idx="77">
                  <c:v>7470904.1923272396</c:v>
                </c:pt>
                <c:pt idx="78">
                  <c:v>7470904.1923272396</c:v>
                </c:pt>
                <c:pt idx="79">
                  <c:v>7470904.1923272396</c:v>
                </c:pt>
                <c:pt idx="80">
                  <c:v>7470904.1923272396</c:v>
                </c:pt>
                <c:pt idx="81">
                  <c:v>7470904.1923272396</c:v>
                </c:pt>
                <c:pt idx="82">
                  <c:v>7470904.1923272396</c:v>
                </c:pt>
                <c:pt idx="83">
                  <c:v>7470904.1923272396</c:v>
                </c:pt>
                <c:pt idx="84">
                  <c:v>7470904.1923272396</c:v>
                </c:pt>
                <c:pt idx="85">
                  <c:v>7470904.1923272396</c:v>
                </c:pt>
                <c:pt idx="86">
                  <c:v>7470904.1923272396</c:v>
                </c:pt>
                <c:pt idx="87">
                  <c:v>7470904.1923272396</c:v>
                </c:pt>
                <c:pt idx="88">
                  <c:v>7470904.1923272396</c:v>
                </c:pt>
                <c:pt idx="89">
                  <c:v>7470904.1923272396</c:v>
                </c:pt>
                <c:pt idx="90">
                  <c:v>7470904.1923272396</c:v>
                </c:pt>
                <c:pt idx="91">
                  <c:v>7470904.1923272396</c:v>
                </c:pt>
                <c:pt idx="92">
                  <c:v>7470904.1923272396</c:v>
                </c:pt>
                <c:pt idx="93">
                  <c:v>7470904.1923272396</c:v>
                </c:pt>
                <c:pt idx="94">
                  <c:v>7470904.1923272396</c:v>
                </c:pt>
                <c:pt idx="95">
                  <c:v>7470904.1923272396</c:v>
                </c:pt>
                <c:pt idx="96">
                  <c:v>7470904.1923272396</c:v>
                </c:pt>
                <c:pt idx="97">
                  <c:v>7470904.1923272396</c:v>
                </c:pt>
                <c:pt idx="98">
                  <c:v>7470904.1923272396</c:v>
                </c:pt>
                <c:pt idx="99">
                  <c:v>7470904.1923272396</c:v>
                </c:pt>
                <c:pt idx="100">
                  <c:v>7470904.1923272396</c:v>
                </c:pt>
                <c:pt idx="101">
                  <c:v>7470904.1923272396</c:v>
                </c:pt>
                <c:pt idx="102">
                  <c:v>7470904.1923272396</c:v>
                </c:pt>
                <c:pt idx="103">
                  <c:v>7470904.1923272396</c:v>
                </c:pt>
                <c:pt idx="104">
                  <c:v>7470904.1923272396</c:v>
                </c:pt>
                <c:pt idx="105">
                  <c:v>7470904.1923272396</c:v>
                </c:pt>
                <c:pt idx="106">
                  <c:v>7470904.1923272396</c:v>
                </c:pt>
                <c:pt idx="107">
                  <c:v>7470904.1923272396</c:v>
                </c:pt>
                <c:pt idx="108">
                  <c:v>7470904.1923272396</c:v>
                </c:pt>
                <c:pt idx="109">
                  <c:v>7470904.1923272396</c:v>
                </c:pt>
                <c:pt idx="110">
                  <c:v>7470904.1923272396</c:v>
                </c:pt>
                <c:pt idx="111">
                  <c:v>7470904.1923272396</c:v>
                </c:pt>
                <c:pt idx="112">
                  <c:v>7470904.1923272396</c:v>
                </c:pt>
                <c:pt idx="113">
                  <c:v>7470904.1923272396</c:v>
                </c:pt>
                <c:pt idx="114">
                  <c:v>7470904.1923272396</c:v>
                </c:pt>
                <c:pt idx="115">
                  <c:v>7470904.1923272396</c:v>
                </c:pt>
                <c:pt idx="116">
                  <c:v>7470904.1923272396</c:v>
                </c:pt>
                <c:pt idx="117">
                  <c:v>7470904.1923272396</c:v>
                </c:pt>
                <c:pt idx="118">
                  <c:v>7470904.1923272396</c:v>
                </c:pt>
                <c:pt idx="119">
                  <c:v>7470904.1923272396</c:v>
                </c:pt>
                <c:pt idx="120">
                  <c:v>7470904.1923272396</c:v>
                </c:pt>
                <c:pt idx="121">
                  <c:v>7470904.1923272396</c:v>
                </c:pt>
                <c:pt idx="122">
                  <c:v>7470904.1923272396</c:v>
                </c:pt>
                <c:pt idx="123">
                  <c:v>7470904.1923272396</c:v>
                </c:pt>
                <c:pt idx="124">
                  <c:v>7470904.1923272396</c:v>
                </c:pt>
                <c:pt idx="125">
                  <c:v>7470904.1923272396</c:v>
                </c:pt>
                <c:pt idx="126">
                  <c:v>7470904.1923272396</c:v>
                </c:pt>
                <c:pt idx="127">
                  <c:v>7470904.1923272396</c:v>
                </c:pt>
                <c:pt idx="128">
                  <c:v>7470904.1923272396</c:v>
                </c:pt>
                <c:pt idx="129">
                  <c:v>7470904.1923272396</c:v>
                </c:pt>
                <c:pt idx="130">
                  <c:v>7470904.1923272396</c:v>
                </c:pt>
                <c:pt idx="131">
                  <c:v>7470904.1923272396</c:v>
                </c:pt>
                <c:pt idx="132">
                  <c:v>7470904.1923272396</c:v>
                </c:pt>
                <c:pt idx="133">
                  <c:v>7470904.1923272396</c:v>
                </c:pt>
                <c:pt idx="134">
                  <c:v>7470904.1923272396</c:v>
                </c:pt>
                <c:pt idx="135">
                  <c:v>7470904.1923272396</c:v>
                </c:pt>
                <c:pt idx="136">
                  <c:v>7470904.1923272396</c:v>
                </c:pt>
                <c:pt idx="137">
                  <c:v>7470904.1923272396</c:v>
                </c:pt>
                <c:pt idx="138">
                  <c:v>7470904.1923272396</c:v>
                </c:pt>
                <c:pt idx="139">
                  <c:v>7470904.1923272396</c:v>
                </c:pt>
                <c:pt idx="140">
                  <c:v>7470904.1923272396</c:v>
                </c:pt>
                <c:pt idx="141">
                  <c:v>7470904.1923272396</c:v>
                </c:pt>
                <c:pt idx="142">
                  <c:v>7470904.1923272396</c:v>
                </c:pt>
                <c:pt idx="143">
                  <c:v>7470904.1923272396</c:v>
                </c:pt>
                <c:pt idx="144">
                  <c:v>7470904.1923272396</c:v>
                </c:pt>
                <c:pt idx="145">
                  <c:v>7470904.1923272396</c:v>
                </c:pt>
                <c:pt idx="146">
                  <c:v>7470904.1923272396</c:v>
                </c:pt>
                <c:pt idx="147">
                  <c:v>7470904.1923272396</c:v>
                </c:pt>
                <c:pt idx="148">
                  <c:v>7470904.1923272396</c:v>
                </c:pt>
                <c:pt idx="149">
                  <c:v>7470904.1923272396</c:v>
                </c:pt>
                <c:pt idx="150">
                  <c:v>7470904.1923272396</c:v>
                </c:pt>
                <c:pt idx="151">
                  <c:v>7470904.1923272396</c:v>
                </c:pt>
                <c:pt idx="152">
                  <c:v>7470904.1923272396</c:v>
                </c:pt>
                <c:pt idx="153">
                  <c:v>7470904.1923272396</c:v>
                </c:pt>
                <c:pt idx="154">
                  <c:v>7470904.1923272396</c:v>
                </c:pt>
                <c:pt idx="155">
                  <c:v>7470904.1923272396</c:v>
                </c:pt>
                <c:pt idx="156">
                  <c:v>7470904.1923272396</c:v>
                </c:pt>
                <c:pt idx="157">
                  <c:v>7470904.1923272396</c:v>
                </c:pt>
                <c:pt idx="158">
                  <c:v>7470904.1923272396</c:v>
                </c:pt>
                <c:pt idx="159">
                  <c:v>7470904.1923272396</c:v>
                </c:pt>
                <c:pt idx="160">
                  <c:v>7470904.1923272396</c:v>
                </c:pt>
                <c:pt idx="161">
                  <c:v>7470904.1923272396</c:v>
                </c:pt>
                <c:pt idx="162">
                  <c:v>7470904.1923272396</c:v>
                </c:pt>
                <c:pt idx="163">
                  <c:v>7470904.1923272396</c:v>
                </c:pt>
                <c:pt idx="164">
                  <c:v>7470904.1923272396</c:v>
                </c:pt>
                <c:pt idx="165">
                  <c:v>7470904.1923272396</c:v>
                </c:pt>
                <c:pt idx="166">
                  <c:v>7470904.1923272396</c:v>
                </c:pt>
                <c:pt idx="167">
                  <c:v>7470904.1923272396</c:v>
                </c:pt>
                <c:pt idx="168">
                  <c:v>7470904.1923272396</c:v>
                </c:pt>
                <c:pt idx="169">
                  <c:v>7470904.1923272396</c:v>
                </c:pt>
                <c:pt idx="170">
                  <c:v>7470904.1923272396</c:v>
                </c:pt>
                <c:pt idx="171">
                  <c:v>7470904.1923272396</c:v>
                </c:pt>
                <c:pt idx="172">
                  <c:v>7470904.1923272396</c:v>
                </c:pt>
                <c:pt idx="173">
                  <c:v>7470904.1923272396</c:v>
                </c:pt>
                <c:pt idx="174">
                  <c:v>7470904.1923272396</c:v>
                </c:pt>
                <c:pt idx="175">
                  <c:v>7470904.1923272396</c:v>
                </c:pt>
                <c:pt idx="176">
                  <c:v>7470904.1923272396</c:v>
                </c:pt>
                <c:pt idx="177">
                  <c:v>7470904.1923272396</c:v>
                </c:pt>
                <c:pt idx="178">
                  <c:v>7470904.1923272396</c:v>
                </c:pt>
                <c:pt idx="179">
                  <c:v>7470904.1923272396</c:v>
                </c:pt>
                <c:pt idx="180">
                  <c:v>7470904.1923272396</c:v>
                </c:pt>
                <c:pt idx="181">
                  <c:v>7470904.1923272396</c:v>
                </c:pt>
                <c:pt idx="182">
                  <c:v>7470904.1923272396</c:v>
                </c:pt>
                <c:pt idx="183">
                  <c:v>7470904.1923272396</c:v>
                </c:pt>
                <c:pt idx="184">
                  <c:v>7470904.1923272396</c:v>
                </c:pt>
                <c:pt idx="185">
                  <c:v>7470904.1923272396</c:v>
                </c:pt>
                <c:pt idx="186">
                  <c:v>7470904.1923272396</c:v>
                </c:pt>
                <c:pt idx="187">
                  <c:v>7470904.1923272396</c:v>
                </c:pt>
                <c:pt idx="188">
                  <c:v>7470904.1923272396</c:v>
                </c:pt>
                <c:pt idx="189">
                  <c:v>7470904.1923272396</c:v>
                </c:pt>
                <c:pt idx="190">
                  <c:v>7470904.1923272396</c:v>
                </c:pt>
                <c:pt idx="191">
                  <c:v>7470904.1923272396</c:v>
                </c:pt>
                <c:pt idx="192">
                  <c:v>7470904.1923272396</c:v>
                </c:pt>
                <c:pt idx="193">
                  <c:v>7470904.1923272396</c:v>
                </c:pt>
                <c:pt idx="194">
                  <c:v>7470904.1923272396</c:v>
                </c:pt>
                <c:pt idx="195">
                  <c:v>7470904.1923272396</c:v>
                </c:pt>
                <c:pt idx="196">
                  <c:v>7470904.1923272396</c:v>
                </c:pt>
                <c:pt idx="197">
                  <c:v>7470904.1923272396</c:v>
                </c:pt>
                <c:pt idx="198">
                  <c:v>7470904.1923272396</c:v>
                </c:pt>
                <c:pt idx="199">
                  <c:v>7470904.1923272396</c:v>
                </c:pt>
                <c:pt idx="200">
                  <c:v>7470904.1923272396</c:v>
                </c:pt>
                <c:pt idx="201">
                  <c:v>7470904.1923272396</c:v>
                </c:pt>
                <c:pt idx="202">
                  <c:v>7470904.1923272396</c:v>
                </c:pt>
                <c:pt idx="203">
                  <c:v>7470904.1923272396</c:v>
                </c:pt>
                <c:pt idx="204">
                  <c:v>7470904.1923272396</c:v>
                </c:pt>
                <c:pt idx="205">
                  <c:v>7470904.1923272396</c:v>
                </c:pt>
                <c:pt idx="206">
                  <c:v>7470904.1923272396</c:v>
                </c:pt>
                <c:pt idx="207">
                  <c:v>7470904.1923272396</c:v>
                </c:pt>
                <c:pt idx="208">
                  <c:v>7470904.1923272396</c:v>
                </c:pt>
                <c:pt idx="209">
                  <c:v>7470904.1923272396</c:v>
                </c:pt>
                <c:pt idx="210">
                  <c:v>7470904.1923272396</c:v>
                </c:pt>
                <c:pt idx="211">
                  <c:v>7470904.1923272396</c:v>
                </c:pt>
                <c:pt idx="212">
                  <c:v>7470904.1923272396</c:v>
                </c:pt>
                <c:pt idx="213">
                  <c:v>7470904.1923272396</c:v>
                </c:pt>
                <c:pt idx="214">
                  <c:v>7470904.1923272396</c:v>
                </c:pt>
                <c:pt idx="215">
                  <c:v>7470904.1923272396</c:v>
                </c:pt>
                <c:pt idx="216">
                  <c:v>7470904.1923272396</c:v>
                </c:pt>
                <c:pt idx="217">
                  <c:v>7470904.1923272396</c:v>
                </c:pt>
                <c:pt idx="218">
                  <c:v>7470904.1923272396</c:v>
                </c:pt>
                <c:pt idx="219">
                  <c:v>7470904.1923272396</c:v>
                </c:pt>
                <c:pt idx="220">
                  <c:v>7470904.1923272396</c:v>
                </c:pt>
                <c:pt idx="221">
                  <c:v>7470904.1923272396</c:v>
                </c:pt>
                <c:pt idx="222">
                  <c:v>7470904.1923272396</c:v>
                </c:pt>
                <c:pt idx="223">
                  <c:v>7470904.1923272396</c:v>
                </c:pt>
                <c:pt idx="224">
                  <c:v>7470904.1923272396</c:v>
                </c:pt>
                <c:pt idx="225">
                  <c:v>7470904.1923272396</c:v>
                </c:pt>
                <c:pt idx="226">
                  <c:v>7470904.1923272396</c:v>
                </c:pt>
                <c:pt idx="227">
                  <c:v>7470904.1923272396</c:v>
                </c:pt>
                <c:pt idx="228">
                  <c:v>7470904.1923272396</c:v>
                </c:pt>
                <c:pt idx="229">
                  <c:v>7470904.1923272396</c:v>
                </c:pt>
                <c:pt idx="230">
                  <c:v>7470904.1923272396</c:v>
                </c:pt>
                <c:pt idx="231">
                  <c:v>7470904.1923272396</c:v>
                </c:pt>
                <c:pt idx="232">
                  <c:v>7470904.1923272396</c:v>
                </c:pt>
                <c:pt idx="233">
                  <c:v>7470904.1923272396</c:v>
                </c:pt>
                <c:pt idx="234">
                  <c:v>7470904.1923272396</c:v>
                </c:pt>
                <c:pt idx="235">
                  <c:v>7470904.1923272396</c:v>
                </c:pt>
                <c:pt idx="236">
                  <c:v>7470904.1923272396</c:v>
                </c:pt>
                <c:pt idx="237">
                  <c:v>7470904.1923272396</c:v>
                </c:pt>
                <c:pt idx="238">
                  <c:v>7470904.1923272396</c:v>
                </c:pt>
                <c:pt idx="239">
                  <c:v>7470904.1923272396</c:v>
                </c:pt>
                <c:pt idx="240">
                  <c:v>7470904.1923272396</c:v>
                </c:pt>
                <c:pt idx="241">
                  <c:v>7470904.1923272396</c:v>
                </c:pt>
                <c:pt idx="242">
                  <c:v>7470904.1923272396</c:v>
                </c:pt>
                <c:pt idx="243">
                  <c:v>7470904.1923272396</c:v>
                </c:pt>
                <c:pt idx="244">
                  <c:v>7470904.1923272396</c:v>
                </c:pt>
                <c:pt idx="245">
                  <c:v>7470904.1923272396</c:v>
                </c:pt>
                <c:pt idx="246">
                  <c:v>7470904.1923272396</c:v>
                </c:pt>
                <c:pt idx="247">
                  <c:v>7470904.1923272396</c:v>
                </c:pt>
                <c:pt idx="248">
                  <c:v>7470904.1923272396</c:v>
                </c:pt>
                <c:pt idx="249">
                  <c:v>7470904.1923272396</c:v>
                </c:pt>
                <c:pt idx="250">
                  <c:v>7470904.1923272396</c:v>
                </c:pt>
                <c:pt idx="251">
                  <c:v>7470904.1923272396</c:v>
                </c:pt>
                <c:pt idx="252">
                  <c:v>7470904.1923272396</c:v>
                </c:pt>
                <c:pt idx="253">
                  <c:v>7470904.1923272396</c:v>
                </c:pt>
                <c:pt idx="254">
                  <c:v>7470904.1923272396</c:v>
                </c:pt>
                <c:pt idx="255">
                  <c:v>7470904.1923272396</c:v>
                </c:pt>
                <c:pt idx="256">
                  <c:v>7470904.1923272396</c:v>
                </c:pt>
                <c:pt idx="257">
                  <c:v>7470904.1923272396</c:v>
                </c:pt>
                <c:pt idx="258">
                  <c:v>7470904.1923272396</c:v>
                </c:pt>
                <c:pt idx="259">
                  <c:v>7470904.1923272396</c:v>
                </c:pt>
                <c:pt idx="260">
                  <c:v>7470904.1923272396</c:v>
                </c:pt>
                <c:pt idx="261">
                  <c:v>7470904.1923272396</c:v>
                </c:pt>
                <c:pt idx="262">
                  <c:v>7470904.1923272396</c:v>
                </c:pt>
                <c:pt idx="263">
                  <c:v>7470904.1923272396</c:v>
                </c:pt>
                <c:pt idx="264">
                  <c:v>7470904.1923272396</c:v>
                </c:pt>
                <c:pt idx="265">
                  <c:v>7470904.1923272396</c:v>
                </c:pt>
                <c:pt idx="266">
                  <c:v>7470904.1923272396</c:v>
                </c:pt>
                <c:pt idx="267">
                  <c:v>7470904.1923272396</c:v>
                </c:pt>
                <c:pt idx="268">
                  <c:v>7470904.1923272396</c:v>
                </c:pt>
                <c:pt idx="269">
                  <c:v>7470904.1923272396</c:v>
                </c:pt>
                <c:pt idx="270">
                  <c:v>7470904.1923272396</c:v>
                </c:pt>
                <c:pt idx="271">
                  <c:v>7470904.1923272396</c:v>
                </c:pt>
                <c:pt idx="272">
                  <c:v>7470904.1923272396</c:v>
                </c:pt>
                <c:pt idx="273">
                  <c:v>7470904.1923272396</c:v>
                </c:pt>
                <c:pt idx="274">
                  <c:v>7470904.1923272396</c:v>
                </c:pt>
                <c:pt idx="275">
                  <c:v>7470904.1923272396</c:v>
                </c:pt>
                <c:pt idx="276">
                  <c:v>7470904.1923272396</c:v>
                </c:pt>
                <c:pt idx="277">
                  <c:v>7470904.1923272396</c:v>
                </c:pt>
                <c:pt idx="278">
                  <c:v>7470904.1923272396</c:v>
                </c:pt>
                <c:pt idx="279">
                  <c:v>7470904.1923272396</c:v>
                </c:pt>
                <c:pt idx="280">
                  <c:v>7470904.1923272396</c:v>
                </c:pt>
                <c:pt idx="281">
                  <c:v>7470904.1923272396</c:v>
                </c:pt>
                <c:pt idx="282">
                  <c:v>7470904.1923272396</c:v>
                </c:pt>
                <c:pt idx="283">
                  <c:v>7470904.1923272396</c:v>
                </c:pt>
                <c:pt idx="284">
                  <c:v>7470904.1923272396</c:v>
                </c:pt>
                <c:pt idx="285">
                  <c:v>7470904.1923272396</c:v>
                </c:pt>
                <c:pt idx="286">
                  <c:v>7470904.1923272396</c:v>
                </c:pt>
                <c:pt idx="287">
                  <c:v>7470904.1923272396</c:v>
                </c:pt>
                <c:pt idx="288">
                  <c:v>7470904.1923272396</c:v>
                </c:pt>
                <c:pt idx="289">
                  <c:v>7470904.1923272396</c:v>
                </c:pt>
                <c:pt idx="290">
                  <c:v>7470904.1923272396</c:v>
                </c:pt>
                <c:pt idx="291">
                  <c:v>7470904.1923272396</c:v>
                </c:pt>
                <c:pt idx="292">
                  <c:v>7470904.1923272396</c:v>
                </c:pt>
                <c:pt idx="293">
                  <c:v>7470904.1923272396</c:v>
                </c:pt>
                <c:pt idx="294">
                  <c:v>7470904.1923272396</c:v>
                </c:pt>
                <c:pt idx="295">
                  <c:v>7470904.1923272396</c:v>
                </c:pt>
                <c:pt idx="296">
                  <c:v>7470904.1923272396</c:v>
                </c:pt>
                <c:pt idx="297">
                  <c:v>7470904.1923272396</c:v>
                </c:pt>
                <c:pt idx="298">
                  <c:v>7470904.1923272396</c:v>
                </c:pt>
                <c:pt idx="299">
                  <c:v>7470904.1923272396</c:v>
                </c:pt>
                <c:pt idx="300">
                  <c:v>7470904.1923272396</c:v>
                </c:pt>
                <c:pt idx="301">
                  <c:v>7470904.1923272396</c:v>
                </c:pt>
                <c:pt idx="302">
                  <c:v>7470904.1923272396</c:v>
                </c:pt>
                <c:pt idx="303">
                  <c:v>7470904.1923272396</c:v>
                </c:pt>
                <c:pt idx="304">
                  <c:v>7470904.1923272396</c:v>
                </c:pt>
                <c:pt idx="305">
                  <c:v>7470904.1923272396</c:v>
                </c:pt>
                <c:pt idx="306">
                  <c:v>7470904.1923272396</c:v>
                </c:pt>
                <c:pt idx="307">
                  <c:v>7470904.1923272396</c:v>
                </c:pt>
                <c:pt idx="308">
                  <c:v>7470904.1923272396</c:v>
                </c:pt>
                <c:pt idx="309">
                  <c:v>7470904.1923272396</c:v>
                </c:pt>
                <c:pt idx="310">
                  <c:v>7470904.1923272396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1589010.6370000001</c:v>
                </c:pt>
                <c:pt idx="56">
                  <c:v>1503860.1220000004</c:v>
                </c:pt>
                <c:pt idx="57">
                  <c:v>1497838.932</c:v>
                </c:pt>
                <c:pt idx="58">
                  <c:v>1327537.9120000005</c:v>
                </c:pt>
                <c:pt idx="59">
                  <c:v>1063586.3820000002</c:v>
                </c:pt>
                <c:pt idx="60">
                  <c:v>1052908.9819999998</c:v>
                </c:pt>
                <c:pt idx="61">
                  <c:v>3242479.5719999997</c:v>
                </c:pt>
                <c:pt idx="62">
                  <c:v>2957440.1576727601</c:v>
                </c:pt>
                <c:pt idx="63">
                  <c:v>2957440.1576727601</c:v>
                </c:pt>
                <c:pt idx="64">
                  <c:v>2957440.1576727601</c:v>
                </c:pt>
                <c:pt idx="65">
                  <c:v>2957440.1576727601</c:v>
                </c:pt>
                <c:pt idx="66">
                  <c:v>2957440.1576727601</c:v>
                </c:pt>
                <c:pt idx="67">
                  <c:v>2957440.1576727601</c:v>
                </c:pt>
                <c:pt idx="68">
                  <c:v>2957440.1576727601</c:v>
                </c:pt>
                <c:pt idx="69">
                  <c:v>2957440.1576727601</c:v>
                </c:pt>
                <c:pt idx="70">
                  <c:v>2957440.1576727601</c:v>
                </c:pt>
                <c:pt idx="71">
                  <c:v>2957440.1576727601</c:v>
                </c:pt>
                <c:pt idx="72">
                  <c:v>2957440.1576727601</c:v>
                </c:pt>
                <c:pt idx="73">
                  <c:v>2957440.1576727601</c:v>
                </c:pt>
                <c:pt idx="74">
                  <c:v>2957440.1576727601</c:v>
                </c:pt>
                <c:pt idx="75">
                  <c:v>2957440.1576727601</c:v>
                </c:pt>
                <c:pt idx="76">
                  <c:v>2957440.1576727601</c:v>
                </c:pt>
                <c:pt idx="77">
                  <c:v>2957440.1576727601</c:v>
                </c:pt>
                <c:pt idx="78">
                  <c:v>2957440.1576727601</c:v>
                </c:pt>
                <c:pt idx="79">
                  <c:v>2957440.1576727601</c:v>
                </c:pt>
                <c:pt idx="80">
                  <c:v>2957440.1576727601</c:v>
                </c:pt>
                <c:pt idx="81">
                  <c:v>2957440.1576727601</c:v>
                </c:pt>
                <c:pt idx="82">
                  <c:v>2957440.1576727601</c:v>
                </c:pt>
                <c:pt idx="83">
                  <c:v>2957440.1576727601</c:v>
                </c:pt>
                <c:pt idx="84">
                  <c:v>2957440.1576727601</c:v>
                </c:pt>
                <c:pt idx="85">
                  <c:v>2957440.1576727601</c:v>
                </c:pt>
                <c:pt idx="86">
                  <c:v>2957440.1576727601</c:v>
                </c:pt>
                <c:pt idx="87">
                  <c:v>2957440.1576727601</c:v>
                </c:pt>
                <c:pt idx="88">
                  <c:v>2957440.1576727601</c:v>
                </c:pt>
                <c:pt idx="89">
                  <c:v>2957440.1576727601</c:v>
                </c:pt>
                <c:pt idx="90">
                  <c:v>2957440.1576727601</c:v>
                </c:pt>
                <c:pt idx="91">
                  <c:v>2957440.1576727601</c:v>
                </c:pt>
                <c:pt idx="92">
                  <c:v>2957440.1576727601</c:v>
                </c:pt>
                <c:pt idx="93">
                  <c:v>2957440.1576727601</c:v>
                </c:pt>
                <c:pt idx="94">
                  <c:v>2957440.1576727601</c:v>
                </c:pt>
                <c:pt idx="95">
                  <c:v>2957440.1576727601</c:v>
                </c:pt>
                <c:pt idx="96">
                  <c:v>2957440.1576727601</c:v>
                </c:pt>
                <c:pt idx="97">
                  <c:v>2957440.1576727601</c:v>
                </c:pt>
                <c:pt idx="98">
                  <c:v>2957440.1576727601</c:v>
                </c:pt>
                <c:pt idx="99">
                  <c:v>2957440.1576727601</c:v>
                </c:pt>
                <c:pt idx="100">
                  <c:v>2957440.1576727601</c:v>
                </c:pt>
                <c:pt idx="101">
                  <c:v>2957440.1576727601</c:v>
                </c:pt>
                <c:pt idx="102">
                  <c:v>2957440.1576727601</c:v>
                </c:pt>
                <c:pt idx="103">
                  <c:v>2957440.1576727601</c:v>
                </c:pt>
                <c:pt idx="104">
                  <c:v>2957440.1576727601</c:v>
                </c:pt>
                <c:pt idx="105">
                  <c:v>2957440.1576727601</c:v>
                </c:pt>
                <c:pt idx="106">
                  <c:v>2957440.1576727601</c:v>
                </c:pt>
                <c:pt idx="107">
                  <c:v>2957440.1576727601</c:v>
                </c:pt>
                <c:pt idx="108">
                  <c:v>2957440.1576727601</c:v>
                </c:pt>
                <c:pt idx="109">
                  <c:v>2957440.1576727601</c:v>
                </c:pt>
                <c:pt idx="110">
                  <c:v>2957440.1576727601</c:v>
                </c:pt>
                <c:pt idx="111">
                  <c:v>2957440.1576727601</c:v>
                </c:pt>
                <c:pt idx="112">
                  <c:v>2957440.1576727601</c:v>
                </c:pt>
                <c:pt idx="113">
                  <c:v>2957440.1576727601</c:v>
                </c:pt>
                <c:pt idx="114">
                  <c:v>2957440.1576727601</c:v>
                </c:pt>
                <c:pt idx="115">
                  <c:v>2957440.1576727601</c:v>
                </c:pt>
                <c:pt idx="116">
                  <c:v>2957440.1576727601</c:v>
                </c:pt>
                <c:pt idx="117">
                  <c:v>2957440.1576727601</c:v>
                </c:pt>
                <c:pt idx="118">
                  <c:v>2957440.1576727601</c:v>
                </c:pt>
                <c:pt idx="119">
                  <c:v>2957440.1576727601</c:v>
                </c:pt>
                <c:pt idx="120">
                  <c:v>2957440.1576727601</c:v>
                </c:pt>
                <c:pt idx="121">
                  <c:v>2957440.1576727601</c:v>
                </c:pt>
                <c:pt idx="122">
                  <c:v>2957440.1576727601</c:v>
                </c:pt>
                <c:pt idx="123">
                  <c:v>2957440.1576727601</c:v>
                </c:pt>
                <c:pt idx="124">
                  <c:v>2957440.1576727601</c:v>
                </c:pt>
                <c:pt idx="125">
                  <c:v>2957440.1576727601</c:v>
                </c:pt>
                <c:pt idx="126">
                  <c:v>2957440.1576727601</c:v>
                </c:pt>
                <c:pt idx="127">
                  <c:v>2957440.1576727601</c:v>
                </c:pt>
                <c:pt idx="128">
                  <c:v>2957440.1576727601</c:v>
                </c:pt>
                <c:pt idx="129">
                  <c:v>2957440.1576727601</c:v>
                </c:pt>
                <c:pt idx="130">
                  <c:v>2957440.1576727601</c:v>
                </c:pt>
                <c:pt idx="131">
                  <c:v>2957440.1576727601</c:v>
                </c:pt>
                <c:pt idx="132">
                  <c:v>2957440.1576727601</c:v>
                </c:pt>
                <c:pt idx="133">
                  <c:v>2957440.1576727601</c:v>
                </c:pt>
                <c:pt idx="134">
                  <c:v>2957440.1576727601</c:v>
                </c:pt>
                <c:pt idx="135">
                  <c:v>2957440.1576727601</c:v>
                </c:pt>
                <c:pt idx="136">
                  <c:v>2957440.1576727601</c:v>
                </c:pt>
                <c:pt idx="137">
                  <c:v>2957440.1576727601</c:v>
                </c:pt>
                <c:pt idx="138">
                  <c:v>2957440.1576727601</c:v>
                </c:pt>
                <c:pt idx="139">
                  <c:v>2957440.1576727601</c:v>
                </c:pt>
                <c:pt idx="140">
                  <c:v>2957440.1576727601</c:v>
                </c:pt>
                <c:pt idx="141">
                  <c:v>2957440.1576727601</c:v>
                </c:pt>
                <c:pt idx="142">
                  <c:v>2957440.1576727601</c:v>
                </c:pt>
                <c:pt idx="143">
                  <c:v>2957440.1576727601</c:v>
                </c:pt>
                <c:pt idx="144">
                  <c:v>2957440.1576727601</c:v>
                </c:pt>
                <c:pt idx="145">
                  <c:v>2957440.1576727601</c:v>
                </c:pt>
                <c:pt idx="146">
                  <c:v>2957440.1576727601</c:v>
                </c:pt>
                <c:pt idx="147">
                  <c:v>2957440.1576727601</c:v>
                </c:pt>
                <c:pt idx="148">
                  <c:v>2957440.1576727601</c:v>
                </c:pt>
                <c:pt idx="149">
                  <c:v>2957440.1576727601</c:v>
                </c:pt>
                <c:pt idx="150">
                  <c:v>2957440.1576727601</c:v>
                </c:pt>
                <c:pt idx="151">
                  <c:v>2957440.1576727601</c:v>
                </c:pt>
                <c:pt idx="152">
                  <c:v>2957440.1576727601</c:v>
                </c:pt>
                <c:pt idx="153">
                  <c:v>2957440.1576727601</c:v>
                </c:pt>
                <c:pt idx="154">
                  <c:v>2957440.1576727601</c:v>
                </c:pt>
                <c:pt idx="155">
                  <c:v>2957440.1576727601</c:v>
                </c:pt>
                <c:pt idx="156">
                  <c:v>2957440.1576727601</c:v>
                </c:pt>
                <c:pt idx="157">
                  <c:v>2957440.1576727601</c:v>
                </c:pt>
                <c:pt idx="158">
                  <c:v>2957440.1576727601</c:v>
                </c:pt>
                <c:pt idx="159">
                  <c:v>2957440.1576727601</c:v>
                </c:pt>
                <c:pt idx="160">
                  <c:v>2957440.1576727601</c:v>
                </c:pt>
                <c:pt idx="161">
                  <c:v>2957440.1576727601</c:v>
                </c:pt>
                <c:pt idx="162">
                  <c:v>2957440.1576727601</c:v>
                </c:pt>
                <c:pt idx="163">
                  <c:v>2957440.1576727601</c:v>
                </c:pt>
                <c:pt idx="164">
                  <c:v>2957440.1576727601</c:v>
                </c:pt>
                <c:pt idx="165">
                  <c:v>2957440.1576727601</c:v>
                </c:pt>
                <c:pt idx="166">
                  <c:v>2957440.1576727601</c:v>
                </c:pt>
                <c:pt idx="167">
                  <c:v>2957440.1576727601</c:v>
                </c:pt>
                <c:pt idx="168">
                  <c:v>2957440.1576727601</c:v>
                </c:pt>
                <c:pt idx="169">
                  <c:v>2957440.1576727601</c:v>
                </c:pt>
                <c:pt idx="170">
                  <c:v>2957440.1576727601</c:v>
                </c:pt>
                <c:pt idx="171">
                  <c:v>2957440.1576727601</c:v>
                </c:pt>
                <c:pt idx="172">
                  <c:v>2957440.1576727601</c:v>
                </c:pt>
                <c:pt idx="173">
                  <c:v>2957440.1576727601</c:v>
                </c:pt>
                <c:pt idx="174">
                  <c:v>2957440.1576727601</c:v>
                </c:pt>
                <c:pt idx="175">
                  <c:v>2957440.1576727601</c:v>
                </c:pt>
                <c:pt idx="176">
                  <c:v>2957440.1576727601</c:v>
                </c:pt>
                <c:pt idx="177">
                  <c:v>2957440.1576727601</c:v>
                </c:pt>
                <c:pt idx="178">
                  <c:v>2957440.1576727601</c:v>
                </c:pt>
                <c:pt idx="179">
                  <c:v>2957440.1576727601</c:v>
                </c:pt>
                <c:pt idx="180">
                  <c:v>2957440.1576727601</c:v>
                </c:pt>
                <c:pt idx="181">
                  <c:v>2957440.1576727601</c:v>
                </c:pt>
                <c:pt idx="182">
                  <c:v>2957440.1576727601</c:v>
                </c:pt>
                <c:pt idx="183">
                  <c:v>2957440.1576727601</c:v>
                </c:pt>
                <c:pt idx="184">
                  <c:v>2957440.1576727601</c:v>
                </c:pt>
                <c:pt idx="185">
                  <c:v>2957440.1576727601</c:v>
                </c:pt>
                <c:pt idx="186">
                  <c:v>2957440.1576727601</c:v>
                </c:pt>
                <c:pt idx="187">
                  <c:v>2957440.1576727601</c:v>
                </c:pt>
                <c:pt idx="188">
                  <c:v>2957440.1576727601</c:v>
                </c:pt>
                <c:pt idx="189">
                  <c:v>2957440.1576727601</c:v>
                </c:pt>
                <c:pt idx="190">
                  <c:v>2957440.1576727601</c:v>
                </c:pt>
                <c:pt idx="191">
                  <c:v>2957440.1576727601</c:v>
                </c:pt>
                <c:pt idx="192">
                  <c:v>2957440.1576727601</c:v>
                </c:pt>
                <c:pt idx="193">
                  <c:v>2957440.1576727601</c:v>
                </c:pt>
                <c:pt idx="194">
                  <c:v>2957440.1576727601</c:v>
                </c:pt>
                <c:pt idx="195">
                  <c:v>2957440.1576727601</c:v>
                </c:pt>
                <c:pt idx="196">
                  <c:v>2957440.1576727601</c:v>
                </c:pt>
                <c:pt idx="197">
                  <c:v>2957440.1576727601</c:v>
                </c:pt>
                <c:pt idx="198">
                  <c:v>2957440.1576727601</c:v>
                </c:pt>
                <c:pt idx="199">
                  <c:v>2957440.1576727601</c:v>
                </c:pt>
                <c:pt idx="200">
                  <c:v>2957440.1576727601</c:v>
                </c:pt>
                <c:pt idx="201">
                  <c:v>2957440.1576727601</c:v>
                </c:pt>
                <c:pt idx="202">
                  <c:v>2957440.1576727601</c:v>
                </c:pt>
                <c:pt idx="203">
                  <c:v>2957440.1576727601</c:v>
                </c:pt>
                <c:pt idx="204">
                  <c:v>2957440.1576727601</c:v>
                </c:pt>
                <c:pt idx="205">
                  <c:v>2957440.1576727601</c:v>
                </c:pt>
                <c:pt idx="206">
                  <c:v>2957440.1576727601</c:v>
                </c:pt>
                <c:pt idx="207">
                  <c:v>2957440.1576727601</c:v>
                </c:pt>
                <c:pt idx="208">
                  <c:v>2957440.1576727601</c:v>
                </c:pt>
                <c:pt idx="209">
                  <c:v>2957440.1576727601</c:v>
                </c:pt>
                <c:pt idx="210">
                  <c:v>2957440.1576727601</c:v>
                </c:pt>
                <c:pt idx="211">
                  <c:v>2957440.1576727601</c:v>
                </c:pt>
                <c:pt idx="212">
                  <c:v>2957440.1576727601</c:v>
                </c:pt>
                <c:pt idx="213">
                  <c:v>2957440.1576727601</c:v>
                </c:pt>
                <c:pt idx="214">
                  <c:v>2957440.1576727601</c:v>
                </c:pt>
                <c:pt idx="215">
                  <c:v>2957440.1576727601</c:v>
                </c:pt>
                <c:pt idx="216">
                  <c:v>2957440.1576727601</c:v>
                </c:pt>
                <c:pt idx="217">
                  <c:v>2957440.1576727601</c:v>
                </c:pt>
                <c:pt idx="218">
                  <c:v>2957440.1576727601</c:v>
                </c:pt>
                <c:pt idx="219">
                  <c:v>2957440.1576727601</c:v>
                </c:pt>
                <c:pt idx="220">
                  <c:v>2957440.1576727601</c:v>
                </c:pt>
                <c:pt idx="221">
                  <c:v>2957440.1576727601</c:v>
                </c:pt>
                <c:pt idx="222">
                  <c:v>2957440.1576727601</c:v>
                </c:pt>
                <c:pt idx="223">
                  <c:v>2957440.1576727601</c:v>
                </c:pt>
                <c:pt idx="224">
                  <c:v>2957440.1576727601</c:v>
                </c:pt>
                <c:pt idx="225">
                  <c:v>2957440.1576727601</c:v>
                </c:pt>
                <c:pt idx="226">
                  <c:v>2957440.1576727601</c:v>
                </c:pt>
                <c:pt idx="227">
                  <c:v>2957440.1576727601</c:v>
                </c:pt>
                <c:pt idx="228">
                  <c:v>2957440.1576727601</c:v>
                </c:pt>
                <c:pt idx="229">
                  <c:v>2957440.1576727601</c:v>
                </c:pt>
                <c:pt idx="230">
                  <c:v>2957440.1576727601</c:v>
                </c:pt>
                <c:pt idx="231">
                  <c:v>2957440.1576727601</c:v>
                </c:pt>
                <c:pt idx="232">
                  <c:v>2957440.1576727601</c:v>
                </c:pt>
                <c:pt idx="233">
                  <c:v>2957440.1576727601</c:v>
                </c:pt>
                <c:pt idx="234">
                  <c:v>2957440.1576727601</c:v>
                </c:pt>
                <c:pt idx="235">
                  <c:v>2957440.1576727601</c:v>
                </c:pt>
                <c:pt idx="236">
                  <c:v>2957440.1576727601</c:v>
                </c:pt>
                <c:pt idx="237">
                  <c:v>2957440.1576727601</c:v>
                </c:pt>
                <c:pt idx="238">
                  <c:v>2957440.1576727601</c:v>
                </c:pt>
                <c:pt idx="239">
                  <c:v>2957440.1576727601</c:v>
                </c:pt>
                <c:pt idx="240">
                  <c:v>2957440.1576727601</c:v>
                </c:pt>
                <c:pt idx="241">
                  <c:v>2957440.1576727601</c:v>
                </c:pt>
                <c:pt idx="242">
                  <c:v>2957440.1576727601</c:v>
                </c:pt>
                <c:pt idx="243">
                  <c:v>2957440.1576727601</c:v>
                </c:pt>
                <c:pt idx="244">
                  <c:v>2957440.1576727601</c:v>
                </c:pt>
                <c:pt idx="245">
                  <c:v>2957440.1576727601</c:v>
                </c:pt>
                <c:pt idx="246">
                  <c:v>2957440.1576727601</c:v>
                </c:pt>
                <c:pt idx="247">
                  <c:v>2957440.1576727601</c:v>
                </c:pt>
                <c:pt idx="248">
                  <c:v>2957440.1576727601</c:v>
                </c:pt>
                <c:pt idx="249">
                  <c:v>2957440.1576727601</c:v>
                </c:pt>
                <c:pt idx="250">
                  <c:v>2957440.1576727601</c:v>
                </c:pt>
                <c:pt idx="251">
                  <c:v>2957440.1576727601</c:v>
                </c:pt>
                <c:pt idx="252">
                  <c:v>2957440.1576727601</c:v>
                </c:pt>
                <c:pt idx="253">
                  <c:v>2957440.1576727601</c:v>
                </c:pt>
                <c:pt idx="254">
                  <c:v>2957440.1576727601</c:v>
                </c:pt>
                <c:pt idx="255">
                  <c:v>2957440.1576727601</c:v>
                </c:pt>
                <c:pt idx="256">
                  <c:v>2957440.1576727601</c:v>
                </c:pt>
                <c:pt idx="257">
                  <c:v>2957440.1576727601</c:v>
                </c:pt>
                <c:pt idx="258">
                  <c:v>2957440.1576727601</c:v>
                </c:pt>
                <c:pt idx="259">
                  <c:v>2957440.1576727601</c:v>
                </c:pt>
                <c:pt idx="260">
                  <c:v>2957440.1576727601</c:v>
                </c:pt>
                <c:pt idx="261">
                  <c:v>2957440.1576727601</c:v>
                </c:pt>
                <c:pt idx="262">
                  <c:v>2957440.1576727601</c:v>
                </c:pt>
                <c:pt idx="263">
                  <c:v>2957440.1576727601</c:v>
                </c:pt>
                <c:pt idx="264">
                  <c:v>2957440.1576727601</c:v>
                </c:pt>
                <c:pt idx="265">
                  <c:v>2957440.1576727601</c:v>
                </c:pt>
                <c:pt idx="266">
                  <c:v>2957440.1576727601</c:v>
                </c:pt>
                <c:pt idx="267">
                  <c:v>2957440.1576727601</c:v>
                </c:pt>
                <c:pt idx="268">
                  <c:v>2957440.1576727601</c:v>
                </c:pt>
                <c:pt idx="269">
                  <c:v>2957440.1576727601</c:v>
                </c:pt>
                <c:pt idx="270">
                  <c:v>2957440.1576727601</c:v>
                </c:pt>
                <c:pt idx="271">
                  <c:v>2957440.1576727601</c:v>
                </c:pt>
                <c:pt idx="272">
                  <c:v>2957440.1576727601</c:v>
                </c:pt>
                <c:pt idx="273">
                  <c:v>2957440.1576727601</c:v>
                </c:pt>
                <c:pt idx="274">
                  <c:v>2957440.1576727601</c:v>
                </c:pt>
                <c:pt idx="275">
                  <c:v>2957440.1576727601</c:v>
                </c:pt>
                <c:pt idx="276">
                  <c:v>2957440.1576727601</c:v>
                </c:pt>
                <c:pt idx="277">
                  <c:v>2957440.1576727601</c:v>
                </c:pt>
                <c:pt idx="278">
                  <c:v>2957440.1576727601</c:v>
                </c:pt>
                <c:pt idx="279">
                  <c:v>2957440.1576727601</c:v>
                </c:pt>
                <c:pt idx="280">
                  <c:v>2957440.1576727601</c:v>
                </c:pt>
                <c:pt idx="281">
                  <c:v>2957440.1576727601</c:v>
                </c:pt>
                <c:pt idx="282">
                  <c:v>2957440.1576727601</c:v>
                </c:pt>
                <c:pt idx="283">
                  <c:v>2957440.1576727601</c:v>
                </c:pt>
                <c:pt idx="284">
                  <c:v>2957440.1576727601</c:v>
                </c:pt>
                <c:pt idx="285">
                  <c:v>2957440.1576727601</c:v>
                </c:pt>
                <c:pt idx="286">
                  <c:v>2957440.1576727601</c:v>
                </c:pt>
                <c:pt idx="287">
                  <c:v>2957440.1576727601</c:v>
                </c:pt>
                <c:pt idx="288">
                  <c:v>2957440.1576727601</c:v>
                </c:pt>
                <c:pt idx="289">
                  <c:v>2957440.1576727601</c:v>
                </c:pt>
                <c:pt idx="290">
                  <c:v>2957440.1576727601</c:v>
                </c:pt>
                <c:pt idx="291">
                  <c:v>2957440.1576727601</c:v>
                </c:pt>
                <c:pt idx="292">
                  <c:v>2957440.1576727601</c:v>
                </c:pt>
                <c:pt idx="293">
                  <c:v>2957440.1576727601</c:v>
                </c:pt>
                <c:pt idx="294">
                  <c:v>2957440.1576727601</c:v>
                </c:pt>
                <c:pt idx="295">
                  <c:v>2957440.1576727601</c:v>
                </c:pt>
                <c:pt idx="296">
                  <c:v>2957440.1576727601</c:v>
                </c:pt>
                <c:pt idx="297">
                  <c:v>2957440.1576727601</c:v>
                </c:pt>
                <c:pt idx="298">
                  <c:v>2957440.1576727601</c:v>
                </c:pt>
                <c:pt idx="299">
                  <c:v>2957440.1576727601</c:v>
                </c:pt>
                <c:pt idx="300">
                  <c:v>2957440.1576727601</c:v>
                </c:pt>
                <c:pt idx="301">
                  <c:v>2957440.1576727601</c:v>
                </c:pt>
                <c:pt idx="302">
                  <c:v>2957440.1576727601</c:v>
                </c:pt>
                <c:pt idx="303">
                  <c:v>2957440.1576727601</c:v>
                </c:pt>
                <c:pt idx="304">
                  <c:v>2957440.1576727601</c:v>
                </c:pt>
                <c:pt idx="305">
                  <c:v>2957440.1576727601</c:v>
                </c:pt>
                <c:pt idx="306">
                  <c:v>2957440.1576727601</c:v>
                </c:pt>
                <c:pt idx="307">
                  <c:v>2957440.1576727601</c:v>
                </c:pt>
                <c:pt idx="308">
                  <c:v>2957440.1576727601</c:v>
                </c:pt>
                <c:pt idx="309">
                  <c:v>2957440.1576727601</c:v>
                </c:pt>
                <c:pt idx="310">
                  <c:v>2957440.1576727601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9205894.5776880737</c:v>
                </c:pt>
                <c:pt idx="58">
                  <c:v>9205894.5776880737</c:v>
                </c:pt>
                <c:pt idx="59">
                  <c:v>9205894.5776880737</c:v>
                </c:pt>
                <c:pt idx="60">
                  <c:v>9205894.5776880737</c:v>
                </c:pt>
                <c:pt idx="61">
                  <c:v>9205894.5776880737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1992187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199218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6" t="s">
        <v>57</v>
      </c>
      <c r="E47" s="746"/>
      <c r="F47" s="747"/>
      <c r="G47" s="67"/>
      <c r="I47" s="68"/>
      <c r="J47" s="68"/>
    </row>
    <row r="48" spans="1:49" ht="13.9" thickBot="1">
      <c r="C48" s="69">
        <v>44014</v>
      </c>
      <c r="D48" s="748"/>
      <c r="E48" s="748"/>
      <c r="F48" s="74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52" t="s">
        <v>58</v>
      </c>
      <c r="C2" s="752"/>
      <c r="D2" s="752"/>
      <c r="E2" s="752"/>
      <c r="H2" s="753" t="s">
        <v>59</v>
      </c>
      <c r="I2" s="754"/>
      <c r="J2" s="754"/>
      <c r="K2" s="754"/>
      <c r="L2" s="754"/>
      <c r="M2" s="754"/>
      <c r="N2" s="754"/>
      <c r="O2" s="755"/>
    </row>
    <row r="3" spans="2:15">
      <c r="B3" s="646"/>
      <c r="H3" s="756"/>
      <c r="I3" s="757"/>
      <c r="J3" s="757"/>
      <c r="K3" s="757"/>
      <c r="L3" s="757"/>
      <c r="M3" s="757"/>
      <c r="N3" s="757"/>
      <c r="O3" s="758"/>
    </row>
    <row r="4" spans="2:15">
      <c r="B4" s="647" t="s">
        <v>60</v>
      </c>
      <c r="C4" s="648" t="str">
        <f>'Project Plan'!E2</f>
        <v>Seshego Circle</v>
      </c>
      <c r="H4" s="756"/>
      <c r="I4" s="757"/>
      <c r="J4" s="757"/>
      <c r="K4" s="757"/>
      <c r="L4" s="757"/>
      <c r="M4" s="757"/>
      <c r="N4" s="757"/>
      <c r="O4" s="758"/>
    </row>
    <row r="5" spans="2:15">
      <c r="B5" s="647" t="s">
        <v>61</v>
      </c>
      <c r="C5" s="648" t="s">
        <v>62</v>
      </c>
      <c r="H5" s="756"/>
      <c r="I5" s="757"/>
      <c r="J5" s="757"/>
      <c r="K5" s="757"/>
      <c r="L5" s="757"/>
      <c r="M5" s="757"/>
      <c r="N5" s="757"/>
      <c r="O5" s="758"/>
    </row>
    <row r="6" spans="2:15">
      <c r="B6" s="647" t="s">
        <v>63</v>
      </c>
      <c r="C6" s="648" t="s">
        <v>64</v>
      </c>
      <c r="H6" s="756"/>
      <c r="I6" s="757"/>
      <c r="J6" s="757"/>
      <c r="K6" s="757"/>
      <c r="L6" s="757"/>
      <c r="M6" s="757"/>
      <c r="N6" s="757"/>
      <c r="O6" s="758"/>
    </row>
    <row r="7" spans="2:15">
      <c r="B7" s="647" t="s">
        <v>65</v>
      </c>
      <c r="C7" s="648" t="s">
        <v>66</v>
      </c>
      <c r="H7" s="756"/>
      <c r="I7" s="757"/>
      <c r="J7" s="757"/>
      <c r="K7" s="757"/>
      <c r="L7" s="757"/>
      <c r="M7" s="757"/>
      <c r="N7" s="757"/>
      <c r="O7" s="758"/>
    </row>
    <row r="8" spans="2:15">
      <c r="B8" s="646"/>
      <c r="H8" s="756"/>
      <c r="I8" s="757"/>
      <c r="J8" s="757"/>
      <c r="K8" s="757"/>
      <c r="L8" s="757"/>
      <c r="M8" s="757"/>
      <c r="N8" s="757"/>
      <c r="O8" s="758"/>
    </row>
    <row r="9" spans="2:15">
      <c r="B9" s="762" t="s">
        <v>67</v>
      </c>
      <c r="C9" s="762"/>
      <c r="D9" s="762"/>
      <c r="E9" s="762"/>
      <c r="H9" s="756"/>
      <c r="I9" s="757"/>
      <c r="J9" s="757"/>
      <c r="K9" s="757"/>
      <c r="L9" s="757"/>
      <c r="M9" s="757"/>
      <c r="N9" s="757"/>
      <c r="O9" s="758"/>
    </row>
    <row r="10" spans="2:15" ht="14.65" thickBot="1">
      <c r="B10" s="762" t="s">
        <v>68</v>
      </c>
      <c r="C10" s="762"/>
      <c r="D10" s="762"/>
      <c r="E10" s="762"/>
      <c r="H10" s="759"/>
      <c r="I10" s="760"/>
      <c r="J10" s="760"/>
      <c r="K10" s="760"/>
      <c r="L10" s="760"/>
      <c r="M10" s="760"/>
      <c r="N10" s="760"/>
      <c r="O10" s="761"/>
    </row>
    <row r="11" spans="2:15">
      <c r="B11" s="649" t="s">
        <v>69</v>
      </c>
      <c r="C11" s="750"/>
      <c r="D11" s="750"/>
      <c r="E11" s="750"/>
    </row>
    <row r="12" spans="2:15">
      <c r="B12" s="649" t="s">
        <v>70</v>
      </c>
      <c r="C12" s="750"/>
      <c r="D12" s="750"/>
      <c r="E12" s="750"/>
    </row>
    <row r="13" spans="2:15">
      <c r="B13" s="649" t="s">
        <v>71</v>
      </c>
      <c r="C13" s="750"/>
      <c r="D13" s="750"/>
      <c r="E13" s="750"/>
    </row>
    <row r="14" spans="2:15">
      <c r="B14" s="649" t="s">
        <v>72</v>
      </c>
      <c r="C14" s="750"/>
      <c r="D14" s="750"/>
      <c r="E14" s="750"/>
    </row>
    <row r="15" spans="2:15">
      <c r="B15" s="649" t="s">
        <v>73</v>
      </c>
      <c r="C15" s="750"/>
      <c r="D15" s="750"/>
      <c r="E15" s="750"/>
    </row>
    <row r="16" spans="2:15" ht="15" customHeight="1">
      <c r="B16" s="649" t="s">
        <v>74</v>
      </c>
      <c r="C16" s="750"/>
      <c r="D16" s="750"/>
      <c r="E16" s="750"/>
    </row>
    <row r="17" spans="2:5">
      <c r="B17" s="646"/>
    </row>
    <row r="18" spans="2:5">
      <c r="B18" s="751" t="s">
        <v>75</v>
      </c>
      <c r="C18" s="751"/>
      <c r="D18" s="751"/>
      <c r="E18" s="751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9921875" customWidth="1"/>
    <col min="2" max="2" width="21.19921875" customWidth="1"/>
    <col min="3" max="3" width="28.5312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752" t="s">
        <v>80</v>
      </c>
      <c r="C2" s="752"/>
      <c r="D2" s="752"/>
      <c r="E2" s="752"/>
      <c r="H2" s="753" t="s">
        <v>81</v>
      </c>
      <c r="I2" s="754"/>
      <c r="J2" s="754"/>
      <c r="K2" s="754"/>
      <c r="L2" s="754"/>
      <c r="M2" s="754"/>
      <c r="N2" s="754"/>
      <c r="O2" s="755"/>
    </row>
    <row r="3" spans="2:15">
      <c r="B3" s="646"/>
      <c r="H3" s="756"/>
      <c r="I3" s="757"/>
      <c r="J3" s="757"/>
      <c r="K3" s="757"/>
      <c r="L3" s="757"/>
      <c r="M3" s="757"/>
      <c r="N3" s="757"/>
      <c r="O3" s="758"/>
    </row>
    <row r="4" spans="2:15">
      <c r="B4" s="647" t="s">
        <v>60</v>
      </c>
      <c r="C4" s="648" t="str">
        <f>'Project Plan'!E2</f>
        <v>Seshego Circle</v>
      </c>
      <c r="H4" s="756"/>
      <c r="I4" s="757"/>
      <c r="J4" s="757"/>
      <c r="K4" s="757"/>
      <c r="L4" s="757"/>
      <c r="M4" s="757"/>
      <c r="N4" s="757"/>
      <c r="O4" s="758"/>
    </row>
    <row r="5" spans="2:15">
      <c r="B5" s="647" t="s">
        <v>82</v>
      </c>
      <c r="C5" s="648"/>
      <c r="H5" s="756"/>
      <c r="I5" s="757"/>
      <c r="J5" s="757"/>
      <c r="K5" s="757"/>
      <c r="L5" s="757"/>
      <c r="M5" s="757"/>
      <c r="N5" s="757"/>
      <c r="O5" s="758"/>
    </row>
    <row r="6" spans="2:15">
      <c r="B6" s="647" t="s">
        <v>63</v>
      </c>
      <c r="C6" s="648" t="s">
        <v>64</v>
      </c>
      <c r="H6" s="756"/>
      <c r="I6" s="757"/>
      <c r="J6" s="757"/>
      <c r="K6" s="757"/>
      <c r="L6" s="757"/>
      <c r="M6" s="757"/>
      <c r="N6" s="757"/>
      <c r="O6" s="758"/>
    </row>
    <row r="7" spans="2:15">
      <c r="B7" s="647" t="s">
        <v>83</v>
      </c>
      <c r="C7" s="648" t="str">
        <f>'Project Plan'!E5</f>
        <v>Eon Van Rensburg</v>
      </c>
      <c r="H7" s="756"/>
      <c r="I7" s="757"/>
      <c r="J7" s="757"/>
      <c r="K7" s="757"/>
      <c r="L7" s="757"/>
      <c r="M7" s="757"/>
      <c r="N7" s="757"/>
      <c r="O7" s="758"/>
    </row>
    <row r="8" spans="2:15">
      <c r="B8" s="647" t="s">
        <v>84</v>
      </c>
      <c r="C8" s="648"/>
      <c r="H8" s="756"/>
      <c r="I8" s="757"/>
      <c r="J8" s="757"/>
      <c r="K8" s="757"/>
      <c r="L8" s="757"/>
      <c r="M8" s="757"/>
      <c r="N8" s="757"/>
      <c r="O8" s="758"/>
    </row>
    <row r="9" spans="2:15">
      <c r="B9" s="646"/>
      <c r="H9" s="756"/>
      <c r="I9" s="757"/>
      <c r="J9" s="757"/>
      <c r="K9" s="757"/>
      <c r="L9" s="757"/>
      <c r="M9" s="757"/>
      <c r="N9" s="757"/>
      <c r="O9" s="758"/>
    </row>
    <row r="10" spans="2:15">
      <c r="B10" s="762" t="s">
        <v>67</v>
      </c>
      <c r="C10" s="762"/>
      <c r="D10" s="762"/>
      <c r="E10" s="762"/>
      <c r="H10" s="756"/>
      <c r="I10" s="757"/>
      <c r="J10" s="757"/>
      <c r="K10" s="757"/>
      <c r="L10" s="757"/>
      <c r="M10" s="757"/>
      <c r="N10" s="757"/>
      <c r="O10" s="758"/>
    </row>
    <row r="11" spans="2:15" ht="14.65" thickBot="1">
      <c r="B11" s="762" t="s">
        <v>68</v>
      </c>
      <c r="C11" s="762"/>
      <c r="D11" s="762"/>
      <c r="E11" s="762"/>
      <c r="H11" s="759"/>
      <c r="I11" s="760"/>
      <c r="J11" s="760"/>
      <c r="K11" s="760"/>
      <c r="L11" s="760"/>
      <c r="M11" s="760"/>
      <c r="N11" s="760"/>
      <c r="O11" s="761"/>
    </row>
    <row r="12" spans="2:15" ht="25.5">
      <c r="B12" s="649" t="s">
        <v>85</v>
      </c>
      <c r="C12" s="750"/>
      <c r="D12" s="750"/>
      <c r="E12" s="750"/>
    </row>
    <row r="13" spans="2:15">
      <c r="B13" s="649" t="s">
        <v>86</v>
      </c>
      <c r="C13" s="750"/>
      <c r="D13" s="750"/>
      <c r="E13" s="750"/>
    </row>
    <row r="14" spans="2:15">
      <c r="B14" s="649" t="s">
        <v>87</v>
      </c>
      <c r="C14" s="750"/>
      <c r="D14" s="750"/>
      <c r="E14" s="750"/>
    </row>
    <row r="15" spans="2:15">
      <c r="B15" s="649" t="s">
        <v>88</v>
      </c>
      <c r="C15" s="750"/>
      <c r="D15" s="750"/>
      <c r="E15" s="750"/>
    </row>
    <row r="16" spans="2:15" ht="25.5">
      <c r="B16" s="649" t="s">
        <v>89</v>
      </c>
      <c r="C16" s="750"/>
      <c r="D16" s="750"/>
      <c r="E16" s="750"/>
    </row>
    <row r="17" spans="2:5">
      <c r="B17" s="649" t="s">
        <v>90</v>
      </c>
      <c r="C17" s="750"/>
      <c r="D17" s="750"/>
      <c r="E17" s="750"/>
    </row>
    <row r="18" spans="2:5">
      <c r="B18" s="649" t="s">
        <v>91</v>
      </c>
      <c r="C18" s="750"/>
      <c r="D18" s="750"/>
      <c r="E18" s="750"/>
    </row>
    <row r="19" spans="2:5">
      <c r="B19" s="649" t="s">
        <v>92</v>
      </c>
      <c r="C19" s="750"/>
      <c r="D19" s="750"/>
      <c r="E19" s="750"/>
    </row>
    <row r="20" spans="2:5">
      <c r="B20" s="649" t="s">
        <v>93</v>
      </c>
      <c r="C20" s="750"/>
      <c r="D20" s="750"/>
      <c r="E20" s="750"/>
    </row>
    <row r="21" spans="2:5">
      <c r="B21" s="649" t="s">
        <v>94</v>
      </c>
      <c r="C21" s="750"/>
      <c r="D21" s="750"/>
      <c r="E21" s="750"/>
    </row>
    <row r="22" spans="2:5" ht="15" customHeight="1">
      <c r="B22" s="649" t="s">
        <v>74</v>
      </c>
      <c r="C22" s="750"/>
      <c r="D22" s="750"/>
      <c r="E22" s="750"/>
    </row>
    <row r="23" spans="2:5">
      <c r="B23" s="646"/>
    </row>
    <row r="24" spans="2:5">
      <c r="B24" s="751" t="s">
        <v>75</v>
      </c>
      <c r="C24" s="751"/>
      <c r="D24" s="751"/>
      <c r="E24" s="751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53125" customWidth="1"/>
  </cols>
  <sheetData>
    <row r="1" spans="2:15">
      <c r="B1" s="763"/>
      <c r="C1" s="764"/>
      <c r="D1" s="764"/>
      <c r="E1" s="764"/>
      <c r="F1" s="765" t="s">
        <v>95</v>
      </c>
      <c r="G1" s="765"/>
      <c r="H1" s="765"/>
      <c r="I1" s="765"/>
      <c r="J1" s="765"/>
      <c r="K1" s="766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6484375" defaultRowHeight="13.5"/>
  <cols>
    <col min="1" max="1" width="1.46484375" style="24" customWidth="1"/>
    <col min="2" max="2" width="30.53125" style="24" bestFit="1" customWidth="1"/>
    <col min="3" max="3" width="19.53125" style="24" customWidth="1"/>
    <col min="4" max="4" width="33" style="24" customWidth="1"/>
    <col min="5" max="5" width="9.53125" style="24" customWidth="1"/>
    <col min="6" max="6" width="53.46484375" style="24" customWidth="1"/>
    <col min="7" max="16384" width="8.464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767" t="s">
        <v>163</v>
      </c>
      <c r="C2" s="768"/>
      <c r="D2" s="768"/>
      <c r="E2" s="768"/>
      <c r="F2" s="769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67" t="s">
        <v>170</v>
      </c>
      <c r="C16" s="768"/>
      <c r="D16" s="768"/>
      <c r="E16" s="768"/>
      <c r="F16" s="769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topLeftCell="D39" zoomScaleNormal="100" workbookViewId="0">
      <selection activeCell="O42" sqref="O42"/>
    </sheetView>
  </sheetViews>
  <sheetFormatPr defaultColWidth="8.46484375" defaultRowHeight="13.5"/>
  <cols>
    <col min="1" max="1" width="1.46484375" style="112" customWidth="1"/>
    <col min="2" max="2" width="6.46484375" style="172" bestFit="1" customWidth="1"/>
    <col min="3" max="3" width="50.53125" style="24" customWidth="1"/>
    <col min="4" max="4" width="3.46484375" style="112" customWidth="1"/>
    <col min="5" max="5" width="14.53125" style="24" customWidth="1"/>
    <col min="6" max="6" width="10.46484375" style="169" customWidth="1"/>
    <col min="7" max="7" width="13.53125" style="64" customWidth="1"/>
    <col min="8" max="8" width="1.5312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3" width="12.46484375" style="112" customWidth="1"/>
    <col min="14" max="14" width="11.46484375" style="112" bestFit="1" customWidth="1"/>
    <col min="15" max="15" width="39.46484375" style="112" bestFit="1" customWidth="1"/>
    <col min="16" max="16" width="1.46484375" style="112" customWidth="1"/>
    <col min="17" max="17" width="5.19921875" style="3" customWidth="1"/>
    <col min="18" max="25" width="8.46484375" style="112"/>
    <col min="26" max="16384" width="8.464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46069</v>
      </c>
      <c r="O1" s="404">
        <f ca="1">TODAY()</f>
        <v>46069</v>
      </c>
      <c r="Q1" s="3"/>
    </row>
    <row r="2" spans="2:28" ht="13.9">
      <c r="B2" s="177"/>
      <c r="C2" s="178" t="s">
        <v>0</v>
      </c>
      <c r="D2" s="179"/>
      <c r="E2" s="735" t="s">
        <v>377</v>
      </c>
      <c r="F2" s="736"/>
      <c r="G2" s="736"/>
      <c r="H2" s="737"/>
      <c r="N2" s="405">
        <v>0</v>
      </c>
      <c r="O2" s="405" t="s">
        <v>378</v>
      </c>
    </row>
    <row r="3" spans="2:28" s="112" customFormat="1" ht="27.75">
      <c r="B3" s="180"/>
      <c r="C3" s="181" t="s">
        <v>379</v>
      </c>
      <c r="D3" s="179"/>
      <c r="E3" s="412">
        <v>1360</v>
      </c>
      <c r="F3" s="182"/>
      <c r="G3" s="183"/>
      <c r="H3" s="184"/>
      <c r="J3" s="113"/>
      <c r="O3" s="731" t="s">
        <v>599</v>
      </c>
      <c r="Q3" s="3"/>
    </row>
    <row r="4" spans="2:28" s="112" customFormat="1" ht="13.9">
      <c r="B4" s="180"/>
      <c r="C4" s="181" t="s">
        <v>380</v>
      </c>
      <c r="D4" s="179"/>
      <c r="E4" s="738" t="s">
        <v>381</v>
      </c>
      <c r="F4" s="739"/>
      <c r="G4" s="739"/>
      <c r="H4" s="740"/>
      <c r="J4" s="641" t="s">
        <v>382</v>
      </c>
      <c r="K4" s="642">
        <v>45961</v>
      </c>
      <c r="Q4" s="3"/>
    </row>
    <row r="5" spans="2:28" s="112" customFormat="1" ht="13.9">
      <c r="B5" s="180"/>
      <c r="C5" s="181" t="s">
        <v>383</v>
      </c>
      <c r="D5" s="179"/>
      <c r="E5" s="738" t="s">
        <v>384</v>
      </c>
      <c r="F5" s="739"/>
      <c r="G5" s="739"/>
      <c r="H5" s="740"/>
      <c r="J5" s="113"/>
      <c r="Q5" s="3"/>
    </row>
    <row r="6" spans="2:28" ht="13.9">
      <c r="B6" s="185"/>
      <c r="C6" s="186" t="s">
        <v>385</v>
      </c>
      <c r="D6" s="179"/>
      <c r="E6" s="741">
        <v>10428344.3461792</v>
      </c>
      <c r="F6" s="742"/>
      <c r="G6" s="742"/>
      <c r="H6" s="743"/>
    </row>
    <row r="7" spans="2:28" s="112" customFormat="1" ht="13.9">
      <c r="B7" s="168"/>
      <c r="C7" s="699" t="s">
        <v>386</v>
      </c>
      <c r="E7" s="698" t="s">
        <v>387</v>
      </c>
      <c r="F7" s="169"/>
      <c r="G7" s="187"/>
      <c r="J7" s="113"/>
      <c r="Q7" s="3"/>
    </row>
    <row r="8" spans="2:28" ht="30" customHeight="1">
      <c r="B8" s="732" t="s">
        <v>388</v>
      </c>
      <c r="C8" s="733" t="s">
        <v>389</v>
      </c>
      <c r="D8" s="216"/>
      <c r="E8" s="734" t="s">
        <v>390</v>
      </c>
      <c r="F8" s="238" t="s">
        <v>391</v>
      </c>
      <c r="G8" s="734" t="s">
        <v>392</v>
      </c>
      <c r="H8" s="239"/>
      <c r="I8" s="734" t="s">
        <v>393</v>
      </c>
      <c r="J8" s="238" t="s">
        <v>391</v>
      </c>
      <c r="K8" s="734" t="s">
        <v>394</v>
      </c>
      <c r="M8" s="411" t="s">
        <v>102</v>
      </c>
      <c r="N8" s="411" t="s">
        <v>102</v>
      </c>
      <c r="O8" s="744" t="s">
        <v>395</v>
      </c>
      <c r="Z8" s="112"/>
      <c r="AA8" s="112"/>
      <c r="AB8" s="112"/>
    </row>
    <row r="9" spans="2:28" ht="13.9">
      <c r="B9" s="732"/>
      <c r="C9" s="733"/>
      <c r="D9" s="216"/>
      <c r="E9" s="734"/>
      <c r="F9" s="126">
        <f>G51-E19</f>
        <v>60</v>
      </c>
      <c r="G9" s="734"/>
      <c r="H9" s="239"/>
      <c r="I9" s="734"/>
      <c r="J9" s="127">
        <f>K51-I19</f>
        <v>137</v>
      </c>
      <c r="K9" s="734"/>
      <c r="M9" s="363">
        <f>AVERAGE(M11,M18,M23,M33,M42,M47,M56,M53)</f>
        <v>0.59833333333333338</v>
      </c>
      <c r="N9" s="363">
        <f ca="1">AVERAGE(N11,N18,N23,N33,N42,N47,N56,N53)</f>
        <v>0.61349999999999993</v>
      </c>
      <c r="O9" s="745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396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397</v>
      </c>
      <c r="C12" s="250" t="s">
        <v>398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399</v>
      </c>
      <c r="C13" s="250" t="s">
        <v>400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401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402</v>
      </c>
      <c r="C15" s="250" t="s">
        <v>403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404</v>
      </c>
      <c r="C16" s="250" t="s">
        <v>405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406</v>
      </c>
      <c r="C19" s="250" t="s">
        <v>407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76</v>
      </c>
      <c r="T19" s="121" t="s">
        <v>408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409</v>
      </c>
      <c r="C20" s="250" t="s">
        <v>410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409</v>
      </c>
      <c r="C21" s="250" t="s">
        <v>411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412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(J24*M24+J25*M25+J26*M26+J27*M27+J31*M31+J28*M28+J29*M29+J30*M30)/SUM(J24:J31)</f>
        <v>0.78666666666666663</v>
      </c>
      <c r="N23" s="362">
        <f ca="1">(J24*N24+J25*N25+J26*N26+J27*N27+J31*N31+J28*N28+J29*N29+J30*N30)/SUM(J24:J31)</f>
        <v>0.90799999999999992</v>
      </c>
      <c r="O23" s="119"/>
      <c r="P23" s="112"/>
      <c r="Q23" s="123"/>
      <c r="R23" s="118"/>
      <c r="S23" s="121">
        <f>S19/5</f>
        <v>15.2</v>
      </c>
      <c r="T23" s="121" t="s">
        <v>413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414</v>
      </c>
      <c r="C24" s="250" t="s">
        <v>415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89.473684210526315</v>
      </c>
      <c r="T24" s="118" t="s">
        <v>416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417</v>
      </c>
      <c r="C25" s="250" t="s">
        <v>418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419</v>
      </c>
      <c r="C26" s="250" t="s">
        <v>420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421</v>
      </c>
      <c r="C27" s="706" t="s">
        <v>422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423</v>
      </c>
      <c r="C28" s="250" t="s">
        <v>424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>
      <c r="B29" s="249" t="s">
        <v>425</v>
      </c>
      <c r="C29" s="707" t="s">
        <v>426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</v>
      </c>
      <c r="N29" s="255">
        <f ca="1">_xlfn.LET(
  _xlpm.s,VALUE($I29),
  _xlpm.e,VALUE($K29),
  IF(OR(_xlpm.s="",_xlpm.e=""),"", IF(_xlpm.e&lt;=_xlpm.s, IF(TODAY()&gt;=_xlpm.e,1,0), MAX(0,MIN(1,(TODAY()-_xlpm.s)/(_xlpm.e-_xlpm.s)))))
)</f>
        <v>0.65</v>
      </c>
      <c r="O29" s="714" t="s">
        <v>427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428</v>
      </c>
      <c r="C30" s="250" t="s">
        <v>429</v>
      </c>
      <c r="D30" s="216"/>
      <c r="E30" s="251"/>
      <c r="F30" s="252"/>
      <c r="G30" s="251"/>
      <c r="H30" s="239"/>
      <c r="I30" s="251">
        <v>46072</v>
      </c>
      <c r="J30" s="252">
        <v>1</v>
      </c>
      <c r="K30" s="251">
        <f>WORKDAY.INTL(I30,J30,1,Data!$C$3:$C$45)</f>
        <v>46073</v>
      </c>
      <c r="M30" s="255">
        <v>0</v>
      </c>
      <c r="N30" s="255">
        <f t="shared" ca="1" si="1"/>
        <v>0</v>
      </c>
      <c r="O30" s="122" t="s">
        <v>430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431</v>
      </c>
      <c r="C31" s="250" t="s">
        <v>432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46072</v>
      </c>
      <c r="J31" s="252">
        <v>1</v>
      </c>
      <c r="K31" s="251">
        <f>WORKDAY.INTL(I31,J31,1,Data!$C$3:$C$45)</f>
        <v>46073</v>
      </c>
      <c r="M31" s="255">
        <v>0</v>
      </c>
      <c r="N31" s="255">
        <f t="shared" ca="1" si="1"/>
        <v>0</v>
      </c>
      <c r="O31" s="122" t="s">
        <v>430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433</v>
      </c>
      <c r="C34" s="250" t="s">
        <v>434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433</v>
      </c>
      <c r="C35" s="250" t="s">
        <v>435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436</v>
      </c>
      <c r="C36" s="250" t="s">
        <v>437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438</v>
      </c>
      <c r="C37" s="250" t="s">
        <v>439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440</v>
      </c>
      <c r="C38" s="250" t="s">
        <v>441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442</v>
      </c>
      <c r="C39" s="250" t="s">
        <v>443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444</v>
      </c>
      <c r="C40" s="244" t="s">
        <v>445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446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447</v>
      </c>
      <c r="C43" s="250" t="s">
        <v>448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9" t="s">
        <v>449</v>
      </c>
      <c r="C44" s="706" t="s">
        <v>450</v>
      </c>
      <c r="D44" s="720"/>
      <c r="E44" s="721">
        <f>G36-7</f>
        <v>45951</v>
      </c>
      <c r="F44" s="722">
        <v>20</v>
      </c>
      <c r="G44" s="723">
        <f>WORKDAY.INTL(E44,F44,1,Data!$C$3:$C$45)</f>
        <v>45979</v>
      </c>
      <c r="H44" s="724"/>
      <c r="I44" s="721">
        <f>K36-2</f>
        <v>45965</v>
      </c>
      <c r="J44" s="722">
        <v>12</v>
      </c>
      <c r="K44" s="723">
        <f>WORKDAY.INTL(I44,J44,1,Data!$C$3:$C$45)</f>
        <v>45981</v>
      </c>
      <c r="M44" s="725">
        <v>1</v>
      </c>
      <c r="N44" s="725">
        <f t="shared" ca="1" si="3"/>
        <v>1</v>
      </c>
      <c r="O44" s="705"/>
      <c r="Q44" s="726"/>
      <c r="R44" s="726"/>
      <c r="S44" s="726"/>
      <c r="T44" s="726"/>
      <c r="U44" s="726"/>
      <c r="V44" s="726"/>
      <c r="W44" s="726"/>
      <c r="X44" s="726"/>
      <c r="Y44" s="726"/>
      <c r="Z44" s="726"/>
      <c r="AA44" s="726"/>
      <c r="AB44" s="726"/>
    </row>
    <row r="45" spans="2:28" s="112" customFormat="1" ht="13.9">
      <c r="B45" s="249" t="s">
        <v>449</v>
      </c>
      <c r="C45" s="250" t="s">
        <v>451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 ht="13.9">
      <c r="B47" s="245">
        <v>6</v>
      </c>
      <c r="C47" s="246" t="s">
        <v>452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46076</v>
      </c>
      <c r="J47" s="248">
        <f>K47-I47</f>
        <v>4</v>
      </c>
      <c r="K47" s="247">
        <f>MAX(K49:K51)</f>
        <v>46080</v>
      </c>
      <c r="L47" s="114"/>
      <c r="M47" s="362">
        <f>(J49*M49+J51*M51+J48*M48+J50*M50)/SUM(J48:J51)</f>
        <v>0</v>
      </c>
      <c r="N47" s="362">
        <f ca="1">(J49*N49+J51*N51+J48*N48+J50*N50)/SUM(J48:J51)</f>
        <v>0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453</v>
      </c>
      <c r="C48" s="727" t="s">
        <v>454</v>
      </c>
      <c r="D48" s="220"/>
      <c r="E48" s="247"/>
      <c r="F48" s="248"/>
      <c r="G48" s="247"/>
      <c r="H48" s="221"/>
      <c r="I48" s="254">
        <v>46070</v>
      </c>
      <c r="J48" s="252">
        <v>2</v>
      </c>
      <c r="K48" s="254">
        <f>WORKDAY.INTL(I48,J48,1,Data!$C$3:$C$45)</f>
        <v>46072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455</v>
      </c>
      <c r="C49" s="244" t="s">
        <v>456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46076</v>
      </c>
      <c r="J49" s="252">
        <v>2</v>
      </c>
      <c r="K49" s="254">
        <f>WORKDAY.INTL(I49,J49,1,Data!$C$3:$C$45)</f>
        <v>46078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 t="s">
        <v>457</v>
      </c>
      <c r="Y49" s="24"/>
    </row>
    <row r="50" spans="2:28" ht="13.9">
      <c r="B50" s="249" t="s">
        <v>458</v>
      </c>
      <c r="C50" s="244" t="s">
        <v>459</v>
      </c>
      <c r="D50" s="216"/>
      <c r="E50" s="254"/>
      <c r="F50" s="252"/>
      <c r="G50" s="254"/>
      <c r="H50" s="239"/>
      <c r="I50" s="254">
        <v>46076</v>
      </c>
      <c r="J50" s="252">
        <v>2</v>
      </c>
      <c r="K50" s="254">
        <f>WORKDAY.INTL(I50,J50,1,Data!$C$3:$C$45)</f>
        <v>46078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 t="s">
        <v>457</v>
      </c>
      <c r="Y50" s="24"/>
    </row>
    <row r="51" spans="2:28" ht="13.9">
      <c r="B51" s="249" t="s">
        <v>460</v>
      </c>
      <c r="C51" s="244" t="s">
        <v>461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46077</v>
      </c>
      <c r="J51" s="252">
        <v>3</v>
      </c>
      <c r="K51" s="254">
        <f>WORKDAY.INTL(I51,J51,1,Data!$C$3:$C$45)</f>
        <v>46080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462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463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46078</v>
      </c>
      <c r="J53" s="248">
        <f>K53-I53</f>
        <v>1</v>
      </c>
      <c r="K53" s="247">
        <f>MAX(K54)</f>
        <v>46079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464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46078</v>
      </c>
      <c r="J54" s="252">
        <v>1</v>
      </c>
      <c r="K54" s="254">
        <f>WORKDAY.INTL(I54,J54,1,Data!$C$3:$C$45)</f>
        <v>46079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465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46078</v>
      </c>
      <c r="J56" s="248">
        <f>K56-I56</f>
        <v>16</v>
      </c>
      <c r="K56" s="247">
        <f>MAX(K57:K62)</f>
        <v>46094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466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46078</v>
      </c>
      <c r="J57" s="252">
        <v>1</v>
      </c>
      <c r="K57" s="254">
        <f>WORKDAY.INTL(I57,J57,1,Data!$C$3:$C$45)</f>
        <v>46079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467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46079</v>
      </c>
      <c r="J58" s="252">
        <v>5</v>
      </c>
      <c r="K58" s="254">
        <f>WORKDAY.INTL(I58,J58,1,Data!$C$3:$C$45)</f>
        <v>46086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468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46080</v>
      </c>
      <c r="J59" s="252">
        <v>5</v>
      </c>
      <c r="K59" s="254">
        <f>WORKDAY.INTL(I59,J59,1,Data!$C$3:$C$45)</f>
        <v>46087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469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46086</v>
      </c>
      <c r="J60" s="252">
        <v>1</v>
      </c>
      <c r="K60" s="254">
        <f>WORKDAY.INTL(I60,J60,1,Data!$C$3:$C$45)</f>
        <v>46087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470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46087</v>
      </c>
      <c r="J61" s="252">
        <v>1</v>
      </c>
      <c r="K61" s="254">
        <f>WORKDAY.INTL(I61,J61,1,Data!$C$3:$C$45)</f>
        <v>46090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471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46087</v>
      </c>
      <c r="J62" s="252">
        <v>5</v>
      </c>
      <c r="K62" s="254">
        <f>WORKDAY.INTL(I62,J62,1,Data!$C$3:$C$45)</f>
        <v>46094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6484375" defaultRowHeight="14.25"/>
  <cols>
    <col min="1" max="1" width="5.19921875" style="93" customWidth="1"/>
    <col min="2" max="2" width="5.19921875" style="131" customWidth="1"/>
    <col min="3" max="4" width="23.19921875" style="129" customWidth="1"/>
    <col min="5" max="5" width="6.53125" style="129" customWidth="1"/>
    <col min="6" max="6" width="16.46484375" style="129" customWidth="1"/>
    <col min="7" max="7" width="4.46484375" style="129" customWidth="1"/>
    <col min="8" max="8" width="15.46484375" style="129" customWidth="1"/>
    <col min="9" max="9" width="1.53125" style="129" customWidth="1"/>
    <col min="10" max="10" width="3.46484375" style="93" customWidth="1"/>
    <col min="11" max="11" width="1.53125" style="176" customWidth="1"/>
    <col min="12" max="12" width="29.46484375" style="93" customWidth="1"/>
    <col min="13" max="13" width="1.53125" style="129" customWidth="1"/>
    <col min="14" max="14" width="29.46484375" style="129" customWidth="1"/>
    <col min="15" max="15" width="1.46484375" style="93" customWidth="1"/>
    <col min="16" max="16" width="16.53125" style="129" customWidth="1"/>
    <col min="17" max="17" width="5.19921875" style="129" customWidth="1"/>
    <col min="18" max="18" width="112.46484375" style="129" bestFit="1" customWidth="1"/>
    <col min="19" max="19" width="4.46484375" style="129" customWidth="1"/>
    <col min="20" max="20" width="14.19921875" style="129" customWidth="1"/>
    <col min="21" max="21" width="10.46484375" style="93" bestFit="1" customWidth="1"/>
    <col min="22" max="23" width="8.46484375" style="93"/>
    <col min="24" max="24" width="5.19921875" style="93" bestFit="1" customWidth="1"/>
    <col min="25" max="25" width="14.19921875" style="93" bestFit="1" customWidth="1"/>
    <col min="26" max="26" width="8.46484375" style="93"/>
    <col min="27" max="27" width="14.19921875" style="93" bestFit="1" customWidth="1"/>
    <col min="28" max="28" width="8.46484375" style="129"/>
    <col min="29" max="29" width="12.46484375" style="129" bestFit="1" customWidth="1"/>
    <col min="30" max="16384" width="8.46484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472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473</v>
      </c>
      <c r="F3" s="125" t="s">
        <v>474</v>
      </c>
      <c r="J3" s="142"/>
      <c r="L3" s="409" t="s">
        <v>475</v>
      </c>
      <c r="N3" s="409" t="s">
        <v>476</v>
      </c>
      <c r="S3" s="142"/>
    </row>
    <row r="4" spans="1:21" s="93" customFormat="1" ht="13.15">
      <c r="B4" s="353">
        <v>1</v>
      </c>
      <c r="C4" s="354" t="s">
        <v>477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478</v>
      </c>
      <c r="Q4" s="130"/>
      <c r="S4" s="142"/>
    </row>
    <row r="5" spans="1:21" s="93" customFormat="1" ht="15" customHeight="1">
      <c r="B5" s="353">
        <v>2</v>
      </c>
      <c r="C5" s="354" t="s">
        <v>479</v>
      </c>
      <c r="D5" s="355">
        <f>+'Expenditure Tracking'!F5</f>
        <v>9590676.1310892869</v>
      </c>
      <c r="E5" s="356"/>
      <c r="F5" s="355">
        <f>+'Expenditure Tracking'!H5</f>
        <v>7470904.1923272396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480</v>
      </c>
      <c r="D6" s="355">
        <f>+D4-D5</f>
        <v>837668.21508991346</v>
      </c>
      <c r="E6" s="356"/>
      <c r="F6" s="355">
        <f>+F4-F5</f>
        <v>2957440.1576727601</v>
      </c>
      <c r="H6" s="116"/>
      <c r="J6" s="142"/>
      <c r="L6" s="375"/>
      <c r="N6" s="375" t="s">
        <v>481</v>
      </c>
      <c r="S6" s="142"/>
    </row>
    <row r="7" spans="1:21" s="93" customFormat="1" ht="15" customHeight="1" thickBot="1">
      <c r="B7" s="353">
        <v>4</v>
      </c>
      <c r="C7" s="354" t="s">
        <v>482</v>
      </c>
      <c r="D7" s="357">
        <f>+D6/D4</f>
        <v>8.0326098494898995E-2</v>
      </c>
      <c r="E7" s="356"/>
      <c r="F7" s="357">
        <f>+F6/F4</f>
        <v>0.28359632731851248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483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388</v>
      </c>
      <c r="C12" s="133" t="s">
        <v>484</v>
      </c>
      <c r="D12" s="134"/>
      <c r="E12" s="132" t="s">
        <v>485</v>
      </c>
      <c r="F12" s="132" t="s">
        <v>486</v>
      </c>
      <c r="H12" s="358" t="s">
        <v>487</v>
      </c>
      <c r="J12" s="142"/>
      <c r="L12" s="167" t="s">
        <v>187</v>
      </c>
      <c r="M12" s="135"/>
      <c r="N12" s="167" t="s">
        <v>188</v>
      </c>
      <c r="O12" s="129"/>
      <c r="P12" s="167" t="s">
        <v>488</v>
      </c>
      <c r="R12" s="378" t="s">
        <v>489</v>
      </c>
      <c r="S12" s="142"/>
    </row>
    <row r="13" spans="1:21" s="93" customFormat="1" ht="13.15">
      <c r="B13" s="353">
        <v>1</v>
      </c>
      <c r="C13" s="772" t="s">
        <v>490</v>
      </c>
      <c r="D13" s="773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491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72" t="s">
        <v>490</v>
      </c>
      <c r="D14" s="773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491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72" t="s">
        <v>492</v>
      </c>
      <c r="D15" s="773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493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72" t="s">
        <v>494</v>
      </c>
      <c r="D16" s="773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70" t="s">
        <v>495</v>
      </c>
      <c r="D17" s="771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770"/>
      <c r="D18" s="771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770"/>
      <c r="D19" s="771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72" t="s">
        <v>496</v>
      </c>
      <c r="D20" s="773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497</v>
      </c>
      <c r="C24" s="146" t="s">
        <v>498</v>
      </c>
      <c r="D24" s="146"/>
      <c r="F24" s="147"/>
    </row>
    <row r="25" spans="2:19" s="93" customFormat="1" ht="12.75">
      <c r="C25" s="148" t="s">
        <v>499</v>
      </c>
      <c r="D25" s="149"/>
      <c r="F25" s="150"/>
    </row>
    <row r="26" spans="2:19" s="93" customFormat="1" ht="12.75">
      <c r="C26" s="148" t="s">
        <v>500</v>
      </c>
      <c r="D26" s="149"/>
      <c r="L26" s="675"/>
    </row>
    <row r="27" spans="2:19" s="93" customFormat="1" ht="12.75">
      <c r="C27" s="151" t="s">
        <v>501</v>
      </c>
      <c r="D27" s="152"/>
    </row>
    <row r="28" spans="2:19" s="93" customFormat="1" ht="12.75">
      <c r="C28" s="153" t="s">
        <v>502</v>
      </c>
      <c r="D28" s="149"/>
    </row>
    <row r="29" spans="2:19" s="93" customFormat="1" ht="12.75">
      <c r="B29" s="117"/>
      <c r="C29" s="153" t="s">
        <v>503</v>
      </c>
      <c r="D29" s="149"/>
    </row>
    <row r="30" spans="2:19" s="93" customFormat="1" ht="12.75">
      <c r="B30" s="117"/>
      <c r="C30" s="93" t="s">
        <v>504</v>
      </c>
    </row>
    <row r="31" spans="2:19" s="93" customFormat="1" ht="27.75" customHeight="1">
      <c r="B31" s="117"/>
      <c r="C31" s="154" t="s">
        <v>505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388</v>
      </c>
      <c r="C41" s="133" t="s">
        <v>484</v>
      </c>
      <c r="D41" s="134"/>
      <c r="E41" s="132" t="s">
        <v>485</v>
      </c>
      <c r="F41" s="132" t="s">
        <v>486</v>
      </c>
    </row>
    <row r="42" spans="2:6" s="93" customFormat="1" ht="12.75" hidden="1" customHeight="1">
      <c r="B42" s="155">
        <v>1</v>
      </c>
      <c r="C42" s="156" t="s">
        <v>506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507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508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509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4648437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510</v>
      </c>
      <c r="F2" s="83" t="s">
        <v>511</v>
      </c>
    </row>
    <row r="3" spans="3:8">
      <c r="C3" s="79">
        <v>45658</v>
      </c>
      <c r="D3" s="73" t="s">
        <v>512</v>
      </c>
      <c r="F3" s="81" t="s">
        <v>513</v>
      </c>
    </row>
    <row r="4" spans="3:8">
      <c r="C4" s="79">
        <v>45737</v>
      </c>
      <c r="D4" s="73" t="s">
        <v>514</v>
      </c>
      <c r="F4" s="81" t="s">
        <v>515</v>
      </c>
    </row>
    <row r="5" spans="3:8">
      <c r="C5" s="79">
        <v>45765</v>
      </c>
      <c r="D5" s="73" t="s">
        <v>516</v>
      </c>
      <c r="F5" s="81" t="s">
        <v>517</v>
      </c>
    </row>
    <row r="6" spans="3:8" ht="13.15" thickBot="1">
      <c r="C6" s="79">
        <v>45768</v>
      </c>
      <c r="D6" s="73" t="s">
        <v>518</v>
      </c>
      <c r="F6" s="82" t="s">
        <v>519</v>
      </c>
    </row>
    <row r="7" spans="3:8">
      <c r="C7" s="79">
        <v>45774</v>
      </c>
      <c r="D7" s="73" t="s">
        <v>520</v>
      </c>
    </row>
    <row r="8" spans="3:8">
      <c r="C8" s="79">
        <v>45765</v>
      </c>
      <c r="D8" s="73" t="s">
        <v>521</v>
      </c>
    </row>
    <row r="9" spans="3:8">
      <c r="C9" s="79">
        <v>45778</v>
      </c>
      <c r="D9" s="73" t="s">
        <v>522</v>
      </c>
    </row>
    <row r="10" spans="3:8">
      <c r="C10" s="79">
        <v>45824</v>
      </c>
      <c r="D10" s="73" t="s">
        <v>523</v>
      </c>
    </row>
    <row r="11" spans="3:8">
      <c r="C11" s="79">
        <v>45878</v>
      </c>
      <c r="D11" s="73" t="s">
        <v>524</v>
      </c>
    </row>
    <row r="12" spans="3:8">
      <c r="C12" s="79">
        <v>45924</v>
      </c>
      <c r="D12" s="73" t="s">
        <v>525</v>
      </c>
    </row>
    <row r="13" spans="3:8">
      <c r="C13" s="79">
        <v>46007</v>
      </c>
      <c r="D13" s="73" t="s">
        <v>526</v>
      </c>
      <c r="F13" s="85"/>
      <c r="H13" s="73" t="s">
        <v>527</v>
      </c>
    </row>
    <row r="14" spans="3:8">
      <c r="C14" s="79">
        <v>46008</v>
      </c>
      <c r="D14" s="73" t="s">
        <v>528</v>
      </c>
      <c r="F14" s="85"/>
    </row>
    <row r="15" spans="3:8">
      <c r="C15" s="79">
        <v>46009</v>
      </c>
      <c r="D15" s="73" t="s">
        <v>528</v>
      </c>
      <c r="F15" s="85"/>
    </row>
    <row r="16" spans="3:8">
      <c r="C16" s="79">
        <v>46010</v>
      </c>
      <c r="D16" s="73" t="s">
        <v>528</v>
      </c>
      <c r="F16" s="85"/>
    </row>
    <row r="17" spans="3:6">
      <c r="C17" s="79">
        <v>46011</v>
      </c>
      <c r="D17" s="73" t="s">
        <v>528</v>
      </c>
      <c r="F17" s="85"/>
    </row>
    <row r="18" spans="3:6">
      <c r="C18" s="79">
        <v>46012</v>
      </c>
      <c r="D18" s="73" t="s">
        <v>528</v>
      </c>
      <c r="F18" s="85"/>
    </row>
    <row r="19" spans="3:6">
      <c r="C19" s="79">
        <v>46013</v>
      </c>
      <c r="D19" s="73" t="s">
        <v>528</v>
      </c>
      <c r="F19" s="85"/>
    </row>
    <row r="20" spans="3:6">
      <c r="C20" s="79">
        <v>46014</v>
      </c>
      <c r="D20" s="73" t="s">
        <v>528</v>
      </c>
      <c r="F20" s="85"/>
    </row>
    <row r="21" spans="3:6">
      <c r="C21" s="79">
        <v>46015</v>
      </c>
      <c r="D21" s="73" t="s">
        <v>528</v>
      </c>
      <c r="F21" s="85"/>
    </row>
    <row r="22" spans="3:6">
      <c r="C22" s="79">
        <v>46016</v>
      </c>
      <c r="D22" s="73" t="s">
        <v>528</v>
      </c>
      <c r="F22" s="85"/>
    </row>
    <row r="23" spans="3:6">
      <c r="C23" s="79">
        <v>46017</v>
      </c>
      <c r="D23" s="73" t="s">
        <v>528</v>
      </c>
      <c r="F23" s="85"/>
    </row>
    <row r="24" spans="3:6">
      <c r="C24" s="79">
        <v>46018</v>
      </c>
      <c r="D24" s="73" t="s">
        <v>528</v>
      </c>
      <c r="F24" s="85"/>
    </row>
    <row r="25" spans="3:6">
      <c r="C25" s="79">
        <v>46019</v>
      </c>
      <c r="D25" s="73" t="s">
        <v>528</v>
      </c>
      <c r="F25" s="85"/>
    </row>
    <row r="26" spans="3:6">
      <c r="C26" s="79">
        <v>46020</v>
      </c>
      <c r="D26" s="73" t="s">
        <v>528</v>
      </c>
      <c r="F26" s="85"/>
    </row>
    <row r="27" spans="3:6">
      <c r="C27" s="79">
        <v>46021</v>
      </c>
      <c r="D27" s="73" t="s">
        <v>528</v>
      </c>
      <c r="F27" s="85"/>
    </row>
    <row r="28" spans="3:6">
      <c r="C28" s="79">
        <v>46022</v>
      </c>
      <c r="D28" s="73" t="s">
        <v>528</v>
      </c>
      <c r="F28" s="85"/>
    </row>
    <row r="29" spans="3:6">
      <c r="C29" s="79">
        <v>46023</v>
      </c>
      <c r="D29" s="73" t="s">
        <v>528</v>
      </c>
      <c r="F29" s="85"/>
    </row>
    <row r="30" spans="3:6">
      <c r="C30" s="79">
        <v>46024</v>
      </c>
      <c r="D30" s="73" t="s">
        <v>528</v>
      </c>
      <c r="F30" s="85"/>
    </row>
    <row r="31" spans="3:6">
      <c r="C31" s="79">
        <v>46025</v>
      </c>
      <c r="D31" s="73" t="s">
        <v>528</v>
      </c>
      <c r="F31" s="85"/>
    </row>
    <row r="32" spans="3:6">
      <c r="C32" s="79">
        <v>46026</v>
      </c>
      <c r="D32" s="73" t="s">
        <v>528</v>
      </c>
      <c r="F32" s="85"/>
    </row>
    <row r="33" spans="3:6">
      <c r="C33" s="79">
        <v>46027</v>
      </c>
      <c r="D33" s="73" t="s">
        <v>528</v>
      </c>
      <c r="F33" s="85"/>
    </row>
    <row r="34" spans="3:6">
      <c r="C34" s="79">
        <v>46028</v>
      </c>
      <c r="D34" s="73" t="s">
        <v>528</v>
      </c>
      <c r="F34" s="85"/>
    </row>
    <row r="35" spans="3:6">
      <c r="C35" s="79">
        <v>46029</v>
      </c>
      <c r="D35" s="73" t="s">
        <v>528</v>
      </c>
      <c r="F35" s="85"/>
    </row>
    <row r="36" spans="3:6">
      <c r="C36" s="79">
        <v>46030</v>
      </c>
      <c r="D36" s="73" t="s">
        <v>528</v>
      </c>
      <c r="F36" s="85"/>
    </row>
    <row r="37" spans="3:6">
      <c r="C37" s="79">
        <v>46031</v>
      </c>
      <c r="D37" s="73" t="s">
        <v>528</v>
      </c>
      <c r="F37" s="85"/>
    </row>
    <row r="38" spans="3:6">
      <c r="C38" s="79">
        <v>46032</v>
      </c>
      <c r="D38" s="73" t="s">
        <v>528</v>
      </c>
      <c r="F38" s="85"/>
    </row>
    <row r="39" spans="3:6">
      <c r="C39" s="79">
        <v>46033</v>
      </c>
      <c r="D39" s="73" t="s">
        <v>528</v>
      </c>
      <c r="F39" s="85"/>
    </row>
    <row r="40" spans="3:6">
      <c r="C40" s="79">
        <v>46034</v>
      </c>
      <c r="D40" s="73" t="s">
        <v>528</v>
      </c>
      <c r="F40" s="85"/>
    </row>
    <row r="41" spans="3:6">
      <c r="C41" s="79">
        <v>46035</v>
      </c>
      <c r="D41" s="73" t="s">
        <v>528</v>
      </c>
      <c r="F41" s="85"/>
    </row>
    <row r="42" spans="3:6">
      <c r="C42" s="79">
        <v>46036</v>
      </c>
      <c r="D42" s="73" t="s">
        <v>528</v>
      </c>
      <c r="F42" s="85"/>
    </row>
    <row r="43" spans="3:6">
      <c r="C43" s="79">
        <v>46037</v>
      </c>
      <c r="D43" s="73" t="s">
        <v>528</v>
      </c>
      <c r="F43" s="85"/>
    </row>
    <row r="44" spans="3:6">
      <c r="C44" s="79">
        <v>46038</v>
      </c>
      <c r="D44" s="73" t="s">
        <v>528</v>
      </c>
      <c r="F44" s="85"/>
    </row>
    <row r="45" spans="3:6">
      <c r="C45" s="79">
        <v>46016</v>
      </c>
      <c r="D45" s="73" t="s">
        <v>529</v>
      </c>
    </row>
    <row r="46" spans="3:6" ht="13.15" thickBot="1">
      <c r="C46" s="80">
        <v>46017</v>
      </c>
      <c r="D46" s="73" t="s">
        <v>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199218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19921875" style="24" customWidth="1"/>
    <col min="13" max="16384" width="8.464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531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774"/>
      <c r="C4" s="774"/>
      <c r="D4" s="774"/>
      <c r="E4" s="413"/>
      <c r="F4" s="221" t="s">
        <v>473</v>
      </c>
      <c r="G4" s="216"/>
      <c r="H4" s="221" t="s">
        <v>474</v>
      </c>
      <c r="I4" s="216"/>
      <c r="J4" s="222" t="s">
        <v>532</v>
      </c>
      <c r="K4" s="112"/>
      <c r="L4" s="112"/>
    </row>
    <row r="5" spans="1:12" ht="14.25" thickBot="1">
      <c r="A5" s="216"/>
      <c r="B5" s="775" t="s">
        <v>533</v>
      </c>
      <c r="C5" s="775"/>
      <c r="D5" s="775"/>
      <c r="E5" s="413"/>
      <c r="F5" s="223">
        <f>SUM(F9:F23)</f>
        <v>9590676.1310892869</v>
      </c>
      <c r="G5" s="218"/>
      <c r="H5" s="223">
        <f>SUM(H9:H23)</f>
        <v>7470904.1923272396</v>
      </c>
      <c r="I5" s="216"/>
      <c r="J5" s="224">
        <f>SUM(J9:J23)</f>
        <v>2119771.9387620459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388</v>
      </c>
      <c r="C7" s="227"/>
      <c r="D7" s="226" t="s">
        <v>140</v>
      </c>
      <c r="E7" s="227"/>
      <c r="F7" s="228" t="s">
        <v>534</v>
      </c>
      <c r="G7" s="229"/>
      <c r="H7" s="228" t="s">
        <v>535</v>
      </c>
      <c r="I7" s="229"/>
      <c r="J7" s="228" t="s">
        <v>536</v>
      </c>
      <c r="K7" s="173"/>
      <c r="L7" s="115" t="s">
        <v>537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341826</v>
      </c>
      <c r="I16" s="89"/>
      <c r="J16" s="233">
        <f t="shared" si="0"/>
        <v>-41826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227802</v>
      </c>
      <c r="I23" s="89"/>
      <c r="J23" s="233">
        <f t="shared" si="0"/>
        <v>-227802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538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opLeftCell="L1" zoomScale="85" zoomScaleNormal="85" workbookViewId="0">
      <pane ySplit="4" topLeftCell="A147" activePane="bottomLeft" state="frozen"/>
      <selection activeCell="X33" sqref="X33"/>
      <selection pane="bottomLeft" activeCell="U178" sqref="U178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13" style="70" hidden="1" customWidth="1"/>
    <col min="6" max="6" width="16.53125" style="474" hidden="1" customWidth="1"/>
    <col min="7" max="7" width="17.46484375" style="24" hidden="1" customWidth="1"/>
    <col min="8" max="8" width="17.46484375" style="541" hidden="1" customWidth="1"/>
    <col min="9" max="9" width="22.46484375" style="351" hidden="1" customWidth="1"/>
    <col min="10" max="10" width="22.46484375" style="351" bestFit="1" customWidth="1"/>
    <col min="11" max="12" width="5.19921875" style="112" customWidth="1"/>
    <col min="13" max="13" width="25.53125" style="112" customWidth="1"/>
    <col min="14" max="14" width="48.46484375" style="112" customWidth="1"/>
    <col min="15" max="15" width="15.796875" style="112" customWidth="1"/>
    <col min="16" max="17" width="17.46484375" style="112" customWidth="1"/>
    <col min="18" max="18" width="40.53125" style="112" bestFit="1" customWidth="1"/>
    <col min="19" max="19" width="32.46484375" style="112" bestFit="1" customWidth="1"/>
    <col min="20" max="21" width="17.46484375" style="541" customWidth="1"/>
    <col min="22" max="22" width="17.46484375" style="112" customWidth="1"/>
    <col min="23" max="23" width="17.46484375" style="541" customWidth="1"/>
    <col min="24" max="24" width="21.19921875" style="112" customWidth="1"/>
    <col min="25" max="25" width="29.4648437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5" t="s">
        <v>173</v>
      </c>
      <c r="C2" s="786"/>
      <c r="D2" s="786"/>
      <c r="E2" s="786"/>
      <c r="F2" s="786"/>
      <c r="G2" s="786"/>
      <c r="H2" s="502"/>
      <c r="I2" s="259">
        <f>SUM(I6:I186)</f>
        <v>9590676.1310892869</v>
      </c>
      <c r="J2" s="259">
        <f>SUM(J6:J186)</f>
        <v>12428344.346179174</v>
      </c>
      <c r="L2" s="787" t="s">
        <v>174</v>
      </c>
      <c r="M2" s="788"/>
      <c r="N2" s="788"/>
      <c r="O2" s="788"/>
      <c r="P2" s="788"/>
      <c r="Q2" s="788"/>
      <c r="R2" s="789" t="s">
        <v>175</v>
      </c>
      <c r="S2" s="790"/>
      <c r="T2" s="790"/>
      <c r="U2" s="790"/>
      <c r="V2" s="790"/>
      <c r="W2" s="791"/>
      <c r="X2" s="478">
        <f>SUM(X6:X186)</f>
        <v>7470904.1923272396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82">
        <f>SUM(G6:G11)</f>
        <v>2857717.17</v>
      </c>
      <c r="J6" s="782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95">
        <f>J6-SUM(U6:U11)</f>
        <v>0</v>
      </c>
      <c r="W6" s="692">
        <v>46003</v>
      </c>
      <c r="X6" s="792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83"/>
      <c r="J7" s="783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96"/>
      <c r="W7" s="693">
        <v>46009</v>
      </c>
      <c r="X7" s="793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83"/>
      <c r="J8" s="783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96"/>
      <c r="W8" s="566"/>
      <c r="X8" s="793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83"/>
      <c r="J9" s="783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96"/>
      <c r="W9" s="567">
        <f>T9+60</f>
        <v>46113</v>
      </c>
      <c r="X9" s="793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83"/>
      <c r="J10" s="783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96"/>
      <c r="W10" s="567">
        <v>46097</v>
      </c>
      <c r="X10" s="793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84"/>
      <c r="J11" s="784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7"/>
      <c r="W11" s="568"/>
      <c r="X11" s="794"/>
      <c r="Y11" s="598" t="s">
        <v>204</v>
      </c>
      <c r="Z11" s="599" t="s">
        <v>205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76">
        <f>SUM(G13:G19)</f>
        <v>770000</v>
      </c>
      <c r="J13" s="776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8">
        <f>J13-SUM(U13:U19)</f>
        <v>0</v>
      </c>
      <c r="W13" s="694">
        <f>W6</f>
        <v>46003</v>
      </c>
      <c r="X13" s="779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77"/>
      <c r="J14" s="777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9"/>
      <c r="W14" s="571"/>
      <c r="X14" s="780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77"/>
      <c r="J15" s="777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9"/>
      <c r="W15" s="571"/>
      <c r="X15" s="780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77"/>
      <c r="J16" s="777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9"/>
      <c r="W16" s="571"/>
      <c r="X16" s="780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77"/>
      <c r="J17" s="777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9"/>
      <c r="W17" s="571"/>
      <c r="X17" s="780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77"/>
      <c r="J18" s="777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9"/>
      <c r="W18" s="571"/>
      <c r="X18" s="780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8"/>
      <c r="J19" s="778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800"/>
      <c r="W19" s="572"/>
      <c r="X19" s="781"/>
      <c r="Y19" s="600" t="s">
        <v>216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82">
        <f>SUM(G21:G29)</f>
        <v>1105818.21</v>
      </c>
      <c r="J21" s="782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95">
        <f>J21-SUM(U21:U29)</f>
        <v>0</v>
      </c>
      <c r="W21" s="695">
        <v>46003</v>
      </c>
      <c r="X21" s="792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83"/>
      <c r="J22" s="783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96"/>
      <c r="W22" s="693">
        <v>46009</v>
      </c>
      <c r="X22" s="793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83"/>
      <c r="J23" s="783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96"/>
      <c r="W23" s="693">
        <v>46003</v>
      </c>
      <c r="X23" s="793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83"/>
      <c r="J24" s="783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96"/>
      <c r="W24" s="680">
        <v>46003</v>
      </c>
      <c r="X24" s="793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83"/>
      <c r="J25" s="783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96"/>
      <c r="W25" s="535">
        <v>45989</v>
      </c>
      <c r="X25" s="793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83"/>
      <c r="J26" s="783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96"/>
      <c r="W26" s="567">
        <v>46059</v>
      </c>
      <c r="X26" s="793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83"/>
      <c r="J27" s="783"/>
      <c r="K27" s="289"/>
      <c r="L27" s="312">
        <v>3</v>
      </c>
      <c r="M27" s="423" t="s">
        <v>219</v>
      </c>
      <c r="N27" s="385" t="s">
        <v>596</v>
      </c>
      <c r="O27" s="544"/>
      <c r="P27" s="444"/>
      <c r="Q27" s="386">
        <v>2283.6999999999998</v>
      </c>
      <c r="R27" s="583" t="s">
        <v>597</v>
      </c>
      <c r="S27" s="619" t="s">
        <v>598</v>
      </c>
      <c r="T27" s="667">
        <v>46081</v>
      </c>
      <c r="U27" s="669"/>
      <c r="V27" s="796"/>
      <c r="W27" s="567">
        <f>T27</f>
        <v>46081</v>
      </c>
      <c r="X27" s="793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83"/>
      <c r="J28" s="783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96"/>
      <c r="W28" s="567">
        <f>T28</f>
        <v>46081</v>
      </c>
      <c r="X28" s="793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84"/>
      <c r="J29" s="784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97"/>
      <c r="W29" s="704">
        <v>46045</v>
      </c>
      <c r="X29" s="794"/>
      <c r="Y29" s="606" t="s">
        <v>238</v>
      </c>
      <c r="Z29" s="607" t="s">
        <v>239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76">
        <f>SUM(G31:G49)</f>
        <v>1117490.1000000001</v>
      </c>
      <c r="J31" s="776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8">
        <f>J31-SUM(U31:U49)</f>
        <v>0</v>
      </c>
      <c r="W31" s="696">
        <f>W6</f>
        <v>46003</v>
      </c>
      <c r="X31" s="779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77"/>
      <c r="J32" s="777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9"/>
      <c r="W32" s="696">
        <f>W7</f>
        <v>46009</v>
      </c>
      <c r="X32" s="780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77"/>
      <c r="J33" s="777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9"/>
      <c r="W33" s="571"/>
      <c r="X33" s="780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77"/>
      <c r="J34" s="777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9"/>
      <c r="W34" s="571"/>
      <c r="X34" s="780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77"/>
      <c r="J35" s="777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804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9"/>
      <c r="W35" s="689">
        <f t="shared" ref="W35:W37" si="3">W105</f>
        <v>45967</v>
      </c>
      <c r="X35" s="780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77"/>
      <c r="J36" s="777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805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9"/>
      <c r="W36" s="689">
        <f t="shared" si="3"/>
        <v>45967</v>
      </c>
      <c r="X36" s="780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77"/>
      <c r="J37" s="777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805"/>
      <c r="S37" s="623" t="s">
        <v>247</v>
      </c>
      <c r="T37" s="660">
        <f t="shared" ref="T37:T42" si="5">T107</f>
        <v>46022</v>
      </c>
      <c r="U37" s="684">
        <v>28570.632008815413</v>
      </c>
      <c r="V37" s="799"/>
      <c r="W37" s="689">
        <f t="shared" si="3"/>
        <v>46003</v>
      </c>
      <c r="X37" s="780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77"/>
      <c r="J38" s="777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805"/>
      <c r="S38" s="623" t="s">
        <v>249</v>
      </c>
      <c r="T38" s="674">
        <f t="shared" si="5"/>
        <v>46053</v>
      </c>
      <c r="U38" s="684">
        <v>21427.974006611563</v>
      </c>
      <c r="V38" s="799"/>
      <c r="W38" s="689">
        <f>W72</f>
        <v>46066</v>
      </c>
      <c r="X38" s="780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77"/>
      <c r="J39" s="777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805"/>
      <c r="S39" s="623"/>
      <c r="T39" s="523">
        <f t="shared" si="5"/>
        <v>46081</v>
      </c>
      <c r="U39" s="508">
        <f t="shared" si="2"/>
        <v>7142.6580022038534</v>
      </c>
      <c r="V39" s="799"/>
      <c r="W39" s="571">
        <f>W73</f>
        <v>46073</v>
      </c>
      <c r="X39" s="780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77"/>
      <c r="J40" s="777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805"/>
      <c r="S40" s="623" t="s">
        <v>247</v>
      </c>
      <c r="T40" s="660">
        <f t="shared" si="5"/>
        <v>46022</v>
      </c>
      <c r="U40" s="684">
        <v>57141.264017630827</v>
      </c>
      <c r="V40" s="799"/>
      <c r="W40" s="689">
        <f>W110</f>
        <v>46003</v>
      </c>
      <c r="X40" s="780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77"/>
      <c r="J41" s="777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805"/>
      <c r="S41" s="623" t="s">
        <v>249</v>
      </c>
      <c r="T41" s="674">
        <f t="shared" si="5"/>
        <v>46053</v>
      </c>
      <c r="U41" s="684">
        <v>7142.6580022038534</v>
      </c>
      <c r="V41" s="799"/>
      <c r="W41" s="689">
        <f>W76</f>
        <v>46066</v>
      </c>
      <c r="X41" s="780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77"/>
      <c r="J42" s="777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805"/>
      <c r="S42" s="623"/>
      <c r="T42" s="523">
        <f t="shared" si="5"/>
        <v>46081</v>
      </c>
      <c r="U42" s="508">
        <f t="shared" si="2"/>
        <v>7142.6580022038534</v>
      </c>
      <c r="V42" s="799"/>
      <c r="W42" s="571">
        <f>W112</f>
        <v>46073</v>
      </c>
      <c r="X42" s="780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77"/>
      <c r="J43" s="777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805"/>
      <c r="S43" s="623"/>
      <c r="T43" s="523">
        <f t="shared" ref="T43:T46" si="8">T113</f>
        <v>46112</v>
      </c>
      <c r="U43" s="508">
        <f t="shared" si="2"/>
        <v>28570.632008815413</v>
      </c>
      <c r="V43" s="799"/>
      <c r="W43" s="571">
        <f t="shared" ref="W43:W46" si="9">W113</f>
        <v>46087</v>
      </c>
      <c r="X43" s="780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77"/>
      <c r="J44" s="777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805"/>
      <c r="S44" s="623"/>
      <c r="T44" s="523">
        <f t="shared" si="8"/>
        <v>46112</v>
      </c>
      <c r="U44" s="508">
        <f t="shared" si="2"/>
        <v>28570.632008815413</v>
      </c>
      <c r="V44" s="799"/>
      <c r="W44" s="571">
        <f t="shared" si="9"/>
        <v>46093</v>
      </c>
      <c r="X44" s="780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77"/>
      <c r="J45" s="777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805"/>
      <c r="S45" s="623"/>
      <c r="T45" s="523">
        <f t="shared" si="8"/>
        <v>46112</v>
      </c>
      <c r="U45" s="508">
        <f t="shared" si="2"/>
        <v>14285.316004407707</v>
      </c>
      <c r="V45" s="799"/>
      <c r="W45" s="571">
        <f t="shared" si="9"/>
        <v>46093</v>
      </c>
      <c r="X45" s="780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77"/>
      <c r="J46" s="777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806"/>
      <c r="S46" s="623"/>
      <c r="T46" s="523">
        <f t="shared" si="8"/>
        <v>46112</v>
      </c>
      <c r="U46" s="508">
        <f t="shared" si="2"/>
        <v>14285.316004407707</v>
      </c>
      <c r="V46" s="799"/>
      <c r="W46" s="571">
        <f t="shared" si="9"/>
        <v>46116</v>
      </c>
      <c r="X46" s="780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77"/>
      <c r="J47" s="777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9"/>
      <c r="W47" s="571"/>
      <c r="X47" s="780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77"/>
      <c r="J48" s="777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9"/>
      <c r="W48" s="571"/>
      <c r="X48" s="780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8"/>
      <c r="J49" s="778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800"/>
      <c r="W49" s="572"/>
      <c r="X49" s="781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82">
        <f>SUM(G51:G61)</f>
        <v>49000</v>
      </c>
      <c r="J51" s="782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95">
        <f>J51-SUM(U51:U61)</f>
        <v>4.039382423798088E-3</v>
      </c>
      <c r="W51" s="697">
        <f>W6</f>
        <v>46003</v>
      </c>
      <c r="X51" s="792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83"/>
      <c r="J52" s="783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96"/>
      <c r="W52" s="693">
        <v>45989</v>
      </c>
      <c r="X52" s="793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83"/>
      <c r="J53" s="783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96"/>
      <c r="W53" s="534">
        <v>45900</v>
      </c>
      <c r="X53" s="793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83"/>
      <c r="J54" s="783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96"/>
      <c r="W54" s="534">
        <v>46022</v>
      </c>
      <c r="X54" s="793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83"/>
      <c r="J55" s="783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96"/>
      <c r="W55" s="534">
        <v>45900</v>
      </c>
      <c r="X55" s="793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83"/>
      <c r="J56" s="783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96"/>
      <c r="W56" s="680">
        <f>T56</f>
        <v>45961</v>
      </c>
      <c r="X56" s="793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83"/>
      <c r="J57" s="783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96"/>
      <c r="W57" s="680">
        <v>46021</v>
      </c>
      <c r="X57" s="793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83"/>
      <c r="J58" s="783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96"/>
      <c r="W58" s="680">
        <v>46021</v>
      </c>
      <c r="X58" s="793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83"/>
      <c r="J59" s="783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96"/>
      <c r="W59" s="535">
        <v>45876</v>
      </c>
      <c r="X59" s="793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83"/>
      <c r="J60" s="783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96"/>
      <c r="W60" s="567"/>
      <c r="X60" s="793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84"/>
      <c r="J61" s="784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7"/>
      <c r="W61" s="568"/>
      <c r="X61" s="794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76">
        <f>SUM(G63:G83)</f>
        <v>1511034.3</v>
      </c>
      <c r="J63" s="776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8">
        <f>J63-SUM(U63:U83)</f>
        <v>5.3090509027242661E-5</v>
      </c>
      <c r="W63" s="570"/>
      <c r="X63" s="779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77"/>
      <c r="J64" s="777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99"/>
      <c r="W64" s="676">
        <f>T64+30</f>
        <v>46021</v>
      </c>
      <c r="X64" s="780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77"/>
      <c r="J65" s="777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9"/>
      <c r="W65" s="571"/>
      <c r="X65" s="780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77"/>
      <c r="J66" s="777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9"/>
      <c r="W66" s="571"/>
      <c r="X66" s="780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77"/>
      <c r="J67" s="777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9"/>
      <c r="W67" s="571"/>
      <c r="X67" s="780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77"/>
      <c r="J68" s="777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9"/>
      <c r="W68" s="571"/>
      <c r="X68" s="780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77"/>
      <c r="J69" s="777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804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9"/>
      <c r="W69" s="689">
        <f t="shared" ref="W69:W71" si="12">W105</f>
        <v>45967</v>
      </c>
      <c r="X69" s="780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77"/>
      <c r="J70" s="777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805"/>
      <c r="S70" s="623" t="str">
        <f>S106</f>
        <v>JA Electrical - Inv 1105</v>
      </c>
      <c r="T70" s="674">
        <f>T106</f>
        <v>45961</v>
      </c>
      <c r="U70" s="684">
        <v>96211.72879304066</v>
      </c>
      <c r="V70" s="799"/>
      <c r="W70" s="689">
        <f t="shared" si="12"/>
        <v>45967</v>
      </c>
      <c r="X70" s="780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77"/>
      <c r="J71" s="777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805"/>
      <c r="S71" s="623" t="s">
        <v>247</v>
      </c>
      <c r="T71" s="660">
        <f>T107</f>
        <v>46022</v>
      </c>
      <c r="U71" s="684">
        <v>64141.287346352467</v>
      </c>
      <c r="V71" s="799"/>
      <c r="W71" s="689">
        <f t="shared" si="12"/>
        <v>46003</v>
      </c>
      <c r="X71" s="780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77"/>
      <c r="J72" s="777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805"/>
      <c r="S72" s="623" t="s">
        <v>249</v>
      </c>
      <c r="T72" s="674">
        <f>T108</f>
        <v>46053</v>
      </c>
      <c r="U72" s="684">
        <v>48105.880802646541</v>
      </c>
      <c r="V72" s="799"/>
      <c r="W72" s="689">
        <f>W108</f>
        <v>46066</v>
      </c>
      <c r="X72" s="780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77"/>
      <c r="J73" s="777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805"/>
      <c r="S73" s="623"/>
      <c r="T73" s="523">
        <f>T109</f>
        <v>46081</v>
      </c>
      <c r="U73" s="508">
        <f t="shared" si="11"/>
        <v>16035.293600882182</v>
      </c>
      <c r="V73" s="799"/>
      <c r="W73" s="571">
        <f>W109</f>
        <v>46073</v>
      </c>
      <c r="X73" s="780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77"/>
      <c r="J74" s="777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805"/>
      <c r="S74" s="623" t="s">
        <v>247</v>
      </c>
      <c r="T74" s="660">
        <f>T110</f>
        <v>46022</v>
      </c>
      <c r="U74" s="684">
        <v>128282.07174988119</v>
      </c>
      <c r="V74" s="799"/>
      <c r="W74" s="689">
        <f>W110</f>
        <v>46003</v>
      </c>
      <c r="X74" s="780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77"/>
      <c r="J75" s="777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805"/>
      <c r="S75" s="623"/>
      <c r="T75" s="523">
        <f>T112</f>
        <v>46081</v>
      </c>
      <c r="U75" s="508">
        <f t="shared" si="11"/>
        <v>16035.293600882182</v>
      </c>
      <c r="V75" s="799"/>
      <c r="W75" s="571">
        <f>W112</f>
        <v>46073</v>
      </c>
      <c r="X75" s="780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77"/>
      <c r="J76" s="777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805"/>
      <c r="S76" s="623" t="s">
        <v>249</v>
      </c>
      <c r="T76" s="674">
        <f>T111</f>
        <v>46053</v>
      </c>
      <c r="U76" s="684">
        <v>16035.293600882182</v>
      </c>
      <c r="V76" s="799"/>
      <c r="W76" s="689">
        <f>W111</f>
        <v>46066</v>
      </c>
      <c r="X76" s="780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77"/>
      <c r="J77" s="777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805"/>
      <c r="S77" s="623"/>
      <c r="T77" s="523">
        <f t="shared" ref="T77:T80" si="15">T113</f>
        <v>46112</v>
      </c>
      <c r="U77" s="508">
        <f t="shared" si="11"/>
        <v>64141.174403528727</v>
      </c>
      <c r="V77" s="799"/>
      <c r="W77" s="571">
        <f t="shared" ref="W77:W80" si="16">W113</f>
        <v>46087</v>
      </c>
      <c r="X77" s="780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77"/>
      <c r="J78" s="777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805"/>
      <c r="S78" s="627"/>
      <c r="T78" s="523">
        <f t="shared" si="15"/>
        <v>46112</v>
      </c>
      <c r="U78" s="513">
        <f t="shared" si="11"/>
        <v>64141.174403528727</v>
      </c>
      <c r="V78" s="799"/>
      <c r="W78" s="571">
        <f t="shared" si="16"/>
        <v>46093</v>
      </c>
      <c r="X78" s="780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77"/>
      <c r="J79" s="777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805"/>
      <c r="S79" s="627"/>
      <c r="T79" s="523">
        <f t="shared" si="15"/>
        <v>46112</v>
      </c>
      <c r="U79" s="513">
        <f t="shared" si="11"/>
        <v>32070.587201764363</v>
      </c>
      <c r="V79" s="799"/>
      <c r="W79" s="571">
        <f t="shared" si="16"/>
        <v>46093</v>
      </c>
      <c r="X79" s="780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77"/>
      <c r="J80" s="777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806"/>
      <c r="S80" s="627"/>
      <c r="T80" s="523">
        <f t="shared" si="15"/>
        <v>46112</v>
      </c>
      <c r="U80" s="513">
        <f t="shared" si="11"/>
        <v>32070.587201764363</v>
      </c>
      <c r="V80" s="799"/>
      <c r="W80" s="571">
        <f t="shared" si="16"/>
        <v>46116</v>
      </c>
      <c r="X80" s="780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77"/>
      <c r="J81" s="777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9"/>
      <c r="W81" s="574"/>
      <c r="X81" s="780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77"/>
      <c r="J82" s="777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9"/>
      <c r="W82" s="574"/>
      <c r="X82" s="780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8"/>
      <c r="J83" s="778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800"/>
      <c r="W83" s="572"/>
      <c r="X83" s="781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82">
        <f>SUM(G85:G92)</f>
        <v>0</v>
      </c>
      <c r="J85" s="782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807"/>
      <c r="S85" s="629"/>
      <c r="T85" s="528"/>
      <c r="U85" s="643"/>
      <c r="V85" s="801">
        <f>J85-SUM(U85:U92)</f>
        <v>0</v>
      </c>
      <c r="W85" s="576"/>
      <c r="X85" s="792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83"/>
      <c r="J86" s="783"/>
      <c r="K86" s="289"/>
      <c r="L86" s="383">
        <v>7</v>
      </c>
      <c r="M86" s="384" t="s">
        <v>287</v>
      </c>
      <c r="N86" s="385"/>
      <c r="O86" s="544"/>
      <c r="P86" s="444"/>
      <c r="Q86" s="386"/>
      <c r="R86" s="808"/>
      <c r="S86" s="619"/>
      <c r="T86" s="519"/>
      <c r="U86" s="504"/>
      <c r="V86" s="802"/>
      <c r="W86" s="567"/>
      <c r="X86" s="793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83"/>
      <c r="J87" s="783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802"/>
      <c r="W87" s="567"/>
      <c r="X87" s="793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83"/>
      <c r="J88" s="783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802"/>
      <c r="W88" s="567"/>
      <c r="X88" s="793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83"/>
      <c r="J89" s="783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802"/>
      <c r="W89" s="567"/>
      <c r="X89" s="793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83"/>
      <c r="J90" s="783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802"/>
      <c r="W90" s="567"/>
      <c r="X90" s="793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83"/>
      <c r="J91" s="783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802"/>
      <c r="W91" s="567"/>
      <c r="X91" s="793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84"/>
      <c r="J92" s="784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803"/>
      <c r="W92" s="568"/>
      <c r="X92" s="794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76">
        <f>SUM(G94:G102)</f>
        <v>300000</v>
      </c>
      <c r="J94" s="776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9">
        <f>(Q94/$X$94*$J$94)</f>
        <v>0</v>
      </c>
      <c r="V94" s="812">
        <f>J94-SUM(U94:U102)</f>
        <v>3.5152828204445541E-3</v>
      </c>
      <c r="W94" s="570"/>
      <c r="X94" s="779">
        <f>SUM(Q94:Q102)</f>
        <v>341826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77"/>
      <c r="J95" s="777"/>
      <c r="K95" s="302"/>
      <c r="L95" s="323">
        <v>8</v>
      </c>
      <c r="M95" s="433" t="s">
        <v>289</v>
      </c>
      <c r="N95" s="336" t="s">
        <v>291</v>
      </c>
      <c r="O95" s="415">
        <v>2</v>
      </c>
      <c r="P95" s="461">
        <v>25000</v>
      </c>
      <c r="Q95" s="325">
        <f>O95*P95</f>
        <v>50000</v>
      </c>
      <c r="R95" s="587"/>
      <c r="S95" s="623"/>
      <c r="T95" s="523">
        <v>46081</v>
      </c>
      <c r="U95" s="684">
        <v>0</v>
      </c>
      <c r="V95" s="813"/>
      <c r="W95" s="571">
        <f>T95-14</f>
        <v>46067</v>
      </c>
      <c r="X95" s="780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77"/>
      <c r="J96" s="777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13"/>
      <c r="W96" s="571"/>
      <c r="X96" s="780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77"/>
      <c r="J97" s="777"/>
      <c r="K97" s="302"/>
      <c r="L97" s="323">
        <v>8</v>
      </c>
      <c r="M97" s="433" t="s">
        <v>289</v>
      </c>
      <c r="N97" s="336" t="s">
        <v>292</v>
      </c>
      <c r="O97" s="664">
        <v>232956</v>
      </c>
      <c r="P97" s="665">
        <v>0.75</v>
      </c>
      <c r="Q97" s="325">
        <f>$O$97*P97</f>
        <v>174717</v>
      </c>
      <c r="R97" s="804" t="s">
        <v>293</v>
      </c>
      <c r="S97" s="623" t="s">
        <v>294</v>
      </c>
      <c r="T97" s="671">
        <v>45961</v>
      </c>
      <c r="U97" s="684">
        <v>200089.18963861017</v>
      </c>
      <c r="V97" s="813"/>
      <c r="W97" s="676">
        <v>45946</v>
      </c>
      <c r="X97" s="780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77"/>
      <c r="J98" s="777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806"/>
      <c r="S98" s="623" t="s">
        <v>295</v>
      </c>
      <c r="T98" s="674">
        <v>45961</v>
      </c>
      <c r="U98" s="684">
        <v>66696.396546203396</v>
      </c>
      <c r="V98" s="813"/>
      <c r="W98" s="676">
        <v>46009</v>
      </c>
      <c r="X98" s="780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77"/>
      <c r="J99" s="777"/>
      <c r="K99" s="302"/>
      <c r="L99" s="323">
        <v>8</v>
      </c>
      <c r="M99" s="433" t="s">
        <v>289</v>
      </c>
      <c r="N99" s="336" t="s">
        <v>296</v>
      </c>
      <c r="O99" s="551"/>
      <c r="P99" s="461"/>
      <c r="Q99" s="325">
        <v>48720</v>
      </c>
      <c r="R99" s="587" t="s">
        <v>297</v>
      </c>
      <c r="S99" s="623" t="s">
        <v>298</v>
      </c>
      <c r="T99" s="674">
        <v>46022</v>
      </c>
      <c r="U99" s="684">
        <v>55795.055461193893</v>
      </c>
      <c r="V99" s="813"/>
      <c r="W99" s="689">
        <v>46066</v>
      </c>
      <c r="X99" s="780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77"/>
      <c r="J100" s="777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13"/>
      <c r="W100" s="571"/>
      <c r="X100" s="780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77"/>
      <c r="J101" s="777"/>
      <c r="K101" s="302"/>
      <c r="L101" s="323">
        <v>8</v>
      </c>
      <c r="M101" s="433" t="s">
        <v>289</v>
      </c>
      <c r="N101" s="336" t="s">
        <v>299</v>
      </c>
      <c r="O101" s="551"/>
      <c r="P101" s="461"/>
      <c r="Q101" s="325">
        <v>10150</v>
      </c>
      <c r="R101" s="591" t="s">
        <v>300</v>
      </c>
      <c r="S101" s="627" t="s">
        <v>249</v>
      </c>
      <c r="T101" s="718">
        <v>46053</v>
      </c>
      <c r="U101" s="728">
        <v>0</v>
      </c>
      <c r="V101" s="813"/>
      <c r="W101" s="730">
        <v>46066</v>
      </c>
      <c r="X101" s="780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8"/>
      <c r="J102" s="778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14"/>
      <c r="W102" s="572"/>
      <c r="X102" s="781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302</v>
      </c>
      <c r="D104" s="328" t="s">
        <v>303</v>
      </c>
      <c r="E104" s="315"/>
      <c r="F104" s="437"/>
      <c r="G104" s="613">
        <f>D200</f>
        <v>340042.5</v>
      </c>
      <c r="H104" s="573">
        <v>45900</v>
      </c>
      <c r="I104" s="827">
        <f>SUM(G104:G119)</f>
        <v>1060132.5</v>
      </c>
      <c r="J104" s="782">
        <f>F200+F201</f>
        <v>1204696.0227272727</v>
      </c>
      <c r="K104" s="289"/>
      <c r="L104" s="312">
        <v>9</v>
      </c>
      <c r="M104" s="423" t="s">
        <v>304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95">
        <f>J104-SUM(U104:U119)</f>
        <v>4.0053608827292919E-3</v>
      </c>
      <c r="W104" s="573"/>
      <c r="X104" s="830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305</v>
      </c>
      <c r="E105" s="315"/>
      <c r="F105" s="459"/>
      <c r="G105" s="613">
        <f>D201</f>
        <v>720090</v>
      </c>
      <c r="H105" s="566">
        <v>45900</v>
      </c>
      <c r="I105" s="828"/>
      <c r="J105" s="783"/>
      <c r="K105" s="289"/>
      <c r="L105" s="312">
        <v>9</v>
      </c>
      <c r="M105" s="423" t="s">
        <v>304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818"/>
      <c r="S105" s="618" t="s">
        <v>306</v>
      </c>
      <c r="T105" s="667">
        <v>45961</v>
      </c>
      <c r="U105" s="669">
        <v>120469.60227272725</v>
      </c>
      <c r="V105" s="796"/>
      <c r="W105" s="534">
        <v>45967</v>
      </c>
      <c r="X105" s="831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8"/>
      <c r="J106" s="783"/>
      <c r="K106" s="289"/>
      <c r="L106" s="383">
        <v>9</v>
      </c>
      <c r="M106" s="501" t="s">
        <v>304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819"/>
      <c r="S106" s="619" t="s">
        <v>307</v>
      </c>
      <c r="T106" s="667">
        <v>45961</v>
      </c>
      <c r="U106" s="669">
        <v>180704.40340909085</v>
      </c>
      <c r="V106" s="796"/>
      <c r="W106" s="535">
        <v>45967</v>
      </c>
      <c r="X106" s="831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8"/>
      <c r="J107" s="783"/>
      <c r="K107" s="289"/>
      <c r="L107" s="383">
        <v>9</v>
      </c>
      <c r="M107" s="501" t="s">
        <v>304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819"/>
      <c r="S107" s="619" t="s">
        <v>247</v>
      </c>
      <c r="T107" s="702">
        <v>46022</v>
      </c>
      <c r="U107" s="669">
        <v>120469.60227272728</v>
      </c>
      <c r="V107" s="796"/>
      <c r="W107" s="535">
        <v>46003</v>
      </c>
      <c r="X107" s="831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8"/>
      <c r="J108" s="783"/>
      <c r="K108" s="289"/>
      <c r="L108" s="383">
        <v>9</v>
      </c>
      <c r="M108" s="501" t="s">
        <v>304</v>
      </c>
      <c r="N108" s="385" t="s">
        <v>246</v>
      </c>
      <c r="O108" s="544"/>
      <c r="P108" s="716">
        <v>7.4999999999999997E-2</v>
      </c>
      <c r="Q108" s="316">
        <v>82896.92</v>
      </c>
      <c r="R108" s="819"/>
      <c r="S108" s="619" t="s">
        <v>249</v>
      </c>
      <c r="T108" s="667">
        <v>46053</v>
      </c>
      <c r="U108" s="669">
        <v>90352.196336766719</v>
      </c>
      <c r="V108" s="796"/>
      <c r="W108" s="535">
        <v>46066</v>
      </c>
      <c r="X108" s="831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8"/>
      <c r="J109" s="783"/>
      <c r="K109" s="289"/>
      <c r="L109" s="383">
        <v>9</v>
      </c>
      <c r="M109" s="501" t="s">
        <v>304</v>
      </c>
      <c r="N109" s="385" t="s">
        <v>246</v>
      </c>
      <c r="O109" s="544"/>
      <c r="P109" s="716">
        <v>2.5000000000000001E-2</v>
      </c>
      <c r="Q109" s="316">
        <v>27632.31</v>
      </c>
      <c r="R109" s="819"/>
      <c r="S109" s="619"/>
      <c r="T109" s="519">
        <v>46081</v>
      </c>
      <c r="U109" s="504">
        <f t="shared" si="18"/>
        <v>30117.405745370306</v>
      </c>
      <c r="V109" s="796"/>
      <c r="W109" s="567">
        <f>W108+7</f>
        <v>46073</v>
      </c>
      <c r="X109" s="831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8"/>
      <c r="J110" s="783"/>
      <c r="K110" s="289"/>
      <c r="L110" s="383">
        <v>9</v>
      </c>
      <c r="M110" s="501" t="s">
        <v>304</v>
      </c>
      <c r="N110" s="385" t="s">
        <v>250</v>
      </c>
      <c r="O110" s="544"/>
      <c r="P110" s="561">
        <v>0.2</v>
      </c>
      <c r="Q110" s="316">
        <f>$O$105*P110</f>
        <v>221058.44</v>
      </c>
      <c r="R110" s="819"/>
      <c r="S110" s="619" t="s">
        <v>247</v>
      </c>
      <c r="T110" s="702">
        <v>46022</v>
      </c>
      <c r="U110" s="669">
        <v>240939.20454545456</v>
      </c>
      <c r="V110" s="796"/>
      <c r="W110" s="535">
        <v>46003</v>
      </c>
      <c r="X110" s="831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8"/>
      <c r="J111" s="783"/>
      <c r="K111" s="289"/>
      <c r="L111" s="383">
        <v>9</v>
      </c>
      <c r="M111" s="501" t="s">
        <v>304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819"/>
      <c r="S111" s="619" t="s">
        <v>249</v>
      </c>
      <c r="T111" s="667">
        <v>46053</v>
      </c>
      <c r="U111" s="669">
        <v>30117.400295698208</v>
      </c>
      <c r="V111" s="796"/>
      <c r="W111" s="535">
        <v>46066</v>
      </c>
      <c r="X111" s="831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8"/>
      <c r="J112" s="783"/>
      <c r="K112" s="289"/>
      <c r="L112" s="383">
        <v>9</v>
      </c>
      <c r="M112" s="501" t="s">
        <v>304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819"/>
      <c r="S112" s="619"/>
      <c r="T112" s="519">
        <v>46081</v>
      </c>
      <c r="U112" s="504">
        <f t="shared" si="18"/>
        <v>30117.400295698208</v>
      </c>
      <c r="V112" s="796"/>
      <c r="W112" s="567">
        <f>W111+7</f>
        <v>46073</v>
      </c>
      <c r="X112" s="831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8"/>
      <c r="J113" s="783"/>
      <c r="K113" s="289"/>
      <c r="L113" s="383">
        <v>9</v>
      </c>
      <c r="M113" s="501" t="s">
        <v>304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819"/>
      <c r="S113" s="619"/>
      <c r="T113" s="519">
        <f t="shared" si="17"/>
        <v>46112</v>
      </c>
      <c r="U113" s="504">
        <f t="shared" si="18"/>
        <v>120469.60118279283</v>
      </c>
      <c r="V113" s="796"/>
      <c r="W113" s="567">
        <f>'Project Plan'!K47+7</f>
        <v>46087</v>
      </c>
      <c r="X113" s="831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8"/>
      <c r="J114" s="783"/>
      <c r="K114" s="289"/>
      <c r="L114" s="383">
        <v>9</v>
      </c>
      <c r="M114" s="501" t="s">
        <v>304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819"/>
      <c r="S114" s="619"/>
      <c r="T114" s="519">
        <f t="shared" si="17"/>
        <v>46112</v>
      </c>
      <c r="U114" s="504">
        <f t="shared" si="18"/>
        <v>120469.60118279283</v>
      </c>
      <c r="V114" s="796"/>
      <c r="W114" s="567">
        <f>'Project Plan'!K58+7</f>
        <v>46093</v>
      </c>
      <c r="X114" s="831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8"/>
      <c r="J115" s="783"/>
      <c r="K115" s="289"/>
      <c r="L115" s="383">
        <v>9</v>
      </c>
      <c r="M115" s="501" t="s">
        <v>304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819"/>
      <c r="S115" s="619"/>
      <c r="T115" s="519">
        <f t="shared" si="17"/>
        <v>46112</v>
      </c>
      <c r="U115" s="504">
        <f t="shared" si="18"/>
        <v>60234.800591396415</v>
      </c>
      <c r="V115" s="796"/>
      <c r="W115" s="567">
        <f>'Project Plan'!K58+7</f>
        <v>46093</v>
      </c>
      <c r="X115" s="831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8"/>
      <c r="J116" s="783"/>
      <c r="K116" s="289"/>
      <c r="L116" s="383">
        <v>9</v>
      </c>
      <c r="M116" s="501" t="s">
        <v>304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820"/>
      <c r="S116" s="619"/>
      <c r="T116" s="519">
        <f>IF(W116&gt;1,EOMONTH(W116,-1),"")</f>
        <v>46112</v>
      </c>
      <c r="U116" s="504">
        <f t="shared" si="18"/>
        <v>60234.800591396415</v>
      </c>
      <c r="V116" s="796"/>
      <c r="W116" s="567">
        <f>'Project Plan'!K58+30</f>
        <v>46116</v>
      </c>
      <c r="X116" s="831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8"/>
      <c r="J117" s="783"/>
      <c r="K117" s="289"/>
      <c r="L117" s="383">
        <v>9</v>
      </c>
      <c r="M117" s="501" t="s">
        <v>304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96"/>
      <c r="W117" s="567"/>
      <c r="X117" s="831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8"/>
      <c r="J118" s="783"/>
      <c r="K118" s="289"/>
      <c r="L118" s="383">
        <v>9</v>
      </c>
      <c r="M118" s="501" t="s">
        <v>304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96"/>
      <c r="W118" s="567"/>
      <c r="X118" s="831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9"/>
      <c r="J119" s="784"/>
      <c r="K119" s="365"/>
      <c r="L119" s="317">
        <v>9</v>
      </c>
      <c r="M119" s="441" t="s">
        <v>304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7"/>
      <c r="W119" s="568"/>
      <c r="X119" s="832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308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821">
        <f>SUM(G121:G143)</f>
        <v>184440.46666666665</v>
      </c>
      <c r="J121" s="821">
        <f>F204+F207+F208+F206</f>
        <v>209591.43939393942</v>
      </c>
      <c r="K121" s="340"/>
      <c r="L121" s="270">
        <v>10</v>
      </c>
      <c r="M121" s="434" t="s">
        <v>309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9">
        <f>J121-SUM(U121:U143)</f>
        <v>-3.4785436873789877E-3</v>
      </c>
      <c r="W121" s="577"/>
      <c r="X121" s="824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822"/>
      <c r="J122" s="822"/>
      <c r="K122" s="273"/>
      <c r="L122" s="341">
        <v>10</v>
      </c>
      <c r="M122" s="435" t="s">
        <v>309</v>
      </c>
      <c r="N122" s="342" t="s">
        <v>310</v>
      </c>
      <c r="O122" s="557"/>
      <c r="P122" s="471"/>
      <c r="Q122" s="344">
        <f>20700/1.15</f>
        <v>18000</v>
      </c>
      <c r="R122" s="815" t="s">
        <v>311</v>
      </c>
      <c r="S122" s="631" t="s">
        <v>312</v>
      </c>
      <c r="T122" s="663">
        <v>45961</v>
      </c>
      <c r="U122" s="687">
        <v>12469.742943475689</v>
      </c>
      <c r="V122" s="810"/>
      <c r="W122" s="678">
        <v>45946</v>
      </c>
      <c r="X122" s="825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22"/>
      <c r="J123" s="822"/>
      <c r="K123" s="273"/>
      <c r="L123" s="341">
        <v>11</v>
      </c>
      <c r="M123" s="435" t="s">
        <v>309</v>
      </c>
      <c r="N123" s="342" t="s">
        <v>313</v>
      </c>
      <c r="O123" s="557"/>
      <c r="P123" s="471"/>
      <c r="Q123" s="344">
        <v>18000</v>
      </c>
      <c r="R123" s="817"/>
      <c r="S123" s="631" t="s">
        <v>312</v>
      </c>
      <c r="T123" s="677">
        <v>45961</v>
      </c>
      <c r="U123" s="687">
        <v>12469.742943475689</v>
      </c>
      <c r="V123" s="810"/>
      <c r="W123" s="678">
        <f>T123</f>
        <v>45961</v>
      </c>
      <c r="X123" s="825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22"/>
      <c r="J124" s="822"/>
      <c r="K124" s="273"/>
      <c r="L124" s="341">
        <v>12</v>
      </c>
      <c r="M124" s="435" t="s">
        <v>309</v>
      </c>
      <c r="N124" s="342" t="s">
        <v>314</v>
      </c>
      <c r="O124" s="557"/>
      <c r="P124" s="471"/>
      <c r="Q124" s="344">
        <v>60000</v>
      </c>
      <c r="R124" s="595"/>
      <c r="S124" s="631" t="s">
        <v>315</v>
      </c>
      <c r="T124" s="663">
        <v>45991</v>
      </c>
      <c r="U124" s="687">
        <v>38348.821150162417</v>
      </c>
      <c r="V124" s="810"/>
      <c r="W124" s="690">
        <v>45989</v>
      </c>
      <c r="X124" s="825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22"/>
      <c r="J125" s="822"/>
      <c r="K125" s="273"/>
      <c r="L125" s="341">
        <v>12</v>
      </c>
      <c r="M125" s="435" t="s">
        <v>309</v>
      </c>
      <c r="N125" s="342" t="s">
        <v>316</v>
      </c>
      <c r="O125" s="557"/>
      <c r="P125" s="471"/>
      <c r="Q125" s="344">
        <v>10000</v>
      </c>
      <c r="R125" s="595" t="s">
        <v>317</v>
      </c>
      <c r="S125" s="631" t="s">
        <v>318</v>
      </c>
      <c r="T125" s="663">
        <v>46022</v>
      </c>
      <c r="U125" s="687">
        <v>6927.6372583925622</v>
      </c>
      <c r="V125" s="810"/>
      <c r="W125" s="690">
        <v>46003</v>
      </c>
      <c r="X125" s="825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22"/>
      <c r="J126" s="822"/>
      <c r="K126" s="273"/>
      <c r="L126" s="341">
        <v>13</v>
      </c>
      <c r="M126" s="435" t="s">
        <v>309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10"/>
      <c r="W126" s="578"/>
      <c r="X126" s="825"/>
      <c r="Y126" s="482"/>
    </row>
    <row r="127" spans="1:25" ht="14.25" customHeight="1">
      <c r="B127" s="341">
        <v>10</v>
      </c>
      <c r="C127" s="342"/>
      <c r="D127" s="342" t="s">
        <v>319</v>
      </c>
      <c r="E127" s="343"/>
      <c r="F127" s="471"/>
      <c r="G127" s="344">
        <f>D207</f>
        <v>72000</v>
      </c>
      <c r="H127" s="578">
        <v>45900</v>
      </c>
      <c r="I127" s="822"/>
      <c r="J127" s="822"/>
      <c r="K127" s="273"/>
      <c r="L127" s="341">
        <v>10</v>
      </c>
      <c r="M127" s="435" t="s">
        <v>309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10"/>
      <c r="W127" s="578"/>
      <c r="X127" s="825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822"/>
      <c r="J128" s="822"/>
      <c r="K128" s="273"/>
      <c r="L128" s="341">
        <v>10</v>
      </c>
      <c r="M128" s="435" t="s">
        <v>309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10"/>
      <c r="W128" s="578"/>
      <c r="X128" s="825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22"/>
      <c r="J129" s="822"/>
      <c r="K129" s="273"/>
      <c r="L129" s="341">
        <v>10</v>
      </c>
      <c r="M129" s="435" t="s">
        <v>309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15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10"/>
      <c r="W129" s="537">
        <f t="shared" ref="W129:W140" si="21">W105</f>
        <v>45967</v>
      </c>
      <c r="X129" s="825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22"/>
      <c r="J130" s="822"/>
      <c r="K130" s="273"/>
      <c r="L130" s="341">
        <v>10</v>
      </c>
      <c r="M130" s="435" t="s">
        <v>309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816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10"/>
      <c r="W130" s="537">
        <f t="shared" si="21"/>
        <v>45967</v>
      </c>
      <c r="X130" s="825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22"/>
      <c r="J131" s="822"/>
      <c r="K131" s="273"/>
      <c r="L131" s="341">
        <v>10</v>
      </c>
      <c r="M131" s="435" t="s">
        <v>309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816"/>
      <c r="S131" s="632" t="s">
        <v>247</v>
      </c>
      <c r="T131" s="691">
        <f t="shared" ref="T131:T140" si="23">T107</f>
        <v>46022</v>
      </c>
      <c r="U131" s="687">
        <v>16832.875373135081</v>
      </c>
      <c r="V131" s="810"/>
      <c r="W131" s="537">
        <f t="shared" si="21"/>
        <v>46003</v>
      </c>
      <c r="X131" s="825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22"/>
      <c r="J132" s="822"/>
      <c r="K132" s="273"/>
      <c r="L132" s="341">
        <v>10</v>
      </c>
      <c r="M132" s="435" t="s">
        <v>309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816"/>
      <c r="S132" s="632" t="s">
        <v>249</v>
      </c>
      <c r="T132" s="673">
        <f t="shared" si="23"/>
        <v>46053</v>
      </c>
      <c r="U132" s="687">
        <v>16832.875373135081</v>
      </c>
      <c r="V132" s="810"/>
      <c r="W132" s="537">
        <f t="shared" si="21"/>
        <v>46066</v>
      </c>
      <c r="X132" s="825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22"/>
      <c r="J133" s="822"/>
      <c r="K133" s="273"/>
      <c r="L133" s="341">
        <v>10</v>
      </c>
      <c r="M133" s="435" t="s">
        <v>309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816"/>
      <c r="S133" s="632"/>
      <c r="T133" s="532">
        <f t="shared" si="23"/>
        <v>46081</v>
      </c>
      <c r="U133" s="516">
        <f t="shared" si="20"/>
        <v>3403.9638432837701</v>
      </c>
      <c r="V133" s="810"/>
      <c r="W133" s="579">
        <f t="shared" si="21"/>
        <v>46073</v>
      </c>
      <c r="X133" s="825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22"/>
      <c r="J134" s="822"/>
      <c r="K134" s="273"/>
      <c r="L134" s="341">
        <v>10</v>
      </c>
      <c r="M134" s="435" t="s">
        <v>309</v>
      </c>
      <c r="N134" s="342" t="s">
        <v>250</v>
      </c>
      <c r="O134" s="557"/>
      <c r="P134" s="564">
        <v>0.2</v>
      </c>
      <c r="Q134" s="344">
        <v>39308.699999999997</v>
      </c>
      <c r="R134" s="816"/>
      <c r="S134" s="632" t="s">
        <v>247</v>
      </c>
      <c r="T134" s="691">
        <f t="shared" si="23"/>
        <v>46022</v>
      </c>
      <c r="U134" s="687">
        <v>27231.641469897571</v>
      </c>
      <c r="V134" s="810"/>
      <c r="W134" s="537">
        <f t="shared" si="21"/>
        <v>46003</v>
      </c>
      <c r="X134" s="825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22"/>
      <c r="J135" s="822"/>
      <c r="K135" s="273"/>
      <c r="L135" s="341">
        <v>10</v>
      </c>
      <c r="M135" s="435" t="s">
        <v>309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816"/>
      <c r="S135" s="632" t="s">
        <v>249</v>
      </c>
      <c r="T135" s="673">
        <f t="shared" si="23"/>
        <v>46053</v>
      </c>
      <c r="U135" s="687">
        <v>16832.875373135081</v>
      </c>
      <c r="V135" s="810"/>
      <c r="W135" s="537">
        <f t="shared" si="21"/>
        <v>46066</v>
      </c>
      <c r="X135" s="825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22"/>
      <c r="J136" s="822"/>
      <c r="K136" s="273"/>
      <c r="L136" s="341">
        <v>10</v>
      </c>
      <c r="M136" s="435" t="s">
        <v>309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816"/>
      <c r="S136" s="632"/>
      <c r="T136" s="532">
        <f t="shared" si="23"/>
        <v>46081</v>
      </c>
      <c r="U136" s="516">
        <f t="shared" si="20"/>
        <v>3403.9638432837701</v>
      </c>
      <c r="V136" s="810"/>
      <c r="W136" s="579">
        <f t="shared" si="21"/>
        <v>46073</v>
      </c>
      <c r="X136" s="825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22"/>
      <c r="J137" s="822"/>
      <c r="K137" s="273"/>
      <c r="L137" s="341">
        <v>10</v>
      </c>
      <c r="M137" s="435" t="s">
        <v>309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816"/>
      <c r="S137" s="632"/>
      <c r="T137" s="532">
        <f t="shared" si="23"/>
        <v>46112</v>
      </c>
      <c r="U137" s="516">
        <f t="shared" si="20"/>
        <v>13615.85537313508</v>
      </c>
      <c r="V137" s="810"/>
      <c r="W137" s="579">
        <f t="shared" si="21"/>
        <v>46087</v>
      </c>
      <c r="X137" s="825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22"/>
      <c r="J138" s="822"/>
      <c r="K138" s="273"/>
      <c r="L138" s="341">
        <v>10</v>
      </c>
      <c r="M138" s="435" t="s">
        <v>309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816"/>
      <c r="S138" s="632"/>
      <c r="T138" s="532">
        <f t="shared" si="23"/>
        <v>46112</v>
      </c>
      <c r="U138" s="516">
        <f t="shared" si="20"/>
        <v>13615.85537313508</v>
      </c>
      <c r="V138" s="810"/>
      <c r="W138" s="579">
        <f t="shared" si="21"/>
        <v>46093</v>
      </c>
      <c r="X138" s="825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22"/>
      <c r="J139" s="822"/>
      <c r="K139" s="273"/>
      <c r="L139" s="341">
        <v>10</v>
      </c>
      <c r="M139" s="435" t="s">
        <v>309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816"/>
      <c r="S139" s="632"/>
      <c r="T139" s="532">
        <f t="shared" si="23"/>
        <v>46112</v>
      </c>
      <c r="U139" s="516">
        <f t="shared" si="20"/>
        <v>6807.9276865675401</v>
      </c>
      <c r="V139" s="810"/>
      <c r="W139" s="579">
        <f t="shared" si="21"/>
        <v>46093</v>
      </c>
      <c r="X139" s="825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22"/>
      <c r="J140" s="822"/>
      <c r="K140" s="273"/>
      <c r="L140" s="341">
        <v>10</v>
      </c>
      <c r="M140" s="435" t="s">
        <v>309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817"/>
      <c r="S140" s="632"/>
      <c r="T140" s="532">
        <f t="shared" si="23"/>
        <v>46112</v>
      </c>
      <c r="U140" s="516">
        <f t="shared" si="20"/>
        <v>6807.9276865675401</v>
      </c>
      <c r="V140" s="810"/>
      <c r="W140" s="579">
        <f t="shared" si="21"/>
        <v>46116</v>
      </c>
      <c r="X140" s="825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22"/>
      <c r="J141" s="822"/>
      <c r="K141" s="273"/>
      <c r="L141" s="341">
        <v>10</v>
      </c>
      <c r="M141" s="435" t="s">
        <v>309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10"/>
      <c r="W141" s="579"/>
      <c r="X141" s="825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22"/>
      <c r="J142" s="822"/>
      <c r="K142" s="273"/>
      <c r="L142" s="341">
        <v>10</v>
      </c>
      <c r="M142" s="435" t="s">
        <v>309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10"/>
      <c r="W142" s="579"/>
      <c r="X142" s="825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23"/>
      <c r="J143" s="823"/>
      <c r="K143" s="276"/>
      <c r="L143" s="274">
        <v>10</v>
      </c>
      <c r="M143" s="436" t="s">
        <v>309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11"/>
      <c r="W143" s="580"/>
      <c r="X143" s="826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320</v>
      </c>
      <c r="D145" s="352" t="s">
        <v>321</v>
      </c>
      <c r="E145" s="284"/>
      <c r="F145" s="437"/>
      <c r="G145" s="285">
        <v>34004.250000000007</v>
      </c>
      <c r="H145" s="573">
        <v>45900</v>
      </c>
      <c r="I145" s="782">
        <f>SUM(G145:G149)</f>
        <v>182012.75000000003</v>
      </c>
      <c r="J145" s="782">
        <f>F203</f>
        <v>206832.67045454547</v>
      </c>
      <c r="K145" s="286"/>
      <c r="L145" s="282">
        <v>11</v>
      </c>
      <c r="M145" s="352" t="s">
        <v>322</v>
      </c>
      <c r="N145" s="352" t="s">
        <v>321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95">
        <f>J145-SUM(U145:U149)</f>
        <v>2.1007240866310894E-4</v>
      </c>
      <c r="W145" s="573">
        <v>46112</v>
      </c>
      <c r="X145" s="792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323</v>
      </c>
      <c r="E146" s="315"/>
      <c r="F146" s="459"/>
      <c r="G146" s="316">
        <v>68008.500000000015</v>
      </c>
      <c r="H146" s="534">
        <v>45900</v>
      </c>
      <c r="I146" s="783"/>
      <c r="J146" s="783"/>
      <c r="K146" s="289"/>
      <c r="L146" s="312">
        <v>11</v>
      </c>
      <c r="M146" s="389" t="s">
        <v>322</v>
      </c>
      <c r="N146" s="314" t="s">
        <v>323</v>
      </c>
      <c r="O146" s="315"/>
      <c r="P146" s="459"/>
      <c r="Q146" s="316">
        <v>9019.6</v>
      </c>
      <c r="R146" s="635"/>
      <c r="S146" s="618" t="s">
        <v>324</v>
      </c>
      <c r="T146" s="644">
        <v>45930</v>
      </c>
      <c r="U146" s="669">
        <v>14096.219464915206</v>
      </c>
      <c r="V146" s="796"/>
      <c r="W146" s="534">
        <v>45757</v>
      </c>
      <c r="X146" s="793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83"/>
      <c r="J147" s="783"/>
      <c r="K147" s="289"/>
      <c r="L147" s="312">
        <v>11</v>
      </c>
      <c r="M147" s="389" t="s">
        <v>322</v>
      </c>
      <c r="N147" s="314" t="s">
        <v>325</v>
      </c>
      <c r="O147" s="315"/>
      <c r="P147" s="459"/>
      <c r="Q147" s="316">
        <v>9620</v>
      </c>
      <c r="R147" s="582"/>
      <c r="S147" s="618" t="s">
        <v>326</v>
      </c>
      <c r="T147" s="644">
        <v>45930</v>
      </c>
      <c r="U147" s="669">
        <v>15034.550451514953</v>
      </c>
      <c r="V147" s="796"/>
      <c r="W147" s="534">
        <v>45723</v>
      </c>
      <c r="X147" s="793"/>
      <c r="Y147" s="482"/>
    </row>
    <row r="148" spans="1:25" ht="15" customHeight="1">
      <c r="B148" s="312">
        <v>11</v>
      </c>
      <c r="C148" s="387"/>
      <c r="D148" s="387" t="s">
        <v>327</v>
      </c>
      <c r="E148" s="406"/>
      <c r="F148" s="444"/>
      <c r="G148" s="386">
        <v>80000</v>
      </c>
      <c r="H148" s="567">
        <v>45900</v>
      </c>
      <c r="I148" s="783"/>
      <c r="J148" s="783"/>
      <c r="K148" s="289"/>
      <c r="L148" s="312">
        <v>11</v>
      </c>
      <c r="M148" s="389" t="s">
        <v>322</v>
      </c>
      <c r="N148" s="387" t="s">
        <v>327</v>
      </c>
      <c r="O148" s="406"/>
      <c r="P148" s="444"/>
      <c r="Q148" s="386">
        <v>79700</v>
      </c>
      <c r="R148" s="583" t="s">
        <v>328</v>
      </c>
      <c r="S148" s="619" t="s">
        <v>329</v>
      </c>
      <c r="T148" s="644">
        <v>45930</v>
      </c>
      <c r="U148" s="669">
        <f>124558.593657562-1152.58</f>
        <v>123406.013657562</v>
      </c>
      <c r="V148" s="796"/>
      <c r="W148" s="567">
        <v>45716</v>
      </c>
      <c r="X148" s="793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84"/>
      <c r="J149" s="784"/>
      <c r="K149" s="290"/>
      <c r="L149" s="317">
        <v>11</v>
      </c>
      <c r="M149" s="419" t="s">
        <v>322</v>
      </c>
      <c r="N149" s="318" t="s">
        <v>330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97"/>
      <c r="W149" s="568">
        <f>T149</f>
        <v>46112</v>
      </c>
      <c r="X149" s="794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331</v>
      </c>
      <c r="D151" s="271"/>
      <c r="E151" s="272"/>
      <c r="F151" s="470"/>
      <c r="G151" s="339"/>
      <c r="H151" s="577"/>
      <c r="I151" s="821">
        <f>SUM(G151:G152)</f>
        <v>0</v>
      </c>
      <c r="J151" s="821">
        <v>0</v>
      </c>
      <c r="K151" s="833"/>
      <c r="L151" s="270">
        <v>12</v>
      </c>
      <c r="M151" s="271" t="s">
        <v>332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24">
        <f>SUM(Q151:Q152)</f>
        <v>0</v>
      </c>
      <c r="Y151" s="482"/>
    </row>
    <row r="152" spans="1:25" ht="15" customHeight="1" thickBot="1">
      <c r="B152" s="274">
        <v>12</v>
      </c>
      <c r="C152" s="345" t="s">
        <v>331</v>
      </c>
      <c r="D152" s="345"/>
      <c r="E152" s="346"/>
      <c r="F152" s="472"/>
      <c r="G152" s="275"/>
      <c r="H152" s="580"/>
      <c r="I152" s="823"/>
      <c r="J152" s="823"/>
      <c r="K152" s="834"/>
      <c r="L152" s="274">
        <v>12</v>
      </c>
      <c r="M152" s="345" t="s">
        <v>332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26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333</v>
      </c>
      <c r="D154" s="352" t="s">
        <v>334</v>
      </c>
      <c r="E154" s="284"/>
      <c r="F154" s="437"/>
      <c r="G154" s="285">
        <v>110470.56870833333</v>
      </c>
      <c r="H154" s="573">
        <v>45900</v>
      </c>
      <c r="I154" s="782">
        <f>SUM(G154:G158)</f>
        <v>429230.63442261907</v>
      </c>
      <c r="J154" s="782">
        <f>F202</f>
        <v>487762.08457115805</v>
      </c>
      <c r="K154" s="286"/>
      <c r="L154" s="282">
        <v>13</v>
      </c>
      <c r="M154" s="352" t="s">
        <v>335</v>
      </c>
      <c r="N154" s="352" t="s">
        <v>336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95">
        <f>J154-SUM(U154:U159)</f>
        <v>0</v>
      </c>
      <c r="W154" s="573">
        <v>46112</v>
      </c>
      <c r="X154" s="792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337</v>
      </c>
      <c r="E155" s="315"/>
      <c r="F155" s="459"/>
      <c r="G155" s="316">
        <v>77714.28571428571</v>
      </c>
      <c r="H155" s="566">
        <v>45900</v>
      </c>
      <c r="I155" s="783"/>
      <c r="J155" s="783"/>
      <c r="K155" s="289"/>
      <c r="L155" s="312">
        <v>13</v>
      </c>
      <c r="M155" s="389" t="s">
        <v>335</v>
      </c>
      <c r="N155" s="314" t="s">
        <v>337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96"/>
      <c r="W155" s="566"/>
      <c r="X155" s="793"/>
      <c r="Y155" s="482"/>
    </row>
    <row r="156" spans="1:25" ht="15.75" customHeight="1">
      <c r="B156" s="312">
        <v>13</v>
      </c>
      <c r="C156" s="314"/>
      <c r="D156" s="314" t="s">
        <v>338</v>
      </c>
      <c r="E156" s="315"/>
      <c r="F156" s="459"/>
      <c r="G156" s="316">
        <v>136000</v>
      </c>
      <c r="H156" s="566">
        <v>45900</v>
      </c>
      <c r="I156" s="783"/>
      <c r="J156" s="783"/>
      <c r="K156" s="289"/>
      <c r="L156" s="312">
        <v>13</v>
      </c>
      <c r="M156" s="389" t="s">
        <v>335</v>
      </c>
      <c r="N156" s="314" t="s">
        <v>338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96"/>
      <c r="W156" s="566"/>
      <c r="X156" s="793"/>
      <c r="Y156" s="482"/>
    </row>
    <row r="157" spans="1:25" ht="15.75" customHeight="1">
      <c r="B157" s="312">
        <v>13</v>
      </c>
      <c r="C157" s="314"/>
      <c r="D157" s="314" t="s">
        <v>339</v>
      </c>
      <c r="E157" s="315"/>
      <c r="F157" s="459"/>
      <c r="G157" s="316">
        <v>52000</v>
      </c>
      <c r="H157" s="566">
        <v>45900</v>
      </c>
      <c r="I157" s="783"/>
      <c r="J157" s="783"/>
      <c r="K157" s="289"/>
      <c r="L157" s="312">
        <v>13</v>
      </c>
      <c r="M157" s="389" t="s">
        <v>335</v>
      </c>
      <c r="N157" s="314" t="s">
        <v>339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96"/>
      <c r="W157" s="566"/>
      <c r="X157" s="793"/>
      <c r="Y157" s="482"/>
    </row>
    <row r="158" spans="1:25" ht="15.75" customHeight="1">
      <c r="B158" s="312">
        <v>13</v>
      </c>
      <c r="C158" s="314"/>
      <c r="D158" s="314" t="s">
        <v>340</v>
      </c>
      <c r="E158" s="315"/>
      <c r="F158" s="459"/>
      <c r="G158" s="316">
        <v>53045.780000000006</v>
      </c>
      <c r="H158" s="566">
        <v>45900</v>
      </c>
      <c r="I158" s="783"/>
      <c r="J158" s="783"/>
      <c r="K158" s="289"/>
      <c r="L158" s="312">
        <v>13</v>
      </c>
      <c r="M158" s="389" t="s">
        <v>335</v>
      </c>
      <c r="N158" s="314" t="s">
        <v>340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96"/>
      <c r="W158" s="566"/>
      <c r="X158" s="793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84"/>
      <c r="J159" s="784"/>
      <c r="K159" s="365"/>
      <c r="L159" s="317">
        <v>13</v>
      </c>
      <c r="M159" s="419" t="s">
        <v>335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7"/>
      <c r="W159" s="568"/>
      <c r="X159" s="794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341</v>
      </c>
      <c r="D161" s="271" t="s">
        <v>342</v>
      </c>
      <c r="E161" s="272"/>
      <c r="F161" s="470"/>
      <c r="G161" s="339">
        <f>D213</f>
        <v>23800</v>
      </c>
      <c r="H161" s="537">
        <v>45905</v>
      </c>
      <c r="I161" s="821">
        <f>SUM(G161:G172)</f>
        <v>23800</v>
      </c>
      <c r="J161" s="821">
        <f>F213</f>
        <v>28000</v>
      </c>
      <c r="K161" s="340"/>
      <c r="L161" s="270">
        <v>14</v>
      </c>
      <c r="M161" s="434" t="s">
        <v>343</v>
      </c>
      <c r="N161" s="271" t="s">
        <v>344</v>
      </c>
      <c r="O161" s="556"/>
      <c r="P161" s="470"/>
      <c r="Q161" s="339">
        <v>13986.749999999998</v>
      </c>
      <c r="R161" s="594"/>
      <c r="S161" s="636" t="s">
        <v>345</v>
      </c>
      <c r="T161" s="645">
        <v>45930</v>
      </c>
      <c r="U161" s="670">
        <v>16326.887799201642</v>
      </c>
      <c r="V161" s="809">
        <f>J161-SUM(U161:U172)</f>
        <v>0</v>
      </c>
      <c r="W161" s="537">
        <v>45905</v>
      </c>
      <c r="X161" s="824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22"/>
      <c r="J162" s="822"/>
      <c r="K162" s="273"/>
      <c r="L162" s="341">
        <v>14</v>
      </c>
      <c r="M162" s="435" t="s">
        <v>343</v>
      </c>
      <c r="N162" s="342" t="s">
        <v>344</v>
      </c>
      <c r="O162" s="557"/>
      <c r="P162" s="471"/>
      <c r="Q162" s="344">
        <v>10587.7</v>
      </c>
      <c r="R162" s="596"/>
      <c r="S162" s="630" t="s">
        <v>345</v>
      </c>
      <c r="T162" s="681">
        <v>45961</v>
      </c>
      <c r="U162" s="687">
        <v>3732.1066782460925</v>
      </c>
      <c r="V162" s="810"/>
      <c r="W162" s="682">
        <v>45967</v>
      </c>
      <c r="X162" s="825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22"/>
      <c r="J163" s="822"/>
      <c r="K163" s="273"/>
      <c r="L163" s="341">
        <v>14</v>
      </c>
      <c r="M163" s="435" t="s">
        <v>343</v>
      </c>
      <c r="N163" s="342" t="s">
        <v>344</v>
      </c>
      <c r="O163" s="557"/>
      <c r="P163" s="471"/>
      <c r="Q163" s="344">
        <v>5515.35</v>
      </c>
      <c r="R163" s="596"/>
      <c r="S163" s="630" t="s">
        <v>345</v>
      </c>
      <c r="T163" s="681">
        <v>45991</v>
      </c>
      <c r="U163" s="687">
        <v>3279.4745358867531</v>
      </c>
      <c r="V163" s="810"/>
      <c r="W163" s="682">
        <v>45996</v>
      </c>
      <c r="X163" s="825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22"/>
      <c r="J164" s="822"/>
      <c r="K164" s="273"/>
      <c r="L164" s="341">
        <v>14</v>
      </c>
      <c r="M164" s="435" t="s">
        <v>343</v>
      </c>
      <c r="N164" s="342" t="s">
        <v>344</v>
      </c>
      <c r="O164" s="557"/>
      <c r="P164" s="471"/>
      <c r="Q164" s="344">
        <v>0</v>
      </c>
      <c r="R164" s="596"/>
      <c r="S164" s="630" t="s">
        <v>345</v>
      </c>
      <c r="T164" s="681">
        <v>46022</v>
      </c>
      <c r="U164" s="701">
        <v>0</v>
      </c>
      <c r="V164" s="810"/>
      <c r="W164" s="682">
        <v>46022</v>
      </c>
      <c r="X164" s="825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22"/>
      <c r="J165" s="822"/>
      <c r="K165" s="273"/>
      <c r="L165" s="341">
        <v>14</v>
      </c>
      <c r="M165" s="435" t="s">
        <v>343</v>
      </c>
      <c r="N165" s="342" t="s">
        <v>344</v>
      </c>
      <c r="O165" s="557"/>
      <c r="P165" s="471"/>
      <c r="Q165" s="344">
        <v>0</v>
      </c>
      <c r="R165" s="596"/>
      <c r="S165" s="630" t="s">
        <v>345</v>
      </c>
      <c r="T165" s="681">
        <v>46053</v>
      </c>
      <c r="U165" s="683">
        <v>0</v>
      </c>
      <c r="V165" s="810"/>
      <c r="W165" s="682">
        <v>46058</v>
      </c>
      <c r="X165" s="825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22"/>
      <c r="J166" s="822"/>
      <c r="K166" s="273"/>
      <c r="L166" s="341">
        <v>14</v>
      </c>
      <c r="M166" s="435" t="s">
        <v>343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10"/>
      <c r="W166" s="579">
        <v>46093</v>
      </c>
      <c r="X166" s="825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22"/>
      <c r="J167" s="822"/>
      <c r="K167" s="273"/>
      <c r="L167" s="341">
        <v>14</v>
      </c>
      <c r="M167" s="435" t="s">
        <v>343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10"/>
      <c r="W167" s="579"/>
      <c r="X167" s="825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22"/>
      <c r="J168" s="822"/>
      <c r="K168" s="273"/>
      <c r="L168" s="341">
        <v>14</v>
      </c>
      <c r="M168" s="435" t="s">
        <v>343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10"/>
      <c r="W168" s="579"/>
      <c r="X168" s="825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22"/>
      <c r="J169" s="822"/>
      <c r="K169" s="273"/>
      <c r="L169" s="341">
        <v>14</v>
      </c>
      <c r="M169" s="435" t="s">
        <v>343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10"/>
      <c r="W169" s="579"/>
      <c r="X169" s="825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22"/>
      <c r="J170" s="822"/>
      <c r="K170" s="273"/>
      <c r="L170" s="341">
        <v>14</v>
      </c>
      <c r="M170" s="435" t="s">
        <v>343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10"/>
      <c r="W170" s="579"/>
      <c r="X170" s="825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22"/>
      <c r="J171" s="822"/>
      <c r="K171" s="273"/>
      <c r="L171" s="341">
        <v>14</v>
      </c>
      <c r="M171" s="435" t="s">
        <v>343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10"/>
      <c r="W171" s="579"/>
      <c r="X171" s="825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23"/>
      <c r="J172" s="823"/>
      <c r="K172" s="276"/>
      <c r="L172" s="274">
        <v>14</v>
      </c>
      <c r="M172" s="436" t="s">
        <v>343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11"/>
      <c r="W172" s="580"/>
      <c r="X172" s="826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346</v>
      </c>
      <c r="D174" s="283"/>
      <c r="E174" s="284"/>
      <c r="F174" s="437"/>
      <c r="G174" s="285"/>
      <c r="H174" s="573"/>
      <c r="I174" s="782">
        <f>SUM(G174:G185)</f>
        <v>0</v>
      </c>
      <c r="J174" s="782">
        <f>F210</f>
        <v>2000000</v>
      </c>
      <c r="K174" s="286"/>
      <c r="L174" s="282">
        <v>15</v>
      </c>
      <c r="M174" s="352" t="s">
        <v>347</v>
      </c>
      <c r="N174" s="283"/>
      <c r="O174" s="284"/>
      <c r="P174" s="437"/>
      <c r="Q174" s="285"/>
      <c r="R174" s="589"/>
      <c r="S174" s="625"/>
      <c r="T174" s="525"/>
      <c r="U174" s="511"/>
      <c r="V174" s="795">
        <v>0</v>
      </c>
      <c r="W174" s="573"/>
      <c r="X174" s="792">
        <f>SUM(Q174:Q185)</f>
        <v>227802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83"/>
      <c r="J175" s="783"/>
      <c r="K175" s="289"/>
      <c r="L175" s="312">
        <v>15</v>
      </c>
      <c r="M175" s="389" t="s">
        <v>347</v>
      </c>
      <c r="N175" s="314"/>
      <c r="O175" s="543"/>
      <c r="P175" s="459"/>
      <c r="Q175" s="316"/>
      <c r="R175" s="582"/>
      <c r="S175" s="618"/>
      <c r="T175" s="518"/>
      <c r="U175" s="503"/>
      <c r="V175" s="796"/>
      <c r="W175" s="566"/>
      <c r="X175" s="793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83"/>
      <c r="J176" s="783"/>
      <c r="K176" s="289"/>
      <c r="L176" s="312">
        <v>15</v>
      </c>
      <c r="M176" s="389" t="s">
        <v>347</v>
      </c>
      <c r="N176" s="314" t="s">
        <v>348</v>
      </c>
      <c r="O176" s="543"/>
      <c r="P176" s="459"/>
      <c r="Q176" s="316">
        <v>56132.72</v>
      </c>
      <c r="R176" s="582" t="s">
        <v>349</v>
      </c>
      <c r="S176" s="618" t="s">
        <v>350</v>
      </c>
      <c r="T176" s="644">
        <v>46022</v>
      </c>
      <c r="U176" s="503"/>
      <c r="V176" s="796"/>
      <c r="W176" s="534">
        <v>46058</v>
      </c>
      <c r="X176" s="793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83"/>
      <c r="J177" s="783"/>
      <c r="K177" s="289"/>
      <c r="L177" s="312">
        <v>15</v>
      </c>
      <c r="M177" s="389" t="s">
        <v>347</v>
      </c>
      <c r="N177" s="314" t="s">
        <v>351</v>
      </c>
      <c r="O177" s="543"/>
      <c r="P177" s="459"/>
      <c r="Q177" s="316">
        <v>54437.33</v>
      </c>
      <c r="R177" s="582" t="s">
        <v>352</v>
      </c>
      <c r="S177" s="618" t="s">
        <v>249</v>
      </c>
      <c r="T177" s="644">
        <v>46053</v>
      </c>
      <c r="U177" s="503"/>
      <c r="V177" s="796"/>
      <c r="W177" s="534">
        <f>W179</f>
        <v>46066</v>
      </c>
      <c r="X177" s="793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83"/>
      <c r="J178" s="783"/>
      <c r="K178" s="289"/>
      <c r="L178" s="312">
        <v>15</v>
      </c>
      <c r="M178" s="389" t="s">
        <v>347</v>
      </c>
      <c r="N178" s="314"/>
      <c r="O178" s="543"/>
      <c r="P178" s="459"/>
      <c r="Q178" s="316"/>
      <c r="R178" s="582"/>
      <c r="S178" s="618"/>
      <c r="T178" s="644"/>
      <c r="U178" s="503"/>
      <c r="V178" s="796"/>
      <c r="W178" s="566"/>
      <c r="X178" s="793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83"/>
      <c r="J179" s="783"/>
      <c r="K179" s="289"/>
      <c r="L179" s="312">
        <v>15</v>
      </c>
      <c r="M179" s="389" t="s">
        <v>347</v>
      </c>
      <c r="N179" s="314" t="s">
        <v>353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96"/>
      <c r="W179" s="534">
        <v>46066</v>
      </c>
      <c r="X179" s="793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83"/>
      <c r="J180" s="783"/>
      <c r="K180" s="289"/>
      <c r="L180" s="312">
        <v>15</v>
      </c>
      <c r="M180" s="389" t="s">
        <v>347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96"/>
      <c r="W180" s="566"/>
      <c r="X180" s="793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83"/>
      <c r="J181" s="783"/>
      <c r="K181" s="289"/>
      <c r="L181" s="312">
        <v>15</v>
      </c>
      <c r="M181" s="389" t="s">
        <v>347</v>
      </c>
      <c r="N181" s="314" t="s">
        <v>354</v>
      </c>
      <c r="O181" s="543"/>
      <c r="P181" s="459"/>
      <c r="Q181" s="316">
        <v>21393.95</v>
      </c>
      <c r="R181" s="582" t="s">
        <v>355</v>
      </c>
      <c r="S181" s="618"/>
      <c r="T181" s="518">
        <v>46112</v>
      </c>
      <c r="U181" s="503"/>
      <c r="V181" s="796"/>
      <c r="W181" s="566">
        <f>T181</f>
        <v>46112</v>
      </c>
      <c r="X181" s="793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83"/>
      <c r="J182" s="783"/>
      <c r="K182" s="289"/>
      <c r="L182" s="312">
        <v>15</v>
      </c>
      <c r="M182" s="389" t="s">
        <v>347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96"/>
      <c r="W182" s="566"/>
      <c r="X182" s="793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83"/>
      <c r="J183" s="783"/>
      <c r="K183" s="289"/>
      <c r="L183" s="312">
        <v>15</v>
      </c>
      <c r="M183" s="389" t="s">
        <v>347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96"/>
      <c r="W183" s="566"/>
      <c r="X183" s="793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83"/>
      <c r="J184" s="783"/>
      <c r="K184" s="289"/>
      <c r="L184" s="312">
        <v>15</v>
      </c>
      <c r="M184" s="389" t="s">
        <v>347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96"/>
      <c r="W184" s="566"/>
      <c r="X184" s="793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84"/>
      <c r="J185" s="784"/>
      <c r="K185" s="290"/>
      <c r="L185" s="317">
        <v>15</v>
      </c>
      <c r="M185" s="419" t="s">
        <v>347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7"/>
      <c r="W185" s="568"/>
      <c r="X185" s="794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360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370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2"/>
  </cols>
  <sheetData>
    <row r="1" spans="1:794">
      <c r="D1" s="188" t="s">
        <v>539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5" t="s">
        <v>540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6" t="s">
        <v>477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6"/>
      <c r="B4" s="196" t="s">
        <v>541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6"/>
      <c r="B5" s="200" t="s">
        <v>479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6"/>
      <c r="B6" s="200" t="s">
        <v>542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6"/>
      <c r="B7" s="205" t="s">
        <v>543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5" t="s">
        <v>474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10" t="s">
        <v>544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6"/>
      <c r="B10" s="210" t="s">
        <v>545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6"/>
      <c r="B11" s="213" t="s">
        <v>546</v>
      </c>
      <c r="C11" s="214">
        <f>'Revenue Tracking'!F5</f>
        <v>7470904.1923272396</v>
      </c>
      <c r="D11" s="214">
        <f>SUM(F11:LD11)</f>
        <v>7470904.1923272396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429446.35499999998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6021.19</v>
      </c>
      <c r="BL11" s="215">
        <f>SUMIFS('Expenditure Breakdown'!$Q$6:$Q$193, 'Expenditure Breakdown'!$W$6:$W$193, "&gt;="&amp;BL1,'Expenditure Breakdown'!$W$6:$W$193, "&lt;"&amp;BM1)</f>
        <v>170301.02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285039.41432724003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6"/>
      <c r="B12" s="213" t="s">
        <v>547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6649763.1229999997</v>
      </c>
      <c r="BJ12" s="215">
        <f t="shared" si="26"/>
        <v>6734913.6379999993</v>
      </c>
      <c r="BK12" s="215">
        <f t="shared" si="26"/>
        <v>6740934.8279999997</v>
      </c>
      <c r="BL12" s="215">
        <f t="shared" si="26"/>
        <v>6911235.8479999993</v>
      </c>
      <c r="BM12" s="215">
        <f t="shared" si="26"/>
        <v>7175187.3779999996</v>
      </c>
      <c r="BN12" s="215">
        <f t="shared" si="26"/>
        <v>7185864.7779999999</v>
      </c>
      <c r="BO12" s="215">
        <f t="shared" si="26"/>
        <v>7185864.7779999999</v>
      </c>
      <c r="BP12" s="215">
        <f t="shared" si="26"/>
        <v>7470904.1923272396</v>
      </c>
      <c r="BQ12" s="215">
        <f t="shared" si="26"/>
        <v>7470904.1923272396</v>
      </c>
      <c r="BR12" s="215">
        <f t="shared" si="26"/>
        <v>7470904.1923272396</v>
      </c>
      <c r="BS12" s="215">
        <f t="shared" si="26"/>
        <v>7470904.1923272396</v>
      </c>
      <c r="BT12" s="215">
        <f t="shared" si="26"/>
        <v>7470904.1923272396</v>
      </c>
      <c r="BU12" s="215">
        <f t="shared" ref="BU12:EF12" si="27">BT12+BU11</f>
        <v>7470904.1923272396</v>
      </c>
      <c r="BV12" s="215">
        <f t="shared" si="27"/>
        <v>7470904.1923272396</v>
      </c>
      <c r="BW12" s="215">
        <f t="shared" si="27"/>
        <v>7470904.1923272396</v>
      </c>
      <c r="BX12" s="215">
        <f t="shared" si="27"/>
        <v>7470904.1923272396</v>
      </c>
      <c r="BY12" s="215">
        <f t="shared" si="27"/>
        <v>7470904.1923272396</v>
      </c>
      <c r="BZ12" s="215">
        <f t="shared" si="27"/>
        <v>7470904.1923272396</v>
      </c>
      <c r="CA12" s="215">
        <f t="shared" si="27"/>
        <v>7470904.1923272396</v>
      </c>
      <c r="CB12" s="215">
        <f t="shared" si="27"/>
        <v>7470904.1923272396</v>
      </c>
      <c r="CC12" s="215">
        <f t="shared" si="27"/>
        <v>7470904.1923272396</v>
      </c>
      <c r="CD12" s="215">
        <f t="shared" si="27"/>
        <v>7470904.1923272396</v>
      </c>
      <c r="CE12" s="215">
        <f t="shared" si="27"/>
        <v>7470904.1923272396</v>
      </c>
      <c r="CF12" s="215">
        <f t="shared" si="27"/>
        <v>7470904.1923272396</v>
      </c>
      <c r="CG12" s="215">
        <f t="shared" si="27"/>
        <v>7470904.1923272396</v>
      </c>
      <c r="CH12" s="215">
        <f t="shared" si="27"/>
        <v>7470904.1923272396</v>
      </c>
      <c r="CI12" s="215">
        <f t="shared" si="27"/>
        <v>7470904.1923272396</v>
      </c>
      <c r="CJ12" s="215">
        <f t="shared" si="27"/>
        <v>7470904.1923272396</v>
      </c>
      <c r="CK12" s="215">
        <f t="shared" si="27"/>
        <v>7470904.1923272396</v>
      </c>
      <c r="CL12" s="215">
        <f t="shared" si="27"/>
        <v>7470904.1923272396</v>
      </c>
      <c r="CM12" s="215">
        <f t="shared" si="27"/>
        <v>7470904.1923272396</v>
      </c>
      <c r="CN12" s="215">
        <f t="shared" si="27"/>
        <v>7470904.1923272396</v>
      </c>
      <c r="CO12" s="215">
        <f t="shared" si="27"/>
        <v>7470904.1923272396</v>
      </c>
      <c r="CP12" s="215">
        <f t="shared" si="27"/>
        <v>7470904.1923272396</v>
      </c>
      <c r="CQ12" s="215">
        <f t="shared" si="27"/>
        <v>7470904.1923272396</v>
      </c>
      <c r="CR12" s="215">
        <f t="shared" si="27"/>
        <v>7470904.1923272396</v>
      </c>
      <c r="CS12" s="215">
        <f t="shared" si="27"/>
        <v>7470904.1923272396</v>
      </c>
      <c r="CT12" s="215">
        <f t="shared" si="27"/>
        <v>7470904.1923272396</v>
      </c>
      <c r="CU12" s="215">
        <f t="shared" si="27"/>
        <v>7470904.1923272396</v>
      </c>
      <c r="CV12" s="215">
        <f t="shared" si="27"/>
        <v>7470904.1923272396</v>
      </c>
      <c r="CW12" s="215">
        <f t="shared" si="27"/>
        <v>7470904.1923272396</v>
      </c>
      <c r="CX12" s="215">
        <f t="shared" si="27"/>
        <v>7470904.1923272396</v>
      </c>
      <c r="CY12" s="215">
        <f t="shared" si="27"/>
        <v>7470904.1923272396</v>
      </c>
      <c r="CZ12" s="215">
        <f t="shared" si="27"/>
        <v>7470904.1923272396</v>
      </c>
      <c r="DA12" s="215">
        <f t="shared" si="27"/>
        <v>7470904.1923272396</v>
      </c>
      <c r="DB12" s="215">
        <f t="shared" si="27"/>
        <v>7470904.1923272396</v>
      </c>
      <c r="DC12" s="215">
        <f t="shared" si="27"/>
        <v>7470904.1923272396</v>
      </c>
      <c r="DD12" s="215">
        <f t="shared" si="27"/>
        <v>7470904.1923272396</v>
      </c>
      <c r="DE12" s="215">
        <f t="shared" si="27"/>
        <v>7470904.1923272396</v>
      </c>
      <c r="DF12" s="215">
        <f t="shared" si="27"/>
        <v>7470904.1923272396</v>
      </c>
      <c r="DG12" s="215">
        <f t="shared" si="27"/>
        <v>7470904.1923272396</v>
      </c>
      <c r="DH12" s="215">
        <f t="shared" si="27"/>
        <v>7470904.1923272396</v>
      </c>
      <c r="DI12" s="215">
        <f t="shared" si="27"/>
        <v>7470904.1923272396</v>
      </c>
      <c r="DJ12" s="215">
        <f t="shared" si="27"/>
        <v>7470904.1923272396</v>
      </c>
      <c r="DK12" s="215">
        <f t="shared" si="27"/>
        <v>7470904.1923272396</v>
      </c>
      <c r="DL12" s="215">
        <f t="shared" si="27"/>
        <v>7470904.1923272396</v>
      </c>
      <c r="DM12" s="215">
        <f t="shared" si="27"/>
        <v>7470904.1923272396</v>
      </c>
      <c r="DN12" s="215">
        <f t="shared" si="27"/>
        <v>7470904.1923272396</v>
      </c>
      <c r="DO12" s="215">
        <f t="shared" si="27"/>
        <v>7470904.1923272396</v>
      </c>
      <c r="DP12" s="215">
        <f t="shared" si="27"/>
        <v>7470904.1923272396</v>
      </c>
      <c r="DQ12" s="215">
        <f t="shared" si="27"/>
        <v>7470904.1923272396</v>
      </c>
      <c r="DR12" s="215">
        <f t="shared" si="27"/>
        <v>7470904.1923272396</v>
      </c>
      <c r="DS12" s="215">
        <f t="shared" si="27"/>
        <v>7470904.1923272396</v>
      </c>
      <c r="DT12" s="215">
        <f t="shared" si="27"/>
        <v>7470904.1923272396</v>
      </c>
      <c r="DU12" s="215">
        <f t="shared" si="27"/>
        <v>7470904.1923272396</v>
      </c>
      <c r="DV12" s="215">
        <f t="shared" si="27"/>
        <v>7470904.1923272396</v>
      </c>
      <c r="DW12" s="215">
        <f t="shared" si="27"/>
        <v>7470904.1923272396</v>
      </c>
      <c r="DX12" s="215">
        <f t="shared" si="27"/>
        <v>7470904.1923272396</v>
      </c>
      <c r="DY12" s="215">
        <f t="shared" si="27"/>
        <v>7470904.1923272396</v>
      </c>
      <c r="DZ12" s="215">
        <f t="shared" si="27"/>
        <v>7470904.1923272396</v>
      </c>
      <c r="EA12" s="215">
        <f t="shared" si="27"/>
        <v>7470904.1923272396</v>
      </c>
      <c r="EB12" s="215">
        <f t="shared" si="27"/>
        <v>7470904.1923272396</v>
      </c>
      <c r="EC12" s="215">
        <f t="shared" si="27"/>
        <v>7470904.1923272396</v>
      </c>
      <c r="ED12" s="215">
        <f t="shared" si="27"/>
        <v>7470904.1923272396</v>
      </c>
      <c r="EE12" s="215">
        <f t="shared" si="27"/>
        <v>7470904.1923272396</v>
      </c>
      <c r="EF12" s="215">
        <f t="shared" si="27"/>
        <v>7470904.1923272396</v>
      </c>
      <c r="EG12" s="215">
        <f t="shared" ref="EG12:GR12" si="28">EF12+EG11</f>
        <v>7470904.1923272396</v>
      </c>
      <c r="EH12" s="215">
        <f t="shared" si="28"/>
        <v>7470904.1923272396</v>
      </c>
      <c r="EI12" s="215">
        <f t="shared" si="28"/>
        <v>7470904.1923272396</v>
      </c>
      <c r="EJ12" s="215">
        <f t="shared" si="28"/>
        <v>7470904.1923272396</v>
      </c>
      <c r="EK12" s="215">
        <f t="shared" si="28"/>
        <v>7470904.1923272396</v>
      </c>
      <c r="EL12" s="215">
        <f t="shared" si="28"/>
        <v>7470904.1923272396</v>
      </c>
      <c r="EM12" s="215">
        <f t="shared" si="28"/>
        <v>7470904.1923272396</v>
      </c>
      <c r="EN12" s="215">
        <f t="shared" si="28"/>
        <v>7470904.1923272396</v>
      </c>
      <c r="EO12" s="215">
        <f t="shared" si="28"/>
        <v>7470904.1923272396</v>
      </c>
      <c r="EP12" s="215">
        <f t="shared" si="28"/>
        <v>7470904.1923272396</v>
      </c>
      <c r="EQ12" s="215">
        <f t="shared" si="28"/>
        <v>7470904.1923272396</v>
      </c>
      <c r="ER12" s="215">
        <f t="shared" si="28"/>
        <v>7470904.1923272396</v>
      </c>
      <c r="ES12" s="215">
        <f t="shared" si="28"/>
        <v>7470904.1923272396</v>
      </c>
      <c r="ET12" s="215">
        <f t="shared" si="28"/>
        <v>7470904.1923272396</v>
      </c>
      <c r="EU12" s="215">
        <f t="shared" si="28"/>
        <v>7470904.1923272396</v>
      </c>
      <c r="EV12" s="215">
        <f t="shared" si="28"/>
        <v>7470904.1923272396</v>
      </c>
      <c r="EW12" s="215">
        <f t="shared" si="28"/>
        <v>7470904.1923272396</v>
      </c>
      <c r="EX12" s="215">
        <f t="shared" si="28"/>
        <v>7470904.1923272396</v>
      </c>
      <c r="EY12" s="215">
        <f t="shared" si="28"/>
        <v>7470904.1923272396</v>
      </c>
      <c r="EZ12" s="215">
        <f t="shared" si="28"/>
        <v>7470904.1923272396</v>
      </c>
      <c r="FA12" s="215">
        <f t="shared" si="28"/>
        <v>7470904.1923272396</v>
      </c>
      <c r="FB12" s="215">
        <f t="shared" si="28"/>
        <v>7470904.1923272396</v>
      </c>
      <c r="FC12" s="215">
        <f t="shared" si="28"/>
        <v>7470904.1923272396</v>
      </c>
      <c r="FD12" s="215">
        <f t="shared" si="28"/>
        <v>7470904.1923272396</v>
      </c>
      <c r="FE12" s="215">
        <f t="shared" si="28"/>
        <v>7470904.1923272396</v>
      </c>
      <c r="FF12" s="215">
        <f t="shared" si="28"/>
        <v>7470904.1923272396</v>
      </c>
      <c r="FG12" s="215">
        <f t="shared" si="28"/>
        <v>7470904.1923272396</v>
      </c>
      <c r="FH12" s="215">
        <f t="shared" si="28"/>
        <v>7470904.1923272396</v>
      </c>
      <c r="FI12" s="215">
        <f t="shared" si="28"/>
        <v>7470904.1923272396</v>
      </c>
      <c r="FJ12" s="215">
        <f t="shared" si="28"/>
        <v>7470904.1923272396</v>
      </c>
      <c r="FK12" s="215">
        <f t="shared" si="28"/>
        <v>7470904.1923272396</v>
      </c>
      <c r="FL12" s="215">
        <f t="shared" si="28"/>
        <v>7470904.1923272396</v>
      </c>
      <c r="FM12" s="215">
        <f t="shared" si="28"/>
        <v>7470904.1923272396</v>
      </c>
      <c r="FN12" s="215">
        <f t="shared" si="28"/>
        <v>7470904.1923272396</v>
      </c>
      <c r="FO12" s="215">
        <f t="shared" si="28"/>
        <v>7470904.1923272396</v>
      </c>
      <c r="FP12" s="215">
        <f t="shared" si="28"/>
        <v>7470904.1923272396</v>
      </c>
      <c r="FQ12" s="215">
        <f t="shared" si="28"/>
        <v>7470904.1923272396</v>
      </c>
      <c r="FR12" s="215">
        <f t="shared" si="28"/>
        <v>7470904.1923272396</v>
      </c>
      <c r="FS12" s="215">
        <f t="shared" si="28"/>
        <v>7470904.1923272396</v>
      </c>
      <c r="FT12" s="215">
        <f t="shared" si="28"/>
        <v>7470904.1923272396</v>
      </c>
      <c r="FU12" s="215">
        <f t="shared" si="28"/>
        <v>7470904.1923272396</v>
      </c>
      <c r="FV12" s="215">
        <f t="shared" si="28"/>
        <v>7470904.1923272396</v>
      </c>
      <c r="FW12" s="215">
        <f t="shared" si="28"/>
        <v>7470904.1923272396</v>
      </c>
      <c r="FX12" s="215">
        <f t="shared" si="28"/>
        <v>7470904.1923272396</v>
      </c>
      <c r="FY12" s="215">
        <f t="shared" si="28"/>
        <v>7470904.1923272396</v>
      </c>
      <c r="FZ12" s="215">
        <f t="shared" si="28"/>
        <v>7470904.1923272396</v>
      </c>
      <c r="GA12" s="215">
        <f t="shared" si="28"/>
        <v>7470904.1923272396</v>
      </c>
      <c r="GB12" s="215">
        <f t="shared" si="28"/>
        <v>7470904.1923272396</v>
      </c>
      <c r="GC12" s="215">
        <f t="shared" si="28"/>
        <v>7470904.1923272396</v>
      </c>
      <c r="GD12" s="215">
        <f t="shared" si="28"/>
        <v>7470904.1923272396</v>
      </c>
      <c r="GE12" s="215">
        <f t="shared" si="28"/>
        <v>7470904.1923272396</v>
      </c>
      <c r="GF12" s="215">
        <f t="shared" si="28"/>
        <v>7470904.1923272396</v>
      </c>
      <c r="GG12" s="215">
        <f t="shared" si="28"/>
        <v>7470904.1923272396</v>
      </c>
      <c r="GH12" s="215">
        <f t="shared" si="28"/>
        <v>7470904.1923272396</v>
      </c>
      <c r="GI12" s="215">
        <f t="shared" si="28"/>
        <v>7470904.1923272396</v>
      </c>
      <c r="GJ12" s="215">
        <f t="shared" si="28"/>
        <v>7470904.1923272396</v>
      </c>
      <c r="GK12" s="215">
        <f t="shared" si="28"/>
        <v>7470904.1923272396</v>
      </c>
      <c r="GL12" s="215">
        <f t="shared" si="28"/>
        <v>7470904.1923272396</v>
      </c>
      <c r="GM12" s="215">
        <f t="shared" si="28"/>
        <v>7470904.1923272396</v>
      </c>
      <c r="GN12" s="215">
        <f t="shared" si="28"/>
        <v>7470904.1923272396</v>
      </c>
      <c r="GO12" s="215">
        <f t="shared" si="28"/>
        <v>7470904.1923272396</v>
      </c>
      <c r="GP12" s="215">
        <f t="shared" si="28"/>
        <v>7470904.1923272396</v>
      </c>
      <c r="GQ12" s="215">
        <f t="shared" si="28"/>
        <v>7470904.1923272396</v>
      </c>
      <c r="GR12" s="215">
        <f t="shared" si="28"/>
        <v>7470904.1923272396</v>
      </c>
      <c r="GS12" s="215">
        <f t="shared" ref="GS12:JD12" si="29">GR12+GS11</f>
        <v>7470904.1923272396</v>
      </c>
      <c r="GT12" s="215">
        <f t="shared" si="29"/>
        <v>7470904.1923272396</v>
      </c>
      <c r="GU12" s="215">
        <f t="shared" si="29"/>
        <v>7470904.1923272396</v>
      </c>
      <c r="GV12" s="215">
        <f t="shared" si="29"/>
        <v>7470904.1923272396</v>
      </c>
      <c r="GW12" s="215">
        <f t="shared" si="29"/>
        <v>7470904.1923272396</v>
      </c>
      <c r="GX12" s="215">
        <f t="shared" si="29"/>
        <v>7470904.1923272396</v>
      </c>
      <c r="GY12" s="215">
        <f t="shared" si="29"/>
        <v>7470904.1923272396</v>
      </c>
      <c r="GZ12" s="215">
        <f t="shared" si="29"/>
        <v>7470904.1923272396</v>
      </c>
      <c r="HA12" s="215">
        <f t="shared" si="29"/>
        <v>7470904.1923272396</v>
      </c>
      <c r="HB12" s="215">
        <f t="shared" si="29"/>
        <v>7470904.1923272396</v>
      </c>
      <c r="HC12" s="215">
        <f t="shared" si="29"/>
        <v>7470904.1923272396</v>
      </c>
      <c r="HD12" s="215">
        <f t="shared" si="29"/>
        <v>7470904.1923272396</v>
      </c>
      <c r="HE12" s="215">
        <f t="shared" si="29"/>
        <v>7470904.1923272396</v>
      </c>
      <c r="HF12" s="215">
        <f t="shared" si="29"/>
        <v>7470904.1923272396</v>
      </c>
      <c r="HG12" s="215">
        <f t="shared" si="29"/>
        <v>7470904.1923272396</v>
      </c>
      <c r="HH12" s="215">
        <f t="shared" si="29"/>
        <v>7470904.1923272396</v>
      </c>
      <c r="HI12" s="215">
        <f t="shared" si="29"/>
        <v>7470904.1923272396</v>
      </c>
      <c r="HJ12" s="215">
        <f t="shared" si="29"/>
        <v>7470904.1923272396</v>
      </c>
      <c r="HK12" s="215">
        <f t="shared" si="29"/>
        <v>7470904.1923272396</v>
      </c>
      <c r="HL12" s="215">
        <f t="shared" si="29"/>
        <v>7470904.1923272396</v>
      </c>
      <c r="HM12" s="215">
        <f t="shared" si="29"/>
        <v>7470904.1923272396</v>
      </c>
      <c r="HN12" s="215">
        <f t="shared" si="29"/>
        <v>7470904.1923272396</v>
      </c>
      <c r="HO12" s="215">
        <f t="shared" si="29"/>
        <v>7470904.1923272396</v>
      </c>
      <c r="HP12" s="215">
        <f t="shared" si="29"/>
        <v>7470904.1923272396</v>
      </c>
      <c r="HQ12" s="215">
        <f t="shared" si="29"/>
        <v>7470904.1923272396</v>
      </c>
      <c r="HR12" s="215">
        <f t="shared" si="29"/>
        <v>7470904.1923272396</v>
      </c>
      <c r="HS12" s="215">
        <f t="shared" si="29"/>
        <v>7470904.1923272396</v>
      </c>
      <c r="HT12" s="215">
        <f t="shared" si="29"/>
        <v>7470904.1923272396</v>
      </c>
      <c r="HU12" s="215">
        <f t="shared" si="29"/>
        <v>7470904.1923272396</v>
      </c>
      <c r="HV12" s="215">
        <f t="shared" si="29"/>
        <v>7470904.1923272396</v>
      </c>
      <c r="HW12" s="215">
        <f t="shared" si="29"/>
        <v>7470904.1923272396</v>
      </c>
      <c r="HX12" s="215">
        <f t="shared" si="29"/>
        <v>7470904.1923272396</v>
      </c>
      <c r="HY12" s="215">
        <f t="shared" si="29"/>
        <v>7470904.1923272396</v>
      </c>
      <c r="HZ12" s="215">
        <f t="shared" si="29"/>
        <v>7470904.1923272396</v>
      </c>
      <c r="IA12" s="215">
        <f t="shared" si="29"/>
        <v>7470904.1923272396</v>
      </c>
      <c r="IB12" s="215">
        <f t="shared" si="29"/>
        <v>7470904.1923272396</v>
      </c>
      <c r="IC12" s="215">
        <f t="shared" si="29"/>
        <v>7470904.1923272396</v>
      </c>
      <c r="ID12" s="215">
        <f t="shared" si="29"/>
        <v>7470904.1923272396</v>
      </c>
      <c r="IE12" s="215">
        <f t="shared" si="29"/>
        <v>7470904.1923272396</v>
      </c>
      <c r="IF12" s="215">
        <f t="shared" si="29"/>
        <v>7470904.1923272396</v>
      </c>
      <c r="IG12" s="215">
        <f t="shared" si="29"/>
        <v>7470904.1923272396</v>
      </c>
      <c r="IH12" s="215">
        <f t="shared" si="29"/>
        <v>7470904.1923272396</v>
      </c>
      <c r="II12" s="215">
        <f t="shared" si="29"/>
        <v>7470904.1923272396</v>
      </c>
      <c r="IJ12" s="215">
        <f t="shared" si="29"/>
        <v>7470904.1923272396</v>
      </c>
      <c r="IK12" s="215">
        <f t="shared" si="29"/>
        <v>7470904.1923272396</v>
      </c>
      <c r="IL12" s="215">
        <f t="shared" si="29"/>
        <v>7470904.1923272396</v>
      </c>
      <c r="IM12" s="215">
        <f t="shared" si="29"/>
        <v>7470904.1923272396</v>
      </c>
      <c r="IN12" s="215">
        <f t="shared" si="29"/>
        <v>7470904.1923272396</v>
      </c>
      <c r="IO12" s="215">
        <f t="shared" si="29"/>
        <v>7470904.1923272396</v>
      </c>
      <c r="IP12" s="215">
        <f t="shared" si="29"/>
        <v>7470904.1923272396</v>
      </c>
      <c r="IQ12" s="215">
        <f t="shared" si="29"/>
        <v>7470904.1923272396</v>
      </c>
      <c r="IR12" s="215">
        <f t="shared" si="29"/>
        <v>7470904.1923272396</v>
      </c>
      <c r="IS12" s="215">
        <f t="shared" si="29"/>
        <v>7470904.1923272396</v>
      </c>
      <c r="IT12" s="215">
        <f t="shared" si="29"/>
        <v>7470904.1923272396</v>
      </c>
      <c r="IU12" s="215">
        <f t="shared" si="29"/>
        <v>7470904.1923272396</v>
      </c>
      <c r="IV12" s="215">
        <f t="shared" si="29"/>
        <v>7470904.1923272396</v>
      </c>
      <c r="IW12" s="215">
        <f t="shared" si="29"/>
        <v>7470904.1923272396</v>
      </c>
      <c r="IX12" s="215">
        <f t="shared" si="29"/>
        <v>7470904.1923272396</v>
      </c>
      <c r="IY12" s="215">
        <f t="shared" si="29"/>
        <v>7470904.1923272396</v>
      </c>
      <c r="IZ12" s="215">
        <f t="shared" si="29"/>
        <v>7470904.1923272396</v>
      </c>
      <c r="JA12" s="215">
        <f t="shared" si="29"/>
        <v>7470904.1923272396</v>
      </c>
      <c r="JB12" s="215">
        <f t="shared" si="29"/>
        <v>7470904.1923272396</v>
      </c>
      <c r="JC12" s="215">
        <f t="shared" si="29"/>
        <v>7470904.1923272396</v>
      </c>
      <c r="JD12" s="215">
        <f t="shared" si="29"/>
        <v>7470904.1923272396</v>
      </c>
      <c r="JE12" s="215">
        <f t="shared" ref="JE12:LD12" si="30">JD12+JE11</f>
        <v>7470904.1923272396</v>
      </c>
      <c r="JF12" s="215">
        <f t="shared" si="30"/>
        <v>7470904.1923272396</v>
      </c>
      <c r="JG12" s="215">
        <f t="shared" si="30"/>
        <v>7470904.1923272396</v>
      </c>
      <c r="JH12" s="215">
        <f t="shared" si="30"/>
        <v>7470904.1923272396</v>
      </c>
      <c r="JI12" s="215">
        <f t="shared" si="30"/>
        <v>7470904.1923272396</v>
      </c>
      <c r="JJ12" s="215">
        <f t="shared" si="30"/>
        <v>7470904.1923272396</v>
      </c>
      <c r="JK12" s="215">
        <f t="shared" si="30"/>
        <v>7470904.1923272396</v>
      </c>
      <c r="JL12" s="215">
        <f t="shared" si="30"/>
        <v>7470904.1923272396</v>
      </c>
      <c r="JM12" s="215">
        <f t="shared" si="30"/>
        <v>7470904.1923272396</v>
      </c>
      <c r="JN12" s="215">
        <f t="shared" si="30"/>
        <v>7470904.1923272396</v>
      </c>
      <c r="JO12" s="215">
        <f t="shared" si="30"/>
        <v>7470904.1923272396</v>
      </c>
      <c r="JP12" s="215">
        <f t="shared" si="30"/>
        <v>7470904.1923272396</v>
      </c>
      <c r="JQ12" s="215">
        <f t="shared" si="30"/>
        <v>7470904.1923272396</v>
      </c>
      <c r="JR12" s="215">
        <f t="shared" si="30"/>
        <v>7470904.1923272396</v>
      </c>
      <c r="JS12" s="215">
        <f t="shared" si="30"/>
        <v>7470904.1923272396</v>
      </c>
      <c r="JT12" s="215">
        <f t="shared" si="30"/>
        <v>7470904.1923272396</v>
      </c>
      <c r="JU12" s="215">
        <f t="shared" si="30"/>
        <v>7470904.1923272396</v>
      </c>
      <c r="JV12" s="215">
        <f t="shared" si="30"/>
        <v>7470904.1923272396</v>
      </c>
      <c r="JW12" s="215">
        <f t="shared" si="30"/>
        <v>7470904.1923272396</v>
      </c>
      <c r="JX12" s="215">
        <f t="shared" si="30"/>
        <v>7470904.1923272396</v>
      </c>
      <c r="JY12" s="215">
        <f t="shared" si="30"/>
        <v>7470904.1923272396</v>
      </c>
      <c r="JZ12" s="215">
        <f t="shared" si="30"/>
        <v>7470904.1923272396</v>
      </c>
      <c r="KA12" s="215">
        <f t="shared" si="30"/>
        <v>7470904.1923272396</v>
      </c>
      <c r="KB12" s="215">
        <f t="shared" si="30"/>
        <v>7470904.1923272396</v>
      </c>
      <c r="KC12" s="215">
        <f t="shared" si="30"/>
        <v>7470904.1923272396</v>
      </c>
      <c r="KD12" s="215">
        <f t="shared" si="30"/>
        <v>7470904.1923272396</v>
      </c>
      <c r="KE12" s="215">
        <f t="shared" si="30"/>
        <v>7470904.1923272396</v>
      </c>
      <c r="KF12" s="215">
        <f t="shared" si="30"/>
        <v>7470904.1923272396</v>
      </c>
      <c r="KG12" s="215">
        <f t="shared" si="30"/>
        <v>7470904.1923272396</v>
      </c>
      <c r="KH12" s="215">
        <f t="shared" si="30"/>
        <v>7470904.1923272396</v>
      </c>
      <c r="KI12" s="215">
        <f t="shared" si="30"/>
        <v>7470904.1923272396</v>
      </c>
      <c r="KJ12" s="215">
        <f t="shared" si="30"/>
        <v>7470904.1923272396</v>
      </c>
      <c r="KK12" s="215">
        <f t="shared" si="30"/>
        <v>7470904.1923272396</v>
      </c>
      <c r="KL12" s="215">
        <f t="shared" si="30"/>
        <v>7470904.1923272396</v>
      </c>
      <c r="KM12" s="215">
        <f t="shared" si="30"/>
        <v>7470904.1923272396</v>
      </c>
      <c r="KN12" s="215">
        <f t="shared" si="30"/>
        <v>7470904.1923272396</v>
      </c>
      <c r="KO12" s="215">
        <f t="shared" si="30"/>
        <v>7470904.1923272396</v>
      </c>
      <c r="KP12" s="215">
        <f t="shared" si="30"/>
        <v>7470904.1923272396</v>
      </c>
      <c r="KQ12" s="215">
        <f t="shared" si="30"/>
        <v>7470904.1923272396</v>
      </c>
      <c r="KR12" s="215">
        <f t="shared" si="30"/>
        <v>7470904.1923272396</v>
      </c>
      <c r="KS12" s="215">
        <f t="shared" si="30"/>
        <v>7470904.1923272396</v>
      </c>
      <c r="KT12" s="215">
        <f t="shared" si="30"/>
        <v>7470904.1923272396</v>
      </c>
      <c r="KU12" s="215">
        <f t="shared" si="30"/>
        <v>7470904.1923272396</v>
      </c>
      <c r="KV12" s="215">
        <f t="shared" si="30"/>
        <v>7470904.1923272396</v>
      </c>
      <c r="KW12" s="215">
        <f t="shared" si="30"/>
        <v>7470904.1923272396</v>
      </c>
      <c r="KX12" s="215">
        <f t="shared" si="30"/>
        <v>7470904.1923272396</v>
      </c>
      <c r="KY12" s="215">
        <f t="shared" si="30"/>
        <v>7470904.1923272396</v>
      </c>
      <c r="KZ12" s="215">
        <f t="shared" si="30"/>
        <v>7470904.1923272396</v>
      </c>
      <c r="LA12" s="215">
        <f t="shared" si="30"/>
        <v>7470904.1923272396</v>
      </c>
      <c r="LB12" s="215">
        <f t="shared" si="30"/>
        <v>7470904.1923272396</v>
      </c>
      <c r="LC12" s="215">
        <f t="shared" si="30"/>
        <v>7470904.1923272396</v>
      </c>
      <c r="LD12" s="215">
        <f t="shared" si="30"/>
        <v>7470904.1923272396</v>
      </c>
      <c r="LE12" s="192"/>
      <c r="LF12" s="203"/>
    </row>
    <row r="13" spans="1:794" s="192" customFormat="1">
      <c r="A13" s="836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5" t="s">
        <v>548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1589010.6370000001</v>
      </c>
      <c r="BJ14" s="208">
        <f t="shared" si="32"/>
        <v>1503860.1220000004</v>
      </c>
      <c r="BK14" s="208">
        <f t="shared" si="32"/>
        <v>1497838.932</v>
      </c>
      <c r="BL14" s="208">
        <f t="shared" si="32"/>
        <v>1327537.9120000005</v>
      </c>
      <c r="BM14" s="208">
        <f t="shared" si="32"/>
        <v>1063586.3820000002</v>
      </c>
      <c r="BN14" s="208">
        <f t="shared" si="32"/>
        <v>1052908.9819999998</v>
      </c>
      <c r="BO14" s="208">
        <f t="shared" si="32"/>
        <v>3242479.5719999997</v>
      </c>
      <c r="BP14" s="208">
        <f t="shared" si="32"/>
        <v>2957440.1576727601</v>
      </c>
      <c r="BQ14" s="208">
        <f t="shared" si="32"/>
        <v>2957440.1576727601</v>
      </c>
      <c r="BR14" s="208">
        <f t="shared" si="32"/>
        <v>2957440.1576727601</v>
      </c>
      <c r="BS14" s="208">
        <f t="shared" si="32"/>
        <v>2957440.1576727601</v>
      </c>
      <c r="BT14" s="208">
        <f t="shared" si="32"/>
        <v>2957440.1576727601</v>
      </c>
      <c r="BU14" s="208">
        <f t="shared" ref="BU14:EF14" si="33">BU10-BU12</f>
        <v>2957440.1576727601</v>
      </c>
      <c r="BV14" s="208">
        <f t="shared" si="33"/>
        <v>2957440.1576727601</v>
      </c>
      <c r="BW14" s="208">
        <f t="shared" si="33"/>
        <v>2957440.1576727601</v>
      </c>
      <c r="BX14" s="208">
        <f t="shared" si="33"/>
        <v>2957440.1576727601</v>
      </c>
      <c r="BY14" s="208">
        <f t="shared" si="33"/>
        <v>2957440.1576727601</v>
      </c>
      <c r="BZ14" s="208">
        <f t="shared" si="33"/>
        <v>2957440.1576727601</v>
      </c>
      <c r="CA14" s="208">
        <f t="shared" si="33"/>
        <v>2957440.1576727601</v>
      </c>
      <c r="CB14" s="208">
        <f t="shared" si="33"/>
        <v>2957440.1576727601</v>
      </c>
      <c r="CC14" s="208">
        <f t="shared" si="33"/>
        <v>2957440.1576727601</v>
      </c>
      <c r="CD14" s="208">
        <f t="shared" si="33"/>
        <v>2957440.1576727601</v>
      </c>
      <c r="CE14" s="208">
        <f t="shared" si="33"/>
        <v>2957440.1576727601</v>
      </c>
      <c r="CF14" s="208">
        <f t="shared" si="33"/>
        <v>2957440.1576727601</v>
      </c>
      <c r="CG14" s="208">
        <f t="shared" si="33"/>
        <v>2957440.1576727601</v>
      </c>
      <c r="CH14" s="208">
        <f t="shared" si="33"/>
        <v>2957440.1576727601</v>
      </c>
      <c r="CI14" s="208">
        <f t="shared" si="33"/>
        <v>2957440.1576727601</v>
      </c>
      <c r="CJ14" s="208">
        <f t="shared" si="33"/>
        <v>2957440.1576727601</v>
      </c>
      <c r="CK14" s="208">
        <f t="shared" si="33"/>
        <v>2957440.1576727601</v>
      </c>
      <c r="CL14" s="208">
        <f t="shared" si="33"/>
        <v>2957440.1576727601</v>
      </c>
      <c r="CM14" s="208">
        <f t="shared" si="33"/>
        <v>2957440.1576727601</v>
      </c>
      <c r="CN14" s="208">
        <f t="shared" si="33"/>
        <v>2957440.1576727601</v>
      </c>
      <c r="CO14" s="208">
        <f t="shared" si="33"/>
        <v>2957440.1576727601</v>
      </c>
      <c r="CP14" s="208">
        <f t="shared" si="33"/>
        <v>2957440.1576727601</v>
      </c>
      <c r="CQ14" s="208">
        <f t="shared" si="33"/>
        <v>2957440.1576727601</v>
      </c>
      <c r="CR14" s="208">
        <f t="shared" si="33"/>
        <v>2957440.1576727601</v>
      </c>
      <c r="CS14" s="208">
        <f t="shared" si="33"/>
        <v>2957440.1576727601</v>
      </c>
      <c r="CT14" s="208">
        <f t="shared" si="33"/>
        <v>2957440.1576727601</v>
      </c>
      <c r="CU14" s="208">
        <f t="shared" si="33"/>
        <v>2957440.1576727601</v>
      </c>
      <c r="CV14" s="208">
        <f t="shared" si="33"/>
        <v>2957440.1576727601</v>
      </c>
      <c r="CW14" s="208">
        <f t="shared" si="33"/>
        <v>2957440.1576727601</v>
      </c>
      <c r="CX14" s="208">
        <f t="shared" si="33"/>
        <v>2957440.1576727601</v>
      </c>
      <c r="CY14" s="208">
        <f t="shared" si="33"/>
        <v>2957440.1576727601</v>
      </c>
      <c r="CZ14" s="208">
        <f t="shared" si="33"/>
        <v>2957440.1576727601</v>
      </c>
      <c r="DA14" s="208">
        <f t="shared" si="33"/>
        <v>2957440.1576727601</v>
      </c>
      <c r="DB14" s="208">
        <f t="shared" si="33"/>
        <v>2957440.1576727601</v>
      </c>
      <c r="DC14" s="208">
        <f t="shared" si="33"/>
        <v>2957440.1576727601</v>
      </c>
      <c r="DD14" s="208">
        <f t="shared" si="33"/>
        <v>2957440.1576727601</v>
      </c>
      <c r="DE14" s="208">
        <f t="shared" si="33"/>
        <v>2957440.1576727601</v>
      </c>
      <c r="DF14" s="208">
        <f t="shared" si="33"/>
        <v>2957440.1576727601</v>
      </c>
      <c r="DG14" s="208">
        <f t="shared" si="33"/>
        <v>2957440.1576727601</v>
      </c>
      <c r="DH14" s="208">
        <f t="shared" si="33"/>
        <v>2957440.1576727601</v>
      </c>
      <c r="DI14" s="208">
        <f t="shared" si="33"/>
        <v>2957440.1576727601</v>
      </c>
      <c r="DJ14" s="208">
        <f t="shared" si="33"/>
        <v>2957440.1576727601</v>
      </c>
      <c r="DK14" s="208">
        <f t="shared" si="33"/>
        <v>2957440.1576727601</v>
      </c>
      <c r="DL14" s="208">
        <f t="shared" si="33"/>
        <v>2957440.1576727601</v>
      </c>
      <c r="DM14" s="208">
        <f t="shared" si="33"/>
        <v>2957440.1576727601</v>
      </c>
      <c r="DN14" s="208">
        <f t="shared" si="33"/>
        <v>2957440.1576727601</v>
      </c>
      <c r="DO14" s="208">
        <f t="shared" si="33"/>
        <v>2957440.1576727601</v>
      </c>
      <c r="DP14" s="208">
        <f t="shared" si="33"/>
        <v>2957440.1576727601</v>
      </c>
      <c r="DQ14" s="208">
        <f t="shared" si="33"/>
        <v>2957440.1576727601</v>
      </c>
      <c r="DR14" s="208">
        <f t="shared" si="33"/>
        <v>2957440.1576727601</v>
      </c>
      <c r="DS14" s="208">
        <f t="shared" si="33"/>
        <v>2957440.1576727601</v>
      </c>
      <c r="DT14" s="208">
        <f t="shared" si="33"/>
        <v>2957440.1576727601</v>
      </c>
      <c r="DU14" s="208">
        <f t="shared" si="33"/>
        <v>2957440.1576727601</v>
      </c>
      <c r="DV14" s="208">
        <f t="shared" si="33"/>
        <v>2957440.1576727601</v>
      </c>
      <c r="DW14" s="208">
        <f t="shared" si="33"/>
        <v>2957440.1576727601</v>
      </c>
      <c r="DX14" s="208">
        <f t="shared" si="33"/>
        <v>2957440.1576727601</v>
      </c>
      <c r="DY14" s="208">
        <f t="shared" si="33"/>
        <v>2957440.1576727601</v>
      </c>
      <c r="DZ14" s="208">
        <f t="shared" si="33"/>
        <v>2957440.1576727601</v>
      </c>
      <c r="EA14" s="208">
        <f t="shared" si="33"/>
        <v>2957440.1576727601</v>
      </c>
      <c r="EB14" s="208">
        <f t="shared" si="33"/>
        <v>2957440.1576727601</v>
      </c>
      <c r="EC14" s="208">
        <f t="shared" si="33"/>
        <v>2957440.1576727601</v>
      </c>
      <c r="ED14" s="208">
        <f t="shared" si="33"/>
        <v>2957440.1576727601</v>
      </c>
      <c r="EE14" s="208">
        <f t="shared" si="33"/>
        <v>2957440.1576727601</v>
      </c>
      <c r="EF14" s="208">
        <f t="shared" si="33"/>
        <v>2957440.1576727601</v>
      </c>
      <c r="EG14" s="208">
        <f t="shared" ref="EG14:GR14" si="34">EG10-EG12</f>
        <v>2957440.1576727601</v>
      </c>
      <c r="EH14" s="208">
        <f t="shared" si="34"/>
        <v>2957440.1576727601</v>
      </c>
      <c r="EI14" s="208">
        <f t="shared" si="34"/>
        <v>2957440.1576727601</v>
      </c>
      <c r="EJ14" s="208">
        <f t="shared" si="34"/>
        <v>2957440.1576727601</v>
      </c>
      <c r="EK14" s="208">
        <f t="shared" si="34"/>
        <v>2957440.1576727601</v>
      </c>
      <c r="EL14" s="208">
        <f t="shared" si="34"/>
        <v>2957440.1576727601</v>
      </c>
      <c r="EM14" s="208">
        <f t="shared" si="34"/>
        <v>2957440.1576727601</v>
      </c>
      <c r="EN14" s="208">
        <f t="shared" si="34"/>
        <v>2957440.1576727601</v>
      </c>
      <c r="EO14" s="208">
        <f t="shared" si="34"/>
        <v>2957440.1576727601</v>
      </c>
      <c r="EP14" s="208">
        <f t="shared" si="34"/>
        <v>2957440.1576727601</v>
      </c>
      <c r="EQ14" s="208">
        <f t="shared" si="34"/>
        <v>2957440.1576727601</v>
      </c>
      <c r="ER14" s="208">
        <f t="shared" si="34"/>
        <v>2957440.1576727601</v>
      </c>
      <c r="ES14" s="208">
        <f t="shared" si="34"/>
        <v>2957440.1576727601</v>
      </c>
      <c r="ET14" s="208">
        <f t="shared" si="34"/>
        <v>2957440.1576727601</v>
      </c>
      <c r="EU14" s="208">
        <f t="shared" si="34"/>
        <v>2957440.1576727601</v>
      </c>
      <c r="EV14" s="208">
        <f t="shared" si="34"/>
        <v>2957440.1576727601</v>
      </c>
      <c r="EW14" s="208">
        <f t="shared" si="34"/>
        <v>2957440.1576727601</v>
      </c>
      <c r="EX14" s="208">
        <f t="shared" si="34"/>
        <v>2957440.1576727601</v>
      </c>
      <c r="EY14" s="208">
        <f t="shared" si="34"/>
        <v>2957440.1576727601</v>
      </c>
      <c r="EZ14" s="208">
        <f t="shared" si="34"/>
        <v>2957440.1576727601</v>
      </c>
      <c r="FA14" s="208">
        <f t="shared" si="34"/>
        <v>2957440.1576727601</v>
      </c>
      <c r="FB14" s="208">
        <f t="shared" si="34"/>
        <v>2957440.1576727601</v>
      </c>
      <c r="FC14" s="208">
        <f t="shared" si="34"/>
        <v>2957440.1576727601</v>
      </c>
      <c r="FD14" s="208">
        <f t="shared" si="34"/>
        <v>2957440.1576727601</v>
      </c>
      <c r="FE14" s="208">
        <f t="shared" si="34"/>
        <v>2957440.1576727601</v>
      </c>
      <c r="FF14" s="208">
        <f t="shared" si="34"/>
        <v>2957440.1576727601</v>
      </c>
      <c r="FG14" s="208">
        <f t="shared" si="34"/>
        <v>2957440.1576727601</v>
      </c>
      <c r="FH14" s="208">
        <f t="shared" si="34"/>
        <v>2957440.1576727601</v>
      </c>
      <c r="FI14" s="208">
        <f t="shared" si="34"/>
        <v>2957440.1576727601</v>
      </c>
      <c r="FJ14" s="208">
        <f t="shared" si="34"/>
        <v>2957440.1576727601</v>
      </c>
      <c r="FK14" s="208">
        <f t="shared" si="34"/>
        <v>2957440.1576727601</v>
      </c>
      <c r="FL14" s="208">
        <f t="shared" si="34"/>
        <v>2957440.1576727601</v>
      </c>
      <c r="FM14" s="208">
        <f t="shared" si="34"/>
        <v>2957440.1576727601</v>
      </c>
      <c r="FN14" s="208">
        <f t="shared" si="34"/>
        <v>2957440.1576727601</v>
      </c>
      <c r="FO14" s="208">
        <f t="shared" si="34"/>
        <v>2957440.1576727601</v>
      </c>
      <c r="FP14" s="208">
        <f t="shared" si="34"/>
        <v>2957440.1576727601</v>
      </c>
      <c r="FQ14" s="208">
        <f t="shared" si="34"/>
        <v>2957440.1576727601</v>
      </c>
      <c r="FR14" s="208">
        <f t="shared" si="34"/>
        <v>2957440.1576727601</v>
      </c>
      <c r="FS14" s="208">
        <f t="shared" si="34"/>
        <v>2957440.1576727601</v>
      </c>
      <c r="FT14" s="208">
        <f t="shared" si="34"/>
        <v>2957440.1576727601</v>
      </c>
      <c r="FU14" s="208">
        <f t="shared" si="34"/>
        <v>2957440.1576727601</v>
      </c>
      <c r="FV14" s="208">
        <f t="shared" si="34"/>
        <v>2957440.1576727601</v>
      </c>
      <c r="FW14" s="208">
        <f t="shared" si="34"/>
        <v>2957440.1576727601</v>
      </c>
      <c r="FX14" s="208">
        <f t="shared" si="34"/>
        <v>2957440.1576727601</v>
      </c>
      <c r="FY14" s="208">
        <f t="shared" si="34"/>
        <v>2957440.1576727601</v>
      </c>
      <c r="FZ14" s="208">
        <f t="shared" si="34"/>
        <v>2957440.1576727601</v>
      </c>
      <c r="GA14" s="208">
        <f t="shared" si="34"/>
        <v>2957440.1576727601</v>
      </c>
      <c r="GB14" s="208">
        <f t="shared" si="34"/>
        <v>2957440.1576727601</v>
      </c>
      <c r="GC14" s="208">
        <f t="shared" si="34"/>
        <v>2957440.1576727601</v>
      </c>
      <c r="GD14" s="208">
        <f t="shared" si="34"/>
        <v>2957440.1576727601</v>
      </c>
      <c r="GE14" s="208">
        <f t="shared" si="34"/>
        <v>2957440.1576727601</v>
      </c>
      <c r="GF14" s="208">
        <f t="shared" si="34"/>
        <v>2957440.1576727601</v>
      </c>
      <c r="GG14" s="208">
        <f t="shared" si="34"/>
        <v>2957440.1576727601</v>
      </c>
      <c r="GH14" s="208">
        <f t="shared" si="34"/>
        <v>2957440.1576727601</v>
      </c>
      <c r="GI14" s="208">
        <f t="shared" si="34"/>
        <v>2957440.1576727601</v>
      </c>
      <c r="GJ14" s="208">
        <f t="shared" si="34"/>
        <v>2957440.1576727601</v>
      </c>
      <c r="GK14" s="208">
        <f t="shared" si="34"/>
        <v>2957440.1576727601</v>
      </c>
      <c r="GL14" s="208">
        <f t="shared" si="34"/>
        <v>2957440.1576727601</v>
      </c>
      <c r="GM14" s="208">
        <f t="shared" si="34"/>
        <v>2957440.1576727601</v>
      </c>
      <c r="GN14" s="208">
        <f t="shared" si="34"/>
        <v>2957440.1576727601</v>
      </c>
      <c r="GO14" s="208">
        <f t="shared" si="34"/>
        <v>2957440.1576727601</v>
      </c>
      <c r="GP14" s="208">
        <f t="shared" si="34"/>
        <v>2957440.1576727601</v>
      </c>
      <c r="GQ14" s="208">
        <f t="shared" si="34"/>
        <v>2957440.1576727601</v>
      </c>
      <c r="GR14" s="208">
        <f t="shared" si="34"/>
        <v>2957440.1576727601</v>
      </c>
      <c r="GS14" s="208">
        <f t="shared" ref="GS14:JD14" si="35">GS10-GS12</f>
        <v>2957440.1576727601</v>
      </c>
      <c r="GT14" s="208">
        <f t="shared" si="35"/>
        <v>2957440.1576727601</v>
      </c>
      <c r="GU14" s="208">
        <f t="shared" si="35"/>
        <v>2957440.1576727601</v>
      </c>
      <c r="GV14" s="208">
        <f t="shared" si="35"/>
        <v>2957440.1576727601</v>
      </c>
      <c r="GW14" s="208">
        <f t="shared" si="35"/>
        <v>2957440.1576727601</v>
      </c>
      <c r="GX14" s="208">
        <f t="shared" si="35"/>
        <v>2957440.1576727601</v>
      </c>
      <c r="GY14" s="208">
        <f t="shared" si="35"/>
        <v>2957440.1576727601</v>
      </c>
      <c r="GZ14" s="208">
        <f t="shared" si="35"/>
        <v>2957440.1576727601</v>
      </c>
      <c r="HA14" s="208">
        <f t="shared" si="35"/>
        <v>2957440.1576727601</v>
      </c>
      <c r="HB14" s="208">
        <f t="shared" si="35"/>
        <v>2957440.1576727601</v>
      </c>
      <c r="HC14" s="208">
        <f t="shared" si="35"/>
        <v>2957440.1576727601</v>
      </c>
      <c r="HD14" s="208">
        <f t="shared" si="35"/>
        <v>2957440.1576727601</v>
      </c>
      <c r="HE14" s="208">
        <f t="shared" si="35"/>
        <v>2957440.1576727601</v>
      </c>
      <c r="HF14" s="208">
        <f t="shared" si="35"/>
        <v>2957440.1576727601</v>
      </c>
      <c r="HG14" s="208">
        <f t="shared" si="35"/>
        <v>2957440.1576727601</v>
      </c>
      <c r="HH14" s="208">
        <f t="shared" si="35"/>
        <v>2957440.1576727601</v>
      </c>
      <c r="HI14" s="208">
        <f t="shared" si="35"/>
        <v>2957440.1576727601</v>
      </c>
      <c r="HJ14" s="208">
        <f t="shared" si="35"/>
        <v>2957440.1576727601</v>
      </c>
      <c r="HK14" s="208">
        <f t="shared" si="35"/>
        <v>2957440.1576727601</v>
      </c>
      <c r="HL14" s="208">
        <f t="shared" si="35"/>
        <v>2957440.1576727601</v>
      </c>
      <c r="HM14" s="208">
        <f t="shared" si="35"/>
        <v>2957440.1576727601</v>
      </c>
      <c r="HN14" s="208">
        <f t="shared" si="35"/>
        <v>2957440.1576727601</v>
      </c>
      <c r="HO14" s="208">
        <f t="shared" si="35"/>
        <v>2957440.1576727601</v>
      </c>
      <c r="HP14" s="208">
        <f t="shared" si="35"/>
        <v>2957440.1576727601</v>
      </c>
      <c r="HQ14" s="208">
        <f t="shared" si="35"/>
        <v>2957440.1576727601</v>
      </c>
      <c r="HR14" s="208">
        <f t="shared" si="35"/>
        <v>2957440.1576727601</v>
      </c>
      <c r="HS14" s="208">
        <f t="shared" si="35"/>
        <v>2957440.1576727601</v>
      </c>
      <c r="HT14" s="208">
        <f t="shared" si="35"/>
        <v>2957440.1576727601</v>
      </c>
      <c r="HU14" s="208">
        <f t="shared" si="35"/>
        <v>2957440.1576727601</v>
      </c>
      <c r="HV14" s="208">
        <f t="shared" si="35"/>
        <v>2957440.1576727601</v>
      </c>
      <c r="HW14" s="208">
        <f t="shared" si="35"/>
        <v>2957440.1576727601</v>
      </c>
      <c r="HX14" s="208">
        <f t="shared" si="35"/>
        <v>2957440.1576727601</v>
      </c>
      <c r="HY14" s="208">
        <f t="shared" si="35"/>
        <v>2957440.1576727601</v>
      </c>
      <c r="HZ14" s="208">
        <f t="shared" si="35"/>
        <v>2957440.1576727601</v>
      </c>
      <c r="IA14" s="208">
        <f t="shared" si="35"/>
        <v>2957440.1576727601</v>
      </c>
      <c r="IB14" s="208">
        <f t="shared" si="35"/>
        <v>2957440.1576727601</v>
      </c>
      <c r="IC14" s="208">
        <f t="shared" si="35"/>
        <v>2957440.1576727601</v>
      </c>
      <c r="ID14" s="208">
        <f t="shared" si="35"/>
        <v>2957440.1576727601</v>
      </c>
      <c r="IE14" s="208">
        <f t="shared" si="35"/>
        <v>2957440.1576727601</v>
      </c>
      <c r="IF14" s="208">
        <f t="shared" si="35"/>
        <v>2957440.1576727601</v>
      </c>
      <c r="IG14" s="208">
        <f t="shared" si="35"/>
        <v>2957440.1576727601</v>
      </c>
      <c r="IH14" s="208">
        <f t="shared" si="35"/>
        <v>2957440.1576727601</v>
      </c>
      <c r="II14" s="208">
        <f t="shared" si="35"/>
        <v>2957440.1576727601</v>
      </c>
      <c r="IJ14" s="208">
        <f t="shared" si="35"/>
        <v>2957440.1576727601</v>
      </c>
      <c r="IK14" s="208">
        <f t="shared" si="35"/>
        <v>2957440.1576727601</v>
      </c>
      <c r="IL14" s="208">
        <f t="shared" si="35"/>
        <v>2957440.1576727601</v>
      </c>
      <c r="IM14" s="208">
        <f t="shared" si="35"/>
        <v>2957440.1576727601</v>
      </c>
      <c r="IN14" s="208">
        <f t="shared" si="35"/>
        <v>2957440.1576727601</v>
      </c>
      <c r="IO14" s="208">
        <f t="shared" si="35"/>
        <v>2957440.1576727601</v>
      </c>
      <c r="IP14" s="208">
        <f t="shared" si="35"/>
        <v>2957440.1576727601</v>
      </c>
      <c r="IQ14" s="208">
        <f t="shared" si="35"/>
        <v>2957440.1576727601</v>
      </c>
      <c r="IR14" s="208">
        <f t="shared" si="35"/>
        <v>2957440.1576727601</v>
      </c>
      <c r="IS14" s="208">
        <f t="shared" si="35"/>
        <v>2957440.1576727601</v>
      </c>
      <c r="IT14" s="208">
        <f t="shared" si="35"/>
        <v>2957440.1576727601</v>
      </c>
      <c r="IU14" s="208">
        <f t="shared" si="35"/>
        <v>2957440.1576727601</v>
      </c>
      <c r="IV14" s="208">
        <f t="shared" si="35"/>
        <v>2957440.1576727601</v>
      </c>
      <c r="IW14" s="208">
        <f t="shared" si="35"/>
        <v>2957440.1576727601</v>
      </c>
      <c r="IX14" s="208">
        <f t="shared" si="35"/>
        <v>2957440.1576727601</v>
      </c>
      <c r="IY14" s="208">
        <f t="shared" si="35"/>
        <v>2957440.1576727601</v>
      </c>
      <c r="IZ14" s="208">
        <f t="shared" si="35"/>
        <v>2957440.1576727601</v>
      </c>
      <c r="JA14" s="208">
        <f t="shared" si="35"/>
        <v>2957440.1576727601</v>
      </c>
      <c r="JB14" s="208">
        <f t="shared" si="35"/>
        <v>2957440.1576727601</v>
      </c>
      <c r="JC14" s="208">
        <f t="shared" si="35"/>
        <v>2957440.1576727601</v>
      </c>
      <c r="JD14" s="208">
        <f t="shared" si="35"/>
        <v>2957440.1576727601</v>
      </c>
      <c r="JE14" s="208">
        <f t="shared" ref="JE14:LD14" si="36">JE10-JE12</f>
        <v>2957440.1576727601</v>
      </c>
      <c r="JF14" s="208">
        <f t="shared" si="36"/>
        <v>2957440.1576727601</v>
      </c>
      <c r="JG14" s="208">
        <f t="shared" si="36"/>
        <v>2957440.1576727601</v>
      </c>
      <c r="JH14" s="208">
        <f t="shared" si="36"/>
        <v>2957440.1576727601</v>
      </c>
      <c r="JI14" s="208">
        <f t="shared" si="36"/>
        <v>2957440.1576727601</v>
      </c>
      <c r="JJ14" s="208">
        <f t="shared" si="36"/>
        <v>2957440.1576727601</v>
      </c>
      <c r="JK14" s="208">
        <f t="shared" si="36"/>
        <v>2957440.1576727601</v>
      </c>
      <c r="JL14" s="208">
        <f t="shared" si="36"/>
        <v>2957440.1576727601</v>
      </c>
      <c r="JM14" s="208">
        <f t="shared" si="36"/>
        <v>2957440.1576727601</v>
      </c>
      <c r="JN14" s="208">
        <f t="shared" si="36"/>
        <v>2957440.1576727601</v>
      </c>
      <c r="JO14" s="208">
        <f t="shared" si="36"/>
        <v>2957440.1576727601</v>
      </c>
      <c r="JP14" s="208">
        <f t="shared" si="36"/>
        <v>2957440.1576727601</v>
      </c>
      <c r="JQ14" s="208">
        <f t="shared" si="36"/>
        <v>2957440.1576727601</v>
      </c>
      <c r="JR14" s="208">
        <f t="shared" si="36"/>
        <v>2957440.1576727601</v>
      </c>
      <c r="JS14" s="208">
        <f t="shared" si="36"/>
        <v>2957440.1576727601</v>
      </c>
      <c r="JT14" s="208">
        <f t="shared" si="36"/>
        <v>2957440.1576727601</v>
      </c>
      <c r="JU14" s="208">
        <f t="shared" si="36"/>
        <v>2957440.1576727601</v>
      </c>
      <c r="JV14" s="208">
        <f t="shared" si="36"/>
        <v>2957440.1576727601</v>
      </c>
      <c r="JW14" s="208">
        <f t="shared" si="36"/>
        <v>2957440.1576727601</v>
      </c>
      <c r="JX14" s="208">
        <f t="shared" si="36"/>
        <v>2957440.1576727601</v>
      </c>
      <c r="JY14" s="208">
        <f t="shared" si="36"/>
        <v>2957440.1576727601</v>
      </c>
      <c r="JZ14" s="208">
        <f t="shared" si="36"/>
        <v>2957440.1576727601</v>
      </c>
      <c r="KA14" s="208">
        <f t="shared" si="36"/>
        <v>2957440.1576727601</v>
      </c>
      <c r="KB14" s="208">
        <f t="shared" si="36"/>
        <v>2957440.1576727601</v>
      </c>
      <c r="KC14" s="208">
        <f t="shared" si="36"/>
        <v>2957440.1576727601</v>
      </c>
      <c r="KD14" s="208">
        <f t="shared" si="36"/>
        <v>2957440.1576727601</v>
      </c>
      <c r="KE14" s="208">
        <f t="shared" si="36"/>
        <v>2957440.1576727601</v>
      </c>
      <c r="KF14" s="208">
        <f t="shared" si="36"/>
        <v>2957440.1576727601</v>
      </c>
      <c r="KG14" s="208">
        <f t="shared" si="36"/>
        <v>2957440.1576727601</v>
      </c>
      <c r="KH14" s="208">
        <f t="shared" si="36"/>
        <v>2957440.1576727601</v>
      </c>
      <c r="KI14" s="208">
        <f t="shared" si="36"/>
        <v>2957440.1576727601</v>
      </c>
      <c r="KJ14" s="208">
        <f t="shared" si="36"/>
        <v>2957440.1576727601</v>
      </c>
      <c r="KK14" s="208">
        <f t="shared" si="36"/>
        <v>2957440.1576727601</v>
      </c>
      <c r="KL14" s="208">
        <f t="shared" si="36"/>
        <v>2957440.1576727601</v>
      </c>
      <c r="KM14" s="208">
        <f t="shared" si="36"/>
        <v>2957440.1576727601</v>
      </c>
      <c r="KN14" s="208">
        <f t="shared" si="36"/>
        <v>2957440.1576727601</v>
      </c>
      <c r="KO14" s="208">
        <f t="shared" si="36"/>
        <v>2957440.1576727601</v>
      </c>
      <c r="KP14" s="208">
        <f t="shared" si="36"/>
        <v>2957440.1576727601</v>
      </c>
      <c r="KQ14" s="208">
        <f t="shared" si="36"/>
        <v>2957440.1576727601</v>
      </c>
      <c r="KR14" s="208">
        <f t="shared" si="36"/>
        <v>2957440.1576727601</v>
      </c>
      <c r="KS14" s="208">
        <f t="shared" si="36"/>
        <v>2957440.1576727601</v>
      </c>
      <c r="KT14" s="208">
        <f t="shared" si="36"/>
        <v>2957440.1576727601</v>
      </c>
      <c r="KU14" s="208">
        <f t="shared" si="36"/>
        <v>2957440.1576727601</v>
      </c>
      <c r="KV14" s="208">
        <f t="shared" si="36"/>
        <v>2957440.1576727601</v>
      </c>
      <c r="KW14" s="208">
        <f t="shared" si="36"/>
        <v>2957440.1576727601</v>
      </c>
      <c r="KX14" s="208">
        <f t="shared" si="36"/>
        <v>2957440.1576727601</v>
      </c>
      <c r="KY14" s="208">
        <f t="shared" si="36"/>
        <v>2957440.1576727601</v>
      </c>
      <c r="KZ14" s="208">
        <f t="shared" si="36"/>
        <v>2957440.1576727601</v>
      </c>
      <c r="LA14" s="208">
        <f t="shared" si="36"/>
        <v>2957440.1576727601</v>
      </c>
      <c r="LB14" s="208">
        <f t="shared" si="36"/>
        <v>2957440.1576727601</v>
      </c>
      <c r="LC14" s="208">
        <f t="shared" si="36"/>
        <v>2957440.1576727601</v>
      </c>
      <c r="LD14" s="208">
        <f t="shared" si="36"/>
        <v>2957440.1576727601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7"/>
      <c r="B17" s="196" t="s">
        <v>549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118060.16792047361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1222449.7601464549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7"/>
      <c r="B18" s="196" t="s">
        <v>550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9205894.5776880737</v>
      </c>
      <c r="BL18" s="215">
        <f t="shared" si="37"/>
        <v>9205894.5776880737</v>
      </c>
      <c r="BM18" s="215">
        <f t="shared" si="37"/>
        <v>9205894.5776880737</v>
      </c>
      <c r="BN18" s="215">
        <f t="shared" si="37"/>
        <v>9205894.5776880737</v>
      </c>
      <c r="BO18" s="215">
        <f t="shared" si="37"/>
        <v>9205894.5776880737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6484375" defaultRowHeight="14.25"/>
  <cols>
    <col min="1" max="1" width="39.46484375" style="367" bestFit="1" customWidth="1"/>
    <col min="2" max="2" width="17.19921875" style="368" bestFit="1" customWidth="1"/>
    <col min="3" max="3" width="13.19921875" style="367" bestFit="1" customWidth="1"/>
    <col min="4" max="5" width="14.796875" style="367" bestFit="1" customWidth="1"/>
    <col min="6" max="6" width="13.19921875" style="367" bestFit="1" customWidth="1"/>
    <col min="7" max="7" width="4.796875" style="367" bestFit="1" customWidth="1"/>
    <col min="8" max="10" width="13.19921875" style="367" bestFit="1" customWidth="1"/>
    <col min="11" max="12" width="16" style="367" bestFit="1" customWidth="1"/>
    <col min="13" max="13" width="14.19921875" style="367" bestFit="1" customWidth="1"/>
    <col min="14" max="14" width="13.53125" style="367" bestFit="1" customWidth="1"/>
    <col min="15" max="18" width="11.46484375" style="367" bestFit="1" customWidth="1"/>
    <col min="19" max="19" width="13.53125" style="367" bestFit="1" customWidth="1"/>
    <col min="20" max="16384" width="12.46484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551</v>
      </c>
      <c r="B3" s="446" t="s">
        <v>552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  <c r="L4"/>
      <c r="M4"/>
      <c r="N4"/>
      <c r="O4"/>
      <c r="P4"/>
      <c r="Q4"/>
      <c r="R4"/>
      <c r="S4"/>
      <c r="T4"/>
    </row>
    <row r="5" spans="1:20">
      <c r="A5" s="447" t="s">
        <v>554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555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6484375" defaultRowHeight="14.25"/>
  <cols>
    <col min="1" max="1" width="21.796875" bestFit="1" customWidth="1"/>
    <col min="2" max="2" width="17.19921875" style="407" bestFit="1" customWidth="1"/>
    <col min="3" max="3" width="13.19921875" style="407" bestFit="1" customWidth="1"/>
    <col min="4" max="4" width="14.796875" style="407" bestFit="1" customWidth="1"/>
    <col min="5" max="6" width="13.19921875" style="407" bestFit="1" customWidth="1"/>
    <col min="7" max="7" width="13.53125" style="407" bestFit="1" customWidth="1"/>
    <col min="8" max="9" width="13.19921875" style="407" bestFit="1" customWidth="1"/>
    <col min="10" max="10" width="13.19921875" bestFit="1" customWidth="1"/>
    <col min="11" max="12" width="14.7968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11">
      <c r="A3" s="446" t="s">
        <v>556</v>
      </c>
      <c r="B3" s="446" t="s">
        <v>552</v>
      </c>
      <c r="C3"/>
      <c r="D3"/>
      <c r="E3"/>
      <c r="F3"/>
      <c r="G3"/>
      <c r="H3"/>
      <c r="I3"/>
    </row>
    <row r="4" spans="1:11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</row>
    <row r="5" spans="1:11">
      <c r="A5" s="447" t="s">
        <v>554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555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557</v>
      </c>
    </row>
    <row r="2" spans="1:4">
      <c r="A2" s="839"/>
      <c r="B2" s="839"/>
      <c r="C2" s="839"/>
      <c r="D2" s="71"/>
    </row>
    <row r="3" spans="1:4">
      <c r="A3" s="838" t="s">
        <v>558</v>
      </c>
      <c r="B3" s="838"/>
      <c r="C3" s="838"/>
      <c r="D3" s="111">
        <v>0.32</v>
      </c>
    </row>
    <row r="4" spans="1:4">
      <c r="A4" s="838" t="s">
        <v>364</v>
      </c>
      <c r="B4" s="838"/>
      <c r="C4" s="838"/>
      <c r="D4" s="111">
        <v>0.5</v>
      </c>
    </row>
    <row r="5" spans="1:4">
      <c r="A5" s="838" t="s">
        <v>375</v>
      </c>
      <c r="B5" s="838"/>
      <c r="C5" s="838"/>
      <c r="D5" s="111">
        <v>0.15</v>
      </c>
    </row>
    <row r="6" spans="1:4">
      <c r="A6" s="838" t="s">
        <v>559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199218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40" t="s">
        <v>560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97</v>
      </c>
      <c r="C4" s="86"/>
      <c r="D4" s="90" t="s">
        <v>561</v>
      </c>
      <c r="E4" s="95"/>
      <c r="F4" s="90" t="s">
        <v>562</v>
      </c>
      <c r="H4" s="90" t="s">
        <v>563</v>
      </c>
      <c r="I4" s="95"/>
      <c r="J4" s="90" t="s">
        <v>564</v>
      </c>
      <c r="L4" s="90" t="s">
        <v>563</v>
      </c>
      <c r="M4" s="90"/>
      <c r="N4" s="90" t="s">
        <v>565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566</v>
      </c>
      <c r="H7" s="99"/>
      <c r="I7" s="95"/>
      <c r="J7" s="107" t="s">
        <v>566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566</v>
      </c>
      <c r="H15" s="99"/>
      <c r="I15" s="95"/>
      <c r="J15" s="107" t="s">
        <v>566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566</v>
      </c>
      <c r="H21" s="99"/>
      <c r="I21" s="95"/>
      <c r="J21" s="107" t="s">
        <v>566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566</v>
      </c>
      <c r="H27" s="99"/>
      <c r="I27" s="95"/>
      <c r="J27" s="107" t="s">
        <v>566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566</v>
      </c>
      <c r="H34" s="99"/>
      <c r="I34" s="95"/>
      <c r="J34" s="107" t="s">
        <v>566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199218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199218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19921875" style="88" bestFit="1" customWidth="1"/>
    <col min="16" max="16384" width="9.46484375" style="88"/>
  </cols>
  <sheetData>
    <row r="2" spans="2:15" s="94" customFormat="1" ht="17.649999999999999">
      <c r="B2" s="840" t="s">
        <v>580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97</v>
      </c>
      <c r="C4" s="86"/>
      <c r="D4" s="90" t="s">
        <v>561</v>
      </c>
      <c r="E4" s="95"/>
      <c r="F4" s="95"/>
      <c r="G4" s="90" t="s">
        <v>581</v>
      </c>
      <c r="H4" s="96"/>
      <c r="J4" s="90" t="s">
        <v>563</v>
      </c>
      <c r="L4" s="90" t="s">
        <v>582</v>
      </c>
      <c r="M4" s="96"/>
      <c r="O4" s="90" t="s">
        <v>563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578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561</v>
      </c>
      <c r="E18" s="95"/>
      <c r="F18" s="95"/>
      <c r="G18" s="90" t="s">
        <v>584</v>
      </c>
      <c r="H18" s="96"/>
      <c r="J18" s="90" t="s">
        <v>563</v>
      </c>
      <c r="L18" s="90" t="s">
        <v>585</v>
      </c>
      <c r="M18" s="96"/>
      <c r="O18" s="90" t="s">
        <v>563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587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588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589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591</v>
      </c>
      <c r="C32" s="103"/>
      <c r="D32" s="103"/>
    </row>
    <row r="33" spans="2:4" ht="13.15" thickTop="1"/>
    <row r="34" spans="2:4">
      <c r="B34" s="88" t="s">
        <v>561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46484375" bestFit="1" customWidth="1"/>
    <col min="9" max="9" width="10.46484375" customWidth="1"/>
    <col min="10" max="10" width="19.53125" bestFit="1" customWidth="1"/>
  </cols>
  <sheetData>
    <row r="1" spans="2:14">
      <c r="B1" s="842" t="str">
        <f>D15</f>
        <v>Seshego Circle</v>
      </c>
      <c r="C1" s="842"/>
      <c r="D1" s="842"/>
      <c r="E1" s="841" t="s">
        <v>593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594</v>
      </c>
      <c r="D3" s="72" t="s">
        <v>595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