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4" documentId="13_ncr:1_{3B35231D-DA94-4AE5-8A0D-043E43CA6186}" xr6:coauthVersionLast="47" xr6:coauthVersionMax="47" xr10:uidLastSave="{BDB92773-EDFE-4E08-86E1-CF5913C2B02B}"/>
  <bookViews>
    <workbookView xWindow="-28920" yWindow="720" windowWidth="29040" windowHeight="15720" tabRatio="636" firstSheet="6" activeTab="7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478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6" l="1"/>
  <c r="F4" i="5"/>
  <c r="P16" i="5"/>
  <c r="N43" i="2"/>
  <c r="M43" i="2"/>
  <c r="W89" i="18" l="1"/>
  <c r="N41" i="2"/>
  <c r="W131" i="18"/>
  <c r="W22" i="18"/>
  <c r="Q30" i="18"/>
  <c r="P80" i="18" s="1"/>
  <c r="P79" i="18" s="1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98" i="18"/>
  <c r="H65" i="18" s="1"/>
  <c r="H119" i="18"/>
  <c r="H95" i="18"/>
  <c r="H34" i="18" s="1"/>
  <c r="H62" i="18"/>
  <c r="H86" i="18"/>
  <c r="H68" i="18"/>
  <c r="H67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 s="1"/>
  <c r="C3" i="6"/>
  <c r="F17" i="5"/>
  <c r="F16" i="5"/>
  <c r="F15" i="5"/>
  <c r="L27" i="5"/>
  <c r="F14" i="5"/>
  <c r="F13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J1" i="6"/>
  <c r="F12" i="3"/>
  <c r="F18" i="2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F21" i="5" l="1"/>
  <c r="F18" i="5"/>
  <c r="H38" i="18"/>
  <c r="DB5" i="6" s="1"/>
  <c r="H66" i="18"/>
  <c r="J22" i="3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F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IM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GU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A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BZ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HY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GT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FT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JS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EM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AM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FS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GI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EZ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KX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BB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FV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136" i="18" l="1"/>
  <c r="AI5" i="6"/>
  <c r="AO5" i="6"/>
  <c r="M5" i="6"/>
  <c r="IR5" i="6"/>
  <c r="JH5" i="6"/>
  <c r="FI5" i="6"/>
  <c r="DJ5" i="6"/>
  <c r="DF5" i="6"/>
  <c r="HE5" i="6"/>
  <c r="EX5" i="6"/>
  <c r="AK5" i="6"/>
  <c r="D5" i="6" s="1"/>
  <c r="EO5" i="6"/>
  <c r="BO5" i="6"/>
  <c r="JP5" i="6"/>
  <c r="CO5" i="6"/>
  <c r="DK5" i="6"/>
  <c r="GA5" i="6"/>
  <c r="BV5" i="6"/>
  <c r="IU5" i="6"/>
  <c r="DP5" i="6"/>
  <c r="EF5" i="6"/>
  <c r="KC5" i="6"/>
  <c r="HG5" i="6"/>
  <c r="GO5" i="6"/>
  <c r="CD5" i="6"/>
  <c r="FJ5" i="6"/>
  <c r="BS5" i="6"/>
  <c r="HA5" i="6"/>
  <c r="IL5" i="6"/>
  <c r="KM5" i="6"/>
  <c r="CV5" i="6"/>
  <c r="KL5" i="6"/>
  <c r="LA5" i="6"/>
  <c r="FZ5" i="6"/>
  <c r="F47" i="5"/>
  <c r="C9" i="6"/>
  <c r="V28" i="18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AK6" i="6" l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F45" i="5"/>
  <c r="F42" i="5"/>
  <c r="F43" i="5"/>
  <c r="F41" i="5"/>
  <c r="F44" i="5"/>
  <c r="H25" i="3"/>
  <c r="F6" i="5"/>
  <c r="F7" i="5" s="1"/>
  <c r="C5" i="6"/>
  <c r="D6" i="5"/>
  <c r="K40" i="2"/>
  <c r="I41" i="2" s="1"/>
  <c r="I44" i="2" s="1"/>
  <c r="F46" i="5" l="1"/>
  <c r="G6" i="5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I48" i="2"/>
  <c r="W98" i="18" l="1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<sst xmlns="http://schemas.openxmlformats.org/spreadsheetml/2006/main" count="891" uniqueCount="509">
  <si>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</si>
  <si>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</si>
  <si>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</si>
  <si>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</si>
  <si>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</si>
  <si>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</si>
  <si>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</si>
  <si>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</si>
  <si>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</si>
  <si>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</si>
  <si>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</si>
  <si>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</si>
  <si>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</si>
  <si>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</si>
  <si>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</si>
  <si>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</si>
  <si>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</si>
  <si>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</si>
  <si>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</si>
  <si>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</si>
  <si>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</si>
  <si>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</si>
  <si>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</si>
  <si>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</si>
  <si>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</si>
  <si>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</si>
  <si>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</si>
  <si>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</si>
  <si>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</si>
  <si>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</si>
  <si>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</si>
  <si>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</si>
  <si>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</si>
  <si>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</si>
  <si>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</si>
  <si>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</si>
  <si>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</si>
  <si>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</si>
  <si>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</si>
  <si>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</si>
  <si>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</si>
  <si>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</si>
  <si>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</si>
  <si>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</si>
  <si>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</si>
  <si>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</si>
  <si>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</si>
  <si>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</si>
  <si>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</si>
  <si>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</si>
  <si>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</si>
  <si>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</si>
  <si>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</si>
  <si>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</si>
  <si>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</si>
  <si>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</si>
  <si>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</si>
  <si>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</si>
  <si>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</si>
  <si>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</si>
  <si>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</si>
  <si>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</si>
  <si>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</si>
  <si>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</si>
  <si>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</si>
  <si>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</si>
  <si>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</si>
  <si>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</si>
  <si>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</si>
  <si>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</si>
  <si>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</si>
  <si>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</si>
  <si>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</si>
  <si>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</si>
  <si>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outstanding
QC snags not submitted (RTI in-progress)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</si>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</sst>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wrapText="1"/>
    </xf>
    <xf numFmtId="0" fontId="1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3" fontId="0" fillId="0" borderId="0" xfId="0" applyNumberFormat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2684351.2000000002</c:v>
                </c:pt>
                <c:pt idx="57">
                  <c:v>3187667.0500000003</c:v>
                </c:pt>
                <c:pt idx="58">
                  <c:v>3355439.0000000005</c:v>
                </c:pt>
                <c:pt idx="59">
                  <c:v>3355439.0000000005</c:v>
                </c:pt>
                <c:pt idx="60">
                  <c:v>3355439.0000000005</c:v>
                </c:pt>
                <c:pt idx="61">
                  <c:v>3355439.0000000005</c:v>
                </c:pt>
                <c:pt idx="62">
                  <c:v>3355439.0000000005</c:v>
                </c:pt>
                <c:pt idx="63">
                  <c:v>3355439.0000000005</c:v>
                </c:pt>
                <c:pt idx="64">
                  <c:v>3355439.0000000005</c:v>
                </c:pt>
                <c:pt idx="65">
                  <c:v>3355439.0000000005</c:v>
                </c:pt>
                <c:pt idx="66">
                  <c:v>3355439.0000000005</c:v>
                </c:pt>
                <c:pt idx="67">
                  <c:v>3355439.0000000005</c:v>
                </c:pt>
                <c:pt idx="68">
                  <c:v>3355439.0000000005</c:v>
                </c:pt>
                <c:pt idx="69">
                  <c:v>3355439.0000000005</c:v>
                </c:pt>
                <c:pt idx="70">
                  <c:v>3355439.0000000005</c:v>
                </c:pt>
                <c:pt idx="71">
                  <c:v>3355439.0000000005</c:v>
                </c:pt>
                <c:pt idx="72">
                  <c:v>3355439.0000000005</c:v>
                </c:pt>
                <c:pt idx="73">
                  <c:v>3355439.0000000005</c:v>
                </c:pt>
                <c:pt idx="74">
                  <c:v>3355439.0000000005</c:v>
                </c:pt>
                <c:pt idx="75">
                  <c:v>3355439.0000000005</c:v>
                </c:pt>
                <c:pt idx="76">
                  <c:v>3355439.0000000005</c:v>
                </c:pt>
                <c:pt idx="77">
                  <c:v>3355439.0000000005</c:v>
                </c:pt>
                <c:pt idx="78">
                  <c:v>3355439.0000000005</c:v>
                </c:pt>
                <c:pt idx="79">
                  <c:v>3355439.0000000005</c:v>
                </c:pt>
                <c:pt idx="80">
                  <c:v>3355439.0000000005</c:v>
                </c:pt>
                <c:pt idx="81">
                  <c:v>3355439.0000000005</c:v>
                </c:pt>
                <c:pt idx="82">
                  <c:v>3355439.0000000005</c:v>
                </c:pt>
                <c:pt idx="83">
                  <c:v>3355439.0000000005</c:v>
                </c:pt>
                <c:pt idx="84">
                  <c:v>3355439.0000000005</c:v>
                </c:pt>
                <c:pt idx="85">
                  <c:v>3355439.0000000005</c:v>
                </c:pt>
                <c:pt idx="86">
                  <c:v>3355439.0000000005</c:v>
                </c:pt>
                <c:pt idx="87">
                  <c:v>3355439.0000000005</c:v>
                </c:pt>
                <c:pt idx="88">
                  <c:v>3355439.0000000005</c:v>
                </c:pt>
                <c:pt idx="89">
                  <c:v>3355439.0000000005</c:v>
                </c:pt>
                <c:pt idx="90">
                  <c:v>3355439.0000000005</c:v>
                </c:pt>
                <c:pt idx="91">
                  <c:v>3355439.0000000005</c:v>
                </c:pt>
                <c:pt idx="92">
                  <c:v>3355439.0000000005</c:v>
                </c:pt>
                <c:pt idx="93">
                  <c:v>3355439.0000000005</c:v>
                </c:pt>
                <c:pt idx="94">
                  <c:v>3355439.0000000005</c:v>
                </c:pt>
                <c:pt idx="95">
                  <c:v>3355439.0000000005</c:v>
                </c:pt>
                <c:pt idx="96">
                  <c:v>3355439.0000000005</c:v>
                </c:pt>
                <c:pt idx="97">
                  <c:v>3355439.0000000005</c:v>
                </c:pt>
                <c:pt idx="98">
                  <c:v>3355439.0000000005</c:v>
                </c:pt>
                <c:pt idx="99">
                  <c:v>3355439.0000000005</c:v>
                </c:pt>
                <c:pt idx="100">
                  <c:v>3355439.0000000005</c:v>
                </c:pt>
                <c:pt idx="101">
                  <c:v>3355439.0000000005</c:v>
                </c:pt>
                <c:pt idx="102">
                  <c:v>3355439.0000000005</c:v>
                </c:pt>
                <c:pt idx="103">
                  <c:v>3355439.0000000005</c:v>
                </c:pt>
                <c:pt idx="104">
                  <c:v>3355439.0000000005</c:v>
                </c:pt>
                <c:pt idx="105">
                  <c:v>3355439.0000000005</c:v>
                </c:pt>
                <c:pt idx="106">
                  <c:v>3355439.0000000005</c:v>
                </c:pt>
                <c:pt idx="107">
                  <c:v>3355439.0000000005</c:v>
                </c:pt>
                <c:pt idx="108">
                  <c:v>3355439.0000000005</c:v>
                </c:pt>
                <c:pt idx="109">
                  <c:v>3355439.0000000005</c:v>
                </c:pt>
                <c:pt idx="110">
                  <c:v>3355439.0000000005</c:v>
                </c:pt>
                <c:pt idx="111">
                  <c:v>3355439.0000000005</c:v>
                </c:pt>
                <c:pt idx="112">
                  <c:v>3355439.0000000005</c:v>
                </c:pt>
                <c:pt idx="113">
                  <c:v>3355439.0000000005</c:v>
                </c:pt>
                <c:pt idx="114">
                  <c:v>3355439.0000000005</c:v>
                </c:pt>
                <c:pt idx="115">
                  <c:v>3355439.0000000005</c:v>
                </c:pt>
                <c:pt idx="116">
                  <c:v>3355439.0000000005</c:v>
                </c:pt>
                <c:pt idx="117">
                  <c:v>3355439.0000000005</c:v>
                </c:pt>
                <c:pt idx="118">
                  <c:v>3355439.0000000005</c:v>
                </c:pt>
                <c:pt idx="119">
                  <c:v>3355439.0000000005</c:v>
                </c:pt>
                <c:pt idx="120">
                  <c:v>3355439.0000000005</c:v>
                </c:pt>
                <c:pt idx="121">
                  <c:v>3355439.0000000005</c:v>
                </c:pt>
                <c:pt idx="122">
                  <c:v>3355439.0000000005</c:v>
                </c:pt>
                <c:pt idx="123">
                  <c:v>3355439.0000000005</c:v>
                </c:pt>
                <c:pt idx="124">
                  <c:v>3355439.0000000005</c:v>
                </c:pt>
                <c:pt idx="125">
                  <c:v>3355439.0000000005</c:v>
                </c:pt>
                <c:pt idx="126">
                  <c:v>3355439.0000000005</c:v>
                </c:pt>
                <c:pt idx="127">
                  <c:v>3355439.0000000005</c:v>
                </c:pt>
                <c:pt idx="128">
                  <c:v>3355439.0000000005</c:v>
                </c:pt>
                <c:pt idx="129">
                  <c:v>3355439.0000000005</c:v>
                </c:pt>
                <c:pt idx="130">
                  <c:v>3355439.0000000005</c:v>
                </c:pt>
                <c:pt idx="131">
                  <c:v>3355439.0000000005</c:v>
                </c:pt>
                <c:pt idx="132">
                  <c:v>3355439.0000000005</c:v>
                </c:pt>
                <c:pt idx="133">
                  <c:v>3355439.0000000005</c:v>
                </c:pt>
                <c:pt idx="134">
                  <c:v>3355439.0000000005</c:v>
                </c:pt>
                <c:pt idx="135">
                  <c:v>3355439.0000000005</c:v>
                </c:pt>
                <c:pt idx="136">
                  <c:v>3355439.0000000005</c:v>
                </c:pt>
                <c:pt idx="137">
                  <c:v>3355439.0000000005</c:v>
                </c:pt>
                <c:pt idx="138">
                  <c:v>3355439.0000000005</c:v>
                </c:pt>
                <c:pt idx="139">
                  <c:v>3355439.0000000005</c:v>
                </c:pt>
                <c:pt idx="140">
                  <c:v>3355439.0000000005</c:v>
                </c:pt>
                <c:pt idx="141">
                  <c:v>3355439.0000000005</c:v>
                </c:pt>
                <c:pt idx="142">
                  <c:v>3355439.0000000005</c:v>
                </c:pt>
                <c:pt idx="143">
                  <c:v>3355439.0000000005</c:v>
                </c:pt>
                <c:pt idx="144">
                  <c:v>3355439.0000000005</c:v>
                </c:pt>
                <c:pt idx="145">
                  <c:v>3355439.0000000005</c:v>
                </c:pt>
                <c:pt idx="146">
                  <c:v>3355439.0000000005</c:v>
                </c:pt>
                <c:pt idx="147">
                  <c:v>3355439.0000000005</c:v>
                </c:pt>
                <c:pt idx="148">
                  <c:v>3355439.0000000005</c:v>
                </c:pt>
                <c:pt idx="149">
                  <c:v>3355439.0000000005</c:v>
                </c:pt>
                <c:pt idx="150">
                  <c:v>3355439.0000000005</c:v>
                </c:pt>
                <c:pt idx="151">
                  <c:v>3355439.0000000005</c:v>
                </c:pt>
                <c:pt idx="152">
                  <c:v>3355439.0000000005</c:v>
                </c:pt>
                <c:pt idx="153">
                  <c:v>3355439.0000000005</c:v>
                </c:pt>
                <c:pt idx="154">
                  <c:v>3355439.0000000005</c:v>
                </c:pt>
                <c:pt idx="155">
                  <c:v>3355439.0000000005</c:v>
                </c:pt>
                <c:pt idx="156">
                  <c:v>3355439.0000000005</c:v>
                </c:pt>
                <c:pt idx="157">
                  <c:v>3355439.0000000005</c:v>
                </c:pt>
                <c:pt idx="158">
                  <c:v>3355439.0000000005</c:v>
                </c:pt>
                <c:pt idx="159">
                  <c:v>3355439.0000000005</c:v>
                </c:pt>
                <c:pt idx="160">
                  <c:v>3355439.0000000005</c:v>
                </c:pt>
                <c:pt idx="161">
                  <c:v>3355439.0000000005</c:v>
                </c:pt>
                <c:pt idx="162">
                  <c:v>3355439.0000000005</c:v>
                </c:pt>
                <c:pt idx="163">
                  <c:v>3355439.0000000005</c:v>
                </c:pt>
                <c:pt idx="164">
                  <c:v>3355439.0000000005</c:v>
                </c:pt>
                <c:pt idx="165">
                  <c:v>3355439.0000000005</c:v>
                </c:pt>
                <c:pt idx="166">
                  <c:v>3355439.0000000005</c:v>
                </c:pt>
                <c:pt idx="167">
                  <c:v>3355439.0000000005</c:v>
                </c:pt>
                <c:pt idx="168">
                  <c:v>3355439.0000000005</c:v>
                </c:pt>
                <c:pt idx="169">
                  <c:v>3355439.0000000005</c:v>
                </c:pt>
                <c:pt idx="170">
                  <c:v>3355439.0000000005</c:v>
                </c:pt>
                <c:pt idx="171">
                  <c:v>3355439.0000000005</c:v>
                </c:pt>
                <c:pt idx="172">
                  <c:v>3355439.0000000005</c:v>
                </c:pt>
                <c:pt idx="173">
                  <c:v>3355439.0000000005</c:v>
                </c:pt>
                <c:pt idx="174">
                  <c:v>3355439.0000000005</c:v>
                </c:pt>
                <c:pt idx="175">
                  <c:v>3355439.0000000005</c:v>
                </c:pt>
                <c:pt idx="176">
                  <c:v>3355439.0000000005</c:v>
                </c:pt>
                <c:pt idx="177">
                  <c:v>3355439.0000000005</c:v>
                </c:pt>
                <c:pt idx="178">
                  <c:v>3355439.0000000005</c:v>
                </c:pt>
                <c:pt idx="179">
                  <c:v>3355439.0000000005</c:v>
                </c:pt>
                <c:pt idx="180">
                  <c:v>3355439.0000000005</c:v>
                </c:pt>
                <c:pt idx="181">
                  <c:v>3355439.0000000005</c:v>
                </c:pt>
                <c:pt idx="182">
                  <c:v>3355439.0000000005</c:v>
                </c:pt>
                <c:pt idx="183">
                  <c:v>3355439.0000000005</c:v>
                </c:pt>
                <c:pt idx="184">
                  <c:v>3355439.0000000005</c:v>
                </c:pt>
                <c:pt idx="185">
                  <c:v>3355439.0000000005</c:v>
                </c:pt>
                <c:pt idx="186">
                  <c:v>3355439.0000000005</c:v>
                </c:pt>
                <c:pt idx="187">
                  <c:v>3355439.0000000005</c:v>
                </c:pt>
                <c:pt idx="188">
                  <c:v>3355439.0000000005</c:v>
                </c:pt>
                <c:pt idx="189">
                  <c:v>3355439.0000000005</c:v>
                </c:pt>
                <c:pt idx="190">
                  <c:v>3355439.0000000005</c:v>
                </c:pt>
                <c:pt idx="191">
                  <c:v>3355439.0000000005</c:v>
                </c:pt>
                <c:pt idx="192">
                  <c:v>3355439.0000000005</c:v>
                </c:pt>
                <c:pt idx="193">
                  <c:v>3355439.0000000005</c:v>
                </c:pt>
                <c:pt idx="194">
                  <c:v>3355439.0000000005</c:v>
                </c:pt>
                <c:pt idx="195">
                  <c:v>3355439.0000000005</c:v>
                </c:pt>
                <c:pt idx="196">
                  <c:v>3355439.0000000005</c:v>
                </c:pt>
                <c:pt idx="197">
                  <c:v>3355439.0000000005</c:v>
                </c:pt>
                <c:pt idx="198">
                  <c:v>3355439.0000000005</c:v>
                </c:pt>
                <c:pt idx="199">
                  <c:v>3355439.0000000005</c:v>
                </c:pt>
                <c:pt idx="200">
                  <c:v>3355439.0000000005</c:v>
                </c:pt>
                <c:pt idx="201">
                  <c:v>3355439.0000000005</c:v>
                </c:pt>
                <c:pt idx="202">
                  <c:v>3355439.0000000005</c:v>
                </c:pt>
                <c:pt idx="203">
                  <c:v>3355439.0000000005</c:v>
                </c:pt>
                <c:pt idx="204">
                  <c:v>3355439.0000000005</c:v>
                </c:pt>
                <c:pt idx="205">
                  <c:v>3355439.0000000005</c:v>
                </c:pt>
                <c:pt idx="206">
                  <c:v>3355439.0000000005</c:v>
                </c:pt>
                <c:pt idx="207">
                  <c:v>3355439.0000000005</c:v>
                </c:pt>
                <c:pt idx="208">
                  <c:v>3355439.0000000005</c:v>
                </c:pt>
                <c:pt idx="209">
                  <c:v>3355439.0000000005</c:v>
                </c:pt>
                <c:pt idx="210">
                  <c:v>3355439.0000000005</c:v>
                </c:pt>
                <c:pt idx="211">
                  <c:v>3355439.0000000005</c:v>
                </c:pt>
                <c:pt idx="212">
                  <c:v>3355439.0000000005</c:v>
                </c:pt>
                <c:pt idx="213">
                  <c:v>3355439.0000000005</c:v>
                </c:pt>
                <c:pt idx="214">
                  <c:v>3355439.0000000005</c:v>
                </c:pt>
                <c:pt idx="215">
                  <c:v>3355439.0000000005</c:v>
                </c:pt>
                <c:pt idx="216">
                  <c:v>3355439.0000000005</c:v>
                </c:pt>
                <c:pt idx="217">
                  <c:v>3355439.0000000005</c:v>
                </c:pt>
                <c:pt idx="218">
                  <c:v>3355439.0000000005</c:v>
                </c:pt>
                <c:pt idx="219">
                  <c:v>3355439.0000000005</c:v>
                </c:pt>
                <c:pt idx="220">
                  <c:v>3355439.0000000005</c:v>
                </c:pt>
                <c:pt idx="221">
                  <c:v>3355439.0000000005</c:v>
                </c:pt>
                <c:pt idx="222">
                  <c:v>3355439.0000000005</c:v>
                </c:pt>
                <c:pt idx="223">
                  <c:v>3355439.0000000005</c:v>
                </c:pt>
                <c:pt idx="224">
                  <c:v>3355439.0000000005</c:v>
                </c:pt>
                <c:pt idx="225">
                  <c:v>3355439.0000000005</c:v>
                </c:pt>
                <c:pt idx="226">
                  <c:v>3355439.0000000005</c:v>
                </c:pt>
                <c:pt idx="227">
                  <c:v>3355439.0000000005</c:v>
                </c:pt>
                <c:pt idx="228">
                  <c:v>3355439.0000000005</c:v>
                </c:pt>
                <c:pt idx="229">
                  <c:v>3355439.0000000005</c:v>
                </c:pt>
                <c:pt idx="230">
                  <c:v>3355439.0000000005</c:v>
                </c:pt>
                <c:pt idx="231">
                  <c:v>3355439.0000000005</c:v>
                </c:pt>
                <c:pt idx="232">
                  <c:v>3355439.0000000005</c:v>
                </c:pt>
                <c:pt idx="233">
                  <c:v>3355439.0000000005</c:v>
                </c:pt>
                <c:pt idx="234">
                  <c:v>3355439.0000000005</c:v>
                </c:pt>
                <c:pt idx="235">
                  <c:v>3355439.0000000005</c:v>
                </c:pt>
                <c:pt idx="236">
                  <c:v>3355439.0000000005</c:v>
                </c:pt>
                <c:pt idx="237">
                  <c:v>3355439.0000000005</c:v>
                </c:pt>
                <c:pt idx="238">
                  <c:v>3355439.0000000005</c:v>
                </c:pt>
                <c:pt idx="239">
                  <c:v>3355439.0000000005</c:v>
                </c:pt>
                <c:pt idx="240">
                  <c:v>3355439.0000000005</c:v>
                </c:pt>
                <c:pt idx="241">
                  <c:v>3355439.0000000005</c:v>
                </c:pt>
                <c:pt idx="242">
                  <c:v>3355439.0000000005</c:v>
                </c:pt>
                <c:pt idx="243">
                  <c:v>3355439.0000000005</c:v>
                </c:pt>
                <c:pt idx="244">
                  <c:v>3355439.0000000005</c:v>
                </c:pt>
                <c:pt idx="245">
                  <c:v>3355439.0000000005</c:v>
                </c:pt>
                <c:pt idx="246">
                  <c:v>3355439.0000000005</c:v>
                </c:pt>
                <c:pt idx="247">
                  <c:v>3355439.0000000005</c:v>
                </c:pt>
                <c:pt idx="248">
                  <c:v>3355439.0000000005</c:v>
                </c:pt>
                <c:pt idx="249">
                  <c:v>3355439.0000000005</c:v>
                </c:pt>
                <c:pt idx="250">
                  <c:v>3355439.0000000005</c:v>
                </c:pt>
                <c:pt idx="251">
                  <c:v>3355439.0000000005</c:v>
                </c:pt>
                <c:pt idx="252">
                  <c:v>3355439.0000000005</c:v>
                </c:pt>
                <c:pt idx="253">
                  <c:v>3355439.0000000005</c:v>
                </c:pt>
                <c:pt idx="254">
                  <c:v>3355439.0000000005</c:v>
                </c:pt>
                <c:pt idx="255">
                  <c:v>3355439.0000000005</c:v>
                </c:pt>
                <c:pt idx="256">
                  <c:v>3355439.0000000005</c:v>
                </c:pt>
                <c:pt idx="257">
                  <c:v>3355439.0000000005</c:v>
                </c:pt>
                <c:pt idx="258">
                  <c:v>3355439.0000000005</c:v>
                </c:pt>
                <c:pt idx="259">
                  <c:v>3355439.0000000005</c:v>
                </c:pt>
                <c:pt idx="260">
                  <c:v>3355439.0000000005</c:v>
                </c:pt>
                <c:pt idx="261">
                  <c:v>3355439.0000000005</c:v>
                </c:pt>
                <c:pt idx="262">
                  <c:v>3355439.0000000005</c:v>
                </c:pt>
                <c:pt idx="263">
                  <c:v>3355439.0000000005</c:v>
                </c:pt>
                <c:pt idx="264">
                  <c:v>3355439.0000000005</c:v>
                </c:pt>
                <c:pt idx="265">
                  <c:v>3355439.0000000005</c:v>
                </c:pt>
                <c:pt idx="266">
                  <c:v>3355439.0000000005</c:v>
                </c:pt>
                <c:pt idx="267">
                  <c:v>3355439.0000000005</c:v>
                </c:pt>
                <c:pt idx="268">
                  <c:v>3355439.0000000005</c:v>
                </c:pt>
                <c:pt idx="269">
                  <c:v>3355439.0000000005</c:v>
                </c:pt>
                <c:pt idx="270">
                  <c:v>3355439.0000000005</c:v>
                </c:pt>
                <c:pt idx="271">
                  <c:v>3355439.0000000005</c:v>
                </c:pt>
                <c:pt idx="272">
                  <c:v>3355439.0000000005</c:v>
                </c:pt>
                <c:pt idx="273">
                  <c:v>3355439.0000000005</c:v>
                </c:pt>
                <c:pt idx="274">
                  <c:v>3355439.0000000005</c:v>
                </c:pt>
                <c:pt idx="275">
                  <c:v>3355439.0000000005</c:v>
                </c:pt>
                <c:pt idx="276">
                  <c:v>3355439.0000000005</c:v>
                </c:pt>
                <c:pt idx="277">
                  <c:v>3355439.0000000005</c:v>
                </c:pt>
                <c:pt idx="278">
                  <c:v>3355439.0000000005</c:v>
                </c:pt>
                <c:pt idx="279">
                  <c:v>3355439.0000000005</c:v>
                </c:pt>
                <c:pt idx="280">
                  <c:v>3355439.0000000005</c:v>
                </c:pt>
                <c:pt idx="281">
                  <c:v>3355439.0000000005</c:v>
                </c:pt>
                <c:pt idx="282">
                  <c:v>3355439.0000000005</c:v>
                </c:pt>
                <c:pt idx="283">
                  <c:v>3355439.0000000005</c:v>
                </c:pt>
                <c:pt idx="284">
                  <c:v>3355439.0000000005</c:v>
                </c:pt>
                <c:pt idx="285">
                  <c:v>3355439.0000000005</c:v>
                </c:pt>
                <c:pt idx="286">
                  <c:v>3355439.0000000005</c:v>
                </c:pt>
                <c:pt idx="287">
                  <c:v>3355439.0000000005</c:v>
                </c:pt>
                <c:pt idx="288">
                  <c:v>3355439.0000000005</c:v>
                </c:pt>
                <c:pt idx="289">
                  <c:v>3355439.0000000005</c:v>
                </c:pt>
                <c:pt idx="290">
                  <c:v>3355439.0000000005</c:v>
                </c:pt>
                <c:pt idx="291">
                  <c:v>3355439.0000000005</c:v>
                </c:pt>
                <c:pt idx="292">
                  <c:v>3355439.0000000005</c:v>
                </c:pt>
                <c:pt idx="293">
                  <c:v>3355439.0000000005</c:v>
                </c:pt>
                <c:pt idx="294">
                  <c:v>3355439.0000000005</c:v>
                </c:pt>
                <c:pt idx="295">
                  <c:v>3355439.0000000005</c:v>
                </c:pt>
                <c:pt idx="296">
                  <c:v>3355439.0000000005</c:v>
                </c:pt>
                <c:pt idx="297">
                  <c:v>3355439.0000000005</c:v>
                </c:pt>
                <c:pt idx="298">
                  <c:v>3355439.0000000005</c:v>
                </c:pt>
                <c:pt idx="299">
                  <c:v>3355439.0000000005</c:v>
                </c:pt>
                <c:pt idx="300">
                  <c:v>3355439.0000000005</c:v>
                </c:pt>
                <c:pt idx="301">
                  <c:v>3355439.0000000005</c:v>
                </c:pt>
                <c:pt idx="302">
                  <c:v>3355439.0000000005</c:v>
                </c:pt>
                <c:pt idx="303">
                  <c:v>3355439.0000000005</c:v>
                </c:pt>
                <c:pt idx="304">
                  <c:v>3355439.0000000005</c:v>
                </c:pt>
                <c:pt idx="305">
                  <c:v>3355439.0000000005</c:v>
                </c:pt>
                <c:pt idx="306">
                  <c:v>3355439.0000000005</c:v>
                </c:pt>
                <c:pt idx="307">
                  <c:v>3355439.0000000005</c:v>
                </c:pt>
                <c:pt idx="308">
                  <c:v>3355439.0000000005</c:v>
                </c:pt>
                <c:pt idx="309">
                  <c:v>3355439.0000000005</c:v>
                </c:pt>
                <c:pt idx="310">
                  <c:v>3355439.0000000005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2881005.8935772278</c:v>
                </c:pt>
                <c:pt idx="57">
                  <c:v>3117936.4470586809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3158751.3558799964</c:v>
                </c:pt>
                <c:pt idx="61">
                  <c:v>3158751.3558799964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-196654.69357722765</c:v>
                </c:pt>
                <c:pt idx="57">
                  <c:v>69730.602941319346</c:v>
                </c:pt>
                <c:pt idx="58">
                  <c:v>237202.55294131953</c:v>
                </c:pt>
                <c:pt idx="59">
                  <c:v>237202.55294131953</c:v>
                </c:pt>
                <c:pt idx="60">
                  <c:v>196687.64412000403</c:v>
                </c:pt>
                <c:pt idx="61">
                  <c:v>196687.64412000403</c:v>
                </c:pt>
                <c:pt idx="62">
                  <c:v>140295.15662000421</c:v>
                </c:pt>
                <c:pt idx="63">
                  <c:v>139995.15662000421</c:v>
                </c:pt>
                <c:pt idx="64">
                  <c:v>139995.15662000421</c:v>
                </c:pt>
                <c:pt idx="65">
                  <c:v>139995.15662000421</c:v>
                </c:pt>
                <c:pt idx="66">
                  <c:v>139995.15662000421</c:v>
                </c:pt>
                <c:pt idx="67">
                  <c:v>139995.15662000421</c:v>
                </c:pt>
                <c:pt idx="68">
                  <c:v>139995.15662000421</c:v>
                </c:pt>
                <c:pt idx="69">
                  <c:v>139995.15662000421</c:v>
                </c:pt>
                <c:pt idx="70">
                  <c:v>139995.15662000421</c:v>
                </c:pt>
                <c:pt idx="71">
                  <c:v>139995.15662000421</c:v>
                </c:pt>
                <c:pt idx="72">
                  <c:v>139995.15662000421</c:v>
                </c:pt>
                <c:pt idx="73">
                  <c:v>139995.15662000421</c:v>
                </c:pt>
                <c:pt idx="74">
                  <c:v>139995.15662000421</c:v>
                </c:pt>
                <c:pt idx="75">
                  <c:v>139995.15662000421</c:v>
                </c:pt>
                <c:pt idx="76">
                  <c:v>139995.15662000421</c:v>
                </c:pt>
                <c:pt idx="77">
                  <c:v>139995.15662000421</c:v>
                </c:pt>
                <c:pt idx="78">
                  <c:v>139995.15662000421</c:v>
                </c:pt>
                <c:pt idx="79">
                  <c:v>139995.15662000421</c:v>
                </c:pt>
                <c:pt idx="80">
                  <c:v>139995.15662000421</c:v>
                </c:pt>
                <c:pt idx="81">
                  <c:v>139995.15662000421</c:v>
                </c:pt>
                <c:pt idx="82">
                  <c:v>139995.15662000421</c:v>
                </c:pt>
                <c:pt idx="83">
                  <c:v>139995.15662000421</c:v>
                </c:pt>
                <c:pt idx="84">
                  <c:v>139995.15662000421</c:v>
                </c:pt>
                <c:pt idx="85">
                  <c:v>139995.15662000421</c:v>
                </c:pt>
                <c:pt idx="86">
                  <c:v>139995.15662000421</c:v>
                </c:pt>
                <c:pt idx="87">
                  <c:v>139995.15662000421</c:v>
                </c:pt>
                <c:pt idx="88">
                  <c:v>139995.15662000421</c:v>
                </c:pt>
                <c:pt idx="89">
                  <c:v>139995.15662000421</c:v>
                </c:pt>
                <c:pt idx="90">
                  <c:v>139995.15662000421</c:v>
                </c:pt>
                <c:pt idx="91">
                  <c:v>139995.15662000421</c:v>
                </c:pt>
                <c:pt idx="92">
                  <c:v>139995.15662000421</c:v>
                </c:pt>
                <c:pt idx="93">
                  <c:v>139995.15662000421</c:v>
                </c:pt>
                <c:pt idx="94">
                  <c:v>139995.15662000421</c:v>
                </c:pt>
                <c:pt idx="95">
                  <c:v>139995.15662000421</c:v>
                </c:pt>
                <c:pt idx="96">
                  <c:v>139995.15662000421</c:v>
                </c:pt>
                <c:pt idx="97">
                  <c:v>139995.15662000421</c:v>
                </c:pt>
                <c:pt idx="98">
                  <c:v>139995.15662000421</c:v>
                </c:pt>
                <c:pt idx="99">
                  <c:v>139995.15662000421</c:v>
                </c:pt>
                <c:pt idx="100">
                  <c:v>139995.15662000421</c:v>
                </c:pt>
                <c:pt idx="101">
                  <c:v>139995.15662000421</c:v>
                </c:pt>
                <c:pt idx="102">
                  <c:v>139995.15662000421</c:v>
                </c:pt>
                <c:pt idx="103">
                  <c:v>139995.15662000421</c:v>
                </c:pt>
                <c:pt idx="104">
                  <c:v>139995.15662000421</c:v>
                </c:pt>
                <c:pt idx="105">
                  <c:v>139995.15662000421</c:v>
                </c:pt>
                <c:pt idx="106">
                  <c:v>139995.15662000421</c:v>
                </c:pt>
                <c:pt idx="107">
                  <c:v>139995.15662000421</c:v>
                </c:pt>
                <c:pt idx="108">
                  <c:v>139995.15662000421</c:v>
                </c:pt>
                <c:pt idx="109">
                  <c:v>139995.15662000421</c:v>
                </c:pt>
                <c:pt idx="110">
                  <c:v>139995.15662000421</c:v>
                </c:pt>
                <c:pt idx="111">
                  <c:v>139995.15662000421</c:v>
                </c:pt>
                <c:pt idx="112">
                  <c:v>139995.15662000421</c:v>
                </c:pt>
                <c:pt idx="113">
                  <c:v>139995.15662000421</c:v>
                </c:pt>
                <c:pt idx="114">
                  <c:v>139995.15662000421</c:v>
                </c:pt>
                <c:pt idx="115">
                  <c:v>139995.15662000421</c:v>
                </c:pt>
                <c:pt idx="116">
                  <c:v>139995.15662000421</c:v>
                </c:pt>
                <c:pt idx="117">
                  <c:v>139995.15662000421</c:v>
                </c:pt>
                <c:pt idx="118">
                  <c:v>139995.15662000421</c:v>
                </c:pt>
                <c:pt idx="119">
                  <c:v>139995.15662000421</c:v>
                </c:pt>
                <c:pt idx="120">
                  <c:v>139995.15662000421</c:v>
                </c:pt>
                <c:pt idx="121">
                  <c:v>139995.15662000421</c:v>
                </c:pt>
                <c:pt idx="122">
                  <c:v>139995.15662000421</c:v>
                </c:pt>
                <c:pt idx="123">
                  <c:v>139995.15662000421</c:v>
                </c:pt>
                <c:pt idx="124">
                  <c:v>139995.15662000421</c:v>
                </c:pt>
                <c:pt idx="125">
                  <c:v>139995.15662000421</c:v>
                </c:pt>
                <c:pt idx="126">
                  <c:v>139995.15662000421</c:v>
                </c:pt>
                <c:pt idx="127">
                  <c:v>139995.15662000421</c:v>
                </c:pt>
                <c:pt idx="128">
                  <c:v>139995.15662000421</c:v>
                </c:pt>
                <c:pt idx="129">
                  <c:v>139995.15662000421</c:v>
                </c:pt>
                <c:pt idx="130">
                  <c:v>139995.15662000421</c:v>
                </c:pt>
                <c:pt idx="131">
                  <c:v>139995.15662000421</c:v>
                </c:pt>
                <c:pt idx="132">
                  <c:v>139995.15662000421</c:v>
                </c:pt>
                <c:pt idx="133">
                  <c:v>139995.15662000421</c:v>
                </c:pt>
                <c:pt idx="134">
                  <c:v>139995.15662000421</c:v>
                </c:pt>
                <c:pt idx="135">
                  <c:v>139995.15662000421</c:v>
                </c:pt>
                <c:pt idx="136">
                  <c:v>139995.15662000421</c:v>
                </c:pt>
                <c:pt idx="137">
                  <c:v>139995.15662000421</c:v>
                </c:pt>
                <c:pt idx="138">
                  <c:v>139995.15662000421</c:v>
                </c:pt>
                <c:pt idx="139">
                  <c:v>139995.15662000421</c:v>
                </c:pt>
                <c:pt idx="140">
                  <c:v>139995.15662000421</c:v>
                </c:pt>
                <c:pt idx="141">
                  <c:v>139995.15662000421</c:v>
                </c:pt>
                <c:pt idx="142">
                  <c:v>139995.15662000421</c:v>
                </c:pt>
                <c:pt idx="143">
                  <c:v>139995.15662000421</c:v>
                </c:pt>
                <c:pt idx="144">
                  <c:v>139995.15662000421</c:v>
                </c:pt>
                <c:pt idx="145">
                  <c:v>139995.15662000421</c:v>
                </c:pt>
                <c:pt idx="146">
                  <c:v>139995.15662000421</c:v>
                </c:pt>
                <c:pt idx="147">
                  <c:v>139995.15662000421</c:v>
                </c:pt>
                <c:pt idx="148">
                  <c:v>139995.15662000421</c:v>
                </c:pt>
                <c:pt idx="149">
                  <c:v>139995.15662000421</c:v>
                </c:pt>
                <c:pt idx="150">
                  <c:v>139995.15662000421</c:v>
                </c:pt>
                <c:pt idx="151">
                  <c:v>139995.15662000421</c:v>
                </c:pt>
                <c:pt idx="152">
                  <c:v>139995.15662000421</c:v>
                </c:pt>
                <c:pt idx="153">
                  <c:v>139995.15662000421</c:v>
                </c:pt>
                <c:pt idx="154">
                  <c:v>139995.15662000421</c:v>
                </c:pt>
                <c:pt idx="155">
                  <c:v>139995.15662000421</c:v>
                </c:pt>
                <c:pt idx="156">
                  <c:v>139995.15662000421</c:v>
                </c:pt>
                <c:pt idx="157">
                  <c:v>139995.15662000421</c:v>
                </c:pt>
                <c:pt idx="158">
                  <c:v>139995.15662000421</c:v>
                </c:pt>
                <c:pt idx="159">
                  <c:v>139995.15662000421</c:v>
                </c:pt>
                <c:pt idx="160">
                  <c:v>139995.15662000421</c:v>
                </c:pt>
                <c:pt idx="161">
                  <c:v>139995.15662000421</c:v>
                </c:pt>
                <c:pt idx="162">
                  <c:v>139995.15662000421</c:v>
                </c:pt>
                <c:pt idx="163">
                  <c:v>139995.15662000421</c:v>
                </c:pt>
                <c:pt idx="164">
                  <c:v>139995.15662000421</c:v>
                </c:pt>
                <c:pt idx="165">
                  <c:v>139995.15662000421</c:v>
                </c:pt>
                <c:pt idx="166">
                  <c:v>139995.15662000421</c:v>
                </c:pt>
                <c:pt idx="167">
                  <c:v>139995.15662000421</c:v>
                </c:pt>
                <c:pt idx="168">
                  <c:v>139995.15662000421</c:v>
                </c:pt>
                <c:pt idx="169">
                  <c:v>139995.15662000421</c:v>
                </c:pt>
                <c:pt idx="170">
                  <c:v>139995.15662000421</c:v>
                </c:pt>
                <c:pt idx="171">
                  <c:v>139995.15662000421</c:v>
                </c:pt>
                <c:pt idx="172">
                  <c:v>139995.15662000421</c:v>
                </c:pt>
                <c:pt idx="173">
                  <c:v>139995.15662000421</c:v>
                </c:pt>
                <c:pt idx="174">
                  <c:v>139995.15662000421</c:v>
                </c:pt>
                <c:pt idx="175">
                  <c:v>139995.15662000421</c:v>
                </c:pt>
                <c:pt idx="176">
                  <c:v>139995.15662000421</c:v>
                </c:pt>
                <c:pt idx="177">
                  <c:v>139995.15662000421</c:v>
                </c:pt>
                <c:pt idx="178">
                  <c:v>139995.15662000421</c:v>
                </c:pt>
                <c:pt idx="179">
                  <c:v>139995.15662000421</c:v>
                </c:pt>
                <c:pt idx="180">
                  <c:v>139995.15662000421</c:v>
                </c:pt>
                <c:pt idx="181">
                  <c:v>139995.15662000421</c:v>
                </c:pt>
                <c:pt idx="182">
                  <c:v>139995.15662000421</c:v>
                </c:pt>
                <c:pt idx="183">
                  <c:v>139995.15662000421</c:v>
                </c:pt>
                <c:pt idx="184">
                  <c:v>139995.15662000421</c:v>
                </c:pt>
                <c:pt idx="185">
                  <c:v>139995.15662000421</c:v>
                </c:pt>
                <c:pt idx="186">
                  <c:v>139995.15662000421</c:v>
                </c:pt>
                <c:pt idx="187">
                  <c:v>139995.15662000421</c:v>
                </c:pt>
                <c:pt idx="188">
                  <c:v>139995.15662000421</c:v>
                </c:pt>
                <c:pt idx="189">
                  <c:v>139995.15662000421</c:v>
                </c:pt>
                <c:pt idx="190">
                  <c:v>139995.15662000421</c:v>
                </c:pt>
                <c:pt idx="191">
                  <c:v>139995.15662000421</c:v>
                </c:pt>
                <c:pt idx="192">
                  <c:v>139995.15662000421</c:v>
                </c:pt>
                <c:pt idx="193">
                  <c:v>139995.15662000421</c:v>
                </c:pt>
                <c:pt idx="194">
                  <c:v>139995.15662000421</c:v>
                </c:pt>
                <c:pt idx="195">
                  <c:v>139995.15662000421</c:v>
                </c:pt>
                <c:pt idx="196">
                  <c:v>139995.15662000421</c:v>
                </c:pt>
                <c:pt idx="197">
                  <c:v>139995.15662000421</c:v>
                </c:pt>
                <c:pt idx="198">
                  <c:v>139995.15662000421</c:v>
                </c:pt>
                <c:pt idx="199">
                  <c:v>139995.15662000421</c:v>
                </c:pt>
                <c:pt idx="200">
                  <c:v>139995.15662000421</c:v>
                </c:pt>
                <c:pt idx="201">
                  <c:v>139995.15662000421</c:v>
                </c:pt>
                <c:pt idx="202">
                  <c:v>139995.15662000421</c:v>
                </c:pt>
                <c:pt idx="203">
                  <c:v>139995.15662000421</c:v>
                </c:pt>
                <c:pt idx="204">
                  <c:v>139995.15662000421</c:v>
                </c:pt>
                <c:pt idx="205">
                  <c:v>139995.15662000421</c:v>
                </c:pt>
                <c:pt idx="206">
                  <c:v>139995.15662000421</c:v>
                </c:pt>
                <c:pt idx="207">
                  <c:v>139995.15662000421</c:v>
                </c:pt>
                <c:pt idx="208">
                  <c:v>139995.15662000421</c:v>
                </c:pt>
                <c:pt idx="209">
                  <c:v>139995.15662000421</c:v>
                </c:pt>
                <c:pt idx="210">
                  <c:v>139995.15662000421</c:v>
                </c:pt>
                <c:pt idx="211">
                  <c:v>139995.15662000421</c:v>
                </c:pt>
                <c:pt idx="212">
                  <c:v>139995.15662000421</c:v>
                </c:pt>
                <c:pt idx="213">
                  <c:v>139995.15662000421</c:v>
                </c:pt>
                <c:pt idx="214">
                  <c:v>139995.15662000421</c:v>
                </c:pt>
                <c:pt idx="215">
                  <c:v>139995.15662000421</c:v>
                </c:pt>
                <c:pt idx="216">
                  <c:v>139995.15662000421</c:v>
                </c:pt>
                <c:pt idx="217">
                  <c:v>139995.15662000421</c:v>
                </c:pt>
                <c:pt idx="218">
                  <c:v>139995.15662000421</c:v>
                </c:pt>
                <c:pt idx="219">
                  <c:v>139995.15662000421</c:v>
                </c:pt>
                <c:pt idx="220">
                  <c:v>139995.15662000421</c:v>
                </c:pt>
                <c:pt idx="221">
                  <c:v>139995.15662000421</c:v>
                </c:pt>
                <c:pt idx="222">
                  <c:v>139995.15662000421</c:v>
                </c:pt>
                <c:pt idx="223">
                  <c:v>139995.15662000421</c:v>
                </c:pt>
                <c:pt idx="224">
                  <c:v>139995.15662000421</c:v>
                </c:pt>
                <c:pt idx="225">
                  <c:v>139995.15662000421</c:v>
                </c:pt>
                <c:pt idx="226">
                  <c:v>139995.15662000421</c:v>
                </c:pt>
                <c:pt idx="227">
                  <c:v>139995.15662000421</c:v>
                </c:pt>
                <c:pt idx="228">
                  <c:v>139995.15662000421</c:v>
                </c:pt>
                <c:pt idx="229">
                  <c:v>139995.15662000421</c:v>
                </c:pt>
                <c:pt idx="230">
                  <c:v>139995.15662000421</c:v>
                </c:pt>
                <c:pt idx="231">
                  <c:v>139995.15662000421</c:v>
                </c:pt>
                <c:pt idx="232">
                  <c:v>139995.15662000421</c:v>
                </c:pt>
                <c:pt idx="233">
                  <c:v>139995.15662000421</c:v>
                </c:pt>
                <c:pt idx="234">
                  <c:v>139995.15662000421</c:v>
                </c:pt>
                <c:pt idx="235">
                  <c:v>139995.15662000421</c:v>
                </c:pt>
                <c:pt idx="236">
                  <c:v>139995.15662000421</c:v>
                </c:pt>
                <c:pt idx="237">
                  <c:v>139995.15662000421</c:v>
                </c:pt>
                <c:pt idx="238">
                  <c:v>139995.15662000421</c:v>
                </c:pt>
                <c:pt idx="239">
                  <c:v>139995.15662000421</c:v>
                </c:pt>
                <c:pt idx="240">
                  <c:v>139995.15662000421</c:v>
                </c:pt>
                <c:pt idx="241">
                  <c:v>139995.15662000421</c:v>
                </c:pt>
                <c:pt idx="242">
                  <c:v>139995.15662000421</c:v>
                </c:pt>
                <c:pt idx="243">
                  <c:v>139995.15662000421</c:v>
                </c:pt>
                <c:pt idx="244">
                  <c:v>139995.15662000421</c:v>
                </c:pt>
                <c:pt idx="245">
                  <c:v>139995.15662000421</c:v>
                </c:pt>
                <c:pt idx="246">
                  <c:v>139995.15662000421</c:v>
                </c:pt>
                <c:pt idx="247">
                  <c:v>139995.15662000421</c:v>
                </c:pt>
                <c:pt idx="248">
                  <c:v>139995.15662000421</c:v>
                </c:pt>
                <c:pt idx="249">
                  <c:v>139995.15662000421</c:v>
                </c:pt>
                <c:pt idx="250">
                  <c:v>139995.15662000421</c:v>
                </c:pt>
                <c:pt idx="251">
                  <c:v>139995.15662000421</c:v>
                </c:pt>
                <c:pt idx="252">
                  <c:v>139995.15662000421</c:v>
                </c:pt>
                <c:pt idx="253">
                  <c:v>139995.15662000421</c:v>
                </c:pt>
                <c:pt idx="254">
                  <c:v>139995.15662000421</c:v>
                </c:pt>
                <c:pt idx="255">
                  <c:v>139995.15662000421</c:v>
                </c:pt>
                <c:pt idx="256">
                  <c:v>139995.15662000421</c:v>
                </c:pt>
                <c:pt idx="257">
                  <c:v>139995.15662000421</c:v>
                </c:pt>
                <c:pt idx="258">
                  <c:v>139995.15662000421</c:v>
                </c:pt>
                <c:pt idx="259">
                  <c:v>139995.15662000421</c:v>
                </c:pt>
                <c:pt idx="260">
                  <c:v>139995.15662000421</c:v>
                </c:pt>
                <c:pt idx="261">
                  <c:v>139995.15662000421</c:v>
                </c:pt>
                <c:pt idx="262">
                  <c:v>139995.15662000421</c:v>
                </c:pt>
                <c:pt idx="263">
                  <c:v>139995.15662000421</c:v>
                </c:pt>
                <c:pt idx="264">
                  <c:v>139995.15662000421</c:v>
                </c:pt>
                <c:pt idx="265">
                  <c:v>139995.15662000421</c:v>
                </c:pt>
                <c:pt idx="266">
                  <c:v>139995.15662000421</c:v>
                </c:pt>
                <c:pt idx="267">
                  <c:v>139995.15662000421</c:v>
                </c:pt>
                <c:pt idx="268">
                  <c:v>139995.15662000421</c:v>
                </c:pt>
                <c:pt idx="269">
                  <c:v>139995.15662000421</c:v>
                </c:pt>
                <c:pt idx="270">
                  <c:v>139995.15662000421</c:v>
                </c:pt>
                <c:pt idx="271">
                  <c:v>139995.15662000421</c:v>
                </c:pt>
                <c:pt idx="272">
                  <c:v>139995.15662000421</c:v>
                </c:pt>
                <c:pt idx="273">
                  <c:v>139995.15662000421</c:v>
                </c:pt>
                <c:pt idx="274">
                  <c:v>139995.15662000421</c:v>
                </c:pt>
                <c:pt idx="275">
                  <c:v>139995.15662000421</c:v>
                </c:pt>
                <c:pt idx="276">
                  <c:v>139995.15662000421</c:v>
                </c:pt>
                <c:pt idx="277">
                  <c:v>139995.15662000421</c:v>
                </c:pt>
                <c:pt idx="278">
                  <c:v>139995.15662000421</c:v>
                </c:pt>
                <c:pt idx="279">
                  <c:v>139995.15662000421</c:v>
                </c:pt>
                <c:pt idx="280">
                  <c:v>139995.15662000421</c:v>
                </c:pt>
                <c:pt idx="281">
                  <c:v>139995.15662000421</c:v>
                </c:pt>
                <c:pt idx="282">
                  <c:v>139995.15662000421</c:v>
                </c:pt>
                <c:pt idx="283">
                  <c:v>139995.15662000421</c:v>
                </c:pt>
                <c:pt idx="284">
                  <c:v>139995.15662000421</c:v>
                </c:pt>
                <c:pt idx="285">
                  <c:v>139995.15662000421</c:v>
                </c:pt>
                <c:pt idx="286">
                  <c:v>139995.15662000421</c:v>
                </c:pt>
                <c:pt idx="287">
                  <c:v>139995.15662000421</c:v>
                </c:pt>
                <c:pt idx="288">
                  <c:v>139995.15662000421</c:v>
                </c:pt>
                <c:pt idx="289">
                  <c:v>139995.15662000421</c:v>
                </c:pt>
                <c:pt idx="290">
                  <c:v>139995.15662000421</c:v>
                </c:pt>
                <c:pt idx="291">
                  <c:v>139995.15662000421</c:v>
                </c:pt>
                <c:pt idx="292">
                  <c:v>139995.15662000421</c:v>
                </c:pt>
                <c:pt idx="293">
                  <c:v>139995.15662000421</c:v>
                </c:pt>
                <c:pt idx="294">
                  <c:v>139995.15662000421</c:v>
                </c:pt>
                <c:pt idx="295">
                  <c:v>139995.15662000421</c:v>
                </c:pt>
                <c:pt idx="296">
                  <c:v>139995.15662000421</c:v>
                </c:pt>
                <c:pt idx="297">
                  <c:v>139995.15662000421</c:v>
                </c:pt>
                <c:pt idx="298">
                  <c:v>139995.15662000421</c:v>
                </c:pt>
                <c:pt idx="299">
                  <c:v>139995.15662000421</c:v>
                </c:pt>
                <c:pt idx="300">
                  <c:v>139995.15662000421</c:v>
                </c:pt>
                <c:pt idx="301">
                  <c:v>139995.15662000421</c:v>
                </c:pt>
                <c:pt idx="302">
                  <c:v>139995.15662000421</c:v>
                </c:pt>
                <c:pt idx="303">
                  <c:v>139995.15662000421</c:v>
                </c:pt>
                <c:pt idx="304">
                  <c:v>139995.15662000421</c:v>
                </c:pt>
                <c:pt idx="305">
                  <c:v>139995.15662000421</c:v>
                </c:pt>
                <c:pt idx="306">
                  <c:v>139995.15662000421</c:v>
                </c:pt>
                <c:pt idx="307">
                  <c:v>139995.15662000421</c:v>
                </c:pt>
                <c:pt idx="308">
                  <c:v>139995.15662000421</c:v>
                </c:pt>
                <c:pt idx="309">
                  <c:v>139995.15662000421</c:v>
                </c:pt>
                <c:pt idx="310">
                  <c:v>139995.15662000421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7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7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4.1"/>
  <cols>
    <col min="1" max="1" width="9.140625" style="64"/>
    <col min="2" max="2" width="84.140625" style="65" bestFit="1" customWidth="1"/>
    <col min="3" max="3" width="19" style="24" customWidth="1"/>
    <col min="4" max="4" width="13.140625" style="70" customWidth="1"/>
    <col min="5" max="5" width="17.14062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3.140625" style="24" customWidth="1"/>
    <col min="10" max="10" width="47.14062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5" zoomScaleNormal="100" workbookViewId="0">
      <selection activeCell="J44" sqref="J44"/>
    </sheetView>
  </sheetViews>
  <sheetFormatPr defaultColWidth="8.140625" defaultRowHeight="14.1"/>
  <cols>
    <col min="1" max="1" width="1.140625" style="110" customWidth="1"/>
    <col min="2" max="2" width="6.140625" style="169" bestFit="1" customWidth="1"/>
    <col min="3" max="3" width="50.5703125" style="24" bestFit="1" customWidth="1"/>
    <col min="4" max="4" width="3.140625" style="110" customWidth="1"/>
    <col min="5" max="5" width="14.5703125" style="24" customWidth="1"/>
    <col min="6" max="6" width="10.14062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10.140625" style="110" bestFit="1" customWidth="1"/>
    <col min="15" max="15" width="39.140625" style="110" bestFit="1" customWidth="1"/>
    <col min="16" max="16" width="1.14062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46071</v>
      </c>
      <c r="O1" s="403">
        <f ca="1">TODAY()</f>
        <v>46071</v>
      </c>
      <c r="Q1" s="3"/>
    </row>
    <row r="2" spans="2:28" ht="14.25" customHeight="1">
      <c r="B2" s="174"/>
      <c r="C2" s="175" t="s">
        <v>0</v>
      </c>
      <c r="D2" s="176"/>
      <c r="E2" s="720" t="s">
        <v>73</v>
      </c>
      <c r="F2" s="721"/>
      <c r="G2" s="721"/>
      <c r="H2" s="722"/>
      <c r="K2" s="732" t="s">
        <v>74</v>
      </c>
      <c r="L2" s="733"/>
      <c r="M2" s="733"/>
      <c r="N2" s="733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33"/>
      <c r="L3" s="733"/>
      <c r="M3" s="733"/>
      <c r="N3" s="733"/>
      <c r="Q3" s="3"/>
    </row>
    <row r="4" spans="2:28" s="110" customFormat="1">
      <c r="B4" s="177"/>
      <c r="C4" s="178" t="s">
        <v>76</v>
      </c>
      <c r="D4" s="176"/>
      <c r="E4" s="723" t="s">
        <v>77</v>
      </c>
      <c r="F4" s="724"/>
      <c r="G4" s="724"/>
      <c r="H4" s="725"/>
      <c r="J4" s="111"/>
      <c r="K4" s="733"/>
      <c r="L4" s="733"/>
      <c r="M4" s="733"/>
      <c r="N4" s="733"/>
      <c r="Q4" s="3"/>
    </row>
    <row r="5" spans="2:28" s="110" customFormat="1">
      <c r="B5" s="177"/>
      <c r="C5" s="178" t="s">
        <v>78</v>
      </c>
      <c r="D5" s="176"/>
      <c r="E5" s="723" t="s">
        <v>79</v>
      </c>
      <c r="F5" s="724"/>
      <c r="G5" s="724"/>
      <c r="H5" s="725"/>
      <c r="J5" s="111"/>
      <c r="Q5" s="3"/>
    </row>
    <row r="6" spans="2:28">
      <c r="B6" s="182"/>
      <c r="C6" s="183" t="s">
        <v>80</v>
      </c>
      <c r="D6" s="176"/>
      <c r="E6" s="726">
        <v>3355439</v>
      </c>
      <c r="F6" s="727"/>
      <c r="G6" s="727"/>
      <c r="H6" s="728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34" t="s">
        <v>83</v>
      </c>
      <c r="C8" s="735" t="s">
        <v>84</v>
      </c>
      <c r="D8" s="213"/>
      <c r="E8" s="731" t="s">
        <v>85</v>
      </c>
      <c r="F8" s="235" t="s">
        <v>86</v>
      </c>
      <c r="G8" s="731" t="s">
        <v>87</v>
      </c>
      <c r="H8" s="236"/>
      <c r="I8" s="731" t="s">
        <v>88</v>
      </c>
      <c r="J8" s="235" t="s">
        <v>86</v>
      </c>
      <c r="K8" s="731" t="s">
        <v>89</v>
      </c>
      <c r="M8" s="410" t="s">
        <v>60</v>
      </c>
      <c r="N8" s="679" t="s">
        <v>90</v>
      </c>
      <c r="O8" s="729" t="s">
        <v>91</v>
      </c>
      <c r="Z8" s="110"/>
      <c r="AA8" s="110"/>
      <c r="AB8" s="110"/>
    </row>
    <row r="9" spans="2:28">
      <c r="B9" s="734"/>
      <c r="C9" s="735"/>
      <c r="D9" s="213"/>
      <c r="E9" s="731"/>
      <c r="F9" s="124">
        <f>G41-E19</f>
        <v>44</v>
      </c>
      <c r="G9" s="731"/>
      <c r="H9" s="236"/>
      <c r="I9" s="731"/>
      <c r="J9" s="125">
        <f>K41-I19</f>
        <v>245</v>
      </c>
      <c r="K9" s="731"/>
      <c r="M9" s="360">
        <f>AVERAGE(M11,M18,M21,M28,M35,M39,M46,M43)</f>
        <v>0.86764705882352944</v>
      </c>
      <c r="N9" s="360">
        <f ca="1">AVERAGE(N11,N18,N21,N28,N35,N39,N46,N43)</f>
        <v>0.88847602123237301</v>
      </c>
      <c r="O9" s="730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17</v>
      </c>
      <c r="K46" s="244">
        <f>MAX(K47:K52)</f>
        <v>46080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0.16663169927074892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6</v>
      </c>
      <c r="K48" s="251">
        <f>WORKDAY.INTL(I48,J48,1,Data!$C$3:$C$39)</f>
        <v>46071</v>
      </c>
      <c r="M48" s="252">
        <v>0</v>
      </c>
      <c r="N48" s="252">
        <v>0</v>
      </c>
      <c r="O48" s="120" t="s">
        <v>140</v>
      </c>
      <c r="Y48" s="24"/>
    </row>
    <row r="49" spans="2:28">
      <c r="B49" s="246">
        <v>8.3000000000000007</v>
      </c>
      <c r="C49" s="241" t="s">
        <v>141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46071</v>
      </c>
      <c r="J49" s="249">
        <v>5</v>
      </c>
      <c r="K49" s="251">
        <f>WORKDAY.INTL(I49,J49,1,Data!$C$3:$C$39)</f>
        <v>46078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142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143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v>46077</v>
      </c>
      <c r="J51" s="249">
        <v>1</v>
      </c>
      <c r="K51" s="251">
        <f>WORKDAY.INTL(I51,J51,1,Data!$C$3:$C$39)</f>
        <v>46078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144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46073</v>
      </c>
      <c r="J52" s="249">
        <v>5</v>
      </c>
      <c r="K52" s="251">
        <f>WORKDAY.INTL(I52,J52,1,Data!$C$3:$C$39)</f>
        <v>46080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I54" s="3" t="s">
        <v>145</v>
      </c>
      <c r="J54" s="107"/>
    </row>
    <row r="55" spans="2:28">
      <c r="B55" s="165"/>
      <c r="C55" s="110"/>
      <c r="E55" s="110"/>
      <c r="G55" s="111"/>
      <c r="O55" s="110" t="s">
        <v>146</v>
      </c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K2 M1:M7 O1:P52 N1 N3:N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2" sqref="L2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1.140625" style="127" customWidth="1"/>
    <col min="10" max="10" width="3.140625" style="91" customWidth="1"/>
    <col min="11" max="11" width="1.140625" style="173" customWidth="1"/>
    <col min="12" max="12" width="29.140625" style="91" customWidth="1"/>
    <col min="13" max="13" width="1.140625" style="127" customWidth="1"/>
    <col min="14" max="14" width="29.140625" style="127" customWidth="1"/>
    <col min="15" max="15" width="1.14062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9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2.9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2.9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1">
      <c r="B12" s="129" t="s">
        <v>83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2.95">
      <c r="B13" s="350">
        <v>1</v>
      </c>
      <c r="C13" s="738" t="s">
        <v>176</v>
      </c>
      <c r="D13" s="739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6">
      <c r="B14" s="152">
        <v>2</v>
      </c>
      <c r="C14" s="738" t="s">
        <v>178</v>
      </c>
      <c r="D14" s="739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6">
      <c r="B15" s="350">
        <v>3</v>
      </c>
      <c r="C15" s="738" t="s">
        <v>179</v>
      </c>
      <c r="D15" s="739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6">
      <c r="B16" s="350">
        <v>4</v>
      </c>
      <c r="C16" s="736" t="s">
        <v>180</v>
      </c>
      <c r="D16" s="737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7">
        <f>'Project Plan'!K39+14</f>
        <v>46077</v>
      </c>
      <c r="R16" s="378"/>
    </row>
    <row r="17" spans="2:18" s="91" customFormat="1" ht="12.6">
      <c r="B17" s="350">
        <v>5</v>
      </c>
      <c r="C17" s="736" t="s">
        <v>181</v>
      </c>
      <c r="D17" s="737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177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6">
      <c r="B18" s="350">
        <v>6</v>
      </c>
      <c r="C18" s="736" t="s">
        <v>54</v>
      </c>
      <c r="D18" s="737"/>
      <c r="E18" s="133">
        <v>0.05</v>
      </c>
      <c r="F18" s="134">
        <f t="shared" si="0"/>
        <v>167771.95000000001</v>
      </c>
      <c r="G18" s="353"/>
      <c r="H18" s="136">
        <f>'Project Plan'!K51+7</f>
        <v>46085</v>
      </c>
      <c r="J18" s="139"/>
      <c r="L18" s="367" t="s">
        <v>177</v>
      </c>
      <c r="M18" s="135"/>
      <c r="N18" s="136">
        <v>45778</v>
      </c>
      <c r="O18" s="127"/>
      <c r="P18" s="137">
        <f>'Project Plan'!K51+7</f>
        <v>46085</v>
      </c>
      <c r="R18" s="378"/>
    </row>
    <row r="19" spans="2:18" s="91" customFormat="1" ht="12.6">
      <c r="B19" s="350">
        <v>7</v>
      </c>
      <c r="C19" s="738" t="s">
        <v>182</v>
      </c>
      <c r="D19" s="739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2.9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6">
      <c r="C24" s="145" t="s">
        <v>185</v>
      </c>
      <c r="D24" s="146"/>
      <c r="F24" s="147"/>
    </row>
    <row r="25" spans="2:18" s="91" customFormat="1" ht="12.6">
      <c r="C25" s="145" t="s">
        <v>186</v>
      </c>
      <c r="D25" s="146"/>
    </row>
    <row r="26" spans="2:18" s="91" customFormat="1" ht="12.6">
      <c r="C26" s="148" t="s">
        <v>187</v>
      </c>
      <c r="D26" s="149"/>
    </row>
    <row r="27" spans="2:18" s="91" customFormat="1" ht="12.6">
      <c r="C27" s="150" t="s">
        <v>188</v>
      </c>
      <c r="D27" s="146"/>
      <c r="L27" s="114">
        <f>F15*1.15</f>
        <v>578813.22749999992</v>
      </c>
    </row>
    <row r="28" spans="2:18" s="91" customFormat="1" ht="12.6">
      <c r="B28" s="115"/>
      <c r="C28" s="150" t="s">
        <v>189</v>
      </c>
      <c r="D28" s="146"/>
    </row>
    <row r="29" spans="2:18" s="91" customFormat="1" ht="12.6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6">
      <c r="B31" s="115"/>
      <c r="F31" s="144"/>
    </row>
    <row r="32" spans="2:18" s="91" customFormat="1" ht="12.6">
      <c r="B32" s="115"/>
      <c r="F32" s="144"/>
    </row>
    <row r="33" spans="2:6" s="91" customFormat="1" ht="12.6">
      <c r="B33" s="115"/>
      <c r="F33" s="144"/>
    </row>
    <row r="34" spans="2:6" s="91" customFormat="1" ht="12.6">
      <c r="B34" s="115"/>
      <c r="F34" s="144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2.6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1.140625" style="73" customWidth="1"/>
    <col min="8" max="8" width="11.140625" style="73" bestFit="1" customWidth="1"/>
    <col min="9" max="16384" width="9.140625" style="73"/>
  </cols>
  <sheetData>
    <row r="1" spans="3:8" ht="12.95" thickBot="1"/>
    <row r="2" spans="3:8" ht="12.9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2.9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4.1"/>
  <cols>
    <col min="1" max="1" width="1.140625" style="24" customWidth="1"/>
    <col min="2" max="2" width="8.140625" style="64"/>
    <col min="3" max="3" width="2.140625" style="64" customWidth="1"/>
    <col min="4" max="4" width="21.140625" style="24" customWidth="1"/>
    <col min="5" max="5" width="1.140625" style="24" customWidth="1"/>
    <col min="6" max="6" width="19.5703125" style="24" customWidth="1"/>
    <col min="7" max="7" width="1.140625" style="24" customWidth="1"/>
    <col min="8" max="8" width="18.1406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40"/>
      <c r="C4" s="740"/>
      <c r="D4" s="740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45" thickBot="1">
      <c r="A5" s="213"/>
      <c r="B5" s="741" t="s">
        <v>217</v>
      </c>
      <c r="C5" s="741"/>
      <c r="D5" s="741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45" thickBot="1">
      <c r="A7" s="213"/>
      <c r="B7" s="223" t="s">
        <v>83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M1" zoomScale="85" zoomScaleNormal="85" workbookViewId="0">
      <pane ySplit="4" topLeftCell="A5" activePane="bottomLeft" state="frozen"/>
      <selection pane="bottomLeft" activeCell="S140" sqref="S140"/>
      <selection activeCell="X33" sqref="X33"/>
    </sheetView>
  </sheetViews>
  <sheetFormatPr defaultColWidth="9.140625" defaultRowHeight="14.1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7.140625" style="24" hidden="1" customWidth="1"/>
    <col min="8" max="8" width="17.14062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7.140625" style="110" customWidth="1"/>
    <col min="18" max="18" width="47.42578125" style="110" bestFit="1" customWidth="1"/>
    <col min="19" max="19" width="39" style="110" bestFit="1" customWidth="1"/>
    <col min="20" max="23" width="17.14062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7.14062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94" t="s">
        <v>224</v>
      </c>
      <c r="C2" s="795"/>
      <c r="D2" s="795"/>
      <c r="E2" s="795"/>
      <c r="F2" s="795"/>
      <c r="G2" s="795"/>
      <c r="H2" s="678"/>
      <c r="I2" s="256">
        <f>SUM(I6:I170)</f>
        <v>3002994.7436639969</v>
      </c>
      <c r="J2" s="256">
        <f>SUM(J6:J170)</f>
        <v>3355439.0188350095</v>
      </c>
      <c r="L2" s="796" t="s">
        <v>225</v>
      </c>
      <c r="M2" s="797"/>
      <c r="N2" s="797"/>
      <c r="O2" s="797"/>
      <c r="P2" s="797"/>
      <c r="Q2" s="797"/>
      <c r="R2" s="798" t="s">
        <v>226</v>
      </c>
      <c r="S2" s="799"/>
      <c r="T2" s="799"/>
      <c r="U2" s="799"/>
      <c r="V2" s="799"/>
      <c r="W2" s="800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6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42">
        <f>SUM(G6:G11)</f>
        <v>777559.09</v>
      </c>
      <c r="J6" s="742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54">
        <f>J6-SUM(U6:U11)</f>
        <v>0</v>
      </c>
      <c r="W6" s="533">
        <v>45867</v>
      </c>
      <c r="X6" s="745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43"/>
      <c r="J7" s="743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55"/>
      <c r="W7" s="534">
        <v>45883</v>
      </c>
      <c r="X7" s="746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43"/>
      <c r="J8" s="743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5"/>
      <c r="W8" s="571"/>
      <c r="X8" s="746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43"/>
      <c r="J9" s="743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55"/>
      <c r="W9" s="694">
        <v>45980</v>
      </c>
      <c r="X9" s="746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43"/>
      <c r="J10" s="743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55"/>
      <c r="W10" s="535">
        <v>46045</v>
      </c>
      <c r="X10" s="746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44"/>
      <c r="J11" s="744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56"/>
      <c r="W11" s="707">
        <f>W10</f>
        <v>46045</v>
      </c>
      <c r="X11" s="747"/>
      <c r="Y11" s="604" t="s">
        <v>251</v>
      </c>
      <c r="Z11" s="605" t="s">
        <v>252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62">
        <f>SUM(G13:G19)</f>
        <v>210000</v>
      </c>
      <c r="J13" s="762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1">
        <f>J13-SUM(U13:U19)</f>
        <v>0</v>
      </c>
      <c r="W13" s="536">
        <f>W6</f>
        <v>45867</v>
      </c>
      <c r="X13" s="765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63"/>
      <c r="J14" s="763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92"/>
      <c r="W14" s="576"/>
      <c r="X14" s="766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63"/>
      <c r="J15" s="763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92"/>
      <c r="W15" s="576"/>
      <c r="X15" s="766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63"/>
      <c r="J16" s="763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92"/>
      <c r="W16" s="576"/>
      <c r="X16" s="766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63"/>
      <c r="J17" s="763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92"/>
      <c r="W17" s="576"/>
      <c r="X17" s="766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63"/>
      <c r="J18" s="763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92"/>
      <c r="W18" s="576"/>
      <c r="X18" s="766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4"/>
      <c r="J19" s="764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93"/>
      <c r="W19" s="577"/>
      <c r="X19" s="767"/>
      <c r="Y19" s="606" t="s">
        <v>264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42">
        <f>SUM(G21:G26)</f>
        <v>300883.17</v>
      </c>
      <c r="J21" s="742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54">
        <f>J21-SUM(U21:U26)</f>
        <v>0</v>
      </c>
      <c r="W21" s="674">
        <v>45867</v>
      </c>
      <c r="X21" s="745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43"/>
      <c r="J22" s="743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55"/>
      <c r="W22" s="571">
        <f>T22+30</f>
        <v>46111</v>
      </c>
      <c r="X22" s="746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43"/>
      <c r="J23" s="743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5"/>
      <c r="W23" s="571"/>
      <c r="X23" s="746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43"/>
      <c r="J24" s="743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5"/>
      <c r="W24" s="571"/>
      <c r="X24" s="746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43"/>
      <c r="J25" s="743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5"/>
      <c r="W25" s="571"/>
      <c r="X25" s="746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44"/>
      <c r="J26" s="744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6"/>
      <c r="W26" s="571"/>
      <c r="X26" s="747"/>
      <c r="Y26" s="612" t="s">
        <v>277</v>
      </c>
      <c r="Z26" s="613" t="s">
        <v>278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62">
        <f>SUM(G28:G43)</f>
        <v>304127.7</v>
      </c>
      <c r="J28" s="762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1">
        <f>J28-SUM(U28:U43)</f>
        <v>-4.7398754395544529E-4</v>
      </c>
      <c r="W28" s="536">
        <v>45867</v>
      </c>
      <c r="X28" s="765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63"/>
      <c r="J29" s="763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92"/>
      <c r="W29" s="576"/>
      <c r="X29" s="766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63"/>
      <c r="J30" s="763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86" t="s">
        <v>285</v>
      </c>
      <c r="S30" s="629" t="s">
        <v>286</v>
      </c>
      <c r="T30" s="651">
        <v>46053</v>
      </c>
      <c r="U30" s="711">
        <v>0</v>
      </c>
      <c r="V30" s="792"/>
      <c r="W30" s="576">
        <v>46079</v>
      </c>
      <c r="X30" s="766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63"/>
      <c r="J31" s="763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87"/>
      <c r="S31" s="629" t="s">
        <v>286</v>
      </c>
      <c r="T31" s="651">
        <v>46053</v>
      </c>
      <c r="U31" s="711">
        <v>0</v>
      </c>
      <c r="V31" s="792"/>
      <c r="W31" s="576">
        <v>46079</v>
      </c>
      <c r="X31" s="766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63"/>
      <c r="J32" s="763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83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792"/>
      <c r="W32" s="537">
        <f>W93</f>
        <v>45792</v>
      </c>
      <c r="X32" s="766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63"/>
      <c r="J33" s="763"/>
      <c r="K33" s="299"/>
      <c r="L33" s="296">
        <v>4</v>
      </c>
      <c r="M33" s="425" t="s">
        <v>280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85"/>
      <c r="S33" s="629" t="s">
        <v>290</v>
      </c>
      <c r="T33" s="651">
        <f>IF(W33&gt;1,EOMONTH(W33,0),"")</f>
        <v>45808</v>
      </c>
      <c r="U33" s="661">
        <v>32824.66056859625</v>
      </c>
      <c r="V33" s="792"/>
      <c r="W33" s="537">
        <f>W94</f>
        <v>45792</v>
      </c>
      <c r="X33" s="766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63"/>
      <c r="J34" s="763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85"/>
      <c r="S34" s="629" t="s">
        <v>292</v>
      </c>
      <c r="T34" s="651">
        <v>45869</v>
      </c>
      <c r="U34" s="661">
        <v>43766.214163932236</v>
      </c>
      <c r="V34" s="792"/>
      <c r="W34" s="537">
        <f>W95</f>
        <v>46037</v>
      </c>
      <c r="X34" s="766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63"/>
      <c r="J35" s="763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85"/>
      <c r="S35" s="629" t="str">
        <f>S96</f>
        <v>Thula Moya IN04775</v>
      </c>
      <c r="T35" s="651">
        <v>45869</v>
      </c>
      <c r="U35" s="661">
        <v>30636.349342489171</v>
      </c>
      <c r="V35" s="792"/>
      <c r="W35" s="537">
        <f>W96</f>
        <v>45848</v>
      </c>
      <c r="X35" s="766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63"/>
      <c r="J36" s="763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85"/>
      <c r="S36" s="629" t="s">
        <v>294</v>
      </c>
      <c r="T36" s="651">
        <v>45900</v>
      </c>
      <c r="U36" s="661">
        <v>24071.559966602163</v>
      </c>
      <c r="V36" s="792"/>
      <c r="W36" s="537">
        <f>W97</f>
        <v>45911</v>
      </c>
      <c r="X36" s="766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63"/>
      <c r="J37" s="763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85"/>
      <c r="S37" s="629" t="s">
        <v>295</v>
      </c>
      <c r="T37" s="651">
        <v>45900</v>
      </c>
      <c r="U37" s="661">
        <v>21883.118151456514</v>
      </c>
      <c r="V37" s="792"/>
      <c r="W37" s="576">
        <f t="shared" ref="W37:W40" si="4">W98</f>
        <v>46070</v>
      </c>
      <c r="X37" s="766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63"/>
      <c r="J38" s="763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85"/>
      <c r="S38" s="629" t="s">
        <v>297</v>
      </c>
      <c r="T38" s="651">
        <v>45900</v>
      </c>
      <c r="U38" s="661">
        <v>21883.095781176376</v>
      </c>
      <c r="V38" s="792"/>
      <c r="W38" s="576">
        <f t="shared" si="4"/>
        <v>46078</v>
      </c>
      <c r="X38" s="766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63"/>
      <c r="J39" s="763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85"/>
      <c r="S39" s="629" t="s">
        <v>299</v>
      </c>
      <c r="T39" s="651">
        <v>45900</v>
      </c>
      <c r="U39" s="661">
        <v>10941.482850700935</v>
      </c>
      <c r="V39" s="792"/>
      <c r="W39" s="576">
        <f t="shared" si="4"/>
        <v>46078</v>
      </c>
      <c r="X39" s="766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63"/>
      <c r="J40" s="763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84"/>
      <c r="S40" s="629" t="s">
        <v>301</v>
      </c>
      <c r="T40" s="651">
        <v>45900</v>
      </c>
      <c r="U40" s="661">
        <v>10941.482850700935</v>
      </c>
      <c r="V40" s="792"/>
      <c r="W40" s="576">
        <f t="shared" si="4"/>
        <v>46101</v>
      </c>
      <c r="X40" s="766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63"/>
      <c r="J41" s="763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92"/>
      <c r="W41" s="576"/>
      <c r="X41" s="766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63"/>
      <c r="J42" s="763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92"/>
      <c r="W42" s="576"/>
      <c r="X42" s="766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4"/>
      <c r="J43" s="764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93"/>
      <c r="W43" s="577"/>
      <c r="X43" s="767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42">
        <f>SUM(G45:G52)</f>
        <v>49000</v>
      </c>
      <c r="J45" s="742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54">
        <f>J45-SUM(U45:U52)</f>
        <v>-4.47725009144051E-3</v>
      </c>
      <c r="W45" s="534">
        <v>45855</v>
      </c>
      <c r="X45" s="745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43"/>
      <c r="J46" s="743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55"/>
      <c r="W46" s="534">
        <v>45806</v>
      </c>
      <c r="X46" s="746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43"/>
      <c r="J47" s="743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55"/>
      <c r="W47" s="674">
        <v>45867</v>
      </c>
      <c r="X47" s="746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43"/>
      <c r="J48" s="743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55"/>
      <c r="W48" s="534">
        <v>45838</v>
      </c>
      <c r="X48" s="746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43"/>
      <c r="J49" s="743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55"/>
      <c r="W49" s="534">
        <v>45799</v>
      </c>
      <c r="X49" s="746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43"/>
      <c r="J50" s="743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55"/>
      <c r="W50" s="572">
        <v>46111</v>
      </c>
      <c r="X50" s="746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43"/>
      <c r="J51" s="743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5"/>
      <c r="W51" s="572"/>
      <c r="X51" s="746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44"/>
      <c r="J52" s="744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6"/>
      <c r="W52" s="573"/>
      <c r="X52" s="747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62">
        <f>SUM(G54:G71)</f>
        <v>392189.72608695651</v>
      </c>
      <c r="J54" s="762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1">
        <f>J54-SUM(U54:U71)</f>
        <v>-4.5099278213456273E-4</v>
      </c>
      <c r="W54" s="575"/>
      <c r="X54" s="765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63"/>
      <c r="J55" s="763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792"/>
      <c r="W55" s="655">
        <v>45867</v>
      </c>
      <c r="X55" s="766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63"/>
      <c r="J56" s="763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92"/>
      <c r="W56" s="576"/>
      <c r="X56" s="766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63"/>
      <c r="J57" s="763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92"/>
      <c r="W57" s="576"/>
      <c r="X57" s="766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63"/>
      <c r="J58" s="763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92"/>
      <c r="W58" s="576"/>
      <c r="X58" s="766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63"/>
      <c r="J59" s="763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92"/>
      <c r="W59" s="576"/>
      <c r="X59" s="766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63"/>
      <c r="J60" s="763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83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792"/>
      <c r="W60" s="537">
        <f>W93</f>
        <v>45792</v>
      </c>
      <c r="X60" s="766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63"/>
      <c r="J61" s="763"/>
      <c r="K61" s="299"/>
      <c r="L61" s="296">
        <v>6</v>
      </c>
      <c r="M61" s="429" t="s">
        <v>321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85"/>
      <c r="S61" s="629" t="s">
        <v>290</v>
      </c>
      <c r="T61" s="651">
        <f t="shared" si="0"/>
        <v>45808</v>
      </c>
      <c r="U61" s="661">
        <v>29868.798841829572</v>
      </c>
      <c r="V61" s="792"/>
      <c r="W61" s="655">
        <f>W94</f>
        <v>45792</v>
      </c>
      <c r="X61" s="766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63"/>
      <c r="J62" s="763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85"/>
      <c r="S62" s="629" t="s">
        <v>292</v>
      </c>
      <c r="T62" s="651">
        <v>45869</v>
      </c>
      <c r="U62" s="661">
        <v>39268.030368539163</v>
      </c>
      <c r="V62" s="792"/>
      <c r="W62" s="537">
        <f>W95</f>
        <v>46037</v>
      </c>
      <c r="X62" s="766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63"/>
      <c r="J63" s="763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85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92"/>
      <c r="W63" s="537">
        <f>W96</f>
        <v>45848</v>
      </c>
      <c r="X63" s="766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63"/>
      <c r="J64" s="763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85"/>
      <c r="S64" s="629" t="s">
        <v>294</v>
      </c>
      <c r="T64" s="651">
        <v>45900</v>
      </c>
      <c r="U64" s="661">
        <v>21597.586003902306</v>
      </c>
      <c r="V64" s="792"/>
      <c r="W64" s="537">
        <f>W97</f>
        <v>45911</v>
      </c>
      <c r="X64" s="766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63"/>
      <c r="J65" s="763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85"/>
      <c r="S65" s="629" t="s">
        <v>295</v>
      </c>
      <c r="T65" s="651">
        <v>45900</v>
      </c>
      <c r="U65" s="661">
        <v>19634.037579449192</v>
      </c>
      <c r="V65" s="792"/>
      <c r="W65" s="576">
        <f t="shared" ref="W65:W68" si="8">W98</f>
        <v>46070</v>
      </c>
      <c r="X65" s="766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63"/>
      <c r="J66" s="763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85"/>
      <c r="S66" s="633" t="s">
        <v>297</v>
      </c>
      <c r="T66" s="651">
        <v>45900</v>
      </c>
      <c r="U66" s="676">
        <v>19633.931328447623</v>
      </c>
      <c r="V66" s="792"/>
      <c r="W66" s="576">
        <f t="shared" si="8"/>
        <v>46078</v>
      </c>
      <c r="X66" s="766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63"/>
      <c r="J67" s="763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85"/>
      <c r="S67" s="633" t="s">
        <v>299</v>
      </c>
      <c r="T67" s="651">
        <v>45900</v>
      </c>
      <c r="U67" s="676">
        <v>9816.9550391236535</v>
      </c>
      <c r="V67" s="792"/>
      <c r="W67" s="576">
        <f t="shared" si="8"/>
        <v>46078</v>
      </c>
      <c r="X67" s="766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63"/>
      <c r="J68" s="763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84"/>
      <c r="S68" s="633" t="s">
        <v>301</v>
      </c>
      <c r="T68" s="651">
        <v>45900</v>
      </c>
      <c r="U68" s="676">
        <v>9816.9550391236535</v>
      </c>
      <c r="V68" s="792"/>
      <c r="W68" s="576">
        <f t="shared" si="8"/>
        <v>46101</v>
      </c>
      <c r="X68" s="766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63"/>
      <c r="J69" s="763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92"/>
      <c r="W69" s="579"/>
      <c r="X69" s="766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63"/>
      <c r="J70" s="763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92"/>
      <c r="W70" s="579"/>
      <c r="X70" s="766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4"/>
      <c r="J71" s="764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93"/>
      <c r="W71" s="577"/>
      <c r="X71" s="767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42">
        <f>SUM(G73:G80)</f>
        <v>0</v>
      </c>
      <c r="J73" s="742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88">
        <f>J73-SUM(U73:U80)</f>
        <v>0</v>
      </c>
      <c r="W73" s="581"/>
      <c r="X73" s="745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43"/>
      <c r="J74" s="743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89"/>
      <c r="W74" s="572"/>
      <c r="X74" s="746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43"/>
      <c r="J75" s="743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89"/>
      <c r="W75" s="572"/>
      <c r="X75" s="746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43"/>
      <c r="J76" s="743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89"/>
      <c r="W76" s="572"/>
      <c r="X76" s="746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43"/>
      <c r="J77" s="743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89"/>
      <c r="W77" s="572"/>
      <c r="X77" s="746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43"/>
      <c r="J78" s="743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89"/>
      <c r="W78" s="572"/>
      <c r="X78" s="746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43"/>
      <c r="J79" s="743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89"/>
      <c r="W79" s="572"/>
      <c r="X79" s="746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44"/>
      <c r="J80" s="744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0"/>
      <c r="W80" s="573"/>
      <c r="X80" s="747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62">
        <f>D178</f>
        <v>0</v>
      </c>
      <c r="J82" s="762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74">
        <f>J82-SUM(U82:U90)</f>
        <v>0</v>
      </c>
      <c r="W82" s="536">
        <v>46058</v>
      </c>
      <c r="X82" s="765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63"/>
      <c r="J83" s="763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75"/>
      <c r="W83" s="576"/>
      <c r="X83" s="766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63"/>
      <c r="J84" s="763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75"/>
      <c r="W84" s="537">
        <v>45834</v>
      </c>
      <c r="X84" s="766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63"/>
      <c r="J85" s="763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75"/>
      <c r="W85" s="576"/>
      <c r="X85" s="766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63"/>
      <c r="J86" s="763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83" t="s">
        <v>335</v>
      </c>
      <c r="S86" s="629" t="s">
        <v>336</v>
      </c>
      <c r="T86" s="651">
        <v>46053</v>
      </c>
      <c r="U86" s="506"/>
      <c r="V86" s="775"/>
      <c r="W86" s="537">
        <v>46051</v>
      </c>
      <c r="X86" s="766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63"/>
      <c r="J87" s="763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84"/>
      <c r="S87" s="629" t="s">
        <v>336</v>
      </c>
      <c r="T87" s="651">
        <v>46053</v>
      </c>
      <c r="U87" s="506"/>
      <c r="V87" s="775"/>
      <c r="W87" s="576">
        <v>46072</v>
      </c>
      <c r="X87" s="766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63"/>
      <c r="J88" s="763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75"/>
      <c r="W88" s="576"/>
      <c r="X88" s="766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63"/>
      <c r="J89" s="763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75"/>
      <c r="W89" s="579">
        <f>T89</f>
        <v>46081</v>
      </c>
      <c r="X89" s="766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4"/>
      <c r="J90" s="764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76"/>
      <c r="W90" s="577"/>
      <c r="X90" s="767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68">
        <f>SUM(G92:G104)</f>
        <v>288452.5</v>
      </c>
      <c r="J92" s="742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4">
        <f>J92-SUM(U92:U104)</f>
        <v>7.944770622998476E-4</v>
      </c>
      <c r="W92" s="578"/>
      <c r="X92" s="771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69"/>
      <c r="J93" s="743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0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55"/>
      <c r="W93" s="534">
        <v>45792</v>
      </c>
      <c r="X93" s="772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69"/>
      <c r="J94" s="743"/>
      <c r="K94" s="286"/>
      <c r="L94" s="382">
        <v>9</v>
      </c>
      <c r="M94" s="500" t="s">
        <v>344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81"/>
      <c r="S94" s="625" t="s">
        <v>290</v>
      </c>
      <c r="T94" s="642">
        <f t="shared" si="9"/>
        <v>45808</v>
      </c>
      <c r="U94" s="662">
        <v>50903.382352941167</v>
      </c>
      <c r="V94" s="755"/>
      <c r="W94" s="653">
        <v>45792</v>
      </c>
      <c r="X94" s="772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69"/>
      <c r="J95" s="743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1"/>
      <c r="S95" s="625" t="s">
        <v>292</v>
      </c>
      <c r="T95" s="642">
        <v>45869</v>
      </c>
      <c r="U95" s="662">
        <v>67871.177106169795</v>
      </c>
      <c r="V95" s="755"/>
      <c r="W95" s="535">
        <v>46037</v>
      </c>
      <c r="X95" s="772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69"/>
      <c r="J96" s="743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1"/>
      <c r="S96" s="625" t="s">
        <v>346</v>
      </c>
      <c r="T96" s="642">
        <f t="shared" si="9"/>
        <v>45869</v>
      </c>
      <c r="U96" s="662">
        <v>47509.820796411062</v>
      </c>
      <c r="V96" s="755"/>
      <c r="W96" s="535">
        <v>45848</v>
      </c>
      <c r="X96" s="772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69"/>
      <c r="J97" s="743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1"/>
      <c r="S97" s="625" t="s">
        <v>294</v>
      </c>
      <c r="T97" s="642">
        <v>45900</v>
      </c>
      <c r="U97" s="662">
        <v>37329.147408393386</v>
      </c>
      <c r="V97" s="755"/>
      <c r="W97" s="535">
        <v>45911</v>
      </c>
      <c r="X97" s="772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69"/>
      <c r="J98" s="743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1"/>
      <c r="S98" s="625"/>
      <c r="T98" s="517">
        <f t="shared" si="9"/>
        <v>46081</v>
      </c>
      <c r="U98" s="502">
        <f t="shared" ref="U98:U104" si="11">(Q98/$X$92*$J$92)</f>
        <v>33935.588553084897</v>
      </c>
      <c r="V98" s="755"/>
      <c r="W98" s="572">
        <f>'Project Plan'!K39+7</f>
        <v>46070</v>
      </c>
      <c r="X98" s="772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69"/>
      <c r="J99" s="743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1"/>
      <c r="S99" s="625"/>
      <c r="T99" s="517">
        <f t="shared" si="9"/>
        <v>46081</v>
      </c>
      <c r="U99" s="502">
        <f t="shared" si="11"/>
        <v>33935.588553084897</v>
      </c>
      <c r="V99" s="755"/>
      <c r="W99" s="572">
        <f>'Project Plan'!K48+7</f>
        <v>46078</v>
      </c>
      <c r="X99" s="772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69"/>
      <c r="J100" s="743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1"/>
      <c r="S100" s="625"/>
      <c r="T100" s="517">
        <f t="shared" si="9"/>
        <v>46081</v>
      </c>
      <c r="U100" s="502">
        <f t="shared" si="11"/>
        <v>16967.794276542449</v>
      </c>
      <c r="V100" s="755"/>
      <c r="W100" s="572">
        <f>'Project Plan'!K48+7</f>
        <v>46078</v>
      </c>
      <c r="X100" s="772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69"/>
      <c r="J101" s="743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82"/>
      <c r="S101" s="625"/>
      <c r="T101" s="517">
        <f t="shared" si="9"/>
        <v>46112</v>
      </c>
      <c r="U101" s="502">
        <f t="shared" si="11"/>
        <v>16967.794276542449</v>
      </c>
      <c r="V101" s="755"/>
      <c r="W101" s="572">
        <f>'Project Plan'!K48+30</f>
        <v>46101</v>
      </c>
      <c r="X101" s="772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69"/>
      <c r="J102" s="743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5"/>
      <c r="W102" s="572"/>
      <c r="X102" s="772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69"/>
      <c r="J103" s="743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5"/>
      <c r="W103" s="572"/>
      <c r="X103" s="772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0"/>
      <c r="J104" s="744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6"/>
      <c r="W104" s="573"/>
      <c r="X104" s="773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48">
        <f>SUM(G106:G125)</f>
        <v>58027.933333333342</v>
      </c>
      <c r="J106" s="748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7">
        <f>J106-SUM(U106:U125)</f>
        <v>4.4754566042684019E-3</v>
      </c>
      <c r="W106" s="582"/>
      <c r="X106" s="751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49"/>
      <c r="J107" s="749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8"/>
      <c r="W107" s="583"/>
      <c r="X107" s="752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49"/>
      <c r="J108" s="749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58"/>
      <c r="W108" s="540">
        <v>45849</v>
      </c>
      <c r="X108" s="752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49"/>
      <c r="J109" s="749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8"/>
      <c r="W109" s="583"/>
      <c r="X109" s="752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49"/>
      <c r="J110" s="749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8"/>
      <c r="W110" s="583"/>
      <c r="X110" s="752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49"/>
      <c r="J111" s="749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8"/>
      <c r="W111" s="583"/>
      <c r="X111" s="752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49"/>
      <c r="J112" s="749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8"/>
      <c r="W112" s="583"/>
      <c r="X112" s="752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49"/>
      <c r="J113" s="749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8"/>
      <c r="W113" s="583"/>
      <c r="X113" s="752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49"/>
      <c r="J114" s="749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77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58"/>
      <c r="W114" s="541">
        <f t="shared" ref="W114:W122" si="14">W93</f>
        <v>45792</v>
      </c>
      <c r="X114" s="752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49"/>
      <c r="J115" s="749"/>
      <c r="K115" s="270"/>
      <c r="L115" s="338">
        <v>10</v>
      </c>
      <c r="M115" s="434" t="s">
        <v>348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78"/>
      <c r="S115" s="638" t="s">
        <v>290</v>
      </c>
      <c r="T115" s="652">
        <f t="shared" si="9"/>
        <v>45808</v>
      </c>
      <c r="U115" s="663">
        <v>3925.6234594188095</v>
      </c>
      <c r="V115" s="758"/>
      <c r="W115" s="654">
        <f t="shared" si="14"/>
        <v>45792</v>
      </c>
      <c r="X115" s="752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49"/>
      <c r="J116" s="749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78"/>
      <c r="S116" s="638" t="s">
        <v>292</v>
      </c>
      <c r="T116" s="652">
        <v>45869</v>
      </c>
      <c r="U116" s="663">
        <v>6306.9193525095388</v>
      </c>
      <c r="V116" s="758"/>
      <c r="W116" s="541">
        <f t="shared" si="14"/>
        <v>46037</v>
      </c>
      <c r="X116" s="752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49"/>
      <c r="J117" s="749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78"/>
      <c r="S117" s="638" t="s">
        <v>346</v>
      </c>
      <c r="T117" s="673">
        <v>45869</v>
      </c>
      <c r="U117" s="663">
        <v>4414.8434354846222</v>
      </c>
      <c r="V117" s="758"/>
      <c r="W117" s="541">
        <f t="shared" si="14"/>
        <v>45848</v>
      </c>
      <c r="X117" s="752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49"/>
      <c r="J118" s="749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78"/>
      <c r="S118" s="638" t="s">
        <v>294</v>
      </c>
      <c r="T118" s="652">
        <v>45900</v>
      </c>
      <c r="U118" s="663">
        <v>6873.7404798262696</v>
      </c>
      <c r="V118" s="758"/>
      <c r="W118" s="541">
        <f>W97</f>
        <v>45911</v>
      </c>
      <c r="X118" s="752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49"/>
      <c r="J119" s="749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78"/>
      <c r="S119" s="638" t="s">
        <v>295</v>
      </c>
      <c r="T119" s="652">
        <v>45900</v>
      </c>
      <c r="U119" s="663">
        <v>6248.8763634283951</v>
      </c>
      <c r="V119" s="758"/>
      <c r="W119" s="584">
        <f t="shared" si="14"/>
        <v>46070</v>
      </c>
      <c r="X119" s="752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49"/>
      <c r="J120" s="749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78"/>
      <c r="S120" s="638" t="s">
        <v>297</v>
      </c>
      <c r="T120" s="652">
        <v>45900</v>
      </c>
      <c r="U120" s="663">
        <v>6248.7381531461197</v>
      </c>
      <c r="V120" s="758"/>
      <c r="W120" s="584">
        <f t="shared" si="14"/>
        <v>46078</v>
      </c>
      <c r="X120" s="752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49"/>
      <c r="J121" s="749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78"/>
      <c r="S121" s="638" t="s">
        <v>299</v>
      </c>
      <c r="T121" s="652">
        <v>45900</v>
      </c>
      <c r="U121" s="663">
        <v>3124.4274908301227</v>
      </c>
      <c r="V121" s="758"/>
      <c r="W121" s="584">
        <f t="shared" si="14"/>
        <v>46078</v>
      </c>
      <c r="X121" s="752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49"/>
      <c r="J122" s="749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79"/>
      <c r="S122" s="638" t="s">
        <v>301</v>
      </c>
      <c r="T122" s="652">
        <v>45900</v>
      </c>
      <c r="U122" s="663">
        <v>3124.4274908301227</v>
      </c>
      <c r="V122" s="758"/>
      <c r="W122" s="584">
        <f t="shared" si="14"/>
        <v>46101</v>
      </c>
      <c r="X122" s="752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49"/>
      <c r="J123" s="749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8"/>
      <c r="W123" s="584"/>
      <c r="X123" s="752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49"/>
      <c r="J124" s="749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8"/>
      <c r="W124" s="584"/>
      <c r="X124" s="752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0"/>
      <c r="J125" s="750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9"/>
      <c r="W125" s="585"/>
      <c r="X125" s="753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42">
        <f>SUM(G127:G131)</f>
        <v>116504.5</v>
      </c>
      <c r="J127" s="742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54">
        <f>J127-SUM(U127:U131)</f>
        <v>-2.8580339858308434E-3</v>
      </c>
      <c r="W127" s="578">
        <f>'Project Plan'!K39+14</f>
        <v>46077</v>
      </c>
      <c r="X127" s="745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43"/>
      <c r="J128" s="743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55"/>
      <c r="W128" s="649">
        <v>45757</v>
      </c>
      <c r="X128" s="746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43"/>
      <c r="J129" s="743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5"/>
      <c r="W129" s="571"/>
      <c r="X129" s="746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43"/>
      <c r="J130" s="743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55"/>
      <c r="W130" s="535">
        <v>45834</v>
      </c>
      <c r="X130" s="746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44"/>
      <c r="J131" s="744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56"/>
      <c r="W131" s="573">
        <f>T131+30</f>
        <v>46111</v>
      </c>
      <c r="X131" s="747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48">
        <f>SUM(G133:G134)</f>
        <v>77365.816500953879</v>
      </c>
      <c r="J133" s="748">
        <v>0</v>
      </c>
      <c r="K133" s="760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1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0"/>
      <c r="J134" s="750"/>
      <c r="K134" s="761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53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42">
        <f>SUM(G136:G140)</f>
        <v>122409.30774275362</v>
      </c>
      <c r="J136" s="742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54">
        <f>J136-SUM(U136:U141)</f>
        <v>0</v>
      </c>
      <c r="W136" s="578">
        <v>46112</v>
      </c>
      <c r="X136" s="745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43"/>
      <c r="J137" s="743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55"/>
      <c r="W137" s="571"/>
      <c r="X137" s="746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43"/>
      <c r="J138" s="743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55"/>
      <c r="W138" s="571"/>
      <c r="X138" s="746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43"/>
      <c r="J139" s="743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55"/>
      <c r="W139" s="571"/>
      <c r="X139" s="746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43"/>
      <c r="J140" s="743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55"/>
      <c r="W140" s="571"/>
      <c r="X140" s="746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44"/>
      <c r="J141" s="744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6"/>
      <c r="W141" s="573"/>
      <c r="X141" s="747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48">
        <f>SUM(G143:G155)</f>
        <v>6475</v>
      </c>
      <c r="J143" s="748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7">
        <f>J143-SUM(U143:U155)</f>
        <v>2.6487714585528011E-3</v>
      </c>
      <c r="W143" s="650">
        <v>45777</v>
      </c>
      <c r="X143" s="751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49"/>
      <c r="J144" s="749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58"/>
      <c r="W144" s="541">
        <v>45817</v>
      </c>
      <c r="X144" s="752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49"/>
      <c r="J145" s="749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58"/>
      <c r="W145" s="541">
        <v>45842</v>
      </c>
      <c r="X145" s="752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49"/>
      <c r="J146" s="749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58"/>
      <c r="W146" s="541">
        <v>45876</v>
      </c>
      <c r="X146" s="752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49"/>
      <c r="J147" s="749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58"/>
      <c r="W147" s="681">
        <v>45900</v>
      </c>
      <c r="X147" s="752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49"/>
      <c r="J148" s="749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58"/>
      <c r="W148" s="681">
        <v>45939</v>
      </c>
      <c r="X148" s="752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49"/>
      <c r="J149" s="749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58"/>
      <c r="W149" s="681">
        <v>45967</v>
      </c>
      <c r="X149" s="752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49"/>
      <c r="J150" s="749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58"/>
      <c r="W150" s="681">
        <v>45991</v>
      </c>
      <c r="X150" s="752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49"/>
      <c r="J151" s="749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58"/>
      <c r="W151" s="681">
        <v>46030</v>
      </c>
      <c r="X151" s="752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49"/>
      <c r="J152" s="749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58"/>
      <c r="W152" s="681">
        <v>46058</v>
      </c>
      <c r="X152" s="752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49"/>
      <c r="J153" s="749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58"/>
      <c r="W153" s="584">
        <v>46086</v>
      </c>
      <c r="X153" s="752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49"/>
      <c r="J154" s="749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58"/>
      <c r="W154" s="584">
        <v>46121</v>
      </c>
      <c r="X154" s="752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0"/>
      <c r="J155" s="750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9"/>
      <c r="W155" s="585"/>
      <c r="X155" s="753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42">
        <f>SUM(G157:G169)</f>
        <v>300000</v>
      </c>
      <c r="J157" s="742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54">
        <f>J157-SUM(U157:U169)</f>
        <v>-5.3475843742489815E-5</v>
      </c>
      <c r="W157" s="538">
        <v>45849</v>
      </c>
      <c r="X157" s="745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43"/>
      <c r="J158" s="743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55"/>
      <c r="W158" s="571">
        <f>'Project Plan'!K41+7</f>
        <v>46070</v>
      </c>
      <c r="X158" s="746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43"/>
      <c r="J159" s="743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5"/>
      <c r="W159" s="571"/>
      <c r="X159" s="746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43"/>
      <c r="J160" s="743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55"/>
      <c r="W160" s="534">
        <v>45911</v>
      </c>
      <c r="X160" s="746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43"/>
      <c r="J161" s="743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55"/>
      <c r="W161" s="649">
        <v>45932</v>
      </c>
      <c r="X161" s="746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43"/>
      <c r="J162" s="743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55"/>
      <c r="W162" s="534">
        <v>45995</v>
      </c>
      <c r="X162" s="746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43"/>
      <c r="J163" s="743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5"/>
      <c r="W163" s="571"/>
      <c r="X163" s="746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43"/>
      <c r="J164" s="743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5"/>
      <c r="W164" s="571"/>
      <c r="X164" s="746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43"/>
      <c r="J165" s="743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5"/>
      <c r="W165" s="571"/>
      <c r="X165" s="746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43"/>
      <c r="J166" s="743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5"/>
      <c r="W166" s="571"/>
      <c r="X166" s="746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43"/>
      <c r="J167" s="743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5"/>
      <c r="W167" s="571"/>
      <c r="X167" s="746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43"/>
      <c r="J168" s="743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5"/>
      <c r="W168" s="571"/>
      <c r="X168" s="746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44"/>
      <c r="J169" s="744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6"/>
      <c r="W169" s="573"/>
      <c r="X169" s="747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tabSelected="1" zoomScaleNormal="100" workbookViewId="0">
      <pane xSplit="5" ySplit="15" topLeftCell="Y33" activePane="bottomRight" state="frozen"/>
      <selection pane="bottomRight" activeCell="Z33" sqref="Z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1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02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02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02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02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1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7" t="s">
        <v>415</v>
      </c>
      <c r="C9" s="208">
        <f>'Revenue Tracking'!F4</f>
        <v>3355439.0000000005</v>
      </c>
      <c r="D9" s="208">
        <f>SUM(F9:LD9)</f>
        <v>3355439.0000000005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838859.75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02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2684351.2000000002</v>
      </c>
      <c r="BK10" s="209">
        <f t="shared" si="21"/>
        <v>3187667.0500000003</v>
      </c>
      <c r="BL10" s="209">
        <f t="shared" si="21"/>
        <v>3355439.0000000005</v>
      </c>
      <c r="BM10" s="209">
        <f t="shared" si="21"/>
        <v>3355439.0000000005</v>
      </c>
      <c r="BN10" s="209">
        <f t="shared" si="21"/>
        <v>3355439.0000000005</v>
      </c>
      <c r="BO10" s="209">
        <f t="shared" si="21"/>
        <v>3355439.0000000005</v>
      </c>
      <c r="BP10" s="209">
        <f t="shared" si="21"/>
        <v>3355439.0000000005</v>
      </c>
      <c r="BQ10" s="209">
        <f t="shared" si="21"/>
        <v>3355439.0000000005</v>
      </c>
      <c r="BR10" s="209">
        <f t="shared" si="21"/>
        <v>3355439.0000000005</v>
      </c>
      <c r="BS10" s="209">
        <f t="shared" si="21"/>
        <v>3355439.0000000005</v>
      </c>
      <c r="BT10" s="209">
        <f t="shared" si="21"/>
        <v>3355439.0000000005</v>
      </c>
      <c r="BU10" s="209">
        <f t="shared" ref="BU10:EF10" si="22">BT10+BU9</f>
        <v>3355439.0000000005</v>
      </c>
      <c r="BV10" s="209">
        <f t="shared" si="22"/>
        <v>3355439.0000000005</v>
      </c>
      <c r="BW10" s="209">
        <f t="shared" si="22"/>
        <v>3355439.0000000005</v>
      </c>
      <c r="BX10" s="209">
        <f t="shared" si="22"/>
        <v>3355439.0000000005</v>
      </c>
      <c r="BY10" s="209">
        <f t="shared" si="22"/>
        <v>3355439.0000000005</v>
      </c>
      <c r="BZ10" s="209">
        <f t="shared" si="22"/>
        <v>3355439.0000000005</v>
      </c>
      <c r="CA10" s="209">
        <f t="shared" si="22"/>
        <v>3355439.0000000005</v>
      </c>
      <c r="CB10" s="209">
        <f t="shared" si="22"/>
        <v>3355439.0000000005</v>
      </c>
      <c r="CC10" s="209">
        <f t="shared" si="22"/>
        <v>3355439.0000000005</v>
      </c>
      <c r="CD10" s="209">
        <f t="shared" si="22"/>
        <v>3355439.0000000005</v>
      </c>
      <c r="CE10" s="209">
        <f t="shared" si="22"/>
        <v>3355439.0000000005</v>
      </c>
      <c r="CF10" s="209">
        <f t="shared" si="22"/>
        <v>3355439.0000000005</v>
      </c>
      <c r="CG10" s="209">
        <f t="shared" si="22"/>
        <v>3355439.0000000005</v>
      </c>
      <c r="CH10" s="209">
        <f t="shared" si="22"/>
        <v>3355439.0000000005</v>
      </c>
      <c r="CI10" s="209">
        <f t="shared" si="22"/>
        <v>3355439.0000000005</v>
      </c>
      <c r="CJ10" s="209">
        <f t="shared" si="22"/>
        <v>3355439.0000000005</v>
      </c>
      <c r="CK10" s="209">
        <f t="shared" si="22"/>
        <v>3355439.0000000005</v>
      </c>
      <c r="CL10" s="209">
        <f t="shared" si="22"/>
        <v>3355439.0000000005</v>
      </c>
      <c r="CM10" s="209">
        <f t="shared" si="22"/>
        <v>3355439.0000000005</v>
      </c>
      <c r="CN10" s="209">
        <f t="shared" si="22"/>
        <v>3355439.0000000005</v>
      </c>
      <c r="CO10" s="209">
        <f t="shared" si="22"/>
        <v>3355439.0000000005</v>
      </c>
      <c r="CP10" s="209">
        <f t="shared" si="22"/>
        <v>3355439.0000000005</v>
      </c>
      <c r="CQ10" s="209">
        <f t="shared" si="22"/>
        <v>3355439.0000000005</v>
      </c>
      <c r="CR10" s="209">
        <f t="shared" si="22"/>
        <v>3355439.0000000005</v>
      </c>
      <c r="CS10" s="209">
        <f t="shared" si="22"/>
        <v>3355439.0000000005</v>
      </c>
      <c r="CT10" s="209">
        <f t="shared" si="22"/>
        <v>3355439.0000000005</v>
      </c>
      <c r="CU10" s="209">
        <f t="shared" si="22"/>
        <v>3355439.0000000005</v>
      </c>
      <c r="CV10" s="209">
        <f t="shared" si="22"/>
        <v>3355439.0000000005</v>
      </c>
      <c r="CW10" s="209">
        <f t="shared" si="22"/>
        <v>3355439.0000000005</v>
      </c>
      <c r="CX10" s="209">
        <f t="shared" si="22"/>
        <v>3355439.0000000005</v>
      </c>
      <c r="CY10" s="209">
        <f t="shared" si="22"/>
        <v>3355439.0000000005</v>
      </c>
      <c r="CZ10" s="209">
        <f t="shared" si="22"/>
        <v>3355439.0000000005</v>
      </c>
      <c r="DA10" s="209">
        <f t="shared" si="22"/>
        <v>3355439.0000000005</v>
      </c>
      <c r="DB10" s="209">
        <f t="shared" si="22"/>
        <v>3355439.0000000005</v>
      </c>
      <c r="DC10" s="209">
        <f t="shared" si="22"/>
        <v>3355439.0000000005</v>
      </c>
      <c r="DD10" s="209">
        <f t="shared" si="22"/>
        <v>3355439.0000000005</v>
      </c>
      <c r="DE10" s="209">
        <f t="shared" si="22"/>
        <v>3355439.0000000005</v>
      </c>
      <c r="DF10" s="209">
        <f t="shared" si="22"/>
        <v>3355439.0000000005</v>
      </c>
      <c r="DG10" s="209">
        <f t="shared" si="22"/>
        <v>3355439.0000000005</v>
      </c>
      <c r="DH10" s="209">
        <f t="shared" si="22"/>
        <v>3355439.0000000005</v>
      </c>
      <c r="DI10" s="209">
        <f t="shared" si="22"/>
        <v>3355439.0000000005</v>
      </c>
      <c r="DJ10" s="209">
        <f t="shared" si="22"/>
        <v>3355439.0000000005</v>
      </c>
      <c r="DK10" s="209">
        <f t="shared" si="22"/>
        <v>3355439.0000000005</v>
      </c>
      <c r="DL10" s="209">
        <f t="shared" si="22"/>
        <v>3355439.0000000005</v>
      </c>
      <c r="DM10" s="209">
        <f t="shared" si="22"/>
        <v>3355439.0000000005</v>
      </c>
      <c r="DN10" s="209">
        <f t="shared" si="22"/>
        <v>3355439.0000000005</v>
      </c>
      <c r="DO10" s="209">
        <f t="shared" si="22"/>
        <v>3355439.0000000005</v>
      </c>
      <c r="DP10" s="209">
        <f t="shared" si="22"/>
        <v>3355439.0000000005</v>
      </c>
      <c r="DQ10" s="209">
        <f t="shared" si="22"/>
        <v>3355439.0000000005</v>
      </c>
      <c r="DR10" s="209">
        <f t="shared" si="22"/>
        <v>3355439.0000000005</v>
      </c>
      <c r="DS10" s="209">
        <f t="shared" si="22"/>
        <v>3355439.0000000005</v>
      </c>
      <c r="DT10" s="209">
        <f t="shared" si="22"/>
        <v>3355439.0000000005</v>
      </c>
      <c r="DU10" s="209">
        <f t="shared" si="22"/>
        <v>3355439.0000000005</v>
      </c>
      <c r="DV10" s="209">
        <f t="shared" si="22"/>
        <v>3355439.0000000005</v>
      </c>
      <c r="DW10" s="209">
        <f t="shared" si="22"/>
        <v>3355439.0000000005</v>
      </c>
      <c r="DX10" s="209">
        <f t="shared" si="22"/>
        <v>3355439.0000000005</v>
      </c>
      <c r="DY10" s="209">
        <f t="shared" si="22"/>
        <v>3355439.0000000005</v>
      </c>
      <c r="DZ10" s="209">
        <f t="shared" si="22"/>
        <v>3355439.0000000005</v>
      </c>
      <c r="EA10" s="209">
        <f t="shared" si="22"/>
        <v>3355439.0000000005</v>
      </c>
      <c r="EB10" s="209">
        <f t="shared" si="22"/>
        <v>3355439.0000000005</v>
      </c>
      <c r="EC10" s="209">
        <f t="shared" si="22"/>
        <v>3355439.0000000005</v>
      </c>
      <c r="ED10" s="209">
        <f t="shared" si="22"/>
        <v>3355439.0000000005</v>
      </c>
      <c r="EE10" s="209">
        <f t="shared" si="22"/>
        <v>3355439.0000000005</v>
      </c>
      <c r="EF10" s="209">
        <f t="shared" si="22"/>
        <v>3355439.0000000005</v>
      </c>
      <c r="EG10" s="209">
        <f t="shared" ref="EG10:GR10" si="23">EF10+EG9</f>
        <v>3355439.0000000005</v>
      </c>
      <c r="EH10" s="209">
        <f t="shared" si="23"/>
        <v>3355439.0000000005</v>
      </c>
      <c r="EI10" s="209">
        <f t="shared" si="23"/>
        <v>3355439.0000000005</v>
      </c>
      <c r="EJ10" s="209">
        <f t="shared" si="23"/>
        <v>3355439.0000000005</v>
      </c>
      <c r="EK10" s="209">
        <f t="shared" si="23"/>
        <v>3355439.0000000005</v>
      </c>
      <c r="EL10" s="209">
        <f t="shared" si="23"/>
        <v>3355439.0000000005</v>
      </c>
      <c r="EM10" s="209">
        <f t="shared" si="23"/>
        <v>3355439.0000000005</v>
      </c>
      <c r="EN10" s="209">
        <f t="shared" si="23"/>
        <v>3355439.0000000005</v>
      </c>
      <c r="EO10" s="209">
        <f t="shared" si="23"/>
        <v>3355439.0000000005</v>
      </c>
      <c r="EP10" s="209">
        <f t="shared" si="23"/>
        <v>3355439.0000000005</v>
      </c>
      <c r="EQ10" s="209">
        <f t="shared" si="23"/>
        <v>3355439.0000000005</v>
      </c>
      <c r="ER10" s="209">
        <f t="shared" si="23"/>
        <v>3355439.0000000005</v>
      </c>
      <c r="ES10" s="209">
        <f t="shared" si="23"/>
        <v>3355439.0000000005</v>
      </c>
      <c r="ET10" s="209">
        <f t="shared" si="23"/>
        <v>3355439.0000000005</v>
      </c>
      <c r="EU10" s="209">
        <f t="shared" si="23"/>
        <v>3355439.0000000005</v>
      </c>
      <c r="EV10" s="209">
        <f t="shared" si="23"/>
        <v>3355439.0000000005</v>
      </c>
      <c r="EW10" s="209">
        <f t="shared" si="23"/>
        <v>3355439.0000000005</v>
      </c>
      <c r="EX10" s="209">
        <f t="shared" si="23"/>
        <v>3355439.0000000005</v>
      </c>
      <c r="EY10" s="209">
        <f t="shared" si="23"/>
        <v>3355439.0000000005</v>
      </c>
      <c r="EZ10" s="209">
        <f t="shared" si="23"/>
        <v>3355439.0000000005</v>
      </c>
      <c r="FA10" s="209">
        <f t="shared" si="23"/>
        <v>3355439.0000000005</v>
      </c>
      <c r="FB10" s="209">
        <f t="shared" si="23"/>
        <v>3355439.0000000005</v>
      </c>
      <c r="FC10" s="209">
        <f t="shared" si="23"/>
        <v>3355439.0000000005</v>
      </c>
      <c r="FD10" s="209">
        <f t="shared" si="23"/>
        <v>3355439.0000000005</v>
      </c>
      <c r="FE10" s="209">
        <f t="shared" si="23"/>
        <v>3355439.0000000005</v>
      </c>
      <c r="FF10" s="209">
        <f t="shared" si="23"/>
        <v>3355439.0000000005</v>
      </c>
      <c r="FG10" s="209">
        <f t="shared" si="23"/>
        <v>3355439.0000000005</v>
      </c>
      <c r="FH10" s="209">
        <f t="shared" si="23"/>
        <v>3355439.0000000005</v>
      </c>
      <c r="FI10" s="209">
        <f t="shared" si="23"/>
        <v>3355439.0000000005</v>
      </c>
      <c r="FJ10" s="209">
        <f t="shared" si="23"/>
        <v>3355439.0000000005</v>
      </c>
      <c r="FK10" s="209">
        <f t="shared" si="23"/>
        <v>3355439.0000000005</v>
      </c>
      <c r="FL10" s="209">
        <f t="shared" si="23"/>
        <v>3355439.0000000005</v>
      </c>
      <c r="FM10" s="209">
        <f t="shared" si="23"/>
        <v>3355439.0000000005</v>
      </c>
      <c r="FN10" s="209">
        <f t="shared" si="23"/>
        <v>3355439.0000000005</v>
      </c>
      <c r="FO10" s="209">
        <f t="shared" si="23"/>
        <v>3355439.0000000005</v>
      </c>
      <c r="FP10" s="209">
        <f t="shared" si="23"/>
        <v>3355439.0000000005</v>
      </c>
      <c r="FQ10" s="209">
        <f t="shared" si="23"/>
        <v>3355439.0000000005</v>
      </c>
      <c r="FR10" s="209">
        <f t="shared" si="23"/>
        <v>3355439.0000000005</v>
      </c>
      <c r="FS10" s="209">
        <f t="shared" si="23"/>
        <v>3355439.0000000005</v>
      </c>
      <c r="FT10" s="209">
        <f t="shared" si="23"/>
        <v>3355439.0000000005</v>
      </c>
      <c r="FU10" s="209">
        <f t="shared" si="23"/>
        <v>3355439.0000000005</v>
      </c>
      <c r="FV10" s="209">
        <f t="shared" si="23"/>
        <v>3355439.0000000005</v>
      </c>
      <c r="FW10" s="209">
        <f t="shared" si="23"/>
        <v>3355439.0000000005</v>
      </c>
      <c r="FX10" s="209">
        <f t="shared" si="23"/>
        <v>3355439.0000000005</v>
      </c>
      <c r="FY10" s="209">
        <f t="shared" si="23"/>
        <v>3355439.0000000005</v>
      </c>
      <c r="FZ10" s="209">
        <f t="shared" si="23"/>
        <v>3355439.0000000005</v>
      </c>
      <c r="GA10" s="209">
        <f t="shared" si="23"/>
        <v>3355439.0000000005</v>
      </c>
      <c r="GB10" s="209">
        <f t="shared" si="23"/>
        <v>3355439.0000000005</v>
      </c>
      <c r="GC10" s="209">
        <f t="shared" si="23"/>
        <v>3355439.0000000005</v>
      </c>
      <c r="GD10" s="209">
        <f t="shared" si="23"/>
        <v>3355439.0000000005</v>
      </c>
      <c r="GE10" s="209">
        <f t="shared" si="23"/>
        <v>3355439.0000000005</v>
      </c>
      <c r="GF10" s="209">
        <f t="shared" si="23"/>
        <v>3355439.0000000005</v>
      </c>
      <c r="GG10" s="209">
        <f t="shared" si="23"/>
        <v>3355439.0000000005</v>
      </c>
      <c r="GH10" s="209">
        <f t="shared" si="23"/>
        <v>3355439.0000000005</v>
      </c>
      <c r="GI10" s="209">
        <f t="shared" si="23"/>
        <v>3355439.0000000005</v>
      </c>
      <c r="GJ10" s="209">
        <f t="shared" si="23"/>
        <v>3355439.0000000005</v>
      </c>
      <c r="GK10" s="209">
        <f t="shared" si="23"/>
        <v>3355439.0000000005</v>
      </c>
      <c r="GL10" s="209">
        <f t="shared" si="23"/>
        <v>3355439.0000000005</v>
      </c>
      <c r="GM10" s="209">
        <f t="shared" si="23"/>
        <v>3355439.0000000005</v>
      </c>
      <c r="GN10" s="209">
        <f t="shared" si="23"/>
        <v>3355439.0000000005</v>
      </c>
      <c r="GO10" s="209">
        <f t="shared" si="23"/>
        <v>3355439.0000000005</v>
      </c>
      <c r="GP10" s="209">
        <f t="shared" si="23"/>
        <v>3355439.0000000005</v>
      </c>
      <c r="GQ10" s="209">
        <f t="shared" si="23"/>
        <v>3355439.0000000005</v>
      </c>
      <c r="GR10" s="209">
        <f t="shared" si="23"/>
        <v>3355439.0000000005</v>
      </c>
      <c r="GS10" s="209">
        <f t="shared" ref="GS10:JD10" si="24">GR10+GS9</f>
        <v>3355439.0000000005</v>
      </c>
      <c r="GT10" s="209">
        <f t="shared" si="24"/>
        <v>3355439.0000000005</v>
      </c>
      <c r="GU10" s="209">
        <f t="shared" si="24"/>
        <v>3355439.0000000005</v>
      </c>
      <c r="GV10" s="209">
        <f t="shared" si="24"/>
        <v>3355439.0000000005</v>
      </c>
      <c r="GW10" s="209">
        <f t="shared" si="24"/>
        <v>3355439.0000000005</v>
      </c>
      <c r="GX10" s="209">
        <f t="shared" si="24"/>
        <v>3355439.0000000005</v>
      </c>
      <c r="GY10" s="209">
        <f t="shared" si="24"/>
        <v>3355439.0000000005</v>
      </c>
      <c r="GZ10" s="209">
        <f t="shared" si="24"/>
        <v>3355439.0000000005</v>
      </c>
      <c r="HA10" s="209">
        <f t="shared" si="24"/>
        <v>3355439.0000000005</v>
      </c>
      <c r="HB10" s="209">
        <f t="shared" si="24"/>
        <v>3355439.0000000005</v>
      </c>
      <c r="HC10" s="209">
        <f t="shared" si="24"/>
        <v>3355439.0000000005</v>
      </c>
      <c r="HD10" s="209">
        <f t="shared" si="24"/>
        <v>3355439.0000000005</v>
      </c>
      <c r="HE10" s="209">
        <f t="shared" si="24"/>
        <v>3355439.0000000005</v>
      </c>
      <c r="HF10" s="209">
        <f t="shared" si="24"/>
        <v>3355439.0000000005</v>
      </c>
      <c r="HG10" s="209">
        <f t="shared" si="24"/>
        <v>3355439.0000000005</v>
      </c>
      <c r="HH10" s="209">
        <f t="shared" si="24"/>
        <v>3355439.0000000005</v>
      </c>
      <c r="HI10" s="209">
        <f t="shared" si="24"/>
        <v>3355439.0000000005</v>
      </c>
      <c r="HJ10" s="209">
        <f t="shared" si="24"/>
        <v>3355439.0000000005</v>
      </c>
      <c r="HK10" s="209">
        <f t="shared" si="24"/>
        <v>3355439.0000000005</v>
      </c>
      <c r="HL10" s="209">
        <f t="shared" si="24"/>
        <v>3355439.0000000005</v>
      </c>
      <c r="HM10" s="209">
        <f t="shared" si="24"/>
        <v>3355439.0000000005</v>
      </c>
      <c r="HN10" s="209">
        <f t="shared" si="24"/>
        <v>3355439.0000000005</v>
      </c>
      <c r="HO10" s="209">
        <f t="shared" si="24"/>
        <v>3355439.0000000005</v>
      </c>
      <c r="HP10" s="209">
        <f t="shared" si="24"/>
        <v>3355439.0000000005</v>
      </c>
      <c r="HQ10" s="209">
        <f t="shared" si="24"/>
        <v>3355439.0000000005</v>
      </c>
      <c r="HR10" s="209">
        <f t="shared" si="24"/>
        <v>3355439.0000000005</v>
      </c>
      <c r="HS10" s="209">
        <f t="shared" si="24"/>
        <v>3355439.0000000005</v>
      </c>
      <c r="HT10" s="209">
        <f t="shared" si="24"/>
        <v>3355439.0000000005</v>
      </c>
      <c r="HU10" s="209">
        <f t="shared" si="24"/>
        <v>3355439.0000000005</v>
      </c>
      <c r="HV10" s="209">
        <f t="shared" si="24"/>
        <v>3355439.0000000005</v>
      </c>
      <c r="HW10" s="209">
        <f t="shared" si="24"/>
        <v>3355439.0000000005</v>
      </c>
      <c r="HX10" s="209">
        <f t="shared" si="24"/>
        <v>3355439.0000000005</v>
      </c>
      <c r="HY10" s="209">
        <f t="shared" si="24"/>
        <v>3355439.0000000005</v>
      </c>
      <c r="HZ10" s="209">
        <f t="shared" si="24"/>
        <v>3355439.0000000005</v>
      </c>
      <c r="IA10" s="209">
        <f t="shared" si="24"/>
        <v>3355439.0000000005</v>
      </c>
      <c r="IB10" s="209">
        <f t="shared" si="24"/>
        <v>3355439.0000000005</v>
      </c>
      <c r="IC10" s="209">
        <f t="shared" si="24"/>
        <v>3355439.0000000005</v>
      </c>
      <c r="ID10" s="209">
        <f t="shared" si="24"/>
        <v>3355439.0000000005</v>
      </c>
      <c r="IE10" s="209">
        <f t="shared" si="24"/>
        <v>3355439.0000000005</v>
      </c>
      <c r="IF10" s="209">
        <f t="shared" si="24"/>
        <v>3355439.0000000005</v>
      </c>
      <c r="IG10" s="209">
        <f t="shared" si="24"/>
        <v>3355439.0000000005</v>
      </c>
      <c r="IH10" s="209">
        <f t="shared" si="24"/>
        <v>3355439.0000000005</v>
      </c>
      <c r="II10" s="209">
        <f t="shared" si="24"/>
        <v>3355439.0000000005</v>
      </c>
      <c r="IJ10" s="209">
        <f t="shared" si="24"/>
        <v>3355439.0000000005</v>
      </c>
      <c r="IK10" s="209">
        <f t="shared" si="24"/>
        <v>3355439.0000000005</v>
      </c>
      <c r="IL10" s="209">
        <f t="shared" si="24"/>
        <v>3355439.0000000005</v>
      </c>
      <c r="IM10" s="209">
        <f t="shared" si="24"/>
        <v>3355439.0000000005</v>
      </c>
      <c r="IN10" s="209">
        <f t="shared" si="24"/>
        <v>3355439.0000000005</v>
      </c>
      <c r="IO10" s="209">
        <f t="shared" si="24"/>
        <v>3355439.0000000005</v>
      </c>
      <c r="IP10" s="209">
        <f t="shared" si="24"/>
        <v>3355439.0000000005</v>
      </c>
      <c r="IQ10" s="209">
        <f t="shared" si="24"/>
        <v>3355439.0000000005</v>
      </c>
      <c r="IR10" s="209">
        <f t="shared" si="24"/>
        <v>3355439.0000000005</v>
      </c>
      <c r="IS10" s="209">
        <f t="shared" si="24"/>
        <v>3355439.0000000005</v>
      </c>
      <c r="IT10" s="209">
        <f t="shared" si="24"/>
        <v>3355439.0000000005</v>
      </c>
      <c r="IU10" s="209">
        <f t="shared" si="24"/>
        <v>3355439.0000000005</v>
      </c>
      <c r="IV10" s="209">
        <f t="shared" si="24"/>
        <v>3355439.0000000005</v>
      </c>
      <c r="IW10" s="209">
        <f t="shared" si="24"/>
        <v>3355439.0000000005</v>
      </c>
      <c r="IX10" s="209">
        <f t="shared" si="24"/>
        <v>3355439.0000000005</v>
      </c>
      <c r="IY10" s="209">
        <f t="shared" si="24"/>
        <v>3355439.0000000005</v>
      </c>
      <c r="IZ10" s="209">
        <f t="shared" si="24"/>
        <v>3355439.0000000005</v>
      </c>
      <c r="JA10" s="209">
        <f t="shared" si="24"/>
        <v>3355439.0000000005</v>
      </c>
      <c r="JB10" s="209">
        <f t="shared" si="24"/>
        <v>3355439.0000000005</v>
      </c>
      <c r="JC10" s="209">
        <f t="shared" si="24"/>
        <v>3355439.0000000005</v>
      </c>
      <c r="JD10" s="209">
        <f t="shared" si="24"/>
        <v>3355439.0000000005</v>
      </c>
      <c r="JE10" s="209">
        <f t="shared" ref="JE10:LD10" si="25">JD10+JE9</f>
        <v>3355439.0000000005</v>
      </c>
      <c r="JF10" s="209">
        <f t="shared" si="25"/>
        <v>3355439.0000000005</v>
      </c>
      <c r="JG10" s="209">
        <f t="shared" si="25"/>
        <v>3355439.0000000005</v>
      </c>
      <c r="JH10" s="209">
        <f t="shared" si="25"/>
        <v>3355439.0000000005</v>
      </c>
      <c r="JI10" s="209">
        <f t="shared" si="25"/>
        <v>3355439.0000000005</v>
      </c>
      <c r="JJ10" s="209">
        <f t="shared" si="25"/>
        <v>3355439.0000000005</v>
      </c>
      <c r="JK10" s="209">
        <f t="shared" si="25"/>
        <v>3355439.0000000005</v>
      </c>
      <c r="JL10" s="209">
        <f t="shared" si="25"/>
        <v>3355439.0000000005</v>
      </c>
      <c r="JM10" s="209">
        <f t="shared" si="25"/>
        <v>3355439.0000000005</v>
      </c>
      <c r="JN10" s="209">
        <f t="shared" si="25"/>
        <v>3355439.0000000005</v>
      </c>
      <c r="JO10" s="209">
        <f t="shared" si="25"/>
        <v>3355439.0000000005</v>
      </c>
      <c r="JP10" s="209">
        <f t="shared" si="25"/>
        <v>3355439.0000000005</v>
      </c>
      <c r="JQ10" s="209">
        <f t="shared" si="25"/>
        <v>3355439.0000000005</v>
      </c>
      <c r="JR10" s="209">
        <f t="shared" si="25"/>
        <v>3355439.0000000005</v>
      </c>
      <c r="JS10" s="209">
        <f t="shared" si="25"/>
        <v>3355439.0000000005</v>
      </c>
      <c r="JT10" s="209">
        <f t="shared" si="25"/>
        <v>3355439.0000000005</v>
      </c>
      <c r="JU10" s="209">
        <f t="shared" si="25"/>
        <v>3355439.0000000005</v>
      </c>
      <c r="JV10" s="209">
        <f t="shared" si="25"/>
        <v>3355439.0000000005</v>
      </c>
      <c r="JW10" s="209">
        <f t="shared" si="25"/>
        <v>3355439.0000000005</v>
      </c>
      <c r="JX10" s="209">
        <f t="shared" si="25"/>
        <v>3355439.0000000005</v>
      </c>
      <c r="JY10" s="209">
        <f t="shared" si="25"/>
        <v>3355439.0000000005</v>
      </c>
      <c r="JZ10" s="209">
        <f t="shared" si="25"/>
        <v>3355439.0000000005</v>
      </c>
      <c r="KA10" s="209">
        <f t="shared" si="25"/>
        <v>3355439.0000000005</v>
      </c>
      <c r="KB10" s="209">
        <f t="shared" si="25"/>
        <v>3355439.0000000005</v>
      </c>
      <c r="KC10" s="209">
        <f t="shared" si="25"/>
        <v>3355439.0000000005</v>
      </c>
      <c r="KD10" s="209">
        <f t="shared" si="25"/>
        <v>3355439.0000000005</v>
      </c>
      <c r="KE10" s="209">
        <f t="shared" si="25"/>
        <v>3355439.0000000005</v>
      </c>
      <c r="KF10" s="209">
        <f t="shared" si="25"/>
        <v>3355439.0000000005</v>
      </c>
      <c r="KG10" s="209">
        <f t="shared" si="25"/>
        <v>3355439.0000000005</v>
      </c>
      <c r="KH10" s="209">
        <f t="shared" si="25"/>
        <v>3355439.0000000005</v>
      </c>
      <c r="KI10" s="209">
        <f t="shared" si="25"/>
        <v>3355439.0000000005</v>
      </c>
      <c r="KJ10" s="209">
        <f t="shared" si="25"/>
        <v>3355439.0000000005</v>
      </c>
      <c r="KK10" s="209">
        <f t="shared" si="25"/>
        <v>3355439.0000000005</v>
      </c>
      <c r="KL10" s="209">
        <f t="shared" si="25"/>
        <v>3355439.0000000005</v>
      </c>
      <c r="KM10" s="209">
        <f t="shared" si="25"/>
        <v>3355439.0000000005</v>
      </c>
      <c r="KN10" s="209">
        <f t="shared" si="25"/>
        <v>3355439.0000000005</v>
      </c>
      <c r="KO10" s="209">
        <f t="shared" si="25"/>
        <v>3355439.0000000005</v>
      </c>
      <c r="KP10" s="209">
        <f t="shared" si="25"/>
        <v>3355439.0000000005</v>
      </c>
      <c r="KQ10" s="209">
        <f t="shared" si="25"/>
        <v>3355439.0000000005</v>
      </c>
      <c r="KR10" s="209">
        <f t="shared" si="25"/>
        <v>3355439.0000000005</v>
      </c>
      <c r="KS10" s="209">
        <f t="shared" si="25"/>
        <v>3355439.0000000005</v>
      </c>
      <c r="KT10" s="209">
        <f t="shared" si="25"/>
        <v>3355439.0000000005</v>
      </c>
      <c r="KU10" s="209">
        <f t="shared" si="25"/>
        <v>3355439.0000000005</v>
      </c>
      <c r="KV10" s="209">
        <f t="shared" si="25"/>
        <v>3355439.0000000005</v>
      </c>
      <c r="KW10" s="209">
        <f t="shared" si="25"/>
        <v>3355439.0000000005</v>
      </c>
      <c r="KX10" s="209">
        <f t="shared" si="25"/>
        <v>3355439.0000000005</v>
      </c>
      <c r="KY10" s="209">
        <f t="shared" si="25"/>
        <v>3355439.0000000005</v>
      </c>
      <c r="KZ10" s="209">
        <f t="shared" si="25"/>
        <v>3355439.0000000005</v>
      </c>
      <c r="LA10" s="209">
        <f t="shared" si="25"/>
        <v>3355439.0000000005</v>
      </c>
      <c r="LB10" s="209">
        <f t="shared" si="25"/>
        <v>3355439.0000000005</v>
      </c>
      <c r="LC10" s="209">
        <f t="shared" si="25"/>
        <v>3355439.0000000005</v>
      </c>
      <c r="LD10" s="209">
        <f t="shared" si="25"/>
        <v>3355439.0000000005</v>
      </c>
    </row>
    <row r="11" spans="1:794" s="201" customFormat="1">
      <c r="A11" s="802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336810.02357722813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56392.487500000003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02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2881005.8935772278</v>
      </c>
      <c r="BK12" s="212">
        <f t="shared" si="26"/>
        <v>3117936.4470586809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3158751.3558799964</v>
      </c>
      <c r="BO12" s="212">
        <f t="shared" si="26"/>
        <v>3158751.3558799964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02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-196654.69357722765</v>
      </c>
      <c r="BK14" s="205">
        <f t="shared" si="32"/>
        <v>69730.602941319346</v>
      </c>
      <c r="BL14" s="205">
        <f t="shared" si="32"/>
        <v>237202.55294131953</v>
      </c>
      <c r="BM14" s="205">
        <f t="shared" si="32"/>
        <v>237202.55294131953</v>
      </c>
      <c r="BN14" s="205">
        <f t="shared" si="32"/>
        <v>196687.64412000403</v>
      </c>
      <c r="BO14" s="205">
        <f t="shared" si="32"/>
        <v>196687.64412000403</v>
      </c>
      <c r="BP14" s="205">
        <f t="shared" si="32"/>
        <v>140295.15662000421</v>
      </c>
      <c r="BQ14" s="205">
        <f t="shared" si="32"/>
        <v>139995.15662000421</v>
      </c>
      <c r="BR14" s="205">
        <f t="shared" si="32"/>
        <v>139995.15662000421</v>
      </c>
      <c r="BS14" s="205">
        <f t="shared" si="32"/>
        <v>139995.15662000421</v>
      </c>
      <c r="BT14" s="205">
        <f t="shared" si="32"/>
        <v>139995.15662000421</v>
      </c>
      <c r="BU14" s="205">
        <f t="shared" ref="BU14:EF14" si="33">BU10-BU12</f>
        <v>139995.15662000421</v>
      </c>
      <c r="BV14" s="205">
        <f t="shared" si="33"/>
        <v>139995.15662000421</v>
      </c>
      <c r="BW14" s="205">
        <f t="shared" si="33"/>
        <v>139995.15662000421</v>
      </c>
      <c r="BX14" s="205">
        <f t="shared" si="33"/>
        <v>139995.15662000421</v>
      </c>
      <c r="BY14" s="205">
        <f t="shared" si="33"/>
        <v>139995.15662000421</v>
      </c>
      <c r="BZ14" s="205">
        <f t="shared" si="33"/>
        <v>139995.15662000421</v>
      </c>
      <c r="CA14" s="205">
        <f t="shared" si="33"/>
        <v>139995.15662000421</v>
      </c>
      <c r="CB14" s="205">
        <f t="shared" si="33"/>
        <v>139995.15662000421</v>
      </c>
      <c r="CC14" s="205">
        <f t="shared" si="33"/>
        <v>139995.15662000421</v>
      </c>
      <c r="CD14" s="205">
        <f t="shared" si="33"/>
        <v>139995.15662000421</v>
      </c>
      <c r="CE14" s="205">
        <f t="shared" si="33"/>
        <v>139995.15662000421</v>
      </c>
      <c r="CF14" s="205">
        <f t="shared" si="33"/>
        <v>139995.15662000421</v>
      </c>
      <c r="CG14" s="205">
        <f t="shared" si="33"/>
        <v>139995.15662000421</v>
      </c>
      <c r="CH14" s="205">
        <f t="shared" si="33"/>
        <v>139995.15662000421</v>
      </c>
      <c r="CI14" s="205">
        <f t="shared" si="33"/>
        <v>139995.15662000421</v>
      </c>
      <c r="CJ14" s="205">
        <f t="shared" si="33"/>
        <v>139995.15662000421</v>
      </c>
      <c r="CK14" s="205">
        <f t="shared" si="33"/>
        <v>139995.15662000421</v>
      </c>
      <c r="CL14" s="205">
        <f t="shared" si="33"/>
        <v>139995.15662000421</v>
      </c>
      <c r="CM14" s="205">
        <f t="shared" si="33"/>
        <v>139995.15662000421</v>
      </c>
      <c r="CN14" s="205">
        <f t="shared" si="33"/>
        <v>139995.15662000421</v>
      </c>
      <c r="CO14" s="205">
        <f t="shared" si="33"/>
        <v>139995.15662000421</v>
      </c>
      <c r="CP14" s="205">
        <f t="shared" si="33"/>
        <v>139995.15662000421</v>
      </c>
      <c r="CQ14" s="205">
        <f t="shared" si="33"/>
        <v>139995.15662000421</v>
      </c>
      <c r="CR14" s="205">
        <f t="shared" si="33"/>
        <v>139995.15662000421</v>
      </c>
      <c r="CS14" s="205">
        <f t="shared" si="33"/>
        <v>139995.15662000421</v>
      </c>
      <c r="CT14" s="205">
        <f t="shared" si="33"/>
        <v>139995.15662000421</v>
      </c>
      <c r="CU14" s="205">
        <f t="shared" si="33"/>
        <v>139995.15662000421</v>
      </c>
      <c r="CV14" s="205">
        <f t="shared" si="33"/>
        <v>139995.15662000421</v>
      </c>
      <c r="CW14" s="205">
        <f t="shared" si="33"/>
        <v>139995.15662000421</v>
      </c>
      <c r="CX14" s="205">
        <f t="shared" si="33"/>
        <v>139995.15662000421</v>
      </c>
      <c r="CY14" s="205">
        <f t="shared" si="33"/>
        <v>139995.15662000421</v>
      </c>
      <c r="CZ14" s="205">
        <f t="shared" si="33"/>
        <v>139995.15662000421</v>
      </c>
      <c r="DA14" s="205">
        <f t="shared" si="33"/>
        <v>139995.15662000421</v>
      </c>
      <c r="DB14" s="205">
        <f t="shared" si="33"/>
        <v>139995.15662000421</v>
      </c>
      <c r="DC14" s="205">
        <f t="shared" si="33"/>
        <v>139995.15662000421</v>
      </c>
      <c r="DD14" s="205">
        <f t="shared" si="33"/>
        <v>139995.15662000421</v>
      </c>
      <c r="DE14" s="205">
        <f t="shared" si="33"/>
        <v>139995.15662000421</v>
      </c>
      <c r="DF14" s="205">
        <f t="shared" si="33"/>
        <v>139995.15662000421</v>
      </c>
      <c r="DG14" s="205">
        <f t="shared" si="33"/>
        <v>139995.15662000421</v>
      </c>
      <c r="DH14" s="205">
        <f t="shared" si="33"/>
        <v>139995.15662000421</v>
      </c>
      <c r="DI14" s="205">
        <f t="shared" si="33"/>
        <v>139995.15662000421</v>
      </c>
      <c r="DJ14" s="205">
        <f t="shared" si="33"/>
        <v>139995.15662000421</v>
      </c>
      <c r="DK14" s="205">
        <f t="shared" si="33"/>
        <v>139995.15662000421</v>
      </c>
      <c r="DL14" s="205">
        <f t="shared" si="33"/>
        <v>139995.15662000421</v>
      </c>
      <c r="DM14" s="205">
        <f t="shared" si="33"/>
        <v>139995.15662000421</v>
      </c>
      <c r="DN14" s="205">
        <f t="shared" si="33"/>
        <v>139995.15662000421</v>
      </c>
      <c r="DO14" s="205">
        <f t="shared" si="33"/>
        <v>139995.15662000421</v>
      </c>
      <c r="DP14" s="205">
        <f t="shared" si="33"/>
        <v>139995.15662000421</v>
      </c>
      <c r="DQ14" s="205">
        <f t="shared" si="33"/>
        <v>139995.15662000421</v>
      </c>
      <c r="DR14" s="205">
        <f t="shared" si="33"/>
        <v>139995.15662000421</v>
      </c>
      <c r="DS14" s="205">
        <f t="shared" si="33"/>
        <v>139995.15662000421</v>
      </c>
      <c r="DT14" s="205">
        <f t="shared" si="33"/>
        <v>139995.15662000421</v>
      </c>
      <c r="DU14" s="205">
        <f t="shared" si="33"/>
        <v>139995.15662000421</v>
      </c>
      <c r="DV14" s="205">
        <f t="shared" si="33"/>
        <v>139995.15662000421</v>
      </c>
      <c r="DW14" s="205">
        <f t="shared" si="33"/>
        <v>139995.15662000421</v>
      </c>
      <c r="DX14" s="205">
        <f t="shared" si="33"/>
        <v>139995.15662000421</v>
      </c>
      <c r="DY14" s="205">
        <f t="shared" si="33"/>
        <v>139995.15662000421</v>
      </c>
      <c r="DZ14" s="205">
        <f t="shared" si="33"/>
        <v>139995.15662000421</v>
      </c>
      <c r="EA14" s="205">
        <f t="shared" si="33"/>
        <v>139995.15662000421</v>
      </c>
      <c r="EB14" s="205">
        <f t="shared" si="33"/>
        <v>139995.15662000421</v>
      </c>
      <c r="EC14" s="205">
        <f t="shared" si="33"/>
        <v>139995.15662000421</v>
      </c>
      <c r="ED14" s="205">
        <f t="shared" si="33"/>
        <v>139995.15662000421</v>
      </c>
      <c r="EE14" s="205">
        <f t="shared" si="33"/>
        <v>139995.15662000421</v>
      </c>
      <c r="EF14" s="205">
        <f t="shared" si="33"/>
        <v>139995.15662000421</v>
      </c>
      <c r="EG14" s="205">
        <f t="shared" ref="EG14:GR14" si="34">EG10-EG12</f>
        <v>139995.15662000421</v>
      </c>
      <c r="EH14" s="205">
        <f t="shared" si="34"/>
        <v>139995.15662000421</v>
      </c>
      <c r="EI14" s="205">
        <f t="shared" si="34"/>
        <v>139995.15662000421</v>
      </c>
      <c r="EJ14" s="205">
        <f t="shared" si="34"/>
        <v>139995.15662000421</v>
      </c>
      <c r="EK14" s="205">
        <f t="shared" si="34"/>
        <v>139995.15662000421</v>
      </c>
      <c r="EL14" s="205">
        <f t="shared" si="34"/>
        <v>139995.15662000421</v>
      </c>
      <c r="EM14" s="205">
        <f t="shared" si="34"/>
        <v>139995.15662000421</v>
      </c>
      <c r="EN14" s="205">
        <f t="shared" si="34"/>
        <v>139995.15662000421</v>
      </c>
      <c r="EO14" s="205">
        <f t="shared" si="34"/>
        <v>139995.15662000421</v>
      </c>
      <c r="EP14" s="205">
        <f t="shared" si="34"/>
        <v>139995.15662000421</v>
      </c>
      <c r="EQ14" s="205">
        <f t="shared" si="34"/>
        <v>139995.15662000421</v>
      </c>
      <c r="ER14" s="205">
        <f t="shared" si="34"/>
        <v>139995.15662000421</v>
      </c>
      <c r="ES14" s="205">
        <f t="shared" si="34"/>
        <v>139995.15662000421</v>
      </c>
      <c r="ET14" s="205">
        <f t="shared" si="34"/>
        <v>139995.15662000421</v>
      </c>
      <c r="EU14" s="205">
        <f t="shared" si="34"/>
        <v>139995.15662000421</v>
      </c>
      <c r="EV14" s="205">
        <f t="shared" si="34"/>
        <v>139995.15662000421</v>
      </c>
      <c r="EW14" s="205">
        <f t="shared" si="34"/>
        <v>139995.15662000421</v>
      </c>
      <c r="EX14" s="205">
        <f t="shared" si="34"/>
        <v>139995.15662000421</v>
      </c>
      <c r="EY14" s="205">
        <f t="shared" si="34"/>
        <v>139995.15662000421</v>
      </c>
      <c r="EZ14" s="205">
        <f t="shared" si="34"/>
        <v>139995.15662000421</v>
      </c>
      <c r="FA14" s="205">
        <f t="shared" si="34"/>
        <v>139995.15662000421</v>
      </c>
      <c r="FB14" s="205">
        <f t="shared" si="34"/>
        <v>139995.15662000421</v>
      </c>
      <c r="FC14" s="205">
        <f t="shared" si="34"/>
        <v>139995.15662000421</v>
      </c>
      <c r="FD14" s="205">
        <f t="shared" si="34"/>
        <v>139995.15662000421</v>
      </c>
      <c r="FE14" s="205">
        <f t="shared" si="34"/>
        <v>139995.15662000421</v>
      </c>
      <c r="FF14" s="205">
        <f t="shared" si="34"/>
        <v>139995.15662000421</v>
      </c>
      <c r="FG14" s="205">
        <f t="shared" si="34"/>
        <v>139995.15662000421</v>
      </c>
      <c r="FH14" s="205">
        <f t="shared" si="34"/>
        <v>139995.15662000421</v>
      </c>
      <c r="FI14" s="205">
        <f t="shared" si="34"/>
        <v>139995.15662000421</v>
      </c>
      <c r="FJ14" s="205">
        <f t="shared" si="34"/>
        <v>139995.15662000421</v>
      </c>
      <c r="FK14" s="205">
        <f t="shared" si="34"/>
        <v>139995.15662000421</v>
      </c>
      <c r="FL14" s="205">
        <f t="shared" si="34"/>
        <v>139995.15662000421</v>
      </c>
      <c r="FM14" s="205">
        <f t="shared" si="34"/>
        <v>139995.15662000421</v>
      </c>
      <c r="FN14" s="205">
        <f t="shared" si="34"/>
        <v>139995.15662000421</v>
      </c>
      <c r="FO14" s="205">
        <f t="shared" si="34"/>
        <v>139995.15662000421</v>
      </c>
      <c r="FP14" s="205">
        <f t="shared" si="34"/>
        <v>139995.15662000421</v>
      </c>
      <c r="FQ14" s="205">
        <f t="shared" si="34"/>
        <v>139995.15662000421</v>
      </c>
      <c r="FR14" s="205">
        <f t="shared" si="34"/>
        <v>139995.15662000421</v>
      </c>
      <c r="FS14" s="205">
        <f t="shared" si="34"/>
        <v>139995.15662000421</v>
      </c>
      <c r="FT14" s="205">
        <f t="shared" si="34"/>
        <v>139995.15662000421</v>
      </c>
      <c r="FU14" s="205">
        <f t="shared" si="34"/>
        <v>139995.15662000421</v>
      </c>
      <c r="FV14" s="205">
        <f t="shared" si="34"/>
        <v>139995.15662000421</v>
      </c>
      <c r="FW14" s="205">
        <f t="shared" si="34"/>
        <v>139995.15662000421</v>
      </c>
      <c r="FX14" s="205">
        <f t="shared" si="34"/>
        <v>139995.15662000421</v>
      </c>
      <c r="FY14" s="205">
        <f t="shared" si="34"/>
        <v>139995.15662000421</v>
      </c>
      <c r="FZ14" s="205">
        <f t="shared" si="34"/>
        <v>139995.15662000421</v>
      </c>
      <c r="GA14" s="205">
        <f t="shared" si="34"/>
        <v>139995.15662000421</v>
      </c>
      <c r="GB14" s="205">
        <f t="shared" si="34"/>
        <v>139995.15662000421</v>
      </c>
      <c r="GC14" s="205">
        <f t="shared" si="34"/>
        <v>139995.15662000421</v>
      </c>
      <c r="GD14" s="205">
        <f t="shared" si="34"/>
        <v>139995.15662000421</v>
      </c>
      <c r="GE14" s="205">
        <f t="shared" si="34"/>
        <v>139995.15662000421</v>
      </c>
      <c r="GF14" s="205">
        <f t="shared" si="34"/>
        <v>139995.15662000421</v>
      </c>
      <c r="GG14" s="205">
        <f t="shared" si="34"/>
        <v>139995.15662000421</v>
      </c>
      <c r="GH14" s="205">
        <f t="shared" si="34"/>
        <v>139995.15662000421</v>
      </c>
      <c r="GI14" s="205">
        <f t="shared" si="34"/>
        <v>139995.15662000421</v>
      </c>
      <c r="GJ14" s="205">
        <f t="shared" si="34"/>
        <v>139995.15662000421</v>
      </c>
      <c r="GK14" s="205">
        <f t="shared" si="34"/>
        <v>139995.15662000421</v>
      </c>
      <c r="GL14" s="205">
        <f t="shared" si="34"/>
        <v>139995.15662000421</v>
      </c>
      <c r="GM14" s="205">
        <f t="shared" si="34"/>
        <v>139995.15662000421</v>
      </c>
      <c r="GN14" s="205">
        <f t="shared" si="34"/>
        <v>139995.15662000421</v>
      </c>
      <c r="GO14" s="205">
        <f t="shared" si="34"/>
        <v>139995.15662000421</v>
      </c>
      <c r="GP14" s="205">
        <f t="shared" si="34"/>
        <v>139995.15662000421</v>
      </c>
      <c r="GQ14" s="205">
        <f t="shared" si="34"/>
        <v>139995.15662000421</v>
      </c>
      <c r="GR14" s="205">
        <f t="shared" si="34"/>
        <v>139995.15662000421</v>
      </c>
      <c r="GS14" s="205">
        <f t="shared" ref="GS14:JD14" si="35">GS10-GS12</f>
        <v>139995.15662000421</v>
      </c>
      <c r="GT14" s="205">
        <f t="shared" si="35"/>
        <v>139995.15662000421</v>
      </c>
      <c r="GU14" s="205">
        <f t="shared" si="35"/>
        <v>139995.15662000421</v>
      </c>
      <c r="GV14" s="205">
        <f t="shared" si="35"/>
        <v>139995.15662000421</v>
      </c>
      <c r="GW14" s="205">
        <f t="shared" si="35"/>
        <v>139995.15662000421</v>
      </c>
      <c r="GX14" s="205">
        <f t="shared" si="35"/>
        <v>139995.15662000421</v>
      </c>
      <c r="GY14" s="205">
        <f t="shared" si="35"/>
        <v>139995.15662000421</v>
      </c>
      <c r="GZ14" s="205">
        <f t="shared" si="35"/>
        <v>139995.15662000421</v>
      </c>
      <c r="HA14" s="205">
        <f t="shared" si="35"/>
        <v>139995.15662000421</v>
      </c>
      <c r="HB14" s="205">
        <f t="shared" si="35"/>
        <v>139995.15662000421</v>
      </c>
      <c r="HC14" s="205">
        <f t="shared" si="35"/>
        <v>139995.15662000421</v>
      </c>
      <c r="HD14" s="205">
        <f t="shared" si="35"/>
        <v>139995.15662000421</v>
      </c>
      <c r="HE14" s="205">
        <f t="shared" si="35"/>
        <v>139995.15662000421</v>
      </c>
      <c r="HF14" s="205">
        <f t="shared" si="35"/>
        <v>139995.15662000421</v>
      </c>
      <c r="HG14" s="205">
        <f t="shared" si="35"/>
        <v>139995.15662000421</v>
      </c>
      <c r="HH14" s="205">
        <f t="shared" si="35"/>
        <v>139995.15662000421</v>
      </c>
      <c r="HI14" s="205">
        <f t="shared" si="35"/>
        <v>139995.15662000421</v>
      </c>
      <c r="HJ14" s="205">
        <f t="shared" si="35"/>
        <v>139995.15662000421</v>
      </c>
      <c r="HK14" s="205">
        <f t="shared" si="35"/>
        <v>139995.15662000421</v>
      </c>
      <c r="HL14" s="205">
        <f t="shared" si="35"/>
        <v>139995.15662000421</v>
      </c>
      <c r="HM14" s="205">
        <f t="shared" si="35"/>
        <v>139995.15662000421</v>
      </c>
      <c r="HN14" s="205">
        <f t="shared" si="35"/>
        <v>139995.15662000421</v>
      </c>
      <c r="HO14" s="205">
        <f t="shared" si="35"/>
        <v>139995.15662000421</v>
      </c>
      <c r="HP14" s="205">
        <f t="shared" si="35"/>
        <v>139995.15662000421</v>
      </c>
      <c r="HQ14" s="205">
        <f t="shared" si="35"/>
        <v>139995.15662000421</v>
      </c>
      <c r="HR14" s="205">
        <f t="shared" si="35"/>
        <v>139995.15662000421</v>
      </c>
      <c r="HS14" s="205">
        <f t="shared" si="35"/>
        <v>139995.15662000421</v>
      </c>
      <c r="HT14" s="205">
        <f t="shared" si="35"/>
        <v>139995.15662000421</v>
      </c>
      <c r="HU14" s="205">
        <f t="shared" si="35"/>
        <v>139995.15662000421</v>
      </c>
      <c r="HV14" s="205">
        <f t="shared" si="35"/>
        <v>139995.15662000421</v>
      </c>
      <c r="HW14" s="205">
        <f t="shared" si="35"/>
        <v>139995.15662000421</v>
      </c>
      <c r="HX14" s="205">
        <f t="shared" si="35"/>
        <v>139995.15662000421</v>
      </c>
      <c r="HY14" s="205">
        <f t="shared" si="35"/>
        <v>139995.15662000421</v>
      </c>
      <c r="HZ14" s="205">
        <f t="shared" si="35"/>
        <v>139995.15662000421</v>
      </c>
      <c r="IA14" s="205">
        <f t="shared" si="35"/>
        <v>139995.15662000421</v>
      </c>
      <c r="IB14" s="205">
        <f t="shared" si="35"/>
        <v>139995.15662000421</v>
      </c>
      <c r="IC14" s="205">
        <f t="shared" si="35"/>
        <v>139995.15662000421</v>
      </c>
      <c r="ID14" s="205">
        <f t="shared" si="35"/>
        <v>139995.15662000421</v>
      </c>
      <c r="IE14" s="205">
        <f t="shared" si="35"/>
        <v>139995.15662000421</v>
      </c>
      <c r="IF14" s="205">
        <f t="shared" si="35"/>
        <v>139995.15662000421</v>
      </c>
      <c r="IG14" s="205">
        <f t="shared" si="35"/>
        <v>139995.15662000421</v>
      </c>
      <c r="IH14" s="205">
        <f t="shared" si="35"/>
        <v>139995.15662000421</v>
      </c>
      <c r="II14" s="205">
        <f t="shared" si="35"/>
        <v>139995.15662000421</v>
      </c>
      <c r="IJ14" s="205">
        <f t="shared" si="35"/>
        <v>139995.15662000421</v>
      </c>
      <c r="IK14" s="205">
        <f t="shared" si="35"/>
        <v>139995.15662000421</v>
      </c>
      <c r="IL14" s="205">
        <f t="shared" si="35"/>
        <v>139995.15662000421</v>
      </c>
      <c r="IM14" s="205">
        <f t="shared" si="35"/>
        <v>139995.15662000421</v>
      </c>
      <c r="IN14" s="205">
        <f t="shared" si="35"/>
        <v>139995.15662000421</v>
      </c>
      <c r="IO14" s="205">
        <f t="shared" si="35"/>
        <v>139995.15662000421</v>
      </c>
      <c r="IP14" s="205">
        <f t="shared" si="35"/>
        <v>139995.15662000421</v>
      </c>
      <c r="IQ14" s="205">
        <f t="shared" si="35"/>
        <v>139995.15662000421</v>
      </c>
      <c r="IR14" s="205">
        <f t="shared" si="35"/>
        <v>139995.15662000421</v>
      </c>
      <c r="IS14" s="205">
        <f t="shared" si="35"/>
        <v>139995.15662000421</v>
      </c>
      <c r="IT14" s="205">
        <f t="shared" si="35"/>
        <v>139995.15662000421</v>
      </c>
      <c r="IU14" s="205">
        <f t="shared" si="35"/>
        <v>139995.15662000421</v>
      </c>
      <c r="IV14" s="205">
        <f t="shared" si="35"/>
        <v>139995.15662000421</v>
      </c>
      <c r="IW14" s="205">
        <f t="shared" si="35"/>
        <v>139995.15662000421</v>
      </c>
      <c r="IX14" s="205">
        <f t="shared" si="35"/>
        <v>139995.15662000421</v>
      </c>
      <c r="IY14" s="205">
        <f t="shared" si="35"/>
        <v>139995.15662000421</v>
      </c>
      <c r="IZ14" s="205">
        <f t="shared" si="35"/>
        <v>139995.15662000421</v>
      </c>
      <c r="JA14" s="205">
        <f t="shared" si="35"/>
        <v>139995.15662000421</v>
      </c>
      <c r="JB14" s="205">
        <f t="shared" si="35"/>
        <v>139995.15662000421</v>
      </c>
      <c r="JC14" s="205">
        <f t="shared" si="35"/>
        <v>139995.15662000421</v>
      </c>
      <c r="JD14" s="205">
        <f t="shared" si="35"/>
        <v>139995.15662000421</v>
      </c>
      <c r="JE14" s="205">
        <f t="shared" ref="JE14:LD14" si="36">JE10-JE12</f>
        <v>139995.15662000421</v>
      </c>
      <c r="JF14" s="205">
        <f t="shared" si="36"/>
        <v>139995.15662000421</v>
      </c>
      <c r="JG14" s="205">
        <f t="shared" si="36"/>
        <v>139995.15662000421</v>
      </c>
      <c r="JH14" s="205">
        <f t="shared" si="36"/>
        <v>139995.15662000421</v>
      </c>
      <c r="JI14" s="205">
        <f t="shared" si="36"/>
        <v>139995.15662000421</v>
      </c>
      <c r="JJ14" s="205">
        <f t="shared" si="36"/>
        <v>139995.15662000421</v>
      </c>
      <c r="JK14" s="205">
        <f t="shared" si="36"/>
        <v>139995.15662000421</v>
      </c>
      <c r="JL14" s="205">
        <f t="shared" si="36"/>
        <v>139995.15662000421</v>
      </c>
      <c r="JM14" s="205">
        <f t="shared" si="36"/>
        <v>139995.15662000421</v>
      </c>
      <c r="JN14" s="205">
        <f t="shared" si="36"/>
        <v>139995.15662000421</v>
      </c>
      <c r="JO14" s="205">
        <f t="shared" si="36"/>
        <v>139995.15662000421</v>
      </c>
      <c r="JP14" s="205">
        <f t="shared" si="36"/>
        <v>139995.15662000421</v>
      </c>
      <c r="JQ14" s="205">
        <f t="shared" si="36"/>
        <v>139995.15662000421</v>
      </c>
      <c r="JR14" s="205">
        <f t="shared" si="36"/>
        <v>139995.15662000421</v>
      </c>
      <c r="JS14" s="205">
        <f t="shared" si="36"/>
        <v>139995.15662000421</v>
      </c>
      <c r="JT14" s="205">
        <f t="shared" si="36"/>
        <v>139995.15662000421</v>
      </c>
      <c r="JU14" s="205">
        <f t="shared" si="36"/>
        <v>139995.15662000421</v>
      </c>
      <c r="JV14" s="205">
        <f t="shared" si="36"/>
        <v>139995.15662000421</v>
      </c>
      <c r="JW14" s="205">
        <f t="shared" si="36"/>
        <v>139995.15662000421</v>
      </c>
      <c r="JX14" s="205">
        <f t="shared" si="36"/>
        <v>139995.15662000421</v>
      </c>
      <c r="JY14" s="205">
        <f t="shared" si="36"/>
        <v>139995.15662000421</v>
      </c>
      <c r="JZ14" s="205">
        <f t="shared" si="36"/>
        <v>139995.15662000421</v>
      </c>
      <c r="KA14" s="205">
        <f t="shared" si="36"/>
        <v>139995.15662000421</v>
      </c>
      <c r="KB14" s="205">
        <f t="shared" si="36"/>
        <v>139995.15662000421</v>
      </c>
      <c r="KC14" s="205">
        <f t="shared" si="36"/>
        <v>139995.15662000421</v>
      </c>
      <c r="KD14" s="205">
        <f t="shared" si="36"/>
        <v>139995.15662000421</v>
      </c>
      <c r="KE14" s="205">
        <f t="shared" si="36"/>
        <v>139995.15662000421</v>
      </c>
      <c r="KF14" s="205">
        <f t="shared" si="36"/>
        <v>139995.15662000421</v>
      </c>
      <c r="KG14" s="205">
        <f t="shared" si="36"/>
        <v>139995.15662000421</v>
      </c>
      <c r="KH14" s="205">
        <f t="shared" si="36"/>
        <v>139995.15662000421</v>
      </c>
      <c r="KI14" s="205">
        <f t="shared" si="36"/>
        <v>139995.15662000421</v>
      </c>
      <c r="KJ14" s="205">
        <f t="shared" si="36"/>
        <v>139995.15662000421</v>
      </c>
      <c r="KK14" s="205">
        <f t="shared" si="36"/>
        <v>139995.15662000421</v>
      </c>
      <c r="KL14" s="205">
        <f t="shared" si="36"/>
        <v>139995.15662000421</v>
      </c>
      <c r="KM14" s="205">
        <f t="shared" si="36"/>
        <v>139995.15662000421</v>
      </c>
      <c r="KN14" s="205">
        <f t="shared" si="36"/>
        <v>139995.15662000421</v>
      </c>
      <c r="KO14" s="205">
        <f t="shared" si="36"/>
        <v>139995.15662000421</v>
      </c>
      <c r="KP14" s="205">
        <f t="shared" si="36"/>
        <v>139995.15662000421</v>
      </c>
      <c r="KQ14" s="205">
        <f t="shared" si="36"/>
        <v>139995.15662000421</v>
      </c>
      <c r="KR14" s="205">
        <f t="shared" si="36"/>
        <v>139995.15662000421</v>
      </c>
      <c r="KS14" s="205">
        <f t="shared" si="36"/>
        <v>139995.15662000421</v>
      </c>
      <c r="KT14" s="205">
        <f t="shared" si="36"/>
        <v>139995.15662000421</v>
      </c>
      <c r="KU14" s="205">
        <f t="shared" si="36"/>
        <v>139995.15662000421</v>
      </c>
      <c r="KV14" s="205">
        <f t="shared" si="36"/>
        <v>139995.15662000421</v>
      </c>
      <c r="KW14" s="205">
        <f t="shared" si="36"/>
        <v>139995.15662000421</v>
      </c>
      <c r="KX14" s="205">
        <f t="shared" si="36"/>
        <v>139995.15662000421</v>
      </c>
      <c r="KY14" s="205">
        <f t="shared" si="36"/>
        <v>139995.15662000421</v>
      </c>
      <c r="KZ14" s="205">
        <f t="shared" si="36"/>
        <v>139995.15662000421</v>
      </c>
      <c r="LA14" s="205">
        <f t="shared" si="36"/>
        <v>139995.15662000421</v>
      </c>
      <c r="LB14" s="205">
        <f t="shared" si="36"/>
        <v>139995.15662000421</v>
      </c>
      <c r="LC14" s="205">
        <f t="shared" si="36"/>
        <v>139995.15662000421</v>
      </c>
      <c r="LD14" s="205">
        <f t="shared" si="36"/>
        <v>139995.15662000421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03"/>
      <c r="B17" s="193" t="s">
        <v>420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3"/>
      <c r="B18" s="193" t="s">
        <v>421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  <row r="33" spans="25:25">
      <c r="Y33" s="822">
        <f>BJ9</f>
        <v>838859.75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7.14062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7.14062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05" t="s">
        <v>428</v>
      </c>
      <c r="C2" s="805"/>
      <c r="D2" s="805"/>
      <c r="E2" s="805"/>
      <c r="H2" s="806" t="s">
        <v>429</v>
      </c>
      <c r="I2" s="807"/>
      <c r="J2" s="807"/>
      <c r="K2" s="807"/>
      <c r="L2" s="807"/>
      <c r="M2" s="807"/>
      <c r="N2" s="807"/>
      <c r="O2" s="808"/>
    </row>
    <row r="3" spans="2:15">
      <c r="B3" s="686"/>
      <c r="H3" s="809"/>
      <c r="I3" s="810"/>
      <c r="J3" s="810"/>
      <c r="K3" s="810"/>
      <c r="L3" s="810"/>
      <c r="M3" s="810"/>
      <c r="N3" s="810"/>
      <c r="O3" s="811"/>
    </row>
    <row r="4" spans="2:15">
      <c r="B4" s="687" t="s">
        <v>430</v>
      </c>
      <c r="C4" s="688" t="str">
        <f>'Project Plan'!E2</f>
        <v>Randfontein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7" t="s">
        <v>431</v>
      </c>
      <c r="C5" s="688" t="s">
        <v>432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7" t="s">
        <v>433</v>
      </c>
      <c r="C6" s="688" t="s">
        <v>434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7" t="s">
        <v>435</v>
      </c>
      <c r="C7" s="688" t="s">
        <v>77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6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436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437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9" t="s">
        <v>438</v>
      </c>
      <c r="C11" s="804" t="s">
        <v>439</v>
      </c>
      <c r="D11" s="804"/>
      <c r="E11" s="804"/>
    </row>
    <row r="12" spans="2:15">
      <c r="B12" s="689" t="s">
        <v>440</v>
      </c>
      <c r="C12" s="804" t="s">
        <v>439</v>
      </c>
      <c r="D12" s="804"/>
      <c r="E12" s="804"/>
    </row>
    <row r="13" spans="2:15">
      <c r="B13" s="689" t="s">
        <v>441</v>
      </c>
      <c r="C13" s="804" t="s">
        <v>439</v>
      </c>
      <c r="D13" s="804"/>
      <c r="E13" s="804"/>
    </row>
    <row r="14" spans="2:15">
      <c r="B14" s="689" t="s">
        <v>442</v>
      </c>
      <c r="C14" s="804" t="s">
        <v>443</v>
      </c>
      <c r="D14" s="804"/>
      <c r="E14" s="804"/>
    </row>
    <row r="15" spans="2:15">
      <c r="B15" s="689" t="s">
        <v>444</v>
      </c>
      <c r="C15" s="804" t="s">
        <v>445</v>
      </c>
      <c r="D15" s="804"/>
      <c r="E15" s="804"/>
    </row>
    <row r="16" spans="2:15" ht="15" customHeight="1">
      <c r="B16" s="689" t="s">
        <v>446</v>
      </c>
      <c r="C16" s="804" t="s">
        <v>447</v>
      </c>
      <c r="D16" s="804"/>
      <c r="E16" s="804"/>
    </row>
    <row r="17" spans="2:5">
      <c r="B17" s="686"/>
    </row>
    <row r="18" spans="2:5">
      <c r="B18" s="816" t="s">
        <v>448</v>
      </c>
      <c r="C18" s="816"/>
      <c r="D18" s="816"/>
      <c r="E18" s="816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455</v>
      </c>
    </row>
    <row r="2" spans="1:4">
      <c r="A2" s="818"/>
      <c r="B2" s="818"/>
      <c r="C2" s="818"/>
      <c r="D2" s="71"/>
    </row>
    <row r="3" spans="1:4">
      <c r="A3" s="817" t="s">
        <v>456</v>
      </c>
      <c r="B3" s="817"/>
      <c r="C3" s="817"/>
      <c r="D3" s="109">
        <v>0.32</v>
      </c>
    </row>
    <row r="4" spans="1:4">
      <c r="A4" s="817" t="s">
        <v>397</v>
      </c>
      <c r="B4" s="817"/>
      <c r="C4" s="817"/>
      <c r="D4" s="109">
        <v>0.5</v>
      </c>
    </row>
    <row r="5" spans="1:4">
      <c r="A5" s="817" t="s">
        <v>408</v>
      </c>
      <c r="B5" s="817"/>
      <c r="C5" s="817"/>
      <c r="D5" s="109">
        <v>0.15</v>
      </c>
    </row>
    <row r="6" spans="1:4">
      <c r="A6" s="817" t="s">
        <v>457</v>
      </c>
      <c r="B6" s="817"/>
      <c r="C6" s="817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3.14062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3" style="86" customWidth="1"/>
    <col min="14" max="14" width="45.140625" style="86" customWidth="1"/>
    <col min="15" max="16384" width="9.140625" style="86"/>
  </cols>
  <sheetData>
    <row r="2" spans="2:14" s="92" customFormat="1" ht="18">
      <c r="B2" s="819" t="s">
        <v>458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 ht="12.9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3.14062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8">
      <c r="B2" s="819" t="s">
        <v>480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 ht="12.9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2.9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2.9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2.9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2.9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2.9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2.9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2.9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21" t="str">
        <f>D15</f>
        <v>Randfontein</v>
      </c>
      <c r="C1" s="821"/>
      <c r="D1" s="821"/>
      <c r="E1" s="820" t="s">
        <v>493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E0DAB069-17BE-4EB5-A423-4C2D9812539C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