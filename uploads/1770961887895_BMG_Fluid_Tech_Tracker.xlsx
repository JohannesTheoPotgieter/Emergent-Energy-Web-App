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9" documentId="13_ncr:1_{D90313E0-832C-438B-B7A8-A564F1854BE1}" xr6:coauthVersionLast="47" xr6:coauthVersionMax="47" xr10:uidLastSave="{EB99B6ED-EB45-4237-A3A4-962C9C48D4EB}"/>
  <bookViews>
    <workbookView xWindow="28680" yWindow="-120" windowWidth="29040" windowHeight="15720" tabRatio="742" firstSheet="4" activeTab="5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2" l="1"/>
  <c r="I55" i="2"/>
  <c r="Q34" i="18"/>
  <c r="J86" i="18"/>
  <c r="H17" i="3"/>
  <c r="Z41" i="18"/>
  <c r="Z15" i="18"/>
  <c r="O73" i="18"/>
  <c r="Q76" i="18" s="1"/>
  <c r="P17" i="5" l="1"/>
  <c r="H6" i="5"/>
  <c r="W77" i="18"/>
  <c r="W173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3" i="18"/>
  <c r="Y48" i="18"/>
  <c r="AL52" i="18"/>
  <c r="AL53" i="18" s="1"/>
  <c r="O33" i="18"/>
  <c r="Q35" i="18" s="1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V86" i="18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H11" i="3" s="1"/>
  <c r="J11" i="3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F13" i="3"/>
  <c r="F9" i="3"/>
  <c r="Q77" i="18"/>
  <c r="O134" i="18"/>
  <c r="I42" i="18"/>
  <c r="F12" i="3" s="1"/>
  <c r="F22" i="3"/>
  <c r="Q75" i="18"/>
  <c r="I67" i="18"/>
  <c r="Q49" i="18"/>
  <c r="X42" i="18" s="1"/>
  <c r="Q74" i="18"/>
  <c r="X67" i="18" s="1"/>
  <c r="U69" i="18" s="1"/>
  <c r="Q52" i="18"/>
  <c r="J2" i="18"/>
  <c r="J4" i="18" s="1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X2" i="18" l="1"/>
  <c r="U37" i="18"/>
  <c r="U39" i="18"/>
  <c r="M9" i="2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AL54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K5" i="6"/>
  <c r="AK6" i="6" s="1"/>
  <c r="AK3" i="6"/>
  <c r="AL18" i="6" l="1"/>
  <c r="AL12" i="6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A9" i="6"/>
  <c r="BB18" i="6" l="1"/>
  <c r="BD1" i="6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X4" i="6"/>
  <c r="BW7" i="6"/>
  <c r="BY9" i="6"/>
  <c r="BZ12" i="6" l="1"/>
  <c r="BT10" i="6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O17" i="6"/>
  <c r="CO18" i="6" s="1"/>
  <c r="CI10" i="6"/>
  <c r="CH14" i="6"/>
  <c r="CO9" i="6"/>
  <c r="CP12" i="6" l="1"/>
  <c r="CP18" i="6"/>
  <c r="CN7" i="6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Q9" i="6"/>
  <c r="DO7" i="6"/>
  <c r="DP4" i="6"/>
  <c r="DR18" i="6" l="1"/>
  <c r="DR12" i="6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A9" i="6"/>
  <c r="JU10" i="6"/>
  <c r="JT14" i="6"/>
  <c r="KA5" i="6"/>
  <c r="KA3" i="6"/>
  <c r="KB12" i="6" l="1"/>
  <c r="KA4" i="6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Q17" i="6"/>
  <c r="KQ18" i="6" s="1"/>
  <c r="KO7" i="6"/>
  <c r="KP4" i="6"/>
  <c r="KR12" i="6" l="1"/>
  <c r="KR18" i="6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l="1"/>
  <c r="LN12" i="6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l="1"/>
  <c r="LV12" i="6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MV10" i="6"/>
  <c r="MU14" i="6"/>
  <c r="NC12" i="6" l="1"/>
  <c r="NE1" i="6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l="1"/>
  <c r="PA4" i="6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C9" i="6"/>
  <c r="RC5" i="6"/>
  <c r="RC6" i="6" s="1"/>
  <c r="RD6" i="6" s="1"/>
  <c r="RC3" i="6"/>
  <c r="RD18" i="6" l="1"/>
  <c r="RD12" i="6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l="1"/>
  <c r="SA12" i="6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C9" i="6"/>
  <c r="TD18" i="6" l="1"/>
  <c r="TD12" i="6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Y9" i="6"/>
  <c r="TY3" i="6"/>
  <c r="TY5" i="6"/>
  <c r="TY6" i="6" s="1"/>
  <c r="TZ6" i="6" s="1"/>
  <c r="TS10" i="6"/>
  <c r="TR14" i="6"/>
  <c r="TZ18" i="6" l="1"/>
  <c r="UB1" i="6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X9" i="6"/>
  <c r="WX5" i="6"/>
  <c r="WX6" i="6" s="1"/>
  <c r="WY6" i="6" s="1"/>
  <c r="WX3" i="6"/>
  <c r="WY18" i="6" l="1"/>
  <c r="WY12" i="6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K9" i="6"/>
  <c r="XK5" i="6"/>
  <c r="XK6" i="6" s="1"/>
  <c r="XL6" i="6" s="1"/>
  <c r="XK3" i="6"/>
  <c r="XL18" i="6" l="1"/>
  <c r="XJ7" i="6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L10" i="6"/>
  <c r="XK14" i="6"/>
  <c r="XS18" i="6" l="1"/>
  <c r="XS12" i="6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F9" i="6"/>
  <c r="ACG18" i="6" l="1"/>
  <c r="ACG12" i="6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H17" i="6"/>
  <c r="ACH18" i="6" s="1"/>
  <c r="ACH3" i="6"/>
  <c r="ACH9" i="6"/>
  <c r="ACH5" i="6"/>
  <c r="ACH6" i="6" s="1"/>
  <c r="ACI6" i="6" s="1"/>
  <c r="ACI18" i="6" l="1"/>
  <c r="ACI12" i="6"/>
  <c r="ACH4" i="6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O9" i="6"/>
  <c r="ACO5" i="6"/>
  <c r="ACO6" i="6" s="1"/>
  <c r="ACO3" i="6"/>
  <c r="ACP18" i="6" l="1"/>
  <c r="ACN7" i="6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Y3" i="6"/>
  <c r="ADS10" i="6"/>
  <c r="ADR14" i="6"/>
  <c r="ADW7" i="6"/>
  <c r="ADX4" i="6"/>
  <c r="ADZ18" i="6" l="1"/>
  <c r="ADZ12" i="6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F5" i="6"/>
  <c r="AFF6" i="6" s="1"/>
  <c r="AFG6" i="6" s="1"/>
  <c r="AEZ10" i="6"/>
  <c r="AEY14" i="6"/>
  <c r="AFE4" i="6"/>
  <c r="AFD7" i="6"/>
  <c r="AFG18" i="6" l="1"/>
  <c r="AFG12" i="6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W4" i="6"/>
  <c r="AGV7" i="6"/>
  <c r="AGX11" i="6"/>
  <c r="AGX12" i="6" s="1"/>
  <c r="AGX9" i="6"/>
  <c r="AGY18" i="6" l="1"/>
  <c r="AGY12" i="6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O5" i="6"/>
  <c r="AJO6" i="6" s="1"/>
  <c r="AJP6" i="6" s="1"/>
  <c r="AJP18" i="6" l="1"/>
  <c r="AJR1" i="6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l="1"/>
  <c r="APX7" i="6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RU10" i="6"/>
  <c r="ART14" i="6"/>
  <c r="ASB18" i="6" l="1"/>
  <c r="ASB12" i="6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P17" i="6"/>
  <c r="ATP18" i="6" s="1"/>
  <c r="ATQ18" i="6" s="1"/>
  <c r="ATP9" i="6"/>
  <c r="ATP3" i="6"/>
  <c r="ATQ12" i="6" l="1"/>
  <c r="ATK10" i="6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I9" i="6"/>
  <c r="AVI3" i="6"/>
  <c r="AVJ18" i="6" l="1"/>
  <c r="AVL1" i="6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E9" i="6"/>
  <c r="AWF18" i="6" l="1"/>
  <c r="AWF12" i="6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<sst xmlns="http://schemas.openxmlformats.org/spreadsheetml/2006/main" count="1048" uniqueCount="582">
  <si>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</si>
  <si>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</si>
  <si>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</si>
  <si>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</si>
  <si>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</si>
  <si>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</si>
  <si>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</si>
  <si>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</si>
  <si>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</si>
  <si>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</si>
  <si>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</si>
  <si>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</si>
  <si>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</si>
  <si>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</si>
  <si>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</si>
  <si>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</si>
  <si>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</si>
  <si>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</si>
  <si>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</si>
  <si>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</si>
  <si>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</si>
  <si>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</si>
  <si>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</si>
  <si>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</si>
  <si>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</si>
  <si>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</si>
  <si>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</si>
  <si>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</si>
  <si>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</si>
  <si>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</si>
  <si>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</si>
  <si>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</si>
  <si>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</si>
  <si>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</si>
  <si>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</si>
  <si>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</si>
  <si>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</si>
  <si>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</si>
  <si>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</si>
  <si>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</si>
  <si>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</si>
  <si>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</si>
  <si>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</si>
  <si>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</si>
  <si>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</si>
  <si>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</si>
  <si>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</si>
  <si>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</si>
  <si>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</si>
  <si>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</si>
  <si>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</si>
  <si>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</si>
  <si>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</si>
  <si>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</si>
  <si>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</si>
  <si>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</si>
  <si>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</si>
  <si>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</si>
  <si>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</si>
  <si>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</si>
  <si>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</si>
  <si>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</si>
  <si>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</si>
  <si>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</si>
  <si>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</si>
  <si>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</si>
  <si>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</si>
  <si>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</si>
  <si>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</si>
  <si>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</si>
  <si>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</si>
  <si>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</si>
  <si>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</si>
  <si>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</si>
  <si>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</si>
  <si>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</si>
  <si>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</si>
  <si>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</si>
  <si>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</si>
  <si>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</si>
  <si>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</si>
  <si>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</si>
  <si>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</si>
  <si>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</si>
  <si>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</si>
  <si>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</si>
  <si>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</si>
  <si>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</si>
  <si>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</si>
  <si>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</si>
  <si>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</si>
  <si>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</si>
  <si>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</si>
  <si>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</si>
  <si>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</si>
  <si>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</si>
  <si>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</si>
  <si>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</si>
  <si>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</si>
  <si>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</si>
  <si>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</si>
  <si>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</si>
  <si>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</si>
  <si>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</si>
  <si>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</si>
  <si>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</si>
  <si>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</si>
  <si>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</si>
  <si>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</si>
  <si>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</si>
  <si>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</si>
  <si>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</si>
  <si>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</si>
  <si>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</si>
  <si>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</si>
  <si>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</si>
  <si>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</si>
  <si>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</si>
  <si>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</si>
  <si>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</si>
  <si>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</si>
  <si>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</si>
  <si>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</si>
  <si>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</si>
  <si>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</si>
  <si>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</si>
  <si>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</si>
  <si>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</si>
  <si>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</si>
  <si>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</si>
  <si>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</si>
  <si>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</si>
  <si>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</si>
  <si>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</si>
  <si>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</si>
  <si>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</si>
  <si>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</si>
  <si>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</si>
  <si>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</si>
  <si>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</si>
  <si>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</si>
  <si>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</si>
  <si>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</si>
  <si>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</si>
  <si>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</si>
  <si>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</si>
  <si>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</si>
  <si>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</si>
  <si>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</si>
  <si>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</si>
  <si>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</si>
  <si>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</si>
  <si>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</si>
  <si>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</si>
  <si>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</si>
  <si>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</si>
  <si>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</si>
  <si>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</si>
  <si>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</si>
  <si>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</si>
  <si>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</si>
  <si>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</si>
  <si>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</si>
  <si>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</si>
  <si>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</si>
  <si>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</si>
  <si>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</si>
  <si>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</si>
  <si>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</si>
  <si>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</si>
  <si>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</si>
  <si>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</si>
  <si>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</si>
  <si>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</si>
  <si>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</si>
  <si>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</si>
  <si>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</si>
  <si>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</si>
  <si>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</si>
  <si>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</si>
  <si>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</si>
  <si>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</si>
  <si>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</si>
  <si>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</si>
  <si>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</si>
  <si>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</si>
  <si>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</si>
  <si>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</si>
  <si>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</si>
  <si>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</si>
  <si>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</si>
  <si>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</si>
  <si>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</si>
  <si>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</si>
  <si>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</si>
  <si>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</si>
  <si>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</si>
  <si>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</si>
  <si>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</si>
  <si>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</si>
  <si>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</si>
  <si>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QC snags shared with installer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</si>
  <si>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</si>
  <si>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</si>
  <si>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</si>
  <si>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</si>
  <si>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</si>
  <si>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</si>
  <si>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</si>
  <si>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</si>
  <si>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</si>
  <si>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</si>
  <si>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</si>
  <si>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</si>
  <si>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</si>
  <si>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</si>
  <si>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</si>
  <si>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</si>
  <si>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</si>
  <si>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</si>
  <si>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</si>
  <si>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</si>
  <si>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</si>
  <si>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</si>
  <si>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</si>
  <si>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</si>
  <si>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</si>
  <si>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</si>
  <si>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</si>
  <si>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</si>
  <si>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</si>
  <si>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</si>
  <si>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</si>
  <si>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</si>
  <si>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</si>
  <si>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</si>
  <si>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</si>
  <si>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</si>
  <si>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</si>
  <si>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</si>
  <si>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</si>
  <si>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</si>
  <si>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</si>
  <si>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</si>
  <si>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</si>
  <si>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</si>
  <si>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</si>
  <si>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</si>
  <si>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</si>
  <si>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</si>
  <si>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</si>
  <si>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</si>
  <si>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</si>
  <si>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</si>
  <si>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</si>
  <si>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</si>
  <si>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</si>
  <si>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</si>
  <si>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</si>
  <si>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</si>
  <si>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</si>
  <si>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</si>
  <si>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</si>
  <si>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</si>
  <si>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</si>
  <si>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</si>
  <si>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</si>
  <si>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</si>
  <si>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</si>
  <si>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</si>
  <si>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</si>
  <si>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</si>
  <si>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</si>
  <si>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</si>
  <si>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</si>
  <si>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</si>
  <si>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</si>
  <si>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</si>
  <si>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</si>
  <si>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</si>
  <si>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</si>
  <si>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</si>
  <si>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qc snags shared 4 feb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</si>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</sst>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3984069.2478407002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3183158.379999999</c:v>
                </c:pt>
                <c:pt idx="46">
                  <c:v>3276382.0255980077</c:v>
                </c:pt>
                <c:pt idx="47">
                  <c:v>3276882.0255980077</c:v>
                </c:pt>
                <c:pt idx="48">
                  <c:v>3276882.0255980077</c:v>
                </c:pt>
                <c:pt idx="49">
                  <c:v>3276882.0255980077</c:v>
                </c:pt>
                <c:pt idx="50">
                  <c:v>3276882.0255980077</c:v>
                </c:pt>
                <c:pt idx="51">
                  <c:v>3276882.0255980077</c:v>
                </c:pt>
                <c:pt idx="52">
                  <c:v>3276882.0255980077</c:v>
                </c:pt>
                <c:pt idx="53">
                  <c:v>3276882.0255980077</c:v>
                </c:pt>
                <c:pt idx="54">
                  <c:v>3276882.0255980077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601707.40544866631</c:v>
                </c:pt>
                <c:pt idx="46">
                  <c:v>508483.75985065755</c:v>
                </c:pt>
                <c:pt idx="47">
                  <c:v>707187.22224269249</c:v>
                </c:pt>
                <c:pt idx="48">
                  <c:v>707187.22224269249</c:v>
                </c:pt>
                <c:pt idx="49">
                  <c:v>707187.22224269249</c:v>
                </c:pt>
                <c:pt idx="50">
                  <c:v>707187.22224269249</c:v>
                </c:pt>
                <c:pt idx="51">
                  <c:v>707187.22224269249</c:v>
                </c:pt>
                <c:pt idx="52">
                  <c:v>707187.22224269249</c:v>
                </c:pt>
                <c:pt idx="53">
                  <c:v>707187.22224269249</c:v>
                </c:pt>
                <c:pt idx="54">
                  <c:v>707187.22224269249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3986003.9559812299</c:v>
                </c:pt>
                <c:pt idx="47">
                  <c:v>3986003.9559812299</c:v>
                </c:pt>
                <c:pt idx="48">
                  <c:v>3986003.9559812299</c:v>
                </c:pt>
                <c:pt idx="49">
                  <c:v>3986003.9559812299</c:v>
                </c:pt>
                <c:pt idx="50">
                  <c:v>3986003.9559812299</c:v>
                </c:pt>
                <c:pt idx="51">
                  <c:v>3986003.9559812299</c:v>
                </c:pt>
                <c:pt idx="52">
                  <c:v>3986003.9559812299</c:v>
                </c:pt>
                <c:pt idx="53">
                  <c:v>3986003.9559812299</c:v>
                </c:pt>
                <c:pt idx="54">
                  <c:v>3986003.9559812299</c:v>
                </c:pt>
                <c:pt idx="55">
                  <c:v>3986003.9559812299</c:v>
                </c:pt>
                <c:pt idx="56">
                  <c:v>3986003.9559812299</c:v>
                </c:pt>
                <c:pt idx="57">
                  <c:v>3986003.9559812299</c:v>
                </c:pt>
                <c:pt idx="58">
                  <c:v>3986003.9559812299</c:v>
                </c:pt>
                <c:pt idx="59">
                  <c:v>3986003.9559812299</c:v>
                </c:pt>
                <c:pt idx="60">
                  <c:v>3986003.9559812299</c:v>
                </c:pt>
                <c:pt idx="61">
                  <c:v>3986003.9559812299</c:v>
                </c:pt>
                <c:pt idx="62">
                  <c:v>3986003.9559812299</c:v>
                </c:pt>
                <c:pt idx="63">
                  <c:v>3986003.9559812299</c:v>
                </c:pt>
                <c:pt idx="64">
                  <c:v>3986003.9559812299</c:v>
                </c:pt>
                <c:pt idx="65">
                  <c:v>3986003.9559812299</c:v>
                </c:pt>
                <c:pt idx="66">
                  <c:v>3986003.9559812299</c:v>
                </c:pt>
                <c:pt idx="67">
                  <c:v>3986003.9559812299</c:v>
                </c:pt>
                <c:pt idx="68">
                  <c:v>3986003.9559812299</c:v>
                </c:pt>
                <c:pt idx="69">
                  <c:v>3986003.9559812299</c:v>
                </c:pt>
                <c:pt idx="70">
                  <c:v>3986003.9559812299</c:v>
                </c:pt>
                <c:pt idx="71">
                  <c:v>3986003.9559812299</c:v>
                </c:pt>
                <c:pt idx="72">
                  <c:v>3986003.9559812299</c:v>
                </c:pt>
                <c:pt idx="73">
                  <c:v>3986003.9559812299</c:v>
                </c:pt>
                <c:pt idx="74">
                  <c:v>3986003.9559812299</c:v>
                </c:pt>
                <c:pt idx="75">
                  <c:v>3986003.9559812299</c:v>
                </c:pt>
                <c:pt idx="76">
                  <c:v>3986003.9559812299</c:v>
                </c:pt>
                <c:pt idx="77">
                  <c:v>3986003.9559812299</c:v>
                </c:pt>
                <c:pt idx="78">
                  <c:v>3986003.9559812299</c:v>
                </c:pt>
                <c:pt idx="79">
                  <c:v>3986003.9559812299</c:v>
                </c:pt>
                <c:pt idx="80">
                  <c:v>3986003.9559812299</c:v>
                </c:pt>
                <c:pt idx="81">
                  <c:v>3986003.9559812299</c:v>
                </c:pt>
                <c:pt idx="82">
                  <c:v>3986003.9559812299</c:v>
                </c:pt>
                <c:pt idx="83">
                  <c:v>3986003.9559812299</c:v>
                </c:pt>
                <c:pt idx="84">
                  <c:v>3986003.9559812299</c:v>
                </c:pt>
                <c:pt idx="85">
                  <c:v>3986003.9559812299</c:v>
                </c:pt>
                <c:pt idx="86">
                  <c:v>3986003.9559812299</c:v>
                </c:pt>
                <c:pt idx="87">
                  <c:v>3986003.9559812299</c:v>
                </c:pt>
                <c:pt idx="88">
                  <c:v>3986003.9559812299</c:v>
                </c:pt>
                <c:pt idx="89">
                  <c:v>3986003.9559812299</c:v>
                </c:pt>
                <c:pt idx="90">
                  <c:v>3986003.9559812299</c:v>
                </c:pt>
                <c:pt idx="91">
                  <c:v>3986003.9559812299</c:v>
                </c:pt>
                <c:pt idx="92">
                  <c:v>3986003.9559812299</c:v>
                </c:pt>
                <c:pt idx="93">
                  <c:v>3986003.9559812299</c:v>
                </c:pt>
                <c:pt idx="94">
                  <c:v>3986003.9559812299</c:v>
                </c:pt>
                <c:pt idx="95">
                  <c:v>3986003.9559812299</c:v>
                </c:pt>
                <c:pt idx="96">
                  <c:v>3986003.9559812299</c:v>
                </c:pt>
                <c:pt idx="97">
                  <c:v>3986003.9559812299</c:v>
                </c:pt>
                <c:pt idx="98">
                  <c:v>3986003.9559812299</c:v>
                </c:pt>
                <c:pt idx="99">
                  <c:v>3986003.9559812299</c:v>
                </c:pt>
                <c:pt idx="100">
                  <c:v>3986003.9559812299</c:v>
                </c:pt>
                <c:pt idx="101">
                  <c:v>3986003.9559812299</c:v>
                </c:pt>
                <c:pt idx="102">
                  <c:v>3986003.9559812299</c:v>
                </c:pt>
                <c:pt idx="103">
                  <c:v>3986003.9559812299</c:v>
                </c:pt>
                <c:pt idx="104">
                  <c:v>3986003.9559812299</c:v>
                </c:pt>
                <c:pt idx="105">
                  <c:v>3986003.9559812299</c:v>
                </c:pt>
                <c:pt idx="106">
                  <c:v>3986003.9559812299</c:v>
                </c:pt>
                <c:pt idx="107">
                  <c:v>3986003.9559812299</c:v>
                </c:pt>
                <c:pt idx="108">
                  <c:v>3986003.9559812299</c:v>
                </c:pt>
                <c:pt idx="109">
                  <c:v>3986003.9559812299</c:v>
                </c:pt>
                <c:pt idx="110">
                  <c:v>3986003.9559812299</c:v>
                </c:pt>
                <c:pt idx="111">
                  <c:v>3986003.9559812299</c:v>
                </c:pt>
                <c:pt idx="112">
                  <c:v>3986003.9559812299</c:v>
                </c:pt>
                <c:pt idx="113">
                  <c:v>3986003.9559812299</c:v>
                </c:pt>
                <c:pt idx="114">
                  <c:v>3986003.9559812299</c:v>
                </c:pt>
                <c:pt idx="115">
                  <c:v>3986003.9559812299</c:v>
                </c:pt>
                <c:pt idx="116">
                  <c:v>3986003.9559812299</c:v>
                </c:pt>
                <c:pt idx="117">
                  <c:v>3986003.9559812299</c:v>
                </c:pt>
                <c:pt idx="118">
                  <c:v>3986003.9559812299</c:v>
                </c:pt>
                <c:pt idx="119">
                  <c:v>3986003.9559812299</c:v>
                </c:pt>
                <c:pt idx="120">
                  <c:v>3986003.9559812299</c:v>
                </c:pt>
                <c:pt idx="121">
                  <c:v>3986003.9559812299</c:v>
                </c:pt>
                <c:pt idx="122">
                  <c:v>3986003.9559812299</c:v>
                </c:pt>
                <c:pt idx="123">
                  <c:v>3986003.9559812299</c:v>
                </c:pt>
                <c:pt idx="124">
                  <c:v>3986003.9559812299</c:v>
                </c:pt>
                <c:pt idx="125">
                  <c:v>3986003.9559812299</c:v>
                </c:pt>
                <c:pt idx="126">
                  <c:v>3986003.9559812299</c:v>
                </c:pt>
                <c:pt idx="127">
                  <c:v>3986003.9559812299</c:v>
                </c:pt>
                <c:pt idx="128">
                  <c:v>3986003.9559812299</c:v>
                </c:pt>
                <c:pt idx="129">
                  <c:v>3986003.9559812299</c:v>
                </c:pt>
                <c:pt idx="130">
                  <c:v>3986003.9559812299</c:v>
                </c:pt>
                <c:pt idx="131">
                  <c:v>3986003.9559812299</c:v>
                </c:pt>
                <c:pt idx="132">
                  <c:v>3986003.9559812299</c:v>
                </c:pt>
                <c:pt idx="133">
                  <c:v>3986003.9559812299</c:v>
                </c:pt>
                <c:pt idx="134">
                  <c:v>3986003.9559812299</c:v>
                </c:pt>
                <c:pt idx="135">
                  <c:v>3986003.9559812299</c:v>
                </c:pt>
                <c:pt idx="136">
                  <c:v>3986003.9559812299</c:v>
                </c:pt>
                <c:pt idx="137">
                  <c:v>3986003.9559812299</c:v>
                </c:pt>
                <c:pt idx="138">
                  <c:v>3986003.9559812299</c:v>
                </c:pt>
                <c:pt idx="139">
                  <c:v>3986003.9559812299</c:v>
                </c:pt>
                <c:pt idx="140">
                  <c:v>3986003.9559812299</c:v>
                </c:pt>
                <c:pt idx="141">
                  <c:v>3986003.9559812299</c:v>
                </c:pt>
                <c:pt idx="142">
                  <c:v>3986003.9559812299</c:v>
                </c:pt>
                <c:pt idx="143">
                  <c:v>3986003.9559812299</c:v>
                </c:pt>
                <c:pt idx="144">
                  <c:v>3986003.9559812299</c:v>
                </c:pt>
                <c:pt idx="145">
                  <c:v>3986003.9559812299</c:v>
                </c:pt>
                <c:pt idx="146">
                  <c:v>3986003.9559812299</c:v>
                </c:pt>
                <c:pt idx="147">
                  <c:v>3986003.9559812299</c:v>
                </c:pt>
                <c:pt idx="148">
                  <c:v>3986003.9559812299</c:v>
                </c:pt>
                <c:pt idx="149">
                  <c:v>3986003.9559812299</c:v>
                </c:pt>
                <c:pt idx="150">
                  <c:v>3986003.9559812299</c:v>
                </c:pt>
                <c:pt idx="151">
                  <c:v>3986003.9559812299</c:v>
                </c:pt>
                <c:pt idx="152">
                  <c:v>3986003.9559812299</c:v>
                </c:pt>
                <c:pt idx="153">
                  <c:v>3986003.9559812299</c:v>
                </c:pt>
                <c:pt idx="154">
                  <c:v>3986003.9559812299</c:v>
                </c:pt>
                <c:pt idx="155">
                  <c:v>3986003.9559812299</c:v>
                </c:pt>
                <c:pt idx="156">
                  <c:v>3986003.9559812299</c:v>
                </c:pt>
                <c:pt idx="157">
                  <c:v>3986003.9559812299</c:v>
                </c:pt>
                <c:pt idx="158">
                  <c:v>3986003.9559812299</c:v>
                </c:pt>
                <c:pt idx="159">
                  <c:v>3986003.9559812299</c:v>
                </c:pt>
                <c:pt idx="160">
                  <c:v>3986003.9559812299</c:v>
                </c:pt>
                <c:pt idx="161">
                  <c:v>3986003.9559812299</c:v>
                </c:pt>
                <c:pt idx="162">
                  <c:v>3986003.9559812299</c:v>
                </c:pt>
                <c:pt idx="163">
                  <c:v>3986003.9559812299</c:v>
                </c:pt>
                <c:pt idx="164">
                  <c:v>3986003.9559812299</c:v>
                </c:pt>
                <c:pt idx="165">
                  <c:v>3986003.9559812299</c:v>
                </c:pt>
                <c:pt idx="166">
                  <c:v>3986003.9559812299</c:v>
                </c:pt>
                <c:pt idx="167">
                  <c:v>3986003.9559812299</c:v>
                </c:pt>
                <c:pt idx="168">
                  <c:v>3986003.9559812299</c:v>
                </c:pt>
                <c:pt idx="169">
                  <c:v>3986003.9559812299</c:v>
                </c:pt>
                <c:pt idx="170">
                  <c:v>3986003.9559812299</c:v>
                </c:pt>
                <c:pt idx="171">
                  <c:v>3986003.9559812299</c:v>
                </c:pt>
                <c:pt idx="172">
                  <c:v>3986003.9559812299</c:v>
                </c:pt>
                <c:pt idx="173">
                  <c:v>3986003.9559812299</c:v>
                </c:pt>
                <c:pt idx="174">
                  <c:v>3986003.9559812299</c:v>
                </c:pt>
                <c:pt idx="175">
                  <c:v>3986003.9559812299</c:v>
                </c:pt>
                <c:pt idx="176">
                  <c:v>3986003.9559812299</c:v>
                </c:pt>
                <c:pt idx="177">
                  <c:v>3986003.9559812299</c:v>
                </c:pt>
                <c:pt idx="178">
                  <c:v>3986003.9559812299</c:v>
                </c:pt>
                <c:pt idx="179">
                  <c:v>3986003.9559812299</c:v>
                </c:pt>
                <c:pt idx="180">
                  <c:v>3986003.9559812299</c:v>
                </c:pt>
                <c:pt idx="181">
                  <c:v>3986003.9559812299</c:v>
                </c:pt>
                <c:pt idx="182">
                  <c:v>3986003.9559812299</c:v>
                </c:pt>
                <c:pt idx="183">
                  <c:v>3986003.9559812299</c:v>
                </c:pt>
                <c:pt idx="184">
                  <c:v>3986003.9559812299</c:v>
                </c:pt>
                <c:pt idx="185">
                  <c:v>3986003.9559812299</c:v>
                </c:pt>
                <c:pt idx="186">
                  <c:v>3986003.9559812299</c:v>
                </c:pt>
                <c:pt idx="187">
                  <c:v>3986003.9559812299</c:v>
                </c:pt>
                <c:pt idx="188">
                  <c:v>3986003.9559812299</c:v>
                </c:pt>
                <c:pt idx="189">
                  <c:v>3986003.9559812299</c:v>
                </c:pt>
                <c:pt idx="190">
                  <c:v>3986003.9559812299</c:v>
                </c:pt>
                <c:pt idx="191">
                  <c:v>3986003.9559812299</c:v>
                </c:pt>
                <c:pt idx="192">
                  <c:v>3986003.9559812299</c:v>
                </c:pt>
                <c:pt idx="193">
                  <c:v>3986003.9559812299</c:v>
                </c:pt>
                <c:pt idx="194">
                  <c:v>3986003.9559812299</c:v>
                </c:pt>
                <c:pt idx="195">
                  <c:v>3986003.9559812299</c:v>
                </c:pt>
                <c:pt idx="196">
                  <c:v>3986003.9559812299</c:v>
                </c:pt>
                <c:pt idx="197">
                  <c:v>3986003.9559812299</c:v>
                </c:pt>
                <c:pt idx="198">
                  <c:v>3986003.9559812299</c:v>
                </c:pt>
                <c:pt idx="199">
                  <c:v>3986003.9559812299</c:v>
                </c:pt>
                <c:pt idx="200">
                  <c:v>3986003.9559812299</c:v>
                </c:pt>
                <c:pt idx="201">
                  <c:v>3986003.9559812299</c:v>
                </c:pt>
                <c:pt idx="202">
                  <c:v>3986003.9559812299</c:v>
                </c:pt>
                <c:pt idx="203">
                  <c:v>3986003.9559812299</c:v>
                </c:pt>
                <c:pt idx="204">
                  <c:v>3986003.9559812299</c:v>
                </c:pt>
                <c:pt idx="205">
                  <c:v>3986003.9559812299</c:v>
                </c:pt>
                <c:pt idx="206">
                  <c:v>3986003.9559812299</c:v>
                </c:pt>
                <c:pt idx="207">
                  <c:v>3986003.9559812299</c:v>
                </c:pt>
                <c:pt idx="208">
                  <c:v>3986003.9559812299</c:v>
                </c:pt>
                <c:pt idx="209">
                  <c:v>3986003.9559812299</c:v>
                </c:pt>
                <c:pt idx="210">
                  <c:v>3986003.9559812299</c:v>
                </c:pt>
                <c:pt idx="211">
                  <c:v>3986003.9559812299</c:v>
                </c:pt>
                <c:pt idx="212">
                  <c:v>3986003.9559812299</c:v>
                </c:pt>
                <c:pt idx="213">
                  <c:v>3986003.9559812299</c:v>
                </c:pt>
                <c:pt idx="214">
                  <c:v>3986003.9559812299</c:v>
                </c:pt>
                <c:pt idx="215">
                  <c:v>3986003.9559812299</c:v>
                </c:pt>
                <c:pt idx="216">
                  <c:v>3986003.9559812299</c:v>
                </c:pt>
                <c:pt idx="217">
                  <c:v>3986003.9559812299</c:v>
                </c:pt>
                <c:pt idx="218">
                  <c:v>3986003.9559812299</c:v>
                </c:pt>
                <c:pt idx="219">
                  <c:v>3986003.9559812299</c:v>
                </c:pt>
                <c:pt idx="220">
                  <c:v>3986003.9559812299</c:v>
                </c:pt>
                <c:pt idx="221">
                  <c:v>3986003.9559812299</c:v>
                </c:pt>
                <c:pt idx="222">
                  <c:v>3986003.9559812299</c:v>
                </c:pt>
                <c:pt idx="223">
                  <c:v>3986003.9559812299</c:v>
                </c:pt>
                <c:pt idx="224">
                  <c:v>3986003.9559812299</c:v>
                </c:pt>
                <c:pt idx="225">
                  <c:v>3986003.9559812299</c:v>
                </c:pt>
                <c:pt idx="226">
                  <c:v>3986003.9559812299</c:v>
                </c:pt>
                <c:pt idx="227">
                  <c:v>3986003.9559812299</c:v>
                </c:pt>
                <c:pt idx="228">
                  <c:v>3986003.9559812299</c:v>
                </c:pt>
                <c:pt idx="229">
                  <c:v>3986003.9559812299</c:v>
                </c:pt>
                <c:pt idx="230">
                  <c:v>3986003.9559812299</c:v>
                </c:pt>
                <c:pt idx="231">
                  <c:v>3986003.9559812299</c:v>
                </c:pt>
                <c:pt idx="232">
                  <c:v>3986003.9559812299</c:v>
                </c:pt>
                <c:pt idx="233">
                  <c:v>3986003.9559812299</c:v>
                </c:pt>
                <c:pt idx="234">
                  <c:v>3986003.9559812299</c:v>
                </c:pt>
                <c:pt idx="235">
                  <c:v>3986003.9559812299</c:v>
                </c:pt>
                <c:pt idx="236">
                  <c:v>3986003.9559812299</c:v>
                </c:pt>
                <c:pt idx="237">
                  <c:v>3986003.9559812299</c:v>
                </c:pt>
                <c:pt idx="238">
                  <c:v>3986003.9559812299</c:v>
                </c:pt>
                <c:pt idx="239">
                  <c:v>3986003.9559812299</c:v>
                </c:pt>
                <c:pt idx="240">
                  <c:v>3986003.9559812299</c:v>
                </c:pt>
                <c:pt idx="241">
                  <c:v>3986003.9559812299</c:v>
                </c:pt>
                <c:pt idx="242">
                  <c:v>3986003.9559812299</c:v>
                </c:pt>
                <c:pt idx="243">
                  <c:v>3986003.9559812299</c:v>
                </c:pt>
                <c:pt idx="244">
                  <c:v>3986003.9559812299</c:v>
                </c:pt>
                <c:pt idx="245">
                  <c:v>3986003.9559812299</c:v>
                </c:pt>
                <c:pt idx="246">
                  <c:v>3986003.9559812299</c:v>
                </c:pt>
                <c:pt idx="247">
                  <c:v>3986003.9559812299</c:v>
                </c:pt>
                <c:pt idx="248">
                  <c:v>3986003.9559812299</c:v>
                </c:pt>
                <c:pt idx="249">
                  <c:v>3986003.9559812299</c:v>
                </c:pt>
                <c:pt idx="250">
                  <c:v>3986003.9559812299</c:v>
                </c:pt>
                <c:pt idx="251">
                  <c:v>3986003.9559812299</c:v>
                </c:pt>
                <c:pt idx="252">
                  <c:v>3986003.9559812299</c:v>
                </c:pt>
                <c:pt idx="253">
                  <c:v>3986003.9559812299</c:v>
                </c:pt>
                <c:pt idx="254">
                  <c:v>3986003.9559812299</c:v>
                </c:pt>
                <c:pt idx="255">
                  <c:v>3986003.9559812299</c:v>
                </c:pt>
                <c:pt idx="256">
                  <c:v>3986003.9559812299</c:v>
                </c:pt>
                <c:pt idx="257">
                  <c:v>3986003.9559812299</c:v>
                </c:pt>
                <c:pt idx="258">
                  <c:v>3986003.9559812299</c:v>
                </c:pt>
                <c:pt idx="259">
                  <c:v>3986003.9559812299</c:v>
                </c:pt>
                <c:pt idx="260">
                  <c:v>3986003.9559812299</c:v>
                </c:pt>
                <c:pt idx="261">
                  <c:v>3986003.9559812299</c:v>
                </c:pt>
                <c:pt idx="262">
                  <c:v>3986003.9559812299</c:v>
                </c:pt>
                <c:pt idx="263">
                  <c:v>3986003.9559812299</c:v>
                </c:pt>
                <c:pt idx="264">
                  <c:v>3986003.9559812299</c:v>
                </c:pt>
                <c:pt idx="265">
                  <c:v>3986003.9559812299</c:v>
                </c:pt>
                <c:pt idx="266">
                  <c:v>3986003.9559812299</c:v>
                </c:pt>
                <c:pt idx="267">
                  <c:v>3986003.9559812299</c:v>
                </c:pt>
                <c:pt idx="268">
                  <c:v>3986003.9559812299</c:v>
                </c:pt>
                <c:pt idx="269">
                  <c:v>3986003.9559812299</c:v>
                </c:pt>
                <c:pt idx="270">
                  <c:v>3986003.9559812299</c:v>
                </c:pt>
                <c:pt idx="271">
                  <c:v>3986003.9559812299</c:v>
                </c:pt>
                <c:pt idx="272">
                  <c:v>3986003.9559812299</c:v>
                </c:pt>
                <c:pt idx="273">
                  <c:v>3986003.9559812299</c:v>
                </c:pt>
                <c:pt idx="274">
                  <c:v>3986003.9559812299</c:v>
                </c:pt>
                <c:pt idx="275">
                  <c:v>3986003.9559812299</c:v>
                </c:pt>
                <c:pt idx="276">
                  <c:v>3986003.9559812299</c:v>
                </c:pt>
                <c:pt idx="277">
                  <c:v>3986003.9559812299</c:v>
                </c:pt>
                <c:pt idx="278">
                  <c:v>3986003.9559812299</c:v>
                </c:pt>
                <c:pt idx="279">
                  <c:v>3986003.9559812299</c:v>
                </c:pt>
                <c:pt idx="280">
                  <c:v>3986003.9559812299</c:v>
                </c:pt>
                <c:pt idx="281">
                  <c:v>3986003.9559812299</c:v>
                </c:pt>
                <c:pt idx="282">
                  <c:v>3986003.9559812299</c:v>
                </c:pt>
                <c:pt idx="283">
                  <c:v>3986003.9559812299</c:v>
                </c:pt>
                <c:pt idx="284">
                  <c:v>3986003.9559812299</c:v>
                </c:pt>
                <c:pt idx="285">
                  <c:v>3986003.9559812299</c:v>
                </c:pt>
                <c:pt idx="286">
                  <c:v>3986003.9559812299</c:v>
                </c:pt>
                <c:pt idx="287">
                  <c:v>3986003.9559812299</c:v>
                </c:pt>
                <c:pt idx="288">
                  <c:v>3986003.9559812299</c:v>
                </c:pt>
                <c:pt idx="289">
                  <c:v>3986003.9559812299</c:v>
                </c:pt>
                <c:pt idx="290">
                  <c:v>3986003.9559812299</c:v>
                </c:pt>
                <c:pt idx="291">
                  <c:v>3986003.9559812299</c:v>
                </c:pt>
                <c:pt idx="292">
                  <c:v>3986003.9559812299</c:v>
                </c:pt>
                <c:pt idx="293">
                  <c:v>3986003.9559812299</c:v>
                </c:pt>
                <c:pt idx="294">
                  <c:v>3986003.9559812299</c:v>
                </c:pt>
                <c:pt idx="295">
                  <c:v>3986003.9559812299</c:v>
                </c:pt>
                <c:pt idx="296">
                  <c:v>3986003.9559812299</c:v>
                </c:pt>
                <c:pt idx="297">
                  <c:v>3986003.9559812299</c:v>
                </c:pt>
                <c:pt idx="298">
                  <c:v>3986003.9559812299</c:v>
                </c:pt>
                <c:pt idx="299">
                  <c:v>3986003.9559812299</c:v>
                </c:pt>
                <c:pt idx="300">
                  <c:v>3986003.9559812299</c:v>
                </c:pt>
                <c:pt idx="301">
                  <c:v>3986003.9559812299</c:v>
                </c:pt>
                <c:pt idx="302">
                  <c:v>3986003.9559812299</c:v>
                </c:pt>
                <c:pt idx="303">
                  <c:v>3986003.9559812299</c:v>
                </c:pt>
                <c:pt idx="304">
                  <c:v>3986003.9559812299</c:v>
                </c:pt>
                <c:pt idx="305">
                  <c:v>3986003.9559812299</c:v>
                </c:pt>
                <c:pt idx="306">
                  <c:v>3986003.9559812299</c:v>
                </c:pt>
                <c:pt idx="307">
                  <c:v>3986003.9559812299</c:v>
                </c:pt>
                <c:pt idx="308">
                  <c:v>3986003.9559812299</c:v>
                </c:pt>
                <c:pt idx="309">
                  <c:v>3986003.9559812299</c:v>
                </c:pt>
                <c:pt idx="310">
                  <c:v>3986003.9559812299</c:v>
                </c:pt>
                <c:pt idx="311">
                  <c:v>3986003.9559812299</c:v>
                </c:pt>
                <c:pt idx="312">
                  <c:v>3986003.9559812299</c:v>
                </c:pt>
                <c:pt idx="313">
                  <c:v>3986003.9559812299</c:v>
                </c:pt>
                <c:pt idx="314">
                  <c:v>3986003.9559812299</c:v>
                </c:pt>
                <c:pt idx="315">
                  <c:v>3986003.9559812299</c:v>
                </c:pt>
                <c:pt idx="316">
                  <c:v>3986003.9559812299</c:v>
                </c:pt>
                <c:pt idx="317">
                  <c:v>3986003.9559812299</c:v>
                </c:pt>
                <c:pt idx="318">
                  <c:v>3986003.9559812299</c:v>
                </c:pt>
                <c:pt idx="319">
                  <c:v>3986003.9559812299</c:v>
                </c:pt>
                <c:pt idx="320">
                  <c:v>3986003.9559812299</c:v>
                </c:pt>
                <c:pt idx="321">
                  <c:v>3986003.9559812299</c:v>
                </c:pt>
                <c:pt idx="322">
                  <c:v>3986003.9559812299</c:v>
                </c:pt>
                <c:pt idx="323">
                  <c:v>3986003.9559812299</c:v>
                </c:pt>
                <c:pt idx="324">
                  <c:v>3986003.9559812299</c:v>
                </c:pt>
                <c:pt idx="325">
                  <c:v>3986003.9559812299</c:v>
                </c:pt>
                <c:pt idx="326">
                  <c:v>3986003.9559812299</c:v>
                </c:pt>
                <c:pt idx="327">
                  <c:v>3986003.9559812299</c:v>
                </c:pt>
                <c:pt idx="328">
                  <c:v>3986003.9559812299</c:v>
                </c:pt>
                <c:pt idx="329">
                  <c:v>3986003.9559812299</c:v>
                </c:pt>
                <c:pt idx="330">
                  <c:v>3986003.9559812299</c:v>
                </c:pt>
                <c:pt idx="331">
                  <c:v>3986003.9559812299</c:v>
                </c:pt>
                <c:pt idx="332">
                  <c:v>3986003.9559812299</c:v>
                </c:pt>
                <c:pt idx="333">
                  <c:v>3986003.9559812299</c:v>
                </c:pt>
                <c:pt idx="334">
                  <c:v>3986003.9559812299</c:v>
                </c:pt>
                <c:pt idx="335">
                  <c:v>3986003.9559812299</c:v>
                </c:pt>
                <c:pt idx="336">
                  <c:v>3986003.9559812299</c:v>
                </c:pt>
                <c:pt idx="337">
                  <c:v>3986003.9559812299</c:v>
                </c:pt>
                <c:pt idx="338">
                  <c:v>3986003.9559812299</c:v>
                </c:pt>
                <c:pt idx="339">
                  <c:v>3986003.9559812299</c:v>
                </c:pt>
                <c:pt idx="340">
                  <c:v>3986003.9559812299</c:v>
                </c:pt>
                <c:pt idx="341">
                  <c:v>3986003.9559812299</c:v>
                </c:pt>
                <c:pt idx="342">
                  <c:v>3986003.9559812299</c:v>
                </c:pt>
                <c:pt idx="343">
                  <c:v>3986003.9559812299</c:v>
                </c:pt>
                <c:pt idx="344">
                  <c:v>3986003.9559812299</c:v>
                </c:pt>
                <c:pt idx="345">
                  <c:v>3986003.9559812299</c:v>
                </c:pt>
                <c:pt idx="346">
                  <c:v>3986003.9559812299</c:v>
                </c:pt>
                <c:pt idx="347">
                  <c:v>3986003.9559812299</c:v>
                </c:pt>
                <c:pt idx="348">
                  <c:v>3986003.9559812299</c:v>
                </c:pt>
                <c:pt idx="349">
                  <c:v>3986003.9559812299</c:v>
                </c:pt>
                <c:pt idx="350">
                  <c:v>3986003.9559812299</c:v>
                </c:pt>
                <c:pt idx="351">
                  <c:v>3986003.9559812299</c:v>
                </c:pt>
                <c:pt idx="352">
                  <c:v>3986003.9559812299</c:v>
                </c:pt>
                <c:pt idx="353">
                  <c:v>3986003.9559812299</c:v>
                </c:pt>
                <c:pt idx="354">
                  <c:v>3986003.9559812299</c:v>
                </c:pt>
                <c:pt idx="355">
                  <c:v>3986003.9559812299</c:v>
                </c:pt>
                <c:pt idx="356">
                  <c:v>3986003.9559812299</c:v>
                </c:pt>
                <c:pt idx="357">
                  <c:v>3986003.9559812299</c:v>
                </c:pt>
                <c:pt idx="358">
                  <c:v>3986003.9559812299</c:v>
                </c:pt>
                <c:pt idx="359">
                  <c:v>3986003.9559812299</c:v>
                </c:pt>
                <c:pt idx="360">
                  <c:v>3986003.9559812299</c:v>
                </c:pt>
                <c:pt idx="361">
                  <c:v>3986003.9559812299</c:v>
                </c:pt>
                <c:pt idx="362">
                  <c:v>3986003.9559812299</c:v>
                </c:pt>
                <c:pt idx="363">
                  <c:v>3986003.9559812299</c:v>
                </c:pt>
                <c:pt idx="364">
                  <c:v>3986003.9559812299</c:v>
                </c:pt>
                <c:pt idx="365">
                  <c:v>3986003.9559812299</c:v>
                </c:pt>
                <c:pt idx="366">
                  <c:v>3986003.9559812299</c:v>
                </c:pt>
                <c:pt idx="367">
                  <c:v>3986003.9559812299</c:v>
                </c:pt>
                <c:pt idx="368">
                  <c:v>3986003.9559812299</c:v>
                </c:pt>
                <c:pt idx="369">
                  <c:v>3986003.9559812299</c:v>
                </c:pt>
                <c:pt idx="370">
                  <c:v>3986003.9559812299</c:v>
                </c:pt>
                <c:pt idx="371">
                  <c:v>3986003.9559812299</c:v>
                </c:pt>
                <c:pt idx="372">
                  <c:v>3986003.9559812299</c:v>
                </c:pt>
                <c:pt idx="373">
                  <c:v>3986003.9559812299</c:v>
                </c:pt>
                <c:pt idx="374">
                  <c:v>3986003.9559812299</c:v>
                </c:pt>
                <c:pt idx="375">
                  <c:v>3986003.9559812299</c:v>
                </c:pt>
                <c:pt idx="376">
                  <c:v>3986003.9559812299</c:v>
                </c:pt>
                <c:pt idx="377">
                  <c:v>3986003.9559812299</c:v>
                </c:pt>
                <c:pt idx="378">
                  <c:v>3986003.9559812299</c:v>
                </c:pt>
                <c:pt idx="379">
                  <c:v>3986003.9559812299</c:v>
                </c:pt>
                <c:pt idx="380">
                  <c:v>3986003.9559812299</c:v>
                </c:pt>
                <c:pt idx="381">
                  <c:v>3986003.9559812299</c:v>
                </c:pt>
                <c:pt idx="382">
                  <c:v>3986003.9559812299</c:v>
                </c:pt>
                <c:pt idx="383">
                  <c:v>3986003.9559812299</c:v>
                </c:pt>
                <c:pt idx="384">
                  <c:v>3986003.9559812299</c:v>
                </c:pt>
                <c:pt idx="385">
                  <c:v>3986003.9559812299</c:v>
                </c:pt>
                <c:pt idx="386">
                  <c:v>3986003.9559812299</c:v>
                </c:pt>
                <c:pt idx="387">
                  <c:v>3986003.9559812299</c:v>
                </c:pt>
                <c:pt idx="388">
                  <c:v>3986003.9559812299</c:v>
                </c:pt>
                <c:pt idx="389">
                  <c:v>3986003.9559812299</c:v>
                </c:pt>
                <c:pt idx="390">
                  <c:v>3986003.9559812299</c:v>
                </c:pt>
                <c:pt idx="391">
                  <c:v>3986003.9559812299</c:v>
                </c:pt>
                <c:pt idx="392">
                  <c:v>3986003.9559812299</c:v>
                </c:pt>
                <c:pt idx="393">
                  <c:v>3986003.9559812299</c:v>
                </c:pt>
                <c:pt idx="394">
                  <c:v>3986003.9559812299</c:v>
                </c:pt>
                <c:pt idx="395">
                  <c:v>3986003.9559812299</c:v>
                </c:pt>
                <c:pt idx="396">
                  <c:v>3986003.9559812299</c:v>
                </c:pt>
                <c:pt idx="397">
                  <c:v>3986003.9559812299</c:v>
                </c:pt>
                <c:pt idx="398">
                  <c:v>3986003.9559812299</c:v>
                </c:pt>
                <c:pt idx="399">
                  <c:v>3986003.9559812299</c:v>
                </c:pt>
                <c:pt idx="400">
                  <c:v>3986003.9559812299</c:v>
                </c:pt>
                <c:pt idx="401">
                  <c:v>3986003.9559812299</c:v>
                </c:pt>
                <c:pt idx="402">
                  <c:v>3986003.9559812299</c:v>
                </c:pt>
                <c:pt idx="403">
                  <c:v>3986003.9559812299</c:v>
                </c:pt>
                <c:pt idx="404">
                  <c:v>3986003.9559812299</c:v>
                </c:pt>
                <c:pt idx="405">
                  <c:v>3986003.9559812299</c:v>
                </c:pt>
                <c:pt idx="406">
                  <c:v>3986003.9559812299</c:v>
                </c:pt>
                <c:pt idx="407">
                  <c:v>3986003.9559812299</c:v>
                </c:pt>
                <c:pt idx="408">
                  <c:v>3986003.9559812299</c:v>
                </c:pt>
                <c:pt idx="409">
                  <c:v>3986003.9559812299</c:v>
                </c:pt>
                <c:pt idx="410">
                  <c:v>3986003.9559812299</c:v>
                </c:pt>
                <c:pt idx="411">
                  <c:v>3986003.9559812299</c:v>
                </c:pt>
                <c:pt idx="412">
                  <c:v>3986003.9559812299</c:v>
                </c:pt>
                <c:pt idx="413">
                  <c:v>3986003.9559812299</c:v>
                </c:pt>
                <c:pt idx="414">
                  <c:v>3986003.9559812299</c:v>
                </c:pt>
                <c:pt idx="415">
                  <c:v>3986003.9559812299</c:v>
                </c:pt>
                <c:pt idx="416">
                  <c:v>3986003.9559812299</c:v>
                </c:pt>
                <c:pt idx="417">
                  <c:v>3986003.9559812299</c:v>
                </c:pt>
                <c:pt idx="418">
                  <c:v>3986003.9559812299</c:v>
                </c:pt>
                <c:pt idx="419">
                  <c:v>3986003.9559812299</c:v>
                </c:pt>
                <c:pt idx="420">
                  <c:v>3986003.9559812299</c:v>
                </c:pt>
                <c:pt idx="421">
                  <c:v>3986003.9559812299</c:v>
                </c:pt>
                <c:pt idx="422">
                  <c:v>3986003.9559812299</c:v>
                </c:pt>
                <c:pt idx="423">
                  <c:v>3986003.9559812299</c:v>
                </c:pt>
                <c:pt idx="424">
                  <c:v>3986003.9559812299</c:v>
                </c:pt>
                <c:pt idx="425">
                  <c:v>3986003.9559812299</c:v>
                </c:pt>
                <c:pt idx="426">
                  <c:v>3986003.9559812299</c:v>
                </c:pt>
                <c:pt idx="427">
                  <c:v>3986003.9559812299</c:v>
                </c:pt>
                <c:pt idx="428">
                  <c:v>3986003.9559812299</c:v>
                </c:pt>
                <c:pt idx="429">
                  <c:v>3986003.9559812299</c:v>
                </c:pt>
                <c:pt idx="430">
                  <c:v>3986003.9559812299</c:v>
                </c:pt>
                <c:pt idx="431">
                  <c:v>3986003.9559812299</c:v>
                </c:pt>
                <c:pt idx="432">
                  <c:v>3986003.9559812299</c:v>
                </c:pt>
                <c:pt idx="433">
                  <c:v>3986003.9559812299</c:v>
                </c:pt>
                <c:pt idx="434">
                  <c:v>3986003.9559812299</c:v>
                </c:pt>
                <c:pt idx="435">
                  <c:v>3986003.9559812299</c:v>
                </c:pt>
                <c:pt idx="436">
                  <c:v>3986003.9559812299</c:v>
                </c:pt>
                <c:pt idx="437">
                  <c:v>3986003.9559812299</c:v>
                </c:pt>
                <c:pt idx="438">
                  <c:v>3986003.9559812299</c:v>
                </c:pt>
                <c:pt idx="439">
                  <c:v>3986003.9559812299</c:v>
                </c:pt>
                <c:pt idx="440">
                  <c:v>3986003.9559812299</c:v>
                </c:pt>
                <c:pt idx="441">
                  <c:v>3986003.9559812299</c:v>
                </c:pt>
                <c:pt idx="442">
                  <c:v>3986003.9559812299</c:v>
                </c:pt>
                <c:pt idx="443">
                  <c:v>3986003.9559812299</c:v>
                </c:pt>
                <c:pt idx="444">
                  <c:v>3986003.9559812299</c:v>
                </c:pt>
                <c:pt idx="445">
                  <c:v>3986003.9559812299</c:v>
                </c:pt>
                <c:pt idx="446">
                  <c:v>3986003.9559812299</c:v>
                </c:pt>
                <c:pt idx="447">
                  <c:v>3986003.9559812299</c:v>
                </c:pt>
                <c:pt idx="448">
                  <c:v>3986003.9559812299</c:v>
                </c:pt>
                <c:pt idx="449">
                  <c:v>3986003.9559812299</c:v>
                </c:pt>
                <c:pt idx="450">
                  <c:v>3986003.9559812299</c:v>
                </c:pt>
                <c:pt idx="451">
                  <c:v>3986003.9559812299</c:v>
                </c:pt>
                <c:pt idx="452">
                  <c:v>3986003.9559812299</c:v>
                </c:pt>
                <c:pt idx="453">
                  <c:v>3986003.9559812299</c:v>
                </c:pt>
                <c:pt idx="454">
                  <c:v>3986003.9559812299</c:v>
                </c:pt>
                <c:pt idx="455">
                  <c:v>3986003.9559812299</c:v>
                </c:pt>
                <c:pt idx="456">
                  <c:v>3986003.9559812299</c:v>
                </c:pt>
                <c:pt idx="457">
                  <c:v>3986003.9559812299</c:v>
                </c:pt>
                <c:pt idx="458">
                  <c:v>3986003.9559812299</c:v>
                </c:pt>
                <c:pt idx="459">
                  <c:v>3986003.9559812299</c:v>
                </c:pt>
                <c:pt idx="460">
                  <c:v>3986003.9559812299</c:v>
                </c:pt>
                <c:pt idx="461">
                  <c:v>3986003.9559812299</c:v>
                </c:pt>
                <c:pt idx="462">
                  <c:v>3986003.9559812299</c:v>
                </c:pt>
                <c:pt idx="463">
                  <c:v>3986003.9559812299</c:v>
                </c:pt>
                <c:pt idx="464">
                  <c:v>3986003.9559812299</c:v>
                </c:pt>
                <c:pt idx="465">
                  <c:v>3986003.9559812299</c:v>
                </c:pt>
                <c:pt idx="466">
                  <c:v>3986003.9559812299</c:v>
                </c:pt>
                <c:pt idx="467">
                  <c:v>3986003.9559812299</c:v>
                </c:pt>
                <c:pt idx="468">
                  <c:v>3986003.9559812299</c:v>
                </c:pt>
                <c:pt idx="469">
                  <c:v>3986003.9559812299</c:v>
                </c:pt>
                <c:pt idx="470">
                  <c:v>3986003.9559812299</c:v>
                </c:pt>
                <c:pt idx="471">
                  <c:v>3986003.9559812299</c:v>
                </c:pt>
                <c:pt idx="472">
                  <c:v>3986003.9559812299</c:v>
                </c:pt>
                <c:pt idx="473">
                  <c:v>3986003.9559812299</c:v>
                </c:pt>
                <c:pt idx="474">
                  <c:v>3986003.9559812299</c:v>
                </c:pt>
                <c:pt idx="475">
                  <c:v>3986003.9559812299</c:v>
                </c:pt>
                <c:pt idx="476">
                  <c:v>3986003.9559812299</c:v>
                </c:pt>
                <c:pt idx="477">
                  <c:v>3986003.9559812299</c:v>
                </c:pt>
                <c:pt idx="478">
                  <c:v>3986003.9559812299</c:v>
                </c:pt>
                <c:pt idx="479">
                  <c:v>3986003.9559812299</c:v>
                </c:pt>
                <c:pt idx="480">
                  <c:v>3986003.9559812299</c:v>
                </c:pt>
                <c:pt idx="481">
                  <c:v>3986003.9559812299</c:v>
                </c:pt>
                <c:pt idx="482">
                  <c:v>3986003.9559812299</c:v>
                </c:pt>
                <c:pt idx="483">
                  <c:v>3986003.9559812299</c:v>
                </c:pt>
                <c:pt idx="484">
                  <c:v>3986003.9559812299</c:v>
                </c:pt>
                <c:pt idx="485">
                  <c:v>3986003.9559812299</c:v>
                </c:pt>
                <c:pt idx="486">
                  <c:v>3986003.9559812299</c:v>
                </c:pt>
                <c:pt idx="487">
                  <c:v>3986003.9559812299</c:v>
                </c:pt>
                <c:pt idx="488">
                  <c:v>3986003.9559812299</c:v>
                </c:pt>
                <c:pt idx="489">
                  <c:v>3986003.9559812299</c:v>
                </c:pt>
                <c:pt idx="490">
                  <c:v>3986003.9559812299</c:v>
                </c:pt>
                <c:pt idx="491">
                  <c:v>3986003.9559812299</c:v>
                </c:pt>
                <c:pt idx="492">
                  <c:v>3986003.9559812299</c:v>
                </c:pt>
                <c:pt idx="493">
                  <c:v>3986003.9559812299</c:v>
                </c:pt>
                <c:pt idx="494">
                  <c:v>3986003.9559812299</c:v>
                </c:pt>
                <c:pt idx="495">
                  <c:v>3986003.9559812299</c:v>
                </c:pt>
                <c:pt idx="496">
                  <c:v>3986003.9559812299</c:v>
                </c:pt>
                <c:pt idx="497">
                  <c:v>3986003.9559812299</c:v>
                </c:pt>
                <c:pt idx="498">
                  <c:v>3986003.9559812299</c:v>
                </c:pt>
                <c:pt idx="499">
                  <c:v>3986003.9559812299</c:v>
                </c:pt>
                <c:pt idx="500">
                  <c:v>3986003.9559812299</c:v>
                </c:pt>
                <c:pt idx="501">
                  <c:v>3986003.9559812299</c:v>
                </c:pt>
                <c:pt idx="502">
                  <c:v>3986003.9559812299</c:v>
                </c:pt>
                <c:pt idx="503">
                  <c:v>3986003.9559812299</c:v>
                </c:pt>
                <c:pt idx="504">
                  <c:v>3986003.9559812299</c:v>
                </c:pt>
                <c:pt idx="505">
                  <c:v>3986003.9559812299</c:v>
                </c:pt>
                <c:pt idx="506">
                  <c:v>3986003.9559812299</c:v>
                </c:pt>
                <c:pt idx="507">
                  <c:v>3986003.9559812299</c:v>
                </c:pt>
                <c:pt idx="508">
                  <c:v>3986003.9559812299</c:v>
                </c:pt>
                <c:pt idx="509">
                  <c:v>3986003.9559812299</c:v>
                </c:pt>
                <c:pt idx="510">
                  <c:v>3986003.9559812299</c:v>
                </c:pt>
                <c:pt idx="511">
                  <c:v>3986003.9559812299</c:v>
                </c:pt>
                <c:pt idx="512">
                  <c:v>3986003.9559812299</c:v>
                </c:pt>
                <c:pt idx="513">
                  <c:v>3986003.9559812299</c:v>
                </c:pt>
                <c:pt idx="514">
                  <c:v>3986003.9559812299</c:v>
                </c:pt>
                <c:pt idx="515">
                  <c:v>3986003.9559812299</c:v>
                </c:pt>
                <c:pt idx="516">
                  <c:v>3986003.9559812299</c:v>
                </c:pt>
                <c:pt idx="517">
                  <c:v>3986003.9559812299</c:v>
                </c:pt>
                <c:pt idx="518">
                  <c:v>3986003.9559812299</c:v>
                </c:pt>
                <c:pt idx="519">
                  <c:v>3986003.9559812299</c:v>
                </c:pt>
                <c:pt idx="520">
                  <c:v>3986003.9559812299</c:v>
                </c:pt>
                <c:pt idx="521">
                  <c:v>3986003.9559812299</c:v>
                </c:pt>
                <c:pt idx="522">
                  <c:v>3986003.9559812299</c:v>
                </c:pt>
                <c:pt idx="523">
                  <c:v>3986003.9559812299</c:v>
                </c:pt>
                <c:pt idx="524">
                  <c:v>3986003.9559812299</c:v>
                </c:pt>
                <c:pt idx="525">
                  <c:v>3986003.9559812299</c:v>
                </c:pt>
                <c:pt idx="526">
                  <c:v>3986003.9559812299</c:v>
                </c:pt>
                <c:pt idx="527">
                  <c:v>3986003.9559812299</c:v>
                </c:pt>
                <c:pt idx="528">
                  <c:v>3986003.9559812299</c:v>
                </c:pt>
                <c:pt idx="529">
                  <c:v>3986003.9559812299</c:v>
                </c:pt>
                <c:pt idx="530">
                  <c:v>3986003.9559812299</c:v>
                </c:pt>
                <c:pt idx="531">
                  <c:v>3986003.9559812299</c:v>
                </c:pt>
                <c:pt idx="532">
                  <c:v>3986003.9559812299</c:v>
                </c:pt>
                <c:pt idx="533">
                  <c:v>3986003.9559812299</c:v>
                </c:pt>
                <c:pt idx="534">
                  <c:v>3986003.9559812299</c:v>
                </c:pt>
                <c:pt idx="535">
                  <c:v>3986003.9559812299</c:v>
                </c:pt>
                <c:pt idx="536">
                  <c:v>3986003.9559812299</c:v>
                </c:pt>
                <c:pt idx="537">
                  <c:v>3986003.9559812299</c:v>
                </c:pt>
                <c:pt idx="538">
                  <c:v>3986003.9559812299</c:v>
                </c:pt>
                <c:pt idx="539">
                  <c:v>3986003.9559812299</c:v>
                </c:pt>
                <c:pt idx="540">
                  <c:v>3986003.9559812299</c:v>
                </c:pt>
                <c:pt idx="541">
                  <c:v>3986003.9559812299</c:v>
                </c:pt>
                <c:pt idx="542">
                  <c:v>3986003.9559812299</c:v>
                </c:pt>
                <c:pt idx="543">
                  <c:v>3986003.9559812299</c:v>
                </c:pt>
                <c:pt idx="544">
                  <c:v>3986003.9559812299</c:v>
                </c:pt>
                <c:pt idx="545">
                  <c:v>3986003.9559812299</c:v>
                </c:pt>
                <c:pt idx="546">
                  <c:v>3986003.9559812299</c:v>
                </c:pt>
                <c:pt idx="547">
                  <c:v>3986003.9559812299</c:v>
                </c:pt>
                <c:pt idx="548">
                  <c:v>3986003.9559812299</c:v>
                </c:pt>
                <c:pt idx="549">
                  <c:v>3986003.9559812299</c:v>
                </c:pt>
                <c:pt idx="550">
                  <c:v>3986003.9559812299</c:v>
                </c:pt>
                <c:pt idx="551">
                  <c:v>3986003.9559812299</c:v>
                </c:pt>
                <c:pt idx="552">
                  <c:v>3986003.9559812299</c:v>
                </c:pt>
                <c:pt idx="553">
                  <c:v>3986003.9559812299</c:v>
                </c:pt>
                <c:pt idx="554">
                  <c:v>3986003.9559812299</c:v>
                </c:pt>
                <c:pt idx="555">
                  <c:v>3986003.9559812299</c:v>
                </c:pt>
                <c:pt idx="556">
                  <c:v>3986003.9559812299</c:v>
                </c:pt>
                <c:pt idx="557">
                  <c:v>3986003.9559812299</c:v>
                </c:pt>
                <c:pt idx="558">
                  <c:v>3986003.9559812299</c:v>
                </c:pt>
                <c:pt idx="559">
                  <c:v>3986003.9559812299</c:v>
                </c:pt>
                <c:pt idx="560">
                  <c:v>3986003.9559812299</c:v>
                </c:pt>
                <c:pt idx="561">
                  <c:v>3986003.9559812299</c:v>
                </c:pt>
                <c:pt idx="562">
                  <c:v>3986003.9559812299</c:v>
                </c:pt>
                <c:pt idx="563">
                  <c:v>3986003.9559812299</c:v>
                </c:pt>
                <c:pt idx="564">
                  <c:v>3986003.9559812299</c:v>
                </c:pt>
                <c:pt idx="565">
                  <c:v>3986003.9559812299</c:v>
                </c:pt>
                <c:pt idx="566">
                  <c:v>3986003.9559812299</c:v>
                </c:pt>
                <c:pt idx="567">
                  <c:v>3986003.9559812299</c:v>
                </c:pt>
                <c:pt idx="568">
                  <c:v>3986003.9559812299</c:v>
                </c:pt>
                <c:pt idx="569">
                  <c:v>3986003.9559812299</c:v>
                </c:pt>
                <c:pt idx="570">
                  <c:v>3986003.9559812299</c:v>
                </c:pt>
                <c:pt idx="571">
                  <c:v>3986003.9559812299</c:v>
                </c:pt>
                <c:pt idx="572">
                  <c:v>3986003.9559812299</c:v>
                </c:pt>
                <c:pt idx="573">
                  <c:v>3986003.9559812299</c:v>
                </c:pt>
                <c:pt idx="574">
                  <c:v>3986003.9559812299</c:v>
                </c:pt>
                <c:pt idx="575">
                  <c:v>3986003.9559812299</c:v>
                </c:pt>
                <c:pt idx="576">
                  <c:v>3986003.9559812299</c:v>
                </c:pt>
                <c:pt idx="577">
                  <c:v>3986003.9559812299</c:v>
                </c:pt>
                <c:pt idx="578">
                  <c:v>3986003.9559812299</c:v>
                </c:pt>
                <c:pt idx="579">
                  <c:v>3986003.9559812299</c:v>
                </c:pt>
                <c:pt idx="580">
                  <c:v>3986003.9559812299</c:v>
                </c:pt>
                <c:pt idx="581">
                  <c:v>3986003.9559812299</c:v>
                </c:pt>
                <c:pt idx="582">
                  <c:v>3986003.9559812299</c:v>
                </c:pt>
                <c:pt idx="583">
                  <c:v>3986003.9559812299</c:v>
                </c:pt>
                <c:pt idx="584">
                  <c:v>3986003.9559812299</c:v>
                </c:pt>
                <c:pt idx="585">
                  <c:v>3986003.9559812299</c:v>
                </c:pt>
                <c:pt idx="586">
                  <c:v>3986003.9559812299</c:v>
                </c:pt>
                <c:pt idx="587">
                  <c:v>3986003.9559812299</c:v>
                </c:pt>
                <c:pt idx="588">
                  <c:v>3986003.9559812299</c:v>
                </c:pt>
                <c:pt idx="589">
                  <c:v>3986003.9559812299</c:v>
                </c:pt>
                <c:pt idx="590">
                  <c:v>3986003.9559812299</c:v>
                </c:pt>
                <c:pt idx="591">
                  <c:v>3986003.9559812299</c:v>
                </c:pt>
                <c:pt idx="592">
                  <c:v>3986003.9559812299</c:v>
                </c:pt>
                <c:pt idx="593">
                  <c:v>3986003.9559812299</c:v>
                </c:pt>
                <c:pt idx="594">
                  <c:v>3986003.9559812299</c:v>
                </c:pt>
                <c:pt idx="595">
                  <c:v>3986003.9559812299</c:v>
                </c:pt>
                <c:pt idx="596">
                  <c:v>3986003.9559812299</c:v>
                </c:pt>
                <c:pt idx="597">
                  <c:v>3986003.9559812299</c:v>
                </c:pt>
                <c:pt idx="598">
                  <c:v>3986003.9559812299</c:v>
                </c:pt>
                <c:pt idx="599">
                  <c:v>3986003.9559812299</c:v>
                </c:pt>
                <c:pt idx="600">
                  <c:v>3986003.9559812299</c:v>
                </c:pt>
                <c:pt idx="601">
                  <c:v>3986003.9559812299</c:v>
                </c:pt>
                <c:pt idx="602">
                  <c:v>3986003.9559812299</c:v>
                </c:pt>
                <c:pt idx="603">
                  <c:v>3986003.9559812299</c:v>
                </c:pt>
                <c:pt idx="604">
                  <c:v>3986003.9559812299</c:v>
                </c:pt>
                <c:pt idx="605">
                  <c:v>3986003.9559812299</c:v>
                </c:pt>
                <c:pt idx="606">
                  <c:v>3986003.9559812299</c:v>
                </c:pt>
                <c:pt idx="607">
                  <c:v>3986003.9559812299</c:v>
                </c:pt>
                <c:pt idx="608">
                  <c:v>3986003.9559812299</c:v>
                </c:pt>
                <c:pt idx="609">
                  <c:v>3986003.9559812299</c:v>
                </c:pt>
                <c:pt idx="610">
                  <c:v>3986003.9559812299</c:v>
                </c:pt>
                <c:pt idx="611">
                  <c:v>3986003.9559812299</c:v>
                </c:pt>
                <c:pt idx="612">
                  <c:v>3986003.9559812299</c:v>
                </c:pt>
                <c:pt idx="613">
                  <c:v>3986003.9559812299</c:v>
                </c:pt>
                <c:pt idx="614">
                  <c:v>3986003.9559812299</c:v>
                </c:pt>
                <c:pt idx="615">
                  <c:v>3986003.9559812299</c:v>
                </c:pt>
                <c:pt idx="616">
                  <c:v>3986003.9559812299</c:v>
                </c:pt>
                <c:pt idx="617">
                  <c:v>3986003.9559812299</c:v>
                </c:pt>
                <c:pt idx="618">
                  <c:v>3986003.9559812299</c:v>
                </c:pt>
                <c:pt idx="619">
                  <c:v>3986003.9559812299</c:v>
                </c:pt>
                <c:pt idx="620">
                  <c:v>3986003.9559812299</c:v>
                </c:pt>
                <c:pt idx="621">
                  <c:v>3986003.9559812299</c:v>
                </c:pt>
                <c:pt idx="622">
                  <c:v>3986003.9559812299</c:v>
                </c:pt>
                <c:pt idx="623">
                  <c:v>3986003.9559812299</c:v>
                </c:pt>
                <c:pt idx="624">
                  <c:v>3986003.9559812299</c:v>
                </c:pt>
                <c:pt idx="625">
                  <c:v>3986003.9559812299</c:v>
                </c:pt>
                <c:pt idx="626">
                  <c:v>3986003.9559812299</c:v>
                </c:pt>
                <c:pt idx="627">
                  <c:v>3986003.9559812299</c:v>
                </c:pt>
                <c:pt idx="628">
                  <c:v>3986003.9559812299</c:v>
                </c:pt>
                <c:pt idx="629">
                  <c:v>3986003.9559812299</c:v>
                </c:pt>
                <c:pt idx="630">
                  <c:v>3986003.9559812299</c:v>
                </c:pt>
                <c:pt idx="631">
                  <c:v>3986003.9559812299</c:v>
                </c:pt>
                <c:pt idx="632">
                  <c:v>3986003.9559812299</c:v>
                </c:pt>
                <c:pt idx="633">
                  <c:v>3986003.9559812299</c:v>
                </c:pt>
                <c:pt idx="634">
                  <c:v>3986003.9559812299</c:v>
                </c:pt>
                <c:pt idx="635">
                  <c:v>3986003.9559812299</c:v>
                </c:pt>
                <c:pt idx="636">
                  <c:v>3986003.9559812299</c:v>
                </c:pt>
                <c:pt idx="637">
                  <c:v>3986003.9559812299</c:v>
                </c:pt>
                <c:pt idx="638">
                  <c:v>3986003.9559812299</c:v>
                </c:pt>
                <c:pt idx="639">
                  <c:v>3986003.9559812299</c:v>
                </c:pt>
                <c:pt idx="640">
                  <c:v>3986003.9559812299</c:v>
                </c:pt>
                <c:pt idx="641">
                  <c:v>3986003.9559812299</c:v>
                </c:pt>
                <c:pt idx="642">
                  <c:v>3986003.9559812299</c:v>
                </c:pt>
                <c:pt idx="643">
                  <c:v>3986003.9559812299</c:v>
                </c:pt>
                <c:pt idx="644">
                  <c:v>3986003.9559812299</c:v>
                </c:pt>
                <c:pt idx="645">
                  <c:v>3986003.9559812299</c:v>
                </c:pt>
                <c:pt idx="646">
                  <c:v>3986003.9559812299</c:v>
                </c:pt>
                <c:pt idx="647">
                  <c:v>3986003.9559812299</c:v>
                </c:pt>
                <c:pt idx="648">
                  <c:v>3986003.9559812299</c:v>
                </c:pt>
                <c:pt idx="649">
                  <c:v>3986003.9559812299</c:v>
                </c:pt>
                <c:pt idx="650">
                  <c:v>3986003.9559812299</c:v>
                </c:pt>
                <c:pt idx="651">
                  <c:v>3986003.9559812299</c:v>
                </c:pt>
                <c:pt idx="652">
                  <c:v>3986003.9559812299</c:v>
                </c:pt>
                <c:pt idx="653">
                  <c:v>3986003.9559812299</c:v>
                </c:pt>
                <c:pt idx="654">
                  <c:v>3986003.9559812299</c:v>
                </c:pt>
                <c:pt idx="655">
                  <c:v>3986003.9559812299</c:v>
                </c:pt>
                <c:pt idx="656">
                  <c:v>3986003.9559812299</c:v>
                </c:pt>
                <c:pt idx="657">
                  <c:v>3986003.9559812299</c:v>
                </c:pt>
                <c:pt idx="658">
                  <c:v>3986003.9559812299</c:v>
                </c:pt>
                <c:pt idx="659">
                  <c:v>3986003.9559812299</c:v>
                </c:pt>
                <c:pt idx="660">
                  <c:v>3986003.9559812299</c:v>
                </c:pt>
                <c:pt idx="661">
                  <c:v>3986003.9559812299</c:v>
                </c:pt>
                <c:pt idx="662">
                  <c:v>3986003.9559812299</c:v>
                </c:pt>
                <c:pt idx="663">
                  <c:v>3986003.9559812299</c:v>
                </c:pt>
                <c:pt idx="664">
                  <c:v>3986003.9559812299</c:v>
                </c:pt>
                <c:pt idx="665">
                  <c:v>3986003.9559812299</c:v>
                </c:pt>
                <c:pt idx="666">
                  <c:v>3986003.9559812299</c:v>
                </c:pt>
                <c:pt idx="667">
                  <c:v>3986003.9559812299</c:v>
                </c:pt>
                <c:pt idx="668">
                  <c:v>3986003.9559812299</c:v>
                </c:pt>
                <c:pt idx="669">
                  <c:v>3986003.9559812299</c:v>
                </c:pt>
                <c:pt idx="670">
                  <c:v>3986003.9559812299</c:v>
                </c:pt>
                <c:pt idx="671">
                  <c:v>3986003.9559812299</c:v>
                </c:pt>
                <c:pt idx="672">
                  <c:v>3986003.9559812299</c:v>
                </c:pt>
                <c:pt idx="673">
                  <c:v>3986003.9559812299</c:v>
                </c:pt>
                <c:pt idx="674">
                  <c:v>3986003.9559812299</c:v>
                </c:pt>
                <c:pt idx="675">
                  <c:v>3986003.9559812299</c:v>
                </c:pt>
                <c:pt idx="676">
                  <c:v>3986003.9559812299</c:v>
                </c:pt>
                <c:pt idx="677">
                  <c:v>3986003.9559812299</c:v>
                </c:pt>
                <c:pt idx="678">
                  <c:v>3986003.9559812299</c:v>
                </c:pt>
                <c:pt idx="679">
                  <c:v>3986003.9559812299</c:v>
                </c:pt>
                <c:pt idx="680">
                  <c:v>3986003.9559812299</c:v>
                </c:pt>
                <c:pt idx="681">
                  <c:v>3986003.9559812299</c:v>
                </c:pt>
                <c:pt idx="682">
                  <c:v>3986003.9559812299</c:v>
                </c:pt>
                <c:pt idx="683">
                  <c:v>3986003.9559812299</c:v>
                </c:pt>
                <c:pt idx="684">
                  <c:v>3986003.9559812299</c:v>
                </c:pt>
                <c:pt idx="685">
                  <c:v>3986003.9559812299</c:v>
                </c:pt>
                <c:pt idx="686">
                  <c:v>3986003.9559812299</c:v>
                </c:pt>
                <c:pt idx="687">
                  <c:v>3986003.9559812299</c:v>
                </c:pt>
                <c:pt idx="688">
                  <c:v>3986003.9559812299</c:v>
                </c:pt>
                <c:pt idx="689">
                  <c:v>3986003.9559812299</c:v>
                </c:pt>
                <c:pt idx="690">
                  <c:v>3986003.9559812299</c:v>
                </c:pt>
                <c:pt idx="691">
                  <c:v>3986003.9559812299</c:v>
                </c:pt>
                <c:pt idx="692">
                  <c:v>3986003.9559812299</c:v>
                </c:pt>
                <c:pt idx="693">
                  <c:v>3986003.9559812299</c:v>
                </c:pt>
                <c:pt idx="694">
                  <c:v>3986003.9559812299</c:v>
                </c:pt>
                <c:pt idx="695">
                  <c:v>3986003.9559812299</c:v>
                </c:pt>
                <c:pt idx="696">
                  <c:v>3986003.9559812299</c:v>
                </c:pt>
                <c:pt idx="697">
                  <c:v>3986003.9559812299</c:v>
                </c:pt>
                <c:pt idx="698">
                  <c:v>3986003.9559812299</c:v>
                </c:pt>
                <c:pt idx="699">
                  <c:v>3986003.9559812299</c:v>
                </c:pt>
                <c:pt idx="700">
                  <c:v>3986003.9559812299</c:v>
                </c:pt>
                <c:pt idx="701">
                  <c:v>3986003.9559812299</c:v>
                </c:pt>
                <c:pt idx="702">
                  <c:v>3986003.9559812299</c:v>
                </c:pt>
                <c:pt idx="703">
                  <c:v>3986003.9559812299</c:v>
                </c:pt>
                <c:pt idx="704">
                  <c:v>3986003.9559812299</c:v>
                </c:pt>
                <c:pt idx="705">
                  <c:v>3986003.9559812299</c:v>
                </c:pt>
                <c:pt idx="706">
                  <c:v>3986003.9559812299</c:v>
                </c:pt>
                <c:pt idx="707">
                  <c:v>3986003.9559812299</c:v>
                </c:pt>
                <c:pt idx="708">
                  <c:v>3986003.9559812299</c:v>
                </c:pt>
                <c:pt idx="709">
                  <c:v>3986003.9559812299</c:v>
                </c:pt>
                <c:pt idx="710">
                  <c:v>3986003.9559812299</c:v>
                </c:pt>
                <c:pt idx="711">
                  <c:v>3986003.9559812299</c:v>
                </c:pt>
                <c:pt idx="712">
                  <c:v>3986003.9559812299</c:v>
                </c:pt>
                <c:pt idx="713">
                  <c:v>3986003.9559812299</c:v>
                </c:pt>
                <c:pt idx="714">
                  <c:v>3986003.9559812299</c:v>
                </c:pt>
                <c:pt idx="715">
                  <c:v>3986003.9559812299</c:v>
                </c:pt>
                <c:pt idx="716">
                  <c:v>3986003.9559812299</c:v>
                </c:pt>
                <c:pt idx="717">
                  <c:v>3986003.9559812299</c:v>
                </c:pt>
                <c:pt idx="718">
                  <c:v>3986003.9559812299</c:v>
                </c:pt>
                <c:pt idx="719">
                  <c:v>3986003.9559812299</c:v>
                </c:pt>
                <c:pt idx="720">
                  <c:v>3986003.9559812299</c:v>
                </c:pt>
                <c:pt idx="721">
                  <c:v>3986003.9559812299</c:v>
                </c:pt>
                <c:pt idx="722">
                  <c:v>3986003.9559812299</c:v>
                </c:pt>
                <c:pt idx="723">
                  <c:v>3986003.9559812299</c:v>
                </c:pt>
                <c:pt idx="724">
                  <c:v>3986003.9559812299</c:v>
                </c:pt>
                <c:pt idx="725">
                  <c:v>3986003.9559812299</c:v>
                </c:pt>
                <c:pt idx="726">
                  <c:v>3986003.9559812299</c:v>
                </c:pt>
                <c:pt idx="727">
                  <c:v>3986003.9559812299</c:v>
                </c:pt>
                <c:pt idx="728">
                  <c:v>3986003.9559812299</c:v>
                </c:pt>
                <c:pt idx="729">
                  <c:v>3986003.9559812299</c:v>
                </c:pt>
                <c:pt idx="730">
                  <c:v>3986003.9559812299</c:v>
                </c:pt>
                <c:pt idx="731">
                  <c:v>3986003.9559812299</c:v>
                </c:pt>
                <c:pt idx="732">
                  <c:v>3986003.9559812299</c:v>
                </c:pt>
                <c:pt idx="733">
                  <c:v>3986003.9559812299</c:v>
                </c:pt>
                <c:pt idx="734">
                  <c:v>3986003.9559812299</c:v>
                </c:pt>
                <c:pt idx="735">
                  <c:v>3986003.9559812299</c:v>
                </c:pt>
                <c:pt idx="736">
                  <c:v>3986003.9559812299</c:v>
                </c:pt>
                <c:pt idx="737">
                  <c:v>3986003.9559812299</c:v>
                </c:pt>
                <c:pt idx="738">
                  <c:v>3986003.9559812299</c:v>
                </c:pt>
                <c:pt idx="739">
                  <c:v>3986003.9559812299</c:v>
                </c:pt>
                <c:pt idx="740">
                  <c:v>3986003.9559812299</c:v>
                </c:pt>
                <c:pt idx="741">
                  <c:v>3986003.9559812299</c:v>
                </c:pt>
                <c:pt idx="742">
                  <c:v>3986003.9559812299</c:v>
                </c:pt>
                <c:pt idx="743">
                  <c:v>3986003.9559812299</c:v>
                </c:pt>
                <c:pt idx="744">
                  <c:v>3986003.9559812299</c:v>
                </c:pt>
                <c:pt idx="745">
                  <c:v>3986003.9559812299</c:v>
                </c:pt>
                <c:pt idx="746">
                  <c:v>3986003.9559812299</c:v>
                </c:pt>
                <c:pt idx="747">
                  <c:v>3986003.9559812299</c:v>
                </c:pt>
                <c:pt idx="748">
                  <c:v>3986003.9559812299</c:v>
                </c:pt>
                <c:pt idx="749">
                  <c:v>3986003.9559812299</c:v>
                </c:pt>
                <c:pt idx="750">
                  <c:v>3986003.9559812299</c:v>
                </c:pt>
                <c:pt idx="751">
                  <c:v>3986003.9559812299</c:v>
                </c:pt>
                <c:pt idx="752">
                  <c:v>3986003.9559812299</c:v>
                </c:pt>
                <c:pt idx="753">
                  <c:v>3986003.9559812299</c:v>
                </c:pt>
                <c:pt idx="754">
                  <c:v>3986003.9559812299</c:v>
                </c:pt>
                <c:pt idx="755">
                  <c:v>3986003.9559812299</c:v>
                </c:pt>
                <c:pt idx="756">
                  <c:v>3986003.9559812299</c:v>
                </c:pt>
                <c:pt idx="757">
                  <c:v>3986003.9559812299</c:v>
                </c:pt>
                <c:pt idx="758">
                  <c:v>3986003.9559812299</c:v>
                </c:pt>
                <c:pt idx="759">
                  <c:v>3986003.9559812299</c:v>
                </c:pt>
                <c:pt idx="760">
                  <c:v>3986003.9559812299</c:v>
                </c:pt>
                <c:pt idx="761">
                  <c:v>3986003.9559812299</c:v>
                </c:pt>
                <c:pt idx="762">
                  <c:v>3986003.9559812299</c:v>
                </c:pt>
                <c:pt idx="763">
                  <c:v>3986003.9559812299</c:v>
                </c:pt>
                <c:pt idx="764">
                  <c:v>3986003.9559812299</c:v>
                </c:pt>
                <c:pt idx="765">
                  <c:v>3986003.9559812299</c:v>
                </c:pt>
                <c:pt idx="766">
                  <c:v>3986003.9559812299</c:v>
                </c:pt>
                <c:pt idx="767">
                  <c:v>3986003.9559812299</c:v>
                </c:pt>
                <c:pt idx="768">
                  <c:v>3986003.9559812299</c:v>
                </c:pt>
                <c:pt idx="769">
                  <c:v>3986003.9559812299</c:v>
                </c:pt>
                <c:pt idx="770">
                  <c:v>3986003.9559812299</c:v>
                </c:pt>
                <c:pt idx="771">
                  <c:v>3986003.9559812299</c:v>
                </c:pt>
                <c:pt idx="772">
                  <c:v>3986003.9559812299</c:v>
                </c:pt>
                <c:pt idx="773">
                  <c:v>3986003.9559812299</c:v>
                </c:pt>
                <c:pt idx="774">
                  <c:v>3986003.9559812299</c:v>
                </c:pt>
                <c:pt idx="775">
                  <c:v>3986003.9559812299</c:v>
                </c:pt>
                <c:pt idx="776">
                  <c:v>3986003.9559812299</c:v>
                </c:pt>
                <c:pt idx="777">
                  <c:v>3986003.9559812299</c:v>
                </c:pt>
                <c:pt idx="778">
                  <c:v>3986003.9559812299</c:v>
                </c:pt>
                <c:pt idx="779">
                  <c:v>3986003.9559812299</c:v>
                </c:pt>
                <c:pt idx="780">
                  <c:v>3986003.9559812299</c:v>
                </c:pt>
                <c:pt idx="781">
                  <c:v>3986003.9559812299</c:v>
                </c:pt>
                <c:pt idx="782">
                  <c:v>3986003.9559812299</c:v>
                </c:pt>
                <c:pt idx="783">
                  <c:v>3986003.9559812299</c:v>
                </c:pt>
                <c:pt idx="784">
                  <c:v>3986003.9559812299</c:v>
                </c:pt>
                <c:pt idx="785">
                  <c:v>3986003.9559812299</c:v>
                </c:pt>
                <c:pt idx="786">
                  <c:v>3986003.9559812299</c:v>
                </c:pt>
                <c:pt idx="787">
                  <c:v>3986003.9559812299</c:v>
                </c:pt>
                <c:pt idx="788">
                  <c:v>3986003.9559812299</c:v>
                </c:pt>
                <c:pt idx="789">
                  <c:v>3986003.9559812299</c:v>
                </c:pt>
                <c:pt idx="790">
                  <c:v>3986003.9559812299</c:v>
                </c:pt>
                <c:pt idx="791">
                  <c:v>3986003.9559812299</c:v>
                </c:pt>
                <c:pt idx="792">
                  <c:v>3986003.9559812299</c:v>
                </c:pt>
                <c:pt idx="793">
                  <c:v>3986003.9559812299</c:v>
                </c:pt>
                <c:pt idx="794">
                  <c:v>3986003.9559812299</c:v>
                </c:pt>
                <c:pt idx="795">
                  <c:v>3986003.9559812299</c:v>
                </c:pt>
                <c:pt idx="796">
                  <c:v>3986003.9559812299</c:v>
                </c:pt>
                <c:pt idx="797">
                  <c:v>3986003.9559812299</c:v>
                </c:pt>
                <c:pt idx="798">
                  <c:v>3986003.9559812299</c:v>
                </c:pt>
                <c:pt idx="799">
                  <c:v>3986003.9559812299</c:v>
                </c:pt>
                <c:pt idx="800">
                  <c:v>3986003.9559812299</c:v>
                </c:pt>
                <c:pt idx="801">
                  <c:v>3986003.9559812299</c:v>
                </c:pt>
                <c:pt idx="802">
                  <c:v>3986003.9559812299</c:v>
                </c:pt>
                <c:pt idx="803">
                  <c:v>3986003.9559812299</c:v>
                </c:pt>
                <c:pt idx="804">
                  <c:v>3986003.9559812299</c:v>
                </c:pt>
                <c:pt idx="805">
                  <c:v>3986003.9559812299</c:v>
                </c:pt>
                <c:pt idx="806">
                  <c:v>3986003.9559812299</c:v>
                </c:pt>
                <c:pt idx="807">
                  <c:v>3986003.9559812299</c:v>
                </c:pt>
                <c:pt idx="808">
                  <c:v>3986003.9559812299</c:v>
                </c:pt>
                <c:pt idx="809">
                  <c:v>3986003.9559812299</c:v>
                </c:pt>
                <c:pt idx="810">
                  <c:v>3986003.9559812299</c:v>
                </c:pt>
                <c:pt idx="811">
                  <c:v>3986003.9559812299</c:v>
                </c:pt>
                <c:pt idx="812">
                  <c:v>3986003.9559812299</c:v>
                </c:pt>
                <c:pt idx="813">
                  <c:v>3986003.9559812299</c:v>
                </c:pt>
                <c:pt idx="814">
                  <c:v>3986003.9559812299</c:v>
                </c:pt>
                <c:pt idx="815">
                  <c:v>3986003.9559812299</c:v>
                </c:pt>
                <c:pt idx="816">
                  <c:v>3986003.9559812299</c:v>
                </c:pt>
                <c:pt idx="817">
                  <c:v>3986003.9559812299</c:v>
                </c:pt>
                <c:pt idx="818">
                  <c:v>3986003.9559812299</c:v>
                </c:pt>
                <c:pt idx="819">
                  <c:v>3986003.9559812299</c:v>
                </c:pt>
                <c:pt idx="820">
                  <c:v>3986003.9559812299</c:v>
                </c:pt>
                <c:pt idx="821">
                  <c:v>3986003.9559812299</c:v>
                </c:pt>
                <c:pt idx="822">
                  <c:v>3986003.9559812299</c:v>
                </c:pt>
                <c:pt idx="823">
                  <c:v>3986003.9559812299</c:v>
                </c:pt>
                <c:pt idx="824">
                  <c:v>3986003.9559812299</c:v>
                </c:pt>
                <c:pt idx="825">
                  <c:v>3986003.9559812299</c:v>
                </c:pt>
                <c:pt idx="826">
                  <c:v>3986003.9559812299</c:v>
                </c:pt>
                <c:pt idx="827">
                  <c:v>3986003.9559812299</c:v>
                </c:pt>
                <c:pt idx="828">
                  <c:v>3986003.9559812299</c:v>
                </c:pt>
                <c:pt idx="829">
                  <c:v>3986003.9559812299</c:v>
                </c:pt>
                <c:pt idx="830">
                  <c:v>3986003.9559812299</c:v>
                </c:pt>
                <c:pt idx="831">
                  <c:v>3986003.9559812299</c:v>
                </c:pt>
                <c:pt idx="832">
                  <c:v>3986003.9559812299</c:v>
                </c:pt>
                <c:pt idx="833">
                  <c:v>3986003.9559812299</c:v>
                </c:pt>
                <c:pt idx="834">
                  <c:v>3986003.9559812299</c:v>
                </c:pt>
                <c:pt idx="835">
                  <c:v>3986003.9559812299</c:v>
                </c:pt>
                <c:pt idx="836">
                  <c:v>3986003.9559812299</c:v>
                </c:pt>
                <c:pt idx="837">
                  <c:v>3986003.9559812299</c:v>
                </c:pt>
                <c:pt idx="838">
                  <c:v>3986003.9559812299</c:v>
                </c:pt>
                <c:pt idx="839">
                  <c:v>3986003.9559812299</c:v>
                </c:pt>
                <c:pt idx="840">
                  <c:v>3986003.9559812299</c:v>
                </c:pt>
                <c:pt idx="841">
                  <c:v>3986003.9559812299</c:v>
                </c:pt>
                <c:pt idx="842">
                  <c:v>3986003.9559812299</c:v>
                </c:pt>
                <c:pt idx="843">
                  <c:v>3986003.9559812299</c:v>
                </c:pt>
                <c:pt idx="844">
                  <c:v>3986003.9559812299</c:v>
                </c:pt>
                <c:pt idx="845">
                  <c:v>3986003.9559812299</c:v>
                </c:pt>
                <c:pt idx="846">
                  <c:v>3986003.9559812299</c:v>
                </c:pt>
                <c:pt idx="847">
                  <c:v>3986003.9559812299</c:v>
                </c:pt>
                <c:pt idx="848">
                  <c:v>3986003.9559812299</c:v>
                </c:pt>
                <c:pt idx="849">
                  <c:v>3986003.9559812299</c:v>
                </c:pt>
                <c:pt idx="850">
                  <c:v>3986003.9559812299</c:v>
                </c:pt>
                <c:pt idx="851">
                  <c:v>3986003.9559812299</c:v>
                </c:pt>
                <c:pt idx="852">
                  <c:v>3986003.9559812299</c:v>
                </c:pt>
                <c:pt idx="853">
                  <c:v>3986003.9559812299</c:v>
                </c:pt>
                <c:pt idx="854">
                  <c:v>3986003.9559812299</c:v>
                </c:pt>
                <c:pt idx="855">
                  <c:v>3986003.9559812299</c:v>
                </c:pt>
                <c:pt idx="856">
                  <c:v>3986003.9559812299</c:v>
                </c:pt>
                <c:pt idx="857">
                  <c:v>3986003.9559812299</c:v>
                </c:pt>
                <c:pt idx="858">
                  <c:v>3986003.9559812299</c:v>
                </c:pt>
                <c:pt idx="859">
                  <c:v>3986003.9559812299</c:v>
                </c:pt>
                <c:pt idx="860">
                  <c:v>3986003.9559812299</c:v>
                </c:pt>
                <c:pt idx="861">
                  <c:v>3986003.9559812299</c:v>
                </c:pt>
                <c:pt idx="862">
                  <c:v>3986003.9559812299</c:v>
                </c:pt>
                <c:pt idx="863">
                  <c:v>3986003.9559812299</c:v>
                </c:pt>
                <c:pt idx="864">
                  <c:v>3986003.9559812299</c:v>
                </c:pt>
                <c:pt idx="865">
                  <c:v>3986003.9559812299</c:v>
                </c:pt>
                <c:pt idx="866">
                  <c:v>3986003.9559812299</c:v>
                </c:pt>
                <c:pt idx="867">
                  <c:v>3986003.9559812299</c:v>
                </c:pt>
                <c:pt idx="868">
                  <c:v>3986003.9559812299</c:v>
                </c:pt>
                <c:pt idx="869">
                  <c:v>3986003.9559812299</c:v>
                </c:pt>
                <c:pt idx="870">
                  <c:v>3986003.9559812299</c:v>
                </c:pt>
                <c:pt idx="871">
                  <c:v>3986003.9559812299</c:v>
                </c:pt>
                <c:pt idx="872">
                  <c:v>3986003.9559812299</c:v>
                </c:pt>
                <c:pt idx="873">
                  <c:v>3986003.9559812299</c:v>
                </c:pt>
                <c:pt idx="874">
                  <c:v>3986003.9559812299</c:v>
                </c:pt>
                <c:pt idx="875">
                  <c:v>3986003.9559812299</c:v>
                </c:pt>
                <c:pt idx="876">
                  <c:v>3986003.9559812299</c:v>
                </c:pt>
                <c:pt idx="877">
                  <c:v>3986003.9559812299</c:v>
                </c:pt>
                <c:pt idx="878">
                  <c:v>3986003.9559812299</c:v>
                </c:pt>
                <c:pt idx="879">
                  <c:v>3986003.9559812299</c:v>
                </c:pt>
                <c:pt idx="880">
                  <c:v>3986003.9559812299</c:v>
                </c:pt>
                <c:pt idx="881">
                  <c:v>3986003.9559812299</c:v>
                </c:pt>
                <c:pt idx="882">
                  <c:v>3986003.9559812299</c:v>
                </c:pt>
                <c:pt idx="883">
                  <c:v>3986003.9559812299</c:v>
                </c:pt>
                <c:pt idx="884">
                  <c:v>3986003.9559812299</c:v>
                </c:pt>
                <c:pt idx="885">
                  <c:v>3986003.9559812299</c:v>
                </c:pt>
                <c:pt idx="886">
                  <c:v>3986003.9559812299</c:v>
                </c:pt>
                <c:pt idx="887">
                  <c:v>3986003.9559812299</c:v>
                </c:pt>
                <c:pt idx="888">
                  <c:v>3986003.9559812299</c:v>
                </c:pt>
                <c:pt idx="889">
                  <c:v>3986003.9559812299</c:v>
                </c:pt>
                <c:pt idx="890">
                  <c:v>3986003.9559812299</c:v>
                </c:pt>
                <c:pt idx="891">
                  <c:v>3986003.9559812299</c:v>
                </c:pt>
                <c:pt idx="892">
                  <c:v>3986003.9559812299</c:v>
                </c:pt>
                <c:pt idx="893">
                  <c:v>3986003.9559812299</c:v>
                </c:pt>
                <c:pt idx="894">
                  <c:v>3986003.9559812299</c:v>
                </c:pt>
                <c:pt idx="895">
                  <c:v>3986003.9559812299</c:v>
                </c:pt>
                <c:pt idx="896">
                  <c:v>3986003.9559812299</c:v>
                </c:pt>
                <c:pt idx="897">
                  <c:v>3986003.9559812299</c:v>
                </c:pt>
                <c:pt idx="898">
                  <c:v>3986003.9559812299</c:v>
                </c:pt>
                <c:pt idx="899">
                  <c:v>3986003.9559812299</c:v>
                </c:pt>
                <c:pt idx="900">
                  <c:v>3986003.9559812299</c:v>
                </c:pt>
                <c:pt idx="901">
                  <c:v>3986003.9559812299</c:v>
                </c:pt>
                <c:pt idx="902">
                  <c:v>3986003.9559812299</c:v>
                </c:pt>
                <c:pt idx="903">
                  <c:v>3986003.9559812299</c:v>
                </c:pt>
                <c:pt idx="904">
                  <c:v>3986003.9559812299</c:v>
                </c:pt>
                <c:pt idx="905">
                  <c:v>3986003.9559812299</c:v>
                </c:pt>
                <c:pt idx="906">
                  <c:v>3986003.9559812299</c:v>
                </c:pt>
                <c:pt idx="907">
                  <c:v>3986003.9559812299</c:v>
                </c:pt>
                <c:pt idx="908">
                  <c:v>3986003.9559812299</c:v>
                </c:pt>
                <c:pt idx="909">
                  <c:v>3986003.9559812299</c:v>
                </c:pt>
                <c:pt idx="910">
                  <c:v>3986003.9559812299</c:v>
                </c:pt>
                <c:pt idx="911">
                  <c:v>3986003.9559812299</c:v>
                </c:pt>
                <c:pt idx="912">
                  <c:v>3986003.9559812299</c:v>
                </c:pt>
                <c:pt idx="913">
                  <c:v>3986003.9559812299</c:v>
                </c:pt>
                <c:pt idx="914">
                  <c:v>3986003.9559812299</c:v>
                </c:pt>
                <c:pt idx="915">
                  <c:v>3986003.9559812299</c:v>
                </c:pt>
                <c:pt idx="916">
                  <c:v>3986003.9559812299</c:v>
                </c:pt>
                <c:pt idx="917">
                  <c:v>3986003.9559812299</c:v>
                </c:pt>
                <c:pt idx="918">
                  <c:v>3986003.9559812299</c:v>
                </c:pt>
                <c:pt idx="919">
                  <c:v>3986003.9559812299</c:v>
                </c:pt>
                <c:pt idx="920">
                  <c:v>3986003.9559812299</c:v>
                </c:pt>
                <c:pt idx="921">
                  <c:v>3986003.9559812299</c:v>
                </c:pt>
                <c:pt idx="922">
                  <c:v>3986003.9559812299</c:v>
                </c:pt>
                <c:pt idx="923">
                  <c:v>3986003.9559812299</c:v>
                </c:pt>
                <c:pt idx="924">
                  <c:v>3986003.9559812299</c:v>
                </c:pt>
                <c:pt idx="925">
                  <c:v>3986003.9559812299</c:v>
                </c:pt>
                <c:pt idx="926">
                  <c:v>3986003.9559812299</c:v>
                </c:pt>
                <c:pt idx="927">
                  <c:v>3986003.9559812299</c:v>
                </c:pt>
                <c:pt idx="928">
                  <c:v>3986003.9559812299</c:v>
                </c:pt>
                <c:pt idx="929">
                  <c:v>3986003.9559812299</c:v>
                </c:pt>
                <c:pt idx="930">
                  <c:v>3986003.9559812299</c:v>
                </c:pt>
                <c:pt idx="931">
                  <c:v>3986003.9559812299</c:v>
                </c:pt>
                <c:pt idx="932">
                  <c:v>3986003.9559812299</c:v>
                </c:pt>
                <c:pt idx="933">
                  <c:v>3986003.9559812299</c:v>
                </c:pt>
                <c:pt idx="934">
                  <c:v>3986003.9559812299</c:v>
                </c:pt>
                <c:pt idx="935">
                  <c:v>3986003.9559812299</c:v>
                </c:pt>
                <c:pt idx="936">
                  <c:v>3986003.9559812299</c:v>
                </c:pt>
                <c:pt idx="937">
                  <c:v>3986003.9559812299</c:v>
                </c:pt>
                <c:pt idx="938">
                  <c:v>3986003.9559812299</c:v>
                </c:pt>
                <c:pt idx="939">
                  <c:v>3986003.9559812299</c:v>
                </c:pt>
                <c:pt idx="940">
                  <c:v>3986003.9559812299</c:v>
                </c:pt>
                <c:pt idx="941">
                  <c:v>3986003.9559812299</c:v>
                </c:pt>
                <c:pt idx="942">
                  <c:v>3986003.9559812299</c:v>
                </c:pt>
                <c:pt idx="943">
                  <c:v>3986003.9559812299</c:v>
                </c:pt>
                <c:pt idx="944">
                  <c:v>3986003.9559812299</c:v>
                </c:pt>
                <c:pt idx="945">
                  <c:v>3986003.9559812299</c:v>
                </c:pt>
                <c:pt idx="946">
                  <c:v>3986003.9559812299</c:v>
                </c:pt>
                <c:pt idx="947">
                  <c:v>3986003.9559812299</c:v>
                </c:pt>
                <c:pt idx="948">
                  <c:v>3986003.9559812299</c:v>
                </c:pt>
                <c:pt idx="949">
                  <c:v>3986003.9559812299</c:v>
                </c:pt>
                <c:pt idx="950">
                  <c:v>3986003.9559812299</c:v>
                </c:pt>
                <c:pt idx="951">
                  <c:v>3986003.9559812299</c:v>
                </c:pt>
                <c:pt idx="952">
                  <c:v>3986003.9559812299</c:v>
                </c:pt>
                <c:pt idx="953">
                  <c:v>3986003.9559812299</c:v>
                </c:pt>
                <c:pt idx="954">
                  <c:v>3986003.9559812299</c:v>
                </c:pt>
                <c:pt idx="955">
                  <c:v>3986003.9559812299</c:v>
                </c:pt>
                <c:pt idx="956">
                  <c:v>3986003.9559812299</c:v>
                </c:pt>
                <c:pt idx="957">
                  <c:v>3986003.9559812299</c:v>
                </c:pt>
                <c:pt idx="958">
                  <c:v>3986003.9559812299</c:v>
                </c:pt>
                <c:pt idx="959">
                  <c:v>3986003.9559812299</c:v>
                </c:pt>
                <c:pt idx="960">
                  <c:v>3986003.9559812299</c:v>
                </c:pt>
                <c:pt idx="961">
                  <c:v>3986003.9559812299</c:v>
                </c:pt>
                <c:pt idx="962">
                  <c:v>3986003.9559812299</c:v>
                </c:pt>
                <c:pt idx="963">
                  <c:v>3986003.9559812299</c:v>
                </c:pt>
                <c:pt idx="964">
                  <c:v>3986003.9559812299</c:v>
                </c:pt>
                <c:pt idx="965">
                  <c:v>3986003.9559812299</c:v>
                </c:pt>
                <c:pt idx="966">
                  <c:v>3986003.9559812299</c:v>
                </c:pt>
                <c:pt idx="967">
                  <c:v>3986003.9559812299</c:v>
                </c:pt>
                <c:pt idx="968">
                  <c:v>3986003.9559812299</c:v>
                </c:pt>
                <c:pt idx="969">
                  <c:v>3986003.9559812299</c:v>
                </c:pt>
                <c:pt idx="970">
                  <c:v>3986003.9559812299</c:v>
                </c:pt>
                <c:pt idx="971">
                  <c:v>3986003.9559812299</c:v>
                </c:pt>
                <c:pt idx="972">
                  <c:v>3986003.9559812299</c:v>
                </c:pt>
                <c:pt idx="973">
                  <c:v>3986003.9559812299</c:v>
                </c:pt>
                <c:pt idx="974">
                  <c:v>3986003.9559812299</c:v>
                </c:pt>
                <c:pt idx="975">
                  <c:v>3986003.9559812299</c:v>
                </c:pt>
                <c:pt idx="976">
                  <c:v>3986003.9559812299</c:v>
                </c:pt>
                <c:pt idx="977">
                  <c:v>3986003.9559812299</c:v>
                </c:pt>
                <c:pt idx="978">
                  <c:v>3986003.9559812299</c:v>
                </c:pt>
                <c:pt idx="979">
                  <c:v>3986003.9559812299</c:v>
                </c:pt>
                <c:pt idx="980">
                  <c:v>3986003.9559812299</c:v>
                </c:pt>
                <c:pt idx="981">
                  <c:v>3986003.9559812299</c:v>
                </c:pt>
                <c:pt idx="982">
                  <c:v>3986003.9559812299</c:v>
                </c:pt>
                <c:pt idx="983">
                  <c:v>3986003.9559812299</c:v>
                </c:pt>
                <c:pt idx="984">
                  <c:v>3986003.9559812299</c:v>
                </c:pt>
                <c:pt idx="985">
                  <c:v>3986003.9559812299</c:v>
                </c:pt>
                <c:pt idx="986">
                  <c:v>3986003.9559812299</c:v>
                </c:pt>
                <c:pt idx="987">
                  <c:v>3986003.9559812299</c:v>
                </c:pt>
                <c:pt idx="988">
                  <c:v>3986003.9559812299</c:v>
                </c:pt>
                <c:pt idx="989">
                  <c:v>3986003.9559812299</c:v>
                </c:pt>
                <c:pt idx="990">
                  <c:v>3986003.9559812299</c:v>
                </c:pt>
                <c:pt idx="991">
                  <c:v>3986003.9559812299</c:v>
                </c:pt>
                <c:pt idx="992">
                  <c:v>3986003.9559812299</c:v>
                </c:pt>
                <c:pt idx="993">
                  <c:v>3986003.9559812299</c:v>
                </c:pt>
                <c:pt idx="994">
                  <c:v>3986003.9559812299</c:v>
                </c:pt>
                <c:pt idx="995">
                  <c:v>3986003.9559812299</c:v>
                </c:pt>
                <c:pt idx="996">
                  <c:v>3986003.9559812299</c:v>
                </c:pt>
                <c:pt idx="997">
                  <c:v>3986003.9559812299</c:v>
                </c:pt>
                <c:pt idx="998">
                  <c:v>3986003.9559812299</c:v>
                </c:pt>
                <c:pt idx="999">
                  <c:v>3986003.9559812299</c:v>
                </c:pt>
                <c:pt idx="1000">
                  <c:v>3986003.9559812299</c:v>
                </c:pt>
                <c:pt idx="1001">
                  <c:v>3986003.9559812299</c:v>
                </c:pt>
                <c:pt idx="1002">
                  <c:v>3986003.9559812299</c:v>
                </c:pt>
                <c:pt idx="1003">
                  <c:v>3986003.9559812299</c:v>
                </c:pt>
                <c:pt idx="1004">
                  <c:v>3986003.9559812299</c:v>
                </c:pt>
                <c:pt idx="1005">
                  <c:v>3986003.9559812299</c:v>
                </c:pt>
                <c:pt idx="1006">
                  <c:v>3986003.9559812299</c:v>
                </c:pt>
                <c:pt idx="1007">
                  <c:v>3986003.9559812299</c:v>
                </c:pt>
                <c:pt idx="1008">
                  <c:v>3986003.9559812299</c:v>
                </c:pt>
                <c:pt idx="1009">
                  <c:v>3986003.9559812299</c:v>
                </c:pt>
                <c:pt idx="1010">
                  <c:v>3986003.9559812299</c:v>
                </c:pt>
                <c:pt idx="1011">
                  <c:v>3986003.9559812299</c:v>
                </c:pt>
                <c:pt idx="1012">
                  <c:v>3986003.9559812299</c:v>
                </c:pt>
                <c:pt idx="1013">
                  <c:v>3986003.9559812299</c:v>
                </c:pt>
                <c:pt idx="1014">
                  <c:v>3986003.9559812299</c:v>
                </c:pt>
                <c:pt idx="1015">
                  <c:v>3986003.9559812299</c:v>
                </c:pt>
                <c:pt idx="1016">
                  <c:v>3986003.9559812299</c:v>
                </c:pt>
                <c:pt idx="1017">
                  <c:v>3986003.9559812299</c:v>
                </c:pt>
                <c:pt idx="1018">
                  <c:v>3986003.9559812299</c:v>
                </c:pt>
                <c:pt idx="1019">
                  <c:v>3986003.9559812299</c:v>
                </c:pt>
                <c:pt idx="1020">
                  <c:v>3986003.9559812299</c:v>
                </c:pt>
                <c:pt idx="1021">
                  <c:v>3986003.9559812299</c:v>
                </c:pt>
                <c:pt idx="1022">
                  <c:v>3986003.9559812299</c:v>
                </c:pt>
                <c:pt idx="1023">
                  <c:v>3986003.9559812299</c:v>
                </c:pt>
                <c:pt idx="1024">
                  <c:v>3986003.9559812299</c:v>
                </c:pt>
                <c:pt idx="1025">
                  <c:v>3986003.9559812299</c:v>
                </c:pt>
                <c:pt idx="1026">
                  <c:v>3986003.9559812299</c:v>
                </c:pt>
                <c:pt idx="1027">
                  <c:v>3986003.9559812299</c:v>
                </c:pt>
                <c:pt idx="1028">
                  <c:v>3986003.9559812299</c:v>
                </c:pt>
                <c:pt idx="1029">
                  <c:v>3986003.9559812299</c:v>
                </c:pt>
                <c:pt idx="1030">
                  <c:v>3986003.9559812299</c:v>
                </c:pt>
                <c:pt idx="1031">
                  <c:v>3986003.9559812299</c:v>
                </c:pt>
                <c:pt idx="1032">
                  <c:v>3986003.9559812299</c:v>
                </c:pt>
                <c:pt idx="1033">
                  <c:v>3986003.9559812299</c:v>
                </c:pt>
                <c:pt idx="1034">
                  <c:v>3986003.9559812299</c:v>
                </c:pt>
                <c:pt idx="1035">
                  <c:v>3986003.9559812299</c:v>
                </c:pt>
                <c:pt idx="1036">
                  <c:v>3986003.9559812299</c:v>
                </c:pt>
                <c:pt idx="1037">
                  <c:v>3986003.9559812299</c:v>
                </c:pt>
                <c:pt idx="1038">
                  <c:v>3986003.9559812299</c:v>
                </c:pt>
                <c:pt idx="1039">
                  <c:v>3986003.9559812299</c:v>
                </c:pt>
                <c:pt idx="1040">
                  <c:v>3986003.9559812299</c:v>
                </c:pt>
                <c:pt idx="1041">
                  <c:v>3986003.9559812299</c:v>
                </c:pt>
                <c:pt idx="1042">
                  <c:v>3986003.9559812299</c:v>
                </c:pt>
                <c:pt idx="1043">
                  <c:v>3986003.9559812299</c:v>
                </c:pt>
                <c:pt idx="1044">
                  <c:v>3986003.9559812299</c:v>
                </c:pt>
                <c:pt idx="1045">
                  <c:v>3986003.9559812299</c:v>
                </c:pt>
                <c:pt idx="1046">
                  <c:v>3986003.9559812299</c:v>
                </c:pt>
                <c:pt idx="1047">
                  <c:v>3986003.9559812299</c:v>
                </c:pt>
                <c:pt idx="1048">
                  <c:v>3986003.9559812299</c:v>
                </c:pt>
                <c:pt idx="1049">
                  <c:v>3986003.9559812299</c:v>
                </c:pt>
                <c:pt idx="1050">
                  <c:v>3986003.9559812299</c:v>
                </c:pt>
                <c:pt idx="1051">
                  <c:v>3986003.9559812299</c:v>
                </c:pt>
                <c:pt idx="1052">
                  <c:v>3986003.9559812299</c:v>
                </c:pt>
                <c:pt idx="1053">
                  <c:v>3986003.9559812299</c:v>
                </c:pt>
                <c:pt idx="1054">
                  <c:v>3986003.9559812299</c:v>
                </c:pt>
                <c:pt idx="1055">
                  <c:v>3986003.9559812299</c:v>
                </c:pt>
                <c:pt idx="1056">
                  <c:v>3986003.9559812299</c:v>
                </c:pt>
                <c:pt idx="1057">
                  <c:v>3986003.9559812299</c:v>
                </c:pt>
                <c:pt idx="1058">
                  <c:v>3986003.9559812299</c:v>
                </c:pt>
                <c:pt idx="1059">
                  <c:v>3986003.9559812299</c:v>
                </c:pt>
                <c:pt idx="1060">
                  <c:v>3986003.9559812299</c:v>
                </c:pt>
                <c:pt idx="1061">
                  <c:v>3986003.9559812299</c:v>
                </c:pt>
                <c:pt idx="1062">
                  <c:v>3986003.9559812299</c:v>
                </c:pt>
                <c:pt idx="1063">
                  <c:v>3986003.9559812299</c:v>
                </c:pt>
                <c:pt idx="1064">
                  <c:v>3986003.9559812299</c:v>
                </c:pt>
                <c:pt idx="1065">
                  <c:v>3986003.9559812299</c:v>
                </c:pt>
                <c:pt idx="1066">
                  <c:v>3986003.9559812299</c:v>
                </c:pt>
                <c:pt idx="1067">
                  <c:v>3986003.9559812299</c:v>
                </c:pt>
                <c:pt idx="1068">
                  <c:v>3986003.9559812299</c:v>
                </c:pt>
                <c:pt idx="1069">
                  <c:v>3986003.9559812299</c:v>
                </c:pt>
                <c:pt idx="1070">
                  <c:v>3986003.9559812299</c:v>
                </c:pt>
                <c:pt idx="1071">
                  <c:v>3986003.9559812299</c:v>
                </c:pt>
                <c:pt idx="1072">
                  <c:v>3986003.9559812299</c:v>
                </c:pt>
                <c:pt idx="1073">
                  <c:v>3986003.9559812299</c:v>
                </c:pt>
                <c:pt idx="1074">
                  <c:v>3986003.9559812299</c:v>
                </c:pt>
                <c:pt idx="1075">
                  <c:v>3986003.9559812299</c:v>
                </c:pt>
                <c:pt idx="1076">
                  <c:v>3986003.9559812299</c:v>
                </c:pt>
                <c:pt idx="1077">
                  <c:v>3986003.9559812299</c:v>
                </c:pt>
                <c:pt idx="1078">
                  <c:v>3986003.9559812299</c:v>
                </c:pt>
                <c:pt idx="1079">
                  <c:v>3986003.9559812299</c:v>
                </c:pt>
                <c:pt idx="1080">
                  <c:v>3986003.9559812299</c:v>
                </c:pt>
                <c:pt idx="1081">
                  <c:v>3986003.9559812299</c:v>
                </c:pt>
                <c:pt idx="1082">
                  <c:v>3986003.9559812299</c:v>
                </c:pt>
                <c:pt idx="1083">
                  <c:v>3986003.9559812299</c:v>
                </c:pt>
                <c:pt idx="1084">
                  <c:v>3986003.9559812299</c:v>
                </c:pt>
                <c:pt idx="1085">
                  <c:v>3986003.9559812299</c:v>
                </c:pt>
                <c:pt idx="1086">
                  <c:v>3986003.9559812299</c:v>
                </c:pt>
                <c:pt idx="1087">
                  <c:v>3986003.9559812299</c:v>
                </c:pt>
                <c:pt idx="1088">
                  <c:v>3986003.9559812299</c:v>
                </c:pt>
                <c:pt idx="1089">
                  <c:v>3986003.9559812299</c:v>
                </c:pt>
                <c:pt idx="1090">
                  <c:v>3986003.9559812299</c:v>
                </c:pt>
                <c:pt idx="1091">
                  <c:v>3986003.9559812299</c:v>
                </c:pt>
                <c:pt idx="1092">
                  <c:v>3986003.9559812299</c:v>
                </c:pt>
                <c:pt idx="1093">
                  <c:v>3986003.9559812299</c:v>
                </c:pt>
                <c:pt idx="1094">
                  <c:v>3986003.9559812299</c:v>
                </c:pt>
                <c:pt idx="1095">
                  <c:v>3986003.9559812299</c:v>
                </c:pt>
                <c:pt idx="1096">
                  <c:v>3986003.9559812299</c:v>
                </c:pt>
                <c:pt idx="1097">
                  <c:v>3986003.9559812299</c:v>
                </c:pt>
                <c:pt idx="1098">
                  <c:v>3986003.9559812299</c:v>
                </c:pt>
                <c:pt idx="1099">
                  <c:v>3986003.9559812299</c:v>
                </c:pt>
                <c:pt idx="1100">
                  <c:v>3986003.9559812299</c:v>
                </c:pt>
                <c:pt idx="1101">
                  <c:v>3986003.9559812299</c:v>
                </c:pt>
                <c:pt idx="1102">
                  <c:v>3986003.9559812299</c:v>
                </c:pt>
                <c:pt idx="1103">
                  <c:v>3986003.9559812299</c:v>
                </c:pt>
                <c:pt idx="1104">
                  <c:v>3986003.9559812299</c:v>
                </c:pt>
                <c:pt idx="1105">
                  <c:v>3986003.9559812299</c:v>
                </c:pt>
                <c:pt idx="1106">
                  <c:v>3986003.9559812299</c:v>
                </c:pt>
                <c:pt idx="1107">
                  <c:v>3986003.9559812299</c:v>
                </c:pt>
                <c:pt idx="1108">
                  <c:v>3986003.9559812299</c:v>
                </c:pt>
                <c:pt idx="1109">
                  <c:v>3986003.9559812299</c:v>
                </c:pt>
                <c:pt idx="1110">
                  <c:v>3986003.9559812299</c:v>
                </c:pt>
                <c:pt idx="1111">
                  <c:v>3986003.9559812299</c:v>
                </c:pt>
                <c:pt idx="1112">
                  <c:v>3986003.9559812299</c:v>
                </c:pt>
                <c:pt idx="1113">
                  <c:v>3986003.9559812299</c:v>
                </c:pt>
                <c:pt idx="1114">
                  <c:v>3986003.9559812299</c:v>
                </c:pt>
                <c:pt idx="1115">
                  <c:v>3986003.9559812299</c:v>
                </c:pt>
                <c:pt idx="1116">
                  <c:v>3986003.9559812299</c:v>
                </c:pt>
                <c:pt idx="1117">
                  <c:v>3986003.9559812299</c:v>
                </c:pt>
                <c:pt idx="1118">
                  <c:v>3986003.9559812299</c:v>
                </c:pt>
                <c:pt idx="1119">
                  <c:v>3986003.9559812299</c:v>
                </c:pt>
                <c:pt idx="1120">
                  <c:v>3986003.9559812299</c:v>
                </c:pt>
                <c:pt idx="1121">
                  <c:v>3986003.9559812299</c:v>
                </c:pt>
                <c:pt idx="1122">
                  <c:v>3986003.9559812299</c:v>
                </c:pt>
                <c:pt idx="1123">
                  <c:v>3986003.9559812299</c:v>
                </c:pt>
                <c:pt idx="1124">
                  <c:v>3986003.9559812299</c:v>
                </c:pt>
                <c:pt idx="1125">
                  <c:v>3986003.9559812299</c:v>
                </c:pt>
                <c:pt idx="1126">
                  <c:v>3986003.9559812299</c:v>
                </c:pt>
                <c:pt idx="1127">
                  <c:v>3986003.9559812299</c:v>
                </c:pt>
                <c:pt idx="1128">
                  <c:v>3986003.9559812299</c:v>
                </c:pt>
                <c:pt idx="1129">
                  <c:v>3986003.9559812299</c:v>
                </c:pt>
                <c:pt idx="1130">
                  <c:v>3986003.9559812299</c:v>
                </c:pt>
                <c:pt idx="1131">
                  <c:v>3986003.9559812299</c:v>
                </c:pt>
                <c:pt idx="1132">
                  <c:v>3986003.9559812299</c:v>
                </c:pt>
                <c:pt idx="1133">
                  <c:v>3986003.9559812299</c:v>
                </c:pt>
                <c:pt idx="1134">
                  <c:v>3986003.9559812299</c:v>
                </c:pt>
                <c:pt idx="1135">
                  <c:v>3986003.9559812299</c:v>
                </c:pt>
                <c:pt idx="1136">
                  <c:v>3986003.9559812299</c:v>
                </c:pt>
                <c:pt idx="1137">
                  <c:v>3986003.9559812299</c:v>
                </c:pt>
                <c:pt idx="1138">
                  <c:v>3986003.9559812299</c:v>
                </c:pt>
                <c:pt idx="1139">
                  <c:v>3986003.9559812299</c:v>
                </c:pt>
                <c:pt idx="1140">
                  <c:v>3986003.9559812299</c:v>
                </c:pt>
                <c:pt idx="1141">
                  <c:v>3986003.9559812299</c:v>
                </c:pt>
                <c:pt idx="1142">
                  <c:v>3986003.9559812299</c:v>
                </c:pt>
                <c:pt idx="1143">
                  <c:v>3986003.9559812299</c:v>
                </c:pt>
                <c:pt idx="1144">
                  <c:v>3986003.9559812299</c:v>
                </c:pt>
                <c:pt idx="1145">
                  <c:v>3986003.9559812299</c:v>
                </c:pt>
                <c:pt idx="1146">
                  <c:v>3986003.9559812299</c:v>
                </c:pt>
                <c:pt idx="1147">
                  <c:v>3986003.9559812299</c:v>
                </c:pt>
                <c:pt idx="1148">
                  <c:v>3986003.9559812299</c:v>
                </c:pt>
                <c:pt idx="1149">
                  <c:v>3986003.9559812299</c:v>
                </c:pt>
                <c:pt idx="1150">
                  <c:v>3986003.9559812299</c:v>
                </c:pt>
                <c:pt idx="1151">
                  <c:v>3986003.9559812299</c:v>
                </c:pt>
                <c:pt idx="1152">
                  <c:v>3986003.9559812299</c:v>
                </c:pt>
                <c:pt idx="1153">
                  <c:v>3986003.9559812299</c:v>
                </c:pt>
                <c:pt idx="1154">
                  <c:v>3986003.9559812299</c:v>
                </c:pt>
                <c:pt idx="1155">
                  <c:v>3986003.9559812299</c:v>
                </c:pt>
                <c:pt idx="1156">
                  <c:v>3986003.9559812299</c:v>
                </c:pt>
                <c:pt idx="1157">
                  <c:v>3986003.9559812299</c:v>
                </c:pt>
                <c:pt idx="1158">
                  <c:v>3986003.9559812299</c:v>
                </c:pt>
                <c:pt idx="1159">
                  <c:v>3986003.9559812299</c:v>
                </c:pt>
                <c:pt idx="1160">
                  <c:v>3986003.9559812299</c:v>
                </c:pt>
                <c:pt idx="1161">
                  <c:v>3986003.9559812299</c:v>
                </c:pt>
                <c:pt idx="1162">
                  <c:v>3986003.9559812299</c:v>
                </c:pt>
                <c:pt idx="1163">
                  <c:v>3986003.9559812299</c:v>
                </c:pt>
                <c:pt idx="1164">
                  <c:v>3986003.9559812299</c:v>
                </c:pt>
                <c:pt idx="1165">
                  <c:v>3986003.9559812299</c:v>
                </c:pt>
                <c:pt idx="1166">
                  <c:v>3986003.9559812299</c:v>
                </c:pt>
                <c:pt idx="1167">
                  <c:v>3986003.9559812299</c:v>
                </c:pt>
                <c:pt idx="1168">
                  <c:v>3986003.9559812299</c:v>
                </c:pt>
                <c:pt idx="1169">
                  <c:v>3986003.9559812299</c:v>
                </c:pt>
                <c:pt idx="1170">
                  <c:v>3986003.9559812299</c:v>
                </c:pt>
                <c:pt idx="1171">
                  <c:v>3986003.9559812299</c:v>
                </c:pt>
                <c:pt idx="1172">
                  <c:v>3986003.9559812299</c:v>
                </c:pt>
                <c:pt idx="1173">
                  <c:v>3986003.9559812299</c:v>
                </c:pt>
                <c:pt idx="1174">
                  <c:v>3986003.9559812299</c:v>
                </c:pt>
                <c:pt idx="1175">
                  <c:v>3986003.9559812299</c:v>
                </c:pt>
                <c:pt idx="1176">
                  <c:v>3986003.9559812299</c:v>
                </c:pt>
                <c:pt idx="1177">
                  <c:v>3986003.9559812299</c:v>
                </c:pt>
                <c:pt idx="1178">
                  <c:v>3986003.9559812299</c:v>
                </c:pt>
                <c:pt idx="1179">
                  <c:v>3986003.9559812299</c:v>
                </c:pt>
                <c:pt idx="1180">
                  <c:v>3986003.9559812299</c:v>
                </c:pt>
                <c:pt idx="1181">
                  <c:v>3986003.9559812299</c:v>
                </c:pt>
                <c:pt idx="1182">
                  <c:v>3986003.9559812299</c:v>
                </c:pt>
                <c:pt idx="1183">
                  <c:v>3986003.9559812299</c:v>
                </c:pt>
                <c:pt idx="1184">
                  <c:v>3986003.9559812299</c:v>
                </c:pt>
                <c:pt idx="1185">
                  <c:v>3986003.9559812299</c:v>
                </c:pt>
                <c:pt idx="1186">
                  <c:v>3986003.9559812299</c:v>
                </c:pt>
                <c:pt idx="1187">
                  <c:v>3986003.9559812299</c:v>
                </c:pt>
                <c:pt idx="1188">
                  <c:v>3986003.9559812299</c:v>
                </c:pt>
                <c:pt idx="1189">
                  <c:v>3986003.9559812299</c:v>
                </c:pt>
                <c:pt idx="1190">
                  <c:v>3986003.9559812299</c:v>
                </c:pt>
                <c:pt idx="1191">
                  <c:v>3986003.9559812299</c:v>
                </c:pt>
                <c:pt idx="1192">
                  <c:v>3986003.9559812299</c:v>
                </c:pt>
                <c:pt idx="1193">
                  <c:v>3986003.9559812299</c:v>
                </c:pt>
                <c:pt idx="1194">
                  <c:v>3986003.9559812299</c:v>
                </c:pt>
                <c:pt idx="1195">
                  <c:v>3986003.9559812299</c:v>
                </c:pt>
                <c:pt idx="1196">
                  <c:v>3986003.9559812299</c:v>
                </c:pt>
                <c:pt idx="1197">
                  <c:v>3986003.9559812299</c:v>
                </c:pt>
                <c:pt idx="1198">
                  <c:v>3986003.9559812299</c:v>
                </c:pt>
                <c:pt idx="1199">
                  <c:v>3986003.9559812299</c:v>
                </c:pt>
                <c:pt idx="1200">
                  <c:v>3986003.9559812299</c:v>
                </c:pt>
                <c:pt idx="1201">
                  <c:v>3986003.9559812299</c:v>
                </c:pt>
                <c:pt idx="1202">
                  <c:v>3986003.9559812299</c:v>
                </c:pt>
                <c:pt idx="1203">
                  <c:v>3986003.9559812299</c:v>
                </c:pt>
                <c:pt idx="1204">
                  <c:v>3986003.9559812299</c:v>
                </c:pt>
                <c:pt idx="1205">
                  <c:v>3986003.9559812299</c:v>
                </c:pt>
                <c:pt idx="1206">
                  <c:v>3986003.9559812299</c:v>
                </c:pt>
                <c:pt idx="1207">
                  <c:v>3986003.9559812299</c:v>
                </c:pt>
                <c:pt idx="1208">
                  <c:v>3986003.9559812299</c:v>
                </c:pt>
                <c:pt idx="1209">
                  <c:v>3986003.9559812299</c:v>
                </c:pt>
                <c:pt idx="1210">
                  <c:v>3986003.9559812299</c:v>
                </c:pt>
                <c:pt idx="1211">
                  <c:v>3986003.9559812299</c:v>
                </c:pt>
                <c:pt idx="1212">
                  <c:v>3986003.9559812299</c:v>
                </c:pt>
                <c:pt idx="1213">
                  <c:v>3986003.9559812299</c:v>
                </c:pt>
                <c:pt idx="1214">
                  <c:v>3986003.9559812299</c:v>
                </c:pt>
                <c:pt idx="1215">
                  <c:v>3986003.9559812299</c:v>
                </c:pt>
                <c:pt idx="1216">
                  <c:v>3986003.9559812299</c:v>
                </c:pt>
                <c:pt idx="1217">
                  <c:v>3986003.9559812299</c:v>
                </c:pt>
                <c:pt idx="1218">
                  <c:v>3986003.9559812299</c:v>
                </c:pt>
                <c:pt idx="1219">
                  <c:v>3986003.9559812299</c:v>
                </c:pt>
                <c:pt idx="1220">
                  <c:v>3986003.9559812299</c:v>
                </c:pt>
                <c:pt idx="1221">
                  <c:v>3986003.9559812299</c:v>
                </c:pt>
                <c:pt idx="1222">
                  <c:v>3986003.9559812299</c:v>
                </c:pt>
                <c:pt idx="1223">
                  <c:v>3986003.9559812299</c:v>
                </c:pt>
                <c:pt idx="1224">
                  <c:v>3986003.9559812299</c:v>
                </c:pt>
                <c:pt idx="1225">
                  <c:v>3986003.9559812299</c:v>
                </c:pt>
                <c:pt idx="1226">
                  <c:v>3986003.9559812299</c:v>
                </c:pt>
                <c:pt idx="1227">
                  <c:v>3986003.9559812299</c:v>
                </c:pt>
                <c:pt idx="1228">
                  <c:v>3986003.9559812299</c:v>
                </c:pt>
                <c:pt idx="1229">
                  <c:v>3986003.9559812299</c:v>
                </c:pt>
                <c:pt idx="1230">
                  <c:v>3986003.9559812299</c:v>
                </c:pt>
                <c:pt idx="1231">
                  <c:v>3986003.9559812299</c:v>
                </c:pt>
                <c:pt idx="1232">
                  <c:v>3986003.9559812299</c:v>
                </c:pt>
                <c:pt idx="1233">
                  <c:v>3986003.9559812299</c:v>
                </c:pt>
                <c:pt idx="1234">
                  <c:v>3986003.9559812299</c:v>
                </c:pt>
                <c:pt idx="1235">
                  <c:v>3986003.9559812299</c:v>
                </c:pt>
                <c:pt idx="1236">
                  <c:v>3986003.9559812299</c:v>
                </c:pt>
                <c:pt idx="1237">
                  <c:v>3986003.9559812299</c:v>
                </c:pt>
                <c:pt idx="1238">
                  <c:v>3986003.9559812299</c:v>
                </c:pt>
                <c:pt idx="1239">
                  <c:v>3986003.9559812299</c:v>
                </c:pt>
                <c:pt idx="1240">
                  <c:v>3986003.9559812299</c:v>
                </c:pt>
                <c:pt idx="1241">
                  <c:v>3986003.9559812299</c:v>
                </c:pt>
                <c:pt idx="1242">
                  <c:v>3986003.9559812299</c:v>
                </c:pt>
                <c:pt idx="1243">
                  <c:v>3986003.9559812299</c:v>
                </c:pt>
                <c:pt idx="1244">
                  <c:v>3986003.9559812299</c:v>
                </c:pt>
                <c:pt idx="1245">
                  <c:v>3986003.9559812299</c:v>
                </c:pt>
                <c:pt idx="1246">
                  <c:v>3986003.9559812299</c:v>
                </c:pt>
                <c:pt idx="1247">
                  <c:v>3986003.9559812299</c:v>
                </c:pt>
                <c:pt idx="1248">
                  <c:v>3986003.9559812299</c:v>
                </c:pt>
                <c:pt idx="1249">
                  <c:v>3986003.9559812299</c:v>
                </c:pt>
                <c:pt idx="1250">
                  <c:v>3986003.9559812299</c:v>
                </c:pt>
                <c:pt idx="1251">
                  <c:v>3986003.9559812299</c:v>
                </c:pt>
                <c:pt idx="1252">
                  <c:v>3986003.9559812299</c:v>
                </c:pt>
                <c:pt idx="1253">
                  <c:v>3986003.9559812299</c:v>
                </c:pt>
                <c:pt idx="1254">
                  <c:v>3986003.9559812299</c:v>
                </c:pt>
                <c:pt idx="1255">
                  <c:v>3986003.9559812299</c:v>
                </c:pt>
                <c:pt idx="1256">
                  <c:v>3986003.9559812299</c:v>
                </c:pt>
                <c:pt idx="1257">
                  <c:v>3986003.9559812299</c:v>
                </c:pt>
                <c:pt idx="1258">
                  <c:v>3986003.9559812299</c:v>
                </c:pt>
                <c:pt idx="1259">
                  <c:v>3986003.9559812299</c:v>
                </c:pt>
                <c:pt idx="1260">
                  <c:v>3986003.9559812299</c:v>
                </c:pt>
                <c:pt idx="1261">
                  <c:v>3986003.9559812299</c:v>
                </c:pt>
                <c:pt idx="1262">
                  <c:v>3986003.9559812299</c:v>
                </c:pt>
                <c:pt idx="1263">
                  <c:v>3986003.9559812299</c:v>
                </c:pt>
                <c:pt idx="1264">
                  <c:v>3986003.9559812299</c:v>
                </c:pt>
                <c:pt idx="1265">
                  <c:v>3986003.9559812299</c:v>
                </c:pt>
                <c:pt idx="1266">
                  <c:v>3986003.9559812299</c:v>
                </c:pt>
                <c:pt idx="1267">
                  <c:v>3986003.9559812299</c:v>
                </c:pt>
                <c:pt idx="1268">
                  <c:v>3986003.9559812299</c:v>
                </c:pt>
                <c:pt idx="1269">
                  <c:v>3986003.9559812299</c:v>
                </c:pt>
                <c:pt idx="1270">
                  <c:v>3986003.9559812299</c:v>
                </c:pt>
                <c:pt idx="1271">
                  <c:v>3986003.9559812299</c:v>
                </c:pt>
                <c:pt idx="1272">
                  <c:v>3986003.9559812299</c:v>
                </c:pt>
                <c:pt idx="1273">
                  <c:v>3986003.9559812299</c:v>
                </c:pt>
                <c:pt idx="1274">
                  <c:v>3986003.9559812299</c:v>
                </c:pt>
                <c:pt idx="1275">
                  <c:v>3986003.9559812299</c:v>
                </c:pt>
                <c:pt idx="1276">
                  <c:v>3986003.9559812299</c:v>
                </c:pt>
                <c:pt idx="1277">
                  <c:v>3986003.9559812299</c:v>
                </c:pt>
                <c:pt idx="1278">
                  <c:v>3986003.9559812299</c:v>
                </c:pt>
                <c:pt idx="1279">
                  <c:v>3986003.9559812299</c:v>
                </c:pt>
                <c:pt idx="1280">
                  <c:v>3986003.9559812299</c:v>
                </c:pt>
                <c:pt idx="1281">
                  <c:v>3986003.9559812299</c:v>
                </c:pt>
                <c:pt idx="1282">
                  <c:v>3986003.9559812299</c:v>
                </c:pt>
                <c:pt idx="1283">
                  <c:v>3986003.9559812299</c:v>
                </c:pt>
                <c:pt idx="1284">
                  <c:v>3986003.9559812299</c:v>
                </c:pt>
                <c:pt idx="1285">
                  <c:v>3986003.9559812299</c:v>
                </c:pt>
                <c:pt idx="1286">
                  <c:v>3986003.9559812299</c:v>
                </c:pt>
                <c:pt idx="1287">
                  <c:v>3986003.9559812299</c:v>
                </c:pt>
                <c:pt idx="1288">
                  <c:v>3986003.9559812299</c:v>
                </c:pt>
                <c:pt idx="1289">
                  <c:v>3986003.9559812299</c:v>
                </c:pt>
                <c:pt idx="1290">
                  <c:v>3986003.9559812299</c:v>
                </c:pt>
                <c:pt idx="1291">
                  <c:v>3986003.9559812299</c:v>
                </c:pt>
                <c:pt idx="1292">
                  <c:v>3986003.9559812299</c:v>
                </c:pt>
                <c:pt idx="1293">
                  <c:v>3986003.9559812299</c:v>
                </c:pt>
                <c:pt idx="1294">
                  <c:v>3986003.9559812299</c:v>
                </c:pt>
                <c:pt idx="1295">
                  <c:v>3986003.9559812299</c:v>
                </c:pt>
                <c:pt idx="1296">
                  <c:v>3986003.9559812299</c:v>
                </c:pt>
                <c:pt idx="1297">
                  <c:v>3986003.9559812299</c:v>
                </c:pt>
                <c:pt idx="1298">
                  <c:v>3986003.9559812299</c:v>
                </c:pt>
                <c:pt idx="1299">
                  <c:v>3986003.9559812299</c:v>
                </c:pt>
                <c:pt idx="1300">
                  <c:v>3986003.9559812299</c:v>
                </c:pt>
                <c:pt idx="1301">
                  <c:v>3986003.9559812299</c:v>
                </c:pt>
                <c:pt idx="1302">
                  <c:v>3986003.9559812299</c:v>
                </c:pt>
                <c:pt idx="1303">
                  <c:v>3986003.9559812299</c:v>
                </c:pt>
                <c:pt idx="1304">
                  <c:v>3986003.9559812299</c:v>
                </c:pt>
                <c:pt idx="1305">
                  <c:v>3986003.9559812299</c:v>
                </c:pt>
                <c:pt idx="1306">
                  <c:v>3986003.9559812299</c:v>
                </c:pt>
                <c:pt idx="1307">
                  <c:v>3986003.9559812299</c:v>
                </c:pt>
                <c:pt idx="1308">
                  <c:v>3986003.9559812299</c:v>
                </c:pt>
                <c:pt idx="1309">
                  <c:v>3986003.9559812299</c:v>
                </c:pt>
                <c:pt idx="1310">
                  <c:v>3986003.9559812299</c:v>
                </c:pt>
                <c:pt idx="1311">
                  <c:v>3986003.9559812299</c:v>
                </c:pt>
                <c:pt idx="1312">
                  <c:v>3986003.9559812299</c:v>
                </c:pt>
                <c:pt idx="1313">
                  <c:v>3986003.9559812299</c:v>
                </c:pt>
                <c:pt idx="1314">
                  <c:v>3986003.9559812299</c:v>
                </c:pt>
                <c:pt idx="1315">
                  <c:v>3986003.9559812299</c:v>
                </c:pt>
                <c:pt idx="1316">
                  <c:v>3986003.9559812299</c:v>
                </c:pt>
                <c:pt idx="1317">
                  <c:v>3986003.9559812299</c:v>
                </c:pt>
                <c:pt idx="1318">
                  <c:v>3986003.9559812299</c:v>
                </c:pt>
                <c:pt idx="1319">
                  <c:v>3986003.9559812299</c:v>
                </c:pt>
                <c:pt idx="1320">
                  <c:v>3986003.9559812299</c:v>
                </c:pt>
                <c:pt idx="1321">
                  <c:v>3986003.9559812299</c:v>
                </c:pt>
                <c:pt idx="1322">
                  <c:v>3986003.9559812299</c:v>
                </c:pt>
                <c:pt idx="1323">
                  <c:v>3986003.9559812299</c:v>
                </c:pt>
                <c:pt idx="1324">
                  <c:v>3986003.9559812299</c:v>
                </c:pt>
                <c:pt idx="1325">
                  <c:v>3986003.9559812299</c:v>
                </c:pt>
                <c:pt idx="1326">
                  <c:v>3986003.9559812299</c:v>
                </c:pt>
                <c:pt idx="1327">
                  <c:v>3986003.9559812299</c:v>
                </c:pt>
                <c:pt idx="1328">
                  <c:v>3986003.9559812299</c:v>
                </c:pt>
                <c:pt idx="1329">
                  <c:v>3986003.9559812299</c:v>
                </c:pt>
                <c:pt idx="1330">
                  <c:v>3986003.9559812299</c:v>
                </c:pt>
                <c:pt idx="1331">
                  <c:v>3986003.9559812299</c:v>
                </c:pt>
                <c:pt idx="1332">
                  <c:v>3986003.9559812299</c:v>
                </c:pt>
                <c:pt idx="1333">
                  <c:v>3986003.9559812299</c:v>
                </c:pt>
                <c:pt idx="1334">
                  <c:v>3986003.9559812299</c:v>
                </c:pt>
                <c:pt idx="1335">
                  <c:v>3986003.9559812299</c:v>
                </c:pt>
                <c:pt idx="1336">
                  <c:v>3986003.9559812299</c:v>
                </c:pt>
                <c:pt idx="1337">
                  <c:v>3986003.9559812299</c:v>
                </c:pt>
                <c:pt idx="1338">
                  <c:v>3986003.9559812299</c:v>
                </c:pt>
                <c:pt idx="1339">
                  <c:v>3986003.9559812299</c:v>
                </c:pt>
                <c:pt idx="1340">
                  <c:v>3986003.9559812299</c:v>
                </c:pt>
                <c:pt idx="1341">
                  <c:v>3986003.9559812299</c:v>
                </c:pt>
                <c:pt idx="1342">
                  <c:v>3986003.9559812299</c:v>
                </c:pt>
                <c:pt idx="1343">
                  <c:v>3986003.9559812299</c:v>
                </c:pt>
                <c:pt idx="1344">
                  <c:v>3986003.9559812299</c:v>
                </c:pt>
                <c:pt idx="1345">
                  <c:v>3986003.9559812299</c:v>
                </c:pt>
                <c:pt idx="1346">
                  <c:v>3986003.9559812299</c:v>
                </c:pt>
                <c:pt idx="1347">
                  <c:v>3986003.9559812299</c:v>
                </c:pt>
                <c:pt idx="1348">
                  <c:v>3986003.9559812299</c:v>
                </c:pt>
                <c:pt idx="1349">
                  <c:v>3986003.9559812299</c:v>
                </c:pt>
                <c:pt idx="1350">
                  <c:v>3986003.9559812299</c:v>
                </c:pt>
                <c:pt idx="1351">
                  <c:v>3986003.9559812299</c:v>
                </c:pt>
                <c:pt idx="1352">
                  <c:v>3986003.9559812299</c:v>
                </c:pt>
                <c:pt idx="1353">
                  <c:v>3986003.9559812299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33203125" style="24" bestFit="1" customWidth="1"/>
    <col min="8" max="8" width="20.44140625" style="24" bestFit="1" customWidth="1"/>
    <col min="9" max="9" width="3.332031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2" t="s">
        <v>57</v>
      </c>
      <c r="E47" s="732"/>
      <c r="F47" s="733"/>
      <c r="G47" s="67"/>
      <c r="I47" s="68"/>
      <c r="J47" s="68"/>
    </row>
    <row r="48" spans="1:49" ht="14.4" thickBot="1">
      <c r="C48" s="69">
        <v>44014</v>
      </c>
      <c r="D48" s="734"/>
      <c r="E48" s="734"/>
      <c r="F48" s="73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737" t="s">
        <v>58</v>
      </c>
      <c r="C2" s="737"/>
      <c r="D2" s="737"/>
      <c r="E2" s="737"/>
      <c r="H2" s="738" t="s">
        <v>59</v>
      </c>
      <c r="I2" s="739"/>
      <c r="J2" s="739"/>
      <c r="K2" s="739"/>
      <c r="L2" s="739"/>
      <c r="M2" s="739"/>
      <c r="N2" s="739"/>
      <c r="O2" s="740"/>
    </row>
    <row r="3" spans="2:15">
      <c r="B3" s="697"/>
      <c r="H3" s="741"/>
      <c r="I3" s="742"/>
      <c r="J3" s="742"/>
      <c r="K3" s="742"/>
      <c r="L3" s="742"/>
      <c r="M3" s="742"/>
      <c r="N3" s="742"/>
      <c r="O3" s="743"/>
    </row>
    <row r="4" spans="2:15">
      <c r="B4" s="698" t="s">
        <v>60</v>
      </c>
      <c r="C4" s="699" t="str">
        <f>'Project Plan'!E2</f>
        <v>BMG Fluid Tech</v>
      </c>
      <c r="H4" s="741"/>
      <c r="I4" s="742"/>
      <c r="J4" s="742"/>
      <c r="K4" s="742"/>
      <c r="L4" s="742"/>
      <c r="M4" s="742"/>
      <c r="N4" s="742"/>
      <c r="O4" s="743"/>
    </row>
    <row r="5" spans="2:15">
      <c r="B5" s="698" t="s">
        <v>61</v>
      </c>
      <c r="C5" s="699" t="s">
        <v>62</v>
      </c>
      <c r="H5" s="741"/>
      <c r="I5" s="742"/>
      <c r="J5" s="742"/>
      <c r="K5" s="742"/>
      <c r="L5" s="742"/>
      <c r="M5" s="742"/>
      <c r="N5" s="742"/>
      <c r="O5" s="743"/>
    </row>
    <row r="6" spans="2:15">
      <c r="B6" s="698" t="s">
        <v>63</v>
      </c>
      <c r="C6" s="699" t="s">
        <v>64</v>
      </c>
      <c r="H6" s="741"/>
      <c r="I6" s="742"/>
      <c r="J6" s="742"/>
      <c r="K6" s="742"/>
      <c r="L6" s="742"/>
      <c r="M6" s="742"/>
      <c r="N6" s="742"/>
      <c r="O6" s="743"/>
    </row>
    <row r="7" spans="2:15">
      <c r="B7" s="698" t="s">
        <v>65</v>
      </c>
      <c r="C7" s="699" t="s">
        <v>66</v>
      </c>
      <c r="H7" s="741"/>
      <c r="I7" s="742"/>
      <c r="J7" s="742"/>
      <c r="K7" s="742"/>
      <c r="L7" s="742"/>
      <c r="M7" s="742"/>
      <c r="N7" s="742"/>
      <c r="O7" s="743"/>
    </row>
    <row r="8" spans="2:15">
      <c r="B8" s="697"/>
      <c r="H8" s="741"/>
      <c r="I8" s="742"/>
      <c r="J8" s="742"/>
      <c r="K8" s="742"/>
      <c r="L8" s="742"/>
      <c r="M8" s="742"/>
      <c r="N8" s="742"/>
      <c r="O8" s="743"/>
    </row>
    <row r="9" spans="2:15">
      <c r="B9" s="747" t="s">
        <v>67</v>
      </c>
      <c r="C9" s="747"/>
      <c r="D9" s="747"/>
      <c r="E9" s="747"/>
      <c r="H9" s="741"/>
      <c r="I9" s="742"/>
      <c r="J9" s="742"/>
      <c r="K9" s="742"/>
      <c r="L9" s="742"/>
      <c r="M9" s="742"/>
      <c r="N9" s="742"/>
      <c r="O9" s="743"/>
    </row>
    <row r="10" spans="2:15" ht="15" thickBot="1">
      <c r="B10" s="747" t="s">
        <v>68</v>
      </c>
      <c r="C10" s="747"/>
      <c r="D10" s="747"/>
      <c r="E10" s="747"/>
      <c r="H10" s="744"/>
      <c r="I10" s="745"/>
      <c r="J10" s="745"/>
      <c r="K10" s="745"/>
      <c r="L10" s="745"/>
      <c r="M10" s="745"/>
      <c r="N10" s="745"/>
      <c r="O10" s="746"/>
    </row>
    <row r="11" spans="2:15">
      <c r="B11" s="700" t="s">
        <v>69</v>
      </c>
      <c r="C11" s="736" t="s">
        <v>70</v>
      </c>
      <c r="D11" s="736"/>
      <c r="E11" s="736"/>
    </row>
    <row r="12" spans="2:15">
      <c r="B12" s="700" t="s">
        <v>71</v>
      </c>
      <c r="C12" s="736" t="s">
        <v>70</v>
      </c>
      <c r="D12" s="736"/>
      <c r="E12" s="736"/>
    </row>
    <row r="13" spans="2:15">
      <c r="B13" s="700" t="s">
        <v>72</v>
      </c>
      <c r="C13" s="736" t="s">
        <v>70</v>
      </c>
      <c r="D13" s="736"/>
      <c r="E13" s="736"/>
    </row>
    <row r="14" spans="2:15">
      <c r="B14" s="700" t="s">
        <v>73</v>
      </c>
      <c r="C14" s="736" t="s">
        <v>74</v>
      </c>
      <c r="D14" s="736"/>
      <c r="E14" s="736"/>
    </row>
    <row r="15" spans="2:15">
      <c r="B15" s="700" t="s">
        <v>75</v>
      </c>
      <c r="C15" s="736" t="s">
        <v>76</v>
      </c>
      <c r="D15" s="736"/>
      <c r="E15" s="736"/>
    </row>
    <row r="16" spans="2:15" ht="15" customHeight="1">
      <c r="B16" s="700" t="s">
        <v>77</v>
      </c>
      <c r="C16" s="736" t="s">
        <v>78</v>
      </c>
      <c r="D16" s="736"/>
      <c r="E16" s="736"/>
    </row>
    <row r="17" spans="2:5">
      <c r="B17" s="697"/>
    </row>
    <row r="18" spans="2:5">
      <c r="B18" s="748" t="s">
        <v>79</v>
      </c>
      <c r="C18" s="748"/>
      <c r="D18" s="748"/>
      <c r="E18" s="748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44140625" defaultRowHeight="14.4"/>
  <cols>
    <col min="1" max="1" width="0.6640625" customWidth="1"/>
    <col min="2" max="2" width="8.44140625" bestFit="1" customWidth="1"/>
    <col min="3" max="5" width="33.332031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2.33203125" customWidth="1"/>
    <col min="11" max="11" width="33.33203125" customWidth="1"/>
  </cols>
  <sheetData>
    <row r="1" spans="2:15">
      <c r="B1" s="749"/>
      <c r="C1" s="750"/>
      <c r="D1" s="750"/>
      <c r="E1" s="750"/>
      <c r="F1" s="751" t="s">
        <v>87</v>
      </c>
      <c r="G1" s="751"/>
      <c r="H1" s="751"/>
      <c r="I1" s="751"/>
      <c r="J1" s="751"/>
      <c r="K1" s="752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.6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activeCell="B16" sqref="B16:F16"/>
      <selection pane="bottomLeft" activeCell="B16" sqref="B16:F16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664062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4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53" t="s">
        <v>137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3" t="s">
        <v>144</v>
      </c>
      <c r="C16" s="754"/>
      <c r="D16" s="754"/>
      <c r="E16" s="754"/>
      <c r="F16" s="755"/>
    </row>
    <row r="17" spans="2:6" ht="1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D1" zoomScale="85" zoomScaleNormal="85" workbookViewId="0">
      <selection activeCell="R50" sqref="R50"/>
    </sheetView>
  </sheetViews>
  <sheetFormatPr defaultColWidth="8.44140625" defaultRowHeight="14.4"/>
  <cols>
    <col min="1" max="1" width="5.33203125" style="93" customWidth="1"/>
    <col min="2" max="2" width="5.3320312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7.44140625" style="129" customWidth="1"/>
    <col min="8" max="8" width="15.44140625" style="129" customWidth="1"/>
    <col min="9" max="9" width="1.6640625" style="129" customWidth="1"/>
    <col min="10" max="10" width="3.33203125" style="93" customWidth="1"/>
    <col min="11" max="11" width="1.6640625" style="175" customWidth="1"/>
    <col min="12" max="12" width="29.44140625" style="93" customWidth="1"/>
    <col min="13" max="13" width="1.6640625" style="129" customWidth="1"/>
    <col min="14" max="14" width="29.44140625" style="129" customWidth="1"/>
    <col min="15" max="15" width="1.44140625" style="93" customWidth="1"/>
    <col min="16" max="16" width="19.6640625" style="129" bestFit="1" customWidth="1"/>
    <col min="17" max="17" width="18.5546875" style="129" bestFit="1" customWidth="1"/>
    <col min="18" max="18" width="23.5546875" style="129" customWidth="1"/>
    <col min="19" max="19" width="19.33203125" style="93" bestFit="1" customWidth="1"/>
    <col min="20" max="20" width="22.6640625" style="129" bestFit="1" customWidth="1"/>
    <col min="21" max="21" width="18.5546875" style="93" customWidth="1"/>
    <col min="22" max="23" width="8.44140625" style="93"/>
    <col min="24" max="24" width="5.3320312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3320312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.2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.2">
      <c r="B13" s="352">
        <v>1</v>
      </c>
      <c r="C13" s="760" t="s">
        <v>177</v>
      </c>
      <c r="D13" s="761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3.2">
      <c r="B14" s="154">
        <v>2</v>
      </c>
      <c r="C14" s="760" t="s">
        <v>179</v>
      </c>
      <c r="D14" s="761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3.2">
      <c r="B15" s="352">
        <v>3</v>
      </c>
      <c r="C15" s="760" t="s">
        <v>181</v>
      </c>
      <c r="D15" s="761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3.2">
      <c r="B16" s="352">
        <v>4</v>
      </c>
      <c r="C16" s="758" t="s">
        <v>183</v>
      </c>
      <c r="D16" s="759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8">
        <v>46064</v>
      </c>
      <c r="R16" s="756" t="s">
        <v>185</v>
      </c>
      <c r="S16" s="757"/>
    </row>
    <row r="17" spans="2:19" s="93" customFormat="1" ht="13.2">
      <c r="B17" s="352">
        <v>5</v>
      </c>
      <c r="C17" s="758" t="s">
        <v>54</v>
      </c>
      <c r="D17" s="759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46083</v>
      </c>
      <c r="R17" s="380"/>
    </row>
    <row r="18" spans="2:19" s="93" customFormat="1" ht="13.2">
      <c r="B18" s="352">
        <v>6</v>
      </c>
      <c r="C18" s="758" t="s">
        <v>186</v>
      </c>
      <c r="D18" s="759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3.2">
      <c r="B19" s="352">
        <v>7</v>
      </c>
      <c r="C19" s="760" t="s">
        <v>186</v>
      </c>
      <c r="D19" s="76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3.2">
      <c r="C24" s="147" t="s">
        <v>189</v>
      </c>
      <c r="D24" s="148"/>
      <c r="F24" s="149"/>
    </row>
    <row r="25" spans="2:19" s="93" customFormat="1" ht="13.2">
      <c r="C25" s="147" t="s">
        <v>190</v>
      </c>
      <c r="D25" s="148"/>
    </row>
    <row r="26" spans="2:19" s="93" customFormat="1" ht="13.2">
      <c r="C26" s="150" t="s">
        <v>191</v>
      </c>
      <c r="D26" s="151"/>
    </row>
    <row r="27" spans="2:19" s="93" customFormat="1" ht="13.2">
      <c r="C27" s="152" t="s">
        <v>192</v>
      </c>
      <c r="D27" s="148"/>
    </row>
    <row r="28" spans="2:19" s="93" customFormat="1" ht="13.2">
      <c r="B28" s="117"/>
      <c r="C28" s="152" t="s">
        <v>193</v>
      </c>
      <c r="D28" s="148"/>
    </row>
    <row r="29" spans="2:19" s="93" customFormat="1" ht="13.2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O69" sqref="O6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customWidth="1"/>
    <col min="4" max="4" width="3.3320312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7.5546875" style="112" customWidth="1"/>
    <col min="9" max="9" width="11.664062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4.5546875" style="112" bestFit="1" customWidth="1"/>
    <col min="14" max="14" width="16.33203125" style="112" bestFit="1" customWidth="1"/>
    <col min="15" max="15" width="83.6640625" style="112" customWidth="1"/>
    <col min="16" max="16" width="1.44140625" style="112" customWidth="1"/>
    <col min="17" max="17" width="5.33203125" style="3" customWidth="1"/>
    <col min="18" max="25" width="8.44140625" style="112"/>
    <col min="26" max="16384" width="8.441406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46065</v>
      </c>
      <c r="O1" s="405">
        <f ca="1">TODAY()</f>
        <v>46065</v>
      </c>
      <c r="Q1" s="3"/>
    </row>
    <row r="2" spans="2:28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6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0.88547554347826085</v>
      </c>
      <c r="N9" s="362">
        <f ca="1">AVERAGE(N11,N18,N21,N30,N40,N44,N51,N48)</f>
        <v>0.90422990245607426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34</v>
      </c>
      <c r="K51" s="246">
        <f>MAX(K52:K57)</f>
        <v>46076</v>
      </c>
      <c r="L51" s="114"/>
      <c r="M51" s="361">
        <f>(J52*M52+J53*M53+J54*M54+J55*M55+J56*M56+J57*M57)/SUM(J52:J57)</f>
        <v>0.4425</v>
      </c>
      <c r="N51" s="361">
        <f ca="1">(K52*N52+K53*N53+K54*N54+K55*N55+K56*N56+K57*N57)/SUM(K52:K57)</f>
        <v>0.59253487182250675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0.80769230769230771</v>
      </c>
      <c r="O52" s="122"/>
      <c r="Y52" s="24"/>
    </row>
    <row r="53" spans="2:28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18</v>
      </c>
      <c r="K53" s="253">
        <f>WORKDAY.INTL(I53,J53,1,Data!$C$3:$C$14)</f>
        <v>46066</v>
      </c>
      <c r="M53" s="254">
        <v>0.5</v>
      </c>
      <c r="N53" s="254">
        <f t="shared" ca="1" si="7"/>
        <v>0.95833333333333337</v>
      </c>
      <c r="O53" s="122" t="s">
        <v>282</v>
      </c>
      <c r="Y53" s="24"/>
    </row>
    <row r="54" spans="2:28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0.9</v>
      </c>
      <c r="N54" s="254">
        <f t="shared" ca="1" si="7"/>
        <v>1</v>
      </c>
      <c r="O54" s="122"/>
      <c r="Y54" s="24"/>
    </row>
    <row r="55" spans="2:28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13</v>
      </c>
      <c r="K55" s="253">
        <f>WORKDAY.INTL(I55,J55,1,Data!$C$3:$C$14)</f>
        <v>46069</v>
      </c>
      <c r="M55" s="254">
        <v>0.45</v>
      </c>
      <c r="N55" s="254">
        <f t="shared" ca="1" si="7"/>
        <v>0.78947368421052633</v>
      </c>
      <c r="O55" s="122"/>
      <c r="Y55" s="24"/>
    </row>
    <row r="56" spans="2:28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46069</v>
      </c>
      <c r="J56" s="251">
        <v>1</v>
      </c>
      <c r="K56" s="253">
        <f>WORKDAY.INTL(I56,J56,1,Data!$C$3:$C$14)</f>
        <v>46070</v>
      </c>
      <c r="M56" s="254">
        <v>0</v>
      </c>
      <c r="N56" s="254">
        <f t="shared" ca="1" si="7"/>
        <v>0</v>
      </c>
      <c r="O56" s="122"/>
      <c r="Y56" s="24"/>
    </row>
    <row r="57" spans="2:28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f>K55</f>
        <v>46069</v>
      </c>
      <c r="J57" s="251">
        <v>5</v>
      </c>
      <c r="K57" s="253">
        <f>WORKDAY.INTL(I57,J57,1,Data!$C$3:$C$14)</f>
        <v>46076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332031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3.8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3.8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332031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33203125" style="24" customWidth="1"/>
    <col min="10" max="10" width="21.5546875" style="24" customWidth="1"/>
    <col min="11" max="11" width="2" style="24" customWidth="1"/>
    <col min="12" max="12" width="62.44140625" style="24" bestFit="1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4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opLeftCell="M1" zoomScale="85" zoomScaleNormal="85" workbookViewId="0">
      <pane ySplit="4" topLeftCell="A178" activePane="bottomLeft" state="frozen"/>
      <selection activeCell="X33" sqref="X33"/>
      <selection pane="bottomLeft" activeCell="U172" sqref="U172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5" hidden="1" customWidth="1"/>
    <col min="7" max="7" width="17.33203125" style="24" hidden="1" customWidth="1"/>
    <col min="8" max="8" width="17.44140625" style="112" hidden="1" customWidth="1"/>
    <col min="9" max="9" width="22.33203125" style="350" hidden="1" customWidth="1"/>
    <col min="10" max="10" width="22.44140625" style="350" bestFit="1" customWidth="1"/>
    <col min="11" max="12" width="5.33203125" style="112" customWidth="1"/>
    <col min="13" max="13" width="25.5546875" style="112" customWidth="1"/>
    <col min="14" max="14" width="62.6640625" style="112" bestFit="1" customWidth="1"/>
    <col min="15" max="15" width="15.5546875" style="112" customWidth="1"/>
    <col min="16" max="17" width="17.44140625" style="112" customWidth="1"/>
    <col min="18" max="18" width="41.44140625" style="112" bestFit="1" customWidth="1"/>
    <col min="19" max="19" width="35.33203125" style="112" bestFit="1" customWidth="1"/>
    <col min="20" max="23" width="17.44140625" style="112" customWidth="1"/>
    <col min="24" max="24" width="21.33203125" style="112" customWidth="1"/>
    <col min="25" max="25" width="29" style="112" bestFit="1" customWidth="1"/>
    <col min="26" max="26" width="24.6640625" style="112" bestFit="1" customWidth="1"/>
    <col min="27" max="27" width="4.44140625" style="112" customWidth="1"/>
    <col min="28" max="28" width="17.44140625" style="112" customWidth="1"/>
    <col min="29" max="29" width="24.6640625" style="112" customWidth="1"/>
    <col min="30" max="30" width="4.33203125" style="112" customWidth="1"/>
    <col min="31" max="31" width="23.5546875" style="112" customWidth="1"/>
    <col min="32" max="32" width="23.33203125" style="112" customWidth="1"/>
    <col min="33" max="33" width="31.6640625" style="112" customWidth="1"/>
    <col min="34" max="35" width="27.5546875" style="112" customWidth="1"/>
    <col min="36" max="36" width="7" style="112" customWidth="1"/>
    <col min="37" max="37" width="17.44140625" style="112" customWidth="1"/>
    <col min="38" max="38" width="20.5546875" style="112" customWidth="1"/>
    <col min="39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7" t="s">
        <v>316</v>
      </c>
      <c r="C2" s="808"/>
      <c r="D2" s="808"/>
      <c r="E2" s="808"/>
      <c r="F2" s="808"/>
      <c r="G2" s="808"/>
      <c r="H2" s="503"/>
      <c r="I2" s="258">
        <f>SUM(I6:I187)</f>
        <v>3079187.0450237757</v>
      </c>
      <c r="J2" s="258">
        <f>SUM(J6:J187)</f>
        <v>3984069.2478407025</v>
      </c>
      <c r="L2" s="809" t="s">
        <v>317</v>
      </c>
      <c r="M2" s="810"/>
      <c r="N2" s="810"/>
      <c r="O2" s="810"/>
      <c r="P2" s="810"/>
      <c r="Q2" s="810"/>
      <c r="R2" s="811" t="s">
        <v>318</v>
      </c>
      <c r="S2" s="812"/>
      <c r="T2" s="812"/>
      <c r="U2" s="812"/>
      <c r="V2" s="812"/>
      <c r="W2" s="813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97">
        <f>SUM(G6:G11)</f>
        <v>370402.23900000006</v>
      </c>
      <c r="J6" s="797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82">
        <f>J6-SUM(U6:U11)</f>
        <v>0</v>
      </c>
      <c r="W6" s="536">
        <v>45954</v>
      </c>
      <c r="X6" s="779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98"/>
      <c r="J7" s="798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83"/>
      <c r="W7" s="537">
        <v>45954</v>
      </c>
      <c r="X7" s="78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98"/>
      <c r="J8" s="798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83"/>
      <c r="W8" s="537">
        <v>46058</v>
      </c>
      <c r="X8" s="78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98"/>
      <c r="J9" s="798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83"/>
      <c r="W9" s="538">
        <v>46058</v>
      </c>
      <c r="X9" s="78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98"/>
      <c r="J10" s="798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83"/>
      <c r="W10" s="581"/>
      <c r="X10" s="78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99"/>
      <c r="J11" s="799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84"/>
      <c r="W11" s="582"/>
      <c r="X11" s="781"/>
      <c r="Y11" s="612" t="s">
        <v>342</v>
      </c>
      <c r="Z11" s="613" t="s">
        <v>343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88">
        <f>SUM(G13:G19)</f>
        <v>140000</v>
      </c>
      <c r="J13" s="788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785">
        <f>J13-SUM(U13:U19)</f>
        <v>0</v>
      </c>
      <c r="W13" s="541">
        <v>45876</v>
      </c>
      <c r="X13" s="791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89"/>
      <c r="J14" s="789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786"/>
      <c r="W14" s="585"/>
      <c r="X14" s="792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89"/>
      <c r="J15" s="789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786"/>
      <c r="W15" s="585"/>
      <c r="X15" s="792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89"/>
      <c r="J16" s="789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786"/>
      <c r="W16" s="585"/>
      <c r="X16" s="792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89"/>
      <c r="J17" s="789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786"/>
      <c r="W17" s="585"/>
      <c r="X17" s="792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89"/>
      <c r="J18" s="789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786"/>
      <c r="W18" s="585"/>
      <c r="X18" s="792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0"/>
      <c r="J19" s="790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787"/>
      <c r="W19" s="586"/>
      <c r="X19" s="793"/>
      <c r="Y19" s="614" t="s">
        <v>355</v>
      </c>
      <c r="Z19" s="615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97">
        <f>SUM(G21:G40)</f>
        <v>518256</v>
      </c>
      <c r="J21" s="797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00" t="s">
        <v>360</v>
      </c>
      <c r="S21" s="639" t="s">
        <v>361</v>
      </c>
      <c r="T21" s="652">
        <v>45869</v>
      </c>
      <c r="U21" s="673">
        <v>192541.23160660922</v>
      </c>
      <c r="V21" s="782">
        <f>J21-SUM(U21:U40)</f>
        <v>4.2397808283567429E-3</v>
      </c>
      <c r="W21" s="544">
        <v>45855</v>
      </c>
      <c r="X21" s="779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98"/>
      <c r="J22" s="798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01"/>
      <c r="S22" s="632" t="s">
        <v>364</v>
      </c>
      <c r="T22" s="663">
        <v>45900</v>
      </c>
      <c r="U22" s="675">
        <v>192541.23160660922</v>
      </c>
      <c r="V22" s="783"/>
      <c r="W22" s="537">
        <v>45930</v>
      </c>
      <c r="X22" s="780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98"/>
      <c r="J23" s="798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83"/>
      <c r="W23" s="537">
        <v>45930</v>
      </c>
      <c r="X23" s="780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98"/>
      <c r="J24" s="798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83"/>
      <c r="W24" s="537">
        <v>45930</v>
      </c>
      <c r="X24" s="780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98"/>
      <c r="J25" s="798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83"/>
      <c r="W25" s="537">
        <v>45930</v>
      </c>
      <c r="X25" s="780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98"/>
      <c r="J26" s="798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83"/>
      <c r="W26" s="720">
        <v>46021</v>
      </c>
      <c r="X26" s="780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98"/>
      <c r="J27" s="798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83"/>
      <c r="W27" s="538">
        <v>46051</v>
      </c>
      <c r="X27" s="780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98"/>
      <c r="J28" s="798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83"/>
      <c r="W28" s="715"/>
      <c r="X28" s="780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98"/>
      <c r="J29" s="798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83"/>
      <c r="W29" s="538">
        <f>T29+30</f>
        <v>45930</v>
      </c>
      <c r="X29" s="780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98"/>
      <c r="J30" s="798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83"/>
      <c r="W30" s="538">
        <f>T30+30</f>
        <v>45960</v>
      </c>
      <c r="X30" s="780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98"/>
      <c r="J31" s="798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83"/>
      <c r="W31" s="715">
        <v>46051</v>
      </c>
      <c r="X31" s="780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98"/>
      <c r="J32" s="798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83"/>
      <c r="W32" s="715"/>
      <c r="X32" s="780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98"/>
      <c r="J33" s="798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02" t="s">
        <v>378</v>
      </c>
      <c r="S33" s="633" t="s">
        <v>379</v>
      </c>
      <c r="T33" s="669">
        <v>45900</v>
      </c>
      <c r="U33" s="676">
        <v>170725.25435647758</v>
      </c>
      <c r="V33" s="783"/>
      <c r="W33" s="538">
        <v>45883</v>
      </c>
      <c r="X33" s="780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98"/>
      <c r="J34" s="798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03"/>
      <c r="S34" s="633" t="s">
        <v>380</v>
      </c>
      <c r="T34" s="669">
        <v>45900</v>
      </c>
      <c r="U34" s="676">
        <v>56908.418118825866</v>
      </c>
      <c r="V34" s="783"/>
      <c r="W34" s="715">
        <v>45961</v>
      </c>
      <c r="X34" s="780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98"/>
      <c r="J35" s="798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03"/>
      <c r="S35" s="633" t="s">
        <v>380</v>
      </c>
      <c r="T35" s="669">
        <v>45900</v>
      </c>
      <c r="U35" s="676">
        <v>42681.313589119396</v>
      </c>
      <c r="V35" s="783"/>
      <c r="W35" s="538">
        <v>45974</v>
      </c>
      <c r="X35" s="780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98"/>
      <c r="J36" s="798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01"/>
      <c r="S36" s="633" t="s">
        <v>380</v>
      </c>
      <c r="T36" s="669">
        <v>45900</v>
      </c>
      <c r="U36" s="676">
        <v>14227.104529706467</v>
      </c>
      <c r="V36" s="783"/>
      <c r="W36" s="581">
        <v>46072</v>
      </c>
      <c r="X36" s="780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98"/>
      <c r="J37" s="798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83"/>
      <c r="W37" s="581"/>
      <c r="X37" s="780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98"/>
      <c r="J38" s="798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83"/>
      <c r="W38" s="581"/>
      <c r="X38" s="780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98"/>
      <c r="J39" s="798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83"/>
      <c r="W39" s="581"/>
      <c r="X39" s="780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99"/>
      <c r="J40" s="799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84"/>
      <c r="W40" s="582"/>
      <c r="X40" s="781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4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88">
        <f>SUM(G42:G56)</f>
        <v>140380.1</v>
      </c>
      <c r="J42" s="788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785">
        <f>J42-SUM(U42:U56)</f>
        <v>0</v>
      </c>
      <c r="W42" s="541">
        <v>45900</v>
      </c>
      <c r="X42" s="791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89"/>
      <c r="J43" s="789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786"/>
      <c r="W43" s="542">
        <v>45901</v>
      </c>
      <c r="X43" s="792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89"/>
      <c r="J44" s="789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786"/>
      <c r="W44" s="585"/>
      <c r="X44" s="792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89"/>
      <c r="J45" s="789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786"/>
      <c r="W45" s="585"/>
      <c r="X45" s="792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89"/>
      <c r="J46" s="789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794" t="s">
        <v>405</v>
      </c>
      <c r="S46" s="637" t="s">
        <v>406</v>
      </c>
      <c r="T46" s="662">
        <v>45869</v>
      </c>
      <c r="U46" s="671">
        <v>7315.928141424075</v>
      </c>
      <c r="V46" s="786"/>
      <c r="W46" s="542">
        <f>W118</f>
        <v>45869</v>
      </c>
      <c r="X46" s="792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89"/>
      <c r="J47" s="789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795"/>
      <c r="S47" s="637" t="s">
        <v>407</v>
      </c>
      <c r="T47" s="655">
        <v>45869</v>
      </c>
      <c r="U47" s="671">
        <v>10973.892212136114</v>
      </c>
      <c r="V47" s="786"/>
      <c r="W47" s="542">
        <f t="shared" ref="W47:W53" si="3">W119</f>
        <v>45932</v>
      </c>
      <c r="X47" s="792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89"/>
      <c r="J48" s="789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795"/>
      <c r="S48" s="637" t="s">
        <v>407</v>
      </c>
      <c r="T48" s="655">
        <v>45869</v>
      </c>
      <c r="U48" s="671">
        <v>14631.85628284815</v>
      </c>
      <c r="V48" s="786"/>
      <c r="W48" s="542">
        <f t="shared" si="3"/>
        <v>46003</v>
      </c>
      <c r="X48" s="792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89"/>
      <c r="J49" s="789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795"/>
      <c r="S49" s="637" t="s">
        <v>407</v>
      </c>
      <c r="T49" s="655">
        <v>45869</v>
      </c>
      <c r="U49" s="671">
        <v>18289.82035356019</v>
      </c>
      <c r="V49" s="786"/>
      <c r="W49" s="723">
        <v>46009</v>
      </c>
      <c r="X49" s="792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89"/>
      <c r="J50" s="789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795"/>
      <c r="S50" s="637" t="s">
        <v>407</v>
      </c>
      <c r="T50" s="655">
        <v>45869</v>
      </c>
      <c r="U50" s="671">
        <v>7315.928141424075</v>
      </c>
      <c r="V50" s="786"/>
      <c r="W50" s="542">
        <v>46051</v>
      </c>
      <c r="X50" s="792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89"/>
      <c r="J51" s="789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795"/>
      <c r="S51" s="637" t="s">
        <v>407</v>
      </c>
      <c r="T51" s="665">
        <v>45869</v>
      </c>
      <c r="U51" s="671">
        <v>7315.928141424075</v>
      </c>
      <c r="V51" s="786"/>
      <c r="W51" s="542">
        <v>46051</v>
      </c>
      <c r="X51" s="792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89"/>
      <c r="J52" s="789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795"/>
      <c r="S52" s="637" t="s">
        <v>407</v>
      </c>
      <c r="T52" s="665">
        <v>45869</v>
      </c>
      <c r="U52" s="671">
        <v>3657.9640707120375</v>
      </c>
      <c r="V52" s="786"/>
      <c r="W52" s="542">
        <v>46051</v>
      </c>
      <c r="X52" s="792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89"/>
      <c r="J53" s="789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796"/>
      <c r="S53" s="637" t="s">
        <v>407</v>
      </c>
      <c r="T53" s="665">
        <v>45869</v>
      </c>
      <c r="U53" s="671">
        <v>3657.9640707120375</v>
      </c>
      <c r="V53" s="786"/>
      <c r="W53" s="585">
        <f t="shared" si="3"/>
        <v>46081</v>
      </c>
      <c r="X53" s="792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89"/>
      <c r="J54" s="789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786"/>
      <c r="W54" s="585"/>
      <c r="X54" s="792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 t="s">
        <v>417</v>
      </c>
      <c r="AL54" s="624">
        <f>AL52/600000</f>
        <v>0.84901000000000004</v>
      </c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89"/>
      <c r="J55" s="789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786"/>
      <c r="W55" s="585"/>
      <c r="X55" s="792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0"/>
      <c r="J56" s="790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787"/>
      <c r="W56" s="586"/>
      <c r="X56" s="793"/>
      <c r="Y56" s="483"/>
    </row>
    <row r="57" spans="1:39" ht="14.4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97">
        <f>SUM(G58:G65)</f>
        <v>174000</v>
      </c>
      <c r="J58" s="797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82">
        <f>J58-SUM(U58:U65)</f>
        <v>0</v>
      </c>
      <c r="W58" s="587"/>
      <c r="X58" s="779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98"/>
      <c r="J59" s="798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83"/>
      <c r="W59" s="537">
        <f>T59+30</f>
        <v>45930</v>
      </c>
      <c r="X59" s="780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98"/>
      <c r="J60" s="798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83"/>
      <c r="W60" s="537">
        <v>45900</v>
      </c>
      <c r="X60" s="780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98"/>
      <c r="J61" s="798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83"/>
      <c r="W61" s="720">
        <v>45991</v>
      </c>
      <c r="X61" s="780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98"/>
      <c r="J62" s="798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83"/>
      <c r="W62" s="720">
        <v>46029</v>
      </c>
      <c r="X62" s="780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98"/>
      <c r="J63" s="798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83"/>
      <c r="W63" s="720">
        <v>46029</v>
      </c>
      <c r="X63" s="780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98"/>
      <c r="J64" s="798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83"/>
      <c r="W64" s="720">
        <v>46029</v>
      </c>
      <c r="X64" s="780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99"/>
      <c r="J65" s="799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84"/>
      <c r="W65" s="582"/>
      <c r="X65" s="781"/>
      <c r="Y65" s="483"/>
    </row>
    <row r="66" spans="1:25" ht="14.4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88">
        <f>SUM(G67:G84)</f>
        <v>236614.81739130436</v>
      </c>
      <c r="J67" s="788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785">
        <f>J67-SUM(U67:U84)</f>
        <v>0</v>
      </c>
      <c r="W67" s="584"/>
      <c r="X67" s="791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89"/>
      <c r="J68" s="789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786"/>
      <c r="W68" s="585"/>
      <c r="X68" s="792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89"/>
      <c r="J69" s="789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786"/>
      <c r="W69" s="585"/>
      <c r="X69" s="792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89"/>
      <c r="J70" s="789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786"/>
      <c r="W70" s="585"/>
      <c r="X70" s="792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89"/>
      <c r="J71" s="789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786"/>
      <c r="W71" s="585"/>
      <c r="X71" s="792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89"/>
      <c r="J72" s="789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786"/>
      <c r="W72" s="585"/>
      <c r="X72" s="792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89"/>
      <c r="J73" s="789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794" t="s">
        <v>405</v>
      </c>
      <c r="S73" s="637" t="s">
        <v>406</v>
      </c>
      <c r="T73" s="662">
        <v>45869</v>
      </c>
      <c r="U73" s="671">
        <v>32863.169082125612</v>
      </c>
      <c r="V73" s="786"/>
      <c r="W73" s="542">
        <f>W118</f>
        <v>45869</v>
      </c>
      <c r="X73" s="792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89"/>
      <c r="J74" s="789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795"/>
      <c r="S74" s="637" t="s">
        <v>407</v>
      </c>
      <c r="T74" s="655">
        <v>45869</v>
      </c>
      <c r="U74" s="671">
        <v>49294.753623188408</v>
      </c>
      <c r="V74" s="786"/>
      <c r="W74" s="542">
        <f t="shared" ref="W74:W80" si="7">W119</f>
        <v>45932</v>
      </c>
      <c r="X74" s="792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89"/>
      <c r="J75" s="789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795"/>
      <c r="S75" s="637" t="s">
        <v>407</v>
      </c>
      <c r="T75" s="655">
        <v>45869</v>
      </c>
      <c r="U75" s="671">
        <v>65726.338164251225</v>
      </c>
      <c r="V75" s="786"/>
      <c r="W75" s="542">
        <f t="shared" si="7"/>
        <v>46003</v>
      </c>
      <c r="X75" s="792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89"/>
      <c r="J76" s="789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795"/>
      <c r="S76" s="637" t="s">
        <v>407</v>
      </c>
      <c r="T76" s="655">
        <v>45869</v>
      </c>
      <c r="U76" s="671">
        <v>82157.92270531402</v>
      </c>
      <c r="V76" s="786"/>
      <c r="W76" s="723">
        <v>46009</v>
      </c>
      <c r="X76" s="792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89"/>
      <c r="J77" s="789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795"/>
      <c r="S77" s="637" t="s">
        <v>407</v>
      </c>
      <c r="T77" s="655">
        <v>45869</v>
      </c>
      <c r="U77" s="671">
        <v>32863.169082125612</v>
      </c>
      <c r="V77" s="786"/>
      <c r="W77" s="542">
        <f>W50</f>
        <v>46051</v>
      </c>
      <c r="X77" s="792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89"/>
      <c r="J78" s="789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795"/>
      <c r="S78" s="641" t="s">
        <v>407</v>
      </c>
      <c r="T78" s="665">
        <v>45869</v>
      </c>
      <c r="U78" s="674">
        <v>32863.169082125612</v>
      </c>
      <c r="V78" s="786"/>
      <c r="W78" s="542">
        <v>46051</v>
      </c>
      <c r="X78" s="792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89"/>
      <c r="J79" s="789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795"/>
      <c r="S79" s="641" t="s">
        <v>407</v>
      </c>
      <c r="T79" s="665">
        <v>45869</v>
      </c>
      <c r="U79" s="674">
        <v>16431.584541062806</v>
      </c>
      <c r="V79" s="786"/>
      <c r="W79" s="542">
        <v>46051</v>
      </c>
      <c r="X79" s="792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89"/>
      <c r="J80" s="789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796"/>
      <c r="S80" s="641" t="s">
        <v>407</v>
      </c>
      <c r="T80" s="665">
        <v>45869</v>
      </c>
      <c r="U80" s="674">
        <v>16431.584541062806</v>
      </c>
      <c r="V80" s="786"/>
      <c r="W80" s="585">
        <f t="shared" si="7"/>
        <v>46081</v>
      </c>
      <c r="X80" s="792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89"/>
      <c r="J81" s="789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786"/>
      <c r="W81" s="588"/>
      <c r="X81" s="792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89"/>
      <c r="J82" s="789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786"/>
      <c r="W82" s="716">
        <v>45967</v>
      </c>
      <c r="X82" s="792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89"/>
      <c r="J83" s="789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786"/>
      <c r="W83" s="716">
        <v>45967</v>
      </c>
      <c r="X83" s="792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0"/>
      <c r="J84" s="790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787"/>
      <c r="W84" s="724">
        <v>45995</v>
      </c>
      <c r="X84" s="793"/>
      <c r="Y84" s="483"/>
    </row>
    <row r="85" spans="1:25" ht="14.4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97">
        <f>SUM(G86:G93)</f>
        <v>710967.82608695654</v>
      </c>
      <c r="J86" s="797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04">
        <f>J86-SUM(U86:U93)</f>
        <v>0</v>
      </c>
      <c r="W86" s="590"/>
      <c r="X86" s="779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98"/>
      <c r="J87" s="798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05"/>
      <c r="W87" s="581"/>
      <c r="X87" s="780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98"/>
      <c r="J88" s="798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05"/>
      <c r="W88" s="581"/>
      <c r="X88" s="780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98"/>
      <c r="J89" s="798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05"/>
      <c r="W89" s="581"/>
      <c r="X89" s="780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98"/>
      <c r="J90" s="798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05"/>
      <c r="W90" s="581"/>
      <c r="X90" s="780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98"/>
      <c r="J91" s="798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05"/>
      <c r="W91" s="581"/>
      <c r="X91" s="780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98"/>
      <c r="J92" s="798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05"/>
      <c r="W92" s="581"/>
      <c r="X92" s="780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99"/>
      <c r="J93" s="799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06"/>
      <c r="W93" s="582"/>
      <c r="X93" s="781"/>
      <c r="Y93" s="483"/>
    </row>
    <row r="94" spans="1:25" ht="14.4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88">
        <f>SUM(G95:G115)</f>
        <v>536231.13</v>
      </c>
      <c r="J95" s="788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31">
        <f>J95-SUM(U95:U115)</f>
        <v>4.0846819756552577E-3</v>
      </c>
      <c r="W95" s="584"/>
      <c r="X95" s="791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89"/>
      <c r="J96" s="789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32"/>
      <c r="W96" s="585"/>
      <c r="X96" s="792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89"/>
      <c r="J97" s="789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32"/>
      <c r="W97" s="585"/>
      <c r="X97" s="792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89"/>
      <c r="J98" s="789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32"/>
      <c r="W98" s="585"/>
      <c r="X98" s="792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89"/>
      <c r="J99" s="789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32"/>
      <c r="W99" s="585"/>
      <c r="X99" s="792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89"/>
      <c r="J100" s="789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32"/>
      <c r="W100" s="542">
        <v>45862</v>
      </c>
      <c r="X100" s="792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89"/>
      <c r="J101" s="789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32"/>
      <c r="W101" s="542">
        <v>45867</v>
      </c>
      <c r="X101" s="792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89"/>
      <c r="J102" s="789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32"/>
      <c r="W102" s="585"/>
      <c r="X102" s="792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89"/>
      <c r="J103" s="789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32"/>
      <c r="W103" s="542">
        <v>45890</v>
      </c>
      <c r="X103" s="792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89"/>
      <c r="J104" s="789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32"/>
      <c r="W104" s="585"/>
      <c r="X104" s="792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89"/>
      <c r="J105" s="789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32"/>
      <c r="W105" s="585"/>
      <c r="X105" s="792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89"/>
      <c r="J106" s="789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32"/>
      <c r="W106" s="707">
        <v>45918</v>
      </c>
      <c r="X106" s="792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89"/>
      <c r="J107" s="789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32"/>
      <c r="W107" s="585"/>
      <c r="X107" s="792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89"/>
      <c r="J108" s="789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32"/>
      <c r="W108" s="542">
        <v>45989</v>
      </c>
      <c r="X108" s="792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89"/>
      <c r="J109" s="789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32"/>
      <c r="W109" s="723">
        <v>46009</v>
      </c>
      <c r="X109" s="792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89"/>
      <c r="J110" s="789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32"/>
      <c r="W110" s="585"/>
      <c r="X110" s="792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89"/>
      <c r="J111" s="789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32"/>
      <c r="W111" s="585"/>
      <c r="X111" s="792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89"/>
      <c r="J112" s="789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32"/>
      <c r="W112" s="585"/>
      <c r="X112" s="792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89"/>
      <c r="J113" s="789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32"/>
      <c r="W113" s="585"/>
      <c r="X113" s="792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89"/>
      <c r="J114" s="789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32"/>
      <c r="W114" s="588"/>
      <c r="X114" s="792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0"/>
      <c r="J115" s="790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33"/>
      <c r="W115" s="586"/>
      <c r="X115" s="793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22">
        <f>SUM(G117:G128)</f>
        <v>141305</v>
      </c>
      <c r="J117" s="797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82">
        <f>J117-SUM(U117:U128)</f>
        <v>0</v>
      </c>
      <c r="W117" s="587"/>
      <c r="X117" s="825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23"/>
      <c r="J118" s="798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34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83"/>
      <c r="W118" s="537">
        <v>45869</v>
      </c>
      <c r="X118" s="826"/>
      <c r="Y118" s="483"/>
    </row>
    <row r="119" spans="1:25" ht="15" customHeight="1">
      <c r="B119" s="384">
        <v>9</v>
      </c>
      <c r="C119" s="501"/>
      <c r="D119" s="386"/>
      <c r="E119" s="407"/>
      <c r="F119" s="445"/>
      <c r="G119" s="387"/>
      <c r="H119" s="538"/>
      <c r="I119" s="823"/>
      <c r="J119" s="798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35"/>
      <c r="S119" s="633" t="s">
        <v>407</v>
      </c>
      <c r="T119" s="666">
        <v>45869</v>
      </c>
      <c r="U119" s="676">
        <v>23550.833333333332</v>
      </c>
      <c r="V119" s="783"/>
      <c r="W119" s="538">
        <v>45932</v>
      </c>
      <c r="X119" s="826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23"/>
      <c r="J120" s="798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35"/>
      <c r="S120" s="633" t="s">
        <v>475</v>
      </c>
      <c r="T120" s="669">
        <v>45991</v>
      </c>
      <c r="U120" s="722">
        <v>31401.111111111113</v>
      </c>
      <c r="V120" s="783"/>
      <c r="W120" s="538">
        <v>46003</v>
      </c>
      <c r="X120" s="826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23"/>
      <c r="J121" s="798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35"/>
      <c r="S121" s="633" t="s">
        <v>476</v>
      </c>
      <c r="T121" s="666">
        <v>46022</v>
      </c>
      <c r="U121" s="722">
        <v>39251.388888888891</v>
      </c>
      <c r="V121" s="783"/>
      <c r="W121" s="715">
        <v>46009</v>
      </c>
      <c r="X121" s="826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23"/>
      <c r="J122" s="798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35"/>
      <c r="S122" s="633" t="s">
        <v>477</v>
      </c>
      <c r="T122" s="669">
        <v>46022</v>
      </c>
      <c r="U122" s="722">
        <v>15700.555555555557</v>
      </c>
      <c r="V122" s="783"/>
      <c r="W122" s="715">
        <v>46037</v>
      </c>
      <c r="X122" s="826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23"/>
      <c r="J123" s="798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35"/>
      <c r="S123" s="633" t="s">
        <v>478</v>
      </c>
      <c r="T123" s="669">
        <v>46053</v>
      </c>
      <c r="U123" s="722">
        <v>15700.555555555557</v>
      </c>
      <c r="V123" s="783"/>
      <c r="W123" s="538">
        <v>46051</v>
      </c>
      <c r="X123" s="826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23"/>
      <c r="J124" s="798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35"/>
      <c r="S124" s="633" t="s">
        <v>479</v>
      </c>
      <c r="T124" s="669">
        <v>46053</v>
      </c>
      <c r="U124" s="722">
        <v>7850.2777777777783</v>
      </c>
      <c r="V124" s="783"/>
      <c r="W124" s="538">
        <v>46051</v>
      </c>
      <c r="X124" s="826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23"/>
      <c r="J125" s="798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36"/>
      <c r="S125" s="633"/>
      <c r="T125" s="521">
        <f t="shared" si="8"/>
        <v>46081</v>
      </c>
      <c r="U125" s="505">
        <f t="shared" ref="U125:U128" si="12">(Q125/$X$117*$J$117)</f>
        <v>7850.2777777777783</v>
      </c>
      <c r="V125" s="783"/>
      <c r="W125" s="581">
        <f>W124+30</f>
        <v>46081</v>
      </c>
      <c r="X125" s="826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23"/>
      <c r="J126" s="798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83"/>
      <c r="W126" s="581"/>
      <c r="X126" s="826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23"/>
      <c r="J127" s="798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83"/>
      <c r="W127" s="581"/>
      <c r="X127" s="826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24"/>
      <c r="J128" s="799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84"/>
      <c r="W128" s="582"/>
      <c r="X128" s="827"/>
      <c r="Y128" s="483"/>
    </row>
    <row r="129" spans="1:25" ht="14.4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814">
        <f>SUM(G130:G144)</f>
        <v>25300</v>
      </c>
      <c r="J130" s="814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828">
        <f>J130-SUM(U130:U144)</f>
        <v>0</v>
      </c>
      <c r="W130" s="591"/>
      <c r="X130" s="81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820"/>
      <c r="J131" s="820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829"/>
      <c r="W131" s="592"/>
      <c r="X131" s="821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820"/>
      <c r="J132" s="820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829"/>
      <c r="W132" s="592"/>
      <c r="X132" s="821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820"/>
      <c r="J133" s="820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829"/>
      <c r="W133" s="592"/>
      <c r="X133" s="821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820"/>
      <c r="J134" s="820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37" t="s">
        <v>405</v>
      </c>
      <c r="S134" s="646" t="s">
        <v>406</v>
      </c>
      <c r="T134" s="731">
        <v>45869</v>
      </c>
      <c r="U134" s="651">
        <v>2811.1111111111113</v>
      </c>
      <c r="V134" s="829"/>
      <c r="W134" s="553">
        <f>W118</f>
        <v>45869</v>
      </c>
      <c r="X134" s="821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820"/>
      <c r="J135" s="820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38"/>
      <c r="S135" s="646" t="s">
        <v>407</v>
      </c>
      <c r="T135" s="731">
        <v>45869</v>
      </c>
      <c r="U135" s="651">
        <v>4216.666666666667</v>
      </c>
      <c r="V135" s="829"/>
      <c r="W135" s="553">
        <f>W119</f>
        <v>45932</v>
      </c>
      <c r="X135" s="821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820"/>
      <c r="J136" s="820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38"/>
      <c r="S136" s="646" t="s">
        <v>407</v>
      </c>
      <c r="T136" s="731">
        <v>45869</v>
      </c>
      <c r="U136" s="651">
        <v>5622.2222222222226</v>
      </c>
      <c r="V136" s="829"/>
      <c r="W136" s="553">
        <f t="shared" ref="W136:W141" si="14">W120</f>
        <v>46003</v>
      </c>
      <c r="X136" s="821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820"/>
      <c r="J137" s="820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38"/>
      <c r="S137" s="646" t="s">
        <v>407</v>
      </c>
      <c r="T137" s="731">
        <v>45869</v>
      </c>
      <c r="U137" s="651">
        <v>7027.7777777777783</v>
      </c>
      <c r="V137" s="829"/>
      <c r="W137" s="691">
        <v>46009</v>
      </c>
      <c r="X137" s="821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820"/>
      <c r="J138" s="820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38"/>
      <c r="S138" s="646" t="s">
        <v>407</v>
      </c>
      <c r="T138" s="731">
        <v>45869</v>
      </c>
      <c r="U138" s="651">
        <v>2811.1111111111113</v>
      </c>
      <c r="V138" s="829"/>
      <c r="W138" s="553">
        <v>46051</v>
      </c>
      <c r="X138" s="821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820"/>
      <c r="J139" s="820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38"/>
      <c r="S139" s="646" t="s">
        <v>407</v>
      </c>
      <c r="T139" s="731">
        <v>45869</v>
      </c>
      <c r="U139" s="651">
        <v>2811.1111111111113</v>
      </c>
      <c r="V139" s="829"/>
      <c r="W139" s="553">
        <f t="shared" si="14"/>
        <v>46051</v>
      </c>
      <c r="X139" s="821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820"/>
      <c r="J140" s="820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38"/>
      <c r="S140" s="646" t="s">
        <v>407</v>
      </c>
      <c r="T140" s="731">
        <v>45869</v>
      </c>
      <c r="U140" s="651">
        <v>1405.5555555555557</v>
      </c>
      <c r="V140" s="829"/>
      <c r="W140" s="553">
        <f t="shared" si="14"/>
        <v>46051</v>
      </c>
      <c r="X140" s="821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820"/>
      <c r="J141" s="820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39"/>
      <c r="S141" s="646" t="s">
        <v>407</v>
      </c>
      <c r="T141" s="731">
        <v>45869</v>
      </c>
      <c r="U141" s="651">
        <v>1405.5555555555557</v>
      </c>
      <c r="V141" s="829"/>
      <c r="W141" s="593">
        <f t="shared" si="14"/>
        <v>46081</v>
      </c>
      <c r="X141" s="821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820"/>
      <c r="J142" s="820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829"/>
      <c r="W142" s="593"/>
      <c r="X142" s="821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820"/>
      <c r="J143" s="820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829"/>
      <c r="W143" s="593"/>
      <c r="X143" s="821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815"/>
      <c r="J144" s="815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830"/>
      <c r="W144" s="594"/>
      <c r="X144" s="819"/>
      <c r="Y144" s="483"/>
    </row>
    <row r="145" spans="1:25" ht="14.4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97">
        <f>SUM(G146:G150)</f>
        <v>29000</v>
      </c>
      <c r="J146" s="797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82">
        <f>J146-SUM(U146:U150)</f>
        <v>0</v>
      </c>
      <c r="W146" s="729">
        <v>46045</v>
      </c>
      <c r="X146" s="779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98"/>
      <c r="J147" s="798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83"/>
      <c r="W147" s="580"/>
      <c r="X147" s="780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98"/>
      <c r="J148" s="798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83"/>
      <c r="W148" s="580"/>
      <c r="X148" s="780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98"/>
      <c r="J149" s="798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722">
        <v>9690.8939014202169</v>
      </c>
      <c r="V149" s="783"/>
      <c r="W149" s="581">
        <v>46079</v>
      </c>
      <c r="X149" s="780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99"/>
      <c r="J150" s="799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84"/>
      <c r="W150" s="582"/>
      <c r="X150" s="781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814">
        <f>SUM(G152:G153)</f>
        <v>23202.107764536588</v>
      </c>
      <c r="J152" s="814">
        <v>0</v>
      </c>
      <c r="K152" s="816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81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815"/>
      <c r="J153" s="815"/>
      <c r="K153" s="817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819"/>
      <c r="Y153" s="483"/>
    </row>
    <row r="154" spans="1:25" ht="14.4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97">
        <f>SUM(G155:G159)</f>
        <v>31077.824780978262</v>
      </c>
      <c r="J155" s="797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82">
        <f>J155-SUM(U155:U160)</f>
        <v>0</v>
      </c>
      <c r="W155" s="587">
        <v>46079</v>
      </c>
      <c r="X155" s="779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98"/>
      <c r="J156" s="798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83"/>
      <c r="W156" s="580"/>
      <c r="X156" s="780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98"/>
      <c r="J157" s="798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83"/>
      <c r="W157" s="580"/>
      <c r="X157" s="780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98"/>
      <c r="J158" s="798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83"/>
      <c r="W158" s="580"/>
      <c r="X158" s="780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98"/>
      <c r="J159" s="798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83"/>
      <c r="W159" s="580"/>
      <c r="X159" s="780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99"/>
      <c r="J160" s="799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84"/>
      <c r="W160" s="582"/>
      <c r="X160" s="781"/>
      <c r="Y160" s="483"/>
    </row>
    <row r="161" spans="1:25" ht="14.4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814">
        <f>SUM(G162:G173)</f>
        <v>2450</v>
      </c>
      <c r="J162" s="814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828">
        <v>0</v>
      </c>
      <c r="W162" s="591"/>
      <c r="X162" s="818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820"/>
      <c r="J163" s="820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829"/>
      <c r="W163" s="553">
        <v>45777</v>
      </c>
      <c r="X163" s="821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820"/>
      <c r="J164" s="820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829"/>
      <c r="W164" s="553">
        <v>45808</v>
      </c>
      <c r="X164" s="821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820"/>
      <c r="J165" s="820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829"/>
      <c r="W165" s="553">
        <v>45842</v>
      </c>
      <c r="X165" s="821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820"/>
      <c r="J166" s="820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829"/>
      <c r="W166" s="553">
        <v>45876</v>
      </c>
      <c r="X166" s="821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820"/>
      <c r="J167" s="820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829"/>
      <c r="W167" s="553">
        <v>45905</v>
      </c>
      <c r="X167" s="821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820"/>
      <c r="J168" s="820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829"/>
      <c r="W168" s="691">
        <v>45940</v>
      </c>
      <c r="X168" s="821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820"/>
      <c r="J169" s="820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829"/>
      <c r="W169" s="691">
        <v>45967</v>
      </c>
      <c r="X169" s="821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820"/>
      <c r="J170" s="820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829"/>
      <c r="W170" s="691">
        <v>45996</v>
      </c>
      <c r="X170" s="821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820"/>
      <c r="J171" s="820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829"/>
      <c r="W171" s="691">
        <v>46022</v>
      </c>
      <c r="X171" s="821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820"/>
      <c r="J172" s="820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659.76</v>
      </c>
      <c r="R172" s="610"/>
      <c r="S172" s="646" t="s">
        <v>502</v>
      </c>
      <c r="T172" s="690">
        <v>46053</v>
      </c>
      <c r="U172" s="694">
        <v>239.88712744421039</v>
      </c>
      <c r="V172" s="829"/>
      <c r="W172" s="691">
        <v>46058</v>
      </c>
      <c r="X172" s="821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815"/>
      <c r="J173" s="815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3" si="17">(Q173/$X$162*$J$162)</f>
        <v>181.79878095383958</v>
      </c>
      <c r="V173" s="830"/>
      <c r="W173" s="594">
        <f>T173+7</f>
        <v>46088</v>
      </c>
      <c r="X173" s="819"/>
      <c r="Y173" s="483"/>
    </row>
    <row r="174" spans="1:25" ht="14.4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97">
        <f>SUM(G175:G186)</f>
        <v>0</v>
      </c>
      <c r="J175" s="797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82">
        <v>0</v>
      </c>
      <c r="W175" s="587"/>
      <c r="X175" s="779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98"/>
      <c r="J176" s="798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83"/>
      <c r="W176" s="580"/>
      <c r="X176" s="780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98"/>
      <c r="J177" s="798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83"/>
      <c r="W177" s="580"/>
      <c r="X177" s="780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98"/>
      <c r="J178" s="798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83"/>
      <c r="W178" s="580"/>
      <c r="X178" s="780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98"/>
      <c r="J179" s="798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83"/>
      <c r="W179" s="580"/>
      <c r="X179" s="780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98"/>
      <c r="J180" s="798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83"/>
      <c r="W180" s="580"/>
      <c r="X180" s="780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98"/>
      <c r="J181" s="798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83"/>
      <c r="W181" s="580"/>
      <c r="X181" s="780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98"/>
      <c r="J182" s="798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83"/>
      <c r="W182" s="580"/>
      <c r="X182" s="780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98"/>
      <c r="J183" s="798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83"/>
      <c r="W183" s="580"/>
      <c r="X183" s="780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98"/>
      <c r="J184" s="798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83"/>
      <c r="W184" s="580"/>
      <c r="X184" s="780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98"/>
      <c r="J185" s="798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83"/>
      <c r="W185" s="580"/>
      <c r="X185" s="780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99"/>
      <c r="J186" s="799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84"/>
      <c r="W186" s="582"/>
      <c r="X186" s="781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B2:G2"/>
    <mergeCell ref="L2:Q2"/>
    <mergeCell ref="I6:I11"/>
    <mergeCell ref="J6:J11"/>
    <mergeCell ref="R2:W2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6:X11"/>
    <mergeCell ref="V6:V11"/>
    <mergeCell ref="V13:V19"/>
    <mergeCell ref="V21:V40"/>
    <mergeCell ref="V42:V56"/>
    <mergeCell ref="X21:X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3320312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199203.46239203503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3984069.2478407002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25470.300000000003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3183158.379999999</v>
      </c>
      <c r="AZ12" s="214">
        <f t="shared" si="111"/>
        <v>3276382.0255980077</v>
      </c>
      <c r="BA12" s="214">
        <f t="shared" si="111"/>
        <v>3276882.0255980077</v>
      </c>
      <c r="BB12" s="214">
        <f t="shared" si="111"/>
        <v>3276882.0255980077</v>
      </c>
      <c r="BC12" s="214">
        <f t="shared" si="111"/>
        <v>3276882.0255980077</v>
      </c>
      <c r="BD12" s="214">
        <f t="shared" si="111"/>
        <v>3276882.0255980077</v>
      </c>
      <c r="BE12" s="214">
        <f t="shared" si="111"/>
        <v>3276882.0255980077</v>
      </c>
      <c r="BF12" s="214">
        <f t="shared" si="111"/>
        <v>3276882.0255980077</v>
      </c>
      <c r="BG12" s="214">
        <f t="shared" si="111"/>
        <v>3276882.0255980077</v>
      </c>
      <c r="BH12" s="214">
        <f t="shared" si="111"/>
        <v>3276882.0255980077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601707.40544866631</v>
      </c>
      <c r="AZ14" s="207">
        <f t="shared" si="134"/>
        <v>508483.75985065755</v>
      </c>
      <c r="BA14" s="207">
        <f t="shared" si="134"/>
        <v>707187.22224269249</v>
      </c>
      <c r="BB14" s="207">
        <f t="shared" si="134"/>
        <v>707187.22224269249</v>
      </c>
      <c r="BC14" s="207">
        <f t="shared" si="134"/>
        <v>707187.22224269249</v>
      </c>
      <c r="BD14" s="207">
        <f t="shared" si="134"/>
        <v>707187.22224269249</v>
      </c>
      <c r="BE14" s="207">
        <f t="shared" si="134"/>
        <v>707187.22224269249</v>
      </c>
      <c r="BF14" s="207">
        <f t="shared" si="134"/>
        <v>707187.22224269249</v>
      </c>
      <c r="BG14" s="207">
        <f t="shared" si="134"/>
        <v>707187.22224269249</v>
      </c>
      <c r="BH14" s="207">
        <f t="shared" si="134"/>
        <v>707187.22224269249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-1934.7081405296922</v>
      </c>
      <c r="D17" s="196">
        <f>SUM(F17:AZG17)</f>
        <v>3986003.9559812299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43347.786537116022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3986003.9559812299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3986003.9559812299</v>
      </c>
      <c r="BA18" s="214">
        <f t="shared" si="156"/>
        <v>3986003.9559812299</v>
      </c>
      <c r="BB18" s="214">
        <f t="shared" si="156"/>
        <v>3986003.9559812299</v>
      </c>
      <c r="BC18" s="214">
        <f t="shared" si="156"/>
        <v>3986003.9559812299</v>
      </c>
      <c r="BD18" s="214">
        <f t="shared" si="156"/>
        <v>3986003.9559812299</v>
      </c>
      <c r="BE18" s="214">
        <f t="shared" si="156"/>
        <v>3986003.9559812299</v>
      </c>
      <c r="BF18" s="214">
        <f t="shared" si="156"/>
        <v>3986003.9559812299</v>
      </c>
      <c r="BG18" s="214">
        <f t="shared" si="156"/>
        <v>3986003.9559812299</v>
      </c>
      <c r="BH18" s="214">
        <f t="shared" si="156"/>
        <v>3986003.9559812299</v>
      </c>
      <c r="BI18" s="214">
        <f t="shared" si="156"/>
        <v>3986003.9559812299</v>
      </c>
      <c r="BJ18" s="214">
        <f t="shared" si="156"/>
        <v>3986003.9559812299</v>
      </c>
      <c r="BK18" s="214">
        <f t="shared" si="156"/>
        <v>3986003.9559812299</v>
      </c>
      <c r="BL18" s="214">
        <f t="shared" si="156"/>
        <v>3986003.9559812299</v>
      </c>
      <c r="BM18" s="214">
        <f t="shared" si="156"/>
        <v>3986003.9559812299</v>
      </c>
      <c r="BN18" s="214">
        <f t="shared" si="156"/>
        <v>3986003.9559812299</v>
      </c>
      <c r="BO18" s="214">
        <f t="shared" si="156"/>
        <v>3986003.9559812299</v>
      </c>
      <c r="BP18" s="214">
        <f t="shared" si="156"/>
        <v>3986003.9559812299</v>
      </c>
      <c r="BQ18" s="214">
        <f t="shared" si="156"/>
        <v>3986003.9559812299</v>
      </c>
      <c r="BR18" s="214">
        <f t="shared" si="156"/>
        <v>3986003.9559812299</v>
      </c>
      <c r="BS18" s="214">
        <f t="shared" si="156"/>
        <v>3986003.9559812299</v>
      </c>
      <c r="BT18" s="214">
        <f t="shared" si="156"/>
        <v>3986003.9559812299</v>
      </c>
      <c r="BU18" s="214">
        <f t="shared" ref="BU18:EF18" si="157">BT18+BU17</f>
        <v>3986003.9559812299</v>
      </c>
      <c r="BV18" s="214">
        <f t="shared" si="157"/>
        <v>3986003.9559812299</v>
      </c>
      <c r="BW18" s="214">
        <f t="shared" si="157"/>
        <v>3986003.9559812299</v>
      </c>
      <c r="BX18" s="214">
        <f t="shared" si="157"/>
        <v>3986003.9559812299</v>
      </c>
      <c r="BY18" s="214">
        <f t="shared" si="157"/>
        <v>3986003.9559812299</v>
      </c>
      <c r="BZ18" s="214">
        <f t="shared" si="157"/>
        <v>3986003.9559812299</v>
      </c>
      <c r="CA18" s="214">
        <f t="shared" si="157"/>
        <v>3986003.9559812299</v>
      </c>
      <c r="CB18" s="214">
        <f t="shared" si="157"/>
        <v>3986003.9559812299</v>
      </c>
      <c r="CC18" s="214">
        <f t="shared" si="157"/>
        <v>3986003.9559812299</v>
      </c>
      <c r="CD18" s="214">
        <f t="shared" si="157"/>
        <v>3986003.9559812299</v>
      </c>
      <c r="CE18" s="214">
        <f t="shared" si="157"/>
        <v>3986003.9559812299</v>
      </c>
      <c r="CF18" s="214">
        <f t="shared" si="157"/>
        <v>3986003.9559812299</v>
      </c>
      <c r="CG18" s="214">
        <f t="shared" si="157"/>
        <v>3986003.9559812299</v>
      </c>
      <c r="CH18" s="214">
        <f t="shared" si="157"/>
        <v>3986003.9559812299</v>
      </c>
      <c r="CI18" s="214">
        <f t="shared" si="157"/>
        <v>3986003.9559812299</v>
      </c>
      <c r="CJ18" s="214">
        <f t="shared" si="157"/>
        <v>3986003.9559812299</v>
      </c>
      <c r="CK18" s="214">
        <f t="shared" si="157"/>
        <v>3986003.9559812299</v>
      </c>
      <c r="CL18" s="214">
        <f t="shared" si="157"/>
        <v>3986003.9559812299</v>
      </c>
      <c r="CM18" s="214">
        <f t="shared" si="157"/>
        <v>3986003.9559812299</v>
      </c>
      <c r="CN18" s="214">
        <f t="shared" si="157"/>
        <v>3986003.9559812299</v>
      </c>
      <c r="CO18" s="214">
        <f t="shared" si="157"/>
        <v>3986003.9559812299</v>
      </c>
      <c r="CP18" s="214">
        <f t="shared" si="157"/>
        <v>3986003.9559812299</v>
      </c>
      <c r="CQ18" s="214">
        <f t="shared" si="157"/>
        <v>3986003.9559812299</v>
      </c>
      <c r="CR18" s="214">
        <f t="shared" si="157"/>
        <v>3986003.9559812299</v>
      </c>
      <c r="CS18" s="214">
        <f t="shared" si="157"/>
        <v>3986003.9559812299</v>
      </c>
      <c r="CT18" s="214">
        <f t="shared" si="157"/>
        <v>3986003.9559812299</v>
      </c>
      <c r="CU18" s="214">
        <f t="shared" si="157"/>
        <v>3986003.9559812299</v>
      </c>
      <c r="CV18" s="214">
        <f t="shared" si="157"/>
        <v>3986003.9559812299</v>
      </c>
      <c r="CW18" s="214">
        <f t="shared" si="157"/>
        <v>3986003.9559812299</v>
      </c>
      <c r="CX18" s="214">
        <f t="shared" si="157"/>
        <v>3986003.9559812299</v>
      </c>
      <c r="CY18" s="214">
        <f t="shared" si="157"/>
        <v>3986003.9559812299</v>
      </c>
      <c r="CZ18" s="214">
        <f t="shared" si="157"/>
        <v>3986003.9559812299</v>
      </c>
      <c r="DA18" s="214">
        <f t="shared" si="157"/>
        <v>3986003.9559812299</v>
      </c>
      <c r="DB18" s="214">
        <f t="shared" si="157"/>
        <v>3986003.9559812299</v>
      </c>
      <c r="DC18" s="214">
        <f t="shared" si="157"/>
        <v>3986003.9559812299</v>
      </c>
      <c r="DD18" s="214">
        <f t="shared" si="157"/>
        <v>3986003.9559812299</v>
      </c>
      <c r="DE18" s="214">
        <f t="shared" si="157"/>
        <v>3986003.9559812299</v>
      </c>
      <c r="DF18" s="214">
        <f t="shared" si="157"/>
        <v>3986003.9559812299</v>
      </c>
      <c r="DG18" s="214">
        <f t="shared" si="157"/>
        <v>3986003.9559812299</v>
      </c>
      <c r="DH18" s="214">
        <f t="shared" si="157"/>
        <v>3986003.9559812299</v>
      </c>
      <c r="DI18" s="214">
        <f t="shared" si="157"/>
        <v>3986003.9559812299</v>
      </c>
      <c r="DJ18" s="214">
        <f t="shared" si="157"/>
        <v>3986003.9559812299</v>
      </c>
      <c r="DK18" s="214">
        <f t="shared" si="157"/>
        <v>3986003.9559812299</v>
      </c>
      <c r="DL18" s="214">
        <f t="shared" si="157"/>
        <v>3986003.9559812299</v>
      </c>
      <c r="DM18" s="214">
        <f t="shared" si="157"/>
        <v>3986003.9559812299</v>
      </c>
      <c r="DN18" s="214">
        <f t="shared" si="157"/>
        <v>3986003.9559812299</v>
      </c>
      <c r="DO18" s="214">
        <f t="shared" si="157"/>
        <v>3986003.9559812299</v>
      </c>
      <c r="DP18" s="214">
        <f t="shared" si="157"/>
        <v>3986003.9559812299</v>
      </c>
      <c r="DQ18" s="214">
        <f t="shared" si="157"/>
        <v>3986003.9559812299</v>
      </c>
      <c r="DR18" s="214">
        <f t="shared" si="157"/>
        <v>3986003.9559812299</v>
      </c>
      <c r="DS18" s="214">
        <f t="shared" si="157"/>
        <v>3986003.9559812299</v>
      </c>
      <c r="DT18" s="214">
        <f t="shared" si="157"/>
        <v>3986003.9559812299</v>
      </c>
      <c r="DU18" s="214">
        <f t="shared" si="157"/>
        <v>3986003.9559812299</v>
      </c>
      <c r="DV18" s="214">
        <f t="shared" si="157"/>
        <v>3986003.9559812299</v>
      </c>
      <c r="DW18" s="214">
        <f t="shared" si="157"/>
        <v>3986003.9559812299</v>
      </c>
      <c r="DX18" s="214">
        <f t="shared" si="157"/>
        <v>3986003.9559812299</v>
      </c>
      <c r="DY18" s="214">
        <f t="shared" si="157"/>
        <v>3986003.9559812299</v>
      </c>
      <c r="DZ18" s="214">
        <f t="shared" si="157"/>
        <v>3986003.9559812299</v>
      </c>
      <c r="EA18" s="214">
        <f t="shared" si="157"/>
        <v>3986003.9559812299</v>
      </c>
      <c r="EB18" s="214">
        <f t="shared" si="157"/>
        <v>3986003.9559812299</v>
      </c>
      <c r="EC18" s="214">
        <f t="shared" si="157"/>
        <v>3986003.9559812299</v>
      </c>
      <c r="ED18" s="214">
        <f t="shared" si="157"/>
        <v>3986003.9559812299</v>
      </c>
      <c r="EE18" s="214">
        <f t="shared" si="157"/>
        <v>3986003.9559812299</v>
      </c>
      <c r="EF18" s="214">
        <f t="shared" si="157"/>
        <v>3986003.9559812299</v>
      </c>
      <c r="EG18" s="214">
        <f t="shared" ref="EG18:GR18" si="158">EF18+EG17</f>
        <v>3986003.9559812299</v>
      </c>
      <c r="EH18" s="214">
        <f t="shared" si="158"/>
        <v>3986003.9559812299</v>
      </c>
      <c r="EI18" s="214">
        <f t="shared" si="158"/>
        <v>3986003.9559812299</v>
      </c>
      <c r="EJ18" s="214">
        <f t="shared" si="158"/>
        <v>3986003.9559812299</v>
      </c>
      <c r="EK18" s="214">
        <f t="shared" si="158"/>
        <v>3986003.9559812299</v>
      </c>
      <c r="EL18" s="214">
        <f t="shared" si="158"/>
        <v>3986003.9559812299</v>
      </c>
      <c r="EM18" s="214">
        <f t="shared" si="158"/>
        <v>3986003.9559812299</v>
      </c>
      <c r="EN18" s="214">
        <f t="shared" si="158"/>
        <v>3986003.9559812299</v>
      </c>
      <c r="EO18" s="214">
        <f t="shared" si="158"/>
        <v>3986003.9559812299</v>
      </c>
      <c r="EP18" s="214">
        <f t="shared" si="158"/>
        <v>3986003.9559812299</v>
      </c>
      <c r="EQ18" s="214">
        <f t="shared" si="158"/>
        <v>3986003.9559812299</v>
      </c>
      <c r="ER18" s="214">
        <f t="shared" si="158"/>
        <v>3986003.9559812299</v>
      </c>
      <c r="ES18" s="214">
        <f t="shared" si="158"/>
        <v>3986003.9559812299</v>
      </c>
      <c r="ET18" s="214">
        <f t="shared" si="158"/>
        <v>3986003.9559812299</v>
      </c>
      <c r="EU18" s="214">
        <f t="shared" si="158"/>
        <v>3986003.9559812299</v>
      </c>
      <c r="EV18" s="214">
        <f t="shared" si="158"/>
        <v>3986003.9559812299</v>
      </c>
      <c r="EW18" s="214">
        <f t="shared" si="158"/>
        <v>3986003.9559812299</v>
      </c>
      <c r="EX18" s="214">
        <f t="shared" si="158"/>
        <v>3986003.9559812299</v>
      </c>
      <c r="EY18" s="214">
        <f t="shared" si="158"/>
        <v>3986003.9559812299</v>
      </c>
      <c r="EZ18" s="214">
        <f t="shared" si="158"/>
        <v>3986003.9559812299</v>
      </c>
      <c r="FA18" s="214">
        <f t="shared" si="158"/>
        <v>3986003.9559812299</v>
      </c>
      <c r="FB18" s="214">
        <f t="shared" si="158"/>
        <v>3986003.9559812299</v>
      </c>
      <c r="FC18" s="214">
        <f t="shared" si="158"/>
        <v>3986003.9559812299</v>
      </c>
      <c r="FD18" s="214">
        <f t="shared" si="158"/>
        <v>3986003.9559812299</v>
      </c>
      <c r="FE18" s="214">
        <f t="shared" si="158"/>
        <v>3986003.9559812299</v>
      </c>
      <c r="FF18" s="214">
        <f t="shared" si="158"/>
        <v>3986003.9559812299</v>
      </c>
      <c r="FG18" s="214">
        <f t="shared" si="158"/>
        <v>3986003.9559812299</v>
      </c>
      <c r="FH18" s="214">
        <f t="shared" si="158"/>
        <v>3986003.9559812299</v>
      </c>
      <c r="FI18" s="214">
        <f t="shared" si="158"/>
        <v>3986003.9559812299</v>
      </c>
      <c r="FJ18" s="214">
        <f t="shared" si="158"/>
        <v>3986003.9559812299</v>
      </c>
      <c r="FK18" s="214">
        <f t="shared" si="158"/>
        <v>3986003.9559812299</v>
      </c>
      <c r="FL18" s="214">
        <f t="shared" si="158"/>
        <v>3986003.9559812299</v>
      </c>
      <c r="FM18" s="214">
        <f t="shared" si="158"/>
        <v>3986003.9559812299</v>
      </c>
      <c r="FN18" s="214">
        <f t="shared" si="158"/>
        <v>3986003.9559812299</v>
      </c>
      <c r="FO18" s="214">
        <f t="shared" si="158"/>
        <v>3986003.9559812299</v>
      </c>
      <c r="FP18" s="214">
        <f t="shared" si="158"/>
        <v>3986003.9559812299</v>
      </c>
      <c r="FQ18" s="214">
        <f t="shared" si="158"/>
        <v>3986003.9559812299</v>
      </c>
      <c r="FR18" s="214">
        <f t="shared" si="158"/>
        <v>3986003.9559812299</v>
      </c>
      <c r="FS18" s="214">
        <f t="shared" si="158"/>
        <v>3986003.9559812299</v>
      </c>
      <c r="FT18" s="214">
        <f t="shared" si="158"/>
        <v>3986003.9559812299</v>
      </c>
      <c r="FU18" s="214">
        <f t="shared" si="158"/>
        <v>3986003.9559812299</v>
      </c>
      <c r="FV18" s="214">
        <f t="shared" si="158"/>
        <v>3986003.9559812299</v>
      </c>
      <c r="FW18" s="214">
        <f t="shared" si="158"/>
        <v>3986003.9559812299</v>
      </c>
      <c r="FX18" s="214">
        <f t="shared" si="158"/>
        <v>3986003.9559812299</v>
      </c>
      <c r="FY18" s="214">
        <f t="shared" si="158"/>
        <v>3986003.9559812299</v>
      </c>
      <c r="FZ18" s="214">
        <f t="shared" si="158"/>
        <v>3986003.9559812299</v>
      </c>
      <c r="GA18" s="214">
        <f t="shared" si="158"/>
        <v>3986003.9559812299</v>
      </c>
      <c r="GB18" s="214">
        <f t="shared" si="158"/>
        <v>3986003.9559812299</v>
      </c>
      <c r="GC18" s="214">
        <f t="shared" si="158"/>
        <v>3986003.9559812299</v>
      </c>
      <c r="GD18" s="214">
        <f t="shared" si="158"/>
        <v>3986003.9559812299</v>
      </c>
      <c r="GE18" s="214">
        <f t="shared" si="158"/>
        <v>3986003.9559812299</v>
      </c>
      <c r="GF18" s="214">
        <f t="shared" si="158"/>
        <v>3986003.9559812299</v>
      </c>
      <c r="GG18" s="214">
        <f t="shared" si="158"/>
        <v>3986003.9559812299</v>
      </c>
      <c r="GH18" s="214">
        <f t="shared" si="158"/>
        <v>3986003.9559812299</v>
      </c>
      <c r="GI18" s="214">
        <f t="shared" si="158"/>
        <v>3986003.9559812299</v>
      </c>
      <c r="GJ18" s="214">
        <f t="shared" si="158"/>
        <v>3986003.9559812299</v>
      </c>
      <c r="GK18" s="214">
        <f t="shared" si="158"/>
        <v>3986003.9559812299</v>
      </c>
      <c r="GL18" s="214">
        <f t="shared" si="158"/>
        <v>3986003.9559812299</v>
      </c>
      <c r="GM18" s="214">
        <f t="shared" si="158"/>
        <v>3986003.9559812299</v>
      </c>
      <c r="GN18" s="214">
        <f t="shared" si="158"/>
        <v>3986003.9559812299</v>
      </c>
      <c r="GO18" s="214">
        <f t="shared" si="158"/>
        <v>3986003.9559812299</v>
      </c>
      <c r="GP18" s="214">
        <f t="shared" si="158"/>
        <v>3986003.9559812299</v>
      </c>
      <c r="GQ18" s="214">
        <f t="shared" si="158"/>
        <v>3986003.9559812299</v>
      </c>
      <c r="GR18" s="214">
        <f t="shared" si="158"/>
        <v>3986003.9559812299</v>
      </c>
      <c r="GS18" s="214">
        <f t="shared" ref="GS18:JD18" si="159">GR18+GS17</f>
        <v>3986003.9559812299</v>
      </c>
      <c r="GT18" s="214">
        <f t="shared" si="159"/>
        <v>3986003.9559812299</v>
      </c>
      <c r="GU18" s="214">
        <f t="shared" si="159"/>
        <v>3986003.9559812299</v>
      </c>
      <c r="GV18" s="214">
        <f t="shared" si="159"/>
        <v>3986003.9559812299</v>
      </c>
      <c r="GW18" s="214">
        <f t="shared" si="159"/>
        <v>3986003.9559812299</v>
      </c>
      <c r="GX18" s="214">
        <f t="shared" si="159"/>
        <v>3986003.9559812299</v>
      </c>
      <c r="GY18" s="214">
        <f t="shared" si="159"/>
        <v>3986003.9559812299</v>
      </c>
      <c r="GZ18" s="214">
        <f t="shared" si="159"/>
        <v>3986003.9559812299</v>
      </c>
      <c r="HA18" s="214">
        <f t="shared" si="159"/>
        <v>3986003.9559812299</v>
      </c>
      <c r="HB18" s="214">
        <f t="shared" si="159"/>
        <v>3986003.9559812299</v>
      </c>
      <c r="HC18" s="214">
        <f t="shared" si="159"/>
        <v>3986003.9559812299</v>
      </c>
      <c r="HD18" s="214">
        <f t="shared" si="159"/>
        <v>3986003.9559812299</v>
      </c>
      <c r="HE18" s="214">
        <f t="shared" si="159"/>
        <v>3986003.9559812299</v>
      </c>
      <c r="HF18" s="214">
        <f t="shared" si="159"/>
        <v>3986003.9559812299</v>
      </c>
      <c r="HG18" s="214">
        <f t="shared" si="159"/>
        <v>3986003.9559812299</v>
      </c>
      <c r="HH18" s="214">
        <f t="shared" si="159"/>
        <v>3986003.9559812299</v>
      </c>
      <c r="HI18" s="214">
        <f t="shared" si="159"/>
        <v>3986003.9559812299</v>
      </c>
      <c r="HJ18" s="214">
        <f t="shared" si="159"/>
        <v>3986003.9559812299</v>
      </c>
      <c r="HK18" s="214">
        <f t="shared" si="159"/>
        <v>3986003.9559812299</v>
      </c>
      <c r="HL18" s="214">
        <f t="shared" si="159"/>
        <v>3986003.9559812299</v>
      </c>
      <c r="HM18" s="214">
        <f t="shared" si="159"/>
        <v>3986003.9559812299</v>
      </c>
      <c r="HN18" s="214">
        <f t="shared" si="159"/>
        <v>3986003.9559812299</v>
      </c>
      <c r="HO18" s="214">
        <f t="shared" si="159"/>
        <v>3986003.9559812299</v>
      </c>
      <c r="HP18" s="214">
        <f t="shared" si="159"/>
        <v>3986003.9559812299</v>
      </c>
      <c r="HQ18" s="214">
        <f t="shared" si="159"/>
        <v>3986003.9559812299</v>
      </c>
      <c r="HR18" s="214">
        <f t="shared" si="159"/>
        <v>3986003.9559812299</v>
      </c>
      <c r="HS18" s="214">
        <f t="shared" si="159"/>
        <v>3986003.9559812299</v>
      </c>
      <c r="HT18" s="214">
        <f t="shared" si="159"/>
        <v>3986003.9559812299</v>
      </c>
      <c r="HU18" s="214">
        <f t="shared" si="159"/>
        <v>3986003.9559812299</v>
      </c>
      <c r="HV18" s="214">
        <f t="shared" si="159"/>
        <v>3986003.9559812299</v>
      </c>
      <c r="HW18" s="214">
        <f t="shared" si="159"/>
        <v>3986003.9559812299</v>
      </c>
      <c r="HX18" s="214">
        <f t="shared" si="159"/>
        <v>3986003.9559812299</v>
      </c>
      <c r="HY18" s="214">
        <f t="shared" si="159"/>
        <v>3986003.9559812299</v>
      </c>
      <c r="HZ18" s="214">
        <f t="shared" si="159"/>
        <v>3986003.9559812299</v>
      </c>
      <c r="IA18" s="214">
        <f t="shared" si="159"/>
        <v>3986003.9559812299</v>
      </c>
      <c r="IB18" s="214">
        <f t="shared" si="159"/>
        <v>3986003.9559812299</v>
      </c>
      <c r="IC18" s="214">
        <f t="shared" si="159"/>
        <v>3986003.9559812299</v>
      </c>
      <c r="ID18" s="214">
        <f t="shared" si="159"/>
        <v>3986003.9559812299</v>
      </c>
      <c r="IE18" s="214">
        <f t="shared" si="159"/>
        <v>3986003.9559812299</v>
      </c>
      <c r="IF18" s="214">
        <f t="shared" si="159"/>
        <v>3986003.9559812299</v>
      </c>
      <c r="IG18" s="214">
        <f t="shared" si="159"/>
        <v>3986003.9559812299</v>
      </c>
      <c r="IH18" s="214">
        <f t="shared" si="159"/>
        <v>3986003.9559812299</v>
      </c>
      <c r="II18" s="214">
        <f t="shared" si="159"/>
        <v>3986003.9559812299</v>
      </c>
      <c r="IJ18" s="214">
        <f t="shared" si="159"/>
        <v>3986003.9559812299</v>
      </c>
      <c r="IK18" s="214">
        <f t="shared" si="159"/>
        <v>3986003.9559812299</v>
      </c>
      <c r="IL18" s="214">
        <f t="shared" si="159"/>
        <v>3986003.9559812299</v>
      </c>
      <c r="IM18" s="214">
        <f t="shared" si="159"/>
        <v>3986003.9559812299</v>
      </c>
      <c r="IN18" s="214">
        <f t="shared" si="159"/>
        <v>3986003.9559812299</v>
      </c>
      <c r="IO18" s="214">
        <f t="shared" si="159"/>
        <v>3986003.9559812299</v>
      </c>
      <c r="IP18" s="214">
        <f t="shared" si="159"/>
        <v>3986003.9559812299</v>
      </c>
      <c r="IQ18" s="214">
        <f t="shared" si="159"/>
        <v>3986003.9559812299</v>
      </c>
      <c r="IR18" s="214">
        <f t="shared" si="159"/>
        <v>3986003.9559812299</v>
      </c>
      <c r="IS18" s="214">
        <f t="shared" si="159"/>
        <v>3986003.9559812299</v>
      </c>
      <c r="IT18" s="214">
        <f t="shared" si="159"/>
        <v>3986003.9559812299</v>
      </c>
      <c r="IU18" s="214">
        <f t="shared" si="159"/>
        <v>3986003.9559812299</v>
      </c>
      <c r="IV18" s="214">
        <f t="shared" si="159"/>
        <v>3986003.9559812299</v>
      </c>
      <c r="IW18" s="214">
        <f t="shared" si="159"/>
        <v>3986003.9559812299</v>
      </c>
      <c r="IX18" s="214">
        <f t="shared" si="159"/>
        <v>3986003.9559812299</v>
      </c>
      <c r="IY18" s="214">
        <f t="shared" si="159"/>
        <v>3986003.9559812299</v>
      </c>
      <c r="IZ18" s="214">
        <f t="shared" si="159"/>
        <v>3986003.9559812299</v>
      </c>
      <c r="JA18" s="214">
        <f t="shared" si="159"/>
        <v>3986003.9559812299</v>
      </c>
      <c r="JB18" s="214">
        <f t="shared" si="159"/>
        <v>3986003.9559812299</v>
      </c>
      <c r="JC18" s="214">
        <f t="shared" si="159"/>
        <v>3986003.9559812299</v>
      </c>
      <c r="JD18" s="214">
        <f t="shared" si="159"/>
        <v>3986003.9559812299</v>
      </c>
      <c r="JE18" s="214">
        <f t="shared" ref="JE18:LP18" si="160">JD18+JE17</f>
        <v>3986003.9559812299</v>
      </c>
      <c r="JF18" s="214">
        <f t="shared" si="160"/>
        <v>3986003.9559812299</v>
      </c>
      <c r="JG18" s="214">
        <f t="shared" si="160"/>
        <v>3986003.9559812299</v>
      </c>
      <c r="JH18" s="214">
        <f t="shared" si="160"/>
        <v>3986003.9559812299</v>
      </c>
      <c r="JI18" s="214">
        <f t="shared" si="160"/>
        <v>3986003.9559812299</v>
      </c>
      <c r="JJ18" s="214">
        <f t="shared" si="160"/>
        <v>3986003.9559812299</v>
      </c>
      <c r="JK18" s="214">
        <f t="shared" si="160"/>
        <v>3986003.9559812299</v>
      </c>
      <c r="JL18" s="214">
        <f t="shared" si="160"/>
        <v>3986003.9559812299</v>
      </c>
      <c r="JM18" s="214">
        <f t="shared" si="160"/>
        <v>3986003.9559812299</v>
      </c>
      <c r="JN18" s="214">
        <f t="shared" si="160"/>
        <v>3986003.9559812299</v>
      </c>
      <c r="JO18" s="214">
        <f t="shared" si="160"/>
        <v>3986003.9559812299</v>
      </c>
      <c r="JP18" s="214">
        <f t="shared" si="160"/>
        <v>3986003.9559812299</v>
      </c>
      <c r="JQ18" s="214">
        <f t="shared" si="160"/>
        <v>3986003.9559812299</v>
      </c>
      <c r="JR18" s="214">
        <f t="shared" si="160"/>
        <v>3986003.9559812299</v>
      </c>
      <c r="JS18" s="214">
        <f t="shared" si="160"/>
        <v>3986003.9559812299</v>
      </c>
      <c r="JT18" s="214">
        <f t="shared" si="160"/>
        <v>3986003.9559812299</v>
      </c>
      <c r="JU18" s="214">
        <f t="shared" si="160"/>
        <v>3986003.9559812299</v>
      </c>
      <c r="JV18" s="214">
        <f t="shared" si="160"/>
        <v>3986003.9559812299</v>
      </c>
      <c r="JW18" s="214">
        <f t="shared" si="160"/>
        <v>3986003.9559812299</v>
      </c>
      <c r="JX18" s="214">
        <f t="shared" si="160"/>
        <v>3986003.9559812299</v>
      </c>
      <c r="JY18" s="214">
        <f t="shared" si="160"/>
        <v>3986003.9559812299</v>
      </c>
      <c r="JZ18" s="214">
        <f t="shared" si="160"/>
        <v>3986003.9559812299</v>
      </c>
      <c r="KA18" s="214">
        <f t="shared" si="160"/>
        <v>3986003.9559812299</v>
      </c>
      <c r="KB18" s="214">
        <f t="shared" si="160"/>
        <v>3986003.9559812299</v>
      </c>
      <c r="KC18" s="214">
        <f t="shared" si="160"/>
        <v>3986003.9559812299</v>
      </c>
      <c r="KD18" s="214">
        <f t="shared" si="160"/>
        <v>3986003.9559812299</v>
      </c>
      <c r="KE18" s="214">
        <f t="shared" si="160"/>
        <v>3986003.9559812299</v>
      </c>
      <c r="KF18" s="214">
        <f t="shared" si="160"/>
        <v>3986003.9559812299</v>
      </c>
      <c r="KG18" s="214">
        <f t="shared" si="160"/>
        <v>3986003.9559812299</v>
      </c>
      <c r="KH18" s="214">
        <f t="shared" si="160"/>
        <v>3986003.9559812299</v>
      </c>
      <c r="KI18" s="214">
        <f t="shared" si="160"/>
        <v>3986003.9559812299</v>
      </c>
      <c r="KJ18" s="214">
        <f t="shared" si="160"/>
        <v>3986003.9559812299</v>
      </c>
      <c r="KK18" s="214">
        <f t="shared" si="160"/>
        <v>3986003.9559812299</v>
      </c>
      <c r="KL18" s="214">
        <f t="shared" si="160"/>
        <v>3986003.9559812299</v>
      </c>
      <c r="KM18" s="214">
        <f t="shared" si="160"/>
        <v>3986003.9559812299</v>
      </c>
      <c r="KN18" s="214">
        <f t="shared" si="160"/>
        <v>3986003.9559812299</v>
      </c>
      <c r="KO18" s="214">
        <f t="shared" si="160"/>
        <v>3986003.9559812299</v>
      </c>
      <c r="KP18" s="214">
        <f t="shared" si="160"/>
        <v>3986003.9559812299</v>
      </c>
      <c r="KQ18" s="214">
        <f t="shared" si="160"/>
        <v>3986003.9559812299</v>
      </c>
      <c r="KR18" s="214">
        <f t="shared" si="160"/>
        <v>3986003.9559812299</v>
      </c>
      <c r="KS18" s="214">
        <f t="shared" si="160"/>
        <v>3986003.9559812299</v>
      </c>
      <c r="KT18" s="214">
        <f t="shared" si="160"/>
        <v>3986003.9559812299</v>
      </c>
      <c r="KU18" s="214">
        <f t="shared" si="160"/>
        <v>3986003.9559812299</v>
      </c>
      <c r="KV18" s="214">
        <f t="shared" si="160"/>
        <v>3986003.9559812299</v>
      </c>
      <c r="KW18" s="214">
        <f t="shared" si="160"/>
        <v>3986003.9559812299</v>
      </c>
      <c r="KX18" s="214">
        <f t="shared" si="160"/>
        <v>3986003.9559812299</v>
      </c>
      <c r="KY18" s="214">
        <f t="shared" si="160"/>
        <v>3986003.9559812299</v>
      </c>
      <c r="KZ18" s="214">
        <f t="shared" si="160"/>
        <v>3986003.9559812299</v>
      </c>
      <c r="LA18" s="214">
        <f t="shared" si="160"/>
        <v>3986003.9559812299</v>
      </c>
      <c r="LB18" s="214">
        <f t="shared" si="160"/>
        <v>3986003.9559812299</v>
      </c>
      <c r="LC18" s="214">
        <f t="shared" si="160"/>
        <v>3986003.9559812299</v>
      </c>
      <c r="LD18" s="214">
        <f t="shared" si="160"/>
        <v>3986003.9559812299</v>
      </c>
      <c r="LE18" s="214">
        <f t="shared" si="160"/>
        <v>3986003.9559812299</v>
      </c>
      <c r="LF18" s="214">
        <f t="shared" si="160"/>
        <v>3986003.9559812299</v>
      </c>
      <c r="LG18" s="214">
        <f t="shared" si="160"/>
        <v>3986003.9559812299</v>
      </c>
      <c r="LH18" s="214">
        <f t="shared" si="160"/>
        <v>3986003.9559812299</v>
      </c>
      <c r="LI18" s="214">
        <f t="shared" si="160"/>
        <v>3986003.9559812299</v>
      </c>
      <c r="LJ18" s="214">
        <f t="shared" si="160"/>
        <v>3986003.9559812299</v>
      </c>
      <c r="LK18" s="214">
        <f t="shared" si="160"/>
        <v>3986003.9559812299</v>
      </c>
      <c r="LL18" s="214">
        <f t="shared" si="160"/>
        <v>3986003.9559812299</v>
      </c>
      <c r="LM18" s="214">
        <f t="shared" si="160"/>
        <v>3986003.9559812299</v>
      </c>
      <c r="LN18" s="214">
        <f t="shared" si="160"/>
        <v>3986003.9559812299</v>
      </c>
      <c r="LO18" s="214">
        <f t="shared" si="160"/>
        <v>3986003.9559812299</v>
      </c>
      <c r="LP18" s="214">
        <f t="shared" si="160"/>
        <v>3986003.9559812299</v>
      </c>
      <c r="LQ18" s="214">
        <f t="shared" ref="LQ18:OB18" si="161">LP18+LQ17</f>
        <v>3986003.9559812299</v>
      </c>
      <c r="LR18" s="214">
        <f t="shared" si="161"/>
        <v>3986003.9559812299</v>
      </c>
      <c r="LS18" s="214">
        <f t="shared" si="161"/>
        <v>3986003.9559812299</v>
      </c>
      <c r="LT18" s="214">
        <f t="shared" si="161"/>
        <v>3986003.9559812299</v>
      </c>
      <c r="LU18" s="214">
        <f t="shared" si="161"/>
        <v>3986003.9559812299</v>
      </c>
      <c r="LV18" s="214">
        <f t="shared" si="161"/>
        <v>3986003.9559812299</v>
      </c>
      <c r="LW18" s="214">
        <f t="shared" si="161"/>
        <v>3986003.9559812299</v>
      </c>
      <c r="LX18" s="214">
        <f t="shared" si="161"/>
        <v>3986003.9559812299</v>
      </c>
      <c r="LY18" s="214">
        <f t="shared" si="161"/>
        <v>3986003.9559812299</v>
      </c>
      <c r="LZ18" s="214">
        <f t="shared" si="161"/>
        <v>3986003.9559812299</v>
      </c>
      <c r="MA18" s="214">
        <f t="shared" si="161"/>
        <v>3986003.9559812299</v>
      </c>
      <c r="MB18" s="214">
        <f t="shared" si="161"/>
        <v>3986003.9559812299</v>
      </c>
      <c r="MC18" s="214">
        <f t="shared" si="161"/>
        <v>3986003.9559812299</v>
      </c>
      <c r="MD18" s="214">
        <f t="shared" si="161"/>
        <v>3986003.9559812299</v>
      </c>
      <c r="ME18" s="214">
        <f t="shared" si="161"/>
        <v>3986003.9559812299</v>
      </c>
      <c r="MF18" s="214">
        <f t="shared" si="161"/>
        <v>3986003.9559812299</v>
      </c>
      <c r="MG18" s="214">
        <f t="shared" si="161"/>
        <v>3986003.9559812299</v>
      </c>
      <c r="MH18" s="214">
        <f t="shared" si="161"/>
        <v>3986003.9559812299</v>
      </c>
      <c r="MI18" s="214">
        <f t="shared" si="161"/>
        <v>3986003.9559812299</v>
      </c>
      <c r="MJ18" s="214">
        <f t="shared" si="161"/>
        <v>3986003.9559812299</v>
      </c>
      <c r="MK18" s="214">
        <f t="shared" si="161"/>
        <v>3986003.9559812299</v>
      </c>
      <c r="ML18" s="214">
        <f t="shared" si="161"/>
        <v>3986003.9559812299</v>
      </c>
      <c r="MM18" s="214">
        <f t="shared" si="161"/>
        <v>3986003.9559812299</v>
      </c>
      <c r="MN18" s="214">
        <f t="shared" si="161"/>
        <v>3986003.9559812299</v>
      </c>
      <c r="MO18" s="214">
        <f t="shared" si="161"/>
        <v>3986003.9559812299</v>
      </c>
      <c r="MP18" s="214">
        <f t="shared" si="161"/>
        <v>3986003.9559812299</v>
      </c>
      <c r="MQ18" s="214">
        <f t="shared" si="161"/>
        <v>3986003.9559812299</v>
      </c>
      <c r="MR18" s="214">
        <f t="shared" si="161"/>
        <v>3986003.9559812299</v>
      </c>
      <c r="MS18" s="214">
        <f t="shared" si="161"/>
        <v>3986003.9559812299</v>
      </c>
      <c r="MT18" s="214">
        <f t="shared" si="161"/>
        <v>3986003.9559812299</v>
      </c>
      <c r="MU18" s="214">
        <f t="shared" si="161"/>
        <v>3986003.9559812299</v>
      </c>
      <c r="MV18" s="214">
        <f t="shared" si="161"/>
        <v>3986003.9559812299</v>
      </c>
      <c r="MW18" s="214">
        <f t="shared" si="161"/>
        <v>3986003.9559812299</v>
      </c>
      <c r="MX18" s="214">
        <f t="shared" si="161"/>
        <v>3986003.9559812299</v>
      </c>
      <c r="MY18" s="214">
        <f t="shared" si="161"/>
        <v>3986003.9559812299</v>
      </c>
      <c r="MZ18" s="214">
        <f t="shared" si="161"/>
        <v>3986003.9559812299</v>
      </c>
      <c r="NA18" s="214">
        <f t="shared" si="161"/>
        <v>3986003.9559812299</v>
      </c>
      <c r="NB18" s="214">
        <f t="shared" si="161"/>
        <v>3986003.9559812299</v>
      </c>
      <c r="NC18" s="214">
        <f t="shared" si="161"/>
        <v>3986003.9559812299</v>
      </c>
      <c r="ND18" s="214">
        <f t="shared" si="161"/>
        <v>3986003.9559812299</v>
      </c>
      <c r="NE18" s="214">
        <f t="shared" si="161"/>
        <v>3986003.9559812299</v>
      </c>
      <c r="NF18" s="214">
        <f t="shared" si="161"/>
        <v>3986003.9559812299</v>
      </c>
      <c r="NG18" s="214">
        <f t="shared" si="161"/>
        <v>3986003.9559812299</v>
      </c>
      <c r="NH18" s="214">
        <f t="shared" si="161"/>
        <v>3986003.9559812299</v>
      </c>
      <c r="NI18" s="214">
        <f t="shared" si="161"/>
        <v>3986003.9559812299</v>
      </c>
      <c r="NJ18" s="214">
        <f t="shared" si="161"/>
        <v>3986003.9559812299</v>
      </c>
      <c r="NK18" s="214">
        <f t="shared" si="161"/>
        <v>3986003.9559812299</v>
      </c>
      <c r="NL18" s="214">
        <f t="shared" si="161"/>
        <v>3986003.9559812299</v>
      </c>
      <c r="NM18" s="214">
        <f t="shared" si="161"/>
        <v>3986003.9559812299</v>
      </c>
      <c r="NN18" s="214">
        <f t="shared" si="161"/>
        <v>3986003.9559812299</v>
      </c>
      <c r="NO18" s="214">
        <f t="shared" si="161"/>
        <v>3986003.9559812299</v>
      </c>
      <c r="NP18" s="214">
        <f t="shared" si="161"/>
        <v>3986003.9559812299</v>
      </c>
      <c r="NQ18" s="214">
        <f t="shared" si="161"/>
        <v>3986003.9559812299</v>
      </c>
      <c r="NR18" s="214">
        <f t="shared" si="161"/>
        <v>3986003.9559812299</v>
      </c>
      <c r="NS18" s="214">
        <f t="shared" si="161"/>
        <v>3986003.9559812299</v>
      </c>
      <c r="NT18" s="214">
        <f t="shared" si="161"/>
        <v>3986003.9559812299</v>
      </c>
      <c r="NU18" s="214">
        <f t="shared" si="161"/>
        <v>3986003.9559812299</v>
      </c>
      <c r="NV18" s="214">
        <f t="shared" si="161"/>
        <v>3986003.9559812299</v>
      </c>
      <c r="NW18" s="214">
        <f t="shared" si="161"/>
        <v>3986003.9559812299</v>
      </c>
      <c r="NX18" s="214">
        <f t="shared" si="161"/>
        <v>3986003.9559812299</v>
      </c>
      <c r="NY18" s="214">
        <f t="shared" si="161"/>
        <v>3986003.9559812299</v>
      </c>
      <c r="NZ18" s="214">
        <f t="shared" si="161"/>
        <v>3986003.9559812299</v>
      </c>
      <c r="OA18" s="214">
        <f t="shared" si="161"/>
        <v>3986003.9559812299</v>
      </c>
      <c r="OB18" s="214">
        <f t="shared" si="161"/>
        <v>3986003.9559812299</v>
      </c>
      <c r="OC18" s="214">
        <f t="shared" ref="OC18:QN18" si="162">OB18+OC17</f>
        <v>3986003.9559812299</v>
      </c>
      <c r="OD18" s="214">
        <f t="shared" si="162"/>
        <v>3986003.9559812299</v>
      </c>
      <c r="OE18" s="214">
        <f t="shared" si="162"/>
        <v>3986003.9559812299</v>
      </c>
      <c r="OF18" s="214">
        <f t="shared" si="162"/>
        <v>3986003.9559812299</v>
      </c>
      <c r="OG18" s="214">
        <f t="shared" si="162"/>
        <v>3986003.9559812299</v>
      </c>
      <c r="OH18" s="214">
        <f t="shared" si="162"/>
        <v>3986003.9559812299</v>
      </c>
      <c r="OI18" s="214">
        <f t="shared" si="162"/>
        <v>3986003.9559812299</v>
      </c>
      <c r="OJ18" s="214">
        <f t="shared" si="162"/>
        <v>3986003.9559812299</v>
      </c>
      <c r="OK18" s="214">
        <f t="shared" si="162"/>
        <v>3986003.9559812299</v>
      </c>
      <c r="OL18" s="214">
        <f t="shared" si="162"/>
        <v>3986003.9559812299</v>
      </c>
      <c r="OM18" s="214">
        <f t="shared" si="162"/>
        <v>3986003.9559812299</v>
      </c>
      <c r="ON18" s="214">
        <f t="shared" si="162"/>
        <v>3986003.9559812299</v>
      </c>
      <c r="OO18" s="214">
        <f t="shared" si="162"/>
        <v>3986003.9559812299</v>
      </c>
      <c r="OP18" s="214">
        <f t="shared" si="162"/>
        <v>3986003.9559812299</v>
      </c>
      <c r="OQ18" s="214">
        <f t="shared" si="162"/>
        <v>3986003.9559812299</v>
      </c>
      <c r="OR18" s="214">
        <f t="shared" si="162"/>
        <v>3986003.9559812299</v>
      </c>
      <c r="OS18" s="214">
        <f t="shared" si="162"/>
        <v>3986003.9559812299</v>
      </c>
      <c r="OT18" s="214">
        <f t="shared" si="162"/>
        <v>3986003.9559812299</v>
      </c>
      <c r="OU18" s="214">
        <f t="shared" si="162"/>
        <v>3986003.9559812299</v>
      </c>
      <c r="OV18" s="214">
        <f t="shared" si="162"/>
        <v>3986003.9559812299</v>
      </c>
      <c r="OW18" s="214">
        <f t="shared" si="162"/>
        <v>3986003.9559812299</v>
      </c>
      <c r="OX18" s="214">
        <f t="shared" si="162"/>
        <v>3986003.9559812299</v>
      </c>
      <c r="OY18" s="214">
        <f t="shared" si="162"/>
        <v>3986003.9559812299</v>
      </c>
      <c r="OZ18" s="214">
        <f t="shared" si="162"/>
        <v>3986003.9559812299</v>
      </c>
      <c r="PA18" s="214">
        <f t="shared" si="162"/>
        <v>3986003.9559812299</v>
      </c>
      <c r="PB18" s="214">
        <f t="shared" si="162"/>
        <v>3986003.9559812299</v>
      </c>
      <c r="PC18" s="214">
        <f t="shared" si="162"/>
        <v>3986003.9559812299</v>
      </c>
      <c r="PD18" s="214">
        <f t="shared" si="162"/>
        <v>3986003.9559812299</v>
      </c>
      <c r="PE18" s="214">
        <f t="shared" si="162"/>
        <v>3986003.9559812299</v>
      </c>
      <c r="PF18" s="214">
        <f t="shared" si="162"/>
        <v>3986003.9559812299</v>
      </c>
      <c r="PG18" s="214">
        <f t="shared" si="162"/>
        <v>3986003.9559812299</v>
      </c>
      <c r="PH18" s="214">
        <f t="shared" si="162"/>
        <v>3986003.9559812299</v>
      </c>
      <c r="PI18" s="214">
        <f t="shared" si="162"/>
        <v>3986003.9559812299</v>
      </c>
      <c r="PJ18" s="214">
        <f t="shared" si="162"/>
        <v>3986003.9559812299</v>
      </c>
      <c r="PK18" s="214">
        <f t="shared" si="162"/>
        <v>3986003.9559812299</v>
      </c>
      <c r="PL18" s="214">
        <f t="shared" si="162"/>
        <v>3986003.9559812299</v>
      </c>
      <c r="PM18" s="214">
        <f t="shared" si="162"/>
        <v>3986003.9559812299</v>
      </c>
      <c r="PN18" s="214">
        <f t="shared" si="162"/>
        <v>3986003.9559812299</v>
      </c>
      <c r="PO18" s="214">
        <f t="shared" si="162"/>
        <v>3986003.9559812299</v>
      </c>
      <c r="PP18" s="214">
        <f t="shared" si="162"/>
        <v>3986003.9559812299</v>
      </c>
      <c r="PQ18" s="214">
        <f t="shared" si="162"/>
        <v>3986003.9559812299</v>
      </c>
      <c r="PR18" s="214">
        <f t="shared" si="162"/>
        <v>3986003.9559812299</v>
      </c>
      <c r="PS18" s="214">
        <f t="shared" si="162"/>
        <v>3986003.9559812299</v>
      </c>
      <c r="PT18" s="214">
        <f t="shared" si="162"/>
        <v>3986003.9559812299</v>
      </c>
      <c r="PU18" s="214">
        <f t="shared" si="162"/>
        <v>3986003.9559812299</v>
      </c>
      <c r="PV18" s="214">
        <f t="shared" si="162"/>
        <v>3986003.9559812299</v>
      </c>
      <c r="PW18" s="214">
        <f t="shared" si="162"/>
        <v>3986003.9559812299</v>
      </c>
      <c r="PX18" s="214">
        <f t="shared" si="162"/>
        <v>3986003.9559812299</v>
      </c>
      <c r="PY18" s="214">
        <f t="shared" si="162"/>
        <v>3986003.9559812299</v>
      </c>
      <c r="PZ18" s="214">
        <f t="shared" si="162"/>
        <v>3986003.9559812299</v>
      </c>
      <c r="QA18" s="214">
        <f t="shared" si="162"/>
        <v>3986003.9559812299</v>
      </c>
      <c r="QB18" s="214">
        <f t="shared" si="162"/>
        <v>3986003.9559812299</v>
      </c>
      <c r="QC18" s="214">
        <f t="shared" si="162"/>
        <v>3986003.9559812299</v>
      </c>
      <c r="QD18" s="214">
        <f t="shared" si="162"/>
        <v>3986003.9559812299</v>
      </c>
      <c r="QE18" s="214">
        <f t="shared" si="162"/>
        <v>3986003.9559812299</v>
      </c>
      <c r="QF18" s="214">
        <f t="shared" si="162"/>
        <v>3986003.9559812299</v>
      </c>
      <c r="QG18" s="214">
        <f t="shared" si="162"/>
        <v>3986003.9559812299</v>
      </c>
      <c r="QH18" s="214">
        <f t="shared" si="162"/>
        <v>3986003.9559812299</v>
      </c>
      <c r="QI18" s="214">
        <f t="shared" si="162"/>
        <v>3986003.9559812299</v>
      </c>
      <c r="QJ18" s="214">
        <f t="shared" si="162"/>
        <v>3986003.9559812299</v>
      </c>
      <c r="QK18" s="214">
        <f t="shared" si="162"/>
        <v>3986003.9559812299</v>
      </c>
      <c r="QL18" s="214">
        <f t="shared" si="162"/>
        <v>3986003.9559812299</v>
      </c>
      <c r="QM18" s="214">
        <f t="shared" si="162"/>
        <v>3986003.9559812299</v>
      </c>
      <c r="QN18" s="214">
        <f t="shared" si="162"/>
        <v>3986003.9559812299</v>
      </c>
      <c r="QO18" s="214">
        <f t="shared" ref="QO18:SZ18" si="163">QN18+QO17</f>
        <v>3986003.9559812299</v>
      </c>
      <c r="QP18" s="214">
        <f t="shared" si="163"/>
        <v>3986003.9559812299</v>
      </c>
      <c r="QQ18" s="214">
        <f t="shared" si="163"/>
        <v>3986003.9559812299</v>
      </c>
      <c r="QR18" s="214">
        <f t="shared" si="163"/>
        <v>3986003.9559812299</v>
      </c>
      <c r="QS18" s="214">
        <f t="shared" si="163"/>
        <v>3986003.9559812299</v>
      </c>
      <c r="QT18" s="214">
        <f t="shared" si="163"/>
        <v>3986003.9559812299</v>
      </c>
      <c r="QU18" s="214">
        <f t="shared" si="163"/>
        <v>3986003.9559812299</v>
      </c>
      <c r="QV18" s="214">
        <f t="shared" si="163"/>
        <v>3986003.9559812299</v>
      </c>
      <c r="QW18" s="214">
        <f t="shared" si="163"/>
        <v>3986003.9559812299</v>
      </c>
      <c r="QX18" s="214">
        <f t="shared" si="163"/>
        <v>3986003.9559812299</v>
      </c>
      <c r="QY18" s="214">
        <f t="shared" si="163"/>
        <v>3986003.9559812299</v>
      </c>
      <c r="QZ18" s="214">
        <f t="shared" si="163"/>
        <v>3986003.9559812299</v>
      </c>
      <c r="RA18" s="214">
        <f t="shared" si="163"/>
        <v>3986003.9559812299</v>
      </c>
      <c r="RB18" s="214">
        <f t="shared" si="163"/>
        <v>3986003.9559812299</v>
      </c>
      <c r="RC18" s="214">
        <f t="shared" si="163"/>
        <v>3986003.9559812299</v>
      </c>
      <c r="RD18" s="214">
        <f t="shared" si="163"/>
        <v>3986003.9559812299</v>
      </c>
      <c r="RE18" s="214">
        <f t="shared" si="163"/>
        <v>3986003.9559812299</v>
      </c>
      <c r="RF18" s="214">
        <f t="shared" si="163"/>
        <v>3986003.9559812299</v>
      </c>
      <c r="RG18" s="214">
        <f t="shared" si="163"/>
        <v>3986003.9559812299</v>
      </c>
      <c r="RH18" s="214">
        <f t="shared" si="163"/>
        <v>3986003.9559812299</v>
      </c>
      <c r="RI18" s="214">
        <f t="shared" si="163"/>
        <v>3986003.9559812299</v>
      </c>
      <c r="RJ18" s="214">
        <f t="shared" si="163"/>
        <v>3986003.9559812299</v>
      </c>
      <c r="RK18" s="214">
        <f t="shared" si="163"/>
        <v>3986003.9559812299</v>
      </c>
      <c r="RL18" s="214">
        <f t="shared" si="163"/>
        <v>3986003.9559812299</v>
      </c>
      <c r="RM18" s="214">
        <f t="shared" si="163"/>
        <v>3986003.9559812299</v>
      </c>
      <c r="RN18" s="214">
        <f t="shared" si="163"/>
        <v>3986003.9559812299</v>
      </c>
      <c r="RO18" s="214">
        <f t="shared" si="163"/>
        <v>3986003.9559812299</v>
      </c>
      <c r="RP18" s="214">
        <f t="shared" si="163"/>
        <v>3986003.9559812299</v>
      </c>
      <c r="RQ18" s="214">
        <f t="shared" si="163"/>
        <v>3986003.9559812299</v>
      </c>
      <c r="RR18" s="214">
        <f t="shared" si="163"/>
        <v>3986003.9559812299</v>
      </c>
      <c r="RS18" s="214">
        <f t="shared" si="163"/>
        <v>3986003.9559812299</v>
      </c>
      <c r="RT18" s="214">
        <f t="shared" si="163"/>
        <v>3986003.9559812299</v>
      </c>
      <c r="RU18" s="214">
        <f t="shared" si="163"/>
        <v>3986003.9559812299</v>
      </c>
      <c r="RV18" s="214">
        <f t="shared" si="163"/>
        <v>3986003.9559812299</v>
      </c>
      <c r="RW18" s="214">
        <f t="shared" si="163"/>
        <v>3986003.9559812299</v>
      </c>
      <c r="RX18" s="214">
        <f t="shared" si="163"/>
        <v>3986003.9559812299</v>
      </c>
      <c r="RY18" s="214">
        <f t="shared" si="163"/>
        <v>3986003.9559812299</v>
      </c>
      <c r="RZ18" s="214">
        <f t="shared" si="163"/>
        <v>3986003.9559812299</v>
      </c>
      <c r="SA18" s="214">
        <f t="shared" si="163"/>
        <v>3986003.9559812299</v>
      </c>
      <c r="SB18" s="214">
        <f t="shared" si="163"/>
        <v>3986003.9559812299</v>
      </c>
      <c r="SC18" s="214">
        <f t="shared" si="163"/>
        <v>3986003.9559812299</v>
      </c>
      <c r="SD18" s="214">
        <f t="shared" si="163"/>
        <v>3986003.9559812299</v>
      </c>
      <c r="SE18" s="214">
        <f t="shared" si="163"/>
        <v>3986003.9559812299</v>
      </c>
      <c r="SF18" s="214">
        <f t="shared" si="163"/>
        <v>3986003.9559812299</v>
      </c>
      <c r="SG18" s="214">
        <f t="shared" si="163"/>
        <v>3986003.9559812299</v>
      </c>
      <c r="SH18" s="214">
        <f t="shared" si="163"/>
        <v>3986003.9559812299</v>
      </c>
      <c r="SI18" s="214">
        <f t="shared" si="163"/>
        <v>3986003.9559812299</v>
      </c>
      <c r="SJ18" s="214">
        <f t="shared" si="163"/>
        <v>3986003.9559812299</v>
      </c>
      <c r="SK18" s="214">
        <f t="shared" si="163"/>
        <v>3986003.9559812299</v>
      </c>
      <c r="SL18" s="214">
        <f t="shared" si="163"/>
        <v>3986003.9559812299</v>
      </c>
      <c r="SM18" s="214">
        <f t="shared" si="163"/>
        <v>3986003.9559812299</v>
      </c>
      <c r="SN18" s="214">
        <f t="shared" si="163"/>
        <v>3986003.9559812299</v>
      </c>
      <c r="SO18" s="214">
        <f t="shared" si="163"/>
        <v>3986003.9559812299</v>
      </c>
      <c r="SP18" s="214">
        <f t="shared" si="163"/>
        <v>3986003.9559812299</v>
      </c>
      <c r="SQ18" s="214">
        <f t="shared" si="163"/>
        <v>3986003.9559812299</v>
      </c>
      <c r="SR18" s="214">
        <f t="shared" si="163"/>
        <v>3986003.9559812299</v>
      </c>
      <c r="SS18" s="214">
        <f t="shared" si="163"/>
        <v>3986003.9559812299</v>
      </c>
      <c r="ST18" s="214">
        <f t="shared" si="163"/>
        <v>3986003.9559812299</v>
      </c>
      <c r="SU18" s="214">
        <f t="shared" si="163"/>
        <v>3986003.9559812299</v>
      </c>
      <c r="SV18" s="214">
        <f t="shared" si="163"/>
        <v>3986003.9559812299</v>
      </c>
      <c r="SW18" s="214">
        <f t="shared" si="163"/>
        <v>3986003.9559812299</v>
      </c>
      <c r="SX18" s="214">
        <f t="shared" si="163"/>
        <v>3986003.9559812299</v>
      </c>
      <c r="SY18" s="214">
        <f t="shared" si="163"/>
        <v>3986003.9559812299</v>
      </c>
      <c r="SZ18" s="214">
        <f t="shared" si="163"/>
        <v>3986003.9559812299</v>
      </c>
      <c r="TA18" s="214">
        <f t="shared" ref="TA18:VL18" si="164">SZ18+TA17</f>
        <v>3986003.9559812299</v>
      </c>
      <c r="TB18" s="214">
        <f t="shared" si="164"/>
        <v>3986003.9559812299</v>
      </c>
      <c r="TC18" s="214">
        <f t="shared" si="164"/>
        <v>3986003.9559812299</v>
      </c>
      <c r="TD18" s="214">
        <f t="shared" si="164"/>
        <v>3986003.9559812299</v>
      </c>
      <c r="TE18" s="214">
        <f t="shared" si="164"/>
        <v>3986003.9559812299</v>
      </c>
      <c r="TF18" s="214">
        <f t="shared" si="164"/>
        <v>3986003.9559812299</v>
      </c>
      <c r="TG18" s="214">
        <f t="shared" si="164"/>
        <v>3986003.9559812299</v>
      </c>
      <c r="TH18" s="214">
        <f t="shared" si="164"/>
        <v>3986003.9559812299</v>
      </c>
      <c r="TI18" s="214">
        <f t="shared" si="164"/>
        <v>3986003.9559812299</v>
      </c>
      <c r="TJ18" s="214">
        <f t="shared" si="164"/>
        <v>3986003.9559812299</v>
      </c>
      <c r="TK18" s="214">
        <f t="shared" si="164"/>
        <v>3986003.9559812299</v>
      </c>
      <c r="TL18" s="214">
        <f t="shared" si="164"/>
        <v>3986003.9559812299</v>
      </c>
      <c r="TM18" s="214">
        <f t="shared" si="164"/>
        <v>3986003.9559812299</v>
      </c>
      <c r="TN18" s="214">
        <f t="shared" si="164"/>
        <v>3986003.9559812299</v>
      </c>
      <c r="TO18" s="214">
        <f t="shared" si="164"/>
        <v>3986003.9559812299</v>
      </c>
      <c r="TP18" s="214">
        <f t="shared" si="164"/>
        <v>3986003.9559812299</v>
      </c>
      <c r="TQ18" s="214">
        <f t="shared" si="164"/>
        <v>3986003.9559812299</v>
      </c>
      <c r="TR18" s="214">
        <f t="shared" si="164"/>
        <v>3986003.9559812299</v>
      </c>
      <c r="TS18" s="214">
        <f t="shared" si="164"/>
        <v>3986003.9559812299</v>
      </c>
      <c r="TT18" s="214">
        <f t="shared" si="164"/>
        <v>3986003.9559812299</v>
      </c>
      <c r="TU18" s="214">
        <f t="shared" si="164"/>
        <v>3986003.9559812299</v>
      </c>
      <c r="TV18" s="214">
        <f t="shared" si="164"/>
        <v>3986003.9559812299</v>
      </c>
      <c r="TW18" s="214">
        <f t="shared" si="164"/>
        <v>3986003.9559812299</v>
      </c>
      <c r="TX18" s="214">
        <f t="shared" si="164"/>
        <v>3986003.9559812299</v>
      </c>
      <c r="TY18" s="214">
        <f t="shared" si="164"/>
        <v>3986003.9559812299</v>
      </c>
      <c r="TZ18" s="214">
        <f t="shared" si="164"/>
        <v>3986003.9559812299</v>
      </c>
      <c r="UA18" s="214">
        <f t="shared" si="164"/>
        <v>3986003.9559812299</v>
      </c>
      <c r="UB18" s="214">
        <f t="shared" si="164"/>
        <v>3986003.9559812299</v>
      </c>
      <c r="UC18" s="214">
        <f t="shared" si="164"/>
        <v>3986003.9559812299</v>
      </c>
      <c r="UD18" s="214">
        <f t="shared" si="164"/>
        <v>3986003.9559812299</v>
      </c>
      <c r="UE18" s="214">
        <f t="shared" si="164"/>
        <v>3986003.9559812299</v>
      </c>
      <c r="UF18" s="214">
        <f t="shared" si="164"/>
        <v>3986003.9559812299</v>
      </c>
      <c r="UG18" s="214">
        <f t="shared" si="164"/>
        <v>3986003.9559812299</v>
      </c>
      <c r="UH18" s="214">
        <f t="shared" si="164"/>
        <v>3986003.9559812299</v>
      </c>
      <c r="UI18" s="214">
        <f t="shared" si="164"/>
        <v>3986003.9559812299</v>
      </c>
      <c r="UJ18" s="214">
        <f t="shared" si="164"/>
        <v>3986003.9559812299</v>
      </c>
      <c r="UK18" s="214">
        <f t="shared" si="164"/>
        <v>3986003.9559812299</v>
      </c>
      <c r="UL18" s="214">
        <f t="shared" si="164"/>
        <v>3986003.9559812299</v>
      </c>
      <c r="UM18" s="214">
        <f t="shared" si="164"/>
        <v>3986003.9559812299</v>
      </c>
      <c r="UN18" s="214">
        <f t="shared" si="164"/>
        <v>3986003.9559812299</v>
      </c>
      <c r="UO18" s="214">
        <f t="shared" si="164"/>
        <v>3986003.9559812299</v>
      </c>
      <c r="UP18" s="214">
        <f t="shared" si="164"/>
        <v>3986003.9559812299</v>
      </c>
      <c r="UQ18" s="214">
        <f t="shared" si="164"/>
        <v>3986003.9559812299</v>
      </c>
      <c r="UR18" s="214">
        <f t="shared" si="164"/>
        <v>3986003.9559812299</v>
      </c>
      <c r="US18" s="214">
        <f t="shared" si="164"/>
        <v>3986003.9559812299</v>
      </c>
      <c r="UT18" s="214">
        <f t="shared" si="164"/>
        <v>3986003.9559812299</v>
      </c>
      <c r="UU18" s="214">
        <f t="shared" si="164"/>
        <v>3986003.9559812299</v>
      </c>
      <c r="UV18" s="214">
        <f t="shared" si="164"/>
        <v>3986003.9559812299</v>
      </c>
      <c r="UW18" s="214">
        <f t="shared" si="164"/>
        <v>3986003.9559812299</v>
      </c>
      <c r="UX18" s="214">
        <f t="shared" si="164"/>
        <v>3986003.9559812299</v>
      </c>
      <c r="UY18" s="214">
        <f t="shared" si="164"/>
        <v>3986003.9559812299</v>
      </c>
      <c r="UZ18" s="214">
        <f t="shared" si="164"/>
        <v>3986003.9559812299</v>
      </c>
      <c r="VA18" s="214">
        <f t="shared" si="164"/>
        <v>3986003.9559812299</v>
      </c>
      <c r="VB18" s="214">
        <f t="shared" si="164"/>
        <v>3986003.9559812299</v>
      </c>
      <c r="VC18" s="214">
        <f t="shared" si="164"/>
        <v>3986003.9559812299</v>
      </c>
      <c r="VD18" s="214">
        <f t="shared" si="164"/>
        <v>3986003.9559812299</v>
      </c>
      <c r="VE18" s="214">
        <f t="shared" si="164"/>
        <v>3986003.9559812299</v>
      </c>
      <c r="VF18" s="214">
        <f t="shared" si="164"/>
        <v>3986003.9559812299</v>
      </c>
      <c r="VG18" s="214">
        <f t="shared" si="164"/>
        <v>3986003.9559812299</v>
      </c>
      <c r="VH18" s="214">
        <f t="shared" si="164"/>
        <v>3986003.9559812299</v>
      </c>
      <c r="VI18" s="214">
        <f t="shared" si="164"/>
        <v>3986003.9559812299</v>
      </c>
      <c r="VJ18" s="214">
        <f t="shared" si="164"/>
        <v>3986003.9559812299</v>
      </c>
      <c r="VK18" s="214">
        <f t="shared" si="164"/>
        <v>3986003.9559812299</v>
      </c>
      <c r="VL18" s="214">
        <f t="shared" si="164"/>
        <v>3986003.9559812299</v>
      </c>
      <c r="VM18" s="214">
        <f t="shared" ref="VM18:XX18" si="165">VL18+VM17</f>
        <v>3986003.9559812299</v>
      </c>
      <c r="VN18" s="214">
        <f t="shared" si="165"/>
        <v>3986003.9559812299</v>
      </c>
      <c r="VO18" s="214">
        <f t="shared" si="165"/>
        <v>3986003.9559812299</v>
      </c>
      <c r="VP18" s="214">
        <f t="shared" si="165"/>
        <v>3986003.9559812299</v>
      </c>
      <c r="VQ18" s="214">
        <f t="shared" si="165"/>
        <v>3986003.9559812299</v>
      </c>
      <c r="VR18" s="214">
        <f t="shared" si="165"/>
        <v>3986003.9559812299</v>
      </c>
      <c r="VS18" s="214">
        <f t="shared" si="165"/>
        <v>3986003.9559812299</v>
      </c>
      <c r="VT18" s="214">
        <f t="shared" si="165"/>
        <v>3986003.9559812299</v>
      </c>
      <c r="VU18" s="214">
        <f t="shared" si="165"/>
        <v>3986003.9559812299</v>
      </c>
      <c r="VV18" s="214">
        <f t="shared" si="165"/>
        <v>3986003.9559812299</v>
      </c>
      <c r="VW18" s="214">
        <f t="shared" si="165"/>
        <v>3986003.9559812299</v>
      </c>
      <c r="VX18" s="214">
        <f t="shared" si="165"/>
        <v>3986003.9559812299</v>
      </c>
      <c r="VY18" s="214">
        <f t="shared" si="165"/>
        <v>3986003.9559812299</v>
      </c>
      <c r="VZ18" s="214">
        <f t="shared" si="165"/>
        <v>3986003.9559812299</v>
      </c>
      <c r="WA18" s="214">
        <f t="shared" si="165"/>
        <v>3986003.9559812299</v>
      </c>
      <c r="WB18" s="214">
        <f t="shared" si="165"/>
        <v>3986003.9559812299</v>
      </c>
      <c r="WC18" s="214">
        <f t="shared" si="165"/>
        <v>3986003.9559812299</v>
      </c>
      <c r="WD18" s="214">
        <f t="shared" si="165"/>
        <v>3986003.9559812299</v>
      </c>
      <c r="WE18" s="214">
        <f t="shared" si="165"/>
        <v>3986003.9559812299</v>
      </c>
      <c r="WF18" s="214">
        <f t="shared" si="165"/>
        <v>3986003.9559812299</v>
      </c>
      <c r="WG18" s="214">
        <f t="shared" si="165"/>
        <v>3986003.9559812299</v>
      </c>
      <c r="WH18" s="214">
        <f t="shared" si="165"/>
        <v>3986003.9559812299</v>
      </c>
      <c r="WI18" s="214">
        <f t="shared" si="165"/>
        <v>3986003.9559812299</v>
      </c>
      <c r="WJ18" s="214">
        <f t="shared" si="165"/>
        <v>3986003.9559812299</v>
      </c>
      <c r="WK18" s="214">
        <f t="shared" si="165"/>
        <v>3986003.9559812299</v>
      </c>
      <c r="WL18" s="214">
        <f t="shared" si="165"/>
        <v>3986003.9559812299</v>
      </c>
      <c r="WM18" s="214">
        <f t="shared" si="165"/>
        <v>3986003.9559812299</v>
      </c>
      <c r="WN18" s="214">
        <f t="shared" si="165"/>
        <v>3986003.9559812299</v>
      </c>
      <c r="WO18" s="214">
        <f t="shared" si="165"/>
        <v>3986003.9559812299</v>
      </c>
      <c r="WP18" s="214">
        <f t="shared" si="165"/>
        <v>3986003.9559812299</v>
      </c>
      <c r="WQ18" s="214">
        <f t="shared" si="165"/>
        <v>3986003.9559812299</v>
      </c>
      <c r="WR18" s="214">
        <f t="shared" si="165"/>
        <v>3986003.9559812299</v>
      </c>
      <c r="WS18" s="214">
        <f t="shared" si="165"/>
        <v>3986003.9559812299</v>
      </c>
      <c r="WT18" s="214">
        <f t="shared" si="165"/>
        <v>3986003.9559812299</v>
      </c>
      <c r="WU18" s="214">
        <f t="shared" si="165"/>
        <v>3986003.9559812299</v>
      </c>
      <c r="WV18" s="214">
        <f t="shared" si="165"/>
        <v>3986003.9559812299</v>
      </c>
      <c r="WW18" s="214">
        <f t="shared" si="165"/>
        <v>3986003.9559812299</v>
      </c>
      <c r="WX18" s="214">
        <f t="shared" si="165"/>
        <v>3986003.9559812299</v>
      </c>
      <c r="WY18" s="214">
        <f t="shared" si="165"/>
        <v>3986003.9559812299</v>
      </c>
      <c r="WZ18" s="214">
        <f t="shared" si="165"/>
        <v>3986003.9559812299</v>
      </c>
      <c r="XA18" s="214">
        <f t="shared" si="165"/>
        <v>3986003.9559812299</v>
      </c>
      <c r="XB18" s="214">
        <f t="shared" si="165"/>
        <v>3986003.9559812299</v>
      </c>
      <c r="XC18" s="214">
        <f t="shared" si="165"/>
        <v>3986003.9559812299</v>
      </c>
      <c r="XD18" s="214">
        <f t="shared" si="165"/>
        <v>3986003.9559812299</v>
      </c>
      <c r="XE18" s="214">
        <f t="shared" si="165"/>
        <v>3986003.9559812299</v>
      </c>
      <c r="XF18" s="214">
        <f t="shared" si="165"/>
        <v>3986003.9559812299</v>
      </c>
      <c r="XG18" s="214">
        <f t="shared" si="165"/>
        <v>3986003.9559812299</v>
      </c>
      <c r="XH18" s="214">
        <f t="shared" si="165"/>
        <v>3986003.9559812299</v>
      </c>
      <c r="XI18" s="214">
        <f t="shared" si="165"/>
        <v>3986003.9559812299</v>
      </c>
      <c r="XJ18" s="214">
        <f t="shared" si="165"/>
        <v>3986003.9559812299</v>
      </c>
      <c r="XK18" s="214">
        <f t="shared" si="165"/>
        <v>3986003.9559812299</v>
      </c>
      <c r="XL18" s="214">
        <f t="shared" si="165"/>
        <v>3986003.9559812299</v>
      </c>
      <c r="XM18" s="214">
        <f t="shared" si="165"/>
        <v>3986003.9559812299</v>
      </c>
      <c r="XN18" s="214">
        <f t="shared" si="165"/>
        <v>3986003.9559812299</v>
      </c>
      <c r="XO18" s="214">
        <f t="shared" si="165"/>
        <v>3986003.9559812299</v>
      </c>
      <c r="XP18" s="214">
        <f t="shared" si="165"/>
        <v>3986003.9559812299</v>
      </c>
      <c r="XQ18" s="214">
        <f t="shared" si="165"/>
        <v>3986003.9559812299</v>
      </c>
      <c r="XR18" s="214">
        <f t="shared" si="165"/>
        <v>3986003.9559812299</v>
      </c>
      <c r="XS18" s="214">
        <f t="shared" si="165"/>
        <v>3986003.9559812299</v>
      </c>
      <c r="XT18" s="214">
        <f t="shared" si="165"/>
        <v>3986003.9559812299</v>
      </c>
      <c r="XU18" s="214">
        <f t="shared" si="165"/>
        <v>3986003.9559812299</v>
      </c>
      <c r="XV18" s="214">
        <f t="shared" si="165"/>
        <v>3986003.9559812299</v>
      </c>
      <c r="XW18" s="214">
        <f t="shared" si="165"/>
        <v>3986003.9559812299</v>
      </c>
      <c r="XX18" s="214">
        <f t="shared" si="165"/>
        <v>3986003.9559812299</v>
      </c>
      <c r="XY18" s="214">
        <f t="shared" ref="XY18:AAJ18" si="166">XX18+XY17</f>
        <v>3986003.9559812299</v>
      </c>
      <c r="XZ18" s="214">
        <f t="shared" si="166"/>
        <v>3986003.9559812299</v>
      </c>
      <c r="YA18" s="214">
        <f t="shared" si="166"/>
        <v>3986003.9559812299</v>
      </c>
      <c r="YB18" s="214">
        <f t="shared" si="166"/>
        <v>3986003.9559812299</v>
      </c>
      <c r="YC18" s="214">
        <f t="shared" si="166"/>
        <v>3986003.9559812299</v>
      </c>
      <c r="YD18" s="214">
        <f t="shared" si="166"/>
        <v>3986003.9559812299</v>
      </c>
      <c r="YE18" s="214">
        <f t="shared" si="166"/>
        <v>3986003.9559812299</v>
      </c>
      <c r="YF18" s="214">
        <f t="shared" si="166"/>
        <v>3986003.9559812299</v>
      </c>
      <c r="YG18" s="214">
        <f t="shared" si="166"/>
        <v>3986003.9559812299</v>
      </c>
      <c r="YH18" s="214">
        <f t="shared" si="166"/>
        <v>3986003.9559812299</v>
      </c>
      <c r="YI18" s="214">
        <f t="shared" si="166"/>
        <v>3986003.9559812299</v>
      </c>
      <c r="YJ18" s="214">
        <f t="shared" si="166"/>
        <v>3986003.9559812299</v>
      </c>
      <c r="YK18" s="214">
        <f t="shared" si="166"/>
        <v>3986003.9559812299</v>
      </c>
      <c r="YL18" s="214">
        <f t="shared" si="166"/>
        <v>3986003.9559812299</v>
      </c>
      <c r="YM18" s="214">
        <f t="shared" si="166"/>
        <v>3986003.9559812299</v>
      </c>
      <c r="YN18" s="214">
        <f t="shared" si="166"/>
        <v>3986003.9559812299</v>
      </c>
      <c r="YO18" s="214">
        <f t="shared" si="166"/>
        <v>3986003.9559812299</v>
      </c>
      <c r="YP18" s="214">
        <f t="shared" si="166"/>
        <v>3986003.9559812299</v>
      </c>
      <c r="YQ18" s="214">
        <f t="shared" si="166"/>
        <v>3986003.9559812299</v>
      </c>
      <c r="YR18" s="214">
        <f t="shared" si="166"/>
        <v>3986003.9559812299</v>
      </c>
      <c r="YS18" s="214">
        <f t="shared" si="166"/>
        <v>3986003.9559812299</v>
      </c>
      <c r="YT18" s="214">
        <f t="shared" si="166"/>
        <v>3986003.9559812299</v>
      </c>
      <c r="YU18" s="214">
        <f t="shared" si="166"/>
        <v>3986003.9559812299</v>
      </c>
      <c r="YV18" s="214">
        <f t="shared" si="166"/>
        <v>3986003.9559812299</v>
      </c>
      <c r="YW18" s="214">
        <f t="shared" si="166"/>
        <v>3986003.9559812299</v>
      </c>
      <c r="YX18" s="214">
        <f t="shared" si="166"/>
        <v>3986003.9559812299</v>
      </c>
      <c r="YY18" s="214">
        <f t="shared" si="166"/>
        <v>3986003.9559812299</v>
      </c>
      <c r="YZ18" s="214">
        <f t="shared" si="166"/>
        <v>3986003.9559812299</v>
      </c>
      <c r="ZA18" s="214">
        <f t="shared" si="166"/>
        <v>3986003.9559812299</v>
      </c>
      <c r="ZB18" s="214">
        <f t="shared" si="166"/>
        <v>3986003.9559812299</v>
      </c>
      <c r="ZC18" s="214">
        <f t="shared" si="166"/>
        <v>3986003.9559812299</v>
      </c>
      <c r="ZD18" s="214">
        <f t="shared" si="166"/>
        <v>3986003.9559812299</v>
      </c>
      <c r="ZE18" s="214">
        <f t="shared" si="166"/>
        <v>3986003.9559812299</v>
      </c>
      <c r="ZF18" s="214">
        <f t="shared" si="166"/>
        <v>3986003.9559812299</v>
      </c>
      <c r="ZG18" s="214">
        <f t="shared" si="166"/>
        <v>3986003.9559812299</v>
      </c>
      <c r="ZH18" s="214">
        <f t="shared" si="166"/>
        <v>3986003.9559812299</v>
      </c>
      <c r="ZI18" s="214">
        <f t="shared" si="166"/>
        <v>3986003.9559812299</v>
      </c>
      <c r="ZJ18" s="214">
        <f t="shared" si="166"/>
        <v>3986003.9559812299</v>
      </c>
      <c r="ZK18" s="214">
        <f t="shared" si="166"/>
        <v>3986003.9559812299</v>
      </c>
      <c r="ZL18" s="214">
        <f t="shared" si="166"/>
        <v>3986003.9559812299</v>
      </c>
      <c r="ZM18" s="214">
        <f t="shared" si="166"/>
        <v>3986003.9559812299</v>
      </c>
      <c r="ZN18" s="214">
        <f t="shared" si="166"/>
        <v>3986003.9559812299</v>
      </c>
      <c r="ZO18" s="214">
        <f t="shared" si="166"/>
        <v>3986003.9559812299</v>
      </c>
      <c r="ZP18" s="214">
        <f t="shared" si="166"/>
        <v>3986003.9559812299</v>
      </c>
      <c r="ZQ18" s="214">
        <f t="shared" si="166"/>
        <v>3986003.9559812299</v>
      </c>
      <c r="ZR18" s="214">
        <f t="shared" si="166"/>
        <v>3986003.9559812299</v>
      </c>
      <c r="ZS18" s="214">
        <f t="shared" si="166"/>
        <v>3986003.9559812299</v>
      </c>
      <c r="ZT18" s="214">
        <f t="shared" si="166"/>
        <v>3986003.9559812299</v>
      </c>
      <c r="ZU18" s="214">
        <f t="shared" si="166"/>
        <v>3986003.9559812299</v>
      </c>
      <c r="ZV18" s="214">
        <f t="shared" si="166"/>
        <v>3986003.9559812299</v>
      </c>
      <c r="ZW18" s="214">
        <f t="shared" si="166"/>
        <v>3986003.9559812299</v>
      </c>
      <c r="ZX18" s="214">
        <f t="shared" si="166"/>
        <v>3986003.9559812299</v>
      </c>
      <c r="ZY18" s="214">
        <f t="shared" si="166"/>
        <v>3986003.9559812299</v>
      </c>
      <c r="ZZ18" s="214">
        <f t="shared" si="166"/>
        <v>3986003.9559812299</v>
      </c>
      <c r="AAA18" s="214">
        <f t="shared" si="166"/>
        <v>3986003.9559812299</v>
      </c>
      <c r="AAB18" s="214">
        <f t="shared" si="166"/>
        <v>3986003.9559812299</v>
      </c>
      <c r="AAC18" s="214">
        <f t="shared" si="166"/>
        <v>3986003.9559812299</v>
      </c>
      <c r="AAD18" s="214">
        <f t="shared" si="166"/>
        <v>3986003.9559812299</v>
      </c>
      <c r="AAE18" s="214">
        <f t="shared" si="166"/>
        <v>3986003.9559812299</v>
      </c>
      <c r="AAF18" s="214">
        <f t="shared" si="166"/>
        <v>3986003.9559812299</v>
      </c>
      <c r="AAG18" s="214">
        <f t="shared" si="166"/>
        <v>3986003.9559812299</v>
      </c>
      <c r="AAH18" s="214">
        <f t="shared" si="166"/>
        <v>3986003.9559812299</v>
      </c>
      <c r="AAI18" s="214">
        <f t="shared" si="166"/>
        <v>3986003.9559812299</v>
      </c>
      <c r="AAJ18" s="214">
        <f t="shared" si="166"/>
        <v>3986003.9559812299</v>
      </c>
      <c r="AAK18" s="214">
        <f t="shared" ref="AAK18:ACV18" si="167">AAJ18+AAK17</f>
        <v>3986003.9559812299</v>
      </c>
      <c r="AAL18" s="214">
        <f t="shared" si="167"/>
        <v>3986003.9559812299</v>
      </c>
      <c r="AAM18" s="214">
        <f t="shared" si="167"/>
        <v>3986003.9559812299</v>
      </c>
      <c r="AAN18" s="214">
        <f t="shared" si="167"/>
        <v>3986003.9559812299</v>
      </c>
      <c r="AAO18" s="214">
        <f t="shared" si="167"/>
        <v>3986003.9559812299</v>
      </c>
      <c r="AAP18" s="214">
        <f t="shared" si="167"/>
        <v>3986003.9559812299</v>
      </c>
      <c r="AAQ18" s="214">
        <f t="shared" si="167"/>
        <v>3986003.9559812299</v>
      </c>
      <c r="AAR18" s="214">
        <f t="shared" si="167"/>
        <v>3986003.9559812299</v>
      </c>
      <c r="AAS18" s="214">
        <f t="shared" si="167"/>
        <v>3986003.9559812299</v>
      </c>
      <c r="AAT18" s="214">
        <f t="shared" si="167"/>
        <v>3986003.9559812299</v>
      </c>
      <c r="AAU18" s="214">
        <f t="shared" si="167"/>
        <v>3986003.9559812299</v>
      </c>
      <c r="AAV18" s="214">
        <f t="shared" si="167"/>
        <v>3986003.9559812299</v>
      </c>
      <c r="AAW18" s="214">
        <f t="shared" si="167"/>
        <v>3986003.9559812299</v>
      </c>
      <c r="AAX18" s="214">
        <f t="shared" si="167"/>
        <v>3986003.9559812299</v>
      </c>
      <c r="AAY18" s="214">
        <f t="shared" si="167"/>
        <v>3986003.9559812299</v>
      </c>
      <c r="AAZ18" s="214">
        <f t="shared" si="167"/>
        <v>3986003.9559812299</v>
      </c>
      <c r="ABA18" s="214">
        <f t="shared" si="167"/>
        <v>3986003.9559812299</v>
      </c>
      <c r="ABB18" s="214">
        <f t="shared" si="167"/>
        <v>3986003.9559812299</v>
      </c>
      <c r="ABC18" s="214">
        <f t="shared" si="167"/>
        <v>3986003.9559812299</v>
      </c>
      <c r="ABD18" s="214">
        <f t="shared" si="167"/>
        <v>3986003.9559812299</v>
      </c>
      <c r="ABE18" s="214">
        <f t="shared" si="167"/>
        <v>3986003.9559812299</v>
      </c>
      <c r="ABF18" s="214">
        <f t="shared" si="167"/>
        <v>3986003.9559812299</v>
      </c>
      <c r="ABG18" s="214">
        <f t="shared" si="167"/>
        <v>3986003.9559812299</v>
      </c>
      <c r="ABH18" s="214">
        <f t="shared" si="167"/>
        <v>3986003.9559812299</v>
      </c>
      <c r="ABI18" s="214">
        <f t="shared" si="167"/>
        <v>3986003.9559812299</v>
      </c>
      <c r="ABJ18" s="214">
        <f t="shared" si="167"/>
        <v>3986003.9559812299</v>
      </c>
      <c r="ABK18" s="214">
        <f t="shared" si="167"/>
        <v>3986003.9559812299</v>
      </c>
      <c r="ABL18" s="214">
        <f t="shared" si="167"/>
        <v>3986003.9559812299</v>
      </c>
      <c r="ABM18" s="214">
        <f t="shared" si="167"/>
        <v>3986003.9559812299</v>
      </c>
      <c r="ABN18" s="214">
        <f t="shared" si="167"/>
        <v>3986003.9559812299</v>
      </c>
      <c r="ABO18" s="214">
        <f t="shared" si="167"/>
        <v>3986003.9559812299</v>
      </c>
      <c r="ABP18" s="214">
        <f t="shared" si="167"/>
        <v>3986003.9559812299</v>
      </c>
      <c r="ABQ18" s="214">
        <f t="shared" si="167"/>
        <v>3986003.9559812299</v>
      </c>
      <c r="ABR18" s="214">
        <f t="shared" si="167"/>
        <v>3986003.9559812299</v>
      </c>
      <c r="ABS18" s="214">
        <f t="shared" si="167"/>
        <v>3986003.9559812299</v>
      </c>
      <c r="ABT18" s="214">
        <f t="shared" si="167"/>
        <v>3986003.9559812299</v>
      </c>
      <c r="ABU18" s="214">
        <f t="shared" si="167"/>
        <v>3986003.9559812299</v>
      </c>
      <c r="ABV18" s="214">
        <f t="shared" si="167"/>
        <v>3986003.9559812299</v>
      </c>
      <c r="ABW18" s="214">
        <f t="shared" si="167"/>
        <v>3986003.9559812299</v>
      </c>
      <c r="ABX18" s="214">
        <f t="shared" si="167"/>
        <v>3986003.9559812299</v>
      </c>
      <c r="ABY18" s="214">
        <f t="shared" si="167"/>
        <v>3986003.9559812299</v>
      </c>
      <c r="ABZ18" s="214">
        <f t="shared" si="167"/>
        <v>3986003.9559812299</v>
      </c>
      <c r="ACA18" s="214">
        <f t="shared" si="167"/>
        <v>3986003.9559812299</v>
      </c>
      <c r="ACB18" s="214">
        <f t="shared" si="167"/>
        <v>3986003.9559812299</v>
      </c>
      <c r="ACC18" s="214">
        <f t="shared" si="167"/>
        <v>3986003.9559812299</v>
      </c>
      <c r="ACD18" s="214">
        <f t="shared" si="167"/>
        <v>3986003.9559812299</v>
      </c>
      <c r="ACE18" s="214">
        <f t="shared" si="167"/>
        <v>3986003.9559812299</v>
      </c>
      <c r="ACF18" s="214">
        <f t="shared" si="167"/>
        <v>3986003.9559812299</v>
      </c>
      <c r="ACG18" s="214">
        <f t="shared" si="167"/>
        <v>3986003.9559812299</v>
      </c>
      <c r="ACH18" s="214">
        <f t="shared" si="167"/>
        <v>3986003.9559812299</v>
      </c>
      <c r="ACI18" s="214">
        <f t="shared" si="167"/>
        <v>3986003.9559812299</v>
      </c>
      <c r="ACJ18" s="214">
        <f t="shared" si="167"/>
        <v>3986003.9559812299</v>
      </c>
      <c r="ACK18" s="214">
        <f t="shared" si="167"/>
        <v>3986003.9559812299</v>
      </c>
      <c r="ACL18" s="214">
        <f t="shared" si="167"/>
        <v>3986003.9559812299</v>
      </c>
      <c r="ACM18" s="214">
        <f t="shared" si="167"/>
        <v>3986003.9559812299</v>
      </c>
      <c r="ACN18" s="214">
        <f t="shared" si="167"/>
        <v>3986003.9559812299</v>
      </c>
      <c r="ACO18" s="214">
        <f t="shared" si="167"/>
        <v>3986003.9559812299</v>
      </c>
      <c r="ACP18" s="214">
        <f t="shared" si="167"/>
        <v>3986003.9559812299</v>
      </c>
      <c r="ACQ18" s="214">
        <f t="shared" si="167"/>
        <v>3986003.9559812299</v>
      </c>
      <c r="ACR18" s="214">
        <f t="shared" si="167"/>
        <v>3986003.9559812299</v>
      </c>
      <c r="ACS18" s="214">
        <f t="shared" si="167"/>
        <v>3986003.9559812299</v>
      </c>
      <c r="ACT18" s="214">
        <f t="shared" si="167"/>
        <v>3986003.9559812299</v>
      </c>
      <c r="ACU18" s="214">
        <f t="shared" si="167"/>
        <v>3986003.9559812299</v>
      </c>
      <c r="ACV18" s="214">
        <f t="shared" si="167"/>
        <v>3986003.9559812299</v>
      </c>
      <c r="ACW18" s="214">
        <f t="shared" ref="ACW18:AFH18" si="168">ACV18+ACW17</f>
        <v>3986003.9559812299</v>
      </c>
      <c r="ACX18" s="214">
        <f t="shared" si="168"/>
        <v>3986003.9559812299</v>
      </c>
      <c r="ACY18" s="214">
        <f t="shared" si="168"/>
        <v>3986003.9559812299</v>
      </c>
      <c r="ACZ18" s="214">
        <f t="shared" si="168"/>
        <v>3986003.9559812299</v>
      </c>
      <c r="ADA18" s="214">
        <f t="shared" si="168"/>
        <v>3986003.9559812299</v>
      </c>
      <c r="ADB18" s="214">
        <f t="shared" si="168"/>
        <v>3986003.9559812299</v>
      </c>
      <c r="ADC18" s="214">
        <f t="shared" si="168"/>
        <v>3986003.9559812299</v>
      </c>
      <c r="ADD18" s="214">
        <f t="shared" si="168"/>
        <v>3986003.9559812299</v>
      </c>
      <c r="ADE18" s="214">
        <f t="shared" si="168"/>
        <v>3986003.9559812299</v>
      </c>
      <c r="ADF18" s="214">
        <f t="shared" si="168"/>
        <v>3986003.9559812299</v>
      </c>
      <c r="ADG18" s="214">
        <f t="shared" si="168"/>
        <v>3986003.9559812299</v>
      </c>
      <c r="ADH18" s="214">
        <f t="shared" si="168"/>
        <v>3986003.9559812299</v>
      </c>
      <c r="ADI18" s="214">
        <f t="shared" si="168"/>
        <v>3986003.9559812299</v>
      </c>
      <c r="ADJ18" s="214">
        <f t="shared" si="168"/>
        <v>3986003.9559812299</v>
      </c>
      <c r="ADK18" s="214">
        <f t="shared" si="168"/>
        <v>3986003.9559812299</v>
      </c>
      <c r="ADL18" s="214">
        <f t="shared" si="168"/>
        <v>3986003.9559812299</v>
      </c>
      <c r="ADM18" s="214">
        <f t="shared" si="168"/>
        <v>3986003.9559812299</v>
      </c>
      <c r="ADN18" s="214">
        <f t="shared" si="168"/>
        <v>3986003.9559812299</v>
      </c>
      <c r="ADO18" s="214">
        <f t="shared" si="168"/>
        <v>3986003.9559812299</v>
      </c>
      <c r="ADP18" s="214">
        <f t="shared" si="168"/>
        <v>3986003.9559812299</v>
      </c>
      <c r="ADQ18" s="214">
        <f t="shared" si="168"/>
        <v>3986003.9559812299</v>
      </c>
      <c r="ADR18" s="214">
        <f t="shared" si="168"/>
        <v>3986003.9559812299</v>
      </c>
      <c r="ADS18" s="214">
        <f t="shared" si="168"/>
        <v>3986003.9559812299</v>
      </c>
      <c r="ADT18" s="214">
        <f t="shared" si="168"/>
        <v>3986003.9559812299</v>
      </c>
      <c r="ADU18" s="214">
        <f t="shared" si="168"/>
        <v>3986003.9559812299</v>
      </c>
      <c r="ADV18" s="214">
        <f t="shared" si="168"/>
        <v>3986003.9559812299</v>
      </c>
      <c r="ADW18" s="214">
        <f t="shared" si="168"/>
        <v>3986003.9559812299</v>
      </c>
      <c r="ADX18" s="214">
        <f t="shared" si="168"/>
        <v>3986003.9559812299</v>
      </c>
      <c r="ADY18" s="214">
        <f t="shared" si="168"/>
        <v>3986003.9559812299</v>
      </c>
      <c r="ADZ18" s="214">
        <f t="shared" si="168"/>
        <v>3986003.9559812299</v>
      </c>
      <c r="AEA18" s="214">
        <f t="shared" si="168"/>
        <v>3986003.9559812299</v>
      </c>
      <c r="AEB18" s="214">
        <f t="shared" si="168"/>
        <v>3986003.9559812299</v>
      </c>
      <c r="AEC18" s="214">
        <f t="shared" si="168"/>
        <v>3986003.9559812299</v>
      </c>
      <c r="AED18" s="214">
        <f t="shared" si="168"/>
        <v>3986003.9559812299</v>
      </c>
      <c r="AEE18" s="214">
        <f t="shared" si="168"/>
        <v>3986003.9559812299</v>
      </c>
      <c r="AEF18" s="214">
        <f t="shared" si="168"/>
        <v>3986003.9559812299</v>
      </c>
      <c r="AEG18" s="214">
        <f t="shared" si="168"/>
        <v>3986003.9559812299</v>
      </c>
      <c r="AEH18" s="214">
        <f t="shared" si="168"/>
        <v>3986003.9559812299</v>
      </c>
      <c r="AEI18" s="214">
        <f t="shared" si="168"/>
        <v>3986003.9559812299</v>
      </c>
      <c r="AEJ18" s="214">
        <f t="shared" si="168"/>
        <v>3986003.9559812299</v>
      </c>
      <c r="AEK18" s="214">
        <f t="shared" si="168"/>
        <v>3986003.9559812299</v>
      </c>
      <c r="AEL18" s="214">
        <f t="shared" si="168"/>
        <v>3986003.9559812299</v>
      </c>
      <c r="AEM18" s="214">
        <f t="shared" si="168"/>
        <v>3986003.9559812299</v>
      </c>
      <c r="AEN18" s="214">
        <f t="shared" si="168"/>
        <v>3986003.9559812299</v>
      </c>
      <c r="AEO18" s="214">
        <f t="shared" si="168"/>
        <v>3986003.9559812299</v>
      </c>
      <c r="AEP18" s="214">
        <f t="shared" si="168"/>
        <v>3986003.9559812299</v>
      </c>
      <c r="AEQ18" s="214">
        <f t="shared" si="168"/>
        <v>3986003.9559812299</v>
      </c>
      <c r="AER18" s="214">
        <f t="shared" si="168"/>
        <v>3986003.9559812299</v>
      </c>
      <c r="AES18" s="214">
        <f t="shared" si="168"/>
        <v>3986003.9559812299</v>
      </c>
      <c r="AET18" s="214">
        <f t="shared" si="168"/>
        <v>3986003.9559812299</v>
      </c>
      <c r="AEU18" s="214">
        <f t="shared" si="168"/>
        <v>3986003.9559812299</v>
      </c>
      <c r="AEV18" s="214">
        <f t="shared" si="168"/>
        <v>3986003.9559812299</v>
      </c>
      <c r="AEW18" s="214">
        <f t="shared" si="168"/>
        <v>3986003.9559812299</v>
      </c>
      <c r="AEX18" s="214">
        <f t="shared" si="168"/>
        <v>3986003.9559812299</v>
      </c>
      <c r="AEY18" s="214">
        <f t="shared" si="168"/>
        <v>3986003.9559812299</v>
      </c>
      <c r="AEZ18" s="214">
        <f t="shared" si="168"/>
        <v>3986003.9559812299</v>
      </c>
      <c r="AFA18" s="214">
        <f t="shared" si="168"/>
        <v>3986003.9559812299</v>
      </c>
      <c r="AFB18" s="214">
        <f t="shared" si="168"/>
        <v>3986003.9559812299</v>
      </c>
      <c r="AFC18" s="214">
        <f t="shared" si="168"/>
        <v>3986003.9559812299</v>
      </c>
      <c r="AFD18" s="214">
        <f t="shared" si="168"/>
        <v>3986003.9559812299</v>
      </c>
      <c r="AFE18" s="214">
        <f t="shared" si="168"/>
        <v>3986003.9559812299</v>
      </c>
      <c r="AFF18" s="214">
        <f t="shared" si="168"/>
        <v>3986003.9559812299</v>
      </c>
      <c r="AFG18" s="214">
        <f t="shared" si="168"/>
        <v>3986003.9559812299</v>
      </c>
      <c r="AFH18" s="214">
        <f t="shared" si="168"/>
        <v>3986003.9559812299</v>
      </c>
      <c r="AFI18" s="214">
        <f t="shared" ref="AFI18:AHT18" si="169">AFH18+AFI17</f>
        <v>3986003.9559812299</v>
      </c>
      <c r="AFJ18" s="214">
        <f t="shared" si="169"/>
        <v>3986003.9559812299</v>
      </c>
      <c r="AFK18" s="214">
        <f t="shared" si="169"/>
        <v>3986003.9559812299</v>
      </c>
      <c r="AFL18" s="214">
        <f t="shared" si="169"/>
        <v>3986003.9559812299</v>
      </c>
      <c r="AFM18" s="214">
        <f t="shared" si="169"/>
        <v>3986003.9559812299</v>
      </c>
      <c r="AFN18" s="214">
        <f t="shared" si="169"/>
        <v>3986003.9559812299</v>
      </c>
      <c r="AFO18" s="214">
        <f t="shared" si="169"/>
        <v>3986003.9559812299</v>
      </c>
      <c r="AFP18" s="214">
        <f t="shared" si="169"/>
        <v>3986003.9559812299</v>
      </c>
      <c r="AFQ18" s="214">
        <f t="shared" si="169"/>
        <v>3986003.9559812299</v>
      </c>
      <c r="AFR18" s="214">
        <f t="shared" si="169"/>
        <v>3986003.9559812299</v>
      </c>
      <c r="AFS18" s="214">
        <f t="shared" si="169"/>
        <v>3986003.9559812299</v>
      </c>
      <c r="AFT18" s="214">
        <f t="shared" si="169"/>
        <v>3986003.9559812299</v>
      </c>
      <c r="AFU18" s="214">
        <f t="shared" si="169"/>
        <v>3986003.9559812299</v>
      </c>
      <c r="AFV18" s="214">
        <f t="shared" si="169"/>
        <v>3986003.9559812299</v>
      </c>
      <c r="AFW18" s="214">
        <f t="shared" si="169"/>
        <v>3986003.9559812299</v>
      </c>
      <c r="AFX18" s="214">
        <f t="shared" si="169"/>
        <v>3986003.9559812299</v>
      </c>
      <c r="AFY18" s="214">
        <f t="shared" si="169"/>
        <v>3986003.9559812299</v>
      </c>
      <c r="AFZ18" s="214">
        <f t="shared" si="169"/>
        <v>3986003.9559812299</v>
      </c>
      <c r="AGA18" s="214">
        <f t="shared" si="169"/>
        <v>3986003.9559812299</v>
      </c>
      <c r="AGB18" s="214">
        <f t="shared" si="169"/>
        <v>3986003.9559812299</v>
      </c>
      <c r="AGC18" s="214">
        <f t="shared" si="169"/>
        <v>3986003.9559812299</v>
      </c>
      <c r="AGD18" s="214">
        <f t="shared" si="169"/>
        <v>3986003.9559812299</v>
      </c>
      <c r="AGE18" s="214">
        <f t="shared" si="169"/>
        <v>3986003.9559812299</v>
      </c>
      <c r="AGF18" s="214">
        <f t="shared" si="169"/>
        <v>3986003.9559812299</v>
      </c>
      <c r="AGG18" s="214">
        <f t="shared" si="169"/>
        <v>3986003.9559812299</v>
      </c>
      <c r="AGH18" s="214">
        <f t="shared" si="169"/>
        <v>3986003.9559812299</v>
      </c>
      <c r="AGI18" s="214">
        <f t="shared" si="169"/>
        <v>3986003.9559812299</v>
      </c>
      <c r="AGJ18" s="214">
        <f t="shared" si="169"/>
        <v>3986003.9559812299</v>
      </c>
      <c r="AGK18" s="214">
        <f t="shared" si="169"/>
        <v>3986003.9559812299</v>
      </c>
      <c r="AGL18" s="214">
        <f t="shared" si="169"/>
        <v>3986003.9559812299</v>
      </c>
      <c r="AGM18" s="214">
        <f t="shared" si="169"/>
        <v>3986003.9559812299</v>
      </c>
      <c r="AGN18" s="214">
        <f t="shared" si="169"/>
        <v>3986003.9559812299</v>
      </c>
      <c r="AGO18" s="214">
        <f t="shared" si="169"/>
        <v>3986003.9559812299</v>
      </c>
      <c r="AGP18" s="214">
        <f t="shared" si="169"/>
        <v>3986003.9559812299</v>
      </c>
      <c r="AGQ18" s="214">
        <f t="shared" si="169"/>
        <v>3986003.9559812299</v>
      </c>
      <c r="AGR18" s="214">
        <f t="shared" si="169"/>
        <v>3986003.9559812299</v>
      </c>
      <c r="AGS18" s="214">
        <f t="shared" si="169"/>
        <v>3986003.9559812299</v>
      </c>
      <c r="AGT18" s="214">
        <f t="shared" si="169"/>
        <v>3986003.9559812299</v>
      </c>
      <c r="AGU18" s="214">
        <f t="shared" si="169"/>
        <v>3986003.9559812299</v>
      </c>
      <c r="AGV18" s="214">
        <f t="shared" si="169"/>
        <v>3986003.9559812299</v>
      </c>
      <c r="AGW18" s="214">
        <f t="shared" si="169"/>
        <v>3986003.9559812299</v>
      </c>
      <c r="AGX18" s="214">
        <f t="shared" si="169"/>
        <v>3986003.9559812299</v>
      </c>
      <c r="AGY18" s="214">
        <f t="shared" si="169"/>
        <v>3986003.9559812299</v>
      </c>
      <c r="AGZ18" s="214">
        <f t="shared" si="169"/>
        <v>3986003.9559812299</v>
      </c>
      <c r="AHA18" s="214">
        <f t="shared" si="169"/>
        <v>3986003.9559812299</v>
      </c>
      <c r="AHB18" s="214">
        <f t="shared" si="169"/>
        <v>3986003.9559812299</v>
      </c>
      <c r="AHC18" s="214">
        <f t="shared" si="169"/>
        <v>3986003.9559812299</v>
      </c>
      <c r="AHD18" s="214">
        <f t="shared" si="169"/>
        <v>3986003.9559812299</v>
      </c>
      <c r="AHE18" s="214">
        <f t="shared" si="169"/>
        <v>3986003.9559812299</v>
      </c>
      <c r="AHF18" s="214">
        <f t="shared" si="169"/>
        <v>3986003.9559812299</v>
      </c>
      <c r="AHG18" s="214">
        <f t="shared" si="169"/>
        <v>3986003.9559812299</v>
      </c>
      <c r="AHH18" s="214">
        <f t="shared" si="169"/>
        <v>3986003.9559812299</v>
      </c>
      <c r="AHI18" s="214">
        <f t="shared" si="169"/>
        <v>3986003.9559812299</v>
      </c>
      <c r="AHJ18" s="214">
        <f t="shared" si="169"/>
        <v>3986003.9559812299</v>
      </c>
      <c r="AHK18" s="214">
        <f t="shared" si="169"/>
        <v>3986003.9559812299</v>
      </c>
      <c r="AHL18" s="214">
        <f t="shared" si="169"/>
        <v>3986003.9559812299</v>
      </c>
      <c r="AHM18" s="214">
        <f t="shared" si="169"/>
        <v>3986003.9559812299</v>
      </c>
      <c r="AHN18" s="214">
        <f t="shared" si="169"/>
        <v>3986003.9559812299</v>
      </c>
      <c r="AHO18" s="214">
        <f t="shared" si="169"/>
        <v>3986003.9559812299</v>
      </c>
      <c r="AHP18" s="214">
        <f t="shared" si="169"/>
        <v>3986003.9559812299</v>
      </c>
      <c r="AHQ18" s="214">
        <f t="shared" si="169"/>
        <v>3986003.9559812299</v>
      </c>
      <c r="AHR18" s="214">
        <f t="shared" si="169"/>
        <v>3986003.9559812299</v>
      </c>
      <c r="AHS18" s="214">
        <f t="shared" si="169"/>
        <v>3986003.9559812299</v>
      </c>
      <c r="AHT18" s="214">
        <f t="shared" si="169"/>
        <v>3986003.9559812299</v>
      </c>
      <c r="AHU18" s="214">
        <f t="shared" ref="AHU18:AKF18" si="170">AHT18+AHU17</f>
        <v>3986003.9559812299</v>
      </c>
      <c r="AHV18" s="214">
        <f t="shared" si="170"/>
        <v>3986003.9559812299</v>
      </c>
      <c r="AHW18" s="214">
        <f t="shared" si="170"/>
        <v>3986003.9559812299</v>
      </c>
      <c r="AHX18" s="214">
        <f t="shared" si="170"/>
        <v>3986003.9559812299</v>
      </c>
      <c r="AHY18" s="214">
        <f t="shared" si="170"/>
        <v>3986003.9559812299</v>
      </c>
      <c r="AHZ18" s="214">
        <f t="shared" si="170"/>
        <v>3986003.9559812299</v>
      </c>
      <c r="AIA18" s="214">
        <f t="shared" si="170"/>
        <v>3986003.9559812299</v>
      </c>
      <c r="AIB18" s="214">
        <f t="shared" si="170"/>
        <v>3986003.9559812299</v>
      </c>
      <c r="AIC18" s="214">
        <f t="shared" si="170"/>
        <v>3986003.9559812299</v>
      </c>
      <c r="AID18" s="214">
        <f t="shared" si="170"/>
        <v>3986003.9559812299</v>
      </c>
      <c r="AIE18" s="214">
        <f t="shared" si="170"/>
        <v>3986003.9559812299</v>
      </c>
      <c r="AIF18" s="214">
        <f t="shared" si="170"/>
        <v>3986003.9559812299</v>
      </c>
      <c r="AIG18" s="214">
        <f t="shared" si="170"/>
        <v>3986003.9559812299</v>
      </c>
      <c r="AIH18" s="214">
        <f t="shared" si="170"/>
        <v>3986003.9559812299</v>
      </c>
      <c r="AII18" s="214">
        <f t="shared" si="170"/>
        <v>3986003.9559812299</v>
      </c>
      <c r="AIJ18" s="214">
        <f t="shared" si="170"/>
        <v>3986003.9559812299</v>
      </c>
      <c r="AIK18" s="214">
        <f t="shared" si="170"/>
        <v>3986003.9559812299</v>
      </c>
      <c r="AIL18" s="214">
        <f t="shared" si="170"/>
        <v>3986003.9559812299</v>
      </c>
      <c r="AIM18" s="214">
        <f t="shared" si="170"/>
        <v>3986003.9559812299</v>
      </c>
      <c r="AIN18" s="214">
        <f t="shared" si="170"/>
        <v>3986003.9559812299</v>
      </c>
      <c r="AIO18" s="214">
        <f t="shared" si="170"/>
        <v>3986003.9559812299</v>
      </c>
      <c r="AIP18" s="214">
        <f t="shared" si="170"/>
        <v>3986003.9559812299</v>
      </c>
      <c r="AIQ18" s="214">
        <f t="shared" si="170"/>
        <v>3986003.9559812299</v>
      </c>
      <c r="AIR18" s="214">
        <f t="shared" si="170"/>
        <v>3986003.9559812299</v>
      </c>
      <c r="AIS18" s="214">
        <f t="shared" si="170"/>
        <v>3986003.9559812299</v>
      </c>
      <c r="AIT18" s="214">
        <f t="shared" si="170"/>
        <v>3986003.9559812299</v>
      </c>
      <c r="AIU18" s="214">
        <f t="shared" si="170"/>
        <v>3986003.9559812299</v>
      </c>
      <c r="AIV18" s="214">
        <f t="shared" si="170"/>
        <v>3986003.9559812299</v>
      </c>
      <c r="AIW18" s="214">
        <f t="shared" si="170"/>
        <v>3986003.9559812299</v>
      </c>
      <c r="AIX18" s="214">
        <f t="shared" si="170"/>
        <v>3986003.9559812299</v>
      </c>
      <c r="AIY18" s="214">
        <f t="shared" si="170"/>
        <v>3986003.9559812299</v>
      </c>
      <c r="AIZ18" s="214">
        <f t="shared" si="170"/>
        <v>3986003.9559812299</v>
      </c>
      <c r="AJA18" s="214">
        <f t="shared" si="170"/>
        <v>3986003.9559812299</v>
      </c>
      <c r="AJB18" s="214">
        <f t="shared" si="170"/>
        <v>3986003.9559812299</v>
      </c>
      <c r="AJC18" s="214">
        <f t="shared" si="170"/>
        <v>3986003.9559812299</v>
      </c>
      <c r="AJD18" s="214">
        <f t="shared" si="170"/>
        <v>3986003.9559812299</v>
      </c>
      <c r="AJE18" s="214">
        <f t="shared" si="170"/>
        <v>3986003.9559812299</v>
      </c>
      <c r="AJF18" s="214">
        <f t="shared" si="170"/>
        <v>3986003.9559812299</v>
      </c>
      <c r="AJG18" s="214">
        <f t="shared" si="170"/>
        <v>3986003.9559812299</v>
      </c>
      <c r="AJH18" s="214">
        <f t="shared" si="170"/>
        <v>3986003.9559812299</v>
      </c>
      <c r="AJI18" s="214">
        <f t="shared" si="170"/>
        <v>3986003.9559812299</v>
      </c>
      <c r="AJJ18" s="214">
        <f t="shared" si="170"/>
        <v>3986003.9559812299</v>
      </c>
      <c r="AJK18" s="214">
        <f t="shared" si="170"/>
        <v>3986003.9559812299</v>
      </c>
      <c r="AJL18" s="214">
        <f t="shared" si="170"/>
        <v>3986003.9559812299</v>
      </c>
      <c r="AJM18" s="214">
        <f t="shared" si="170"/>
        <v>3986003.9559812299</v>
      </c>
      <c r="AJN18" s="214">
        <f t="shared" si="170"/>
        <v>3986003.9559812299</v>
      </c>
      <c r="AJO18" s="214">
        <f t="shared" si="170"/>
        <v>3986003.9559812299</v>
      </c>
      <c r="AJP18" s="214">
        <f t="shared" si="170"/>
        <v>3986003.9559812299</v>
      </c>
      <c r="AJQ18" s="214">
        <f t="shared" si="170"/>
        <v>3986003.9559812299</v>
      </c>
      <c r="AJR18" s="214">
        <f t="shared" si="170"/>
        <v>3986003.9559812299</v>
      </c>
      <c r="AJS18" s="214">
        <f t="shared" si="170"/>
        <v>3986003.9559812299</v>
      </c>
      <c r="AJT18" s="214">
        <f t="shared" si="170"/>
        <v>3986003.9559812299</v>
      </c>
      <c r="AJU18" s="214">
        <f t="shared" si="170"/>
        <v>3986003.9559812299</v>
      </c>
      <c r="AJV18" s="214">
        <f t="shared" si="170"/>
        <v>3986003.9559812299</v>
      </c>
      <c r="AJW18" s="214">
        <f t="shared" si="170"/>
        <v>3986003.9559812299</v>
      </c>
      <c r="AJX18" s="214">
        <f t="shared" si="170"/>
        <v>3986003.9559812299</v>
      </c>
      <c r="AJY18" s="214">
        <f t="shared" si="170"/>
        <v>3986003.9559812299</v>
      </c>
      <c r="AJZ18" s="214">
        <f t="shared" si="170"/>
        <v>3986003.9559812299</v>
      </c>
      <c r="AKA18" s="214">
        <f t="shared" si="170"/>
        <v>3986003.9559812299</v>
      </c>
      <c r="AKB18" s="214">
        <f t="shared" si="170"/>
        <v>3986003.9559812299</v>
      </c>
      <c r="AKC18" s="214">
        <f t="shared" si="170"/>
        <v>3986003.9559812299</v>
      </c>
      <c r="AKD18" s="214">
        <f t="shared" si="170"/>
        <v>3986003.9559812299</v>
      </c>
      <c r="AKE18" s="214">
        <f t="shared" si="170"/>
        <v>3986003.9559812299</v>
      </c>
      <c r="AKF18" s="214">
        <f t="shared" si="170"/>
        <v>3986003.9559812299</v>
      </c>
      <c r="AKG18" s="214">
        <f t="shared" ref="AKG18:AMR18" si="171">AKF18+AKG17</f>
        <v>3986003.9559812299</v>
      </c>
      <c r="AKH18" s="214">
        <f t="shared" si="171"/>
        <v>3986003.9559812299</v>
      </c>
      <c r="AKI18" s="214">
        <f t="shared" si="171"/>
        <v>3986003.9559812299</v>
      </c>
      <c r="AKJ18" s="214">
        <f t="shared" si="171"/>
        <v>3986003.9559812299</v>
      </c>
      <c r="AKK18" s="214">
        <f t="shared" si="171"/>
        <v>3986003.9559812299</v>
      </c>
      <c r="AKL18" s="214">
        <f t="shared" si="171"/>
        <v>3986003.9559812299</v>
      </c>
      <c r="AKM18" s="214">
        <f t="shared" si="171"/>
        <v>3986003.9559812299</v>
      </c>
      <c r="AKN18" s="214">
        <f t="shared" si="171"/>
        <v>3986003.9559812299</v>
      </c>
      <c r="AKO18" s="214">
        <f t="shared" si="171"/>
        <v>3986003.9559812299</v>
      </c>
      <c r="AKP18" s="214">
        <f t="shared" si="171"/>
        <v>3986003.9559812299</v>
      </c>
      <c r="AKQ18" s="214">
        <f t="shared" si="171"/>
        <v>3986003.9559812299</v>
      </c>
      <c r="AKR18" s="214">
        <f t="shared" si="171"/>
        <v>3986003.9559812299</v>
      </c>
      <c r="AKS18" s="214">
        <f t="shared" si="171"/>
        <v>3986003.9559812299</v>
      </c>
      <c r="AKT18" s="214">
        <f t="shared" si="171"/>
        <v>3986003.9559812299</v>
      </c>
      <c r="AKU18" s="214">
        <f t="shared" si="171"/>
        <v>3986003.9559812299</v>
      </c>
      <c r="AKV18" s="214">
        <f t="shared" si="171"/>
        <v>3986003.9559812299</v>
      </c>
      <c r="AKW18" s="214">
        <f t="shared" si="171"/>
        <v>3986003.9559812299</v>
      </c>
      <c r="AKX18" s="214">
        <f t="shared" si="171"/>
        <v>3986003.9559812299</v>
      </c>
      <c r="AKY18" s="214">
        <f t="shared" si="171"/>
        <v>3986003.9559812299</v>
      </c>
      <c r="AKZ18" s="214">
        <f t="shared" si="171"/>
        <v>3986003.9559812299</v>
      </c>
      <c r="ALA18" s="214">
        <f t="shared" si="171"/>
        <v>3986003.9559812299</v>
      </c>
      <c r="ALB18" s="214">
        <f t="shared" si="171"/>
        <v>3986003.9559812299</v>
      </c>
      <c r="ALC18" s="214">
        <f t="shared" si="171"/>
        <v>3986003.9559812299</v>
      </c>
      <c r="ALD18" s="214">
        <f t="shared" si="171"/>
        <v>3986003.9559812299</v>
      </c>
      <c r="ALE18" s="214">
        <f t="shared" si="171"/>
        <v>3986003.9559812299</v>
      </c>
      <c r="ALF18" s="214">
        <f t="shared" si="171"/>
        <v>3986003.9559812299</v>
      </c>
      <c r="ALG18" s="214">
        <f t="shared" si="171"/>
        <v>3986003.9559812299</v>
      </c>
      <c r="ALH18" s="214">
        <f t="shared" si="171"/>
        <v>3986003.9559812299</v>
      </c>
      <c r="ALI18" s="214">
        <f t="shared" si="171"/>
        <v>3986003.9559812299</v>
      </c>
      <c r="ALJ18" s="214">
        <f t="shared" si="171"/>
        <v>3986003.9559812299</v>
      </c>
      <c r="ALK18" s="214">
        <f t="shared" si="171"/>
        <v>3986003.9559812299</v>
      </c>
      <c r="ALL18" s="214">
        <f t="shared" si="171"/>
        <v>3986003.9559812299</v>
      </c>
      <c r="ALM18" s="214">
        <f t="shared" si="171"/>
        <v>3986003.9559812299</v>
      </c>
      <c r="ALN18" s="214">
        <f t="shared" si="171"/>
        <v>3986003.9559812299</v>
      </c>
      <c r="ALO18" s="214">
        <f t="shared" si="171"/>
        <v>3986003.9559812299</v>
      </c>
      <c r="ALP18" s="214">
        <f t="shared" si="171"/>
        <v>3986003.9559812299</v>
      </c>
      <c r="ALQ18" s="214">
        <f t="shared" si="171"/>
        <v>3986003.9559812299</v>
      </c>
      <c r="ALR18" s="214">
        <f t="shared" si="171"/>
        <v>3986003.9559812299</v>
      </c>
      <c r="ALS18" s="214">
        <f t="shared" si="171"/>
        <v>3986003.9559812299</v>
      </c>
      <c r="ALT18" s="214">
        <f t="shared" si="171"/>
        <v>3986003.9559812299</v>
      </c>
      <c r="ALU18" s="214">
        <f t="shared" si="171"/>
        <v>3986003.9559812299</v>
      </c>
      <c r="ALV18" s="214">
        <f t="shared" si="171"/>
        <v>3986003.9559812299</v>
      </c>
      <c r="ALW18" s="214">
        <f t="shared" si="171"/>
        <v>3986003.9559812299</v>
      </c>
      <c r="ALX18" s="214">
        <f t="shared" si="171"/>
        <v>3986003.9559812299</v>
      </c>
      <c r="ALY18" s="214">
        <f t="shared" si="171"/>
        <v>3986003.9559812299</v>
      </c>
      <c r="ALZ18" s="214">
        <f t="shared" si="171"/>
        <v>3986003.9559812299</v>
      </c>
      <c r="AMA18" s="214">
        <f t="shared" si="171"/>
        <v>3986003.9559812299</v>
      </c>
      <c r="AMB18" s="214">
        <f t="shared" si="171"/>
        <v>3986003.9559812299</v>
      </c>
      <c r="AMC18" s="214">
        <f t="shared" si="171"/>
        <v>3986003.9559812299</v>
      </c>
      <c r="AMD18" s="214">
        <f t="shared" si="171"/>
        <v>3986003.9559812299</v>
      </c>
      <c r="AME18" s="214">
        <f t="shared" si="171"/>
        <v>3986003.9559812299</v>
      </c>
      <c r="AMF18" s="214">
        <f t="shared" si="171"/>
        <v>3986003.9559812299</v>
      </c>
      <c r="AMG18" s="214">
        <f t="shared" si="171"/>
        <v>3986003.9559812299</v>
      </c>
      <c r="AMH18" s="214">
        <f t="shared" si="171"/>
        <v>3986003.9559812299</v>
      </c>
      <c r="AMI18" s="214">
        <f t="shared" si="171"/>
        <v>3986003.9559812299</v>
      </c>
      <c r="AMJ18" s="214">
        <f t="shared" si="171"/>
        <v>3986003.9559812299</v>
      </c>
      <c r="AMK18" s="214">
        <f t="shared" si="171"/>
        <v>3986003.9559812299</v>
      </c>
      <c r="AML18" s="214">
        <f t="shared" si="171"/>
        <v>3986003.9559812299</v>
      </c>
      <c r="AMM18" s="214">
        <f t="shared" si="171"/>
        <v>3986003.9559812299</v>
      </c>
      <c r="AMN18" s="214">
        <f t="shared" si="171"/>
        <v>3986003.9559812299</v>
      </c>
      <c r="AMO18" s="214">
        <f t="shared" si="171"/>
        <v>3986003.9559812299</v>
      </c>
      <c r="AMP18" s="214">
        <f t="shared" si="171"/>
        <v>3986003.9559812299</v>
      </c>
      <c r="AMQ18" s="214">
        <f t="shared" si="171"/>
        <v>3986003.9559812299</v>
      </c>
      <c r="AMR18" s="214">
        <f t="shared" si="171"/>
        <v>3986003.9559812299</v>
      </c>
      <c r="AMS18" s="214">
        <f t="shared" ref="AMS18:APD18" si="172">AMR18+AMS17</f>
        <v>3986003.9559812299</v>
      </c>
      <c r="AMT18" s="214">
        <f t="shared" si="172"/>
        <v>3986003.9559812299</v>
      </c>
      <c r="AMU18" s="214">
        <f t="shared" si="172"/>
        <v>3986003.9559812299</v>
      </c>
      <c r="AMV18" s="214">
        <f t="shared" si="172"/>
        <v>3986003.9559812299</v>
      </c>
      <c r="AMW18" s="214">
        <f t="shared" si="172"/>
        <v>3986003.9559812299</v>
      </c>
      <c r="AMX18" s="214">
        <f t="shared" si="172"/>
        <v>3986003.9559812299</v>
      </c>
      <c r="AMY18" s="214">
        <f t="shared" si="172"/>
        <v>3986003.9559812299</v>
      </c>
      <c r="AMZ18" s="214">
        <f t="shared" si="172"/>
        <v>3986003.9559812299</v>
      </c>
      <c r="ANA18" s="214">
        <f t="shared" si="172"/>
        <v>3986003.9559812299</v>
      </c>
      <c r="ANB18" s="214">
        <f t="shared" si="172"/>
        <v>3986003.9559812299</v>
      </c>
      <c r="ANC18" s="214">
        <f t="shared" si="172"/>
        <v>3986003.9559812299</v>
      </c>
      <c r="AND18" s="214">
        <f t="shared" si="172"/>
        <v>3986003.9559812299</v>
      </c>
      <c r="ANE18" s="214">
        <f t="shared" si="172"/>
        <v>3986003.9559812299</v>
      </c>
      <c r="ANF18" s="214">
        <f t="shared" si="172"/>
        <v>3986003.9559812299</v>
      </c>
      <c r="ANG18" s="214">
        <f t="shared" si="172"/>
        <v>3986003.9559812299</v>
      </c>
      <c r="ANH18" s="214">
        <f t="shared" si="172"/>
        <v>3986003.9559812299</v>
      </c>
      <c r="ANI18" s="214">
        <f t="shared" si="172"/>
        <v>3986003.9559812299</v>
      </c>
      <c r="ANJ18" s="214">
        <f t="shared" si="172"/>
        <v>3986003.9559812299</v>
      </c>
      <c r="ANK18" s="214">
        <f t="shared" si="172"/>
        <v>3986003.9559812299</v>
      </c>
      <c r="ANL18" s="214">
        <f t="shared" si="172"/>
        <v>3986003.9559812299</v>
      </c>
      <c r="ANM18" s="214">
        <f t="shared" si="172"/>
        <v>3986003.9559812299</v>
      </c>
      <c r="ANN18" s="214">
        <f t="shared" si="172"/>
        <v>3986003.9559812299</v>
      </c>
      <c r="ANO18" s="214">
        <f t="shared" si="172"/>
        <v>3986003.9559812299</v>
      </c>
      <c r="ANP18" s="214">
        <f t="shared" si="172"/>
        <v>3986003.9559812299</v>
      </c>
      <c r="ANQ18" s="214">
        <f t="shared" si="172"/>
        <v>3986003.9559812299</v>
      </c>
      <c r="ANR18" s="214">
        <f t="shared" si="172"/>
        <v>3986003.9559812299</v>
      </c>
      <c r="ANS18" s="214">
        <f t="shared" si="172"/>
        <v>3986003.9559812299</v>
      </c>
      <c r="ANT18" s="214">
        <f t="shared" si="172"/>
        <v>3986003.9559812299</v>
      </c>
      <c r="ANU18" s="214">
        <f t="shared" si="172"/>
        <v>3986003.9559812299</v>
      </c>
      <c r="ANV18" s="214">
        <f t="shared" si="172"/>
        <v>3986003.9559812299</v>
      </c>
      <c r="ANW18" s="214">
        <f t="shared" si="172"/>
        <v>3986003.9559812299</v>
      </c>
      <c r="ANX18" s="214">
        <f t="shared" si="172"/>
        <v>3986003.9559812299</v>
      </c>
      <c r="ANY18" s="214">
        <f t="shared" si="172"/>
        <v>3986003.9559812299</v>
      </c>
      <c r="ANZ18" s="214">
        <f t="shared" si="172"/>
        <v>3986003.9559812299</v>
      </c>
      <c r="AOA18" s="214">
        <f t="shared" si="172"/>
        <v>3986003.9559812299</v>
      </c>
      <c r="AOB18" s="214">
        <f t="shared" si="172"/>
        <v>3986003.9559812299</v>
      </c>
      <c r="AOC18" s="214">
        <f t="shared" si="172"/>
        <v>3986003.9559812299</v>
      </c>
      <c r="AOD18" s="214">
        <f t="shared" si="172"/>
        <v>3986003.9559812299</v>
      </c>
      <c r="AOE18" s="214">
        <f t="shared" si="172"/>
        <v>3986003.9559812299</v>
      </c>
      <c r="AOF18" s="214">
        <f t="shared" si="172"/>
        <v>3986003.9559812299</v>
      </c>
      <c r="AOG18" s="214">
        <f t="shared" si="172"/>
        <v>3986003.9559812299</v>
      </c>
      <c r="AOH18" s="214">
        <f t="shared" si="172"/>
        <v>3986003.9559812299</v>
      </c>
      <c r="AOI18" s="214">
        <f t="shared" si="172"/>
        <v>3986003.9559812299</v>
      </c>
      <c r="AOJ18" s="214">
        <f t="shared" si="172"/>
        <v>3986003.9559812299</v>
      </c>
      <c r="AOK18" s="214">
        <f t="shared" si="172"/>
        <v>3986003.9559812299</v>
      </c>
      <c r="AOL18" s="214">
        <f t="shared" si="172"/>
        <v>3986003.9559812299</v>
      </c>
      <c r="AOM18" s="214">
        <f t="shared" si="172"/>
        <v>3986003.9559812299</v>
      </c>
      <c r="AON18" s="214">
        <f t="shared" si="172"/>
        <v>3986003.9559812299</v>
      </c>
      <c r="AOO18" s="214">
        <f t="shared" si="172"/>
        <v>3986003.9559812299</v>
      </c>
      <c r="AOP18" s="214">
        <f t="shared" si="172"/>
        <v>3986003.9559812299</v>
      </c>
      <c r="AOQ18" s="214">
        <f t="shared" si="172"/>
        <v>3986003.9559812299</v>
      </c>
      <c r="AOR18" s="214">
        <f t="shared" si="172"/>
        <v>3986003.9559812299</v>
      </c>
      <c r="AOS18" s="214">
        <f t="shared" si="172"/>
        <v>3986003.9559812299</v>
      </c>
      <c r="AOT18" s="214">
        <f t="shared" si="172"/>
        <v>3986003.9559812299</v>
      </c>
      <c r="AOU18" s="214">
        <f t="shared" si="172"/>
        <v>3986003.9559812299</v>
      </c>
      <c r="AOV18" s="214">
        <f t="shared" si="172"/>
        <v>3986003.9559812299</v>
      </c>
      <c r="AOW18" s="214">
        <f t="shared" si="172"/>
        <v>3986003.9559812299</v>
      </c>
      <c r="AOX18" s="214">
        <f t="shared" si="172"/>
        <v>3986003.9559812299</v>
      </c>
      <c r="AOY18" s="214">
        <f t="shared" si="172"/>
        <v>3986003.9559812299</v>
      </c>
      <c r="AOZ18" s="214">
        <f t="shared" si="172"/>
        <v>3986003.9559812299</v>
      </c>
      <c r="APA18" s="214">
        <f t="shared" si="172"/>
        <v>3986003.9559812299</v>
      </c>
      <c r="APB18" s="214">
        <f t="shared" si="172"/>
        <v>3986003.9559812299</v>
      </c>
      <c r="APC18" s="214">
        <f t="shared" si="172"/>
        <v>3986003.9559812299</v>
      </c>
      <c r="APD18" s="214">
        <f t="shared" si="172"/>
        <v>3986003.9559812299</v>
      </c>
      <c r="APE18" s="214">
        <f t="shared" ref="APE18:ARP18" si="173">APD18+APE17</f>
        <v>3986003.9559812299</v>
      </c>
      <c r="APF18" s="214">
        <f t="shared" si="173"/>
        <v>3986003.9559812299</v>
      </c>
      <c r="APG18" s="214">
        <f t="shared" si="173"/>
        <v>3986003.9559812299</v>
      </c>
      <c r="APH18" s="214">
        <f t="shared" si="173"/>
        <v>3986003.9559812299</v>
      </c>
      <c r="API18" s="214">
        <f t="shared" si="173"/>
        <v>3986003.9559812299</v>
      </c>
      <c r="APJ18" s="214">
        <f t="shared" si="173"/>
        <v>3986003.9559812299</v>
      </c>
      <c r="APK18" s="214">
        <f t="shared" si="173"/>
        <v>3986003.9559812299</v>
      </c>
      <c r="APL18" s="214">
        <f t="shared" si="173"/>
        <v>3986003.9559812299</v>
      </c>
      <c r="APM18" s="214">
        <f t="shared" si="173"/>
        <v>3986003.9559812299</v>
      </c>
      <c r="APN18" s="214">
        <f t="shared" si="173"/>
        <v>3986003.9559812299</v>
      </c>
      <c r="APO18" s="214">
        <f t="shared" si="173"/>
        <v>3986003.9559812299</v>
      </c>
      <c r="APP18" s="214">
        <f t="shared" si="173"/>
        <v>3986003.9559812299</v>
      </c>
      <c r="APQ18" s="214">
        <f t="shared" si="173"/>
        <v>3986003.9559812299</v>
      </c>
      <c r="APR18" s="214">
        <f t="shared" si="173"/>
        <v>3986003.9559812299</v>
      </c>
      <c r="APS18" s="214">
        <f t="shared" si="173"/>
        <v>3986003.9559812299</v>
      </c>
      <c r="APT18" s="214">
        <f t="shared" si="173"/>
        <v>3986003.9559812299</v>
      </c>
      <c r="APU18" s="214">
        <f t="shared" si="173"/>
        <v>3986003.9559812299</v>
      </c>
      <c r="APV18" s="214">
        <f t="shared" si="173"/>
        <v>3986003.9559812299</v>
      </c>
      <c r="APW18" s="214">
        <f t="shared" si="173"/>
        <v>3986003.9559812299</v>
      </c>
      <c r="APX18" s="214">
        <f t="shared" si="173"/>
        <v>3986003.9559812299</v>
      </c>
      <c r="APY18" s="214">
        <f t="shared" si="173"/>
        <v>3986003.9559812299</v>
      </c>
      <c r="APZ18" s="214">
        <f t="shared" si="173"/>
        <v>3986003.9559812299</v>
      </c>
      <c r="AQA18" s="214">
        <f t="shared" si="173"/>
        <v>3986003.9559812299</v>
      </c>
      <c r="AQB18" s="214">
        <f t="shared" si="173"/>
        <v>3986003.9559812299</v>
      </c>
      <c r="AQC18" s="214">
        <f t="shared" si="173"/>
        <v>3986003.9559812299</v>
      </c>
      <c r="AQD18" s="214">
        <f t="shared" si="173"/>
        <v>3986003.9559812299</v>
      </c>
      <c r="AQE18" s="214">
        <f t="shared" si="173"/>
        <v>3986003.9559812299</v>
      </c>
      <c r="AQF18" s="214">
        <f t="shared" si="173"/>
        <v>3986003.9559812299</v>
      </c>
      <c r="AQG18" s="214">
        <f t="shared" si="173"/>
        <v>3986003.9559812299</v>
      </c>
      <c r="AQH18" s="214">
        <f t="shared" si="173"/>
        <v>3986003.9559812299</v>
      </c>
      <c r="AQI18" s="214">
        <f t="shared" si="173"/>
        <v>3986003.9559812299</v>
      </c>
      <c r="AQJ18" s="214">
        <f t="shared" si="173"/>
        <v>3986003.9559812299</v>
      </c>
      <c r="AQK18" s="214">
        <f t="shared" si="173"/>
        <v>3986003.9559812299</v>
      </c>
      <c r="AQL18" s="214">
        <f t="shared" si="173"/>
        <v>3986003.9559812299</v>
      </c>
      <c r="AQM18" s="214">
        <f t="shared" si="173"/>
        <v>3986003.9559812299</v>
      </c>
      <c r="AQN18" s="214">
        <f t="shared" si="173"/>
        <v>3986003.9559812299</v>
      </c>
      <c r="AQO18" s="214">
        <f t="shared" si="173"/>
        <v>3986003.9559812299</v>
      </c>
      <c r="AQP18" s="214">
        <f t="shared" si="173"/>
        <v>3986003.9559812299</v>
      </c>
      <c r="AQQ18" s="214">
        <f t="shared" si="173"/>
        <v>3986003.9559812299</v>
      </c>
      <c r="AQR18" s="214">
        <f t="shared" si="173"/>
        <v>3986003.9559812299</v>
      </c>
      <c r="AQS18" s="214">
        <f t="shared" si="173"/>
        <v>3986003.9559812299</v>
      </c>
      <c r="AQT18" s="214">
        <f t="shared" si="173"/>
        <v>3986003.9559812299</v>
      </c>
      <c r="AQU18" s="214">
        <f t="shared" si="173"/>
        <v>3986003.9559812299</v>
      </c>
      <c r="AQV18" s="214">
        <f t="shared" si="173"/>
        <v>3986003.9559812299</v>
      </c>
      <c r="AQW18" s="214">
        <f t="shared" si="173"/>
        <v>3986003.9559812299</v>
      </c>
      <c r="AQX18" s="214">
        <f t="shared" si="173"/>
        <v>3986003.9559812299</v>
      </c>
      <c r="AQY18" s="214">
        <f t="shared" si="173"/>
        <v>3986003.9559812299</v>
      </c>
      <c r="AQZ18" s="214">
        <f t="shared" si="173"/>
        <v>3986003.9559812299</v>
      </c>
      <c r="ARA18" s="214">
        <f t="shared" si="173"/>
        <v>3986003.9559812299</v>
      </c>
      <c r="ARB18" s="214">
        <f t="shared" si="173"/>
        <v>3986003.9559812299</v>
      </c>
      <c r="ARC18" s="214">
        <f t="shared" si="173"/>
        <v>3986003.9559812299</v>
      </c>
      <c r="ARD18" s="214">
        <f t="shared" si="173"/>
        <v>3986003.9559812299</v>
      </c>
      <c r="ARE18" s="214">
        <f t="shared" si="173"/>
        <v>3986003.9559812299</v>
      </c>
      <c r="ARF18" s="214">
        <f t="shared" si="173"/>
        <v>3986003.9559812299</v>
      </c>
      <c r="ARG18" s="214">
        <f t="shared" si="173"/>
        <v>3986003.9559812299</v>
      </c>
      <c r="ARH18" s="214">
        <f t="shared" si="173"/>
        <v>3986003.9559812299</v>
      </c>
      <c r="ARI18" s="214">
        <f t="shared" si="173"/>
        <v>3986003.9559812299</v>
      </c>
      <c r="ARJ18" s="214">
        <f t="shared" si="173"/>
        <v>3986003.9559812299</v>
      </c>
      <c r="ARK18" s="214">
        <f t="shared" si="173"/>
        <v>3986003.9559812299</v>
      </c>
      <c r="ARL18" s="214">
        <f t="shared" si="173"/>
        <v>3986003.9559812299</v>
      </c>
      <c r="ARM18" s="214">
        <f t="shared" si="173"/>
        <v>3986003.9559812299</v>
      </c>
      <c r="ARN18" s="214">
        <f t="shared" si="173"/>
        <v>3986003.9559812299</v>
      </c>
      <c r="ARO18" s="214">
        <f t="shared" si="173"/>
        <v>3986003.9559812299</v>
      </c>
      <c r="ARP18" s="214">
        <f t="shared" si="173"/>
        <v>3986003.9559812299</v>
      </c>
      <c r="ARQ18" s="214">
        <f t="shared" ref="ARQ18:AUB18" si="174">ARP18+ARQ17</f>
        <v>3986003.9559812299</v>
      </c>
      <c r="ARR18" s="214">
        <f t="shared" si="174"/>
        <v>3986003.9559812299</v>
      </c>
      <c r="ARS18" s="214">
        <f t="shared" si="174"/>
        <v>3986003.9559812299</v>
      </c>
      <c r="ART18" s="214">
        <f t="shared" si="174"/>
        <v>3986003.9559812299</v>
      </c>
      <c r="ARU18" s="214">
        <f t="shared" si="174"/>
        <v>3986003.9559812299</v>
      </c>
      <c r="ARV18" s="214">
        <f t="shared" si="174"/>
        <v>3986003.9559812299</v>
      </c>
      <c r="ARW18" s="214">
        <f t="shared" si="174"/>
        <v>3986003.9559812299</v>
      </c>
      <c r="ARX18" s="214">
        <f t="shared" si="174"/>
        <v>3986003.9559812299</v>
      </c>
      <c r="ARY18" s="214">
        <f t="shared" si="174"/>
        <v>3986003.9559812299</v>
      </c>
      <c r="ARZ18" s="214">
        <f t="shared" si="174"/>
        <v>3986003.9559812299</v>
      </c>
      <c r="ASA18" s="214">
        <f t="shared" si="174"/>
        <v>3986003.9559812299</v>
      </c>
      <c r="ASB18" s="214">
        <f t="shared" si="174"/>
        <v>3986003.9559812299</v>
      </c>
      <c r="ASC18" s="214">
        <f t="shared" si="174"/>
        <v>3986003.9559812299</v>
      </c>
      <c r="ASD18" s="214">
        <f t="shared" si="174"/>
        <v>3986003.9559812299</v>
      </c>
      <c r="ASE18" s="214">
        <f t="shared" si="174"/>
        <v>3986003.9559812299</v>
      </c>
      <c r="ASF18" s="214">
        <f t="shared" si="174"/>
        <v>3986003.9559812299</v>
      </c>
      <c r="ASG18" s="214">
        <f t="shared" si="174"/>
        <v>3986003.9559812299</v>
      </c>
      <c r="ASH18" s="214">
        <f t="shared" si="174"/>
        <v>3986003.9559812299</v>
      </c>
      <c r="ASI18" s="214">
        <f t="shared" si="174"/>
        <v>3986003.9559812299</v>
      </c>
      <c r="ASJ18" s="214">
        <f t="shared" si="174"/>
        <v>3986003.9559812299</v>
      </c>
      <c r="ASK18" s="214">
        <f t="shared" si="174"/>
        <v>3986003.9559812299</v>
      </c>
      <c r="ASL18" s="214">
        <f t="shared" si="174"/>
        <v>3986003.9559812299</v>
      </c>
      <c r="ASM18" s="214">
        <f t="shared" si="174"/>
        <v>3986003.9559812299</v>
      </c>
      <c r="ASN18" s="214">
        <f t="shared" si="174"/>
        <v>3986003.9559812299</v>
      </c>
      <c r="ASO18" s="214">
        <f t="shared" si="174"/>
        <v>3986003.9559812299</v>
      </c>
      <c r="ASP18" s="214">
        <f t="shared" si="174"/>
        <v>3986003.9559812299</v>
      </c>
      <c r="ASQ18" s="214">
        <f t="shared" si="174"/>
        <v>3986003.9559812299</v>
      </c>
      <c r="ASR18" s="214">
        <f t="shared" si="174"/>
        <v>3986003.9559812299</v>
      </c>
      <c r="ASS18" s="214">
        <f t="shared" si="174"/>
        <v>3986003.9559812299</v>
      </c>
      <c r="AST18" s="214">
        <f t="shared" si="174"/>
        <v>3986003.9559812299</v>
      </c>
      <c r="ASU18" s="214">
        <f t="shared" si="174"/>
        <v>3986003.9559812299</v>
      </c>
      <c r="ASV18" s="214">
        <f t="shared" si="174"/>
        <v>3986003.9559812299</v>
      </c>
      <c r="ASW18" s="214">
        <f t="shared" si="174"/>
        <v>3986003.9559812299</v>
      </c>
      <c r="ASX18" s="214">
        <f t="shared" si="174"/>
        <v>3986003.9559812299</v>
      </c>
      <c r="ASY18" s="214">
        <f t="shared" si="174"/>
        <v>3986003.9559812299</v>
      </c>
      <c r="ASZ18" s="214">
        <f t="shared" si="174"/>
        <v>3986003.9559812299</v>
      </c>
      <c r="ATA18" s="214">
        <f t="shared" si="174"/>
        <v>3986003.9559812299</v>
      </c>
      <c r="ATB18" s="214">
        <f t="shared" si="174"/>
        <v>3986003.9559812299</v>
      </c>
      <c r="ATC18" s="214">
        <f t="shared" si="174"/>
        <v>3986003.9559812299</v>
      </c>
      <c r="ATD18" s="214">
        <f t="shared" si="174"/>
        <v>3986003.9559812299</v>
      </c>
      <c r="ATE18" s="214">
        <f t="shared" si="174"/>
        <v>3986003.9559812299</v>
      </c>
      <c r="ATF18" s="214">
        <f t="shared" si="174"/>
        <v>3986003.9559812299</v>
      </c>
      <c r="ATG18" s="214">
        <f t="shared" si="174"/>
        <v>3986003.9559812299</v>
      </c>
      <c r="ATH18" s="214">
        <f t="shared" si="174"/>
        <v>3986003.9559812299</v>
      </c>
      <c r="ATI18" s="214">
        <f t="shared" si="174"/>
        <v>3986003.9559812299</v>
      </c>
      <c r="ATJ18" s="214">
        <f t="shared" si="174"/>
        <v>3986003.9559812299</v>
      </c>
      <c r="ATK18" s="214">
        <f t="shared" si="174"/>
        <v>3986003.9559812299</v>
      </c>
      <c r="ATL18" s="214">
        <f t="shared" si="174"/>
        <v>3986003.9559812299</v>
      </c>
      <c r="ATM18" s="214">
        <f t="shared" si="174"/>
        <v>3986003.9559812299</v>
      </c>
      <c r="ATN18" s="214">
        <f t="shared" si="174"/>
        <v>3986003.9559812299</v>
      </c>
      <c r="ATO18" s="214">
        <f t="shared" si="174"/>
        <v>3986003.9559812299</v>
      </c>
      <c r="ATP18" s="214">
        <f t="shared" si="174"/>
        <v>3986003.9559812299</v>
      </c>
      <c r="ATQ18" s="214">
        <f t="shared" si="174"/>
        <v>3986003.9559812299</v>
      </c>
      <c r="ATR18" s="214">
        <f t="shared" si="174"/>
        <v>3986003.9559812299</v>
      </c>
      <c r="ATS18" s="214">
        <f t="shared" si="174"/>
        <v>3986003.9559812299</v>
      </c>
      <c r="ATT18" s="214">
        <f t="shared" si="174"/>
        <v>3986003.9559812299</v>
      </c>
      <c r="ATU18" s="214">
        <f t="shared" si="174"/>
        <v>3986003.9559812299</v>
      </c>
      <c r="ATV18" s="214">
        <f t="shared" si="174"/>
        <v>3986003.9559812299</v>
      </c>
      <c r="ATW18" s="214">
        <f t="shared" si="174"/>
        <v>3986003.9559812299</v>
      </c>
      <c r="ATX18" s="214">
        <f t="shared" si="174"/>
        <v>3986003.9559812299</v>
      </c>
      <c r="ATY18" s="214">
        <f t="shared" si="174"/>
        <v>3986003.9559812299</v>
      </c>
      <c r="ATZ18" s="214">
        <f t="shared" si="174"/>
        <v>3986003.9559812299</v>
      </c>
      <c r="AUA18" s="214">
        <f t="shared" si="174"/>
        <v>3986003.9559812299</v>
      </c>
      <c r="AUB18" s="214">
        <f t="shared" si="174"/>
        <v>3986003.9559812299</v>
      </c>
      <c r="AUC18" s="214">
        <f t="shared" ref="AUC18:AWN18" si="175">AUB18+AUC17</f>
        <v>3986003.9559812299</v>
      </c>
      <c r="AUD18" s="214">
        <f t="shared" si="175"/>
        <v>3986003.9559812299</v>
      </c>
      <c r="AUE18" s="214">
        <f t="shared" si="175"/>
        <v>3986003.9559812299</v>
      </c>
      <c r="AUF18" s="214">
        <f t="shared" si="175"/>
        <v>3986003.9559812299</v>
      </c>
      <c r="AUG18" s="214">
        <f t="shared" si="175"/>
        <v>3986003.9559812299</v>
      </c>
      <c r="AUH18" s="214">
        <f t="shared" si="175"/>
        <v>3986003.9559812299</v>
      </c>
      <c r="AUI18" s="214">
        <f t="shared" si="175"/>
        <v>3986003.9559812299</v>
      </c>
      <c r="AUJ18" s="214">
        <f t="shared" si="175"/>
        <v>3986003.9559812299</v>
      </c>
      <c r="AUK18" s="214">
        <f t="shared" si="175"/>
        <v>3986003.9559812299</v>
      </c>
      <c r="AUL18" s="214">
        <f t="shared" si="175"/>
        <v>3986003.9559812299</v>
      </c>
      <c r="AUM18" s="214">
        <f t="shared" si="175"/>
        <v>3986003.9559812299</v>
      </c>
      <c r="AUN18" s="214">
        <f t="shared" si="175"/>
        <v>3986003.9559812299</v>
      </c>
      <c r="AUO18" s="214">
        <f t="shared" si="175"/>
        <v>3986003.9559812299</v>
      </c>
      <c r="AUP18" s="214">
        <f t="shared" si="175"/>
        <v>3986003.9559812299</v>
      </c>
      <c r="AUQ18" s="214">
        <f t="shared" si="175"/>
        <v>3986003.9559812299</v>
      </c>
      <c r="AUR18" s="214">
        <f t="shared" si="175"/>
        <v>3986003.9559812299</v>
      </c>
      <c r="AUS18" s="214">
        <f t="shared" si="175"/>
        <v>3986003.9559812299</v>
      </c>
      <c r="AUT18" s="214">
        <f t="shared" si="175"/>
        <v>3986003.9559812299</v>
      </c>
      <c r="AUU18" s="214">
        <f t="shared" si="175"/>
        <v>3986003.9559812299</v>
      </c>
      <c r="AUV18" s="214">
        <f t="shared" si="175"/>
        <v>3986003.9559812299</v>
      </c>
      <c r="AUW18" s="214">
        <f t="shared" si="175"/>
        <v>3986003.9559812299</v>
      </c>
      <c r="AUX18" s="214">
        <f t="shared" si="175"/>
        <v>3986003.9559812299</v>
      </c>
      <c r="AUY18" s="214">
        <f t="shared" si="175"/>
        <v>3986003.9559812299</v>
      </c>
      <c r="AUZ18" s="214">
        <f t="shared" si="175"/>
        <v>3986003.9559812299</v>
      </c>
      <c r="AVA18" s="214">
        <f t="shared" si="175"/>
        <v>3986003.9559812299</v>
      </c>
      <c r="AVB18" s="214">
        <f t="shared" si="175"/>
        <v>3986003.9559812299</v>
      </c>
      <c r="AVC18" s="214">
        <f t="shared" si="175"/>
        <v>3986003.9559812299</v>
      </c>
      <c r="AVD18" s="214">
        <f t="shared" si="175"/>
        <v>3986003.9559812299</v>
      </c>
      <c r="AVE18" s="214">
        <f t="shared" si="175"/>
        <v>3986003.9559812299</v>
      </c>
      <c r="AVF18" s="214">
        <f t="shared" si="175"/>
        <v>3986003.9559812299</v>
      </c>
      <c r="AVG18" s="214">
        <f t="shared" si="175"/>
        <v>3986003.9559812299</v>
      </c>
      <c r="AVH18" s="214">
        <f t="shared" si="175"/>
        <v>3986003.9559812299</v>
      </c>
      <c r="AVI18" s="214">
        <f t="shared" si="175"/>
        <v>3986003.9559812299</v>
      </c>
      <c r="AVJ18" s="214">
        <f t="shared" si="175"/>
        <v>3986003.9559812299</v>
      </c>
      <c r="AVK18" s="214">
        <f t="shared" si="175"/>
        <v>3986003.9559812299</v>
      </c>
      <c r="AVL18" s="214">
        <f t="shared" si="175"/>
        <v>3986003.9559812299</v>
      </c>
      <c r="AVM18" s="214">
        <f t="shared" si="175"/>
        <v>3986003.9559812299</v>
      </c>
      <c r="AVN18" s="214">
        <f t="shared" si="175"/>
        <v>3986003.9559812299</v>
      </c>
      <c r="AVO18" s="214">
        <f t="shared" si="175"/>
        <v>3986003.9559812299</v>
      </c>
      <c r="AVP18" s="214">
        <f t="shared" si="175"/>
        <v>3986003.9559812299</v>
      </c>
      <c r="AVQ18" s="214">
        <f t="shared" si="175"/>
        <v>3986003.9559812299</v>
      </c>
      <c r="AVR18" s="214">
        <f t="shared" si="175"/>
        <v>3986003.9559812299</v>
      </c>
      <c r="AVS18" s="214">
        <f t="shared" si="175"/>
        <v>3986003.9559812299</v>
      </c>
      <c r="AVT18" s="214">
        <f t="shared" si="175"/>
        <v>3986003.9559812299</v>
      </c>
      <c r="AVU18" s="214">
        <f t="shared" si="175"/>
        <v>3986003.9559812299</v>
      </c>
      <c r="AVV18" s="214">
        <f t="shared" si="175"/>
        <v>3986003.9559812299</v>
      </c>
      <c r="AVW18" s="214">
        <f t="shared" si="175"/>
        <v>3986003.9559812299</v>
      </c>
      <c r="AVX18" s="214">
        <f t="shared" si="175"/>
        <v>3986003.9559812299</v>
      </c>
      <c r="AVY18" s="214">
        <f t="shared" si="175"/>
        <v>3986003.9559812299</v>
      </c>
      <c r="AVZ18" s="214">
        <f t="shared" si="175"/>
        <v>3986003.9559812299</v>
      </c>
      <c r="AWA18" s="214">
        <f t="shared" si="175"/>
        <v>3986003.9559812299</v>
      </c>
      <c r="AWB18" s="214">
        <f t="shared" si="175"/>
        <v>3986003.9559812299</v>
      </c>
      <c r="AWC18" s="214">
        <f t="shared" si="175"/>
        <v>3986003.9559812299</v>
      </c>
      <c r="AWD18" s="214">
        <f t="shared" si="175"/>
        <v>3986003.9559812299</v>
      </c>
      <c r="AWE18" s="214">
        <f t="shared" si="175"/>
        <v>3986003.9559812299</v>
      </c>
      <c r="AWF18" s="214">
        <f t="shared" si="175"/>
        <v>3986003.9559812299</v>
      </c>
      <c r="AWG18" s="214">
        <f t="shared" si="175"/>
        <v>3986003.9559812299</v>
      </c>
      <c r="AWH18" s="214">
        <f t="shared" si="175"/>
        <v>3986003.9559812299</v>
      </c>
      <c r="AWI18" s="214">
        <f t="shared" si="175"/>
        <v>3986003.9559812299</v>
      </c>
      <c r="AWJ18" s="214">
        <f t="shared" si="175"/>
        <v>3986003.9559812299</v>
      </c>
      <c r="AWK18" s="214">
        <f t="shared" si="175"/>
        <v>3986003.9559812299</v>
      </c>
      <c r="AWL18" s="214">
        <f t="shared" si="175"/>
        <v>3986003.9559812299</v>
      </c>
      <c r="AWM18" s="214">
        <f t="shared" si="175"/>
        <v>3986003.9559812299</v>
      </c>
      <c r="AWN18" s="214">
        <f t="shared" si="175"/>
        <v>3986003.9559812299</v>
      </c>
      <c r="AWO18" s="214">
        <f t="shared" ref="AWO18:AYZ18" si="176">AWN18+AWO17</f>
        <v>3986003.9559812299</v>
      </c>
      <c r="AWP18" s="214">
        <f t="shared" si="176"/>
        <v>3986003.9559812299</v>
      </c>
      <c r="AWQ18" s="214">
        <f t="shared" si="176"/>
        <v>3986003.9559812299</v>
      </c>
      <c r="AWR18" s="214">
        <f t="shared" si="176"/>
        <v>3986003.9559812299</v>
      </c>
      <c r="AWS18" s="214">
        <f t="shared" si="176"/>
        <v>3986003.9559812299</v>
      </c>
      <c r="AWT18" s="214">
        <f t="shared" si="176"/>
        <v>3986003.9559812299</v>
      </c>
      <c r="AWU18" s="214">
        <f t="shared" si="176"/>
        <v>3986003.9559812299</v>
      </c>
      <c r="AWV18" s="214">
        <f t="shared" si="176"/>
        <v>3986003.9559812299</v>
      </c>
      <c r="AWW18" s="214">
        <f t="shared" si="176"/>
        <v>3986003.9559812299</v>
      </c>
      <c r="AWX18" s="214">
        <f t="shared" si="176"/>
        <v>3986003.9559812299</v>
      </c>
      <c r="AWY18" s="214">
        <f t="shared" si="176"/>
        <v>3986003.9559812299</v>
      </c>
      <c r="AWZ18" s="214">
        <f t="shared" si="176"/>
        <v>3986003.9559812299</v>
      </c>
      <c r="AXA18" s="214">
        <f t="shared" si="176"/>
        <v>3986003.9559812299</v>
      </c>
      <c r="AXB18" s="214">
        <f t="shared" si="176"/>
        <v>3986003.9559812299</v>
      </c>
      <c r="AXC18" s="214">
        <f t="shared" si="176"/>
        <v>3986003.9559812299</v>
      </c>
      <c r="AXD18" s="214">
        <f t="shared" si="176"/>
        <v>3986003.9559812299</v>
      </c>
      <c r="AXE18" s="214">
        <f t="shared" si="176"/>
        <v>3986003.9559812299</v>
      </c>
      <c r="AXF18" s="214">
        <f t="shared" si="176"/>
        <v>3986003.9559812299</v>
      </c>
      <c r="AXG18" s="214">
        <f t="shared" si="176"/>
        <v>3986003.9559812299</v>
      </c>
      <c r="AXH18" s="214">
        <f t="shared" si="176"/>
        <v>3986003.9559812299</v>
      </c>
      <c r="AXI18" s="214">
        <f t="shared" si="176"/>
        <v>3986003.9559812299</v>
      </c>
      <c r="AXJ18" s="214">
        <f t="shared" si="176"/>
        <v>3986003.9559812299</v>
      </c>
      <c r="AXK18" s="214">
        <f t="shared" si="176"/>
        <v>3986003.9559812299</v>
      </c>
      <c r="AXL18" s="214">
        <f t="shared" si="176"/>
        <v>3986003.9559812299</v>
      </c>
      <c r="AXM18" s="214">
        <f t="shared" si="176"/>
        <v>3986003.9559812299</v>
      </c>
      <c r="AXN18" s="214">
        <f t="shared" si="176"/>
        <v>3986003.9559812299</v>
      </c>
      <c r="AXO18" s="214">
        <f t="shared" si="176"/>
        <v>3986003.9559812299</v>
      </c>
      <c r="AXP18" s="214">
        <f t="shared" si="176"/>
        <v>3986003.9559812299</v>
      </c>
      <c r="AXQ18" s="214">
        <f t="shared" si="176"/>
        <v>3986003.9559812299</v>
      </c>
      <c r="AXR18" s="214">
        <f t="shared" si="176"/>
        <v>3986003.9559812299</v>
      </c>
      <c r="AXS18" s="214">
        <f t="shared" si="176"/>
        <v>3986003.9559812299</v>
      </c>
      <c r="AXT18" s="214">
        <f t="shared" si="176"/>
        <v>3986003.9559812299</v>
      </c>
      <c r="AXU18" s="214">
        <f t="shared" si="176"/>
        <v>3986003.9559812299</v>
      </c>
      <c r="AXV18" s="214">
        <f t="shared" si="176"/>
        <v>3986003.9559812299</v>
      </c>
      <c r="AXW18" s="214">
        <f t="shared" si="176"/>
        <v>3986003.9559812299</v>
      </c>
      <c r="AXX18" s="214">
        <f t="shared" si="176"/>
        <v>3986003.9559812299</v>
      </c>
      <c r="AXY18" s="214">
        <f t="shared" si="176"/>
        <v>3986003.9559812299</v>
      </c>
      <c r="AXZ18" s="214">
        <f t="shared" si="176"/>
        <v>3986003.9559812299</v>
      </c>
      <c r="AYA18" s="214">
        <f t="shared" si="176"/>
        <v>3986003.9559812299</v>
      </c>
      <c r="AYB18" s="214">
        <f t="shared" si="176"/>
        <v>3986003.9559812299</v>
      </c>
      <c r="AYC18" s="214">
        <f t="shared" si="176"/>
        <v>3986003.9559812299</v>
      </c>
      <c r="AYD18" s="214">
        <f t="shared" si="176"/>
        <v>3986003.9559812299</v>
      </c>
      <c r="AYE18" s="214">
        <f t="shared" si="176"/>
        <v>3986003.9559812299</v>
      </c>
      <c r="AYF18" s="214">
        <f t="shared" si="176"/>
        <v>3986003.9559812299</v>
      </c>
      <c r="AYG18" s="214">
        <f t="shared" si="176"/>
        <v>3986003.9559812299</v>
      </c>
      <c r="AYH18" s="214">
        <f t="shared" si="176"/>
        <v>3986003.9559812299</v>
      </c>
      <c r="AYI18" s="214">
        <f t="shared" si="176"/>
        <v>3986003.9559812299</v>
      </c>
      <c r="AYJ18" s="214">
        <f t="shared" si="176"/>
        <v>3986003.9559812299</v>
      </c>
      <c r="AYK18" s="214">
        <f t="shared" si="176"/>
        <v>3986003.9559812299</v>
      </c>
      <c r="AYL18" s="214">
        <f t="shared" si="176"/>
        <v>3986003.9559812299</v>
      </c>
      <c r="AYM18" s="214">
        <f t="shared" si="176"/>
        <v>3986003.9559812299</v>
      </c>
      <c r="AYN18" s="214">
        <f t="shared" si="176"/>
        <v>3986003.9559812299</v>
      </c>
      <c r="AYO18" s="214">
        <f t="shared" si="176"/>
        <v>3986003.9559812299</v>
      </c>
      <c r="AYP18" s="214">
        <f t="shared" si="176"/>
        <v>3986003.9559812299</v>
      </c>
      <c r="AYQ18" s="214">
        <f t="shared" si="176"/>
        <v>3986003.9559812299</v>
      </c>
      <c r="AYR18" s="214">
        <f t="shared" si="176"/>
        <v>3986003.9559812299</v>
      </c>
      <c r="AYS18" s="214">
        <f t="shared" si="176"/>
        <v>3986003.9559812299</v>
      </c>
      <c r="AYT18" s="214">
        <f t="shared" si="176"/>
        <v>3986003.9559812299</v>
      </c>
      <c r="AYU18" s="214">
        <f t="shared" si="176"/>
        <v>3986003.9559812299</v>
      </c>
      <c r="AYV18" s="214">
        <f t="shared" si="176"/>
        <v>3986003.9559812299</v>
      </c>
      <c r="AYW18" s="214">
        <f t="shared" si="176"/>
        <v>3986003.9559812299</v>
      </c>
      <c r="AYX18" s="214">
        <f t="shared" si="176"/>
        <v>3986003.9559812299</v>
      </c>
      <c r="AYY18" s="214">
        <f t="shared" si="176"/>
        <v>3986003.9559812299</v>
      </c>
      <c r="AYZ18" s="214">
        <f t="shared" si="176"/>
        <v>3986003.9559812299</v>
      </c>
      <c r="AZA18" s="214">
        <f t="shared" ref="AZA18:AZG18" si="177">AYZ18+AZA17</f>
        <v>3986003.9559812299</v>
      </c>
      <c r="AZB18" s="214">
        <f t="shared" si="177"/>
        <v>3986003.9559812299</v>
      </c>
      <c r="AZC18" s="214">
        <f t="shared" si="177"/>
        <v>3986003.9559812299</v>
      </c>
      <c r="AZD18" s="214">
        <f t="shared" si="177"/>
        <v>3986003.9559812299</v>
      </c>
      <c r="AZE18" s="214">
        <f t="shared" si="177"/>
        <v>3986003.9559812299</v>
      </c>
      <c r="AZF18" s="214">
        <f t="shared" si="177"/>
        <v>3986003.9559812299</v>
      </c>
      <c r="AZG18" s="214">
        <f t="shared" si="177"/>
        <v>3986003.9559812299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Normal="100" workbookViewId="0">
      <selection activeCell="I11" sqref="I11"/>
    </sheetView>
  </sheetViews>
  <sheetFormatPr defaultColWidth="12.33203125" defaultRowHeight="14.4"/>
  <cols>
    <col min="1" max="1" width="39.44140625" style="366" bestFit="1" customWidth="1"/>
    <col min="2" max="2" width="17.33203125" style="367" bestFit="1" customWidth="1"/>
    <col min="3" max="5" width="10.5546875" style="366" bestFit="1" customWidth="1"/>
    <col min="6" max="7" width="14.88671875" style="366" bestFit="1" customWidth="1"/>
    <col min="8" max="11" width="12" style="366" bestFit="1" customWidth="1"/>
    <col min="12" max="12" width="4.88671875" style="366" bestFit="1" customWidth="1"/>
    <col min="13" max="14" width="12" style="366" bestFit="1" customWidth="1"/>
    <col min="15" max="15" width="14.88671875" style="366" bestFit="1" customWidth="1"/>
    <col min="16" max="16" width="14.6640625" style="366" bestFit="1" customWidth="1"/>
    <col min="17" max="18" width="11.44140625" style="366" bestFit="1" customWidth="1"/>
    <col min="19" max="19" width="13.5546875" style="366" bestFit="1" customWidth="1"/>
    <col min="20" max="16384" width="12.332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44140625" defaultRowHeight="14.4"/>
  <cols>
    <col min="1" max="1" width="21.6640625" bestFit="1" customWidth="1"/>
    <col min="2" max="2" width="17.33203125" style="408" bestFit="1" customWidth="1"/>
    <col min="3" max="5" width="10.5546875" style="408" bestFit="1" customWidth="1"/>
    <col min="6" max="7" width="14.88671875" style="408" bestFit="1" customWidth="1"/>
    <col min="8" max="8" width="12.109375" style="408" bestFit="1" customWidth="1"/>
    <col min="9" max="9" width="12" style="408" bestFit="1" customWidth="1"/>
    <col min="10" max="10" width="12" bestFit="1" customWidth="1"/>
    <col min="11" max="11" width="13.33203125" bestFit="1" customWidth="1"/>
    <col min="12" max="12" width="4.88671875" bestFit="1" customWidth="1"/>
    <col min="13" max="14" width="12" bestFit="1" customWidth="1"/>
    <col min="15" max="15" width="14.88671875" bestFit="1" customWidth="1"/>
    <col min="16" max="16" width="14.664062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332031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332031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577</v>
      </c>
      <c r="C32" s="103"/>
      <c r="D32" s="103"/>
    </row>
    <row r="33" spans="2:4" ht="13.8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33203125" bestFit="1" customWidth="1"/>
    <col min="9" max="9" width="10.33203125" customWidth="1"/>
    <col min="10" max="10" width="19.554687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149D6-04BB-48B0-AC2D-53EC2B709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2026-02-12T06:43:42Z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